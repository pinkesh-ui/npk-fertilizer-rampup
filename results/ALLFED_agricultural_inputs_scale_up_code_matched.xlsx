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" yWindow="800" windowWidth="51180" windowHeight="13600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H3 CAPEX" sheetId="2" state="visible" r:id="rId2"/>
    <sheet xmlns:r="http://schemas.openxmlformats.org/officeDocument/2006/relationships" name="NH3 Ramp-up" sheetId="3" state="visible" r:id="rId3"/>
    <sheet xmlns:r="http://schemas.openxmlformats.org/officeDocument/2006/relationships" name="P CAPEX" sheetId="4" state="visible" r:id="rId4"/>
    <sheet xmlns:r="http://schemas.openxmlformats.org/officeDocument/2006/relationships" name="P Ramp-up" sheetId="5" state="visible" r:id="rId5"/>
    <sheet xmlns:r="http://schemas.openxmlformats.org/officeDocument/2006/relationships" name="K CAPEX" sheetId="6" state="visible" r:id="rId6"/>
    <sheet xmlns:r="http://schemas.openxmlformats.org/officeDocument/2006/relationships" name="K Ramp-up" sheetId="7" state="visible" r:id="rId7"/>
    <sheet xmlns:r="http://schemas.openxmlformats.org/officeDocument/2006/relationships" name="Herb CAPEX" sheetId="8" state="visible" r:id="rId8"/>
    <sheet xmlns:r="http://schemas.openxmlformats.org/officeDocument/2006/relationships" name="Herb Ramp-up" sheetId="9" state="visible" r:id="rId9"/>
    <sheet xmlns:r="http://schemas.openxmlformats.org/officeDocument/2006/relationships" name="Fun CAPEX" sheetId="10" state="visible" r:id="rId10"/>
    <sheet xmlns:r="http://schemas.openxmlformats.org/officeDocument/2006/relationships" name="Fun Ramp-up" sheetId="11" state="visible" r:id="rId11"/>
    <sheet xmlns:r="http://schemas.openxmlformats.org/officeDocument/2006/relationships" name="Ins CAPEX" sheetId="12" state="visible" r:id="rId12"/>
    <sheet xmlns:r="http://schemas.openxmlformats.org/officeDocument/2006/relationships" name="Ins Ramp-up" sheetId="13" state="visible" r:id="rId13"/>
    <sheet xmlns:r="http://schemas.openxmlformats.org/officeDocument/2006/relationships" name="H2SO4 CAPEX" sheetId="14" state="visible" r:id="rId14"/>
    <sheet xmlns:r="http://schemas.openxmlformats.org/officeDocument/2006/relationships" name="H2SO4 Ramp-up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"/>
    <numFmt numFmtId="166" formatCode="#,##0.00;\(#,##0.00\)"/>
    <numFmt numFmtId="167" formatCode="0.0"/>
  </numFmts>
  <fonts count="9">
    <font>
      <name val="Arial"/>
      <color rgb="FF000000"/>
      <sz val="10"/>
      <scheme val="minor"/>
    </font>
    <font>
      <name val="Arial"/>
      <color rgb="FF0000FF"/>
      <sz val="10"/>
      <u val="single"/>
    </font>
    <font>
      <name val="Arial"/>
      <color theme="1"/>
      <sz val="10"/>
    </font>
    <font>
      <name val="Arial"/>
      <b val="1"/>
      <color theme="1"/>
      <sz val="10"/>
    </font>
    <font>
      <name val="Arial"/>
      <color rgb="FF0000FF"/>
      <sz val="10"/>
      <u val="single"/>
    </font>
    <font>
      <name val="Arial"/>
      <b val="1"/>
      <color rgb="FFFF0000"/>
      <sz val="10"/>
    </font>
    <font>
      <name val="Arial"/>
      <color theme="1"/>
      <sz val="10"/>
      <scheme val="minor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2" fillId="0" borderId="0" pivotButton="0" quotePrefix="0" xfId="0"/>
    <xf numFmtId="10" fontId="2" fillId="0" borderId="0" pivotButton="0" quotePrefix="0" xfId="0"/>
    <xf numFmtId="164" fontId="3" fillId="0" borderId="0" pivotButton="0" quotePrefix="0" xfId="0"/>
    <xf numFmtId="164" fontId="2" fillId="0" borderId="0" pivotButton="0" quotePrefix="0" xfId="0"/>
    <xf numFmtId="0" fontId="4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2" borderId="0" applyAlignment="1" pivotButton="0" quotePrefix="0" xfId="0">
      <alignment horizontal="right"/>
    </xf>
    <xf numFmtId="0" fontId="2" fillId="0" borderId="4" pivotButton="0" quotePrefix="0" xfId="0"/>
    <xf numFmtId="0" fontId="2" fillId="0" borderId="5" pivotButton="0" quotePrefix="0" xfId="0"/>
    <xf numFmtId="9" fontId="2" fillId="0" borderId="0" pivotButton="0" quotePrefix="0" xfId="0"/>
    <xf numFmtId="49" fontId="2" fillId="0" borderId="5" pivotButton="0" quotePrefix="0" xfId="0"/>
    <xf numFmtId="2" fontId="2" fillId="0" borderId="0" pivotButton="0" quotePrefix="0" xfId="0"/>
    <xf numFmtId="0" fontId="2" fillId="0" borderId="4" applyAlignment="1" pivotButton="0" quotePrefix="0" xfId="0">
      <alignment horizontal="left"/>
    </xf>
    <xf numFmtId="164" fontId="5" fillId="0" borderId="0" pivotButton="0" quotePrefix="0" xfId="0"/>
    <xf numFmtId="0" fontId="2" fillId="0" borderId="6" pivotButton="0" quotePrefix="0" xfId="0"/>
    <xf numFmtId="165" fontId="2" fillId="0" borderId="7" pivotButton="0" quotePrefix="0" xfId="0"/>
    <xf numFmtId="0" fontId="2" fillId="0" borderId="8" pivotButton="0" quotePrefix="0" xfId="0"/>
    <xf numFmtId="0" fontId="6" fillId="0" borderId="0" pivotButton="0" quotePrefix="0" xfId="0"/>
    <xf numFmtId="166" fontId="6" fillId="0" borderId="0" pivotButton="0" quotePrefix="0" xfId="0"/>
    <xf numFmtId="1" fontId="2" fillId="0" borderId="4" pivotButton="0" quotePrefix="0" xfId="0"/>
    <xf numFmtId="1" fontId="2" fillId="6" borderId="5" applyAlignment="1" pivotButton="0" quotePrefix="0" xfId="0">
      <alignment horizontal="right"/>
    </xf>
    <xf numFmtId="1" fontId="2" fillId="6" borderId="0" applyAlignment="1" pivotButton="0" quotePrefix="0" xfId="0">
      <alignment horizontal="right"/>
    </xf>
    <xf numFmtId="0" fontId="2" fillId="0" borderId="7" pivotButton="0" quotePrefix="0" xfId="0"/>
    <xf numFmtId="4" fontId="2" fillId="0" borderId="7" pivotButton="0" quotePrefix="0" xfId="0"/>
    <xf numFmtId="3" fontId="2" fillId="0" borderId="4" applyAlignment="1" pivotButton="0" quotePrefix="0" xfId="0">
      <alignment horizontal="right"/>
    </xf>
    <xf numFmtId="3" fontId="2" fillId="0" borderId="0" applyAlignment="1" pivotButton="0" quotePrefix="0" xfId="0">
      <alignment horizontal="right"/>
    </xf>
    <xf numFmtId="4" fontId="2" fillId="0" borderId="0" applyAlignment="1" pivotButton="0" quotePrefix="0" xfId="0">
      <alignment horizontal="right"/>
    </xf>
    <xf numFmtId="1" fontId="2" fillId="0" borderId="2" pivotButton="0" quotePrefix="0" xfId="0"/>
    <xf numFmtId="2" fontId="2" fillId="0" borderId="5" pivotButton="0" quotePrefix="0" xfId="0"/>
    <xf numFmtId="9" fontId="6" fillId="0" borderId="0" pivotButton="0" quotePrefix="0" xfId="0"/>
    <xf numFmtId="4" fontId="2" fillId="0" borderId="0" pivotButton="0" quotePrefix="0" xfId="0"/>
    <xf numFmtId="1" fontId="2" fillId="0" borderId="4" applyAlignment="1" pivotButton="0" quotePrefix="0" xfId="0">
      <alignment horizontal="right"/>
    </xf>
    <xf numFmtId="1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0" fillId="0" borderId="0" pivotButton="0" quotePrefix="0" xfId="0"/>
    <xf numFmtId="1" fontId="2" fillId="5" borderId="9" applyAlignment="1" pivotButton="0" quotePrefix="0" xfId="0">
      <alignment horizontal="right"/>
    </xf>
    <xf numFmtId="0" fontId="0" fillId="0" borderId="5" pivotButton="0" quotePrefix="0" xfId="0"/>
    <xf numFmtId="9" fontId="2" fillId="2" borderId="9" applyAlignment="1" pivotButton="0" quotePrefix="0" xfId="0">
      <alignment horizontal="right"/>
    </xf>
    <xf numFmtId="165" fontId="2" fillId="3" borderId="9" applyAlignment="1" pivotButton="0" quotePrefix="0" xfId="0">
      <alignment horizontal="right"/>
    </xf>
    <xf numFmtId="0" fontId="2" fillId="0" borderId="4" pivotButton="0" quotePrefix="0" xfId="0"/>
    <xf numFmtId="0" fontId="2" fillId="0" borderId="9" pivotButton="0" quotePrefix="0" xfId="0"/>
    <xf numFmtId="167" fontId="2" fillId="5" borderId="9" applyAlignment="1" pivotButton="0" quotePrefix="0" xfId="0">
      <alignment horizontal="right"/>
    </xf>
    <xf numFmtId="3" fontId="2" fillId="4" borderId="9" applyAlignment="1" pivotButton="0" quotePrefix="0" xfId="0">
      <alignment horizontal="right"/>
    </xf>
    <xf numFmtId="3" fontId="2" fillId="5" borderId="9" applyAlignment="1" pivotButton="0" quotePrefix="0" xfId="0">
      <alignment horizontal="right"/>
    </xf>
    <xf numFmtId="165" fontId="2" fillId="4" borderId="9" applyAlignment="1" pivotButton="0" quotePrefix="0" xfId="0">
      <alignment horizontal="right"/>
    </xf>
    <xf numFmtId="4" fontId="2" fillId="5" borderId="9" applyAlignment="1" pivotButton="0" quotePrefix="0" xfId="0">
      <alignment horizontal="right"/>
    </xf>
    <xf numFmtId="0" fontId="2" fillId="2" borderId="9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NH3/YEAR PRODUCTION RAMP-UP</a:t>
            </a:r>
          </a:p>
        </rich>
      </tx>
    </title>
    <plotArea>
      <lineChart>
        <grouping val="standard"/>
        <ser>
          <idx val="0"/>
          <order val="0"/>
          <tx>
            <v>Regular Construction</v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'NH3 Ramp-up'!$F$51:$F$540</f>
            </numRef>
          </cat>
          <val>
            <numRef>
              <f>'NH3 Ramp-up'!$G$51:$G$540</f>
            </numRef>
          </val>
        </ser>
        <ser>
          <idx val="1"/>
          <order val="1"/>
          <tx>
            <v>Fast Construction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'NH3 Ramp-up'!$M$51:$M$540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Years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Megatonnes of NH3/year Produced (NEW factories)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MULTIPLE OF CURRENT NH3 PRODUCTION RAMP-UP</a:t>
            </a:r>
          </a:p>
        </rich>
      </tx>
    </title>
    <plotArea>
      <lineChart>
        <grouping val="standard"/>
        <ser>
          <idx val="0"/>
          <order val="0"/>
          <tx>
            <strRef>
              <f>'NH3 Ramp-up'!V49</f>
            </strRef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'NH3 Ramp-up'!$U$50:$U$541</f>
            </numRef>
          </cat>
          <val>
            <numRef>
              <f>'NH3 Ramp-up'!$V$50:$V$541</f>
            </numRef>
          </val>
        </ser>
        <ser>
          <idx val="1"/>
          <order val="1"/>
          <tx>
            <strRef>
              <f>'NH3 Ramp-up'!W49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'NH3 Ramp-up'!$U$50:$U$541</f>
            </numRef>
          </cat>
          <val>
            <numRef>
              <f>'NH3 Ramp-up'!$W$50:$W$541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Years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Multiple of Current NH3 Production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P/YEAR PRODUCTION RAMP-UP</a:t>
            </a:r>
          </a:p>
        </rich>
      </tx>
    </title>
    <plotArea>
      <lineChart>
        <grouping val="standard"/>
        <ser>
          <idx val="0"/>
          <order val="0"/>
          <tx>
            <v>Regular Construction</v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 Ramp-up'!$F$51:$F$540</f>
            </numRef>
          </cat>
          <val>
            <numRef>
              <f>'P Ramp-up'!$G$51:$G$540</f>
            </numRef>
          </val>
        </ser>
        <ser>
          <idx val="1"/>
          <order val="1"/>
          <tx>
            <v>Fast Construction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 Ramp-up'!$M$51:$M$540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Years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Megatonnes of P/year Produced (NEW factories)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MULTIPLE OF CURRENT P PRODUCTION RAMP-UP</a:t>
            </a:r>
          </a:p>
        </rich>
      </tx>
    </title>
    <plotArea>
      <lineChart>
        <grouping val="standard"/>
        <ser>
          <idx val="0"/>
          <order val="0"/>
          <tx>
            <strRef>
              <f>'P Ramp-up'!V49</f>
            </strRef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 Ramp-up'!$U$50:$U$541</f>
            </numRef>
          </cat>
          <val>
            <numRef>
              <f>'P Ramp-up'!$V$50:$V$541</f>
            </numRef>
          </val>
        </ser>
        <ser>
          <idx val="1"/>
          <order val="1"/>
          <tx>
            <strRef>
              <f>'P Ramp-up'!W49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 Ramp-up'!$U$50:$U$541</f>
            </numRef>
          </cat>
          <val>
            <numRef>
              <f>'P Ramp-up'!$W$50:$W$541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Years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Multiple of Current P Production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K/YEAR PRODUCTION RAMP-UP</a:t>
            </a:r>
          </a:p>
        </rich>
      </tx>
    </title>
    <plotArea>
      <lineChart>
        <grouping val="standard"/>
        <ser>
          <idx val="0"/>
          <order val="0"/>
          <tx>
            <v>Regular Construction</v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 Ramp-up'!$F$51:$F$540</f>
            </numRef>
          </cat>
          <val>
            <numRef>
              <f>'K Ramp-up'!$G$51:$G$540</f>
            </numRef>
          </val>
        </ser>
        <ser>
          <idx val="1"/>
          <order val="1"/>
          <tx>
            <v>Fast Construction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 Ramp-up'!$M$51:$M$540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Years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Megatonnes of K/year Produced (NEW factories)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MULTIPLE OF CURRENT K PRODUCTION RAMP-UP</a:t>
            </a:r>
          </a:p>
        </rich>
      </tx>
    </title>
    <plotArea>
      <lineChart>
        <grouping val="standard"/>
        <ser>
          <idx val="0"/>
          <order val="0"/>
          <tx>
            <strRef>
              <f>'K Ramp-up'!V49</f>
            </strRef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 Ramp-up'!$U$50:$U$541</f>
            </numRef>
          </cat>
          <val>
            <numRef>
              <f>'K Ramp-up'!$V$50:$V$541</f>
            </numRef>
          </val>
        </ser>
        <ser>
          <idx val="1"/>
          <order val="1"/>
          <tx>
            <strRef>
              <f>'K Ramp-up'!W49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 Ramp-up'!$U$50:$U$541</f>
            </numRef>
          </cat>
          <val>
            <numRef>
              <f>'K Ramp-up'!$W$50:$W$541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Years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Multiple of Current K Production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Herbicide/YEAR PRODUCTION RAMP-UP</a:t>
            </a:r>
          </a:p>
        </rich>
      </tx>
    </title>
    <plotArea>
      <lineChart>
        <grouping val="standard"/>
        <ser>
          <idx val="0"/>
          <order val="0"/>
          <tx>
            <v>Regular Construction</v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'Herb Ramp-up'!$F$51:$F$540</f>
            </numRef>
          </cat>
          <val>
            <numRef>
              <f>'Herb Ramp-up'!$G$51:$G$540</f>
            </numRef>
          </val>
        </ser>
        <ser>
          <idx val="1"/>
          <order val="1"/>
          <tx>
            <v>Fast Construction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'Herb Ramp-up'!$M$51:$M$540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Years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Megatonnes of Herbicide/year Produced (NEW factories)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MULTIPLE OF CURRENT Herbicide PRODUCTION RAMP-UP</a:t>
            </a:r>
          </a:p>
        </rich>
      </tx>
    </title>
    <plotArea>
      <lineChart>
        <grouping val="standard"/>
        <ser>
          <idx val="0"/>
          <order val="0"/>
          <tx>
            <strRef>
              <f>'Herb Ramp-up'!V49</f>
            </strRef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'Herb Ramp-up'!$U$50:$U$541</f>
            </numRef>
          </cat>
          <val>
            <numRef>
              <f>'Herb Ramp-up'!$V$50:$V$541</f>
            </numRef>
          </val>
        </ser>
        <ser>
          <idx val="1"/>
          <order val="1"/>
          <tx>
            <strRef>
              <f>'Herb Ramp-up'!W49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'Herb Ramp-up'!$U$50:$U$541</f>
            </numRef>
          </cat>
          <val>
            <numRef>
              <f>'Herb Ramp-up'!$W$50:$W$541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Years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Multiple of Current Herbicide Production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Fungicide/YEAR PRODUCTION RAMP-UP</a:t>
            </a:r>
          </a:p>
        </rich>
      </tx>
    </title>
    <plotArea>
      <lineChart>
        <grouping val="standard"/>
        <ser>
          <idx val="0"/>
          <order val="0"/>
          <tx>
            <v>Regular Construction</v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'Fun Ramp-up'!$F$51:$F$540</f>
            </numRef>
          </cat>
          <val>
            <numRef>
              <f>'Fun Ramp-up'!$G$51:$G$540</f>
            </numRef>
          </val>
        </ser>
        <ser>
          <idx val="1"/>
          <order val="1"/>
          <tx>
            <v>Fast Construction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'Fun Ramp-up'!$M$51:$M$540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Years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Megatonnes of Fungicide/year Produced (NEW factories)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MULTIPLE OF CURRENT Fungicide PRODUCTION RAMP-UP</a:t>
            </a:r>
          </a:p>
        </rich>
      </tx>
    </title>
    <plotArea>
      <lineChart>
        <grouping val="standard"/>
        <ser>
          <idx val="0"/>
          <order val="0"/>
          <tx>
            <strRef>
              <f>'Fun Ramp-up'!V49</f>
            </strRef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'Fun Ramp-up'!$U$50:$U$541</f>
            </numRef>
          </cat>
          <val>
            <numRef>
              <f>'Fun Ramp-up'!$V$50:$V$541</f>
            </numRef>
          </val>
        </ser>
        <ser>
          <idx val="1"/>
          <order val="1"/>
          <tx>
            <strRef>
              <f>'Fun Ramp-up'!W49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'Fun Ramp-up'!$U$50:$U$541</f>
            </numRef>
          </cat>
          <val>
            <numRef>
              <f>'Fun Ramp-up'!$W$50:$W$541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Years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Multiple of Current Fungicide Production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Insecticide/YEAR PRODUCTION RAMP-UP</a:t>
            </a:r>
          </a:p>
        </rich>
      </tx>
    </title>
    <plotArea>
      <lineChart>
        <grouping val="standard"/>
        <ser>
          <idx val="0"/>
          <order val="0"/>
          <tx>
            <v>Regular Construction</v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'Ins Ramp-up'!$F$51:$F$540</f>
            </numRef>
          </cat>
          <val>
            <numRef>
              <f>'Ins Ramp-up'!$G$51:$G$540</f>
            </numRef>
          </val>
        </ser>
        <ser>
          <idx val="1"/>
          <order val="1"/>
          <tx>
            <v>Fast Construction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'Ins Ramp-up'!$M$51:$M$540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Years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Megatonnes of Insecticide/year Produced (NEW factories)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MULTIPLE OF CURRENT Insecticide PRODUCTION RAMP-UP</a:t>
            </a:r>
          </a:p>
        </rich>
      </tx>
    </title>
    <plotArea>
      <lineChart>
        <grouping val="standard"/>
        <ser>
          <idx val="0"/>
          <order val="0"/>
          <tx>
            <strRef>
              <f>'Ins Ramp-up'!V49</f>
            </strRef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'Ins Ramp-up'!$U$50:$U$541</f>
            </numRef>
          </cat>
          <val>
            <numRef>
              <f>'Ins Ramp-up'!$V$50:$V$541</f>
            </numRef>
          </val>
        </ser>
        <ser>
          <idx val="1"/>
          <order val="1"/>
          <tx>
            <strRef>
              <f>'Ins Ramp-up'!W49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'Ins Ramp-up'!$U$50:$U$541</f>
            </numRef>
          </cat>
          <val>
            <numRef>
              <f>'Ins Ramp-up'!$W$50:$W$541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Years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Multiple of Current Insecticide Production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H2SO4/YEAR PRODUCTION RAMP-UP</a:t>
            </a:r>
          </a:p>
        </rich>
      </tx>
    </title>
    <plotArea>
      <lineChart>
        <grouping val="standard"/>
        <ser>
          <idx val="0"/>
          <order val="0"/>
          <tx>
            <v>Regular Construction</v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'H2SO4 Ramp-up'!$F$51:$F$540</f>
            </numRef>
          </cat>
          <val>
            <numRef>
              <f>'H2SO4 Ramp-up'!$G$51:$G$540</f>
            </numRef>
          </val>
        </ser>
        <ser>
          <idx val="1"/>
          <order val="1"/>
          <tx>
            <v>Fast Construction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'H2SO4 Ramp-up'!$M$51:$M$540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Years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Megatonnes of H2SO4/year Produced (NEW factories)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MULTIPLE OF CURRENT H2SO4 PRODUCTION RAMP-UP</a:t>
            </a:r>
          </a:p>
        </rich>
      </tx>
    </title>
    <plotArea>
      <lineChart>
        <grouping val="standard"/>
        <ser>
          <idx val="0"/>
          <order val="0"/>
          <tx>
            <strRef>
              <f>'H2SO4 Ramp-up'!V49</f>
            </strRef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'H2SO4 Ramp-up'!$U$50:$U$541</f>
            </numRef>
          </cat>
          <val>
            <numRef>
              <f>'H2SO4 Ramp-up'!$V$50:$V$541</f>
            </numRef>
          </val>
        </ser>
        <ser>
          <idx val="1"/>
          <order val="1"/>
          <tx>
            <strRef>
              <f>'H2SO4 Ramp-up'!W49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'H2SO4 Ramp-up'!$U$50:$U$541</f>
            </numRef>
          </cat>
          <val>
            <numRef>
              <f>'H2SO4 Ramp-up'!$W$50:$W$541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Years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Multiple of Current H2SO4 Production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/Relationships>
</file>

<file path=xl/drawings/drawing1.xml><?xml version="1.0" encoding="utf-8"?>
<wsDr xmlns="http://schemas.openxmlformats.org/drawingml/2006/spreadsheetDrawing">
  <oneCellAnchor>
    <from>
      <col>14</col>
      <colOff>0</colOff>
      <row>4</row>
      <rowOff>0</rowOff>
    </from>
    <ext cx="54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4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14</col>
      <colOff>0</colOff>
      <row>4</row>
      <rowOff>0</rowOff>
    </from>
    <ext cx="54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4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14</col>
      <colOff>0</colOff>
      <row>4</row>
      <rowOff>0</rowOff>
    </from>
    <ext cx="54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4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14</col>
      <colOff>0</colOff>
      <row>4</row>
      <rowOff>0</rowOff>
    </from>
    <ext cx="54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4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14</col>
      <colOff>0</colOff>
      <row>4</row>
      <rowOff>0</rowOff>
    </from>
    <ext cx="54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4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14</col>
      <colOff>0</colOff>
      <row>4</row>
      <rowOff>0</rowOff>
    </from>
    <ext cx="54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4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14</col>
      <colOff>0</colOff>
      <row>4</row>
      <rowOff>0</rowOff>
    </from>
    <ext cx="54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4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piral.imperial.ac.uk/server/api/core/bitstreams/61eb229f-4e3d-4825-8eda-de25cb41be62/content?utm_source=chatgpt.com" TargetMode="External" Id="rId1"/><Relationship Type="http://schemas.openxmlformats.org/officeDocument/2006/relationships/hyperlink" Target="https://pubs.rsc.org/en/content/articlelanding/2010/cc/c0cc01982h" TargetMode="External" Id="rId2"/><Relationship Type="http://schemas.openxmlformats.org/officeDocument/2006/relationships/hyperlink" Target="https://pubs.rsc.org/en/content/articlelanding/2022/gc/d2gc00843b?utm_source=chatgpt.com" TargetMode="External" Id="rId3"/><Relationship Type="http://schemas.openxmlformats.org/officeDocument/2006/relationships/hyperlink" Target="https://www.sciencedirect.com/science/article/abs/pii/S0306261914001652" TargetMode="External" Id="rId4"/><Relationship Type="http://schemas.openxmlformats.org/officeDocument/2006/relationships/hyperlink" Target="https://www.exchange-rates.org/converter/eur-usd" TargetMode="External" Id="rId5"/><Relationship Type="http://schemas.openxmlformats.org/officeDocument/2006/relationships/hyperlink" Target="https://www.frontiersin.org/journals/energy-research/articles/10.3389/fenrg.2022.881263/full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ammoniaenergy.org/wp-content/uploads/2025/07/AEA-2024-Annual-Report.pdf" TargetMode="External" Id="rId1"/><Relationship Type="http://schemas.openxmlformats.org/officeDocument/2006/relationships/hyperlink" Target="https://www.statista.com/statistics/1065865/ammonia-production-capacity-globally/" TargetMode="External" Id="rId2"/><Relationship Type="http://schemas.openxmlformats.org/officeDocument/2006/relationships/drawing" Target="/xl/drawings/drawing1.xm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spiral.imperial.ac.uk/server/api/core/bitstreams/61eb229f-4e3d-4825-8eda-de25cb41be62/content?utm_source=chatgpt.com" TargetMode="External" Id="rId1"/><Relationship Type="http://schemas.openxmlformats.org/officeDocument/2006/relationships/hyperlink" Target="https://pubs.rsc.org/en/content/articlelanding/2010/cc/c0cc01982h" TargetMode="External" Id="rId2"/><Relationship Type="http://schemas.openxmlformats.org/officeDocument/2006/relationships/hyperlink" Target="https://pubs.rsc.org/en/content/articlelanding/2022/gc/d2gc00843b?utm_source=chatgpt.com" TargetMode="External" Id="rId3"/><Relationship Type="http://schemas.openxmlformats.org/officeDocument/2006/relationships/hyperlink" Target="https://www.sciencedirect.com/science/article/abs/pii/S0306261914001652" TargetMode="External" Id="rId4"/><Relationship Type="http://schemas.openxmlformats.org/officeDocument/2006/relationships/hyperlink" Target="https://www.exchange-rates.org/converter/eur-usd" TargetMode="External" Id="rId5"/><Relationship Type="http://schemas.openxmlformats.org/officeDocument/2006/relationships/hyperlink" Target="https://www.frontiersin.org/journals/energy-research/articles/10.3389/fenrg.2022.881263/full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ammoniaenergy.org/wp-content/uploads/2025/07/AEA-2024-Annual-Report.pdf" TargetMode="External" Id="rId1"/><Relationship Type="http://schemas.openxmlformats.org/officeDocument/2006/relationships/hyperlink" Target="https://www.statista.com/statistics/1065865/ammonia-production-capacity-globally/" TargetMode="External" Id="rId2"/><Relationship Type="http://schemas.openxmlformats.org/officeDocument/2006/relationships/drawing" Target="/xl/drawings/drawing2.xml" Id="rId3"/></Relationships>
</file>

<file path=xl/worksheets/_rels/sheet6.xml.rels><Relationships xmlns="http://schemas.openxmlformats.org/package/2006/relationships"><Relationship Type="http://schemas.openxmlformats.org/officeDocument/2006/relationships/hyperlink" Target="https://spiral.imperial.ac.uk/server/api/core/bitstreams/61eb229f-4e3d-4825-8eda-de25cb41be62/content?utm_source=chatgpt.com" TargetMode="External" Id="rId1"/><Relationship Type="http://schemas.openxmlformats.org/officeDocument/2006/relationships/hyperlink" Target="https://pubs.rsc.org/en/content/articlelanding/2010/cc/c0cc01982h" TargetMode="External" Id="rId2"/><Relationship Type="http://schemas.openxmlformats.org/officeDocument/2006/relationships/hyperlink" Target="https://pubs.rsc.org/en/content/articlelanding/2022/gc/d2gc00843b?utm_source=chatgpt.com" TargetMode="External" Id="rId3"/><Relationship Type="http://schemas.openxmlformats.org/officeDocument/2006/relationships/hyperlink" Target="https://www.sciencedirect.com/science/article/abs/pii/S0306261914001652" TargetMode="External" Id="rId4"/><Relationship Type="http://schemas.openxmlformats.org/officeDocument/2006/relationships/hyperlink" Target="https://www.exchange-rates.org/converter/eur-usd" TargetMode="External" Id="rId5"/><Relationship Type="http://schemas.openxmlformats.org/officeDocument/2006/relationships/hyperlink" Target="https://www.frontiersin.org/journals/energy-research/articles/10.3389/fenrg.2022.881263/full" TargetMode="External" Id="rId6"/></Relationships>
</file>

<file path=xl/worksheets/_rels/sheet7.xml.rels><Relationships xmlns="http://schemas.openxmlformats.org/package/2006/relationships"><Relationship Type="http://schemas.openxmlformats.org/officeDocument/2006/relationships/hyperlink" Target="https://ammoniaenergy.org/wp-content/uploads/2025/07/AEA-2024-Annual-Report.pdf" TargetMode="External" Id="rId1"/><Relationship Type="http://schemas.openxmlformats.org/officeDocument/2006/relationships/hyperlink" Target="https://www.statista.com/statistics/1065865/ammonia-production-capacity-globally/" TargetMode="External" Id="rId2"/><Relationship Type="http://schemas.openxmlformats.org/officeDocument/2006/relationships/drawing" Target="/xl/drawings/drawing3.xml" Id="rId3"/></Relationships>
</file>

<file path=xl/worksheets/_rels/sheet8.xml.rels><Relationships xmlns="http://schemas.openxmlformats.org/package/2006/relationships"><Relationship Type="http://schemas.openxmlformats.org/officeDocument/2006/relationships/hyperlink" Target="https://spiral.imperial.ac.uk/server/api/core/bitstreams/61eb229f-4e3d-4825-8eda-de25cb41be62/content?utm_source=chatgpt.com" TargetMode="External" Id="rId1"/><Relationship Type="http://schemas.openxmlformats.org/officeDocument/2006/relationships/hyperlink" Target="https://pubs.rsc.org/en/content/articlelanding/2010/cc/c0cc01982h" TargetMode="External" Id="rId2"/><Relationship Type="http://schemas.openxmlformats.org/officeDocument/2006/relationships/hyperlink" Target="https://pubs.rsc.org/en/content/articlelanding/2022/gc/d2gc00843b?utm_source=chatgpt.com" TargetMode="External" Id="rId3"/><Relationship Type="http://schemas.openxmlformats.org/officeDocument/2006/relationships/hyperlink" Target="https://www.sciencedirect.com/science/article/abs/pii/S0306261914001652" TargetMode="External" Id="rId4"/><Relationship Type="http://schemas.openxmlformats.org/officeDocument/2006/relationships/hyperlink" Target="https://www.exchange-rates.org/converter/eur-usd" TargetMode="External" Id="rId5"/><Relationship Type="http://schemas.openxmlformats.org/officeDocument/2006/relationships/hyperlink" Target="https://www.frontiersin.org/journals/energy-research/articles/10.3389/fenrg.2022.881263/full" TargetMode="External" Id="rId6"/></Relationships>
</file>

<file path=xl/worksheets/_rels/sheet9.xml.rels><Relationships xmlns="http://schemas.openxmlformats.org/package/2006/relationships"><Relationship Type="http://schemas.openxmlformats.org/officeDocument/2006/relationships/hyperlink" Target="https://ammoniaenergy.org/wp-content/uploads/2025/07/AEA-2024-Annual-Report.pdf" TargetMode="External" Id="rId1"/><Relationship Type="http://schemas.openxmlformats.org/officeDocument/2006/relationships/hyperlink" Target="https://www.statista.com/statistics/1065865/ammonia-production-capacity-globally/" TargetMode="External" Id="rId2"/><Relationship Type="http://schemas.openxmlformats.org/officeDocument/2006/relationships/drawing" Target="/xl/drawings/drawing4.xml" Id="rId3"/></Relationships>
</file>

<file path=xl/worksheets/_rels/sheet10.xml.rels><Relationships xmlns="http://schemas.openxmlformats.org/package/2006/relationships"><Relationship Type="http://schemas.openxmlformats.org/officeDocument/2006/relationships/hyperlink" Target="https://spiral.imperial.ac.uk/server/api/core/bitstreams/61eb229f-4e3d-4825-8eda-de25cb41be62/content?utm_source=chatgpt.com" TargetMode="External" Id="rId1"/><Relationship Type="http://schemas.openxmlformats.org/officeDocument/2006/relationships/hyperlink" Target="https://pubs.rsc.org/en/content/articlelanding/2010/cc/c0cc01982h" TargetMode="External" Id="rId2"/><Relationship Type="http://schemas.openxmlformats.org/officeDocument/2006/relationships/hyperlink" Target="https://pubs.rsc.org/en/content/articlelanding/2022/gc/d2gc00843b?utm_source=chatgpt.com" TargetMode="External" Id="rId3"/><Relationship Type="http://schemas.openxmlformats.org/officeDocument/2006/relationships/hyperlink" Target="https://www.sciencedirect.com/science/article/abs/pii/S0306261914001652" TargetMode="External" Id="rId4"/><Relationship Type="http://schemas.openxmlformats.org/officeDocument/2006/relationships/hyperlink" Target="https://www.exchange-rates.org/converter/eur-usd" TargetMode="External" Id="rId5"/><Relationship Type="http://schemas.openxmlformats.org/officeDocument/2006/relationships/hyperlink" Target="https://www.frontiersin.org/journals/energy-research/articles/10.3389/fenrg.2022.881263/full" TargetMode="External" Id="rId6"/></Relationships>
</file>

<file path=xl/worksheets/_rels/sheet11.xml.rels><Relationships xmlns="http://schemas.openxmlformats.org/package/2006/relationships"><Relationship Type="http://schemas.openxmlformats.org/officeDocument/2006/relationships/hyperlink" Target="https://ammoniaenergy.org/wp-content/uploads/2025/07/AEA-2024-Annual-Report.pdf" TargetMode="External" Id="rId1"/><Relationship Type="http://schemas.openxmlformats.org/officeDocument/2006/relationships/hyperlink" Target="https://www.statista.com/statistics/1065865/ammonia-production-capacity-globally/" TargetMode="External" Id="rId2"/><Relationship Type="http://schemas.openxmlformats.org/officeDocument/2006/relationships/drawing" Target="/xl/drawings/drawing5.xml" Id="rId3"/></Relationships>
</file>

<file path=xl/worksheets/_rels/sheet12.xml.rels><Relationships xmlns="http://schemas.openxmlformats.org/package/2006/relationships"><Relationship Type="http://schemas.openxmlformats.org/officeDocument/2006/relationships/hyperlink" Target="https://spiral.imperial.ac.uk/server/api/core/bitstreams/61eb229f-4e3d-4825-8eda-de25cb41be62/content?utm_source=chatgpt.com" TargetMode="External" Id="rId1"/><Relationship Type="http://schemas.openxmlformats.org/officeDocument/2006/relationships/hyperlink" Target="https://pubs.rsc.org/en/content/articlelanding/2010/cc/c0cc01982h" TargetMode="External" Id="rId2"/><Relationship Type="http://schemas.openxmlformats.org/officeDocument/2006/relationships/hyperlink" Target="https://pubs.rsc.org/en/content/articlelanding/2022/gc/d2gc00843b?utm_source=chatgpt.com" TargetMode="External" Id="rId3"/><Relationship Type="http://schemas.openxmlformats.org/officeDocument/2006/relationships/hyperlink" Target="https://www.sciencedirect.com/science/article/abs/pii/S0306261914001652" TargetMode="External" Id="rId4"/><Relationship Type="http://schemas.openxmlformats.org/officeDocument/2006/relationships/hyperlink" Target="https://www.exchange-rates.org/converter/eur-usd" TargetMode="External" Id="rId5"/><Relationship Type="http://schemas.openxmlformats.org/officeDocument/2006/relationships/hyperlink" Target="https://www.frontiersin.org/journals/energy-research/articles/10.3389/fenrg.2022.881263/full" TargetMode="External" Id="rId6"/></Relationships>
</file>

<file path=xl/worksheets/_rels/sheet13.xml.rels><Relationships xmlns="http://schemas.openxmlformats.org/package/2006/relationships"><Relationship Type="http://schemas.openxmlformats.org/officeDocument/2006/relationships/hyperlink" Target="https://ammoniaenergy.org/wp-content/uploads/2025/07/AEA-2024-Annual-Report.pdf" TargetMode="External" Id="rId1"/><Relationship Type="http://schemas.openxmlformats.org/officeDocument/2006/relationships/hyperlink" Target="https://www.statista.com/statistics/1065865/ammonia-production-capacity-globally/" TargetMode="External" Id="rId2"/><Relationship Type="http://schemas.openxmlformats.org/officeDocument/2006/relationships/drawing" Target="/xl/drawings/drawing6.xml" Id="rId3"/></Relationships>
</file>

<file path=xl/worksheets/_rels/sheet14.xml.rels><Relationships xmlns="http://schemas.openxmlformats.org/package/2006/relationships"><Relationship Type="http://schemas.openxmlformats.org/officeDocument/2006/relationships/hyperlink" Target="https://spiral.imperial.ac.uk/server/api/core/bitstreams/61eb229f-4e3d-4825-8eda-de25cb41be62/content?utm_source=chatgpt.com" TargetMode="External" Id="rId1"/><Relationship Type="http://schemas.openxmlformats.org/officeDocument/2006/relationships/hyperlink" Target="https://pubs.rsc.org/en/content/articlelanding/2010/cc/c0cc01982h" TargetMode="External" Id="rId2"/><Relationship Type="http://schemas.openxmlformats.org/officeDocument/2006/relationships/hyperlink" Target="https://pubs.rsc.org/en/content/articlelanding/2022/gc/d2gc00843b?utm_source=chatgpt.com" TargetMode="External" Id="rId3"/><Relationship Type="http://schemas.openxmlformats.org/officeDocument/2006/relationships/hyperlink" Target="https://www.sciencedirect.com/science/article/abs/pii/S0306261914001652" TargetMode="External" Id="rId4"/><Relationship Type="http://schemas.openxmlformats.org/officeDocument/2006/relationships/hyperlink" Target="https://www.exchange-rates.org/converter/eur-usd" TargetMode="External" Id="rId5"/><Relationship Type="http://schemas.openxmlformats.org/officeDocument/2006/relationships/hyperlink" Target="https://www.frontiersin.org/journals/energy-research/articles/10.3389/fenrg.2022.881263/full" TargetMode="External" Id="rId6"/></Relationships>
</file>

<file path=xl/worksheets/_rels/sheet15.xml.rels><Relationships xmlns="http://schemas.openxmlformats.org/package/2006/relationships"><Relationship Type="http://schemas.openxmlformats.org/officeDocument/2006/relationships/hyperlink" Target="https://ammoniaenergy.org/wp-content/uploads/2025/07/AEA-2024-Annual-Report.pdf" TargetMode="External" Id="rId1"/><Relationship Type="http://schemas.openxmlformats.org/officeDocument/2006/relationships/hyperlink" Target="https://www.statista.com/statistics/1065865/ammonia-production-capacity-globally/" TargetMode="External" Id="rId2"/><Relationship Type="http://schemas.openxmlformats.org/officeDocument/2006/relationships/drawing" Target="/xl/drawings/drawing7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style="40" min="1" max="1"/>
    <col width="42" customWidth="1" style="40" min="2" max="2"/>
    <col width="18" customWidth="1" style="40" min="3" max="3"/>
    <col width="18" customWidth="1" style="40" min="4" max="4"/>
    <col width="18" customWidth="1" style="40" min="5" max="5"/>
    <col width="18" customWidth="1" style="40" min="6" max="6"/>
    <col width="18" customWidth="1" style="40" min="7" max="7"/>
  </cols>
  <sheetData>
    <row r="1">
      <c r="A1" s="53" t="inlineStr">
        <is>
          <t>ALLFED agricultural input scale-up — code-matched workbook</t>
        </is>
      </c>
    </row>
    <row r="3">
      <c r="A3" t="inlineStr">
        <is>
          <t>Each commodity has: CAPEX sheet + Ramp-up sheet (same layout as N template).</t>
        </is>
      </c>
    </row>
    <row r="4">
      <c r="A4" t="inlineStr">
        <is>
          <t>Budgets = equal-pace share of $758B pot. Defaults: startup%=0.5, functioning=0.4.</t>
        </is>
      </c>
    </row>
    <row r="6">
      <c r="A6" s="54" t="inlineStr">
        <is>
          <t>Key</t>
        </is>
      </c>
      <c r="B6" s="54" t="inlineStr">
        <is>
          <t>Commodity</t>
        </is>
      </c>
      <c r="C6" s="54" t="inlineStr">
        <is>
          <t>Budget USD/yr</t>
        </is>
      </c>
      <c r="D6" s="54" t="inlineStr">
        <is>
          <t>Budget $B/yr</t>
        </is>
      </c>
      <c r="E6" s="54" t="inlineStr">
        <is>
          <t>Current Mt/yr</t>
        </is>
      </c>
      <c r="F6" s="54" t="inlineStr">
        <is>
          <t>CAPEX sheet</t>
        </is>
      </c>
      <c r="G6" s="54" t="inlineStr">
        <is>
          <t>Ramp-up sheet</t>
        </is>
      </c>
    </row>
    <row r="7">
      <c r="A7" t="inlineStr">
        <is>
          <t>nh3</t>
        </is>
      </c>
      <c r="B7" t="inlineStr">
        <is>
          <t>NH3 (Ammonia / N)</t>
        </is>
      </c>
      <c r="C7" s="55" t="n">
        <v>507517025248.3769</v>
      </c>
      <c r="D7" s="56" t="n">
        <v>507.5170252483769</v>
      </c>
      <c r="E7" t="n">
        <v>240</v>
      </c>
      <c r="F7" t="inlineStr">
        <is>
          <t>NH3 CAPEX</t>
        </is>
      </c>
      <c r="G7" t="inlineStr">
        <is>
          <t>NH3 Ramp-up</t>
        </is>
      </c>
    </row>
    <row r="8">
      <c r="A8" t="inlineStr">
        <is>
          <t>phosphate</t>
        </is>
      </c>
      <c r="B8" t="inlineStr">
        <is>
          <t>Phosphate Fertilizer (P / TSP / MAP+DAP)</t>
        </is>
      </c>
      <c r="C8" s="55" t="n">
        <v>62132238606.74318</v>
      </c>
      <c r="D8" s="56" t="n">
        <v>62.13223860674318</v>
      </c>
      <c r="E8" t="n">
        <v>47.8</v>
      </c>
      <c r="F8" t="inlineStr">
        <is>
          <t>P CAPEX</t>
        </is>
      </c>
      <c r="G8" t="inlineStr">
        <is>
          <t>P Ramp-up</t>
        </is>
      </c>
    </row>
    <row r="9">
      <c r="A9" t="inlineStr">
        <is>
          <t>potassium</t>
        </is>
      </c>
      <c r="B9" t="inlineStr">
        <is>
          <t>Potassium Fertilizer (K / Potash / MOP)</t>
        </is>
      </c>
      <c r="C9" s="55" t="n">
        <v>41622939032.15606</v>
      </c>
      <c r="D9" s="56" t="n">
        <v>41.62293903215606</v>
      </c>
      <c r="E9" t="n">
        <v>41.6</v>
      </c>
      <c r="F9" t="inlineStr">
        <is>
          <t>K CAPEX</t>
        </is>
      </c>
      <c r="G9" t="inlineStr">
        <is>
          <t>K Ramp-up</t>
        </is>
      </c>
    </row>
    <row r="10">
      <c r="A10" t="inlineStr">
        <is>
          <t>herbicide</t>
        </is>
      </c>
      <c r="B10" t="inlineStr">
        <is>
          <t>Herbicides</t>
        </is>
      </c>
      <c r="C10" s="55" t="n">
        <v>93119641216.57393</v>
      </c>
      <c r="D10" s="56" t="n">
        <v>93.11964121657392</v>
      </c>
      <c r="E10" t="n">
        <v>1.9902</v>
      </c>
      <c r="F10" t="inlineStr">
        <is>
          <t>Herb CAPEX</t>
        </is>
      </c>
      <c r="G10" t="inlineStr">
        <is>
          <t>Herb Ramp-up</t>
        </is>
      </c>
    </row>
    <row r="11">
      <c r="A11" t="inlineStr">
        <is>
          <t>fungicide</t>
        </is>
      </c>
      <c r="B11" t="inlineStr">
        <is>
          <t>Fungicides &amp; bactericides</t>
        </is>
      </c>
      <c r="C11" s="55" t="n">
        <v>41548522011.4838</v>
      </c>
      <c r="D11" s="56" t="n">
        <v>41.5485220114838</v>
      </c>
      <c r="E11" t="n">
        <v>0.8624000000000001</v>
      </c>
      <c r="F11" t="inlineStr">
        <is>
          <t>Fun CAPEX</t>
        </is>
      </c>
      <c r="G11" t="inlineStr">
        <is>
          <t>Fun Ramp-up</t>
        </is>
      </c>
    </row>
    <row r="12">
      <c r="A12" t="inlineStr">
        <is>
          <t>insecticide</t>
        </is>
      </c>
      <c r="B12" t="inlineStr">
        <is>
          <t>Insecticides</t>
        </is>
      </c>
      <c r="C12" s="55" t="n">
        <v>8555549338.396442</v>
      </c>
      <c r="D12" s="56" t="n">
        <v>8.555549338396442</v>
      </c>
      <c r="E12" t="n">
        <v>0.8232</v>
      </c>
      <c r="F12" t="inlineStr">
        <is>
          <t>Ins CAPEX</t>
        </is>
      </c>
      <c r="G12" t="inlineStr">
        <is>
          <t>Ins Ramp-up</t>
        </is>
      </c>
    </row>
    <row r="13">
      <c r="A13" t="inlineStr">
        <is>
          <t>h2so4</t>
        </is>
      </c>
      <c r="B13" t="inlineStr">
        <is>
          <t>Sulfuric Acid (H2SO4)</t>
        </is>
      </c>
      <c r="C13" s="55" t="n">
        <v>3504084546.26967</v>
      </c>
      <c r="D13" s="56" t="n">
        <v>3.504084546269671</v>
      </c>
      <c r="E13" t="n">
        <v>150</v>
      </c>
      <c r="F13" t="inlineStr">
        <is>
          <t>H2SO4 CAPEX</t>
        </is>
      </c>
      <c r="G13" t="inlineStr">
        <is>
          <t>H2SO4 Ramp-up</t>
        </is>
      </c>
    </row>
    <row r="15">
      <c r="A15" t="inlineStr">
        <is>
          <t>Open any '* Ramp-up' tab for parameters, wave table, weekly series, and charts.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31"/>
  <sheetViews>
    <sheetView workbookViewId="0">
      <selection activeCell="A1" sqref="A1"/>
    </sheetView>
  </sheetViews>
  <sheetFormatPr baseColWidth="8" defaultColWidth="12.6328125" defaultRowHeight="15" customHeight="1"/>
  <cols>
    <col width="41.90625" customWidth="1" style="40" min="1" max="1"/>
    <col width="16.6328125" customWidth="1" style="40" min="2" max="2"/>
    <col width="17.90625" customWidth="1" style="40" min="3" max="3"/>
    <col width="12.6328125" customWidth="1" style="40" min="4" max="5"/>
    <col width="26.7265625" bestFit="1" customWidth="1" style="40" min="6" max="6"/>
  </cols>
  <sheetData>
    <row r="1" ht="15.75" customHeight="1" s="40">
      <c r="A1" s="53" t="inlineStr">
        <is>
          <t>NH3 CAPEX Calcs</t>
        </is>
      </c>
      <c r="B1" s="39" t="n"/>
      <c r="D1" s="1" t="n"/>
    </row>
    <row r="2" ht="15.75" customHeight="1" s="40">
      <c r="A2" s="3" t="inlineStr">
        <is>
          <t>EuroChem Kingisepp benchmark (updated)</t>
        </is>
      </c>
      <c r="B2" s="3" t="n"/>
    </row>
    <row r="3" ht="15.75" customHeight="1" s="40">
      <c r="A3" s="39" t="n"/>
      <c r="B3" s="39" t="n"/>
      <c r="C3" s="4" t="n"/>
      <c r="D3" s="39" t="n"/>
      <c r="F3" s="5" t="n"/>
    </row>
    <row r="4" ht="15.75" customHeight="1" s="40">
      <c r="A4" s="39" t="n"/>
      <c r="B4" s="39" t="n"/>
      <c r="C4" s="4" t="n"/>
      <c r="D4" s="39" t="n"/>
      <c r="F4" s="6" t="n"/>
    </row>
    <row r="5" ht="15.75" customHeight="1" s="40">
      <c r="A5" s="39" t="n"/>
      <c r="B5" s="39" t="n"/>
      <c r="C5" s="4" t="n"/>
      <c r="D5" s="39" t="inlineStr">
        <is>
          <t>Target Plant Size (tonneNH3/day)</t>
        </is>
      </c>
      <c r="F5" s="39">
        <f>B16</f>
        <v/>
      </c>
    </row>
    <row r="6" ht="15.75" customHeight="1" s="40">
      <c r="A6" s="39" t="n"/>
      <c r="B6" s="39" t="n"/>
      <c r="C6" s="4" t="n"/>
      <c r="D6" s="39" t="n"/>
      <c r="F6" s="7" t="n"/>
    </row>
    <row r="7" ht="15.75" customHeight="1" s="40">
      <c r="A7" s="39" t="n"/>
    </row>
    <row r="8" ht="15.75" customHeight="1" s="40"/>
    <row r="9" ht="15.75" customHeight="1" s="40">
      <c r="A9" s="1" t="n"/>
    </row>
    <row r="10" ht="15.75" customHeight="1" s="40"/>
    <row r="11" ht="15.75" customHeight="1" s="40">
      <c r="A11" s="8" t="n"/>
      <c r="B11" s="9" t="n"/>
      <c r="C11" s="10" t="n"/>
      <c r="F11" s="39" t="inlineStr">
        <is>
          <t>Fast construction cost factor</t>
        </is>
      </c>
      <c r="G11" s="39" t="n"/>
      <c r="H11" s="11" t="n">
        <v>1.47</v>
      </c>
    </row>
    <row r="12" ht="15.75" customHeight="1" s="40">
      <c r="A12" s="45" t="inlineStr">
        <is>
          <t>Reference Plant Capacity (tonnes/day)</t>
        </is>
      </c>
      <c r="B12" s="39" t="n">
        <v>2890</v>
      </c>
      <c r="C12" s="13" t="n"/>
      <c r="F12" s="39" t="inlineStr">
        <is>
          <t>Fast construction speed factor</t>
        </is>
      </c>
      <c r="H12" s="14" t="n">
        <v>0.32</v>
      </c>
    </row>
    <row r="13" ht="15.75" customHeight="1" s="40">
      <c r="A13" s="45" t="inlineStr">
        <is>
          <t>Reference Plant CAPEX (USD)</t>
        </is>
      </c>
      <c r="B13" s="39" t="n">
        <v>1000000000</v>
      </c>
      <c r="C13" s="15" t="inlineStr">
        <is>
          <t>(2015)</t>
        </is>
      </c>
    </row>
    <row r="14" ht="15.75" customHeight="1" s="40">
      <c r="A14" s="45" t="inlineStr">
        <is>
          <t>USD inflation conversion</t>
        </is>
      </c>
      <c r="B14" s="16" t="n">
        <v>1.33</v>
      </c>
      <c r="C14" s="15" t="inlineStr">
        <is>
          <t>(2025)</t>
        </is>
      </c>
      <c r="F14" s="39" t="inlineStr">
        <is>
          <t>Fast construction (24/7) CAPEX</t>
        </is>
      </c>
      <c r="H14" s="7">
        <f>H11*B19</f>
        <v/>
      </c>
    </row>
    <row r="15" ht="15.75" customHeight="1" s="40">
      <c r="A15" s="45" t="inlineStr">
        <is>
          <t>Source</t>
        </is>
      </c>
      <c r="B15" s="1" t="inlineStr">
        <is>
          <t>https://www.process-worldwide.com/eurochem-opens-one-billion-dollar-ammonia-plant-in-kingisepp-a-836843/</t>
        </is>
      </c>
      <c r="C15" s="15" t="n"/>
    </row>
    <row r="16" ht="15.75" customHeight="1" s="40">
      <c r="A16" s="45" t="inlineStr">
        <is>
          <t>Target Plant Size (tonneNH3/day)</t>
        </is>
      </c>
      <c r="B16" s="39" t="n">
        <v>3000</v>
      </c>
      <c r="C16" s="13" t="n"/>
    </row>
    <row r="17" ht="15.75" customHeight="1" s="40">
      <c r="A17" s="45" t="inlineStr">
        <is>
          <t>Plant scale factor</t>
        </is>
      </c>
      <c r="B17" s="16" t="n">
        <v>1.04</v>
      </c>
      <c r="C17" s="13" t="inlineStr">
        <is>
          <t>(sheet shows 1.04; ≈B16/B12)</t>
        </is>
      </c>
    </row>
    <row r="18" ht="15.75" customHeight="1" s="40">
      <c r="A18" s="17" t="inlineStr">
        <is>
          <t>Cost-Capacity Exponent</t>
        </is>
      </c>
      <c r="B18" s="16" t="n">
        <v>0.7</v>
      </c>
      <c r="C18" s="13" t="n"/>
    </row>
    <row r="19" ht="15.75" customHeight="1" s="40">
      <c r="A19" s="45" t="inlineStr">
        <is>
          <t>Target Plant CAPEX (USD)</t>
        </is>
      </c>
      <c r="B19" s="18" t="n">
        <v>1368630195.13</v>
      </c>
      <c r="C19" s="13" t="n"/>
      <c r="D19" s="39" t="inlineStr">
        <is>
          <t>&lt;-- Using this estimate</t>
        </is>
      </c>
    </row>
    <row r="20" ht="15.75" customHeight="1" s="40">
      <c r="A20" s="45" t="inlineStr">
        <is>
          <t>Check: B13*B14*(B16/B12)^B18</t>
        </is>
      </c>
      <c r="B20">
        <f>B13*B14*(B16/B12)^B18</f>
        <v/>
      </c>
      <c r="C20" s="13" t="n"/>
    </row>
    <row r="21" ht="15.75" customHeight="1" s="40">
      <c r="A21" s="19" t="inlineStr">
        <is>
          <t>Capital efficiency</t>
        </is>
      </c>
      <c r="B21" s="20">
        <f>B19/B16/365</f>
        <v/>
      </c>
      <c r="C21" s="21" t="inlineStr">
        <is>
          <t>$/tpa installed</t>
        </is>
      </c>
    </row>
    <row r="22" ht="15.75" customHeight="1" s="40"/>
    <row r="23" ht="15.75" customHeight="1" s="40">
      <c r="E23" s="22" t="n"/>
    </row>
    <row r="24" ht="15.75" customHeight="1" s="40">
      <c r="A24" s="1" t="n"/>
    </row>
    <row r="25" ht="15.75" customHeight="1" s="40">
      <c r="A25" s="39" t="n"/>
      <c r="B25" s="7" t="n"/>
      <c r="D25" s="22" t="n"/>
    </row>
    <row r="26" ht="15.75" customHeight="1" s="40">
      <c r="A26" s="39" t="n"/>
      <c r="B26" s="39" t="n"/>
    </row>
    <row r="27" ht="15.75" customHeight="1" s="40">
      <c r="A27" s="39" t="n"/>
      <c r="B27" s="39" t="n"/>
      <c r="D27" s="22" t="n"/>
    </row>
    <row r="28" ht="15.75" customHeight="1" s="40">
      <c r="A28" s="39" t="n"/>
      <c r="B28" s="16" t="n"/>
      <c r="D28" s="22" t="n"/>
    </row>
    <row r="29" ht="15.75" customHeight="1" s="40">
      <c r="A29" s="39" t="n"/>
      <c r="B29" s="7" t="n"/>
      <c r="D29" s="23" t="n"/>
    </row>
    <row r="30" ht="15.75" customHeight="1" s="40"/>
    <row r="31" ht="15.75" customHeight="1" s="40">
      <c r="E31" s="22" t="n"/>
    </row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hyperlinks>
    <hyperlink xmlns:r="http://schemas.openxmlformats.org/officeDocument/2006/relationships" ref="A1" r:id="rId1"/>
    <hyperlink xmlns:r="http://schemas.openxmlformats.org/officeDocument/2006/relationships" ref="D1" r:id="rId2"/>
    <hyperlink xmlns:r="http://schemas.openxmlformats.org/officeDocument/2006/relationships" ref="A9" r:id="rId3"/>
    <hyperlink xmlns:r="http://schemas.openxmlformats.org/officeDocument/2006/relationships" ref="A11" r:id="rId4"/>
    <hyperlink xmlns:r="http://schemas.openxmlformats.org/officeDocument/2006/relationships" ref="B15" display="https://www.exchange-rates.org/converter/eur-usd" r:id="rId5"/>
    <hyperlink xmlns:r="http://schemas.openxmlformats.org/officeDocument/2006/relationships" ref="A24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W551"/>
  <sheetViews>
    <sheetView tabSelected="1" workbookViewId="0">
      <selection activeCell="C2" sqref="C2:H2"/>
    </sheetView>
  </sheetViews>
  <sheetFormatPr baseColWidth="8" defaultColWidth="12.6328125" defaultRowHeight="15" customHeight="1"/>
  <cols>
    <col width="12.6328125" customWidth="1" style="40" min="1" max="1"/>
    <col width="25.36328125" customWidth="1" style="40" min="2" max="2"/>
    <col width="12.6328125" customWidth="1" style="40" min="3" max="6"/>
    <col width="19.7265625" customWidth="1" style="40" min="7" max="7"/>
  </cols>
  <sheetData>
    <row r="1" ht="15.75" customHeight="1" s="40">
      <c r="C1" s="39" t="inlineStr">
        <is>
          <t>NH3 REGULAR CONSTRUCTION</t>
        </is>
      </c>
      <c r="H1" s="39" t="n"/>
      <c r="I1" s="39" t="inlineStr">
        <is>
          <t>NH3 FAST CONSTRUCTION</t>
        </is>
      </c>
      <c r="N1" s="39" t="n"/>
      <c r="R1" s="22" t="inlineStr">
        <is>
          <t>fraction_functioning_after_disruption</t>
        </is>
      </c>
      <c r="U1" t="inlineStr">
        <is>
          <t>CODE-MATCHED (current model)</t>
        </is>
      </c>
    </row>
    <row r="2" ht="15.75" customHeight="1" s="40">
      <c r="A2" s="39" t="inlineStr">
        <is>
          <t>Annual World Construction Budget</t>
        </is>
      </c>
      <c r="C2" s="44" t="n">
        <v>507517025248.3769</v>
      </c>
      <c r="H2" s="42" t="n"/>
      <c r="I2" s="44" t="n">
        <v>507517025248.3769</v>
      </c>
      <c r="N2" s="42" t="n"/>
      <c r="P2" s="39" t="inlineStr">
        <is>
          <t>Sanity check:</t>
        </is>
      </c>
      <c r="Q2" s="1" t="inlineStr">
        <is>
          <t>the AEA’s datasets track 490 production plants in development, comprising a total of 438.1 million tons of low-emission and transitional ammonia capacity</t>
        </is>
      </c>
      <c r="U2" t="inlineStr">
        <is>
          <t>C16/I16 = 0.4; startup% = 0.5; budget = equal-pace default</t>
        </is>
      </c>
    </row>
    <row r="3" ht="15.75" customHeight="1" s="40">
      <c r="A3" s="39" t="inlineStr">
        <is>
          <t>Total Capital Investment Per Plant</t>
        </is>
      </c>
      <c r="C3" s="50">
        <f>'NH3 CAPEX'!B19</f>
        <v/>
      </c>
      <c r="H3" s="42" t="n"/>
      <c r="I3" s="50">
        <f>'NH3 CAPEX'!H14</f>
        <v/>
      </c>
      <c r="N3" s="42" t="n"/>
      <c r="P3" s="4">
        <f>P4*1000000/('NH3 CAPEX'!B16*365.25)</f>
        <v/>
      </c>
      <c r="Q3" s="1" t="inlineStr">
        <is>
          <t>plants needed to make 240million metric tonnes per year assuming an average of 2000 metric tonnes/day plant capacity</t>
        </is>
      </c>
      <c r="U3" t="inlineStr">
        <is>
          <t>Multiple = (new Mt/yr + surviving Mt/yr) / current Mt/yr</t>
        </is>
      </c>
    </row>
    <row r="4" ht="15.75" customHeight="1" s="40">
      <c r="A4" s="39" t="inlineStr">
        <is>
          <t>Number of Plants Per Year</t>
        </is>
      </c>
      <c r="C4" s="41">
        <f>(C2/C3)*C16</f>
        <v/>
      </c>
      <c r="H4" s="42" t="n"/>
      <c r="I4" s="41">
        <f>(I2/I3)*I16</f>
        <v/>
      </c>
      <c r="N4" s="42" t="n"/>
      <c r="P4" s="39" t="n">
        <v>240</v>
      </c>
      <c r="Q4" s="39" t="inlineStr">
        <is>
          <t>Current NH3 production in million metric tonnes</t>
        </is>
      </c>
      <c r="U4" t="inlineStr">
        <is>
          <t>Surviving Mt/yr in C22/I22</t>
        </is>
      </c>
    </row>
    <row r="5" ht="15.75" customHeight="1" s="40">
      <c r="A5" s="39" t="n"/>
      <c r="B5" s="39" t="n"/>
      <c r="C5" s="45" t="n"/>
      <c r="I5" s="46" t="n"/>
      <c r="N5" s="42" t="n"/>
      <c r="U5" t="inlineStr">
        <is>
          <t>Multiple chart uses U50:W (1.0 before t=0, then drops to 0.4)</t>
        </is>
      </c>
    </row>
    <row r="6" ht="15.75" customHeight="1" s="40">
      <c r="A6" s="39" t="inlineStr">
        <is>
          <t>Corrected CAPEX for construction time method</t>
        </is>
      </c>
      <c r="B6" s="39" t="n"/>
      <c r="C6" s="24" t="n"/>
      <c r="D6" s="4" t="n"/>
      <c r="E6" s="4" t="n"/>
      <c r="F6" s="4" t="n"/>
      <c r="G6" s="25">
        <f>C3*(1-9.1%-6.6%)</f>
        <v/>
      </c>
      <c r="H6" s="26" t="n"/>
      <c r="I6" s="24" t="n"/>
      <c r="J6" s="4" t="n"/>
      <c r="K6" s="4" t="n"/>
      <c r="L6" s="4" t="n"/>
      <c r="M6" s="25">
        <f>I3*(1-9.1%-6.6%)</f>
        <v/>
      </c>
      <c r="N6" s="25" t="n"/>
      <c r="U6" t="inlineStr">
        <is>
          <t>Production chart (G/M) = NEW factory Mt/yr only (starts at 0)</t>
        </is>
      </c>
    </row>
    <row r="7" ht="15.75" customHeight="1" s="40">
      <c r="A7" s="39" t="inlineStr">
        <is>
          <t>Weeks to Build at Facility Costs</t>
        </is>
      </c>
      <c r="C7" s="41">
        <f>10.774*LN(0.8*G6)-121.45</f>
        <v/>
      </c>
      <c r="H7" s="42" t="n"/>
      <c r="I7" s="41">
        <f>C7*'NH3 CAPEX'!H12</f>
        <v/>
      </c>
      <c r="N7" s="42" t="n"/>
    </row>
    <row r="8" ht="15.75" customHeight="1" s="40">
      <c r="A8" s="39" t="inlineStr">
        <is>
          <t>Waves Per Year</t>
        </is>
      </c>
      <c r="C8" s="47">
        <f>52/C7</f>
        <v/>
      </c>
      <c r="H8" s="42" t="n"/>
      <c r="I8" s="47">
        <f>52/I7</f>
        <v/>
      </c>
      <c r="N8" s="42" t="n"/>
    </row>
    <row r="9" ht="15.75" customHeight="1" s="40">
      <c r="A9" s="39" t="inlineStr">
        <is>
          <t>Plants Per Wave</t>
        </is>
      </c>
      <c r="C9" s="49">
        <f>(C4/C8)</f>
        <v/>
      </c>
      <c r="H9" s="42" t="n"/>
      <c r="I9" s="49">
        <f>(I4/I8)</f>
        <v/>
      </c>
      <c r="N9" s="42" t="n"/>
    </row>
    <row r="10" ht="15.75" customHeight="1" s="40">
      <c r="A10" s="39" t="inlineStr">
        <is>
          <t>Plants Per Year</t>
        </is>
      </c>
      <c r="C10" s="41">
        <f>C9*C8</f>
        <v/>
      </c>
      <c r="H10" s="42" t="n"/>
      <c r="I10" s="41">
        <f>I9*I8</f>
        <v/>
      </c>
      <c r="N10" s="42" t="n"/>
    </row>
    <row r="11" ht="15.75" customHeight="1" s="40">
      <c r="A11" s="39" t="inlineStr">
        <is>
          <t>Plants Per Week</t>
        </is>
      </c>
      <c r="C11" s="41">
        <f>C10/52</f>
        <v/>
      </c>
      <c r="H11" s="42" t="n"/>
      <c r="I11" s="41">
        <f>I10/52</f>
        <v/>
      </c>
      <c r="N11" s="42" t="n"/>
    </row>
    <row r="12" ht="15.75" customHeight="1" s="40">
      <c r="B12" s="39" t="n"/>
      <c r="C12" s="45" t="n"/>
      <c r="I12" s="46" t="n"/>
      <c r="N12" s="42" t="n"/>
    </row>
    <row r="13" ht="15.75" customHeight="1" s="40">
      <c r="A13" s="39" t="inlineStr">
        <is>
          <t>Single Facility Scaled Production (tonnes/week)</t>
        </is>
      </c>
      <c r="C13" s="48">
        <f>'NH3 CAPEX'!$F5*7</f>
        <v/>
      </c>
      <c r="H13" s="42" t="n"/>
      <c r="I13" s="48">
        <f>'NH3 CAPEX'!$F5*7</f>
        <v/>
      </c>
      <c r="N13" s="42" t="n"/>
    </row>
    <row r="14" ht="15.75" customHeight="1" s="40">
      <c r="A14" s="39" t="inlineStr">
        <is>
          <t>Startup % of Fully Scaled Production (break in period)</t>
        </is>
      </c>
      <c r="C14" s="43" t="n">
        <v>0.5</v>
      </c>
      <c r="H14" s="42" t="n"/>
      <c r="I14" s="43" t="n">
        <v>0.5</v>
      </c>
      <c r="N14" s="42" t="n"/>
    </row>
    <row r="15" ht="15.75" customHeight="1" s="40">
      <c r="A15" s="39" t="inlineStr">
        <is>
          <t>Single Facility Startup Production (tonnes/week)</t>
        </is>
      </c>
      <c r="C15" s="41">
        <f>C13*C14</f>
        <v/>
      </c>
      <c r="H15" s="42" t="n"/>
      <c r="I15" s="41">
        <f>I13*I14</f>
        <v/>
      </c>
      <c r="N15" s="42" t="n"/>
    </row>
    <row r="16" ht="15.75" customHeight="1" s="40">
      <c r="A16" s="39" t="inlineStr">
        <is>
          <t>fraction_functioning_after_disruption (surviving existing + new build share)</t>
        </is>
      </c>
      <c r="C16" s="43" t="n">
        <v>0.4</v>
      </c>
      <c r="H16" s="42" t="n"/>
      <c r="I16" s="43" t="n">
        <v>0.4</v>
      </c>
      <c r="N16" s="42" t="n"/>
    </row>
    <row r="17" ht="15.75" customHeight="1" s="40">
      <c r="A17" s="39" t="inlineStr">
        <is>
          <t>Time to construct a wave (years)</t>
        </is>
      </c>
      <c r="C17" s="51">
        <f>C7/52</f>
        <v/>
      </c>
      <c r="H17" s="42" t="n"/>
      <c r="I17" s="51">
        <f>I7/52</f>
        <v/>
      </c>
      <c r="N17" s="42" t="n"/>
    </row>
    <row r="18" ht="15.75" customHeight="1" s="40">
      <c r="A18" s="39" t="inlineStr">
        <is>
          <t>Startup time (weeks)</t>
        </is>
      </c>
      <c r="C18" s="51">
        <f>C7/4</f>
        <v/>
      </c>
      <c r="H18" s="42" t="n"/>
      <c r="I18" s="51">
        <f>I7/4</f>
        <v/>
      </c>
      <c r="N18" s="42" t="n"/>
    </row>
    <row r="19" ht="15.75" customHeight="1" s="40">
      <c r="A19" s="39" t="inlineStr">
        <is>
          <t>Startup time (years)</t>
        </is>
      </c>
      <c r="C19" s="51">
        <f>C18/52</f>
        <v/>
      </c>
      <c r="H19" s="42" t="n"/>
      <c r="I19" s="51">
        <f>I18/52</f>
        <v/>
      </c>
      <c r="N19" s="42" t="n"/>
    </row>
    <row r="20" ht="15.75" customHeight="1" s="40">
      <c r="A20" s="39" t="inlineStr">
        <is>
          <t>Planning time (weeks)</t>
        </is>
      </c>
      <c r="C20" s="52" t="n">
        <v>4</v>
      </c>
      <c r="H20" s="42" t="n"/>
      <c r="I20" s="52" t="n">
        <v>4</v>
      </c>
      <c r="N20" s="42" t="n"/>
    </row>
    <row r="21" ht="15.75" customHeight="1" s="40">
      <c r="A21" s="39" t="inlineStr">
        <is>
          <t>Planning time (years)</t>
        </is>
      </c>
      <c r="C21" s="51">
        <f>C20/52</f>
        <v/>
      </c>
      <c r="H21" s="42" t="n"/>
      <c r="I21" s="51">
        <f>I20/52</f>
        <v/>
      </c>
      <c r="N21" s="42" t="n"/>
    </row>
    <row r="22" ht="15.75" customHeight="1" s="40">
      <c r="A22" s="39" t="inlineStr">
        <is>
          <t>Surviving Mt/yr (= fraction_functioning * current Mt/yr)</t>
        </is>
      </c>
      <c r="B22" s="39" t="n"/>
      <c r="C22" s="45">
        <f>C16*$P$4</f>
        <v/>
      </c>
      <c r="I22" s="45">
        <f>I16*$P$4</f>
        <v/>
      </c>
    </row>
    <row r="23" ht="15.75" customHeight="1" s="40">
      <c r="A23" s="27" t="inlineStr">
        <is>
          <t>Wave</t>
        </is>
      </c>
      <c r="B23" s="27" t="inlineStr">
        <is>
          <t>Production Level</t>
        </is>
      </c>
      <c r="C23" s="19" t="inlineStr">
        <is>
          <t>Plants</t>
        </is>
      </c>
      <c r="D23" s="27" t="inlineStr">
        <is>
          <t>tonnes/week</t>
        </is>
      </c>
      <c r="E23" s="27" t="inlineStr">
        <is>
          <t>Weeks</t>
        </is>
      </c>
      <c r="F23" s="28" t="inlineStr">
        <is>
          <t>Years</t>
        </is>
      </c>
      <c r="G23" s="39" t="inlineStr">
        <is>
          <t>Megatonnes/year</t>
        </is>
      </c>
      <c r="H23" s="21" t="inlineStr">
        <is>
          <t>Multiple of Current NH3 Production</t>
        </is>
      </c>
      <c r="I23" s="19" t="inlineStr">
        <is>
          <t>Plants</t>
        </is>
      </c>
      <c r="J23" s="27" t="inlineStr">
        <is>
          <t>tonnes/week</t>
        </is>
      </c>
      <c r="K23" s="27" t="inlineStr">
        <is>
          <t>Weeks</t>
        </is>
      </c>
      <c r="L23" s="28" t="inlineStr">
        <is>
          <t>Years</t>
        </is>
      </c>
      <c r="M23" s="39" t="inlineStr">
        <is>
          <t>Megatonnes/year</t>
        </is>
      </c>
      <c r="N23" s="21" t="inlineStr">
        <is>
          <t>Multiple of Current NH3 Production</t>
        </is>
      </c>
      <c r="S23" s="22" t="inlineStr">
        <is>
          <t>Required</t>
        </is>
      </c>
      <c r="T23" s="22" t="inlineStr">
        <is>
          <t>Current</t>
        </is>
      </c>
      <c r="U23" s="22" t="inlineStr">
        <is>
          <t>New</t>
        </is>
      </c>
    </row>
    <row r="24" ht="15.75" customHeight="1" s="40">
      <c r="A24" s="39" t="n">
        <v>1</v>
      </c>
      <c r="B24" s="39" t="inlineStr">
        <is>
          <t>startup production</t>
        </is>
      </c>
      <c r="C24" s="29">
        <f>C$9*$A24</f>
        <v/>
      </c>
      <c r="D24" s="30">
        <f>C15*C24</f>
        <v/>
      </c>
      <c r="E24" s="30">
        <f>F24*52</f>
        <v/>
      </c>
      <c r="F24" s="31">
        <f>C$17*$A24+C$21</f>
        <v/>
      </c>
      <c r="G24" s="32">
        <f>D24/1000000*52</f>
        <v/>
      </c>
      <c r="H24" s="33">
        <f>G24/$P$4+($C$22/$P$4)</f>
        <v/>
      </c>
      <c r="I24" s="29">
        <f>I$9*$A24</f>
        <v/>
      </c>
      <c r="J24" s="30">
        <f>I15*I24</f>
        <v/>
      </c>
      <c r="K24" s="30">
        <f>L24*52</f>
        <v/>
      </c>
      <c r="L24" s="31">
        <f>I$17*$A24+I$21</f>
        <v/>
      </c>
      <c r="M24" s="32">
        <f>J24/1000000*52</f>
        <v/>
      </c>
      <c r="N24" s="33">
        <f>M24/$P$4+($I$22/$P$4)</f>
        <v/>
      </c>
      <c r="R24" s="22" t="inlineStr">
        <is>
          <t>N</t>
        </is>
      </c>
      <c r="S24" s="22" t="n">
        <v>1000</v>
      </c>
      <c r="T24" s="22" t="n">
        <v>1000</v>
      </c>
      <c r="U24" s="22" t="n">
        <v>0</v>
      </c>
    </row>
    <row r="25" ht="15.75" customHeight="1" s="40">
      <c r="A25" s="39" t="n">
        <v>1</v>
      </c>
      <c r="B25" s="39" t="inlineStr">
        <is>
          <t>full production</t>
        </is>
      </c>
      <c r="C25" s="29">
        <f>C$9*$A25</f>
        <v/>
      </c>
      <c r="D25" s="30">
        <f>C25*C$13</f>
        <v/>
      </c>
      <c r="E25" s="30">
        <f>F25*52</f>
        <v/>
      </c>
      <c r="F25" s="31">
        <f>F24+C$19</f>
        <v/>
      </c>
      <c r="G25" s="4">
        <f>D25/1000000*52</f>
        <v/>
      </c>
      <c r="H25" s="33">
        <f>G25/$P$4+($C$22/$P$4)</f>
        <v/>
      </c>
      <c r="I25" s="29">
        <f>I$9*$A25</f>
        <v/>
      </c>
      <c r="J25" s="30">
        <f>I25*I$13</f>
        <v/>
      </c>
      <c r="K25" s="30">
        <f>L25*52</f>
        <v/>
      </c>
      <c r="L25" s="31">
        <f>L24+I$19</f>
        <v/>
      </c>
      <c r="M25" s="4">
        <f>J25/1000000*52</f>
        <v/>
      </c>
      <c r="N25" s="33">
        <f>M25/$P$4+($I$22/$P$4)</f>
        <v/>
      </c>
      <c r="R25" s="34" t="n">
        <v>0.7</v>
      </c>
      <c r="T25" s="22" t="n">
        <v>700</v>
      </c>
    </row>
    <row r="26" ht="15.75" customHeight="1" s="40">
      <c r="A26" s="39" t="n">
        <v>2</v>
      </c>
      <c r="B26" s="39" t="inlineStr">
        <is>
          <t>startup production</t>
        </is>
      </c>
      <c r="C26" s="29">
        <f>C$9*$A26</f>
        <v/>
      </c>
      <c r="D26" s="30">
        <f>D25+C$15*C$9</f>
        <v/>
      </c>
      <c r="E26" s="30">
        <f>F26*52</f>
        <v/>
      </c>
      <c r="F26" s="31">
        <f>C$17*$A26+C$21</f>
        <v/>
      </c>
      <c r="G26" s="4">
        <f>D26/1000000*52</f>
        <v/>
      </c>
      <c r="H26" s="33">
        <f>G26/$P$4+($C$22/$P$4)</f>
        <v/>
      </c>
      <c r="I26" s="29">
        <f>I$9*$A26</f>
        <v/>
      </c>
      <c r="J26" s="30">
        <f>J25+I$15*I$9</f>
        <v/>
      </c>
      <c r="K26" s="30">
        <f>L26*52</f>
        <v/>
      </c>
      <c r="L26" s="31">
        <f>I$17*$A26+I$21</f>
        <v/>
      </c>
      <c r="M26" s="4">
        <f>J26/1000000*52</f>
        <v/>
      </c>
      <c r="N26" s="33">
        <f>M26/$P$4+($I$22/$P$4)</f>
        <v/>
      </c>
    </row>
    <row r="27" ht="15.75" customHeight="1" s="40">
      <c r="A27" s="39" t="n">
        <v>2</v>
      </c>
      <c r="B27" s="39" t="inlineStr">
        <is>
          <t>full production</t>
        </is>
      </c>
      <c r="C27" s="29">
        <f>C$9*$A27</f>
        <v/>
      </c>
      <c r="D27" s="30">
        <f>C27*C$13</f>
        <v/>
      </c>
      <c r="E27" s="30">
        <f>F27*52</f>
        <v/>
      </c>
      <c r="F27" s="31">
        <f>F26+C$19</f>
        <v/>
      </c>
      <c r="G27" s="4">
        <f>D27/1000000*52</f>
        <v/>
      </c>
      <c r="H27" s="33">
        <f>G27/$P$4+($C$22/$P$4)</f>
        <v/>
      </c>
      <c r="I27" s="29">
        <f>I$9*$A27</f>
        <v/>
      </c>
      <c r="J27" s="30">
        <f>I27*I$13</f>
        <v/>
      </c>
      <c r="K27" s="30">
        <f>L27*52</f>
        <v/>
      </c>
      <c r="L27" s="31">
        <f>L26+I$19</f>
        <v/>
      </c>
      <c r="M27" s="4">
        <f>J27/1000000*52</f>
        <v/>
      </c>
      <c r="N27" s="33">
        <f>M27/$P$4+($I$22/$P$4)</f>
        <v/>
      </c>
    </row>
    <row r="28" ht="15.75" customHeight="1" s="40">
      <c r="A28" s="39" t="n">
        <v>3</v>
      </c>
      <c r="B28" s="39" t="inlineStr">
        <is>
          <t>startup production</t>
        </is>
      </c>
      <c r="C28" s="29">
        <f>C$9*$A28</f>
        <v/>
      </c>
      <c r="D28" s="30">
        <f>D27+C$15*C$9</f>
        <v/>
      </c>
      <c r="E28" s="30">
        <f>F28*52</f>
        <v/>
      </c>
      <c r="F28" s="31">
        <f>C$17*$A28+C$21</f>
        <v/>
      </c>
      <c r="G28" s="4">
        <f>D28/1000000*52</f>
        <v/>
      </c>
      <c r="H28" s="33">
        <f>G28/$P$4+($C$22/$P$4)</f>
        <v/>
      </c>
      <c r="I28" s="29">
        <f>I$9*$A28</f>
        <v/>
      </c>
      <c r="J28" s="30">
        <f>J27+I$15*I$9</f>
        <v/>
      </c>
      <c r="K28" s="30">
        <f>L28*52</f>
        <v/>
      </c>
      <c r="L28" s="31">
        <f>I$17*$A28+I$21</f>
        <v/>
      </c>
      <c r="M28" s="4">
        <f>J28/1000000*52</f>
        <v/>
      </c>
      <c r="N28" s="33">
        <f>M28/$P$4+($I$22/$P$4)</f>
        <v/>
      </c>
    </row>
    <row r="29" ht="15.75" customHeight="1" s="40">
      <c r="A29" s="39" t="n">
        <v>3</v>
      </c>
      <c r="B29" s="39" t="inlineStr">
        <is>
          <t>full production</t>
        </is>
      </c>
      <c r="C29" s="29">
        <f>C$9*$A29</f>
        <v/>
      </c>
      <c r="D29" s="30">
        <f>C29*C$13</f>
        <v/>
      </c>
      <c r="E29" s="30">
        <f>F29*52</f>
        <v/>
      </c>
      <c r="F29" s="31">
        <f>F28+C$19</f>
        <v/>
      </c>
      <c r="G29" s="4">
        <f>D29/1000000*52</f>
        <v/>
      </c>
      <c r="H29" s="33">
        <f>G29/$P$4+($C$22/$P$4)</f>
        <v/>
      </c>
      <c r="I29" s="29">
        <f>I$9*$A29</f>
        <v/>
      </c>
      <c r="J29" s="30">
        <f>I29*I$13</f>
        <v/>
      </c>
      <c r="K29" s="30">
        <f>L29*52</f>
        <v/>
      </c>
      <c r="L29" s="31">
        <f>L28+I$19</f>
        <v/>
      </c>
      <c r="M29" s="4">
        <f>J29/1000000*52</f>
        <v/>
      </c>
      <c r="N29" s="33">
        <f>M29/$P$4+($I$22/$P$4)</f>
        <v/>
      </c>
    </row>
    <row r="30" ht="15.75" customHeight="1" s="40">
      <c r="A30" s="39" t="n">
        <v>4</v>
      </c>
      <c r="B30" s="39" t="inlineStr">
        <is>
          <t>startup production</t>
        </is>
      </c>
      <c r="C30" s="29">
        <f>C$9*$A30</f>
        <v/>
      </c>
      <c r="D30" s="30">
        <f>D29+C$15*C$9</f>
        <v/>
      </c>
      <c r="E30" s="30">
        <f>F30*52</f>
        <v/>
      </c>
      <c r="F30" s="31">
        <f>C$17*$A30+C$21</f>
        <v/>
      </c>
      <c r="G30" s="4">
        <f>D30/1000000*52</f>
        <v/>
      </c>
      <c r="H30" s="33">
        <f>G30/$P$4+($C$22/$P$4)</f>
        <v/>
      </c>
      <c r="I30" s="29">
        <f>I$9*$A30</f>
        <v/>
      </c>
      <c r="J30" s="30">
        <f>J29+I$15*I$9</f>
        <v/>
      </c>
      <c r="K30" s="30">
        <f>L30*52</f>
        <v/>
      </c>
      <c r="L30" s="31">
        <f>I$17*$A30+I$21</f>
        <v/>
      </c>
      <c r="M30" s="4">
        <f>J30/1000000*52</f>
        <v/>
      </c>
      <c r="N30" s="33">
        <f>M30/$P$4+($I$22/$P$4)</f>
        <v/>
      </c>
    </row>
    <row r="31" ht="15.75" customHeight="1" s="40">
      <c r="A31" s="39" t="n">
        <v>4</v>
      </c>
      <c r="B31" s="39" t="inlineStr">
        <is>
          <t>full production</t>
        </is>
      </c>
      <c r="C31" s="29">
        <f>C$9*$A31</f>
        <v/>
      </c>
      <c r="D31" s="30">
        <f>C31*C$13</f>
        <v/>
      </c>
      <c r="E31" s="30">
        <f>F31*52</f>
        <v/>
      </c>
      <c r="F31" s="31">
        <f>F30+C$19</f>
        <v/>
      </c>
      <c r="G31" s="4">
        <f>D31/1000000*52</f>
        <v/>
      </c>
      <c r="H31" s="33">
        <f>G31/$P$4+($C$22/$P$4)</f>
        <v/>
      </c>
      <c r="I31" s="29">
        <f>I$9*$A31</f>
        <v/>
      </c>
      <c r="J31" s="30">
        <f>I31*I$13</f>
        <v/>
      </c>
      <c r="K31" s="30">
        <f>L31*52</f>
        <v/>
      </c>
      <c r="L31" s="31">
        <f>L30+I$19</f>
        <v/>
      </c>
      <c r="M31" s="4">
        <f>J31/1000000*52</f>
        <v/>
      </c>
      <c r="N31" s="33">
        <f>M31/$P$4+($I$22/$P$4)</f>
        <v/>
      </c>
    </row>
    <row r="32" ht="15.75" customHeight="1" s="40">
      <c r="A32" s="39" t="n">
        <v>5</v>
      </c>
      <c r="B32" s="39" t="inlineStr">
        <is>
          <t>startup production</t>
        </is>
      </c>
      <c r="C32" s="29">
        <f>C$9*$A32</f>
        <v/>
      </c>
      <c r="D32" s="30">
        <f>D31+C$15*C$9</f>
        <v/>
      </c>
      <c r="E32" s="30">
        <f>F32*52</f>
        <v/>
      </c>
      <c r="F32" s="31">
        <f>C$17*$A32+C$21</f>
        <v/>
      </c>
      <c r="G32" s="4">
        <f>D32/1000000*52</f>
        <v/>
      </c>
      <c r="H32" s="33">
        <f>G32/$P$4+($C$22/$P$4)</f>
        <v/>
      </c>
      <c r="I32" s="29">
        <f>I$9*$A32</f>
        <v/>
      </c>
      <c r="J32" s="30">
        <f>J31+I$15*I$9</f>
        <v/>
      </c>
      <c r="K32" s="30">
        <f>L32*52</f>
        <v/>
      </c>
      <c r="L32" s="31">
        <f>I$17*$A32+I$21</f>
        <v/>
      </c>
      <c r="M32" s="4">
        <f>J32/1000000*52</f>
        <v/>
      </c>
      <c r="N32" s="33">
        <f>M32/$P$4+($I$22/$P$4)</f>
        <v/>
      </c>
    </row>
    <row r="33" ht="15.75" customHeight="1" s="40">
      <c r="A33" s="39" t="n">
        <v>5</v>
      </c>
      <c r="B33" s="39" t="inlineStr">
        <is>
          <t>full production</t>
        </is>
      </c>
      <c r="C33" s="29">
        <f>C$9*$A33</f>
        <v/>
      </c>
      <c r="D33" s="30">
        <f>C33*C$13</f>
        <v/>
      </c>
      <c r="E33" s="30">
        <f>F33*52</f>
        <v/>
      </c>
      <c r="F33" s="31">
        <f>F32+C$19</f>
        <v/>
      </c>
      <c r="G33" s="4">
        <f>D33/1000000*52</f>
        <v/>
      </c>
      <c r="H33" s="33">
        <f>G33/$P$4+($C$22/$P$4)</f>
        <v/>
      </c>
      <c r="I33" s="29">
        <f>I$9*$A33</f>
        <v/>
      </c>
      <c r="J33" s="30">
        <f>I33*I$13</f>
        <v/>
      </c>
      <c r="K33" s="30">
        <f>L33*52</f>
        <v/>
      </c>
      <c r="L33" s="31">
        <f>L32+I$19</f>
        <v/>
      </c>
      <c r="M33" s="4">
        <f>J33/1000000*52</f>
        <v/>
      </c>
      <c r="N33" s="33">
        <f>M33/$P$4+($I$22/$P$4)</f>
        <v/>
      </c>
    </row>
    <row r="34" ht="15.75" customHeight="1" s="40">
      <c r="A34" s="39" t="n">
        <v>6</v>
      </c>
      <c r="B34" s="39" t="inlineStr">
        <is>
          <t>startup production</t>
        </is>
      </c>
      <c r="C34" s="29">
        <f>C$9*$A34</f>
        <v/>
      </c>
      <c r="D34" s="30">
        <f>D33+C$15*C$9</f>
        <v/>
      </c>
      <c r="E34" s="30">
        <f>F34*52</f>
        <v/>
      </c>
      <c r="F34" s="31">
        <f>C$17*$A34+C$21</f>
        <v/>
      </c>
      <c r="G34" s="4">
        <f>D34/1000000*52</f>
        <v/>
      </c>
      <c r="H34" s="33">
        <f>G34/$P$4+($C$22/$P$4)</f>
        <v/>
      </c>
      <c r="I34" s="29">
        <f>I$9*$A34</f>
        <v/>
      </c>
      <c r="J34" s="30">
        <f>J33+I$15*I$9</f>
        <v/>
      </c>
      <c r="K34" s="30">
        <f>L34*52</f>
        <v/>
      </c>
      <c r="L34" s="31">
        <f>I$17*$A34+I$21</f>
        <v/>
      </c>
      <c r="M34" s="4">
        <f>J34/1000000*52</f>
        <v/>
      </c>
      <c r="N34" s="33">
        <f>M34/$P$4+($I$22/$P$4)</f>
        <v/>
      </c>
    </row>
    <row r="35" ht="15.75" customHeight="1" s="40">
      <c r="A35" s="39" t="n">
        <v>6</v>
      </c>
      <c r="B35" s="39" t="inlineStr">
        <is>
          <t>full production</t>
        </is>
      </c>
      <c r="C35" s="29">
        <f>C$9*$A35</f>
        <v/>
      </c>
      <c r="D35" s="30">
        <f>C35*C$13</f>
        <v/>
      </c>
      <c r="E35" s="30">
        <f>F35*52</f>
        <v/>
      </c>
      <c r="F35" s="31">
        <f>F34+C$19</f>
        <v/>
      </c>
      <c r="G35" s="4">
        <f>D35/1000000*52</f>
        <v/>
      </c>
      <c r="H35" s="33">
        <f>G35/$P$4+($C$22/$P$4)</f>
        <v/>
      </c>
      <c r="I35" s="29">
        <f>I$9*$A35</f>
        <v/>
      </c>
      <c r="J35" s="30">
        <f>I35*I$13</f>
        <v/>
      </c>
      <c r="K35" s="30">
        <f>L35*52</f>
        <v/>
      </c>
      <c r="L35" s="31">
        <f>L34+I$19</f>
        <v/>
      </c>
      <c r="M35" s="4">
        <f>J35/1000000*52</f>
        <v/>
      </c>
      <c r="N35" s="33">
        <f>M35/$P$4+($I$22/$P$4)</f>
        <v/>
      </c>
    </row>
    <row r="36" ht="15.75" customHeight="1" s="40">
      <c r="A36" s="39" t="n">
        <v>7</v>
      </c>
      <c r="B36" s="39" t="inlineStr">
        <is>
          <t>startup production</t>
        </is>
      </c>
      <c r="C36" s="29">
        <f>C$9*$A36</f>
        <v/>
      </c>
      <c r="D36" s="30">
        <f>D35+C$15*C$9</f>
        <v/>
      </c>
      <c r="E36" s="30">
        <f>F36*52</f>
        <v/>
      </c>
      <c r="F36" s="31">
        <f>C$17*$A36+C$21</f>
        <v/>
      </c>
      <c r="G36" s="4">
        <f>D36/1000000*52</f>
        <v/>
      </c>
      <c r="H36" s="33">
        <f>G36/$P$4+($C$22/$P$4)</f>
        <v/>
      </c>
      <c r="I36" s="29">
        <f>I$9*$A36</f>
        <v/>
      </c>
      <c r="J36" s="30">
        <f>J35+I$15*I$9</f>
        <v/>
      </c>
      <c r="K36" s="30">
        <f>L36*52</f>
        <v/>
      </c>
      <c r="L36" s="31">
        <f>I$17*$A36+I$21</f>
        <v/>
      </c>
      <c r="M36" s="4">
        <f>J36/1000000*52</f>
        <v/>
      </c>
      <c r="N36" s="33">
        <f>M36/$P$4+($I$22/$P$4)</f>
        <v/>
      </c>
    </row>
    <row r="37" ht="15.75" customHeight="1" s="40">
      <c r="A37" s="39" t="n">
        <v>7</v>
      </c>
      <c r="B37" s="39" t="inlineStr">
        <is>
          <t>full production</t>
        </is>
      </c>
      <c r="C37" s="29">
        <f>C$9*$A37</f>
        <v/>
      </c>
      <c r="D37" s="30">
        <f>C37*C$13</f>
        <v/>
      </c>
      <c r="E37" s="30">
        <f>F37*52</f>
        <v/>
      </c>
      <c r="F37" s="31">
        <f>F36+C$19</f>
        <v/>
      </c>
      <c r="G37" s="4">
        <f>D37/1000000*52</f>
        <v/>
      </c>
      <c r="H37" s="33">
        <f>G37/$P$4+($C$22/$P$4)</f>
        <v/>
      </c>
      <c r="I37" s="29">
        <f>I$9*$A37</f>
        <v/>
      </c>
      <c r="J37" s="30">
        <f>I37*I$13</f>
        <v/>
      </c>
      <c r="K37" s="30">
        <f>L37*52</f>
        <v/>
      </c>
      <c r="L37" s="31">
        <f>L36+I$19</f>
        <v/>
      </c>
      <c r="M37" s="4">
        <f>J37/1000000*52</f>
        <v/>
      </c>
      <c r="N37" s="33">
        <f>M37/$P$4+($I$22/$P$4)</f>
        <v/>
      </c>
    </row>
    <row r="38" ht="15.75" customHeight="1" s="40">
      <c r="A38" s="39" t="n">
        <v>8</v>
      </c>
      <c r="B38" s="39" t="inlineStr">
        <is>
          <t>startup production</t>
        </is>
      </c>
      <c r="C38" s="29">
        <f>C$9*$A38</f>
        <v/>
      </c>
      <c r="D38" s="30">
        <f>D37+C$15*C$9</f>
        <v/>
      </c>
      <c r="E38" s="30">
        <f>F38*52</f>
        <v/>
      </c>
      <c r="F38" s="31">
        <f>C$17*$A38+C$21</f>
        <v/>
      </c>
      <c r="G38" s="4">
        <f>D38/1000000*52</f>
        <v/>
      </c>
      <c r="H38" s="33">
        <f>G38/$P$4+($C$22/$P$4)</f>
        <v/>
      </c>
      <c r="I38" s="29">
        <f>I$9*$A38</f>
        <v/>
      </c>
      <c r="J38" s="30">
        <f>J37+I$15*I$9</f>
        <v/>
      </c>
      <c r="K38" s="30">
        <f>L38*52</f>
        <v/>
      </c>
      <c r="L38" s="31">
        <f>I$17*$A38+I$21</f>
        <v/>
      </c>
      <c r="M38" s="4">
        <f>J38/1000000*52</f>
        <v/>
      </c>
      <c r="N38" s="33">
        <f>M38/$P$4+($I$22/$P$4)</f>
        <v/>
      </c>
    </row>
    <row r="39" ht="15.75" customHeight="1" s="40">
      <c r="A39" s="39" t="n">
        <v>8</v>
      </c>
      <c r="B39" s="39" t="inlineStr">
        <is>
          <t>full production</t>
        </is>
      </c>
      <c r="C39" s="29">
        <f>C$9*$A39</f>
        <v/>
      </c>
      <c r="D39" s="30">
        <f>C39*C$13</f>
        <v/>
      </c>
      <c r="E39" s="30">
        <f>F39*52</f>
        <v/>
      </c>
      <c r="F39" s="31">
        <f>F38+C$19</f>
        <v/>
      </c>
      <c r="G39" s="4">
        <f>D39/1000000*52</f>
        <v/>
      </c>
      <c r="H39" s="33">
        <f>G39/$P$4+($C$22/$P$4)</f>
        <v/>
      </c>
      <c r="I39" s="29">
        <f>I$9*$A39</f>
        <v/>
      </c>
      <c r="J39" s="30">
        <f>I39*I$13</f>
        <v/>
      </c>
      <c r="K39" s="30">
        <f>L39*52</f>
        <v/>
      </c>
      <c r="L39" s="31">
        <f>L38+I$19</f>
        <v/>
      </c>
      <c r="M39" s="4">
        <f>J39/1000000*52</f>
        <v/>
      </c>
      <c r="N39" s="33">
        <f>M39/$P$4+($I$22/$P$4)</f>
        <v/>
      </c>
    </row>
    <row r="40" ht="15.75" customHeight="1" s="40">
      <c r="A40" s="39" t="n">
        <v>9</v>
      </c>
      <c r="B40" s="39" t="inlineStr">
        <is>
          <t>startup production</t>
        </is>
      </c>
      <c r="C40" s="29">
        <f>C$9*$A40</f>
        <v/>
      </c>
      <c r="D40" s="30">
        <f>D39+C$15*C$9</f>
        <v/>
      </c>
      <c r="E40" s="30">
        <f>F40*52</f>
        <v/>
      </c>
      <c r="F40" s="31">
        <f>C$17*$A40+C$21</f>
        <v/>
      </c>
      <c r="G40" s="4">
        <f>D40/1000000*52</f>
        <v/>
      </c>
      <c r="H40" s="33">
        <f>G40/$P$4+($C$22/$P$4)</f>
        <v/>
      </c>
      <c r="I40" s="29">
        <f>I$9*$A40</f>
        <v/>
      </c>
      <c r="J40" s="30">
        <f>J39+I$15*I$9</f>
        <v/>
      </c>
      <c r="K40" s="30">
        <f>L40*52</f>
        <v/>
      </c>
      <c r="L40" s="31">
        <f>I$17*$A40+I$21</f>
        <v/>
      </c>
      <c r="M40" s="4">
        <f>J40/1000000*52</f>
        <v/>
      </c>
      <c r="N40" s="33">
        <f>M40/$P$4+($I$22/$P$4)</f>
        <v/>
      </c>
    </row>
    <row r="41" ht="15.75" customHeight="1" s="40">
      <c r="A41" s="39" t="n">
        <v>9</v>
      </c>
      <c r="B41" s="39" t="inlineStr">
        <is>
          <t>full production</t>
        </is>
      </c>
      <c r="C41" s="29">
        <f>C$9*$A41</f>
        <v/>
      </c>
      <c r="D41" s="30">
        <f>C41*C$13</f>
        <v/>
      </c>
      <c r="E41" s="30">
        <f>F41*52</f>
        <v/>
      </c>
      <c r="F41" s="31">
        <f>F40+C$19</f>
        <v/>
      </c>
      <c r="G41" s="4">
        <f>D41/1000000*52</f>
        <v/>
      </c>
      <c r="H41" s="33">
        <f>G41/$P$4+($C$22/$P$4)</f>
        <v/>
      </c>
      <c r="I41" s="29">
        <f>I$9*$A41</f>
        <v/>
      </c>
      <c r="J41" s="30">
        <f>I41*I$13</f>
        <v/>
      </c>
      <c r="K41" s="30">
        <f>L41*52</f>
        <v/>
      </c>
      <c r="L41" s="31">
        <f>L40+I$19</f>
        <v/>
      </c>
      <c r="M41" s="4">
        <f>J41/1000000*52</f>
        <v/>
      </c>
      <c r="N41" s="33">
        <f>M41/$P$4+($I$22/$P$4)</f>
        <v/>
      </c>
    </row>
    <row r="42" ht="15.75" customHeight="1" s="40">
      <c r="A42" s="39" t="n">
        <v>10</v>
      </c>
      <c r="B42" s="39" t="inlineStr">
        <is>
          <t>startup production</t>
        </is>
      </c>
      <c r="C42" s="29">
        <f>C$9*$A42</f>
        <v/>
      </c>
      <c r="D42" s="30">
        <f>D41+C$15*C$9</f>
        <v/>
      </c>
      <c r="E42" s="30">
        <f>F42*52</f>
        <v/>
      </c>
      <c r="F42" s="31">
        <f>C$17*$A42+C$21</f>
        <v/>
      </c>
      <c r="G42" s="4">
        <f>D42/1000000*52</f>
        <v/>
      </c>
      <c r="H42" s="33">
        <f>G42/$P$4+($C$22/$P$4)</f>
        <v/>
      </c>
      <c r="I42" s="29">
        <f>I$9*$A42</f>
        <v/>
      </c>
      <c r="J42" s="30">
        <f>J41+I$15*I$9</f>
        <v/>
      </c>
      <c r="K42" s="30">
        <f>L42*52</f>
        <v/>
      </c>
      <c r="L42" s="31">
        <f>I$17*$A42+I$21</f>
        <v/>
      </c>
      <c r="M42" s="4">
        <f>J42/1000000*52</f>
        <v/>
      </c>
      <c r="N42" s="33">
        <f>M42/$P$4+($I$22/$P$4)</f>
        <v/>
      </c>
    </row>
    <row r="43" ht="15.75" customHeight="1" s="40">
      <c r="A43" s="39" t="n">
        <v>10</v>
      </c>
      <c r="B43" s="39" t="inlineStr">
        <is>
          <t>full production</t>
        </is>
      </c>
      <c r="C43" s="29">
        <f>C$9*$A43</f>
        <v/>
      </c>
      <c r="D43" s="30">
        <f>C43*C$13</f>
        <v/>
      </c>
      <c r="E43" s="30">
        <f>F43*52</f>
        <v/>
      </c>
      <c r="F43" s="31">
        <f>F42+C$19</f>
        <v/>
      </c>
      <c r="G43" s="4">
        <f>D43/1000000*52</f>
        <v/>
      </c>
      <c r="H43" s="33">
        <f>G43/$P$4+($C$22/$P$4)</f>
        <v/>
      </c>
      <c r="I43" s="29">
        <f>I$9*$A43</f>
        <v/>
      </c>
      <c r="J43" s="30">
        <f>I43*I$13</f>
        <v/>
      </c>
      <c r="K43" s="30">
        <f>L43*52</f>
        <v/>
      </c>
      <c r="L43" s="31">
        <f>L42+I$19</f>
        <v/>
      </c>
      <c r="M43" s="4">
        <f>J43/1000000*52</f>
        <v/>
      </c>
      <c r="N43" s="33">
        <f>M43/$P$4+($I$22/$P$4)</f>
        <v/>
      </c>
    </row>
    <row r="44" ht="15.75" customHeight="1" s="40">
      <c r="A44" s="39" t="n">
        <v>11</v>
      </c>
      <c r="B44" s="39" t="inlineStr">
        <is>
          <t>startup production</t>
        </is>
      </c>
      <c r="C44" s="29">
        <f>C$9*$A44</f>
        <v/>
      </c>
      <c r="D44" s="30">
        <f>D43+C$15*C$9</f>
        <v/>
      </c>
      <c r="E44" s="30">
        <f>F44*52</f>
        <v/>
      </c>
      <c r="F44" s="31">
        <f>C$17*$A44+C$21</f>
        <v/>
      </c>
      <c r="G44" s="4">
        <f>D44/1000000*52</f>
        <v/>
      </c>
      <c r="H44" s="33">
        <f>G44/$P$4+($C$22/$P$4)</f>
        <v/>
      </c>
      <c r="I44" s="29">
        <f>I$9*$A44</f>
        <v/>
      </c>
      <c r="J44" s="30">
        <f>J43+I$15*I$9</f>
        <v/>
      </c>
      <c r="K44" s="30">
        <f>L44*52</f>
        <v/>
      </c>
      <c r="L44" s="31">
        <f>I$17*$A44+I$21</f>
        <v/>
      </c>
      <c r="M44" s="4">
        <f>J44/1000000*52</f>
        <v/>
      </c>
      <c r="N44" s="33">
        <f>M44/$P$4+($I$22/$P$4)</f>
        <v/>
      </c>
    </row>
    <row r="45" ht="15.75" customHeight="1" s="40">
      <c r="A45" s="39" t="n">
        <v>11</v>
      </c>
      <c r="B45" s="39" t="inlineStr">
        <is>
          <t>full production</t>
        </is>
      </c>
      <c r="C45" s="29">
        <f>C$9*$A45</f>
        <v/>
      </c>
      <c r="D45" s="30">
        <f>C45*C$13</f>
        <v/>
      </c>
      <c r="E45" s="30">
        <f>F45*52</f>
        <v/>
      </c>
      <c r="F45" s="31">
        <f>F44+C$19</f>
        <v/>
      </c>
      <c r="G45" s="4">
        <f>D45/1000000*52</f>
        <v/>
      </c>
      <c r="H45" s="33">
        <f>G45/$P$4+($C$22/$P$4)</f>
        <v/>
      </c>
      <c r="I45" s="29">
        <f>I$9*$A45</f>
        <v/>
      </c>
      <c r="J45" s="30">
        <f>I45*I$13</f>
        <v/>
      </c>
      <c r="K45" s="30">
        <f>L45*52</f>
        <v/>
      </c>
      <c r="L45" s="31">
        <f>L44+I$19</f>
        <v/>
      </c>
      <c r="M45" s="4">
        <f>J45/1000000*52</f>
        <v/>
      </c>
      <c r="N45" s="33">
        <f>M45/$P$4+($I$22/$P$4)</f>
        <v/>
      </c>
    </row>
    <row r="46" ht="15.75" customHeight="1" s="40">
      <c r="A46" s="39" t="n">
        <v>12</v>
      </c>
      <c r="B46" s="39" t="inlineStr">
        <is>
          <t>startup production</t>
        </is>
      </c>
      <c r="C46" s="29">
        <f>C$9*$A46</f>
        <v/>
      </c>
      <c r="D46" s="30">
        <f>D45+C$15*C$9</f>
        <v/>
      </c>
      <c r="E46" s="30">
        <f>F46*52</f>
        <v/>
      </c>
      <c r="F46" s="31">
        <f>C$17*$A46+C$21</f>
        <v/>
      </c>
      <c r="G46" s="4">
        <f>D46/1000000*52</f>
        <v/>
      </c>
      <c r="H46" s="33">
        <f>G46/$P$4+($C$22/$P$4)</f>
        <v/>
      </c>
      <c r="I46" s="29">
        <f>I$9*$A46</f>
        <v/>
      </c>
      <c r="J46" s="30">
        <f>J45+I$15*I$9</f>
        <v/>
      </c>
      <c r="K46" s="30">
        <f>L46*52</f>
        <v/>
      </c>
      <c r="L46" s="31">
        <f>I$17*$A46+I$21</f>
        <v/>
      </c>
      <c r="M46" s="4">
        <f>J46/1000000*52</f>
        <v/>
      </c>
      <c r="N46" s="33">
        <f>M46/$P$4+($I$22/$P$4)</f>
        <v/>
      </c>
    </row>
    <row r="47" ht="15.75" customHeight="1" s="40">
      <c r="A47" s="39" t="n">
        <v>12</v>
      </c>
      <c r="B47" s="39" t="inlineStr">
        <is>
          <t>full production</t>
        </is>
      </c>
      <c r="C47" s="29">
        <f>C$9*$A47</f>
        <v/>
      </c>
      <c r="D47" s="30">
        <f>C47*C$13</f>
        <v/>
      </c>
      <c r="E47" s="30">
        <f>F47*52</f>
        <v/>
      </c>
      <c r="F47" s="31">
        <f>F46+C$19</f>
        <v/>
      </c>
      <c r="G47" s="4">
        <f>D47/1000000*52</f>
        <v/>
      </c>
      <c r="H47" s="33">
        <f>G47/$P$4+($C$22/$P$4)</f>
        <v/>
      </c>
      <c r="I47" s="29">
        <f>I$9*$A47</f>
        <v/>
      </c>
      <c r="J47" s="30">
        <f>I47*I$13</f>
        <v/>
      </c>
      <c r="K47" s="30">
        <f>L47*52</f>
        <v/>
      </c>
      <c r="L47" s="31">
        <f>L46+I$19</f>
        <v/>
      </c>
      <c r="M47" s="4">
        <f>J47/1000000*52</f>
        <v/>
      </c>
      <c r="N47" s="33">
        <f>M47/$P$4+($I$22/$P$4)</f>
        <v/>
      </c>
    </row>
    <row r="48" ht="15.75" customHeight="1" s="40">
      <c r="C48" s="45" t="n"/>
      <c r="D48" s="39" t="n"/>
      <c r="E48" s="39" t="n"/>
      <c r="F48" s="35" t="n"/>
      <c r="G48" s="39" t="n"/>
      <c r="H48" s="39" t="n"/>
      <c r="I48" s="45" t="n"/>
      <c r="J48" s="39" t="n"/>
      <c r="K48" s="39" t="n"/>
      <c r="L48" s="35" t="n"/>
      <c r="M48" s="39" t="n"/>
      <c r="N48" s="39" t="n"/>
      <c r="U48" t="inlineStr">
        <is>
          <t>MULTIPLE CHART DATA (includes pre-disruption = 1)</t>
        </is>
      </c>
    </row>
    <row r="49" ht="15.75" customHeight="1" s="40">
      <c r="C49" s="45" t="inlineStr">
        <is>
          <t>Plants</t>
        </is>
      </c>
      <c r="D49" s="39" t="inlineStr">
        <is>
          <t>tonnes/week</t>
        </is>
      </c>
      <c r="E49" s="39" t="inlineStr">
        <is>
          <t>Weeks</t>
        </is>
      </c>
      <c r="F49" s="35" t="inlineStr">
        <is>
          <t>Years</t>
        </is>
      </c>
      <c r="G49" s="39" t="inlineStr">
        <is>
          <t>Regular Construction</t>
        </is>
      </c>
      <c r="H49" s="39" t="inlineStr">
        <is>
          <t>Regular Construction</t>
        </is>
      </c>
      <c r="I49" s="45" t="inlineStr">
        <is>
          <t>Plants</t>
        </is>
      </c>
      <c r="J49" s="39" t="inlineStr">
        <is>
          <t>tonnes/week</t>
        </is>
      </c>
      <c r="K49" s="39" t="inlineStr">
        <is>
          <t>Weeks</t>
        </is>
      </c>
      <c r="L49" s="35" t="inlineStr">
        <is>
          <t>Years</t>
        </is>
      </c>
      <c r="M49" s="39" t="inlineStr">
        <is>
          <t>Fast Construction</t>
        </is>
      </c>
      <c r="N49" s="39" t="inlineStr">
        <is>
          <t>Fast Construction</t>
        </is>
      </c>
      <c r="U49" t="inlineStr">
        <is>
          <t>Years</t>
        </is>
      </c>
      <c r="V49" t="inlineStr">
        <is>
          <t>Regular Construction</t>
        </is>
      </c>
      <c r="W49" t="inlineStr">
        <is>
          <t>Fast Construction</t>
        </is>
      </c>
    </row>
    <row r="50" ht="15.75" customHeight="1" s="40">
      <c r="C50" s="24" t="n"/>
      <c r="D50" s="4" t="n"/>
      <c r="E50" s="39" t="n"/>
      <c r="F50" s="35" t="n"/>
      <c r="G50" s="39" t="inlineStr">
        <is>
          <t>new megatonnes/year</t>
        </is>
      </c>
      <c r="H50" s="13" t="inlineStr">
        <is>
          <t>Multiple of Current NH3 Production</t>
        </is>
      </c>
      <c r="I50" s="24" t="n"/>
      <c r="J50" s="4" t="n"/>
      <c r="K50" s="39" t="n"/>
      <c r="L50" s="35" t="n"/>
      <c r="M50" s="39" t="inlineStr">
        <is>
          <t>new megatonnes/year</t>
        </is>
      </c>
      <c r="N50" s="13" t="inlineStr">
        <is>
          <t>Multiple of Current NH3 Production</t>
        </is>
      </c>
      <c r="U50" t="n">
        <v>-0.25</v>
      </c>
      <c r="V50" t="n">
        <v>1</v>
      </c>
      <c r="W50" t="n">
        <v>1</v>
      </c>
    </row>
    <row r="51" ht="15.75" customHeight="1" s="40">
      <c r="C51" s="36">
        <f>_xlfn.IFS(E51&lt;E$24,0,E51&lt;E$26,C$24,E51&lt;E$28,C$26,E51&lt;E$30,C$28,E51&lt;E$32,C$30,E51&lt;E$34,C$32,E51&gt;=E$34,C$34)</f>
        <v/>
      </c>
      <c r="D51" s="37">
        <f>_xlfn.IFS(E51&lt;E$24,0,E51&lt;E$25,D$24,E51&lt;E$26,D$25,E51&lt;E$27,D$26,E51&lt;E$28,D$27,E51&lt;E$29,D$28,E51&lt;E$30,D$29,E51&lt;E$31,D$30,E51&lt;E$32,D$31,E51&lt;E$33,D$32,E51&lt;E$34,D$33,E51&lt;E$35,D$34,E51&gt;=E$35,D$35)</f>
        <v/>
      </c>
      <c r="E51" s="38" t="n">
        <v>1</v>
      </c>
      <c r="F51" s="31" t="n">
        <v>0</v>
      </c>
      <c r="G51" s="39">
        <f>D51/1000000*52</f>
        <v/>
      </c>
      <c r="H51" s="33">
        <f>G51/$P$4+($C$22/$P$4)</f>
        <v/>
      </c>
      <c r="I51" s="36">
        <f>_xlfn.IFS(K51&lt;K$24,0,K51&lt;K$26,I$24,K51&lt;K$28,I$26,K51&lt;K$30,I$28,K51&lt;K$32,I$30,K51&lt;K$34,I$32,K51&lt;K$36,I$34,K51&lt;K$38,I$36,K51&lt;K$40,I$38,K51&lt;K$42,I$40,K51&lt;K$44,I$42,K51&lt;K$46,I$44,K51&gt;=K$46,I$46)</f>
        <v/>
      </c>
      <c r="J51" s="37">
        <f>_xlfn.IFS(K51&lt;K$24,0,K51&lt;K$25,J$24,K51&lt;K$26,J$25,K51&lt;K$27,J$26,K51&lt;K$28,J$27,K51&lt;K$29,J$28,K51&lt;K$30,J$29,K51&lt;K$31,J$30,K51&lt;K$32,J$31,K51&lt;K$33,J$32,K51&lt;K$34,J$33,K51&lt;K$35,J$34,K51&lt;K$36,J$35,K51&lt;K$37,J$36,K51&lt;K$38,J$37,K51&lt;K$39,J$38,K51&lt;K$40,J$39,K51&lt;K$41,J$40,K51&lt;K$42,J$41,K51&lt;K$43,J$42,K51&lt;K$44,J$43,K51&lt;K$45,J$44,K51&lt;K$46,J$45,K51&lt;K$47,J$46,K51&gt;=K$47,J$47)</f>
        <v/>
      </c>
      <c r="K51" s="38" t="n">
        <v>1</v>
      </c>
      <c r="L51" s="31" t="n">
        <v>0</v>
      </c>
      <c r="M51" s="39">
        <f>J51/1000000*52</f>
        <v/>
      </c>
      <c r="N51" s="33">
        <f>M51/$P$4+($I$22/$P$4)</f>
        <v/>
      </c>
      <c r="U51" t="n">
        <v>0</v>
      </c>
      <c r="V51" t="n">
        <v>1</v>
      </c>
      <c r="W51" t="n">
        <v>1</v>
      </c>
    </row>
    <row r="52" ht="15.75" customHeight="1" s="40">
      <c r="C52" s="36">
        <f>_xlfn.IFS(E52&lt;E$24,0,E52&lt;E$26,C$24,E52&lt;E$28,C$26,E52&lt;E$30,C$28,E52&lt;E$32,C$30,E52&lt;E$34,C$32,E52&gt;=E$34,C$34)</f>
        <v/>
      </c>
      <c r="D52" s="37">
        <f>_xlfn.IFS(E52&lt;E$24,0,E52&lt;E$25,D$24,E52&lt;E$26,D$25,E52&lt;E$27,D$26,E52&lt;E$28,D$27,E52&lt;E$29,D$28,E52&lt;E$30,D$29,E52&lt;E$31,D$30,E52&lt;E$32,D$31,E52&lt;E$33,D$32,E52&lt;E$34,D$33,E52&lt;E$35,D$34,E52&gt;=E$35,D$35)</f>
        <v/>
      </c>
      <c r="E52" s="38" t="n">
        <v>2</v>
      </c>
      <c r="F52" s="31">
        <f>E52/52</f>
        <v/>
      </c>
      <c r="G52" s="39">
        <f>D52/1000000*52</f>
        <v/>
      </c>
      <c r="H52" s="33">
        <f>G52/$P$4+($C$22/$P$4)</f>
        <v/>
      </c>
      <c r="I52" s="36">
        <f>_xlfn.IFS(K52&lt;K$24,0,K52&lt;K$26,I$24,K52&lt;K$28,I$26,K52&lt;K$30,I$28,K52&lt;K$32,I$30,K52&lt;K$34,I$32,K52&lt;K$36,I$34,K52&lt;K$38,I$36,K52&lt;K$40,I$38,K52&lt;K$42,I$40,K52&lt;K$44,I$42,K52&lt;K$46,I$44,K52&gt;=K$46,I$46)</f>
        <v/>
      </c>
      <c r="J52" s="37">
        <f>_xlfn.IFS(K52&lt;K$24,0,K52&lt;K$25,J$24,K52&lt;K$26,J$25,K52&lt;K$27,J$26,K52&lt;K$28,J$27,K52&lt;K$29,J$28,K52&lt;K$30,J$29,K52&lt;K$31,J$30,K52&lt;K$32,J$31,K52&lt;K$33,J$32,K52&lt;K$34,J$33,K52&lt;K$35,J$34,K52&lt;K$36,J$35,K52&lt;K$37,J$36,K52&lt;K$38,J$37,K52&lt;K$39,J$38,K52&lt;K$40,J$39,K52&lt;K$41,J$40,K52&lt;K$42,J$41,K52&lt;K$43,J$42,K52&lt;K$44,J$43,K52&lt;K$45,J$44,K52&lt;K$46,J$45,K52&lt;K$47,J$46,K52&gt;=K$47,J$47)</f>
        <v/>
      </c>
      <c r="K52" s="38" t="n">
        <v>2</v>
      </c>
      <c r="L52" s="31">
        <f>K52/52</f>
        <v/>
      </c>
      <c r="M52" s="39">
        <f>J52/1000000*52</f>
        <v/>
      </c>
      <c r="N52" s="33">
        <f>M52/$P$4+($I$22/$P$4)</f>
        <v/>
      </c>
      <c r="U52">
        <f>F51</f>
        <v/>
      </c>
      <c r="V52">
        <f>H51</f>
        <v/>
      </c>
      <c r="W52">
        <f>N51</f>
        <v/>
      </c>
    </row>
    <row r="53" ht="15.75" customHeight="1" s="40">
      <c r="C53" s="36">
        <f>_xlfn.IFS(E53&lt;E$24,0,E53&lt;E$26,C$24,E53&lt;E$28,C$26,E53&lt;E$30,C$28,E53&lt;E$32,C$30,E53&lt;E$34,C$32,E53&gt;=E$34,C$34)</f>
        <v/>
      </c>
      <c r="D53" s="37">
        <f>_xlfn.IFS(E53&lt;E$24,0,E53&lt;E$25,D$24,E53&lt;E$26,D$25,E53&lt;E$27,D$26,E53&lt;E$28,D$27,E53&lt;E$29,D$28,E53&lt;E$30,D$29,E53&lt;E$31,D$30,E53&lt;E$32,D$31,E53&lt;E$33,D$32,E53&lt;E$34,D$33,E53&lt;E$35,D$34,E53&gt;=E$35,D$35)</f>
        <v/>
      </c>
      <c r="E53" s="38" t="n">
        <v>3</v>
      </c>
      <c r="F53" s="31">
        <f>E53/52</f>
        <v/>
      </c>
      <c r="G53" s="39">
        <f>D53/1000000*52</f>
        <v/>
      </c>
      <c r="H53" s="33">
        <f>G53/$P$4+($C$22/$P$4)</f>
        <v/>
      </c>
      <c r="I53" s="36">
        <f>_xlfn.IFS(K53&lt;K$24,0,K53&lt;K$26,I$24,K53&lt;K$28,I$26,K53&lt;K$30,I$28,K53&lt;K$32,I$30,K53&lt;K$34,I$32,K53&lt;K$36,I$34,K53&lt;K$38,I$36,K53&lt;K$40,I$38,K53&lt;K$42,I$40,K53&lt;K$44,I$42,K53&lt;K$46,I$44,K53&gt;=K$46,I$46)</f>
        <v/>
      </c>
      <c r="J53" s="37">
        <f>_xlfn.IFS(K53&lt;K$24,0,K53&lt;K$25,J$24,K53&lt;K$26,J$25,K53&lt;K$27,J$26,K53&lt;K$28,J$27,K53&lt;K$29,J$28,K53&lt;K$30,J$29,K53&lt;K$31,J$30,K53&lt;K$32,J$31,K53&lt;K$33,J$32,K53&lt;K$34,J$33,K53&lt;K$35,J$34,K53&lt;K$36,J$35,K53&lt;K$37,J$36,K53&lt;K$38,J$37,K53&lt;K$39,J$38,K53&lt;K$40,J$39,K53&lt;K$41,J$40,K53&lt;K$42,J$41,K53&lt;K$43,J$42,K53&lt;K$44,J$43,K53&lt;K$45,J$44,K53&lt;K$46,J$45,K53&lt;K$47,J$46,K53&gt;=K$47,J$47)</f>
        <v/>
      </c>
      <c r="K53" s="38" t="n">
        <v>3</v>
      </c>
      <c r="L53" s="31">
        <f>K53/52</f>
        <v/>
      </c>
      <c r="M53" s="39">
        <f>J53/1000000*52</f>
        <v/>
      </c>
      <c r="N53" s="33">
        <f>M53/$P$4+($I$22/$P$4)</f>
        <v/>
      </c>
      <c r="U53">
        <f>F52</f>
        <v/>
      </c>
      <c r="V53">
        <f>H52</f>
        <v/>
      </c>
      <c r="W53">
        <f>N52</f>
        <v/>
      </c>
    </row>
    <row r="54" ht="15.75" customHeight="1" s="40">
      <c r="C54" s="36">
        <f>_xlfn.IFS(E54&lt;E$24,0,E54&lt;E$26,C$24,E54&lt;E$28,C$26,E54&lt;E$30,C$28,E54&lt;E$32,C$30,E54&lt;E$34,C$32,E54&gt;=E$34,C$34)</f>
        <v/>
      </c>
      <c r="D54" s="37">
        <f>_xlfn.IFS(E54&lt;E$24,0,E54&lt;E$25,D$24,E54&lt;E$26,D$25,E54&lt;E$27,D$26,E54&lt;E$28,D$27,E54&lt;E$29,D$28,E54&lt;E$30,D$29,E54&lt;E$31,D$30,E54&lt;E$32,D$31,E54&lt;E$33,D$32,E54&lt;E$34,D$33,E54&lt;E$35,D$34,E54&gt;=E$35,D$35)</f>
        <v/>
      </c>
      <c r="E54" s="38" t="n">
        <v>4</v>
      </c>
      <c r="F54" s="31">
        <f>E54/52</f>
        <v/>
      </c>
      <c r="G54" s="39">
        <f>D54/1000000*52</f>
        <v/>
      </c>
      <c r="H54" s="33">
        <f>G54/$P$4+($C$22/$P$4)</f>
        <v/>
      </c>
      <c r="I54" s="36">
        <f>_xlfn.IFS(K54&lt;K$24,0,K54&lt;K$26,I$24,K54&lt;K$28,I$26,K54&lt;K$30,I$28,K54&lt;K$32,I$30,K54&lt;K$34,I$32,K54&lt;K$36,I$34,K54&lt;K$38,I$36,K54&lt;K$40,I$38,K54&lt;K$42,I$40,K54&lt;K$44,I$42,K54&lt;K$46,I$44,K54&gt;=K$46,I$46)</f>
        <v/>
      </c>
      <c r="J54" s="37">
        <f>_xlfn.IFS(K54&lt;K$24,0,K54&lt;K$25,J$24,K54&lt;K$26,J$25,K54&lt;K$27,J$26,K54&lt;K$28,J$27,K54&lt;K$29,J$28,K54&lt;K$30,J$29,K54&lt;K$31,J$30,K54&lt;K$32,J$31,K54&lt;K$33,J$32,K54&lt;K$34,J$33,K54&lt;K$35,J$34,K54&lt;K$36,J$35,K54&lt;K$37,J$36,K54&lt;K$38,J$37,K54&lt;K$39,J$38,K54&lt;K$40,J$39,K54&lt;K$41,J$40,K54&lt;K$42,J$41,K54&lt;K$43,J$42,K54&lt;K$44,J$43,K54&lt;K$45,J$44,K54&lt;K$46,J$45,K54&lt;K$47,J$46,K54&gt;=K$47,J$47)</f>
        <v/>
      </c>
      <c r="K54" s="38" t="n">
        <v>4</v>
      </c>
      <c r="L54" s="31">
        <f>K54/52</f>
        <v/>
      </c>
      <c r="M54" s="39">
        <f>J54/1000000*52</f>
        <v/>
      </c>
      <c r="N54" s="33">
        <f>M54/$P$4+($I$22/$P$4)</f>
        <v/>
      </c>
      <c r="U54">
        <f>F53</f>
        <v/>
      </c>
      <c r="V54">
        <f>H53</f>
        <v/>
      </c>
      <c r="W54">
        <f>N53</f>
        <v/>
      </c>
    </row>
    <row r="55" ht="15.75" customHeight="1" s="40">
      <c r="C55" s="36">
        <f>_xlfn.IFS(E55&lt;E$24,0,E55&lt;E$26,C$24,E55&lt;E$28,C$26,E55&lt;E$30,C$28,E55&lt;E$32,C$30,E55&lt;E$34,C$32,E55&gt;=E$34,C$34)</f>
        <v/>
      </c>
      <c r="D55" s="37">
        <f>_xlfn.IFS(E55&lt;E$24,0,E55&lt;E$25,D$24,E55&lt;E$26,D$25,E55&lt;E$27,D$26,E55&lt;E$28,D$27,E55&lt;E$29,D$28,E55&lt;E$30,D$29,E55&lt;E$31,D$30,E55&lt;E$32,D$31,E55&lt;E$33,D$32,E55&lt;E$34,D$33,E55&lt;E$35,D$34,E55&gt;=E$35,D$35)</f>
        <v/>
      </c>
      <c r="E55" s="38" t="n">
        <v>5</v>
      </c>
      <c r="F55" s="31">
        <f>E55/52</f>
        <v/>
      </c>
      <c r="G55" s="39">
        <f>D55/1000000*52</f>
        <v/>
      </c>
      <c r="H55" s="33">
        <f>G55/$P$4+($C$22/$P$4)</f>
        <v/>
      </c>
      <c r="I55" s="36">
        <f>_xlfn.IFS(K55&lt;K$24,0,K55&lt;K$26,I$24,K55&lt;K$28,I$26,K55&lt;K$30,I$28,K55&lt;K$32,I$30,K55&lt;K$34,I$32,K55&lt;K$36,I$34,K55&lt;K$38,I$36,K55&lt;K$40,I$38,K55&lt;K$42,I$40,K55&lt;K$44,I$42,K55&lt;K$46,I$44,K55&gt;=K$46,I$46)</f>
        <v/>
      </c>
      <c r="J55" s="37">
        <f>_xlfn.IFS(K55&lt;K$24,0,K55&lt;K$25,J$24,K55&lt;K$26,J$25,K55&lt;K$27,J$26,K55&lt;K$28,J$27,K55&lt;K$29,J$28,K55&lt;K$30,J$29,K55&lt;K$31,J$30,K55&lt;K$32,J$31,K55&lt;K$33,J$32,K55&lt;K$34,J$33,K55&lt;K$35,J$34,K55&lt;K$36,J$35,K55&lt;K$37,J$36,K55&lt;K$38,J$37,K55&lt;K$39,J$38,K55&lt;K$40,J$39,K55&lt;K$41,J$40,K55&lt;K$42,J$41,K55&lt;K$43,J$42,K55&lt;K$44,J$43,K55&lt;K$45,J$44,K55&lt;K$46,J$45,K55&lt;K$47,J$46,K55&gt;=K$47,J$47)</f>
        <v/>
      </c>
      <c r="K55" s="38" t="n">
        <v>5</v>
      </c>
      <c r="L55" s="31">
        <f>K55/52</f>
        <v/>
      </c>
      <c r="M55" s="39">
        <f>J55/1000000*52</f>
        <v/>
      </c>
      <c r="N55" s="33">
        <f>M55/$P$4+($I$22/$P$4)</f>
        <v/>
      </c>
      <c r="U55">
        <f>F54</f>
        <v/>
      </c>
      <c r="V55">
        <f>H54</f>
        <v/>
      </c>
      <c r="W55">
        <f>N54</f>
        <v/>
      </c>
    </row>
    <row r="56" ht="15.75" customHeight="1" s="40">
      <c r="C56" s="36">
        <f>_xlfn.IFS(E56&lt;E$24,0,E56&lt;E$26,C$24,E56&lt;E$28,C$26,E56&lt;E$30,C$28,E56&lt;E$32,C$30,E56&lt;E$34,C$32,E56&gt;=E$34,C$34)</f>
        <v/>
      </c>
      <c r="D56" s="37">
        <f>_xlfn.IFS(E56&lt;E$24,0,E56&lt;E$25,D$24,E56&lt;E$26,D$25,E56&lt;E$27,D$26,E56&lt;E$28,D$27,E56&lt;E$29,D$28,E56&lt;E$30,D$29,E56&lt;E$31,D$30,E56&lt;E$32,D$31,E56&lt;E$33,D$32,E56&lt;E$34,D$33,E56&lt;E$35,D$34,E56&gt;=E$35,D$35)</f>
        <v/>
      </c>
      <c r="E56" s="38" t="n">
        <v>6</v>
      </c>
      <c r="F56" s="31">
        <f>E56/52</f>
        <v/>
      </c>
      <c r="G56" s="39">
        <f>D56/1000000*52</f>
        <v/>
      </c>
      <c r="H56" s="33">
        <f>G56/$P$4+($C$22/$P$4)</f>
        <v/>
      </c>
      <c r="I56" s="36">
        <f>_xlfn.IFS(K56&lt;K$24,0,K56&lt;K$26,I$24,K56&lt;K$28,I$26,K56&lt;K$30,I$28,K56&lt;K$32,I$30,K56&lt;K$34,I$32,K56&lt;K$36,I$34,K56&lt;K$38,I$36,K56&lt;K$40,I$38,K56&lt;K$42,I$40,K56&lt;K$44,I$42,K56&lt;K$46,I$44,K56&gt;=K$46,I$46)</f>
        <v/>
      </c>
      <c r="J56" s="37">
        <f>_xlfn.IFS(K56&lt;K$24,0,K56&lt;K$25,J$24,K56&lt;K$26,J$25,K56&lt;K$27,J$26,K56&lt;K$28,J$27,K56&lt;K$29,J$28,K56&lt;K$30,J$29,K56&lt;K$31,J$30,K56&lt;K$32,J$31,K56&lt;K$33,J$32,K56&lt;K$34,J$33,K56&lt;K$35,J$34,K56&lt;K$36,J$35,K56&lt;K$37,J$36,K56&lt;K$38,J$37,K56&lt;K$39,J$38,K56&lt;K$40,J$39,K56&lt;K$41,J$40,K56&lt;K$42,J$41,K56&lt;K$43,J$42,K56&lt;K$44,J$43,K56&lt;K$45,J$44,K56&lt;K$46,J$45,K56&lt;K$47,J$46,K56&gt;=K$47,J$47)</f>
        <v/>
      </c>
      <c r="K56" s="38" t="n">
        <v>6</v>
      </c>
      <c r="L56" s="31">
        <f>K56/52</f>
        <v/>
      </c>
      <c r="M56" s="39">
        <f>J56/1000000*52</f>
        <v/>
      </c>
      <c r="N56" s="33">
        <f>M56/$P$4+($I$22/$P$4)</f>
        <v/>
      </c>
      <c r="U56">
        <f>F55</f>
        <v/>
      </c>
      <c r="V56">
        <f>H55</f>
        <v/>
      </c>
      <c r="W56">
        <f>N55</f>
        <v/>
      </c>
    </row>
    <row r="57" ht="15.75" customHeight="1" s="40">
      <c r="C57" s="36">
        <f>_xlfn.IFS(E57&lt;E$24,0,E57&lt;E$26,C$24,E57&lt;E$28,C$26,E57&lt;E$30,C$28,E57&lt;E$32,C$30,E57&lt;E$34,C$32,E57&gt;=E$34,C$34)</f>
        <v/>
      </c>
      <c r="D57" s="37">
        <f>_xlfn.IFS(E57&lt;E$24,0,E57&lt;E$25,D$24,E57&lt;E$26,D$25,E57&lt;E$27,D$26,E57&lt;E$28,D$27,E57&lt;E$29,D$28,E57&lt;E$30,D$29,E57&lt;E$31,D$30,E57&lt;E$32,D$31,E57&lt;E$33,D$32,E57&lt;E$34,D$33,E57&lt;E$35,D$34,E57&gt;=E$35,D$35)</f>
        <v/>
      </c>
      <c r="E57" s="38" t="n">
        <v>7</v>
      </c>
      <c r="F57" s="31">
        <f>E57/52</f>
        <v/>
      </c>
      <c r="G57" s="39">
        <f>D57/1000000*52</f>
        <v/>
      </c>
      <c r="H57" s="33">
        <f>G57/$P$4+($C$22/$P$4)</f>
        <v/>
      </c>
      <c r="I57" s="36">
        <f>_xlfn.IFS(K57&lt;K$24,0,K57&lt;K$26,I$24,K57&lt;K$28,I$26,K57&lt;K$30,I$28,K57&lt;K$32,I$30,K57&lt;K$34,I$32,K57&lt;K$36,I$34,K57&lt;K$38,I$36,K57&lt;K$40,I$38,K57&lt;K$42,I$40,K57&lt;K$44,I$42,K57&lt;K$46,I$44,K57&gt;=K$46,I$46)</f>
        <v/>
      </c>
      <c r="J57" s="37">
        <f>_xlfn.IFS(K57&lt;K$24,0,K57&lt;K$25,J$24,K57&lt;K$26,J$25,K57&lt;K$27,J$26,K57&lt;K$28,J$27,K57&lt;K$29,J$28,K57&lt;K$30,J$29,K57&lt;K$31,J$30,K57&lt;K$32,J$31,K57&lt;K$33,J$32,K57&lt;K$34,J$33,K57&lt;K$35,J$34,K57&lt;K$36,J$35,K57&lt;K$37,J$36,K57&lt;K$38,J$37,K57&lt;K$39,J$38,K57&lt;K$40,J$39,K57&lt;K$41,J$40,K57&lt;K$42,J$41,K57&lt;K$43,J$42,K57&lt;K$44,J$43,K57&lt;K$45,J$44,K57&lt;K$46,J$45,K57&lt;K$47,J$46,K57&gt;=K$47,J$47)</f>
        <v/>
      </c>
      <c r="K57" s="38" t="n">
        <v>7</v>
      </c>
      <c r="L57" s="31">
        <f>K57/52</f>
        <v/>
      </c>
      <c r="M57" s="39">
        <f>J57/1000000*52</f>
        <v/>
      </c>
      <c r="N57" s="33">
        <f>M57/$P$4+($I$22/$P$4)</f>
        <v/>
      </c>
      <c r="U57">
        <f>F56</f>
        <v/>
      </c>
      <c r="V57">
        <f>H56</f>
        <v/>
      </c>
      <c r="W57">
        <f>N56</f>
        <v/>
      </c>
    </row>
    <row r="58" ht="15.75" customHeight="1" s="40">
      <c r="C58" s="36">
        <f>_xlfn.IFS(E58&lt;E$24,0,E58&lt;E$26,C$24,E58&lt;E$28,C$26,E58&lt;E$30,C$28,E58&lt;E$32,C$30,E58&lt;E$34,C$32,E58&gt;=E$34,C$34)</f>
        <v/>
      </c>
      <c r="D58" s="37">
        <f>_xlfn.IFS(E58&lt;E$24,0,E58&lt;E$25,D$24,E58&lt;E$26,D$25,E58&lt;E$27,D$26,E58&lt;E$28,D$27,E58&lt;E$29,D$28,E58&lt;E$30,D$29,E58&lt;E$31,D$30,E58&lt;E$32,D$31,E58&lt;E$33,D$32,E58&lt;E$34,D$33,E58&lt;E$35,D$34,E58&gt;=E$35,D$35)</f>
        <v/>
      </c>
      <c r="E58" s="38" t="n">
        <v>8</v>
      </c>
      <c r="F58" s="31">
        <f>E58/52</f>
        <v/>
      </c>
      <c r="G58" s="39">
        <f>D58/1000000*52</f>
        <v/>
      </c>
      <c r="H58" s="33">
        <f>G58/$P$4+($C$22/$P$4)</f>
        <v/>
      </c>
      <c r="I58" s="36">
        <f>_xlfn.IFS(K58&lt;K$24,0,K58&lt;K$26,I$24,K58&lt;K$28,I$26,K58&lt;K$30,I$28,K58&lt;K$32,I$30,K58&lt;K$34,I$32,K58&lt;K$36,I$34,K58&lt;K$38,I$36,K58&lt;K$40,I$38,K58&lt;K$42,I$40,K58&lt;K$44,I$42,K58&lt;K$46,I$44,K58&gt;=K$46,I$46)</f>
        <v/>
      </c>
      <c r="J58" s="37">
        <f>_xlfn.IFS(K58&lt;K$24,0,K58&lt;K$25,J$24,K58&lt;K$26,J$25,K58&lt;K$27,J$26,K58&lt;K$28,J$27,K58&lt;K$29,J$28,K58&lt;K$30,J$29,K58&lt;K$31,J$30,K58&lt;K$32,J$31,K58&lt;K$33,J$32,K58&lt;K$34,J$33,K58&lt;K$35,J$34,K58&lt;K$36,J$35,K58&lt;K$37,J$36,K58&lt;K$38,J$37,K58&lt;K$39,J$38,K58&lt;K$40,J$39,K58&lt;K$41,J$40,K58&lt;K$42,J$41,K58&lt;K$43,J$42,K58&lt;K$44,J$43,K58&lt;K$45,J$44,K58&lt;K$46,J$45,K58&lt;K$47,J$46,K58&gt;=K$47,J$47)</f>
        <v/>
      </c>
      <c r="K58" s="38" t="n">
        <v>8</v>
      </c>
      <c r="L58" s="31">
        <f>K58/52</f>
        <v/>
      </c>
      <c r="M58" s="39">
        <f>J58/1000000*52</f>
        <v/>
      </c>
      <c r="N58" s="33">
        <f>M58/$P$4+($I$22/$P$4)</f>
        <v/>
      </c>
      <c r="U58">
        <f>F57</f>
        <v/>
      </c>
      <c r="V58">
        <f>H57</f>
        <v/>
      </c>
      <c r="W58">
        <f>N57</f>
        <v/>
      </c>
    </row>
    <row r="59" ht="15.75" customHeight="1" s="40">
      <c r="C59" s="36">
        <f>_xlfn.IFS(E59&lt;E$24,0,E59&lt;E$26,C$24,E59&lt;E$28,C$26,E59&lt;E$30,C$28,E59&lt;E$32,C$30,E59&lt;E$34,C$32,E59&gt;=E$34,C$34)</f>
        <v/>
      </c>
      <c r="D59" s="37">
        <f>_xlfn.IFS(E59&lt;E$24,0,E59&lt;E$25,D$24,E59&lt;E$26,D$25,E59&lt;E$27,D$26,E59&lt;E$28,D$27,E59&lt;E$29,D$28,E59&lt;E$30,D$29,E59&lt;E$31,D$30,E59&lt;E$32,D$31,E59&lt;E$33,D$32,E59&lt;E$34,D$33,E59&lt;E$35,D$34,E59&gt;=E$35,D$35)</f>
        <v/>
      </c>
      <c r="E59" s="38" t="n">
        <v>9</v>
      </c>
      <c r="F59" s="31">
        <f>E59/52</f>
        <v/>
      </c>
      <c r="G59" s="39">
        <f>D59/1000000*52</f>
        <v/>
      </c>
      <c r="H59" s="33">
        <f>G59/$P$4+($C$22/$P$4)</f>
        <v/>
      </c>
      <c r="I59" s="36">
        <f>_xlfn.IFS(K59&lt;K$24,0,K59&lt;K$26,I$24,K59&lt;K$28,I$26,K59&lt;K$30,I$28,K59&lt;K$32,I$30,K59&lt;K$34,I$32,K59&lt;K$36,I$34,K59&lt;K$38,I$36,K59&lt;K$40,I$38,K59&lt;K$42,I$40,K59&lt;K$44,I$42,K59&lt;K$46,I$44,K59&gt;=K$46,I$46)</f>
        <v/>
      </c>
      <c r="J59" s="37">
        <f>_xlfn.IFS(K59&lt;K$24,0,K59&lt;K$25,J$24,K59&lt;K$26,J$25,K59&lt;K$27,J$26,K59&lt;K$28,J$27,K59&lt;K$29,J$28,K59&lt;K$30,J$29,K59&lt;K$31,J$30,K59&lt;K$32,J$31,K59&lt;K$33,J$32,K59&lt;K$34,J$33,K59&lt;K$35,J$34,K59&lt;K$36,J$35,K59&lt;K$37,J$36,K59&lt;K$38,J$37,K59&lt;K$39,J$38,K59&lt;K$40,J$39,K59&lt;K$41,J$40,K59&lt;K$42,J$41,K59&lt;K$43,J$42,K59&lt;K$44,J$43,K59&lt;K$45,J$44,K59&lt;K$46,J$45,K59&lt;K$47,J$46,K59&gt;=K$47,J$47)</f>
        <v/>
      </c>
      <c r="K59" s="38" t="n">
        <v>9</v>
      </c>
      <c r="L59" s="31">
        <f>K59/52</f>
        <v/>
      </c>
      <c r="M59" s="39">
        <f>J59/1000000*52</f>
        <v/>
      </c>
      <c r="N59" s="33">
        <f>M59/$P$4+($I$22/$P$4)</f>
        <v/>
      </c>
      <c r="U59">
        <f>F58</f>
        <v/>
      </c>
      <c r="V59">
        <f>H58</f>
        <v/>
      </c>
      <c r="W59">
        <f>N58</f>
        <v/>
      </c>
    </row>
    <row r="60" ht="15.75" customHeight="1" s="40">
      <c r="C60" s="36">
        <f>_xlfn.IFS(E60&lt;E$24,0,E60&lt;E$26,C$24,E60&lt;E$28,C$26,E60&lt;E$30,C$28,E60&lt;E$32,C$30,E60&lt;E$34,C$32,E60&gt;=E$34,C$34)</f>
        <v/>
      </c>
      <c r="D60" s="37">
        <f>_xlfn.IFS(E60&lt;E$24,0,E60&lt;E$25,D$24,E60&lt;E$26,D$25,E60&lt;E$27,D$26,E60&lt;E$28,D$27,E60&lt;E$29,D$28,E60&lt;E$30,D$29,E60&lt;E$31,D$30,E60&lt;E$32,D$31,E60&lt;E$33,D$32,E60&lt;E$34,D$33,E60&lt;E$35,D$34,E60&gt;=E$35,D$35)</f>
        <v/>
      </c>
      <c r="E60" s="38" t="n">
        <v>10</v>
      </c>
      <c r="F60" s="31">
        <f>E60/52</f>
        <v/>
      </c>
      <c r="G60" s="39">
        <f>D60/1000000*52</f>
        <v/>
      </c>
      <c r="H60" s="33">
        <f>G60/$P$4+($C$22/$P$4)</f>
        <v/>
      </c>
      <c r="I60" s="36">
        <f>_xlfn.IFS(K60&lt;K$24,0,K60&lt;K$26,I$24,K60&lt;K$28,I$26,K60&lt;K$30,I$28,K60&lt;K$32,I$30,K60&lt;K$34,I$32,K60&lt;K$36,I$34,K60&lt;K$38,I$36,K60&lt;K$40,I$38,K60&lt;K$42,I$40,K60&lt;K$44,I$42,K60&lt;K$46,I$44,K60&gt;=K$46,I$46)</f>
        <v/>
      </c>
      <c r="J60" s="37">
        <f>_xlfn.IFS(K60&lt;K$24,0,K60&lt;K$25,J$24,K60&lt;K$26,J$25,K60&lt;K$27,J$26,K60&lt;K$28,J$27,K60&lt;K$29,J$28,K60&lt;K$30,J$29,K60&lt;K$31,J$30,K60&lt;K$32,J$31,K60&lt;K$33,J$32,K60&lt;K$34,J$33,K60&lt;K$35,J$34,K60&lt;K$36,J$35,K60&lt;K$37,J$36,K60&lt;K$38,J$37,K60&lt;K$39,J$38,K60&lt;K$40,J$39,K60&lt;K$41,J$40,K60&lt;K$42,J$41,K60&lt;K$43,J$42,K60&lt;K$44,J$43,K60&lt;K$45,J$44,K60&lt;K$46,J$45,K60&lt;K$47,J$46,K60&gt;=K$47,J$47)</f>
        <v/>
      </c>
      <c r="K60" s="38" t="n">
        <v>10</v>
      </c>
      <c r="L60" s="31">
        <f>K60/52</f>
        <v/>
      </c>
      <c r="M60" s="39">
        <f>J60/1000000*52</f>
        <v/>
      </c>
      <c r="N60" s="33">
        <f>M60/$P$4+($I$22/$P$4)</f>
        <v/>
      </c>
      <c r="U60">
        <f>F59</f>
        <v/>
      </c>
      <c r="V60">
        <f>H59</f>
        <v/>
      </c>
      <c r="W60">
        <f>N59</f>
        <v/>
      </c>
    </row>
    <row r="61" ht="15.75" customHeight="1" s="40">
      <c r="C61" s="36">
        <f>_xlfn.IFS(E61&lt;E$24,0,E61&lt;E$26,C$24,E61&lt;E$28,C$26,E61&lt;E$30,C$28,E61&lt;E$32,C$30,E61&lt;E$34,C$32,E61&gt;=E$34,C$34)</f>
        <v/>
      </c>
      <c r="D61" s="37">
        <f>_xlfn.IFS(E61&lt;E$24,0,E61&lt;E$25,D$24,E61&lt;E$26,D$25,E61&lt;E$27,D$26,E61&lt;E$28,D$27,E61&lt;E$29,D$28,E61&lt;E$30,D$29,E61&lt;E$31,D$30,E61&lt;E$32,D$31,E61&lt;E$33,D$32,E61&lt;E$34,D$33,E61&lt;E$35,D$34,E61&gt;=E$35,D$35)</f>
        <v/>
      </c>
      <c r="E61" s="38" t="n">
        <v>11</v>
      </c>
      <c r="F61" s="31">
        <f>E61/52</f>
        <v/>
      </c>
      <c r="G61" s="39">
        <f>D61/1000000*52</f>
        <v/>
      </c>
      <c r="H61" s="33">
        <f>G61/$P$4+($C$22/$P$4)</f>
        <v/>
      </c>
      <c r="I61" s="36">
        <f>_xlfn.IFS(K61&lt;K$24,0,K61&lt;K$26,I$24,K61&lt;K$28,I$26,K61&lt;K$30,I$28,K61&lt;K$32,I$30,K61&lt;K$34,I$32,K61&lt;K$36,I$34,K61&lt;K$38,I$36,K61&lt;K$40,I$38,K61&lt;K$42,I$40,K61&lt;K$44,I$42,K61&lt;K$46,I$44,K61&gt;=K$46,I$46)</f>
        <v/>
      </c>
      <c r="J61" s="37">
        <f>_xlfn.IFS(K61&lt;K$24,0,K61&lt;K$25,J$24,K61&lt;K$26,J$25,K61&lt;K$27,J$26,K61&lt;K$28,J$27,K61&lt;K$29,J$28,K61&lt;K$30,J$29,K61&lt;K$31,J$30,K61&lt;K$32,J$31,K61&lt;K$33,J$32,K61&lt;K$34,J$33,K61&lt;K$35,J$34,K61&lt;K$36,J$35,K61&lt;K$37,J$36,K61&lt;K$38,J$37,K61&lt;K$39,J$38,K61&lt;K$40,J$39,K61&lt;K$41,J$40,K61&lt;K$42,J$41,K61&lt;K$43,J$42,K61&lt;K$44,J$43,K61&lt;K$45,J$44,K61&lt;K$46,J$45,K61&lt;K$47,J$46,K61&gt;=K$47,J$47)</f>
        <v/>
      </c>
      <c r="K61" s="38" t="n">
        <v>11</v>
      </c>
      <c r="L61" s="31">
        <f>K61/52</f>
        <v/>
      </c>
      <c r="M61" s="39">
        <f>J61/1000000*52</f>
        <v/>
      </c>
      <c r="N61" s="33">
        <f>M61/$P$4+($I$22/$P$4)</f>
        <v/>
      </c>
      <c r="U61">
        <f>F60</f>
        <v/>
      </c>
      <c r="V61">
        <f>H60</f>
        <v/>
      </c>
      <c r="W61">
        <f>N60</f>
        <v/>
      </c>
    </row>
    <row r="62" ht="15.75" customHeight="1" s="40">
      <c r="C62" s="36">
        <f>_xlfn.IFS(E62&lt;E$24,0,E62&lt;E$26,C$24,E62&lt;E$28,C$26,E62&lt;E$30,C$28,E62&lt;E$32,C$30,E62&lt;E$34,C$32,E62&gt;=E$34,C$34)</f>
        <v/>
      </c>
      <c r="D62" s="37">
        <f>_xlfn.IFS(E62&lt;E$24,0,E62&lt;E$25,D$24,E62&lt;E$26,D$25,E62&lt;E$27,D$26,E62&lt;E$28,D$27,E62&lt;E$29,D$28,E62&lt;E$30,D$29,E62&lt;E$31,D$30,E62&lt;E$32,D$31,E62&lt;E$33,D$32,E62&lt;E$34,D$33,E62&lt;E$35,D$34,E62&gt;=E$35,D$35)</f>
        <v/>
      </c>
      <c r="E62" s="38" t="n">
        <v>12</v>
      </c>
      <c r="F62" s="31">
        <f>E62/52</f>
        <v/>
      </c>
      <c r="G62" s="39">
        <f>D62/1000000*52</f>
        <v/>
      </c>
      <c r="H62" s="33">
        <f>G62/$P$4+($C$22/$P$4)</f>
        <v/>
      </c>
      <c r="I62" s="36">
        <f>_xlfn.IFS(K62&lt;K$24,0,K62&lt;K$26,I$24,K62&lt;K$28,I$26,K62&lt;K$30,I$28,K62&lt;K$32,I$30,K62&lt;K$34,I$32,K62&lt;K$36,I$34,K62&lt;K$38,I$36,K62&lt;K$40,I$38,K62&lt;K$42,I$40,K62&lt;K$44,I$42,K62&lt;K$46,I$44,K62&gt;=K$46,I$46)</f>
        <v/>
      </c>
      <c r="J62" s="37">
        <f>_xlfn.IFS(K62&lt;K$24,0,K62&lt;K$25,J$24,K62&lt;K$26,J$25,K62&lt;K$27,J$26,K62&lt;K$28,J$27,K62&lt;K$29,J$28,K62&lt;K$30,J$29,K62&lt;K$31,J$30,K62&lt;K$32,J$31,K62&lt;K$33,J$32,K62&lt;K$34,J$33,K62&lt;K$35,J$34,K62&lt;K$36,J$35,K62&lt;K$37,J$36,K62&lt;K$38,J$37,K62&lt;K$39,J$38,K62&lt;K$40,J$39,K62&lt;K$41,J$40,K62&lt;K$42,J$41,K62&lt;K$43,J$42,K62&lt;K$44,J$43,K62&lt;K$45,J$44,K62&lt;K$46,J$45,K62&lt;K$47,J$46,K62&gt;=K$47,J$47)</f>
        <v/>
      </c>
      <c r="K62" s="38" t="n">
        <v>12</v>
      </c>
      <c r="L62" s="31">
        <f>K62/52</f>
        <v/>
      </c>
      <c r="M62" s="39">
        <f>J62/1000000*52</f>
        <v/>
      </c>
      <c r="N62" s="33">
        <f>M62/$P$4+($I$22/$P$4)</f>
        <v/>
      </c>
      <c r="U62">
        <f>F61</f>
        <v/>
      </c>
      <c r="V62">
        <f>H61</f>
        <v/>
      </c>
      <c r="W62">
        <f>N61</f>
        <v/>
      </c>
    </row>
    <row r="63" ht="15.75" customHeight="1" s="40">
      <c r="C63" s="36">
        <f>_xlfn.IFS(E63&lt;E$24,0,E63&lt;E$26,C$24,E63&lt;E$28,C$26,E63&lt;E$30,C$28,E63&lt;E$32,C$30,E63&lt;E$34,C$32,E63&gt;=E$34,C$34)</f>
        <v/>
      </c>
      <c r="D63" s="37">
        <f>_xlfn.IFS(E63&lt;E$24,0,E63&lt;E$25,D$24,E63&lt;E$26,D$25,E63&lt;E$27,D$26,E63&lt;E$28,D$27,E63&lt;E$29,D$28,E63&lt;E$30,D$29,E63&lt;E$31,D$30,E63&lt;E$32,D$31,E63&lt;E$33,D$32,E63&lt;E$34,D$33,E63&lt;E$35,D$34,E63&gt;=E$35,D$35)</f>
        <v/>
      </c>
      <c r="E63" s="38" t="n">
        <v>13</v>
      </c>
      <c r="F63" s="31">
        <f>E63/52</f>
        <v/>
      </c>
      <c r="G63" s="39">
        <f>D63/1000000*52</f>
        <v/>
      </c>
      <c r="H63" s="33">
        <f>G63/$P$4+($C$22/$P$4)</f>
        <v/>
      </c>
      <c r="I63" s="36">
        <f>_xlfn.IFS(K63&lt;K$24,0,K63&lt;K$26,I$24,K63&lt;K$28,I$26,K63&lt;K$30,I$28,K63&lt;K$32,I$30,K63&lt;K$34,I$32,K63&lt;K$36,I$34,K63&lt;K$38,I$36,K63&lt;K$40,I$38,K63&lt;K$42,I$40,K63&lt;K$44,I$42,K63&lt;K$46,I$44,K63&gt;=K$46,I$46)</f>
        <v/>
      </c>
      <c r="J63" s="37">
        <f>_xlfn.IFS(K63&lt;K$24,0,K63&lt;K$25,J$24,K63&lt;K$26,J$25,K63&lt;K$27,J$26,K63&lt;K$28,J$27,K63&lt;K$29,J$28,K63&lt;K$30,J$29,K63&lt;K$31,J$30,K63&lt;K$32,J$31,K63&lt;K$33,J$32,K63&lt;K$34,J$33,K63&lt;K$35,J$34,K63&lt;K$36,J$35,K63&lt;K$37,J$36,K63&lt;K$38,J$37,K63&lt;K$39,J$38,K63&lt;K$40,J$39,K63&lt;K$41,J$40,K63&lt;K$42,J$41,K63&lt;K$43,J$42,K63&lt;K$44,J$43,K63&lt;K$45,J$44,K63&lt;K$46,J$45,K63&lt;K$47,J$46,K63&gt;=K$47,J$47)</f>
        <v/>
      </c>
      <c r="K63" s="38" t="n">
        <v>13</v>
      </c>
      <c r="L63" s="31">
        <f>K63/52</f>
        <v/>
      </c>
      <c r="M63" s="39">
        <f>J63/1000000*52</f>
        <v/>
      </c>
      <c r="N63" s="33">
        <f>M63/$P$4+($I$22/$P$4)</f>
        <v/>
      </c>
      <c r="U63">
        <f>F62</f>
        <v/>
      </c>
      <c r="V63">
        <f>H62</f>
        <v/>
      </c>
      <c r="W63">
        <f>N62</f>
        <v/>
      </c>
    </row>
    <row r="64" ht="15.75" customHeight="1" s="40">
      <c r="C64" s="36">
        <f>_xlfn.IFS(E64&lt;E$24,0,E64&lt;E$26,C$24,E64&lt;E$28,C$26,E64&lt;E$30,C$28,E64&lt;E$32,C$30,E64&lt;E$34,C$32,E64&gt;=E$34,C$34)</f>
        <v/>
      </c>
      <c r="D64" s="37">
        <f>_xlfn.IFS(E64&lt;E$24,0,E64&lt;E$25,D$24,E64&lt;E$26,D$25,E64&lt;E$27,D$26,E64&lt;E$28,D$27,E64&lt;E$29,D$28,E64&lt;E$30,D$29,E64&lt;E$31,D$30,E64&lt;E$32,D$31,E64&lt;E$33,D$32,E64&lt;E$34,D$33,E64&lt;E$35,D$34,E64&gt;=E$35,D$35)</f>
        <v/>
      </c>
      <c r="E64" s="38" t="n">
        <v>14</v>
      </c>
      <c r="F64" s="31">
        <f>E64/52</f>
        <v/>
      </c>
      <c r="G64" s="39">
        <f>D64/1000000*52</f>
        <v/>
      </c>
      <c r="H64" s="33">
        <f>G64/$P$4+($C$22/$P$4)</f>
        <v/>
      </c>
      <c r="I64" s="36">
        <f>_xlfn.IFS(K64&lt;K$24,0,K64&lt;K$26,I$24,K64&lt;K$28,I$26,K64&lt;K$30,I$28,K64&lt;K$32,I$30,K64&lt;K$34,I$32,K64&lt;K$36,I$34,K64&lt;K$38,I$36,K64&lt;K$40,I$38,K64&lt;K$42,I$40,K64&lt;K$44,I$42,K64&lt;K$46,I$44,K64&gt;=K$46,I$46)</f>
        <v/>
      </c>
      <c r="J64" s="37">
        <f>_xlfn.IFS(K64&lt;K$24,0,K64&lt;K$25,J$24,K64&lt;K$26,J$25,K64&lt;K$27,J$26,K64&lt;K$28,J$27,K64&lt;K$29,J$28,K64&lt;K$30,J$29,K64&lt;K$31,J$30,K64&lt;K$32,J$31,K64&lt;K$33,J$32,K64&lt;K$34,J$33,K64&lt;K$35,J$34,K64&lt;K$36,J$35,K64&lt;K$37,J$36,K64&lt;K$38,J$37,K64&lt;K$39,J$38,K64&lt;K$40,J$39,K64&lt;K$41,J$40,K64&lt;K$42,J$41,K64&lt;K$43,J$42,K64&lt;K$44,J$43,K64&lt;K$45,J$44,K64&lt;K$46,J$45,K64&lt;K$47,J$46,K64&gt;=K$47,J$47)</f>
        <v/>
      </c>
      <c r="K64" s="38" t="n">
        <v>14</v>
      </c>
      <c r="L64" s="31">
        <f>K64/52</f>
        <v/>
      </c>
      <c r="M64" s="39">
        <f>J64/1000000*52</f>
        <v/>
      </c>
      <c r="N64" s="33">
        <f>M64/$P$4+($I$22/$P$4)</f>
        <v/>
      </c>
      <c r="U64">
        <f>F63</f>
        <v/>
      </c>
      <c r="V64">
        <f>H63</f>
        <v/>
      </c>
      <c r="W64">
        <f>N63</f>
        <v/>
      </c>
    </row>
    <row r="65" ht="15.75" customHeight="1" s="40">
      <c r="C65" s="36">
        <f>_xlfn.IFS(E65&lt;E$24,0,E65&lt;E$26,C$24,E65&lt;E$28,C$26,E65&lt;E$30,C$28,E65&lt;E$32,C$30,E65&lt;E$34,C$32,E65&gt;=E$34,C$34)</f>
        <v/>
      </c>
      <c r="D65" s="37">
        <f>_xlfn.IFS(E65&lt;E$24,0,E65&lt;E$25,D$24,E65&lt;E$26,D$25,E65&lt;E$27,D$26,E65&lt;E$28,D$27,E65&lt;E$29,D$28,E65&lt;E$30,D$29,E65&lt;E$31,D$30,E65&lt;E$32,D$31,E65&lt;E$33,D$32,E65&lt;E$34,D$33,E65&lt;E$35,D$34,E65&gt;=E$35,D$35)</f>
        <v/>
      </c>
      <c r="E65" s="38" t="n">
        <v>15</v>
      </c>
      <c r="F65" s="31">
        <f>E65/52</f>
        <v/>
      </c>
      <c r="G65" s="39">
        <f>D65/1000000*52</f>
        <v/>
      </c>
      <c r="H65" s="33">
        <f>G65/$P$4+($C$22/$P$4)</f>
        <v/>
      </c>
      <c r="I65" s="36">
        <f>_xlfn.IFS(K65&lt;K$24,0,K65&lt;K$26,I$24,K65&lt;K$28,I$26,K65&lt;K$30,I$28,K65&lt;K$32,I$30,K65&lt;K$34,I$32,K65&lt;K$36,I$34,K65&lt;K$38,I$36,K65&lt;K$40,I$38,K65&lt;K$42,I$40,K65&lt;K$44,I$42,K65&lt;K$46,I$44,K65&gt;=K$46,I$46)</f>
        <v/>
      </c>
      <c r="J65" s="37">
        <f>_xlfn.IFS(K65&lt;K$24,0,K65&lt;K$25,J$24,K65&lt;K$26,J$25,K65&lt;K$27,J$26,K65&lt;K$28,J$27,K65&lt;K$29,J$28,K65&lt;K$30,J$29,K65&lt;K$31,J$30,K65&lt;K$32,J$31,K65&lt;K$33,J$32,K65&lt;K$34,J$33,K65&lt;K$35,J$34,K65&lt;K$36,J$35,K65&lt;K$37,J$36,K65&lt;K$38,J$37,K65&lt;K$39,J$38,K65&lt;K$40,J$39,K65&lt;K$41,J$40,K65&lt;K$42,J$41,K65&lt;K$43,J$42,K65&lt;K$44,J$43,K65&lt;K$45,J$44,K65&lt;K$46,J$45,K65&lt;K$47,J$46,K65&gt;=K$47,J$47)</f>
        <v/>
      </c>
      <c r="K65" s="38" t="n">
        <v>15</v>
      </c>
      <c r="L65" s="31">
        <f>K65/52</f>
        <v/>
      </c>
      <c r="M65" s="39">
        <f>J65/1000000*52</f>
        <v/>
      </c>
      <c r="N65" s="33">
        <f>M65/$P$4+($I$22/$P$4)</f>
        <v/>
      </c>
      <c r="U65">
        <f>F64</f>
        <v/>
      </c>
      <c r="V65">
        <f>H64</f>
        <v/>
      </c>
      <c r="W65">
        <f>N64</f>
        <v/>
      </c>
    </row>
    <row r="66" ht="15.75" customHeight="1" s="40">
      <c r="C66" s="36">
        <f>_xlfn.IFS(E66&lt;E$24,0,E66&lt;E$26,C$24,E66&lt;E$28,C$26,E66&lt;E$30,C$28,E66&lt;E$32,C$30,E66&lt;E$34,C$32,E66&gt;=E$34,C$34)</f>
        <v/>
      </c>
      <c r="D66" s="37">
        <f>_xlfn.IFS(E66&lt;E$24,0,E66&lt;E$25,D$24,E66&lt;E$26,D$25,E66&lt;E$27,D$26,E66&lt;E$28,D$27,E66&lt;E$29,D$28,E66&lt;E$30,D$29,E66&lt;E$31,D$30,E66&lt;E$32,D$31,E66&lt;E$33,D$32,E66&lt;E$34,D$33,E66&lt;E$35,D$34,E66&gt;=E$35,D$35)</f>
        <v/>
      </c>
      <c r="E66" s="38" t="n">
        <v>16</v>
      </c>
      <c r="F66" s="31">
        <f>E66/52</f>
        <v/>
      </c>
      <c r="G66" s="39">
        <f>D66/1000000*52</f>
        <v/>
      </c>
      <c r="H66" s="33">
        <f>G66/$P$4+($C$22/$P$4)</f>
        <v/>
      </c>
      <c r="I66" s="36">
        <f>_xlfn.IFS(K66&lt;K$24,0,K66&lt;K$26,I$24,K66&lt;K$28,I$26,K66&lt;K$30,I$28,K66&lt;K$32,I$30,K66&lt;K$34,I$32,K66&lt;K$36,I$34,K66&lt;K$38,I$36,K66&lt;K$40,I$38,K66&lt;K$42,I$40,K66&lt;K$44,I$42,K66&lt;K$46,I$44,K66&gt;=K$46,I$46)</f>
        <v/>
      </c>
      <c r="J66" s="37">
        <f>_xlfn.IFS(K66&lt;K$24,0,K66&lt;K$25,J$24,K66&lt;K$26,J$25,K66&lt;K$27,J$26,K66&lt;K$28,J$27,K66&lt;K$29,J$28,K66&lt;K$30,J$29,K66&lt;K$31,J$30,K66&lt;K$32,J$31,K66&lt;K$33,J$32,K66&lt;K$34,J$33,K66&lt;K$35,J$34,K66&lt;K$36,J$35,K66&lt;K$37,J$36,K66&lt;K$38,J$37,K66&lt;K$39,J$38,K66&lt;K$40,J$39,K66&lt;K$41,J$40,K66&lt;K$42,J$41,K66&lt;K$43,J$42,K66&lt;K$44,J$43,K66&lt;K$45,J$44,K66&lt;K$46,J$45,K66&lt;K$47,J$46,K66&gt;=K$47,J$47)</f>
        <v/>
      </c>
      <c r="K66" s="38" t="n">
        <v>16</v>
      </c>
      <c r="L66" s="31">
        <f>K66/52</f>
        <v/>
      </c>
      <c r="M66" s="39">
        <f>J66/1000000*52</f>
        <v/>
      </c>
      <c r="N66" s="33">
        <f>M66/$P$4+($I$22/$P$4)</f>
        <v/>
      </c>
      <c r="U66">
        <f>F65</f>
        <v/>
      </c>
      <c r="V66">
        <f>H65</f>
        <v/>
      </c>
      <c r="W66">
        <f>N65</f>
        <v/>
      </c>
    </row>
    <row r="67" ht="15.75" customHeight="1" s="40">
      <c r="C67" s="36">
        <f>_xlfn.IFS(E67&lt;E$24,0,E67&lt;E$26,C$24,E67&lt;E$28,C$26,E67&lt;E$30,C$28,E67&lt;E$32,C$30,E67&lt;E$34,C$32,E67&gt;=E$34,C$34)</f>
        <v/>
      </c>
      <c r="D67" s="37">
        <f>_xlfn.IFS(E67&lt;E$24,0,E67&lt;E$25,D$24,E67&lt;E$26,D$25,E67&lt;E$27,D$26,E67&lt;E$28,D$27,E67&lt;E$29,D$28,E67&lt;E$30,D$29,E67&lt;E$31,D$30,E67&lt;E$32,D$31,E67&lt;E$33,D$32,E67&lt;E$34,D$33,E67&lt;E$35,D$34,E67&gt;=E$35,D$35)</f>
        <v/>
      </c>
      <c r="E67" s="38" t="n">
        <v>17</v>
      </c>
      <c r="F67" s="31">
        <f>E67/52</f>
        <v/>
      </c>
      <c r="G67" s="39">
        <f>D67/1000000*52</f>
        <v/>
      </c>
      <c r="H67" s="33">
        <f>G67/$P$4+($C$22/$P$4)</f>
        <v/>
      </c>
      <c r="I67" s="36">
        <f>_xlfn.IFS(K67&lt;K$24,0,K67&lt;K$26,I$24,K67&lt;K$28,I$26,K67&lt;K$30,I$28,K67&lt;K$32,I$30,K67&lt;K$34,I$32,K67&lt;K$36,I$34,K67&lt;K$38,I$36,K67&lt;K$40,I$38,K67&lt;K$42,I$40,K67&lt;K$44,I$42,K67&lt;K$46,I$44,K67&gt;=K$46,I$46)</f>
        <v/>
      </c>
      <c r="J67" s="37">
        <f>_xlfn.IFS(K67&lt;K$24,0,K67&lt;K$25,J$24,K67&lt;K$26,J$25,K67&lt;K$27,J$26,K67&lt;K$28,J$27,K67&lt;K$29,J$28,K67&lt;K$30,J$29,K67&lt;K$31,J$30,K67&lt;K$32,J$31,K67&lt;K$33,J$32,K67&lt;K$34,J$33,K67&lt;K$35,J$34,K67&lt;K$36,J$35,K67&lt;K$37,J$36,K67&lt;K$38,J$37,K67&lt;K$39,J$38,K67&lt;K$40,J$39,K67&lt;K$41,J$40,K67&lt;K$42,J$41,K67&lt;K$43,J$42,K67&lt;K$44,J$43,K67&lt;K$45,J$44,K67&lt;K$46,J$45,K67&lt;K$47,J$46,K67&gt;=K$47,J$47)</f>
        <v/>
      </c>
      <c r="K67" s="38" t="n">
        <v>17</v>
      </c>
      <c r="L67" s="31">
        <f>K67/52</f>
        <v/>
      </c>
      <c r="M67" s="39">
        <f>J67/1000000*52</f>
        <v/>
      </c>
      <c r="N67" s="33">
        <f>M67/$P$4+($I$22/$P$4)</f>
        <v/>
      </c>
      <c r="U67">
        <f>F66</f>
        <v/>
      </c>
      <c r="V67">
        <f>H66</f>
        <v/>
      </c>
      <c r="W67">
        <f>N66</f>
        <v/>
      </c>
    </row>
    <row r="68" ht="15.75" customHeight="1" s="40">
      <c r="C68" s="36">
        <f>_xlfn.IFS(E68&lt;E$24,0,E68&lt;E$26,C$24,E68&lt;E$28,C$26,E68&lt;E$30,C$28,E68&lt;E$32,C$30,E68&lt;E$34,C$32,E68&gt;=E$34,C$34)</f>
        <v/>
      </c>
      <c r="D68" s="37">
        <f>_xlfn.IFS(E68&lt;E$24,0,E68&lt;E$25,D$24,E68&lt;E$26,D$25,E68&lt;E$27,D$26,E68&lt;E$28,D$27,E68&lt;E$29,D$28,E68&lt;E$30,D$29,E68&lt;E$31,D$30,E68&lt;E$32,D$31,E68&lt;E$33,D$32,E68&lt;E$34,D$33,E68&lt;E$35,D$34,E68&gt;=E$35,D$35)</f>
        <v/>
      </c>
      <c r="E68" s="38" t="n">
        <v>18</v>
      </c>
      <c r="F68" s="31">
        <f>E68/52</f>
        <v/>
      </c>
      <c r="G68" s="39">
        <f>D68/1000000*52</f>
        <v/>
      </c>
      <c r="H68" s="33">
        <f>G68/$P$4+($C$22/$P$4)</f>
        <v/>
      </c>
      <c r="I68" s="36">
        <f>_xlfn.IFS(K68&lt;K$24,0,K68&lt;K$26,I$24,K68&lt;K$28,I$26,K68&lt;K$30,I$28,K68&lt;K$32,I$30,K68&lt;K$34,I$32,K68&lt;K$36,I$34,K68&lt;K$38,I$36,K68&lt;K$40,I$38,K68&lt;K$42,I$40,K68&lt;K$44,I$42,K68&lt;K$46,I$44,K68&gt;=K$46,I$46)</f>
        <v/>
      </c>
      <c r="J68" s="37">
        <f>_xlfn.IFS(K68&lt;K$24,0,K68&lt;K$25,J$24,K68&lt;K$26,J$25,K68&lt;K$27,J$26,K68&lt;K$28,J$27,K68&lt;K$29,J$28,K68&lt;K$30,J$29,K68&lt;K$31,J$30,K68&lt;K$32,J$31,K68&lt;K$33,J$32,K68&lt;K$34,J$33,K68&lt;K$35,J$34,K68&lt;K$36,J$35,K68&lt;K$37,J$36,K68&lt;K$38,J$37,K68&lt;K$39,J$38,K68&lt;K$40,J$39,K68&lt;K$41,J$40,K68&lt;K$42,J$41,K68&lt;K$43,J$42,K68&lt;K$44,J$43,K68&lt;K$45,J$44,K68&lt;K$46,J$45,K68&lt;K$47,J$46,K68&gt;=K$47,J$47)</f>
        <v/>
      </c>
      <c r="K68" s="38" t="n">
        <v>18</v>
      </c>
      <c r="L68" s="31">
        <f>K68/52</f>
        <v/>
      </c>
      <c r="M68" s="39">
        <f>J68/1000000*52</f>
        <v/>
      </c>
      <c r="N68" s="33">
        <f>M68/$P$4+($I$22/$P$4)</f>
        <v/>
      </c>
      <c r="U68">
        <f>F67</f>
        <v/>
      </c>
      <c r="V68">
        <f>H67</f>
        <v/>
      </c>
      <c r="W68">
        <f>N67</f>
        <v/>
      </c>
    </row>
    <row r="69" ht="15.75" customHeight="1" s="40">
      <c r="C69" s="36">
        <f>_xlfn.IFS(E69&lt;E$24,0,E69&lt;E$26,C$24,E69&lt;E$28,C$26,E69&lt;E$30,C$28,E69&lt;E$32,C$30,E69&lt;E$34,C$32,E69&gt;=E$34,C$34)</f>
        <v/>
      </c>
      <c r="D69" s="37">
        <f>_xlfn.IFS(E69&lt;E$24,0,E69&lt;E$25,D$24,E69&lt;E$26,D$25,E69&lt;E$27,D$26,E69&lt;E$28,D$27,E69&lt;E$29,D$28,E69&lt;E$30,D$29,E69&lt;E$31,D$30,E69&lt;E$32,D$31,E69&lt;E$33,D$32,E69&lt;E$34,D$33,E69&lt;E$35,D$34,E69&gt;=E$35,D$35)</f>
        <v/>
      </c>
      <c r="E69" s="38" t="n">
        <v>19</v>
      </c>
      <c r="F69" s="31">
        <f>E69/52</f>
        <v/>
      </c>
      <c r="G69" s="39">
        <f>D69/1000000*52</f>
        <v/>
      </c>
      <c r="H69" s="33">
        <f>G69/$P$4+($C$22/$P$4)</f>
        <v/>
      </c>
      <c r="I69" s="36">
        <f>_xlfn.IFS(K69&lt;K$24,0,K69&lt;K$26,I$24,K69&lt;K$28,I$26,K69&lt;K$30,I$28,K69&lt;K$32,I$30,K69&lt;K$34,I$32,K69&lt;K$36,I$34,K69&lt;K$38,I$36,K69&lt;K$40,I$38,K69&lt;K$42,I$40,K69&lt;K$44,I$42,K69&lt;K$46,I$44,K69&gt;=K$46,I$46)</f>
        <v/>
      </c>
      <c r="J69" s="37">
        <f>_xlfn.IFS(K69&lt;K$24,0,K69&lt;K$25,J$24,K69&lt;K$26,J$25,K69&lt;K$27,J$26,K69&lt;K$28,J$27,K69&lt;K$29,J$28,K69&lt;K$30,J$29,K69&lt;K$31,J$30,K69&lt;K$32,J$31,K69&lt;K$33,J$32,K69&lt;K$34,J$33,K69&lt;K$35,J$34,K69&lt;K$36,J$35,K69&lt;K$37,J$36,K69&lt;K$38,J$37,K69&lt;K$39,J$38,K69&lt;K$40,J$39,K69&lt;K$41,J$40,K69&lt;K$42,J$41,K69&lt;K$43,J$42,K69&lt;K$44,J$43,K69&lt;K$45,J$44,K69&lt;K$46,J$45,K69&lt;K$47,J$46,K69&gt;=K$47,J$47)</f>
        <v/>
      </c>
      <c r="K69" s="38" t="n">
        <v>19</v>
      </c>
      <c r="L69" s="31">
        <f>K69/52</f>
        <v/>
      </c>
      <c r="M69" s="39">
        <f>J69/1000000*52</f>
        <v/>
      </c>
      <c r="N69" s="33">
        <f>M69/$P$4+($I$22/$P$4)</f>
        <v/>
      </c>
      <c r="U69">
        <f>F68</f>
        <v/>
      </c>
      <c r="V69">
        <f>H68</f>
        <v/>
      </c>
      <c r="W69">
        <f>N68</f>
        <v/>
      </c>
    </row>
    <row r="70" ht="15.75" customHeight="1" s="40">
      <c r="C70" s="36">
        <f>_xlfn.IFS(E70&lt;E$24,0,E70&lt;E$26,C$24,E70&lt;E$28,C$26,E70&lt;E$30,C$28,E70&lt;E$32,C$30,E70&lt;E$34,C$32,E70&gt;=E$34,C$34)</f>
        <v/>
      </c>
      <c r="D70" s="37">
        <f>_xlfn.IFS(E70&lt;E$24,0,E70&lt;E$25,D$24,E70&lt;E$26,D$25,E70&lt;E$27,D$26,E70&lt;E$28,D$27,E70&lt;E$29,D$28,E70&lt;E$30,D$29,E70&lt;E$31,D$30,E70&lt;E$32,D$31,E70&lt;E$33,D$32,E70&lt;E$34,D$33,E70&lt;E$35,D$34,E70&gt;=E$35,D$35)</f>
        <v/>
      </c>
      <c r="E70" s="38" t="n">
        <v>20</v>
      </c>
      <c r="F70" s="31">
        <f>E70/52</f>
        <v/>
      </c>
      <c r="G70" s="39">
        <f>D70/1000000*52</f>
        <v/>
      </c>
      <c r="H70" s="33">
        <f>G70/$P$4+($C$22/$P$4)</f>
        <v/>
      </c>
      <c r="I70" s="36">
        <f>_xlfn.IFS(K70&lt;K$24,0,K70&lt;K$26,I$24,K70&lt;K$28,I$26,K70&lt;K$30,I$28,K70&lt;K$32,I$30,K70&lt;K$34,I$32,K70&lt;K$36,I$34,K70&lt;K$38,I$36,K70&lt;K$40,I$38,K70&lt;K$42,I$40,K70&lt;K$44,I$42,K70&lt;K$46,I$44,K70&gt;=K$46,I$46)</f>
        <v/>
      </c>
      <c r="J70" s="37">
        <f>_xlfn.IFS(K70&lt;K$24,0,K70&lt;K$25,J$24,K70&lt;K$26,J$25,K70&lt;K$27,J$26,K70&lt;K$28,J$27,K70&lt;K$29,J$28,K70&lt;K$30,J$29,K70&lt;K$31,J$30,K70&lt;K$32,J$31,K70&lt;K$33,J$32,K70&lt;K$34,J$33,K70&lt;K$35,J$34,K70&lt;K$36,J$35,K70&lt;K$37,J$36,K70&lt;K$38,J$37,K70&lt;K$39,J$38,K70&lt;K$40,J$39,K70&lt;K$41,J$40,K70&lt;K$42,J$41,K70&lt;K$43,J$42,K70&lt;K$44,J$43,K70&lt;K$45,J$44,K70&lt;K$46,J$45,K70&lt;K$47,J$46,K70&gt;=K$47,J$47)</f>
        <v/>
      </c>
      <c r="K70" s="38" t="n">
        <v>20</v>
      </c>
      <c r="L70" s="31">
        <f>K70/52</f>
        <v/>
      </c>
      <c r="M70" s="39">
        <f>J70/1000000*52</f>
        <v/>
      </c>
      <c r="N70" s="33">
        <f>M70/$P$4+($I$22/$P$4)</f>
        <v/>
      </c>
      <c r="U70">
        <f>F69</f>
        <v/>
      </c>
      <c r="V70">
        <f>H69</f>
        <v/>
      </c>
      <c r="W70">
        <f>N69</f>
        <v/>
      </c>
    </row>
    <row r="71" ht="15.75" customHeight="1" s="40">
      <c r="C71" s="36">
        <f>_xlfn.IFS(E71&lt;E$24,0,E71&lt;E$26,C$24,E71&lt;E$28,C$26,E71&lt;E$30,C$28,E71&lt;E$32,C$30,E71&lt;E$34,C$32,E71&gt;=E$34,C$34)</f>
        <v/>
      </c>
      <c r="D71" s="37">
        <f>_xlfn.IFS(E71&lt;E$24,0,E71&lt;E$25,D$24,E71&lt;E$26,D$25,E71&lt;E$27,D$26,E71&lt;E$28,D$27,E71&lt;E$29,D$28,E71&lt;E$30,D$29,E71&lt;E$31,D$30,E71&lt;E$32,D$31,E71&lt;E$33,D$32,E71&lt;E$34,D$33,E71&lt;E$35,D$34,E71&gt;=E$35,D$35)</f>
        <v/>
      </c>
      <c r="E71" s="38" t="n">
        <v>21</v>
      </c>
      <c r="F71" s="31">
        <f>E71/52</f>
        <v/>
      </c>
      <c r="G71" s="39">
        <f>D71/1000000*52</f>
        <v/>
      </c>
      <c r="H71" s="33">
        <f>G71/$P$4+($C$22/$P$4)</f>
        <v/>
      </c>
      <c r="I71" s="36">
        <f>_xlfn.IFS(K71&lt;K$24,0,K71&lt;K$26,I$24,K71&lt;K$28,I$26,K71&lt;K$30,I$28,K71&lt;K$32,I$30,K71&lt;K$34,I$32,K71&lt;K$36,I$34,K71&lt;K$38,I$36,K71&lt;K$40,I$38,K71&lt;K$42,I$40,K71&lt;K$44,I$42,K71&lt;K$46,I$44,K71&gt;=K$46,I$46)</f>
        <v/>
      </c>
      <c r="J71" s="37">
        <f>_xlfn.IFS(K71&lt;K$24,0,K71&lt;K$25,J$24,K71&lt;K$26,J$25,K71&lt;K$27,J$26,K71&lt;K$28,J$27,K71&lt;K$29,J$28,K71&lt;K$30,J$29,K71&lt;K$31,J$30,K71&lt;K$32,J$31,K71&lt;K$33,J$32,K71&lt;K$34,J$33,K71&lt;K$35,J$34,K71&lt;K$36,J$35,K71&lt;K$37,J$36,K71&lt;K$38,J$37,K71&lt;K$39,J$38,K71&lt;K$40,J$39,K71&lt;K$41,J$40,K71&lt;K$42,J$41,K71&lt;K$43,J$42,K71&lt;K$44,J$43,K71&lt;K$45,J$44,K71&lt;K$46,J$45,K71&lt;K$47,J$46,K71&gt;=K$47,J$47)</f>
        <v/>
      </c>
      <c r="K71" s="38" t="n">
        <v>21</v>
      </c>
      <c r="L71" s="31">
        <f>K71/52</f>
        <v/>
      </c>
      <c r="M71" s="39">
        <f>J71/1000000*52</f>
        <v/>
      </c>
      <c r="N71" s="33">
        <f>M71/$P$4+($I$22/$P$4)</f>
        <v/>
      </c>
      <c r="U71">
        <f>F70</f>
        <v/>
      </c>
      <c r="V71">
        <f>H70</f>
        <v/>
      </c>
      <c r="W71">
        <f>N70</f>
        <v/>
      </c>
    </row>
    <row r="72" ht="15.75" customHeight="1" s="40">
      <c r="C72" s="36">
        <f>_xlfn.IFS(E72&lt;E$24,0,E72&lt;E$26,C$24,E72&lt;E$28,C$26,E72&lt;E$30,C$28,E72&lt;E$32,C$30,E72&lt;E$34,C$32,E72&gt;=E$34,C$34)</f>
        <v/>
      </c>
      <c r="D72" s="37">
        <f>_xlfn.IFS(E72&lt;E$24,0,E72&lt;E$25,D$24,E72&lt;E$26,D$25,E72&lt;E$27,D$26,E72&lt;E$28,D$27,E72&lt;E$29,D$28,E72&lt;E$30,D$29,E72&lt;E$31,D$30,E72&lt;E$32,D$31,E72&lt;E$33,D$32,E72&lt;E$34,D$33,E72&lt;E$35,D$34,E72&gt;=E$35,D$35)</f>
        <v/>
      </c>
      <c r="E72" s="38" t="n">
        <v>22</v>
      </c>
      <c r="F72" s="31">
        <f>E72/52</f>
        <v/>
      </c>
      <c r="G72" s="39">
        <f>D72/1000000*52</f>
        <v/>
      </c>
      <c r="H72" s="33">
        <f>G72/$P$4+($C$22/$P$4)</f>
        <v/>
      </c>
      <c r="I72" s="36">
        <f>_xlfn.IFS(K72&lt;K$24,0,K72&lt;K$26,I$24,K72&lt;K$28,I$26,K72&lt;K$30,I$28,K72&lt;K$32,I$30,K72&lt;K$34,I$32,K72&lt;K$36,I$34,K72&lt;K$38,I$36,K72&lt;K$40,I$38,K72&lt;K$42,I$40,K72&lt;K$44,I$42,K72&lt;K$46,I$44,K72&gt;=K$46,I$46)</f>
        <v/>
      </c>
      <c r="J72" s="37">
        <f>_xlfn.IFS(K72&lt;K$24,0,K72&lt;K$25,J$24,K72&lt;K$26,J$25,K72&lt;K$27,J$26,K72&lt;K$28,J$27,K72&lt;K$29,J$28,K72&lt;K$30,J$29,K72&lt;K$31,J$30,K72&lt;K$32,J$31,K72&lt;K$33,J$32,K72&lt;K$34,J$33,K72&lt;K$35,J$34,K72&lt;K$36,J$35,K72&lt;K$37,J$36,K72&lt;K$38,J$37,K72&lt;K$39,J$38,K72&lt;K$40,J$39,K72&lt;K$41,J$40,K72&lt;K$42,J$41,K72&lt;K$43,J$42,K72&lt;K$44,J$43,K72&lt;K$45,J$44,K72&lt;K$46,J$45,K72&lt;K$47,J$46,K72&gt;=K$47,J$47)</f>
        <v/>
      </c>
      <c r="K72" s="38" t="n">
        <v>22</v>
      </c>
      <c r="L72" s="31">
        <f>K72/52</f>
        <v/>
      </c>
      <c r="M72" s="39">
        <f>J72/1000000*52</f>
        <v/>
      </c>
      <c r="N72" s="33">
        <f>M72/$P$4+($I$22/$P$4)</f>
        <v/>
      </c>
      <c r="U72">
        <f>F71</f>
        <v/>
      </c>
      <c r="V72">
        <f>H71</f>
        <v/>
      </c>
      <c r="W72">
        <f>N71</f>
        <v/>
      </c>
    </row>
    <row r="73" ht="15.75" customHeight="1" s="40">
      <c r="C73" s="36">
        <f>_xlfn.IFS(E73&lt;E$24,0,E73&lt;E$26,C$24,E73&lt;E$28,C$26,E73&lt;E$30,C$28,E73&lt;E$32,C$30,E73&lt;E$34,C$32,E73&gt;=E$34,C$34)</f>
        <v/>
      </c>
      <c r="D73" s="37">
        <f>_xlfn.IFS(E73&lt;E$24,0,E73&lt;E$25,D$24,E73&lt;E$26,D$25,E73&lt;E$27,D$26,E73&lt;E$28,D$27,E73&lt;E$29,D$28,E73&lt;E$30,D$29,E73&lt;E$31,D$30,E73&lt;E$32,D$31,E73&lt;E$33,D$32,E73&lt;E$34,D$33,E73&lt;E$35,D$34,E73&gt;=E$35,D$35)</f>
        <v/>
      </c>
      <c r="E73" s="38" t="n">
        <v>23</v>
      </c>
      <c r="F73" s="31">
        <f>E73/52</f>
        <v/>
      </c>
      <c r="G73" s="39">
        <f>D73/1000000*52</f>
        <v/>
      </c>
      <c r="H73" s="33">
        <f>G73/$P$4+($C$22/$P$4)</f>
        <v/>
      </c>
      <c r="I73" s="36">
        <f>_xlfn.IFS(K73&lt;K$24,0,K73&lt;K$26,I$24,K73&lt;K$28,I$26,K73&lt;K$30,I$28,K73&lt;K$32,I$30,K73&lt;K$34,I$32,K73&lt;K$36,I$34,K73&lt;K$38,I$36,K73&lt;K$40,I$38,K73&lt;K$42,I$40,K73&lt;K$44,I$42,K73&lt;K$46,I$44,K73&gt;=K$46,I$46)</f>
        <v/>
      </c>
      <c r="J73" s="37">
        <f>_xlfn.IFS(K73&lt;K$24,0,K73&lt;K$25,J$24,K73&lt;K$26,J$25,K73&lt;K$27,J$26,K73&lt;K$28,J$27,K73&lt;K$29,J$28,K73&lt;K$30,J$29,K73&lt;K$31,J$30,K73&lt;K$32,J$31,K73&lt;K$33,J$32,K73&lt;K$34,J$33,K73&lt;K$35,J$34,K73&lt;K$36,J$35,K73&lt;K$37,J$36,K73&lt;K$38,J$37,K73&lt;K$39,J$38,K73&lt;K$40,J$39,K73&lt;K$41,J$40,K73&lt;K$42,J$41,K73&lt;K$43,J$42,K73&lt;K$44,J$43,K73&lt;K$45,J$44,K73&lt;K$46,J$45,K73&lt;K$47,J$46,K73&gt;=K$47,J$47)</f>
        <v/>
      </c>
      <c r="K73" s="38" t="n">
        <v>23</v>
      </c>
      <c r="L73" s="31">
        <f>K73/52</f>
        <v/>
      </c>
      <c r="M73" s="39">
        <f>J73/1000000*52</f>
        <v/>
      </c>
      <c r="N73" s="33">
        <f>M73/$P$4+($I$22/$P$4)</f>
        <v/>
      </c>
      <c r="U73">
        <f>F72</f>
        <v/>
      </c>
      <c r="V73">
        <f>H72</f>
        <v/>
      </c>
      <c r="W73">
        <f>N72</f>
        <v/>
      </c>
    </row>
    <row r="74" ht="15.75" customHeight="1" s="40">
      <c r="C74" s="36">
        <f>_xlfn.IFS(E74&lt;E$24,0,E74&lt;E$26,C$24,E74&lt;E$28,C$26,E74&lt;E$30,C$28,E74&lt;E$32,C$30,E74&lt;E$34,C$32,E74&gt;=E$34,C$34)</f>
        <v/>
      </c>
      <c r="D74" s="37">
        <f>_xlfn.IFS(E74&lt;E$24,0,E74&lt;E$25,D$24,E74&lt;E$26,D$25,E74&lt;E$27,D$26,E74&lt;E$28,D$27,E74&lt;E$29,D$28,E74&lt;E$30,D$29,E74&lt;E$31,D$30,E74&lt;E$32,D$31,E74&lt;E$33,D$32,E74&lt;E$34,D$33,E74&lt;E$35,D$34,E74&gt;=E$35,D$35)</f>
        <v/>
      </c>
      <c r="E74" s="38" t="n">
        <v>24</v>
      </c>
      <c r="F74" s="31">
        <f>E74/52</f>
        <v/>
      </c>
      <c r="G74" s="39">
        <f>D74/1000000*52</f>
        <v/>
      </c>
      <c r="H74" s="33">
        <f>G74/$P$4+($C$22/$P$4)</f>
        <v/>
      </c>
      <c r="I74" s="36">
        <f>_xlfn.IFS(K74&lt;K$24,0,K74&lt;K$26,I$24,K74&lt;K$28,I$26,K74&lt;K$30,I$28,K74&lt;K$32,I$30,K74&lt;K$34,I$32,K74&lt;K$36,I$34,K74&lt;K$38,I$36,K74&lt;K$40,I$38,K74&lt;K$42,I$40,K74&lt;K$44,I$42,K74&lt;K$46,I$44,K74&gt;=K$46,I$46)</f>
        <v/>
      </c>
      <c r="J74" s="37">
        <f>_xlfn.IFS(K74&lt;K$24,0,K74&lt;K$25,J$24,K74&lt;K$26,J$25,K74&lt;K$27,J$26,K74&lt;K$28,J$27,K74&lt;K$29,J$28,K74&lt;K$30,J$29,K74&lt;K$31,J$30,K74&lt;K$32,J$31,K74&lt;K$33,J$32,K74&lt;K$34,J$33,K74&lt;K$35,J$34,K74&lt;K$36,J$35,K74&lt;K$37,J$36,K74&lt;K$38,J$37,K74&lt;K$39,J$38,K74&lt;K$40,J$39,K74&lt;K$41,J$40,K74&lt;K$42,J$41,K74&lt;K$43,J$42,K74&lt;K$44,J$43,K74&lt;K$45,J$44,K74&lt;K$46,J$45,K74&lt;K$47,J$46,K74&gt;=K$47,J$47)</f>
        <v/>
      </c>
      <c r="K74" s="38" t="n">
        <v>24</v>
      </c>
      <c r="L74" s="31">
        <f>K74/52</f>
        <v/>
      </c>
      <c r="M74" s="39">
        <f>J74/1000000*52</f>
        <v/>
      </c>
      <c r="N74" s="33">
        <f>M74/$P$4+($I$22/$P$4)</f>
        <v/>
      </c>
      <c r="U74">
        <f>F73</f>
        <v/>
      </c>
      <c r="V74">
        <f>H73</f>
        <v/>
      </c>
      <c r="W74">
        <f>N73</f>
        <v/>
      </c>
    </row>
    <row r="75" ht="15.75" customHeight="1" s="40">
      <c r="C75" s="36">
        <f>_xlfn.IFS(E75&lt;E$24,0,E75&lt;E$26,C$24,E75&lt;E$28,C$26,E75&lt;E$30,C$28,E75&lt;E$32,C$30,E75&lt;E$34,C$32,E75&gt;=E$34,C$34)</f>
        <v/>
      </c>
      <c r="D75" s="37">
        <f>_xlfn.IFS(E75&lt;E$24,0,E75&lt;E$25,D$24,E75&lt;E$26,D$25,E75&lt;E$27,D$26,E75&lt;E$28,D$27,E75&lt;E$29,D$28,E75&lt;E$30,D$29,E75&lt;E$31,D$30,E75&lt;E$32,D$31,E75&lt;E$33,D$32,E75&lt;E$34,D$33,E75&lt;E$35,D$34,E75&gt;=E$35,D$35)</f>
        <v/>
      </c>
      <c r="E75" s="38" t="n">
        <v>25</v>
      </c>
      <c r="F75" s="31">
        <f>E75/52</f>
        <v/>
      </c>
      <c r="G75" s="39">
        <f>D75/1000000*52</f>
        <v/>
      </c>
      <c r="H75" s="33">
        <f>G75/$P$4+($C$22/$P$4)</f>
        <v/>
      </c>
      <c r="I75" s="36">
        <f>_xlfn.IFS(K75&lt;K$24,0,K75&lt;K$26,I$24,K75&lt;K$28,I$26,K75&lt;K$30,I$28,K75&lt;K$32,I$30,K75&lt;K$34,I$32,K75&lt;K$36,I$34,K75&lt;K$38,I$36,K75&lt;K$40,I$38,K75&lt;K$42,I$40,K75&lt;K$44,I$42,K75&lt;K$46,I$44,K75&gt;=K$46,I$46)</f>
        <v/>
      </c>
      <c r="J75" s="37">
        <f>_xlfn.IFS(K75&lt;K$24,0,K75&lt;K$25,J$24,K75&lt;K$26,J$25,K75&lt;K$27,J$26,K75&lt;K$28,J$27,K75&lt;K$29,J$28,K75&lt;K$30,J$29,K75&lt;K$31,J$30,K75&lt;K$32,J$31,K75&lt;K$33,J$32,K75&lt;K$34,J$33,K75&lt;K$35,J$34,K75&lt;K$36,J$35,K75&lt;K$37,J$36,K75&lt;K$38,J$37,K75&lt;K$39,J$38,K75&lt;K$40,J$39,K75&lt;K$41,J$40,K75&lt;K$42,J$41,K75&lt;K$43,J$42,K75&lt;K$44,J$43,K75&lt;K$45,J$44,K75&lt;K$46,J$45,K75&lt;K$47,J$46,K75&gt;=K$47,J$47)</f>
        <v/>
      </c>
      <c r="K75" s="38" t="n">
        <v>25</v>
      </c>
      <c r="L75" s="31">
        <f>K75/52</f>
        <v/>
      </c>
      <c r="M75" s="39">
        <f>J75/1000000*52</f>
        <v/>
      </c>
      <c r="N75" s="33">
        <f>M75/$P$4+($I$22/$P$4)</f>
        <v/>
      </c>
      <c r="U75">
        <f>F74</f>
        <v/>
      </c>
      <c r="V75">
        <f>H74</f>
        <v/>
      </c>
      <c r="W75">
        <f>N74</f>
        <v/>
      </c>
    </row>
    <row r="76" ht="15.75" customHeight="1" s="40">
      <c r="C76" s="36">
        <f>_xlfn.IFS(E76&lt;E$24,0,E76&lt;E$26,C$24,E76&lt;E$28,C$26,E76&lt;E$30,C$28,E76&lt;E$32,C$30,E76&lt;E$34,C$32,E76&gt;=E$34,C$34)</f>
        <v/>
      </c>
      <c r="D76" s="37">
        <f>_xlfn.IFS(E76&lt;E$24,0,E76&lt;E$25,D$24,E76&lt;E$26,D$25,E76&lt;E$27,D$26,E76&lt;E$28,D$27,E76&lt;E$29,D$28,E76&lt;E$30,D$29,E76&lt;E$31,D$30,E76&lt;E$32,D$31,E76&lt;E$33,D$32,E76&lt;E$34,D$33,E76&lt;E$35,D$34,E76&gt;=E$35,D$35)</f>
        <v/>
      </c>
      <c r="E76" s="38" t="n">
        <v>26</v>
      </c>
      <c r="F76" s="31">
        <f>E76/52</f>
        <v/>
      </c>
      <c r="G76" s="39">
        <f>D76/1000000*52</f>
        <v/>
      </c>
      <c r="H76" s="33">
        <f>G76/$P$4+($C$22/$P$4)</f>
        <v/>
      </c>
      <c r="I76" s="36">
        <f>_xlfn.IFS(K76&lt;K$24,0,K76&lt;K$26,I$24,K76&lt;K$28,I$26,K76&lt;K$30,I$28,K76&lt;K$32,I$30,K76&lt;K$34,I$32,K76&lt;K$36,I$34,K76&lt;K$38,I$36,K76&lt;K$40,I$38,K76&lt;K$42,I$40,K76&lt;K$44,I$42,K76&lt;K$46,I$44,K76&gt;=K$46,I$46)</f>
        <v/>
      </c>
      <c r="J76" s="37">
        <f>_xlfn.IFS(K76&lt;K$24,0,K76&lt;K$25,J$24,K76&lt;K$26,J$25,K76&lt;K$27,J$26,K76&lt;K$28,J$27,K76&lt;K$29,J$28,K76&lt;K$30,J$29,K76&lt;K$31,J$30,K76&lt;K$32,J$31,K76&lt;K$33,J$32,K76&lt;K$34,J$33,K76&lt;K$35,J$34,K76&lt;K$36,J$35,K76&lt;K$37,J$36,K76&lt;K$38,J$37,K76&lt;K$39,J$38,K76&lt;K$40,J$39,K76&lt;K$41,J$40,K76&lt;K$42,J$41,K76&lt;K$43,J$42,K76&lt;K$44,J$43,K76&lt;K$45,J$44,K76&lt;K$46,J$45,K76&lt;K$47,J$46,K76&gt;=K$47,J$47)</f>
        <v/>
      </c>
      <c r="K76" s="38" t="n">
        <v>26</v>
      </c>
      <c r="L76" s="31">
        <f>K76/52</f>
        <v/>
      </c>
      <c r="M76" s="39">
        <f>J76/1000000*52</f>
        <v/>
      </c>
      <c r="N76" s="33">
        <f>M76/$P$4+($I$22/$P$4)</f>
        <v/>
      </c>
      <c r="U76">
        <f>F75</f>
        <v/>
      </c>
      <c r="V76">
        <f>H75</f>
        <v/>
      </c>
      <c r="W76">
        <f>N75</f>
        <v/>
      </c>
    </row>
    <row r="77" ht="15.75" customHeight="1" s="40">
      <c r="C77" s="36">
        <f>_xlfn.IFS(E77&lt;E$24,0,E77&lt;E$26,C$24,E77&lt;E$28,C$26,E77&lt;E$30,C$28,E77&lt;E$32,C$30,E77&lt;E$34,C$32,E77&gt;=E$34,C$34)</f>
        <v/>
      </c>
      <c r="D77" s="37">
        <f>_xlfn.IFS(E77&lt;E$24,0,E77&lt;E$25,D$24,E77&lt;E$26,D$25,E77&lt;E$27,D$26,E77&lt;E$28,D$27,E77&lt;E$29,D$28,E77&lt;E$30,D$29,E77&lt;E$31,D$30,E77&lt;E$32,D$31,E77&lt;E$33,D$32,E77&lt;E$34,D$33,E77&lt;E$35,D$34,E77&gt;=E$35,D$35)</f>
        <v/>
      </c>
      <c r="E77" s="38" t="n">
        <v>27</v>
      </c>
      <c r="F77" s="31">
        <f>E77/52</f>
        <v/>
      </c>
      <c r="G77" s="39">
        <f>D77/1000000*52</f>
        <v/>
      </c>
      <c r="H77" s="33">
        <f>G77/$P$4+($C$22/$P$4)</f>
        <v/>
      </c>
      <c r="I77" s="36">
        <f>_xlfn.IFS(K77&lt;K$24,0,K77&lt;K$26,I$24,K77&lt;K$28,I$26,K77&lt;K$30,I$28,K77&lt;K$32,I$30,K77&lt;K$34,I$32,K77&lt;K$36,I$34,K77&lt;K$38,I$36,K77&lt;K$40,I$38,K77&lt;K$42,I$40,K77&lt;K$44,I$42,K77&lt;K$46,I$44,K77&gt;=K$46,I$46)</f>
        <v/>
      </c>
      <c r="J77" s="37">
        <f>_xlfn.IFS(K77&lt;K$24,0,K77&lt;K$25,J$24,K77&lt;K$26,J$25,K77&lt;K$27,J$26,K77&lt;K$28,J$27,K77&lt;K$29,J$28,K77&lt;K$30,J$29,K77&lt;K$31,J$30,K77&lt;K$32,J$31,K77&lt;K$33,J$32,K77&lt;K$34,J$33,K77&lt;K$35,J$34,K77&lt;K$36,J$35,K77&lt;K$37,J$36,K77&lt;K$38,J$37,K77&lt;K$39,J$38,K77&lt;K$40,J$39,K77&lt;K$41,J$40,K77&lt;K$42,J$41,K77&lt;K$43,J$42,K77&lt;K$44,J$43,K77&lt;K$45,J$44,K77&lt;K$46,J$45,K77&lt;K$47,J$46,K77&gt;=K$47,J$47)</f>
        <v/>
      </c>
      <c r="K77" s="38" t="n">
        <v>27</v>
      </c>
      <c r="L77" s="31">
        <f>K77/52</f>
        <v/>
      </c>
      <c r="M77" s="39">
        <f>J77/1000000*52</f>
        <v/>
      </c>
      <c r="N77" s="33">
        <f>M77/$P$4+($I$22/$P$4)</f>
        <v/>
      </c>
      <c r="U77">
        <f>F76</f>
        <v/>
      </c>
      <c r="V77">
        <f>H76</f>
        <v/>
      </c>
      <c r="W77">
        <f>N76</f>
        <v/>
      </c>
    </row>
    <row r="78" ht="15.75" customHeight="1" s="40">
      <c r="C78" s="36">
        <f>_xlfn.IFS(E78&lt;E$24,0,E78&lt;E$26,C$24,E78&lt;E$28,C$26,E78&lt;E$30,C$28,E78&lt;E$32,C$30,E78&lt;E$34,C$32,E78&gt;=E$34,C$34)</f>
        <v/>
      </c>
      <c r="D78" s="37">
        <f>_xlfn.IFS(E78&lt;E$24,0,E78&lt;E$25,D$24,E78&lt;E$26,D$25,E78&lt;E$27,D$26,E78&lt;E$28,D$27,E78&lt;E$29,D$28,E78&lt;E$30,D$29,E78&lt;E$31,D$30,E78&lt;E$32,D$31,E78&lt;E$33,D$32,E78&lt;E$34,D$33,E78&lt;E$35,D$34,E78&gt;=E$35,D$35)</f>
        <v/>
      </c>
      <c r="E78" s="38" t="n">
        <v>28</v>
      </c>
      <c r="F78" s="31">
        <f>E78/52</f>
        <v/>
      </c>
      <c r="G78" s="39">
        <f>D78/1000000*52</f>
        <v/>
      </c>
      <c r="H78" s="33">
        <f>G78/$P$4+($C$22/$P$4)</f>
        <v/>
      </c>
      <c r="I78" s="36">
        <f>_xlfn.IFS(K78&lt;K$24,0,K78&lt;K$26,I$24,K78&lt;K$28,I$26,K78&lt;K$30,I$28,K78&lt;K$32,I$30,K78&lt;K$34,I$32,K78&lt;K$36,I$34,K78&lt;K$38,I$36,K78&lt;K$40,I$38,K78&lt;K$42,I$40,K78&lt;K$44,I$42,K78&lt;K$46,I$44,K78&gt;=K$46,I$46)</f>
        <v/>
      </c>
      <c r="J78" s="37">
        <f>_xlfn.IFS(K78&lt;K$24,0,K78&lt;K$25,J$24,K78&lt;K$26,J$25,K78&lt;K$27,J$26,K78&lt;K$28,J$27,K78&lt;K$29,J$28,K78&lt;K$30,J$29,K78&lt;K$31,J$30,K78&lt;K$32,J$31,K78&lt;K$33,J$32,K78&lt;K$34,J$33,K78&lt;K$35,J$34,K78&lt;K$36,J$35,K78&lt;K$37,J$36,K78&lt;K$38,J$37,K78&lt;K$39,J$38,K78&lt;K$40,J$39,K78&lt;K$41,J$40,K78&lt;K$42,J$41,K78&lt;K$43,J$42,K78&lt;K$44,J$43,K78&lt;K$45,J$44,K78&lt;K$46,J$45,K78&lt;K$47,J$46,K78&gt;=K$47,J$47)</f>
        <v/>
      </c>
      <c r="K78" s="38" t="n">
        <v>28</v>
      </c>
      <c r="L78" s="31">
        <f>K78/52</f>
        <v/>
      </c>
      <c r="M78" s="39">
        <f>J78/1000000*52</f>
        <v/>
      </c>
      <c r="N78" s="33">
        <f>M78/$P$4+($I$22/$P$4)</f>
        <v/>
      </c>
      <c r="U78">
        <f>F77</f>
        <v/>
      </c>
      <c r="V78">
        <f>H77</f>
        <v/>
      </c>
      <c r="W78">
        <f>N77</f>
        <v/>
      </c>
    </row>
    <row r="79" ht="15.75" customHeight="1" s="40">
      <c r="C79" s="36">
        <f>_xlfn.IFS(E79&lt;E$24,0,E79&lt;E$26,C$24,E79&lt;E$28,C$26,E79&lt;E$30,C$28,E79&lt;E$32,C$30,E79&lt;E$34,C$32,E79&gt;=E$34,C$34)</f>
        <v/>
      </c>
      <c r="D79" s="37">
        <f>_xlfn.IFS(E79&lt;E$24,0,E79&lt;E$25,D$24,E79&lt;E$26,D$25,E79&lt;E$27,D$26,E79&lt;E$28,D$27,E79&lt;E$29,D$28,E79&lt;E$30,D$29,E79&lt;E$31,D$30,E79&lt;E$32,D$31,E79&lt;E$33,D$32,E79&lt;E$34,D$33,E79&lt;E$35,D$34,E79&gt;=E$35,D$35)</f>
        <v/>
      </c>
      <c r="E79" s="38" t="n">
        <v>29</v>
      </c>
      <c r="F79" s="31">
        <f>E79/52</f>
        <v/>
      </c>
      <c r="G79" s="39">
        <f>D79/1000000*52</f>
        <v/>
      </c>
      <c r="H79" s="33">
        <f>G79/$P$4+($C$22/$P$4)</f>
        <v/>
      </c>
      <c r="I79" s="36">
        <f>_xlfn.IFS(K79&lt;K$24,0,K79&lt;K$26,I$24,K79&lt;K$28,I$26,K79&lt;K$30,I$28,K79&lt;K$32,I$30,K79&lt;K$34,I$32,K79&lt;K$36,I$34,K79&lt;K$38,I$36,K79&lt;K$40,I$38,K79&lt;K$42,I$40,K79&lt;K$44,I$42,K79&lt;K$46,I$44,K79&gt;=K$46,I$46)</f>
        <v/>
      </c>
      <c r="J79" s="37">
        <f>_xlfn.IFS(K79&lt;K$24,0,K79&lt;K$25,J$24,K79&lt;K$26,J$25,K79&lt;K$27,J$26,K79&lt;K$28,J$27,K79&lt;K$29,J$28,K79&lt;K$30,J$29,K79&lt;K$31,J$30,K79&lt;K$32,J$31,K79&lt;K$33,J$32,K79&lt;K$34,J$33,K79&lt;K$35,J$34,K79&lt;K$36,J$35,K79&lt;K$37,J$36,K79&lt;K$38,J$37,K79&lt;K$39,J$38,K79&lt;K$40,J$39,K79&lt;K$41,J$40,K79&lt;K$42,J$41,K79&lt;K$43,J$42,K79&lt;K$44,J$43,K79&lt;K$45,J$44,K79&lt;K$46,J$45,K79&lt;K$47,J$46,K79&gt;=K$47,J$47)</f>
        <v/>
      </c>
      <c r="K79" s="38" t="n">
        <v>29</v>
      </c>
      <c r="L79" s="31">
        <f>K79/52</f>
        <v/>
      </c>
      <c r="M79" s="39">
        <f>J79/1000000*52</f>
        <v/>
      </c>
      <c r="N79" s="33">
        <f>M79/$P$4+($I$22/$P$4)</f>
        <v/>
      </c>
      <c r="U79">
        <f>F78</f>
        <v/>
      </c>
      <c r="V79">
        <f>H78</f>
        <v/>
      </c>
      <c r="W79">
        <f>N78</f>
        <v/>
      </c>
    </row>
    <row r="80" ht="15.75" customHeight="1" s="40">
      <c r="C80" s="36">
        <f>_xlfn.IFS(E80&lt;E$24,0,E80&lt;E$26,C$24,E80&lt;E$28,C$26,E80&lt;E$30,C$28,E80&lt;E$32,C$30,E80&lt;E$34,C$32,E80&gt;=E$34,C$34)</f>
        <v/>
      </c>
      <c r="D80" s="37">
        <f>_xlfn.IFS(E80&lt;E$24,0,E80&lt;E$25,D$24,E80&lt;E$26,D$25,E80&lt;E$27,D$26,E80&lt;E$28,D$27,E80&lt;E$29,D$28,E80&lt;E$30,D$29,E80&lt;E$31,D$30,E80&lt;E$32,D$31,E80&lt;E$33,D$32,E80&lt;E$34,D$33,E80&lt;E$35,D$34,E80&gt;=E$35,D$35)</f>
        <v/>
      </c>
      <c r="E80" s="38" t="n">
        <v>30</v>
      </c>
      <c r="F80" s="31">
        <f>E80/52</f>
        <v/>
      </c>
      <c r="G80" s="39">
        <f>D80/1000000*52</f>
        <v/>
      </c>
      <c r="H80" s="33">
        <f>G80/$P$4+($C$22/$P$4)</f>
        <v/>
      </c>
      <c r="I80" s="36">
        <f>_xlfn.IFS(K80&lt;K$24,0,K80&lt;K$26,I$24,K80&lt;K$28,I$26,K80&lt;K$30,I$28,K80&lt;K$32,I$30,K80&lt;K$34,I$32,K80&lt;K$36,I$34,K80&lt;K$38,I$36,K80&lt;K$40,I$38,K80&lt;K$42,I$40,K80&lt;K$44,I$42,K80&lt;K$46,I$44,K80&gt;=K$46,I$46)</f>
        <v/>
      </c>
      <c r="J80" s="37">
        <f>_xlfn.IFS(K80&lt;K$24,0,K80&lt;K$25,J$24,K80&lt;K$26,J$25,K80&lt;K$27,J$26,K80&lt;K$28,J$27,K80&lt;K$29,J$28,K80&lt;K$30,J$29,K80&lt;K$31,J$30,K80&lt;K$32,J$31,K80&lt;K$33,J$32,K80&lt;K$34,J$33,K80&lt;K$35,J$34,K80&lt;K$36,J$35,K80&lt;K$37,J$36,K80&lt;K$38,J$37,K80&lt;K$39,J$38,K80&lt;K$40,J$39,K80&lt;K$41,J$40,K80&lt;K$42,J$41,K80&lt;K$43,J$42,K80&lt;K$44,J$43,K80&lt;K$45,J$44,K80&lt;K$46,J$45,K80&lt;K$47,J$46,K80&gt;=K$47,J$47)</f>
        <v/>
      </c>
      <c r="K80" s="38" t="n">
        <v>30</v>
      </c>
      <c r="L80" s="31">
        <f>K80/52</f>
        <v/>
      </c>
      <c r="M80" s="39">
        <f>J80/1000000*52</f>
        <v/>
      </c>
      <c r="N80" s="33">
        <f>M80/$P$4+($I$22/$P$4)</f>
        <v/>
      </c>
      <c r="U80">
        <f>F79</f>
        <v/>
      </c>
      <c r="V80">
        <f>H79</f>
        <v/>
      </c>
      <c r="W80">
        <f>N79</f>
        <v/>
      </c>
    </row>
    <row r="81" ht="15.75" customHeight="1" s="40">
      <c r="C81" s="36">
        <f>_xlfn.IFS(E81&lt;E$24,0,E81&lt;E$26,C$24,E81&lt;E$28,C$26,E81&lt;E$30,C$28,E81&lt;E$32,C$30,E81&lt;E$34,C$32,E81&gt;=E$34,C$34)</f>
        <v/>
      </c>
      <c r="D81" s="37">
        <f>_xlfn.IFS(E81&lt;E$24,0,E81&lt;E$25,D$24,E81&lt;E$26,D$25,E81&lt;E$27,D$26,E81&lt;E$28,D$27,E81&lt;E$29,D$28,E81&lt;E$30,D$29,E81&lt;E$31,D$30,E81&lt;E$32,D$31,E81&lt;E$33,D$32,E81&lt;E$34,D$33,E81&lt;E$35,D$34,E81&gt;=E$35,D$35)</f>
        <v/>
      </c>
      <c r="E81" s="38" t="n">
        <v>31</v>
      </c>
      <c r="F81" s="31">
        <f>E81/52</f>
        <v/>
      </c>
      <c r="G81" s="39">
        <f>D81/1000000*52</f>
        <v/>
      </c>
      <c r="H81" s="33">
        <f>G81/$P$4+($C$22/$P$4)</f>
        <v/>
      </c>
      <c r="I81" s="36">
        <f>_xlfn.IFS(K81&lt;K$24,0,K81&lt;K$26,I$24,K81&lt;K$28,I$26,K81&lt;K$30,I$28,K81&lt;K$32,I$30,K81&lt;K$34,I$32,K81&lt;K$36,I$34,K81&lt;K$38,I$36,K81&lt;K$40,I$38,K81&lt;K$42,I$40,K81&lt;K$44,I$42,K81&lt;K$46,I$44,K81&gt;=K$46,I$46)</f>
        <v/>
      </c>
      <c r="J81" s="37">
        <f>_xlfn.IFS(K81&lt;K$24,0,K81&lt;K$25,J$24,K81&lt;K$26,J$25,K81&lt;K$27,J$26,K81&lt;K$28,J$27,K81&lt;K$29,J$28,K81&lt;K$30,J$29,K81&lt;K$31,J$30,K81&lt;K$32,J$31,K81&lt;K$33,J$32,K81&lt;K$34,J$33,K81&lt;K$35,J$34,K81&lt;K$36,J$35,K81&lt;K$37,J$36,K81&lt;K$38,J$37,K81&lt;K$39,J$38,K81&lt;K$40,J$39,K81&lt;K$41,J$40,K81&lt;K$42,J$41,K81&lt;K$43,J$42,K81&lt;K$44,J$43,K81&lt;K$45,J$44,K81&lt;K$46,J$45,K81&lt;K$47,J$46,K81&gt;=K$47,J$47)</f>
        <v/>
      </c>
      <c r="K81" s="38" t="n">
        <v>31</v>
      </c>
      <c r="L81" s="31">
        <f>K81/52</f>
        <v/>
      </c>
      <c r="M81" s="39">
        <f>J81/1000000*52</f>
        <v/>
      </c>
      <c r="N81" s="33">
        <f>M81/$P$4+($I$22/$P$4)</f>
        <v/>
      </c>
      <c r="U81">
        <f>F80</f>
        <v/>
      </c>
      <c r="V81">
        <f>H80</f>
        <v/>
      </c>
      <c r="W81">
        <f>N80</f>
        <v/>
      </c>
    </row>
    <row r="82" ht="15.75" customHeight="1" s="40">
      <c r="C82" s="36">
        <f>_xlfn.IFS(E82&lt;E$24,0,E82&lt;E$26,C$24,E82&lt;E$28,C$26,E82&lt;E$30,C$28,E82&lt;E$32,C$30,E82&lt;E$34,C$32,E82&gt;=E$34,C$34)</f>
        <v/>
      </c>
      <c r="D82" s="37">
        <f>_xlfn.IFS(E82&lt;E$24,0,E82&lt;E$25,D$24,E82&lt;E$26,D$25,E82&lt;E$27,D$26,E82&lt;E$28,D$27,E82&lt;E$29,D$28,E82&lt;E$30,D$29,E82&lt;E$31,D$30,E82&lt;E$32,D$31,E82&lt;E$33,D$32,E82&lt;E$34,D$33,E82&lt;E$35,D$34,E82&gt;=E$35,D$35)</f>
        <v/>
      </c>
      <c r="E82" s="38" t="n">
        <v>32</v>
      </c>
      <c r="F82" s="31">
        <f>E82/52</f>
        <v/>
      </c>
      <c r="G82" s="39">
        <f>D82/1000000*52</f>
        <v/>
      </c>
      <c r="H82" s="33">
        <f>G82/$P$4+($C$22/$P$4)</f>
        <v/>
      </c>
      <c r="I82" s="36">
        <f>_xlfn.IFS(K82&lt;K$24,0,K82&lt;K$26,I$24,K82&lt;K$28,I$26,K82&lt;K$30,I$28,K82&lt;K$32,I$30,K82&lt;K$34,I$32,K82&lt;K$36,I$34,K82&lt;K$38,I$36,K82&lt;K$40,I$38,K82&lt;K$42,I$40,K82&lt;K$44,I$42,K82&lt;K$46,I$44,K82&gt;=K$46,I$46)</f>
        <v/>
      </c>
      <c r="J82" s="37">
        <f>_xlfn.IFS(K82&lt;K$24,0,K82&lt;K$25,J$24,K82&lt;K$26,J$25,K82&lt;K$27,J$26,K82&lt;K$28,J$27,K82&lt;K$29,J$28,K82&lt;K$30,J$29,K82&lt;K$31,J$30,K82&lt;K$32,J$31,K82&lt;K$33,J$32,K82&lt;K$34,J$33,K82&lt;K$35,J$34,K82&lt;K$36,J$35,K82&lt;K$37,J$36,K82&lt;K$38,J$37,K82&lt;K$39,J$38,K82&lt;K$40,J$39,K82&lt;K$41,J$40,K82&lt;K$42,J$41,K82&lt;K$43,J$42,K82&lt;K$44,J$43,K82&lt;K$45,J$44,K82&lt;K$46,J$45,K82&lt;K$47,J$46,K82&gt;=K$47,J$47)</f>
        <v/>
      </c>
      <c r="K82" s="38" t="n">
        <v>32</v>
      </c>
      <c r="L82" s="31">
        <f>K82/52</f>
        <v/>
      </c>
      <c r="M82" s="39">
        <f>J82/1000000*52</f>
        <v/>
      </c>
      <c r="N82" s="33">
        <f>M82/$P$4+($I$22/$P$4)</f>
        <v/>
      </c>
      <c r="U82">
        <f>F81</f>
        <v/>
      </c>
      <c r="V82">
        <f>H81</f>
        <v/>
      </c>
      <c r="W82">
        <f>N81</f>
        <v/>
      </c>
    </row>
    <row r="83" ht="15.75" customHeight="1" s="40">
      <c r="C83" s="36">
        <f>_xlfn.IFS(E83&lt;E$24,0,E83&lt;E$26,C$24,E83&lt;E$28,C$26,E83&lt;E$30,C$28,E83&lt;E$32,C$30,E83&lt;E$34,C$32,E83&gt;=E$34,C$34)</f>
        <v/>
      </c>
      <c r="D83" s="37">
        <f>_xlfn.IFS(E83&lt;E$24,0,E83&lt;E$25,D$24,E83&lt;E$26,D$25,E83&lt;E$27,D$26,E83&lt;E$28,D$27,E83&lt;E$29,D$28,E83&lt;E$30,D$29,E83&lt;E$31,D$30,E83&lt;E$32,D$31,E83&lt;E$33,D$32,E83&lt;E$34,D$33,E83&lt;E$35,D$34,E83&gt;=E$35,D$35)</f>
        <v/>
      </c>
      <c r="E83" s="38" t="n">
        <v>33</v>
      </c>
      <c r="F83" s="31">
        <f>E83/52</f>
        <v/>
      </c>
      <c r="G83" s="39">
        <f>D83/1000000*52</f>
        <v/>
      </c>
      <c r="H83" s="33">
        <f>G83/$P$4+($C$22/$P$4)</f>
        <v/>
      </c>
      <c r="I83" s="36">
        <f>_xlfn.IFS(K83&lt;K$24,0,K83&lt;K$26,I$24,K83&lt;K$28,I$26,K83&lt;K$30,I$28,K83&lt;K$32,I$30,K83&lt;K$34,I$32,K83&lt;K$36,I$34,K83&lt;K$38,I$36,K83&lt;K$40,I$38,K83&lt;K$42,I$40,K83&lt;K$44,I$42,K83&lt;K$46,I$44,K83&gt;=K$46,I$46)</f>
        <v/>
      </c>
      <c r="J83" s="37">
        <f>_xlfn.IFS(K83&lt;K$24,0,K83&lt;K$25,J$24,K83&lt;K$26,J$25,K83&lt;K$27,J$26,K83&lt;K$28,J$27,K83&lt;K$29,J$28,K83&lt;K$30,J$29,K83&lt;K$31,J$30,K83&lt;K$32,J$31,K83&lt;K$33,J$32,K83&lt;K$34,J$33,K83&lt;K$35,J$34,K83&lt;K$36,J$35,K83&lt;K$37,J$36,K83&lt;K$38,J$37,K83&lt;K$39,J$38,K83&lt;K$40,J$39,K83&lt;K$41,J$40,K83&lt;K$42,J$41,K83&lt;K$43,J$42,K83&lt;K$44,J$43,K83&lt;K$45,J$44,K83&lt;K$46,J$45,K83&lt;K$47,J$46,K83&gt;=K$47,J$47)</f>
        <v/>
      </c>
      <c r="K83" s="38" t="n">
        <v>33</v>
      </c>
      <c r="L83" s="31">
        <f>K83/52</f>
        <v/>
      </c>
      <c r="M83" s="39">
        <f>J83/1000000*52</f>
        <v/>
      </c>
      <c r="N83" s="33">
        <f>M83/$P$4+($I$22/$P$4)</f>
        <v/>
      </c>
      <c r="U83">
        <f>F82</f>
        <v/>
      </c>
      <c r="V83">
        <f>H82</f>
        <v/>
      </c>
      <c r="W83">
        <f>N82</f>
        <v/>
      </c>
    </row>
    <row r="84" ht="15.75" customHeight="1" s="40">
      <c r="C84" s="36">
        <f>_xlfn.IFS(E84&lt;E$24,0,E84&lt;E$26,C$24,E84&lt;E$28,C$26,E84&lt;E$30,C$28,E84&lt;E$32,C$30,E84&lt;E$34,C$32,E84&gt;=E$34,C$34)</f>
        <v/>
      </c>
      <c r="D84" s="37">
        <f>_xlfn.IFS(E84&lt;E$24,0,E84&lt;E$25,D$24,E84&lt;E$26,D$25,E84&lt;E$27,D$26,E84&lt;E$28,D$27,E84&lt;E$29,D$28,E84&lt;E$30,D$29,E84&lt;E$31,D$30,E84&lt;E$32,D$31,E84&lt;E$33,D$32,E84&lt;E$34,D$33,E84&lt;E$35,D$34,E84&gt;=E$35,D$35)</f>
        <v/>
      </c>
      <c r="E84" s="38" t="n">
        <v>34</v>
      </c>
      <c r="F84" s="31">
        <f>E84/52</f>
        <v/>
      </c>
      <c r="G84" s="39">
        <f>D84/1000000*52</f>
        <v/>
      </c>
      <c r="H84" s="33">
        <f>G84/$P$4+($C$22/$P$4)</f>
        <v/>
      </c>
      <c r="I84" s="36">
        <f>_xlfn.IFS(K84&lt;K$24,0,K84&lt;K$26,I$24,K84&lt;K$28,I$26,K84&lt;K$30,I$28,K84&lt;K$32,I$30,K84&lt;K$34,I$32,K84&lt;K$36,I$34,K84&lt;K$38,I$36,K84&lt;K$40,I$38,K84&lt;K$42,I$40,K84&lt;K$44,I$42,K84&lt;K$46,I$44,K84&gt;=K$46,I$46)</f>
        <v/>
      </c>
      <c r="J84" s="37">
        <f>_xlfn.IFS(K84&lt;K$24,0,K84&lt;K$25,J$24,K84&lt;K$26,J$25,K84&lt;K$27,J$26,K84&lt;K$28,J$27,K84&lt;K$29,J$28,K84&lt;K$30,J$29,K84&lt;K$31,J$30,K84&lt;K$32,J$31,K84&lt;K$33,J$32,K84&lt;K$34,J$33,K84&lt;K$35,J$34,K84&lt;K$36,J$35,K84&lt;K$37,J$36,K84&lt;K$38,J$37,K84&lt;K$39,J$38,K84&lt;K$40,J$39,K84&lt;K$41,J$40,K84&lt;K$42,J$41,K84&lt;K$43,J$42,K84&lt;K$44,J$43,K84&lt;K$45,J$44,K84&lt;K$46,J$45,K84&lt;K$47,J$46,K84&gt;=K$47,J$47)</f>
        <v/>
      </c>
      <c r="K84" s="38" t="n">
        <v>34</v>
      </c>
      <c r="L84" s="31">
        <f>K84/52</f>
        <v/>
      </c>
      <c r="M84" s="39">
        <f>J84/1000000*52</f>
        <v/>
      </c>
      <c r="N84" s="33">
        <f>M84/$P$4+($I$22/$P$4)</f>
        <v/>
      </c>
      <c r="U84">
        <f>F83</f>
        <v/>
      </c>
      <c r="V84">
        <f>H83</f>
        <v/>
      </c>
      <c r="W84">
        <f>N83</f>
        <v/>
      </c>
    </row>
    <row r="85" ht="15.75" customHeight="1" s="40">
      <c r="C85" s="36">
        <f>_xlfn.IFS(E85&lt;E$24,0,E85&lt;E$26,C$24,E85&lt;E$28,C$26,E85&lt;E$30,C$28,E85&lt;E$32,C$30,E85&lt;E$34,C$32,E85&gt;=E$34,C$34)</f>
        <v/>
      </c>
      <c r="D85" s="37">
        <f>_xlfn.IFS(E85&lt;E$24,0,E85&lt;E$25,D$24,E85&lt;E$26,D$25,E85&lt;E$27,D$26,E85&lt;E$28,D$27,E85&lt;E$29,D$28,E85&lt;E$30,D$29,E85&lt;E$31,D$30,E85&lt;E$32,D$31,E85&lt;E$33,D$32,E85&lt;E$34,D$33,E85&lt;E$35,D$34,E85&gt;=E$35,D$35)</f>
        <v/>
      </c>
      <c r="E85" s="38" t="n">
        <v>35</v>
      </c>
      <c r="F85" s="31">
        <f>E85/52</f>
        <v/>
      </c>
      <c r="G85" s="39">
        <f>D85/1000000*52</f>
        <v/>
      </c>
      <c r="H85" s="33">
        <f>G85/$P$4+($C$22/$P$4)</f>
        <v/>
      </c>
      <c r="I85" s="36">
        <f>_xlfn.IFS(K85&lt;K$24,0,K85&lt;K$26,I$24,K85&lt;K$28,I$26,K85&lt;K$30,I$28,K85&lt;K$32,I$30,K85&lt;K$34,I$32,K85&lt;K$36,I$34,K85&lt;K$38,I$36,K85&lt;K$40,I$38,K85&lt;K$42,I$40,K85&lt;K$44,I$42,K85&lt;K$46,I$44,K85&gt;=K$46,I$46)</f>
        <v/>
      </c>
      <c r="J85" s="37">
        <f>_xlfn.IFS(K85&lt;K$24,0,K85&lt;K$25,J$24,K85&lt;K$26,J$25,K85&lt;K$27,J$26,K85&lt;K$28,J$27,K85&lt;K$29,J$28,K85&lt;K$30,J$29,K85&lt;K$31,J$30,K85&lt;K$32,J$31,K85&lt;K$33,J$32,K85&lt;K$34,J$33,K85&lt;K$35,J$34,K85&lt;K$36,J$35,K85&lt;K$37,J$36,K85&lt;K$38,J$37,K85&lt;K$39,J$38,K85&lt;K$40,J$39,K85&lt;K$41,J$40,K85&lt;K$42,J$41,K85&lt;K$43,J$42,K85&lt;K$44,J$43,K85&lt;K$45,J$44,K85&lt;K$46,J$45,K85&lt;K$47,J$46,K85&gt;=K$47,J$47)</f>
        <v/>
      </c>
      <c r="K85" s="38" t="n">
        <v>35</v>
      </c>
      <c r="L85" s="31">
        <f>K85/52</f>
        <v/>
      </c>
      <c r="M85" s="39">
        <f>J85/1000000*52</f>
        <v/>
      </c>
      <c r="N85" s="33">
        <f>M85/$P$4+($I$22/$P$4)</f>
        <v/>
      </c>
      <c r="U85">
        <f>F84</f>
        <v/>
      </c>
      <c r="V85">
        <f>H84</f>
        <v/>
      </c>
      <c r="W85">
        <f>N84</f>
        <v/>
      </c>
    </row>
    <row r="86" ht="15.75" customHeight="1" s="40">
      <c r="C86" s="36">
        <f>_xlfn.IFS(E86&lt;E$24,0,E86&lt;E$26,C$24,E86&lt;E$28,C$26,E86&lt;E$30,C$28,E86&lt;E$32,C$30,E86&lt;E$34,C$32,E86&gt;=E$34,C$34)</f>
        <v/>
      </c>
      <c r="D86" s="37">
        <f>_xlfn.IFS(E86&lt;E$24,0,E86&lt;E$25,D$24,E86&lt;E$26,D$25,E86&lt;E$27,D$26,E86&lt;E$28,D$27,E86&lt;E$29,D$28,E86&lt;E$30,D$29,E86&lt;E$31,D$30,E86&lt;E$32,D$31,E86&lt;E$33,D$32,E86&lt;E$34,D$33,E86&lt;E$35,D$34,E86&gt;=E$35,D$35)</f>
        <v/>
      </c>
      <c r="E86" s="38" t="n">
        <v>36</v>
      </c>
      <c r="F86" s="31">
        <f>E86/52</f>
        <v/>
      </c>
      <c r="G86" s="39">
        <f>D86/1000000*52</f>
        <v/>
      </c>
      <c r="H86" s="33">
        <f>G86/$P$4+($C$22/$P$4)</f>
        <v/>
      </c>
      <c r="I86" s="36">
        <f>_xlfn.IFS(K86&lt;K$24,0,K86&lt;K$26,I$24,K86&lt;K$28,I$26,K86&lt;K$30,I$28,K86&lt;K$32,I$30,K86&lt;K$34,I$32,K86&lt;K$36,I$34,K86&lt;K$38,I$36,K86&lt;K$40,I$38,K86&lt;K$42,I$40,K86&lt;K$44,I$42,K86&lt;K$46,I$44,K86&gt;=K$46,I$46)</f>
        <v/>
      </c>
      <c r="J86" s="37">
        <f>_xlfn.IFS(K86&lt;K$24,0,K86&lt;K$25,J$24,K86&lt;K$26,J$25,K86&lt;K$27,J$26,K86&lt;K$28,J$27,K86&lt;K$29,J$28,K86&lt;K$30,J$29,K86&lt;K$31,J$30,K86&lt;K$32,J$31,K86&lt;K$33,J$32,K86&lt;K$34,J$33,K86&lt;K$35,J$34,K86&lt;K$36,J$35,K86&lt;K$37,J$36,K86&lt;K$38,J$37,K86&lt;K$39,J$38,K86&lt;K$40,J$39,K86&lt;K$41,J$40,K86&lt;K$42,J$41,K86&lt;K$43,J$42,K86&lt;K$44,J$43,K86&lt;K$45,J$44,K86&lt;K$46,J$45,K86&lt;K$47,J$46,K86&gt;=K$47,J$47)</f>
        <v/>
      </c>
      <c r="K86" s="38" t="n">
        <v>36</v>
      </c>
      <c r="L86" s="31">
        <f>K86/52</f>
        <v/>
      </c>
      <c r="M86" s="39">
        <f>J86/1000000*52</f>
        <v/>
      </c>
      <c r="N86" s="33">
        <f>M86/$P$4+($I$22/$P$4)</f>
        <v/>
      </c>
      <c r="U86">
        <f>F85</f>
        <v/>
      </c>
      <c r="V86">
        <f>H85</f>
        <v/>
      </c>
      <c r="W86">
        <f>N85</f>
        <v/>
      </c>
    </row>
    <row r="87" ht="15.75" customHeight="1" s="40">
      <c r="C87" s="36">
        <f>_xlfn.IFS(E87&lt;E$24,0,E87&lt;E$26,C$24,E87&lt;E$28,C$26,E87&lt;E$30,C$28,E87&lt;E$32,C$30,E87&lt;E$34,C$32,E87&gt;=E$34,C$34)</f>
        <v/>
      </c>
      <c r="D87" s="37">
        <f>_xlfn.IFS(E87&lt;E$24,0,E87&lt;E$25,D$24,E87&lt;E$26,D$25,E87&lt;E$27,D$26,E87&lt;E$28,D$27,E87&lt;E$29,D$28,E87&lt;E$30,D$29,E87&lt;E$31,D$30,E87&lt;E$32,D$31,E87&lt;E$33,D$32,E87&lt;E$34,D$33,E87&lt;E$35,D$34,E87&gt;=E$35,D$35)</f>
        <v/>
      </c>
      <c r="E87" s="38" t="n">
        <v>37</v>
      </c>
      <c r="F87" s="31">
        <f>E87/52</f>
        <v/>
      </c>
      <c r="G87" s="39">
        <f>D87/1000000*52</f>
        <v/>
      </c>
      <c r="H87" s="33">
        <f>G87/$P$4+($C$22/$P$4)</f>
        <v/>
      </c>
      <c r="I87" s="36">
        <f>_xlfn.IFS(K87&lt;K$24,0,K87&lt;K$26,I$24,K87&lt;K$28,I$26,K87&lt;K$30,I$28,K87&lt;K$32,I$30,K87&lt;K$34,I$32,K87&lt;K$36,I$34,K87&lt;K$38,I$36,K87&lt;K$40,I$38,K87&lt;K$42,I$40,K87&lt;K$44,I$42,K87&lt;K$46,I$44,K87&gt;=K$46,I$46)</f>
        <v/>
      </c>
      <c r="J87" s="37">
        <f>_xlfn.IFS(K87&lt;K$24,0,K87&lt;K$25,J$24,K87&lt;K$26,J$25,K87&lt;K$27,J$26,K87&lt;K$28,J$27,K87&lt;K$29,J$28,K87&lt;K$30,J$29,K87&lt;K$31,J$30,K87&lt;K$32,J$31,K87&lt;K$33,J$32,K87&lt;K$34,J$33,K87&lt;K$35,J$34,K87&lt;K$36,J$35,K87&lt;K$37,J$36,K87&lt;K$38,J$37,K87&lt;K$39,J$38,K87&lt;K$40,J$39,K87&lt;K$41,J$40,K87&lt;K$42,J$41,K87&lt;K$43,J$42,K87&lt;K$44,J$43,K87&lt;K$45,J$44,K87&lt;K$46,J$45,K87&lt;K$47,J$46,K87&gt;=K$47,J$47)</f>
        <v/>
      </c>
      <c r="K87" s="38" t="n">
        <v>37</v>
      </c>
      <c r="L87" s="31">
        <f>K87/52</f>
        <v/>
      </c>
      <c r="M87" s="39">
        <f>J87/1000000*52</f>
        <v/>
      </c>
      <c r="N87" s="33">
        <f>M87/$P$4+($I$22/$P$4)</f>
        <v/>
      </c>
      <c r="U87">
        <f>F86</f>
        <v/>
      </c>
      <c r="V87">
        <f>H86</f>
        <v/>
      </c>
      <c r="W87">
        <f>N86</f>
        <v/>
      </c>
    </row>
    <row r="88" ht="15.75" customHeight="1" s="40">
      <c r="C88" s="36">
        <f>_xlfn.IFS(E88&lt;E$24,0,E88&lt;E$26,C$24,E88&lt;E$28,C$26,E88&lt;E$30,C$28,E88&lt;E$32,C$30,E88&lt;E$34,C$32,E88&gt;=E$34,C$34)</f>
        <v/>
      </c>
      <c r="D88" s="37">
        <f>_xlfn.IFS(E88&lt;E$24,0,E88&lt;E$25,D$24,E88&lt;E$26,D$25,E88&lt;E$27,D$26,E88&lt;E$28,D$27,E88&lt;E$29,D$28,E88&lt;E$30,D$29,E88&lt;E$31,D$30,E88&lt;E$32,D$31,E88&lt;E$33,D$32,E88&lt;E$34,D$33,E88&lt;E$35,D$34,E88&gt;=E$35,D$35)</f>
        <v/>
      </c>
      <c r="E88" s="38" t="n">
        <v>38</v>
      </c>
      <c r="F88" s="31">
        <f>E88/52</f>
        <v/>
      </c>
      <c r="G88" s="39">
        <f>D88/1000000*52</f>
        <v/>
      </c>
      <c r="H88" s="33">
        <f>G88/$P$4+($C$22/$P$4)</f>
        <v/>
      </c>
      <c r="I88" s="36">
        <f>_xlfn.IFS(K88&lt;K$24,0,K88&lt;K$26,I$24,K88&lt;K$28,I$26,K88&lt;K$30,I$28,K88&lt;K$32,I$30,K88&lt;K$34,I$32,K88&lt;K$36,I$34,K88&lt;K$38,I$36,K88&lt;K$40,I$38,K88&lt;K$42,I$40,K88&lt;K$44,I$42,K88&lt;K$46,I$44,K88&gt;=K$46,I$46)</f>
        <v/>
      </c>
      <c r="J88" s="37">
        <f>_xlfn.IFS(K88&lt;K$24,0,K88&lt;K$25,J$24,K88&lt;K$26,J$25,K88&lt;K$27,J$26,K88&lt;K$28,J$27,K88&lt;K$29,J$28,K88&lt;K$30,J$29,K88&lt;K$31,J$30,K88&lt;K$32,J$31,K88&lt;K$33,J$32,K88&lt;K$34,J$33,K88&lt;K$35,J$34,K88&lt;K$36,J$35,K88&lt;K$37,J$36,K88&lt;K$38,J$37,K88&lt;K$39,J$38,K88&lt;K$40,J$39,K88&lt;K$41,J$40,K88&lt;K$42,J$41,K88&lt;K$43,J$42,K88&lt;K$44,J$43,K88&lt;K$45,J$44,K88&lt;K$46,J$45,K88&lt;K$47,J$46,K88&gt;=K$47,J$47)</f>
        <v/>
      </c>
      <c r="K88" s="38" t="n">
        <v>38</v>
      </c>
      <c r="L88" s="31">
        <f>K88/52</f>
        <v/>
      </c>
      <c r="M88" s="39">
        <f>J88/1000000*52</f>
        <v/>
      </c>
      <c r="N88" s="33">
        <f>M88/$P$4+($I$22/$P$4)</f>
        <v/>
      </c>
      <c r="U88">
        <f>F87</f>
        <v/>
      </c>
      <c r="V88">
        <f>H87</f>
        <v/>
      </c>
      <c r="W88">
        <f>N87</f>
        <v/>
      </c>
    </row>
    <row r="89" ht="15.75" customHeight="1" s="40">
      <c r="C89" s="36">
        <f>_xlfn.IFS(E89&lt;E$24,0,E89&lt;E$26,C$24,E89&lt;E$28,C$26,E89&lt;E$30,C$28,E89&lt;E$32,C$30,E89&lt;E$34,C$32,E89&gt;=E$34,C$34)</f>
        <v/>
      </c>
      <c r="D89" s="37">
        <f>_xlfn.IFS(E89&lt;E$24,0,E89&lt;E$25,D$24,E89&lt;E$26,D$25,E89&lt;E$27,D$26,E89&lt;E$28,D$27,E89&lt;E$29,D$28,E89&lt;E$30,D$29,E89&lt;E$31,D$30,E89&lt;E$32,D$31,E89&lt;E$33,D$32,E89&lt;E$34,D$33,E89&lt;E$35,D$34,E89&gt;=E$35,D$35)</f>
        <v/>
      </c>
      <c r="E89" s="38" t="n">
        <v>39</v>
      </c>
      <c r="F89" s="31">
        <f>E89/52</f>
        <v/>
      </c>
      <c r="G89" s="39">
        <f>D89/1000000*52</f>
        <v/>
      </c>
      <c r="H89" s="33">
        <f>G89/$P$4+($C$22/$P$4)</f>
        <v/>
      </c>
      <c r="I89" s="36">
        <f>_xlfn.IFS(K89&lt;K$24,0,K89&lt;K$26,I$24,K89&lt;K$28,I$26,K89&lt;K$30,I$28,K89&lt;K$32,I$30,K89&lt;K$34,I$32,K89&lt;K$36,I$34,K89&lt;K$38,I$36,K89&lt;K$40,I$38,K89&lt;K$42,I$40,K89&lt;K$44,I$42,K89&lt;K$46,I$44,K89&gt;=K$46,I$46)</f>
        <v/>
      </c>
      <c r="J89" s="37">
        <f>_xlfn.IFS(K89&lt;K$24,0,K89&lt;K$25,J$24,K89&lt;K$26,J$25,K89&lt;K$27,J$26,K89&lt;K$28,J$27,K89&lt;K$29,J$28,K89&lt;K$30,J$29,K89&lt;K$31,J$30,K89&lt;K$32,J$31,K89&lt;K$33,J$32,K89&lt;K$34,J$33,K89&lt;K$35,J$34,K89&lt;K$36,J$35,K89&lt;K$37,J$36,K89&lt;K$38,J$37,K89&lt;K$39,J$38,K89&lt;K$40,J$39,K89&lt;K$41,J$40,K89&lt;K$42,J$41,K89&lt;K$43,J$42,K89&lt;K$44,J$43,K89&lt;K$45,J$44,K89&lt;K$46,J$45,K89&lt;K$47,J$46,K89&gt;=K$47,J$47)</f>
        <v/>
      </c>
      <c r="K89" s="38" t="n">
        <v>39</v>
      </c>
      <c r="L89" s="31">
        <f>K89/52</f>
        <v/>
      </c>
      <c r="M89" s="39">
        <f>J89/1000000*52</f>
        <v/>
      </c>
      <c r="N89" s="33">
        <f>M89/$P$4+($I$22/$P$4)</f>
        <v/>
      </c>
      <c r="U89">
        <f>F88</f>
        <v/>
      </c>
      <c r="V89">
        <f>H88</f>
        <v/>
      </c>
      <c r="W89">
        <f>N88</f>
        <v/>
      </c>
    </row>
    <row r="90" ht="15.75" customHeight="1" s="40">
      <c r="C90" s="36">
        <f>_xlfn.IFS(E90&lt;E$24,0,E90&lt;E$26,C$24,E90&lt;E$28,C$26,E90&lt;E$30,C$28,E90&lt;E$32,C$30,E90&lt;E$34,C$32,E90&gt;=E$34,C$34)</f>
        <v/>
      </c>
      <c r="D90" s="37">
        <f>_xlfn.IFS(E90&lt;E$24,0,E90&lt;E$25,D$24,E90&lt;E$26,D$25,E90&lt;E$27,D$26,E90&lt;E$28,D$27,E90&lt;E$29,D$28,E90&lt;E$30,D$29,E90&lt;E$31,D$30,E90&lt;E$32,D$31,E90&lt;E$33,D$32,E90&lt;E$34,D$33,E90&lt;E$35,D$34,E90&gt;=E$35,D$35)</f>
        <v/>
      </c>
      <c r="E90" s="38" t="n">
        <v>40</v>
      </c>
      <c r="F90" s="31">
        <f>E90/52</f>
        <v/>
      </c>
      <c r="G90" s="39">
        <f>D90/1000000*52</f>
        <v/>
      </c>
      <c r="H90" s="33">
        <f>G90/$P$4+($C$22/$P$4)</f>
        <v/>
      </c>
      <c r="I90" s="36">
        <f>_xlfn.IFS(K90&lt;K$24,0,K90&lt;K$26,I$24,K90&lt;K$28,I$26,K90&lt;K$30,I$28,K90&lt;K$32,I$30,K90&lt;K$34,I$32,K90&lt;K$36,I$34,K90&lt;K$38,I$36,K90&lt;K$40,I$38,K90&lt;K$42,I$40,K90&lt;K$44,I$42,K90&lt;K$46,I$44,K90&gt;=K$46,I$46)</f>
        <v/>
      </c>
      <c r="J90" s="37">
        <f>_xlfn.IFS(K90&lt;K$24,0,K90&lt;K$25,J$24,K90&lt;K$26,J$25,K90&lt;K$27,J$26,K90&lt;K$28,J$27,K90&lt;K$29,J$28,K90&lt;K$30,J$29,K90&lt;K$31,J$30,K90&lt;K$32,J$31,K90&lt;K$33,J$32,K90&lt;K$34,J$33,K90&lt;K$35,J$34,K90&lt;K$36,J$35,K90&lt;K$37,J$36,K90&lt;K$38,J$37,K90&lt;K$39,J$38,K90&lt;K$40,J$39,K90&lt;K$41,J$40,K90&lt;K$42,J$41,K90&lt;K$43,J$42,K90&lt;K$44,J$43,K90&lt;K$45,J$44,K90&lt;K$46,J$45,K90&lt;K$47,J$46,K90&gt;=K$47,J$47)</f>
        <v/>
      </c>
      <c r="K90" s="38" t="n">
        <v>40</v>
      </c>
      <c r="L90" s="31">
        <f>K90/52</f>
        <v/>
      </c>
      <c r="M90" s="39">
        <f>J90/1000000*52</f>
        <v/>
      </c>
      <c r="N90" s="33">
        <f>M90/$P$4+($I$22/$P$4)</f>
        <v/>
      </c>
      <c r="U90">
        <f>F89</f>
        <v/>
      </c>
      <c r="V90">
        <f>H89</f>
        <v/>
      </c>
      <c r="W90">
        <f>N89</f>
        <v/>
      </c>
    </row>
    <row r="91" ht="15.75" customHeight="1" s="40">
      <c r="C91" s="36">
        <f>_xlfn.IFS(E91&lt;E$24,0,E91&lt;E$26,C$24,E91&lt;E$28,C$26,E91&lt;E$30,C$28,E91&lt;E$32,C$30,E91&lt;E$34,C$32,E91&gt;=E$34,C$34)</f>
        <v/>
      </c>
      <c r="D91" s="37">
        <f>_xlfn.IFS(E91&lt;E$24,0,E91&lt;E$25,D$24,E91&lt;E$26,D$25,E91&lt;E$27,D$26,E91&lt;E$28,D$27,E91&lt;E$29,D$28,E91&lt;E$30,D$29,E91&lt;E$31,D$30,E91&lt;E$32,D$31,E91&lt;E$33,D$32,E91&lt;E$34,D$33,E91&lt;E$35,D$34,E91&gt;=E$35,D$35)</f>
        <v/>
      </c>
      <c r="E91" s="38" t="n">
        <v>41</v>
      </c>
      <c r="F91" s="31">
        <f>E91/52</f>
        <v/>
      </c>
      <c r="G91" s="39">
        <f>D91/1000000*52</f>
        <v/>
      </c>
      <c r="H91" s="33">
        <f>G91/$P$4+($C$22/$P$4)</f>
        <v/>
      </c>
      <c r="I91" s="36">
        <f>_xlfn.IFS(K91&lt;K$24,0,K91&lt;K$26,I$24,K91&lt;K$28,I$26,K91&lt;K$30,I$28,K91&lt;K$32,I$30,K91&lt;K$34,I$32,K91&lt;K$36,I$34,K91&lt;K$38,I$36,K91&lt;K$40,I$38,K91&lt;K$42,I$40,K91&lt;K$44,I$42,K91&lt;K$46,I$44,K91&gt;=K$46,I$46)</f>
        <v/>
      </c>
      <c r="J91" s="37">
        <f>_xlfn.IFS(K91&lt;K$24,0,K91&lt;K$25,J$24,K91&lt;K$26,J$25,K91&lt;K$27,J$26,K91&lt;K$28,J$27,K91&lt;K$29,J$28,K91&lt;K$30,J$29,K91&lt;K$31,J$30,K91&lt;K$32,J$31,K91&lt;K$33,J$32,K91&lt;K$34,J$33,K91&lt;K$35,J$34,K91&lt;K$36,J$35,K91&lt;K$37,J$36,K91&lt;K$38,J$37,K91&lt;K$39,J$38,K91&lt;K$40,J$39,K91&lt;K$41,J$40,K91&lt;K$42,J$41,K91&lt;K$43,J$42,K91&lt;K$44,J$43,K91&lt;K$45,J$44,K91&lt;K$46,J$45,K91&lt;K$47,J$46,K91&gt;=K$47,J$47)</f>
        <v/>
      </c>
      <c r="K91" s="38" t="n">
        <v>41</v>
      </c>
      <c r="L91" s="31">
        <f>K91/52</f>
        <v/>
      </c>
      <c r="M91" s="39">
        <f>J91/1000000*52</f>
        <v/>
      </c>
      <c r="N91" s="33">
        <f>M91/$P$4+($I$22/$P$4)</f>
        <v/>
      </c>
      <c r="U91">
        <f>F90</f>
        <v/>
      </c>
      <c r="V91">
        <f>H90</f>
        <v/>
      </c>
      <c r="W91">
        <f>N90</f>
        <v/>
      </c>
    </row>
    <row r="92" ht="15.75" customHeight="1" s="40">
      <c r="C92" s="36">
        <f>_xlfn.IFS(E92&lt;E$24,0,E92&lt;E$26,C$24,E92&lt;E$28,C$26,E92&lt;E$30,C$28,E92&lt;E$32,C$30,E92&lt;E$34,C$32,E92&gt;=E$34,C$34)</f>
        <v/>
      </c>
      <c r="D92" s="37">
        <f>_xlfn.IFS(E92&lt;E$24,0,E92&lt;E$25,D$24,E92&lt;E$26,D$25,E92&lt;E$27,D$26,E92&lt;E$28,D$27,E92&lt;E$29,D$28,E92&lt;E$30,D$29,E92&lt;E$31,D$30,E92&lt;E$32,D$31,E92&lt;E$33,D$32,E92&lt;E$34,D$33,E92&lt;E$35,D$34,E92&gt;=E$35,D$35)</f>
        <v/>
      </c>
      <c r="E92" s="38" t="n">
        <v>42</v>
      </c>
      <c r="F92" s="31">
        <f>E92/52</f>
        <v/>
      </c>
      <c r="G92" s="39">
        <f>D92/1000000*52</f>
        <v/>
      </c>
      <c r="H92" s="33">
        <f>G92/$P$4+($C$22/$P$4)</f>
        <v/>
      </c>
      <c r="I92" s="36">
        <f>_xlfn.IFS(K92&lt;K$24,0,K92&lt;K$26,I$24,K92&lt;K$28,I$26,K92&lt;K$30,I$28,K92&lt;K$32,I$30,K92&lt;K$34,I$32,K92&lt;K$36,I$34,K92&lt;K$38,I$36,K92&lt;K$40,I$38,K92&lt;K$42,I$40,K92&lt;K$44,I$42,K92&lt;K$46,I$44,K92&gt;=K$46,I$46)</f>
        <v/>
      </c>
      <c r="J92" s="37">
        <f>_xlfn.IFS(K92&lt;K$24,0,K92&lt;K$25,J$24,K92&lt;K$26,J$25,K92&lt;K$27,J$26,K92&lt;K$28,J$27,K92&lt;K$29,J$28,K92&lt;K$30,J$29,K92&lt;K$31,J$30,K92&lt;K$32,J$31,K92&lt;K$33,J$32,K92&lt;K$34,J$33,K92&lt;K$35,J$34,K92&lt;K$36,J$35,K92&lt;K$37,J$36,K92&lt;K$38,J$37,K92&lt;K$39,J$38,K92&lt;K$40,J$39,K92&lt;K$41,J$40,K92&lt;K$42,J$41,K92&lt;K$43,J$42,K92&lt;K$44,J$43,K92&lt;K$45,J$44,K92&lt;K$46,J$45,K92&lt;K$47,J$46,K92&gt;=K$47,J$47)</f>
        <v/>
      </c>
      <c r="K92" s="38" t="n">
        <v>42</v>
      </c>
      <c r="L92" s="31">
        <f>K92/52</f>
        <v/>
      </c>
      <c r="M92" s="39">
        <f>J92/1000000*52</f>
        <v/>
      </c>
      <c r="N92" s="33">
        <f>M92/$P$4+($I$22/$P$4)</f>
        <v/>
      </c>
      <c r="U92">
        <f>F91</f>
        <v/>
      </c>
      <c r="V92">
        <f>H91</f>
        <v/>
      </c>
      <c r="W92">
        <f>N91</f>
        <v/>
      </c>
    </row>
    <row r="93" ht="15.75" customHeight="1" s="40">
      <c r="C93" s="36">
        <f>_xlfn.IFS(E93&lt;E$24,0,E93&lt;E$26,C$24,E93&lt;E$28,C$26,E93&lt;E$30,C$28,E93&lt;E$32,C$30,E93&lt;E$34,C$32,E93&gt;=E$34,C$34)</f>
        <v/>
      </c>
      <c r="D93" s="37">
        <f>_xlfn.IFS(E93&lt;E$24,0,E93&lt;E$25,D$24,E93&lt;E$26,D$25,E93&lt;E$27,D$26,E93&lt;E$28,D$27,E93&lt;E$29,D$28,E93&lt;E$30,D$29,E93&lt;E$31,D$30,E93&lt;E$32,D$31,E93&lt;E$33,D$32,E93&lt;E$34,D$33,E93&lt;E$35,D$34,E93&gt;=E$35,D$35)</f>
        <v/>
      </c>
      <c r="E93" s="38" t="n">
        <v>43</v>
      </c>
      <c r="F93" s="31">
        <f>E93/52</f>
        <v/>
      </c>
      <c r="G93" s="39">
        <f>D93/1000000*52</f>
        <v/>
      </c>
      <c r="H93" s="33">
        <f>G93/$P$4+($C$22/$P$4)</f>
        <v/>
      </c>
      <c r="I93" s="36">
        <f>_xlfn.IFS(K93&lt;K$24,0,K93&lt;K$26,I$24,K93&lt;K$28,I$26,K93&lt;K$30,I$28,K93&lt;K$32,I$30,K93&lt;K$34,I$32,K93&lt;K$36,I$34,K93&lt;K$38,I$36,K93&lt;K$40,I$38,K93&lt;K$42,I$40,K93&lt;K$44,I$42,K93&lt;K$46,I$44,K93&gt;=K$46,I$46)</f>
        <v/>
      </c>
      <c r="J93" s="37">
        <f>_xlfn.IFS(K93&lt;K$24,0,K93&lt;K$25,J$24,K93&lt;K$26,J$25,K93&lt;K$27,J$26,K93&lt;K$28,J$27,K93&lt;K$29,J$28,K93&lt;K$30,J$29,K93&lt;K$31,J$30,K93&lt;K$32,J$31,K93&lt;K$33,J$32,K93&lt;K$34,J$33,K93&lt;K$35,J$34,K93&lt;K$36,J$35,K93&lt;K$37,J$36,K93&lt;K$38,J$37,K93&lt;K$39,J$38,K93&lt;K$40,J$39,K93&lt;K$41,J$40,K93&lt;K$42,J$41,K93&lt;K$43,J$42,K93&lt;K$44,J$43,K93&lt;K$45,J$44,K93&lt;K$46,J$45,K93&lt;K$47,J$46,K93&gt;=K$47,J$47)</f>
        <v/>
      </c>
      <c r="K93" s="38" t="n">
        <v>43</v>
      </c>
      <c r="L93" s="31">
        <f>K93/52</f>
        <v/>
      </c>
      <c r="M93" s="39">
        <f>J93/1000000*52</f>
        <v/>
      </c>
      <c r="N93" s="33">
        <f>M93/$P$4+($I$22/$P$4)</f>
        <v/>
      </c>
      <c r="U93">
        <f>F92</f>
        <v/>
      </c>
      <c r="V93">
        <f>H92</f>
        <v/>
      </c>
      <c r="W93">
        <f>N92</f>
        <v/>
      </c>
    </row>
    <row r="94" ht="15.75" customHeight="1" s="40">
      <c r="C94" s="36">
        <f>_xlfn.IFS(E94&lt;E$24,0,E94&lt;E$26,C$24,E94&lt;E$28,C$26,E94&lt;E$30,C$28,E94&lt;E$32,C$30,E94&lt;E$34,C$32,E94&gt;=E$34,C$34)</f>
        <v/>
      </c>
      <c r="D94" s="37">
        <f>_xlfn.IFS(E94&lt;E$24,0,E94&lt;E$25,D$24,E94&lt;E$26,D$25,E94&lt;E$27,D$26,E94&lt;E$28,D$27,E94&lt;E$29,D$28,E94&lt;E$30,D$29,E94&lt;E$31,D$30,E94&lt;E$32,D$31,E94&lt;E$33,D$32,E94&lt;E$34,D$33,E94&lt;E$35,D$34,E94&gt;=E$35,D$35)</f>
        <v/>
      </c>
      <c r="E94" s="38" t="n">
        <v>44</v>
      </c>
      <c r="F94" s="31">
        <f>E94/52</f>
        <v/>
      </c>
      <c r="G94" s="39">
        <f>D94/1000000*52</f>
        <v/>
      </c>
      <c r="H94" s="33">
        <f>G94/$P$4+($C$22/$P$4)</f>
        <v/>
      </c>
      <c r="I94" s="36">
        <f>_xlfn.IFS(K94&lt;K$24,0,K94&lt;K$26,I$24,K94&lt;K$28,I$26,K94&lt;K$30,I$28,K94&lt;K$32,I$30,K94&lt;K$34,I$32,K94&lt;K$36,I$34,K94&lt;K$38,I$36,K94&lt;K$40,I$38,K94&lt;K$42,I$40,K94&lt;K$44,I$42,K94&lt;K$46,I$44,K94&gt;=K$46,I$46)</f>
        <v/>
      </c>
      <c r="J94" s="37">
        <f>_xlfn.IFS(K94&lt;K$24,0,K94&lt;K$25,J$24,K94&lt;K$26,J$25,K94&lt;K$27,J$26,K94&lt;K$28,J$27,K94&lt;K$29,J$28,K94&lt;K$30,J$29,K94&lt;K$31,J$30,K94&lt;K$32,J$31,K94&lt;K$33,J$32,K94&lt;K$34,J$33,K94&lt;K$35,J$34,K94&lt;K$36,J$35,K94&lt;K$37,J$36,K94&lt;K$38,J$37,K94&lt;K$39,J$38,K94&lt;K$40,J$39,K94&lt;K$41,J$40,K94&lt;K$42,J$41,K94&lt;K$43,J$42,K94&lt;K$44,J$43,K94&lt;K$45,J$44,K94&lt;K$46,J$45,K94&lt;K$47,J$46,K94&gt;=K$47,J$47)</f>
        <v/>
      </c>
      <c r="K94" s="38" t="n">
        <v>44</v>
      </c>
      <c r="L94" s="31">
        <f>K94/52</f>
        <v/>
      </c>
      <c r="M94" s="39">
        <f>J94/1000000*52</f>
        <v/>
      </c>
      <c r="N94" s="33">
        <f>M94/$P$4+($I$22/$P$4)</f>
        <v/>
      </c>
      <c r="U94">
        <f>F93</f>
        <v/>
      </c>
      <c r="V94">
        <f>H93</f>
        <v/>
      </c>
      <c r="W94">
        <f>N93</f>
        <v/>
      </c>
    </row>
    <row r="95" ht="15.75" customHeight="1" s="40">
      <c r="C95" s="36">
        <f>_xlfn.IFS(E95&lt;E$24,0,E95&lt;E$26,C$24,E95&lt;E$28,C$26,E95&lt;E$30,C$28,E95&lt;E$32,C$30,E95&lt;E$34,C$32,E95&gt;=E$34,C$34)</f>
        <v/>
      </c>
      <c r="D95" s="37">
        <f>_xlfn.IFS(E95&lt;E$24,0,E95&lt;E$25,D$24,E95&lt;E$26,D$25,E95&lt;E$27,D$26,E95&lt;E$28,D$27,E95&lt;E$29,D$28,E95&lt;E$30,D$29,E95&lt;E$31,D$30,E95&lt;E$32,D$31,E95&lt;E$33,D$32,E95&lt;E$34,D$33,E95&lt;E$35,D$34,E95&gt;=E$35,D$35)</f>
        <v/>
      </c>
      <c r="E95" s="38" t="n">
        <v>45</v>
      </c>
      <c r="F95" s="31">
        <f>E95/52</f>
        <v/>
      </c>
      <c r="G95" s="39">
        <f>D95/1000000*52</f>
        <v/>
      </c>
      <c r="H95" s="33">
        <f>G95/$P$4+($C$22/$P$4)</f>
        <v/>
      </c>
      <c r="I95" s="36">
        <f>_xlfn.IFS(K95&lt;K$24,0,K95&lt;K$26,I$24,K95&lt;K$28,I$26,K95&lt;K$30,I$28,K95&lt;K$32,I$30,K95&lt;K$34,I$32,K95&lt;K$36,I$34,K95&lt;K$38,I$36,K95&lt;K$40,I$38,K95&lt;K$42,I$40,K95&lt;K$44,I$42,K95&lt;K$46,I$44,K95&gt;=K$46,I$46)</f>
        <v/>
      </c>
      <c r="J95" s="37">
        <f>_xlfn.IFS(K95&lt;K$24,0,K95&lt;K$25,J$24,K95&lt;K$26,J$25,K95&lt;K$27,J$26,K95&lt;K$28,J$27,K95&lt;K$29,J$28,K95&lt;K$30,J$29,K95&lt;K$31,J$30,K95&lt;K$32,J$31,K95&lt;K$33,J$32,K95&lt;K$34,J$33,K95&lt;K$35,J$34,K95&lt;K$36,J$35,K95&lt;K$37,J$36,K95&lt;K$38,J$37,K95&lt;K$39,J$38,K95&lt;K$40,J$39,K95&lt;K$41,J$40,K95&lt;K$42,J$41,K95&lt;K$43,J$42,K95&lt;K$44,J$43,K95&lt;K$45,J$44,K95&lt;K$46,J$45,K95&lt;K$47,J$46,K95&gt;=K$47,J$47)</f>
        <v/>
      </c>
      <c r="K95" s="38" t="n">
        <v>45</v>
      </c>
      <c r="L95" s="31">
        <f>K95/52</f>
        <v/>
      </c>
      <c r="M95" s="39">
        <f>J95/1000000*52</f>
        <v/>
      </c>
      <c r="N95" s="33">
        <f>M95/$P$4+($I$22/$P$4)</f>
        <v/>
      </c>
      <c r="U95">
        <f>F94</f>
        <v/>
      </c>
      <c r="V95">
        <f>H94</f>
        <v/>
      </c>
      <c r="W95">
        <f>N94</f>
        <v/>
      </c>
    </row>
    <row r="96" ht="15.75" customHeight="1" s="40">
      <c r="C96" s="36">
        <f>_xlfn.IFS(E96&lt;E$24,0,E96&lt;E$26,C$24,E96&lt;E$28,C$26,E96&lt;E$30,C$28,E96&lt;E$32,C$30,E96&lt;E$34,C$32,E96&gt;=E$34,C$34)</f>
        <v/>
      </c>
      <c r="D96" s="37">
        <f>_xlfn.IFS(E96&lt;E$24,0,E96&lt;E$25,D$24,E96&lt;E$26,D$25,E96&lt;E$27,D$26,E96&lt;E$28,D$27,E96&lt;E$29,D$28,E96&lt;E$30,D$29,E96&lt;E$31,D$30,E96&lt;E$32,D$31,E96&lt;E$33,D$32,E96&lt;E$34,D$33,E96&lt;E$35,D$34,E96&gt;=E$35,D$35)</f>
        <v/>
      </c>
      <c r="E96" s="38" t="n">
        <v>46</v>
      </c>
      <c r="F96" s="31">
        <f>E96/52</f>
        <v/>
      </c>
      <c r="G96" s="39">
        <f>D96/1000000*52</f>
        <v/>
      </c>
      <c r="H96" s="33">
        <f>G96/$P$4+($C$22/$P$4)</f>
        <v/>
      </c>
      <c r="I96" s="36">
        <f>_xlfn.IFS(K96&lt;K$24,0,K96&lt;K$26,I$24,K96&lt;K$28,I$26,K96&lt;K$30,I$28,K96&lt;K$32,I$30,K96&lt;K$34,I$32,K96&lt;K$36,I$34,K96&lt;K$38,I$36,K96&lt;K$40,I$38,K96&lt;K$42,I$40,K96&lt;K$44,I$42,K96&lt;K$46,I$44,K96&gt;=K$46,I$46)</f>
        <v/>
      </c>
      <c r="J96" s="37">
        <f>_xlfn.IFS(K96&lt;K$24,0,K96&lt;K$25,J$24,K96&lt;K$26,J$25,K96&lt;K$27,J$26,K96&lt;K$28,J$27,K96&lt;K$29,J$28,K96&lt;K$30,J$29,K96&lt;K$31,J$30,K96&lt;K$32,J$31,K96&lt;K$33,J$32,K96&lt;K$34,J$33,K96&lt;K$35,J$34,K96&lt;K$36,J$35,K96&lt;K$37,J$36,K96&lt;K$38,J$37,K96&lt;K$39,J$38,K96&lt;K$40,J$39,K96&lt;K$41,J$40,K96&lt;K$42,J$41,K96&lt;K$43,J$42,K96&lt;K$44,J$43,K96&lt;K$45,J$44,K96&lt;K$46,J$45,K96&lt;K$47,J$46,K96&gt;=K$47,J$47)</f>
        <v/>
      </c>
      <c r="K96" s="38" t="n">
        <v>46</v>
      </c>
      <c r="L96" s="31">
        <f>K96/52</f>
        <v/>
      </c>
      <c r="M96" s="39">
        <f>J96/1000000*52</f>
        <v/>
      </c>
      <c r="N96" s="33">
        <f>M96/$P$4+($I$22/$P$4)</f>
        <v/>
      </c>
      <c r="U96">
        <f>F95</f>
        <v/>
      </c>
      <c r="V96">
        <f>H95</f>
        <v/>
      </c>
      <c r="W96">
        <f>N95</f>
        <v/>
      </c>
    </row>
    <row r="97" ht="15.75" customHeight="1" s="40">
      <c r="C97" s="36">
        <f>_xlfn.IFS(E97&lt;E$24,0,E97&lt;E$26,C$24,E97&lt;E$28,C$26,E97&lt;E$30,C$28,E97&lt;E$32,C$30,E97&lt;E$34,C$32,E97&gt;=E$34,C$34)</f>
        <v/>
      </c>
      <c r="D97" s="37">
        <f>_xlfn.IFS(E97&lt;E$24,0,E97&lt;E$25,D$24,E97&lt;E$26,D$25,E97&lt;E$27,D$26,E97&lt;E$28,D$27,E97&lt;E$29,D$28,E97&lt;E$30,D$29,E97&lt;E$31,D$30,E97&lt;E$32,D$31,E97&lt;E$33,D$32,E97&lt;E$34,D$33,E97&lt;E$35,D$34,E97&gt;=E$35,D$35)</f>
        <v/>
      </c>
      <c r="E97" s="38" t="n">
        <v>47</v>
      </c>
      <c r="F97" s="31">
        <f>E97/52</f>
        <v/>
      </c>
      <c r="G97" s="39">
        <f>D97/1000000*52</f>
        <v/>
      </c>
      <c r="H97" s="33">
        <f>G97/$P$4+($C$22/$P$4)</f>
        <v/>
      </c>
      <c r="I97" s="36">
        <f>_xlfn.IFS(K97&lt;K$24,0,K97&lt;K$26,I$24,K97&lt;K$28,I$26,K97&lt;K$30,I$28,K97&lt;K$32,I$30,K97&lt;K$34,I$32,K97&lt;K$36,I$34,K97&lt;K$38,I$36,K97&lt;K$40,I$38,K97&lt;K$42,I$40,K97&lt;K$44,I$42,K97&lt;K$46,I$44,K97&gt;=K$46,I$46)</f>
        <v/>
      </c>
      <c r="J97" s="37">
        <f>_xlfn.IFS(K97&lt;K$24,0,K97&lt;K$25,J$24,K97&lt;K$26,J$25,K97&lt;K$27,J$26,K97&lt;K$28,J$27,K97&lt;K$29,J$28,K97&lt;K$30,J$29,K97&lt;K$31,J$30,K97&lt;K$32,J$31,K97&lt;K$33,J$32,K97&lt;K$34,J$33,K97&lt;K$35,J$34,K97&lt;K$36,J$35,K97&lt;K$37,J$36,K97&lt;K$38,J$37,K97&lt;K$39,J$38,K97&lt;K$40,J$39,K97&lt;K$41,J$40,K97&lt;K$42,J$41,K97&lt;K$43,J$42,K97&lt;K$44,J$43,K97&lt;K$45,J$44,K97&lt;K$46,J$45,K97&lt;K$47,J$46,K97&gt;=K$47,J$47)</f>
        <v/>
      </c>
      <c r="K97" s="38" t="n">
        <v>47</v>
      </c>
      <c r="L97" s="31">
        <f>K97/52</f>
        <v/>
      </c>
      <c r="M97" s="39">
        <f>J97/1000000*52</f>
        <v/>
      </c>
      <c r="N97" s="33">
        <f>M97/$P$4+($I$22/$P$4)</f>
        <v/>
      </c>
      <c r="U97">
        <f>F96</f>
        <v/>
      </c>
      <c r="V97">
        <f>H96</f>
        <v/>
      </c>
      <c r="W97">
        <f>N96</f>
        <v/>
      </c>
    </row>
    <row r="98" ht="15.75" customHeight="1" s="40">
      <c r="C98" s="36">
        <f>_xlfn.IFS(E98&lt;E$24,0,E98&lt;E$26,C$24,E98&lt;E$28,C$26,E98&lt;E$30,C$28,E98&lt;E$32,C$30,E98&lt;E$34,C$32,E98&gt;=E$34,C$34)</f>
        <v/>
      </c>
      <c r="D98" s="37">
        <f>_xlfn.IFS(E98&lt;E$24,0,E98&lt;E$25,D$24,E98&lt;E$26,D$25,E98&lt;E$27,D$26,E98&lt;E$28,D$27,E98&lt;E$29,D$28,E98&lt;E$30,D$29,E98&lt;E$31,D$30,E98&lt;E$32,D$31,E98&lt;E$33,D$32,E98&lt;E$34,D$33,E98&lt;E$35,D$34,E98&gt;=E$35,D$35)</f>
        <v/>
      </c>
      <c r="E98" s="38" t="n">
        <v>48</v>
      </c>
      <c r="F98" s="31">
        <f>E98/52</f>
        <v/>
      </c>
      <c r="G98" s="39">
        <f>D98/1000000*52</f>
        <v/>
      </c>
      <c r="H98" s="33">
        <f>G98/$P$4+($C$22/$P$4)</f>
        <v/>
      </c>
      <c r="I98" s="36">
        <f>_xlfn.IFS(K98&lt;K$24,0,K98&lt;K$26,I$24,K98&lt;K$28,I$26,K98&lt;K$30,I$28,K98&lt;K$32,I$30,K98&lt;K$34,I$32,K98&lt;K$36,I$34,K98&lt;K$38,I$36,K98&lt;K$40,I$38,K98&lt;K$42,I$40,K98&lt;K$44,I$42,K98&lt;K$46,I$44,K98&gt;=K$46,I$46)</f>
        <v/>
      </c>
      <c r="J98" s="37">
        <f>_xlfn.IFS(K98&lt;K$24,0,K98&lt;K$25,J$24,K98&lt;K$26,J$25,K98&lt;K$27,J$26,K98&lt;K$28,J$27,K98&lt;K$29,J$28,K98&lt;K$30,J$29,K98&lt;K$31,J$30,K98&lt;K$32,J$31,K98&lt;K$33,J$32,K98&lt;K$34,J$33,K98&lt;K$35,J$34,K98&lt;K$36,J$35,K98&lt;K$37,J$36,K98&lt;K$38,J$37,K98&lt;K$39,J$38,K98&lt;K$40,J$39,K98&lt;K$41,J$40,K98&lt;K$42,J$41,K98&lt;K$43,J$42,K98&lt;K$44,J$43,K98&lt;K$45,J$44,K98&lt;K$46,J$45,K98&lt;K$47,J$46,K98&gt;=K$47,J$47)</f>
        <v/>
      </c>
      <c r="K98" s="38" t="n">
        <v>48</v>
      </c>
      <c r="L98" s="31">
        <f>K98/52</f>
        <v/>
      </c>
      <c r="M98" s="39">
        <f>J98/1000000*52</f>
        <v/>
      </c>
      <c r="N98" s="33">
        <f>M98/$P$4+($I$22/$P$4)</f>
        <v/>
      </c>
      <c r="U98">
        <f>F97</f>
        <v/>
      </c>
      <c r="V98">
        <f>H97</f>
        <v/>
      </c>
      <c r="W98">
        <f>N97</f>
        <v/>
      </c>
    </row>
    <row r="99" ht="15.75" customHeight="1" s="40">
      <c r="C99" s="36">
        <f>_xlfn.IFS(E99&lt;E$24,0,E99&lt;E$26,C$24,E99&lt;E$28,C$26,E99&lt;E$30,C$28,E99&lt;E$32,C$30,E99&lt;E$34,C$32,E99&gt;=E$34,C$34)</f>
        <v/>
      </c>
      <c r="D99" s="37">
        <f>_xlfn.IFS(E99&lt;E$24,0,E99&lt;E$25,D$24,E99&lt;E$26,D$25,E99&lt;E$27,D$26,E99&lt;E$28,D$27,E99&lt;E$29,D$28,E99&lt;E$30,D$29,E99&lt;E$31,D$30,E99&lt;E$32,D$31,E99&lt;E$33,D$32,E99&lt;E$34,D$33,E99&lt;E$35,D$34,E99&gt;=E$35,D$35)</f>
        <v/>
      </c>
      <c r="E99" s="38" t="n">
        <v>49</v>
      </c>
      <c r="F99" s="31">
        <f>E99/52</f>
        <v/>
      </c>
      <c r="G99" s="39">
        <f>D99/1000000*52</f>
        <v/>
      </c>
      <c r="H99" s="33">
        <f>G99/$P$4+($C$22/$P$4)</f>
        <v/>
      </c>
      <c r="I99" s="36">
        <f>_xlfn.IFS(K99&lt;K$24,0,K99&lt;K$26,I$24,K99&lt;K$28,I$26,K99&lt;K$30,I$28,K99&lt;K$32,I$30,K99&lt;K$34,I$32,K99&lt;K$36,I$34,K99&lt;K$38,I$36,K99&lt;K$40,I$38,K99&lt;K$42,I$40,K99&lt;K$44,I$42,K99&lt;K$46,I$44,K99&gt;=K$46,I$46)</f>
        <v/>
      </c>
      <c r="J99" s="37">
        <f>_xlfn.IFS(K99&lt;K$24,0,K99&lt;K$25,J$24,K99&lt;K$26,J$25,K99&lt;K$27,J$26,K99&lt;K$28,J$27,K99&lt;K$29,J$28,K99&lt;K$30,J$29,K99&lt;K$31,J$30,K99&lt;K$32,J$31,K99&lt;K$33,J$32,K99&lt;K$34,J$33,K99&lt;K$35,J$34,K99&lt;K$36,J$35,K99&lt;K$37,J$36,K99&lt;K$38,J$37,K99&lt;K$39,J$38,K99&lt;K$40,J$39,K99&lt;K$41,J$40,K99&lt;K$42,J$41,K99&lt;K$43,J$42,K99&lt;K$44,J$43,K99&lt;K$45,J$44,K99&lt;K$46,J$45,K99&lt;K$47,J$46,K99&gt;=K$47,J$47)</f>
        <v/>
      </c>
      <c r="K99" s="38" t="n">
        <v>49</v>
      </c>
      <c r="L99" s="31">
        <f>K99/52</f>
        <v/>
      </c>
      <c r="M99" s="39">
        <f>J99/1000000*52</f>
        <v/>
      </c>
      <c r="N99" s="33">
        <f>M99/$P$4+($I$22/$P$4)</f>
        <v/>
      </c>
      <c r="U99">
        <f>F98</f>
        <v/>
      </c>
      <c r="V99">
        <f>H98</f>
        <v/>
      </c>
      <c r="W99">
        <f>N98</f>
        <v/>
      </c>
    </row>
    <row r="100" ht="15.75" customHeight="1" s="40">
      <c r="C100" s="36">
        <f>_xlfn.IFS(E100&lt;E$24,0,E100&lt;E$26,C$24,E100&lt;E$28,C$26,E100&lt;E$30,C$28,E100&lt;E$32,C$30,E100&lt;E$34,C$32,E100&gt;=E$34,C$34)</f>
        <v/>
      </c>
      <c r="D100" s="37">
        <f>_xlfn.IFS(E100&lt;E$24,0,E100&lt;E$25,D$24,E100&lt;E$26,D$25,E100&lt;E$27,D$26,E100&lt;E$28,D$27,E100&lt;E$29,D$28,E100&lt;E$30,D$29,E100&lt;E$31,D$30,E100&lt;E$32,D$31,E100&lt;E$33,D$32,E100&lt;E$34,D$33,E100&lt;E$35,D$34,E100&gt;=E$35,D$35)</f>
        <v/>
      </c>
      <c r="E100" s="38" t="n">
        <v>50</v>
      </c>
      <c r="F100" s="31">
        <f>E100/52</f>
        <v/>
      </c>
      <c r="G100" s="39">
        <f>D100/1000000*52</f>
        <v/>
      </c>
      <c r="H100" s="33">
        <f>G100/$P$4+($C$22/$P$4)</f>
        <v/>
      </c>
      <c r="I100" s="36">
        <f>_xlfn.IFS(K100&lt;K$24,0,K100&lt;K$26,I$24,K100&lt;K$28,I$26,K100&lt;K$30,I$28,K100&lt;K$32,I$30,K100&lt;K$34,I$32,K100&lt;K$36,I$34,K100&lt;K$38,I$36,K100&lt;K$40,I$38,K100&lt;K$42,I$40,K100&lt;K$44,I$42,K100&lt;K$46,I$44,K100&gt;=K$46,I$46)</f>
        <v/>
      </c>
      <c r="J100" s="37">
        <f>_xlfn.IFS(K100&lt;K$24,0,K100&lt;K$25,J$24,K100&lt;K$26,J$25,K100&lt;K$27,J$26,K100&lt;K$28,J$27,K100&lt;K$29,J$28,K100&lt;K$30,J$29,K100&lt;K$31,J$30,K100&lt;K$32,J$31,K100&lt;K$33,J$32,K100&lt;K$34,J$33,K100&lt;K$35,J$34,K100&lt;K$36,J$35,K100&lt;K$37,J$36,K100&lt;K$38,J$37,K100&lt;K$39,J$38,K100&lt;K$40,J$39,K100&lt;K$41,J$40,K100&lt;K$42,J$41,K100&lt;K$43,J$42,K100&lt;K$44,J$43,K100&lt;K$45,J$44,K100&lt;K$46,J$45,K100&lt;K$47,J$46,K100&gt;=K$47,J$47)</f>
        <v/>
      </c>
      <c r="K100" s="38" t="n">
        <v>50</v>
      </c>
      <c r="L100" s="31">
        <f>K100/52</f>
        <v/>
      </c>
      <c r="M100" s="39">
        <f>J100/1000000*52</f>
        <v/>
      </c>
      <c r="N100" s="33">
        <f>M100/$P$4+($I$22/$P$4)</f>
        <v/>
      </c>
      <c r="U100">
        <f>F99</f>
        <v/>
      </c>
      <c r="V100">
        <f>H99</f>
        <v/>
      </c>
      <c r="W100">
        <f>N99</f>
        <v/>
      </c>
    </row>
    <row r="101" ht="15.75" customHeight="1" s="40">
      <c r="C101" s="36">
        <f>_xlfn.IFS(E101&lt;E$24,0,E101&lt;E$26,C$24,E101&lt;E$28,C$26,E101&lt;E$30,C$28,E101&lt;E$32,C$30,E101&lt;E$34,C$32,E101&gt;=E$34,C$34)</f>
        <v/>
      </c>
      <c r="D101" s="37">
        <f>_xlfn.IFS(E101&lt;E$24,0,E101&lt;E$25,D$24,E101&lt;E$26,D$25,E101&lt;E$27,D$26,E101&lt;E$28,D$27,E101&lt;E$29,D$28,E101&lt;E$30,D$29,E101&lt;E$31,D$30,E101&lt;E$32,D$31,E101&lt;E$33,D$32,E101&lt;E$34,D$33,E101&lt;E$35,D$34,E101&gt;=E$35,D$35)</f>
        <v/>
      </c>
      <c r="E101" s="38" t="n">
        <v>51</v>
      </c>
      <c r="F101" s="31">
        <f>E101/52</f>
        <v/>
      </c>
      <c r="G101" s="39">
        <f>D101/1000000*52</f>
        <v/>
      </c>
      <c r="H101" s="33">
        <f>G101/$P$4+($C$22/$P$4)</f>
        <v/>
      </c>
      <c r="I101" s="36">
        <f>_xlfn.IFS(K101&lt;K$24,0,K101&lt;K$26,I$24,K101&lt;K$28,I$26,K101&lt;K$30,I$28,K101&lt;K$32,I$30,K101&lt;K$34,I$32,K101&lt;K$36,I$34,K101&lt;K$38,I$36,K101&lt;K$40,I$38,K101&lt;K$42,I$40,K101&lt;K$44,I$42,K101&lt;K$46,I$44,K101&gt;=K$46,I$46)</f>
        <v/>
      </c>
      <c r="J101" s="37">
        <f>_xlfn.IFS(K101&lt;K$24,0,K101&lt;K$25,J$24,K101&lt;K$26,J$25,K101&lt;K$27,J$26,K101&lt;K$28,J$27,K101&lt;K$29,J$28,K101&lt;K$30,J$29,K101&lt;K$31,J$30,K101&lt;K$32,J$31,K101&lt;K$33,J$32,K101&lt;K$34,J$33,K101&lt;K$35,J$34,K101&lt;K$36,J$35,K101&lt;K$37,J$36,K101&lt;K$38,J$37,K101&lt;K$39,J$38,K101&lt;K$40,J$39,K101&lt;K$41,J$40,K101&lt;K$42,J$41,K101&lt;K$43,J$42,K101&lt;K$44,J$43,K101&lt;K$45,J$44,K101&lt;K$46,J$45,K101&lt;K$47,J$46,K101&gt;=K$47,J$47)</f>
        <v/>
      </c>
      <c r="K101" s="38" t="n">
        <v>51</v>
      </c>
      <c r="L101" s="31">
        <f>K101/52</f>
        <v/>
      </c>
      <c r="M101" s="39">
        <f>J101/1000000*52</f>
        <v/>
      </c>
      <c r="N101" s="33">
        <f>M101/$P$4+($I$22/$P$4)</f>
        <v/>
      </c>
      <c r="U101">
        <f>F100</f>
        <v/>
      </c>
      <c r="V101">
        <f>H100</f>
        <v/>
      </c>
      <c r="W101">
        <f>N100</f>
        <v/>
      </c>
    </row>
    <row r="102" ht="15.75" customHeight="1" s="40">
      <c r="C102" s="36">
        <f>_xlfn.IFS(E102&lt;E$24,0,E102&lt;E$26,C$24,E102&lt;E$28,C$26,E102&lt;E$30,C$28,E102&lt;E$32,C$30,E102&lt;E$34,C$32,E102&gt;=E$34,C$34)</f>
        <v/>
      </c>
      <c r="D102" s="37">
        <f>_xlfn.IFS(E102&lt;E$24,0,E102&lt;E$25,D$24,E102&lt;E$26,D$25,E102&lt;E$27,D$26,E102&lt;E$28,D$27,E102&lt;E$29,D$28,E102&lt;E$30,D$29,E102&lt;E$31,D$30,E102&lt;E$32,D$31,E102&lt;E$33,D$32,E102&lt;E$34,D$33,E102&lt;E$35,D$34,E102&gt;=E$35,D$35)</f>
        <v/>
      </c>
      <c r="E102" s="38" t="n">
        <v>52</v>
      </c>
      <c r="F102" s="31">
        <f>E102/52</f>
        <v/>
      </c>
      <c r="G102" s="39">
        <f>D102/1000000*52</f>
        <v/>
      </c>
      <c r="H102" s="33">
        <f>G102/$P$4+($C$22/$P$4)</f>
        <v/>
      </c>
      <c r="I102" s="36">
        <f>_xlfn.IFS(K102&lt;K$24,0,K102&lt;K$26,I$24,K102&lt;K$28,I$26,K102&lt;K$30,I$28,K102&lt;K$32,I$30,K102&lt;K$34,I$32,K102&lt;K$36,I$34,K102&lt;K$38,I$36,K102&lt;K$40,I$38,K102&lt;K$42,I$40,K102&lt;K$44,I$42,K102&lt;K$46,I$44,K102&gt;=K$46,I$46)</f>
        <v/>
      </c>
      <c r="J102" s="37">
        <f>_xlfn.IFS(K102&lt;K$24,0,K102&lt;K$25,J$24,K102&lt;K$26,J$25,K102&lt;K$27,J$26,K102&lt;K$28,J$27,K102&lt;K$29,J$28,K102&lt;K$30,J$29,K102&lt;K$31,J$30,K102&lt;K$32,J$31,K102&lt;K$33,J$32,K102&lt;K$34,J$33,K102&lt;K$35,J$34,K102&lt;K$36,J$35,K102&lt;K$37,J$36,K102&lt;K$38,J$37,K102&lt;K$39,J$38,K102&lt;K$40,J$39,K102&lt;K$41,J$40,K102&lt;K$42,J$41,K102&lt;K$43,J$42,K102&lt;K$44,J$43,K102&lt;K$45,J$44,K102&lt;K$46,J$45,K102&lt;K$47,J$46,K102&gt;=K$47,J$47)</f>
        <v/>
      </c>
      <c r="K102" s="38" t="n">
        <v>52</v>
      </c>
      <c r="L102" s="31">
        <f>K102/52</f>
        <v/>
      </c>
      <c r="M102" s="39">
        <f>J102/1000000*52</f>
        <v/>
      </c>
      <c r="N102" s="33">
        <f>M102/$P$4+($I$22/$P$4)</f>
        <v/>
      </c>
      <c r="U102">
        <f>F101</f>
        <v/>
      </c>
      <c r="V102">
        <f>H101</f>
        <v/>
      </c>
      <c r="W102">
        <f>N101</f>
        <v/>
      </c>
    </row>
    <row r="103" ht="15.75" customHeight="1" s="40">
      <c r="C103" s="36">
        <f>_xlfn.IFS(E103&lt;E$24,0,E103&lt;E$26,C$24,E103&lt;E$28,C$26,E103&lt;E$30,C$28,E103&lt;E$32,C$30,E103&lt;E$34,C$32,E103&gt;=E$34,C$34)</f>
        <v/>
      </c>
      <c r="D103" s="37">
        <f>_xlfn.IFS(E103&lt;E$24,0,E103&lt;E$25,D$24,E103&lt;E$26,D$25,E103&lt;E$27,D$26,E103&lt;E$28,D$27,E103&lt;E$29,D$28,E103&lt;E$30,D$29,E103&lt;E$31,D$30,E103&lt;E$32,D$31,E103&lt;E$33,D$32,E103&lt;E$34,D$33,E103&lt;E$35,D$34,E103&gt;=E$35,D$35)</f>
        <v/>
      </c>
      <c r="E103" s="38" t="n">
        <v>53</v>
      </c>
      <c r="F103" s="31">
        <f>E103/52</f>
        <v/>
      </c>
      <c r="G103" s="39">
        <f>D103/1000000*52</f>
        <v/>
      </c>
      <c r="H103" s="33">
        <f>G103/$P$4+($C$22/$P$4)</f>
        <v/>
      </c>
      <c r="I103" s="36">
        <f>_xlfn.IFS(K103&lt;K$24,0,K103&lt;K$26,I$24,K103&lt;K$28,I$26,K103&lt;K$30,I$28,K103&lt;K$32,I$30,K103&lt;K$34,I$32,K103&lt;K$36,I$34,K103&lt;K$38,I$36,K103&lt;K$40,I$38,K103&lt;K$42,I$40,K103&lt;K$44,I$42,K103&lt;K$46,I$44,K103&gt;=K$46,I$46)</f>
        <v/>
      </c>
      <c r="J103" s="37">
        <f>_xlfn.IFS(K103&lt;K$24,0,K103&lt;K$25,J$24,K103&lt;K$26,J$25,K103&lt;K$27,J$26,K103&lt;K$28,J$27,K103&lt;K$29,J$28,K103&lt;K$30,J$29,K103&lt;K$31,J$30,K103&lt;K$32,J$31,K103&lt;K$33,J$32,K103&lt;K$34,J$33,K103&lt;K$35,J$34,K103&lt;K$36,J$35,K103&lt;K$37,J$36,K103&lt;K$38,J$37,K103&lt;K$39,J$38,K103&lt;K$40,J$39,K103&lt;K$41,J$40,K103&lt;K$42,J$41,K103&lt;K$43,J$42,K103&lt;K$44,J$43,K103&lt;K$45,J$44,K103&lt;K$46,J$45,K103&lt;K$47,J$46,K103&gt;=K$47,J$47)</f>
        <v/>
      </c>
      <c r="K103" s="38" t="n">
        <v>53</v>
      </c>
      <c r="L103" s="31">
        <f>K103/52</f>
        <v/>
      </c>
      <c r="M103" s="39">
        <f>J103/1000000*52</f>
        <v/>
      </c>
      <c r="N103" s="33">
        <f>M103/$P$4+($I$22/$P$4)</f>
        <v/>
      </c>
      <c r="U103">
        <f>F102</f>
        <v/>
      </c>
      <c r="V103">
        <f>H102</f>
        <v/>
      </c>
      <c r="W103">
        <f>N102</f>
        <v/>
      </c>
    </row>
    <row r="104" ht="15.75" customHeight="1" s="40">
      <c r="C104" s="36">
        <f>_xlfn.IFS(E104&lt;E$24,0,E104&lt;E$26,C$24,E104&lt;E$28,C$26,E104&lt;E$30,C$28,E104&lt;E$32,C$30,E104&lt;E$34,C$32,E104&gt;=E$34,C$34)</f>
        <v/>
      </c>
      <c r="D104" s="37">
        <f>_xlfn.IFS(E104&lt;E$24,0,E104&lt;E$25,D$24,E104&lt;E$26,D$25,E104&lt;E$27,D$26,E104&lt;E$28,D$27,E104&lt;E$29,D$28,E104&lt;E$30,D$29,E104&lt;E$31,D$30,E104&lt;E$32,D$31,E104&lt;E$33,D$32,E104&lt;E$34,D$33,E104&lt;E$35,D$34,E104&gt;=E$35,D$35)</f>
        <v/>
      </c>
      <c r="E104" s="38" t="n">
        <v>54</v>
      </c>
      <c r="F104" s="31">
        <f>E104/52</f>
        <v/>
      </c>
      <c r="G104" s="39">
        <f>D104/1000000*52</f>
        <v/>
      </c>
      <c r="H104" s="33">
        <f>G104/$P$4+($C$22/$P$4)</f>
        <v/>
      </c>
      <c r="I104" s="36">
        <f>_xlfn.IFS(K104&lt;K$24,0,K104&lt;K$26,I$24,K104&lt;K$28,I$26,K104&lt;K$30,I$28,K104&lt;K$32,I$30,K104&lt;K$34,I$32,K104&lt;K$36,I$34,K104&lt;K$38,I$36,K104&lt;K$40,I$38,K104&lt;K$42,I$40,K104&lt;K$44,I$42,K104&lt;K$46,I$44,K104&gt;=K$46,I$46)</f>
        <v/>
      </c>
      <c r="J104" s="37">
        <f>_xlfn.IFS(K104&lt;K$24,0,K104&lt;K$25,J$24,K104&lt;K$26,J$25,K104&lt;K$27,J$26,K104&lt;K$28,J$27,K104&lt;K$29,J$28,K104&lt;K$30,J$29,K104&lt;K$31,J$30,K104&lt;K$32,J$31,K104&lt;K$33,J$32,K104&lt;K$34,J$33,K104&lt;K$35,J$34,K104&lt;K$36,J$35,K104&lt;K$37,J$36,K104&lt;K$38,J$37,K104&lt;K$39,J$38,K104&lt;K$40,J$39,K104&lt;K$41,J$40,K104&lt;K$42,J$41,K104&lt;K$43,J$42,K104&lt;K$44,J$43,K104&lt;K$45,J$44,K104&lt;K$46,J$45,K104&lt;K$47,J$46,K104&gt;=K$47,J$47)</f>
        <v/>
      </c>
      <c r="K104" s="38" t="n">
        <v>54</v>
      </c>
      <c r="L104" s="31">
        <f>K104/52</f>
        <v/>
      </c>
      <c r="M104" s="39">
        <f>J104/1000000*52</f>
        <v/>
      </c>
      <c r="N104" s="33">
        <f>M104/$P$4+($I$22/$P$4)</f>
        <v/>
      </c>
      <c r="U104">
        <f>F103</f>
        <v/>
      </c>
      <c r="V104">
        <f>H103</f>
        <v/>
      </c>
      <c r="W104">
        <f>N103</f>
        <v/>
      </c>
    </row>
    <row r="105" ht="15.75" customHeight="1" s="40">
      <c r="C105" s="36">
        <f>_xlfn.IFS(E105&lt;E$24,0,E105&lt;E$26,C$24,E105&lt;E$28,C$26,E105&lt;E$30,C$28,E105&lt;E$32,C$30,E105&lt;E$34,C$32,E105&gt;=E$34,C$34)</f>
        <v/>
      </c>
      <c r="D105" s="37">
        <f>_xlfn.IFS(E105&lt;E$24,0,E105&lt;E$25,D$24,E105&lt;E$26,D$25,E105&lt;E$27,D$26,E105&lt;E$28,D$27,E105&lt;E$29,D$28,E105&lt;E$30,D$29,E105&lt;E$31,D$30,E105&lt;E$32,D$31,E105&lt;E$33,D$32,E105&lt;E$34,D$33,E105&lt;E$35,D$34,E105&gt;=E$35,D$35)</f>
        <v/>
      </c>
      <c r="E105" s="38" t="n">
        <v>55</v>
      </c>
      <c r="F105" s="31">
        <f>E105/52</f>
        <v/>
      </c>
      <c r="G105" s="39">
        <f>D105/1000000*52</f>
        <v/>
      </c>
      <c r="H105" s="33">
        <f>G105/$P$4+($C$22/$P$4)</f>
        <v/>
      </c>
      <c r="I105" s="36">
        <f>_xlfn.IFS(K105&lt;K$24,0,K105&lt;K$26,I$24,K105&lt;K$28,I$26,K105&lt;K$30,I$28,K105&lt;K$32,I$30,K105&lt;K$34,I$32,K105&lt;K$36,I$34,K105&lt;K$38,I$36,K105&lt;K$40,I$38,K105&lt;K$42,I$40,K105&lt;K$44,I$42,K105&lt;K$46,I$44,K105&gt;=K$46,I$46)</f>
        <v/>
      </c>
      <c r="J105" s="37">
        <f>_xlfn.IFS(K105&lt;K$24,0,K105&lt;K$25,J$24,K105&lt;K$26,J$25,K105&lt;K$27,J$26,K105&lt;K$28,J$27,K105&lt;K$29,J$28,K105&lt;K$30,J$29,K105&lt;K$31,J$30,K105&lt;K$32,J$31,K105&lt;K$33,J$32,K105&lt;K$34,J$33,K105&lt;K$35,J$34,K105&lt;K$36,J$35,K105&lt;K$37,J$36,K105&lt;K$38,J$37,K105&lt;K$39,J$38,K105&lt;K$40,J$39,K105&lt;K$41,J$40,K105&lt;K$42,J$41,K105&lt;K$43,J$42,K105&lt;K$44,J$43,K105&lt;K$45,J$44,K105&lt;K$46,J$45,K105&lt;K$47,J$46,K105&gt;=K$47,J$47)</f>
        <v/>
      </c>
      <c r="K105" s="38" t="n">
        <v>55</v>
      </c>
      <c r="L105" s="31">
        <f>K105/52</f>
        <v/>
      </c>
      <c r="M105" s="39">
        <f>J105/1000000*52</f>
        <v/>
      </c>
      <c r="N105" s="33">
        <f>M105/$P$4+($I$22/$P$4)</f>
        <v/>
      </c>
      <c r="U105">
        <f>F104</f>
        <v/>
      </c>
      <c r="V105">
        <f>H104</f>
        <v/>
      </c>
      <c r="W105">
        <f>N104</f>
        <v/>
      </c>
    </row>
    <row r="106" ht="15.75" customHeight="1" s="40">
      <c r="C106" s="36">
        <f>_xlfn.IFS(E106&lt;E$24,0,E106&lt;E$26,C$24,E106&lt;E$28,C$26,E106&lt;E$30,C$28,E106&lt;E$32,C$30,E106&lt;E$34,C$32,E106&gt;=E$34,C$34)</f>
        <v/>
      </c>
      <c r="D106" s="37">
        <f>_xlfn.IFS(E106&lt;E$24,0,E106&lt;E$25,D$24,E106&lt;E$26,D$25,E106&lt;E$27,D$26,E106&lt;E$28,D$27,E106&lt;E$29,D$28,E106&lt;E$30,D$29,E106&lt;E$31,D$30,E106&lt;E$32,D$31,E106&lt;E$33,D$32,E106&lt;E$34,D$33,E106&lt;E$35,D$34,E106&gt;=E$35,D$35)</f>
        <v/>
      </c>
      <c r="E106" s="38" t="n">
        <v>56</v>
      </c>
      <c r="F106" s="31">
        <f>E106/52</f>
        <v/>
      </c>
      <c r="G106" s="39">
        <f>D106/1000000*52</f>
        <v/>
      </c>
      <c r="H106" s="33">
        <f>G106/$P$4+($C$22/$P$4)</f>
        <v/>
      </c>
      <c r="I106" s="36">
        <f>_xlfn.IFS(K106&lt;K$24,0,K106&lt;K$26,I$24,K106&lt;K$28,I$26,K106&lt;K$30,I$28,K106&lt;K$32,I$30,K106&lt;K$34,I$32,K106&lt;K$36,I$34,K106&lt;K$38,I$36,K106&lt;K$40,I$38,K106&lt;K$42,I$40,K106&lt;K$44,I$42,K106&lt;K$46,I$44,K106&gt;=K$46,I$46)</f>
        <v/>
      </c>
      <c r="J106" s="37">
        <f>_xlfn.IFS(K106&lt;K$24,0,K106&lt;K$25,J$24,K106&lt;K$26,J$25,K106&lt;K$27,J$26,K106&lt;K$28,J$27,K106&lt;K$29,J$28,K106&lt;K$30,J$29,K106&lt;K$31,J$30,K106&lt;K$32,J$31,K106&lt;K$33,J$32,K106&lt;K$34,J$33,K106&lt;K$35,J$34,K106&lt;K$36,J$35,K106&lt;K$37,J$36,K106&lt;K$38,J$37,K106&lt;K$39,J$38,K106&lt;K$40,J$39,K106&lt;K$41,J$40,K106&lt;K$42,J$41,K106&lt;K$43,J$42,K106&lt;K$44,J$43,K106&lt;K$45,J$44,K106&lt;K$46,J$45,K106&lt;K$47,J$46,K106&gt;=K$47,J$47)</f>
        <v/>
      </c>
      <c r="K106" s="38" t="n">
        <v>56</v>
      </c>
      <c r="L106" s="31">
        <f>K106/52</f>
        <v/>
      </c>
      <c r="M106" s="39">
        <f>J106/1000000*52</f>
        <v/>
      </c>
      <c r="N106" s="33">
        <f>M106/$P$4+($I$22/$P$4)</f>
        <v/>
      </c>
      <c r="U106">
        <f>F105</f>
        <v/>
      </c>
      <c r="V106">
        <f>H105</f>
        <v/>
      </c>
      <c r="W106">
        <f>N105</f>
        <v/>
      </c>
    </row>
    <row r="107" ht="15.75" customHeight="1" s="40">
      <c r="C107" s="36">
        <f>_xlfn.IFS(E107&lt;E$24,0,E107&lt;E$26,C$24,E107&lt;E$28,C$26,E107&lt;E$30,C$28,E107&lt;E$32,C$30,E107&lt;E$34,C$32,E107&gt;=E$34,C$34)</f>
        <v/>
      </c>
      <c r="D107" s="37">
        <f>_xlfn.IFS(E107&lt;E$24,0,E107&lt;E$25,D$24,E107&lt;E$26,D$25,E107&lt;E$27,D$26,E107&lt;E$28,D$27,E107&lt;E$29,D$28,E107&lt;E$30,D$29,E107&lt;E$31,D$30,E107&lt;E$32,D$31,E107&lt;E$33,D$32,E107&lt;E$34,D$33,E107&lt;E$35,D$34,E107&gt;=E$35,D$35)</f>
        <v/>
      </c>
      <c r="E107" s="38" t="n">
        <v>57</v>
      </c>
      <c r="F107" s="31">
        <f>E107/52</f>
        <v/>
      </c>
      <c r="G107" s="39">
        <f>D107/1000000*52</f>
        <v/>
      </c>
      <c r="H107" s="33">
        <f>G107/$P$4+($C$22/$P$4)</f>
        <v/>
      </c>
      <c r="I107" s="36">
        <f>_xlfn.IFS(K107&lt;K$24,0,K107&lt;K$26,I$24,K107&lt;K$28,I$26,K107&lt;K$30,I$28,K107&lt;K$32,I$30,K107&lt;K$34,I$32,K107&lt;K$36,I$34,K107&lt;K$38,I$36,K107&lt;K$40,I$38,K107&lt;K$42,I$40,K107&lt;K$44,I$42,K107&lt;K$46,I$44,K107&gt;=K$46,I$46)</f>
        <v/>
      </c>
      <c r="J107" s="37">
        <f>_xlfn.IFS(K107&lt;K$24,0,K107&lt;K$25,J$24,K107&lt;K$26,J$25,K107&lt;K$27,J$26,K107&lt;K$28,J$27,K107&lt;K$29,J$28,K107&lt;K$30,J$29,K107&lt;K$31,J$30,K107&lt;K$32,J$31,K107&lt;K$33,J$32,K107&lt;K$34,J$33,K107&lt;K$35,J$34,K107&lt;K$36,J$35,K107&lt;K$37,J$36,K107&lt;K$38,J$37,K107&lt;K$39,J$38,K107&lt;K$40,J$39,K107&lt;K$41,J$40,K107&lt;K$42,J$41,K107&lt;K$43,J$42,K107&lt;K$44,J$43,K107&lt;K$45,J$44,K107&lt;K$46,J$45,K107&lt;K$47,J$46,K107&gt;=K$47,J$47)</f>
        <v/>
      </c>
      <c r="K107" s="38" t="n">
        <v>57</v>
      </c>
      <c r="L107" s="31">
        <f>K107/52</f>
        <v/>
      </c>
      <c r="M107" s="39">
        <f>J107/1000000*52</f>
        <v/>
      </c>
      <c r="N107" s="33">
        <f>M107/$P$4+($I$22/$P$4)</f>
        <v/>
      </c>
      <c r="U107">
        <f>F106</f>
        <v/>
      </c>
      <c r="V107">
        <f>H106</f>
        <v/>
      </c>
      <c r="W107">
        <f>N106</f>
        <v/>
      </c>
    </row>
    <row r="108" ht="15.75" customHeight="1" s="40">
      <c r="C108" s="36">
        <f>_xlfn.IFS(E108&lt;E$24,0,E108&lt;E$26,C$24,E108&lt;E$28,C$26,E108&lt;E$30,C$28,E108&lt;E$32,C$30,E108&lt;E$34,C$32,E108&gt;=E$34,C$34)</f>
        <v/>
      </c>
      <c r="D108" s="37">
        <f>_xlfn.IFS(E108&lt;E$24,0,E108&lt;E$25,D$24,E108&lt;E$26,D$25,E108&lt;E$27,D$26,E108&lt;E$28,D$27,E108&lt;E$29,D$28,E108&lt;E$30,D$29,E108&lt;E$31,D$30,E108&lt;E$32,D$31,E108&lt;E$33,D$32,E108&lt;E$34,D$33,E108&lt;E$35,D$34,E108&gt;=E$35,D$35)</f>
        <v/>
      </c>
      <c r="E108" s="38" t="n">
        <v>58</v>
      </c>
      <c r="F108" s="31">
        <f>E108/52</f>
        <v/>
      </c>
      <c r="G108" s="39">
        <f>D108/1000000*52</f>
        <v/>
      </c>
      <c r="H108" s="33">
        <f>G108/$P$4+($C$22/$P$4)</f>
        <v/>
      </c>
      <c r="I108" s="36">
        <f>_xlfn.IFS(K108&lt;K$24,0,K108&lt;K$26,I$24,K108&lt;K$28,I$26,K108&lt;K$30,I$28,K108&lt;K$32,I$30,K108&lt;K$34,I$32,K108&lt;K$36,I$34,K108&lt;K$38,I$36,K108&lt;K$40,I$38,K108&lt;K$42,I$40,K108&lt;K$44,I$42,K108&lt;K$46,I$44,K108&gt;=K$46,I$46)</f>
        <v/>
      </c>
      <c r="J108" s="37">
        <f>_xlfn.IFS(K108&lt;K$24,0,K108&lt;K$25,J$24,K108&lt;K$26,J$25,K108&lt;K$27,J$26,K108&lt;K$28,J$27,K108&lt;K$29,J$28,K108&lt;K$30,J$29,K108&lt;K$31,J$30,K108&lt;K$32,J$31,K108&lt;K$33,J$32,K108&lt;K$34,J$33,K108&lt;K$35,J$34,K108&lt;K$36,J$35,K108&lt;K$37,J$36,K108&lt;K$38,J$37,K108&lt;K$39,J$38,K108&lt;K$40,J$39,K108&lt;K$41,J$40,K108&lt;K$42,J$41,K108&lt;K$43,J$42,K108&lt;K$44,J$43,K108&lt;K$45,J$44,K108&lt;K$46,J$45,K108&lt;K$47,J$46,K108&gt;=K$47,J$47)</f>
        <v/>
      </c>
      <c r="K108" s="38" t="n">
        <v>58</v>
      </c>
      <c r="L108" s="31">
        <f>K108/52</f>
        <v/>
      </c>
      <c r="M108" s="39">
        <f>J108/1000000*52</f>
        <v/>
      </c>
      <c r="N108" s="33">
        <f>M108/$P$4+($I$22/$P$4)</f>
        <v/>
      </c>
      <c r="U108">
        <f>F107</f>
        <v/>
      </c>
      <c r="V108">
        <f>H107</f>
        <v/>
      </c>
      <c r="W108">
        <f>N107</f>
        <v/>
      </c>
    </row>
    <row r="109" ht="15.75" customHeight="1" s="40">
      <c r="C109" s="36">
        <f>_xlfn.IFS(E109&lt;E$24,0,E109&lt;E$26,C$24,E109&lt;E$28,C$26,E109&lt;E$30,C$28,E109&lt;E$32,C$30,E109&lt;E$34,C$32,E109&gt;=E$34,C$34)</f>
        <v/>
      </c>
      <c r="D109" s="37">
        <f>_xlfn.IFS(E109&lt;E$24,0,E109&lt;E$25,D$24,E109&lt;E$26,D$25,E109&lt;E$27,D$26,E109&lt;E$28,D$27,E109&lt;E$29,D$28,E109&lt;E$30,D$29,E109&lt;E$31,D$30,E109&lt;E$32,D$31,E109&lt;E$33,D$32,E109&lt;E$34,D$33,E109&lt;E$35,D$34,E109&gt;=E$35,D$35)</f>
        <v/>
      </c>
      <c r="E109" s="38" t="n">
        <v>59</v>
      </c>
      <c r="F109" s="31">
        <f>E109/52</f>
        <v/>
      </c>
      <c r="G109" s="39">
        <f>D109/1000000*52</f>
        <v/>
      </c>
      <c r="H109" s="33">
        <f>G109/$P$4+($C$22/$P$4)</f>
        <v/>
      </c>
      <c r="I109" s="36">
        <f>_xlfn.IFS(K109&lt;K$24,0,K109&lt;K$26,I$24,K109&lt;K$28,I$26,K109&lt;K$30,I$28,K109&lt;K$32,I$30,K109&lt;K$34,I$32,K109&lt;K$36,I$34,K109&lt;K$38,I$36,K109&lt;K$40,I$38,K109&lt;K$42,I$40,K109&lt;K$44,I$42,K109&lt;K$46,I$44,K109&gt;=K$46,I$46)</f>
        <v/>
      </c>
      <c r="J109" s="37">
        <f>_xlfn.IFS(K109&lt;K$24,0,K109&lt;K$25,J$24,K109&lt;K$26,J$25,K109&lt;K$27,J$26,K109&lt;K$28,J$27,K109&lt;K$29,J$28,K109&lt;K$30,J$29,K109&lt;K$31,J$30,K109&lt;K$32,J$31,K109&lt;K$33,J$32,K109&lt;K$34,J$33,K109&lt;K$35,J$34,K109&lt;K$36,J$35,K109&lt;K$37,J$36,K109&lt;K$38,J$37,K109&lt;K$39,J$38,K109&lt;K$40,J$39,K109&lt;K$41,J$40,K109&lt;K$42,J$41,K109&lt;K$43,J$42,K109&lt;K$44,J$43,K109&lt;K$45,J$44,K109&lt;K$46,J$45,K109&lt;K$47,J$46,K109&gt;=K$47,J$47)</f>
        <v/>
      </c>
      <c r="K109" s="38" t="n">
        <v>59</v>
      </c>
      <c r="L109" s="31">
        <f>K109/52</f>
        <v/>
      </c>
      <c r="M109" s="39">
        <f>J109/1000000*52</f>
        <v/>
      </c>
      <c r="N109" s="33">
        <f>M109/$P$4+($I$22/$P$4)</f>
        <v/>
      </c>
      <c r="U109">
        <f>F108</f>
        <v/>
      </c>
      <c r="V109">
        <f>H108</f>
        <v/>
      </c>
      <c r="W109">
        <f>N108</f>
        <v/>
      </c>
    </row>
    <row r="110" ht="15.75" customHeight="1" s="40">
      <c r="C110" s="36">
        <f>_xlfn.IFS(E110&lt;E$24,0,E110&lt;E$26,C$24,E110&lt;E$28,C$26,E110&lt;E$30,C$28,E110&lt;E$32,C$30,E110&lt;E$34,C$32,E110&gt;=E$34,C$34)</f>
        <v/>
      </c>
      <c r="D110" s="37">
        <f>_xlfn.IFS(E110&lt;E$24,0,E110&lt;E$25,D$24,E110&lt;E$26,D$25,E110&lt;E$27,D$26,E110&lt;E$28,D$27,E110&lt;E$29,D$28,E110&lt;E$30,D$29,E110&lt;E$31,D$30,E110&lt;E$32,D$31,E110&lt;E$33,D$32,E110&lt;E$34,D$33,E110&lt;E$35,D$34,E110&gt;=E$35,D$35)</f>
        <v/>
      </c>
      <c r="E110" s="38" t="n">
        <v>60</v>
      </c>
      <c r="F110" s="31">
        <f>E110/52</f>
        <v/>
      </c>
      <c r="G110" s="39">
        <f>D110/1000000*52</f>
        <v/>
      </c>
      <c r="H110" s="33">
        <f>G110/$P$4+($C$22/$P$4)</f>
        <v/>
      </c>
      <c r="I110" s="36">
        <f>_xlfn.IFS(K110&lt;K$24,0,K110&lt;K$26,I$24,K110&lt;K$28,I$26,K110&lt;K$30,I$28,K110&lt;K$32,I$30,K110&lt;K$34,I$32,K110&lt;K$36,I$34,K110&lt;K$38,I$36,K110&lt;K$40,I$38,K110&lt;K$42,I$40,K110&lt;K$44,I$42,K110&lt;K$46,I$44,K110&gt;=K$46,I$46)</f>
        <v/>
      </c>
      <c r="J110" s="37">
        <f>_xlfn.IFS(K110&lt;K$24,0,K110&lt;K$25,J$24,K110&lt;K$26,J$25,K110&lt;K$27,J$26,K110&lt;K$28,J$27,K110&lt;K$29,J$28,K110&lt;K$30,J$29,K110&lt;K$31,J$30,K110&lt;K$32,J$31,K110&lt;K$33,J$32,K110&lt;K$34,J$33,K110&lt;K$35,J$34,K110&lt;K$36,J$35,K110&lt;K$37,J$36,K110&lt;K$38,J$37,K110&lt;K$39,J$38,K110&lt;K$40,J$39,K110&lt;K$41,J$40,K110&lt;K$42,J$41,K110&lt;K$43,J$42,K110&lt;K$44,J$43,K110&lt;K$45,J$44,K110&lt;K$46,J$45,K110&lt;K$47,J$46,K110&gt;=K$47,J$47)</f>
        <v/>
      </c>
      <c r="K110" s="38" t="n">
        <v>60</v>
      </c>
      <c r="L110" s="31">
        <f>K110/52</f>
        <v/>
      </c>
      <c r="M110" s="39">
        <f>J110/1000000*52</f>
        <v/>
      </c>
      <c r="N110" s="33">
        <f>M110/$P$4+($I$22/$P$4)</f>
        <v/>
      </c>
      <c r="U110">
        <f>F109</f>
        <v/>
      </c>
      <c r="V110">
        <f>H109</f>
        <v/>
      </c>
      <c r="W110">
        <f>N109</f>
        <v/>
      </c>
    </row>
    <row r="111" ht="15.75" customHeight="1" s="40">
      <c r="C111" s="36">
        <f>_xlfn.IFS(E111&lt;E$24,0,E111&lt;E$26,C$24,E111&lt;E$28,C$26,E111&lt;E$30,C$28,E111&lt;E$32,C$30,E111&lt;E$34,C$32,E111&gt;=E$34,C$34)</f>
        <v/>
      </c>
      <c r="D111" s="37">
        <f>_xlfn.IFS(E111&lt;E$24,0,E111&lt;E$25,D$24,E111&lt;E$26,D$25,E111&lt;E$27,D$26,E111&lt;E$28,D$27,E111&lt;E$29,D$28,E111&lt;E$30,D$29,E111&lt;E$31,D$30,E111&lt;E$32,D$31,E111&lt;E$33,D$32,E111&lt;E$34,D$33,E111&lt;E$35,D$34,E111&gt;=E$35,D$35)</f>
        <v/>
      </c>
      <c r="E111" s="38" t="n">
        <v>61</v>
      </c>
      <c r="F111" s="31">
        <f>E111/52</f>
        <v/>
      </c>
      <c r="G111" s="39">
        <f>D111/1000000*52</f>
        <v/>
      </c>
      <c r="H111" s="33">
        <f>G111/$P$4+($C$22/$P$4)</f>
        <v/>
      </c>
      <c r="I111" s="36">
        <f>_xlfn.IFS(K111&lt;K$24,0,K111&lt;K$26,I$24,K111&lt;K$28,I$26,K111&lt;K$30,I$28,K111&lt;K$32,I$30,K111&lt;K$34,I$32,K111&lt;K$36,I$34,K111&lt;K$38,I$36,K111&lt;K$40,I$38,K111&lt;K$42,I$40,K111&lt;K$44,I$42,K111&lt;K$46,I$44,K111&gt;=K$46,I$46)</f>
        <v/>
      </c>
      <c r="J111" s="37">
        <f>_xlfn.IFS(K111&lt;K$24,0,K111&lt;K$25,J$24,K111&lt;K$26,J$25,K111&lt;K$27,J$26,K111&lt;K$28,J$27,K111&lt;K$29,J$28,K111&lt;K$30,J$29,K111&lt;K$31,J$30,K111&lt;K$32,J$31,K111&lt;K$33,J$32,K111&lt;K$34,J$33,K111&lt;K$35,J$34,K111&lt;K$36,J$35,K111&lt;K$37,J$36,K111&lt;K$38,J$37,K111&lt;K$39,J$38,K111&lt;K$40,J$39,K111&lt;K$41,J$40,K111&lt;K$42,J$41,K111&lt;K$43,J$42,K111&lt;K$44,J$43,K111&lt;K$45,J$44,K111&lt;K$46,J$45,K111&lt;K$47,J$46,K111&gt;=K$47,J$47)</f>
        <v/>
      </c>
      <c r="K111" s="38" t="n">
        <v>61</v>
      </c>
      <c r="L111" s="31">
        <f>K111/52</f>
        <v/>
      </c>
      <c r="M111" s="39">
        <f>J111/1000000*52</f>
        <v/>
      </c>
      <c r="N111" s="33">
        <f>M111/$P$4+($I$22/$P$4)</f>
        <v/>
      </c>
      <c r="U111">
        <f>F110</f>
        <v/>
      </c>
      <c r="V111">
        <f>H110</f>
        <v/>
      </c>
      <c r="W111">
        <f>N110</f>
        <v/>
      </c>
    </row>
    <row r="112" ht="15.75" customHeight="1" s="40">
      <c r="C112" s="36">
        <f>_xlfn.IFS(E112&lt;E$24,0,E112&lt;E$26,C$24,E112&lt;E$28,C$26,E112&lt;E$30,C$28,E112&lt;E$32,C$30,E112&lt;E$34,C$32,E112&gt;=E$34,C$34)</f>
        <v/>
      </c>
      <c r="D112" s="37">
        <f>_xlfn.IFS(E112&lt;E$24,0,E112&lt;E$25,D$24,E112&lt;E$26,D$25,E112&lt;E$27,D$26,E112&lt;E$28,D$27,E112&lt;E$29,D$28,E112&lt;E$30,D$29,E112&lt;E$31,D$30,E112&lt;E$32,D$31,E112&lt;E$33,D$32,E112&lt;E$34,D$33,E112&lt;E$35,D$34,E112&gt;=E$35,D$35)</f>
        <v/>
      </c>
      <c r="E112" s="38" t="n">
        <v>62</v>
      </c>
      <c r="F112" s="31">
        <f>E112/52</f>
        <v/>
      </c>
      <c r="G112" s="39">
        <f>D112/1000000*52</f>
        <v/>
      </c>
      <c r="H112" s="33">
        <f>G112/$P$4+($C$22/$P$4)</f>
        <v/>
      </c>
      <c r="I112" s="36">
        <f>_xlfn.IFS(K112&lt;K$24,0,K112&lt;K$26,I$24,K112&lt;K$28,I$26,K112&lt;K$30,I$28,K112&lt;K$32,I$30,K112&lt;K$34,I$32,K112&lt;K$36,I$34,K112&lt;K$38,I$36,K112&lt;K$40,I$38,K112&lt;K$42,I$40,K112&lt;K$44,I$42,K112&lt;K$46,I$44,K112&gt;=K$46,I$46)</f>
        <v/>
      </c>
      <c r="J112" s="37">
        <f>_xlfn.IFS(K112&lt;K$24,0,K112&lt;K$25,J$24,K112&lt;K$26,J$25,K112&lt;K$27,J$26,K112&lt;K$28,J$27,K112&lt;K$29,J$28,K112&lt;K$30,J$29,K112&lt;K$31,J$30,K112&lt;K$32,J$31,K112&lt;K$33,J$32,K112&lt;K$34,J$33,K112&lt;K$35,J$34,K112&lt;K$36,J$35,K112&lt;K$37,J$36,K112&lt;K$38,J$37,K112&lt;K$39,J$38,K112&lt;K$40,J$39,K112&lt;K$41,J$40,K112&lt;K$42,J$41,K112&lt;K$43,J$42,K112&lt;K$44,J$43,K112&lt;K$45,J$44,K112&lt;K$46,J$45,K112&lt;K$47,J$46,K112&gt;=K$47,J$47)</f>
        <v/>
      </c>
      <c r="K112" s="38" t="n">
        <v>62</v>
      </c>
      <c r="L112" s="31">
        <f>K112/52</f>
        <v/>
      </c>
      <c r="M112" s="39">
        <f>J112/1000000*52</f>
        <v/>
      </c>
      <c r="N112" s="33">
        <f>M112/$P$4+($I$22/$P$4)</f>
        <v/>
      </c>
      <c r="U112">
        <f>F111</f>
        <v/>
      </c>
      <c r="V112">
        <f>H111</f>
        <v/>
      </c>
      <c r="W112">
        <f>N111</f>
        <v/>
      </c>
    </row>
    <row r="113" ht="15.75" customHeight="1" s="40">
      <c r="C113" s="36">
        <f>_xlfn.IFS(E113&lt;E$24,0,E113&lt;E$26,C$24,E113&lt;E$28,C$26,E113&lt;E$30,C$28,E113&lt;E$32,C$30,E113&lt;E$34,C$32,E113&gt;=E$34,C$34)</f>
        <v/>
      </c>
      <c r="D113" s="37">
        <f>_xlfn.IFS(E113&lt;E$24,0,E113&lt;E$25,D$24,E113&lt;E$26,D$25,E113&lt;E$27,D$26,E113&lt;E$28,D$27,E113&lt;E$29,D$28,E113&lt;E$30,D$29,E113&lt;E$31,D$30,E113&lt;E$32,D$31,E113&lt;E$33,D$32,E113&lt;E$34,D$33,E113&lt;E$35,D$34,E113&gt;=E$35,D$35)</f>
        <v/>
      </c>
      <c r="E113" s="38" t="n">
        <v>63</v>
      </c>
      <c r="F113" s="31">
        <f>E113/52</f>
        <v/>
      </c>
      <c r="G113" s="39">
        <f>D113/1000000*52</f>
        <v/>
      </c>
      <c r="H113" s="33">
        <f>G113/$P$4+($C$22/$P$4)</f>
        <v/>
      </c>
      <c r="I113" s="36">
        <f>_xlfn.IFS(K113&lt;K$24,0,K113&lt;K$26,I$24,K113&lt;K$28,I$26,K113&lt;K$30,I$28,K113&lt;K$32,I$30,K113&lt;K$34,I$32,K113&lt;K$36,I$34,K113&lt;K$38,I$36,K113&lt;K$40,I$38,K113&lt;K$42,I$40,K113&lt;K$44,I$42,K113&lt;K$46,I$44,K113&gt;=K$46,I$46)</f>
        <v/>
      </c>
      <c r="J113" s="37">
        <f>_xlfn.IFS(K113&lt;K$24,0,K113&lt;K$25,J$24,K113&lt;K$26,J$25,K113&lt;K$27,J$26,K113&lt;K$28,J$27,K113&lt;K$29,J$28,K113&lt;K$30,J$29,K113&lt;K$31,J$30,K113&lt;K$32,J$31,K113&lt;K$33,J$32,K113&lt;K$34,J$33,K113&lt;K$35,J$34,K113&lt;K$36,J$35,K113&lt;K$37,J$36,K113&lt;K$38,J$37,K113&lt;K$39,J$38,K113&lt;K$40,J$39,K113&lt;K$41,J$40,K113&lt;K$42,J$41,K113&lt;K$43,J$42,K113&lt;K$44,J$43,K113&lt;K$45,J$44,K113&lt;K$46,J$45,K113&lt;K$47,J$46,K113&gt;=K$47,J$47)</f>
        <v/>
      </c>
      <c r="K113" s="38" t="n">
        <v>63</v>
      </c>
      <c r="L113" s="31">
        <f>K113/52</f>
        <v/>
      </c>
      <c r="M113" s="39">
        <f>J113/1000000*52</f>
        <v/>
      </c>
      <c r="N113" s="33">
        <f>M113/$P$4+($I$22/$P$4)</f>
        <v/>
      </c>
      <c r="U113">
        <f>F112</f>
        <v/>
      </c>
      <c r="V113">
        <f>H112</f>
        <v/>
      </c>
      <c r="W113">
        <f>N112</f>
        <v/>
      </c>
    </row>
    <row r="114" ht="15.75" customHeight="1" s="40">
      <c r="C114" s="36">
        <f>_xlfn.IFS(E114&lt;E$24,0,E114&lt;E$26,C$24,E114&lt;E$28,C$26,E114&lt;E$30,C$28,E114&lt;E$32,C$30,E114&lt;E$34,C$32,E114&gt;=E$34,C$34)</f>
        <v/>
      </c>
      <c r="D114" s="37">
        <f>_xlfn.IFS(E114&lt;E$24,0,E114&lt;E$25,D$24,E114&lt;E$26,D$25,E114&lt;E$27,D$26,E114&lt;E$28,D$27,E114&lt;E$29,D$28,E114&lt;E$30,D$29,E114&lt;E$31,D$30,E114&lt;E$32,D$31,E114&lt;E$33,D$32,E114&lt;E$34,D$33,E114&lt;E$35,D$34,E114&gt;=E$35,D$35)</f>
        <v/>
      </c>
      <c r="E114" s="38" t="n">
        <v>64</v>
      </c>
      <c r="F114" s="31">
        <f>E114/52</f>
        <v/>
      </c>
      <c r="G114" s="39">
        <f>D114/1000000*52</f>
        <v/>
      </c>
      <c r="H114" s="33">
        <f>G114/$P$4+($C$22/$P$4)</f>
        <v/>
      </c>
      <c r="I114" s="36">
        <f>_xlfn.IFS(K114&lt;K$24,0,K114&lt;K$26,I$24,K114&lt;K$28,I$26,K114&lt;K$30,I$28,K114&lt;K$32,I$30,K114&lt;K$34,I$32,K114&lt;K$36,I$34,K114&lt;K$38,I$36,K114&lt;K$40,I$38,K114&lt;K$42,I$40,K114&lt;K$44,I$42,K114&lt;K$46,I$44,K114&gt;=K$46,I$46)</f>
        <v/>
      </c>
      <c r="J114" s="37">
        <f>_xlfn.IFS(K114&lt;K$24,0,K114&lt;K$25,J$24,K114&lt;K$26,J$25,K114&lt;K$27,J$26,K114&lt;K$28,J$27,K114&lt;K$29,J$28,K114&lt;K$30,J$29,K114&lt;K$31,J$30,K114&lt;K$32,J$31,K114&lt;K$33,J$32,K114&lt;K$34,J$33,K114&lt;K$35,J$34,K114&lt;K$36,J$35,K114&lt;K$37,J$36,K114&lt;K$38,J$37,K114&lt;K$39,J$38,K114&lt;K$40,J$39,K114&lt;K$41,J$40,K114&lt;K$42,J$41,K114&lt;K$43,J$42,K114&lt;K$44,J$43,K114&lt;K$45,J$44,K114&lt;K$46,J$45,K114&lt;K$47,J$46,K114&gt;=K$47,J$47)</f>
        <v/>
      </c>
      <c r="K114" s="38" t="n">
        <v>64</v>
      </c>
      <c r="L114" s="31">
        <f>K114/52</f>
        <v/>
      </c>
      <c r="M114" s="39">
        <f>J114/1000000*52</f>
        <v/>
      </c>
      <c r="N114" s="33">
        <f>M114/$P$4+($I$22/$P$4)</f>
        <v/>
      </c>
      <c r="U114">
        <f>F113</f>
        <v/>
      </c>
      <c r="V114">
        <f>H113</f>
        <v/>
      </c>
      <c r="W114">
        <f>N113</f>
        <v/>
      </c>
    </row>
    <row r="115" ht="15.75" customHeight="1" s="40">
      <c r="C115" s="36">
        <f>_xlfn.IFS(E115&lt;E$24,0,E115&lt;E$26,C$24,E115&lt;E$28,C$26,E115&lt;E$30,C$28,E115&lt;E$32,C$30,E115&lt;E$34,C$32,E115&gt;=E$34,C$34)</f>
        <v/>
      </c>
      <c r="D115" s="37">
        <f>_xlfn.IFS(E115&lt;E$24,0,E115&lt;E$25,D$24,E115&lt;E$26,D$25,E115&lt;E$27,D$26,E115&lt;E$28,D$27,E115&lt;E$29,D$28,E115&lt;E$30,D$29,E115&lt;E$31,D$30,E115&lt;E$32,D$31,E115&lt;E$33,D$32,E115&lt;E$34,D$33,E115&lt;E$35,D$34,E115&gt;=E$35,D$35)</f>
        <v/>
      </c>
      <c r="E115" s="38" t="n">
        <v>65</v>
      </c>
      <c r="F115" s="31">
        <f>E115/52</f>
        <v/>
      </c>
      <c r="G115" s="39">
        <f>D115/1000000*52</f>
        <v/>
      </c>
      <c r="H115" s="33">
        <f>G115/$P$4+($C$22/$P$4)</f>
        <v/>
      </c>
      <c r="I115" s="36">
        <f>_xlfn.IFS(K115&lt;K$24,0,K115&lt;K$26,I$24,K115&lt;K$28,I$26,K115&lt;K$30,I$28,K115&lt;K$32,I$30,K115&lt;K$34,I$32,K115&lt;K$36,I$34,K115&lt;K$38,I$36,K115&lt;K$40,I$38,K115&lt;K$42,I$40,K115&lt;K$44,I$42,K115&lt;K$46,I$44,K115&gt;=K$46,I$46)</f>
        <v/>
      </c>
      <c r="J115" s="37">
        <f>_xlfn.IFS(K115&lt;K$24,0,K115&lt;K$25,J$24,K115&lt;K$26,J$25,K115&lt;K$27,J$26,K115&lt;K$28,J$27,K115&lt;K$29,J$28,K115&lt;K$30,J$29,K115&lt;K$31,J$30,K115&lt;K$32,J$31,K115&lt;K$33,J$32,K115&lt;K$34,J$33,K115&lt;K$35,J$34,K115&lt;K$36,J$35,K115&lt;K$37,J$36,K115&lt;K$38,J$37,K115&lt;K$39,J$38,K115&lt;K$40,J$39,K115&lt;K$41,J$40,K115&lt;K$42,J$41,K115&lt;K$43,J$42,K115&lt;K$44,J$43,K115&lt;K$45,J$44,K115&lt;K$46,J$45,K115&lt;K$47,J$46,K115&gt;=K$47,J$47)</f>
        <v/>
      </c>
      <c r="K115" s="38" t="n">
        <v>65</v>
      </c>
      <c r="L115" s="31">
        <f>K115/52</f>
        <v/>
      </c>
      <c r="M115" s="39">
        <f>J115/1000000*52</f>
        <v/>
      </c>
      <c r="N115" s="33">
        <f>M115/$P$4+($I$22/$P$4)</f>
        <v/>
      </c>
      <c r="U115">
        <f>F114</f>
        <v/>
      </c>
      <c r="V115">
        <f>H114</f>
        <v/>
      </c>
      <c r="W115">
        <f>N114</f>
        <v/>
      </c>
    </row>
    <row r="116" ht="15.75" customHeight="1" s="40">
      <c r="C116" s="36">
        <f>_xlfn.IFS(E116&lt;E$24,0,E116&lt;E$26,C$24,E116&lt;E$28,C$26,E116&lt;E$30,C$28,E116&lt;E$32,C$30,E116&lt;E$34,C$32,E116&gt;=E$34,C$34)</f>
        <v/>
      </c>
      <c r="D116" s="37">
        <f>_xlfn.IFS(E116&lt;E$24,0,E116&lt;E$25,D$24,E116&lt;E$26,D$25,E116&lt;E$27,D$26,E116&lt;E$28,D$27,E116&lt;E$29,D$28,E116&lt;E$30,D$29,E116&lt;E$31,D$30,E116&lt;E$32,D$31,E116&lt;E$33,D$32,E116&lt;E$34,D$33,E116&lt;E$35,D$34,E116&gt;=E$35,D$35)</f>
        <v/>
      </c>
      <c r="E116" s="38" t="n">
        <v>66</v>
      </c>
      <c r="F116" s="31">
        <f>E116/52</f>
        <v/>
      </c>
      <c r="G116" s="39">
        <f>D116/1000000*52</f>
        <v/>
      </c>
      <c r="H116" s="33">
        <f>G116/$P$4+($C$22/$P$4)</f>
        <v/>
      </c>
      <c r="I116" s="36">
        <f>_xlfn.IFS(K116&lt;K$24,0,K116&lt;K$26,I$24,K116&lt;K$28,I$26,K116&lt;K$30,I$28,K116&lt;K$32,I$30,K116&lt;K$34,I$32,K116&lt;K$36,I$34,K116&lt;K$38,I$36,K116&lt;K$40,I$38,K116&lt;K$42,I$40,K116&lt;K$44,I$42,K116&lt;K$46,I$44,K116&gt;=K$46,I$46)</f>
        <v/>
      </c>
      <c r="J116" s="37">
        <f>_xlfn.IFS(K116&lt;K$24,0,K116&lt;K$25,J$24,K116&lt;K$26,J$25,K116&lt;K$27,J$26,K116&lt;K$28,J$27,K116&lt;K$29,J$28,K116&lt;K$30,J$29,K116&lt;K$31,J$30,K116&lt;K$32,J$31,K116&lt;K$33,J$32,K116&lt;K$34,J$33,K116&lt;K$35,J$34,K116&lt;K$36,J$35,K116&lt;K$37,J$36,K116&lt;K$38,J$37,K116&lt;K$39,J$38,K116&lt;K$40,J$39,K116&lt;K$41,J$40,K116&lt;K$42,J$41,K116&lt;K$43,J$42,K116&lt;K$44,J$43,K116&lt;K$45,J$44,K116&lt;K$46,J$45,K116&lt;K$47,J$46,K116&gt;=K$47,J$47)</f>
        <v/>
      </c>
      <c r="K116" s="38" t="n">
        <v>66</v>
      </c>
      <c r="L116" s="31">
        <f>K116/52</f>
        <v/>
      </c>
      <c r="M116" s="39">
        <f>J116/1000000*52</f>
        <v/>
      </c>
      <c r="N116" s="33">
        <f>M116/$P$4+($I$22/$P$4)</f>
        <v/>
      </c>
      <c r="U116">
        <f>F115</f>
        <v/>
      </c>
      <c r="V116">
        <f>H115</f>
        <v/>
      </c>
      <c r="W116">
        <f>N115</f>
        <v/>
      </c>
    </row>
    <row r="117" ht="15.75" customHeight="1" s="40">
      <c r="C117" s="36">
        <f>_xlfn.IFS(E117&lt;E$24,0,E117&lt;E$26,C$24,E117&lt;E$28,C$26,E117&lt;E$30,C$28,E117&lt;E$32,C$30,E117&lt;E$34,C$32,E117&gt;=E$34,C$34)</f>
        <v/>
      </c>
      <c r="D117" s="37">
        <f>_xlfn.IFS(E117&lt;E$24,0,E117&lt;E$25,D$24,E117&lt;E$26,D$25,E117&lt;E$27,D$26,E117&lt;E$28,D$27,E117&lt;E$29,D$28,E117&lt;E$30,D$29,E117&lt;E$31,D$30,E117&lt;E$32,D$31,E117&lt;E$33,D$32,E117&lt;E$34,D$33,E117&lt;E$35,D$34,E117&gt;=E$35,D$35)</f>
        <v/>
      </c>
      <c r="E117" s="38" t="n">
        <v>67</v>
      </c>
      <c r="F117" s="31">
        <f>E117/52</f>
        <v/>
      </c>
      <c r="G117" s="39">
        <f>D117/1000000*52</f>
        <v/>
      </c>
      <c r="H117" s="33">
        <f>G117/$P$4+($C$22/$P$4)</f>
        <v/>
      </c>
      <c r="I117" s="36">
        <f>_xlfn.IFS(K117&lt;K$24,0,K117&lt;K$26,I$24,K117&lt;K$28,I$26,K117&lt;K$30,I$28,K117&lt;K$32,I$30,K117&lt;K$34,I$32,K117&lt;K$36,I$34,K117&lt;K$38,I$36,K117&lt;K$40,I$38,K117&lt;K$42,I$40,K117&lt;K$44,I$42,K117&lt;K$46,I$44,K117&gt;=K$46,I$46)</f>
        <v/>
      </c>
      <c r="J117" s="37">
        <f>_xlfn.IFS(K117&lt;K$24,0,K117&lt;K$25,J$24,K117&lt;K$26,J$25,K117&lt;K$27,J$26,K117&lt;K$28,J$27,K117&lt;K$29,J$28,K117&lt;K$30,J$29,K117&lt;K$31,J$30,K117&lt;K$32,J$31,K117&lt;K$33,J$32,K117&lt;K$34,J$33,K117&lt;K$35,J$34,K117&lt;K$36,J$35,K117&lt;K$37,J$36,K117&lt;K$38,J$37,K117&lt;K$39,J$38,K117&lt;K$40,J$39,K117&lt;K$41,J$40,K117&lt;K$42,J$41,K117&lt;K$43,J$42,K117&lt;K$44,J$43,K117&lt;K$45,J$44,K117&lt;K$46,J$45,K117&lt;K$47,J$46,K117&gt;=K$47,J$47)</f>
        <v/>
      </c>
      <c r="K117" s="38" t="n">
        <v>67</v>
      </c>
      <c r="L117" s="31">
        <f>K117/52</f>
        <v/>
      </c>
      <c r="M117" s="39">
        <f>J117/1000000*52</f>
        <v/>
      </c>
      <c r="N117" s="33">
        <f>M117/$P$4+($I$22/$P$4)</f>
        <v/>
      </c>
      <c r="U117">
        <f>F116</f>
        <v/>
      </c>
      <c r="V117">
        <f>H116</f>
        <v/>
      </c>
      <c r="W117">
        <f>N116</f>
        <v/>
      </c>
    </row>
    <row r="118" ht="15.75" customHeight="1" s="40">
      <c r="C118" s="36">
        <f>_xlfn.IFS(E118&lt;E$24,0,E118&lt;E$26,C$24,E118&lt;E$28,C$26,E118&lt;E$30,C$28,E118&lt;E$32,C$30,E118&lt;E$34,C$32,E118&gt;=E$34,C$34)</f>
        <v/>
      </c>
      <c r="D118" s="37">
        <f>_xlfn.IFS(E118&lt;E$24,0,E118&lt;E$25,D$24,E118&lt;E$26,D$25,E118&lt;E$27,D$26,E118&lt;E$28,D$27,E118&lt;E$29,D$28,E118&lt;E$30,D$29,E118&lt;E$31,D$30,E118&lt;E$32,D$31,E118&lt;E$33,D$32,E118&lt;E$34,D$33,E118&lt;E$35,D$34,E118&gt;=E$35,D$35)</f>
        <v/>
      </c>
      <c r="E118" s="38" t="n">
        <v>68</v>
      </c>
      <c r="F118" s="31">
        <f>E118/52</f>
        <v/>
      </c>
      <c r="G118" s="39">
        <f>D118/1000000*52</f>
        <v/>
      </c>
      <c r="H118" s="33">
        <f>G118/$P$4+($C$22/$P$4)</f>
        <v/>
      </c>
      <c r="I118" s="36">
        <f>_xlfn.IFS(K118&lt;K$24,0,K118&lt;K$26,I$24,K118&lt;K$28,I$26,K118&lt;K$30,I$28,K118&lt;K$32,I$30,K118&lt;K$34,I$32,K118&lt;K$36,I$34,K118&lt;K$38,I$36,K118&lt;K$40,I$38,K118&lt;K$42,I$40,K118&lt;K$44,I$42,K118&lt;K$46,I$44,K118&gt;=K$46,I$46)</f>
        <v/>
      </c>
      <c r="J118" s="37">
        <f>_xlfn.IFS(K118&lt;K$24,0,K118&lt;K$25,J$24,K118&lt;K$26,J$25,K118&lt;K$27,J$26,K118&lt;K$28,J$27,K118&lt;K$29,J$28,K118&lt;K$30,J$29,K118&lt;K$31,J$30,K118&lt;K$32,J$31,K118&lt;K$33,J$32,K118&lt;K$34,J$33,K118&lt;K$35,J$34,K118&lt;K$36,J$35,K118&lt;K$37,J$36,K118&lt;K$38,J$37,K118&lt;K$39,J$38,K118&lt;K$40,J$39,K118&lt;K$41,J$40,K118&lt;K$42,J$41,K118&lt;K$43,J$42,K118&lt;K$44,J$43,K118&lt;K$45,J$44,K118&lt;K$46,J$45,K118&lt;K$47,J$46,K118&gt;=K$47,J$47)</f>
        <v/>
      </c>
      <c r="K118" s="38" t="n">
        <v>68</v>
      </c>
      <c r="L118" s="31">
        <f>K118/52</f>
        <v/>
      </c>
      <c r="M118" s="39">
        <f>J118/1000000*52</f>
        <v/>
      </c>
      <c r="N118" s="33">
        <f>M118/$P$4+($I$22/$P$4)</f>
        <v/>
      </c>
      <c r="U118">
        <f>F117</f>
        <v/>
      </c>
      <c r="V118">
        <f>H117</f>
        <v/>
      </c>
      <c r="W118">
        <f>N117</f>
        <v/>
      </c>
    </row>
    <row r="119" ht="15.75" customHeight="1" s="40">
      <c r="C119" s="36">
        <f>_xlfn.IFS(E119&lt;E$24,0,E119&lt;E$26,C$24,E119&lt;E$28,C$26,E119&lt;E$30,C$28,E119&lt;E$32,C$30,E119&lt;E$34,C$32,E119&gt;=E$34,C$34)</f>
        <v/>
      </c>
      <c r="D119" s="37">
        <f>_xlfn.IFS(E119&lt;E$24,0,E119&lt;E$25,D$24,E119&lt;E$26,D$25,E119&lt;E$27,D$26,E119&lt;E$28,D$27,E119&lt;E$29,D$28,E119&lt;E$30,D$29,E119&lt;E$31,D$30,E119&lt;E$32,D$31,E119&lt;E$33,D$32,E119&lt;E$34,D$33,E119&lt;E$35,D$34,E119&gt;=E$35,D$35)</f>
        <v/>
      </c>
      <c r="E119" s="38" t="n">
        <v>69</v>
      </c>
      <c r="F119" s="31">
        <f>E119/52</f>
        <v/>
      </c>
      <c r="G119" s="39">
        <f>D119/1000000*52</f>
        <v/>
      </c>
      <c r="H119" s="33">
        <f>G119/$P$4+($C$22/$P$4)</f>
        <v/>
      </c>
      <c r="I119" s="36">
        <f>_xlfn.IFS(K119&lt;K$24,0,K119&lt;K$26,I$24,K119&lt;K$28,I$26,K119&lt;K$30,I$28,K119&lt;K$32,I$30,K119&lt;K$34,I$32,K119&lt;K$36,I$34,K119&lt;K$38,I$36,K119&lt;K$40,I$38,K119&lt;K$42,I$40,K119&lt;K$44,I$42,K119&lt;K$46,I$44,K119&gt;=K$46,I$46)</f>
        <v/>
      </c>
      <c r="J119" s="37">
        <f>_xlfn.IFS(K119&lt;K$24,0,K119&lt;K$25,J$24,K119&lt;K$26,J$25,K119&lt;K$27,J$26,K119&lt;K$28,J$27,K119&lt;K$29,J$28,K119&lt;K$30,J$29,K119&lt;K$31,J$30,K119&lt;K$32,J$31,K119&lt;K$33,J$32,K119&lt;K$34,J$33,K119&lt;K$35,J$34,K119&lt;K$36,J$35,K119&lt;K$37,J$36,K119&lt;K$38,J$37,K119&lt;K$39,J$38,K119&lt;K$40,J$39,K119&lt;K$41,J$40,K119&lt;K$42,J$41,K119&lt;K$43,J$42,K119&lt;K$44,J$43,K119&lt;K$45,J$44,K119&lt;K$46,J$45,K119&lt;K$47,J$46,K119&gt;=K$47,J$47)</f>
        <v/>
      </c>
      <c r="K119" s="38" t="n">
        <v>69</v>
      </c>
      <c r="L119" s="31">
        <f>K119/52</f>
        <v/>
      </c>
      <c r="M119" s="39">
        <f>J119/1000000*52</f>
        <v/>
      </c>
      <c r="N119" s="33">
        <f>M119/$P$4+($I$22/$P$4)</f>
        <v/>
      </c>
      <c r="U119">
        <f>F118</f>
        <v/>
      </c>
      <c r="V119">
        <f>H118</f>
        <v/>
      </c>
      <c r="W119">
        <f>N118</f>
        <v/>
      </c>
    </row>
    <row r="120" ht="15.75" customHeight="1" s="40">
      <c r="C120" s="36">
        <f>_xlfn.IFS(E120&lt;E$24,0,E120&lt;E$26,C$24,E120&lt;E$28,C$26,E120&lt;E$30,C$28,E120&lt;E$32,C$30,E120&lt;E$34,C$32,E120&gt;=E$34,C$34)</f>
        <v/>
      </c>
      <c r="D120" s="37">
        <f>_xlfn.IFS(E120&lt;E$24,0,E120&lt;E$25,D$24,E120&lt;E$26,D$25,E120&lt;E$27,D$26,E120&lt;E$28,D$27,E120&lt;E$29,D$28,E120&lt;E$30,D$29,E120&lt;E$31,D$30,E120&lt;E$32,D$31,E120&lt;E$33,D$32,E120&lt;E$34,D$33,E120&lt;E$35,D$34,E120&gt;=E$35,D$35)</f>
        <v/>
      </c>
      <c r="E120" s="38" t="n">
        <v>70</v>
      </c>
      <c r="F120" s="31">
        <f>E120/52</f>
        <v/>
      </c>
      <c r="G120" s="39">
        <f>D120/1000000*52</f>
        <v/>
      </c>
      <c r="H120" s="33">
        <f>G120/$P$4+($C$22/$P$4)</f>
        <v/>
      </c>
      <c r="I120" s="36">
        <f>_xlfn.IFS(K120&lt;K$24,0,K120&lt;K$26,I$24,K120&lt;K$28,I$26,K120&lt;K$30,I$28,K120&lt;K$32,I$30,K120&lt;K$34,I$32,K120&lt;K$36,I$34,K120&lt;K$38,I$36,K120&lt;K$40,I$38,K120&lt;K$42,I$40,K120&lt;K$44,I$42,K120&lt;K$46,I$44,K120&gt;=K$46,I$46)</f>
        <v/>
      </c>
      <c r="J120" s="37">
        <f>_xlfn.IFS(K120&lt;K$24,0,K120&lt;K$25,J$24,K120&lt;K$26,J$25,K120&lt;K$27,J$26,K120&lt;K$28,J$27,K120&lt;K$29,J$28,K120&lt;K$30,J$29,K120&lt;K$31,J$30,K120&lt;K$32,J$31,K120&lt;K$33,J$32,K120&lt;K$34,J$33,K120&lt;K$35,J$34,K120&lt;K$36,J$35,K120&lt;K$37,J$36,K120&lt;K$38,J$37,K120&lt;K$39,J$38,K120&lt;K$40,J$39,K120&lt;K$41,J$40,K120&lt;K$42,J$41,K120&lt;K$43,J$42,K120&lt;K$44,J$43,K120&lt;K$45,J$44,K120&lt;K$46,J$45,K120&lt;K$47,J$46,K120&gt;=K$47,J$47)</f>
        <v/>
      </c>
      <c r="K120" s="38" t="n">
        <v>70</v>
      </c>
      <c r="L120" s="31">
        <f>K120/52</f>
        <v/>
      </c>
      <c r="M120" s="39">
        <f>J120/1000000*52</f>
        <v/>
      </c>
      <c r="N120" s="33">
        <f>M120/$P$4+($I$22/$P$4)</f>
        <v/>
      </c>
      <c r="U120">
        <f>F119</f>
        <v/>
      </c>
      <c r="V120">
        <f>H119</f>
        <v/>
      </c>
      <c r="W120">
        <f>N119</f>
        <v/>
      </c>
    </row>
    <row r="121" ht="15.75" customHeight="1" s="40">
      <c r="C121" s="36">
        <f>_xlfn.IFS(E121&lt;E$24,0,E121&lt;E$26,C$24,E121&lt;E$28,C$26,E121&lt;E$30,C$28,E121&lt;E$32,C$30,E121&lt;E$34,C$32,E121&gt;=E$34,C$34)</f>
        <v/>
      </c>
      <c r="D121" s="37">
        <f>_xlfn.IFS(E121&lt;E$24,0,E121&lt;E$25,D$24,E121&lt;E$26,D$25,E121&lt;E$27,D$26,E121&lt;E$28,D$27,E121&lt;E$29,D$28,E121&lt;E$30,D$29,E121&lt;E$31,D$30,E121&lt;E$32,D$31,E121&lt;E$33,D$32,E121&lt;E$34,D$33,E121&lt;E$35,D$34,E121&gt;=E$35,D$35)</f>
        <v/>
      </c>
      <c r="E121" s="38" t="n">
        <v>71</v>
      </c>
      <c r="F121" s="31">
        <f>E121/52</f>
        <v/>
      </c>
      <c r="G121" s="39">
        <f>D121/1000000*52</f>
        <v/>
      </c>
      <c r="H121" s="33">
        <f>G121/$P$4+($C$22/$P$4)</f>
        <v/>
      </c>
      <c r="I121" s="36">
        <f>_xlfn.IFS(K121&lt;K$24,0,K121&lt;K$26,I$24,K121&lt;K$28,I$26,K121&lt;K$30,I$28,K121&lt;K$32,I$30,K121&lt;K$34,I$32,K121&lt;K$36,I$34,K121&lt;K$38,I$36,K121&lt;K$40,I$38,K121&lt;K$42,I$40,K121&lt;K$44,I$42,K121&lt;K$46,I$44,K121&gt;=K$46,I$46)</f>
        <v/>
      </c>
      <c r="J121" s="37">
        <f>_xlfn.IFS(K121&lt;K$24,0,K121&lt;K$25,J$24,K121&lt;K$26,J$25,K121&lt;K$27,J$26,K121&lt;K$28,J$27,K121&lt;K$29,J$28,K121&lt;K$30,J$29,K121&lt;K$31,J$30,K121&lt;K$32,J$31,K121&lt;K$33,J$32,K121&lt;K$34,J$33,K121&lt;K$35,J$34,K121&lt;K$36,J$35,K121&lt;K$37,J$36,K121&lt;K$38,J$37,K121&lt;K$39,J$38,K121&lt;K$40,J$39,K121&lt;K$41,J$40,K121&lt;K$42,J$41,K121&lt;K$43,J$42,K121&lt;K$44,J$43,K121&lt;K$45,J$44,K121&lt;K$46,J$45,K121&lt;K$47,J$46,K121&gt;=K$47,J$47)</f>
        <v/>
      </c>
      <c r="K121" s="38" t="n">
        <v>71</v>
      </c>
      <c r="L121" s="31">
        <f>K121/52</f>
        <v/>
      </c>
      <c r="M121" s="39">
        <f>J121/1000000*52</f>
        <v/>
      </c>
      <c r="N121" s="33">
        <f>M121/$P$4+($I$22/$P$4)</f>
        <v/>
      </c>
      <c r="U121">
        <f>F120</f>
        <v/>
      </c>
      <c r="V121">
        <f>H120</f>
        <v/>
      </c>
      <c r="W121">
        <f>N120</f>
        <v/>
      </c>
    </row>
    <row r="122" ht="15.75" customHeight="1" s="40">
      <c r="C122" s="36">
        <f>_xlfn.IFS(E122&lt;E$24,0,E122&lt;E$26,C$24,E122&lt;E$28,C$26,E122&lt;E$30,C$28,E122&lt;E$32,C$30,E122&lt;E$34,C$32,E122&gt;=E$34,C$34)</f>
        <v/>
      </c>
      <c r="D122" s="37">
        <f>_xlfn.IFS(E122&lt;E$24,0,E122&lt;E$25,D$24,E122&lt;E$26,D$25,E122&lt;E$27,D$26,E122&lt;E$28,D$27,E122&lt;E$29,D$28,E122&lt;E$30,D$29,E122&lt;E$31,D$30,E122&lt;E$32,D$31,E122&lt;E$33,D$32,E122&lt;E$34,D$33,E122&lt;E$35,D$34,E122&gt;=E$35,D$35)</f>
        <v/>
      </c>
      <c r="E122" s="38" t="n">
        <v>72</v>
      </c>
      <c r="F122" s="31">
        <f>E122/52</f>
        <v/>
      </c>
      <c r="G122" s="39">
        <f>D122/1000000*52</f>
        <v/>
      </c>
      <c r="H122" s="33">
        <f>G122/$P$4+($C$22/$P$4)</f>
        <v/>
      </c>
      <c r="I122" s="36">
        <f>_xlfn.IFS(K122&lt;K$24,0,K122&lt;K$26,I$24,K122&lt;K$28,I$26,K122&lt;K$30,I$28,K122&lt;K$32,I$30,K122&lt;K$34,I$32,K122&lt;K$36,I$34,K122&lt;K$38,I$36,K122&lt;K$40,I$38,K122&lt;K$42,I$40,K122&lt;K$44,I$42,K122&lt;K$46,I$44,K122&gt;=K$46,I$46)</f>
        <v/>
      </c>
      <c r="J122" s="37">
        <f>_xlfn.IFS(K122&lt;K$24,0,K122&lt;K$25,J$24,K122&lt;K$26,J$25,K122&lt;K$27,J$26,K122&lt;K$28,J$27,K122&lt;K$29,J$28,K122&lt;K$30,J$29,K122&lt;K$31,J$30,K122&lt;K$32,J$31,K122&lt;K$33,J$32,K122&lt;K$34,J$33,K122&lt;K$35,J$34,K122&lt;K$36,J$35,K122&lt;K$37,J$36,K122&lt;K$38,J$37,K122&lt;K$39,J$38,K122&lt;K$40,J$39,K122&lt;K$41,J$40,K122&lt;K$42,J$41,K122&lt;K$43,J$42,K122&lt;K$44,J$43,K122&lt;K$45,J$44,K122&lt;K$46,J$45,K122&lt;K$47,J$46,K122&gt;=K$47,J$47)</f>
        <v/>
      </c>
      <c r="K122" s="38" t="n">
        <v>72</v>
      </c>
      <c r="L122" s="31">
        <f>K122/52</f>
        <v/>
      </c>
      <c r="M122" s="39">
        <f>J122/1000000*52</f>
        <v/>
      </c>
      <c r="N122" s="33">
        <f>M122/$P$4+($I$22/$P$4)</f>
        <v/>
      </c>
      <c r="U122">
        <f>F121</f>
        <v/>
      </c>
      <c r="V122">
        <f>H121</f>
        <v/>
      </c>
      <c r="W122">
        <f>N121</f>
        <v/>
      </c>
    </row>
    <row r="123" ht="15.75" customHeight="1" s="40">
      <c r="C123" s="36">
        <f>_xlfn.IFS(E123&lt;E$24,0,E123&lt;E$26,C$24,E123&lt;E$28,C$26,E123&lt;E$30,C$28,E123&lt;E$32,C$30,E123&lt;E$34,C$32,E123&gt;=E$34,C$34)</f>
        <v/>
      </c>
      <c r="D123" s="37">
        <f>_xlfn.IFS(E123&lt;E$24,0,E123&lt;E$25,D$24,E123&lt;E$26,D$25,E123&lt;E$27,D$26,E123&lt;E$28,D$27,E123&lt;E$29,D$28,E123&lt;E$30,D$29,E123&lt;E$31,D$30,E123&lt;E$32,D$31,E123&lt;E$33,D$32,E123&lt;E$34,D$33,E123&lt;E$35,D$34,E123&gt;=E$35,D$35)</f>
        <v/>
      </c>
      <c r="E123" s="38" t="n">
        <v>73</v>
      </c>
      <c r="F123" s="31">
        <f>E123/52</f>
        <v/>
      </c>
      <c r="G123" s="39">
        <f>D123/1000000*52</f>
        <v/>
      </c>
      <c r="H123" s="33">
        <f>G123/$P$4+($C$22/$P$4)</f>
        <v/>
      </c>
      <c r="I123" s="36">
        <f>_xlfn.IFS(K123&lt;K$24,0,K123&lt;K$26,I$24,K123&lt;K$28,I$26,K123&lt;K$30,I$28,K123&lt;K$32,I$30,K123&lt;K$34,I$32,K123&lt;K$36,I$34,K123&lt;K$38,I$36,K123&lt;K$40,I$38,K123&lt;K$42,I$40,K123&lt;K$44,I$42,K123&lt;K$46,I$44,K123&gt;=K$46,I$46)</f>
        <v/>
      </c>
      <c r="J123" s="37">
        <f>_xlfn.IFS(K123&lt;K$24,0,K123&lt;K$25,J$24,K123&lt;K$26,J$25,K123&lt;K$27,J$26,K123&lt;K$28,J$27,K123&lt;K$29,J$28,K123&lt;K$30,J$29,K123&lt;K$31,J$30,K123&lt;K$32,J$31,K123&lt;K$33,J$32,K123&lt;K$34,J$33,K123&lt;K$35,J$34,K123&lt;K$36,J$35,K123&lt;K$37,J$36,K123&lt;K$38,J$37,K123&lt;K$39,J$38,K123&lt;K$40,J$39,K123&lt;K$41,J$40,K123&lt;K$42,J$41,K123&lt;K$43,J$42,K123&lt;K$44,J$43,K123&lt;K$45,J$44,K123&lt;K$46,J$45,K123&lt;K$47,J$46,K123&gt;=K$47,J$47)</f>
        <v/>
      </c>
      <c r="K123" s="38" t="n">
        <v>73</v>
      </c>
      <c r="L123" s="31">
        <f>K123/52</f>
        <v/>
      </c>
      <c r="M123" s="39">
        <f>J123/1000000*52</f>
        <v/>
      </c>
      <c r="N123" s="33">
        <f>M123/$P$4+($I$22/$P$4)</f>
        <v/>
      </c>
      <c r="U123">
        <f>F122</f>
        <v/>
      </c>
      <c r="V123">
        <f>H122</f>
        <v/>
      </c>
      <c r="W123">
        <f>N122</f>
        <v/>
      </c>
    </row>
    <row r="124" ht="15.75" customHeight="1" s="40">
      <c r="C124" s="36">
        <f>_xlfn.IFS(E124&lt;E$24,0,E124&lt;E$26,C$24,E124&lt;E$28,C$26,E124&lt;E$30,C$28,E124&lt;E$32,C$30,E124&lt;E$34,C$32,E124&gt;=E$34,C$34)</f>
        <v/>
      </c>
      <c r="D124" s="37">
        <f>_xlfn.IFS(E124&lt;E$24,0,E124&lt;E$25,D$24,E124&lt;E$26,D$25,E124&lt;E$27,D$26,E124&lt;E$28,D$27,E124&lt;E$29,D$28,E124&lt;E$30,D$29,E124&lt;E$31,D$30,E124&lt;E$32,D$31,E124&lt;E$33,D$32,E124&lt;E$34,D$33,E124&lt;E$35,D$34,E124&gt;=E$35,D$35)</f>
        <v/>
      </c>
      <c r="E124" s="38" t="n">
        <v>74</v>
      </c>
      <c r="F124" s="31">
        <f>E124/52</f>
        <v/>
      </c>
      <c r="G124" s="39">
        <f>D124/1000000*52</f>
        <v/>
      </c>
      <c r="H124" s="33">
        <f>G124/$P$4+($C$22/$P$4)</f>
        <v/>
      </c>
      <c r="I124" s="36">
        <f>_xlfn.IFS(K124&lt;K$24,0,K124&lt;K$26,I$24,K124&lt;K$28,I$26,K124&lt;K$30,I$28,K124&lt;K$32,I$30,K124&lt;K$34,I$32,K124&lt;K$36,I$34,K124&lt;K$38,I$36,K124&lt;K$40,I$38,K124&lt;K$42,I$40,K124&lt;K$44,I$42,K124&lt;K$46,I$44,K124&gt;=K$46,I$46)</f>
        <v/>
      </c>
      <c r="J124" s="37">
        <f>_xlfn.IFS(K124&lt;K$24,0,K124&lt;K$25,J$24,K124&lt;K$26,J$25,K124&lt;K$27,J$26,K124&lt;K$28,J$27,K124&lt;K$29,J$28,K124&lt;K$30,J$29,K124&lt;K$31,J$30,K124&lt;K$32,J$31,K124&lt;K$33,J$32,K124&lt;K$34,J$33,K124&lt;K$35,J$34,K124&lt;K$36,J$35,K124&lt;K$37,J$36,K124&lt;K$38,J$37,K124&lt;K$39,J$38,K124&lt;K$40,J$39,K124&lt;K$41,J$40,K124&lt;K$42,J$41,K124&lt;K$43,J$42,K124&lt;K$44,J$43,K124&lt;K$45,J$44,K124&lt;K$46,J$45,K124&lt;K$47,J$46,K124&gt;=K$47,J$47)</f>
        <v/>
      </c>
      <c r="K124" s="38" t="n">
        <v>74</v>
      </c>
      <c r="L124" s="31">
        <f>K124/52</f>
        <v/>
      </c>
      <c r="M124" s="39">
        <f>J124/1000000*52</f>
        <v/>
      </c>
      <c r="N124" s="33">
        <f>M124/$P$4+($I$22/$P$4)</f>
        <v/>
      </c>
      <c r="U124">
        <f>F123</f>
        <v/>
      </c>
      <c r="V124">
        <f>H123</f>
        <v/>
      </c>
      <c r="W124">
        <f>N123</f>
        <v/>
      </c>
    </row>
    <row r="125" ht="15.75" customHeight="1" s="40">
      <c r="C125" s="36">
        <f>_xlfn.IFS(E125&lt;E$24,0,E125&lt;E$26,C$24,E125&lt;E$28,C$26,E125&lt;E$30,C$28,E125&lt;E$32,C$30,E125&lt;E$34,C$32,E125&gt;=E$34,C$34)</f>
        <v/>
      </c>
      <c r="D125" s="37">
        <f>_xlfn.IFS(E125&lt;E$24,0,E125&lt;E$25,D$24,E125&lt;E$26,D$25,E125&lt;E$27,D$26,E125&lt;E$28,D$27,E125&lt;E$29,D$28,E125&lt;E$30,D$29,E125&lt;E$31,D$30,E125&lt;E$32,D$31,E125&lt;E$33,D$32,E125&lt;E$34,D$33,E125&lt;E$35,D$34,E125&gt;=E$35,D$35)</f>
        <v/>
      </c>
      <c r="E125" s="38" t="n">
        <v>75</v>
      </c>
      <c r="F125" s="31">
        <f>E125/52</f>
        <v/>
      </c>
      <c r="G125" s="39">
        <f>D125/1000000*52</f>
        <v/>
      </c>
      <c r="H125" s="33">
        <f>G125/$P$4+($C$22/$P$4)</f>
        <v/>
      </c>
      <c r="I125" s="36">
        <f>_xlfn.IFS(K125&lt;K$24,0,K125&lt;K$26,I$24,K125&lt;K$28,I$26,K125&lt;K$30,I$28,K125&lt;K$32,I$30,K125&lt;K$34,I$32,K125&lt;K$36,I$34,K125&lt;K$38,I$36,K125&lt;K$40,I$38,K125&lt;K$42,I$40,K125&lt;K$44,I$42,K125&lt;K$46,I$44,K125&gt;=K$46,I$46)</f>
        <v/>
      </c>
      <c r="J125" s="37">
        <f>_xlfn.IFS(K125&lt;K$24,0,K125&lt;K$25,J$24,K125&lt;K$26,J$25,K125&lt;K$27,J$26,K125&lt;K$28,J$27,K125&lt;K$29,J$28,K125&lt;K$30,J$29,K125&lt;K$31,J$30,K125&lt;K$32,J$31,K125&lt;K$33,J$32,K125&lt;K$34,J$33,K125&lt;K$35,J$34,K125&lt;K$36,J$35,K125&lt;K$37,J$36,K125&lt;K$38,J$37,K125&lt;K$39,J$38,K125&lt;K$40,J$39,K125&lt;K$41,J$40,K125&lt;K$42,J$41,K125&lt;K$43,J$42,K125&lt;K$44,J$43,K125&lt;K$45,J$44,K125&lt;K$46,J$45,K125&lt;K$47,J$46,K125&gt;=K$47,J$47)</f>
        <v/>
      </c>
      <c r="K125" s="38" t="n">
        <v>75</v>
      </c>
      <c r="L125" s="31">
        <f>K125/52</f>
        <v/>
      </c>
      <c r="M125" s="39">
        <f>J125/1000000*52</f>
        <v/>
      </c>
      <c r="N125" s="33">
        <f>M125/$P$4+($I$22/$P$4)</f>
        <v/>
      </c>
      <c r="U125">
        <f>F124</f>
        <v/>
      </c>
      <c r="V125">
        <f>H124</f>
        <v/>
      </c>
      <c r="W125">
        <f>N124</f>
        <v/>
      </c>
    </row>
    <row r="126" ht="15.75" customHeight="1" s="40">
      <c r="C126" s="36">
        <f>_xlfn.IFS(E126&lt;E$24,0,E126&lt;E$26,C$24,E126&lt;E$28,C$26,E126&lt;E$30,C$28,E126&lt;E$32,C$30,E126&lt;E$34,C$32,E126&gt;=E$34,C$34)</f>
        <v/>
      </c>
      <c r="D126" s="37">
        <f>_xlfn.IFS(E126&lt;E$24,0,E126&lt;E$25,D$24,E126&lt;E$26,D$25,E126&lt;E$27,D$26,E126&lt;E$28,D$27,E126&lt;E$29,D$28,E126&lt;E$30,D$29,E126&lt;E$31,D$30,E126&lt;E$32,D$31,E126&lt;E$33,D$32,E126&lt;E$34,D$33,E126&lt;E$35,D$34,E126&gt;=E$35,D$35)</f>
        <v/>
      </c>
      <c r="E126" s="38" t="n">
        <v>76</v>
      </c>
      <c r="F126" s="31">
        <f>E126/52</f>
        <v/>
      </c>
      <c r="G126" s="39">
        <f>D126/1000000*52</f>
        <v/>
      </c>
      <c r="H126" s="33">
        <f>G126/$P$4+($C$22/$P$4)</f>
        <v/>
      </c>
      <c r="I126" s="36">
        <f>_xlfn.IFS(K126&lt;K$24,0,K126&lt;K$26,I$24,K126&lt;K$28,I$26,K126&lt;K$30,I$28,K126&lt;K$32,I$30,K126&lt;K$34,I$32,K126&lt;K$36,I$34,K126&lt;K$38,I$36,K126&lt;K$40,I$38,K126&lt;K$42,I$40,K126&lt;K$44,I$42,K126&lt;K$46,I$44,K126&gt;=K$46,I$46)</f>
        <v/>
      </c>
      <c r="J126" s="37">
        <f>_xlfn.IFS(K126&lt;K$24,0,K126&lt;K$25,J$24,K126&lt;K$26,J$25,K126&lt;K$27,J$26,K126&lt;K$28,J$27,K126&lt;K$29,J$28,K126&lt;K$30,J$29,K126&lt;K$31,J$30,K126&lt;K$32,J$31,K126&lt;K$33,J$32,K126&lt;K$34,J$33,K126&lt;K$35,J$34,K126&lt;K$36,J$35,K126&lt;K$37,J$36,K126&lt;K$38,J$37,K126&lt;K$39,J$38,K126&lt;K$40,J$39,K126&lt;K$41,J$40,K126&lt;K$42,J$41,K126&lt;K$43,J$42,K126&lt;K$44,J$43,K126&lt;K$45,J$44,K126&lt;K$46,J$45,K126&lt;K$47,J$46,K126&gt;=K$47,J$47)</f>
        <v/>
      </c>
      <c r="K126" s="38" t="n">
        <v>76</v>
      </c>
      <c r="L126" s="31">
        <f>K126/52</f>
        <v/>
      </c>
      <c r="M126" s="39">
        <f>J126/1000000*52</f>
        <v/>
      </c>
      <c r="N126" s="33">
        <f>M126/$P$4+($I$22/$P$4)</f>
        <v/>
      </c>
      <c r="U126">
        <f>F125</f>
        <v/>
      </c>
      <c r="V126">
        <f>H125</f>
        <v/>
      </c>
      <c r="W126">
        <f>N125</f>
        <v/>
      </c>
    </row>
    <row r="127" ht="15.75" customHeight="1" s="40">
      <c r="C127" s="36">
        <f>_xlfn.IFS(E127&lt;E$24,0,E127&lt;E$26,C$24,E127&lt;E$28,C$26,E127&lt;E$30,C$28,E127&lt;E$32,C$30,E127&lt;E$34,C$32,E127&gt;=E$34,C$34)</f>
        <v/>
      </c>
      <c r="D127" s="37">
        <f>_xlfn.IFS(E127&lt;E$24,0,E127&lt;E$25,D$24,E127&lt;E$26,D$25,E127&lt;E$27,D$26,E127&lt;E$28,D$27,E127&lt;E$29,D$28,E127&lt;E$30,D$29,E127&lt;E$31,D$30,E127&lt;E$32,D$31,E127&lt;E$33,D$32,E127&lt;E$34,D$33,E127&lt;E$35,D$34,E127&gt;=E$35,D$35)</f>
        <v/>
      </c>
      <c r="E127" s="38" t="n">
        <v>77</v>
      </c>
      <c r="F127" s="31">
        <f>E127/52</f>
        <v/>
      </c>
      <c r="G127" s="39">
        <f>D127/1000000*52</f>
        <v/>
      </c>
      <c r="H127" s="33">
        <f>G127/$P$4+($C$22/$P$4)</f>
        <v/>
      </c>
      <c r="I127" s="36">
        <f>_xlfn.IFS(K127&lt;K$24,0,K127&lt;K$26,I$24,K127&lt;K$28,I$26,K127&lt;K$30,I$28,K127&lt;K$32,I$30,K127&lt;K$34,I$32,K127&lt;K$36,I$34,K127&lt;K$38,I$36,K127&lt;K$40,I$38,K127&lt;K$42,I$40,K127&lt;K$44,I$42,K127&lt;K$46,I$44,K127&gt;=K$46,I$46)</f>
        <v/>
      </c>
      <c r="J127" s="37">
        <f>_xlfn.IFS(K127&lt;K$24,0,K127&lt;K$25,J$24,K127&lt;K$26,J$25,K127&lt;K$27,J$26,K127&lt;K$28,J$27,K127&lt;K$29,J$28,K127&lt;K$30,J$29,K127&lt;K$31,J$30,K127&lt;K$32,J$31,K127&lt;K$33,J$32,K127&lt;K$34,J$33,K127&lt;K$35,J$34,K127&lt;K$36,J$35,K127&lt;K$37,J$36,K127&lt;K$38,J$37,K127&lt;K$39,J$38,K127&lt;K$40,J$39,K127&lt;K$41,J$40,K127&lt;K$42,J$41,K127&lt;K$43,J$42,K127&lt;K$44,J$43,K127&lt;K$45,J$44,K127&lt;K$46,J$45,K127&lt;K$47,J$46,K127&gt;=K$47,J$47)</f>
        <v/>
      </c>
      <c r="K127" s="38" t="n">
        <v>77</v>
      </c>
      <c r="L127" s="31">
        <f>K127/52</f>
        <v/>
      </c>
      <c r="M127" s="39">
        <f>J127/1000000*52</f>
        <v/>
      </c>
      <c r="N127" s="33">
        <f>M127/$P$4+($I$22/$P$4)</f>
        <v/>
      </c>
      <c r="U127">
        <f>F126</f>
        <v/>
      </c>
      <c r="V127">
        <f>H126</f>
        <v/>
      </c>
      <c r="W127">
        <f>N126</f>
        <v/>
      </c>
    </row>
    <row r="128" ht="15.75" customHeight="1" s="40">
      <c r="C128" s="36">
        <f>_xlfn.IFS(E128&lt;E$24,0,E128&lt;E$26,C$24,E128&lt;E$28,C$26,E128&lt;E$30,C$28,E128&lt;E$32,C$30,E128&lt;E$34,C$32,E128&gt;=E$34,C$34)</f>
        <v/>
      </c>
      <c r="D128" s="37">
        <f>_xlfn.IFS(E128&lt;E$24,0,E128&lt;E$25,D$24,E128&lt;E$26,D$25,E128&lt;E$27,D$26,E128&lt;E$28,D$27,E128&lt;E$29,D$28,E128&lt;E$30,D$29,E128&lt;E$31,D$30,E128&lt;E$32,D$31,E128&lt;E$33,D$32,E128&lt;E$34,D$33,E128&lt;E$35,D$34,E128&gt;=E$35,D$35)</f>
        <v/>
      </c>
      <c r="E128" s="38" t="n">
        <v>78</v>
      </c>
      <c r="F128" s="31">
        <f>E128/52</f>
        <v/>
      </c>
      <c r="G128" s="39">
        <f>D128/1000000*52</f>
        <v/>
      </c>
      <c r="H128" s="33">
        <f>G128/$P$4+($C$22/$P$4)</f>
        <v/>
      </c>
      <c r="I128" s="36">
        <f>_xlfn.IFS(K128&lt;K$24,0,K128&lt;K$26,I$24,K128&lt;K$28,I$26,K128&lt;K$30,I$28,K128&lt;K$32,I$30,K128&lt;K$34,I$32,K128&lt;K$36,I$34,K128&lt;K$38,I$36,K128&lt;K$40,I$38,K128&lt;K$42,I$40,K128&lt;K$44,I$42,K128&lt;K$46,I$44,K128&gt;=K$46,I$46)</f>
        <v/>
      </c>
      <c r="J128" s="37">
        <f>_xlfn.IFS(K128&lt;K$24,0,K128&lt;K$25,J$24,K128&lt;K$26,J$25,K128&lt;K$27,J$26,K128&lt;K$28,J$27,K128&lt;K$29,J$28,K128&lt;K$30,J$29,K128&lt;K$31,J$30,K128&lt;K$32,J$31,K128&lt;K$33,J$32,K128&lt;K$34,J$33,K128&lt;K$35,J$34,K128&lt;K$36,J$35,K128&lt;K$37,J$36,K128&lt;K$38,J$37,K128&lt;K$39,J$38,K128&lt;K$40,J$39,K128&lt;K$41,J$40,K128&lt;K$42,J$41,K128&lt;K$43,J$42,K128&lt;K$44,J$43,K128&lt;K$45,J$44,K128&lt;K$46,J$45,K128&lt;K$47,J$46,K128&gt;=K$47,J$47)</f>
        <v/>
      </c>
      <c r="K128" s="38" t="n">
        <v>78</v>
      </c>
      <c r="L128" s="31">
        <f>K128/52</f>
        <v/>
      </c>
      <c r="M128" s="39">
        <f>J128/1000000*52</f>
        <v/>
      </c>
      <c r="N128" s="33">
        <f>M128/$P$4+($I$22/$P$4)</f>
        <v/>
      </c>
      <c r="U128">
        <f>F127</f>
        <v/>
      </c>
      <c r="V128">
        <f>H127</f>
        <v/>
      </c>
      <c r="W128">
        <f>N127</f>
        <v/>
      </c>
    </row>
    <row r="129" ht="15.75" customHeight="1" s="40">
      <c r="C129" s="36">
        <f>_xlfn.IFS(E129&lt;E$24,0,E129&lt;E$26,C$24,E129&lt;E$28,C$26,E129&lt;E$30,C$28,E129&lt;E$32,C$30,E129&lt;E$34,C$32,E129&gt;=E$34,C$34)</f>
        <v/>
      </c>
      <c r="D129" s="37">
        <f>_xlfn.IFS(E129&lt;E$24,0,E129&lt;E$25,D$24,E129&lt;E$26,D$25,E129&lt;E$27,D$26,E129&lt;E$28,D$27,E129&lt;E$29,D$28,E129&lt;E$30,D$29,E129&lt;E$31,D$30,E129&lt;E$32,D$31,E129&lt;E$33,D$32,E129&lt;E$34,D$33,E129&lt;E$35,D$34,E129&gt;=E$35,D$35)</f>
        <v/>
      </c>
      <c r="E129" s="38" t="n">
        <v>79</v>
      </c>
      <c r="F129" s="31">
        <f>E129/52</f>
        <v/>
      </c>
      <c r="G129" s="39">
        <f>D129/1000000*52</f>
        <v/>
      </c>
      <c r="H129" s="33">
        <f>G129/$P$4+($C$22/$P$4)</f>
        <v/>
      </c>
      <c r="I129" s="36">
        <f>_xlfn.IFS(K129&lt;K$24,0,K129&lt;K$26,I$24,K129&lt;K$28,I$26,K129&lt;K$30,I$28,K129&lt;K$32,I$30,K129&lt;K$34,I$32,K129&lt;K$36,I$34,K129&lt;K$38,I$36,K129&lt;K$40,I$38,K129&lt;K$42,I$40,K129&lt;K$44,I$42,K129&lt;K$46,I$44,K129&gt;=K$46,I$46)</f>
        <v/>
      </c>
      <c r="J129" s="37">
        <f>_xlfn.IFS(K129&lt;K$24,0,K129&lt;K$25,J$24,K129&lt;K$26,J$25,K129&lt;K$27,J$26,K129&lt;K$28,J$27,K129&lt;K$29,J$28,K129&lt;K$30,J$29,K129&lt;K$31,J$30,K129&lt;K$32,J$31,K129&lt;K$33,J$32,K129&lt;K$34,J$33,K129&lt;K$35,J$34,K129&lt;K$36,J$35,K129&lt;K$37,J$36,K129&lt;K$38,J$37,K129&lt;K$39,J$38,K129&lt;K$40,J$39,K129&lt;K$41,J$40,K129&lt;K$42,J$41,K129&lt;K$43,J$42,K129&lt;K$44,J$43,K129&lt;K$45,J$44,K129&lt;K$46,J$45,K129&lt;K$47,J$46,K129&gt;=K$47,J$47)</f>
        <v/>
      </c>
      <c r="K129" s="38" t="n">
        <v>79</v>
      </c>
      <c r="L129" s="31">
        <f>K129/52</f>
        <v/>
      </c>
      <c r="M129" s="39">
        <f>J129/1000000*52</f>
        <v/>
      </c>
      <c r="N129" s="33">
        <f>M129/$P$4+($I$22/$P$4)</f>
        <v/>
      </c>
      <c r="U129">
        <f>F128</f>
        <v/>
      </c>
      <c r="V129">
        <f>H128</f>
        <v/>
      </c>
      <c r="W129">
        <f>N128</f>
        <v/>
      </c>
    </row>
    <row r="130" ht="15.75" customHeight="1" s="40">
      <c r="C130" s="36">
        <f>_xlfn.IFS(E130&lt;E$24,0,E130&lt;E$26,C$24,E130&lt;E$28,C$26,E130&lt;E$30,C$28,E130&lt;E$32,C$30,E130&lt;E$34,C$32,E130&gt;=E$34,C$34)</f>
        <v/>
      </c>
      <c r="D130" s="37">
        <f>_xlfn.IFS(E130&lt;E$24,0,E130&lt;E$25,D$24,E130&lt;E$26,D$25,E130&lt;E$27,D$26,E130&lt;E$28,D$27,E130&lt;E$29,D$28,E130&lt;E$30,D$29,E130&lt;E$31,D$30,E130&lt;E$32,D$31,E130&lt;E$33,D$32,E130&lt;E$34,D$33,E130&lt;E$35,D$34,E130&gt;=E$35,D$35)</f>
        <v/>
      </c>
      <c r="E130" s="38" t="n">
        <v>80</v>
      </c>
      <c r="F130" s="31">
        <f>E130/52</f>
        <v/>
      </c>
      <c r="G130" s="39">
        <f>D130/1000000*52</f>
        <v/>
      </c>
      <c r="H130" s="33">
        <f>G130/$P$4+($C$22/$P$4)</f>
        <v/>
      </c>
      <c r="I130" s="36">
        <f>_xlfn.IFS(K130&lt;K$24,0,K130&lt;K$26,I$24,K130&lt;K$28,I$26,K130&lt;K$30,I$28,K130&lt;K$32,I$30,K130&lt;K$34,I$32,K130&lt;K$36,I$34,K130&lt;K$38,I$36,K130&lt;K$40,I$38,K130&lt;K$42,I$40,K130&lt;K$44,I$42,K130&lt;K$46,I$44,K130&gt;=K$46,I$46)</f>
        <v/>
      </c>
      <c r="J130" s="37">
        <f>_xlfn.IFS(K130&lt;K$24,0,K130&lt;K$25,J$24,K130&lt;K$26,J$25,K130&lt;K$27,J$26,K130&lt;K$28,J$27,K130&lt;K$29,J$28,K130&lt;K$30,J$29,K130&lt;K$31,J$30,K130&lt;K$32,J$31,K130&lt;K$33,J$32,K130&lt;K$34,J$33,K130&lt;K$35,J$34,K130&lt;K$36,J$35,K130&lt;K$37,J$36,K130&lt;K$38,J$37,K130&lt;K$39,J$38,K130&lt;K$40,J$39,K130&lt;K$41,J$40,K130&lt;K$42,J$41,K130&lt;K$43,J$42,K130&lt;K$44,J$43,K130&lt;K$45,J$44,K130&lt;K$46,J$45,K130&lt;K$47,J$46,K130&gt;=K$47,J$47)</f>
        <v/>
      </c>
      <c r="K130" s="38" t="n">
        <v>80</v>
      </c>
      <c r="L130" s="31">
        <f>K130/52</f>
        <v/>
      </c>
      <c r="M130" s="39">
        <f>J130/1000000*52</f>
        <v/>
      </c>
      <c r="N130" s="33">
        <f>M130/$P$4+($I$22/$P$4)</f>
        <v/>
      </c>
      <c r="U130">
        <f>F129</f>
        <v/>
      </c>
      <c r="V130">
        <f>H129</f>
        <v/>
      </c>
      <c r="W130">
        <f>N129</f>
        <v/>
      </c>
    </row>
    <row r="131" ht="15.75" customHeight="1" s="40">
      <c r="C131" s="36">
        <f>_xlfn.IFS(E131&lt;E$24,0,E131&lt;E$26,C$24,E131&lt;E$28,C$26,E131&lt;E$30,C$28,E131&lt;E$32,C$30,E131&lt;E$34,C$32,E131&gt;=E$34,C$34)</f>
        <v/>
      </c>
      <c r="D131" s="37">
        <f>_xlfn.IFS(E131&lt;E$24,0,E131&lt;E$25,D$24,E131&lt;E$26,D$25,E131&lt;E$27,D$26,E131&lt;E$28,D$27,E131&lt;E$29,D$28,E131&lt;E$30,D$29,E131&lt;E$31,D$30,E131&lt;E$32,D$31,E131&lt;E$33,D$32,E131&lt;E$34,D$33,E131&lt;E$35,D$34,E131&gt;=E$35,D$35)</f>
        <v/>
      </c>
      <c r="E131" s="38" t="n">
        <v>81</v>
      </c>
      <c r="F131" s="31">
        <f>E131/52</f>
        <v/>
      </c>
      <c r="G131" s="39">
        <f>D131/1000000*52</f>
        <v/>
      </c>
      <c r="H131" s="33">
        <f>G131/$P$4+($C$22/$P$4)</f>
        <v/>
      </c>
      <c r="I131" s="36">
        <f>_xlfn.IFS(K131&lt;K$24,0,K131&lt;K$26,I$24,K131&lt;K$28,I$26,K131&lt;K$30,I$28,K131&lt;K$32,I$30,K131&lt;K$34,I$32,K131&lt;K$36,I$34,K131&lt;K$38,I$36,K131&lt;K$40,I$38,K131&lt;K$42,I$40,K131&lt;K$44,I$42,K131&lt;K$46,I$44,K131&gt;=K$46,I$46)</f>
        <v/>
      </c>
      <c r="J131" s="37">
        <f>_xlfn.IFS(K131&lt;K$24,0,K131&lt;K$25,J$24,K131&lt;K$26,J$25,K131&lt;K$27,J$26,K131&lt;K$28,J$27,K131&lt;K$29,J$28,K131&lt;K$30,J$29,K131&lt;K$31,J$30,K131&lt;K$32,J$31,K131&lt;K$33,J$32,K131&lt;K$34,J$33,K131&lt;K$35,J$34,K131&lt;K$36,J$35,K131&lt;K$37,J$36,K131&lt;K$38,J$37,K131&lt;K$39,J$38,K131&lt;K$40,J$39,K131&lt;K$41,J$40,K131&lt;K$42,J$41,K131&lt;K$43,J$42,K131&lt;K$44,J$43,K131&lt;K$45,J$44,K131&lt;K$46,J$45,K131&lt;K$47,J$46,K131&gt;=K$47,J$47)</f>
        <v/>
      </c>
      <c r="K131" s="38" t="n">
        <v>81</v>
      </c>
      <c r="L131" s="31">
        <f>K131/52</f>
        <v/>
      </c>
      <c r="M131" s="39">
        <f>J131/1000000*52</f>
        <v/>
      </c>
      <c r="N131" s="33">
        <f>M131/$P$4+($I$22/$P$4)</f>
        <v/>
      </c>
      <c r="U131">
        <f>F130</f>
        <v/>
      </c>
      <c r="V131">
        <f>H130</f>
        <v/>
      </c>
      <c r="W131">
        <f>N130</f>
        <v/>
      </c>
    </row>
    <row r="132" ht="15.75" customHeight="1" s="40">
      <c r="C132" s="36">
        <f>_xlfn.IFS(E132&lt;E$24,0,E132&lt;E$26,C$24,E132&lt;E$28,C$26,E132&lt;E$30,C$28,E132&lt;E$32,C$30,E132&lt;E$34,C$32,E132&gt;=E$34,C$34)</f>
        <v/>
      </c>
      <c r="D132" s="37">
        <f>_xlfn.IFS(E132&lt;E$24,0,E132&lt;E$25,D$24,E132&lt;E$26,D$25,E132&lt;E$27,D$26,E132&lt;E$28,D$27,E132&lt;E$29,D$28,E132&lt;E$30,D$29,E132&lt;E$31,D$30,E132&lt;E$32,D$31,E132&lt;E$33,D$32,E132&lt;E$34,D$33,E132&lt;E$35,D$34,E132&gt;=E$35,D$35)</f>
        <v/>
      </c>
      <c r="E132" s="38" t="n">
        <v>82</v>
      </c>
      <c r="F132" s="31">
        <f>E132/52</f>
        <v/>
      </c>
      <c r="G132" s="39">
        <f>D132/1000000*52</f>
        <v/>
      </c>
      <c r="H132" s="33">
        <f>G132/$P$4+($C$22/$P$4)</f>
        <v/>
      </c>
      <c r="I132" s="36">
        <f>_xlfn.IFS(K132&lt;K$24,0,K132&lt;K$26,I$24,K132&lt;K$28,I$26,K132&lt;K$30,I$28,K132&lt;K$32,I$30,K132&lt;K$34,I$32,K132&lt;K$36,I$34,K132&lt;K$38,I$36,K132&lt;K$40,I$38,K132&lt;K$42,I$40,K132&lt;K$44,I$42,K132&lt;K$46,I$44,K132&gt;=K$46,I$46)</f>
        <v/>
      </c>
      <c r="J132" s="37">
        <f>_xlfn.IFS(K132&lt;K$24,0,K132&lt;K$25,J$24,K132&lt;K$26,J$25,K132&lt;K$27,J$26,K132&lt;K$28,J$27,K132&lt;K$29,J$28,K132&lt;K$30,J$29,K132&lt;K$31,J$30,K132&lt;K$32,J$31,K132&lt;K$33,J$32,K132&lt;K$34,J$33,K132&lt;K$35,J$34,K132&lt;K$36,J$35,K132&lt;K$37,J$36,K132&lt;K$38,J$37,K132&lt;K$39,J$38,K132&lt;K$40,J$39,K132&lt;K$41,J$40,K132&lt;K$42,J$41,K132&lt;K$43,J$42,K132&lt;K$44,J$43,K132&lt;K$45,J$44,K132&lt;K$46,J$45,K132&lt;K$47,J$46,K132&gt;=K$47,J$47)</f>
        <v/>
      </c>
      <c r="K132" s="38" t="n">
        <v>82</v>
      </c>
      <c r="L132" s="31">
        <f>K132/52</f>
        <v/>
      </c>
      <c r="M132" s="39">
        <f>J132/1000000*52</f>
        <v/>
      </c>
      <c r="N132" s="33">
        <f>M132/$P$4+($I$22/$P$4)</f>
        <v/>
      </c>
      <c r="U132">
        <f>F131</f>
        <v/>
      </c>
      <c r="V132">
        <f>H131</f>
        <v/>
      </c>
      <c r="W132">
        <f>N131</f>
        <v/>
      </c>
    </row>
    <row r="133" ht="15.75" customHeight="1" s="40">
      <c r="C133" s="36">
        <f>_xlfn.IFS(E133&lt;E$24,0,E133&lt;E$26,C$24,E133&lt;E$28,C$26,E133&lt;E$30,C$28,E133&lt;E$32,C$30,E133&lt;E$34,C$32,E133&gt;=E$34,C$34)</f>
        <v/>
      </c>
      <c r="D133" s="37">
        <f>_xlfn.IFS(E133&lt;E$24,0,E133&lt;E$25,D$24,E133&lt;E$26,D$25,E133&lt;E$27,D$26,E133&lt;E$28,D$27,E133&lt;E$29,D$28,E133&lt;E$30,D$29,E133&lt;E$31,D$30,E133&lt;E$32,D$31,E133&lt;E$33,D$32,E133&lt;E$34,D$33,E133&lt;E$35,D$34,E133&gt;=E$35,D$35)</f>
        <v/>
      </c>
      <c r="E133" s="38" t="n">
        <v>83</v>
      </c>
      <c r="F133" s="31">
        <f>E133/52</f>
        <v/>
      </c>
      <c r="G133" s="39">
        <f>D133/1000000*52</f>
        <v/>
      </c>
      <c r="H133" s="33">
        <f>G133/$P$4+($C$22/$P$4)</f>
        <v/>
      </c>
      <c r="I133" s="36">
        <f>_xlfn.IFS(K133&lt;K$24,0,K133&lt;K$26,I$24,K133&lt;K$28,I$26,K133&lt;K$30,I$28,K133&lt;K$32,I$30,K133&lt;K$34,I$32,K133&lt;K$36,I$34,K133&lt;K$38,I$36,K133&lt;K$40,I$38,K133&lt;K$42,I$40,K133&lt;K$44,I$42,K133&lt;K$46,I$44,K133&gt;=K$46,I$46)</f>
        <v/>
      </c>
      <c r="J133" s="37">
        <f>_xlfn.IFS(K133&lt;K$24,0,K133&lt;K$25,J$24,K133&lt;K$26,J$25,K133&lt;K$27,J$26,K133&lt;K$28,J$27,K133&lt;K$29,J$28,K133&lt;K$30,J$29,K133&lt;K$31,J$30,K133&lt;K$32,J$31,K133&lt;K$33,J$32,K133&lt;K$34,J$33,K133&lt;K$35,J$34,K133&lt;K$36,J$35,K133&lt;K$37,J$36,K133&lt;K$38,J$37,K133&lt;K$39,J$38,K133&lt;K$40,J$39,K133&lt;K$41,J$40,K133&lt;K$42,J$41,K133&lt;K$43,J$42,K133&lt;K$44,J$43,K133&lt;K$45,J$44,K133&lt;K$46,J$45,K133&lt;K$47,J$46,K133&gt;=K$47,J$47)</f>
        <v/>
      </c>
      <c r="K133" s="38" t="n">
        <v>83</v>
      </c>
      <c r="L133" s="31">
        <f>K133/52</f>
        <v/>
      </c>
      <c r="M133" s="39">
        <f>J133/1000000*52</f>
        <v/>
      </c>
      <c r="N133" s="33">
        <f>M133/$P$4+($I$22/$P$4)</f>
        <v/>
      </c>
      <c r="U133">
        <f>F132</f>
        <v/>
      </c>
      <c r="V133">
        <f>H132</f>
        <v/>
      </c>
      <c r="W133">
        <f>N132</f>
        <v/>
      </c>
    </row>
    <row r="134" ht="15.75" customHeight="1" s="40">
      <c r="C134" s="36">
        <f>_xlfn.IFS(E134&lt;E$24,0,E134&lt;E$26,C$24,E134&lt;E$28,C$26,E134&lt;E$30,C$28,E134&lt;E$32,C$30,E134&lt;E$34,C$32,E134&gt;=E$34,C$34)</f>
        <v/>
      </c>
      <c r="D134" s="37">
        <f>_xlfn.IFS(E134&lt;E$24,0,E134&lt;E$25,D$24,E134&lt;E$26,D$25,E134&lt;E$27,D$26,E134&lt;E$28,D$27,E134&lt;E$29,D$28,E134&lt;E$30,D$29,E134&lt;E$31,D$30,E134&lt;E$32,D$31,E134&lt;E$33,D$32,E134&lt;E$34,D$33,E134&lt;E$35,D$34,E134&gt;=E$35,D$35)</f>
        <v/>
      </c>
      <c r="E134" s="38" t="n">
        <v>84</v>
      </c>
      <c r="F134" s="31">
        <f>E134/52</f>
        <v/>
      </c>
      <c r="G134" s="39">
        <f>D134/1000000*52</f>
        <v/>
      </c>
      <c r="H134" s="33">
        <f>G134/$P$4+($C$22/$P$4)</f>
        <v/>
      </c>
      <c r="I134" s="36">
        <f>_xlfn.IFS(K134&lt;K$24,0,K134&lt;K$26,I$24,K134&lt;K$28,I$26,K134&lt;K$30,I$28,K134&lt;K$32,I$30,K134&lt;K$34,I$32,K134&lt;K$36,I$34,K134&lt;K$38,I$36,K134&lt;K$40,I$38,K134&lt;K$42,I$40,K134&lt;K$44,I$42,K134&lt;K$46,I$44,K134&gt;=K$46,I$46)</f>
        <v/>
      </c>
      <c r="J134" s="37">
        <f>_xlfn.IFS(K134&lt;K$24,0,K134&lt;K$25,J$24,K134&lt;K$26,J$25,K134&lt;K$27,J$26,K134&lt;K$28,J$27,K134&lt;K$29,J$28,K134&lt;K$30,J$29,K134&lt;K$31,J$30,K134&lt;K$32,J$31,K134&lt;K$33,J$32,K134&lt;K$34,J$33,K134&lt;K$35,J$34,K134&lt;K$36,J$35,K134&lt;K$37,J$36,K134&lt;K$38,J$37,K134&lt;K$39,J$38,K134&lt;K$40,J$39,K134&lt;K$41,J$40,K134&lt;K$42,J$41,K134&lt;K$43,J$42,K134&lt;K$44,J$43,K134&lt;K$45,J$44,K134&lt;K$46,J$45,K134&lt;K$47,J$46,K134&gt;=K$47,J$47)</f>
        <v/>
      </c>
      <c r="K134" s="38" t="n">
        <v>84</v>
      </c>
      <c r="L134" s="31">
        <f>K134/52</f>
        <v/>
      </c>
      <c r="M134" s="39">
        <f>J134/1000000*52</f>
        <v/>
      </c>
      <c r="N134" s="33">
        <f>M134/$P$4+($I$22/$P$4)</f>
        <v/>
      </c>
      <c r="U134">
        <f>F133</f>
        <v/>
      </c>
      <c r="V134">
        <f>H133</f>
        <v/>
      </c>
      <c r="W134">
        <f>N133</f>
        <v/>
      </c>
    </row>
    <row r="135" ht="15.75" customHeight="1" s="40">
      <c r="C135" s="36">
        <f>_xlfn.IFS(E135&lt;E$24,0,E135&lt;E$26,C$24,E135&lt;E$28,C$26,E135&lt;E$30,C$28,E135&lt;E$32,C$30,E135&lt;E$34,C$32,E135&gt;=E$34,C$34)</f>
        <v/>
      </c>
      <c r="D135" s="37">
        <f>_xlfn.IFS(E135&lt;E$24,0,E135&lt;E$25,D$24,E135&lt;E$26,D$25,E135&lt;E$27,D$26,E135&lt;E$28,D$27,E135&lt;E$29,D$28,E135&lt;E$30,D$29,E135&lt;E$31,D$30,E135&lt;E$32,D$31,E135&lt;E$33,D$32,E135&lt;E$34,D$33,E135&lt;E$35,D$34,E135&gt;=E$35,D$35)</f>
        <v/>
      </c>
      <c r="E135" s="38" t="n">
        <v>85</v>
      </c>
      <c r="F135" s="31">
        <f>E135/52</f>
        <v/>
      </c>
      <c r="G135" s="39">
        <f>D135/1000000*52</f>
        <v/>
      </c>
      <c r="H135" s="33">
        <f>G135/$P$4+($C$22/$P$4)</f>
        <v/>
      </c>
      <c r="I135" s="36">
        <f>_xlfn.IFS(K135&lt;K$24,0,K135&lt;K$26,I$24,K135&lt;K$28,I$26,K135&lt;K$30,I$28,K135&lt;K$32,I$30,K135&lt;K$34,I$32,K135&lt;K$36,I$34,K135&lt;K$38,I$36,K135&lt;K$40,I$38,K135&lt;K$42,I$40,K135&lt;K$44,I$42,K135&lt;K$46,I$44,K135&gt;=K$46,I$46)</f>
        <v/>
      </c>
      <c r="J135" s="37">
        <f>_xlfn.IFS(K135&lt;K$24,0,K135&lt;K$25,J$24,K135&lt;K$26,J$25,K135&lt;K$27,J$26,K135&lt;K$28,J$27,K135&lt;K$29,J$28,K135&lt;K$30,J$29,K135&lt;K$31,J$30,K135&lt;K$32,J$31,K135&lt;K$33,J$32,K135&lt;K$34,J$33,K135&lt;K$35,J$34,K135&lt;K$36,J$35,K135&lt;K$37,J$36,K135&lt;K$38,J$37,K135&lt;K$39,J$38,K135&lt;K$40,J$39,K135&lt;K$41,J$40,K135&lt;K$42,J$41,K135&lt;K$43,J$42,K135&lt;K$44,J$43,K135&lt;K$45,J$44,K135&lt;K$46,J$45,K135&lt;K$47,J$46,K135&gt;=K$47,J$47)</f>
        <v/>
      </c>
      <c r="K135" s="38" t="n">
        <v>85</v>
      </c>
      <c r="L135" s="31">
        <f>K135/52</f>
        <v/>
      </c>
      <c r="M135" s="39">
        <f>J135/1000000*52</f>
        <v/>
      </c>
      <c r="N135" s="33">
        <f>M135/$P$4+($I$22/$P$4)</f>
        <v/>
      </c>
      <c r="U135">
        <f>F134</f>
        <v/>
      </c>
      <c r="V135">
        <f>H134</f>
        <v/>
      </c>
      <c r="W135">
        <f>N134</f>
        <v/>
      </c>
    </row>
    <row r="136" ht="15.75" customHeight="1" s="40">
      <c r="C136" s="36">
        <f>_xlfn.IFS(E136&lt;E$24,0,E136&lt;E$26,C$24,E136&lt;E$28,C$26,E136&lt;E$30,C$28,E136&lt;E$32,C$30,E136&lt;E$34,C$32,E136&gt;=E$34,C$34)</f>
        <v/>
      </c>
      <c r="D136" s="37">
        <f>_xlfn.IFS(E136&lt;E$24,0,E136&lt;E$25,D$24,E136&lt;E$26,D$25,E136&lt;E$27,D$26,E136&lt;E$28,D$27,E136&lt;E$29,D$28,E136&lt;E$30,D$29,E136&lt;E$31,D$30,E136&lt;E$32,D$31,E136&lt;E$33,D$32,E136&lt;E$34,D$33,E136&lt;E$35,D$34,E136&gt;=E$35,D$35)</f>
        <v/>
      </c>
      <c r="E136" s="38" t="n">
        <v>86</v>
      </c>
      <c r="F136" s="31">
        <f>E136/52</f>
        <v/>
      </c>
      <c r="G136" s="39">
        <f>D136/1000000*52</f>
        <v/>
      </c>
      <c r="H136" s="33">
        <f>G136/$P$4+($C$22/$P$4)</f>
        <v/>
      </c>
      <c r="I136" s="36">
        <f>_xlfn.IFS(K136&lt;K$24,0,K136&lt;K$26,I$24,K136&lt;K$28,I$26,K136&lt;K$30,I$28,K136&lt;K$32,I$30,K136&lt;K$34,I$32,K136&lt;K$36,I$34,K136&lt;K$38,I$36,K136&lt;K$40,I$38,K136&lt;K$42,I$40,K136&lt;K$44,I$42,K136&lt;K$46,I$44,K136&gt;=K$46,I$46)</f>
        <v/>
      </c>
      <c r="J136" s="37">
        <f>_xlfn.IFS(K136&lt;K$24,0,K136&lt;K$25,J$24,K136&lt;K$26,J$25,K136&lt;K$27,J$26,K136&lt;K$28,J$27,K136&lt;K$29,J$28,K136&lt;K$30,J$29,K136&lt;K$31,J$30,K136&lt;K$32,J$31,K136&lt;K$33,J$32,K136&lt;K$34,J$33,K136&lt;K$35,J$34,K136&lt;K$36,J$35,K136&lt;K$37,J$36,K136&lt;K$38,J$37,K136&lt;K$39,J$38,K136&lt;K$40,J$39,K136&lt;K$41,J$40,K136&lt;K$42,J$41,K136&lt;K$43,J$42,K136&lt;K$44,J$43,K136&lt;K$45,J$44,K136&lt;K$46,J$45,K136&lt;K$47,J$46,K136&gt;=K$47,J$47)</f>
        <v/>
      </c>
      <c r="K136" s="38" t="n">
        <v>86</v>
      </c>
      <c r="L136" s="31">
        <f>K136/52</f>
        <v/>
      </c>
      <c r="M136" s="39">
        <f>J136/1000000*52</f>
        <v/>
      </c>
      <c r="N136" s="33">
        <f>M136/$P$4+($I$22/$P$4)</f>
        <v/>
      </c>
      <c r="U136">
        <f>F135</f>
        <v/>
      </c>
      <c r="V136">
        <f>H135</f>
        <v/>
      </c>
      <c r="W136">
        <f>N135</f>
        <v/>
      </c>
    </row>
    <row r="137" ht="15.75" customHeight="1" s="40">
      <c r="C137" s="36">
        <f>_xlfn.IFS(E137&lt;E$24,0,E137&lt;E$26,C$24,E137&lt;E$28,C$26,E137&lt;E$30,C$28,E137&lt;E$32,C$30,E137&lt;E$34,C$32,E137&gt;=E$34,C$34)</f>
        <v/>
      </c>
      <c r="D137" s="37">
        <f>_xlfn.IFS(E137&lt;E$24,0,E137&lt;E$25,D$24,E137&lt;E$26,D$25,E137&lt;E$27,D$26,E137&lt;E$28,D$27,E137&lt;E$29,D$28,E137&lt;E$30,D$29,E137&lt;E$31,D$30,E137&lt;E$32,D$31,E137&lt;E$33,D$32,E137&lt;E$34,D$33,E137&lt;E$35,D$34,E137&gt;=E$35,D$35)</f>
        <v/>
      </c>
      <c r="E137" s="38" t="n">
        <v>87</v>
      </c>
      <c r="F137" s="31">
        <f>E137/52</f>
        <v/>
      </c>
      <c r="G137" s="39">
        <f>D137/1000000*52</f>
        <v/>
      </c>
      <c r="H137" s="33">
        <f>G137/$P$4+($C$22/$P$4)</f>
        <v/>
      </c>
      <c r="I137" s="36">
        <f>_xlfn.IFS(K137&lt;K$24,0,K137&lt;K$26,I$24,K137&lt;K$28,I$26,K137&lt;K$30,I$28,K137&lt;K$32,I$30,K137&lt;K$34,I$32,K137&lt;K$36,I$34,K137&lt;K$38,I$36,K137&lt;K$40,I$38,K137&lt;K$42,I$40,K137&lt;K$44,I$42,K137&lt;K$46,I$44,K137&gt;=K$46,I$46)</f>
        <v/>
      </c>
      <c r="J137" s="37">
        <f>_xlfn.IFS(K137&lt;K$24,0,K137&lt;K$25,J$24,K137&lt;K$26,J$25,K137&lt;K$27,J$26,K137&lt;K$28,J$27,K137&lt;K$29,J$28,K137&lt;K$30,J$29,K137&lt;K$31,J$30,K137&lt;K$32,J$31,K137&lt;K$33,J$32,K137&lt;K$34,J$33,K137&lt;K$35,J$34,K137&lt;K$36,J$35,K137&lt;K$37,J$36,K137&lt;K$38,J$37,K137&lt;K$39,J$38,K137&lt;K$40,J$39,K137&lt;K$41,J$40,K137&lt;K$42,J$41,K137&lt;K$43,J$42,K137&lt;K$44,J$43,K137&lt;K$45,J$44,K137&lt;K$46,J$45,K137&lt;K$47,J$46,K137&gt;=K$47,J$47)</f>
        <v/>
      </c>
      <c r="K137" s="38" t="n">
        <v>87</v>
      </c>
      <c r="L137" s="31">
        <f>K137/52</f>
        <v/>
      </c>
      <c r="M137" s="39">
        <f>J137/1000000*52</f>
        <v/>
      </c>
      <c r="N137" s="33">
        <f>M137/$P$4+($I$22/$P$4)</f>
        <v/>
      </c>
      <c r="U137">
        <f>F136</f>
        <v/>
      </c>
      <c r="V137">
        <f>H136</f>
        <v/>
      </c>
      <c r="W137">
        <f>N136</f>
        <v/>
      </c>
    </row>
    <row r="138" ht="15.75" customHeight="1" s="40">
      <c r="C138" s="36">
        <f>_xlfn.IFS(E138&lt;E$24,0,E138&lt;E$26,C$24,E138&lt;E$28,C$26,E138&lt;E$30,C$28,E138&lt;E$32,C$30,E138&lt;E$34,C$32,E138&gt;=E$34,C$34)</f>
        <v/>
      </c>
      <c r="D138" s="37">
        <f>_xlfn.IFS(E138&lt;E$24,0,E138&lt;E$25,D$24,E138&lt;E$26,D$25,E138&lt;E$27,D$26,E138&lt;E$28,D$27,E138&lt;E$29,D$28,E138&lt;E$30,D$29,E138&lt;E$31,D$30,E138&lt;E$32,D$31,E138&lt;E$33,D$32,E138&lt;E$34,D$33,E138&lt;E$35,D$34,E138&gt;=E$35,D$35)</f>
        <v/>
      </c>
      <c r="E138" s="38" t="n">
        <v>88</v>
      </c>
      <c r="F138" s="31">
        <f>E138/52</f>
        <v/>
      </c>
      <c r="G138" s="39">
        <f>D138/1000000*52</f>
        <v/>
      </c>
      <c r="H138" s="33">
        <f>G138/$P$4+($C$22/$P$4)</f>
        <v/>
      </c>
      <c r="I138" s="36">
        <f>_xlfn.IFS(K138&lt;K$24,0,K138&lt;K$26,I$24,K138&lt;K$28,I$26,K138&lt;K$30,I$28,K138&lt;K$32,I$30,K138&lt;K$34,I$32,K138&lt;K$36,I$34,K138&lt;K$38,I$36,K138&lt;K$40,I$38,K138&lt;K$42,I$40,K138&lt;K$44,I$42,K138&lt;K$46,I$44,K138&gt;=K$46,I$46)</f>
        <v/>
      </c>
      <c r="J138" s="37">
        <f>_xlfn.IFS(K138&lt;K$24,0,K138&lt;K$25,J$24,K138&lt;K$26,J$25,K138&lt;K$27,J$26,K138&lt;K$28,J$27,K138&lt;K$29,J$28,K138&lt;K$30,J$29,K138&lt;K$31,J$30,K138&lt;K$32,J$31,K138&lt;K$33,J$32,K138&lt;K$34,J$33,K138&lt;K$35,J$34,K138&lt;K$36,J$35,K138&lt;K$37,J$36,K138&lt;K$38,J$37,K138&lt;K$39,J$38,K138&lt;K$40,J$39,K138&lt;K$41,J$40,K138&lt;K$42,J$41,K138&lt;K$43,J$42,K138&lt;K$44,J$43,K138&lt;K$45,J$44,K138&lt;K$46,J$45,K138&lt;K$47,J$46,K138&gt;=K$47,J$47)</f>
        <v/>
      </c>
      <c r="K138" s="38" t="n">
        <v>88</v>
      </c>
      <c r="L138" s="31">
        <f>K138/52</f>
        <v/>
      </c>
      <c r="M138" s="39">
        <f>J138/1000000*52</f>
        <v/>
      </c>
      <c r="N138" s="33">
        <f>M138/$P$4+($I$22/$P$4)</f>
        <v/>
      </c>
      <c r="U138">
        <f>F137</f>
        <v/>
      </c>
      <c r="V138">
        <f>H137</f>
        <v/>
      </c>
      <c r="W138">
        <f>N137</f>
        <v/>
      </c>
    </row>
    <row r="139" ht="15.75" customHeight="1" s="40">
      <c r="C139" s="36">
        <f>_xlfn.IFS(E139&lt;E$24,0,E139&lt;E$26,C$24,E139&lt;E$28,C$26,E139&lt;E$30,C$28,E139&lt;E$32,C$30,E139&lt;E$34,C$32,E139&gt;=E$34,C$34)</f>
        <v/>
      </c>
      <c r="D139" s="37">
        <f>_xlfn.IFS(E139&lt;E$24,0,E139&lt;E$25,D$24,E139&lt;E$26,D$25,E139&lt;E$27,D$26,E139&lt;E$28,D$27,E139&lt;E$29,D$28,E139&lt;E$30,D$29,E139&lt;E$31,D$30,E139&lt;E$32,D$31,E139&lt;E$33,D$32,E139&lt;E$34,D$33,E139&lt;E$35,D$34,E139&gt;=E$35,D$35)</f>
        <v/>
      </c>
      <c r="E139" s="38" t="n">
        <v>89</v>
      </c>
      <c r="F139" s="31">
        <f>E139/52</f>
        <v/>
      </c>
      <c r="G139" s="39">
        <f>D139/1000000*52</f>
        <v/>
      </c>
      <c r="H139" s="33">
        <f>G139/$P$4+($C$22/$P$4)</f>
        <v/>
      </c>
      <c r="I139" s="36">
        <f>_xlfn.IFS(K139&lt;K$24,0,K139&lt;K$26,I$24,K139&lt;K$28,I$26,K139&lt;K$30,I$28,K139&lt;K$32,I$30,K139&lt;K$34,I$32,K139&lt;K$36,I$34,K139&lt;K$38,I$36,K139&lt;K$40,I$38,K139&lt;K$42,I$40,K139&lt;K$44,I$42,K139&lt;K$46,I$44,K139&gt;=K$46,I$46)</f>
        <v/>
      </c>
      <c r="J139" s="37">
        <f>_xlfn.IFS(K139&lt;K$24,0,K139&lt;K$25,J$24,K139&lt;K$26,J$25,K139&lt;K$27,J$26,K139&lt;K$28,J$27,K139&lt;K$29,J$28,K139&lt;K$30,J$29,K139&lt;K$31,J$30,K139&lt;K$32,J$31,K139&lt;K$33,J$32,K139&lt;K$34,J$33,K139&lt;K$35,J$34,K139&lt;K$36,J$35,K139&lt;K$37,J$36,K139&lt;K$38,J$37,K139&lt;K$39,J$38,K139&lt;K$40,J$39,K139&lt;K$41,J$40,K139&lt;K$42,J$41,K139&lt;K$43,J$42,K139&lt;K$44,J$43,K139&lt;K$45,J$44,K139&lt;K$46,J$45,K139&lt;K$47,J$46,K139&gt;=K$47,J$47)</f>
        <v/>
      </c>
      <c r="K139" s="38" t="n">
        <v>89</v>
      </c>
      <c r="L139" s="31">
        <f>K139/52</f>
        <v/>
      </c>
      <c r="M139" s="39">
        <f>J139/1000000*52</f>
        <v/>
      </c>
      <c r="N139" s="33">
        <f>M139/$P$4+($I$22/$P$4)</f>
        <v/>
      </c>
      <c r="U139">
        <f>F138</f>
        <v/>
      </c>
      <c r="V139">
        <f>H138</f>
        <v/>
      </c>
      <c r="W139">
        <f>N138</f>
        <v/>
      </c>
    </row>
    <row r="140" ht="15.75" customHeight="1" s="40">
      <c r="C140" s="36">
        <f>_xlfn.IFS(E140&lt;E$24,0,E140&lt;E$26,C$24,E140&lt;E$28,C$26,E140&lt;E$30,C$28,E140&lt;E$32,C$30,E140&lt;E$34,C$32,E140&gt;=E$34,C$34)</f>
        <v/>
      </c>
      <c r="D140" s="37">
        <f>_xlfn.IFS(E140&lt;E$24,0,E140&lt;E$25,D$24,E140&lt;E$26,D$25,E140&lt;E$27,D$26,E140&lt;E$28,D$27,E140&lt;E$29,D$28,E140&lt;E$30,D$29,E140&lt;E$31,D$30,E140&lt;E$32,D$31,E140&lt;E$33,D$32,E140&lt;E$34,D$33,E140&lt;E$35,D$34,E140&gt;=E$35,D$35)</f>
        <v/>
      </c>
      <c r="E140" s="38" t="n">
        <v>90</v>
      </c>
      <c r="F140" s="31">
        <f>E140/52</f>
        <v/>
      </c>
      <c r="G140" s="39">
        <f>D140/1000000*52</f>
        <v/>
      </c>
      <c r="H140" s="33">
        <f>G140/$P$4+($C$22/$P$4)</f>
        <v/>
      </c>
      <c r="I140" s="36">
        <f>_xlfn.IFS(K140&lt;K$24,0,K140&lt;K$26,I$24,K140&lt;K$28,I$26,K140&lt;K$30,I$28,K140&lt;K$32,I$30,K140&lt;K$34,I$32,K140&lt;K$36,I$34,K140&lt;K$38,I$36,K140&lt;K$40,I$38,K140&lt;K$42,I$40,K140&lt;K$44,I$42,K140&lt;K$46,I$44,K140&gt;=K$46,I$46)</f>
        <v/>
      </c>
      <c r="J140" s="37">
        <f>_xlfn.IFS(K140&lt;K$24,0,K140&lt;K$25,J$24,K140&lt;K$26,J$25,K140&lt;K$27,J$26,K140&lt;K$28,J$27,K140&lt;K$29,J$28,K140&lt;K$30,J$29,K140&lt;K$31,J$30,K140&lt;K$32,J$31,K140&lt;K$33,J$32,K140&lt;K$34,J$33,K140&lt;K$35,J$34,K140&lt;K$36,J$35,K140&lt;K$37,J$36,K140&lt;K$38,J$37,K140&lt;K$39,J$38,K140&lt;K$40,J$39,K140&lt;K$41,J$40,K140&lt;K$42,J$41,K140&lt;K$43,J$42,K140&lt;K$44,J$43,K140&lt;K$45,J$44,K140&lt;K$46,J$45,K140&lt;K$47,J$46,K140&gt;=K$47,J$47)</f>
        <v/>
      </c>
      <c r="K140" s="38" t="n">
        <v>90</v>
      </c>
      <c r="L140" s="31">
        <f>K140/52</f>
        <v/>
      </c>
      <c r="M140" s="39">
        <f>J140/1000000*52</f>
        <v/>
      </c>
      <c r="N140" s="33">
        <f>M140/$P$4+($I$22/$P$4)</f>
        <v/>
      </c>
      <c r="U140">
        <f>F139</f>
        <v/>
      </c>
      <c r="V140">
        <f>H139</f>
        <v/>
      </c>
      <c r="W140">
        <f>N139</f>
        <v/>
      </c>
    </row>
    <row r="141" ht="15.75" customHeight="1" s="40">
      <c r="C141" s="36">
        <f>_xlfn.IFS(E141&lt;E$24,0,E141&lt;E$26,C$24,E141&lt;E$28,C$26,E141&lt;E$30,C$28,E141&lt;E$32,C$30,E141&lt;E$34,C$32,E141&gt;=E$34,C$34)</f>
        <v/>
      </c>
      <c r="D141" s="37">
        <f>_xlfn.IFS(E141&lt;E$24,0,E141&lt;E$25,D$24,E141&lt;E$26,D$25,E141&lt;E$27,D$26,E141&lt;E$28,D$27,E141&lt;E$29,D$28,E141&lt;E$30,D$29,E141&lt;E$31,D$30,E141&lt;E$32,D$31,E141&lt;E$33,D$32,E141&lt;E$34,D$33,E141&lt;E$35,D$34,E141&gt;=E$35,D$35)</f>
        <v/>
      </c>
      <c r="E141" s="38" t="n">
        <v>91</v>
      </c>
      <c r="F141" s="31">
        <f>E141/52</f>
        <v/>
      </c>
      <c r="G141" s="39">
        <f>D141/1000000*52</f>
        <v/>
      </c>
      <c r="H141" s="33">
        <f>G141/$P$4+($C$22/$P$4)</f>
        <v/>
      </c>
      <c r="I141" s="36">
        <f>_xlfn.IFS(K141&lt;K$24,0,K141&lt;K$26,I$24,K141&lt;K$28,I$26,K141&lt;K$30,I$28,K141&lt;K$32,I$30,K141&lt;K$34,I$32,K141&lt;K$36,I$34,K141&lt;K$38,I$36,K141&lt;K$40,I$38,K141&lt;K$42,I$40,K141&lt;K$44,I$42,K141&lt;K$46,I$44,K141&gt;=K$46,I$46)</f>
        <v/>
      </c>
      <c r="J141" s="37">
        <f>_xlfn.IFS(K141&lt;K$24,0,K141&lt;K$25,J$24,K141&lt;K$26,J$25,K141&lt;K$27,J$26,K141&lt;K$28,J$27,K141&lt;K$29,J$28,K141&lt;K$30,J$29,K141&lt;K$31,J$30,K141&lt;K$32,J$31,K141&lt;K$33,J$32,K141&lt;K$34,J$33,K141&lt;K$35,J$34,K141&lt;K$36,J$35,K141&lt;K$37,J$36,K141&lt;K$38,J$37,K141&lt;K$39,J$38,K141&lt;K$40,J$39,K141&lt;K$41,J$40,K141&lt;K$42,J$41,K141&lt;K$43,J$42,K141&lt;K$44,J$43,K141&lt;K$45,J$44,K141&lt;K$46,J$45,K141&lt;K$47,J$46,K141&gt;=K$47,J$47)</f>
        <v/>
      </c>
      <c r="K141" s="38" t="n">
        <v>91</v>
      </c>
      <c r="L141" s="31">
        <f>K141/52</f>
        <v/>
      </c>
      <c r="M141" s="39">
        <f>J141/1000000*52</f>
        <v/>
      </c>
      <c r="N141" s="33">
        <f>M141/$P$4+($I$22/$P$4)</f>
        <v/>
      </c>
      <c r="U141">
        <f>F140</f>
        <v/>
      </c>
      <c r="V141">
        <f>H140</f>
        <v/>
      </c>
      <c r="W141">
        <f>N140</f>
        <v/>
      </c>
    </row>
    <row r="142" ht="15.75" customHeight="1" s="40">
      <c r="C142" s="36">
        <f>_xlfn.IFS(E142&lt;E$24,0,E142&lt;E$26,C$24,E142&lt;E$28,C$26,E142&lt;E$30,C$28,E142&lt;E$32,C$30,E142&lt;E$34,C$32,E142&gt;=E$34,C$34)</f>
        <v/>
      </c>
      <c r="D142" s="37">
        <f>_xlfn.IFS(E142&lt;E$24,0,E142&lt;E$25,D$24,E142&lt;E$26,D$25,E142&lt;E$27,D$26,E142&lt;E$28,D$27,E142&lt;E$29,D$28,E142&lt;E$30,D$29,E142&lt;E$31,D$30,E142&lt;E$32,D$31,E142&lt;E$33,D$32,E142&lt;E$34,D$33,E142&lt;E$35,D$34,E142&gt;=E$35,D$35)</f>
        <v/>
      </c>
      <c r="E142" s="38" t="n">
        <v>92</v>
      </c>
      <c r="F142" s="31">
        <f>E142/52</f>
        <v/>
      </c>
      <c r="G142" s="39">
        <f>D142/1000000*52</f>
        <v/>
      </c>
      <c r="H142" s="33">
        <f>G142/$P$4+($C$22/$P$4)</f>
        <v/>
      </c>
      <c r="I142" s="36">
        <f>_xlfn.IFS(K142&lt;K$24,0,K142&lt;K$26,I$24,K142&lt;K$28,I$26,K142&lt;K$30,I$28,K142&lt;K$32,I$30,K142&lt;K$34,I$32,K142&lt;K$36,I$34,K142&lt;K$38,I$36,K142&lt;K$40,I$38,K142&lt;K$42,I$40,K142&lt;K$44,I$42,K142&lt;K$46,I$44,K142&gt;=K$46,I$46)</f>
        <v/>
      </c>
      <c r="J142" s="37">
        <f>_xlfn.IFS(K142&lt;K$24,0,K142&lt;K$25,J$24,K142&lt;K$26,J$25,K142&lt;K$27,J$26,K142&lt;K$28,J$27,K142&lt;K$29,J$28,K142&lt;K$30,J$29,K142&lt;K$31,J$30,K142&lt;K$32,J$31,K142&lt;K$33,J$32,K142&lt;K$34,J$33,K142&lt;K$35,J$34,K142&lt;K$36,J$35,K142&lt;K$37,J$36,K142&lt;K$38,J$37,K142&lt;K$39,J$38,K142&lt;K$40,J$39,K142&lt;K$41,J$40,K142&lt;K$42,J$41,K142&lt;K$43,J$42,K142&lt;K$44,J$43,K142&lt;K$45,J$44,K142&lt;K$46,J$45,K142&lt;K$47,J$46,K142&gt;=K$47,J$47)</f>
        <v/>
      </c>
      <c r="K142" s="38" t="n">
        <v>92</v>
      </c>
      <c r="L142" s="31">
        <f>K142/52</f>
        <v/>
      </c>
      <c r="M142" s="39">
        <f>J142/1000000*52</f>
        <v/>
      </c>
      <c r="N142" s="33">
        <f>M142/$P$4+($I$22/$P$4)</f>
        <v/>
      </c>
      <c r="U142">
        <f>F141</f>
        <v/>
      </c>
      <c r="V142">
        <f>H141</f>
        <v/>
      </c>
      <c r="W142">
        <f>N141</f>
        <v/>
      </c>
    </row>
    <row r="143" ht="15.75" customHeight="1" s="40">
      <c r="C143" s="36">
        <f>_xlfn.IFS(E143&lt;E$24,0,E143&lt;E$26,C$24,E143&lt;E$28,C$26,E143&lt;E$30,C$28,E143&lt;E$32,C$30,E143&lt;E$34,C$32,E143&gt;=E$34,C$34)</f>
        <v/>
      </c>
      <c r="D143" s="37">
        <f>_xlfn.IFS(E143&lt;E$24,0,E143&lt;E$25,D$24,E143&lt;E$26,D$25,E143&lt;E$27,D$26,E143&lt;E$28,D$27,E143&lt;E$29,D$28,E143&lt;E$30,D$29,E143&lt;E$31,D$30,E143&lt;E$32,D$31,E143&lt;E$33,D$32,E143&lt;E$34,D$33,E143&lt;E$35,D$34,E143&gt;=E$35,D$35)</f>
        <v/>
      </c>
      <c r="E143" s="38" t="n">
        <v>93</v>
      </c>
      <c r="F143" s="31">
        <f>E143/52</f>
        <v/>
      </c>
      <c r="G143" s="39">
        <f>D143/1000000*52</f>
        <v/>
      </c>
      <c r="H143" s="33">
        <f>G143/$P$4+($C$22/$P$4)</f>
        <v/>
      </c>
      <c r="I143" s="36">
        <f>_xlfn.IFS(K143&lt;K$24,0,K143&lt;K$26,I$24,K143&lt;K$28,I$26,K143&lt;K$30,I$28,K143&lt;K$32,I$30,K143&lt;K$34,I$32,K143&lt;K$36,I$34,K143&lt;K$38,I$36,K143&lt;K$40,I$38,K143&lt;K$42,I$40,K143&lt;K$44,I$42,K143&lt;K$46,I$44,K143&gt;=K$46,I$46)</f>
        <v/>
      </c>
      <c r="J143" s="37">
        <f>_xlfn.IFS(K143&lt;K$24,0,K143&lt;K$25,J$24,K143&lt;K$26,J$25,K143&lt;K$27,J$26,K143&lt;K$28,J$27,K143&lt;K$29,J$28,K143&lt;K$30,J$29,K143&lt;K$31,J$30,K143&lt;K$32,J$31,K143&lt;K$33,J$32,K143&lt;K$34,J$33,K143&lt;K$35,J$34,K143&lt;K$36,J$35,K143&lt;K$37,J$36,K143&lt;K$38,J$37,K143&lt;K$39,J$38,K143&lt;K$40,J$39,K143&lt;K$41,J$40,K143&lt;K$42,J$41,K143&lt;K$43,J$42,K143&lt;K$44,J$43,K143&lt;K$45,J$44,K143&lt;K$46,J$45,K143&lt;K$47,J$46,K143&gt;=K$47,J$47)</f>
        <v/>
      </c>
      <c r="K143" s="38" t="n">
        <v>93</v>
      </c>
      <c r="L143" s="31">
        <f>K143/52</f>
        <v/>
      </c>
      <c r="M143" s="39">
        <f>J143/1000000*52</f>
        <v/>
      </c>
      <c r="N143" s="33">
        <f>M143/$P$4+($I$22/$P$4)</f>
        <v/>
      </c>
      <c r="U143">
        <f>F142</f>
        <v/>
      </c>
      <c r="V143">
        <f>H142</f>
        <v/>
      </c>
      <c r="W143">
        <f>N142</f>
        <v/>
      </c>
    </row>
    <row r="144" ht="15.75" customHeight="1" s="40">
      <c r="C144" s="36">
        <f>_xlfn.IFS(E144&lt;E$24,0,E144&lt;E$26,C$24,E144&lt;E$28,C$26,E144&lt;E$30,C$28,E144&lt;E$32,C$30,E144&lt;E$34,C$32,E144&gt;=E$34,C$34)</f>
        <v/>
      </c>
      <c r="D144" s="37">
        <f>_xlfn.IFS(E144&lt;E$24,0,E144&lt;E$25,D$24,E144&lt;E$26,D$25,E144&lt;E$27,D$26,E144&lt;E$28,D$27,E144&lt;E$29,D$28,E144&lt;E$30,D$29,E144&lt;E$31,D$30,E144&lt;E$32,D$31,E144&lt;E$33,D$32,E144&lt;E$34,D$33,E144&lt;E$35,D$34,E144&gt;=E$35,D$35)</f>
        <v/>
      </c>
      <c r="E144" s="38" t="n">
        <v>94</v>
      </c>
      <c r="F144" s="31">
        <f>E144/52</f>
        <v/>
      </c>
      <c r="G144" s="39">
        <f>D144/1000000*52</f>
        <v/>
      </c>
      <c r="H144" s="33">
        <f>G144/$P$4+($C$22/$P$4)</f>
        <v/>
      </c>
      <c r="I144" s="36">
        <f>_xlfn.IFS(K144&lt;K$24,0,K144&lt;K$26,I$24,K144&lt;K$28,I$26,K144&lt;K$30,I$28,K144&lt;K$32,I$30,K144&lt;K$34,I$32,K144&lt;K$36,I$34,K144&lt;K$38,I$36,K144&lt;K$40,I$38,K144&lt;K$42,I$40,K144&lt;K$44,I$42,K144&lt;K$46,I$44,K144&gt;=K$46,I$46)</f>
        <v/>
      </c>
      <c r="J144" s="37">
        <f>_xlfn.IFS(K144&lt;K$24,0,K144&lt;K$25,J$24,K144&lt;K$26,J$25,K144&lt;K$27,J$26,K144&lt;K$28,J$27,K144&lt;K$29,J$28,K144&lt;K$30,J$29,K144&lt;K$31,J$30,K144&lt;K$32,J$31,K144&lt;K$33,J$32,K144&lt;K$34,J$33,K144&lt;K$35,J$34,K144&lt;K$36,J$35,K144&lt;K$37,J$36,K144&lt;K$38,J$37,K144&lt;K$39,J$38,K144&lt;K$40,J$39,K144&lt;K$41,J$40,K144&lt;K$42,J$41,K144&lt;K$43,J$42,K144&lt;K$44,J$43,K144&lt;K$45,J$44,K144&lt;K$46,J$45,K144&lt;K$47,J$46,K144&gt;=K$47,J$47)</f>
        <v/>
      </c>
      <c r="K144" s="38" t="n">
        <v>94</v>
      </c>
      <c r="L144" s="31">
        <f>K144/52</f>
        <v/>
      </c>
      <c r="M144" s="39">
        <f>J144/1000000*52</f>
        <v/>
      </c>
      <c r="N144" s="33">
        <f>M144/$P$4+($I$22/$P$4)</f>
        <v/>
      </c>
      <c r="U144">
        <f>F143</f>
        <v/>
      </c>
      <c r="V144">
        <f>H143</f>
        <v/>
      </c>
      <c r="W144">
        <f>N143</f>
        <v/>
      </c>
    </row>
    <row r="145" ht="15.75" customHeight="1" s="40">
      <c r="C145" s="36">
        <f>_xlfn.IFS(E145&lt;E$24,0,E145&lt;E$26,C$24,E145&lt;E$28,C$26,E145&lt;E$30,C$28,E145&lt;E$32,C$30,E145&lt;E$34,C$32,E145&gt;=E$34,C$34)</f>
        <v/>
      </c>
      <c r="D145" s="37">
        <f>_xlfn.IFS(E145&lt;E$24,0,E145&lt;E$25,D$24,E145&lt;E$26,D$25,E145&lt;E$27,D$26,E145&lt;E$28,D$27,E145&lt;E$29,D$28,E145&lt;E$30,D$29,E145&lt;E$31,D$30,E145&lt;E$32,D$31,E145&lt;E$33,D$32,E145&lt;E$34,D$33,E145&lt;E$35,D$34,E145&gt;=E$35,D$35)</f>
        <v/>
      </c>
      <c r="E145" s="38" t="n">
        <v>95</v>
      </c>
      <c r="F145" s="31">
        <f>E145/52</f>
        <v/>
      </c>
      <c r="G145" s="39">
        <f>D145/1000000*52</f>
        <v/>
      </c>
      <c r="H145" s="33">
        <f>G145/$P$4+($C$22/$P$4)</f>
        <v/>
      </c>
      <c r="I145" s="36">
        <f>_xlfn.IFS(K145&lt;K$24,0,K145&lt;K$26,I$24,K145&lt;K$28,I$26,K145&lt;K$30,I$28,K145&lt;K$32,I$30,K145&lt;K$34,I$32,K145&lt;K$36,I$34,K145&lt;K$38,I$36,K145&lt;K$40,I$38,K145&lt;K$42,I$40,K145&lt;K$44,I$42,K145&lt;K$46,I$44,K145&gt;=K$46,I$46)</f>
        <v/>
      </c>
      <c r="J145" s="37">
        <f>_xlfn.IFS(K145&lt;K$24,0,K145&lt;K$25,J$24,K145&lt;K$26,J$25,K145&lt;K$27,J$26,K145&lt;K$28,J$27,K145&lt;K$29,J$28,K145&lt;K$30,J$29,K145&lt;K$31,J$30,K145&lt;K$32,J$31,K145&lt;K$33,J$32,K145&lt;K$34,J$33,K145&lt;K$35,J$34,K145&lt;K$36,J$35,K145&lt;K$37,J$36,K145&lt;K$38,J$37,K145&lt;K$39,J$38,K145&lt;K$40,J$39,K145&lt;K$41,J$40,K145&lt;K$42,J$41,K145&lt;K$43,J$42,K145&lt;K$44,J$43,K145&lt;K$45,J$44,K145&lt;K$46,J$45,K145&lt;K$47,J$46,K145&gt;=K$47,J$47)</f>
        <v/>
      </c>
      <c r="K145" s="38" t="n">
        <v>95</v>
      </c>
      <c r="L145" s="31">
        <f>K145/52</f>
        <v/>
      </c>
      <c r="M145" s="39">
        <f>J145/1000000*52</f>
        <v/>
      </c>
      <c r="N145" s="33">
        <f>M145/$P$4+($I$22/$P$4)</f>
        <v/>
      </c>
      <c r="U145">
        <f>F144</f>
        <v/>
      </c>
      <c r="V145">
        <f>H144</f>
        <v/>
      </c>
      <c r="W145">
        <f>N144</f>
        <v/>
      </c>
    </row>
    <row r="146" ht="15.75" customHeight="1" s="40">
      <c r="C146" s="36">
        <f>_xlfn.IFS(E146&lt;E$24,0,E146&lt;E$26,C$24,E146&lt;E$28,C$26,E146&lt;E$30,C$28,E146&lt;E$32,C$30,E146&lt;E$34,C$32,E146&gt;=E$34,C$34)</f>
        <v/>
      </c>
      <c r="D146" s="37">
        <f>_xlfn.IFS(E146&lt;E$24,0,E146&lt;E$25,D$24,E146&lt;E$26,D$25,E146&lt;E$27,D$26,E146&lt;E$28,D$27,E146&lt;E$29,D$28,E146&lt;E$30,D$29,E146&lt;E$31,D$30,E146&lt;E$32,D$31,E146&lt;E$33,D$32,E146&lt;E$34,D$33,E146&lt;E$35,D$34,E146&gt;=E$35,D$35)</f>
        <v/>
      </c>
      <c r="E146" s="38" t="n">
        <v>96</v>
      </c>
      <c r="F146" s="31">
        <f>E146/52</f>
        <v/>
      </c>
      <c r="G146" s="39">
        <f>D146/1000000*52</f>
        <v/>
      </c>
      <c r="H146" s="33">
        <f>G146/$P$4+($C$22/$P$4)</f>
        <v/>
      </c>
      <c r="I146" s="36">
        <f>_xlfn.IFS(K146&lt;K$24,0,K146&lt;K$26,I$24,K146&lt;K$28,I$26,K146&lt;K$30,I$28,K146&lt;K$32,I$30,K146&lt;K$34,I$32,K146&lt;K$36,I$34,K146&lt;K$38,I$36,K146&lt;K$40,I$38,K146&lt;K$42,I$40,K146&lt;K$44,I$42,K146&lt;K$46,I$44,K146&gt;=K$46,I$46)</f>
        <v/>
      </c>
      <c r="J146" s="37">
        <f>_xlfn.IFS(K146&lt;K$24,0,K146&lt;K$25,J$24,K146&lt;K$26,J$25,K146&lt;K$27,J$26,K146&lt;K$28,J$27,K146&lt;K$29,J$28,K146&lt;K$30,J$29,K146&lt;K$31,J$30,K146&lt;K$32,J$31,K146&lt;K$33,J$32,K146&lt;K$34,J$33,K146&lt;K$35,J$34,K146&lt;K$36,J$35,K146&lt;K$37,J$36,K146&lt;K$38,J$37,K146&lt;K$39,J$38,K146&lt;K$40,J$39,K146&lt;K$41,J$40,K146&lt;K$42,J$41,K146&lt;K$43,J$42,K146&lt;K$44,J$43,K146&lt;K$45,J$44,K146&lt;K$46,J$45,K146&lt;K$47,J$46,K146&gt;=K$47,J$47)</f>
        <v/>
      </c>
      <c r="K146" s="38" t="n">
        <v>96</v>
      </c>
      <c r="L146" s="31">
        <f>K146/52</f>
        <v/>
      </c>
      <c r="M146" s="39">
        <f>J146/1000000*52</f>
        <v/>
      </c>
      <c r="N146" s="33">
        <f>M146/$P$4+($I$22/$P$4)</f>
        <v/>
      </c>
      <c r="U146">
        <f>F145</f>
        <v/>
      </c>
      <c r="V146">
        <f>H145</f>
        <v/>
      </c>
      <c r="W146">
        <f>N145</f>
        <v/>
      </c>
    </row>
    <row r="147" ht="15.75" customHeight="1" s="40">
      <c r="C147" s="36">
        <f>_xlfn.IFS(E147&lt;E$24,0,E147&lt;E$26,C$24,E147&lt;E$28,C$26,E147&lt;E$30,C$28,E147&lt;E$32,C$30,E147&lt;E$34,C$32,E147&gt;=E$34,C$34)</f>
        <v/>
      </c>
      <c r="D147" s="37">
        <f>_xlfn.IFS(E147&lt;E$24,0,E147&lt;E$25,D$24,E147&lt;E$26,D$25,E147&lt;E$27,D$26,E147&lt;E$28,D$27,E147&lt;E$29,D$28,E147&lt;E$30,D$29,E147&lt;E$31,D$30,E147&lt;E$32,D$31,E147&lt;E$33,D$32,E147&lt;E$34,D$33,E147&lt;E$35,D$34,E147&gt;=E$35,D$35)</f>
        <v/>
      </c>
      <c r="E147" s="38" t="n">
        <v>97</v>
      </c>
      <c r="F147" s="31">
        <f>E147/52</f>
        <v/>
      </c>
      <c r="G147" s="39">
        <f>D147/1000000*52</f>
        <v/>
      </c>
      <c r="H147" s="33">
        <f>G147/$P$4+($C$22/$P$4)</f>
        <v/>
      </c>
      <c r="I147" s="36">
        <f>_xlfn.IFS(K147&lt;K$24,0,K147&lt;K$26,I$24,K147&lt;K$28,I$26,K147&lt;K$30,I$28,K147&lt;K$32,I$30,K147&lt;K$34,I$32,K147&lt;K$36,I$34,K147&lt;K$38,I$36,K147&lt;K$40,I$38,K147&lt;K$42,I$40,K147&lt;K$44,I$42,K147&lt;K$46,I$44,K147&gt;=K$46,I$46)</f>
        <v/>
      </c>
      <c r="J147" s="37">
        <f>_xlfn.IFS(K147&lt;K$24,0,K147&lt;K$25,J$24,K147&lt;K$26,J$25,K147&lt;K$27,J$26,K147&lt;K$28,J$27,K147&lt;K$29,J$28,K147&lt;K$30,J$29,K147&lt;K$31,J$30,K147&lt;K$32,J$31,K147&lt;K$33,J$32,K147&lt;K$34,J$33,K147&lt;K$35,J$34,K147&lt;K$36,J$35,K147&lt;K$37,J$36,K147&lt;K$38,J$37,K147&lt;K$39,J$38,K147&lt;K$40,J$39,K147&lt;K$41,J$40,K147&lt;K$42,J$41,K147&lt;K$43,J$42,K147&lt;K$44,J$43,K147&lt;K$45,J$44,K147&lt;K$46,J$45,K147&lt;K$47,J$46,K147&gt;=K$47,J$47)</f>
        <v/>
      </c>
      <c r="K147" s="38" t="n">
        <v>97</v>
      </c>
      <c r="L147" s="31">
        <f>K147/52</f>
        <v/>
      </c>
      <c r="M147" s="39">
        <f>J147/1000000*52</f>
        <v/>
      </c>
      <c r="N147" s="33">
        <f>M147/$P$4+($I$22/$P$4)</f>
        <v/>
      </c>
      <c r="U147">
        <f>F146</f>
        <v/>
      </c>
      <c r="V147">
        <f>H146</f>
        <v/>
      </c>
      <c r="W147">
        <f>N146</f>
        <v/>
      </c>
    </row>
    <row r="148" ht="15.75" customHeight="1" s="40">
      <c r="C148" s="36">
        <f>_xlfn.IFS(E148&lt;E$24,0,E148&lt;E$26,C$24,E148&lt;E$28,C$26,E148&lt;E$30,C$28,E148&lt;E$32,C$30,E148&lt;E$34,C$32,E148&gt;=E$34,C$34)</f>
        <v/>
      </c>
      <c r="D148" s="37">
        <f>_xlfn.IFS(E148&lt;E$24,0,E148&lt;E$25,D$24,E148&lt;E$26,D$25,E148&lt;E$27,D$26,E148&lt;E$28,D$27,E148&lt;E$29,D$28,E148&lt;E$30,D$29,E148&lt;E$31,D$30,E148&lt;E$32,D$31,E148&lt;E$33,D$32,E148&lt;E$34,D$33,E148&lt;E$35,D$34,E148&gt;=E$35,D$35)</f>
        <v/>
      </c>
      <c r="E148" s="38" t="n">
        <v>98</v>
      </c>
      <c r="F148" s="31">
        <f>E148/52</f>
        <v/>
      </c>
      <c r="G148" s="39">
        <f>D148/1000000*52</f>
        <v/>
      </c>
      <c r="H148" s="33">
        <f>G148/$P$4+($C$22/$P$4)</f>
        <v/>
      </c>
      <c r="I148" s="36">
        <f>_xlfn.IFS(K148&lt;K$24,0,K148&lt;K$26,I$24,K148&lt;K$28,I$26,K148&lt;K$30,I$28,K148&lt;K$32,I$30,K148&lt;K$34,I$32,K148&lt;K$36,I$34,K148&lt;K$38,I$36,K148&lt;K$40,I$38,K148&lt;K$42,I$40,K148&lt;K$44,I$42,K148&lt;K$46,I$44,K148&gt;=K$46,I$46)</f>
        <v/>
      </c>
      <c r="J148" s="37">
        <f>_xlfn.IFS(K148&lt;K$24,0,K148&lt;K$25,J$24,K148&lt;K$26,J$25,K148&lt;K$27,J$26,K148&lt;K$28,J$27,K148&lt;K$29,J$28,K148&lt;K$30,J$29,K148&lt;K$31,J$30,K148&lt;K$32,J$31,K148&lt;K$33,J$32,K148&lt;K$34,J$33,K148&lt;K$35,J$34,K148&lt;K$36,J$35,K148&lt;K$37,J$36,K148&lt;K$38,J$37,K148&lt;K$39,J$38,K148&lt;K$40,J$39,K148&lt;K$41,J$40,K148&lt;K$42,J$41,K148&lt;K$43,J$42,K148&lt;K$44,J$43,K148&lt;K$45,J$44,K148&lt;K$46,J$45,K148&lt;K$47,J$46,K148&gt;=K$47,J$47)</f>
        <v/>
      </c>
      <c r="K148" s="38" t="n">
        <v>98</v>
      </c>
      <c r="L148" s="31">
        <f>K148/52</f>
        <v/>
      </c>
      <c r="M148" s="39">
        <f>J148/1000000*52</f>
        <v/>
      </c>
      <c r="N148" s="33">
        <f>M148/$P$4+($I$22/$P$4)</f>
        <v/>
      </c>
      <c r="U148">
        <f>F147</f>
        <v/>
      </c>
      <c r="V148">
        <f>H147</f>
        <v/>
      </c>
      <c r="W148">
        <f>N147</f>
        <v/>
      </c>
    </row>
    <row r="149" ht="15.75" customHeight="1" s="40">
      <c r="C149" s="36">
        <f>_xlfn.IFS(E149&lt;E$24,0,E149&lt;E$26,C$24,E149&lt;E$28,C$26,E149&lt;E$30,C$28,E149&lt;E$32,C$30,E149&lt;E$34,C$32,E149&gt;=E$34,C$34)</f>
        <v/>
      </c>
      <c r="D149" s="37">
        <f>_xlfn.IFS(E149&lt;E$24,0,E149&lt;E$25,D$24,E149&lt;E$26,D$25,E149&lt;E$27,D$26,E149&lt;E$28,D$27,E149&lt;E$29,D$28,E149&lt;E$30,D$29,E149&lt;E$31,D$30,E149&lt;E$32,D$31,E149&lt;E$33,D$32,E149&lt;E$34,D$33,E149&lt;E$35,D$34,E149&gt;=E$35,D$35)</f>
        <v/>
      </c>
      <c r="E149" s="38" t="n">
        <v>99</v>
      </c>
      <c r="F149" s="31">
        <f>E149/52</f>
        <v/>
      </c>
      <c r="G149" s="39">
        <f>D149/1000000*52</f>
        <v/>
      </c>
      <c r="H149" s="33">
        <f>G149/$P$4+($C$22/$P$4)</f>
        <v/>
      </c>
      <c r="I149" s="36">
        <f>_xlfn.IFS(K149&lt;K$24,0,K149&lt;K$26,I$24,K149&lt;K$28,I$26,K149&lt;K$30,I$28,K149&lt;K$32,I$30,K149&lt;K$34,I$32,K149&lt;K$36,I$34,K149&lt;K$38,I$36,K149&lt;K$40,I$38,K149&lt;K$42,I$40,K149&lt;K$44,I$42,K149&lt;K$46,I$44,K149&gt;=K$46,I$46)</f>
        <v/>
      </c>
      <c r="J149" s="37">
        <f>_xlfn.IFS(K149&lt;K$24,0,K149&lt;K$25,J$24,K149&lt;K$26,J$25,K149&lt;K$27,J$26,K149&lt;K$28,J$27,K149&lt;K$29,J$28,K149&lt;K$30,J$29,K149&lt;K$31,J$30,K149&lt;K$32,J$31,K149&lt;K$33,J$32,K149&lt;K$34,J$33,K149&lt;K$35,J$34,K149&lt;K$36,J$35,K149&lt;K$37,J$36,K149&lt;K$38,J$37,K149&lt;K$39,J$38,K149&lt;K$40,J$39,K149&lt;K$41,J$40,K149&lt;K$42,J$41,K149&lt;K$43,J$42,K149&lt;K$44,J$43,K149&lt;K$45,J$44,K149&lt;K$46,J$45,K149&lt;K$47,J$46,K149&gt;=K$47,J$47)</f>
        <v/>
      </c>
      <c r="K149" s="38" t="n">
        <v>99</v>
      </c>
      <c r="L149" s="31">
        <f>K149/52</f>
        <v/>
      </c>
      <c r="M149" s="39">
        <f>J149/1000000*52</f>
        <v/>
      </c>
      <c r="N149" s="33">
        <f>M149/$P$4+($I$22/$P$4)</f>
        <v/>
      </c>
      <c r="U149">
        <f>F148</f>
        <v/>
      </c>
      <c r="V149">
        <f>H148</f>
        <v/>
      </c>
      <c r="W149">
        <f>N148</f>
        <v/>
      </c>
    </row>
    <row r="150" ht="15.75" customHeight="1" s="40">
      <c r="C150" s="36">
        <f>_xlfn.IFS(E150&lt;E$24,0,E150&lt;E$26,C$24,E150&lt;E$28,C$26,E150&lt;E$30,C$28,E150&lt;E$32,C$30,E150&lt;E$34,C$32,E150&gt;=E$34,C$34)</f>
        <v/>
      </c>
      <c r="D150" s="37">
        <f>_xlfn.IFS(E150&lt;E$24,0,E150&lt;E$25,D$24,E150&lt;E$26,D$25,E150&lt;E$27,D$26,E150&lt;E$28,D$27,E150&lt;E$29,D$28,E150&lt;E$30,D$29,E150&lt;E$31,D$30,E150&lt;E$32,D$31,E150&lt;E$33,D$32,E150&lt;E$34,D$33,E150&lt;E$35,D$34,E150&gt;=E$35,D$35)</f>
        <v/>
      </c>
      <c r="E150" s="38" t="n">
        <v>100</v>
      </c>
      <c r="F150" s="31">
        <f>E150/52</f>
        <v/>
      </c>
      <c r="G150" s="39">
        <f>D150/1000000*52</f>
        <v/>
      </c>
      <c r="H150" s="33">
        <f>G150/$P$4+($C$22/$P$4)</f>
        <v/>
      </c>
      <c r="I150" s="36">
        <f>_xlfn.IFS(K150&lt;K$24,0,K150&lt;K$26,I$24,K150&lt;K$28,I$26,K150&lt;K$30,I$28,K150&lt;K$32,I$30,K150&lt;K$34,I$32,K150&lt;K$36,I$34,K150&lt;K$38,I$36,K150&lt;K$40,I$38,K150&lt;K$42,I$40,K150&lt;K$44,I$42,K150&lt;K$46,I$44,K150&gt;=K$46,I$46)</f>
        <v/>
      </c>
      <c r="J150" s="37">
        <f>_xlfn.IFS(K150&lt;K$24,0,K150&lt;K$25,J$24,K150&lt;K$26,J$25,K150&lt;K$27,J$26,K150&lt;K$28,J$27,K150&lt;K$29,J$28,K150&lt;K$30,J$29,K150&lt;K$31,J$30,K150&lt;K$32,J$31,K150&lt;K$33,J$32,K150&lt;K$34,J$33,K150&lt;K$35,J$34,K150&lt;K$36,J$35,K150&lt;K$37,J$36,K150&lt;K$38,J$37,K150&lt;K$39,J$38,K150&lt;K$40,J$39,K150&lt;K$41,J$40,K150&lt;K$42,J$41,K150&lt;K$43,J$42,K150&lt;K$44,J$43,K150&lt;K$45,J$44,K150&lt;K$46,J$45,K150&lt;K$47,J$46,K150&gt;=K$47,J$47)</f>
        <v/>
      </c>
      <c r="K150" s="38" t="n">
        <v>100</v>
      </c>
      <c r="L150" s="31">
        <f>K150/52</f>
        <v/>
      </c>
      <c r="M150" s="39">
        <f>J150/1000000*52</f>
        <v/>
      </c>
      <c r="N150" s="33">
        <f>M150/$P$4+($I$22/$P$4)</f>
        <v/>
      </c>
      <c r="U150">
        <f>F149</f>
        <v/>
      </c>
      <c r="V150">
        <f>H149</f>
        <v/>
      </c>
      <c r="W150">
        <f>N149</f>
        <v/>
      </c>
    </row>
    <row r="151" ht="15.75" customHeight="1" s="40">
      <c r="C151" s="36">
        <f>_xlfn.IFS(E151&lt;E$24,0,E151&lt;E$26,C$24,E151&lt;E$28,C$26,E151&lt;E$30,C$28,E151&lt;E$32,C$30,E151&lt;E$34,C$32,E151&gt;=E$34,C$34)</f>
        <v/>
      </c>
      <c r="D151" s="37">
        <f>_xlfn.IFS(E151&lt;E$24,0,E151&lt;E$25,D$24,E151&lt;E$26,D$25,E151&lt;E$27,D$26,E151&lt;E$28,D$27,E151&lt;E$29,D$28,E151&lt;E$30,D$29,E151&lt;E$31,D$30,E151&lt;E$32,D$31,E151&lt;E$33,D$32,E151&lt;E$34,D$33,E151&lt;E$35,D$34,E151&gt;=E$35,D$35)</f>
        <v/>
      </c>
      <c r="E151" s="38" t="n">
        <v>101</v>
      </c>
      <c r="F151" s="31">
        <f>E151/52</f>
        <v/>
      </c>
      <c r="G151" s="39">
        <f>D151/1000000*52</f>
        <v/>
      </c>
      <c r="H151" s="33">
        <f>G151/$P$4+($C$22/$P$4)</f>
        <v/>
      </c>
      <c r="I151" s="36">
        <f>_xlfn.IFS(K151&lt;K$24,0,K151&lt;K$26,I$24,K151&lt;K$28,I$26,K151&lt;K$30,I$28,K151&lt;K$32,I$30,K151&lt;K$34,I$32,K151&lt;K$36,I$34,K151&lt;K$38,I$36,K151&lt;K$40,I$38,K151&lt;K$42,I$40,K151&lt;K$44,I$42,K151&lt;K$46,I$44,K151&gt;=K$46,I$46)</f>
        <v/>
      </c>
      <c r="J151" s="37">
        <f>_xlfn.IFS(K151&lt;K$24,0,K151&lt;K$25,J$24,K151&lt;K$26,J$25,K151&lt;K$27,J$26,K151&lt;K$28,J$27,K151&lt;K$29,J$28,K151&lt;K$30,J$29,K151&lt;K$31,J$30,K151&lt;K$32,J$31,K151&lt;K$33,J$32,K151&lt;K$34,J$33,K151&lt;K$35,J$34,K151&lt;K$36,J$35,K151&lt;K$37,J$36,K151&lt;K$38,J$37,K151&lt;K$39,J$38,K151&lt;K$40,J$39,K151&lt;K$41,J$40,K151&lt;K$42,J$41,K151&lt;K$43,J$42,K151&lt;K$44,J$43,K151&lt;K$45,J$44,K151&lt;K$46,J$45,K151&lt;K$47,J$46,K151&gt;=K$47,J$47)</f>
        <v/>
      </c>
      <c r="K151" s="38" t="n">
        <v>101</v>
      </c>
      <c r="L151" s="31">
        <f>K151/52</f>
        <v/>
      </c>
      <c r="M151" s="39">
        <f>J151/1000000*52</f>
        <v/>
      </c>
      <c r="N151" s="33">
        <f>M151/$P$4+($I$22/$P$4)</f>
        <v/>
      </c>
      <c r="U151">
        <f>F150</f>
        <v/>
      </c>
      <c r="V151">
        <f>H150</f>
        <v/>
      </c>
      <c r="W151">
        <f>N150</f>
        <v/>
      </c>
    </row>
    <row r="152" ht="15.75" customHeight="1" s="40">
      <c r="C152" s="36">
        <f>_xlfn.IFS(E152&lt;E$24,0,E152&lt;E$26,C$24,E152&lt;E$28,C$26,E152&lt;E$30,C$28,E152&lt;E$32,C$30,E152&lt;E$34,C$32,E152&gt;=E$34,C$34)</f>
        <v/>
      </c>
      <c r="D152" s="37">
        <f>_xlfn.IFS(E152&lt;E$24,0,E152&lt;E$25,D$24,E152&lt;E$26,D$25,E152&lt;E$27,D$26,E152&lt;E$28,D$27,E152&lt;E$29,D$28,E152&lt;E$30,D$29,E152&lt;E$31,D$30,E152&lt;E$32,D$31,E152&lt;E$33,D$32,E152&lt;E$34,D$33,E152&lt;E$35,D$34,E152&gt;=E$35,D$35)</f>
        <v/>
      </c>
      <c r="E152" s="38" t="n">
        <v>102</v>
      </c>
      <c r="F152" s="31">
        <f>E152/52</f>
        <v/>
      </c>
      <c r="G152" s="39">
        <f>D152/1000000*52</f>
        <v/>
      </c>
      <c r="H152" s="33">
        <f>G152/$P$4+($C$22/$P$4)</f>
        <v/>
      </c>
      <c r="I152" s="36">
        <f>_xlfn.IFS(K152&lt;K$24,0,K152&lt;K$26,I$24,K152&lt;K$28,I$26,K152&lt;K$30,I$28,K152&lt;K$32,I$30,K152&lt;K$34,I$32,K152&lt;K$36,I$34,K152&lt;K$38,I$36,K152&lt;K$40,I$38,K152&lt;K$42,I$40,K152&lt;K$44,I$42,K152&lt;K$46,I$44,K152&gt;=K$46,I$46)</f>
        <v/>
      </c>
      <c r="J152" s="37">
        <f>_xlfn.IFS(K152&lt;K$24,0,K152&lt;K$25,J$24,K152&lt;K$26,J$25,K152&lt;K$27,J$26,K152&lt;K$28,J$27,K152&lt;K$29,J$28,K152&lt;K$30,J$29,K152&lt;K$31,J$30,K152&lt;K$32,J$31,K152&lt;K$33,J$32,K152&lt;K$34,J$33,K152&lt;K$35,J$34,K152&lt;K$36,J$35,K152&lt;K$37,J$36,K152&lt;K$38,J$37,K152&lt;K$39,J$38,K152&lt;K$40,J$39,K152&lt;K$41,J$40,K152&lt;K$42,J$41,K152&lt;K$43,J$42,K152&lt;K$44,J$43,K152&lt;K$45,J$44,K152&lt;K$46,J$45,K152&lt;K$47,J$46,K152&gt;=K$47,J$47)</f>
        <v/>
      </c>
      <c r="K152" s="38" t="n">
        <v>102</v>
      </c>
      <c r="L152" s="31">
        <f>K152/52</f>
        <v/>
      </c>
      <c r="M152" s="39">
        <f>J152/1000000*52</f>
        <v/>
      </c>
      <c r="N152" s="33">
        <f>M152/$P$4+($I$22/$P$4)</f>
        <v/>
      </c>
      <c r="U152">
        <f>F151</f>
        <v/>
      </c>
      <c r="V152">
        <f>H151</f>
        <v/>
      </c>
      <c r="W152">
        <f>N151</f>
        <v/>
      </c>
    </row>
    <row r="153" ht="15.75" customHeight="1" s="40">
      <c r="C153" s="36">
        <f>_xlfn.IFS(E153&lt;E$24,0,E153&lt;E$26,C$24,E153&lt;E$28,C$26,E153&lt;E$30,C$28,E153&lt;E$32,C$30,E153&lt;E$34,C$32,E153&gt;=E$34,C$34)</f>
        <v/>
      </c>
      <c r="D153" s="37">
        <f>_xlfn.IFS(E153&lt;E$24,0,E153&lt;E$25,D$24,E153&lt;E$26,D$25,E153&lt;E$27,D$26,E153&lt;E$28,D$27,E153&lt;E$29,D$28,E153&lt;E$30,D$29,E153&lt;E$31,D$30,E153&lt;E$32,D$31,E153&lt;E$33,D$32,E153&lt;E$34,D$33,E153&lt;E$35,D$34,E153&gt;=E$35,D$35)</f>
        <v/>
      </c>
      <c r="E153" s="38" t="n">
        <v>103</v>
      </c>
      <c r="F153" s="31">
        <f>E153/52</f>
        <v/>
      </c>
      <c r="G153" s="39">
        <f>D153/1000000*52</f>
        <v/>
      </c>
      <c r="H153" s="33">
        <f>G153/$P$4+($C$22/$P$4)</f>
        <v/>
      </c>
      <c r="I153" s="36">
        <f>_xlfn.IFS(K153&lt;K$24,0,K153&lt;K$26,I$24,K153&lt;K$28,I$26,K153&lt;K$30,I$28,K153&lt;K$32,I$30,K153&lt;K$34,I$32,K153&lt;K$36,I$34,K153&lt;K$38,I$36,K153&lt;K$40,I$38,K153&lt;K$42,I$40,K153&lt;K$44,I$42,K153&lt;K$46,I$44,K153&gt;=K$46,I$46)</f>
        <v/>
      </c>
      <c r="J153" s="37">
        <f>_xlfn.IFS(K153&lt;K$24,0,K153&lt;K$25,J$24,K153&lt;K$26,J$25,K153&lt;K$27,J$26,K153&lt;K$28,J$27,K153&lt;K$29,J$28,K153&lt;K$30,J$29,K153&lt;K$31,J$30,K153&lt;K$32,J$31,K153&lt;K$33,J$32,K153&lt;K$34,J$33,K153&lt;K$35,J$34,K153&lt;K$36,J$35,K153&lt;K$37,J$36,K153&lt;K$38,J$37,K153&lt;K$39,J$38,K153&lt;K$40,J$39,K153&lt;K$41,J$40,K153&lt;K$42,J$41,K153&lt;K$43,J$42,K153&lt;K$44,J$43,K153&lt;K$45,J$44,K153&lt;K$46,J$45,K153&lt;K$47,J$46,K153&gt;=K$47,J$47)</f>
        <v/>
      </c>
      <c r="K153" s="38" t="n">
        <v>103</v>
      </c>
      <c r="L153" s="31">
        <f>K153/52</f>
        <v/>
      </c>
      <c r="M153" s="39">
        <f>J153/1000000*52</f>
        <v/>
      </c>
      <c r="N153" s="33">
        <f>M153/$P$4+($I$22/$P$4)</f>
        <v/>
      </c>
      <c r="U153">
        <f>F152</f>
        <v/>
      </c>
      <c r="V153">
        <f>H152</f>
        <v/>
      </c>
      <c r="W153">
        <f>N152</f>
        <v/>
      </c>
    </row>
    <row r="154" ht="15.75" customHeight="1" s="40">
      <c r="C154" s="36">
        <f>_xlfn.IFS(E154&lt;E$24,0,E154&lt;E$26,C$24,E154&lt;E$28,C$26,E154&lt;E$30,C$28,E154&lt;E$32,C$30,E154&lt;E$34,C$32,E154&gt;=E$34,C$34)</f>
        <v/>
      </c>
      <c r="D154" s="37">
        <f>_xlfn.IFS(E154&lt;E$24,0,E154&lt;E$25,D$24,E154&lt;E$26,D$25,E154&lt;E$27,D$26,E154&lt;E$28,D$27,E154&lt;E$29,D$28,E154&lt;E$30,D$29,E154&lt;E$31,D$30,E154&lt;E$32,D$31,E154&lt;E$33,D$32,E154&lt;E$34,D$33,E154&lt;E$35,D$34,E154&gt;=E$35,D$35)</f>
        <v/>
      </c>
      <c r="E154" s="38" t="n">
        <v>104</v>
      </c>
      <c r="F154" s="31">
        <f>E154/52</f>
        <v/>
      </c>
      <c r="G154" s="39">
        <f>D154/1000000*52</f>
        <v/>
      </c>
      <c r="H154" s="33">
        <f>G154/$P$4+($C$22/$P$4)</f>
        <v/>
      </c>
      <c r="I154" s="36">
        <f>_xlfn.IFS(K154&lt;K$24,0,K154&lt;K$26,I$24,K154&lt;K$28,I$26,K154&lt;K$30,I$28,K154&lt;K$32,I$30,K154&lt;K$34,I$32,K154&lt;K$36,I$34,K154&lt;K$38,I$36,K154&lt;K$40,I$38,K154&lt;K$42,I$40,K154&lt;K$44,I$42,K154&lt;K$46,I$44,K154&gt;=K$46,I$46)</f>
        <v/>
      </c>
      <c r="J154" s="37">
        <f>_xlfn.IFS(K154&lt;K$24,0,K154&lt;K$25,J$24,K154&lt;K$26,J$25,K154&lt;K$27,J$26,K154&lt;K$28,J$27,K154&lt;K$29,J$28,K154&lt;K$30,J$29,K154&lt;K$31,J$30,K154&lt;K$32,J$31,K154&lt;K$33,J$32,K154&lt;K$34,J$33,K154&lt;K$35,J$34,K154&lt;K$36,J$35,K154&lt;K$37,J$36,K154&lt;K$38,J$37,K154&lt;K$39,J$38,K154&lt;K$40,J$39,K154&lt;K$41,J$40,K154&lt;K$42,J$41,K154&lt;K$43,J$42,K154&lt;K$44,J$43,K154&lt;K$45,J$44,K154&lt;K$46,J$45,K154&lt;K$47,J$46,K154&gt;=K$47,J$47)</f>
        <v/>
      </c>
      <c r="K154" s="38" t="n">
        <v>104</v>
      </c>
      <c r="L154" s="31">
        <f>K154/52</f>
        <v/>
      </c>
      <c r="M154" s="39">
        <f>J154/1000000*52</f>
        <v/>
      </c>
      <c r="N154" s="33">
        <f>M154/$P$4+($I$22/$P$4)</f>
        <v/>
      </c>
      <c r="U154">
        <f>F153</f>
        <v/>
      </c>
      <c r="V154">
        <f>H153</f>
        <v/>
      </c>
      <c r="W154">
        <f>N153</f>
        <v/>
      </c>
    </row>
    <row r="155" ht="15.75" customHeight="1" s="40">
      <c r="C155" s="36">
        <f>_xlfn.IFS(E155&lt;E$24,0,E155&lt;E$26,C$24,E155&lt;E$28,C$26,E155&lt;E$30,C$28,E155&lt;E$32,C$30,E155&lt;E$34,C$32,E155&gt;=E$34,C$34)</f>
        <v/>
      </c>
      <c r="D155" s="37">
        <f>_xlfn.IFS(E155&lt;E$24,0,E155&lt;E$25,D$24,E155&lt;E$26,D$25,E155&lt;E$27,D$26,E155&lt;E$28,D$27,E155&lt;E$29,D$28,E155&lt;E$30,D$29,E155&lt;E$31,D$30,E155&lt;E$32,D$31,E155&lt;E$33,D$32,E155&lt;E$34,D$33,E155&lt;E$35,D$34,E155&gt;=E$35,D$35)</f>
        <v/>
      </c>
      <c r="E155" s="38" t="n">
        <v>105</v>
      </c>
      <c r="F155" s="31">
        <f>E155/52</f>
        <v/>
      </c>
      <c r="G155" s="39">
        <f>D155/1000000*52</f>
        <v/>
      </c>
      <c r="H155" s="33">
        <f>G155/$P$4+($C$22/$P$4)</f>
        <v/>
      </c>
      <c r="I155" s="36">
        <f>_xlfn.IFS(K155&lt;K$24,0,K155&lt;K$26,I$24,K155&lt;K$28,I$26,K155&lt;K$30,I$28,K155&lt;K$32,I$30,K155&lt;K$34,I$32,K155&lt;K$36,I$34,K155&lt;K$38,I$36,K155&lt;K$40,I$38,K155&lt;K$42,I$40,K155&lt;K$44,I$42,K155&lt;K$46,I$44,K155&gt;=K$46,I$46)</f>
        <v/>
      </c>
      <c r="J155" s="37">
        <f>_xlfn.IFS(K155&lt;K$24,0,K155&lt;K$25,J$24,K155&lt;K$26,J$25,K155&lt;K$27,J$26,K155&lt;K$28,J$27,K155&lt;K$29,J$28,K155&lt;K$30,J$29,K155&lt;K$31,J$30,K155&lt;K$32,J$31,K155&lt;K$33,J$32,K155&lt;K$34,J$33,K155&lt;K$35,J$34,K155&lt;K$36,J$35,K155&lt;K$37,J$36,K155&lt;K$38,J$37,K155&lt;K$39,J$38,K155&lt;K$40,J$39,K155&lt;K$41,J$40,K155&lt;K$42,J$41,K155&lt;K$43,J$42,K155&lt;K$44,J$43,K155&lt;K$45,J$44,K155&lt;K$46,J$45,K155&lt;K$47,J$46,K155&gt;=K$47,J$47)</f>
        <v/>
      </c>
      <c r="K155" s="38" t="n">
        <v>105</v>
      </c>
      <c r="L155" s="31">
        <f>K155/52</f>
        <v/>
      </c>
      <c r="M155" s="39">
        <f>J155/1000000*52</f>
        <v/>
      </c>
      <c r="N155" s="33">
        <f>M155/$P$4+($I$22/$P$4)</f>
        <v/>
      </c>
      <c r="U155">
        <f>F154</f>
        <v/>
      </c>
      <c r="V155">
        <f>H154</f>
        <v/>
      </c>
      <c r="W155">
        <f>N154</f>
        <v/>
      </c>
    </row>
    <row r="156" ht="15.75" customHeight="1" s="40">
      <c r="C156" s="36">
        <f>_xlfn.IFS(E156&lt;E$24,0,E156&lt;E$26,C$24,E156&lt;E$28,C$26,E156&lt;E$30,C$28,E156&lt;E$32,C$30,E156&lt;E$34,C$32,E156&gt;=E$34,C$34)</f>
        <v/>
      </c>
      <c r="D156" s="37">
        <f>_xlfn.IFS(E156&lt;E$24,0,E156&lt;E$25,D$24,E156&lt;E$26,D$25,E156&lt;E$27,D$26,E156&lt;E$28,D$27,E156&lt;E$29,D$28,E156&lt;E$30,D$29,E156&lt;E$31,D$30,E156&lt;E$32,D$31,E156&lt;E$33,D$32,E156&lt;E$34,D$33,E156&lt;E$35,D$34,E156&gt;=E$35,D$35)</f>
        <v/>
      </c>
      <c r="E156" s="38" t="n">
        <v>106</v>
      </c>
      <c r="F156" s="31">
        <f>E156/52</f>
        <v/>
      </c>
      <c r="G156" s="39">
        <f>D156/1000000*52</f>
        <v/>
      </c>
      <c r="H156" s="33">
        <f>G156/$P$4+($C$22/$P$4)</f>
        <v/>
      </c>
      <c r="I156" s="36">
        <f>_xlfn.IFS(K156&lt;K$24,0,K156&lt;K$26,I$24,K156&lt;K$28,I$26,K156&lt;K$30,I$28,K156&lt;K$32,I$30,K156&lt;K$34,I$32,K156&lt;K$36,I$34,K156&lt;K$38,I$36,K156&lt;K$40,I$38,K156&lt;K$42,I$40,K156&lt;K$44,I$42,K156&lt;K$46,I$44,K156&gt;=K$46,I$46)</f>
        <v/>
      </c>
      <c r="J156" s="37">
        <f>_xlfn.IFS(K156&lt;K$24,0,K156&lt;K$25,J$24,K156&lt;K$26,J$25,K156&lt;K$27,J$26,K156&lt;K$28,J$27,K156&lt;K$29,J$28,K156&lt;K$30,J$29,K156&lt;K$31,J$30,K156&lt;K$32,J$31,K156&lt;K$33,J$32,K156&lt;K$34,J$33,K156&lt;K$35,J$34,K156&lt;K$36,J$35,K156&lt;K$37,J$36,K156&lt;K$38,J$37,K156&lt;K$39,J$38,K156&lt;K$40,J$39,K156&lt;K$41,J$40,K156&lt;K$42,J$41,K156&lt;K$43,J$42,K156&lt;K$44,J$43,K156&lt;K$45,J$44,K156&lt;K$46,J$45,K156&lt;K$47,J$46,K156&gt;=K$47,J$47)</f>
        <v/>
      </c>
      <c r="K156" s="38" t="n">
        <v>106</v>
      </c>
      <c r="L156" s="31">
        <f>K156/52</f>
        <v/>
      </c>
      <c r="M156" s="39">
        <f>J156/1000000*52</f>
        <v/>
      </c>
      <c r="N156" s="33">
        <f>M156/$P$4+($I$22/$P$4)</f>
        <v/>
      </c>
      <c r="U156">
        <f>F155</f>
        <v/>
      </c>
      <c r="V156">
        <f>H155</f>
        <v/>
      </c>
      <c r="W156">
        <f>N155</f>
        <v/>
      </c>
    </row>
    <row r="157" ht="15.75" customHeight="1" s="40">
      <c r="C157" s="36">
        <f>_xlfn.IFS(E157&lt;E$24,0,E157&lt;E$26,C$24,E157&lt;E$28,C$26,E157&lt;E$30,C$28,E157&lt;E$32,C$30,E157&lt;E$34,C$32,E157&gt;=E$34,C$34)</f>
        <v/>
      </c>
      <c r="D157" s="37">
        <f>_xlfn.IFS(E157&lt;E$24,0,E157&lt;E$25,D$24,E157&lt;E$26,D$25,E157&lt;E$27,D$26,E157&lt;E$28,D$27,E157&lt;E$29,D$28,E157&lt;E$30,D$29,E157&lt;E$31,D$30,E157&lt;E$32,D$31,E157&lt;E$33,D$32,E157&lt;E$34,D$33,E157&lt;E$35,D$34,E157&gt;=E$35,D$35)</f>
        <v/>
      </c>
      <c r="E157" s="38" t="n">
        <v>107</v>
      </c>
      <c r="F157" s="31">
        <f>E157/52</f>
        <v/>
      </c>
      <c r="G157" s="39">
        <f>D157/1000000*52</f>
        <v/>
      </c>
      <c r="H157" s="33">
        <f>G157/$P$4+($C$22/$P$4)</f>
        <v/>
      </c>
      <c r="I157" s="36">
        <f>_xlfn.IFS(K157&lt;K$24,0,K157&lt;K$26,I$24,K157&lt;K$28,I$26,K157&lt;K$30,I$28,K157&lt;K$32,I$30,K157&lt;K$34,I$32,K157&lt;K$36,I$34,K157&lt;K$38,I$36,K157&lt;K$40,I$38,K157&lt;K$42,I$40,K157&lt;K$44,I$42,K157&lt;K$46,I$44,K157&gt;=K$46,I$46)</f>
        <v/>
      </c>
      <c r="J157" s="37">
        <f>_xlfn.IFS(K157&lt;K$24,0,K157&lt;K$25,J$24,K157&lt;K$26,J$25,K157&lt;K$27,J$26,K157&lt;K$28,J$27,K157&lt;K$29,J$28,K157&lt;K$30,J$29,K157&lt;K$31,J$30,K157&lt;K$32,J$31,K157&lt;K$33,J$32,K157&lt;K$34,J$33,K157&lt;K$35,J$34,K157&lt;K$36,J$35,K157&lt;K$37,J$36,K157&lt;K$38,J$37,K157&lt;K$39,J$38,K157&lt;K$40,J$39,K157&lt;K$41,J$40,K157&lt;K$42,J$41,K157&lt;K$43,J$42,K157&lt;K$44,J$43,K157&lt;K$45,J$44,K157&lt;K$46,J$45,K157&lt;K$47,J$46,K157&gt;=K$47,J$47)</f>
        <v/>
      </c>
      <c r="K157" s="38" t="n">
        <v>107</v>
      </c>
      <c r="L157" s="31">
        <f>K157/52</f>
        <v/>
      </c>
      <c r="M157" s="39">
        <f>J157/1000000*52</f>
        <v/>
      </c>
      <c r="N157" s="33">
        <f>M157/$P$4+($I$22/$P$4)</f>
        <v/>
      </c>
      <c r="U157">
        <f>F156</f>
        <v/>
      </c>
      <c r="V157">
        <f>H156</f>
        <v/>
      </c>
      <c r="W157">
        <f>N156</f>
        <v/>
      </c>
    </row>
    <row r="158" ht="15.75" customHeight="1" s="40">
      <c r="C158" s="36">
        <f>_xlfn.IFS(E158&lt;E$24,0,E158&lt;E$26,C$24,E158&lt;E$28,C$26,E158&lt;E$30,C$28,E158&lt;E$32,C$30,E158&lt;E$34,C$32,E158&gt;=E$34,C$34)</f>
        <v/>
      </c>
      <c r="D158" s="37">
        <f>_xlfn.IFS(E158&lt;E$24,0,E158&lt;E$25,D$24,E158&lt;E$26,D$25,E158&lt;E$27,D$26,E158&lt;E$28,D$27,E158&lt;E$29,D$28,E158&lt;E$30,D$29,E158&lt;E$31,D$30,E158&lt;E$32,D$31,E158&lt;E$33,D$32,E158&lt;E$34,D$33,E158&lt;E$35,D$34,E158&gt;=E$35,D$35)</f>
        <v/>
      </c>
      <c r="E158" s="38" t="n">
        <v>108</v>
      </c>
      <c r="F158" s="31">
        <f>E158/52</f>
        <v/>
      </c>
      <c r="G158" s="39">
        <f>D158/1000000*52</f>
        <v/>
      </c>
      <c r="H158" s="33">
        <f>G158/$P$4+($C$22/$P$4)</f>
        <v/>
      </c>
      <c r="I158" s="36">
        <f>_xlfn.IFS(K158&lt;K$24,0,K158&lt;K$26,I$24,K158&lt;K$28,I$26,K158&lt;K$30,I$28,K158&lt;K$32,I$30,K158&lt;K$34,I$32,K158&lt;K$36,I$34,K158&lt;K$38,I$36,K158&lt;K$40,I$38,K158&lt;K$42,I$40,K158&lt;K$44,I$42,K158&lt;K$46,I$44,K158&gt;=K$46,I$46)</f>
        <v/>
      </c>
      <c r="J158" s="37">
        <f>_xlfn.IFS(K158&lt;K$24,0,K158&lt;K$25,J$24,K158&lt;K$26,J$25,K158&lt;K$27,J$26,K158&lt;K$28,J$27,K158&lt;K$29,J$28,K158&lt;K$30,J$29,K158&lt;K$31,J$30,K158&lt;K$32,J$31,K158&lt;K$33,J$32,K158&lt;K$34,J$33,K158&lt;K$35,J$34,K158&lt;K$36,J$35,K158&lt;K$37,J$36,K158&lt;K$38,J$37,K158&lt;K$39,J$38,K158&lt;K$40,J$39,K158&lt;K$41,J$40,K158&lt;K$42,J$41,K158&lt;K$43,J$42,K158&lt;K$44,J$43,K158&lt;K$45,J$44,K158&lt;K$46,J$45,K158&lt;K$47,J$46,K158&gt;=K$47,J$47)</f>
        <v/>
      </c>
      <c r="K158" s="38" t="n">
        <v>108</v>
      </c>
      <c r="L158" s="31">
        <f>K158/52</f>
        <v/>
      </c>
      <c r="M158" s="39">
        <f>J158/1000000*52</f>
        <v/>
      </c>
      <c r="N158" s="33">
        <f>M158/$P$4+($I$22/$P$4)</f>
        <v/>
      </c>
      <c r="U158">
        <f>F157</f>
        <v/>
      </c>
      <c r="V158">
        <f>H157</f>
        <v/>
      </c>
      <c r="W158">
        <f>N157</f>
        <v/>
      </c>
    </row>
    <row r="159" ht="15.75" customHeight="1" s="40">
      <c r="C159" s="36">
        <f>_xlfn.IFS(E159&lt;E$24,0,E159&lt;E$26,C$24,E159&lt;E$28,C$26,E159&lt;E$30,C$28,E159&lt;E$32,C$30,E159&lt;E$34,C$32,E159&gt;=E$34,C$34)</f>
        <v/>
      </c>
      <c r="D159" s="37">
        <f>_xlfn.IFS(E159&lt;E$24,0,E159&lt;E$25,D$24,E159&lt;E$26,D$25,E159&lt;E$27,D$26,E159&lt;E$28,D$27,E159&lt;E$29,D$28,E159&lt;E$30,D$29,E159&lt;E$31,D$30,E159&lt;E$32,D$31,E159&lt;E$33,D$32,E159&lt;E$34,D$33,E159&lt;E$35,D$34,E159&gt;=E$35,D$35)</f>
        <v/>
      </c>
      <c r="E159" s="38" t="n">
        <v>109</v>
      </c>
      <c r="F159" s="31">
        <f>E159/52</f>
        <v/>
      </c>
      <c r="G159" s="39">
        <f>D159/1000000*52</f>
        <v/>
      </c>
      <c r="H159" s="33">
        <f>G159/$P$4+($C$22/$P$4)</f>
        <v/>
      </c>
      <c r="I159" s="36">
        <f>_xlfn.IFS(K159&lt;K$24,0,K159&lt;K$26,I$24,K159&lt;K$28,I$26,K159&lt;K$30,I$28,K159&lt;K$32,I$30,K159&lt;K$34,I$32,K159&lt;K$36,I$34,K159&lt;K$38,I$36,K159&lt;K$40,I$38,K159&lt;K$42,I$40,K159&lt;K$44,I$42,K159&lt;K$46,I$44,K159&gt;=K$46,I$46)</f>
        <v/>
      </c>
      <c r="J159" s="37">
        <f>_xlfn.IFS(K159&lt;K$24,0,K159&lt;K$25,J$24,K159&lt;K$26,J$25,K159&lt;K$27,J$26,K159&lt;K$28,J$27,K159&lt;K$29,J$28,K159&lt;K$30,J$29,K159&lt;K$31,J$30,K159&lt;K$32,J$31,K159&lt;K$33,J$32,K159&lt;K$34,J$33,K159&lt;K$35,J$34,K159&lt;K$36,J$35,K159&lt;K$37,J$36,K159&lt;K$38,J$37,K159&lt;K$39,J$38,K159&lt;K$40,J$39,K159&lt;K$41,J$40,K159&lt;K$42,J$41,K159&lt;K$43,J$42,K159&lt;K$44,J$43,K159&lt;K$45,J$44,K159&lt;K$46,J$45,K159&lt;K$47,J$46,K159&gt;=K$47,J$47)</f>
        <v/>
      </c>
      <c r="K159" s="38" t="n">
        <v>109</v>
      </c>
      <c r="L159" s="31">
        <f>K159/52</f>
        <v/>
      </c>
      <c r="M159" s="39">
        <f>J159/1000000*52</f>
        <v/>
      </c>
      <c r="N159" s="33">
        <f>M159/$P$4+($I$22/$P$4)</f>
        <v/>
      </c>
      <c r="U159">
        <f>F158</f>
        <v/>
      </c>
      <c r="V159">
        <f>H158</f>
        <v/>
      </c>
      <c r="W159">
        <f>N158</f>
        <v/>
      </c>
    </row>
    <row r="160" ht="15.75" customHeight="1" s="40">
      <c r="C160" s="36">
        <f>_xlfn.IFS(E160&lt;E$24,0,E160&lt;E$26,C$24,E160&lt;E$28,C$26,E160&lt;E$30,C$28,E160&lt;E$32,C$30,E160&lt;E$34,C$32,E160&gt;=E$34,C$34)</f>
        <v/>
      </c>
      <c r="D160" s="37">
        <f>_xlfn.IFS(E160&lt;E$24,0,E160&lt;E$25,D$24,E160&lt;E$26,D$25,E160&lt;E$27,D$26,E160&lt;E$28,D$27,E160&lt;E$29,D$28,E160&lt;E$30,D$29,E160&lt;E$31,D$30,E160&lt;E$32,D$31,E160&lt;E$33,D$32,E160&lt;E$34,D$33,E160&lt;E$35,D$34,E160&gt;=E$35,D$35)</f>
        <v/>
      </c>
      <c r="E160" s="38" t="n">
        <v>110</v>
      </c>
      <c r="F160" s="31">
        <f>E160/52</f>
        <v/>
      </c>
      <c r="G160" s="39">
        <f>D160/1000000*52</f>
        <v/>
      </c>
      <c r="H160" s="33">
        <f>G160/$P$4+($C$22/$P$4)</f>
        <v/>
      </c>
      <c r="I160" s="36">
        <f>_xlfn.IFS(K160&lt;K$24,0,K160&lt;K$26,I$24,K160&lt;K$28,I$26,K160&lt;K$30,I$28,K160&lt;K$32,I$30,K160&lt;K$34,I$32,K160&lt;K$36,I$34,K160&lt;K$38,I$36,K160&lt;K$40,I$38,K160&lt;K$42,I$40,K160&lt;K$44,I$42,K160&lt;K$46,I$44,K160&gt;=K$46,I$46)</f>
        <v/>
      </c>
      <c r="J160" s="37">
        <f>_xlfn.IFS(K160&lt;K$24,0,K160&lt;K$25,J$24,K160&lt;K$26,J$25,K160&lt;K$27,J$26,K160&lt;K$28,J$27,K160&lt;K$29,J$28,K160&lt;K$30,J$29,K160&lt;K$31,J$30,K160&lt;K$32,J$31,K160&lt;K$33,J$32,K160&lt;K$34,J$33,K160&lt;K$35,J$34,K160&lt;K$36,J$35,K160&lt;K$37,J$36,K160&lt;K$38,J$37,K160&lt;K$39,J$38,K160&lt;K$40,J$39,K160&lt;K$41,J$40,K160&lt;K$42,J$41,K160&lt;K$43,J$42,K160&lt;K$44,J$43,K160&lt;K$45,J$44,K160&lt;K$46,J$45,K160&lt;K$47,J$46,K160&gt;=K$47,J$47)</f>
        <v/>
      </c>
      <c r="K160" s="38" t="n">
        <v>110</v>
      </c>
      <c r="L160" s="31">
        <f>K160/52</f>
        <v/>
      </c>
      <c r="M160" s="39">
        <f>J160/1000000*52</f>
        <v/>
      </c>
      <c r="N160" s="33">
        <f>M160/$P$4+($I$22/$P$4)</f>
        <v/>
      </c>
      <c r="U160">
        <f>F159</f>
        <v/>
      </c>
      <c r="V160">
        <f>H159</f>
        <v/>
      </c>
      <c r="W160">
        <f>N159</f>
        <v/>
      </c>
    </row>
    <row r="161" ht="15.75" customHeight="1" s="40">
      <c r="C161" s="36">
        <f>_xlfn.IFS(E161&lt;E$24,0,E161&lt;E$26,C$24,E161&lt;E$28,C$26,E161&lt;E$30,C$28,E161&lt;E$32,C$30,E161&lt;E$34,C$32,E161&gt;=E$34,C$34)</f>
        <v/>
      </c>
      <c r="D161" s="37">
        <f>_xlfn.IFS(E161&lt;E$24,0,E161&lt;E$25,D$24,E161&lt;E$26,D$25,E161&lt;E$27,D$26,E161&lt;E$28,D$27,E161&lt;E$29,D$28,E161&lt;E$30,D$29,E161&lt;E$31,D$30,E161&lt;E$32,D$31,E161&lt;E$33,D$32,E161&lt;E$34,D$33,E161&lt;E$35,D$34,E161&gt;=E$35,D$35)</f>
        <v/>
      </c>
      <c r="E161" s="38" t="n">
        <v>111</v>
      </c>
      <c r="F161" s="31">
        <f>E161/52</f>
        <v/>
      </c>
      <c r="G161" s="39">
        <f>D161/1000000*52</f>
        <v/>
      </c>
      <c r="H161" s="33">
        <f>G161/$P$4+($C$22/$P$4)</f>
        <v/>
      </c>
      <c r="I161" s="36">
        <f>_xlfn.IFS(K161&lt;K$24,0,K161&lt;K$26,I$24,K161&lt;K$28,I$26,K161&lt;K$30,I$28,K161&lt;K$32,I$30,K161&lt;K$34,I$32,K161&lt;K$36,I$34,K161&lt;K$38,I$36,K161&lt;K$40,I$38,K161&lt;K$42,I$40,K161&lt;K$44,I$42,K161&lt;K$46,I$44,K161&gt;=K$46,I$46)</f>
        <v/>
      </c>
      <c r="J161" s="37">
        <f>_xlfn.IFS(K161&lt;K$24,0,K161&lt;K$25,J$24,K161&lt;K$26,J$25,K161&lt;K$27,J$26,K161&lt;K$28,J$27,K161&lt;K$29,J$28,K161&lt;K$30,J$29,K161&lt;K$31,J$30,K161&lt;K$32,J$31,K161&lt;K$33,J$32,K161&lt;K$34,J$33,K161&lt;K$35,J$34,K161&lt;K$36,J$35,K161&lt;K$37,J$36,K161&lt;K$38,J$37,K161&lt;K$39,J$38,K161&lt;K$40,J$39,K161&lt;K$41,J$40,K161&lt;K$42,J$41,K161&lt;K$43,J$42,K161&lt;K$44,J$43,K161&lt;K$45,J$44,K161&lt;K$46,J$45,K161&lt;K$47,J$46,K161&gt;=K$47,J$47)</f>
        <v/>
      </c>
      <c r="K161" s="38" t="n">
        <v>111</v>
      </c>
      <c r="L161" s="31">
        <f>K161/52</f>
        <v/>
      </c>
      <c r="M161" s="39">
        <f>J161/1000000*52</f>
        <v/>
      </c>
      <c r="N161" s="33">
        <f>M161/$P$4+($I$22/$P$4)</f>
        <v/>
      </c>
      <c r="U161">
        <f>F160</f>
        <v/>
      </c>
      <c r="V161">
        <f>H160</f>
        <v/>
      </c>
      <c r="W161">
        <f>N160</f>
        <v/>
      </c>
    </row>
    <row r="162" ht="15.75" customHeight="1" s="40">
      <c r="C162" s="36">
        <f>_xlfn.IFS(E162&lt;E$24,0,E162&lt;E$26,C$24,E162&lt;E$28,C$26,E162&lt;E$30,C$28,E162&lt;E$32,C$30,E162&lt;E$34,C$32,E162&gt;=E$34,C$34)</f>
        <v/>
      </c>
      <c r="D162" s="37">
        <f>_xlfn.IFS(E162&lt;E$24,0,E162&lt;E$25,D$24,E162&lt;E$26,D$25,E162&lt;E$27,D$26,E162&lt;E$28,D$27,E162&lt;E$29,D$28,E162&lt;E$30,D$29,E162&lt;E$31,D$30,E162&lt;E$32,D$31,E162&lt;E$33,D$32,E162&lt;E$34,D$33,E162&lt;E$35,D$34,E162&gt;=E$35,D$35)</f>
        <v/>
      </c>
      <c r="E162" s="38" t="n">
        <v>112</v>
      </c>
      <c r="F162" s="31">
        <f>E162/52</f>
        <v/>
      </c>
      <c r="G162" s="39">
        <f>D162/1000000*52</f>
        <v/>
      </c>
      <c r="H162" s="33">
        <f>G162/$P$4+($C$22/$P$4)</f>
        <v/>
      </c>
      <c r="I162" s="36">
        <f>_xlfn.IFS(K162&lt;K$24,0,K162&lt;K$26,I$24,K162&lt;K$28,I$26,K162&lt;K$30,I$28,K162&lt;K$32,I$30,K162&lt;K$34,I$32,K162&lt;K$36,I$34,K162&lt;K$38,I$36,K162&lt;K$40,I$38,K162&lt;K$42,I$40,K162&lt;K$44,I$42,K162&lt;K$46,I$44,K162&gt;=K$46,I$46)</f>
        <v/>
      </c>
      <c r="J162" s="37">
        <f>_xlfn.IFS(K162&lt;K$24,0,K162&lt;K$25,J$24,K162&lt;K$26,J$25,K162&lt;K$27,J$26,K162&lt;K$28,J$27,K162&lt;K$29,J$28,K162&lt;K$30,J$29,K162&lt;K$31,J$30,K162&lt;K$32,J$31,K162&lt;K$33,J$32,K162&lt;K$34,J$33,K162&lt;K$35,J$34,K162&lt;K$36,J$35,K162&lt;K$37,J$36,K162&lt;K$38,J$37,K162&lt;K$39,J$38,K162&lt;K$40,J$39,K162&lt;K$41,J$40,K162&lt;K$42,J$41,K162&lt;K$43,J$42,K162&lt;K$44,J$43,K162&lt;K$45,J$44,K162&lt;K$46,J$45,K162&lt;K$47,J$46,K162&gt;=K$47,J$47)</f>
        <v/>
      </c>
      <c r="K162" s="38" t="n">
        <v>112</v>
      </c>
      <c r="L162" s="31">
        <f>K162/52</f>
        <v/>
      </c>
      <c r="M162" s="39">
        <f>J162/1000000*52</f>
        <v/>
      </c>
      <c r="N162" s="33">
        <f>M162/$P$4+($I$22/$P$4)</f>
        <v/>
      </c>
      <c r="U162">
        <f>F161</f>
        <v/>
      </c>
      <c r="V162">
        <f>H161</f>
        <v/>
      </c>
      <c r="W162">
        <f>N161</f>
        <v/>
      </c>
    </row>
    <row r="163" ht="15.75" customHeight="1" s="40">
      <c r="C163" s="36">
        <f>_xlfn.IFS(E163&lt;E$24,0,E163&lt;E$26,C$24,E163&lt;E$28,C$26,E163&lt;E$30,C$28,E163&lt;E$32,C$30,E163&lt;E$34,C$32,E163&gt;=E$34,C$34)</f>
        <v/>
      </c>
      <c r="D163" s="37">
        <f>_xlfn.IFS(E163&lt;E$24,0,E163&lt;E$25,D$24,E163&lt;E$26,D$25,E163&lt;E$27,D$26,E163&lt;E$28,D$27,E163&lt;E$29,D$28,E163&lt;E$30,D$29,E163&lt;E$31,D$30,E163&lt;E$32,D$31,E163&lt;E$33,D$32,E163&lt;E$34,D$33,E163&lt;E$35,D$34,E163&gt;=E$35,D$35)</f>
        <v/>
      </c>
      <c r="E163" s="38" t="n">
        <v>113</v>
      </c>
      <c r="F163" s="31">
        <f>E163/52</f>
        <v/>
      </c>
      <c r="G163" s="39">
        <f>D163/1000000*52</f>
        <v/>
      </c>
      <c r="H163" s="33">
        <f>G163/$P$4+($C$22/$P$4)</f>
        <v/>
      </c>
      <c r="I163" s="36">
        <f>_xlfn.IFS(K163&lt;K$24,0,K163&lt;K$26,I$24,K163&lt;K$28,I$26,K163&lt;K$30,I$28,K163&lt;K$32,I$30,K163&lt;K$34,I$32,K163&lt;K$36,I$34,K163&lt;K$38,I$36,K163&lt;K$40,I$38,K163&lt;K$42,I$40,K163&lt;K$44,I$42,K163&lt;K$46,I$44,K163&gt;=K$46,I$46)</f>
        <v/>
      </c>
      <c r="J163" s="37">
        <f>_xlfn.IFS(K163&lt;K$24,0,K163&lt;K$25,J$24,K163&lt;K$26,J$25,K163&lt;K$27,J$26,K163&lt;K$28,J$27,K163&lt;K$29,J$28,K163&lt;K$30,J$29,K163&lt;K$31,J$30,K163&lt;K$32,J$31,K163&lt;K$33,J$32,K163&lt;K$34,J$33,K163&lt;K$35,J$34,K163&lt;K$36,J$35,K163&lt;K$37,J$36,K163&lt;K$38,J$37,K163&lt;K$39,J$38,K163&lt;K$40,J$39,K163&lt;K$41,J$40,K163&lt;K$42,J$41,K163&lt;K$43,J$42,K163&lt;K$44,J$43,K163&lt;K$45,J$44,K163&lt;K$46,J$45,K163&lt;K$47,J$46,K163&gt;=K$47,J$47)</f>
        <v/>
      </c>
      <c r="K163" s="38" t="n">
        <v>113</v>
      </c>
      <c r="L163" s="31">
        <f>K163/52</f>
        <v/>
      </c>
      <c r="M163" s="39">
        <f>J163/1000000*52</f>
        <v/>
      </c>
      <c r="N163" s="33">
        <f>M163/$P$4+($I$22/$P$4)</f>
        <v/>
      </c>
      <c r="U163">
        <f>F162</f>
        <v/>
      </c>
      <c r="V163">
        <f>H162</f>
        <v/>
      </c>
      <c r="W163">
        <f>N162</f>
        <v/>
      </c>
    </row>
    <row r="164" ht="15.75" customHeight="1" s="40">
      <c r="C164" s="36">
        <f>_xlfn.IFS(E164&lt;E$24,0,E164&lt;E$26,C$24,E164&lt;E$28,C$26,E164&lt;E$30,C$28,E164&lt;E$32,C$30,E164&lt;E$34,C$32,E164&gt;=E$34,C$34)</f>
        <v/>
      </c>
      <c r="D164" s="37">
        <f>_xlfn.IFS(E164&lt;E$24,0,E164&lt;E$25,D$24,E164&lt;E$26,D$25,E164&lt;E$27,D$26,E164&lt;E$28,D$27,E164&lt;E$29,D$28,E164&lt;E$30,D$29,E164&lt;E$31,D$30,E164&lt;E$32,D$31,E164&lt;E$33,D$32,E164&lt;E$34,D$33,E164&lt;E$35,D$34,E164&gt;=E$35,D$35)</f>
        <v/>
      </c>
      <c r="E164" s="38" t="n">
        <v>114</v>
      </c>
      <c r="F164" s="31">
        <f>E164/52</f>
        <v/>
      </c>
      <c r="G164" s="39">
        <f>D164/1000000*52</f>
        <v/>
      </c>
      <c r="H164" s="33">
        <f>G164/$P$4+($C$22/$P$4)</f>
        <v/>
      </c>
      <c r="I164" s="36">
        <f>_xlfn.IFS(K164&lt;K$24,0,K164&lt;K$26,I$24,K164&lt;K$28,I$26,K164&lt;K$30,I$28,K164&lt;K$32,I$30,K164&lt;K$34,I$32,K164&lt;K$36,I$34,K164&lt;K$38,I$36,K164&lt;K$40,I$38,K164&lt;K$42,I$40,K164&lt;K$44,I$42,K164&lt;K$46,I$44,K164&gt;=K$46,I$46)</f>
        <v/>
      </c>
      <c r="J164" s="37">
        <f>_xlfn.IFS(K164&lt;K$24,0,K164&lt;K$25,J$24,K164&lt;K$26,J$25,K164&lt;K$27,J$26,K164&lt;K$28,J$27,K164&lt;K$29,J$28,K164&lt;K$30,J$29,K164&lt;K$31,J$30,K164&lt;K$32,J$31,K164&lt;K$33,J$32,K164&lt;K$34,J$33,K164&lt;K$35,J$34,K164&lt;K$36,J$35,K164&lt;K$37,J$36,K164&lt;K$38,J$37,K164&lt;K$39,J$38,K164&lt;K$40,J$39,K164&lt;K$41,J$40,K164&lt;K$42,J$41,K164&lt;K$43,J$42,K164&lt;K$44,J$43,K164&lt;K$45,J$44,K164&lt;K$46,J$45,K164&lt;K$47,J$46,K164&gt;=K$47,J$47)</f>
        <v/>
      </c>
      <c r="K164" s="38" t="n">
        <v>114</v>
      </c>
      <c r="L164" s="31">
        <f>K164/52</f>
        <v/>
      </c>
      <c r="M164" s="39">
        <f>J164/1000000*52</f>
        <v/>
      </c>
      <c r="N164" s="33">
        <f>M164/$P$4+($I$22/$P$4)</f>
        <v/>
      </c>
      <c r="U164">
        <f>F163</f>
        <v/>
      </c>
      <c r="V164">
        <f>H163</f>
        <v/>
      </c>
      <c r="W164">
        <f>N163</f>
        <v/>
      </c>
    </row>
    <row r="165" ht="15.75" customHeight="1" s="40">
      <c r="C165" s="36">
        <f>_xlfn.IFS(E165&lt;E$24,0,E165&lt;E$26,C$24,E165&lt;E$28,C$26,E165&lt;E$30,C$28,E165&lt;E$32,C$30,E165&lt;E$34,C$32,E165&gt;=E$34,C$34)</f>
        <v/>
      </c>
      <c r="D165" s="37">
        <f>_xlfn.IFS(E165&lt;E$24,0,E165&lt;E$25,D$24,E165&lt;E$26,D$25,E165&lt;E$27,D$26,E165&lt;E$28,D$27,E165&lt;E$29,D$28,E165&lt;E$30,D$29,E165&lt;E$31,D$30,E165&lt;E$32,D$31,E165&lt;E$33,D$32,E165&lt;E$34,D$33,E165&lt;E$35,D$34,E165&gt;=E$35,D$35)</f>
        <v/>
      </c>
      <c r="E165" s="38" t="n">
        <v>115</v>
      </c>
      <c r="F165" s="31">
        <f>E165/52</f>
        <v/>
      </c>
      <c r="G165" s="39">
        <f>D165/1000000*52</f>
        <v/>
      </c>
      <c r="H165" s="33">
        <f>G165/$P$4+($C$22/$P$4)</f>
        <v/>
      </c>
      <c r="I165" s="36">
        <f>_xlfn.IFS(K165&lt;K$24,0,K165&lt;K$26,I$24,K165&lt;K$28,I$26,K165&lt;K$30,I$28,K165&lt;K$32,I$30,K165&lt;K$34,I$32,K165&lt;K$36,I$34,K165&lt;K$38,I$36,K165&lt;K$40,I$38,K165&lt;K$42,I$40,K165&lt;K$44,I$42,K165&lt;K$46,I$44,K165&gt;=K$46,I$46)</f>
        <v/>
      </c>
      <c r="J165" s="37">
        <f>_xlfn.IFS(K165&lt;K$24,0,K165&lt;K$25,J$24,K165&lt;K$26,J$25,K165&lt;K$27,J$26,K165&lt;K$28,J$27,K165&lt;K$29,J$28,K165&lt;K$30,J$29,K165&lt;K$31,J$30,K165&lt;K$32,J$31,K165&lt;K$33,J$32,K165&lt;K$34,J$33,K165&lt;K$35,J$34,K165&lt;K$36,J$35,K165&lt;K$37,J$36,K165&lt;K$38,J$37,K165&lt;K$39,J$38,K165&lt;K$40,J$39,K165&lt;K$41,J$40,K165&lt;K$42,J$41,K165&lt;K$43,J$42,K165&lt;K$44,J$43,K165&lt;K$45,J$44,K165&lt;K$46,J$45,K165&lt;K$47,J$46,K165&gt;=K$47,J$47)</f>
        <v/>
      </c>
      <c r="K165" s="38" t="n">
        <v>115</v>
      </c>
      <c r="L165" s="31">
        <f>K165/52</f>
        <v/>
      </c>
      <c r="M165" s="39">
        <f>J165/1000000*52</f>
        <v/>
      </c>
      <c r="N165" s="33">
        <f>M165/$P$4+($I$22/$P$4)</f>
        <v/>
      </c>
      <c r="U165">
        <f>F164</f>
        <v/>
      </c>
      <c r="V165">
        <f>H164</f>
        <v/>
      </c>
      <c r="W165">
        <f>N164</f>
        <v/>
      </c>
    </row>
    <row r="166" ht="15.75" customHeight="1" s="40">
      <c r="C166" s="36">
        <f>_xlfn.IFS(E166&lt;E$24,0,E166&lt;E$26,C$24,E166&lt;E$28,C$26,E166&lt;E$30,C$28,E166&lt;E$32,C$30,E166&lt;E$34,C$32,E166&gt;=E$34,C$34)</f>
        <v/>
      </c>
      <c r="D166" s="37">
        <f>_xlfn.IFS(E166&lt;E$24,0,E166&lt;E$25,D$24,E166&lt;E$26,D$25,E166&lt;E$27,D$26,E166&lt;E$28,D$27,E166&lt;E$29,D$28,E166&lt;E$30,D$29,E166&lt;E$31,D$30,E166&lt;E$32,D$31,E166&lt;E$33,D$32,E166&lt;E$34,D$33,E166&lt;E$35,D$34,E166&gt;=E$35,D$35)</f>
        <v/>
      </c>
      <c r="E166" s="38" t="n">
        <v>116</v>
      </c>
      <c r="F166" s="31">
        <f>E166/52</f>
        <v/>
      </c>
      <c r="G166" s="39">
        <f>D166/1000000*52</f>
        <v/>
      </c>
      <c r="H166" s="33">
        <f>G166/$P$4+($C$22/$P$4)</f>
        <v/>
      </c>
      <c r="I166" s="36">
        <f>_xlfn.IFS(K166&lt;K$24,0,K166&lt;K$26,I$24,K166&lt;K$28,I$26,K166&lt;K$30,I$28,K166&lt;K$32,I$30,K166&lt;K$34,I$32,K166&lt;K$36,I$34,K166&lt;K$38,I$36,K166&lt;K$40,I$38,K166&lt;K$42,I$40,K166&lt;K$44,I$42,K166&lt;K$46,I$44,K166&gt;=K$46,I$46)</f>
        <v/>
      </c>
      <c r="J166" s="37">
        <f>_xlfn.IFS(K166&lt;K$24,0,K166&lt;K$25,J$24,K166&lt;K$26,J$25,K166&lt;K$27,J$26,K166&lt;K$28,J$27,K166&lt;K$29,J$28,K166&lt;K$30,J$29,K166&lt;K$31,J$30,K166&lt;K$32,J$31,K166&lt;K$33,J$32,K166&lt;K$34,J$33,K166&lt;K$35,J$34,K166&lt;K$36,J$35,K166&lt;K$37,J$36,K166&lt;K$38,J$37,K166&lt;K$39,J$38,K166&lt;K$40,J$39,K166&lt;K$41,J$40,K166&lt;K$42,J$41,K166&lt;K$43,J$42,K166&lt;K$44,J$43,K166&lt;K$45,J$44,K166&lt;K$46,J$45,K166&lt;K$47,J$46,K166&gt;=K$47,J$47)</f>
        <v/>
      </c>
      <c r="K166" s="38" t="n">
        <v>116</v>
      </c>
      <c r="L166" s="31">
        <f>K166/52</f>
        <v/>
      </c>
      <c r="M166" s="39">
        <f>J166/1000000*52</f>
        <v/>
      </c>
      <c r="N166" s="33">
        <f>M166/$P$4+($I$22/$P$4)</f>
        <v/>
      </c>
      <c r="U166">
        <f>F165</f>
        <v/>
      </c>
      <c r="V166">
        <f>H165</f>
        <v/>
      </c>
      <c r="W166">
        <f>N165</f>
        <v/>
      </c>
    </row>
    <row r="167" ht="15.75" customHeight="1" s="40">
      <c r="C167" s="36">
        <f>_xlfn.IFS(E167&lt;E$24,0,E167&lt;E$26,C$24,E167&lt;E$28,C$26,E167&lt;E$30,C$28,E167&lt;E$32,C$30,E167&lt;E$34,C$32,E167&gt;=E$34,C$34)</f>
        <v/>
      </c>
      <c r="D167" s="37">
        <f>_xlfn.IFS(E167&lt;E$24,0,E167&lt;E$25,D$24,E167&lt;E$26,D$25,E167&lt;E$27,D$26,E167&lt;E$28,D$27,E167&lt;E$29,D$28,E167&lt;E$30,D$29,E167&lt;E$31,D$30,E167&lt;E$32,D$31,E167&lt;E$33,D$32,E167&lt;E$34,D$33,E167&lt;E$35,D$34,E167&gt;=E$35,D$35)</f>
        <v/>
      </c>
      <c r="E167" s="38" t="n">
        <v>117</v>
      </c>
      <c r="F167" s="31">
        <f>E167/52</f>
        <v/>
      </c>
      <c r="G167" s="39">
        <f>D167/1000000*52</f>
        <v/>
      </c>
      <c r="H167" s="33">
        <f>G167/$P$4+($C$22/$P$4)</f>
        <v/>
      </c>
      <c r="I167" s="36">
        <f>_xlfn.IFS(K167&lt;K$24,0,K167&lt;K$26,I$24,K167&lt;K$28,I$26,K167&lt;K$30,I$28,K167&lt;K$32,I$30,K167&lt;K$34,I$32,K167&lt;K$36,I$34,K167&lt;K$38,I$36,K167&lt;K$40,I$38,K167&lt;K$42,I$40,K167&lt;K$44,I$42,K167&lt;K$46,I$44,K167&gt;=K$46,I$46)</f>
        <v/>
      </c>
      <c r="J167" s="37">
        <f>_xlfn.IFS(K167&lt;K$24,0,K167&lt;K$25,J$24,K167&lt;K$26,J$25,K167&lt;K$27,J$26,K167&lt;K$28,J$27,K167&lt;K$29,J$28,K167&lt;K$30,J$29,K167&lt;K$31,J$30,K167&lt;K$32,J$31,K167&lt;K$33,J$32,K167&lt;K$34,J$33,K167&lt;K$35,J$34,K167&lt;K$36,J$35,K167&lt;K$37,J$36,K167&lt;K$38,J$37,K167&lt;K$39,J$38,K167&lt;K$40,J$39,K167&lt;K$41,J$40,K167&lt;K$42,J$41,K167&lt;K$43,J$42,K167&lt;K$44,J$43,K167&lt;K$45,J$44,K167&lt;K$46,J$45,K167&lt;K$47,J$46,K167&gt;=K$47,J$47)</f>
        <v/>
      </c>
      <c r="K167" s="38" t="n">
        <v>117</v>
      </c>
      <c r="L167" s="31">
        <f>K167/52</f>
        <v/>
      </c>
      <c r="M167" s="39">
        <f>J167/1000000*52</f>
        <v/>
      </c>
      <c r="N167" s="33">
        <f>M167/$P$4+($I$22/$P$4)</f>
        <v/>
      </c>
      <c r="U167">
        <f>F166</f>
        <v/>
      </c>
      <c r="V167">
        <f>H166</f>
        <v/>
      </c>
      <c r="W167">
        <f>N166</f>
        <v/>
      </c>
    </row>
    <row r="168" ht="15.75" customHeight="1" s="40">
      <c r="C168" s="36">
        <f>_xlfn.IFS(E168&lt;E$24,0,E168&lt;E$26,C$24,E168&lt;E$28,C$26,E168&lt;E$30,C$28,E168&lt;E$32,C$30,E168&lt;E$34,C$32,E168&gt;=E$34,C$34)</f>
        <v/>
      </c>
      <c r="D168" s="37">
        <f>_xlfn.IFS(E168&lt;E$24,0,E168&lt;E$25,D$24,E168&lt;E$26,D$25,E168&lt;E$27,D$26,E168&lt;E$28,D$27,E168&lt;E$29,D$28,E168&lt;E$30,D$29,E168&lt;E$31,D$30,E168&lt;E$32,D$31,E168&lt;E$33,D$32,E168&lt;E$34,D$33,E168&lt;E$35,D$34,E168&gt;=E$35,D$35)</f>
        <v/>
      </c>
      <c r="E168" s="38" t="n">
        <v>118</v>
      </c>
      <c r="F168" s="31">
        <f>E168/52</f>
        <v/>
      </c>
      <c r="G168" s="39">
        <f>D168/1000000*52</f>
        <v/>
      </c>
      <c r="H168" s="33">
        <f>G168/$P$4+($C$22/$P$4)</f>
        <v/>
      </c>
      <c r="I168" s="36">
        <f>_xlfn.IFS(K168&lt;K$24,0,K168&lt;K$26,I$24,K168&lt;K$28,I$26,K168&lt;K$30,I$28,K168&lt;K$32,I$30,K168&lt;K$34,I$32,K168&lt;K$36,I$34,K168&lt;K$38,I$36,K168&lt;K$40,I$38,K168&lt;K$42,I$40,K168&lt;K$44,I$42,K168&lt;K$46,I$44,K168&gt;=K$46,I$46)</f>
        <v/>
      </c>
      <c r="J168" s="37">
        <f>_xlfn.IFS(K168&lt;K$24,0,K168&lt;K$25,J$24,K168&lt;K$26,J$25,K168&lt;K$27,J$26,K168&lt;K$28,J$27,K168&lt;K$29,J$28,K168&lt;K$30,J$29,K168&lt;K$31,J$30,K168&lt;K$32,J$31,K168&lt;K$33,J$32,K168&lt;K$34,J$33,K168&lt;K$35,J$34,K168&lt;K$36,J$35,K168&lt;K$37,J$36,K168&lt;K$38,J$37,K168&lt;K$39,J$38,K168&lt;K$40,J$39,K168&lt;K$41,J$40,K168&lt;K$42,J$41,K168&lt;K$43,J$42,K168&lt;K$44,J$43,K168&lt;K$45,J$44,K168&lt;K$46,J$45,K168&lt;K$47,J$46,K168&gt;=K$47,J$47)</f>
        <v/>
      </c>
      <c r="K168" s="38" t="n">
        <v>118</v>
      </c>
      <c r="L168" s="31">
        <f>K168/52</f>
        <v/>
      </c>
      <c r="M168" s="39">
        <f>J168/1000000*52</f>
        <v/>
      </c>
      <c r="N168" s="33">
        <f>M168/$P$4+($I$22/$P$4)</f>
        <v/>
      </c>
      <c r="U168">
        <f>F167</f>
        <v/>
      </c>
      <c r="V168">
        <f>H167</f>
        <v/>
      </c>
      <c r="W168">
        <f>N167</f>
        <v/>
      </c>
    </row>
    <row r="169" ht="15.75" customHeight="1" s="40">
      <c r="C169" s="36">
        <f>_xlfn.IFS(E169&lt;E$24,0,E169&lt;E$26,C$24,E169&lt;E$28,C$26,E169&lt;E$30,C$28,E169&lt;E$32,C$30,E169&lt;E$34,C$32,E169&gt;=E$34,C$34)</f>
        <v/>
      </c>
      <c r="D169" s="37">
        <f>_xlfn.IFS(E169&lt;E$24,0,E169&lt;E$25,D$24,E169&lt;E$26,D$25,E169&lt;E$27,D$26,E169&lt;E$28,D$27,E169&lt;E$29,D$28,E169&lt;E$30,D$29,E169&lt;E$31,D$30,E169&lt;E$32,D$31,E169&lt;E$33,D$32,E169&lt;E$34,D$33,E169&lt;E$35,D$34,E169&gt;=E$35,D$35)</f>
        <v/>
      </c>
      <c r="E169" s="38" t="n">
        <v>119</v>
      </c>
      <c r="F169" s="31">
        <f>E169/52</f>
        <v/>
      </c>
      <c r="G169" s="39">
        <f>D169/1000000*52</f>
        <v/>
      </c>
      <c r="H169" s="33">
        <f>G169/$P$4+($C$22/$P$4)</f>
        <v/>
      </c>
      <c r="I169" s="36">
        <f>_xlfn.IFS(K169&lt;K$24,0,K169&lt;K$26,I$24,K169&lt;K$28,I$26,K169&lt;K$30,I$28,K169&lt;K$32,I$30,K169&lt;K$34,I$32,K169&lt;K$36,I$34,K169&lt;K$38,I$36,K169&lt;K$40,I$38,K169&lt;K$42,I$40,K169&lt;K$44,I$42,K169&lt;K$46,I$44,K169&gt;=K$46,I$46)</f>
        <v/>
      </c>
      <c r="J169" s="37">
        <f>_xlfn.IFS(K169&lt;K$24,0,K169&lt;K$25,J$24,K169&lt;K$26,J$25,K169&lt;K$27,J$26,K169&lt;K$28,J$27,K169&lt;K$29,J$28,K169&lt;K$30,J$29,K169&lt;K$31,J$30,K169&lt;K$32,J$31,K169&lt;K$33,J$32,K169&lt;K$34,J$33,K169&lt;K$35,J$34,K169&lt;K$36,J$35,K169&lt;K$37,J$36,K169&lt;K$38,J$37,K169&lt;K$39,J$38,K169&lt;K$40,J$39,K169&lt;K$41,J$40,K169&lt;K$42,J$41,K169&lt;K$43,J$42,K169&lt;K$44,J$43,K169&lt;K$45,J$44,K169&lt;K$46,J$45,K169&lt;K$47,J$46,K169&gt;=K$47,J$47)</f>
        <v/>
      </c>
      <c r="K169" s="38" t="n">
        <v>119</v>
      </c>
      <c r="L169" s="31">
        <f>K169/52</f>
        <v/>
      </c>
      <c r="M169" s="39">
        <f>J169/1000000*52</f>
        <v/>
      </c>
      <c r="N169" s="33">
        <f>M169/$P$4+($I$22/$P$4)</f>
        <v/>
      </c>
      <c r="U169">
        <f>F168</f>
        <v/>
      </c>
      <c r="V169">
        <f>H168</f>
        <v/>
      </c>
      <c r="W169">
        <f>N168</f>
        <v/>
      </c>
    </row>
    <row r="170" ht="15.75" customHeight="1" s="40">
      <c r="C170" s="36">
        <f>_xlfn.IFS(E170&lt;E$24,0,E170&lt;E$26,C$24,E170&lt;E$28,C$26,E170&lt;E$30,C$28,E170&lt;E$32,C$30,E170&lt;E$34,C$32,E170&gt;=E$34,C$34)</f>
        <v/>
      </c>
      <c r="D170" s="37">
        <f>_xlfn.IFS(E170&lt;E$24,0,E170&lt;E$25,D$24,E170&lt;E$26,D$25,E170&lt;E$27,D$26,E170&lt;E$28,D$27,E170&lt;E$29,D$28,E170&lt;E$30,D$29,E170&lt;E$31,D$30,E170&lt;E$32,D$31,E170&lt;E$33,D$32,E170&lt;E$34,D$33,E170&lt;E$35,D$34,E170&gt;=E$35,D$35)</f>
        <v/>
      </c>
      <c r="E170" s="38" t="n">
        <v>120</v>
      </c>
      <c r="F170" s="31">
        <f>E170/52</f>
        <v/>
      </c>
      <c r="G170" s="39">
        <f>D170/1000000*52</f>
        <v/>
      </c>
      <c r="H170" s="33">
        <f>G170/$P$4+($C$22/$P$4)</f>
        <v/>
      </c>
      <c r="I170" s="36">
        <f>_xlfn.IFS(K170&lt;K$24,0,K170&lt;K$26,I$24,K170&lt;K$28,I$26,K170&lt;K$30,I$28,K170&lt;K$32,I$30,K170&lt;K$34,I$32,K170&lt;K$36,I$34,K170&lt;K$38,I$36,K170&lt;K$40,I$38,K170&lt;K$42,I$40,K170&lt;K$44,I$42,K170&lt;K$46,I$44,K170&gt;=K$46,I$46)</f>
        <v/>
      </c>
      <c r="J170" s="37">
        <f>_xlfn.IFS(K170&lt;K$24,0,K170&lt;K$25,J$24,K170&lt;K$26,J$25,K170&lt;K$27,J$26,K170&lt;K$28,J$27,K170&lt;K$29,J$28,K170&lt;K$30,J$29,K170&lt;K$31,J$30,K170&lt;K$32,J$31,K170&lt;K$33,J$32,K170&lt;K$34,J$33,K170&lt;K$35,J$34,K170&lt;K$36,J$35,K170&lt;K$37,J$36,K170&lt;K$38,J$37,K170&lt;K$39,J$38,K170&lt;K$40,J$39,K170&lt;K$41,J$40,K170&lt;K$42,J$41,K170&lt;K$43,J$42,K170&lt;K$44,J$43,K170&lt;K$45,J$44,K170&lt;K$46,J$45,K170&lt;K$47,J$46,K170&gt;=K$47,J$47)</f>
        <v/>
      </c>
      <c r="K170" s="38" t="n">
        <v>120</v>
      </c>
      <c r="L170" s="31">
        <f>K170/52</f>
        <v/>
      </c>
      <c r="M170" s="39">
        <f>J170/1000000*52</f>
        <v/>
      </c>
      <c r="N170" s="33">
        <f>M170/$P$4+($I$22/$P$4)</f>
        <v/>
      </c>
      <c r="U170">
        <f>F169</f>
        <v/>
      </c>
      <c r="V170">
        <f>H169</f>
        <v/>
      </c>
      <c r="W170">
        <f>N169</f>
        <v/>
      </c>
    </row>
    <row r="171" ht="15.75" customHeight="1" s="40">
      <c r="C171" s="36">
        <f>_xlfn.IFS(E171&lt;E$24,0,E171&lt;E$26,C$24,E171&lt;E$28,C$26,E171&lt;E$30,C$28,E171&lt;E$32,C$30,E171&lt;E$34,C$32,E171&gt;=E$34,C$34)</f>
        <v/>
      </c>
      <c r="D171" s="37">
        <f>_xlfn.IFS(E171&lt;E$24,0,E171&lt;E$25,D$24,E171&lt;E$26,D$25,E171&lt;E$27,D$26,E171&lt;E$28,D$27,E171&lt;E$29,D$28,E171&lt;E$30,D$29,E171&lt;E$31,D$30,E171&lt;E$32,D$31,E171&lt;E$33,D$32,E171&lt;E$34,D$33,E171&lt;E$35,D$34,E171&gt;=E$35,D$35)</f>
        <v/>
      </c>
      <c r="E171" s="38" t="n">
        <v>121</v>
      </c>
      <c r="F171" s="31">
        <f>E171/52</f>
        <v/>
      </c>
      <c r="G171" s="39">
        <f>D171/1000000*52</f>
        <v/>
      </c>
      <c r="H171" s="33">
        <f>G171/$P$4+($C$22/$P$4)</f>
        <v/>
      </c>
      <c r="I171" s="36">
        <f>_xlfn.IFS(K171&lt;K$24,0,K171&lt;K$26,I$24,K171&lt;K$28,I$26,K171&lt;K$30,I$28,K171&lt;K$32,I$30,K171&lt;K$34,I$32,K171&lt;K$36,I$34,K171&lt;K$38,I$36,K171&lt;K$40,I$38,K171&lt;K$42,I$40,K171&lt;K$44,I$42,K171&lt;K$46,I$44,K171&gt;=K$46,I$46)</f>
        <v/>
      </c>
      <c r="J171" s="37">
        <f>_xlfn.IFS(K171&lt;K$24,0,K171&lt;K$25,J$24,K171&lt;K$26,J$25,K171&lt;K$27,J$26,K171&lt;K$28,J$27,K171&lt;K$29,J$28,K171&lt;K$30,J$29,K171&lt;K$31,J$30,K171&lt;K$32,J$31,K171&lt;K$33,J$32,K171&lt;K$34,J$33,K171&lt;K$35,J$34,K171&lt;K$36,J$35,K171&lt;K$37,J$36,K171&lt;K$38,J$37,K171&lt;K$39,J$38,K171&lt;K$40,J$39,K171&lt;K$41,J$40,K171&lt;K$42,J$41,K171&lt;K$43,J$42,K171&lt;K$44,J$43,K171&lt;K$45,J$44,K171&lt;K$46,J$45,K171&lt;K$47,J$46,K171&gt;=K$47,J$47)</f>
        <v/>
      </c>
      <c r="K171" s="38" t="n">
        <v>121</v>
      </c>
      <c r="L171" s="31">
        <f>K171/52</f>
        <v/>
      </c>
      <c r="M171" s="39">
        <f>J171/1000000*52</f>
        <v/>
      </c>
      <c r="N171" s="33">
        <f>M171/$P$4+($I$22/$P$4)</f>
        <v/>
      </c>
      <c r="U171">
        <f>F170</f>
        <v/>
      </c>
      <c r="V171">
        <f>H170</f>
        <v/>
      </c>
      <c r="W171">
        <f>N170</f>
        <v/>
      </c>
    </row>
    <row r="172" ht="15.75" customHeight="1" s="40">
      <c r="C172" s="36">
        <f>_xlfn.IFS(E172&lt;E$24,0,E172&lt;E$26,C$24,E172&lt;E$28,C$26,E172&lt;E$30,C$28,E172&lt;E$32,C$30,E172&lt;E$34,C$32,E172&gt;=E$34,C$34)</f>
        <v/>
      </c>
      <c r="D172" s="37">
        <f>_xlfn.IFS(E172&lt;E$24,0,E172&lt;E$25,D$24,E172&lt;E$26,D$25,E172&lt;E$27,D$26,E172&lt;E$28,D$27,E172&lt;E$29,D$28,E172&lt;E$30,D$29,E172&lt;E$31,D$30,E172&lt;E$32,D$31,E172&lt;E$33,D$32,E172&lt;E$34,D$33,E172&lt;E$35,D$34,E172&gt;=E$35,D$35)</f>
        <v/>
      </c>
      <c r="E172" s="38" t="n">
        <v>122</v>
      </c>
      <c r="F172" s="31">
        <f>E172/52</f>
        <v/>
      </c>
      <c r="G172" s="39">
        <f>D172/1000000*52</f>
        <v/>
      </c>
      <c r="H172" s="33">
        <f>G172/$P$4+($C$22/$P$4)</f>
        <v/>
      </c>
      <c r="I172" s="36">
        <f>_xlfn.IFS(K172&lt;K$24,0,K172&lt;K$26,I$24,K172&lt;K$28,I$26,K172&lt;K$30,I$28,K172&lt;K$32,I$30,K172&lt;K$34,I$32,K172&lt;K$36,I$34,K172&lt;K$38,I$36,K172&lt;K$40,I$38,K172&lt;K$42,I$40,K172&lt;K$44,I$42,K172&lt;K$46,I$44,K172&gt;=K$46,I$46)</f>
        <v/>
      </c>
      <c r="J172" s="37">
        <f>_xlfn.IFS(K172&lt;K$24,0,K172&lt;K$25,J$24,K172&lt;K$26,J$25,K172&lt;K$27,J$26,K172&lt;K$28,J$27,K172&lt;K$29,J$28,K172&lt;K$30,J$29,K172&lt;K$31,J$30,K172&lt;K$32,J$31,K172&lt;K$33,J$32,K172&lt;K$34,J$33,K172&lt;K$35,J$34,K172&lt;K$36,J$35,K172&lt;K$37,J$36,K172&lt;K$38,J$37,K172&lt;K$39,J$38,K172&lt;K$40,J$39,K172&lt;K$41,J$40,K172&lt;K$42,J$41,K172&lt;K$43,J$42,K172&lt;K$44,J$43,K172&lt;K$45,J$44,K172&lt;K$46,J$45,K172&lt;K$47,J$46,K172&gt;=K$47,J$47)</f>
        <v/>
      </c>
      <c r="K172" s="38" t="n">
        <v>122</v>
      </c>
      <c r="L172" s="31">
        <f>K172/52</f>
        <v/>
      </c>
      <c r="M172" s="39">
        <f>J172/1000000*52</f>
        <v/>
      </c>
      <c r="N172" s="33">
        <f>M172/$P$4+($I$22/$P$4)</f>
        <v/>
      </c>
      <c r="U172">
        <f>F171</f>
        <v/>
      </c>
      <c r="V172">
        <f>H171</f>
        <v/>
      </c>
      <c r="W172">
        <f>N171</f>
        <v/>
      </c>
    </row>
    <row r="173" ht="15.75" customHeight="1" s="40">
      <c r="C173" s="36">
        <f>_xlfn.IFS(E173&lt;E$24,0,E173&lt;E$26,C$24,E173&lt;E$28,C$26,E173&lt;E$30,C$28,E173&lt;E$32,C$30,E173&lt;E$34,C$32,E173&gt;=E$34,C$34)</f>
        <v/>
      </c>
      <c r="D173" s="37">
        <f>_xlfn.IFS(E173&lt;E$24,0,E173&lt;E$25,D$24,E173&lt;E$26,D$25,E173&lt;E$27,D$26,E173&lt;E$28,D$27,E173&lt;E$29,D$28,E173&lt;E$30,D$29,E173&lt;E$31,D$30,E173&lt;E$32,D$31,E173&lt;E$33,D$32,E173&lt;E$34,D$33,E173&lt;E$35,D$34,E173&gt;=E$35,D$35)</f>
        <v/>
      </c>
      <c r="E173" s="38" t="n">
        <v>123</v>
      </c>
      <c r="F173" s="31">
        <f>E173/52</f>
        <v/>
      </c>
      <c r="G173" s="39">
        <f>D173/1000000*52</f>
        <v/>
      </c>
      <c r="H173" s="33">
        <f>G173/$P$4+($C$22/$P$4)</f>
        <v/>
      </c>
      <c r="I173" s="36">
        <f>_xlfn.IFS(K173&lt;K$24,0,K173&lt;K$26,I$24,K173&lt;K$28,I$26,K173&lt;K$30,I$28,K173&lt;K$32,I$30,K173&lt;K$34,I$32,K173&lt;K$36,I$34,K173&lt;K$38,I$36,K173&lt;K$40,I$38,K173&lt;K$42,I$40,K173&lt;K$44,I$42,K173&lt;K$46,I$44,K173&gt;=K$46,I$46)</f>
        <v/>
      </c>
      <c r="J173" s="37">
        <f>_xlfn.IFS(K173&lt;K$24,0,K173&lt;K$25,J$24,K173&lt;K$26,J$25,K173&lt;K$27,J$26,K173&lt;K$28,J$27,K173&lt;K$29,J$28,K173&lt;K$30,J$29,K173&lt;K$31,J$30,K173&lt;K$32,J$31,K173&lt;K$33,J$32,K173&lt;K$34,J$33,K173&lt;K$35,J$34,K173&lt;K$36,J$35,K173&lt;K$37,J$36,K173&lt;K$38,J$37,K173&lt;K$39,J$38,K173&lt;K$40,J$39,K173&lt;K$41,J$40,K173&lt;K$42,J$41,K173&lt;K$43,J$42,K173&lt;K$44,J$43,K173&lt;K$45,J$44,K173&lt;K$46,J$45,K173&lt;K$47,J$46,K173&gt;=K$47,J$47)</f>
        <v/>
      </c>
      <c r="K173" s="38" t="n">
        <v>123</v>
      </c>
      <c r="L173" s="31">
        <f>K173/52</f>
        <v/>
      </c>
      <c r="M173" s="39">
        <f>J173/1000000*52</f>
        <v/>
      </c>
      <c r="N173" s="33">
        <f>M173/$P$4+($I$22/$P$4)</f>
        <v/>
      </c>
      <c r="U173">
        <f>F172</f>
        <v/>
      </c>
      <c r="V173">
        <f>H172</f>
        <v/>
      </c>
      <c r="W173">
        <f>N172</f>
        <v/>
      </c>
    </row>
    <row r="174" ht="15.75" customHeight="1" s="40">
      <c r="C174" s="36">
        <f>_xlfn.IFS(E174&lt;E$24,0,E174&lt;E$26,C$24,E174&lt;E$28,C$26,E174&lt;E$30,C$28,E174&lt;E$32,C$30,E174&lt;E$34,C$32,E174&gt;=E$34,C$34)</f>
        <v/>
      </c>
      <c r="D174" s="37">
        <f>_xlfn.IFS(E174&lt;E$24,0,E174&lt;E$25,D$24,E174&lt;E$26,D$25,E174&lt;E$27,D$26,E174&lt;E$28,D$27,E174&lt;E$29,D$28,E174&lt;E$30,D$29,E174&lt;E$31,D$30,E174&lt;E$32,D$31,E174&lt;E$33,D$32,E174&lt;E$34,D$33,E174&lt;E$35,D$34,E174&gt;=E$35,D$35)</f>
        <v/>
      </c>
      <c r="E174" s="38" t="n">
        <v>124</v>
      </c>
      <c r="F174" s="31">
        <f>E174/52</f>
        <v/>
      </c>
      <c r="G174" s="39">
        <f>D174/1000000*52</f>
        <v/>
      </c>
      <c r="H174" s="33">
        <f>G174/$P$4+($C$22/$P$4)</f>
        <v/>
      </c>
      <c r="I174" s="36">
        <f>_xlfn.IFS(K174&lt;K$24,0,K174&lt;K$26,I$24,K174&lt;K$28,I$26,K174&lt;K$30,I$28,K174&lt;K$32,I$30,K174&lt;K$34,I$32,K174&lt;K$36,I$34,K174&lt;K$38,I$36,K174&lt;K$40,I$38,K174&lt;K$42,I$40,K174&lt;K$44,I$42,K174&lt;K$46,I$44,K174&gt;=K$46,I$46)</f>
        <v/>
      </c>
      <c r="J174" s="37">
        <f>_xlfn.IFS(K174&lt;K$24,0,K174&lt;K$25,J$24,K174&lt;K$26,J$25,K174&lt;K$27,J$26,K174&lt;K$28,J$27,K174&lt;K$29,J$28,K174&lt;K$30,J$29,K174&lt;K$31,J$30,K174&lt;K$32,J$31,K174&lt;K$33,J$32,K174&lt;K$34,J$33,K174&lt;K$35,J$34,K174&lt;K$36,J$35,K174&lt;K$37,J$36,K174&lt;K$38,J$37,K174&lt;K$39,J$38,K174&lt;K$40,J$39,K174&lt;K$41,J$40,K174&lt;K$42,J$41,K174&lt;K$43,J$42,K174&lt;K$44,J$43,K174&lt;K$45,J$44,K174&lt;K$46,J$45,K174&lt;K$47,J$46,K174&gt;=K$47,J$47)</f>
        <v/>
      </c>
      <c r="K174" s="38" t="n">
        <v>124</v>
      </c>
      <c r="L174" s="31">
        <f>K174/52</f>
        <v/>
      </c>
      <c r="M174" s="39">
        <f>J174/1000000*52</f>
        <v/>
      </c>
      <c r="N174" s="33">
        <f>M174/$P$4+($I$22/$P$4)</f>
        <v/>
      </c>
      <c r="U174">
        <f>F173</f>
        <v/>
      </c>
      <c r="V174">
        <f>H173</f>
        <v/>
      </c>
      <c r="W174">
        <f>N173</f>
        <v/>
      </c>
    </row>
    <row r="175" ht="15.75" customHeight="1" s="40">
      <c r="C175" s="36">
        <f>_xlfn.IFS(E175&lt;E$24,0,E175&lt;E$26,C$24,E175&lt;E$28,C$26,E175&lt;E$30,C$28,E175&lt;E$32,C$30,E175&lt;E$34,C$32,E175&gt;=E$34,C$34)</f>
        <v/>
      </c>
      <c r="D175" s="37">
        <f>_xlfn.IFS(E175&lt;E$24,0,E175&lt;E$25,D$24,E175&lt;E$26,D$25,E175&lt;E$27,D$26,E175&lt;E$28,D$27,E175&lt;E$29,D$28,E175&lt;E$30,D$29,E175&lt;E$31,D$30,E175&lt;E$32,D$31,E175&lt;E$33,D$32,E175&lt;E$34,D$33,E175&lt;E$35,D$34,E175&gt;=E$35,D$35)</f>
        <v/>
      </c>
      <c r="E175" s="38" t="n">
        <v>125</v>
      </c>
      <c r="F175" s="31">
        <f>E175/52</f>
        <v/>
      </c>
      <c r="G175" s="39">
        <f>D175/1000000*52</f>
        <v/>
      </c>
      <c r="H175" s="33">
        <f>G175/$P$4+($C$22/$P$4)</f>
        <v/>
      </c>
      <c r="I175" s="36">
        <f>_xlfn.IFS(K175&lt;K$24,0,K175&lt;K$26,I$24,K175&lt;K$28,I$26,K175&lt;K$30,I$28,K175&lt;K$32,I$30,K175&lt;K$34,I$32,K175&lt;K$36,I$34,K175&lt;K$38,I$36,K175&lt;K$40,I$38,K175&lt;K$42,I$40,K175&lt;K$44,I$42,K175&lt;K$46,I$44,K175&gt;=K$46,I$46)</f>
        <v/>
      </c>
      <c r="J175" s="37">
        <f>_xlfn.IFS(K175&lt;K$24,0,K175&lt;K$25,J$24,K175&lt;K$26,J$25,K175&lt;K$27,J$26,K175&lt;K$28,J$27,K175&lt;K$29,J$28,K175&lt;K$30,J$29,K175&lt;K$31,J$30,K175&lt;K$32,J$31,K175&lt;K$33,J$32,K175&lt;K$34,J$33,K175&lt;K$35,J$34,K175&lt;K$36,J$35,K175&lt;K$37,J$36,K175&lt;K$38,J$37,K175&lt;K$39,J$38,K175&lt;K$40,J$39,K175&lt;K$41,J$40,K175&lt;K$42,J$41,K175&lt;K$43,J$42,K175&lt;K$44,J$43,K175&lt;K$45,J$44,K175&lt;K$46,J$45,K175&lt;K$47,J$46,K175&gt;=K$47,J$47)</f>
        <v/>
      </c>
      <c r="K175" s="38" t="n">
        <v>125</v>
      </c>
      <c r="L175" s="31">
        <f>K175/52</f>
        <v/>
      </c>
      <c r="M175" s="39">
        <f>J175/1000000*52</f>
        <v/>
      </c>
      <c r="N175" s="33">
        <f>M175/$P$4+($I$22/$P$4)</f>
        <v/>
      </c>
      <c r="U175">
        <f>F174</f>
        <v/>
      </c>
      <c r="V175">
        <f>H174</f>
        <v/>
      </c>
      <c r="W175">
        <f>N174</f>
        <v/>
      </c>
    </row>
    <row r="176" ht="15.75" customHeight="1" s="40">
      <c r="C176" s="36">
        <f>_xlfn.IFS(E176&lt;E$24,0,E176&lt;E$26,C$24,E176&lt;E$28,C$26,E176&lt;E$30,C$28,E176&lt;E$32,C$30,E176&lt;E$34,C$32,E176&gt;=E$34,C$34)</f>
        <v/>
      </c>
      <c r="D176" s="37">
        <f>_xlfn.IFS(E176&lt;E$24,0,E176&lt;E$25,D$24,E176&lt;E$26,D$25,E176&lt;E$27,D$26,E176&lt;E$28,D$27,E176&lt;E$29,D$28,E176&lt;E$30,D$29,E176&lt;E$31,D$30,E176&lt;E$32,D$31,E176&lt;E$33,D$32,E176&lt;E$34,D$33,E176&lt;E$35,D$34,E176&gt;=E$35,D$35)</f>
        <v/>
      </c>
      <c r="E176" s="38" t="n">
        <v>126</v>
      </c>
      <c r="F176" s="31">
        <f>E176/52</f>
        <v/>
      </c>
      <c r="G176" s="39">
        <f>D176/1000000*52</f>
        <v/>
      </c>
      <c r="H176" s="33">
        <f>G176/$P$4+($C$22/$P$4)</f>
        <v/>
      </c>
      <c r="I176" s="36">
        <f>_xlfn.IFS(K176&lt;K$24,0,K176&lt;K$26,I$24,K176&lt;K$28,I$26,K176&lt;K$30,I$28,K176&lt;K$32,I$30,K176&lt;K$34,I$32,K176&lt;K$36,I$34,K176&lt;K$38,I$36,K176&lt;K$40,I$38,K176&lt;K$42,I$40,K176&lt;K$44,I$42,K176&lt;K$46,I$44,K176&gt;=K$46,I$46)</f>
        <v/>
      </c>
      <c r="J176" s="37">
        <f>_xlfn.IFS(K176&lt;K$24,0,K176&lt;K$25,J$24,K176&lt;K$26,J$25,K176&lt;K$27,J$26,K176&lt;K$28,J$27,K176&lt;K$29,J$28,K176&lt;K$30,J$29,K176&lt;K$31,J$30,K176&lt;K$32,J$31,K176&lt;K$33,J$32,K176&lt;K$34,J$33,K176&lt;K$35,J$34,K176&lt;K$36,J$35,K176&lt;K$37,J$36,K176&lt;K$38,J$37,K176&lt;K$39,J$38,K176&lt;K$40,J$39,K176&lt;K$41,J$40,K176&lt;K$42,J$41,K176&lt;K$43,J$42,K176&lt;K$44,J$43,K176&lt;K$45,J$44,K176&lt;K$46,J$45,K176&lt;K$47,J$46,K176&gt;=K$47,J$47)</f>
        <v/>
      </c>
      <c r="K176" s="38" t="n">
        <v>126</v>
      </c>
      <c r="L176" s="31">
        <f>K176/52</f>
        <v/>
      </c>
      <c r="M176" s="39">
        <f>J176/1000000*52</f>
        <v/>
      </c>
      <c r="N176" s="33">
        <f>M176/$P$4+($I$22/$P$4)</f>
        <v/>
      </c>
      <c r="U176">
        <f>F175</f>
        <v/>
      </c>
      <c r="V176">
        <f>H175</f>
        <v/>
      </c>
      <c r="W176">
        <f>N175</f>
        <v/>
      </c>
    </row>
    <row r="177" ht="15.75" customHeight="1" s="40">
      <c r="C177" s="36">
        <f>_xlfn.IFS(E177&lt;E$24,0,E177&lt;E$26,C$24,E177&lt;E$28,C$26,E177&lt;E$30,C$28,E177&lt;E$32,C$30,E177&lt;E$34,C$32,E177&gt;=E$34,C$34)</f>
        <v/>
      </c>
      <c r="D177" s="37">
        <f>_xlfn.IFS(E177&lt;E$24,0,E177&lt;E$25,D$24,E177&lt;E$26,D$25,E177&lt;E$27,D$26,E177&lt;E$28,D$27,E177&lt;E$29,D$28,E177&lt;E$30,D$29,E177&lt;E$31,D$30,E177&lt;E$32,D$31,E177&lt;E$33,D$32,E177&lt;E$34,D$33,E177&lt;E$35,D$34,E177&gt;=E$35,D$35)</f>
        <v/>
      </c>
      <c r="E177" s="38" t="n">
        <v>127</v>
      </c>
      <c r="F177" s="31">
        <f>E177/52</f>
        <v/>
      </c>
      <c r="G177" s="39">
        <f>D177/1000000*52</f>
        <v/>
      </c>
      <c r="H177" s="33">
        <f>G177/$P$4+($C$22/$P$4)</f>
        <v/>
      </c>
      <c r="I177" s="36">
        <f>_xlfn.IFS(K177&lt;K$24,0,K177&lt;K$26,I$24,K177&lt;K$28,I$26,K177&lt;K$30,I$28,K177&lt;K$32,I$30,K177&lt;K$34,I$32,K177&lt;K$36,I$34,K177&lt;K$38,I$36,K177&lt;K$40,I$38,K177&lt;K$42,I$40,K177&lt;K$44,I$42,K177&lt;K$46,I$44,K177&gt;=K$46,I$46)</f>
        <v/>
      </c>
      <c r="J177" s="37">
        <f>_xlfn.IFS(K177&lt;K$24,0,K177&lt;K$25,J$24,K177&lt;K$26,J$25,K177&lt;K$27,J$26,K177&lt;K$28,J$27,K177&lt;K$29,J$28,K177&lt;K$30,J$29,K177&lt;K$31,J$30,K177&lt;K$32,J$31,K177&lt;K$33,J$32,K177&lt;K$34,J$33,K177&lt;K$35,J$34,K177&lt;K$36,J$35,K177&lt;K$37,J$36,K177&lt;K$38,J$37,K177&lt;K$39,J$38,K177&lt;K$40,J$39,K177&lt;K$41,J$40,K177&lt;K$42,J$41,K177&lt;K$43,J$42,K177&lt;K$44,J$43,K177&lt;K$45,J$44,K177&lt;K$46,J$45,K177&lt;K$47,J$46,K177&gt;=K$47,J$47)</f>
        <v/>
      </c>
      <c r="K177" s="38" t="n">
        <v>127</v>
      </c>
      <c r="L177" s="31">
        <f>K177/52</f>
        <v/>
      </c>
      <c r="M177" s="39">
        <f>J177/1000000*52</f>
        <v/>
      </c>
      <c r="N177" s="33">
        <f>M177/$P$4+($I$22/$P$4)</f>
        <v/>
      </c>
      <c r="U177">
        <f>F176</f>
        <v/>
      </c>
      <c r="V177">
        <f>H176</f>
        <v/>
      </c>
      <c r="W177">
        <f>N176</f>
        <v/>
      </c>
    </row>
    <row r="178" ht="15.75" customHeight="1" s="40">
      <c r="C178" s="36">
        <f>_xlfn.IFS(E178&lt;E$24,0,E178&lt;E$26,C$24,E178&lt;E$28,C$26,E178&lt;E$30,C$28,E178&lt;E$32,C$30,E178&lt;E$34,C$32,E178&gt;=E$34,C$34)</f>
        <v/>
      </c>
      <c r="D178" s="37">
        <f>_xlfn.IFS(E178&lt;E$24,0,E178&lt;E$25,D$24,E178&lt;E$26,D$25,E178&lt;E$27,D$26,E178&lt;E$28,D$27,E178&lt;E$29,D$28,E178&lt;E$30,D$29,E178&lt;E$31,D$30,E178&lt;E$32,D$31,E178&lt;E$33,D$32,E178&lt;E$34,D$33,E178&lt;E$35,D$34,E178&gt;=E$35,D$35)</f>
        <v/>
      </c>
      <c r="E178" s="38" t="n">
        <v>128</v>
      </c>
      <c r="F178" s="31">
        <f>E178/52</f>
        <v/>
      </c>
      <c r="G178" s="39">
        <f>D178/1000000*52</f>
        <v/>
      </c>
      <c r="H178" s="33">
        <f>G178/$P$4+($C$22/$P$4)</f>
        <v/>
      </c>
      <c r="I178" s="36">
        <f>_xlfn.IFS(K178&lt;K$24,0,K178&lt;K$26,I$24,K178&lt;K$28,I$26,K178&lt;K$30,I$28,K178&lt;K$32,I$30,K178&lt;K$34,I$32,K178&lt;K$36,I$34,K178&lt;K$38,I$36,K178&lt;K$40,I$38,K178&lt;K$42,I$40,K178&lt;K$44,I$42,K178&lt;K$46,I$44,K178&gt;=K$46,I$46)</f>
        <v/>
      </c>
      <c r="J178" s="37">
        <f>_xlfn.IFS(K178&lt;K$24,0,K178&lt;K$25,J$24,K178&lt;K$26,J$25,K178&lt;K$27,J$26,K178&lt;K$28,J$27,K178&lt;K$29,J$28,K178&lt;K$30,J$29,K178&lt;K$31,J$30,K178&lt;K$32,J$31,K178&lt;K$33,J$32,K178&lt;K$34,J$33,K178&lt;K$35,J$34,K178&lt;K$36,J$35,K178&lt;K$37,J$36,K178&lt;K$38,J$37,K178&lt;K$39,J$38,K178&lt;K$40,J$39,K178&lt;K$41,J$40,K178&lt;K$42,J$41,K178&lt;K$43,J$42,K178&lt;K$44,J$43,K178&lt;K$45,J$44,K178&lt;K$46,J$45,K178&lt;K$47,J$46,K178&gt;=K$47,J$47)</f>
        <v/>
      </c>
      <c r="K178" s="38" t="n">
        <v>128</v>
      </c>
      <c r="L178" s="31">
        <f>K178/52</f>
        <v/>
      </c>
      <c r="M178" s="39">
        <f>J178/1000000*52</f>
        <v/>
      </c>
      <c r="N178" s="33">
        <f>M178/$P$4+($I$22/$P$4)</f>
        <v/>
      </c>
      <c r="U178">
        <f>F177</f>
        <v/>
      </c>
      <c r="V178">
        <f>H177</f>
        <v/>
      </c>
      <c r="W178">
        <f>N177</f>
        <v/>
      </c>
    </row>
    <row r="179" ht="15.75" customHeight="1" s="40">
      <c r="C179" s="36">
        <f>_xlfn.IFS(E179&lt;E$24,0,E179&lt;E$26,C$24,E179&lt;E$28,C$26,E179&lt;E$30,C$28,E179&lt;E$32,C$30,E179&lt;E$34,C$32,E179&gt;=E$34,C$34)</f>
        <v/>
      </c>
      <c r="D179" s="37">
        <f>_xlfn.IFS(E179&lt;E$24,0,E179&lt;E$25,D$24,E179&lt;E$26,D$25,E179&lt;E$27,D$26,E179&lt;E$28,D$27,E179&lt;E$29,D$28,E179&lt;E$30,D$29,E179&lt;E$31,D$30,E179&lt;E$32,D$31,E179&lt;E$33,D$32,E179&lt;E$34,D$33,E179&lt;E$35,D$34,E179&gt;=E$35,D$35)</f>
        <v/>
      </c>
      <c r="E179" s="38" t="n">
        <v>129</v>
      </c>
      <c r="F179" s="31">
        <f>E179/52</f>
        <v/>
      </c>
      <c r="G179" s="39">
        <f>D179/1000000*52</f>
        <v/>
      </c>
      <c r="H179" s="33">
        <f>G179/$P$4+($C$22/$P$4)</f>
        <v/>
      </c>
      <c r="I179" s="36">
        <f>_xlfn.IFS(K179&lt;K$24,0,K179&lt;K$26,I$24,K179&lt;K$28,I$26,K179&lt;K$30,I$28,K179&lt;K$32,I$30,K179&lt;K$34,I$32,K179&lt;K$36,I$34,K179&lt;K$38,I$36,K179&lt;K$40,I$38,K179&lt;K$42,I$40,K179&lt;K$44,I$42,K179&lt;K$46,I$44,K179&gt;=K$46,I$46)</f>
        <v/>
      </c>
      <c r="J179" s="37">
        <f>_xlfn.IFS(K179&lt;K$24,0,K179&lt;K$25,J$24,K179&lt;K$26,J$25,K179&lt;K$27,J$26,K179&lt;K$28,J$27,K179&lt;K$29,J$28,K179&lt;K$30,J$29,K179&lt;K$31,J$30,K179&lt;K$32,J$31,K179&lt;K$33,J$32,K179&lt;K$34,J$33,K179&lt;K$35,J$34,K179&lt;K$36,J$35,K179&lt;K$37,J$36,K179&lt;K$38,J$37,K179&lt;K$39,J$38,K179&lt;K$40,J$39,K179&lt;K$41,J$40,K179&lt;K$42,J$41,K179&lt;K$43,J$42,K179&lt;K$44,J$43,K179&lt;K$45,J$44,K179&lt;K$46,J$45,K179&lt;K$47,J$46,K179&gt;=K$47,J$47)</f>
        <v/>
      </c>
      <c r="K179" s="38" t="n">
        <v>129</v>
      </c>
      <c r="L179" s="31">
        <f>K179/52</f>
        <v/>
      </c>
      <c r="M179" s="39">
        <f>J179/1000000*52</f>
        <v/>
      </c>
      <c r="N179" s="33">
        <f>M179/$P$4+($I$22/$P$4)</f>
        <v/>
      </c>
      <c r="U179">
        <f>F178</f>
        <v/>
      </c>
      <c r="V179">
        <f>H178</f>
        <v/>
      </c>
      <c r="W179">
        <f>N178</f>
        <v/>
      </c>
    </row>
    <row r="180" ht="15.75" customHeight="1" s="40">
      <c r="C180" s="36">
        <f>_xlfn.IFS(E180&lt;E$24,0,E180&lt;E$26,C$24,E180&lt;E$28,C$26,E180&lt;E$30,C$28,E180&lt;E$32,C$30,E180&lt;E$34,C$32,E180&gt;=E$34,C$34)</f>
        <v/>
      </c>
      <c r="D180" s="37">
        <f>_xlfn.IFS(E180&lt;E$24,0,E180&lt;E$25,D$24,E180&lt;E$26,D$25,E180&lt;E$27,D$26,E180&lt;E$28,D$27,E180&lt;E$29,D$28,E180&lt;E$30,D$29,E180&lt;E$31,D$30,E180&lt;E$32,D$31,E180&lt;E$33,D$32,E180&lt;E$34,D$33,E180&lt;E$35,D$34,E180&gt;=E$35,D$35)</f>
        <v/>
      </c>
      <c r="E180" s="38" t="n">
        <v>130</v>
      </c>
      <c r="F180" s="31">
        <f>E180/52</f>
        <v/>
      </c>
      <c r="G180" s="39">
        <f>D180/1000000*52</f>
        <v/>
      </c>
      <c r="H180" s="33">
        <f>G180/$P$4+($C$22/$P$4)</f>
        <v/>
      </c>
      <c r="I180" s="36">
        <f>_xlfn.IFS(K180&lt;K$24,0,K180&lt;K$26,I$24,K180&lt;K$28,I$26,K180&lt;K$30,I$28,K180&lt;K$32,I$30,K180&lt;K$34,I$32,K180&lt;K$36,I$34,K180&lt;K$38,I$36,K180&lt;K$40,I$38,K180&lt;K$42,I$40,K180&lt;K$44,I$42,K180&lt;K$46,I$44,K180&gt;=K$46,I$46)</f>
        <v/>
      </c>
      <c r="J180" s="37">
        <f>_xlfn.IFS(K180&lt;K$24,0,K180&lt;K$25,J$24,K180&lt;K$26,J$25,K180&lt;K$27,J$26,K180&lt;K$28,J$27,K180&lt;K$29,J$28,K180&lt;K$30,J$29,K180&lt;K$31,J$30,K180&lt;K$32,J$31,K180&lt;K$33,J$32,K180&lt;K$34,J$33,K180&lt;K$35,J$34,K180&lt;K$36,J$35,K180&lt;K$37,J$36,K180&lt;K$38,J$37,K180&lt;K$39,J$38,K180&lt;K$40,J$39,K180&lt;K$41,J$40,K180&lt;K$42,J$41,K180&lt;K$43,J$42,K180&lt;K$44,J$43,K180&lt;K$45,J$44,K180&lt;K$46,J$45,K180&lt;K$47,J$46,K180&gt;=K$47,J$47)</f>
        <v/>
      </c>
      <c r="K180" s="38" t="n">
        <v>130</v>
      </c>
      <c r="L180" s="31">
        <f>K180/52</f>
        <v/>
      </c>
      <c r="M180" s="39">
        <f>J180/1000000*52</f>
        <v/>
      </c>
      <c r="N180" s="33">
        <f>M180/$P$4+($I$22/$P$4)</f>
        <v/>
      </c>
      <c r="U180">
        <f>F179</f>
        <v/>
      </c>
      <c r="V180">
        <f>H179</f>
        <v/>
      </c>
      <c r="W180">
        <f>N179</f>
        <v/>
      </c>
    </row>
    <row r="181" ht="15.75" customHeight="1" s="40">
      <c r="C181" s="36">
        <f>_xlfn.IFS(E181&lt;E$24,0,E181&lt;E$26,C$24,E181&lt;E$28,C$26,E181&lt;E$30,C$28,E181&lt;E$32,C$30,E181&lt;E$34,C$32,E181&gt;=E$34,C$34)</f>
        <v/>
      </c>
      <c r="D181" s="37">
        <f>_xlfn.IFS(E181&lt;E$24,0,E181&lt;E$25,D$24,E181&lt;E$26,D$25,E181&lt;E$27,D$26,E181&lt;E$28,D$27,E181&lt;E$29,D$28,E181&lt;E$30,D$29,E181&lt;E$31,D$30,E181&lt;E$32,D$31,E181&lt;E$33,D$32,E181&lt;E$34,D$33,E181&lt;E$35,D$34,E181&gt;=E$35,D$35)</f>
        <v/>
      </c>
      <c r="E181" s="38" t="n">
        <v>131</v>
      </c>
      <c r="F181" s="31">
        <f>E181/52</f>
        <v/>
      </c>
      <c r="G181" s="39">
        <f>D181/1000000*52</f>
        <v/>
      </c>
      <c r="H181" s="33">
        <f>G181/$P$4+($C$22/$P$4)</f>
        <v/>
      </c>
      <c r="I181" s="36">
        <f>_xlfn.IFS(K181&lt;K$24,0,K181&lt;K$26,I$24,K181&lt;K$28,I$26,K181&lt;K$30,I$28,K181&lt;K$32,I$30,K181&lt;K$34,I$32,K181&lt;K$36,I$34,K181&lt;K$38,I$36,K181&lt;K$40,I$38,K181&lt;K$42,I$40,K181&lt;K$44,I$42,K181&lt;K$46,I$44,K181&gt;=K$46,I$46)</f>
        <v/>
      </c>
      <c r="J181" s="37">
        <f>_xlfn.IFS(K181&lt;K$24,0,K181&lt;K$25,J$24,K181&lt;K$26,J$25,K181&lt;K$27,J$26,K181&lt;K$28,J$27,K181&lt;K$29,J$28,K181&lt;K$30,J$29,K181&lt;K$31,J$30,K181&lt;K$32,J$31,K181&lt;K$33,J$32,K181&lt;K$34,J$33,K181&lt;K$35,J$34,K181&lt;K$36,J$35,K181&lt;K$37,J$36,K181&lt;K$38,J$37,K181&lt;K$39,J$38,K181&lt;K$40,J$39,K181&lt;K$41,J$40,K181&lt;K$42,J$41,K181&lt;K$43,J$42,K181&lt;K$44,J$43,K181&lt;K$45,J$44,K181&lt;K$46,J$45,K181&lt;K$47,J$46,K181&gt;=K$47,J$47)</f>
        <v/>
      </c>
      <c r="K181" s="38" t="n">
        <v>131</v>
      </c>
      <c r="L181" s="31">
        <f>K181/52</f>
        <v/>
      </c>
      <c r="M181" s="39">
        <f>J181/1000000*52</f>
        <v/>
      </c>
      <c r="N181" s="33">
        <f>M181/$P$4+($I$22/$P$4)</f>
        <v/>
      </c>
      <c r="U181">
        <f>F180</f>
        <v/>
      </c>
      <c r="V181">
        <f>H180</f>
        <v/>
      </c>
      <c r="W181">
        <f>N180</f>
        <v/>
      </c>
    </row>
    <row r="182" ht="15.75" customHeight="1" s="40">
      <c r="C182" s="36">
        <f>_xlfn.IFS(E182&lt;E$24,0,E182&lt;E$26,C$24,E182&lt;E$28,C$26,E182&lt;E$30,C$28,E182&lt;E$32,C$30,E182&lt;E$34,C$32,E182&gt;=E$34,C$34)</f>
        <v/>
      </c>
      <c r="D182" s="37">
        <f>_xlfn.IFS(E182&lt;E$24,0,E182&lt;E$25,D$24,E182&lt;E$26,D$25,E182&lt;E$27,D$26,E182&lt;E$28,D$27,E182&lt;E$29,D$28,E182&lt;E$30,D$29,E182&lt;E$31,D$30,E182&lt;E$32,D$31,E182&lt;E$33,D$32,E182&lt;E$34,D$33,E182&lt;E$35,D$34,E182&gt;=E$35,D$35)</f>
        <v/>
      </c>
      <c r="E182" s="38" t="n">
        <v>132</v>
      </c>
      <c r="F182" s="31">
        <f>E182/52</f>
        <v/>
      </c>
      <c r="G182" s="39">
        <f>D182/1000000*52</f>
        <v/>
      </c>
      <c r="H182" s="33">
        <f>G182/$P$4+($C$22/$P$4)</f>
        <v/>
      </c>
      <c r="I182" s="36">
        <f>_xlfn.IFS(K182&lt;K$24,0,K182&lt;K$26,I$24,K182&lt;K$28,I$26,K182&lt;K$30,I$28,K182&lt;K$32,I$30,K182&lt;K$34,I$32,K182&lt;K$36,I$34,K182&lt;K$38,I$36,K182&lt;K$40,I$38,K182&lt;K$42,I$40,K182&lt;K$44,I$42,K182&lt;K$46,I$44,K182&gt;=K$46,I$46)</f>
        <v/>
      </c>
      <c r="J182" s="37">
        <f>_xlfn.IFS(K182&lt;K$24,0,K182&lt;K$25,J$24,K182&lt;K$26,J$25,K182&lt;K$27,J$26,K182&lt;K$28,J$27,K182&lt;K$29,J$28,K182&lt;K$30,J$29,K182&lt;K$31,J$30,K182&lt;K$32,J$31,K182&lt;K$33,J$32,K182&lt;K$34,J$33,K182&lt;K$35,J$34,K182&lt;K$36,J$35,K182&lt;K$37,J$36,K182&lt;K$38,J$37,K182&lt;K$39,J$38,K182&lt;K$40,J$39,K182&lt;K$41,J$40,K182&lt;K$42,J$41,K182&lt;K$43,J$42,K182&lt;K$44,J$43,K182&lt;K$45,J$44,K182&lt;K$46,J$45,K182&lt;K$47,J$46,K182&gt;=K$47,J$47)</f>
        <v/>
      </c>
      <c r="K182" s="38" t="n">
        <v>132</v>
      </c>
      <c r="L182" s="31">
        <f>K182/52</f>
        <v/>
      </c>
      <c r="M182" s="39">
        <f>J182/1000000*52</f>
        <v/>
      </c>
      <c r="N182" s="33">
        <f>M182/$P$4+($I$22/$P$4)</f>
        <v/>
      </c>
      <c r="U182">
        <f>F181</f>
        <v/>
      </c>
      <c r="V182">
        <f>H181</f>
        <v/>
      </c>
      <c r="W182">
        <f>N181</f>
        <v/>
      </c>
    </row>
    <row r="183" ht="15.75" customHeight="1" s="40">
      <c r="C183" s="36">
        <f>_xlfn.IFS(E183&lt;E$24,0,E183&lt;E$26,C$24,E183&lt;E$28,C$26,E183&lt;E$30,C$28,E183&lt;E$32,C$30,E183&lt;E$34,C$32,E183&gt;=E$34,C$34)</f>
        <v/>
      </c>
      <c r="D183" s="37">
        <f>_xlfn.IFS(E183&lt;E$24,0,E183&lt;E$25,D$24,E183&lt;E$26,D$25,E183&lt;E$27,D$26,E183&lt;E$28,D$27,E183&lt;E$29,D$28,E183&lt;E$30,D$29,E183&lt;E$31,D$30,E183&lt;E$32,D$31,E183&lt;E$33,D$32,E183&lt;E$34,D$33,E183&lt;E$35,D$34,E183&gt;=E$35,D$35)</f>
        <v/>
      </c>
      <c r="E183" s="38" t="n">
        <v>133</v>
      </c>
      <c r="F183" s="31">
        <f>E183/52</f>
        <v/>
      </c>
      <c r="G183" s="39">
        <f>D183/1000000*52</f>
        <v/>
      </c>
      <c r="H183" s="33">
        <f>G183/$P$4+($C$22/$P$4)</f>
        <v/>
      </c>
      <c r="I183" s="36">
        <f>_xlfn.IFS(K183&lt;K$24,0,K183&lt;K$26,I$24,K183&lt;K$28,I$26,K183&lt;K$30,I$28,K183&lt;K$32,I$30,K183&lt;K$34,I$32,K183&lt;K$36,I$34,K183&lt;K$38,I$36,K183&lt;K$40,I$38,K183&lt;K$42,I$40,K183&lt;K$44,I$42,K183&lt;K$46,I$44,K183&gt;=K$46,I$46)</f>
        <v/>
      </c>
      <c r="J183" s="37">
        <f>_xlfn.IFS(K183&lt;K$24,0,K183&lt;K$25,J$24,K183&lt;K$26,J$25,K183&lt;K$27,J$26,K183&lt;K$28,J$27,K183&lt;K$29,J$28,K183&lt;K$30,J$29,K183&lt;K$31,J$30,K183&lt;K$32,J$31,K183&lt;K$33,J$32,K183&lt;K$34,J$33,K183&lt;K$35,J$34,K183&lt;K$36,J$35,K183&lt;K$37,J$36,K183&lt;K$38,J$37,K183&lt;K$39,J$38,K183&lt;K$40,J$39,K183&lt;K$41,J$40,K183&lt;K$42,J$41,K183&lt;K$43,J$42,K183&lt;K$44,J$43,K183&lt;K$45,J$44,K183&lt;K$46,J$45,K183&lt;K$47,J$46,K183&gt;=K$47,J$47)</f>
        <v/>
      </c>
      <c r="K183" s="38" t="n">
        <v>133</v>
      </c>
      <c r="L183" s="31">
        <f>K183/52</f>
        <v/>
      </c>
      <c r="M183" s="39">
        <f>J183/1000000*52</f>
        <v/>
      </c>
      <c r="N183" s="33">
        <f>M183/$P$4+($I$22/$P$4)</f>
        <v/>
      </c>
      <c r="U183">
        <f>F182</f>
        <v/>
      </c>
      <c r="V183">
        <f>H182</f>
        <v/>
      </c>
      <c r="W183">
        <f>N182</f>
        <v/>
      </c>
    </row>
    <row r="184" ht="15.75" customHeight="1" s="40">
      <c r="C184" s="36">
        <f>_xlfn.IFS(E184&lt;E$24,0,E184&lt;E$26,C$24,E184&lt;E$28,C$26,E184&lt;E$30,C$28,E184&lt;E$32,C$30,E184&lt;E$34,C$32,E184&gt;=E$34,C$34)</f>
        <v/>
      </c>
      <c r="D184" s="37">
        <f>_xlfn.IFS(E184&lt;E$24,0,E184&lt;E$25,D$24,E184&lt;E$26,D$25,E184&lt;E$27,D$26,E184&lt;E$28,D$27,E184&lt;E$29,D$28,E184&lt;E$30,D$29,E184&lt;E$31,D$30,E184&lt;E$32,D$31,E184&lt;E$33,D$32,E184&lt;E$34,D$33,E184&lt;E$35,D$34,E184&gt;=E$35,D$35)</f>
        <v/>
      </c>
      <c r="E184" s="38" t="n">
        <v>134</v>
      </c>
      <c r="F184" s="31">
        <f>E184/52</f>
        <v/>
      </c>
      <c r="G184" s="39">
        <f>D184/1000000*52</f>
        <v/>
      </c>
      <c r="H184" s="33">
        <f>G184/$P$4+($C$22/$P$4)</f>
        <v/>
      </c>
      <c r="I184" s="36">
        <f>_xlfn.IFS(K184&lt;K$24,0,K184&lt;K$26,I$24,K184&lt;K$28,I$26,K184&lt;K$30,I$28,K184&lt;K$32,I$30,K184&lt;K$34,I$32,K184&lt;K$36,I$34,K184&lt;K$38,I$36,K184&lt;K$40,I$38,K184&lt;K$42,I$40,K184&lt;K$44,I$42,K184&lt;K$46,I$44,K184&gt;=K$46,I$46)</f>
        <v/>
      </c>
      <c r="J184" s="37">
        <f>_xlfn.IFS(K184&lt;K$24,0,K184&lt;K$25,J$24,K184&lt;K$26,J$25,K184&lt;K$27,J$26,K184&lt;K$28,J$27,K184&lt;K$29,J$28,K184&lt;K$30,J$29,K184&lt;K$31,J$30,K184&lt;K$32,J$31,K184&lt;K$33,J$32,K184&lt;K$34,J$33,K184&lt;K$35,J$34,K184&lt;K$36,J$35,K184&lt;K$37,J$36,K184&lt;K$38,J$37,K184&lt;K$39,J$38,K184&lt;K$40,J$39,K184&lt;K$41,J$40,K184&lt;K$42,J$41,K184&lt;K$43,J$42,K184&lt;K$44,J$43,K184&lt;K$45,J$44,K184&lt;K$46,J$45,K184&lt;K$47,J$46,K184&gt;=K$47,J$47)</f>
        <v/>
      </c>
      <c r="K184" s="38" t="n">
        <v>134</v>
      </c>
      <c r="L184" s="31">
        <f>K184/52</f>
        <v/>
      </c>
      <c r="M184" s="39">
        <f>J184/1000000*52</f>
        <v/>
      </c>
      <c r="N184" s="33">
        <f>M184/$P$4+($I$22/$P$4)</f>
        <v/>
      </c>
      <c r="U184">
        <f>F183</f>
        <v/>
      </c>
      <c r="V184">
        <f>H183</f>
        <v/>
      </c>
      <c r="W184">
        <f>N183</f>
        <v/>
      </c>
    </row>
    <row r="185" ht="15.75" customHeight="1" s="40">
      <c r="C185" s="36">
        <f>_xlfn.IFS(E185&lt;E$24,0,E185&lt;E$26,C$24,E185&lt;E$28,C$26,E185&lt;E$30,C$28,E185&lt;E$32,C$30,E185&lt;E$34,C$32,E185&gt;=E$34,C$34)</f>
        <v/>
      </c>
      <c r="D185" s="37">
        <f>_xlfn.IFS(E185&lt;E$24,0,E185&lt;E$25,D$24,E185&lt;E$26,D$25,E185&lt;E$27,D$26,E185&lt;E$28,D$27,E185&lt;E$29,D$28,E185&lt;E$30,D$29,E185&lt;E$31,D$30,E185&lt;E$32,D$31,E185&lt;E$33,D$32,E185&lt;E$34,D$33,E185&lt;E$35,D$34,E185&gt;=E$35,D$35)</f>
        <v/>
      </c>
      <c r="E185" s="38" t="n">
        <v>135</v>
      </c>
      <c r="F185" s="31">
        <f>E185/52</f>
        <v/>
      </c>
      <c r="G185" s="39">
        <f>D185/1000000*52</f>
        <v/>
      </c>
      <c r="H185" s="33">
        <f>G185/$P$4+($C$22/$P$4)</f>
        <v/>
      </c>
      <c r="I185" s="36">
        <f>_xlfn.IFS(K185&lt;K$24,0,K185&lt;K$26,I$24,K185&lt;K$28,I$26,K185&lt;K$30,I$28,K185&lt;K$32,I$30,K185&lt;K$34,I$32,K185&lt;K$36,I$34,K185&lt;K$38,I$36,K185&lt;K$40,I$38,K185&lt;K$42,I$40,K185&lt;K$44,I$42,K185&lt;K$46,I$44,K185&gt;=K$46,I$46)</f>
        <v/>
      </c>
      <c r="J185" s="37">
        <f>_xlfn.IFS(K185&lt;K$24,0,K185&lt;K$25,J$24,K185&lt;K$26,J$25,K185&lt;K$27,J$26,K185&lt;K$28,J$27,K185&lt;K$29,J$28,K185&lt;K$30,J$29,K185&lt;K$31,J$30,K185&lt;K$32,J$31,K185&lt;K$33,J$32,K185&lt;K$34,J$33,K185&lt;K$35,J$34,K185&lt;K$36,J$35,K185&lt;K$37,J$36,K185&lt;K$38,J$37,K185&lt;K$39,J$38,K185&lt;K$40,J$39,K185&lt;K$41,J$40,K185&lt;K$42,J$41,K185&lt;K$43,J$42,K185&lt;K$44,J$43,K185&lt;K$45,J$44,K185&lt;K$46,J$45,K185&lt;K$47,J$46,K185&gt;=K$47,J$47)</f>
        <v/>
      </c>
      <c r="K185" s="38" t="n">
        <v>135</v>
      </c>
      <c r="L185" s="31">
        <f>K185/52</f>
        <v/>
      </c>
      <c r="M185" s="39">
        <f>J185/1000000*52</f>
        <v/>
      </c>
      <c r="N185" s="33">
        <f>M185/$P$4+($I$22/$P$4)</f>
        <v/>
      </c>
      <c r="U185">
        <f>F184</f>
        <v/>
      </c>
      <c r="V185">
        <f>H184</f>
        <v/>
      </c>
      <c r="W185">
        <f>N184</f>
        <v/>
      </c>
    </row>
    <row r="186" ht="15.75" customHeight="1" s="40">
      <c r="C186" s="36">
        <f>_xlfn.IFS(E186&lt;E$24,0,E186&lt;E$26,C$24,E186&lt;E$28,C$26,E186&lt;E$30,C$28,E186&lt;E$32,C$30,E186&lt;E$34,C$32,E186&gt;=E$34,C$34)</f>
        <v/>
      </c>
      <c r="D186" s="37">
        <f>_xlfn.IFS(E186&lt;E$24,0,E186&lt;E$25,D$24,E186&lt;E$26,D$25,E186&lt;E$27,D$26,E186&lt;E$28,D$27,E186&lt;E$29,D$28,E186&lt;E$30,D$29,E186&lt;E$31,D$30,E186&lt;E$32,D$31,E186&lt;E$33,D$32,E186&lt;E$34,D$33,E186&lt;E$35,D$34,E186&gt;=E$35,D$35)</f>
        <v/>
      </c>
      <c r="E186" s="38" t="n">
        <v>136</v>
      </c>
      <c r="F186" s="31">
        <f>E186/52</f>
        <v/>
      </c>
      <c r="G186" s="39">
        <f>D186/1000000*52</f>
        <v/>
      </c>
      <c r="H186" s="33">
        <f>G186/$P$4+($C$22/$P$4)</f>
        <v/>
      </c>
      <c r="I186" s="36">
        <f>_xlfn.IFS(K186&lt;K$24,0,K186&lt;K$26,I$24,K186&lt;K$28,I$26,K186&lt;K$30,I$28,K186&lt;K$32,I$30,K186&lt;K$34,I$32,K186&lt;K$36,I$34,K186&lt;K$38,I$36,K186&lt;K$40,I$38,K186&lt;K$42,I$40,K186&lt;K$44,I$42,K186&lt;K$46,I$44,K186&gt;=K$46,I$46)</f>
        <v/>
      </c>
      <c r="J186" s="37">
        <f>_xlfn.IFS(K186&lt;K$24,0,K186&lt;K$25,J$24,K186&lt;K$26,J$25,K186&lt;K$27,J$26,K186&lt;K$28,J$27,K186&lt;K$29,J$28,K186&lt;K$30,J$29,K186&lt;K$31,J$30,K186&lt;K$32,J$31,K186&lt;K$33,J$32,K186&lt;K$34,J$33,K186&lt;K$35,J$34,K186&lt;K$36,J$35,K186&lt;K$37,J$36,K186&lt;K$38,J$37,K186&lt;K$39,J$38,K186&lt;K$40,J$39,K186&lt;K$41,J$40,K186&lt;K$42,J$41,K186&lt;K$43,J$42,K186&lt;K$44,J$43,K186&lt;K$45,J$44,K186&lt;K$46,J$45,K186&lt;K$47,J$46,K186&gt;=K$47,J$47)</f>
        <v/>
      </c>
      <c r="K186" s="38" t="n">
        <v>136</v>
      </c>
      <c r="L186" s="31">
        <f>K186/52</f>
        <v/>
      </c>
      <c r="M186" s="39">
        <f>J186/1000000*52</f>
        <v/>
      </c>
      <c r="N186" s="33">
        <f>M186/$P$4+($I$22/$P$4)</f>
        <v/>
      </c>
      <c r="U186">
        <f>F185</f>
        <v/>
      </c>
      <c r="V186">
        <f>H185</f>
        <v/>
      </c>
      <c r="W186">
        <f>N185</f>
        <v/>
      </c>
    </row>
    <row r="187" ht="15.75" customHeight="1" s="40">
      <c r="C187" s="36">
        <f>_xlfn.IFS(E187&lt;E$24,0,E187&lt;E$26,C$24,E187&lt;E$28,C$26,E187&lt;E$30,C$28,E187&lt;E$32,C$30,E187&lt;E$34,C$32,E187&gt;=E$34,C$34)</f>
        <v/>
      </c>
      <c r="D187" s="37">
        <f>_xlfn.IFS(E187&lt;E$24,0,E187&lt;E$25,D$24,E187&lt;E$26,D$25,E187&lt;E$27,D$26,E187&lt;E$28,D$27,E187&lt;E$29,D$28,E187&lt;E$30,D$29,E187&lt;E$31,D$30,E187&lt;E$32,D$31,E187&lt;E$33,D$32,E187&lt;E$34,D$33,E187&lt;E$35,D$34,E187&gt;=E$35,D$35)</f>
        <v/>
      </c>
      <c r="E187" s="38" t="n">
        <v>137</v>
      </c>
      <c r="F187" s="31">
        <f>E187/52</f>
        <v/>
      </c>
      <c r="G187" s="39">
        <f>D187/1000000*52</f>
        <v/>
      </c>
      <c r="H187" s="33">
        <f>G187/$P$4+($C$22/$P$4)</f>
        <v/>
      </c>
      <c r="I187" s="36">
        <f>_xlfn.IFS(K187&lt;K$24,0,K187&lt;K$26,I$24,K187&lt;K$28,I$26,K187&lt;K$30,I$28,K187&lt;K$32,I$30,K187&lt;K$34,I$32,K187&lt;K$36,I$34,K187&lt;K$38,I$36,K187&lt;K$40,I$38,K187&lt;K$42,I$40,K187&lt;K$44,I$42,K187&lt;K$46,I$44,K187&gt;=K$46,I$46)</f>
        <v/>
      </c>
      <c r="J187" s="37">
        <f>_xlfn.IFS(K187&lt;K$24,0,K187&lt;K$25,J$24,K187&lt;K$26,J$25,K187&lt;K$27,J$26,K187&lt;K$28,J$27,K187&lt;K$29,J$28,K187&lt;K$30,J$29,K187&lt;K$31,J$30,K187&lt;K$32,J$31,K187&lt;K$33,J$32,K187&lt;K$34,J$33,K187&lt;K$35,J$34,K187&lt;K$36,J$35,K187&lt;K$37,J$36,K187&lt;K$38,J$37,K187&lt;K$39,J$38,K187&lt;K$40,J$39,K187&lt;K$41,J$40,K187&lt;K$42,J$41,K187&lt;K$43,J$42,K187&lt;K$44,J$43,K187&lt;K$45,J$44,K187&lt;K$46,J$45,K187&lt;K$47,J$46,K187&gt;=K$47,J$47)</f>
        <v/>
      </c>
      <c r="K187" s="38" t="n">
        <v>137</v>
      </c>
      <c r="L187" s="31">
        <f>K187/52</f>
        <v/>
      </c>
      <c r="M187" s="39">
        <f>J187/1000000*52</f>
        <v/>
      </c>
      <c r="N187" s="33">
        <f>M187/$P$4+($I$22/$P$4)</f>
        <v/>
      </c>
      <c r="U187">
        <f>F186</f>
        <v/>
      </c>
      <c r="V187">
        <f>H186</f>
        <v/>
      </c>
      <c r="W187">
        <f>N186</f>
        <v/>
      </c>
    </row>
    <row r="188" ht="15.75" customHeight="1" s="40">
      <c r="C188" s="36">
        <f>_xlfn.IFS(E188&lt;E$24,0,E188&lt;E$26,C$24,E188&lt;E$28,C$26,E188&lt;E$30,C$28,E188&lt;E$32,C$30,E188&lt;E$34,C$32,E188&gt;=E$34,C$34)</f>
        <v/>
      </c>
      <c r="D188" s="37">
        <f>_xlfn.IFS(E188&lt;E$24,0,E188&lt;E$25,D$24,E188&lt;E$26,D$25,E188&lt;E$27,D$26,E188&lt;E$28,D$27,E188&lt;E$29,D$28,E188&lt;E$30,D$29,E188&lt;E$31,D$30,E188&lt;E$32,D$31,E188&lt;E$33,D$32,E188&lt;E$34,D$33,E188&lt;E$35,D$34,E188&gt;=E$35,D$35)</f>
        <v/>
      </c>
      <c r="E188" s="38" t="n">
        <v>138</v>
      </c>
      <c r="F188" s="31">
        <f>E188/52</f>
        <v/>
      </c>
      <c r="G188" s="39">
        <f>D188/1000000*52</f>
        <v/>
      </c>
      <c r="H188" s="33">
        <f>G188/$P$4+($C$22/$P$4)</f>
        <v/>
      </c>
      <c r="I188" s="36">
        <f>_xlfn.IFS(K188&lt;K$24,0,K188&lt;K$26,I$24,K188&lt;K$28,I$26,K188&lt;K$30,I$28,K188&lt;K$32,I$30,K188&lt;K$34,I$32,K188&lt;K$36,I$34,K188&lt;K$38,I$36,K188&lt;K$40,I$38,K188&lt;K$42,I$40,K188&lt;K$44,I$42,K188&lt;K$46,I$44,K188&gt;=K$46,I$46)</f>
        <v/>
      </c>
      <c r="J188" s="37">
        <f>_xlfn.IFS(K188&lt;K$24,0,K188&lt;K$25,J$24,K188&lt;K$26,J$25,K188&lt;K$27,J$26,K188&lt;K$28,J$27,K188&lt;K$29,J$28,K188&lt;K$30,J$29,K188&lt;K$31,J$30,K188&lt;K$32,J$31,K188&lt;K$33,J$32,K188&lt;K$34,J$33,K188&lt;K$35,J$34,K188&lt;K$36,J$35,K188&lt;K$37,J$36,K188&lt;K$38,J$37,K188&lt;K$39,J$38,K188&lt;K$40,J$39,K188&lt;K$41,J$40,K188&lt;K$42,J$41,K188&lt;K$43,J$42,K188&lt;K$44,J$43,K188&lt;K$45,J$44,K188&lt;K$46,J$45,K188&lt;K$47,J$46,K188&gt;=K$47,J$47)</f>
        <v/>
      </c>
      <c r="K188" s="38" t="n">
        <v>138</v>
      </c>
      <c r="L188" s="31">
        <f>K188/52</f>
        <v/>
      </c>
      <c r="M188" s="39">
        <f>J188/1000000*52</f>
        <v/>
      </c>
      <c r="N188" s="33">
        <f>M188/$P$4+($I$22/$P$4)</f>
        <v/>
      </c>
      <c r="U188">
        <f>F187</f>
        <v/>
      </c>
      <c r="V188">
        <f>H187</f>
        <v/>
      </c>
      <c r="W188">
        <f>N187</f>
        <v/>
      </c>
    </row>
    <row r="189" ht="15.75" customHeight="1" s="40">
      <c r="C189" s="36">
        <f>_xlfn.IFS(E189&lt;E$24,0,E189&lt;E$26,C$24,E189&lt;E$28,C$26,E189&lt;E$30,C$28,E189&lt;E$32,C$30,E189&lt;E$34,C$32,E189&gt;=E$34,C$34)</f>
        <v/>
      </c>
      <c r="D189" s="37">
        <f>_xlfn.IFS(E189&lt;E$24,0,E189&lt;E$25,D$24,E189&lt;E$26,D$25,E189&lt;E$27,D$26,E189&lt;E$28,D$27,E189&lt;E$29,D$28,E189&lt;E$30,D$29,E189&lt;E$31,D$30,E189&lt;E$32,D$31,E189&lt;E$33,D$32,E189&lt;E$34,D$33,E189&lt;E$35,D$34,E189&gt;=E$35,D$35)</f>
        <v/>
      </c>
      <c r="E189" s="38" t="n">
        <v>139</v>
      </c>
      <c r="F189" s="31">
        <f>E189/52</f>
        <v/>
      </c>
      <c r="G189" s="39">
        <f>D189/1000000*52</f>
        <v/>
      </c>
      <c r="H189" s="33">
        <f>G189/$P$4+($C$22/$P$4)</f>
        <v/>
      </c>
      <c r="I189" s="36">
        <f>_xlfn.IFS(K189&lt;K$24,0,K189&lt;K$26,I$24,K189&lt;K$28,I$26,K189&lt;K$30,I$28,K189&lt;K$32,I$30,K189&lt;K$34,I$32,K189&lt;K$36,I$34,K189&lt;K$38,I$36,K189&lt;K$40,I$38,K189&lt;K$42,I$40,K189&lt;K$44,I$42,K189&lt;K$46,I$44,K189&gt;=K$46,I$46)</f>
        <v/>
      </c>
      <c r="J189" s="37">
        <f>_xlfn.IFS(K189&lt;K$24,0,K189&lt;K$25,J$24,K189&lt;K$26,J$25,K189&lt;K$27,J$26,K189&lt;K$28,J$27,K189&lt;K$29,J$28,K189&lt;K$30,J$29,K189&lt;K$31,J$30,K189&lt;K$32,J$31,K189&lt;K$33,J$32,K189&lt;K$34,J$33,K189&lt;K$35,J$34,K189&lt;K$36,J$35,K189&lt;K$37,J$36,K189&lt;K$38,J$37,K189&lt;K$39,J$38,K189&lt;K$40,J$39,K189&lt;K$41,J$40,K189&lt;K$42,J$41,K189&lt;K$43,J$42,K189&lt;K$44,J$43,K189&lt;K$45,J$44,K189&lt;K$46,J$45,K189&lt;K$47,J$46,K189&gt;=K$47,J$47)</f>
        <v/>
      </c>
      <c r="K189" s="38" t="n">
        <v>139</v>
      </c>
      <c r="L189" s="31">
        <f>K189/52</f>
        <v/>
      </c>
      <c r="M189" s="39">
        <f>J189/1000000*52</f>
        <v/>
      </c>
      <c r="N189" s="33">
        <f>M189/$P$4+($I$22/$P$4)</f>
        <v/>
      </c>
      <c r="U189">
        <f>F188</f>
        <v/>
      </c>
      <c r="V189">
        <f>H188</f>
        <v/>
      </c>
      <c r="W189">
        <f>N188</f>
        <v/>
      </c>
    </row>
    <row r="190" ht="15.75" customHeight="1" s="40">
      <c r="C190" s="36">
        <f>_xlfn.IFS(E190&lt;E$24,0,E190&lt;E$26,C$24,E190&lt;E$28,C$26,E190&lt;E$30,C$28,E190&lt;E$32,C$30,E190&lt;E$34,C$32,E190&gt;=E$34,C$34)</f>
        <v/>
      </c>
      <c r="D190" s="37">
        <f>_xlfn.IFS(E190&lt;E$24,0,E190&lt;E$25,D$24,E190&lt;E$26,D$25,E190&lt;E$27,D$26,E190&lt;E$28,D$27,E190&lt;E$29,D$28,E190&lt;E$30,D$29,E190&lt;E$31,D$30,E190&lt;E$32,D$31,E190&lt;E$33,D$32,E190&lt;E$34,D$33,E190&lt;E$35,D$34,E190&gt;=E$35,D$35)</f>
        <v/>
      </c>
      <c r="E190" s="38" t="n">
        <v>140</v>
      </c>
      <c r="F190" s="31">
        <f>E190/52</f>
        <v/>
      </c>
      <c r="G190" s="39">
        <f>D190/1000000*52</f>
        <v/>
      </c>
      <c r="H190" s="33">
        <f>G190/$P$4+($C$22/$P$4)</f>
        <v/>
      </c>
      <c r="I190" s="36">
        <f>_xlfn.IFS(K190&lt;K$24,0,K190&lt;K$26,I$24,K190&lt;K$28,I$26,K190&lt;K$30,I$28,K190&lt;K$32,I$30,K190&lt;K$34,I$32,K190&lt;K$36,I$34,K190&lt;K$38,I$36,K190&lt;K$40,I$38,K190&lt;K$42,I$40,K190&lt;K$44,I$42,K190&lt;K$46,I$44,K190&gt;=K$46,I$46)</f>
        <v/>
      </c>
      <c r="J190" s="37">
        <f>_xlfn.IFS(K190&lt;K$24,0,K190&lt;K$25,J$24,K190&lt;K$26,J$25,K190&lt;K$27,J$26,K190&lt;K$28,J$27,K190&lt;K$29,J$28,K190&lt;K$30,J$29,K190&lt;K$31,J$30,K190&lt;K$32,J$31,K190&lt;K$33,J$32,K190&lt;K$34,J$33,K190&lt;K$35,J$34,K190&lt;K$36,J$35,K190&lt;K$37,J$36,K190&lt;K$38,J$37,K190&lt;K$39,J$38,K190&lt;K$40,J$39,K190&lt;K$41,J$40,K190&lt;K$42,J$41,K190&lt;K$43,J$42,K190&lt;K$44,J$43,K190&lt;K$45,J$44,K190&lt;K$46,J$45,K190&lt;K$47,J$46,K190&gt;=K$47,J$47)</f>
        <v/>
      </c>
      <c r="K190" s="38" t="n">
        <v>140</v>
      </c>
      <c r="L190" s="31">
        <f>K190/52</f>
        <v/>
      </c>
      <c r="M190" s="39">
        <f>J190/1000000*52</f>
        <v/>
      </c>
      <c r="N190" s="33">
        <f>M190/$P$4+($I$22/$P$4)</f>
        <v/>
      </c>
      <c r="U190">
        <f>F189</f>
        <v/>
      </c>
      <c r="V190">
        <f>H189</f>
        <v/>
      </c>
      <c r="W190">
        <f>N189</f>
        <v/>
      </c>
    </row>
    <row r="191" ht="15.75" customHeight="1" s="40">
      <c r="C191" s="36">
        <f>_xlfn.IFS(E191&lt;E$24,0,E191&lt;E$26,C$24,E191&lt;E$28,C$26,E191&lt;E$30,C$28,E191&lt;E$32,C$30,E191&lt;E$34,C$32,E191&gt;=E$34,C$34)</f>
        <v/>
      </c>
      <c r="D191" s="37">
        <f>_xlfn.IFS(E191&lt;E$24,0,E191&lt;E$25,D$24,E191&lt;E$26,D$25,E191&lt;E$27,D$26,E191&lt;E$28,D$27,E191&lt;E$29,D$28,E191&lt;E$30,D$29,E191&lt;E$31,D$30,E191&lt;E$32,D$31,E191&lt;E$33,D$32,E191&lt;E$34,D$33,E191&lt;E$35,D$34,E191&gt;=E$35,D$35)</f>
        <v/>
      </c>
      <c r="E191" s="38" t="n">
        <v>141</v>
      </c>
      <c r="F191" s="31">
        <f>E191/52</f>
        <v/>
      </c>
      <c r="G191" s="39">
        <f>D191/1000000*52</f>
        <v/>
      </c>
      <c r="H191" s="33">
        <f>G191/$P$4+($C$22/$P$4)</f>
        <v/>
      </c>
      <c r="I191" s="36">
        <f>_xlfn.IFS(K191&lt;K$24,0,K191&lt;K$26,I$24,K191&lt;K$28,I$26,K191&lt;K$30,I$28,K191&lt;K$32,I$30,K191&lt;K$34,I$32,K191&lt;K$36,I$34,K191&lt;K$38,I$36,K191&lt;K$40,I$38,K191&lt;K$42,I$40,K191&lt;K$44,I$42,K191&lt;K$46,I$44,K191&gt;=K$46,I$46)</f>
        <v/>
      </c>
      <c r="J191" s="37">
        <f>_xlfn.IFS(K191&lt;K$24,0,K191&lt;K$25,J$24,K191&lt;K$26,J$25,K191&lt;K$27,J$26,K191&lt;K$28,J$27,K191&lt;K$29,J$28,K191&lt;K$30,J$29,K191&lt;K$31,J$30,K191&lt;K$32,J$31,K191&lt;K$33,J$32,K191&lt;K$34,J$33,K191&lt;K$35,J$34,K191&lt;K$36,J$35,K191&lt;K$37,J$36,K191&lt;K$38,J$37,K191&lt;K$39,J$38,K191&lt;K$40,J$39,K191&lt;K$41,J$40,K191&lt;K$42,J$41,K191&lt;K$43,J$42,K191&lt;K$44,J$43,K191&lt;K$45,J$44,K191&lt;K$46,J$45,K191&lt;K$47,J$46,K191&gt;=K$47,J$47)</f>
        <v/>
      </c>
      <c r="K191" s="38" t="n">
        <v>141</v>
      </c>
      <c r="L191" s="31">
        <f>K191/52</f>
        <v/>
      </c>
      <c r="M191" s="39">
        <f>J191/1000000*52</f>
        <v/>
      </c>
      <c r="N191" s="33">
        <f>M191/$P$4+($I$22/$P$4)</f>
        <v/>
      </c>
      <c r="U191">
        <f>F190</f>
        <v/>
      </c>
      <c r="V191">
        <f>H190</f>
        <v/>
      </c>
      <c r="W191">
        <f>N190</f>
        <v/>
      </c>
    </row>
    <row r="192" ht="15.75" customHeight="1" s="40">
      <c r="C192" s="36">
        <f>_xlfn.IFS(E192&lt;E$24,0,E192&lt;E$26,C$24,E192&lt;E$28,C$26,E192&lt;E$30,C$28,E192&lt;E$32,C$30,E192&lt;E$34,C$32,E192&gt;=E$34,C$34)</f>
        <v/>
      </c>
      <c r="D192" s="37">
        <f>_xlfn.IFS(E192&lt;E$24,0,E192&lt;E$25,D$24,E192&lt;E$26,D$25,E192&lt;E$27,D$26,E192&lt;E$28,D$27,E192&lt;E$29,D$28,E192&lt;E$30,D$29,E192&lt;E$31,D$30,E192&lt;E$32,D$31,E192&lt;E$33,D$32,E192&lt;E$34,D$33,E192&lt;E$35,D$34,E192&gt;=E$35,D$35)</f>
        <v/>
      </c>
      <c r="E192" s="38" t="n">
        <v>142</v>
      </c>
      <c r="F192" s="31">
        <f>E192/52</f>
        <v/>
      </c>
      <c r="G192" s="39">
        <f>D192/1000000*52</f>
        <v/>
      </c>
      <c r="H192" s="33">
        <f>G192/$P$4+($C$22/$P$4)</f>
        <v/>
      </c>
      <c r="I192" s="36">
        <f>_xlfn.IFS(K192&lt;K$24,0,K192&lt;K$26,I$24,K192&lt;K$28,I$26,K192&lt;K$30,I$28,K192&lt;K$32,I$30,K192&lt;K$34,I$32,K192&lt;K$36,I$34,K192&lt;K$38,I$36,K192&lt;K$40,I$38,K192&lt;K$42,I$40,K192&lt;K$44,I$42,K192&lt;K$46,I$44,K192&gt;=K$46,I$46)</f>
        <v/>
      </c>
      <c r="J192" s="37">
        <f>_xlfn.IFS(K192&lt;K$24,0,K192&lt;K$25,J$24,K192&lt;K$26,J$25,K192&lt;K$27,J$26,K192&lt;K$28,J$27,K192&lt;K$29,J$28,K192&lt;K$30,J$29,K192&lt;K$31,J$30,K192&lt;K$32,J$31,K192&lt;K$33,J$32,K192&lt;K$34,J$33,K192&lt;K$35,J$34,K192&lt;K$36,J$35,K192&lt;K$37,J$36,K192&lt;K$38,J$37,K192&lt;K$39,J$38,K192&lt;K$40,J$39,K192&lt;K$41,J$40,K192&lt;K$42,J$41,K192&lt;K$43,J$42,K192&lt;K$44,J$43,K192&lt;K$45,J$44,K192&lt;K$46,J$45,K192&lt;K$47,J$46,K192&gt;=K$47,J$47)</f>
        <v/>
      </c>
      <c r="K192" s="38" t="n">
        <v>142</v>
      </c>
      <c r="L192" s="31">
        <f>K192/52</f>
        <v/>
      </c>
      <c r="M192" s="39">
        <f>J192/1000000*52</f>
        <v/>
      </c>
      <c r="N192" s="33">
        <f>M192/$P$4+($I$22/$P$4)</f>
        <v/>
      </c>
      <c r="U192">
        <f>F191</f>
        <v/>
      </c>
      <c r="V192">
        <f>H191</f>
        <v/>
      </c>
      <c r="W192">
        <f>N191</f>
        <v/>
      </c>
    </row>
    <row r="193" ht="15.75" customHeight="1" s="40">
      <c r="C193" s="36">
        <f>_xlfn.IFS(E193&lt;E$24,0,E193&lt;E$26,C$24,E193&lt;E$28,C$26,E193&lt;E$30,C$28,E193&lt;E$32,C$30,E193&lt;E$34,C$32,E193&gt;=E$34,C$34)</f>
        <v/>
      </c>
      <c r="D193" s="37">
        <f>_xlfn.IFS(E193&lt;E$24,0,E193&lt;E$25,D$24,E193&lt;E$26,D$25,E193&lt;E$27,D$26,E193&lt;E$28,D$27,E193&lt;E$29,D$28,E193&lt;E$30,D$29,E193&lt;E$31,D$30,E193&lt;E$32,D$31,E193&lt;E$33,D$32,E193&lt;E$34,D$33,E193&lt;E$35,D$34,E193&gt;=E$35,D$35)</f>
        <v/>
      </c>
      <c r="E193" s="38" t="n">
        <v>143</v>
      </c>
      <c r="F193" s="31">
        <f>E193/52</f>
        <v/>
      </c>
      <c r="G193" s="39">
        <f>D193/1000000*52</f>
        <v/>
      </c>
      <c r="H193" s="33">
        <f>G193/$P$4+($C$22/$P$4)</f>
        <v/>
      </c>
      <c r="I193" s="36">
        <f>_xlfn.IFS(K193&lt;K$24,0,K193&lt;K$26,I$24,K193&lt;K$28,I$26,K193&lt;K$30,I$28,K193&lt;K$32,I$30,K193&lt;K$34,I$32,K193&lt;K$36,I$34,K193&lt;K$38,I$36,K193&lt;K$40,I$38,K193&lt;K$42,I$40,K193&lt;K$44,I$42,K193&lt;K$46,I$44,K193&gt;=K$46,I$46)</f>
        <v/>
      </c>
      <c r="J193" s="37">
        <f>_xlfn.IFS(K193&lt;K$24,0,K193&lt;K$25,J$24,K193&lt;K$26,J$25,K193&lt;K$27,J$26,K193&lt;K$28,J$27,K193&lt;K$29,J$28,K193&lt;K$30,J$29,K193&lt;K$31,J$30,K193&lt;K$32,J$31,K193&lt;K$33,J$32,K193&lt;K$34,J$33,K193&lt;K$35,J$34,K193&lt;K$36,J$35,K193&lt;K$37,J$36,K193&lt;K$38,J$37,K193&lt;K$39,J$38,K193&lt;K$40,J$39,K193&lt;K$41,J$40,K193&lt;K$42,J$41,K193&lt;K$43,J$42,K193&lt;K$44,J$43,K193&lt;K$45,J$44,K193&lt;K$46,J$45,K193&lt;K$47,J$46,K193&gt;=K$47,J$47)</f>
        <v/>
      </c>
      <c r="K193" s="38" t="n">
        <v>143</v>
      </c>
      <c r="L193" s="31">
        <f>K193/52</f>
        <v/>
      </c>
      <c r="M193" s="39">
        <f>J193/1000000*52</f>
        <v/>
      </c>
      <c r="N193" s="33">
        <f>M193/$P$4+($I$22/$P$4)</f>
        <v/>
      </c>
      <c r="U193">
        <f>F192</f>
        <v/>
      </c>
      <c r="V193">
        <f>H192</f>
        <v/>
      </c>
      <c r="W193">
        <f>N192</f>
        <v/>
      </c>
    </row>
    <row r="194" ht="15.75" customHeight="1" s="40">
      <c r="C194" s="36">
        <f>_xlfn.IFS(E194&lt;E$24,0,E194&lt;E$26,C$24,E194&lt;E$28,C$26,E194&lt;E$30,C$28,E194&lt;E$32,C$30,E194&lt;E$34,C$32,E194&gt;=E$34,C$34)</f>
        <v/>
      </c>
      <c r="D194" s="37">
        <f>_xlfn.IFS(E194&lt;E$24,0,E194&lt;E$25,D$24,E194&lt;E$26,D$25,E194&lt;E$27,D$26,E194&lt;E$28,D$27,E194&lt;E$29,D$28,E194&lt;E$30,D$29,E194&lt;E$31,D$30,E194&lt;E$32,D$31,E194&lt;E$33,D$32,E194&lt;E$34,D$33,E194&lt;E$35,D$34,E194&gt;=E$35,D$35)</f>
        <v/>
      </c>
      <c r="E194" s="38" t="n">
        <v>144</v>
      </c>
      <c r="F194" s="31">
        <f>E194/52</f>
        <v/>
      </c>
      <c r="G194" s="39">
        <f>D194/1000000*52</f>
        <v/>
      </c>
      <c r="H194" s="33">
        <f>G194/$P$4+($C$22/$P$4)</f>
        <v/>
      </c>
      <c r="I194" s="36">
        <f>_xlfn.IFS(K194&lt;K$24,0,K194&lt;K$26,I$24,K194&lt;K$28,I$26,K194&lt;K$30,I$28,K194&lt;K$32,I$30,K194&lt;K$34,I$32,K194&lt;K$36,I$34,K194&lt;K$38,I$36,K194&lt;K$40,I$38,K194&lt;K$42,I$40,K194&lt;K$44,I$42,K194&lt;K$46,I$44,K194&gt;=K$46,I$46)</f>
        <v/>
      </c>
      <c r="J194" s="37">
        <f>_xlfn.IFS(K194&lt;K$24,0,K194&lt;K$25,J$24,K194&lt;K$26,J$25,K194&lt;K$27,J$26,K194&lt;K$28,J$27,K194&lt;K$29,J$28,K194&lt;K$30,J$29,K194&lt;K$31,J$30,K194&lt;K$32,J$31,K194&lt;K$33,J$32,K194&lt;K$34,J$33,K194&lt;K$35,J$34,K194&lt;K$36,J$35,K194&lt;K$37,J$36,K194&lt;K$38,J$37,K194&lt;K$39,J$38,K194&lt;K$40,J$39,K194&lt;K$41,J$40,K194&lt;K$42,J$41,K194&lt;K$43,J$42,K194&lt;K$44,J$43,K194&lt;K$45,J$44,K194&lt;K$46,J$45,K194&lt;K$47,J$46,K194&gt;=K$47,J$47)</f>
        <v/>
      </c>
      <c r="K194" s="38" t="n">
        <v>144</v>
      </c>
      <c r="L194" s="31">
        <f>K194/52</f>
        <v/>
      </c>
      <c r="M194" s="39">
        <f>J194/1000000*52</f>
        <v/>
      </c>
      <c r="N194" s="33">
        <f>M194/$P$4+($I$22/$P$4)</f>
        <v/>
      </c>
      <c r="U194">
        <f>F193</f>
        <v/>
      </c>
      <c r="V194">
        <f>H193</f>
        <v/>
      </c>
      <c r="W194">
        <f>N193</f>
        <v/>
      </c>
    </row>
    <row r="195" ht="15.75" customHeight="1" s="40">
      <c r="C195" s="36">
        <f>_xlfn.IFS(E195&lt;E$24,0,E195&lt;E$26,C$24,E195&lt;E$28,C$26,E195&lt;E$30,C$28,E195&lt;E$32,C$30,E195&lt;E$34,C$32,E195&gt;=E$34,C$34)</f>
        <v/>
      </c>
      <c r="D195" s="37">
        <f>_xlfn.IFS(E195&lt;E$24,0,E195&lt;E$25,D$24,E195&lt;E$26,D$25,E195&lt;E$27,D$26,E195&lt;E$28,D$27,E195&lt;E$29,D$28,E195&lt;E$30,D$29,E195&lt;E$31,D$30,E195&lt;E$32,D$31,E195&lt;E$33,D$32,E195&lt;E$34,D$33,E195&lt;E$35,D$34,E195&gt;=E$35,D$35)</f>
        <v/>
      </c>
      <c r="E195" s="38" t="n">
        <v>145</v>
      </c>
      <c r="F195" s="31">
        <f>E195/52</f>
        <v/>
      </c>
      <c r="G195" s="39">
        <f>D195/1000000*52</f>
        <v/>
      </c>
      <c r="H195" s="33">
        <f>G195/$P$4+($C$22/$P$4)</f>
        <v/>
      </c>
      <c r="I195" s="36">
        <f>_xlfn.IFS(K195&lt;K$24,0,K195&lt;K$26,I$24,K195&lt;K$28,I$26,K195&lt;K$30,I$28,K195&lt;K$32,I$30,K195&lt;K$34,I$32,K195&lt;K$36,I$34,K195&lt;K$38,I$36,K195&lt;K$40,I$38,K195&lt;K$42,I$40,K195&lt;K$44,I$42,K195&lt;K$46,I$44,K195&gt;=K$46,I$46)</f>
        <v/>
      </c>
      <c r="J195" s="37">
        <f>_xlfn.IFS(K195&lt;K$24,0,K195&lt;K$25,J$24,K195&lt;K$26,J$25,K195&lt;K$27,J$26,K195&lt;K$28,J$27,K195&lt;K$29,J$28,K195&lt;K$30,J$29,K195&lt;K$31,J$30,K195&lt;K$32,J$31,K195&lt;K$33,J$32,K195&lt;K$34,J$33,K195&lt;K$35,J$34,K195&lt;K$36,J$35,K195&lt;K$37,J$36,K195&lt;K$38,J$37,K195&lt;K$39,J$38,K195&lt;K$40,J$39,K195&lt;K$41,J$40,K195&lt;K$42,J$41,K195&lt;K$43,J$42,K195&lt;K$44,J$43,K195&lt;K$45,J$44,K195&lt;K$46,J$45,K195&lt;K$47,J$46,K195&gt;=K$47,J$47)</f>
        <v/>
      </c>
      <c r="K195" s="38" t="n">
        <v>145</v>
      </c>
      <c r="L195" s="31">
        <f>K195/52</f>
        <v/>
      </c>
      <c r="M195" s="39">
        <f>J195/1000000*52</f>
        <v/>
      </c>
      <c r="N195" s="33">
        <f>M195/$P$4+($I$22/$P$4)</f>
        <v/>
      </c>
      <c r="U195">
        <f>F194</f>
        <v/>
      </c>
      <c r="V195">
        <f>H194</f>
        <v/>
      </c>
      <c r="W195">
        <f>N194</f>
        <v/>
      </c>
    </row>
    <row r="196" ht="15.75" customHeight="1" s="40">
      <c r="C196" s="36">
        <f>_xlfn.IFS(E196&lt;E$24,0,E196&lt;E$26,C$24,E196&lt;E$28,C$26,E196&lt;E$30,C$28,E196&lt;E$32,C$30,E196&lt;E$34,C$32,E196&gt;=E$34,C$34)</f>
        <v/>
      </c>
      <c r="D196" s="37">
        <f>_xlfn.IFS(E196&lt;E$24,0,E196&lt;E$25,D$24,E196&lt;E$26,D$25,E196&lt;E$27,D$26,E196&lt;E$28,D$27,E196&lt;E$29,D$28,E196&lt;E$30,D$29,E196&lt;E$31,D$30,E196&lt;E$32,D$31,E196&lt;E$33,D$32,E196&lt;E$34,D$33,E196&lt;E$35,D$34,E196&gt;=E$35,D$35)</f>
        <v/>
      </c>
      <c r="E196" s="38" t="n">
        <v>146</v>
      </c>
      <c r="F196" s="31">
        <f>E196/52</f>
        <v/>
      </c>
      <c r="G196" s="39">
        <f>D196/1000000*52</f>
        <v/>
      </c>
      <c r="H196" s="33">
        <f>G196/$P$4+($C$22/$P$4)</f>
        <v/>
      </c>
      <c r="I196" s="36">
        <f>_xlfn.IFS(K196&lt;K$24,0,K196&lt;K$26,I$24,K196&lt;K$28,I$26,K196&lt;K$30,I$28,K196&lt;K$32,I$30,K196&lt;K$34,I$32,K196&lt;K$36,I$34,K196&lt;K$38,I$36,K196&lt;K$40,I$38,K196&lt;K$42,I$40,K196&lt;K$44,I$42,K196&lt;K$46,I$44,K196&gt;=K$46,I$46)</f>
        <v/>
      </c>
      <c r="J196" s="37">
        <f>_xlfn.IFS(K196&lt;K$24,0,K196&lt;K$25,J$24,K196&lt;K$26,J$25,K196&lt;K$27,J$26,K196&lt;K$28,J$27,K196&lt;K$29,J$28,K196&lt;K$30,J$29,K196&lt;K$31,J$30,K196&lt;K$32,J$31,K196&lt;K$33,J$32,K196&lt;K$34,J$33,K196&lt;K$35,J$34,K196&lt;K$36,J$35,K196&lt;K$37,J$36,K196&lt;K$38,J$37,K196&lt;K$39,J$38,K196&lt;K$40,J$39,K196&lt;K$41,J$40,K196&lt;K$42,J$41,K196&lt;K$43,J$42,K196&lt;K$44,J$43,K196&lt;K$45,J$44,K196&lt;K$46,J$45,K196&lt;K$47,J$46,K196&gt;=K$47,J$47)</f>
        <v/>
      </c>
      <c r="K196" s="38" t="n">
        <v>146</v>
      </c>
      <c r="L196" s="31">
        <f>K196/52</f>
        <v/>
      </c>
      <c r="M196" s="39">
        <f>J196/1000000*52</f>
        <v/>
      </c>
      <c r="N196" s="33">
        <f>M196/$P$4+($I$22/$P$4)</f>
        <v/>
      </c>
      <c r="U196">
        <f>F195</f>
        <v/>
      </c>
      <c r="V196">
        <f>H195</f>
        <v/>
      </c>
      <c r="W196">
        <f>N195</f>
        <v/>
      </c>
    </row>
    <row r="197" ht="15.75" customHeight="1" s="40">
      <c r="C197" s="36">
        <f>_xlfn.IFS(E197&lt;E$24,0,E197&lt;E$26,C$24,E197&lt;E$28,C$26,E197&lt;E$30,C$28,E197&lt;E$32,C$30,E197&lt;E$34,C$32,E197&gt;=E$34,C$34)</f>
        <v/>
      </c>
      <c r="D197" s="37">
        <f>_xlfn.IFS(E197&lt;E$24,0,E197&lt;E$25,D$24,E197&lt;E$26,D$25,E197&lt;E$27,D$26,E197&lt;E$28,D$27,E197&lt;E$29,D$28,E197&lt;E$30,D$29,E197&lt;E$31,D$30,E197&lt;E$32,D$31,E197&lt;E$33,D$32,E197&lt;E$34,D$33,E197&lt;E$35,D$34,E197&gt;=E$35,D$35)</f>
        <v/>
      </c>
      <c r="E197" s="38" t="n">
        <v>147</v>
      </c>
      <c r="F197" s="31">
        <f>E197/52</f>
        <v/>
      </c>
      <c r="G197" s="39">
        <f>D197/1000000*52</f>
        <v/>
      </c>
      <c r="H197" s="33">
        <f>G197/$P$4+($C$22/$P$4)</f>
        <v/>
      </c>
      <c r="I197" s="36">
        <f>_xlfn.IFS(K197&lt;K$24,0,K197&lt;K$26,I$24,K197&lt;K$28,I$26,K197&lt;K$30,I$28,K197&lt;K$32,I$30,K197&lt;K$34,I$32,K197&lt;K$36,I$34,K197&lt;K$38,I$36,K197&lt;K$40,I$38,K197&lt;K$42,I$40,K197&lt;K$44,I$42,K197&lt;K$46,I$44,K197&gt;=K$46,I$46)</f>
        <v/>
      </c>
      <c r="J197" s="37">
        <f>_xlfn.IFS(K197&lt;K$24,0,K197&lt;K$25,J$24,K197&lt;K$26,J$25,K197&lt;K$27,J$26,K197&lt;K$28,J$27,K197&lt;K$29,J$28,K197&lt;K$30,J$29,K197&lt;K$31,J$30,K197&lt;K$32,J$31,K197&lt;K$33,J$32,K197&lt;K$34,J$33,K197&lt;K$35,J$34,K197&lt;K$36,J$35,K197&lt;K$37,J$36,K197&lt;K$38,J$37,K197&lt;K$39,J$38,K197&lt;K$40,J$39,K197&lt;K$41,J$40,K197&lt;K$42,J$41,K197&lt;K$43,J$42,K197&lt;K$44,J$43,K197&lt;K$45,J$44,K197&lt;K$46,J$45,K197&lt;K$47,J$46,K197&gt;=K$47,J$47)</f>
        <v/>
      </c>
      <c r="K197" s="38" t="n">
        <v>147</v>
      </c>
      <c r="L197" s="31">
        <f>K197/52</f>
        <v/>
      </c>
      <c r="M197" s="39">
        <f>J197/1000000*52</f>
        <v/>
      </c>
      <c r="N197" s="33">
        <f>M197/$P$4+($I$22/$P$4)</f>
        <v/>
      </c>
      <c r="U197">
        <f>F196</f>
        <v/>
      </c>
      <c r="V197">
        <f>H196</f>
        <v/>
      </c>
      <c r="W197">
        <f>N196</f>
        <v/>
      </c>
    </row>
    <row r="198" ht="15.75" customHeight="1" s="40">
      <c r="C198" s="36">
        <f>_xlfn.IFS(E198&lt;E$24,0,E198&lt;E$26,C$24,E198&lt;E$28,C$26,E198&lt;E$30,C$28,E198&lt;E$32,C$30,E198&lt;E$34,C$32,E198&gt;=E$34,C$34)</f>
        <v/>
      </c>
      <c r="D198" s="37">
        <f>_xlfn.IFS(E198&lt;E$24,0,E198&lt;E$25,D$24,E198&lt;E$26,D$25,E198&lt;E$27,D$26,E198&lt;E$28,D$27,E198&lt;E$29,D$28,E198&lt;E$30,D$29,E198&lt;E$31,D$30,E198&lt;E$32,D$31,E198&lt;E$33,D$32,E198&lt;E$34,D$33,E198&lt;E$35,D$34,E198&gt;=E$35,D$35)</f>
        <v/>
      </c>
      <c r="E198" s="38" t="n">
        <v>148</v>
      </c>
      <c r="F198" s="31">
        <f>E198/52</f>
        <v/>
      </c>
      <c r="G198" s="39">
        <f>D198/1000000*52</f>
        <v/>
      </c>
      <c r="H198" s="33">
        <f>G198/$P$4+($C$22/$P$4)</f>
        <v/>
      </c>
      <c r="I198" s="36">
        <f>_xlfn.IFS(K198&lt;K$24,0,K198&lt;K$26,I$24,K198&lt;K$28,I$26,K198&lt;K$30,I$28,K198&lt;K$32,I$30,K198&lt;K$34,I$32,K198&lt;K$36,I$34,K198&lt;K$38,I$36,K198&lt;K$40,I$38,K198&lt;K$42,I$40,K198&lt;K$44,I$42,K198&lt;K$46,I$44,K198&gt;=K$46,I$46)</f>
        <v/>
      </c>
      <c r="J198" s="37">
        <f>_xlfn.IFS(K198&lt;K$24,0,K198&lt;K$25,J$24,K198&lt;K$26,J$25,K198&lt;K$27,J$26,K198&lt;K$28,J$27,K198&lt;K$29,J$28,K198&lt;K$30,J$29,K198&lt;K$31,J$30,K198&lt;K$32,J$31,K198&lt;K$33,J$32,K198&lt;K$34,J$33,K198&lt;K$35,J$34,K198&lt;K$36,J$35,K198&lt;K$37,J$36,K198&lt;K$38,J$37,K198&lt;K$39,J$38,K198&lt;K$40,J$39,K198&lt;K$41,J$40,K198&lt;K$42,J$41,K198&lt;K$43,J$42,K198&lt;K$44,J$43,K198&lt;K$45,J$44,K198&lt;K$46,J$45,K198&lt;K$47,J$46,K198&gt;=K$47,J$47)</f>
        <v/>
      </c>
      <c r="K198" s="38" t="n">
        <v>148</v>
      </c>
      <c r="L198" s="31">
        <f>K198/52</f>
        <v/>
      </c>
      <c r="M198" s="39">
        <f>J198/1000000*52</f>
        <v/>
      </c>
      <c r="N198" s="33">
        <f>M198/$P$4+($I$22/$P$4)</f>
        <v/>
      </c>
      <c r="U198">
        <f>F197</f>
        <v/>
      </c>
      <c r="V198">
        <f>H197</f>
        <v/>
      </c>
      <c r="W198">
        <f>N197</f>
        <v/>
      </c>
    </row>
    <row r="199" ht="15.75" customHeight="1" s="40">
      <c r="C199" s="36">
        <f>_xlfn.IFS(E199&lt;E$24,0,E199&lt;E$26,C$24,E199&lt;E$28,C$26,E199&lt;E$30,C$28,E199&lt;E$32,C$30,E199&lt;E$34,C$32,E199&gt;=E$34,C$34)</f>
        <v/>
      </c>
      <c r="D199" s="37">
        <f>_xlfn.IFS(E199&lt;E$24,0,E199&lt;E$25,D$24,E199&lt;E$26,D$25,E199&lt;E$27,D$26,E199&lt;E$28,D$27,E199&lt;E$29,D$28,E199&lt;E$30,D$29,E199&lt;E$31,D$30,E199&lt;E$32,D$31,E199&lt;E$33,D$32,E199&lt;E$34,D$33,E199&lt;E$35,D$34,E199&gt;=E$35,D$35)</f>
        <v/>
      </c>
      <c r="E199" s="38" t="n">
        <v>149</v>
      </c>
      <c r="F199" s="31">
        <f>E199/52</f>
        <v/>
      </c>
      <c r="G199" s="39">
        <f>D199/1000000*52</f>
        <v/>
      </c>
      <c r="H199" s="33">
        <f>G199/$P$4+($C$22/$P$4)</f>
        <v/>
      </c>
      <c r="I199" s="36">
        <f>_xlfn.IFS(K199&lt;K$24,0,K199&lt;K$26,I$24,K199&lt;K$28,I$26,K199&lt;K$30,I$28,K199&lt;K$32,I$30,K199&lt;K$34,I$32,K199&lt;K$36,I$34,K199&lt;K$38,I$36,K199&lt;K$40,I$38,K199&lt;K$42,I$40,K199&lt;K$44,I$42,K199&lt;K$46,I$44,K199&gt;=K$46,I$46)</f>
        <v/>
      </c>
      <c r="J199" s="37">
        <f>_xlfn.IFS(K199&lt;K$24,0,K199&lt;K$25,J$24,K199&lt;K$26,J$25,K199&lt;K$27,J$26,K199&lt;K$28,J$27,K199&lt;K$29,J$28,K199&lt;K$30,J$29,K199&lt;K$31,J$30,K199&lt;K$32,J$31,K199&lt;K$33,J$32,K199&lt;K$34,J$33,K199&lt;K$35,J$34,K199&lt;K$36,J$35,K199&lt;K$37,J$36,K199&lt;K$38,J$37,K199&lt;K$39,J$38,K199&lt;K$40,J$39,K199&lt;K$41,J$40,K199&lt;K$42,J$41,K199&lt;K$43,J$42,K199&lt;K$44,J$43,K199&lt;K$45,J$44,K199&lt;K$46,J$45,K199&lt;K$47,J$46,K199&gt;=K$47,J$47)</f>
        <v/>
      </c>
      <c r="K199" s="38" t="n">
        <v>149</v>
      </c>
      <c r="L199" s="31">
        <f>K199/52</f>
        <v/>
      </c>
      <c r="M199" s="39">
        <f>J199/1000000*52</f>
        <v/>
      </c>
      <c r="N199" s="33">
        <f>M199/$P$4+($I$22/$P$4)</f>
        <v/>
      </c>
      <c r="U199">
        <f>F198</f>
        <v/>
      </c>
      <c r="V199">
        <f>H198</f>
        <v/>
      </c>
      <c r="W199">
        <f>N198</f>
        <v/>
      </c>
    </row>
    <row r="200" ht="15.75" customHeight="1" s="40">
      <c r="C200" s="36">
        <f>_xlfn.IFS(E200&lt;E$24,0,E200&lt;E$26,C$24,E200&lt;E$28,C$26,E200&lt;E$30,C$28,E200&lt;E$32,C$30,E200&lt;E$34,C$32,E200&gt;=E$34,C$34)</f>
        <v/>
      </c>
      <c r="D200" s="37">
        <f>_xlfn.IFS(E200&lt;E$24,0,E200&lt;E$25,D$24,E200&lt;E$26,D$25,E200&lt;E$27,D$26,E200&lt;E$28,D$27,E200&lt;E$29,D$28,E200&lt;E$30,D$29,E200&lt;E$31,D$30,E200&lt;E$32,D$31,E200&lt;E$33,D$32,E200&lt;E$34,D$33,E200&lt;E$35,D$34,E200&gt;=E$35,D$35)</f>
        <v/>
      </c>
      <c r="E200" s="38" t="n">
        <v>150</v>
      </c>
      <c r="F200" s="31">
        <f>E200/52</f>
        <v/>
      </c>
      <c r="G200" s="39">
        <f>D200/1000000*52</f>
        <v/>
      </c>
      <c r="H200" s="33">
        <f>G200/$P$4+($C$22/$P$4)</f>
        <v/>
      </c>
      <c r="I200" s="36">
        <f>_xlfn.IFS(K200&lt;K$24,0,K200&lt;K$26,I$24,K200&lt;K$28,I$26,K200&lt;K$30,I$28,K200&lt;K$32,I$30,K200&lt;K$34,I$32,K200&lt;K$36,I$34,K200&lt;K$38,I$36,K200&lt;K$40,I$38,K200&lt;K$42,I$40,K200&lt;K$44,I$42,K200&lt;K$46,I$44,K200&gt;=K$46,I$46)</f>
        <v/>
      </c>
      <c r="J200" s="37">
        <f>_xlfn.IFS(K200&lt;K$24,0,K200&lt;K$25,J$24,K200&lt;K$26,J$25,K200&lt;K$27,J$26,K200&lt;K$28,J$27,K200&lt;K$29,J$28,K200&lt;K$30,J$29,K200&lt;K$31,J$30,K200&lt;K$32,J$31,K200&lt;K$33,J$32,K200&lt;K$34,J$33,K200&lt;K$35,J$34,K200&lt;K$36,J$35,K200&lt;K$37,J$36,K200&lt;K$38,J$37,K200&lt;K$39,J$38,K200&lt;K$40,J$39,K200&lt;K$41,J$40,K200&lt;K$42,J$41,K200&lt;K$43,J$42,K200&lt;K$44,J$43,K200&lt;K$45,J$44,K200&lt;K$46,J$45,K200&lt;K$47,J$46,K200&gt;=K$47,J$47)</f>
        <v/>
      </c>
      <c r="K200" s="38" t="n">
        <v>150</v>
      </c>
      <c r="L200" s="31">
        <f>K200/52</f>
        <v/>
      </c>
      <c r="M200" s="39">
        <f>J200/1000000*52</f>
        <v/>
      </c>
      <c r="N200" s="33">
        <f>M200/$P$4+($I$22/$P$4)</f>
        <v/>
      </c>
      <c r="U200">
        <f>F199</f>
        <v/>
      </c>
      <c r="V200">
        <f>H199</f>
        <v/>
      </c>
      <c r="W200">
        <f>N199</f>
        <v/>
      </c>
    </row>
    <row r="201" ht="15.75" customHeight="1" s="40">
      <c r="C201" s="36">
        <f>_xlfn.IFS(E201&lt;E$24,0,E201&lt;E$26,C$24,E201&lt;E$28,C$26,E201&lt;E$30,C$28,E201&lt;E$32,C$30,E201&lt;E$34,C$32,E201&gt;=E$34,C$34)</f>
        <v/>
      </c>
      <c r="D201" s="37">
        <f>_xlfn.IFS(E201&lt;E$24,0,E201&lt;E$25,D$24,E201&lt;E$26,D$25,E201&lt;E$27,D$26,E201&lt;E$28,D$27,E201&lt;E$29,D$28,E201&lt;E$30,D$29,E201&lt;E$31,D$30,E201&lt;E$32,D$31,E201&lt;E$33,D$32,E201&lt;E$34,D$33,E201&lt;E$35,D$34,E201&gt;=E$35,D$35)</f>
        <v/>
      </c>
      <c r="E201" s="38" t="n">
        <v>151</v>
      </c>
      <c r="F201" s="31">
        <f>E201/52</f>
        <v/>
      </c>
      <c r="G201" s="39">
        <f>D201/1000000*52</f>
        <v/>
      </c>
      <c r="H201" s="33">
        <f>G201/$P$4+($C$22/$P$4)</f>
        <v/>
      </c>
      <c r="I201" s="36">
        <f>_xlfn.IFS(K201&lt;K$24,0,K201&lt;K$26,I$24,K201&lt;K$28,I$26,K201&lt;K$30,I$28,K201&lt;K$32,I$30,K201&lt;K$34,I$32,K201&lt;K$36,I$34,K201&lt;K$38,I$36,K201&lt;K$40,I$38,K201&lt;K$42,I$40,K201&lt;K$44,I$42,K201&lt;K$46,I$44,K201&gt;=K$46,I$46)</f>
        <v/>
      </c>
      <c r="J201" s="37">
        <f>_xlfn.IFS(K201&lt;K$24,0,K201&lt;K$25,J$24,K201&lt;K$26,J$25,K201&lt;K$27,J$26,K201&lt;K$28,J$27,K201&lt;K$29,J$28,K201&lt;K$30,J$29,K201&lt;K$31,J$30,K201&lt;K$32,J$31,K201&lt;K$33,J$32,K201&lt;K$34,J$33,K201&lt;K$35,J$34,K201&lt;K$36,J$35,K201&lt;K$37,J$36,K201&lt;K$38,J$37,K201&lt;K$39,J$38,K201&lt;K$40,J$39,K201&lt;K$41,J$40,K201&lt;K$42,J$41,K201&lt;K$43,J$42,K201&lt;K$44,J$43,K201&lt;K$45,J$44,K201&lt;K$46,J$45,K201&lt;K$47,J$46,K201&gt;=K$47,J$47)</f>
        <v/>
      </c>
      <c r="K201" s="38" t="n">
        <v>151</v>
      </c>
      <c r="L201" s="31">
        <f>K201/52</f>
        <v/>
      </c>
      <c r="M201" s="39">
        <f>J201/1000000*52</f>
        <v/>
      </c>
      <c r="N201" s="33">
        <f>M201/$P$4+($I$22/$P$4)</f>
        <v/>
      </c>
      <c r="U201">
        <f>F200</f>
        <v/>
      </c>
      <c r="V201">
        <f>H200</f>
        <v/>
      </c>
      <c r="W201">
        <f>N200</f>
        <v/>
      </c>
    </row>
    <row r="202" ht="15.75" customHeight="1" s="40">
      <c r="C202" s="36">
        <f>_xlfn.IFS(E202&lt;E$24,0,E202&lt;E$26,C$24,E202&lt;E$28,C$26,E202&lt;E$30,C$28,E202&lt;E$32,C$30,E202&lt;E$34,C$32,E202&gt;=E$34,C$34)</f>
        <v/>
      </c>
      <c r="D202" s="37">
        <f>_xlfn.IFS(E202&lt;E$24,0,E202&lt;E$25,D$24,E202&lt;E$26,D$25,E202&lt;E$27,D$26,E202&lt;E$28,D$27,E202&lt;E$29,D$28,E202&lt;E$30,D$29,E202&lt;E$31,D$30,E202&lt;E$32,D$31,E202&lt;E$33,D$32,E202&lt;E$34,D$33,E202&lt;E$35,D$34,E202&gt;=E$35,D$35)</f>
        <v/>
      </c>
      <c r="E202" s="38" t="n">
        <v>152</v>
      </c>
      <c r="F202" s="31">
        <f>E202/52</f>
        <v/>
      </c>
      <c r="G202" s="39">
        <f>D202/1000000*52</f>
        <v/>
      </c>
      <c r="H202" s="33">
        <f>G202/$P$4+($C$22/$P$4)</f>
        <v/>
      </c>
      <c r="I202" s="36">
        <f>_xlfn.IFS(K202&lt;K$24,0,K202&lt;K$26,I$24,K202&lt;K$28,I$26,K202&lt;K$30,I$28,K202&lt;K$32,I$30,K202&lt;K$34,I$32,K202&lt;K$36,I$34,K202&lt;K$38,I$36,K202&lt;K$40,I$38,K202&lt;K$42,I$40,K202&lt;K$44,I$42,K202&lt;K$46,I$44,K202&gt;=K$46,I$46)</f>
        <v/>
      </c>
      <c r="J202" s="37">
        <f>_xlfn.IFS(K202&lt;K$24,0,K202&lt;K$25,J$24,K202&lt;K$26,J$25,K202&lt;K$27,J$26,K202&lt;K$28,J$27,K202&lt;K$29,J$28,K202&lt;K$30,J$29,K202&lt;K$31,J$30,K202&lt;K$32,J$31,K202&lt;K$33,J$32,K202&lt;K$34,J$33,K202&lt;K$35,J$34,K202&lt;K$36,J$35,K202&lt;K$37,J$36,K202&lt;K$38,J$37,K202&lt;K$39,J$38,K202&lt;K$40,J$39,K202&lt;K$41,J$40,K202&lt;K$42,J$41,K202&lt;K$43,J$42,K202&lt;K$44,J$43,K202&lt;K$45,J$44,K202&lt;K$46,J$45,K202&lt;K$47,J$46,K202&gt;=K$47,J$47)</f>
        <v/>
      </c>
      <c r="K202" s="38" t="n">
        <v>152</v>
      </c>
      <c r="L202" s="31">
        <f>K202/52</f>
        <v/>
      </c>
      <c r="M202" s="39">
        <f>J202/1000000*52</f>
        <v/>
      </c>
      <c r="N202" s="33">
        <f>M202/$P$4+($I$22/$P$4)</f>
        <v/>
      </c>
      <c r="U202">
        <f>F201</f>
        <v/>
      </c>
      <c r="V202">
        <f>H201</f>
        <v/>
      </c>
      <c r="W202">
        <f>N201</f>
        <v/>
      </c>
    </row>
    <row r="203" ht="15.75" customHeight="1" s="40">
      <c r="C203" s="36">
        <f>_xlfn.IFS(E203&lt;E$24,0,E203&lt;E$26,C$24,E203&lt;E$28,C$26,E203&lt;E$30,C$28,E203&lt;E$32,C$30,E203&lt;E$34,C$32,E203&gt;=E$34,C$34)</f>
        <v/>
      </c>
      <c r="D203" s="37">
        <f>_xlfn.IFS(E203&lt;E$24,0,E203&lt;E$25,D$24,E203&lt;E$26,D$25,E203&lt;E$27,D$26,E203&lt;E$28,D$27,E203&lt;E$29,D$28,E203&lt;E$30,D$29,E203&lt;E$31,D$30,E203&lt;E$32,D$31,E203&lt;E$33,D$32,E203&lt;E$34,D$33,E203&lt;E$35,D$34,E203&gt;=E$35,D$35)</f>
        <v/>
      </c>
      <c r="E203" s="38" t="n">
        <v>153</v>
      </c>
      <c r="F203" s="31">
        <f>E203/52</f>
        <v/>
      </c>
      <c r="G203" s="39">
        <f>D203/1000000*52</f>
        <v/>
      </c>
      <c r="H203" s="33">
        <f>G203/$P$4+($C$22/$P$4)</f>
        <v/>
      </c>
      <c r="I203" s="36">
        <f>_xlfn.IFS(K203&lt;K$24,0,K203&lt;K$26,I$24,K203&lt;K$28,I$26,K203&lt;K$30,I$28,K203&lt;K$32,I$30,K203&lt;K$34,I$32,K203&lt;K$36,I$34,K203&lt;K$38,I$36,K203&lt;K$40,I$38,K203&lt;K$42,I$40,K203&lt;K$44,I$42,K203&lt;K$46,I$44,K203&gt;=K$46,I$46)</f>
        <v/>
      </c>
      <c r="J203" s="37">
        <f>_xlfn.IFS(K203&lt;K$24,0,K203&lt;K$25,J$24,K203&lt;K$26,J$25,K203&lt;K$27,J$26,K203&lt;K$28,J$27,K203&lt;K$29,J$28,K203&lt;K$30,J$29,K203&lt;K$31,J$30,K203&lt;K$32,J$31,K203&lt;K$33,J$32,K203&lt;K$34,J$33,K203&lt;K$35,J$34,K203&lt;K$36,J$35,K203&lt;K$37,J$36,K203&lt;K$38,J$37,K203&lt;K$39,J$38,K203&lt;K$40,J$39,K203&lt;K$41,J$40,K203&lt;K$42,J$41,K203&lt;K$43,J$42,K203&lt;K$44,J$43,K203&lt;K$45,J$44,K203&lt;K$46,J$45,K203&lt;K$47,J$46,K203&gt;=K$47,J$47)</f>
        <v/>
      </c>
      <c r="K203" s="38" t="n">
        <v>153</v>
      </c>
      <c r="L203" s="31">
        <f>K203/52</f>
        <v/>
      </c>
      <c r="M203" s="39">
        <f>J203/1000000*52</f>
        <v/>
      </c>
      <c r="N203" s="33">
        <f>M203/$P$4+($I$22/$P$4)</f>
        <v/>
      </c>
      <c r="U203">
        <f>F202</f>
        <v/>
      </c>
      <c r="V203">
        <f>H202</f>
        <v/>
      </c>
      <c r="W203">
        <f>N202</f>
        <v/>
      </c>
    </row>
    <row r="204" ht="15.75" customHeight="1" s="40">
      <c r="C204" s="36">
        <f>_xlfn.IFS(E204&lt;E$24,0,E204&lt;E$26,C$24,E204&lt;E$28,C$26,E204&lt;E$30,C$28,E204&lt;E$32,C$30,E204&lt;E$34,C$32,E204&gt;=E$34,C$34)</f>
        <v/>
      </c>
      <c r="D204" s="37">
        <f>_xlfn.IFS(E204&lt;E$24,0,E204&lt;E$25,D$24,E204&lt;E$26,D$25,E204&lt;E$27,D$26,E204&lt;E$28,D$27,E204&lt;E$29,D$28,E204&lt;E$30,D$29,E204&lt;E$31,D$30,E204&lt;E$32,D$31,E204&lt;E$33,D$32,E204&lt;E$34,D$33,E204&lt;E$35,D$34,E204&gt;=E$35,D$35)</f>
        <v/>
      </c>
      <c r="E204" s="38" t="n">
        <v>154</v>
      </c>
      <c r="F204" s="31">
        <f>E204/52</f>
        <v/>
      </c>
      <c r="G204" s="39">
        <f>D204/1000000*52</f>
        <v/>
      </c>
      <c r="H204" s="33">
        <f>G204/$P$4+($C$22/$P$4)</f>
        <v/>
      </c>
      <c r="I204" s="36">
        <f>_xlfn.IFS(K204&lt;K$24,0,K204&lt;K$26,I$24,K204&lt;K$28,I$26,K204&lt;K$30,I$28,K204&lt;K$32,I$30,K204&lt;K$34,I$32,K204&lt;K$36,I$34,K204&lt;K$38,I$36,K204&lt;K$40,I$38,K204&lt;K$42,I$40,K204&lt;K$44,I$42,K204&lt;K$46,I$44,K204&gt;=K$46,I$46)</f>
        <v/>
      </c>
      <c r="J204" s="37">
        <f>_xlfn.IFS(K204&lt;K$24,0,K204&lt;K$25,J$24,K204&lt;K$26,J$25,K204&lt;K$27,J$26,K204&lt;K$28,J$27,K204&lt;K$29,J$28,K204&lt;K$30,J$29,K204&lt;K$31,J$30,K204&lt;K$32,J$31,K204&lt;K$33,J$32,K204&lt;K$34,J$33,K204&lt;K$35,J$34,K204&lt;K$36,J$35,K204&lt;K$37,J$36,K204&lt;K$38,J$37,K204&lt;K$39,J$38,K204&lt;K$40,J$39,K204&lt;K$41,J$40,K204&lt;K$42,J$41,K204&lt;K$43,J$42,K204&lt;K$44,J$43,K204&lt;K$45,J$44,K204&lt;K$46,J$45,K204&lt;K$47,J$46,K204&gt;=K$47,J$47)</f>
        <v/>
      </c>
      <c r="K204" s="38" t="n">
        <v>154</v>
      </c>
      <c r="L204" s="31">
        <f>K204/52</f>
        <v/>
      </c>
      <c r="M204" s="39">
        <f>J204/1000000*52</f>
        <v/>
      </c>
      <c r="N204" s="33">
        <f>M204/$P$4+($I$22/$P$4)</f>
        <v/>
      </c>
      <c r="U204">
        <f>F203</f>
        <v/>
      </c>
      <c r="V204">
        <f>H203</f>
        <v/>
      </c>
      <c r="W204">
        <f>N203</f>
        <v/>
      </c>
    </row>
    <row r="205" ht="15.75" customHeight="1" s="40">
      <c r="C205" s="36">
        <f>_xlfn.IFS(E205&lt;E$24,0,E205&lt;E$26,C$24,E205&lt;E$28,C$26,E205&lt;E$30,C$28,E205&lt;E$32,C$30,E205&lt;E$34,C$32,E205&gt;=E$34,C$34)</f>
        <v/>
      </c>
      <c r="D205" s="37">
        <f>_xlfn.IFS(E205&lt;E$24,0,E205&lt;E$25,D$24,E205&lt;E$26,D$25,E205&lt;E$27,D$26,E205&lt;E$28,D$27,E205&lt;E$29,D$28,E205&lt;E$30,D$29,E205&lt;E$31,D$30,E205&lt;E$32,D$31,E205&lt;E$33,D$32,E205&lt;E$34,D$33,E205&lt;E$35,D$34,E205&gt;=E$35,D$35)</f>
        <v/>
      </c>
      <c r="E205" s="38" t="n">
        <v>155</v>
      </c>
      <c r="F205" s="31">
        <f>E205/52</f>
        <v/>
      </c>
      <c r="G205" s="39">
        <f>D205/1000000*52</f>
        <v/>
      </c>
      <c r="H205" s="33">
        <f>G205/$P$4+($C$22/$P$4)</f>
        <v/>
      </c>
      <c r="I205" s="36">
        <f>_xlfn.IFS(K205&lt;K$24,0,K205&lt;K$26,I$24,K205&lt;K$28,I$26,K205&lt;K$30,I$28,K205&lt;K$32,I$30,K205&lt;K$34,I$32,K205&lt;K$36,I$34,K205&lt;K$38,I$36,K205&lt;K$40,I$38,K205&lt;K$42,I$40,K205&lt;K$44,I$42,K205&lt;K$46,I$44,K205&gt;=K$46,I$46)</f>
        <v/>
      </c>
      <c r="J205" s="37">
        <f>_xlfn.IFS(K205&lt;K$24,0,K205&lt;K$25,J$24,K205&lt;K$26,J$25,K205&lt;K$27,J$26,K205&lt;K$28,J$27,K205&lt;K$29,J$28,K205&lt;K$30,J$29,K205&lt;K$31,J$30,K205&lt;K$32,J$31,K205&lt;K$33,J$32,K205&lt;K$34,J$33,K205&lt;K$35,J$34,K205&lt;K$36,J$35,K205&lt;K$37,J$36,K205&lt;K$38,J$37,K205&lt;K$39,J$38,K205&lt;K$40,J$39,K205&lt;K$41,J$40,K205&lt;K$42,J$41,K205&lt;K$43,J$42,K205&lt;K$44,J$43,K205&lt;K$45,J$44,K205&lt;K$46,J$45,K205&lt;K$47,J$46,K205&gt;=K$47,J$47)</f>
        <v/>
      </c>
      <c r="K205" s="38" t="n">
        <v>155</v>
      </c>
      <c r="L205" s="31">
        <f>K205/52</f>
        <v/>
      </c>
      <c r="M205" s="39">
        <f>J205/1000000*52</f>
        <v/>
      </c>
      <c r="N205" s="33">
        <f>M205/$P$4+($I$22/$P$4)</f>
        <v/>
      </c>
      <c r="U205">
        <f>F204</f>
        <v/>
      </c>
      <c r="V205">
        <f>H204</f>
        <v/>
      </c>
      <c r="W205">
        <f>N204</f>
        <v/>
      </c>
    </row>
    <row r="206" ht="15.75" customHeight="1" s="40">
      <c r="C206" s="36">
        <f>_xlfn.IFS(E206&lt;E$24,0,E206&lt;E$26,C$24,E206&lt;E$28,C$26,E206&lt;E$30,C$28,E206&lt;E$32,C$30,E206&lt;E$34,C$32,E206&gt;=E$34,C$34)</f>
        <v/>
      </c>
      <c r="D206" s="37">
        <f>_xlfn.IFS(E206&lt;E$24,0,E206&lt;E$25,D$24,E206&lt;E$26,D$25,E206&lt;E$27,D$26,E206&lt;E$28,D$27,E206&lt;E$29,D$28,E206&lt;E$30,D$29,E206&lt;E$31,D$30,E206&lt;E$32,D$31,E206&lt;E$33,D$32,E206&lt;E$34,D$33,E206&lt;E$35,D$34,E206&gt;=E$35,D$35)</f>
        <v/>
      </c>
      <c r="E206" s="38" t="n">
        <v>156</v>
      </c>
      <c r="F206" s="31">
        <f>E206/52</f>
        <v/>
      </c>
      <c r="G206" s="39">
        <f>D206/1000000*52</f>
        <v/>
      </c>
      <c r="H206" s="33">
        <f>G206/$P$4+($C$22/$P$4)</f>
        <v/>
      </c>
      <c r="I206" s="36">
        <f>_xlfn.IFS(K206&lt;K$24,0,K206&lt;K$26,I$24,K206&lt;K$28,I$26,K206&lt;K$30,I$28,K206&lt;K$32,I$30,K206&lt;K$34,I$32,K206&lt;K$36,I$34,K206&lt;K$38,I$36,K206&lt;K$40,I$38,K206&lt;K$42,I$40,K206&lt;K$44,I$42,K206&lt;K$46,I$44,K206&gt;=K$46,I$46)</f>
        <v/>
      </c>
      <c r="J206" s="37">
        <f>_xlfn.IFS(K206&lt;K$24,0,K206&lt;K$25,J$24,K206&lt;K$26,J$25,K206&lt;K$27,J$26,K206&lt;K$28,J$27,K206&lt;K$29,J$28,K206&lt;K$30,J$29,K206&lt;K$31,J$30,K206&lt;K$32,J$31,K206&lt;K$33,J$32,K206&lt;K$34,J$33,K206&lt;K$35,J$34,K206&lt;K$36,J$35,K206&lt;K$37,J$36,K206&lt;K$38,J$37,K206&lt;K$39,J$38,K206&lt;K$40,J$39,K206&lt;K$41,J$40,K206&lt;K$42,J$41,K206&lt;K$43,J$42,K206&lt;K$44,J$43,K206&lt;K$45,J$44,K206&lt;K$46,J$45,K206&lt;K$47,J$46,K206&gt;=K$47,J$47)</f>
        <v/>
      </c>
      <c r="K206" s="38" t="n">
        <v>156</v>
      </c>
      <c r="L206" s="31">
        <f>K206/52</f>
        <v/>
      </c>
      <c r="M206" s="39">
        <f>J206/1000000*52</f>
        <v/>
      </c>
      <c r="N206" s="33">
        <f>M206/$P$4+($I$22/$P$4)</f>
        <v/>
      </c>
      <c r="U206">
        <f>F205</f>
        <v/>
      </c>
      <c r="V206">
        <f>H205</f>
        <v/>
      </c>
      <c r="W206">
        <f>N205</f>
        <v/>
      </c>
    </row>
    <row r="207" ht="15.75" customHeight="1" s="40">
      <c r="C207" s="36">
        <f>_xlfn.IFS(E207&lt;E$24,0,E207&lt;E$26,C$24,E207&lt;E$28,C$26,E207&lt;E$30,C$28,E207&lt;E$32,C$30,E207&lt;E$34,C$32,E207&gt;=E$34,C$34)</f>
        <v/>
      </c>
      <c r="D207" s="37">
        <f>_xlfn.IFS(E207&lt;E$24,0,E207&lt;E$25,D$24,E207&lt;E$26,D$25,E207&lt;E$27,D$26,E207&lt;E$28,D$27,E207&lt;E$29,D$28,E207&lt;E$30,D$29,E207&lt;E$31,D$30,E207&lt;E$32,D$31,E207&lt;E$33,D$32,E207&lt;E$34,D$33,E207&lt;E$35,D$34,E207&gt;=E$35,D$35)</f>
        <v/>
      </c>
      <c r="E207" s="38" t="n">
        <v>157</v>
      </c>
      <c r="F207" s="31">
        <f>E207/52</f>
        <v/>
      </c>
      <c r="G207" s="39">
        <f>D207/1000000*52</f>
        <v/>
      </c>
      <c r="H207" s="33">
        <f>G207/$P$4+($C$22/$P$4)</f>
        <v/>
      </c>
      <c r="I207" s="36">
        <f>_xlfn.IFS(K207&lt;K$24,0,K207&lt;K$26,I$24,K207&lt;K$28,I$26,K207&lt;K$30,I$28,K207&lt;K$32,I$30,K207&lt;K$34,I$32,K207&lt;K$36,I$34,K207&lt;K$38,I$36,K207&lt;K$40,I$38,K207&lt;K$42,I$40,K207&lt;K$44,I$42,K207&lt;K$46,I$44,K207&gt;=K$46,I$46)</f>
        <v/>
      </c>
      <c r="J207" s="37">
        <f>_xlfn.IFS(K207&lt;K$24,0,K207&lt;K$25,J$24,K207&lt;K$26,J$25,K207&lt;K$27,J$26,K207&lt;K$28,J$27,K207&lt;K$29,J$28,K207&lt;K$30,J$29,K207&lt;K$31,J$30,K207&lt;K$32,J$31,K207&lt;K$33,J$32,K207&lt;K$34,J$33,K207&lt;K$35,J$34,K207&lt;K$36,J$35,K207&lt;K$37,J$36,K207&lt;K$38,J$37,K207&lt;K$39,J$38,K207&lt;K$40,J$39,K207&lt;K$41,J$40,K207&lt;K$42,J$41,K207&lt;K$43,J$42,K207&lt;K$44,J$43,K207&lt;K$45,J$44,K207&lt;K$46,J$45,K207&lt;K$47,J$46,K207&gt;=K$47,J$47)</f>
        <v/>
      </c>
      <c r="K207" s="38" t="n">
        <v>157</v>
      </c>
      <c r="L207" s="31">
        <f>K207/52</f>
        <v/>
      </c>
      <c r="M207" s="39">
        <f>J207/1000000*52</f>
        <v/>
      </c>
      <c r="N207" s="33">
        <f>M207/$P$4+($I$22/$P$4)</f>
        <v/>
      </c>
      <c r="U207">
        <f>F206</f>
        <v/>
      </c>
      <c r="V207">
        <f>H206</f>
        <v/>
      </c>
      <c r="W207">
        <f>N206</f>
        <v/>
      </c>
    </row>
    <row r="208" ht="15.75" customHeight="1" s="40">
      <c r="C208" s="36">
        <f>_xlfn.IFS(E208&lt;E$24,0,E208&lt;E$26,C$24,E208&lt;E$28,C$26,E208&lt;E$30,C$28,E208&lt;E$32,C$30,E208&lt;E$34,C$32,E208&gt;=E$34,C$34)</f>
        <v/>
      </c>
      <c r="D208" s="37">
        <f>_xlfn.IFS(E208&lt;E$24,0,E208&lt;E$25,D$24,E208&lt;E$26,D$25,E208&lt;E$27,D$26,E208&lt;E$28,D$27,E208&lt;E$29,D$28,E208&lt;E$30,D$29,E208&lt;E$31,D$30,E208&lt;E$32,D$31,E208&lt;E$33,D$32,E208&lt;E$34,D$33,E208&lt;E$35,D$34,E208&gt;=E$35,D$35)</f>
        <v/>
      </c>
      <c r="E208" s="38" t="n">
        <v>158</v>
      </c>
      <c r="F208" s="31">
        <f>E208/52</f>
        <v/>
      </c>
      <c r="G208" s="39">
        <f>D208/1000000*52</f>
        <v/>
      </c>
      <c r="H208" s="33">
        <f>G208/$P$4+($C$22/$P$4)</f>
        <v/>
      </c>
      <c r="I208" s="36">
        <f>_xlfn.IFS(K208&lt;K$24,0,K208&lt;K$26,I$24,K208&lt;K$28,I$26,K208&lt;K$30,I$28,K208&lt;K$32,I$30,K208&lt;K$34,I$32,K208&lt;K$36,I$34,K208&lt;K$38,I$36,K208&lt;K$40,I$38,K208&lt;K$42,I$40,K208&lt;K$44,I$42,K208&lt;K$46,I$44,K208&gt;=K$46,I$46)</f>
        <v/>
      </c>
      <c r="J208" s="37">
        <f>_xlfn.IFS(K208&lt;K$24,0,K208&lt;K$25,J$24,K208&lt;K$26,J$25,K208&lt;K$27,J$26,K208&lt;K$28,J$27,K208&lt;K$29,J$28,K208&lt;K$30,J$29,K208&lt;K$31,J$30,K208&lt;K$32,J$31,K208&lt;K$33,J$32,K208&lt;K$34,J$33,K208&lt;K$35,J$34,K208&lt;K$36,J$35,K208&lt;K$37,J$36,K208&lt;K$38,J$37,K208&lt;K$39,J$38,K208&lt;K$40,J$39,K208&lt;K$41,J$40,K208&lt;K$42,J$41,K208&lt;K$43,J$42,K208&lt;K$44,J$43,K208&lt;K$45,J$44,K208&lt;K$46,J$45,K208&lt;K$47,J$46,K208&gt;=K$47,J$47)</f>
        <v/>
      </c>
      <c r="K208" s="38" t="n">
        <v>158</v>
      </c>
      <c r="L208" s="31">
        <f>K208/52</f>
        <v/>
      </c>
      <c r="M208" s="39">
        <f>J208/1000000*52</f>
        <v/>
      </c>
      <c r="N208" s="33">
        <f>M208/$P$4+($I$22/$P$4)</f>
        <v/>
      </c>
      <c r="U208">
        <f>F207</f>
        <v/>
      </c>
      <c r="V208">
        <f>H207</f>
        <v/>
      </c>
      <c r="W208">
        <f>N207</f>
        <v/>
      </c>
    </row>
    <row r="209" ht="15.75" customHeight="1" s="40">
      <c r="C209" s="36">
        <f>_xlfn.IFS(E209&lt;E$24,0,E209&lt;E$26,C$24,E209&lt;E$28,C$26,E209&lt;E$30,C$28,E209&lt;E$32,C$30,E209&lt;E$34,C$32,E209&gt;=E$34,C$34)</f>
        <v/>
      </c>
      <c r="D209" s="37">
        <f>_xlfn.IFS(E209&lt;E$24,0,E209&lt;E$25,D$24,E209&lt;E$26,D$25,E209&lt;E$27,D$26,E209&lt;E$28,D$27,E209&lt;E$29,D$28,E209&lt;E$30,D$29,E209&lt;E$31,D$30,E209&lt;E$32,D$31,E209&lt;E$33,D$32,E209&lt;E$34,D$33,E209&lt;E$35,D$34,E209&gt;=E$35,D$35)</f>
        <v/>
      </c>
      <c r="E209" s="38" t="n">
        <v>159</v>
      </c>
      <c r="F209" s="31">
        <f>E209/52</f>
        <v/>
      </c>
      <c r="G209" s="39">
        <f>D209/1000000*52</f>
        <v/>
      </c>
      <c r="H209" s="33">
        <f>G209/$P$4+($C$22/$P$4)</f>
        <v/>
      </c>
      <c r="I209" s="36">
        <f>_xlfn.IFS(K209&lt;K$24,0,K209&lt;K$26,I$24,K209&lt;K$28,I$26,K209&lt;K$30,I$28,K209&lt;K$32,I$30,K209&lt;K$34,I$32,K209&lt;K$36,I$34,K209&lt;K$38,I$36,K209&lt;K$40,I$38,K209&lt;K$42,I$40,K209&lt;K$44,I$42,K209&lt;K$46,I$44,K209&gt;=K$46,I$46)</f>
        <v/>
      </c>
      <c r="J209" s="37">
        <f>_xlfn.IFS(K209&lt;K$24,0,K209&lt;K$25,J$24,K209&lt;K$26,J$25,K209&lt;K$27,J$26,K209&lt;K$28,J$27,K209&lt;K$29,J$28,K209&lt;K$30,J$29,K209&lt;K$31,J$30,K209&lt;K$32,J$31,K209&lt;K$33,J$32,K209&lt;K$34,J$33,K209&lt;K$35,J$34,K209&lt;K$36,J$35,K209&lt;K$37,J$36,K209&lt;K$38,J$37,K209&lt;K$39,J$38,K209&lt;K$40,J$39,K209&lt;K$41,J$40,K209&lt;K$42,J$41,K209&lt;K$43,J$42,K209&lt;K$44,J$43,K209&lt;K$45,J$44,K209&lt;K$46,J$45,K209&lt;K$47,J$46,K209&gt;=K$47,J$47)</f>
        <v/>
      </c>
      <c r="K209" s="38" t="n">
        <v>159</v>
      </c>
      <c r="L209" s="31">
        <f>K209/52</f>
        <v/>
      </c>
      <c r="M209" s="39">
        <f>J209/1000000*52</f>
        <v/>
      </c>
      <c r="N209" s="33">
        <f>M209/$P$4+($I$22/$P$4)</f>
        <v/>
      </c>
      <c r="U209">
        <f>F208</f>
        <v/>
      </c>
      <c r="V209">
        <f>H208</f>
        <v/>
      </c>
      <c r="W209">
        <f>N208</f>
        <v/>
      </c>
    </row>
    <row r="210" ht="15.75" customHeight="1" s="40">
      <c r="C210" s="36">
        <f>_xlfn.IFS(E210&lt;E$24,0,E210&lt;E$26,C$24,E210&lt;E$28,C$26,E210&lt;E$30,C$28,E210&lt;E$32,C$30,E210&lt;E$34,C$32,E210&gt;=E$34,C$34)</f>
        <v/>
      </c>
      <c r="D210" s="37">
        <f>_xlfn.IFS(E210&lt;E$24,0,E210&lt;E$25,D$24,E210&lt;E$26,D$25,E210&lt;E$27,D$26,E210&lt;E$28,D$27,E210&lt;E$29,D$28,E210&lt;E$30,D$29,E210&lt;E$31,D$30,E210&lt;E$32,D$31,E210&lt;E$33,D$32,E210&lt;E$34,D$33,E210&lt;E$35,D$34,E210&gt;=E$35,D$35)</f>
        <v/>
      </c>
      <c r="E210" s="38" t="n">
        <v>160</v>
      </c>
      <c r="F210" s="31">
        <f>E210/52</f>
        <v/>
      </c>
      <c r="G210" s="39">
        <f>D210/1000000*52</f>
        <v/>
      </c>
      <c r="H210" s="33">
        <f>G210/$P$4+($C$22/$P$4)</f>
        <v/>
      </c>
      <c r="I210" s="36">
        <f>_xlfn.IFS(K210&lt;K$24,0,K210&lt;K$26,I$24,K210&lt;K$28,I$26,K210&lt;K$30,I$28,K210&lt;K$32,I$30,K210&lt;K$34,I$32,K210&lt;K$36,I$34,K210&lt;K$38,I$36,K210&lt;K$40,I$38,K210&lt;K$42,I$40,K210&lt;K$44,I$42,K210&lt;K$46,I$44,K210&gt;=K$46,I$46)</f>
        <v/>
      </c>
      <c r="J210" s="37">
        <f>_xlfn.IFS(K210&lt;K$24,0,K210&lt;K$25,J$24,K210&lt;K$26,J$25,K210&lt;K$27,J$26,K210&lt;K$28,J$27,K210&lt;K$29,J$28,K210&lt;K$30,J$29,K210&lt;K$31,J$30,K210&lt;K$32,J$31,K210&lt;K$33,J$32,K210&lt;K$34,J$33,K210&lt;K$35,J$34,K210&lt;K$36,J$35,K210&lt;K$37,J$36,K210&lt;K$38,J$37,K210&lt;K$39,J$38,K210&lt;K$40,J$39,K210&lt;K$41,J$40,K210&lt;K$42,J$41,K210&lt;K$43,J$42,K210&lt;K$44,J$43,K210&lt;K$45,J$44,K210&lt;K$46,J$45,K210&lt;K$47,J$46,K210&gt;=K$47,J$47)</f>
        <v/>
      </c>
      <c r="K210" s="38" t="n">
        <v>160</v>
      </c>
      <c r="L210" s="31">
        <f>K210/52</f>
        <v/>
      </c>
      <c r="M210" s="39">
        <f>J210/1000000*52</f>
        <v/>
      </c>
      <c r="N210" s="33">
        <f>M210/$P$4+($I$22/$P$4)</f>
        <v/>
      </c>
      <c r="U210">
        <f>F209</f>
        <v/>
      </c>
      <c r="V210">
        <f>H209</f>
        <v/>
      </c>
      <c r="W210">
        <f>N209</f>
        <v/>
      </c>
    </row>
    <row r="211" ht="15.75" customHeight="1" s="40">
      <c r="C211" s="36">
        <f>_xlfn.IFS(E211&lt;E$24,0,E211&lt;E$26,C$24,E211&lt;E$28,C$26,E211&lt;E$30,C$28,E211&lt;E$32,C$30,E211&lt;E$34,C$32,E211&gt;=E$34,C$34)</f>
        <v/>
      </c>
      <c r="D211" s="37">
        <f>_xlfn.IFS(E211&lt;E$24,0,E211&lt;E$25,D$24,E211&lt;E$26,D$25,E211&lt;E$27,D$26,E211&lt;E$28,D$27,E211&lt;E$29,D$28,E211&lt;E$30,D$29,E211&lt;E$31,D$30,E211&lt;E$32,D$31,E211&lt;E$33,D$32,E211&lt;E$34,D$33,E211&lt;E$35,D$34,E211&gt;=E$35,D$35)</f>
        <v/>
      </c>
      <c r="E211" s="38" t="n">
        <v>161</v>
      </c>
      <c r="F211" s="31">
        <f>E211/52</f>
        <v/>
      </c>
      <c r="G211" s="39">
        <f>D211/1000000*52</f>
        <v/>
      </c>
      <c r="H211" s="33">
        <f>G211/$P$4+($C$22/$P$4)</f>
        <v/>
      </c>
      <c r="I211" s="36">
        <f>_xlfn.IFS(K211&lt;K$24,0,K211&lt;K$26,I$24,K211&lt;K$28,I$26,K211&lt;K$30,I$28,K211&lt;K$32,I$30,K211&lt;K$34,I$32,K211&lt;K$36,I$34,K211&lt;K$38,I$36,K211&lt;K$40,I$38,K211&lt;K$42,I$40,K211&lt;K$44,I$42,K211&lt;K$46,I$44,K211&gt;=K$46,I$46)</f>
        <v/>
      </c>
      <c r="J211" s="37">
        <f>_xlfn.IFS(K211&lt;K$24,0,K211&lt;K$25,J$24,K211&lt;K$26,J$25,K211&lt;K$27,J$26,K211&lt;K$28,J$27,K211&lt;K$29,J$28,K211&lt;K$30,J$29,K211&lt;K$31,J$30,K211&lt;K$32,J$31,K211&lt;K$33,J$32,K211&lt;K$34,J$33,K211&lt;K$35,J$34,K211&lt;K$36,J$35,K211&lt;K$37,J$36,K211&lt;K$38,J$37,K211&lt;K$39,J$38,K211&lt;K$40,J$39,K211&lt;K$41,J$40,K211&lt;K$42,J$41,K211&lt;K$43,J$42,K211&lt;K$44,J$43,K211&lt;K$45,J$44,K211&lt;K$46,J$45,K211&lt;K$47,J$46,K211&gt;=K$47,J$47)</f>
        <v/>
      </c>
      <c r="K211" s="38" t="n">
        <v>161</v>
      </c>
      <c r="L211" s="31">
        <f>K211/52</f>
        <v/>
      </c>
      <c r="M211" s="39">
        <f>J211/1000000*52</f>
        <v/>
      </c>
      <c r="N211" s="33">
        <f>M211/$P$4+($I$22/$P$4)</f>
        <v/>
      </c>
      <c r="U211">
        <f>F210</f>
        <v/>
      </c>
      <c r="V211">
        <f>H210</f>
        <v/>
      </c>
      <c r="W211">
        <f>N210</f>
        <v/>
      </c>
    </row>
    <row r="212" ht="15.75" customHeight="1" s="40">
      <c r="C212" s="36">
        <f>_xlfn.IFS(E212&lt;E$24,0,E212&lt;E$26,C$24,E212&lt;E$28,C$26,E212&lt;E$30,C$28,E212&lt;E$32,C$30,E212&lt;E$34,C$32,E212&gt;=E$34,C$34)</f>
        <v/>
      </c>
      <c r="D212" s="37">
        <f>_xlfn.IFS(E212&lt;E$24,0,E212&lt;E$25,D$24,E212&lt;E$26,D$25,E212&lt;E$27,D$26,E212&lt;E$28,D$27,E212&lt;E$29,D$28,E212&lt;E$30,D$29,E212&lt;E$31,D$30,E212&lt;E$32,D$31,E212&lt;E$33,D$32,E212&lt;E$34,D$33,E212&lt;E$35,D$34,E212&gt;=E$35,D$35)</f>
        <v/>
      </c>
      <c r="E212" s="38" t="n">
        <v>162</v>
      </c>
      <c r="F212" s="31">
        <f>E212/52</f>
        <v/>
      </c>
      <c r="G212" s="39">
        <f>D212/1000000*52</f>
        <v/>
      </c>
      <c r="H212" s="33">
        <f>G212/$P$4+($C$22/$P$4)</f>
        <v/>
      </c>
      <c r="I212" s="36">
        <f>_xlfn.IFS(K212&lt;K$24,0,K212&lt;K$26,I$24,K212&lt;K$28,I$26,K212&lt;K$30,I$28,K212&lt;K$32,I$30,K212&lt;K$34,I$32,K212&lt;K$36,I$34,K212&lt;K$38,I$36,K212&lt;K$40,I$38,K212&lt;K$42,I$40,K212&lt;K$44,I$42,K212&lt;K$46,I$44,K212&gt;=K$46,I$46)</f>
        <v/>
      </c>
      <c r="J212" s="37">
        <f>_xlfn.IFS(K212&lt;K$24,0,K212&lt;K$25,J$24,K212&lt;K$26,J$25,K212&lt;K$27,J$26,K212&lt;K$28,J$27,K212&lt;K$29,J$28,K212&lt;K$30,J$29,K212&lt;K$31,J$30,K212&lt;K$32,J$31,K212&lt;K$33,J$32,K212&lt;K$34,J$33,K212&lt;K$35,J$34,K212&lt;K$36,J$35,K212&lt;K$37,J$36,K212&lt;K$38,J$37,K212&lt;K$39,J$38,K212&lt;K$40,J$39,K212&lt;K$41,J$40,K212&lt;K$42,J$41,K212&lt;K$43,J$42,K212&lt;K$44,J$43,K212&lt;K$45,J$44,K212&lt;K$46,J$45,K212&lt;K$47,J$46,K212&gt;=K$47,J$47)</f>
        <v/>
      </c>
      <c r="K212" s="38" t="n">
        <v>162</v>
      </c>
      <c r="L212" s="31">
        <f>K212/52</f>
        <v/>
      </c>
      <c r="M212" s="39">
        <f>J212/1000000*52</f>
        <v/>
      </c>
      <c r="N212" s="33">
        <f>M212/$P$4+($I$22/$P$4)</f>
        <v/>
      </c>
      <c r="U212">
        <f>F211</f>
        <v/>
      </c>
      <c r="V212">
        <f>H211</f>
        <v/>
      </c>
      <c r="W212">
        <f>N211</f>
        <v/>
      </c>
    </row>
    <row r="213" ht="15.75" customHeight="1" s="40">
      <c r="C213" s="36">
        <f>_xlfn.IFS(E213&lt;E$24,0,E213&lt;E$26,C$24,E213&lt;E$28,C$26,E213&lt;E$30,C$28,E213&lt;E$32,C$30,E213&lt;E$34,C$32,E213&gt;=E$34,C$34)</f>
        <v/>
      </c>
      <c r="D213" s="37">
        <f>_xlfn.IFS(E213&lt;E$24,0,E213&lt;E$25,D$24,E213&lt;E$26,D$25,E213&lt;E$27,D$26,E213&lt;E$28,D$27,E213&lt;E$29,D$28,E213&lt;E$30,D$29,E213&lt;E$31,D$30,E213&lt;E$32,D$31,E213&lt;E$33,D$32,E213&lt;E$34,D$33,E213&lt;E$35,D$34,E213&gt;=E$35,D$35)</f>
        <v/>
      </c>
      <c r="E213" s="38" t="n">
        <v>163</v>
      </c>
      <c r="F213" s="31">
        <f>E213/52</f>
        <v/>
      </c>
      <c r="G213" s="39">
        <f>D213/1000000*52</f>
        <v/>
      </c>
      <c r="H213" s="33">
        <f>G213/$P$4+($C$22/$P$4)</f>
        <v/>
      </c>
      <c r="I213" s="36">
        <f>_xlfn.IFS(K213&lt;K$24,0,K213&lt;K$26,I$24,K213&lt;K$28,I$26,K213&lt;K$30,I$28,K213&lt;K$32,I$30,K213&lt;K$34,I$32,K213&lt;K$36,I$34,K213&lt;K$38,I$36,K213&lt;K$40,I$38,K213&lt;K$42,I$40,K213&lt;K$44,I$42,K213&lt;K$46,I$44,K213&gt;=K$46,I$46)</f>
        <v/>
      </c>
      <c r="J213" s="37">
        <f>_xlfn.IFS(K213&lt;K$24,0,K213&lt;K$25,J$24,K213&lt;K$26,J$25,K213&lt;K$27,J$26,K213&lt;K$28,J$27,K213&lt;K$29,J$28,K213&lt;K$30,J$29,K213&lt;K$31,J$30,K213&lt;K$32,J$31,K213&lt;K$33,J$32,K213&lt;K$34,J$33,K213&lt;K$35,J$34,K213&lt;K$36,J$35,K213&lt;K$37,J$36,K213&lt;K$38,J$37,K213&lt;K$39,J$38,K213&lt;K$40,J$39,K213&lt;K$41,J$40,K213&lt;K$42,J$41,K213&lt;K$43,J$42,K213&lt;K$44,J$43,K213&lt;K$45,J$44,K213&lt;K$46,J$45,K213&lt;K$47,J$46,K213&gt;=K$47,J$47)</f>
        <v/>
      </c>
      <c r="K213" s="38" t="n">
        <v>163</v>
      </c>
      <c r="L213" s="31">
        <f>K213/52</f>
        <v/>
      </c>
      <c r="M213" s="39">
        <f>J213/1000000*52</f>
        <v/>
      </c>
      <c r="N213" s="33">
        <f>M213/$P$4+($I$22/$P$4)</f>
        <v/>
      </c>
      <c r="U213">
        <f>F212</f>
        <v/>
      </c>
      <c r="V213">
        <f>H212</f>
        <v/>
      </c>
      <c r="W213">
        <f>N212</f>
        <v/>
      </c>
    </row>
    <row r="214" ht="15.75" customHeight="1" s="40">
      <c r="C214" s="36">
        <f>_xlfn.IFS(E214&lt;E$24,0,E214&lt;E$26,C$24,E214&lt;E$28,C$26,E214&lt;E$30,C$28,E214&lt;E$32,C$30,E214&lt;E$34,C$32,E214&gt;=E$34,C$34)</f>
        <v/>
      </c>
      <c r="D214" s="37">
        <f>_xlfn.IFS(E214&lt;E$24,0,E214&lt;E$25,D$24,E214&lt;E$26,D$25,E214&lt;E$27,D$26,E214&lt;E$28,D$27,E214&lt;E$29,D$28,E214&lt;E$30,D$29,E214&lt;E$31,D$30,E214&lt;E$32,D$31,E214&lt;E$33,D$32,E214&lt;E$34,D$33,E214&lt;E$35,D$34,E214&gt;=E$35,D$35)</f>
        <v/>
      </c>
      <c r="E214" s="38" t="n">
        <v>164</v>
      </c>
      <c r="F214" s="31">
        <f>E214/52</f>
        <v/>
      </c>
      <c r="G214" s="39">
        <f>D214/1000000*52</f>
        <v/>
      </c>
      <c r="H214" s="33">
        <f>G214/$P$4+($C$22/$P$4)</f>
        <v/>
      </c>
      <c r="I214" s="36">
        <f>_xlfn.IFS(K214&lt;K$24,0,K214&lt;K$26,I$24,K214&lt;K$28,I$26,K214&lt;K$30,I$28,K214&lt;K$32,I$30,K214&lt;K$34,I$32,K214&lt;K$36,I$34,K214&lt;K$38,I$36,K214&lt;K$40,I$38,K214&lt;K$42,I$40,K214&lt;K$44,I$42,K214&lt;K$46,I$44,K214&gt;=K$46,I$46)</f>
        <v/>
      </c>
      <c r="J214" s="37">
        <f>_xlfn.IFS(K214&lt;K$24,0,K214&lt;K$25,J$24,K214&lt;K$26,J$25,K214&lt;K$27,J$26,K214&lt;K$28,J$27,K214&lt;K$29,J$28,K214&lt;K$30,J$29,K214&lt;K$31,J$30,K214&lt;K$32,J$31,K214&lt;K$33,J$32,K214&lt;K$34,J$33,K214&lt;K$35,J$34,K214&lt;K$36,J$35,K214&lt;K$37,J$36,K214&lt;K$38,J$37,K214&lt;K$39,J$38,K214&lt;K$40,J$39,K214&lt;K$41,J$40,K214&lt;K$42,J$41,K214&lt;K$43,J$42,K214&lt;K$44,J$43,K214&lt;K$45,J$44,K214&lt;K$46,J$45,K214&lt;K$47,J$46,K214&gt;=K$47,J$47)</f>
        <v/>
      </c>
      <c r="K214" s="38" t="n">
        <v>164</v>
      </c>
      <c r="L214" s="31">
        <f>K214/52</f>
        <v/>
      </c>
      <c r="M214" s="39">
        <f>J214/1000000*52</f>
        <v/>
      </c>
      <c r="N214" s="33">
        <f>M214/$P$4+($I$22/$P$4)</f>
        <v/>
      </c>
      <c r="U214">
        <f>F213</f>
        <v/>
      </c>
      <c r="V214">
        <f>H213</f>
        <v/>
      </c>
      <c r="W214">
        <f>N213</f>
        <v/>
      </c>
    </row>
    <row r="215" ht="15.75" customHeight="1" s="40">
      <c r="C215" s="36">
        <f>_xlfn.IFS(E215&lt;E$24,0,E215&lt;E$26,C$24,E215&lt;E$28,C$26,E215&lt;E$30,C$28,E215&lt;E$32,C$30,E215&lt;E$34,C$32,E215&gt;=E$34,C$34)</f>
        <v/>
      </c>
      <c r="D215" s="37">
        <f>_xlfn.IFS(E215&lt;E$24,0,E215&lt;E$25,D$24,E215&lt;E$26,D$25,E215&lt;E$27,D$26,E215&lt;E$28,D$27,E215&lt;E$29,D$28,E215&lt;E$30,D$29,E215&lt;E$31,D$30,E215&lt;E$32,D$31,E215&lt;E$33,D$32,E215&lt;E$34,D$33,E215&lt;E$35,D$34,E215&gt;=E$35,D$35)</f>
        <v/>
      </c>
      <c r="E215" s="38" t="n">
        <v>165</v>
      </c>
      <c r="F215" s="31">
        <f>E215/52</f>
        <v/>
      </c>
      <c r="G215" s="39">
        <f>D215/1000000*52</f>
        <v/>
      </c>
      <c r="H215" s="33">
        <f>G215/$P$4+($C$22/$P$4)</f>
        <v/>
      </c>
      <c r="I215" s="36">
        <f>_xlfn.IFS(K215&lt;K$24,0,K215&lt;K$26,I$24,K215&lt;K$28,I$26,K215&lt;K$30,I$28,K215&lt;K$32,I$30,K215&lt;K$34,I$32,K215&lt;K$36,I$34,K215&lt;K$38,I$36,K215&lt;K$40,I$38,K215&lt;K$42,I$40,K215&lt;K$44,I$42,K215&lt;K$46,I$44,K215&gt;=K$46,I$46)</f>
        <v/>
      </c>
      <c r="J215" s="37">
        <f>_xlfn.IFS(K215&lt;K$24,0,K215&lt;K$25,J$24,K215&lt;K$26,J$25,K215&lt;K$27,J$26,K215&lt;K$28,J$27,K215&lt;K$29,J$28,K215&lt;K$30,J$29,K215&lt;K$31,J$30,K215&lt;K$32,J$31,K215&lt;K$33,J$32,K215&lt;K$34,J$33,K215&lt;K$35,J$34,K215&lt;K$36,J$35,K215&lt;K$37,J$36,K215&lt;K$38,J$37,K215&lt;K$39,J$38,K215&lt;K$40,J$39,K215&lt;K$41,J$40,K215&lt;K$42,J$41,K215&lt;K$43,J$42,K215&lt;K$44,J$43,K215&lt;K$45,J$44,K215&lt;K$46,J$45,K215&lt;K$47,J$46,K215&gt;=K$47,J$47)</f>
        <v/>
      </c>
      <c r="K215" s="38" t="n">
        <v>165</v>
      </c>
      <c r="L215" s="31">
        <f>K215/52</f>
        <v/>
      </c>
      <c r="M215" s="39">
        <f>J215/1000000*52</f>
        <v/>
      </c>
      <c r="N215" s="33">
        <f>M215/$P$4+($I$22/$P$4)</f>
        <v/>
      </c>
      <c r="U215">
        <f>F214</f>
        <v/>
      </c>
      <c r="V215">
        <f>H214</f>
        <v/>
      </c>
      <c r="W215">
        <f>N214</f>
        <v/>
      </c>
    </row>
    <row r="216" ht="15.75" customHeight="1" s="40">
      <c r="C216" s="36">
        <f>_xlfn.IFS(E216&lt;E$24,0,E216&lt;E$26,C$24,E216&lt;E$28,C$26,E216&lt;E$30,C$28,E216&lt;E$32,C$30,E216&lt;E$34,C$32,E216&gt;=E$34,C$34)</f>
        <v/>
      </c>
      <c r="D216" s="37">
        <f>_xlfn.IFS(E216&lt;E$24,0,E216&lt;E$25,D$24,E216&lt;E$26,D$25,E216&lt;E$27,D$26,E216&lt;E$28,D$27,E216&lt;E$29,D$28,E216&lt;E$30,D$29,E216&lt;E$31,D$30,E216&lt;E$32,D$31,E216&lt;E$33,D$32,E216&lt;E$34,D$33,E216&lt;E$35,D$34,E216&gt;=E$35,D$35)</f>
        <v/>
      </c>
      <c r="E216" s="38" t="n">
        <v>166</v>
      </c>
      <c r="F216" s="31">
        <f>E216/52</f>
        <v/>
      </c>
      <c r="G216" s="39">
        <f>D216/1000000*52</f>
        <v/>
      </c>
      <c r="H216" s="33">
        <f>G216/$P$4+($C$22/$P$4)</f>
        <v/>
      </c>
      <c r="I216" s="36">
        <f>_xlfn.IFS(K216&lt;K$24,0,K216&lt;K$26,I$24,K216&lt;K$28,I$26,K216&lt;K$30,I$28,K216&lt;K$32,I$30,K216&lt;K$34,I$32,K216&lt;K$36,I$34,K216&lt;K$38,I$36,K216&lt;K$40,I$38,K216&lt;K$42,I$40,K216&lt;K$44,I$42,K216&lt;K$46,I$44,K216&gt;=K$46,I$46)</f>
        <v/>
      </c>
      <c r="J216" s="37">
        <f>_xlfn.IFS(K216&lt;K$24,0,K216&lt;K$25,J$24,K216&lt;K$26,J$25,K216&lt;K$27,J$26,K216&lt;K$28,J$27,K216&lt;K$29,J$28,K216&lt;K$30,J$29,K216&lt;K$31,J$30,K216&lt;K$32,J$31,K216&lt;K$33,J$32,K216&lt;K$34,J$33,K216&lt;K$35,J$34,K216&lt;K$36,J$35,K216&lt;K$37,J$36,K216&lt;K$38,J$37,K216&lt;K$39,J$38,K216&lt;K$40,J$39,K216&lt;K$41,J$40,K216&lt;K$42,J$41,K216&lt;K$43,J$42,K216&lt;K$44,J$43,K216&lt;K$45,J$44,K216&lt;K$46,J$45,K216&lt;K$47,J$46,K216&gt;=K$47,J$47)</f>
        <v/>
      </c>
      <c r="K216" s="38" t="n">
        <v>166</v>
      </c>
      <c r="L216" s="31">
        <f>K216/52</f>
        <v/>
      </c>
      <c r="M216" s="39">
        <f>J216/1000000*52</f>
        <v/>
      </c>
      <c r="N216" s="33">
        <f>M216/$P$4+($I$22/$P$4)</f>
        <v/>
      </c>
      <c r="U216">
        <f>F215</f>
        <v/>
      </c>
      <c r="V216">
        <f>H215</f>
        <v/>
      </c>
      <c r="W216">
        <f>N215</f>
        <v/>
      </c>
    </row>
    <row r="217" ht="15.75" customHeight="1" s="40">
      <c r="C217" s="36">
        <f>_xlfn.IFS(E217&lt;E$24,0,E217&lt;E$26,C$24,E217&lt;E$28,C$26,E217&lt;E$30,C$28,E217&lt;E$32,C$30,E217&lt;E$34,C$32,E217&gt;=E$34,C$34)</f>
        <v/>
      </c>
      <c r="D217" s="37">
        <f>_xlfn.IFS(E217&lt;E$24,0,E217&lt;E$25,D$24,E217&lt;E$26,D$25,E217&lt;E$27,D$26,E217&lt;E$28,D$27,E217&lt;E$29,D$28,E217&lt;E$30,D$29,E217&lt;E$31,D$30,E217&lt;E$32,D$31,E217&lt;E$33,D$32,E217&lt;E$34,D$33,E217&lt;E$35,D$34,E217&gt;=E$35,D$35)</f>
        <v/>
      </c>
      <c r="E217" s="38" t="n">
        <v>167</v>
      </c>
      <c r="F217" s="31">
        <f>E217/52</f>
        <v/>
      </c>
      <c r="G217" s="39">
        <f>D217/1000000*52</f>
        <v/>
      </c>
      <c r="H217" s="33">
        <f>G217/$P$4+($C$22/$P$4)</f>
        <v/>
      </c>
      <c r="I217" s="36">
        <f>_xlfn.IFS(K217&lt;K$24,0,K217&lt;K$26,I$24,K217&lt;K$28,I$26,K217&lt;K$30,I$28,K217&lt;K$32,I$30,K217&lt;K$34,I$32,K217&lt;K$36,I$34,K217&lt;K$38,I$36,K217&lt;K$40,I$38,K217&lt;K$42,I$40,K217&lt;K$44,I$42,K217&lt;K$46,I$44,K217&gt;=K$46,I$46)</f>
        <v/>
      </c>
      <c r="J217" s="37">
        <f>_xlfn.IFS(K217&lt;K$24,0,K217&lt;K$25,J$24,K217&lt;K$26,J$25,K217&lt;K$27,J$26,K217&lt;K$28,J$27,K217&lt;K$29,J$28,K217&lt;K$30,J$29,K217&lt;K$31,J$30,K217&lt;K$32,J$31,K217&lt;K$33,J$32,K217&lt;K$34,J$33,K217&lt;K$35,J$34,K217&lt;K$36,J$35,K217&lt;K$37,J$36,K217&lt;K$38,J$37,K217&lt;K$39,J$38,K217&lt;K$40,J$39,K217&lt;K$41,J$40,K217&lt;K$42,J$41,K217&lt;K$43,J$42,K217&lt;K$44,J$43,K217&lt;K$45,J$44,K217&lt;K$46,J$45,K217&lt;K$47,J$46,K217&gt;=K$47,J$47)</f>
        <v/>
      </c>
      <c r="K217" s="38" t="n">
        <v>167</v>
      </c>
      <c r="L217" s="31">
        <f>K217/52</f>
        <v/>
      </c>
      <c r="M217" s="39">
        <f>J217/1000000*52</f>
        <v/>
      </c>
      <c r="N217" s="33">
        <f>M217/$P$4+($I$22/$P$4)</f>
        <v/>
      </c>
      <c r="U217">
        <f>F216</f>
        <v/>
      </c>
      <c r="V217">
        <f>H216</f>
        <v/>
      </c>
      <c r="W217">
        <f>N216</f>
        <v/>
      </c>
    </row>
    <row r="218" ht="15.75" customHeight="1" s="40">
      <c r="C218" s="36">
        <f>_xlfn.IFS(E218&lt;E$24,0,E218&lt;E$26,C$24,E218&lt;E$28,C$26,E218&lt;E$30,C$28,E218&lt;E$32,C$30,E218&lt;E$34,C$32,E218&gt;=E$34,C$34)</f>
        <v/>
      </c>
      <c r="D218" s="37">
        <f>_xlfn.IFS(E218&lt;E$24,0,E218&lt;E$25,D$24,E218&lt;E$26,D$25,E218&lt;E$27,D$26,E218&lt;E$28,D$27,E218&lt;E$29,D$28,E218&lt;E$30,D$29,E218&lt;E$31,D$30,E218&lt;E$32,D$31,E218&lt;E$33,D$32,E218&lt;E$34,D$33,E218&lt;E$35,D$34,E218&gt;=E$35,D$35)</f>
        <v/>
      </c>
      <c r="E218" s="38" t="n">
        <v>168</v>
      </c>
      <c r="F218" s="31">
        <f>E218/52</f>
        <v/>
      </c>
      <c r="G218" s="39">
        <f>D218/1000000*52</f>
        <v/>
      </c>
      <c r="H218" s="33">
        <f>G218/$P$4+($C$22/$P$4)</f>
        <v/>
      </c>
      <c r="I218" s="36">
        <f>_xlfn.IFS(K218&lt;K$24,0,K218&lt;K$26,I$24,K218&lt;K$28,I$26,K218&lt;K$30,I$28,K218&lt;K$32,I$30,K218&lt;K$34,I$32,K218&lt;K$36,I$34,K218&lt;K$38,I$36,K218&lt;K$40,I$38,K218&lt;K$42,I$40,K218&lt;K$44,I$42,K218&lt;K$46,I$44,K218&gt;=K$46,I$46)</f>
        <v/>
      </c>
      <c r="J218" s="37">
        <f>_xlfn.IFS(K218&lt;K$24,0,K218&lt;K$25,J$24,K218&lt;K$26,J$25,K218&lt;K$27,J$26,K218&lt;K$28,J$27,K218&lt;K$29,J$28,K218&lt;K$30,J$29,K218&lt;K$31,J$30,K218&lt;K$32,J$31,K218&lt;K$33,J$32,K218&lt;K$34,J$33,K218&lt;K$35,J$34,K218&lt;K$36,J$35,K218&lt;K$37,J$36,K218&lt;K$38,J$37,K218&lt;K$39,J$38,K218&lt;K$40,J$39,K218&lt;K$41,J$40,K218&lt;K$42,J$41,K218&lt;K$43,J$42,K218&lt;K$44,J$43,K218&lt;K$45,J$44,K218&lt;K$46,J$45,K218&lt;K$47,J$46,K218&gt;=K$47,J$47)</f>
        <v/>
      </c>
      <c r="K218" s="38" t="n">
        <v>168</v>
      </c>
      <c r="L218" s="31">
        <f>K218/52</f>
        <v/>
      </c>
      <c r="M218" s="39">
        <f>J218/1000000*52</f>
        <v/>
      </c>
      <c r="N218" s="33">
        <f>M218/$P$4+($I$22/$P$4)</f>
        <v/>
      </c>
      <c r="U218">
        <f>F217</f>
        <v/>
      </c>
      <c r="V218">
        <f>H217</f>
        <v/>
      </c>
      <c r="W218">
        <f>N217</f>
        <v/>
      </c>
    </row>
    <row r="219" ht="15.75" customHeight="1" s="40">
      <c r="C219" s="36">
        <f>_xlfn.IFS(E219&lt;E$24,0,E219&lt;E$26,C$24,E219&lt;E$28,C$26,E219&lt;E$30,C$28,E219&lt;E$32,C$30,E219&lt;E$34,C$32,E219&gt;=E$34,C$34)</f>
        <v/>
      </c>
      <c r="D219" s="37">
        <f>_xlfn.IFS(E219&lt;E$24,0,E219&lt;E$25,D$24,E219&lt;E$26,D$25,E219&lt;E$27,D$26,E219&lt;E$28,D$27,E219&lt;E$29,D$28,E219&lt;E$30,D$29,E219&lt;E$31,D$30,E219&lt;E$32,D$31,E219&lt;E$33,D$32,E219&lt;E$34,D$33,E219&lt;E$35,D$34,E219&gt;=E$35,D$35)</f>
        <v/>
      </c>
      <c r="E219" s="38" t="n">
        <v>169</v>
      </c>
      <c r="F219" s="31">
        <f>E219/52</f>
        <v/>
      </c>
      <c r="G219" s="39">
        <f>D219/1000000*52</f>
        <v/>
      </c>
      <c r="H219" s="33">
        <f>G219/$P$4+($C$22/$P$4)</f>
        <v/>
      </c>
      <c r="I219" s="36">
        <f>_xlfn.IFS(K219&lt;K$24,0,K219&lt;K$26,I$24,K219&lt;K$28,I$26,K219&lt;K$30,I$28,K219&lt;K$32,I$30,K219&lt;K$34,I$32,K219&lt;K$36,I$34,K219&lt;K$38,I$36,K219&lt;K$40,I$38,K219&lt;K$42,I$40,K219&lt;K$44,I$42,K219&lt;K$46,I$44,K219&gt;=K$46,I$46)</f>
        <v/>
      </c>
      <c r="J219" s="37">
        <f>_xlfn.IFS(K219&lt;K$24,0,K219&lt;K$25,J$24,K219&lt;K$26,J$25,K219&lt;K$27,J$26,K219&lt;K$28,J$27,K219&lt;K$29,J$28,K219&lt;K$30,J$29,K219&lt;K$31,J$30,K219&lt;K$32,J$31,K219&lt;K$33,J$32,K219&lt;K$34,J$33,K219&lt;K$35,J$34,K219&lt;K$36,J$35,K219&lt;K$37,J$36,K219&lt;K$38,J$37,K219&lt;K$39,J$38,K219&lt;K$40,J$39,K219&lt;K$41,J$40,K219&lt;K$42,J$41,K219&lt;K$43,J$42,K219&lt;K$44,J$43,K219&lt;K$45,J$44,K219&lt;K$46,J$45,K219&lt;K$47,J$46,K219&gt;=K$47,J$47)</f>
        <v/>
      </c>
      <c r="K219" s="38" t="n">
        <v>169</v>
      </c>
      <c r="L219" s="31">
        <f>K219/52</f>
        <v/>
      </c>
      <c r="M219" s="39">
        <f>J219/1000000*52</f>
        <v/>
      </c>
      <c r="N219" s="33">
        <f>M219/$P$4+($I$22/$P$4)</f>
        <v/>
      </c>
      <c r="U219">
        <f>F218</f>
        <v/>
      </c>
      <c r="V219">
        <f>H218</f>
        <v/>
      </c>
      <c r="W219">
        <f>N218</f>
        <v/>
      </c>
    </row>
    <row r="220" ht="15.75" customHeight="1" s="40">
      <c r="C220" s="36">
        <f>_xlfn.IFS(E220&lt;E$24,0,E220&lt;E$26,C$24,E220&lt;E$28,C$26,E220&lt;E$30,C$28,E220&lt;E$32,C$30,E220&lt;E$34,C$32,E220&gt;=E$34,C$34)</f>
        <v/>
      </c>
      <c r="D220" s="37">
        <f>_xlfn.IFS(E220&lt;E$24,0,E220&lt;E$25,D$24,E220&lt;E$26,D$25,E220&lt;E$27,D$26,E220&lt;E$28,D$27,E220&lt;E$29,D$28,E220&lt;E$30,D$29,E220&lt;E$31,D$30,E220&lt;E$32,D$31,E220&lt;E$33,D$32,E220&lt;E$34,D$33,E220&lt;E$35,D$34,E220&gt;=E$35,D$35)</f>
        <v/>
      </c>
      <c r="E220" s="38" t="n">
        <v>170</v>
      </c>
      <c r="F220" s="31">
        <f>E220/52</f>
        <v/>
      </c>
      <c r="G220" s="39">
        <f>D220/1000000*52</f>
        <v/>
      </c>
      <c r="H220" s="33">
        <f>G220/$P$4+($C$22/$P$4)</f>
        <v/>
      </c>
      <c r="I220" s="36">
        <f>_xlfn.IFS(K220&lt;K$24,0,K220&lt;K$26,I$24,K220&lt;K$28,I$26,K220&lt;K$30,I$28,K220&lt;K$32,I$30,K220&lt;K$34,I$32,K220&lt;K$36,I$34,K220&lt;K$38,I$36,K220&lt;K$40,I$38,K220&lt;K$42,I$40,K220&lt;K$44,I$42,K220&lt;K$46,I$44,K220&gt;=K$46,I$46)</f>
        <v/>
      </c>
      <c r="J220" s="37">
        <f>_xlfn.IFS(K220&lt;K$24,0,K220&lt;K$25,J$24,K220&lt;K$26,J$25,K220&lt;K$27,J$26,K220&lt;K$28,J$27,K220&lt;K$29,J$28,K220&lt;K$30,J$29,K220&lt;K$31,J$30,K220&lt;K$32,J$31,K220&lt;K$33,J$32,K220&lt;K$34,J$33,K220&lt;K$35,J$34,K220&lt;K$36,J$35,K220&lt;K$37,J$36,K220&lt;K$38,J$37,K220&lt;K$39,J$38,K220&lt;K$40,J$39,K220&lt;K$41,J$40,K220&lt;K$42,J$41,K220&lt;K$43,J$42,K220&lt;K$44,J$43,K220&lt;K$45,J$44,K220&lt;K$46,J$45,K220&lt;K$47,J$46,K220&gt;=K$47,J$47)</f>
        <v/>
      </c>
      <c r="K220" s="38" t="n">
        <v>170</v>
      </c>
      <c r="L220" s="31">
        <f>K220/52</f>
        <v/>
      </c>
      <c r="M220" s="39">
        <f>J220/1000000*52</f>
        <v/>
      </c>
      <c r="N220" s="33">
        <f>M220/$P$4+($I$22/$P$4)</f>
        <v/>
      </c>
      <c r="U220">
        <f>F219</f>
        <v/>
      </c>
      <c r="V220">
        <f>H219</f>
        <v/>
      </c>
      <c r="W220">
        <f>N219</f>
        <v/>
      </c>
    </row>
    <row r="221" ht="15.75" customHeight="1" s="40">
      <c r="C221" s="36">
        <f>_xlfn.IFS(E221&lt;E$24,0,E221&lt;E$26,C$24,E221&lt;E$28,C$26,E221&lt;E$30,C$28,E221&lt;E$32,C$30,E221&lt;E$34,C$32,E221&gt;=E$34,C$34)</f>
        <v/>
      </c>
      <c r="D221" s="37">
        <f>_xlfn.IFS(E221&lt;E$24,0,E221&lt;E$25,D$24,E221&lt;E$26,D$25,E221&lt;E$27,D$26,E221&lt;E$28,D$27,E221&lt;E$29,D$28,E221&lt;E$30,D$29,E221&lt;E$31,D$30,E221&lt;E$32,D$31,E221&lt;E$33,D$32,E221&lt;E$34,D$33,E221&lt;E$35,D$34,E221&gt;=E$35,D$35)</f>
        <v/>
      </c>
      <c r="E221" s="38" t="n">
        <v>171</v>
      </c>
      <c r="F221" s="31">
        <f>E221/52</f>
        <v/>
      </c>
      <c r="G221" s="39">
        <f>D221/1000000*52</f>
        <v/>
      </c>
      <c r="H221" s="33">
        <f>G221/$P$4+($C$22/$P$4)</f>
        <v/>
      </c>
      <c r="I221" s="36">
        <f>_xlfn.IFS(K221&lt;K$24,0,K221&lt;K$26,I$24,K221&lt;K$28,I$26,K221&lt;K$30,I$28,K221&lt;K$32,I$30,K221&lt;K$34,I$32,K221&lt;K$36,I$34,K221&lt;K$38,I$36,K221&lt;K$40,I$38,K221&lt;K$42,I$40,K221&lt;K$44,I$42,K221&lt;K$46,I$44,K221&gt;=K$46,I$46)</f>
        <v/>
      </c>
      <c r="J221" s="37">
        <f>_xlfn.IFS(K221&lt;K$24,0,K221&lt;K$25,J$24,K221&lt;K$26,J$25,K221&lt;K$27,J$26,K221&lt;K$28,J$27,K221&lt;K$29,J$28,K221&lt;K$30,J$29,K221&lt;K$31,J$30,K221&lt;K$32,J$31,K221&lt;K$33,J$32,K221&lt;K$34,J$33,K221&lt;K$35,J$34,K221&lt;K$36,J$35,K221&lt;K$37,J$36,K221&lt;K$38,J$37,K221&lt;K$39,J$38,K221&lt;K$40,J$39,K221&lt;K$41,J$40,K221&lt;K$42,J$41,K221&lt;K$43,J$42,K221&lt;K$44,J$43,K221&lt;K$45,J$44,K221&lt;K$46,J$45,K221&lt;K$47,J$46,K221&gt;=K$47,J$47)</f>
        <v/>
      </c>
      <c r="K221" s="38" t="n">
        <v>171</v>
      </c>
      <c r="L221" s="31">
        <f>K221/52</f>
        <v/>
      </c>
      <c r="M221" s="39">
        <f>J221/1000000*52</f>
        <v/>
      </c>
      <c r="N221" s="33">
        <f>M221/$P$4+($I$22/$P$4)</f>
        <v/>
      </c>
      <c r="U221">
        <f>F220</f>
        <v/>
      </c>
      <c r="V221">
        <f>H220</f>
        <v/>
      </c>
      <c r="W221">
        <f>N220</f>
        <v/>
      </c>
    </row>
    <row r="222" ht="15.75" customHeight="1" s="40">
      <c r="C222" s="36">
        <f>_xlfn.IFS(E222&lt;E$24,0,E222&lt;E$26,C$24,E222&lt;E$28,C$26,E222&lt;E$30,C$28,E222&lt;E$32,C$30,E222&lt;E$34,C$32,E222&gt;=E$34,C$34)</f>
        <v/>
      </c>
      <c r="D222" s="37">
        <f>_xlfn.IFS(E222&lt;E$24,0,E222&lt;E$25,D$24,E222&lt;E$26,D$25,E222&lt;E$27,D$26,E222&lt;E$28,D$27,E222&lt;E$29,D$28,E222&lt;E$30,D$29,E222&lt;E$31,D$30,E222&lt;E$32,D$31,E222&lt;E$33,D$32,E222&lt;E$34,D$33,E222&lt;E$35,D$34,E222&gt;=E$35,D$35)</f>
        <v/>
      </c>
      <c r="E222" s="38" t="n">
        <v>172</v>
      </c>
      <c r="F222" s="31">
        <f>E222/52</f>
        <v/>
      </c>
      <c r="G222" s="39">
        <f>D222/1000000*52</f>
        <v/>
      </c>
      <c r="H222" s="33">
        <f>G222/$P$4+($C$22/$P$4)</f>
        <v/>
      </c>
      <c r="I222" s="36">
        <f>_xlfn.IFS(K222&lt;K$24,0,K222&lt;K$26,I$24,K222&lt;K$28,I$26,K222&lt;K$30,I$28,K222&lt;K$32,I$30,K222&lt;K$34,I$32,K222&lt;K$36,I$34,K222&lt;K$38,I$36,K222&lt;K$40,I$38,K222&lt;K$42,I$40,K222&lt;K$44,I$42,K222&lt;K$46,I$44,K222&gt;=K$46,I$46)</f>
        <v/>
      </c>
      <c r="J222" s="37">
        <f>_xlfn.IFS(K222&lt;K$24,0,K222&lt;K$25,J$24,K222&lt;K$26,J$25,K222&lt;K$27,J$26,K222&lt;K$28,J$27,K222&lt;K$29,J$28,K222&lt;K$30,J$29,K222&lt;K$31,J$30,K222&lt;K$32,J$31,K222&lt;K$33,J$32,K222&lt;K$34,J$33,K222&lt;K$35,J$34,K222&lt;K$36,J$35,K222&lt;K$37,J$36,K222&lt;K$38,J$37,K222&lt;K$39,J$38,K222&lt;K$40,J$39,K222&lt;K$41,J$40,K222&lt;K$42,J$41,K222&lt;K$43,J$42,K222&lt;K$44,J$43,K222&lt;K$45,J$44,K222&lt;K$46,J$45,K222&lt;K$47,J$46,K222&gt;=K$47,J$47)</f>
        <v/>
      </c>
      <c r="K222" s="38" t="n">
        <v>172</v>
      </c>
      <c r="L222" s="31">
        <f>K222/52</f>
        <v/>
      </c>
      <c r="M222" s="39">
        <f>J222/1000000*52</f>
        <v/>
      </c>
      <c r="N222" s="33">
        <f>M222/$P$4+($I$22/$P$4)</f>
        <v/>
      </c>
      <c r="U222">
        <f>F221</f>
        <v/>
      </c>
      <c r="V222">
        <f>H221</f>
        <v/>
      </c>
      <c r="W222">
        <f>N221</f>
        <v/>
      </c>
    </row>
    <row r="223" ht="15.75" customHeight="1" s="40">
      <c r="C223" s="36">
        <f>_xlfn.IFS(E223&lt;E$24,0,E223&lt;E$26,C$24,E223&lt;E$28,C$26,E223&lt;E$30,C$28,E223&lt;E$32,C$30,E223&lt;E$34,C$32,E223&gt;=E$34,C$34)</f>
        <v/>
      </c>
      <c r="D223" s="37">
        <f>_xlfn.IFS(E223&lt;E$24,0,E223&lt;E$25,D$24,E223&lt;E$26,D$25,E223&lt;E$27,D$26,E223&lt;E$28,D$27,E223&lt;E$29,D$28,E223&lt;E$30,D$29,E223&lt;E$31,D$30,E223&lt;E$32,D$31,E223&lt;E$33,D$32,E223&lt;E$34,D$33,E223&lt;E$35,D$34,E223&gt;=E$35,D$35)</f>
        <v/>
      </c>
      <c r="E223" s="38" t="n">
        <v>173</v>
      </c>
      <c r="F223" s="31">
        <f>E223/52</f>
        <v/>
      </c>
      <c r="G223" s="39">
        <f>D223/1000000*52</f>
        <v/>
      </c>
      <c r="H223" s="33">
        <f>G223/$P$4+($C$22/$P$4)</f>
        <v/>
      </c>
      <c r="I223" s="36">
        <f>_xlfn.IFS(K223&lt;K$24,0,K223&lt;K$26,I$24,K223&lt;K$28,I$26,K223&lt;K$30,I$28,K223&lt;K$32,I$30,K223&lt;K$34,I$32,K223&lt;K$36,I$34,K223&lt;K$38,I$36,K223&lt;K$40,I$38,K223&lt;K$42,I$40,K223&lt;K$44,I$42,K223&lt;K$46,I$44,K223&gt;=K$46,I$46)</f>
        <v/>
      </c>
      <c r="J223" s="37">
        <f>_xlfn.IFS(K223&lt;K$24,0,K223&lt;K$25,J$24,K223&lt;K$26,J$25,K223&lt;K$27,J$26,K223&lt;K$28,J$27,K223&lt;K$29,J$28,K223&lt;K$30,J$29,K223&lt;K$31,J$30,K223&lt;K$32,J$31,K223&lt;K$33,J$32,K223&lt;K$34,J$33,K223&lt;K$35,J$34,K223&lt;K$36,J$35,K223&lt;K$37,J$36,K223&lt;K$38,J$37,K223&lt;K$39,J$38,K223&lt;K$40,J$39,K223&lt;K$41,J$40,K223&lt;K$42,J$41,K223&lt;K$43,J$42,K223&lt;K$44,J$43,K223&lt;K$45,J$44,K223&lt;K$46,J$45,K223&lt;K$47,J$46,K223&gt;=K$47,J$47)</f>
        <v/>
      </c>
      <c r="K223" s="38" t="n">
        <v>173</v>
      </c>
      <c r="L223" s="31">
        <f>K223/52</f>
        <v/>
      </c>
      <c r="M223" s="39">
        <f>J223/1000000*52</f>
        <v/>
      </c>
      <c r="N223" s="33">
        <f>M223/$P$4+($I$22/$P$4)</f>
        <v/>
      </c>
      <c r="U223">
        <f>F222</f>
        <v/>
      </c>
      <c r="V223">
        <f>H222</f>
        <v/>
      </c>
      <c r="W223">
        <f>N222</f>
        <v/>
      </c>
    </row>
    <row r="224" ht="15.75" customHeight="1" s="40">
      <c r="C224" s="36">
        <f>_xlfn.IFS(E224&lt;E$24,0,E224&lt;E$26,C$24,E224&lt;E$28,C$26,E224&lt;E$30,C$28,E224&lt;E$32,C$30,E224&lt;E$34,C$32,E224&gt;=E$34,C$34)</f>
        <v/>
      </c>
      <c r="D224" s="37">
        <f>_xlfn.IFS(E224&lt;E$24,0,E224&lt;E$25,D$24,E224&lt;E$26,D$25,E224&lt;E$27,D$26,E224&lt;E$28,D$27,E224&lt;E$29,D$28,E224&lt;E$30,D$29,E224&lt;E$31,D$30,E224&lt;E$32,D$31,E224&lt;E$33,D$32,E224&lt;E$34,D$33,E224&lt;E$35,D$34,E224&gt;=E$35,D$35)</f>
        <v/>
      </c>
      <c r="E224" s="38" t="n">
        <v>174</v>
      </c>
      <c r="F224" s="31">
        <f>E224/52</f>
        <v/>
      </c>
      <c r="G224" s="39">
        <f>D224/1000000*52</f>
        <v/>
      </c>
      <c r="H224" s="33">
        <f>G224/$P$4+($C$22/$P$4)</f>
        <v/>
      </c>
      <c r="I224" s="36">
        <f>_xlfn.IFS(K224&lt;K$24,0,K224&lt;K$26,I$24,K224&lt;K$28,I$26,K224&lt;K$30,I$28,K224&lt;K$32,I$30,K224&lt;K$34,I$32,K224&lt;K$36,I$34,K224&lt;K$38,I$36,K224&lt;K$40,I$38,K224&lt;K$42,I$40,K224&lt;K$44,I$42,K224&lt;K$46,I$44,K224&gt;=K$46,I$46)</f>
        <v/>
      </c>
      <c r="J224" s="37">
        <f>_xlfn.IFS(K224&lt;K$24,0,K224&lt;K$25,J$24,K224&lt;K$26,J$25,K224&lt;K$27,J$26,K224&lt;K$28,J$27,K224&lt;K$29,J$28,K224&lt;K$30,J$29,K224&lt;K$31,J$30,K224&lt;K$32,J$31,K224&lt;K$33,J$32,K224&lt;K$34,J$33,K224&lt;K$35,J$34,K224&lt;K$36,J$35,K224&lt;K$37,J$36,K224&lt;K$38,J$37,K224&lt;K$39,J$38,K224&lt;K$40,J$39,K224&lt;K$41,J$40,K224&lt;K$42,J$41,K224&lt;K$43,J$42,K224&lt;K$44,J$43,K224&lt;K$45,J$44,K224&lt;K$46,J$45,K224&lt;K$47,J$46,K224&gt;=K$47,J$47)</f>
        <v/>
      </c>
      <c r="K224" s="38" t="n">
        <v>174</v>
      </c>
      <c r="L224" s="31">
        <f>K224/52</f>
        <v/>
      </c>
      <c r="M224" s="39">
        <f>J224/1000000*52</f>
        <v/>
      </c>
      <c r="N224" s="33">
        <f>M224/$P$4+($I$22/$P$4)</f>
        <v/>
      </c>
      <c r="U224">
        <f>F223</f>
        <v/>
      </c>
      <c r="V224">
        <f>H223</f>
        <v/>
      </c>
      <c r="W224">
        <f>N223</f>
        <v/>
      </c>
    </row>
    <row r="225" ht="15.75" customHeight="1" s="40">
      <c r="C225" s="36">
        <f>_xlfn.IFS(E225&lt;E$24,0,E225&lt;E$26,C$24,E225&lt;E$28,C$26,E225&lt;E$30,C$28,E225&lt;E$32,C$30,E225&lt;E$34,C$32,E225&gt;=E$34,C$34)</f>
        <v/>
      </c>
      <c r="D225" s="37">
        <f>_xlfn.IFS(E225&lt;E$24,0,E225&lt;E$25,D$24,E225&lt;E$26,D$25,E225&lt;E$27,D$26,E225&lt;E$28,D$27,E225&lt;E$29,D$28,E225&lt;E$30,D$29,E225&lt;E$31,D$30,E225&lt;E$32,D$31,E225&lt;E$33,D$32,E225&lt;E$34,D$33,E225&lt;E$35,D$34,E225&gt;=E$35,D$35)</f>
        <v/>
      </c>
      <c r="E225" s="38" t="n">
        <v>175</v>
      </c>
      <c r="F225" s="31">
        <f>E225/52</f>
        <v/>
      </c>
      <c r="G225" s="39">
        <f>D225/1000000*52</f>
        <v/>
      </c>
      <c r="H225" s="33">
        <f>G225/$P$4+($C$22/$P$4)</f>
        <v/>
      </c>
      <c r="I225" s="36">
        <f>_xlfn.IFS(K225&lt;K$24,0,K225&lt;K$26,I$24,K225&lt;K$28,I$26,K225&lt;K$30,I$28,K225&lt;K$32,I$30,K225&lt;K$34,I$32,K225&lt;K$36,I$34,K225&lt;K$38,I$36,K225&lt;K$40,I$38,K225&lt;K$42,I$40,K225&lt;K$44,I$42,K225&lt;K$46,I$44,K225&gt;=K$46,I$46)</f>
        <v/>
      </c>
      <c r="J225" s="37">
        <f>_xlfn.IFS(K225&lt;K$24,0,K225&lt;K$25,J$24,K225&lt;K$26,J$25,K225&lt;K$27,J$26,K225&lt;K$28,J$27,K225&lt;K$29,J$28,K225&lt;K$30,J$29,K225&lt;K$31,J$30,K225&lt;K$32,J$31,K225&lt;K$33,J$32,K225&lt;K$34,J$33,K225&lt;K$35,J$34,K225&lt;K$36,J$35,K225&lt;K$37,J$36,K225&lt;K$38,J$37,K225&lt;K$39,J$38,K225&lt;K$40,J$39,K225&lt;K$41,J$40,K225&lt;K$42,J$41,K225&lt;K$43,J$42,K225&lt;K$44,J$43,K225&lt;K$45,J$44,K225&lt;K$46,J$45,K225&lt;K$47,J$46,K225&gt;=K$47,J$47)</f>
        <v/>
      </c>
      <c r="K225" s="38" t="n">
        <v>175</v>
      </c>
      <c r="L225" s="31">
        <f>K225/52</f>
        <v/>
      </c>
      <c r="M225" s="39">
        <f>J225/1000000*52</f>
        <v/>
      </c>
      <c r="N225" s="33">
        <f>M225/$P$4+($I$22/$P$4)</f>
        <v/>
      </c>
      <c r="U225">
        <f>F224</f>
        <v/>
      </c>
      <c r="V225">
        <f>H224</f>
        <v/>
      </c>
      <c r="W225">
        <f>N224</f>
        <v/>
      </c>
    </row>
    <row r="226" ht="15.75" customHeight="1" s="40">
      <c r="C226" s="36">
        <f>_xlfn.IFS(E226&lt;E$24,0,E226&lt;E$26,C$24,E226&lt;E$28,C$26,E226&lt;E$30,C$28,E226&lt;E$32,C$30,E226&lt;E$34,C$32,E226&gt;=E$34,C$34)</f>
        <v/>
      </c>
      <c r="D226" s="37">
        <f>_xlfn.IFS(E226&lt;E$24,0,E226&lt;E$25,D$24,E226&lt;E$26,D$25,E226&lt;E$27,D$26,E226&lt;E$28,D$27,E226&lt;E$29,D$28,E226&lt;E$30,D$29,E226&lt;E$31,D$30,E226&lt;E$32,D$31,E226&lt;E$33,D$32,E226&lt;E$34,D$33,E226&lt;E$35,D$34,E226&gt;=E$35,D$35)</f>
        <v/>
      </c>
      <c r="E226" s="38" t="n">
        <v>176</v>
      </c>
      <c r="F226" s="31">
        <f>E226/52</f>
        <v/>
      </c>
      <c r="G226" s="39">
        <f>D226/1000000*52</f>
        <v/>
      </c>
      <c r="H226" s="33">
        <f>G226/$P$4+($C$22/$P$4)</f>
        <v/>
      </c>
      <c r="I226" s="36">
        <f>_xlfn.IFS(K226&lt;K$24,0,K226&lt;K$26,I$24,K226&lt;K$28,I$26,K226&lt;K$30,I$28,K226&lt;K$32,I$30,K226&lt;K$34,I$32,K226&lt;K$36,I$34,K226&lt;K$38,I$36,K226&lt;K$40,I$38,K226&lt;K$42,I$40,K226&lt;K$44,I$42,K226&lt;K$46,I$44,K226&gt;=K$46,I$46)</f>
        <v/>
      </c>
      <c r="J226" s="37">
        <f>_xlfn.IFS(K226&lt;K$24,0,K226&lt;K$25,J$24,K226&lt;K$26,J$25,K226&lt;K$27,J$26,K226&lt;K$28,J$27,K226&lt;K$29,J$28,K226&lt;K$30,J$29,K226&lt;K$31,J$30,K226&lt;K$32,J$31,K226&lt;K$33,J$32,K226&lt;K$34,J$33,K226&lt;K$35,J$34,K226&lt;K$36,J$35,K226&lt;K$37,J$36,K226&lt;K$38,J$37,K226&lt;K$39,J$38,K226&lt;K$40,J$39,K226&lt;K$41,J$40,K226&lt;K$42,J$41,K226&lt;K$43,J$42,K226&lt;K$44,J$43,K226&lt;K$45,J$44,K226&lt;K$46,J$45,K226&lt;K$47,J$46,K226&gt;=K$47,J$47)</f>
        <v/>
      </c>
      <c r="K226" s="38" t="n">
        <v>176</v>
      </c>
      <c r="L226" s="31">
        <f>K226/52</f>
        <v/>
      </c>
      <c r="M226" s="39">
        <f>J226/1000000*52</f>
        <v/>
      </c>
      <c r="N226" s="33">
        <f>M226/$P$4+($I$22/$P$4)</f>
        <v/>
      </c>
      <c r="U226">
        <f>F225</f>
        <v/>
      </c>
      <c r="V226">
        <f>H225</f>
        <v/>
      </c>
      <c r="W226">
        <f>N225</f>
        <v/>
      </c>
    </row>
    <row r="227" ht="15.75" customHeight="1" s="40">
      <c r="C227" s="36">
        <f>_xlfn.IFS(E227&lt;E$24,0,E227&lt;E$26,C$24,E227&lt;E$28,C$26,E227&lt;E$30,C$28,E227&lt;E$32,C$30,E227&lt;E$34,C$32,E227&gt;=E$34,C$34)</f>
        <v/>
      </c>
      <c r="D227" s="37">
        <f>_xlfn.IFS(E227&lt;E$24,0,E227&lt;E$25,D$24,E227&lt;E$26,D$25,E227&lt;E$27,D$26,E227&lt;E$28,D$27,E227&lt;E$29,D$28,E227&lt;E$30,D$29,E227&lt;E$31,D$30,E227&lt;E$32,D$31,E227&lt;E$33,D$32,E227&lt;E$34,D$33,E227&lt;E$35,D$34,E227&gt;=E$35,D$35)</f>
        <v/>
      </c>
      <c r="E227" s="38" t="n">
        <v>177</v>
      </c>
      <c r="F227" s="31">
        <f>E227/52</f>
        <v/>
      </c>
      <c r="G227" s="39">
        <f>D227/1000000*52</f>
        <v/>
      </c>
      <c r="H227" s="33">
        <f>G227/$P$4+($C$22/$P$4)</f>
        <v/>
      </c>
      <c r="I227" s="36">
        <f>_xlfn.IFS(K227&lt;K$24,0,K227&lt;K$26,I$24,K227&lt;K$28,I$26,K227&lt;K$30,I$28,K227&lt;K$32,I$30,K227&lt;K$34,I$32,K227&lt;K$36,I$34,K227&lt;K$38,I$36,K227&lt;K$40,I$38,K227&lt;K$42,I$40,K227&lt;K$44,I$42,K227&lt;K$46,I$44,K227&gt;=K$46,I$46)</f>
        <v/>
      </c>
      <c r="J227" s="37">
        <f>_xlfn.IFS(K227&lt;K$24,0,K227&lt;K$25,J$24,K227&lt;K$26,J$25,K227&lt;K$27,J$26,K227&lt;K$28,J$27,K227&lt;K$29,J$28,K227&lt;K$30,J$29,K227&lt;K$31,J$30,K227&lt;K$32,J$31,K227&lt;K$33,J$32,K227&lt;K$34,J$33,K227&lt;K$35,J$34,K227&lt;K$36,J$35,K227&lt;K$37,J$36,K227&lt;K$38,J$37,K227&lt;K$39,J$38,K227&lt;K$40,J$39,K227&lt;K$41,J$40,K227&lt;K$42,J$41,K227&lt;K$43,J$42,K227&lt;K$44,J$43,K227&lt;K$45,J$44,K227&lt;K$46,J$45,K227&lt;K$47,J$46,K227&gt;=K$47,J$47)</f>
        <v/>
      </c>
      <c r="K227" s="38" t="n">
        <v>177</v>
      </c>
      <c r="L227" s="31">
        <f>K227/52</f>
        <v/>
      </c>
      <c r="M227" s="39">
        <f>J227/1000000*52</f>
        <v/>
      </c>
      <c r="N227" s="33">
        <f>M227/$P$4+($I$22/$P$4)</f>
        <v/>
      </c>
      <c r="U227">
        <f>F226</f>
        <v/>
      </c>
      <c r="V227">
        <f>H226</f>
        <v/>
      </c>
      <c r="W227">
        <f>N226</f>
        <v/>
      </c>
    </row>
    <row r="228" ht="15.75" customHeight="1" s="40">
      <c r="C228" s="36">
        <f>_xlfn.IFS(E228&lt;E$24,0,E228&lt;E$26,C$24,E228&lt;E$28,C$26,E228&lt;E$30,C$28,E228&lt;E$32,C$30,E228&lt;E$34,C$32,E228&gt;=E$34,C$34)</f>
        <v/>
      </c>
      <c r="D228" s="37">
        <f>_xlfn.IFS(E228&lt;E$24,0,E228&lt;E$25,D$24,E228&lt;E$26,D$25,E228&lt;E$27,D$26,E228&lt;E$28,D$27,E228&lt;E$29,D$28,E228&lt;E$30,D$29,E228&lt;E$31,D$30,E228&lt;E$32,D$31,E228&lt;E$33,D$32,E228&lt;E$34,D$33,E228&lt;E$35,D$34,E228&gt;=E$35,D$35)</f>
        <v/>
      </c>
      <c r="E228" s="38" t="n">
        <v>178</v>
      </c>
      <c r="F228" s="31">
        <f>E228/52</f>
        <v/>
      </c>
      <c r="G228" s="39">
        <f>D228/1000000*52</f>
        <v/>
      </c>
      <c r="H228" s="33">
        <f>G228/$P$4+($C$22/$P$4)</f>
        <v/>
      </c>
      <c r="I228" s="36">
        <f>_xlfn.IFS(K228&lt;K$24,0,K228&lt;K$26,I$24,K228&lt;K$28,I$26,K228&lt;K$30,I$28,K228&lt;K$32,I$30,K228&lt;K$34,I$32,K228&lt;K$36,I$34,K228&lt;K$38,I$36,K228&lt;K$40,I$38,K228&lt;K$42,I$40,K228&lt;K$44,I$42,K228&lt;K$46,I$44,K228&gt;=K$46,I$46)</f>
        <v/>
      </c>
      <c r="J228" s="37">
        <f>_xlfn.IFS(K228&lt;K$24,0,K228&lt;K$25,J$24,K228&lt;K$26,J$25,K228&lt;K$27,J$26,K228&lt;K$28,J$27,K228&lt;K$29,J$28,K228&lt;K$30,J$29,K228&lt;K$31,J$30,K228&lt;K$32,J$31,K228&lt;K$33,J$32,K228&lt;K$34,J$33,K228&lt;K$35,J$34,K228&lt;K$36,J$35,K228&lt;K$37,J$36,K228&lt;K$38,J$37,K228&lt;K$39,J$38,K228&lt;K$40,J$39,K228&lt;K$41,J$40,K228&lt;K$42,J$41,K228&lt;K$43,J$42,K228&lt;K$44,J$43,K228&lt;K$45,J$44,K228&lt;K$46,J$45,K228&lt;K$47,J$46,K228&gt;=K$47,J$47)</f>
        <v/>
      </c>
      <c r="K228" s="38" t="n">
        <v>178</v>
      </c>
      <c r="L228" s="31">
        <f>K228/52</f>
        <v/>
      </c>
      <c r="M228" s="39">
        <f>J228/1000000*52</f>
        <v/>
      </c>
      <c r="N228" s="33">
        <f>M228/$P$4+($I$22/$P$4)</f>
        <v/>
      </c>
      <c r="U228">
        <f>F227</f>
        <v/>
      </c>
      <c r="V228">
        <f>H227</f>
        <v/>
      </c>
      <c r="W228">
        <f>N227</f>
        <v/>
      </c>
    </row>
    <row r="229" ht="15.75" customHeight="1" s="40">
      <c r="C229" s="36">
        <f>_xlfn.IFS(E229&lt;E$24,0,E229&lt;E$26,C$24,E229&lt;E$28,C$26,E229&lt;E$30,C$28,E229&lt;E$32,C$30,E229&lt;E$34,C$32,E229&gt;=E$34,C$34)</f>
        <v/>
      </c>
      <c r="D229" s="37">
        <f>_xlfn.IFS(E229&lt;E$24,0,E229&lt;E$25,D$24,E229&lt;E$26,D$25,E229&lt;E$27,D$26,E229&lt;E$28,D$27,E229&lt;E$29,D$28,E229&lt;E$30,D$29,E229&lt;E$31,D$30,E229&lt;E$32,D$31,E229&lt;E$33,D$32,E229&lt;E$34,D$33,E229&lt;E$35,D$34,E229&gt;=E$35,D$35)</f>
        <v/>
      </c>
      <c r="E229" s="38" t="n">
        <v>179</v>
      </c>
      <c r="F229" s="31">
        <f>E229/52</f>
        <v/>
      </c>
      <c r="G229" s="39">
        <f>D229/1000000*52</f>
        <v/>
      </c>
      <c r="H229" s="33">
        <f>G229/$P$4+($C$22/$P$4)</f>
        <v/>
      </c>
      <c r="I229" s="36">
        <f>_xlfn.IFS(K229&lt;K$24,0,K229&lt;K$26,I$24,K229&lt;K$28,I$26,K229&lt;K$30,I$28,K229&lt;K$32,I$30,K229&lt;K$34,I$32,K229&lt;K$36,I$34,K229&lt;K$38,I$36,K229&lt;K$40,I$38,K229&lt;K$42,I$40,K229&lt;K$44,I$42,K229&lt;K$46,I$44,K229&gt;=K$46,I$46)</f>
        <v/>
      </c>
      <c r="J229" s="37">
        <f>_xlfn.IFS(K229&lt;K$24,0,K229&lt;K$25,J$24,K229&lt;K$26,J$25,K229&lt;K$27,J$26,K229&lt;K$28,J$27,K229&lt;K$29,J$28,K229&lt;K$30,J$29,K229&lt;K$31,J$30,K229&lt;K$32,J$31,K229&lt;K$33,J$32,K229&lt;K$34,J$33,K229&lt;K$35,J$34,K229&lt;K$36,J$35,K229&lt;K$37,J$36,K229&lt;K$38,J$37,K229&lt;K$39,J$38,K229&lt;K$40,J$39,K229&lt;K$41,J$40,K229&lt;K$42,J$41,K229&lt;K$43,J$42,K229&lt;K$44,J$43,K229&lt;K$45,J$44,K229&lt;K$46,J$45,K229&lt;K$47,J$46,K229&gt;=K$47,J$47)</f>
        <v/>
      </c>
      <c r="K229" s="38" t="n">
        <v>179</v>
      </c>
      <c r="L229" s="31">
        <f>K229/52</f>
        <v/>
      </c>
      <c r="M229" s="39">
        <f>J229/1000000*52</f>
        <v/>
      </c>
      <c r="N229" s="33">
        <f>M229/$P$4+($I$22/$P$4)</f>
        <v/>
      </c>
      <c r="U229">
        <f>F228</f>
        <v/>
      </c>
      <c r="V229">
        <f>H228</f>
        <v/>
      </c>
      <c r="W229">
        <f>N228</f>
        <v/>
      </c>
    </row>
    <row r="230" ht="15.75" customHeight="1" s="40">
      <c r="C230" s="36">
        <f>_xlfn.IFS(E230&lt;E$24,0,E230&lt;E$26,C$24,E230&lt;E$28,C$26,E230&lt;E$30,C$28,E230&lt;E$32,C$30,E230&lt;E$34,C$32,E230&gt;=E$34,C$34)</f>
        <v/>
      </c>
      <c r="D230" s="37">
        <f>_xlfn.IFS(E230&lt;E$24,0,E230&lt;E$25,D$24,E230&lt;E$26,D$25,E230&lt;E$27,D$26,E230&lt;E$28,D$27,E230&lt;E$29,D$28,E230&lt;E$30,D$29,E230&lt;E$31,D$30,E230&lt;E$32,D$31,E230&lt;E$33,D$32,E230&lt;E$34,D$33,E230&lt;E$35,D$34,E230&gt;=E$35,D$35)</f>
        <v/>
      </c>
      <c r="E230" s="38" t="n">
        <v>180</v>
      </c>
      <c r="F230" s="31">
        <f>E230/52</f>
        <v/>
      </c>
      <c r="G230" s="39">
        <f>D230/1000000*52</f>
        <v/>
      </c>
      <c r="H230" s="33">
        <f>G230/$P$4+($C$22/$P$4)</f>
        <v/>
      </c>
      <c r="I230" s="36">
        <f>_xlfn.IFS(K230&lt;K$24,0,K230&lt;K$26,I$24,K230&lt;K$28,I$26,K230&lt;K$30,I$28,K230&lt;K$32,I$30,K230&lt;K$34,I$32,K230&lt;K$36,I$34,K230&lt;K$38,I$36,K230&lt;K$40,I$38,K230&lt;K$42,I$40,K230&lt;K$44,I$42,K230&lt;K$46,I$44,K230&gt;=K$46,I$46)</f>
        <v/>
      </c>
      <c r="J230" s="37">
        <f>_xlfn.IFS(K230&lt;K$24,0,K230&lt;K$25,J$24,K230&lt;K$26,J$25,K230&lt;K$27,J$26,K230&lt;K$28,J$27,K230&lt;K$29,J$28,K230&lt;K$30,J$29,K230&lt;K$31,J$30,K230&lt;K$32,J$31,K230&lt;K$33,J$32,K230&lt;K$34,J$33,K230&lt;K$35,J$34,K230&lt;K$36,J$35,K230&lt;K$37,J$36,K230&lt;K$38,J$37,K230&lt;K$39,J$38,K230&lt;K$40,J$39,K230&lt;K$41,J$40,K230&lt;K$42,J$41,K230&lt;K$43,J$42,K230&lt;K$44,J$43,K230&lt;K$45,J$44,K230&lt;K$46,J$45,K230&lt;K$47,J$46,K230&gt;=K$47,J$47)</f>
        <v/>
      </c>
      <c r="K230" s="38" t="n">
        <v>180</v>
      </c>
      <c r="L230" s="31">
        <f>K230/52</f>
        <v/>
      </c>
      <c r="M230" s="39">
        <f>J230/1000000*52</f>
        <v/>
      </c>
      <c r="N230" s="33">
        <f>M230/$P$4+($I$22/$P$4)</f>
        <v/>
      </c>
      <c r="U230">
        <f>F229</f>
        <v/>
      </c>
      <c r="V230">
        <f>H229</f>
        <v/>
      </c>
      <c r="W230">
        <f>N229</f>
        <v/>
      </c>
    </row>
    <row r="231" ht="15.75" customHeight="1" s="40">
      <c r="C231" s="36">
        <f>_xlfn.IFS(E231&lt;E$24,0,E231&lt;E$26,C$24,E231&lt;E$28,C$26,E231&lt;E$30,C$28,E231&lt;E$32,C$30,E231&lt;E$34,C$32,E231&gt;=E$34,C$34)</f>
        <v/>
      </c>
      <c r="D231" s="37">
        <f>_xlfn.IFS(E231&lt;E$24,0,E231&lt;E$25,D$24,E231&lt;E$26,D$25,E231&lt;E$27,D$26,E231&lt;E$28,D$27,E231&lt;E$29,D$28,E231&lt;E$30,D$29,E231&lt;E$31,D$30,E231&lt;E$32,D$31,E231&lt;E$33,D$32,E231&lt;E$34,D$33,E231&lt;E$35,D$34,E231&gt;=E$35,D$35)</f>
        <v/>
      </c>
      <c r="E231" s="38" t="n">
        <v>181</v>
      </c>
      <c r="F231" s="31">
        <f>E231/52</f>
        <v/>
      </c>
      <c r="G231" s="39">
        <f>D231/1000000*52</f>
        <v/>
      </c>
      <c r="H231" s="33">
        <f>G231/$P$4+($C$22/$P$4)</f>
        <v/>
      </c>
      <c r="I231" s="36">
        <f>_xlfn.IFS(K231&lt;K$24,0,K231&lt;K$26,I$24,K231&lt;K$28,I$26,K231&lt;K$30,I$28,K231&lt;K$32,I$30,K231&lt;K$34,I$32,K231&lt;K$36,I$34,K231&lt;K$38,I$36,K231&lt;K$40,I$38,K231&lt;K$42,I$40,K231&lt;K$44,I$42,K231&lt;K$46,I$44,K231&gt;=K$46,I$46)</f>
        <v/>
      </c>
      <c r="J231" s="37">
        <f>_xlfn.IFS(K231&lt;K$24,0,K231&lt;K$25,J$24,K231&lt;K$26,J$25,K231&lt;K$27,J$26,K231&lt;K$28,J$27,K231&lt;K$29,J$28,K231&lt;K$30,J$29,K231&lt;K$31,J$30,K231&lt;K$32,J$31,K231&lt;K$33,J$32,K231&lt;K$34,J$33,K231&lt;K$35,J$34,K231&lt;K$36,J$35,K231&lt;K$37,J$36,K231&lt;K$38,J$37,K231&lt;K$39,J$38,K231&lt;K$40,J$39,K231&lt;K$41,J$40,K231&lt;K$42,J$41,K231&lt;K$43,J$42,K231&lt;K$44,J$43,K231&lt;K$45,J$44,K231&lt;K$46,J$45,K231&lt;K$47,J$46,K231&gt;=K$47,J$47)</f>
        <v/>
      </c>
      <c r="K231" s="38" t="n">
        <v>181</v>
      </c>
      <c r="L231" s="31">
        <f>K231/52</f>
        <v/>
      </c>
      <c r="M231" s="39">
        <f>J231/1000000*52</f>
        <v/>
      </c>
      <c r="N231" s="33">
        <f>M231/$P$4+($I$22/$P$4)</f>
        <v/>
      </c>
      <c r="U231">
        <f>F230</f>
        <v/>
      </c>
      <c r="V231">
        <f>H230</f>
        <v/>
      </c>
      <c r="W231">
        <f>N230</f>
        <v/>
      </c>
    </row>
    <row r="232" ht="15.75" customHeight="1" s="40">
      <c r="C232" s="36">
        <f>_xlfn.IFS(E232&lt;E$24,0,E232&lt;E$26,C$24,E232&lt;E$28,C$26,E232&lt;E$30,C$28,E232&lt;E$32,C$30,E232&lt;E$34,C$32,E232&gt;=E$34,C$34)</f>
        <v/>
      </c>
      <c r="D232" s="37">
        <f>_xlfn.IFS(E232&lt;E$24,0,E232&lt;E$25,D$24,E232&lt;E$26,D$25,E232&lt;E$27,D$26,E232&lt;E$28,D$27,E232&lt;E$29,D$28,E232&lt;E$30,D$29,E232&lt;E$31,D$30,E232&lt;E$32,D$31,E232&lt;E$33,D$32,E232&lt;E$34,D$33,E232&lt;E$35,D$34,E232&gt;=E$35,D$35)</f>
        <v/>
      </c>
      <c r="E232" s="38" t="n">
        <v>182</v>
      </c>
      <c r="F232" s="31">
        <f>E232/52</f>
        <v/>
      </c>
      <c r="G232" s="39">
        <f>D232/1000000*52</f>
        <v/>
      </c>
      <c r="H232" s="33">
        <f>G232/$P$4+($C$22/$P$4)</f>
        <v/>
      </c>
      <c r="I232" s="36">
        <f>_xlfn.IFS(K232&lt;K$24,0,K232&lt;K$26,I$24,K232&lt;K$28,I$26,K232&lt;K$30,I$28,K232&lt;K$32,I$30,K232&lt;K$34,I$32,K232&lt;K$36,I$34,K232&lt;K$38,I$36,K232&lt;K$40,I$38,K232&lt;K$42,I$40,K232&lt;K$44,I$42,K232&lt;K$46,I$44,K232&gt;=K$46,I$46)</f>
        <v/>
      </c>
      <c r="J232" s="37">
        <f>_xlfn.IFS(K232&lt;K$24,0,K232&lt;K$25,J$24,K232&lt;K$26,J$25,K232&lt;K$27,J$26,K232&lt;K$28,J$27,K232&lt;K$29,J$28,K232&lt;K$30,J$29,K232&lt;K$31,J$30,K232&lt;K$32,J$31,K232&lt;K$33,J$32,K232&lt;K$34,J$33,K232&lt;K$35,J$34,K232&lt;K$36,J$35,K232&lt;K$37,J$36,K232&lt;K$38,J$37,K232&lt;K$39,J$38,K232&lt;K$40,J$39,K232&lt;K$41,J$40,K232&lt;K$42,J$41,K232&lt;K$43,J$42,K232&lt;K$44,J$43,K232&lt;K$45,J$44,K232&lt;K$46,J$45,K232&lt;K$47,J$46,K232&gt;=K$47,J$47)</f>
        <v/>
      </c>
      <c r="K232" s="38" t="n">
        <v>182</v>
      </c>
      <c r="L232" s="31">
        <f>K232/52</f>
        <v/>
      </c>
      <c r="M232" s="39">
        <f>J232/1000000*52</f>
        <v/>
      </c>
      <c r="N232" s="33">
        <f>M232/$P$4+($I$22/$P$4)</f>
        <v/>
      </c>
      <c r="U232">
        <f>F231</f>
        <v/>
      </c>
      <c r="V232">
        <f>H231</f>
        <v/>
      </c>
      <c r="W232">
        <f>N231</f>
        <v/>
      </c>
    </row>
    <row r="233" ht="15.75" customHeight="1" s="40">
      <c r="C233" s="36">
        <f>_xlfn.IFS(E233&lt;E$24,0,E233&lt;E$26,C$24,E233&lt;E$28,C$26,E233&lt;E$30,C$28,E233&lt;E$32,C$30,E233&lt;E$34,C$32,E233&gt;=E$34,C$34)</f>
        <v/>
      </c>
      <c r="D233" s="37">
        <f>_xlfn.IFS(E233&lt;E$24,0,E233&lt;E$25,D$24,E233&lt;E$26,D$25,E233&lt;E$27,D$26,E233&lt;E$28,D$27,E233&lt;E$29,D$28,E233&lt;E$30,D$29,E233&lt;E$31,D$30,E233&lt;E$32,D$31,E233&lt;E$33,D$32,E233&lt;E$34,D$33,E233&lt;E$35,D$34,E233&gt;=E$35,D$35)</f>
        <v/>
      </c>
      <c r="E233" s="38" t="n">
        <v>183</v>
      </c>
      <c r="F233" s="31">
        <f>E233/52</f>
        <v/>
      </c>
      <c r="G233" s="39">
        <f>D233/1000000*52</f>
        <v/>
      </c>
      <c r="H233" s="33">
        <f>G233/$P$4+($C$22/$P$4)</f>
        <v/>
      </c>
      <c r="I233" s="36">
        <f>_xlfn.IFS(K233&lt;K$24,0,K233&lt;K$26,I$24,K233&lt;K$28,I$26,K233&lt;K$30,I$28,K233&lt;K$32,I$30,K233&lt;K$34,I$32,K233&lt;K$36,I$34,K233&lt;K$38,I$36,K233&lt;K$40,I$38,K233&lt;K$42,I$40,K233&lt;K$44,I$42,K233&lt;K$46,I$44,K233&gt;=K$46,I$46)</f>
        <v/>
      </c>
      <c r="J233" s="37">
        <f>_xlfn.IFS(K233&lt;K$24,0,K233&lt;K$25,J$24,K233&lt;K$26,J$25,K233&lt;K$27,J$26,K233&lt;K$28,J$27,K233&lt;K$29,J$28,K233&lt;K$30,J$29,K233&lt;K$31,J$30,K233&lt;K$32,J$31,K233&lt;K$33,J$32,K233&lt;K$34,J$33,K233&lt;K$35,J$34,K233&lt;K$36,J$35,K233&lt;K$37,J$36,K233&lt;K$38,J$37,K233&lt;K$39,J$38,K233&lt;K$40,J$39,K233&lt;K$41,J$40,K233&lt;K$42,J$41,K233&lt;K$43,J$42,K233&lt;K$44,J$43,K233&lt;K$45,J$44,K233&lt;K$46,J$45,K233&lt;K$47,J$46,K233&gt;=K$47,J$47)</f>
        <v/>
      </c>
      <c r="K233" s="38" t="n">
        <v>183</v>
      </c>
      <c r="L233" s="31">
        <f>K233/52</f>
        <v/>
      </c>
      <c r="M233" s="39">
        <f>J233/1000000*52</f>
        <v/>
      </c>
      <c r="N233" s="33">
        <f>M233/$P$4+($I$22/$P$4)</f>
        <v/>
      </c>
      <c r="U233">
        <f>F232</f>
        <v/>
      </c>
      <c r="V233">
        <f>H232</f>
        <v/>
      </c>
      <c r="W233">
        <f>N232</f>
        <v/>
      </c>
    </row>
    <row r="234" ht="15.75" customHeight="1" s="40">
      <c r="C234" s="36">
        <f>_xlfn.IFS(E234&lt;E$24,0,E234&lt;E$26,C$24,E234&lt;E$28,C$26,E234&lt;E$30,C$28,E234&lt;E$32,C$30,E234&lt;E$34,C$32,E234&gt;=E$34,C$34)</f>
        <v/>
      </c>
      <c r="D234" s="37">
        <f>_xlfn.IFS(E234&lt;E$24,0,E234&lt;E$25,D$24,E234&lt;E$26,D$25,E234&lt;E$27,D$26,E234&lt;E$28,D$27,E234&lt;E$29,D$28,E234&lt;E$30,D$29,E234&lt;E$31,D$30,E234&lt;E$32,D$31,E234&lt;E$33,D$32,E234&lt;E$34,D$33,E234&lt;E$35,D$34,E234&gt;=E$35,D$35)</f>
        <v/>
      </c>
      <c r="E234" s="38" t="n">
        <v>184</v>
      </c>
      <c r="F234" s="31">
        <f>E234/52</f>
        <v/>
      </c>
      <c r="G234" s="39">
        <f>D234/1000000*52</f>
        <v/>
      </c>
      <c r="H234" s="33">
        <f>G234/$P$4+($C$22/$P$4)</f>
        <v/>
      </c>
      <c r="I234" s="36">
        <f>_xlfn.IFS(K234&lt;K$24,0,K234&lt;K$26,I$24,K234&lt;K$28,I$26,K234&lt;K$30,I$28,K234&lt;K$32,I$30,K234&lt;K$34,I$32,K234&lt;K$36,I$34,K234&lt;K$38,I$36,K234&lt;K$40,I$38,K234&lt;K$42,I$40,K234&lt;K$44,I$42,K234&lt;K$46,I$44,K234&gt;=K$46,I$46)</f>
        <v/>
      </c>
      <c r="J234" s="37">
        <f>_xlfn.IFS(K234&lt;K$24,0,K234&lt;K$25,J$24,K234&lt;K$26,J$25,K234&lt;K$27,J$26,K234&lt;K$28,J$27,K234&lt;K$29,J$28,K234&lt;K$30,J$29,K234&lt;K$31,J$30,K234&lt;K$32,J$31,K234&lt;K$33,J$32,K234&lt;K$34,J$33,K234&lt;K$35,J$34,K234&lt;K$36,J$35,K234&lt;K$37,J$36,K234&lt;K$38,J$37,K234&lt;K$39,J$38,K234&lt;K$40,J$39,K234&lt;K$41,J$40,K234&lt;K$42,J$41,K234&lt;K$43,J$42,K234&lt;K$44,J$43,K234&lt;K$45,J$44,K234&lt;K$46,J$45,K234&lt;K$47,J$46,K234&gt;=K$47,J$47)</f>
        <v/>
      </c>
      <c r="K234" s="38" t="n">
        <v>184</v>
      </c>
      <c r="L234" s="31">
        <f>K234/52</f>
        <v/>
      </c>
      <c r="M234" s="39">
        <f>J234/1000000*52</f>
        <v/>
      </c>
      <c r="N234" s="33">
        <f>M234/$P$4+($I$22/$P$4)</f>
        <v/>
      </c>
      <c r="U234">
        <f>F233</f>
        <v/>
      </c>
      <c r="V234">
        <f>H233</f>
        <v/>
      </c>
      <c r="W234">
        <f>N233</f>
        <v/>
      </c>
    </row>
    <row r="235" ht="15.75" customHeight="1" s="40">
      <c r="C235" s="36">
        <f>_xlfn.IFS(E235&lt;E$24,0,E235&lt;E$26,C$24,E235&lt;E$28,C$26,E235&lt;E$30,C$28,E235&lt;E$32,C$30,E235&lt;E$34,C$32,E235&gt;=E$34,C$34)</f>
        <v/>
      </c>
      <c r="D235" s="37">
        <f>_xlfn.IFS(E235&lt;E$24,0,E235&lt;E$25,D$24,E235&lt;E$26,D$25,E235&lt;E$27,D$26,E235&lt;E$28,D$27,E235&lt;E$29,D$28,E235&lt;E$30,D$29,E235&lt;E$31,D$30,E235&lt;E$32,D$31,E235&lt;E$33,D$32,E235&lt;E$34,D$33,E235&lt;E$35,D$34,E235&gt;=E$35,D$35)</f>
        <v/>
      </c>
      <c r="E235" s="38" t="n">
        <v>185</v>
      </c>
      <c r="F235" s="31">
        <f>E235/52</f>
        <v/>
      </c>
      <c r="G235" s="39">
        <f>D235/1000000*52</f>
        <v/>
      </c>
      <c r="H235" s="33">
        <f>G235/$P$4+($C$22/$P$4)</f>
        <v/>
      </c>
      <c r="I235" s="36">
        <f>_xlfn.IFS(K235&lt;K$24,0,K235&lt;K$26,I$24,K235&lt;K$28,I$26,K235&lt;K$30,I$28,K235&lt;K$32,I$30,K235&lt;K$34,I$32,K235&lt;K$36,I$34,K235&lt;K$38,I$36,K235&lt;K$40,I$38,K235&lt;K$42,I$40,K235&lt;K$44,I$42,K235&lt;K$46,I$44,K235&gt;=K$46,I$46)</f>
        <v/>
      </c>
      <c r="J235" s="37">
        <f>_xlfn.IFS(K235&lt;K$24,0,K235&lt;K$25,J$24,K235&lt;K$26,J$25,K235&lt;K$27,J$26,K235&lt;K$28,J$27,K235&lt;K$29,J$28,K235&lt;K$30,J$29,K235&lt;K$31,J$30,K235&lt;K$32,J$31,K235&lt;K$33,J$32,K235&lt;K$34,J$33,K235&lt;K$35,J$34,K235&lt;K$36,J$35,K235&lt;K$37,J$36,K235&lt;K$38,J$37,K235&lt;K$39,J$38,K235&lt;K$40,J$39,K235&lt;K$41,J$40,K235&lt;K$42,J$41,K235&lt;K$43,J$42,K235&lt;K$44,J$43,K235&lt;K$45,J$44,K235&lt;K$46,J$45,K235&lt;K$47,J$46,K235&gt;=K$47,J$47)</f>
        <v/>
      </c>
      <c r="K235" s="38" t="n">
        <v>185</v>
      </c>
      <c r="L235" s="31">
        <f>K235/52</f>
        <v/>
      </c>
      <c r="M235" s="39">
        <f>J235/1000000*52</f>
        <v/>
      </c>
      <c r="N235" s="33">
        <f>M235/$P$4+($I$22/$P$4)</f>
        <v/>
      </c>
      <c r="U235">
        <f>F234</f>
        <v/>
      </c>
      <c r="V235">
        <f>H234</f>
        <v/>
      </c>
      <c r="W235">
        <f>N234</f>
        <v/>
      </c>
    </row>
    <row r="236" ht="15.75" customHeight="1" s="40">
      <c r="C236" s="36">
        <f>_xlfn.IFS(E236&lt;E$24,0,E236&lt;E$26,C$24,E236&lt;E$28,C$26,E236&lt;E$30,C$28,E236&lt;E$32,C$30,E236&lt;E$34,C$32,E236&gt;=E$34,C$34)</f>
        <v/>
      </c>
      <c r="D236" s="37">
        <f>_xlfn.IFS(E236&lt;E$24,0,E236&lt;E$25,D$24,E236&lt;E$26,D$25,E236&lt;E$27,D$26,E236&lt;E$28,D$27,E236&lt;E$29,D$28,E236&lt;E$30,D$29,E236&lt;E$31,D$30,E236&lt;E$32,D$31,E236&lt;E$33,D$32,E236&lt;E$34,D$33,E236&lt;E$35,D$34,E236&gt;=E$35,D$35)</f>
        <v/>
      </c>
      <c r="E236" s="38" t="n">
        <v>186</v>
      </c>
      <c r="F236" s="31">
        <f>E236/52</f>
        <v/>
      </c>
      <c r="G236" s="39">
        <f>D236/1000000*52</f>
        <v/>
      </c>
      <c r="H236" s="33">
        <f>G236/$P$4+($C$22/$P$4)</f>
        <v/>
      </c>
      <c r="I236" s="36">
        <f>_xlfn.IFS(K236&lt;K$24,0,K236&lt;K$26,I$24,K236&lt;K$28,I$26,K236&lt;K$30,I$28,K236&lt;K$32,I$30,K236&lt;K$34,I$32,K236&lt;K$36,I$34,K236&lt;K$38,I$36,K236&lt;K$40,I$38,K236&lt;K$42,I$40,K236&lt;K$44,I$42,K236&lt;K$46,I$44,K236&gt;=K$46,I$46)</f>
        <v/>
      </c>
      <c r="J236" s="37">
        <f>_xlfn.IFS(K236&lt;K$24,0,K236&lt;K$25,J$24,K236&lt;K$26,J$25,K236&lt;K$27,J$26,K236&lt;K$28,J$27,K236&lt;K$29,J$28,K236&lt;K$30,J$29,K236&lt;K$31,J$30,K236&lt;K$32,J$31,K236&lt;K$33,J$32,K236&lt;K$34,J$33,K236&lt;K$35,J$34,K236&lt;K$36,J$35,K236&lt;K$37,J$36,K236&lt;K$38,J$37,K236&lt;K$39,J$38,K236&lt;K$40,J$39,K236&lt;K$41,J$40,K236&lt;K$42,J$41,K236&lt;K$43,J$42,K236&lt;K$44,J$43,K236&lt;K$45,J$44,K236&lt;K$46,J$45,K236&lt;K$47,J$46,K236&gt;=K$47,J$47)</f>
        <v/>
      </c>
      <c r="K236" s="38" t="n">
        <v>186</v>
      </c>
      <c r="L236" s="31">
        <f>K236/52</f>
        <v/>
      </c>
      <c r="M236" s="39">
        <f>J236/1000000*52</f>
        <v/>
      </c>
      <c r="N236" s="33">
        <f>M236/$P$4+($I$22/$P$4)</f>
        <v/>
      </c>
      <c r="U236">
        <f>F235</f>
        <v/>
      </c>
      <c r="V236">
        <f>H235</f>
        <v/>
      </c>
      <c r="W236">
        <f>N235</f>
        <v/>
      </c>
    </row>
    <row r="237" ht="15.75" customHeight="1" s="40">
      <c r="C237" s="36">
        <f>_xlfn.IFS(E237&lt;E$24,0,E237&lt;E$26,C$24,E237&lt;E$28,C$26,E237&lt;E$30,C$28,E237&lt;E$32,C$30,E237&lt;E$34,C$32,E237&gt;=E$34,C$34)</f>
        <v/>
      </c>
      <c r="D237" s="37">
        <f>_xlfn.IFS(E237&lt;E$24,0,E237&lt;E$25,D$24,E237&lt;E$26,D$25,E237&lt;E$27,D$26,E237&lt;E$28,D$27,E237&lt;E$29,D$28,E237&lt;E$30,D$29,E237&lt;E$31,D$30,E237&lt;E$32,D$31,E237&lt;E$33,D$32,E237&lt;E$34,D$33,E237&lt;E$35,D$34,E237&gt;=E$35,D$35)</f>
        <v/>
      </c>
      <c r="E237" s="38" t="n">
        <v>187</v>
      </c>
      <c r="F237" s="31">
        <f>E237/52</f>
        <v/>
      </c>
      <c r="G237" s="39">
        <f>D237/1000000*52</f>
        <v/>
      </c>
      <c r="H237" s="33">
        <f>G237/$P$4+($C$22/$P$4)</f>
        <v/>
      </c>
      <c r="I237" s="36">
        <f>_xlfn.IFS(K237&lt;K$24,0,K237&lt;K$26,I$24,K237&lt;K$28,I$26,K237&lt;K$30,I$28,K237&lt;K$32,I$30,K237&lt;K$34,I$32,K237&lt;K$36,I$34,K237&lt;K$38,I$36,K237&lt;K$40,I$38,K237&lt;K$42,I$40,K237&lt;K$44,I$42,K237&lt;K$46,I$44,K237&gt;=K$46,I$46)</f>
        <v/>
      </c>
      <c r="J237" s="37">
        <f>_xlfn.IFS(K237&lt;K$24,0,K237&lt;K$25,J$24,K237&lt;K$26,J$25,K237&lt;K$27,J$26,K237&lt;K$28,J$27,K237&lt;K$29,J$28,K237&lt;K$30,J$29,K237&lt;K$31,J$30,K237&lt;K$32,J$31,K237&lt;K$33,J$32,K237&lt;K$34,J$33,K237&lt;K$35,J$34,K237&lt;K$36,J$35,K237&lt;K$37,J$36,K237&lt;K$38,J$37,K237&lt;K$39,J$38,K237&lt;K$40,J$39,K237&lt;K$41,J$40,K237&lt;K$42,J$41,K237&lt;K$43,J$42,K237&lt;K$44,J$43,K237&lt;K$45,J$44,K237&lt;K$46,J$45,K237&lt;K$47,J$46,K237&gt;=K$47,J$47)</f>
        <v/>
      </c>
      <c r="K237" s="38" t="n">
        <v>187</v>
      </c>
      <c r="L237" s="31">
        <f>K237/52</f>
        <v/>
      </c>
      <c r="M237" s="39">
        <f>J237/1000000*52</f>
        <v/>
      </c>
      <c r="N237" s="33">
        <f>M237/$P$4+($I$22/$P$4)</f>
        <v/>
      </c>
      <c r="U237">
        <f>F236</f>
        <v/>
      </c>
      <c r="V237">
        <f>H236</f>
        <v/>
      </c>
      <c r="W237">
        <f>N236</f>
        <v/>
      </c>
    </row>
    <row r="238" ht="15.75" customHeight="1" s="40">
      <c r="C238" s="36">
        <f>_xlfn.IFS(E238&lt;E$24,0,E238&lt;E$26,C$24,E238&lt;E$28,C$26,E238&lt;E$30,C$28,E238&lt;E$32,C$30,E238&lt;E$34,C$32,E238&gt;=E$34,C$34)</f>
        <v/>
      </c>
      <c r="D238" s="37">
        <f>_xlfn.IFS(E238&lt;E$24,0,E238&lt;E$25,D$24,E238&lt;E$26,D$25,E238&lt;E$27,D$26,E238&lt;E$28,D$27,E238&lt;E$29,D$28,E238&lt;E$30,D$29,E238&lt;E$31,D$30,E238&lt;E$32,D$31,E238&lt;E$33,D$32,E238&lt;E$34,D$33,E238&lt;E$35,D$34,E238&gt;=E$35,D$35)</f>
        <v/>
      </c>
      <c r="E238" s="38" t="n">
        <v>188</v>
      </c>
      <c r="F238" s="31">
        <f>E238/52</f>
        <v/>
      </c>
      <c r="G238" s="39">
        <f>D238/1000000*52</f>
        <v/>
      </c>
      <c r="H238" s="33">
        <f>G238/$P$4+($C$22/$P$4)</f>
        <v/>
      </c>
      <c r="I238" s="36">
        <f>_xlfn.IFS(K238&lt;K$24,0,K238&lt;K$26,I$24,K238&lt;K$28,I$26,K238&lt;K$30,I$28,K238&lt;K$32,I$30,K238&lt;K$34,I$32,K238&lt;K$36,I$34,K238&lt;K$38,I$36,K238&lt;K$40,I$38,K238&lt;K$42,I$40,K238&lt;K$44,I$42,K238&lt;K$46,I$44,K238&gt;=K$46,I$46)</f>
        <v/>
      </c>
      <c r="J238" s="37">
        <f>_xlfn.IFS(K238&lt;K$24,0,K238&lt;K$25,J$24,K238&lt;K$26,J$25,K238&lt;K$27,J$26,K238&lt;K$28,J$27,K238&lt;K$29,J$28,K238&lt;K$30,J$29,K238&lt;K$31,J$30,K238&lt;K$32,J$31,K238&lt;K$33,J$32,K238&lt;K$34,J$33,K238&lt;K$35,J$34,K238&lt;K$36,J$35,K238&lt;K$37,J$36,K238&lt;K$38,J$37,K238&lt;K$39,J$38,K238&lt;K$40,J$39,K238&lt;K$41,J$40,K238&lt;K$42,J$41,K238&lt;K$43,J$42,K238&lt;K$44,J$43,K238&lt;K$45,J$44,K238&lt;K$46,J$45,K238&lt;K$47,J$46,K238&gt;=K$47,J$47)</f>
        <v/>
      </c>
      <c r="K238" s="38" t="n">
        <v>188</v>
      </c>
      <c r="L238" s="31">
        <f>K238/52</f>
        <v/>
      </c>
      <c r="M238" s="39">
        <f>J238/1000000*52</f>
        <v/>
      </c>
      <c r="N238" s="33">
        <f>M238/$P$4+($I$22/$P$4)</f>
        <v/>
      </c>
      <c r="U238">
        <f>F237</f>
        <v/>
      </c>
      <c r="V238">
        <f>H237</f>
        <v/>
      </c>
      <c r="W238">
        <f>N237</f>
        <v/>
      </c>
    </row>
    <row r="239" ht="15.75" customHeight="1" s="40">
      <c r="C239" s="36">
        <f>_xlfn.IFS(E239&lt;E$24,0,E239&lt;E$26,C$24,E239&lt;E$28,C$26,E239&lt;E$30,C$28,E239&lt;E$32,C$30,E239&lt;E$34,C$32,E239&gt;=E$34,C$34)</f>
        <v/>
      </c>
      <c r="D239" s="37">
        <f>_xlfn.IFS(E239&lt;E$24,0,E239&lt;E$25,D$24,E239&lt;E$26,D$25,E239&lt;E$27,D$26,E239&lt;E$28,D$27,E239&lt;E$29,D$28,E239&lt;E$30,D$29,E239&lt;E$31,D$30,E239&lt;E$32,D$31,E239&lt;E$33,D$32,E239&lt;E$34,D$33,E239&lt;E$35,D$34,E239&gt;=E$35,D$35)</f>
        <v/>
      </c>
      <c r="E239" s="38" t="n">
        <v>189</v>
      </c>
      <c r="F239" s="31">
        <f>E239/52</f>
        <v/>
      </c>
      <c r="G239" s="39">
        <f>D239/1000000*52</f>
        <v/>
      </c>
      <c r="H239" s="33">
        <f>G239/$P$4+($C$22/$P$4)</f>
        <v/>
      </c>
      <c r="I239" s="36">
        <f>_xlfn.IFS(K239&lt;K$24,0,K239&lt;K$26,I$24,K239&lt;K$28,I$26,K239&lt;K$30,I$28,K239&lt;K$32,I$30,K239&lt;K$34,I$32,K239&lt;K$36,I$34,K239&lt;K$38,I$36,K239&lt;K$40,I$38,K239&lt;K$42,I$40,K239&lt;K$44,I$42,K239&lt;K$46,I$44,K239&gt;=K$46,I$46)</f>
        <v/>
      </c>
      <c r="J239" s="37">
        <f>_xlfn.IFS(K239&lt;K$24,0,K239&lt;K$25,J$24,K239&lt;K$26,J$25,K239&lt;K$27,J$26,K239&lt;K$28,J$27,K239&lt;K$29,J$28,K239&lt;K$30,J$29,K239&lt;K$31,J$30,K239&lt;K$32,J$31,K239&lt;K$33,J$32,K239&lt;K$34,J$33,K239&lt;K$35,J$34,K239&lt;K$36,J$35,K239&lt;K$37,J$36,K239&lt;K$38,J$37,K239&lt;K$39,J$38,K239&lt;K$40,J$39,K239&lt;K$41,J$40,K239&lt;K$42,J$41,K239&lt;K$43,J$42,K239&lt;K$44,J$43,K239&lt;K$45,J$44,K239&lt;K$46,J$45,K239&lt;K$47,J$46,K239&gt;=K$47,J$47)</f>
        <v/>
      </c>
      <c r="K239" s="38" t="n">
        <v>189</v>
      </c>
      <c r="L239" s="31">
        <f>K239/52</f>
        <v/>
      </c>
      <c r="M239" s="39">
        <f>J239/1000000*52</f>
        <v/>
      </c>
      <c r="N239" s="33">
        <f>M239/$P$4+($I$22/$P$4)</f>
        <v/>
      </c>
      <c r="U239">
        <f>F238</f>
        <v/>
      </c>
      <c r="V239">
        <f>H238</f>
        <v/>
      </c>
      <c r="W239">
        <f>N238</f>
        <v/>
      </c>
    </row>
    <row r="240" ht="15.75" customHeight="1" s="40">
      <c r="C240" s="36">
        <f>_xlfn.IFS(E240&lt;E$24,0,E240&lt;E$26,C$24,E240&lt;E$28,C$26,E240&lt;E$30,C$28,E240&lt;E$32,C$30,E240&lt;E$34,C$32,E240&gt;=E$34,C$34)</f>
        <v/>
      </c>
      <c r="D240" s="37">
        <f>_xlfn.IFS(E240&lt;E$24,0,E240&lt;E$25,D$24,E240&lt;E$26,D$25,E240&lt;E$27,D$26,E240&lt;E$28,D$27,E240&lt;E$29,D$28,E240&lt;E$30,D$29,E240&lt;E$31,D$30,E240&lt;E$32,D$31,E240&lt;E$33,D$32,E240&lt;E$34,D$33,E240&lt;E$35,D$34,E240&gt;=E$35,D$35)</f>
        <v/>
      </c>
      <c r="E240" s="38" t="n">
        <v>190</v>
      </c>
      <c r="F240" s="31">
        <f>E240/52</f>
        <v/>
      </c>
      <c r="G240" s="39">
        <f>D240/1000000*52</f>
        <v/>
      </c>
      <c r="H240" s="33">
        <f>G240/$P$4+($C$22/$P$4)</f>
        <v/>
      </c>
      <c r="I240" s="36">
        <f>_xlfn.IFS(K240&lt;K$24,0,K240&lt;K$26,I$24,K240&lt;K$28,I$26,K240&lt;K$30,I$28,K240&lt;K$32,I$30,K240&lt;K$34,I$32,K240&lt;K$36,I$34,K240&lt;K$38,I$36,K240&lt;K$40,I$38,K240&lt;K$42,I$40,K240&lt;K$44,I$42,K240&lt;K$46,I$44,K240&gt;=K$46,I$46)</f>
        <v/>
      </c>
      <c r="J240" s="37">
        <f>_xlfn.IFS(K240&lt;K$24,0,K240&lt;K$25,J$24,K240&lt;K$26,J$25,K240&lt;K$27,J$26,K240&lt;K$28,J$27,K240&lt;K$29,J$28,K240&lt;K$30,J$29,K240&lt;K$31,J$30,K240&lt;K$32,J$31,K240&lt;K$33,J$32,K240&lt;K$34,J$33,K240&lt;K$35,J$34,K240&lt;K$36,J$35,K240&lt;K$37,J$36,K240&lt;K$38,J$37,K240&lt;K$39,J$38,K240&lt;K$40,J$39,K240&lt;K$41,J$40,K240&lt;K$42,J$41,K240&lt;K$43,J$42,K240&lt;K$44,J$43,K240&lt;K$45,J$44,K240&lt;K$46,J$45,K240&lt;K$47,J$46,K240&gt;=K$47,J$47)</f>
        <v/>
      </c>
      <c r="K240" s="38" t="n">
        <v>190</v>
      </c>
      <c r="L240" s="31">
        <f>K240/52</f>
        <v/>
      </c>
      <c r="M240" s="39">
        <f>J240/1000000*52</f>
        <v/>
      </c>
      <c r="N240" s="33">
        <f>M240/$P$4+($I$22/$P$4)</f>
        <v/>
      </c>
      <c r="U240">
        <f>F239</f>
        <v/>
      </c>
      <c r="V240">
        <f>H239</f>
        <v/>
      </c>
      <c r="W240">
        <f>N239</f>
        <v/>
      </c>
    </row>
    <row r="241" ht="15.75" customHeight="1" s="40">
      <c r="C241" s="36">
        <f>_xlfn.IFS(E241&lt;E$24,0,E241&lt;E$26,C$24,E241&lt;E$28,C$26,E241&lt;E$30,C$28,E241&lt;E$32,C$30,E241&lt;E$34,C$32,E241&gt;=E$34,C$34)</f>
        <v/>
      </c>
      <c r="D241" s="37">
        <f>_xlfn.IFS(E241&lt;E$24,0,E241&lt;E$25,D$24,E241&lt;E$26,D$25,E241&lt;E$27,D$26,E241&lt;E$28,D$27,E241&lt;E$29,D$28,E241&lt;E$30,D$29,E241&lt;E$31,D$30,E241&lt;E$32,D$31,E241&lt;E$33,D$32,E241&lt;E$34,D$33,E241&lt;E$35,D$34,E241&gt;=E$35,D$35)</f>
        <v/>
      </c>
      <c r="E241" s="38" t="n">
        <v>191</v>
      </c>
      <c r="F241" s="31">
        <f>E241/52</f>
        <v/>
      </c>
      <c r="G241" s="39">
        <f>D241/1000000*52</f>
        <v/>
      </c>
      <c r="H241" s="33">
        <f>G241/$P$4+($C$22/$P$4)</f>
        <v/>
      </c>
      <c r="I241" s="36">
        <f>_xlfn.IFS(K241&lt;K$24,0,K241&lt;K$26,I$24,K241&lt;K$28,I$26,K241&lt;K$30,I$28,K241&lt;K$32,I$30,K241&lt;K$34,I$32,K241&lt;K$36,I$34,K241&lt;K$38,I$36,K241&lt;K$40,I$38,K241&lt;K$42,I$40,K241&lt;K$44,I$42,K241&lt;K$46,I$44,K241&gt;=K$46,I$46)</f>
        <v/>
      </c>
      <c r="J241" s="37">
        <f>_xlfn.IFS(K241&lt;K$24,0,K241&lt;K$25,J$24,K241&lt;K$26,J$25,K241&lt;K$27,J$26,K241&lt;K$28,J$27,K241&lt;K$29,J$28,K241&lt;K$30,J$29,K241&lt;K$31,J$30,K241&lt;K$32,J$31,K241&lt;K$33,J$32,K241&lt;K$34,J$33,K241&lt;K$35,J$34,K241&lt;K$36,J$35,K241&lt;K$37,J$36,K241&lt;K$38,J$37,K241&lt;K$39,J$38,K241&lt;K$40,J$39,K241&lt;K$41,J$40,K241&lt;K$42,J$41,K241&lt;K$43,J$42,K241&lt;K$44,J$43,K241&lt;K$45,J$44,K241&lt;K$46,J$45,K241&lt;K$47,J$46,K241&gt;=K$47,J$47)</f>
        <v/>
      </c>
      <c r="K241" s="38" t="n">
        <v>191</v>
      </c>
      <c r="L241" s="31">
        <f>K241/52</f>
        <v/>
      </c>
      <c r="M241" s="39">
        <f>J241/1000000*52</f>
        <v/>
      </c>
      <c r="N241" s="33">
        <f>M241/$P$4+($I$22/$P$4)</f>
        <v/>
      </c>
      <c r="U241">
        <f>F240</f>
        <v/>
      </c>
      <c r="V241">
        <f>H240</f>
        <v/>
      </c>
      <c r="W241">
        <f>N240</f>
        <v/>
      </c>
    </row>
    <row r="242" ht="15.75" customHeight="1" s="40">
      <c r="C242" s="36">
        <f>_xlfn.IFS(E242&lt;E$24,0,E242&lt;E$26,C$24,E242&lt;E$28,C$26,E242&lt;E$30,C$28,E242&lt;E$32,C$30,E242&lt;E$34,C$32,E242&gt;=E$34,C$34)</f>
        <v/>
      </c>
      <c r="D242" s="37">
        <f>_xlfn.IFS(E242&lt;E$24,0,E242&lt;E$25,D$24,E242&lt;E$26,D$25,E242&lt;E$27,D$26,E242&lt;E$28,D$27,E242&lt;E$29,D$28,E242&lt;E$30,D$29,E242&lt;E$31,D$30,E242&lt;E$32,D$31,E242&lt;E$33,D$32,E242&lt;E$34,D$33,E242&lt;E$35,D$34,E242&gt;=E$35,D$35)</f>
        <v/>
      </c>
      <c r="E242" s="38" t="n">
        <v>192</v>
      </c>
      <c r="F242" s="31">
        <f>E242/52</f>
        <v/>
      </c>
      <c r="G242" s="39">
        <f>D242/1000000*52</f>
        <v/>
      </c>
      <c r="H242" s="33">
        <f>G242/$P$4+($C$22/$P$4)</f>
        <v/>
      </c>
      <c r="I242" s="36">
        <f>_xlfn.IFS(K242&lt;K$24,0,K242&lt;K$26,I$24,K242&lt;K$28,I$26,K242&lt;K$30,I$28,K242&lt;K$32,I$30,K242&lt;K$34,I$32,K242&lt;K$36,I$34,K242&lt;K$38,I$36,K242&lt;K$40,I$38,K242&lt;K$42,I$40,K242&lt;K$44,I$42,K242&lt;K$46,I$44,K242&gt;=K$46,I$46)</f>
        <v/>
      </c>
      <c r="J242" s="37">
        <f>_xlfn.IFS(K242&lt;K$24,0,K242&lt;K$25,J$24,K242&lt;K$26,J$25,K242&lt;K$27,J$26,K242&lt;K$28,J$27,K242&lt;K$29,J$28,K242&lt;K$30,J$29,K242&lt;K$31,J$30,K242&lt;K$32,J$31,K242&lt;K$33,J$32,K242&lt;K$34,J$33,K242&lt;K$35,J$34,K242&lt;K$36,J$35,K242&lt;K$37,J$36,K242&lt;K$38,J$37,K242&lt;K$39,J$38,K242&lt;K$40,J$39,K242&lt;K$41,J$40,K242&lt;K$42,J$41,K242&lt;K$43,J$42,K242&lt;K$44,J$43,K242&lt;K$45,J$44,K242&lt;K$46,J$45,K242&lt;K$47,J$46,K242&gt;=K$47,J$47)</f>
        <v/>
      </c>
      <c r="K242" s="38" t="n">
        <v>192</v>
      </c>
      <c r="L242" s="31">
        <f>K242/52</f>
        <v/>
      </c>
      <c r="M242" s="39">
        <f>J242/1000000*52</f>
        <v/>
      </c>
      <c r="N242" s="33">
        <f>M242/$P$4+($I$22/$P$4)</f>
        <v/>
      </c>
      <c r="U242">
        <f>F241</f>
        <v/>
      </c>
      <c r="V242">
        <f>H241</f>
        <v/>
      </c>
      <c r="W242">
        <f>N241</f>
        <v/>
      </c>
    </row>
    <row r="243" ht="15.75" customHeight="1" s="40">
      <c r="C243" s="36">
        <f>_xlfn.IFS(E243&lt;E$24,0,E243&lt;E$26,C$24,E243&lt;E$28,C$26,E243&lt;E$30,C$28,E243&lt;E$32,C$30,E243&lt;E$34,C$32,E243&gt;=E$34,C$34)</f>
        <v/>
      </c>
      <c r="D243" s="37">
        <f>_xlfn.IFS(E243&lt;E$24,0,E243&lt;E$25,D$24,E243&lt;E$26,D$25,E243&lt;E$27,D$26,E243&lt;E$28,D$27,E243&lt;E$29,D$28,E243&lt;E$30,D$29,E243&lt;E$31,D$30,E243&lt;E$32,D$31,E243&lt;E$33,D$32,E243&lt;E$34,D$33,E243&lt;E$35,D$34,E243&gt;=E$35,D$35)</f>
        <v/>
      </c>
      <c r="E243" s="38" t="n">
        <v>193</v>
      </c>
      <c r="F243" s="31">
        <f>E243/52</f>
        <v/>
      </c>
      <c r="G243" s="39">
        <f>D243/1000000*52</f>
        <v/>
      </c>
      <c r="H243" s="33">
        <f>G243/$P$4+($C$22/$P$4)</f>
        <v/>
      </c>
      <c r="I243" s="36">
        <f>_xlfn.IFS(K243&lt;K$24,0,K243&lt;K$26,I$24,K243&lt;K$28,I$26,K243&lt;K$30,I$28,K243&lt;K$32,I$30,K243&lt;K$34,I$32,K243&lt;K$36,I$34,K243&lt;K$38,I$36,K243&lt;K$40,I$38,K243&lt;K$42,I$40,K243&lt;K$44,I$42,K243&lt;K$46,I$44,K243&gt;=K$46,I$46)</f>
        <v/>
      </c>
      <c r="J243" s="37">
        <f>_xlfn.IFS(K243&lt;K$24,0,K243&lt;K$25,J$24,K243&lt;K$26,J$25,K243&lt;K$27,J$26,K243&lt;K$28,J$27,K243&lt;K$29,J$28,K243&lt;K$30,J$29,K243&lt;K$31,J$30,K243&lt;K$32,J$31,K243&lt;K$33,J$32,K243&lt;K$34,J$33,K243&lt;K$35,J$34,K243&lt;K$36,J$35,K243&lt;K$37,J$36,K243&lt;K$38,J$37,K243&lt;K$39,J$38,K243&lt;K$40,J$39,K243&lt;K$41,J$40,K243&lt;K$42,J$41,K243&lt;K$43,J$42,K243&lt;K$44,J$43,K243&lt;K$45,J$44,K243&lt;K$46,J$45,K243&lt;K$47,J$46,K243&gt;=K$47,J$47)</f>
        <v/>
      </c>
      <c r="K243" s="38" t="n">
        <v>193</v>
      </c>
      <c r="L243" s="31">
        <f>K243/52</f>
        <v/>
      </c>
      <c r="M243" s="39">
        <f>J243/1000000*52</f>
        <v/>
      </c>
      <c r="N243" s="33">
        <f>M243/$P$4+($I$22/$P$4)</f>
        <v/>
      </c>
      <c r="U243">
        <f>F242</f>
        <v/>
      </c>
      <c r="V243">
        <f>H242</f>
        <v/>
      </c>
      <c r="W243">
        <f>N242</f>
        <v/>
      </c>
    </row>
    <row r="244" ht="15.75" customHeight="1" s="40">
      <c r="C244" s="36">
        <f>_xlfn.IFS(E244&lt;E$24,0,E244&lt;E$26,C$24,E244&lt;E$28,C$26,E244&lt;E$30,C$28,E244&lt;E$32,C$30,E244&lt;E$34,C$32,E244&gt;=E$34,C$34)</f>
        <v/>
      </c>
      <c r="D244" s="37">
        <f>_xlfn.IFS(E244&lt;E$24,0,E244&lt;E$25,D$24,E244&lt;E$26,D$25,E244&lt;E$27,D$26,E244&lt;E$28,D$27,E244&lt;E$29,D$28,E244&lt;E$30,D$29,E244&lt;E$31,D$30,E244&lt;E$32,D$31,E244&lt;E$33,D$32,E244&lt;E$34,D$33,E244&lt;E$35,D$34,E244&gt;=E$35,D$35)</f>
        <v/>
      </c>
      <c r="E244" s="38" t="n">
        <v>194</v>
      </c>
      <c r="F244" s="31">
        <f>E244/52</f>
        <v/>
      </c>
      <c r="G244" s="39">
        <f>D244/1000000*52</f>
        <v/>
      </c>
      <c r="H244" s="33">
        <f>G244/$P$4+($C$22/$P$4)</f>
        <v/>
      </c>
      <c r="I244" s="36">
        <f>_xlfn.IFS(K244&lt;K$24,0,K244&lt;K$26,I$24,K244&lt;K$28,I$26,K244&lt;K$30,I$28,K244&lt;K$32,I$30,K244&lt;K$34,I$32,K244&lt;K$36,I$34,K244&lt;K$38,I$36,K244&lt;K$40,I$38,K244&lt;K$42,I$40,K244&lt;K$44,I$42,K244&lt;K$46,I$44,K244&gt;=K$46,I$46)</f>
        <v/>
      </c>
      <c r="J244" s="37">
        <f>_xlfn.IFS(K244&lt;K$24,0,K244&lt;K$25,J$24,K244&lt;K$26,J$25,K244&lt;K$27,J$26,K244&lt;K$28,J$27,K244&lt;K$29,J$28,K244&lt;K$30,J$29,K244&lt;K$31,J$30,K244&lt;K$32,J$31,K244&lt;K$33,J$32,K244&lt;K$34,J$33,K244&lt;K$35,J$34,K244&lt;K$36,J$35,K244&lt;K$37,J$36,K244&lt;K$38,J$37,K244&lt;K$39,J$38,K244&lt;K$40,J$39,K244&lt;K$41,J$40,K244&lt;K$42,J$41,K244&lt;K$43,J$42,K244&lt;K$44,J$43,K244&lt;K$45,J$44,K244&lt;K$46,J$45,K244&lt;K$47,J$46,K244&gt;=K$47,J$47)</f>
        <v/>
      </c>
      <c r="K244" s="38" t="n">
        <v>194</v>
      </c>
      <c r="L244" s="31">
        <f>K244/52</f>
        <v/>
      </c>
      <c r="M244" s="39">
        <f>J244/1000000*52</f>
        <v/>
      </c>
      <c r="N244" s="33">
        <f>M244/$P$4+($I$22/$P$4)</f>
        <v/>
      </c>
      <c r="U244">
        <f>F243</f>
        <v/>
      </c>
      <c r="V244">
        <f>H243</f>
        <v/>
      </c>
      <c r="W244">
        <f>N243</f>
        <v/>
      </c>
    </row>
    <row r="245" ht="15.75" customHeight="1" s="40">
      <c r="C245" s="36">
        <f>_xlfn.IFS(E245&lt;E$24,0,E245&lt;E$26,C$24,E245&lt;E$28,C$26,E245&lt;E$30,C$28,E245&lt;E$32,C$30,E245&lt;E$34,C$32,E245&gt;=E$34,C$34)</f>
        <v/>
      </c>
      <c r="D245" s="37">
        <f>_xlfn.IFS(E245&lt;E$24,0,E245&lt;E$25,D$24,E245&lt;E$26,D$25,E245&lt;E$27,D$26,E245&lt;E$28,D$27,E245&lt;E$29,D$28,E245&lt;E$30,D$29,E245&lt;E$31,D$30,E245&lt;E$32,D$31,E245&lt;E$33,D$32,E245&lt;E$34,D$33,E245&lt;E$35,D$34,E245&gt;=E$35,D$35)</f>
        <v/>
      </c>
      <c r="E245" s="38" t="n">
        <v>195</v>
      </c>
      <c r="F245" s="31">
        <f>E245/52</f>
        <v/>
      </c>
      <c r="G245" s="39">
        <f>D245/1000000*52</f>
        <v/>
      </c>
      <c r="H245" s="33">
        <f>G245/$P$4+($C$22/$P$4)</f>
        <v/>
      </c>
      <c r="I245" s="36">
        <f>_xlfn.IFS(K245&lt;K$24,0,K245&lt;K$26,I$24,K245&lt;K$28,I$26,K245&lt;K$30,I$28,K245&lt;K$32,I$30,K245&lt;K$34,I$32,K245&lt;K$36,I$34,K245&lt;K$38,I$36,K245&lt;K$40,I$38,K245&lt;K$42,I$40,K245&lt;K$44,I$42,K245&lt;K$46,I$44,K245&gt;=K$46,I$46)</f>
        <v/>
      </c>
      <c r="J245" s="37">
        <f>_xlfn.IFS(K245&lt;K$24,0,K245&lt;K$25,J$24,K245&lt;K$26,J$25,K245&lt;K$27,J$26,K245&lt;K$28,J$27,K245&lt;K$29,J$28,K245&lt;K$30,J$29,K245&lt;K$31,J$30,K245&lt;K$32,J$31,K245&lt;K$33,J$32,K245&lt;K$34,J$33,K245&lt;K$35,J$34,K245&lt;K$36,J$35,K245&lt;K$37,J$36,K245&lt;K$38,J$37,K245&lt;K$39,J$38,K245&lt;K$40,J$39,K245&lt;K$41,J$40,K245&lt;K$42,J$41,K245&lt;K$43,J$42,K245&lt;K$44,J$43,K245&lt;K$45,J$44,K245&lt;K$46,J$45,K245&lt;K$47,J$46,K245&gt;=K$47,J$47)</f>
        <v/>
      </c>
      <c r="K245" s="38" t="n">
        <v>195</v>
      </c>
      <c r="L245" s="31">
        <f>K245/52</f>
        <v/>
      </c>
      <c r="M245" s="39">
        <f>J245/1000000*52</f>
        <v/>
      </c>
      <c r="N245" s="33">
        <f>M245/$P$4+($I$22/$P$4)</f>
        <v/>
      </c>
      <c r="U245">
        <f>F244</f>
        <v/>
      </c>
      <c r="V245">
        <f>H244</f>
        <v/>
      </c>
      <c r="W245">
        <f>N244</f>
        <v/>
      </c>
    </row>
    <row r="246" ht="15.75" customHeight="1" s="40">
      <c r="C246" s="36">
        <f>_xlfn.IFS(E246&lt;E$24,0,E246&lt;E$26,C$24,E246&lt;E$28,C$26,E246&lt;E$30,C$28,E246&lt;E$32,C$30,E246&lt;E$34,C$32,E246&gt;=E$34,C$34)</f>
        <v/>
      </c>
      <c r="D246" s="37">
        <f>_xlfn.IFS(E246&lt;E$24,0,E246&lt;E$25,D$24,E246&lt;E$26,D$25,E246&lt;E$27,D$26,E246&lt;E$28,D$27,E246&lt;E$29,D$28,E246&lt;E$30,D$29,E246&lt;E$31,D$30,E246&lt;E$32,D$31,E246&lt;E$33,D$32,E246&lt;E$34,D$33,E246&lt;E$35,D$34,E246&gt;=E$35,D$35)</f>
        <v/>
      </c>
      <c r="E246" s="38" t="n">
        <v>196</v>
      </c>
      <c r="F246" s="31">
        <f>E246/52</f>
        <v/>
      </c>
      <c r="G246" s="39">
        <f>D246/1000000*52</f>
        <v/>
      </c>
      <c r="H246" s="33">
        <f>G246/$P$4+($C$22/$P$4)</f>
        <v/>
      </c>
      <c r="I246" s="36">
        <f>_xlfn.IFS(K246&lt;K$24,0,K246&lt;K$26,I$24,K246&lt;K$28,I$26,K246&lt;K$30,I$28,K246&lt;K$32,I$30,K246&lt;K$34,I$32,K246&lt;K$36,I$34,K246&lt;K$38,I$36,K246&lt;K$40,I$38,K246&lt;K$42,I$40,K246&lt;K$44,I$42,K246&lt;K$46,I$44,K246&gt;=K$46,I$46)</f>
        <v/>
      </c>
      <c r="J246" s="37">
        <f>_xlfn.IFS(K246&lt;K$24,0,K246&lt;K$25,J$24,K246&lt;K$26,J$25,K246&lt;K$27,J$26,K246&lt;K$28,J$27,K246&lt;K$29,J$28,K246&lt;K$30,J$29,K246&lt;K$31,J$30,K246&lt;K$32,J$31,K246&lt;K$33,J$32,K246&lt;K$34,J$33,K246&lt;K$35,J$34,K246&lt;K$36,J$35,K246&lt;K$37,J$36,K246&lt;K$38,J$37,K246&lt;K$39,J$38,K246&lt;K$40,J$39,K246&lt;K$41,J$40,K246&lt;K$42,J$41,K246&lt;K$43,J$42,K246&lt;K$44,J$43,K246&lt;K$45,J$44,K246&lt;K$46,J$45,K246&lt;K$47,J$46,K246&gt;=K$47,J$47)</f>
        <v/>
      </c>
      <c r="K246" s="38" t="n">
        <v>196</v>
      </c>
      <c r="L246" s="31">
        <f>K246/52</f>
        <v/>
      </c>
      <c r="M246" s="39">
        <f>J246/1000000*52</f>
        <v/>
      </c>
      <c r="N246" s="33">
        <f>M246/$P$4+($I$22/$P$4)</f>
        <v/>
      </c>
      <c r="U246">
        <f>F245</f>
        <v/>
      </c>
      <c r="V246">
        <f>H245</f>
        <v/>
      </c>
      <c r="W246">
        <f>N245</f>
        <v/>
      </c>
    </row>
    <row r="247" ht="15.75" customHeight="1" s="40">
      <c r="C247" s="36">
        <f>_xlfn.IFS(E247&lt;E$24,0,E247&lt;E$26,C$24,E247&lt;E$28,C$26,E247&lt;E$30,C$28,E247&lt;E$32,C$30,E247&lt;E$34,C$32,E247&gt;=E$34,C$34)</f>
        <v/>
      </c>
      <c r="D247" s="37">
        <f>_xlfn.IFS(E247&lt;E$24,0,E247&lt;E$25,D$24,E247&lt;E$26,D$25,E247&lt;E$27,D$26,E247&lt;E$28,D$27,E247&lt;E$29,D$28,E247&lt;E$30,D$29,E247&lt;E$31,D$30,E247&lt;E$32,D$31,E247&lt;E$33,D$32,E247&lt;E$34,D$33,E247&lt;E$35,D$34,E247&gt;=E$35,D$35)</f>
        <v/>
      </c>
      <c r="E247" s="38" t="n">
        <v>197</v>
      </c>
      <c r="F247" s="31">
        <f>E247/52</f>
        <v/>
      </c>
      <c r="G247" s="39">
        <f>D247/1000000*52</f>
        <v/>
      </c>
      <c r="H247" s="33">
        <f>G247/$P$4+($C$22/$P$4)</f>
        <v/>
      </c>
      <c r="I247" s="36">
        <f>_xlfn.IFS(K247&lt;K$24,0,K247&lt;K$26,I$24,K247&lt;K$28,I$26,K247&lt;K$30,I$28,K247&lt;K$32,I$30,K247&lt;K$34,I$32,K247&lt;K$36,I$34,K247&lt;K$38,I$36,K247&lt;K$40,I$38,K247&lt;K$42,I$40,K247&lt;K$44,I$42,K247&lt;K$46,I$44,K247&gt;=K$46,I$46)</f>
        <v/>
      </c>
      <c r="J247" s="37">
        <f>_xlfn.IFS(K247&lt;K$24,0,K247&lt;K$25,J$24,K247&lt;K$26,J$25,K247&lt;K$27,J$26,K247&lt;K$28,J$27,K247&lt;K$29,J$28,K247&lt;K$30,J$29,K247&lt;K$31,J$30,K247&lt;K$32,J$31,K247&lt;K$33,J$32,K247&lt;K$34,J$33,K247&lt;K$35,J$34,K247&lt;K$36,J$35,K247&lt;K$37,J$36,K247&lt;K$38,J$37,K247&lt;K$39,J$38,K247&lt;K$40,J$39,K247&lt;K$41,J$40,K247&lt;K$42,J$41,K247&lt;K$43,J$42,K247&lt;K$44,J$43,K247&lt;K$45,J$44,K247&lt;K$46,J$45,K247&lt;K$47,J$46,K247&gt;=K$47,J$47)</f>
        <v/>
      </c>
      <c r="K247" s="38" t="n">
        <v>197</v>
      </c>
      <c r="L247" s="31">
        <f>K247/52</f>
        <v/>
      </c>
      <c r="M247" s="39">
        <f>J247/1000000*52</f>
        <v/>
      </c>
      <c r="N247" s="33">
        <f>M247/$P$4+($I$22/$P$4)</f>
        <v/>
      </c>
      <c r="U247">
        <f>F246</f>
        <v/>
      </c>
      <c r="V247">
        <f>H246</f>
        <v/>
      </c>
      <c r="W247">
        <f>N246</f>
        <v/>
      </c>
    </row>
    <row r="248" ht="15.75" customHeight="1" s="40">
      <c r="C248" s="36">
        <f>_xlfn.IFS(E248&lt;E$24,0,E248&lt;E$26,C$24,E248&lt;E$28,C$26,E248&lt;E$30,C$28,E248&lt;E$32,C$30,E248&lt;E$34,C$32,E248&gt;=E$34,C$34)</f>
        <v/>
      </c>
      <c r="D248" s="37">
        <f>_xlfn.IFS(E248&lt;E$24,0,E248&lt;E$25,D$24,E248&lt;E$26,D$25,E248&lt;E$27,D$26,E248&lt;E$28,D$27,E248&lt;E$29,D$28,E248&lt;E$30,D$29,E248&lt;E$31,D$30,E248&lt;E$32,D$31,E248&lt;E$33,D$32,E248&lt;E$34,D$33,E248&lt;E$35,D$34,E248&gt;=E$35,D$35)</f>
        <v/>
      </c>
      <c r="E248" s="38" t="n">
        <v>198</v>
      </c>
      <c r="F248" s="31">
        <f>E248/52</f>
        <v/>
      </c>
      <c r="G248" s="39">
        <f>D248/1000000*52</f>
        <v/>
      </c>
      <c r="H248" s="33">
        <f>G248/$P$4+($C$22/$P$4)</f>
        <v/>
      </c>
      <c r="I248" s="36">
        <f>_xlfn.IFS(K248&lt;K$24,0,K248&lt;K$26,I$24,K248&lt;K$28,I$26,K248&lt;K$30,I$28,K248&lt;K$32,I$30,K248&lt;K$34,I$32,K248&lt;K$36,I$34,K248&lt;K$38,I$36,K248&lt;K$40,I$38,K248&lt;K$42,I$40,K248&lt;K$44,I$42,K248&lt;K$46,I$44,K248&gt;=K$46,I$46)</f>
        <v/>
      </c>
      <c r="J248" s="37">
        <f>_xlfn.IFS(K248&lt;K$24,0,K248&lt;K$25,J$24,K248&lt;K$26,J$25,K248&lt;K$27,J$26,K248&lt;K$28,J$27,K248&lt;K$29,J$28,K248&lt;K$30,J$29,K248&lt;K$31,J$30,K248&lt;K$32,J$31,K248&lt;K$33,J$32,K248&lt;K$34,J$33,K248&lt;K$35,J$34,K248&lt;K$36,J$35,K248&lt;K$37,J$36,K248&lt;K$38,J$37,K248&lt;K$39,J$38,K248&lt;K$40,J$39,K248&lt;K$41,J$40,K248&lt;K$42,J$41,K248&lt;K$43,J$42,K248&lt;K$44,J$43,K248&lt;K$45,J$44,K248&lt;K$46,J$45,K248&lt;K$47,J$46,K248&gt;=K$47,J$47)</f>
        <v/>
      </c>
      <c r="K248" s="38" t="n">
        <v>198</v>
      </c>
      <c r="L248" s="31">
        <f>K248/52</f>
        <v/>
      </c>
      <c r="M248" s="39">
        <f>J248/1000000*52</f>
        <v/>
      </c>
      <c r="N248" s="33">
        <f>M248/$P$4+($I$22/$P$4)</f>
        <v/>
      </c>
      <c r="U248">
        <f>F247</f>
        <v/>
      </c>
      <c r="V248">
        <f>H247</f>
        <v/>
      </c>
      <c r="W248">
        <f>N247</f>
        <v/>
      </c>
    </row>
    <row r="249" ht="15.75" customHeight="1" s="40">
      <c r="C249" s="36">
        <f>_xlfn.IFS(E249&lt;E$24,0,E249&lt;E$26,C$24,E249&lt;E$28,C$26,E249&lt;E$30,C$28,E249&lt;E$32,C$30,E249&lt;E$34,C$32,E249&gt;=E$34,C$34)</f>
        <v/>
      </c>
      <c r="D249" s="37">
        <f>_xlfn.IFS(E249&lt;E$24,0,E249&lt;E$25,D$24,E249&lt;E$26,D$25,E249&lt;E$27,D$26,E249&lt;E$28,D$27,E249&lt;E$29,D$28,E249&lt;E$30,D$29,E249&lt;E$31,D$30,E249&lt;E$32,D$31,E249&lt;E$33,D$32,E249&lt;E$34,D$33,E249&lt;E$35,D$34,E249&gt;=E$35,D$35)</f>
        <v/>
      </c>
      <c r="E249" s="38" t="n">
        <v>199</v>
      </c>
      <c r="F249" s="31">
        <f>E249/52</f>
        <v/>
      </c>
      <c r="G249" s="39">
        <f>D249/1000000*52</f>
        <v/>
      </c>
      <c r="H249" s="33">
        <f>G249/$P$4+($C$22/$P$4)</f>
        <v/>
      </c>
      <c r="I249" s="36">
        <f>_xlfn.IFS(K249&lt;K$24,0,K249&lt;K$26,I$24,K249&lt;K$28,I$26,K249&lt;K$30,I$28,K249&lt;K$32,I$30,K249&lt;K$34,I$32,K249&lt;K$36,I$34,K249&lt;K$38,I$36,K249&lt;K$40,I$38,K249&lt;K$42,I$40,K249&lt;K$44,I$42,K249&lt;K$46,I$44,K249&gt;=K$46,I$46)</f>
        <v/>
      </c>
      <c r="J249" s="37">
        <f>_xlfn.IFS(K249&lt;K$24,0,K249&lt;K$25,J$24,K249&lt;K$26,J$25,K249&lt;K$27,J$26,K249&lt;K$28,J$27,K249&lt;K$29,J$28,K249&lt;K$30,J$29,K249&lt;K$31,J$30,K249&lt;K$32,J$31,K249&lt;K$33,J$32,K249&lt;K$34,J$33,K249&lt;K$35,J$34,K249&lt;K$36,J$35,K249&lt;K$37,J$36,K249&lt;K$38,J$37,K249&lt;K$39,J$38,K249&lt;K$40,J$39,K249&lt;K$41,J$40,K249&lt;K$42,J$41,K249&lt;K$43,J$42,K249&lt;K$44,J$43,K249&lt;K$45,J$44,K249&lt;K$46,J$45,K249&lt;K$47,J$46,K249&gt;=K$47,J$47)</f>
        <v/>
      </c>
      <c r="K249" s="38" t="n">
        <v>199</v>
      </c>
      <c r="L249" s="31">
        <f>K249/52</f>
        <v/>
      </c>
      <c r="M249" s="39">
        <f>J249/1000000*52</f>
        <v/>
      </c>
      <c r="N249" s="33">
        <f>M249/$P$4+($I$22/$P$4)</f>
        <v/>
      </c>
      <c r="U249">
        <f>F248</f>
        <v/>
      </c>
      <c r="V249">
        <f>H248</f>
        <v/>
      </c>
      <c r="W249">
        <f>N248</f>
        <v/>
      </c>
    </row>
    <row r="250" ht="15.75" customHeight="1" s="40">
      <c r="C250" s="36">
        <f>_xlfn.IFS(E250&lt;E$24,0,E250&lt;E$26,C$24,E250&lt;E$28,C$26,E250&lt;E$30,C$28,E250&lt;E$32,C$30,E250&lt;E$34,C$32,E250&gt;=E$34,C$34)</f>
        <v/>
      </c>
      <c r="D250" s="37">
        <f>_xlfn.IFS(E250&lt;E$24,0,E250&lt;E$25,D$24,E250&lt;E$26,D$25,E250&lt;E$27,D$26,E250&lt;E$28,D$27,E250&lt;E$29,D$28,E250&lt;E$30,D$29,E250&lt;E$31,D$30,E250&lt;E$32,D$31,E250&lt;E$33,D$32,E250&lt;E$34,D$33,E250&lt;E$35,D$34,E250&gt;=E$35,D$35)</f>
        <v/>
      </c>
      <c r="E250" s="38" t="n">
        <v>200</v>
      </c>
      <c r="F250" s="31">
        <f>E250/52</f>
        <v/>
      </c>
      <c r="G250" s="39">
        <f>D250/1000000*52</f>
        <v/>
      </c>
      <c r="H250" s="33">
        <f>G250/$P$4+($C$22/$P$4)</f>
        <v/>
      </c>
      <c r="I250" s="36">
        <f>_xlfn.IFS(K250&lt;K$24,0,K250&lt;K$26,I$24,K250&lt;K$28,I$26,K250&lt;K$30,I$28,K250&lt;K$32,I$30,K250&lt;K$34,I$32,K250&lt;K$36,I$34,K250&lt;K$38,I$36,K250&lt;K$40,I$38,K250&lt;K$42,I$40,K250&lt;K$44,I$42,K250&lt;K$46,I$44,K250&gt;=K$46,I$46)</f>
        <v/>
      </c>
      <c r="J250" s="37">
        <f>_xlfn.IFS(K250&lt;K$24,0,K250&lt;K$25,J$24,K250&lt;K$26,J$25,K250&lt;K$27,J$26,K250&lt;K$28,J$27,K250&lt;K$29,J$28,K250&lt;K$30,J$29,K250&lt;K$31,J$30,K250&lt;K$32,J$31,K250&lt;K$33,J$32,K250&lt;K$34,J$33,K250&lt;K$35,J$34,K250&lt;K$36,J$35,K250&lt;K$37,J$36,K250&lt;K$38,J$37,K250&lt;K$39,J$38,K250&lt;K$40,J$39,K250&lt;K$41,J$40,K250&lt;K$42,J$41,K250&lt;K$43,J$42,K250&lt;K$44,J$43,K250&lt;K$45,J$44,K250&lt;K$46,J$45,K250&lt;K$47,J$46,K250&gt;=K$47,J$47)</f>
        <v/>
      </c>
      <c r="K250" s="38" t="n">
        <v>200</v>
      </c>
      <c r="L250" s="31">
        <f>K250/52</f>
        <v/>
      </c>
      <c r="M250" s="39">
        <f>J250/1000000*52</f>
        <v/>
      </c>
      <c r="N250" s="33">
        <f>M250/$P$4+($I$22/$P$4)</f>
        <v/>
      </c>
      <c r="U250">
        <f>F249</f>
        <v/>
      </c>
      <c r="V250">
        <f>H249</f>
        <v/>
      </c>
      <c r="W250">
        <f>N249</f>
        <v/>
      </c>
    </row>
    <row r="251" ht="15.75" customHeight="1" s="40">
      <c r="C251" s="36">
        <f>_xlfn.IFS(E251&lt;E$24,0,E251&lt;E$26,C$24,E251&lt;E$28,C$26,E251&lt;E$30,C$28,E251&lt;E$32,C$30,E251&lt;E$34,C$32,E251&gt;=E$34,C$34)</f>
        <v/>
      </c>
      <c r="D251" s="37">
        <f>_xlfn.IFS(E251&lt;E$24,0,E251&lt;E$25,D$24,E251&lt;E$26,D$25,E251&lt;E$27,D$26,E251&lt;E$28,D$27,E251&lt;E$29,D$28,E251&lt;E$30,D$29,E251&lt;E$31,D$30,E251&lt;E$32,D$31,E251&lt;E$33,D$32,E251&lt;E$34,D$33,E251&lt;E$35,D$34,E251&gt;=E$35,D$35)</f>
        <v/>
      </c>
      <c r="E251" s="38" t="n">
        <v>201</v>
      </c>
      <c r="F251" s="31">
        <f>E251/52</f>
        <v/>
      </c>
      <c r="G251" s="39">
        <f>D251/1000000*52</f>
        <v/>
      </c>
      <c r="H251" s="33">
        <f>G251/$P$4+($C$22/$P$4)</f>
        <v/>
      </c>
      <c r="I251" s="36">
        <f>_xlfn.IFS(K251&lt;K$24,0,K251&lt;K$26,I$24,K251&lt;K$28,I$26,K251&lt;K$30,I$28,K251&lt;K$32,I$30,K251&lt;K$34,I$32,K251&lt;K$36,I$34,K251&lt;K$38,I$36,K251&lt;K$40,I$38,K251&lt;K$42,I$40,K251&lt;K$44,I$42,K251&lt;K$46,I$44,K251&gt;=K$46,I$46)</f>
        <v/>
      </c>
      <c r="J251" s="37">
        <f>_xlfn.IFS(K251&lt;K$24,0,K251&lt;K$25,J$24,K251&lt;K$26,J$25,K251&lt;K$27,J$26,K251&lt;K$28,J$27,K251&lt;K$29,J$28,K251&lt;K$30,J$29,K251&lt;K$31,J$30,K251&lt;K$32,J$31,K251&lt;K$33,J$32,K251&lt;K$34,J$33,K251&lt;K$35,J$34,K251&lt;K$36,J$35,K251&lt;K$37,J$36,K251&lt;K$38,J$37,K251&lt;K$39,J$38,K251&lt;K$40,J$39,K251&lt;K$41,J$40,K251&lt;K$42,J$41,K251&lt;K$43,J$42,K251&lt;K$44,J$43,K251&lt;K$45,J$44,K251&lt;K$46,J$45,K251&lt;K$47,J$46,K251&gt;=K$47,J$47)</f>
        <v/>
      </c>
      <c r="K251" s="38" t="n">
        <v>201</v>
      </c>
      <c r="L251" s="31">
        <f>K251/52</f>
        <v/>
      </c>
      <c r="M251" s="39">
        <f>J251/1000000*52</f>
        <v/>
      </c>
      <c r="N251" s="33">
        <f>M251/$P$4+($I$22/$P$4)</f>
        <v/>
      </c>
      <c r="U251">
        <f>F250</f>
        <v/>
      </c>
      <c r="V251">
        <f>H250</f>
        <v/>
      </c>
      <c r="W251">
        <f>N250</f>
        <v/>
      </c>
    </row>
    <row r="252" ht="15.75" customHeight="1" s="40">
      <c r="C252" s="36">
        <f>_xlfn.IFS(E252&lt;E$24,0,E252&lt;E$26,C$24,E252&lt;E$28,C$26,E252&lt;E$30,C$28,E252&lt;E$32,C$30,E252&lt;E$34,C$32,E252&gt;=E$34,C$34)</f>
        <v/>
      </c>
      <c r="D252" s="37">
        <f>_xlfn.IFS(E252&lt;E$24,0,E252&lt;E$25,D$24,E252&lt;E$26,D$25,E252&lt;E$27,D$26,E252&lt;E$28,D$27,E252&lt;E$29,D$28,E252&lt;E$30,D$29,E252&lt;E$31,D$30,E252&lt;E$32,D$31,E252&lt;E$33,D$32,E252&lt;E$34,D$33,E252&lt;E$35,D$34,E252&gt;=E$35,D$35)</f>
        <v/>
      </c>
      <c r="E252" s="38" t="n">
        <v>202</v>
      </c>
      <c r="F252" s="31">
        <f>E252/52</f>
        <v/>
      </c>
      <c r="G252" s="39">
        <f>D252/1000000*52</f>
        <v/>
      </c>
      <c r="H252" s="33">
        <f>G252/$P$4+($C$22/$P$4)</f>
        <v/>
      </c>
      <c r="I252" s="36">
        <f>_xlfn.IFS(K252&lt;K$24,0,K252&lt;K$26,I$24,K252&lt;K$28,I$26,K252&lt;K$30,I$28,K252&lt;K$32,I$30,K252&lt;K$34,I$32,K252&lt;K$36,I$34,K252&lt;K$38,I$36,K252&lt;K$40,I$38,K252&lt;K$42,I$40,K252&lt;K$44,I$42,K252&lt;K$46,I$44,K252&gt;=K$46,I$46)</f>
        <v/>
      </c>
      <c r="J252" s="37">
        <f>_xlfn.IFS(K252&lt;K$24,0,K252&lt;K$25,J$24,K252&lt;K$26,J$25,K252&lt;K$27,J$26,K252&lt;K$28,J$27,K252&lt;K$29,J$28,K252&lt;K$30,J$29,K252&lt;K$31,J$30,K252&lt;K$32,J$31,K252&lt;K$33,J$32,K252&lt;K$34,J$33,K252&lt;K$35,J$34,K252&lt;K$36,J$35,K252&lt;K$37,J$36,K252&lt;K$38,J$37,K252&lt;K$39,J$38,K252&lt;K$40,J$39,K252&lt;K$41,J$40,K252&lt;K$42,J$41,K252&lt;K$43,J$42,K252&lt;K$44,J$43,K252&lt;K$45,J$44,K252&lt;K$46,J$45,K252&lt;K$47,J$46,K252&gt;=K$47,J$47)</f>
        <v/>
      </c>
      <c r="K252" s="38" t="n">
        <v>202</v>
      </c>
      <c r="L252" s="31">
        <f>K252/52</f>
        <v/>
      </c>
      <c r="M252" s="39">
        <f>J252/1000000*52</f>
        <v/>
      </c>
      <c r="N252" s="33">
        <f>M252/$P$4+($I$22/$P$4)</f>
        <v/>
      </c>
      <c r="U252">
        <f>F251</f>
        <v/>
      </c>
      <c r="V252">
        <f>H251</f>
        <v/>
      </c>
      <c r="W252">
        <f>N251</f>
        <v/>
      </c>
    </row>
    <row r="253" ht="15.75" customHeight="1" s="40">
      <c r="C253" s="36">
        <f>_xlfn.IFS(E253&lt;E$24,0,E253&lt;E$26,C$24,E253&lt;E$28,C$26,E253&lt;E$30,C$28,E253&lt;E$32,C$30,E253&lt;E$34,C$32,E253&gt;=E$34,C$34)</f>
        <v/>
      </c>
      <c r="D253" s="37">
        <f>_xlfn.IFS(E253&lt;E$24,0,E253&lt;E$25,D$24,E253&lt;E$26,D$25,E253&lt;E$27,D$26,E253&lt;E$28,D$27,E253&lt;E$29,D$28,E253&lt;E$30,D$29,E253&lt;E$31,D$30,E253&lt;E$32,D$31,E253&lt;E$33,D$32,E253&lt;E$34,D$33,E253&lt;E$35,D$34,E253&gt;=E$35,D$35)</f>
        <v/>
      </c>
      <c r="E253" s="38" t="n">
        <v>203</v>
      </c>
      <c r="F253" s="31">
        <f>E253/52</f>
        <v/>
      </c>
      <c r="G253" s="39">
        <f>D253/1000000*52</f>
        <v/>
      </c>
      <c r="H253" s="33">
        <f>G253/$P$4+($C$22/$P$4)</f>
        <v/>
      </c>
      <c r="I253" s="36">
        <f>_xlfn.IFS(K253&lt;K$24,0,K253&lt;K$26,I$24,K253&lt;K$28,I$26,K253&lt;K$30,I$28,K253&lt;K$32,I$30,K253&lt;K$34,I$32,K253&lt;K$36,I$34,K253&lt;K$38,I$36,K253&lt;K$40,I$38,K253&lt;K$42,I$40,K253&lt;K$44,I$42,K253&lt;K$46,I$44,K253&gt;=K$46,I$46)</f>
        <v/>
      </c>
      <c r="J253" s="37">
        <f>_xlfn.IFS(K253&lt;K$24,0,K253&lt;K$25,J$24,K253&lt;K$26,J$25,K253&lt;K$27,J$26,K253&lt;K$28,J$27,K253&lt;K$29,J$28,K253&lt;K$30,J$29,K253&lt;K$31,J$30,K253&lt;K$32,J$31,K253&lt;K$33,J$32,K253&lt;K$34,J$33,K253&lt;K$35,J$34,K253&lt;K$36,J$35,K253&lt;K$37,J$36,K253&lt;K$38,J$37,K253&lt;K$39,J$38,K253&lt;K$40,J$39,K253&lt;K$41,J$40,K253&lt;K$42,J$41,K253&lt;K$43,J$42,K253&lt;K$44,J$43,K253&lt;K$45,J$44,K253&lt;K$46,J$45,K253&lt;K$47,J$46,K253&gt;=K$47,J$47)</f>
        <v/>
      </c>
      <c r="K253" s="38" t="n">
        <v>203</v>
      </c>
      <c r="L253" s="31">
        <f>K253/52</f>
        <v/>
      </c>
      <c r="M253" s="39">
        <f>J253/1000000*52</f>
        <v/>
      </c>
      <c r="N253" s="33">
        <f>M253/$P$4+($I$22/$P$4)</f>
        <v/>
      </c>
      <c r="U253">
        <f>F252</f>
        <v/>
      </c>
      <c r="V253">
        <f>H252</f>
        <v/>
      </c>
      <c r="W253">
        <f>N252</f>
        <v/>
      </c>
    </row>
    <row r="254" ht="15.75" customHeight="1" s="40">
      <c r="C254" s="36">
        <f>_xlfn.IFS(E254&lt;E$24,0,E254&lt;E$26,C$24,E254&lt;E$28,C$26,E254&lt;E$30,C$28,E254&lt;E$32,C$30,E254&lt;E$34,C$32,E254&gt;=E$34,C$34)</f>
        <v/>
      </c>
      <c r="D254" s="37">
        <f>_xlfn.IFS(E254&lt;E$24,0,E254&lt;E$25,D$24,E254&lt;E$26,D$25,E254&lt;E$27,D$26,E254&lt;E$28,D$27,E254&lt;E$29,D$28,E254&lt;E$30,D$29,E254&lt;E$31,D$30,E254&lt;E$32,D$31,E254&lt;E$33,D$32,E254&lt;E$34,D$33,E254&lt;E$35,D$34,E254&gt;=E$35,D$35)</f>
        <v/>
      </c>
      <c r="E254" s="38" t="n">
        <v>204</v>
      </c>
      <c r="F254" s="31">
        <f>E254/52</f>
        <v/>
      </c>
      <c r="G254" s="39">
        <f>D254/1000000*52</f>
        <v/>
      </c>
      <c r="H254" s="33">
        <f>G254/$P$4+($C$22/$P$4)</f>
        <v/>
      </c>
      <c r="I254" s="36">
        <f>_xlfn.IFS(K254&lt;K$24,0,K254&lt;K$26,I$24,K254&lt;K$28,I$26,K254&lt;K$30,I$28,K254&lt;K$32,I$30,K254&lt;K$34,I$32,K254&lt;K$36,I$34,K254&lt;K$38,I$36,K254&lt;K$40,I$38,K254&lt;K$42,I$40,K254&lt;K$44,I$42,K254&lt;K$46,I$44,K254&gt;=K$46,I$46)</f>
        <v/>
      </c>
      <c r="J254" s="37">
        <f>_xlfn.IFS(K254&lt;K$24,0,K254&lt;K$25,J$24,K254&lt;K$26,J$25,K254&lt;K$27,J$26,K254&lt;K$28,J$27,K254&lt;K$29,J$28,K254&lt;K$30,J$29,K254&lt;K$31,J$30,K254&lt;K$32,J$31,K254&lt;K$33,J$32,K254&lt;K$34,J$33,K254&lt;K$35,J$34,K254&lt;K$36,J$35,K254&lt;K$37,J$36,K254&lt;K$38,J$37,K254&lt;K$39,J$38,K254&lt;K$40,J$39,K254&lt;K$41,J$40,K254&lt;K$42,J$41,K254&lt;K$43,J$42,K254&lt;K$44,J$43,K254&lt;K$45,J$44,K254&lt;K$46,J$45,K254&lt;K$47,J$46,K254&gt;=K$47,J$47)</f>
        <v/>
      </c>
      <c r="K254" s="38" t="n">
        <v>204</v>
      </c>
      <c r="L254" s="31">
        <f>K254/52</f>
        <v/>
      </c>
      <c r="M254" s="39">
        <f>J254/1000000*52</f>
        <v/>
      </c>
      <c r="N254" s="33">
        <f>M254/$P$4+($I$22/$P$4)</f>
        <v/>
      </c>
      <c r="U254">
        <f>F253</f>
        <v/>
      </c>
      <c r="V254">
        <f>H253</f>
        <v/>
      </c>
      <c r="W254">
        <f>N253</f>
        <v/>
      </c>
    </row>
    <row r="255" ht="15.75" customHeight="1" s="40">
      <c r="C255" s="36">
        <f>_xlfn.IFS(E255&lt;E$24,0,E255&lt;E$26,C$24,E255&lt;E$28,C$26,E255&lt;E$30,C$28,E255&lt;E$32,C$30,E255&lt;E$34,C$32,E255&gt;=E$34,C$34)</f>
        <v/>
      </c>
      <c r="D255" s="37">
        <f>_xlfn.IFS(E255&lt;E$24,0,E255&lt;E$25,D$24,E255&lt;E$26,D$25,E255&lt;E$27,D$26,E255&lt;E$28,D$27,E255&lt;E$29,D$28,E255&lt;E$30,D$29,E255&lt;E$31,D$30,E255&lt;E$32,D$31,E255&lt;E$33,D$32,E255&lt;E$34,D$33,E255&lt;E$35,D$34,E255&gt;=E$35,D$35)</f>
        <v/>
      </c>
      <c r="E255" s="38" t="n">
        <v>205</v>
      </c>
      <c r="F255" s="31">
        <f>E255/52</f>
        <v/>
      </c>
      <c r="G255" s="39">
        <f>D255/1000000*52</f>
        <v/>
      </c>
      <c r="H255" s="33">
        <f>G255/$P$4+($C$22/$P$4)</f>
        <v/>
      </c>
      <c r="I255" s="36">
        <f>_xlfn.IFS(K255&lt;K$24,0,K255&lt;K$26,I$24,K255&lt;K$28,I$26,K255&lt;K$30,I$28,K255&lt;K$32,I$30,K255&lt;K$34,I$32,K255&lt;K$36,I$34,K255&lt;K$38,I$36,K255&lt;K$40,I$38,K255&lt;K$42,I$40,K255&lt;K$44,I$42,K255&lt;K$46,I$44,K255&gt;=K$46,I$46)</f>
        <v/>
      </c>
      <c r="J255" s="37">
        <f>_xlfn.IFS(K255&lt;K$24,0,K255&lt;K$25,J$24,K255&lt;K$26,J$25,K255&lt;K$27,J$26,K255&lt;K$28,J$27,K255&lt;K$29,J$28,K255&lt;K$30,J$29,K255&lt;K$31,J$30,K255&lt;K$32,J$31,K255&lt;K$33,J$32,K255&lt;K$34,J$33,K255&lt;K$35,J$34,K255&lt;K$36,J$35,K255&lt;K$37,J$36,K255&lt;K$38,J$37,K255&lt;K$39,J$38,K255&lt;K$40,J$39,K255&lt;K$41,J$40,K255&lt;K$42,J$41,K255&lt;K$43,J$42,K255&lt;K$44,J$43,K255&lt;K$45,J$44,K255&lt;K$46,J$45,K255&lt;K$47,J$46,K255&gt;=K$47,J$47)</f>
        <v/>
      </c>
      <c r="K255" s="38" t="n">
        <v>205</v>
      </c>
      <c r="L255" s="31">
        <f>K255/52</f>
        <v/>
      </c>
      <c r="M255" s="39">
        <f>J255/1000000*52</f>
        <v/>
      </c>
      <c r="N255" s="33">
        <f>M255/$P$4+($I$22/$P$4)</f>
        <v/>
      </c>
      <c r="U255">
        <f>F254</f>
        <v/>
      </c>
      <c r="V255">
        <f>H254</f>
        <v/>
      </c>
      <c r="W255">
        <f>N254</f>
        <v/>
      </c>
    </row>
    <row r="256" ht="15.75" customHeight="1" s="40">
      <c r="C256" s="36">
        <f>_xlfn.IFS(E256&lt;E$24,0,E256&lt;E$26,C$24,E256&lt;E$28,C$26,E256&lt;E$30,C$28,E256&lt;E$32,C$30,E256&lt;E$34,C$32,E256&gt;=E$34,C$34)</f>
        <v/>
      </c>
      <c r="D256" s="37">
        <f>_xlfn.IFS(E256&lt;E$24,0,E256&lt;E$25,D$24,E256&lt;E$26,D$25,E256&lt;E$27,D$26,E256&lt;E$28,D$27,E256&lt;E$29,D$28,E256&lt;E$30,D$29,E256&lt;E$31,D$30,E256&lt;E$32,D$31,E256&lt;E$33,D$32,E256&lt;E$34,D$33,E256&lt;E$35,D$34,E256&gt;=E$35,D$35)</f>
        <v/>
      </c>
      <c r="E256" s="38" t="n">
        <v>206</v>
      </c>
      <c r="F256" s="31">
        <f>E256/52</f>
        <v/>
      </c>
      <c r="G256" s="39">
        <f>D256/1000000*52</f>
        <v/>
      </c>
      <c r="H256" s="33">
        <f>G256/$P$4+($C$22/$P$4)</f>
        <v/>
      </c>
      <c r="I256" s="36">
        <f>_xlfn.IFS(K256&lt;K$24,0,K256&lt;K$26,I$24,K256&lt;K$28,I$26,K256&lt;K$30,I$28,K256&lt;K$32,I$30,K256&lt;K$34,I$32,K256&lt;K$36,I$34,K256&lt;K$38,I$36,K256&lt;K$40,I$38,K256&lt;K$42,I$40,K256&lt;K$44,I$42,K256&lt;K$46,I$44,K256&gt;=K$46,I$46)</f>
        <v/>
      </c>
      <c r="J256" s="37">
        <f>_xlfn.IFS(K256&lt;K$24,0,K256&lt;K$25,J$24,K256&lt;K$26,J$25,K256&lt;K$27,J$26,K256&lt;K$28,J$27,K256&lt;K$29,J$28,K256&lt;K$30,J$29,K256&lt;K$31,J$30,K256&lt;K$32,J$31,K256&lt;K$33,J$32,K256&lt;K$34,J$33,K256&lt;K$35,J$34,K256&lt;K$36,J$35,K256&lt;K$37,J$36,K256&lt;K$38,J$37,K256&lt;K$39,J$38,K256&lt;K$40,J$39,K256&lt;K$41,J$40,K256&lt;K$42,J$41,K256&lt;K$43,J$42,K256&lt;K$44,J$43,K256&lt;K$45,J$44,K256&lt;K$46,J$45,K256&lt;K$47,J$46,K256&gt;=K$47,J$47)</f>
        <v/>
      </c>
      <c r="K256" s="38" t="n">
        <v>206</v>
      </c>
      <c r="L256" s="31">
        <f>K256/52</f>
        <v/>
      </c>
      <c r="M256" s="39">
        <f>J256/1000000*52</f>
        <v/>
      </c>
      <c r="N256" s="33">
        <f>M256/$P$4+($I$22/$P$4)</f>
        <v/>
      </c>
      <c r="U256">
        <f>F255</f>
        <v/>
      </c>
      <c r="V256">
        <f>H255</f>
        <v/>
      </c>
      <c r="W256">
        <f>N255</f>
        <v/>
      </c>
    </row>
    <row r="257" ht="15.75" customHeight="1" s="40">
      <c r="C257" s="36">
        <f>_xlfn.IFS(E257&lt;E$24,0,E257&lt;E$26,C$24,E257&lt;E$28,C$26,E257&lt;E$30,C$28,E257&lt;E$32,C$30,E257&lt;E$34,C$32,E257&gt;=E$34,C$34)</f>
        <v/>
      </c>
      <c r="D257" s="37">
        <f>_xlfn.IFS(E257&lt;E$24,0,E257&lt;E$25,D$24,E257&lt;E$26,D$25,E257&lt;E$27,D$26,E257&lt;E$28,D$27,E257&lt;E$29,D$28,E257&lt;E$30,D$29,E257&lt;E$31,D$30,E257&lt;E$32,D$31,E257&lt;E$33,D$32,E257&lt;E$34,D$33,E257&lt;E$35,D$34,E257&gt;=E$35,D$35)</f>
        <v/>
      </c>
      <c r="E257" s="38" t="n">
        <v>207</v>
      </c>
      <c r="F257" s="31">
        <f>E257/52</f>
        <v/>
      </c>
      <c r="G257" s="39">
        <f>D257/1000000*52</f>
        <v/>
      </c>
      <c r="H257" s="33">
        <f>G257/$P$4+($C$22/$P$4)</f>
        <v/>
      </c>
      <c r="I257" s="36">
        <f>_xlfn.IFS(K257&lt;K$24,0,K257&lt;K$26,I$24,K257&lt;K$28,I$26,K257&lt;K$30,I$28,K257&lt;K$32,I$30,K257&lt;K$34,I$32,K257&lt;K$36,I$34,K257&lt;K$38,I$36,K257&lt;K$40,I$38,K257&lt;K$42,I$40,K257&lt;K$44,I$42,K257&lt;K$46,I$44,K257&gt;=K$46,I$46)</f>
        <v/>
      </c>
      <c r="J257" s="37">
        <f>_xlfn.IFS(K257&lt;K$24,0,K257&lt;K$25,J$24,K257&lt;K$26,J$25,K257&lt;K$27,J$26,K257&lt;K$28,J$27,K257&lt;K$29,J$28,K257&lt;K$30,J$29,K257&lt;K$31,J$30,K257&lt;K$32,J$31,K257&lt;K$33,J$32,K257&lt;K$34,J$33,K257&lt;K$35,J$34,K257&lt;K$36,J$35,K257&lt;K$37,J$36,K257&lt;K$38,J$37,K257&lt;K$39,J$38,K257&lt;K$40,J$39,K257&lt;K$41,J$40,K257&lt;K$42,J$41,K257&lt;K$43,J$42,K257&lt;K$44,J$43,K257&lt;K$45,J$44,K257&lt;K$46,J$45,K257&lt;K$47,J$46,K257&gt;=K$47,J$47)</f>
        <v/>
      </c>
      <c r="K257" s="38" t="n">
        <v>207</v>
      </c>
      <c r="L257" s="31">
        <f>K257/52</f>
        <v/>
      </c>
      <c r="M257" s="39">
        <f>J257/1000000*52</f>
        <v/>
      </c>
      <c r="N257" s="33">
        <f>M257/$P$4+($I$22/$P$4)</f>
        <v/>
      </c>
      <c r="U257">
        <f>F256</f>
        <v/>
      </c>
      <c r="V257">
        <f>H256</f>
        <v/>
      </c>
      <c r="W257">
        <f>N256</f>
        <v/>
      </c>
    </row>
    <row r="258" ht="15.75" customHeight="1" s="40">
      <c r="C258" s="36">
        <f>_xlfn.IFS(E258&lt;E$24,0,E258&lt;E$26,C$24,E258&lt;E$28,C$26,E258&lt;E$30,C$28,E258&lt;E$32,C$30,E258&lt;E$34,C$32,E258&gt;=E$34,C$34)</f>
        <v/>
      </c>
      <c r="D258" s="37">
        <f>_xlfn.IFS(E258&lt;E$24,0,E258&lt;E$25,D$24,E258&lt;E$26,D$25,E258&lt;E$27,D$26,E258&lt;E$28,D$27,E258&lt;E$29,D$28,E258&lt;E$30,D$29,E258&lt;E$31,D$30,E258&lt;E$32,D$31,E258&lt;E$33,D$32,E258&lt;E$34,D$33,E258&lt;E$35,D$34,E258&gt;=E$35,D$35)</f>
        <v/>
      </c>
      <c r="E258" s="38" t="n">
        <v>208</v>
      </c>
      <c r="F258" s="31">
        <f>E258/52</f>
        <v/>
      </c>
      <c r="G258" s="39">
        <f>D258/1000000*52</f>
        <v/>
      </c>
      <c r="H258" s="33">
        <f>G258/$P$4+($C$22/$P$4)</f>
        <v/>
      </c>
      <c r="I258" s="36">
        <f>_xlfn.IFS(K258&lt;K$24,0,K258&lt;K$26,I$24,K258&lt;K$28,I$26,K258&lt;K$30,I$28,K258&lt;K$32,I$30,K258&lt;K$34,I$32,K258&lt;K$36,I$34,K258&lt;K$38,I$36,K258&lt;K$40,I$38,K258&lt;K$42,I$40,K258&lt;K$44,I$42,K258&lt;K$46,I$44,K258&gt;=K$46,I$46)</f>
        <v/>
      </c>
      <c r="J258" s="37">
        <f>_xlfn.IFS(K258&lt;K$24,0,K258&lt;K$25,J$24,K258&lt;K$26,J$25,K258&lt;K$27,J$26,K258&lt;K$28,J$27,K258&lt;K$29,J$28,K258&lt;K$30,J$29,K258&lt;K$31,J$30,K258&lt;K$32,J$31,K258&lt;K$33,J$32,K258&lt;K$34,J$33,K258&lt;K$35,J$34,K258&lt;K$36,J$35,K258&lt;K$37,J$36,K258&lt;K$38,J$37,K258&lt;K$39,J$38,K258&lt;K$40,J$39,K258&lt;K$41,J$40,K258&lt;K$42,J$41,K258&lt;K$43,J$42,K258&lt;K$44,J$43,K258&lt;K$45,J$44,K258&lt;K$46,J$45,K258&lt;K$47,J$46,K258&gt;=K$47,J$47)</f>
        <v/>
      </c>
      <c r="K258" s="38" t="n">
        <v>208</v>
      </c>
      <c r="L258" s="31">
        <f>K258/52</f>
        <v/>
      </c>
      <c r="M258" s="39">
        <f>J258/1000000*52</f>
        <v/>
      </c>
      <c r="N258" s="33">
        <f>M258/$P$4+($I$22/$P$4)</f>
        <v/>
      </c>
      <c r="U258">
        <f>F257</f>
        <v/>
      </c>
      <c r="V258">
        <f>H257</f>
        <v/>
      </c>
      <c r="W258">
        <f>N257</f>
        <v/>
      </c>
    </row>
    <row r="259" ht="15.75" customHeight="1" s="40">
      <c r="C259" s="36">
        <f>_xlfn.IFS(E259&lt;E$24,0,E259&lt;E$26,C$24,E259&lt;E$28,C$26,E259&lt;E$30,C$28,E259&lt;E$32,C$30,E259&lt;E$34,C$32,E259&gt;=E$34,C$34)</f>
        <v/>
      </c>
      <c r="D259" s="37">
        <f>_xlfn.IFS(E259&lt;E$24,0,E259&lt;E$25,D$24,E259&lt;E$26,D$25,E259&lt;E$27,D$26,E259&lt;E$28,D$27,E259&lt;E$29,D$28,E259&lt;E$30,D$29,E259&lt;E$31,D$30,E259&lt;E$32,D$31,E259&lt;E$33,D$32,E259&lt;E$34,D$33,E259&lt;E$35,D$34,E259&gt;=E$35,D$35)</f>
        <v/>
      </c>
      <c r="E259" s="38" t="n">
        <v>209</v>
      </c>
      <c r="F259" s="31">
        <f>E259/52</f>
        <v/>
      </c>
      <c r="G259" s="39">
        <f>D259/1000000*52</f>
        <v/>
      </c>
      <c r="H259" s="33">
        <f>G259/$P$4+($C$22/$P$4)</f>
        <v/>
      </c>
      <c r="I259" s="36">
        <f>_xlfn.IFS(K259&lt;K$24,0,K259&lt;K$26,I$24,K259&lt;K$28,I$26,K259&lt;K$30,I$28,K259&lt;K$32,I$30,K259&lt;K$34,I$32,K259&lt;K$36,I$34,K259&lt;K$38,I$36,K259&lt;K$40,I$38,K259&lt;K$42,I$40,K259&lt;K$44,I$42,K259&lt;K$46,I$44,K259&gt;=K$46,I$46)</f>
        <v/>
      </c>
      <c r="J259" s="37">
        <f>_xlfn.IFS(K259&lt;K$24,0,K259&lt;K$25,J$24,K259&lt;K$26,J$25,K259&lt;K$27,J$26,K259&lt;K$28,J$27,K259&lt;K$29,J$28,K259&lt;K$30,J$29,K259&lt;K$31,J$30,K259&lt;K$32,J$31,K259&lt;K$33,J$32,K259&lt;K$34,J$33,K259&lt;K$35,J$34,K259&lt;K$36,J$35,K259&lt;K$37,J$36,K259&lt;K$38,J$37,K259&lt;K$39,J$38,K259&lt;K$40,J$39,K259&lt;K$41,J$40,K259&lt;K$42,J$41,K259&lt;K$43,J$42,K259&lt;K$44,J$43,K259&lt;K$45,J$44,K259&lt;K$46,J$45,K259&lt;K$47,J$46,K259&gt;=K$47,J$47)</f>
        <v/>
      </c>
      <c r="K259" s="38" t="n">
        <v>209</v>
      </c>
      <c r="L259" s="31">
        <f>K259/52</f>
        <v/>
      </c>
      <c r="M259" s="39">
        <f>J259/1000000*52</f>
        <v/>
      </c>
      <c r="N259" s="33">
        <f>M259/$P$4+($I$22/$P$4)</f>
        <v/>
      </c>
      <c r="U259">
        <f>F258</f>
        <v/>
      </c>
      <c r="V259">
        <f>H258</f>
        <v/>
      </c>
      <c r="W259">
        <f>N258</f>
        <v/>
      </c>
    </row>
    <row r="260" ht="15.75" customHeight="1" s="40">
      <c r="C260" s="36">
        <f>_xlfn.IFS(E260&lt;E$24,0,E260&lt;E$26,C$24,E260&lt;E$28,C$26,E260&lt;E$30,C$28,E260&lt;E$32,C$30,E260&lt;E$34,C$32,E260&gt;=E$34,C$34)</f>
        <v/>
      </c>
      <c r="D260" s="37">
        <f>_xlfn.IFS(E260&lt;E$24,0,E260&lt;E$25,D$24,E260&lt;E$26,D$25,E260&lt;E$27,D$26,E260&lt;E$28,D$27,E260&lt;E$29,D$28,E260&lt;E$30,D$29,E260&lt;E$31,D$30,E260&lt;E$32,D$31,E260&lt;E$33,D$32,E260&lt;E$34,D$33,E260&lt;E$35,D$34,E260&gt;=E$35,D$35)</f>
        <v/>
      </c>
      <c r="E260" s="38" t="n">
        <v>210</v>
      </c>
      <c r="F260" s="31">
        <f>E260/52</f>
        <v/>
      </c>
      <c r="G260" s="39">
        <f>D260/1000000*52</f>
        <v/>
      </c>
      <c r="H260" s="33">
        <f>G260/$P$4+($C$22/$P$4)</f>
        <v/>
      </c>
      <c r="I260" s="36">
        <f>_xlfn.IFS(K260&lt;K$24,0,K260&lt;K$26,I$24,K260&lt;K$28,I$26,K260&lt;K$30,I$28,K260&lt;K$32,I$30,K260&lt;K$34,I$32,K260&lt;K$36,I$34,K260&lt;K$38,I$36,K260&lt;K$40,I$38,K260&lt;K$42,I$40,K260&lt;K$44,I$42,K260&lt;K$46,I$44,K260&gt;=K$46,I$46)</f>
        <v/>
      </c>
      <c r="J260" s="37">
        <f>_xlfn.IFS(K260&lt;K$24,0,K260&lt;K$25,J$24,K260&lt;K$26,J$25,K260&lt;K$27,J$26,K260&lt;K$28,J$27,K260&lt;K$29,J$28,K260&lt;K$30,J$29,K260&lt;K$31,J$30,K260&lt;K$32,J$31,K260&lt;K$33,J$32,K260&lt;K$34,J$33,K260&lt;K$35,J$34,K260&lt;K$36,J$35,K260&lt;K$37,J$36,K260&lt;K$38,J$37,K260&lt;K$39,J$38,K260&lt;K$40,J$39,K260&lt;K$41,J$40,K260&lt;K$42,J$41,K260&lt;K$43,J$42,K260&lt;K$44,J$43,K260&lt;K$45,J$44,K260&lt;K$46,J$45,K260&lt;K$47,J$46,K260&gt;=K$47,J$47)</f>
        <v/>
      </c>
      <c r="K260" s="38" t="n">
        <v>210</v>
      </c>
      <c r="L260" s="31">
        <f>K260/52</f>
        <v/>
      </c>
      <c r="M260" s="39">
        <f>J260/1000000*52</f>
        <v/>
      </c>
      <c r="N260" s="33">
        <f>M260/$P$4+($I$22/$P$4)</f>
        <v/>
      </c>
      <c r="U260">
        <f>F259</f>
        <v/>
      </c>
      <c r="V260">
        <f>H259</f>
        <v/>
      </c>
      <c r="W260">
        <f>N259</f>
        <v/>
      </c>
    </row>
    <row r="261" ht="15.75" customHeight="1" s="40">
      <c r="C261" s="36">
        <f>_xlfn.IFS(E261&lt;E$24,0,E261&lt;E$26,C$24,E261&lt;E$28,C$26,E261&lt;E$30,C$28,E261&lt;E$32,C$30,E261&lt;E$34,C$32,E261&gt;=E$34,C$34)</f>
        <v/>
      </c>
      <c r="D261" s="37">
        <f>_xlfn.IFS(E261&lt;E$24,0,E261&lt;E$25,D$24,E261&lt;E$26,D$25,E261&lt;E$27,D$26,E261&lt;E$28,D$27,E261&lt;E$29,D$28,E261&lt;E$30,D$29,E261&lt;E$31,D$30,E261&lt;E$32,D$31,E261&lt;E$33,D$32,E261&lt;E$34,D$33,E261&lt;E$35,D$34,E261&gt;=E$35,D$35)</f>
        <v/>
      </c>
      <c r="E261" s="38" t="n">
        <v>211</v>
      </c>
      <c r="F261" s="31">
        <f>E261/52</f>
        <v/>
      </c>
      <c r="G261" s="39">
        <f>D261/1000000*52</f>
        <v/>
      </c>
      <c r="H261" s="33">
        <f>G261/$P$4+($C$22/$P$4)</f>
        <v/>
      </c>
      <c r="I261" s="36">
        <f>_xlfn.IFS(K261&lt;K$24,0,K261&lt;K$26,I$24,K261&lt;K$28,I$26,K261&lt;K$30,I$28,K261&lt;K$32,I$30,K261&lt;K$34,I$32,K261&lt;K$36,I$34,K261&lt;K$38,I$36,K261&lt;K$40,I$38,K261&lt;K$42,I$40,K261&lt;K$44,I$42,K261&lt;K$46,I$44,K261&gt;=K$46,I$46)</f>
        <v/>
      </c>
      <c r="J261" s="37">
        <f>_xlfn.IFS(K261&lt;K$24,0,K261&lt;K$25,J$24,K261&lt;K$26,J$25,K261&lt;K$27,J$26,K261&lt;K$28,J$27,K261&lt;K$29,J$28,K261&lt;K$30,J$29,K261&lt;K$31,J$30,K261&lt;K$32,J$31,K261&lt;K$33,J$32,K261&lt;K$34,J$33,K261&lt;K$35,J$34,K261&lt;K$36,J$35,K261&lt;K$37,J$36,K261&lt;K$38,J$37,K261&lt;K$39,J$38,K261&lt;K$40,J$39,K261&lt;K$41,J$40,K261&lt;K$42,J$41,K261&lt;K$43,J$42,K261&lt;K$44,J$43,K261&lt;K$45,J$44,K261&lt;K$46,J$45,K261&lt;K$47,J$46,K261&gt;=K$47,J$47)</f>
        <v/>
      </c>
      <c r="K261" s="38" t="n">
        <v>211</v>
      </c>
      <c r="L261" s="31">
        <f>K261/52</f>
        <v/>
      </c>
      <c r="M261" s="39">
        <f>J261/1000000*52</f>
        <v/>
      </c>
      <c r="N261" s="33">
        <f>M261/$P$4+($I$22/$P$4)</f>
        <v/>
      </c>
      <c r="U261">
        <f>F260</f>
        <v/>
      </c>
      <c r="V261">
        <f>H260</f>
        <v/>
      </c>
      <c r="W261">
        <f>N260</f>
        <v/>
      </c>
    </row>
    <row r="262" ht="15.75" customHeight="1" s="40">
      <c r="C262" s="36">
        <f>_xlfn.IFS(E262&lt;E$24,0,E262&lt;E$26,C$24,E262&lt;E$28,C$26,E262&lt;E$30,C$28,E262&lt;E$32,C$30,E262&lt;E$34,C$32,E262&gt;=E$34,C$34)</f>
        <v/>
      </c>
      <c r="D262" s="37">
        <f>_xlfn.IFS(E262&lt;E$24,0,E262&lt;E$25,D$24,E262&lt;E$26,D$25,E262&lt;E$27,D$26,E262&lt;E$28,D$27,E262&lt;E$29,D$28,E262&lt;E$30,D$29,E262&lt;E$31,D$30,E262&lt;E$32,D$31,E262&lt;E$33,D$32,E262&lt;E$34,D$33,E262&lt;E$35,D$34,E262&gt;=E$35,D$35)</f>
        <v/>
      </c>
      <c r="E262" s="38" t="n">
        <v>212</v>
      </c>
      <c r="F262" s="31">
        <f>E262/52</f>
        <v/>
      </c>
      <c r="G262" s="39">
        <f>D262/1000000*52</f>
        <v/>
      </c>
      <c r="H262" s="33">
        <f>G262/$P$4+($C$22/$P$4)</f>
        <v/>
      </c>
      <c r="I262" s="36">
        <f>_xlfn.IFS(K262&lt;K$24,0,K262&lt;K$26,I$24,K262&lt;K$28,I$26,K262&lt;K$30,I$28,K262&lt;K$32,I$30,K262&lt;K$34,I$32,K262&lt;K$36,I$34,K262&lt;K$38,I$36,K262&lt;K$40,I$38,K262&lt;K$42,I$40,K262&lt;K$44,I$42,K262&lt;K$46,I$44,K262&gt;=K$46,I$46)</f>
        <v/>
      </c>
      <c r="J262" s="37">
        <f>_xlfn.IFS(K262&lt;K$24,0,K262&lt;K$25,J$24,K262&lt;K$26,J$25,K262&lt;K$27,J$26,K262&lt;K$28,J$27,K262&lt;K$29,J$28,K262&lt;K$30,J$29,K262&lt;K$31,J$30,K262&lt;K$32,J$31,K262&lt;K$33,J$32,K262&lt;K$34,J$33,K262&lt;K$35,J$34,K262&lt;K$36,J$35,K262&lt;K$37,J$36,K262&lt;K$38,J$37,K262&lt;K$39,J$38,K262&lt;K$40,J$39,K262&lt;K$41,J$40,K262&lt;K$42,J$41,K262&lt;K$43,J$42,K262&lt;K$44,J$43,K262&lt;K$45,J$44,K262&lt;K$46,J$45,K262&lt;K$47,J$46,K262&gt;=K$47,J$47)</f>
        <v/>
      </c>
      <c r="K262" s="38" t="n">
        <v>212</v>
      </c>
      <c r="L262" s="31">
        <f>K262/52</f>
        <v/>
      </c>
      <c r="M262" s="39">
        <f>J262/1000000*52</f>
        <v/>
      </c>
      <c r="N262" s="33">
        <f>M262/$P$4+($I$22/$P$4)</f>
        <v/>
      </c>
      <c r="U262">
        <f>F261</f>
        <v/>
      </c>
      <c r="V262">
        <f>H261</f>
        <v/>
      </c>
      <c r="W262">
        <f>N261</f>
        <v/>
      </c>
    </row>
    <row r="263" ht="15.75" customHeight="1" s="40">
      <c r="C263" s="36">
        <f>_xlfn.IFS(E263&lt;E$24,0,E263&lt;E$26,C$24,E263&lt;E$28,C$26,E263&lt;E$30,C$28,E263&lt;E$32,C$30,E263&lt;E$34,C$32,E263&gt;=E$34,C$34)</f>
        <v/>
      </c>
      <c r="D263" s="37">
        <f>_xlfn.IFS(E263&lt;E$24,0,E263&lt;E$25,D$24,E263&lt;E$26,D$25,E263&lt;E$27,D$26,E263&lt;E$28,D$27,E263&lt;E$29,D$28,E263&lt;E$30,D$29,E263&lt;E$31,D$30,E263&lt;E$32,D$31,E263&lt;E$33,D$32,E263&lt;E$34,D$33,E263&lt;E$35,D$34,E263&gt;=E$35,D$35)</f>
        <v/>
      </c>
      <c r="E263" s="38" t="n">
        <v>213</v>
      </c>
      <c r="F263" s="31">
        <f>E263/52</f>
        <v/>
      </c>
      <c r="G263" s="39">
        <f>D263/1000000*52</f>
        <v/>
      </c>
      <c r="H263" s="33">
        <f>G263/$P$4+($C$22/$P$4)</f>
        <v/>
      </c>
      <c r="I263" s="36">
        <f>_xlfn.IFS(K263&lt;K$24,0,K263&lt;K$26,I$24,K263&lt;K$28,I$26,K263&lt;K$30,I$28,K263&lt;K$32,I$30,K263&lt;K$34,I$32,K263&lt;K$36,I$34,K263&lt;K$38,I$36,K263&lt;K$40,I$38,K263&lt;K$42,I$40,K263&lt;K$44,I$42,K263&lt;K$46,I$44,K263&gt;=K$46,I$46)</f>
        <v/>
      </c>
      <c r="J263" s="37">
        <f>_xlfn.IFS(K263&lt;K$24,0,K263&lt;K$25,J$24,K263&lt;K$26,J$25,K263&lt;K$27,J$26,K263&lt;K$28,J$27,K263&lt;K$29,J$28,K263&lt;K$30,J$29,K263&lt;K$31,J$30,K263&lt;K$32,J$31,K263&lt;K$33,J$32,K263&lt;K$34,J$33,K263&lt;K$35,J$34,K263&lt;K$36,J$35,K263&lt;K$37,J$36,K263&lt;K$38,J$37,K263&lt;K$39,J$38,K263&lt;K$40,J$39,K263&lt;K$41,J$40,K263&lt;K$42,J$41,K263&lt;K$43,J$42,K263&lt;K$44,J$43,K263&lt;K$45,J$44,K263&lt;K$46,J$45,K263&lt;K$47,J$46,K263&gt;=K$47,J$47)</f>
        <v/>
      </c>
      <c r="K263" s="38" t="n">
        <v>213</v>
      </c>
      <c r="L263" s="31">
        <f>K263/52</f>
        <v/>
      </c>
      <c r="M263" s="39">
        <f>J263/1000000*52</f>
        <v/>
      </c>
      <c r="N263" s="33">
        <f>M263/$P$4+($I$22/$P$4)</f>
        <v/>
      </c>
      <c r="U263">
        <f>F262</f>
        <v/>
      </c>
      <c r="V263">
        <f>H262</f>
        <v/>
      </c>
      <c r="W263">
        <f>N262</f>
        <v/>
      </c>
    </row>
    <row r="264" ht="15.75" customHeight="1" s="40">
      <c r="C264" s="36">
        <f>_xlfn.IFS(E264&lt;E$24,0,E264&lt;E$26,C$24,E264&lt;E$28,C$26,E264&lt;E$30,C$28,E264&lt;E$32,C$30,E264&lt;E$34,C$32,E264&gt;=E$34,C$34)</f>
        <v/>
      </c>
      <c r="D264" s="37">
        <f>_xlfn.IFS(E264&lt;E$24,0,E264&lt;E$25,D$24,E264&lt;E$26,D$25,E264&lt;E$27,D$26,E264&lt;E$28,D$27,E264&lt;E$29,D$28,E264&lt;E$30,D$29,E264&lt;E$31,D$30,E264&lt;E$32,D$31,E264&lt;E$33,D$32,E264&lt;E$34,D$33,E264&lt;E$35,D$34,E264&gt;=E$35,D$35)</f>
        <v/>
      </c>
      <c r="E264" s="38" t="n">
        <v>214</v>
      </c>
      <c r="F264" s="31">
        <f>E264/52</f>
        <v/>
      </c>
      <c r="G264" s="39">
        <f>D264/1000000*52</f>
        <v/>
      </c>
      <c r="H264" s="33">
        <f>G264/$P$4+($C$22/$P$4)</f>
        <v/>
      </c>
      <c r="I264" s="36">
        <f>_xlfn.IFS(K264&lt;K$24,0,K264&lt;K$26,I$24,K264&lt;K$28,I$26,K264&lt;K$30,I$28,K264&lt;K$32,I$30,K264&lt;K$34,I$32,K264&lt;K$36,I$34,K264&lt;K$38,I$36,K264&lt;K$40,I$38,K264&lt;K$42,I$40,K264&lt;K$44,I$42,K264&lt;K$46,I$44,K264&gt;=K$46,I$46)</f>
        <v/>
      </c>
      <c r="J264" s="37">
        <f>_xlfn.IFS(K264&lt;K$24,0,K264&lt;K$25,J$24,K264&lt;K$26,J$25,K264&lt;K$27,J$26,K264&lt;K$28,J$27,K264&lt;K$29,J$28,K264&lt;K$30,J$29,K264&lt;K$31,J$30,K264&lt;K$32,J$31,K264&lt;K$33,J$32,K264&lt;K$34,J$33,K264&lt;K$35,J$34,K264&lt;K$36,J$35,K264&lt;K$37,J$36,K264&lt;K$38,J$37,K264&lt;K$39,J$38,K264&lt;K$40,J$39,K264&lt;K$41,J$40,K264&lt;K$42,J$41,K264&lt;K$43,J$42,K264&lt;K$44,J$43,K264&lt;K$45,J$44,K264&lt;K$46,J$45,K264&lt;K$47,J$46,K264&gt;=K$47,J$47)</f>
        <v/>
      </c>
      <c r="K264" s="38" t="n">
        <v>214</v>
      </c>
      <c r="L264" s="31">
        <f>K264/52</f>
        <v/>
      </c>
      <c r="M264" s="39">
        <f>J264/1000000*52</f>
        <v/>
      </c>
      <c r="N264" s="33">
        <f>M264/$P$4+($I$22/$P$4)</f>
        <v/>
      </c>
      <c r="U264">
        <f>F263</f>
        <v/>
      </c>
      <c r="V264">
        <f>H263</f>
        <v/>
      </c>
      <c r="W264">
        <f>N263</f>
        <v/>
      </c>
    </row>
    <row r="265" ht="15.75" customHeight="1" s="40">
      <c r="C265" s="36">
        <f>_xlfn.IFS(E265&lt;E$24,0,E265&lt;E$26,C$24,E265&lt;E$28,C$26,E265&lt;E$30,C$28,E265&lt;E$32,C$30,E265&lt;E$34,C$32,E265&gt;=E$34,C$34)</f>
        <v/>
      </c>
      <c r="D265" s="37">
        <f>_xlfn.IFS(E265&lt;E$24,0,E265&lt;E$25,D$24,E265&lt;E$26,D$25,E265&lt;E$27,D$26,E265&lt;E$28,D$27,E265&lt;E$29,D$28,E265&lt;E$30,D$29,E265&lt;E$31,D$30,E265&lt;E$32,D$31,E265&lt;E$33,D$32,E265&lt;E$34,D$33,E265&lt;E$35,D$34,E265&gt;=E$35,D$35)</f>
        <v/>
      </c>
      <c r="E265" s="38" t="n">
        <v>215</v>
      </c>
      <c r="F265" s="31">
        <f>E265/52</f>
        <v/>
      </c>
      <c r="G265" s="39">
        <f>D265/1000000*52</f>
        <v/>
      </c>
      <c r="H265" s="33">
        <f>G265/$P$4+($C$22/$P$4)</f>
        <v/>
      </c>
      <c r="I265" s="36">
        <f>_xlfn.IFS(K265&lt;K$24,0,K265&lt;K$26,I$24,K265&lt;K$28,I$26,K265&lt;K$30,I$28,K265&lt;K$32,I$30,K265&lt;K$34,I$32,K265&lt;K$36,I$34,K265&lt;K$38,I$36,K265&lt;K$40,I$38,K265&lt;K$42,I$40,K265&lt;K$44,I$42,K265&lt;K$46,I$44,K265&gt;=K$46,I$46)</f>
        <v/>
      </c>
      <c r="J265" s="37">
        <f>_xlfn.IFS(K265&lt;K$24,0,K265&lt;K$25,J$24,K265&lt;K$26,J$25,K265&lt;K$27,J$26,K265&lt;K$28,J$27,K265&lt;K$29,J$28,K265&lt;K$30,J$29,K265&lt;K$31,J$30,K265&lt;K$32,J$31,K265&lt;K$33,J$32,K265&lt;K$34,J$33,K265&lt;K$35,J$34,K265&lt;K$36,J$35,K265&lt;K$37,J$36,K265&lt;K$38,J$37,K265&lt;K$39,J$38,K265&lt;K$40,J$39,K265&lt;K$41,J$40,K265&lt;K$42,J$41,K265&lt;K$43,J$42,K265&lt;K$44,J$43,K265&lt;K$45,J$44,K265&lt;K$46,J$45,K265&lt;K$47,J$46,K265&gt;=K$47,J$47)</f>
        <v/>
      </c>
      <c r="K265" s="38" t="n">
        <v>215</v>
      </c>
      <c r="L265" s="31">
        <f>K265/52</f>
        <v/>
      </c>
      <c r="M265" s="39">
        <f>J265/1000000*52</f>
        <v/>
      </c>
      <c r="N265" s="33">
        <f>M265/$P$4+($I$22/$P$4)</f>
        <v/>
      </c>
      <c r="U265">
        <f>F264</f>
        <v/>
      </c>
      <c r="V265">
        <f>H264</f>
        <v/>
      </c>
      <c r="W265">
        <f>N264</f>
        <v/>
      </c>
    </row>
    <row r="266" ht="15.75" customHeight="1" s="40">
      <c r="C266" s="36">
        <f>_xlfn.IFS(E266&lt;E$24,0,E266&lt;E$26,C$24,E266&lt;E$28,C$26,E266&lt;E$30,C$28,E266&lt;E$32,C$30,E266&lt;E$34,C$32,E266&gt;=E$34,C$34)</f>
        <v/>
      </c>
      <c r="D266" s="37">
        <f>_xlfn.IFS(E266&lt;E$24,0,E266&lt;E$25,D$24,E266&lt;E$26,D$25,E266&lt;E$27,D$26,E266&lt;E$28,D$27,E266&lt;E$29,D$28,E266&lt;E$30,D$29,E266&lt;E$31,D$30,E266&lt;E$32,D$31,E266&lt;E$33,D$32,E266&lt;E$34,D$33,E266&lt;E$35,D$34,E266&gt;=E$35,D$35)</f>
        <v/>
      </c>
      <c r="E266" s="38" t="n">
        <v>216</v>
      </c>
      <c r="F266" s="31">
        <f>E266/52</f>
        <v/>
      </c>
      <c r="G266" s="39">
        <f>D266/1000000*52</f>
        <v/>
      </c>
      <c r="H266" s="33">
        <f>G266/$P$4+($C$22/$P$4)</f>
        <v/>
      </c>
      <c r="I266" s="36">
        <f>_xlfn.IFS(K266&lt;K$24,0,K266&lt;K$26,I$24,K266&lt;K$28,I$26,K266&lt;K$30,I$28,K266&lt;K$32,I$30,K266&lt;K$34,I$32,K266&lt;K$36,I$34,K266&lt;K$38,I$36,K266&lt;K$40,I$38,K266&lt;K$42,I$40,K266&lt;K$44,I$42,K266&lt;K$46,I$44,K266&gt;=K$46,I$46)</f>
        <v/>
      </c>
      <c r="J266" s="37">
        <f>_xlfn.IFS(K266&lt;K$24,0,K266&lt;K$25,J$24,K266&lt;K$26,J$25,K266&lt;K$27,J$26,K266&lt;K$28,J$27,K266&lt;K$29,J$28,K266&lt;K$30,J$29,K266&lt;K$31,J$30,K266&lt;K$32,J$31,K266&lt;K$33,J$32,K266&lt;K$34,J$33,K266&lt;K$35,J$34,K266&lt;K$36,J$35,K266&lt;K$37,J$36,K266&lt;K$38,J$37,K266&lt;K$39,J$38,K266&lt;K$40,J$39,K266&lt;K$41,J$40,K266&lt;K$42,J$41,K266&lt;K$43,J$42,K266&lt;K$44,J$43,K266&lt;K$45,J$44,K266&lt;K$46,J$45,K266&lt;K$47,J$46,K266&gt;=K$47,J$47)</f>
        <v/>
      </c>
      <c r="K266" s="38" t="n">
        <v>216</v>
      </c>
      <c r="L266" s="31">
        <f>K266/52</f>
        <v/>
      </c>
      <c r="M266" s="39">
        <f>J266/1000000*52</f>
        <v/>
      </c>
      <c r="N266" s="33">
        <f>M266/$P$4+($I$22/$P$4)</f>
        <v/>
      </c>
      <c r="U266">
        <f>F265</f>
        <v/>
      </c>
      <c r="V266">
        <f>H265</f>
        <v/>
      </c>
      <c r="W266">
        <f>N265</f>
        <v/>
      </c>
    </row>
    <row r="267" ht="15.75" customHeight="1" s="40">
      <c r="C267" s="36">
        <f>_xlfn.IFS(E267&lt;E$24,0,E267&lt;E$26,C$24,E267&lt;E$28,C$26,E267&lt;E$30,C$28,E267&lt;E$32,C$30,E267&lt;E$34,C$32,E267&gt;=E$34,C$34)</f>
        <v/>
      </c>
      <c r="D267" s="37">
        <f>_xlfn.IFS(E267&lt;E$24,0,E267&lt;E$25,D$24,E267&lt;E$26,D$25,E267&lt;E$27,D$26,E267&lt;E$28,D$27,E267&lt;E$29,D$28,E267&lt;E$30,D$29,E267&lt;E$31,D$30,E267&lt;E$32,D$31,E267&lt;E$33,D$32,E267&lt;E$34,D$33,E267&lt;E$35,D$34,E267&gt;=E$35,D$35)</f>
        <v/>
      </c>
      <c r="E267" s="38" t="n">
        <v>217</v>
      </c>
      <c r="F267" s="31">
        <f>E267/52</f>
        <v/>
      </c>
      <c r="G267" s="39">
        <f>D267/1000000*52</f>
        <v/>
      </c>
      <c r="H267" s="33">
        <f>G267/$P$4+($C$22/$P$4)</f>
        <v/>
      </c>
      <c r="I267" s="36">
        <f>_xlfn.IFS(K267&lt;K$24,0,K267&lt;K$26,I$24,K267&lt;K$28,I$26,K267&lt;K$30,I$28,K267&lt;K$32,I$30,K267&lt;K$34,I$32,K267&lt;K$36,I$34,K267&lt;K$38,I$36,K267&lt;K$40,I$38,K267&lt;K$42,I$40,K267&lt;K$44,I$42,K267&lt;K$46,I$44,K267&gt;=K$46,I$46)</f>
        <v/>
      </c>
      <c r="J267" s="37">
        <f>_xlfn.IFS(K267&lt;K$24,0,K267&lt;K$25,J$24,K267&lt;K$26,J$25,K267&lt;K$27,J$26,K267&lt;K$28,J$27,K267&lt;K$29,J$28,K267&lt;K$30,J$29,K267&lt;K$31,J$30,K267&lt;K$32,J$31,K267&lt;K$33,J$32,K267&lt;K$34,J$33,K267&lt;K$35,J$34,K267&lt;K$36,J$35,K267&lt;K$37,J$36,K267&lt;K$38,J$37,K267&lt;K$39,J$38,K267&lt;K$40,J$39,K267&lt;K$41,J$40,K267&lt;K$42,J$41,K267&lt;K$43,J$42,K267&lt;K$44,J$43,K267&lt;K$45,J$44,K267&lt;K$46,J$45,K267&lt;K$47,J$46,K267&gt;=K$47,J$47)</f>
        <v/>
      </c>
      <c r="K267" s="38" t="n">
        <v>217</v>
      </c>
      <c r="L267" s="31">
        <f>K267/52</f>
        <v/>
      </c>
      <c r="M267" s="39">
        <f>J267/1000000*52</f>
        <v/>
      </c>
      <c r="N267" s="33">
        <f>M267/$P$4+($I$22/$P$4)</f>
        <v/>
      </c>
      <c r="U267">
        <f>F266</f>
        <v/>
      </c>
      <c r="V267">
        <f>H266</f>
        <v/>
      </c>
      <c r="W267">
        <f>N266</f>
        <v/>
      </c>
    </row>
    <row r="268" ht="15.75" customHeight="1" s="40">
      <c r="C268" s="36">
        <f>_xlfn.IFS(E268&lt;E$24,0,E268&lt;E$26,C$24,E268&lt;E$28,C$26,E268&lt;E$30,C$28,E268&lt;E$32,C$30,E268&lt;E$34,C$32,E268&gt;=E$34,C$34)</f>
        <v/>
      </c>
      <c r="D268" s="37">
        <f>_xlfn.IFS(E268&lt;E$24,0,E268&lt;E$25,D$24,E268&lt;E$26,D$25,E268&lt;E$27,D$26,E268&lt;E$28,D$27,E268&lt;E$29,D$28,E268&lt;E$30,D$29,E268&lt;E$31,D$30,E268&lt;E$32,D$31,E268&lt;E$33,D$32,E268&lt;E$34,D$33,E268&lt;E$35,D$34,E268&gt;=E$35,D$35)</f>
        <v/>
      </c>
      <c r="E268" s="38" t="n">
        <v>218</v>
      </c>
      <c r="F268" s="31">
        <f>E268/52</f>
        <v/>
      </c>
      <c r="G268" s="39">
        <f>D268/1000000*52</f>
        <v/>
      </c>
      <c r="H268" s="33">
        <f>G268/$P$4+($C$22/$P$4)</f>
        <v/>
      </c>
      <c r="I268" s="36">
        <f>_xlfn.IFS(K268&lt;K$24,0,K268&lt;K$26,I$24,K268&lt;K$28,I$26,K268&lt;K$30,I$28,K268&lt;K$32,I$30,K268&lt;K$34,I$32,K268&lt;K$36,I$34,K268&lt;K$38,I$36,K268&lt;K$40,I$38,K268&lt;K$42,I$40,K268&lt;K$44,I$42,K268&lt;K$46,I$44,K268&gt;=K$46,I$46)</f>
        <v/>
      </c>
      <c r="J268" s="37">
        <f>_xlfn.IFS(K268&lt;K$24,0,K268&lt;K$25,J$24,K268&lt;K$26,J$25,K268&lt;K$27,J$26,K268&lt;K$28,J$27,K268&lt;K$29,J$28,K268&lt;K$30,J$29,K268&lt;K$31,J$30,K268&lt;K$32,J$31,K268&lt;K$33,J$32,K268&lt;K$34,J$33,K268&lt;K$35,J$34,K268&lt;K$36,J$35,K268&lt;K$37,J$36,K268&lt;K$38,J$37,K268&lt;K$39,J$38,K268&lt;K$40,J$39,K268&lt;K$41,J$40,K268&lt;K$42,J$41,K268&lt;K$43,J$42,K268&lt;K$44,J$43,K268&lt;K$45,J$44,K268&lt;K$46,J$45,K268&lt;K$47,J$46,K268&gt;=K$47,J$47)</f>
        <v/>
      </c>
      <c r="K268" s="38" t="n">
        <v>218</v>
      </c>
      <c r="L268" s="31">
        <f>K268/52</f>
        <v/>
      </c>
      <c r="M268" s="39">
        <f>J268/1000000*52</f>
        <v/>
      </c>
      <c r="N268" s="33">
        <f>M268/$P$4+($I$22/$P$4)</f>
        <v/>
      </c>
      <c r="U268">
        <f>F267</f>
        <v/>
      </c>
      <c r="V268">
        <f>H267</f>
        <v/>
      </c>
      <c r="W268">
        <f>N267</f>
        <v/>
      </c>
    </row>
    <row r="269" ht="15.75" customHeight="1" s="40">
      <c r="C269" s="36">
        <f>_xlfn.IFS(E269&lt;E$24,0,E269&lt;E$26,C$24,E269&lt;E$28,C$26,E269&lt;E$30,C$28,E269&lt;E$32,C$30,E269&lt;E$34,C$32,E269&gt;=E$34,C$34)</f>
        <v/>
      </c>
      <c r="D269" s="37">
        <f>_xlfn.IFS(E269&lt;E$24,0,E269&lt;E$25,D$24,E269&lt;E$26,D$25,E269&lt;E$27,D$26,E269&lt;E$28,D$27,E269&lt;E$29,D$28,E269&lt;E$30,D$29,E269&lt;E$31,D$30,E269&lt;E$32,D$31,E269&lt;E$33,D$32,E269&lt;E$34,D$33,E269&lt;E$35,D$34,E269&gt;=E$35,D$35)</f>
        <v/>
      </c>
      <c r="E269" s="38" t="n">
        <v>219</v>
      </c>
      <c r="F269" s="31">
        <f>E269/52</f>
        <v/>
      </c>
      <c r="G269" s="39">
        <f>D269/1000000*52</f>
        <v/>
      </c>
      <c r="H269" s="33">
        <f>G269/$P$4+($C$22/$P$4)</f>
        <v/>
      </c>
      <c r="I269" s="36">
        <f>_xlfn.IFS(K269&lt;K$24,0,K269&lt;K$26,I$24,K269&lt;K$28,I$26,K269&lt;K$30,I$28,K269&lt;K$32,I$30,K269&lt;K$34,I$32,K269&lt;K$36,I$34,K269&lt;K$38,I$36,K269&lt;K$40,I$38,K269&lt;K$42,I$40,K269&lt;K$44,I$42,K269&lt;K$46,I$44,K269&gt;=K$46,I$46)</f>
        <v/>
      </c>
      <c r="J269" s="37">
        <f>_xlfn.IFS(K269&lt;K$24,0,K269&lt;K$25,J$24,K269&lt;K$26,J$25,K269&lt;K$27,J$26,K269&lt;K$28,J$27,K269&lt;K$29,J$28,K269&lt;K$30,J$29,K269&lt;K$31,J$30,K269&lt;K$32,J$31,K269&lt;K$33,J$32,K269&lt;K$34,J$33,K269&lt;K$35,J$34,K269&lt;K$36,J$35,K269&lt;K$37,J$36,K269&lt;K$38,J$37,K269&lt;K$39,J$38,K269&lt;K$40,J$39,K269&lt;K$41,J$40,K269&lt;K$42,J$41,K269&lt;K$43,J$42,K269&lt;K$44,J$43,K269&lt;K$45,J$44,K269&lt;K$46,J$45,K269&lt;K$47,J$46,K269&gt;=K$47,J$47)</f>
        <v/>
      </c>
      <c r="K269" s="38" t="n">
        <v>219</v>
      </c>
      <c r="L269" s="31">
        <f>K269/52</f>
        <v/>
      </c>
      <c r="M269" s="39">
        <f>J269/1000000*52</f>
        <v/>
      </c>
      <c r="N269" s="33">
        <f>M269/$P$4+($I$22/$P$4)</f>
        <v/>
      </c>
      <c r="U269">
        <f>F268</f>
        <v/>
      </c>
      <c r="V269">
        <f>H268</f>
        <v/>
      </c>
      <c r="W269">
        <f>N268</f>
        <v/>
      </c>
    </row>
    <row r="270" ht="15.75" customHeight="1" s="40">
      <c r="C270" s="36">
        <f>_xlfn.IFS(E270&lt;E$24,0,E270&lt;E$26,C$24,E270&lt;E$28,C$26,E270&lt;E$30,C$28,E270&lt;E$32,C$30,E270&lt;E$34,C$32,E270&gt;=E$34,C$34)</f>
        <v/>
      </c>
      <c r="D270" s="37">
        <f>_xlfn.IFS(E270&lt;E$24,0,E270&lt;E$25,D$24,E270&lt;E$26,D$25,E270&lt;E$27,D$26,E270&lt;E$28,D$27,E270&lt;E$29,D$28,E270&lt;E$30,D$29,E270&lt;E$31,D$30,E270&lt;E$32,D$31,E270&lt;E$33,D$32,E270&lt;E$34,D$33,E270&lt;E$35,D$34,E270&gt;=E$35,D$35)</f>
        <v/>
      </c>
      <c r="E270" s="38" t="n">
        <v>220</v>
      </c>
      <c r="F270" s="31">
        <f>E270/52</f>
        <v/>
      </c>
      <c r="G270" s="39">
        <f>D270/1000000*52</f>
        <v/>
      </c>
      <c r="H270" s="33">
        <f>G270/$P$4+($C$22/$P$4)</f>
        <v/>
      </c>
      <c r="I270" s="36">
        <f>_xlfn.IFS(K270&lt;K$24,0,K270&lt;K$26,I$24,K270&lt;K$28,I$26,K270&lt;K$30,I$28,K270&lt;K$32,I$30,K270&lt;K$34,I$32,K270&lt;K$36,I$34,K270&lt;K$38,I$36,K270&lt;K$40,I$38,K270&lt;K$42,I$40,K270&lt;K$44,I$42,K270&lt;K$46,I$44,K270&gt;=K$46,I$46)</f>
        <v/>
      </c>
      <c r="J270" s="37">
        <f>_xlfn.IFS(K270&lt;K$24,0,K270&lt;K$25,J$24,K270&lt;K$26,J$25,K270&lt;K$27,J$26,K270&lt;K$28,J$27,K270&lt;K$29,J$28,K270&lt;K$30,J$29,K270&lt;K$31,J$30,K270&lt;K$32,J$31,K270&lt;K$33,J$32,K270&lt;K$34,J$33,K270&lt;K$35,J$34,K270&lt;K$36,J$35,K270&lt;K$37,J$36,K270&lt;K$38,J$37,K270&lt;K$39,J$38,K270&lt;K$40,J$39,K270&lt;K$41,J$40,K270&lt;K$42,J$41,K270&lt;K$43,J$42,K270&lt;K$44,J$43,K270&lt;K$45,J$44,K270&lt;K$46,J$45,K270&lt;K$47,J$46,K270&gt;=K$47,J$47)</f>
        <v/>
      </c>
      <c r="K270" s="38" t="n">
        <v>220</v>
      </c>
      <c r="L270" s="31">
        <f>K270/52</f>
        <v/>
      </c>
      <c r="M270" s="39">
        <f>J270/1000000*52</f>
        <v/>
      </c>
      <c r="N270" s="33">
        <f>M270/$P$4+($I$22/$P$4)</f>
        <v/>
      </c>
      <c r="U270">
        <f>F269</f>
        <v/>
      </c>
      <c r="V270">
        <f>H269</f>
        <v/>
      </c>
      <c r="W270">
        <f>N269</f>
        <v/>
      </c>
    </row>
    <row r="271" ht="15.75" customHeight="1" s="40">
      <c r="C271" s="36">
        <f>_xlfn.IFS(E271&lt;E$24,0,E271&lt;E$26,C$24,E271&lt;E$28,C$26,E271&lt;E$30,C$28,E271&lt;E$32,C$30,E271&lt;E$34,C$32,E271&gt;=E$34,C$34)</f>
        <v/>
      </c>
      <c r="D271" s="37">
        <f>_xlfn.IFS(E271&lt;E$24,0,E271&lt;E$25,D$24,E271&lt;E$26,D$25,E271&lt;E$27,D$26,E271&lt;E$28,D$27,E271&lt;E$29,D$28,E271&lt;E$30,D$29,E271&lt;E$31,D$30,E271&lt;E$32,D$31,E271&lt;E$33,D$32,E271&lt;E$34,D$33,E271&lt;E$35,D$34,E271&gt;=E$35,D$35)</f>
        <v/>
      </c>
      <c r="E271" s="38" t="n">
        <v>221</v>
      </c>
      <c r="F271" s="31">
        <f>E271/52</f>
        <v/>
      </c>
      <c r="G271" s="39">
        <f>D271/1000000*52</f>
        <v/>
      </c>
      <c r="H271" s="33">
        <f>G271/$P$4+($C$22/$P$4)</f>
        <v/>
      </c>
      <c r="I271" s="36">
        <f>_xlfn.IFS(K271&lt;K$24,0,K271&lt;K$26,I$24,K271&lt;K$28,I$26,K271&lt;K$30,I$28,K271&lt;K$32,I$30,K271&lt;K$34,I$32,K271&lt;K$36,I$34,K271&lt;K$38,I$36,K271&lt;K$40,I$38,K271&lt;K$42,I$40,K271&lt;K$44,I$42,K271&lt;K$46,I$44,K271&gt;=K$46,I$46)</f>
        <v/>
      </c>
      <c r="J271" s="37">
        <f>_xlfn.IFS(K271&lt;K$24,0,K271&lt;K$25,J$24,K271&lt;K$26,J$25,K271&lt;K$27,J$26,K271&lt;K$28,J$27,K271&lt;K$29,J$28,K271&lt;K$30,J$29,K271&lt;K$31,J$30,K271&lt;K$32,J$31,K271&lt;K$33,J$32,K271&lt;K$34,J$33,K271&lt;K$35,J$34,K271&lt;K$36,J$35,K271&lt;K$37,J$36,K271&lt;K$38,J$37,K271&lt;K$39,J$38,K271&lt;K$40,J$39,K271&lt;K$41,J$40,K271&lt;K$42,J$41,K271&lt;K$43,J$42,K271&lt;K$44,J$43,K271&lt;K$45,J$44,K271&lt;K$46,J$45,K271&lt;K$47,J$46,K271&gt;=K$47,J$47)</f>
        <v/>
      </c>
      <c r="K271" s="38" t="n">
        <v>221</v>
      </c>
      <c r="L271" s="31">
        <f>K271/52</f>
        <v/>
      </c>
      <c r="M271" s="39">
        <f>J271/1000000*52</f>
        <v/>
      </c>
      <c r="N271" s="33">
        <f>M271/$P$4+($I$22/$P$4)</f>
        <v/>
      </c>
      <c r="U271">
        <f>F270</f>
        <v/>
      </c>
      <c r="V271">
        <f>H270</f>
        <v/>
      </c>
      <c r="W271">
        <f>N270</f>
        <v/>
      </c>
    </row>
    <row r="272" ht="15.75" customHeight="1" s="40">
      <c r="C272" s="36">
        <f>_xlfn.IFS(E272&lt;E$24,0,E272&lt;E$26,C$24,E272&lt;E$28,C$26,E272&lt;E$30,C$28,E272&lt;E$32,C$30,E272&lt;E$34,C$32,E272&gt;=E$34,C$34)</f>
        <v/>
      </c>
      <c r="D272" s="37">
        <f>_xlfn.IFS(E272&lt;E$24,0,E272&lt;E$25,D$24,E272&lt;E$26,D$25,E272&lt;E$27,D$26,E272&lt;E$28,D$27,E272&lt;E$29,D$28,E272&lt;E$30,D$29,E272&lt;E$31,D$30,E272&lt;E$32,D$31,E272&lt;E$33,D$32,E272&lt;E$34,D$33,E272&lt;E$35,D$34,E272&gt;=E$35,D$35)</f>
        <v/>
      </c>
      <c r="E272" s="38" t="n">
        <v>222</v>
      </c>
      <c r="F272" s="31">
        <f>E272/52</f>
        <v/>
      </c>
      <c r="G272" s="39">
        <f>D272/1000000*52</f>
        <v/>
      </c>
      <c r="H272" s="33">
        <f>G272/$P$4+($C$22/$P$4)</f>
        <v/>
      </c>
      <c r="I272" s="36">
        <f>_xlfn.IFS(K272&lt;K$24,0,K272&lt;K$26,I$24,K272&lt;K$28,I$26,K272&lt;K$30,I$28,K272&lt;K$32,I$30,K272&lt;K$34,I$32,K272&lt;K$36,I$34,K272&lt;K$38,I$36,K272&lt;K$40,I$38,K272&lt;K$42,I$40,K272&lt;K$44,I$42,K272&lt;K$46,I$44,K272&gt;=K$46,I$46)</f>
        <v/>
      </c>
      <c r="J272" s="37">
        <f>_xlfn.IFS(K272&lt;K$24,0,K272&lt;K$25,J$24,K272&lt;K$26,J$25,K272&lt;K$27,J$26,K272&lt;K$28,J$27,K272&lt;K$29,J$28,K272&lt;K$30,J$29,K272&lt;K$31,J$30,K272&lt;K$32,J$31,K272&lt;K$33,J$32,K272&lt;K$34,J$33,K272&lt;K$35,J$34,K272&lt;K$36,J$35,K272&lt;K$37,J$36,K272&lt;K$38,J$37,K272&lt;K$39,J$38,K272&lt;K$40,J$39,K272&lt;K$41,J$40,K272&lt;K$42,J$41,K272&lt;K$43,J$42,K272&lt;K$44,J$43,K272&lt;K$45,J$44,K272&lt;K$46,J$45,K272&lt;K$47,J$46,K272&gt;=K$47,J$47)</f>
        <v/>
      </c>
      <c r="K272" s="38" t="n">
        <v>222</v>
      </c>
      <c r="L272" s="31">
        <f>K272/52</f>
        <v/>
      </c>
      <c r="M272" s="39">
        <f>J272/1000000*52</f>
        <v/>
      </c>
      <c r="N272" s="33">
        <f>M272/$P$4+($I$22/$P$4)</f>
        <v/>
      </c>
      <c r="U272">
        <f>F271</f>
        <v/>
      </c>
      <c r="V272">
        <f>H271</f>
        <v/>
      </c>
      <c r="W272">
        <f>N271</f>
        <v/>
      </c>
    </row>
    <row r="273" ht="15.75" customHeight="1" s="40">
      <c r="C273" s="36">
        <f>_xlfn.IFS(E273&lt;E$24,0,E273&lt;E$26,C$24,E273&lt;E$28,C$26,E273&lt;E$30,C$28,E273&lt;E$32,C$30,E273&lt;E$34,C$32,E273&gt;=E$34,C$34)</f>
        <v/>
      </c>
      <c r="D273" s="37">
        <f>_xlfn.IFS(E273&lt;E$24,0,E273&lt;E$25,D$24,E273&lt;E$26,D$25,E273&lt;E$27,D$26,E273&lt;E$28,D$27,E273&lt;E$29,D$28,E273&lt;E$30,D$29,E273&lt;E$31,D$30,E273&lt;E$32,D$31,E273&lt;E$33,D$32,E273&lt;E$34,D$33,E273&lt;E$35,D$34,E273&gt;=E$35,D$35)</f>
        <v/>
      </c>
      <c r="E273" s="38" t="n">
        <v>223</v>
      </c>
      <c r="F273" s="31">
        <f>E273/52</f>
        <v/>
      </c>
      <c r="G273" s="39">
        <f>D273/1000000*52</f>
        <v/>
      </c>
      <c r="H273" s="33">
        <f>G273/$P$4+($C$22/$P$4)</f>
        <v/>
      </c>
      <c r="I273" s="36">
        <f>_xlfn.IFS(K273&lt;K$24,0,K273&lt;K$26,I$24,K273&lt;K$28,I$26,K273&lt;K$30,I$28,K273&lt;K$32,I$30,K273&lt;K$34,I$32,K273&lt;K$36,I$34,K273&lt;K$38,I$36,K273&lt;K$40,I$38,K273&lt;K$42,I$40,K273&lt;K$44,I$42,K273&lt;K$46,I$44,K273&gt;=K$46,I$46)</f>
        <v/>
      </c>
      <c r="J273" s="37">
        <f>_xlfn.IFS(K273&lt;K$24,0,K273&lt;K$25,J$24,K273&lt;K$26,J$25,K273&lt;K$27,J$26,K273&lt;K$28,J$27,K273&lt;K$29,J$28,K273&lt;K$30,J$29,K273&lt;K$31,J$30,K273&lt;K$32,J$31,K273&lt;K$33,J$32,K273&lt;K$34,J$33,K273&lt;K$35,J$34,K273&lt;K$36,J$35,K273&lt;K$37,J$36,K273&lt;K$38,J$37,K273&lt;K$39,J$38,K273&lt;K$40,J$39,K273&lt;K$41,J$40,K273&lt;K$42,J$41,K273&lt;K$43,J$42,K273&lt;K$44,J$43,K273&lt;K$45,J$44,K273&lt;K$46,J$45,K273&lt;K$47,J$46,K273&gt;=K$47,J$47)</f>
        <v/>
      </c>
      <c r="K273" s="38" t="n">
        <v>223</v>
      </c>
      <c r="L273" s="31">
        <f>K273/52</f>
        <v/>
      </c>
      <c r="M273" s="39">
        <f>J273/1000000*52</f>
        <v/>
      </c>
      <c r="N273" s="33">
        <f>M273/$P$4+($I$22/$P$4)</f>
        <v/>
      </c>
      <c r="U273">
        <f>F272</f>
        <v/>
      </c>
      <c r="V273">
        <f>H272</f>
        <v/>
      </c>
      <c r="W273">
        <f>N272</f>
        <v/>
      </c>
    </row>
    <row r="274" ht="15.75" customHeight="1" s="40">
      <c r="C274" s="36">
        <f>_xlfn.IFS(E274&lt;E$24,0,E274&lt;E$26,C$24,E274&lt;E$28,C$26,E274&lt;E$30,C$28,E274&lt;E$32,C$30,E274&lt;E$34,C$32,E274&gt;=E$34,C$34)</f>
        <v/>
      </c>
      <c r="D274" s="37">
        <f>_xlfn.IFS(E274&lt;E$24,0,E274&lt;E$25,D$24,E274&lt;E$26,D$25,E274&lt;E$27,D$26,E274&lt;E$28,D$27,E274&lt;E$29,D$28,E274&lt;E$30,D$29,E274&lt;E$31,D$30,E274&lt;E$32,D$31,E274&lt;E$33,D$32,E274&lt;E$34,D$33,E274&lt;E$35,D$34,E274&gt;=E$35,D$35)</f>
        <v/>
      </c>
      <c r="E274" s="38" t="n">
        <v>224</v>
      </c>
      <c r="F274" s="31">
        <f>E274/52</f>
        <v/>
      </c>
      <c r="G274" s="39">
        <f>D274/1000000*52</f>
        <v/>
      </c>
      <c r="H274" s="33">
        <f>G274/$P$4+($C$22/$P$4)</f>
        <v/>
      </c>
      <c r="I274" s="36">
        <f>_xlfn.IFS(K274&lt;K$24,0,K274&lt;K$26,I$24,K274&lt;K$28,I$26,K274&lt;K$30,I$28,K274&lt;K$32,I$30,K274&lt;K$34,I$32,K274&lt;K$36,I$34,K274&lt;K$38,I$36,K274&lt;K$40,I$38,K274&lt;K$42,I$40,K274&lt;K$44,I$42,K274&lt;K$46,I$44,K274&gt;=K$46,I$46)</f>
        <v/>
      </c>
      <c r="J274" s="37">
        <f>_xlfn.IFS(K274&lt;K$24,0,K274&lt;K$25,J$24,K274&lt;K$26,J$25,K274&lt;K$27,J$26,K274&lt;K$28,J$27,K274&lt;K$29,J$28,K274&lt;K$30,J$29,K274&lt;K$31,J$30,K274&lt;K$32,J$31,K274&lt;K$33,J$32,K274&lt;K$34,J$33,K274&lt;K$35,J$34,K274&lt;K$36,J$35,K274&lt;K$37,J$36,K274&lt;K$38,J$37,K274&lt;K$39,J$38,K274&lt;K$40,J$39,K274&lt;K$41,J$40,K274&lt;K$42,J$41,K274&lt;K$43,J$42,K274&lt;K$44,J$43,K274&lt;K$45,J$44,K274&lt;K$46,J$45,K274&lt;K$47,J$46,K274&gt;=K$47,J$47)</f>
        <v/>
      </c>
      <c r="K274" s="38" t="n">
        <v>224</v>
      </c>
      <c r="L274" s="31">
        <f>K274/52</f>
        <v/>
      </c>
      <c r="M274" s="39">
        <f>J274/1000000*52</f>
        <v/>
      </c>
      <c r="N274" s="33">
        <f>M274/$P$4+($I$22/$P$4)</f>
        <v/>
      </c>
      <c r="U274">
        <f>F273</f>
        <v/>
      </c>
      <c r="V274">
        <f>H273</f>
        <v/>
      </c>
      <c r="W274">
        <f>N273</f>
        <v/>
      </c>
    </row>
    <row r="275" ht="15.75" customHeight="1" s="40">
      <c r="C275" s="36">
        <f>_xlfn.IFS(E275&lt;E$24,0,E275&lt;E$26,C$24,E275&lt;E$28,C$26,E275&lt;E$30,C$28,E275&lt;E$32,C$30,E275&lt;E$34,C$32,E275&gt;=E$34,C$34)</f>
        <v/>
      </c>
      <c r="D275" s="37">
        <f>_xlfn.IFS(E275&lt;E$24,0,E275&lt;E$25,D$24,E275&lt;E$26,D$25,E275&lt;E$27,D$26,E275&lt;E$28,D$27,E275&lt;E$29,D$28,E275&lt;E$30,D$29,E275&lt;E$31,D$30,E275&lt;E$32,D$31,E275&lt;E$33,D$32,E275&lt;E$34,D$33,E275&lt;E$35,D$34,E275&gt;=E$35,D$35)</f>
        <v/>
      </c>
      <c r="E275" s="38" t="n">
        <v>225</v>
      </c>
      <c r="F275" s="31">
        <f>E275/52</f>
        <v/>
      </c>
      <c r="G275" s="39">
        <f>D275/1000000*52</f>
        <v/>
      </c>
      <c r="H275" s="33">
        <f>G275/$P$4+($C$22/$P$4)</f>
        <v/>
      </c>
      <c r="I275" s="36">
        <f>_xlfn.IFS(K275&lt;K$24,0,K275&lt;K$26,I$24,K275&lt;K$28,I$26,K275&lt;K$30,I$28,K275&lt;K$32,I$30,K275&lt;K$34,I$32,K275&lt;K$36,I$34,K275&lt;K$38,I$36,K275&lt;K$40,I$38,K275&lt;K$42,I$40,K275&lt;K$44,I$42,K275&lt;K$46,I$44,K275&gt;=K$46,I$46)</f>
        <v/>
      </c>
      <c r="J275" s="37">
        <f>_xlfn.IFS(K275&lt;K$24,0,K275&lt;K$25,J$24,K275&lt;K$26,J$25,K275&lt;K$27,J$26,K275&lt;K$28,J$27,K275&lt;K$29,J$28,K275&lt;K$30,J$29,K275&lt;K$31,J$30,K275&lt;K$32,J$31,K275&lt;K$33,J$32,K275&lt;K$34,J$33,K275&lt;K$35,J$34,K275&lt;K$36,J$35,K275&lt;K$37,J$36,K275&lt;K$38,J$37,K275&lt;K$39,J$38,K275&lt;K$40,J$39,K275&lt;K$41,J$40,K275&lt;K$42,J$41,K275&lt;K$43,J$42,K275&lt;K$44,J$43,K275&lt;K$45,J$44,K275&lt;K$46,J$45,K275&lt;K$47,J$46,K275&gt;=K$47,J$47)</f>
        <v/>
      </c>
      <c r="K275" s="38" t="n">
        <v>225</v>
      </c>
      <c r="L275" s="31">
        <f>K275/52</f>
        <v/>
      </c>
      <c r="M275" s="39">
        <f>J275/1000000*52</f>
        <v/>
      </c>
      <c r="N275" s="33">
        <f>M275/$P$4+($I$22/$P$4)</f>
        <v/>
      </c>
      <c r="U275">
        <f>F274</f>
        <v/>
      </c>
      <c r="V275">
        <f>H274</f>
        <v/>
      </c>
      <c r="W275">
        <f>N274</f>
        <v/>
      </c>
    </row>
    <row r="276" ht="15.75" customHeight="1" s="40">
      <c r="C276" s="36">
        <f>_xlfn.IFS(E276&lt;E$24,0,E276&lt;E$26,C$24,E276&lt;E$28,C$26,E276&lt;E$30,C$28,E276&lt;E$32,C$30,E276&lt;E$34,C$32,E276&gt;=E$34,C$34)</f>
        <v/>
      </c>
      <c r="D276" s="37">
        <f>_xlfn.IFS(E276&lt;E$24,0,E276&lt;E$25,D$24,E276&lt;E$26,D$25,E276&lt;E$27,D$26,E276&lt;E$28,D$27,E276&lt;E$29,D$28,E276&lt;E$30,D$29,E276&lt;E$31,D$30,E276&lt;E$32,D$31,E276&lt;E$33,D$32,E276&lt;E$34,D$33,E276&lt;E$35,D$34,E276&gt;=E$35,D$35)</f>
        <v/>
      </c>
      <c r="E276" s="38" t="n">
        <v>226</v>
      </c>
      <c r="F276" s="31">
        <f>E276/52</f>
        <v/>
      </c>
      <c r="G276" s="39">
        <f>D276/1000000*52</f>
        <v/>
      </c>
      <c r="H276" s="33">
        <f>G276/$P$4+($C$22/$P$4)</f>
        <v/>
      </c>
      <c r="I276" s="36">
        <f>_xlfn.IFS(K276&lt;K$24,0,K276&lt;K$26,I$24,K276&lt;K$28,I$26,K276&lt;K$30,I$28,K276&lt;K$32,I$30,K276&lt;K$34,I$32,K276&lt;K$36,I$34,K276&lt;K$38,I$36,K276&lt;K$40,I$38,K276&lt;K$42,I$40,K276&lt;K$44,I$42,K276&lt;K$46,I$44,K276&gt;=K$46,I$46)</f>
        <v/>
      </c>
      <c r="J276" s="37">
        <f>_xlfn.IFS(K276&lt;K$24,0,K276&lt;K$25,J$24,K276&lt;K$26,J$25,K276&lt;K$27,J$26,K276&lt;K$28,J$27,K276&lt;K$29,J$28,K276&lt;K$30,J$29,K276&lt;K$31,J$30,K276&lt;K$32,J$31,K276&lt;K$33,J$32,K276&lt;K$34,J$33,K276&lt;K$35,J$34,K276&lt;K$36,J$35,K276&lt;K$37,J$36,K276&lt;K$38,J$37,K276&lt;K$39,J$38,K276&lt;K$40,J$39,K276&lt;K$41,J$40,K276&lt;K$42,J$41,K276&lt;K$43,J$42,K276&lt;K$44,J$43,K276&lt;K$45,J$44,K276&lt;K$46,J$45,K276&lt;K$47,J$46,K276&gt;=K$47,J$47)</f>
        <v/>
      </c>
      <c r="K276" s="38" t="n">
        <v>226</v>
      </c>
      <c r="L276" s="31">
        <f>K276/52</f>
        <v/>
      </c>
      <c r="M276" s="39">
        <f>J276/1000000*52</f>
        <v/>
      </c>
      <c r="N276" s="33">
        <f>M276/$P$4+($I$22/$P$4)</f>
        <v/>
      </c>
      <c r="U276">
        <f>F275</f>
        <v/>
      </c>
      <c r="V276">
        <f>H275</f>
        <v/>
      </c>
      <c r="W276">
        <f>N275</f>
        <v/>
      </c>
    </row>
    <row r="277" ht="15.75" customHeight="1" s="40">
      <c r="C277" s="36">
        <f>_xlfn.IFS(E277&lt;E$24,0,E277&lt;E$26,C$24,E277&lt;E$28,C$26,E277&lt;E$30,C$28,E277&lt;E$32,C$30,E277&lt;E$34,C$32,E277&gt;=E$34,C$34)</f>
        <v/>
      </c>
      <c r="D277" s="37">
        <f>_xlfn.IFS(E277&lt;E$24,0,E277&lt;E$25,D$24,E277&lt;E$26,D$25,E277&lt;E$27,D$26,E277&lt;E$28,D$27,E277&lt;E$29,D$28,E277&lt;E$30,D$29,E277&lt;E$31,D$30,E277&lt;E$32,D$31,E277&lt;E$33,D$32,E277&lt;E$34,D$33,E277&lt;E$35,D$34,E277&gt;=E$35,D$35)</f>
        <v/>
      </c>
      <c r="E277" s="38" t="n">
        <v>227</v>
      </c>
      <c r="F277" s="31">
        <f>E277/52</f>
        <v/>
      </c>
      <c r="G277" s="39">
        <f>D277/1000000*52</f>
        <v/>
      </c>
      <c r="H277" s="33">
        <f>G277/$P$4+($C$22/$P$4)</f>
        <v/>
      </c>
      <c r="I277" s="36">
        <f>_xlfn.IFS(K277&lt;K$24,0,K277&lt;K$26,I$24,K277&lt;K$28,I$26,K277&lt;K$30,I$28,K277&lt;K$32,I$30,K277&lt;K$34,I$32,K277&lt;K$36,I$34,K277&lt;K$38,I$36,K277&lt;K$40,I$38,K277&lt;K$42,I$40,K277&lt;K$44,I$42,K277&lt;K$46,I$44,K277&gt;=K$46,I$46)</f>
        <v/>
      </c>
      <c r="J277" s="37">
        <f>_xlfn.IFS(K277&lt;K$24,0,K277&lt;K$25,J$24,K277&lt;K$26,J$25,K277&lt;K$27,J$26,K277&lt;K$28,J$27,K277&lt;K$29,J$28,K277&lt;K$30,J$29,K277&lt;K$31,J$30,K277&lt;K$32,J$31,K277&lt;K$33,J$32,K277&lt;K$34,J$33,K277&lt;K$35,J$34,K277&lt;K$36,J$35,K277&lt;K$37,J$36,K277&lt;K$38,J$37,K277&lt;K$39,J$38,K277&lt;K$40,J$39,K277&lt;K$41,J$40,K277&lt;K$42,J$41,K277&lt;K$43,J$42,K277&lt;K$44,J$43,K277&lt;K$45,J$44,K277&lt;K$46,J$45,K277&lt;K$47,J$46,K277&gt;=K$47,J$47)</f>
        <v/>
      </c>
      <c r="K277" s="38" t="n">
        <v>227</v>
      </c>
      <c r="L277" s="31">
        <f>K277/52</f>
        <v/>
      </c>
      <c r="M277" s="39">
        <f>J277/1000000*52</f>
        <v/>
      </c>
      <c r="N277" s="33">
        <f>M277/$P$4+($I$22/$P$4)</f>
        <v/>
      </c>
      <c r="U277">
        <f>F276</f>
        <v/>
      </c>
      <c r="V277">
        <f>H276</f>
        <v/>
      </c>
      <c r="W277">
        <f>N276</f>
        <v/>
      </c>
    </row>
    <row r="278" ht="15.75" customHeight="1" s="40">
      <c r="C278" s="36">
        <f>_xlfn.IFS(E278&lt;E$24,0,E278&lt;E$26,C$24,E278&lt;E$28,C$26,E278&lt;E$30,C$28,E278&lt;E$32,C$30,E278&lt;E$34,C$32,E278&gt;=E$34,C$34)</f>
        <v/>
      </c>
      <c r="D278" s="37">
        <f>_xlfn.IFS(E278&lt;E$24,0,E278&lt;E$25,D$24,E278&lt;E$26,D$25,E278&lt;E$27,D$26,E278&lt;E$28,D$27,E278&lt;E$29,D$28,E278&lt;E$30,D$29,E278&lt;E$31,D$30,E278&lt;E$32,D$31,E278&lt;E$33,D$32,E278&lt;E$34,D$33,E278&lt;E$35,D$34,E278&gt;=E$35,D$35)</f>
        <v/>
      </c>
      <c r="E278" s="38" t="n">
        <v>228</v>
      </c>
      <c r="F278" s="31">
        <f>E278/52</f>
        <v/>
      </c>
      <c r="G278" s="39">
        <f>D278/1000000*52</f>
        <v/>
      </c>
      <c r="H278" s="33">
        <f>G278/$P$4+($C$22/$P$4)</f>
        <v/>
      </c>
      <c r="I278" s="36">
        <f>_xlfn.IFS(K278&lt;K$24,0,K278&lt;K$26,I$24,K278&lt;K$28,I$26,K278&lt;K$30,I$28,K278&lt;K$32,I$30,K278&lt;K$34,I$32,K278&lt;K$36,I$34,K278&lt;K$38,I$36,K278&lt;K$40,I$38,K278&lt;K$42,I$40,K278&lt;K$44,I$42,K278&lt;K$46,I$44,K278&gt;=K$46,I$46)</f>
        <v/>
      </c>
      <c r="J278" s="37">
        <f>_xlfn.IFS(K278&lt;K$24,0,K278&lt;K$25,J$24,K278&lt;K$26,J$25,K278&lt;K$27,J$26,K278&lt;K$28,J$27,K278&lt;K$29,J$28,K278&lt;K$30,J$29,K278&lt;K$31,J$30,K278&lt;K$32,J$31,K278&lt;K$33,J$32,K278&lt;K$34,J$33,K278&lt;K$35,J$34,K278&lt;K$36,J$35,K278&lt;K$37,J$36,K278&lt;K$38,J$37,K278&lt;K$39,J$38,K278&lt;K$40,J$39,K278&lt;K$41,J$40,K278&lt;K$42,J$41,K278&lt;K$43,J$42,K278&lt;K$44,J$43,K278&lt;K$45,J$44,K278&lt;K$46,J$45,K278&lt;K$47,J$46,K278&gt;=K$47,J$47)</f>
        <v/>
      </c>
      <c r="K278" s="38" t="n">
        <v>228</v>
      </c>
      <c r="L278" s="31">
        <f>K278/52</f>
        <v/>
      </c>
      <c r="M278" s="39">
        <f>J278/1000000*52</f>
        <v/>
      </c>
      <c r="N278" s="33">
        <f>M278/$P$4+($I$22/$P$4)</f>
        <v/>
      </c>
      <c r="U278">
        <f>F277</f>
        <v/>
      </c>
      <c r="V278">
        <f>H277</f>
        <v/>
      </c>
      <c r="W278">
        <f>N277</f>
        <v/>
      </c>
    </row>
    <row r="279" ht="15.75" customHeight="1" s="40">
      <c r="C279" s="36">
        <f>_xlfn.IFS(E279&lt;E$24,0,E279&lt;E$26,C$24,E279&lt;E$28,C$26,E279&lt;E$30,C$28,E279&lt;E$32,C$30,E279&lt;E$34,C$32,E279&gt;=E$34,C$34)</f>
        <v/>
      </c>
      <c r="D279" s="37">
        <f>_xlfn.IFS(E279&lt;E$24,0,E279&lt;E$25,D$24,E279&lt;E$26,D$25,E279&lt;E$27,D$26,E279&lt;E$28,D$27,E279&lt;E$29,D$28,E279&lt;E$30,D$29,E279&lt;E$31,D$30,E279&lt;E$32,D$31,E279&lt;E$33,D$32,E279&lt;E$34,D$33,E279&lt;E$35,D$34,E279&gt;=E$35,D$35)</f>
        <v/>
      </c>
      <c r="E279" s="38" t="n">
        <v>229</v>
      </c>
      <c r="F279" s="31">
        <f>E279/52</f>
        <v/>
      </c>
      <c r="G279" s="39">
        <f>D279/1000000*52</f>
        <v/>
      </c>
      <c r="H279" s="33">
        <f>G279/$P$4+($C$22/$P$4)</f>
        <v/>
      </c>
      <c r="I279" s="36">
        <f>_xlfn.IFS(K279&lt;K$24,0,K279&lt;K$26,I$24,K279&lt;K$28,I$26,K279&lt;K$30,I$28,K279&lt;K$32,I$30,K279&lt;K$34,I$32,K279&lt;K$36,I$34,K279&lt;K$38,I$36,K279&lt;K$40,I$38,K279&lt;K$42,I$40,K279&lt;K$44,I$42,K279&lt;K$46,I$44,K279&gt;=K$46,I$46)</f>
        <v/>
      </c>
      <c r="J279" s="37">
        <f>_xlfn.IFS(K279&lt;K$24,0,K279&lt;K$25,J$24,K279&lt;K$26,J$25,K279&lt;K$27,J$26,K279&lt;K$28,J$27,K279&lt;K$29,J$28,K279&lt;K$30,J$29,K279&lt;K$31,J$30,K279&lt;K$32,J$31,K279&lt;K$33,J$32,K279&lt;K$34,J$33,K279&lt;K$35,J$34,K279&lt;K$36,J$35,K279&lt;K$37,J$36,K279&lt;K$38,J$37,K279&lt;K$39,J$38,K279&lt;K$40,J$39,K279&lt;K$41,J$40,K279&lt;K$42,J$41,K279&lt;K$43,J$42,K279&lt;K$44,J$43,K279&lt;K$45,J$44,K279&lt;K$46,J$45,K279&lt;K$47,J$46,K279&gt;=K$47,J$47)</f>
        <v/>
      </c>
      <c r="K279" s="38" t="n">
        <v>229</v>
      </c>
      <c r="L279" s="31">
        <f>K279/52</f>
        <v/>
      </c>
      <c r="M279" s="39">
        <f>J279/1000000*52</f>
        <v/>
      </c>
      <c r="N279" s="33">
        <f>M279/$P$4+($I$22/$P$4)</f>
        <v/>
      </c>
      <c r="U279">
        <f>F278</f>
        <v/>
      </c>
      <c r="V279">
        <f>H278</f>
        <v/>
      </c>
      <c r="W279">
        <f>N278</f>
        <v/>
      </c>
    </row>
    <row r="280" ht="15.75" customHeight="1" s="40">
      <c r="C280" s="36">
        <f>_xlfn.IFS(E280&lt;E$24,0,E280&lt;E$26,C$24,E280&lt;E$28,C$26,E280&lt;E$30,C$28,E280&lt;E$32,C$30,E280&lt;E$34,C$32,E280&gt;=E$34,C$34)</f>
        <v/>
      </c>
      <c r="D280" s="37">
        <f>_xlfn.IFS(E280&lt;E$24,0,E280&lt;E$25,D$24,E280&lt;E$26,D$25,E280&lt;E$27,D$26,E280&lt;E$28,D$27,E280&lt;E$29,D$28,E280&lt;E$30,D$29,E280&lt;E$31,D$30,E280&lt;E$32,D$31,E280&lt;E$33,D$32,E280&lt;E$34,D$33,E280&lt;E$35,D$34,E280&gt;=E$35,D$35)</f>
        <v/>
      </c>
      <c r="E280" s="38" t="n">
        <v>230</v>
      </c>
      <c r="F280" s="31">
        <f>E280/52</f>
        <v/>
      </c>
      <c r="G280" s="39">
        <f>D280/1000000*52</f>
        <v/>
      </c>
      <c r="H280" s="33">
        <f>G280/$P$4+($C$22/$P$4)</f>
        <v/>
      </c>
      <c r="I280" s="36">
        <f>_xlfn.IFS(K280&lt;K$24,0,K280&lt;K$26,I$24,K280&lt;K$28,I$26,K280&lt;K$30,I$28,K280&lt;K$32,I$30,K280&lt;K$34,I$32,K280&lt;K$36,I$34,K280&lt;K$38,I$36,K280&lt;K$40,I$38,K280&lt;K$42,I$40,K280&lt;K$44,I$42,K280&lt;K$46,I$44,K280&gt;=K$46,I$46)</f>
        <v/>
      </c>
      <c r="J280" s="37">
        <f>_xlfn.IFS(K280&lt;K$24,0,K280&lt;K$25,J$24,K280&lt;K$26,J$25,K280&lt;K$27,J$26,K280&lt;K$28,J$27,K280&lt;K$29,J$28,K280&lt;K$30,J$29,K280&lt;K$31,J$30,K280&lt;K$32,J$31,K280&lt;K$33,J$32,K280&lt;K$34,J$33,K280&lt;K$35,J$34,K280&lt;K$36,J$35,K280&lt;K$37,J$36,K280&lt;K$38,J$37,K280&lt;K$39,J$38,K280&lt;K$40,J$39,K280&lt;K$41,J$40,K280&lt;K$42,J$41,K280&lt;K$43,J$42,K280&lt;K$44,J$43,K280&lt;K$45,J$44,K280&lt;K$46,J$45,K280&lt;K$47,J$46,K280&gt;=K$47,J$47)</f>
        <v/>
      </c>
      <c r="K280" s="38" t="n">
        <v>230</v>
      </c>
      <c r="L280" s="31">
        <f>K280/52</f>
        <v/>
      </c>
      <c r="M280" s="39">
        <f>J280/1000000*52</f>
        <v/>
      </c>
      <c r="N280" s="33">
        <f>M280/$P$4+($I$22/$P$4)</f>
        <v/>
      </c>
      <c r="U280">
        <f>F279</f>
        <v/>
      </c>
      <c r="V280">
        <f>H279</f>
        <v/>
      </c>
      <c r="W280">
        <f>N279</f>
        <v/>
      </c>
    </row>
    <row r="281" ht="15.75" customHeight="1" s="40">
      <c r="C281" s="36">
        <f>_xlfn.IFS(E281&lt;E$24,0,E281&lt;E$26,C$24,E281&lt;E$28,C$26,E281&lt;E$30,C$28,E281&lt;E$32,C$30,E281&lt;E$34,C$32,E281&gt;=E$34,C$34)</f>
        <v/>
      </c>
      <c r="D281" s="37">
        <f>_xlfn.IFS(E281&lt;E$24,0,E281&lt;E$25,D$24,E281&lt;E$26,D$25,E281&lt;E$27,D$26,E281&lt;E$28,D$27,E281&lt;E$29,D$28,E281&lt;E$30,D$29,E281&lt;E$31,D$30,E281&lt;E$32,D$31,E281&lt;E$33,D$32,E281&lt;E$34,D$33,E281&lt;E$35,D$34,E281&gt;=E$35,D$35)</f>
        <v/>
      </c>
      <c r="E281" s="38" t="n">
        <v>231</v>
      </c>
      <c r="F281" s="31">
        <f>E281/52</f>
        <v/>
      </c>
      <c r="G281" s="39">
        <f>D281/1000000*52</f>
        <v/>
      </c>
      <c r="H281" s="33">
        <f>G281/$P$4+($C$22/$P$4)</f>
        <v/>
      </c>
      <c r="I281" s="36">
        <f>_xlfn.IFS(K281&lt;K$24,0,K281&lt;K$26,I$24,K281&lt;K$28,I$26,K281&lt;K$30,I$28,K281&lt;K$32,I$30,K281&lt;K$34,I$32,K281&lt;K$36,I$34,K281&lt;K$38,I$36,K281&lt;K$40,I$38,K281&lt;K$42,I$40,K281&lt;K$44,I$42,K281&lt;K$46,I$44,K281&gt;=K$46,I$46)</f>
        <v/>
      </c>
      <c r="J281" s="37">
        <f>_xlfn.IFS(K281&lt;K$24,0,K281&lt;K$25,J$24,K281&lt;K$26,J$25,K281&lt;K$27,J$26,K281&lt;K$28,J$27,K281&lt;K$29,J$28,K281&lt;K$30,J$29,K281&lt;K$31,J$30,K281&lt;K$32,J$31,K281&lt;K$33,J$32,K281&lt;K$34,J$33,K281&lt;K$35,J$34,K281&lt;K$36,J$35,K281&lt;K$37,J$36,K281&lt;K$38,J$37,K281&lt;K$39,J$38,K281&lt;K$40,J$39,K281&lt;K$41,J$40,K281&lt;K$42,J$41,K281&lt;K$43,J$42,K281&lt;K$44,J$43,K281&lt;K$45,J$44,K281&lt;K$46,J$45,K281&lt;K$47,J$46,K281&gt;=K$47,J$47)</f>
        <v/>
      </c>
      <c r="K281" s="38" t="n">
        <v>231</v>
      </c>
      <c r="L281" s="31">
        <f>K281/52</f>
        <v/>
      </c>
      <c r="M281" s="39">
        <f>J281/1000000*52</f>
        <v/>
      </c>
      <c r="N281" s="33">
        <f>M281/$P$4+($I$22/$P$4)</f>
        <v/>
      </c>
      <c r="U281">
        <f>F280</f>
        <v/>
      </c>
      <c r="V281">
        <f>H280</f>
        <v/>
      </c>
      <c r="W281">
        <f>N280</f>
        <v/>
      </c>
    </row>
    <row r="282" ht="15.75" customHeight="1" s="40">
      <c r="C282" s="36">
        <f>_xlfn.IFS(E282&lt;E$24,0,E282&lt;E$26,C$24,E282&lt;E$28,C$26,E282&lt;E$30,C$28,E282&lt;E$32,C$30,E282&lt;E$34,C$32,E282&gt;=E$34,C$34)</f>
        <v/>
      </c>
      <c r="D282" s="37">
        <f>_xlfn.IFS(E282&lt;E$24,0,E282&lt;E$25,D$24,E282&lt;E$26,D$25,E282&lt;E$27,D$26,E282&lt;E$28,D$27,E282&lt;E$29,D$28,E282&lt;E$30,D$29,E282&lt;E$31,D$30,E282&lt;E$32,D$31,E282&lt;E$33,D$32,E282&lt;E$34,D$33,E282&lt;E$35,D$34,E282&gt;=E$35,D$35)</f>
        <v/>
      </c>
      <c r="E282" s="38" t="n">
        <v>232</v>
      </c>
      <c r="F282" s="31">
        <f>E282/52</f>
        <v/>
      </c>
      <c r="G282" s="39">
        <f>D282/1000000*52</f>
        <v/>
      </c>
      <c r="H282" s="33">
        <f>G282/$P$4+($C$22/$P$4)</f>
        <v/>
      </c>
      <c r="I282" s="36">
        <f>_xlfn.IFS(K282&lt;K$24,0,K282&lt;K$26,I$24,K282&lt;K$28,I$26,K282&lt;K$30,I$28,K282&lt;K$32,I$30,K282&lt;K$34,I$32,K282&lt;K$36,I$34,K282&lt;K$38,I$36,K282&lt;K$40,I$38,K282&lt;K$42,I$40,K282&lt;K$44,I$42,K282&lt;K$46,I$44,K282&gt;=K$46,I$46)</f>
        <v/>
      </c>
      <c r="J282" s="37">
        <f>_xlfn.IFS(K282&lt;K$24,0,K282&lt;K$25,J$24,K282&lt;K$26,J$25,K282&lt;K$27,J$26,K282&lt;K$28,J$27,K282&lt;K$29,J$28,K282&lt;K$30,J$29,K282&lt;K$31,J$30,K282&lt;K$32,J$31,K282&lt;K$33,J$32,K282&lt;K$34,J$33,K282&lt;K$35,J$34,K282&lt;K$36,J$35,K282&lt;K$37,J$36,K282&lt;K$38,J$37,K282&lt;K$39,J$38,K282&lt;K$40,J$39,K282&lt;K$41,J$40,K282&lt;K$42,J$41,K282&lt;K$43,J$42,K282&lt;K$44,J$43,K282&lt;K$45,J$44,K282&lt;K$46,J$45,K282&lt;K$47,J$46,K282&gt;=K$47,J$47)</f>
        <v/>
      </c>
      <c r="K282" s="38" t="n">
        <v>232</v>
      </c>
      <c r="L282" s="31">
        <f>K282/52</f>
        <v/>
      </c>
      <c r="M282" s="39">
        <f>J282/1000000*52</f>
        <v/>
      </c>
      <c r="N282" s="33">
        <f>M282/$P$4+($I$22/$P$4)</f>
        <v/>
      </c>
      <c r="U282">
        <f>F281</f>
        <v/>
      </c>
      <c r="V282">
        <f>H281</f>
        <v/>
      </c>
      <c r="W282">
        <f>N281</f>
        <v/>
      </c>
    </row>
    <row r="283" ht="15.75" customHeight="1" s="40">
      <c r="C283" s="36">
        <f>_xlfn.IFS(E283&lt;E$24,0,E283&lt;E$26,C$24,E283&lt;E$28,C$26,E283&lt;E$30,C$28,E283&lt;E$32,C$30,E283&lt;E$34,C$32,E283&gt;=E$34,C$34)</f>
        <v/>
      </c>
      <c r="D283" s="37">
        <f>_xlfn.IFS(E283&lt;E$24,0,E283&lt;E$25,D$24,E283&lt;E$26,D$25,E283&lt;E$27,D$26,E283&lt;E$28,D$27,E283&lt;E$29,D$28,E283&lt;E$30,D$29,E283&lt;E$31,D$30,E283&lt;E$32,D$31,E283&lt;E$33,D$32,E283&lt;E$34,D$33,E283&lt;E$35,D$34,E283&gt;=E$35,D$35)</f>
        <v/>
      </c>
      <c r="E283" s="38" t="n">
        <v>233</v>
      </c>
      <c r="F283" s="31">
        <f>E283/52</f>
        <v/>
      </c>
      <c r="G283" s="39">
        <f>D283/1000000*52</f>
        <v/>
      </c>
      <c r="H283" s="33">
        <f>G283/$P$4+($C$22/$P$4)</f>
        <v/>
      </c>
      <c r="I283" s="36">
        <f>_xlfn.IFS(K283&lt;K$24,0,K283&lt;K$26,I$24,K283&lt;K$28,I$26,K283&lt;K$30,I$28,K283&lt;K$32,I$30,K283&lt;K$34,I$32,K283&lt;K$36,I$34,K283&lt;K$38,I$36,K283&lt;K$40,I$38,K283&lt;K$42,I$40,K283&lt;K$44,I$42,K283&lt;K$46,I$44,K283&gt;=K$46,I$46)</f>
        <v/>
      </c>
      <c r="J283" s="37">
        <f>_xlfn.IFS(K283&lt;K$24,0,K283&lt;K$25,J$24,K283&lt;K$26,J$25,K283&lt;K$27,J$26,K283&lt;K$28,J$27,K283&lt;K$29,J$28,K283&lt;K$30,J$29,K283&lt;K$31,J$30,K283&lt;K$32,J$31,K283&lt;K$33,J$32,K283&lt;K$34,J$33,K283&lt;K$35,J$34,K283&lt;K$36,J$35,K283&lt;K$37,J$36,K283&lt;K$38,J$37,K283&lt;K$39,J$38,K283&lt;K$40,J$39,K283&lt;K$41,J$40,K283&lt;K$42,J$41,K283&lt;K$43,J$42,K283&lt;K$44,J$43,K283&lt;K$45,J$44,K283&lt;K$46,J$45,K283&lt;K$47,J$46,K283&gt;=K$47,J$47)</f>
        <v/>
      </c>
      <c r="K283" s="38" t="n">
        <v>233</v>
      </c>
      <c r="L283" s="31">
        <f>K283/52</f>
        <v/>
      </c>
      <c r="M283" s="39">
        <f>J283/1000000*52</f>
        <v/>
      </c>
      <c r="N283" s="33">
        <f>M283/$P$4+($I$22/$P$4)</f>
        <v/>
      </c>
      <c r="U283">
        <f>F282</f>
        <v/>
      </c>
      <c r="V283">
        <f>H282</f>
        <v/>
      </c>
      <c r="W283">
        <f>N282</f>
        <v/>
      </c>
    </row>
    <row r="284" ht="15.75" customHeight="1" s="40">
      <c r="C284" s="36">
        <f>_xlfn.IFS(E284&lt;E$24,0,E284&lt;E$26,C$24,E284&lt;E$28,C$26,E284&lt;E$30,C$28,E284&lt;E$32,C$30,E284&lt;E$34,C$32,E284&gt;=E$34,C$34)</f>
        <v/>
      </c>
      <c r="D284" s="37">
        <f>_xlfn.IFS(E284&lt;E$24,0,E284&lt;E$25,D$24,E284&lt;E$26,D$25,E284&lt;E$27,D$26,E284&lt;E$28,D$27,E284&lt;E$29,D$28,E284&lt;E$30,D$29,E284&lt;E$31,D$30,E284&lt;E$32,D$31,E284&lt;E$33,D$32,E284&lt;E$34,D$33,E284&lt;E$35,D$34,E284&gt;=E$35,D$35)</f>
        <v/>
      </c>
      <c r="E284" s="38" t="n">
        <v>234</v>
      </c>
      <c r="F284" s="31">
        <f>E284/52</f>
        <v/>
      </c>
      <c r="G284" s="39">
        <f>D284/1000000*52</f>
        <v/>
      </c>
      <c r="H284" s="33">
        <f>G284/$P$4+($C$22/$P$4)</f>
        <v/>
      </c>
      <c r="I284" s="36">
        <f>_xlfn.IFS(K284&lt;K$24,0,K284&lt;K$26,I$24,K284&lt;K$28,I$26,K284&lt;K$30,I$28,K284&lt;K$32,I$30,K284&lt;K$34,I$32,K284&lt;K$36,I$34,K284&lt;K$38,I$36,K284&lt;K$40,I$38,K284&lt;K$42,I$40,K284&lt;K$44,I$42,K284&lt;K$46,I$44,K284&gt;=K$46,I$46)</f>
        <v/>
      </c>
      <c r="J284" s="37">
        <f>_xlfn.IFS(K284&lt;K$24,0,K284&lt;K$25,J$24,K284&lt;K$26,J$25,K284&lt;K$27,J$26,K284&lt;K$28,J$27,K284&lt;K$29,J$28,K284&lt;K$30,J$29,K284&lt;K$31,J$30,K284&lt;K$32,J$31,K284&lt;K$33,J$32,K284&lt;K$34,J$33,K284&lt;K$35,J$34,K284&lt;K$36,J$35,K284&lt;K$37,J$36,K284&lt;K$38,J$37,K284&lt;K$39,J$38,K284&lt;K$40,J$39,K284&lt;K$41,J$40,K284&lt;K$42,J$41,K284&lt;K$43,J$42,K284&lt;K$44,J$43,K284&lt;K$45,J$44,K284&lt;K$46,J$45,K284&lt;K$47,J$46,K284&gt;=K$47,J$47)</f>
        <v/>
      </c>
      <c r="K284" s="38" t="n">
        <v>234</v>
      </c>
      <c r="L284" s="31">
        <f>K284/52</f>
        <v/>
      </c>
      <c r="M284" s="39">
        <f>J284/1000000*52</f>
        <v/>
      </c>
      <c r="N284" s="33">
        <f>M284/$P$4+($I$22/$P$4)</f>
        <v/>
      </c>
      <c r="U284">
        <f>F283</f>
        <v/>
      </c>
      <c r="V284">
        <f>H283</f>
        <v/>
      </c>
      <c r="W284">
        <f>N283</f>
        <v/>
      </c>
    </row>
    <row r="285" ht="15.75" customHeight="1" s="40">
      <c r="C285" s="36">
        <f>_xlfn.IFS(E285&lt;E$24,0,E285&lt;E$26,C$24,E285&lt;E$28,C$26,E285&lt;E$30,C$28,E285&lt;E$32,C$30,E285&lt;E$34,C$32,E285&gt;=E$34,C$34)</f>
        <v/>
      </c>
      <c r="D285" s="37">
        <f>_xlfn.IFS(E285&lt;E$24,0,E285&lt;E$25,D$24,E285&lt;E$26,D$25,E285&lt;E$27,D$26,E285&lt;E$28,D$27,E285&lt;E$29,D$28,E285&lt;E$30,D$29,E285&lt;E$31,D$30,E285&lt;E$32,D$31,E285&lt;E$33,D$32,E285&lt;E$34,D$33,E285&lt;E$35,D$34,E285&gt;=E$35,D$35)</f>
        <v/>
      </c>
      <c r="E285" s="38" t="n">
        <v>235</v>
      </c>
      <c r="F285" s="31">
        <f>E285/52</f>
        <v/>
      </c>
      <c r="G285" s="39">
        <f>D285/1000000*52</f>
        <v/>
      </c>
      <c r="H285" s="33">
        <f>G285/$P$4+($C$22/$P$4)</f>
        <v/>
      </c>
      <c r="I285" s="36">
        <f>_xlfn.IFS(K285&lt;K$24,0,K285&lt;K$26,I$24,K285&lt;K$28,I$26,K285&lt;K$30,I$28,K285&lt;K$32,I$30,K285&lt;K$34,I$32,K285&lt;K$36,I$34,K285&lt;K$38,I$36,K285&lt;K$40,I$38,K285&lt;K$42,I$40,K285&lt;K$44,I$42,K285&lt;K$46,I$44,K285&gt;=K$46,I$46)</f>
        <v/>
      </c>
      <c r="J285" s="37">
        <f>_xlfn.IFS(K285&lt;K$24,0,K285&lt;K$25,J$24,K285&lt;K$26,J$25,K285&lt;K$27,J$26,K285&lt;K$28,J$27,K285&lt;K$29,J$28,K285&lt;K$30,J$29,K285&lt;K$31,J$30,K285&lt;K$32,J$31,K285&lt;K$33,J$32,K285&lt;K$34,J$33,K285&lt;K$35,J$34,K285&lt;K$36,J$35,K285&lt;K$37,J$36,K285&lt;K$38,J$37,K285&lt;K$39,J$38,K285&lt;K$40,J$39,K285&lt;K$41,J$40,K285&lt;K$42,J$41,K285&lt;K$43,J$42,K285&lt;K$44,J$43,K285&lt;K$45,J$44,K285&lt;K$46,J$45,K285&lt;K$47,J$46,K285&gt;=K$47,J$47)</f>
        <v/>
      </c>
      <c r="K285" s="38" t="n">
        <v>235</v>
      </c>
      <c r="L285" s="31">
        <f>K285/52</f>
        <v/>
      </c>
      <c r="M285" s="39">
        <f>J285/1000000*52</f>
        <v/>
      </c>
      <c r="N285" s="33">
        <f>M285/$P$4+($I$22/$P$4)</f>
        <v/>
      </c>
      <c r="U285">
        <f>F284</f>
        <v/>
      </c>
      <c r="V285">
        <f>H284</f>
        <v/>
      </c>
      <c r="W285">
        <f>N284</f>
        <v/>
      </c>
    </row>
    <row r="286" ht="15.75" customHeight="1" s="40">
      <c r="C286" s="36">
        <f>_xlfn.IFS(E286&lt;E$24,0,E286&lt;E$26,C$24,E286&lt;E$28,C$26,E286&lt;E$30,C$28,E286&lt;E$32,C$30,E286&lt;E$34,C$32,E286&gt;=E$34,C$34)</f>
        <v/>
      </c>
      <c r="D286" s="37">
        <f>_xlfn.IFS(E286&lt;E$24,0,E286&lt;E$25,D$24,E286&lt;E$26,D$25,E286&lt;E$27,D$26,E286&lt;E$28,D$27,E286&lt;E$29,D$28,E286&lt;E$30,D$29,E286&lt;E$31,D$30,E286&lt;E$32,D$31,E286&lt;E$33,D$32,E286&lt;E$34,D$33,E286&lt;E$35,D$34,E286&gt;=E$35,D$35)</f>
        <v/>
      </c>
      <c r="E286" s="38" t="n">
        <v>236</v>
      </c>
      <c r="F286" s="31">
        <f>E286/52</f>
        <v/>
      </c>
      <c r="G286" s="39">
        <f>D286/1000000*52</f>
        <v/>
      </c>
      <c r="H286" s="33">
        <f>G286/$P$4+($C$22/$P$4)</f>
        <v/>
      </c>
      <c r="I286" s="36">
        <f>_xlfn.IFS(K286&lt;K$24,0,K286&lt;K$26,I$24,K286&lt;K$28,I$26,K286&lt;K$30,I$28,K286&lt;K$32,I$30,K286&lt;K$34,I$32,K286&lt;K$36,I$34,K286&lt;K$38,I$36,K286&lt;K$40,I$38,K286&lt;K$42,I$40,K286&lt;K$44,I$42,K286&lt;K$46,I$44,K286&gt;=K$46,I$46)</f>
        <v/>
      </c>
      <c r="J286" s="37">
        <f>_xlfn.IFS(K286&lt;K$24,0,K286&lt;K$25,J$24,K286&lt;K$26,J$25,K286&lt;K$27,J$26,K286&lt;K$28,J$27,K286&lt;K$29,J$28,K286&lt;K$30,J$29,K286&lt;K$31,J$30,K286&lt;K$32,J$31,K286&lt;K$33,J$32,K286&lt;K$34,J$33,K286&lt;K$35,J$34,K286&lt;K$36,J$35,K286&lt;K$37,J$36,K286&lt;K$38,J$37,K286&lt;K$39,J$38,K286&lt;K$40,J$39,K286&lt;K$41,J$40,K286&lt;K$42,J$41,K286&lt;K$43,J$42,K286&lt;K$44,J$43,K286&lt;K$45,J$44,K286&lt;K$46,J$45,K286&lt;K$47,J$46,K286&gt;=K$47,J$47)</f>
        <v/>
      </c>
      <c r="K286" s="38" t="n">
        <v>236</v>
      </c>
      <c r="L286" s="31">
        <f>K286/52</f>
        <v/>
      </c>
      <c r="M286" s="39">
        <f>J286/1000000*52</f>
        <v/>
      </c>
      <c r="N286" s="33">
        <f>M286/$P$4+($I$22/$P$4)</f>
        <v/>
      </c>
      <c r="U286">
        <f>F285</f>
        <v/>
      </c>
      <c r="V286">
        <f>H285</f>
        <v/>
      </c>
      <c r="W286">
        <f>N285</f>
        <v/>
      </c>
    </row>
    <row r="287" ht="15.75" customHeight="1" s="40">
      <c r="C287" s="36">
        <f>_xlfn.IFS(E287&lt;E$24,0,E287&lt;E$26,C$24,E287&lt;E$28,C$26,E287&lt;E$30,C$28,E287&lt;E$32,C$30,E287&lt;E$34,C$32,E287&gt;=E$34,C$34)</f>
        <v/>
      </c>
      <c r="D287" s="37">
        <f>_xlfn.IFS(E287&lt;E$24,0,E287&lt;E$25,D$24,E287&lt;E$26,D$25,E287&lt;E$27,D$26,E287&lt;E$28,D$27,E287&lt;E$29,D$28,E287&lt;E$30,D$29,E287&lt;E$31,D$30,E287&lt;E$32,D$31,E287&lt;E$33,D$32,E287&lt;E$34,D$33,E287&lt;E$35,D$34,E287&gt;=E$35,D$35)</f>
        <v/>
      </c>
      <c r="E287" s="38" t="n">
        <v>237</v>
      </c>
      <c r="F287" s="31">
        <f>E287/52</f>
        <v/>
      </c>
      <c r="G287" s="39">
        <f>D287/1000000*52</f>
        <v/>
      </c>
      <c r="H287" s="33">
        <f>G287/$P$4+($C$22/$P$4)</f>
        <v/>
      </c>
      <c r="I287" s="36">
        <f>_xlfn.IFS(K287&lt;K$24,0,K287&lt;K$26,I$24,K287&lt;K$28,I$26,K287&lt;K$30,I$28,K287&lt;K$32,I$30,K287&lt;K$34,I$32,K287&lt;K$36,I$34,K287&lt;K$38,I$36,K287&lt;K$40,I$38,K287&lt;K$42,I$40,K287&lt;K$44,I$42,K287&lt;K$46,I$44,K287&gt;=K$46,I$46)</f>
        <v/>
      </c>
      <c r="J287" s="37">
        <f>_xlfn.IFS(K287&lt;K$24,0,K287&lt;K$25,J$24,K287&lt;K$26,J$25,K287&lt;K$27,J$26,K287&lt;K$28,J$27,K287&lt;K$29,J$28,K287&lt;K$30,J$29,K287&lt;K$31,J$30,K287&lt;K$32,J$31,K287&lt;K$33,J$32,K287&lt;K$34,J$33,K287&lt;K$35,J$34,K287&lt;K$36,J$35,K287&lt;K$37,J$36,K287&lt;K$38,J$37,K287&lt;K$39,J$38,K287&lt;K$40,J$39,K287&lt;K$41,J$40,K287&lt;K$42,J$41,K287&lt;K$43,J$42,K287&lt;K$44,J$43,K287&lt;K$45,J$44,K287&lt;K$46,J$45,K287&lt;K$47,J$46,K287&gt;=K$47,J$47)</f>
        <v/>
      </c>
      <c r="K287" s="38" t="n">
        <v>237</v>
      </c>
      <c r="L287" s="31">
        <f>K287/52</f>
        <v/>
      </c>
      <c r="M287" s="39">
        <f>J287/1000000*52</f>
        <v/>
      </c>
      <c r="N287" s="33">
        <f>M287/$P$4+($I$22/$P$4)</f>
        <v/>
      </c>
      <c r="U287">
        <f>F286</f>
        <v/>
      </c>
      <c r="V287">
        <f>H286</f>
        <v/>
      </c>
      <c r="W287">
        <f>N286</f>
        <v/>
      </c>
    </row>
    <row r="288" ht="15.75" customHeight="1" s="40">
      <c r="C288" s="36">
        <f>_xlfn.IFS(E288&lt;E$24,0,E288&lt;E$26,C$24,E288&lt;E$28,C$26,E288&lt;E$30,C$28,E288&lt;E$32,C$30,E288&lt;E$34,C$32,E288&gt;=E$34,C$34)</f>
        <v/>
      </c>
      <c r="D288" s="37">
        <f>_xlfn.IFS(E288&lt;E$24,0,E288&lt;E$25,D$24,E288&lt;E$26,D$25,E288&lt;E$27,D$26,E288&lt;E$28,D$27,E288&lt;E$29,D$28,E288&lt;E$30,D$29,E288&lt;E$31,D$30,E288&lt;E$32,D$31,E288&lt;E$33,D$32,E288&lt;E$34,D$33,E288&lt;E$35,D$34,E288&gt;=E$35,D$35)</f>
        <v/>
      </c>
      <c r="E288" s="38" t="n">
        <v>238</v>
      </c>
      <c r="F288" s="31">
        <f>E288/52</f>
        <v/>
      </c>
      <c r="G288" s="39">
        <f>D288/1000000*52</f>
        <v/>
      </c>
      <c r="H288" s="33">
        <f>G288/$P$4+($C$22/$P$4)</f>
        <v/>
      </c>
      <c r="I288" s="36">
        <f>_xlfn.IFS(K288&lt;K$24,0,K288&lt;K$26,I$24,K288&lt;K$28,I$26,K288&lt;K$30,I$28,K288&lt;K$32,I$30,K288&lt;K$34,I$32,K288&lt;K$36,I$34,K288&lt;K$38,I$36,K288&lt;K$40,I$38,K288&lt;K$42,I$40,K288&lt;K$44,I$42,K288&lt;K$46,I$44,K288&gt;=K$46,I$46)</f>
        <v/>
      </c>
      <c r="J288" s="37">
        <f>_xlfn.IFS(K288&lt;K$24,0,K288&lt;K$25,J$24,K288&lt;K$26,J$25,K288&lt;K$27,J$26,K288&lt;K$28,J$27,K288&lt;K$29,J$28,K288&lt;K$30,J$29,K288&lt;K$31,J$30,K288&lt;K$32,J$31,K288&lt;K$33,J$32,K288&lt;K$34,J$33,K288&lt;K$35,J$34,K288&lt;K$36,J$35,K288&lt;K$37,J$36,K288&lt;K$38,J$37,K288&lt;K$39,J$38,K288&lt;K$40,J$39,K288&lt;K$41,J$40,K288&lt;K$42,J$41,K288&lt;K$43,J$42,K288&lt;K$44,J$43,K288&lt;K$45,J$44,K288&lt;K$46,J$45,K288&lt;K$47,J$46,K288&gt;=K$47,J$47)</f>
        <v/>
      </c>
      <c r="K288" s="38" t="n">
        <v>238</v>
      </c>
      <c r="L288" s="31">
        <f>K288/52</f>
        <v/>
      </c>
      <c r="M288" s="39">
        <f>J288/1000000*52</f>
        <v/>
      </c>
      <c r="N288" s="33">
        <f>M288/$P$4+($I$22/$P$4)</f>
        <v/>
      </c>
      <c r="U288">
        <f>F287</f>
        <v/>
      </c>
      <c r="V288">
        <f>H287</f>
        <v/>
      </c>
      <c r="W288">
        <f>N287</f>
        <v/>
      </c>
    </row>
    <row r="289" ht="15.75" customHeight="1" s="40">
      <c r="C289" s="36">
        <f>_xlfn.IFS(E289&lt;E$24,0,E289&lt;E$26,C$24,E289&lt;E$28,C$26,E289&lt;E$30,C$28,E289&lt;E$32,C$30,E289&lt;E$34,C$32,E289&gt;=E$34,C$34)</f>
        <v/>
      </c>
      <c r="D289" s="37">
        <f>_xlfn.IFS(E289&lt;E$24,0,E289&lt;E$25,D$24,E289&lt;E$26,D$25,E289&lt;E$27,D$26,E289&lt;E$28,D$27,E289&lt;E$29,D$28,E289&lt;E$30,D$29,E289&lt;E$31,D$30,E289&lt;E$32,D$31,E289&lt;E$33,D$32,E289&lt;E$34,D$33,E289&lt;E$35,D$34,E289&gt;=E$35,D$35)</f>
        <v/>
      </c>
      <c r="E289" s="38" t="n">
        <v>239</v>
      </c>
      <c r="F289" s="31">
        <f>E289/52</f>
        <v/>
      </c>
      <c r="G289" s="39">
        <f>D289/1000000*52</f>
        <v/>
      </c>
      <c r="H289" s="33">
        <f>G289/$P$4+($C$22/$P$4)</f>
        <v/>
      </c>
      <c r="I289" s="36">
        <f>_xlfn.IFS(K289&lt;K$24,0,K289&lt;K$26,I$24,K289&lt;K$28,I$26,K289&lt;K$30,I$28,K289&lt;K$32,I$30,K289&lt;K$34,I$32,K289&lt;K$36,I$34,K289&lt;K$38,I$36,K289&lt;K$40,I$38,K289&lt;K$42,I$40,K289&lt;K$44,I$42,K289&lt;K$46,I$44,K289&gt;=K$46,I$46)</f>
        <v/>
      </c>
      <c r="J289" s="37">
        <f>_xlfn.IFS(K289&lt;K$24,0,K289&lt;K$25,J$24,K289&lt;K$26,J$25,K289&lt;K$27,J$26,K289&lt;K$28,J$27,K289&lt;K$29,J$28,K289&lt;K$30,J$29,K289&lt;K$31,J$30,K289&lt;K$32,J$31,K289&lt;K$33,J$32,K289&lt;K$34,J$33,K289&lt;K$35,J$34,K289&lt;K$36,J$35,K289&lt;K$37,J$36,K289&lt;K$38,J$37,K289&lt;K$39,J$38,K289&lt;K$40,J$39,K289&lt;K$41,J$40,K289&lt;K$42,J$41,K289&lt;K$43,J$42,K289&lt;K$44,J$43,K289&lt;K$45,J$44,K289&lt;K$46,J$45,K289&lt;K$47,J$46,K289&gt;=K$47,J$47)</f>
        <v/>
      </c>
      <c r="K289" s="38" t="n">
        <v>239</v>
      </c>
      <c r="L289" s="31">
        <f>K289/52</f>
        <v/>
      </c>
      <c r="M289" s="39">
        <f>J289/1000000*52</f>
        <v/>
      </c>
      <c r="N289" s="33">
        <f>M289/$P$4+($I$22/$P$4)</f>
        <v/>
      </c>
      <c r="U289">
        <f>F288</f>
        <v/>
      </c>
      <c r="V289">
        <f>H288</f>
        <v/>
      </c>
      <c r="W289">
        <f>N288</f>
        <v/>
      </c>
    </row>
    <row r="290" ht="15.75" customHeight="1" s="40">
      <c r="C290" s="36">
        <f>_xlfn.IFS(E290&lt;E$24,0,E290&lt;E$26,C$24,E290&lt;E$28,C$26,E290&lt;E$30,C$28,E290&lt;E$32,C$30,E290&lt;E$34,C$32,E290&gt;=E$34,C$34)</f>
        <v/>
      </c>
      <c r="D290" s="37">
        <f>_xlfn.IFS(E290&lt;E$24,0,E290&lt;E$25,D$24,E290&lt;E$26,D$25,E290&lt;E$27,D$26,E290&lt;E$28,D$27,E290&lt;E$29,D$28,E290&lt;E$30,D$29,E290&lt;E$31,D$30,E290&lt;E$32,D$31,E290&lt;E$33,D$32,E290&lt;E$34,D$33,E290&lt;E$35,D$34,E290&gt;=E$35,D$35)</f>
        <v/>
      </c>
      <c r="E290" s="38" t="n">
        <v>240</v>
      </c>
      <c r="F290" s="31">
        <f>E290/52</f>
        <v/>
      </c>
      <c r="G290" s="39">
        <f>D290/1000000*52</f>
        <v/>
      </c>
      <c r="H290" s="33">
        <f>G290/$P$4+($C$22/$P$4)</f>
        <v/>
      </c>
      <c r="I290" s="36">
        <f>_xlfn.IFS(K290&lt;K$24,0,K290&lt;K$26,I$24,K290&lt;K$28,I$26,K290&lt;K$30,I$28,K290&lt;K$32,I$30,K290&lt;K$34,I$32,K290&lt;K$36,I$34,K290&lt;K$38,I$36,K290&lt;K$40,I$38,K290&lt;K$42,I$40,K290&lt;K$44,I$42,K290&lt;K$46,I$44,K290&gt;=K$46,I$46)</f>
        <v/>
      </c>
      <c r="J290" s="37">
        <f>_xlfn.IFS(K290&lt;K$24,0,K290&lt;K$25,J$24,K290&lt;K$26,J$25,K290&lt;K$27,J$26,K290&lt;K$28,J$27,K290&lt;K$29,J$28,K290&lt;K$30,J$29,K290&lt;K$31,J$30,K290&lt;K$32,J$31,K290&lt;K$33,J$32,K290&lt;K$34,J$33,K290&lt;K$35,J$34,K290&lt;K$36,J$35,K290&lt;K$37,J$36,K290&lt;K$38,J$37,K290&lt;K$39,J$38,K290&lt;K$40,J$39,K290&lt;K$41,J$40,K290&lt;K$42,J$41,K290&lt;K$43,J$42,K290&lt;K$44,J$43,K290&lt;K$45,J$44,K290&lt;K$46,J$45,K290&lt;K$47,J$46,K290&gt;=K$47,J$47)</f>
        <v/>
      </c>
      <c r="K290" s="38" t="n">
        <v>240</v>
      </c>
      <c r="L290" s="31">
        <f>K290/52</f>
        <v/>
      </c>
      <c r="M290" s="39">
        <f>J290/1000000*52</f>
        <v/>
      </c>
      <c r="N290" s="33">
        <f>M290/$P$4+($I$22/$P$4)</f>
        <v/>
      </c>
      <c r="U290">
        <f>F289</f>
        <v/>
      </c>
      <c r="V290">
        <f>H289</f>
        <v/>
      </c>
      <c r="W290">
        <f>N289</f>
        <v/>
      </c>
    </row>
    <row r="291" ht="15.75" customHeight="1" s="40">
      <c r="C291" s="36">
        <f>_xlfn.IFS(E291&lt;E$24,0,E291&lt;E$26,C$24,E291&lt;E$28,C$26,E291&lt;E$30,C$28,E291&lt;E$32,C$30,E291&lt;E$34,C$32,E291&gt;=E$34,C$34)</f>
        <v/>
      </c>
      <c r="D291" s="37">
        <f>_xlfn.IFS(E291&lt;E$24,0,E291&lt;E$25,D$24,E291&lt;E$26,D$25,E291&lt;E$27,D$26,E291&lt;E$28,D$27,E291&lt;E$29,D$28,E291&lt;E$30,D$29,E291&lt;E$31,D$30,E291&lt;E$32,D$31,E291&lt;E$33,D$32,E291&lt;E$34,D$33,E291&lt;E$35,D$34,E291&gt;=E$35,D$35)</f>
        <v/>
      </c>
      <c r="E291" s="38" t="n">
        <v>241</v>
      </c>
      <c r="F291" s="31">
        <f>E291/52</f>
        <v/>
      </c>
      <c r="G291" s="39">
        <f>D291/1000000*52</f>
        <v/>
      </c>
      <c r="H291" s="33">
        <f>G291/$P$4+($C$22/$P$4)</f>
        <v/>
      </c>
      <c r="I291" s="36">
        <f>_xlfn.IFS(K291&lt;K$24,0,K291&lt;K$26,I$24,K291&lt;K$28,I$26,K291&lt;K$30,I$28,K291&lt;K$32,I$30,K291&lt;K$34,I$32,K291&lt;K$36,I$34,K291&lt;K$38,I$36,K291&lt;K$40,I$38,K291&lt;K$42,I$40,K291&lt;K$44,I$42,K291&lt;K$46,I$44,K291&gt;=K$46,I$46)</f>
        <v/>
      </c>
      <c r="J291" s="37">
        <f>_xlfn.IFS(K291&lt;K$24,0,K291&lt;K$25,J$24,K291&lt;K$26,J$25,K291&lt;K$27,J$26,K291&lt;K$28,J$27,K291&lt;K$29,J$28,K291&lt;K$30,J$29,K291&lt;K$31,J$30,K291&lt;K$32,J$31,K291&lt;K$33,J$32,K291&lt;K$34,J$33,K291&lt;K$35,J$34,K291&lt;K$36,J$35,K291&lt;K$37,J$36,K291&lt;K$38,J$37,K291&lt;K$39,J$38,K291&lt;K$40,J$39,K291&lt;K$41,J$40,K291&lt;K$42,J$41,K291&lt;K$43,J$42,K291&lt;K$44,J$43,K291&lt;K$45,J$44,K291&lt;K$46,J$45,K291&lt;K$47,J$46,K291&gt;=K$47,J$47)</f>
        <v/>
      </c>
      <c r="K291" s="38" t="n">
        <v>241</v>
      </c>
      <c r="L291" s="31">
        <f>K291/52</f>
        <v/>
      </c>
      <c r="M291" s="39">
        <f>J291/1000000*52</f>
        <v/>
      </c>
      <c r="N291" s="33">
        <f>M291/$P$4+($I$22/$P$4)</f>
        <v/>
      </c>
      <c r="U291">
        <f>F290</f>
        <v/>
      </c>
      <c r="V291">
        <f>H290</f>
        <v/>
      </c>
      <c r="W291">
        <f>N290</f>
        <v/>
      </c>
    </row>
    <row r="292" ht="15.75" customHeight="1" s="40">
      <c r="C292" s="36">
        <f>_xlfn.IFS(E292&lt;E$24,0,E292&lt;E$26,C$24,E292&lt;E$28,C$26,E292&lt;E$30,C$28,E292&lt;E$32,C$30,E292&lt;E$34,C$32,E292&gt;=E$34,C$34)</f>
        <v/>
      </c>
      <c r="D292" s="37">
        <f>_xlfn.IFS(E292&lt;E$24,0,E292&lt;E$25,D$24,E292&lt;E$26,D$25,E292&lt;E$27,D$26,E292&lt;E$28,D$27,E292&lt;E$29,D$28,E292&lt;E$30,D$29,E292&lt;E$31,D$30,E292&lt;E$32,D$31,E292&lt;E$33,D$32,E292&lt;E$34,D$33,E292&lt;E$35,D$34,E292&gt;=E$35,D$35)</f>
        <v/>
      </c>
      <c r="E292" s="38" t="n">
        <v>242</v>
      </c>
      <c r="F292" s="31">
        <f>E292/52</f>
        <v/>
      </c>
      <c r="G292" s="39">
        <f>D292/1000000*52</f>
        <v/>
      </c>
      <c r="H292" s="33">
        <f>G292/$P$4+($C$22/$P$4)</f>
        <v/>
      </c>
      <c r="I292" s="36">
        <f>_xlfn.IFS(K292&lt;K$24,0,K292&lt;K$26,I$24,K292&lt;K$28,I$26,K292&lt;K$30,I$28,K292&lt;K$32,I$30,K292&lt;K$34,I$32,K292&lt;K$36,I$34,K292&lt;K$38,I$36,K292&lt;K$40,I$38,K292&lt;K$42,I$40,K292&lt;K$44,I$42,K292&lt;K$46,I$44,K292&gt;=K$46,I$46)</f>
        <v/>
      </c>
      <c r="J292" s="37">
        <f>_xlfn.IFS(K292&lt;K$24,0,K292&lt;K$25,J$24,K292&lt;K$26,J$25,K292&lt;K$27,J$26,K292&lt;K$28,J$27,K292&lt;K$29,J$28,K292&lt;K$30,J$29,K292&lt;K$31,J$30,K292&lt;K$32,J$31,K292&lt;K$33,J$32,K292&lt;K$34,J$33,K292&lt;K$35,J$34,K292&lt;K$36,J$35,K292&lt;K$37,J$36,K292&lt;K$38,J$37,K292&lt;K$39,J$38,K292&lt;K$40,J$39,K292&lt;K$41,J$40,K292&lt;K$42,J$41,K292&lt;K$43,J$42,K292&lt;K$44,J$43,K292&lt;K$45,J$44,K292&lt;K$46,J$45,K292&lt;K$47,J$46,K292&gt;=K$47,J$47)</f>
        <v/>
      </c>
      <c r="K292" s="38" t="n">
        <v>242</v>
      </c>
      <c r="L292" s="31">
        <f>K292/52</f>
        <v/>
      </c>
      <c r="M292" s="39">
        <f>J292/1000000*52</f>
        <v/>
      </c>
      <c r="N292" s="33">
        <f>M292/$P$4+($I$22/$P$4)</f>
        <v/>
      </c>
      <c r="U292">
        <f>F291</f>
        <v/>
      </c>
      <c r="V292">
        <f>H291</f>
        <v/>
      </c>
      <c r="W292">
        <f>N291</f>
        <v/>
      </c>
    </row>
    <row r="293" ht="15.75" customHeight="1" s="40">
      <c r="C293" s="36">
        <f>_xlfn.IFS(E293&lt;E$24,0,E293&lt;E$26,C$24,E293&lt;E$28,C$26,E293&lt;E$30,C$28,E293&lt;E$32,C$30,E293&lt;E$34,C$32,E293&gt;=E$34,C$34)</f>
        <v/>
      </c>
      <c r="D293" s="37">
        <f>_xlfn.IFS(E293&lt;E$24,0,E293&lt;E$25,D$24,E293&lt;E$26,D$25,E293&lt;E$27,D$26,E293&lt;E$28,D$27,E293&lt;E$29,D$28,E293&lt;E$30,D$29,E293&lt;E$31,D$30,E293&lt;E$32,D$31,E293&lt;E$33,D$32,E293&lt;E$34,D$33,E293&lt;E$35,D$34,E293&gt;=E$35,D$35)</f>
        <v/>
      </c>
      <c r="E293" s="38" t="n">
        <v>243</v>
      </c>
      <c r="F293" s="31">
        <f>E293/52</f>
        <v/>
      </c>
      <c r="G293" s="39">
        <f>D293/1000000*52</f>
        <v/>
      </c>
      <c r="H293" s="33">
        <f>G293/$P$4+($C$22/$P$4)</f>
        <v/>
      </c>
      <c r="I293" s="36">
        <f>_xlfn.IFS(K293&lt;K$24,0,K293&lt;K$26,I$24,K293&lt;K$28,I$26,K293&lt;K$30,I$28,K293&lt;K$32,I$30,K293&lt;K$34,I$32,K293&lt;K$36,I$34,K293&lt;K$38,I$36,K293&lt;K$40,I$38,K293&lt;K$42,I$40,K293&lt;K$44,I$42,K293&lt;K$46,I$44,K293&gt;=K$46,I$46)</f>
        <v/>
      </c>
      <c r="J293" s="37">
        <f>_xlfn.IFS(K293&lt;K$24,0,K293&lt;K$25,J$24,K293&lt;K$26,J$25,K293&lt;K$27,J$26,K293&lt;K$28,J$27,K293&lt;K$29,J$28,K293&lt;K$30,J$29,K293&lt;K$31,J$30,K293&lt;K$32,J$31,K293&lt;K$33,J$32,K293&lt;K$34,J$33,K293&lt;K$35,J$34,K293&lt;K$36,J$35,K293&lt;K$37,J$36,K293&lt;K$38,J$37,K293&lt;K$39,J$38,K293&lt;K$40,J$39,K293&lt;K$41,J$40,K293&lt;K$42,J$41,K293&lt;K$43,J$42,K293&lt;K$44,J$43,K293&lt;K$45,J$44,K293&lt;K$46,J$45,K293&lt;K$47,J$46,K293&gt;=K$47,J$47)</f>
        <v/>
      </c>
      <c r="K293" s="38" t="n">
        <v>243</v>
      </c>
      <c r="L293" s="31">
        <f>K293/52</f>
        <v/>
      </c>
      <c r="M293" s="39">
        <f>J293/1000000*52</f>
        <v/>
      </c>
      <c r="N293" s="33">
        <f>M293/$P$4+($I$22/$P$4)</f>
        <v/>
      </c>
      <c r="U293">
        <f>F292</f>
        <v/>
      </c>
      <c r="V293">
        <f>H292</f>
        <v/>
      </c>
      <c r="W293">
        <f>N292</f>
        <v/>
      </c>
    </row>
    <row r="294" ht="15.75" customHeight="1" s="40">
      <c r="C294" s="36">
        <f>_xlfn.IFS(E294&lt;E$24,0,E294&lt;E$26,C$24,E294&lt;E$28,C$26,E294&lt;E$30,C$28,E294&lt;E$32,C$30,E294&lt;E$34,C$32,E294&gt;=E$34,C$34)</f>
        <v/>
      </c>
      <c r="D294" s="37">
        <f>_xlfn.IFS(E294&lt;E$24,0,E294&lt;E$25,D$24,E294&lt;E$26,D$25,E294&lt;E$27,D$26,E294&lt;E$28,D$27,E294&lt;E$29,D$28,E294&lt;E$30,D$29,E294&lt;E$31,D$30,E294&lt;E$32,D$31,E294&lt;E$33,D$32,E294&lt;E$34,D$33,E294&lt;E$35,D$34,E294&gt;=E$35,D$35)</f>
        <v/>
      </c>
      <c r="E294" s="38" t="n">
        <v>244</v>
      </c>
      <c r="F294" s="31">
        <f>E294/52</f>
        <v/>
      </c>
      <c r="G294" s="39">
        <f>D294/1000000*52</f>
        <v/>
      </c>
      <c r="H294" s="33">
        <f>G294/$P$4+($C$22/$P$4)</f>
        <v/>
      </c>
      <c r="I294" s="36">
        <f>_xlfn.IFS(K294&lt;K$24,0,K294&lt;K$26,I$24,K294&lt;K$28,I$26,K294&lt;K$30,I$28,K294&lt;K$32,I$30,K294&lt;K$34,I$32,K294&lt;K$36,I$34,K294&lt;K$38,I$36,K294&lt;K$40,I$38,K294&lt;K$42,I$40,K294&lt;K$44,I$42,K294&lt;K$46,I$44,K294&gt;=K$46,I$46)</f>
        <v/>
      </c>
      <c r="J294" s="37">
        <f>_xlfn.IFS(K294&lt;K$24,0,K294&lt;K$25,J$24,K294&lt;K$26,J$25,K294&lt;K$27,J$26,K294&lt;K$28,J$27,K294&lt;K$29,J$28,K294&lt;K$30,J$29,K294&lt;K$31,J$30,K294&lt;K$32,J$31,K294&lt;K$33,J$32,K294&lt;K$34,J$33,K294&lt;K$35,J$34,K294&lt;K$36,J$35,K294&lt;K$37,J$36,K294&lt;K$38,J$37,K294&lt;K$39,J$38,K294&lt;K$40,J$39,K294&lt;K$41,J$40,K294&lt;K$42,J$41,K294&lt;K$43,J$42,K294&lt;K$44,J$43,K294&lt;K$45,J$44,K294&lt;K$46,J$45,K294&lt;K$47,J$46,K294&gt;=K$47,J$47)</f>
        <v/>
      </c>
      <c r="K294" s="38" t="n">
        <v>244</v>
      </c>
      <c r="L294" s="31">
        <f>K294/52</f>
        <v/>
      </c>
      <c r="M294" s="39">
        <f>J294/1000000*52</f>
        <v/>
      </c>
      <c r="N294" s="33">
        <f>M294/$P$4+($I$22/$P$4)</f>
        <v/>
      </c>
      <c r="U294">
        <f>F293</f>
        <v/>
      </c>
      <c r="V294">
        <f>H293</f>
        <v/>
      </c>
      <c r="W294">
        <f>N293</f>
        <v/>
      </c>
    </row>
    <row r="295" ht="15.75" customHeight="1" s="40">
      <c r="C295" s="36">
        <f>_xlfn.IFS(E295&lt;E$24,0,E295&lt;E$26,C$24,E295&lt;E$28,C$26,E295&lt;E$30,C$28,E295&lt;E$32,C$30,E295&lt;E$34,C$32,E295&gt;=E$34,C$34)</f>
        <v/>
      </c>
      <c r="D295" s="37">
        <f>_xlfn.IFS(E295&lt;E$24,0,E295&lt;E$25,D$24,E295&lt;E$26,D$25,E295&lt;E$27,D$26,E295&lt;E$28,D$27,E295&lt;E$29,D$28,E295&lt;E$30,D$29,E295&lt;E$31,D$30,E295&lt;E$32,D$31,E295&lt;E$33,D$32,E295&lt;E$34,D$33,E295&lt;E$35,D$34,E295&gt;=E$35,D$35)</f>
        <v/>
      </c>
      <c r="E295" s="38" t="n">
        <v>245</v>
      </c>
      <c r="F295" s="31">
        <f>E295/52</f>
        <v/>
      </c>
      <c r="G295" s="39">
        <f>D295/1000000*52</f>
        <v/>
      </c>
      <c r="H295" s="33">
        <f>G295/$P$4+($C$22/$P$4)</f>
        <v/>
      </c>
      <c r="I295" s="36">
        <f>_xlfn.IFS(K295&lt;K$24,0,K295&lt;K$26,I$24,K295&lt;K$28,I$26,K295&lt;K$30,I$28,K295&lt;K$32,I$30,K295&lt;K$34,I$32,K295&lt;K$36,I$34,K295&lt;K$38,I$36,K295&lt;K$40,I$38,K295&lt;K$42,I$40,K295&lt;K$44,I$42,K295&lt;K$46,I$44,K295&gt;=K$46,I$46)</f>
        <v/>
      </c>
      <c r="J295" s="37">
        <f>_xlfn.IFS(K295&lt;K$24,0,K295&lt;K$25,J$24,K295&lt;K$26,J$25,K295&lt;K$27,J$26,K295&lt;K$28,J$27,K295&lt;K$29,J$28,K295&lt;K$30,J$29,K295&lt;K$31,J$30,K295&lt;K$32,J$31,K295&lt;K$33,J$32,K295&lt;K$34,J$33,K295&lt;K$35,J$34,K295&lt;K$36,J$35,K295&lt;K$37,J$36,K295&lt;K$38,J$37,K295&lt;K$39,J$38,K295&lt;K$40,J$39,K295&lt;K$41,J$40,K295&lt;K$42,J$41,K295&lt;K$43,J$42,K295&lt;K$44,J$43,K295&lt;K$45,J$44,K295&lt;K$46,J$45,K295&lt;K$47,J$46,K295&gt;=K$47,J$47)</f>
        <v/>
      </c>
      <c r="K295" s="38" t="n">
        <v>245</v>
      </c>
      <c r="L295" s="31">
        <f>K295/52</f>
        <v/>
      </c>
      <c r="M295" s="39">
        <f>J295/1000000*52</f>
        <v/>
      </c>
      <c r="N295" s="33">
        <f>M295/$P$4+($I$22/$P$4)</f>
        <v/>
      </c>
      <c r="U295">
        <f>F294</f>
        <v/>
      </c>
      <c r="V295">
        <f>H294</f>
        <v/>
      </c>
      <c r="W295">
        <f>N294</f>
        <v/>
      </c>
    </row>
    <row r="296" ht="15.75" customHeight="1" s="40">
      <c r="C296" s="36">
        <f>_xlfn.IFS(E296&lt;E$24,0,E296&lt;E$26,C$24,E296&lt;E$28,C$26,E296&lt;E$30,C$28,E296&lt;E$32,C$30,E296&lt;E$34,C$32,E296&gt;=E$34,C$34)</f>
        <v/>
      </c>
      <c r="D296" s="37">
        <f>_xlfn.IFS(E296&lt;E$24,0,E296&lt;E$25,D$24,E296&lt;E$26,D$25,E296&lt;E$27,D$26,E296&lt;E$28,D$27,E296&lt;E$29,D$28,E296&lt;E$30,D$29,E296&lt;E$31,D$30,E296&lt;E$32,D$31,E296&lt;E$33,D$32,E296&lt;E$34,D$33,E296&lt;E$35,D$34,E296&gt;=E$35,D$35)</f>
        <v/>
      </c>
      <c r="E296" s="38" t="n">
        <v>246</v>
      </c>
      <c r="F296" s="31">
        <f>E296/52</f>
        <v/>
      </c>
      <c r="G296" s="39">
        <f>D296/1000000*52</f>
        <v/>
      </c>
      <c r="H296" s="33">
        <f>G296/$P$4+($C$22/$P$4)</f>
        <v/>
      </c>
      <c r="I296" s="36">
        <f>_xlfn.IFS(K296&lt;K$24,0,K296&lt;K$26,I$24,K296&lt;K$28,I$26,K296&lt;K$30,I$28,K296&lt;K$32,I$30,K296&lt;K$34,I$32,K296&lt;K$36,I$34,K296&lt;K$38,I$36,K296&lt;K$40,I$38,K296&lt;K$42,I$40,K296&lt;K$44,I$42,K296&lt;K$46,I$44,K296&gt;=K$46,I$46)</f>
        <v/>
      </c>
      <c r="J296" s="37">
        <f>_xlfn.IFS(K296&lt;K$24,0,K296&lt;K$25,J$24,K296&lt;K$26,J$25,K296&lt;K$27,J$26,K296&lt;K$28,J$27,K296&lt;K$29,J$28,K296&lt;K$30,J$29,K296&lt;K$31,J$30,K296&lt;K$32,J$31,K296&lt;K$33,J$32,K296&lt;K$34,J$33,K296&lt;K$35,J$34,K296&lt;K$36,J$35,K296&lt;K$37,J$36,K296&lt;K$38,J$37,K296&lt;K$39,J$38,K296&lt;K$40,J$39,K296&lt;K$41,J$40,K296&lt;K$42,J$41,K296&lt;K$43,J$42,K296&lt;K$44,J$43,K296&lt;K$45,J$44,K296&lt;K$46,J$45,K296&lt;K$47,J$46,K296&gt;=K$47,J$47)</f>
        <v/>
      </c>
      <c r="K296" s="38" t="n">
        <v>246</v>
      </c>
      <c r="L296" s="31">
        <f>K296/52</f>
        <v/>
      </c>
      <c r="M296" s="39">
        <f>J296/1000000*52</f>
        <v/>
      </c>
      <c r="N296" s="33">
        <f>M296/$P$4+($I$22/$P$4)</f>
        <v/>
      </c>
      <c r="U296">
        <f>F295</f>
        <v/>
      </c>
      <c r="V296">
        <f>H295</f>
        <v/>
      </c>
      <c r="W296">
        <f>N295</f>
        <v/>
      </c>
    </row>
    <row r="297" ht="15.75" customHeight="1" s="40">
      <c r="C297" s="36">
        <f>_xlfn.IFS(E297&lt;E$24,0,E297&lt;E$26,C$24,E297&lt;E$28,C$26,E297&lt;E$30,C$28,E297&lt;E$32,C$30,E297&lt;E$34,C$32,E297&gt;=E$34,C$34)</f>
        <v/>
      </c>
      <c r="D297" s="37">
        <f>_xlfn.IFS(E297&lt;E$24,0,E297&lt;E$25,D$24,E297&lt;E$26,D$25,E297&lt;E$27,D$26,E297&lt;E$28,D$27,E297&lt;E$29,D$28,E297&lt;E$30,D$29,E297&lt;E$31,D$30,E297&lt;E$32,D$31,E297&lt;E$33,D$32,E297&lt;E$34,D$33,E297&lt;E$35,D$34,E297&gt;=E$35,D$35)</f>
        <v/>
      </c>
      <c r="E297" s="38" t="n">
        <v>247</v>
      </c>
      <c r="F297" s="31">
        <f>E297/52</f>
        <v/>
      </c>
      <c r="G297" s="39">
        <f>D297/1000000*52</f>
        <v/>
      </c>
      <c r="H297" s="33">
        <f>G297/$P$4+($C$22/$P$4)</f>
        <v/>
      </c>
      <c r="I297" s="36">
        <f>_xlfn.IFS(K297&lt;K$24,0,K297&lt;K$26,I$24,K297&lt;K$28,I$26,K297&lt;K$30,I$28,K297&lt;K$32,I$30,K297&lt;K$34,I$32,K297&lt;K$36,I$34,K297&lt;K$38,I$36,K297&lt;K$40,I$38,K297&lt;K$42,I$40,K297&lt;K$44,I$42,K297&lt;K$46,I$44,K297&gt;=K$46,I$46)</f>
        <v/>
      </c>
      <c r="J297" s="37">
        <f>_xlfn.IFS(K297&lt;K$24,0,K297&lt;K$25,J$24,K297&lt;K$26,J$25,K297&lt;K$27,J$26,K297&lt;K$28,J$27,K297&lt;K$29,J$28,K297&lt;K$30,J$29,K297&lt;K$31,J$30,K297&lt;K$32,J$31,K297&lt;K$33,J$32,K297&lt;K$34,J$33,K297&lt;K$35,J$34,K297&lt;K$36,J$35,K297&lt;K$37,J$36,K297&lt;K$38,J$37,K297&lt;K$39,J$38,K297&lt;K$40,J$39,K297&lt;K$41,J$40,K297&lt;K$42,J$41,K297&lt;K$43,J$42,K297&lt;K$44,J$43,K297&lt;K$45,J$44,K297&lt;K$46,J$45,K297&lt;K$47,J$46,K297&gt;=K$47,J$47)</f>
        <v/>
      </c>
      <c r="K297" s="38" t="n">
        <v>247</v>
      </c>
      <c r="L297" s="31">
        <f>K297/52</f>
        <v/>
      </c>
      <c r="M297" s="39">
        <f>J297/1000000*52</f>
        <v/>
      </c>
      <c r="N297" s="33">
        <f>M297/$P$4+($I$22/$P$4)</f>
        <v/>
      </c>
      <c r="U297">
        <f>F296</f>
        <v/>
      </c>
      <c r="V297">
        <f>H296</f>
        <v/>
      </c>
      <c r="W297">
        <f>N296</f>
        <v/>
      </c>
    </row>
    <row r="298" ht="15.75" customHeight="1" s="40">
      <c r="C298" s="36">
        <f>_xlfn.IFS(E298&lt;E$24,0,E298&lt;E$26,C$24,E298&lt;E$28,C$26,E298&lt;E$30,C$28,E298&lt;E$32,C$30,E298&lt;E$34,C$32,E298&gt;=E$34,C$34)</f>
        <v/>
      </c>
      <c r="D298" s="37">
        <f>_xlfn.IFS(E298&lt;E$24,0,E298&lt;E$25,D$24,E298&lt;E$26,D$25,E298&lt;E$27,D$26,E298&lt;E$28,D$27,E298&lt;E$29,D$28,E298&lt;E$30,D$29,E298&lt;E$31,D$30,E298&lt;E$32,D$31,E298&lt;E$33,D$32,E298&lt;E$34,D$33,E298&lt;E$35,D$34,E298&gt;=E$35,D$35)</f>
        <v/>
      </c>
      <c r="E298" s="38" t="n">
        <v>248</v>
      </c>
      <c r="F298" s="31">
        <f>E298/52</f>
        <v/>
      </c>
      <c r="G298" s="39">
        <f>D298/1000000*52</f>
        <v/>
      </c>
      <c r="H298" s="33">
        <f>G298/$P$4+($C$22/$P$4)</f>
        <v/>
      </c>
      <c r="I298" s="36">
        <f>_xlfn.IFS(K298&lt;K$24,0,K298&lt;K$26,I$24,K298&lt;K$28,I$26,K298&lt;K$30,I$28,K298&lt;K$32,I$30,K298&lt;K$34,I$32,K298&lt;K$36,I$34,K298&lt;K$38,I$36,K298&lt;K$40,I$38,K298&lt;K$42,I$40,K298&lt;K$44,I$42,K298&lt;K$46,I$44,K298&gt;=K$46,I$46)</f>
        <v/>
      </c>
      <c r="J298" s="37">
        <f>_xlfn.IFS(K298&lt;K$24,0,K298&lt;K$25,J$24,K298&lt;K$26,J$25,K298&lt;K$27,J$26,K298&lt;K$28,J$27,K298&lt;K$29,J$28,K298&lt;K$30,J$29,K298&lt;K$31,J$30,K298&lt;K$32,J$31,K298&lt;K$33,J$32,K298&lt;K$34,J$33,K298&lt;K$35,J$34,K298&lt;K$36,J$35,K298&lt;K$37,J$36,K298&lt;K$38,J$37,K298&lt;K$39,J$38,K298&lt;K$40,J$39,K298&lt;K$41,J$40,K298&lt;K$42,J$41,K298&lt;K$43,J$42,K298&lt;K$44,J$43,K298&lt;K$45,J$44,K298&lt;K$46,J$45,K298&lt;K$47,J$46,K298&gt;=K$47,J$47)</f>
        <v/>
      </c>
      <c r="K298" s="38" t="n">
        <v>248</v>
      </c>
      <c r="L298" s="31">
        <f>K298/52</f>
        <v/>
      </c>
      <c r="M298" s="39">
        <f>J298/1000000*52</f>
        <v/>
      </c>
      <c r="N298" s="33">
        <f>M298/$P$4+($I$22/$P$4)</f>
        <v/>
      </c>
      <c r="U298">
        <f>F297</f>
        <v/>
      </c>
      <c r="V298">
        <f>H297</f>
        <v/>
      </c>
      <c r="W298">
        <f>N297</f>
        <v/>
      </c>
    </row>
    <row r="299" ht="15.75" customHeight="1" s="40">
      <c r="C299" s="36">
        <f>_xlfn.IFS(E299&lt;E$24,0,E299&lt;E$26,C$24,E299&lt;E$28,C$26,E299&lt;E$30,C$28,E299&lt;E$32,C$30,E299&lt;E$34,C$32,E299&gt;=E$34,C$34)</f>
        <v/>
      </c>
      <c r="D299" s="37">
        <f>_xlfn.IFS(E299&lt;E$24,0,E299&lt;E$25,D$24,E299&lt;E$26,D$25,E299&lt;E$27,D$26,E299&lt;E$28,D$27,E299&lt;E$29,D$28,E299&lt;E$30,D$29,E299&lt;E$31,D$30,E299&lt;E$32,D$31,E299&lt;E$33,D$32,E299&lt;E$34,D$33,E299&lt;E$35,D$34,E299&gt;=E$35,D$35)</f>
        <v/>
      </c>
      <c r="E299" s="38" t="n">
        <v>249</v>
      </c>
      <c r="F299" s="31">
        <f>E299/52</f>
        <v/>
      </c>
      <c r="G299" s="39">
        <f>D299/1000000*52</f>
        <v/>
      </c>
      <c r="H299" s="33">
        <f>G299/$P$4+($C$22/$P$4)</f>
        <v/>
      </c>
      <c r="I299" s="36">
        <f>_xlfn.IFS(K299&lt;K$24,0,K299&lt;K$26,I$24,K299&lt;K$28,I$26,K299&lt;K$30,I$28,K299&lt;K$32,I$30,K299&lt;K$34,I$32,K299&lt;K$36,I$34,K299&lt;K$38,I$36,K299&lt;K$40,I$38,K299&lt;K$42,I$40,K299&lt;K$44,I$42,K299&lt;K$46,I$44,K299&gt;=K$46,I$46)</f>
        <v/>
      </c>
      <c r="J299" s="37">
        <f>_xlfn.IFS(K299&lt;K$24,0,K299&lt;K$25,J$24,K299&lt;K$26,J$25,K299&lt;K$27,J$26,K299&lt;K$28,J$27,K299&lt;K$29,J$28,K299&lt;K$30,J$29,K299&lt;K$31,J$30,K299&lt;K$32,J$31,K299&lt;K$33,J$32,K299&lt;K$34,J$33,K299&lt;K$35,J$34,K299&lt;K$36,J$35,K299&lt;K$37,J$36,K299&lt;K$38,J$37,K299&lt;K$39,J$38,K299&lt;K$40,J$39,K299&lt;K$41,J$40,K299&lt;K$42,J$41,K299&lt;K$43,J$42,K299&lt;K$44,J$43,K299&lt;K$45,J$44,K299&lt;K$46,J$45,K299&lt;K$47,J$46,K299&gt;=K$47,J$47)</f>
        <v/>
      </c>
      <c r="K299" s="38" t="n">
        <v>249</v>
      </c>
      <c r="L299" s="31">
        <f>K299/52</f>
        <v/>
      </c>
      <c r="M299" s="39">
        <f>J299/1000000*52</f>
        <v/>
      </c>
      <c r="N299" s="33">
        <f>M299/$P$4+($I$22/$P$4)</f>
        <v/>
      </c>
      <c r="U299">
        <f>F298</f>
        <v/>
      </c>
      <c r="V299">
        <f>H298</f>
        <v/>
      </c>
      <c r="W299">
        <f>N298</f>
        <v/>
      </c>
    </row>
    <row r="300" ht="15.75" customHeight="1" s="40">
      <c r="C300" s="36">
        <f>_xlfn.IFS(E300&lt;E$24,0,E300&lt;E$26,C$24,E300&lt;E$28,C$26,E300&lt;E$30,C$28,E300&lt;E$32,C$30,E300&lt;E$34,C$32,E300&gt;=E$34,C$34)</f>
        <v/>
      </c>
      <c r="D300" s="37">
        <f>_xlfn.IFS(E300&lt;E$24,0,E300&lt;E$25,D$24,E300&lt;E$26,D$25,E300&lt;E$27,D$26,E300&lt;E$28,D$27,E300&lt;E$29,D$28,E300&lt;E$30,D$29,E300&lt;E$31,D$30,E300&lt;E$32,D$31,E300&lt;E$33,D$32,E300&lt;E$34,D$33,E300&lt;E$35,D$34,E300&gt;=E$35,D$35)</f>
        <v/>
      </c>
      <c r="E300" s="38" t="n">
        <v>250</v>
      </c>
      <c r="F300" s="31">
        <f>E300/52</f>
        <v/>
      </c>
      <c r="G300" s="39">
        <f>D300/1000000*52</f>
        <v/>
      </c>
      <c r="H300" s="33">
        <f>G300/$P$4+($C$22/$P$4)</f>
        <v/>
      </c>
      <c r="I300" s="36">
        <f>_xlfn.IFS(K300&lt;K$24,0,K300&lt;K$26,I$24,K300&lt;K$28,I$26,K300&lt;K$30,I$28,K300&lt;K$32,I$30,K300&lt;K$34,I$32,K300&lt;K$36,I$34,K300&lt;K$38,I$36,K300&lt;K$40,I$38,K300&lt;K$42,I$40,K300&lt;K$44,I$42,K300&lt;K$46,I$44,K300&gt;=K$46,I$46)</f>
        <v/>
      </c>
      <c r="J300" s="37">
        <f>_xlfn.IFS(K300&lt;K$24,0,K300&lt;K$25,J$24,K300&lt;K$26,J$25,K300&lt;K$27,J$26,K300&lt;K$28,J$27,K300&lt;K$29,J$28,K300&lt;K$30,J$29,K300&lt;K$31,J$30,K300&lt;K$32,J$31,K300&lt;K$33,J$32,K300&lt;K$34,J$33,K300&lt;K$35,J$34,K300&lt;K$36,J$35,K300&lt;K$37,J$36,K300&lt;K$38,J$37,K300&lt;K$39,J$38,K300&lt;K$40,J$39,K300&lt;K$41,J$40,K300&lt;K$42,J$41,K300&lt;K$43,J$42,K300&lt;K$44,J$43,K300&lt;K$45,J$44,K300&lt;K$46,J$45,K300&lt;K$47,J$46,K300&gt;=K$47,J$47)</f>
        <v/>
      </c>
      <c r="K300" s="38" t="n">
        <v>250</v>
      </c>
      <c r="L300" s="31">
        <f>K300/52</f>
        <v/>
      </c>
      <c r="M300" s="39">
        <f>J300/1000000*52</f>
        <v/>
      </c>
      <c r="N300" s="33">
        <f>M300/$P$4+($I$22/$P$4)</f>
        <v/>
      </c>
      <c r="U300">
        <f>F299</f>
        <v/>
      </c>
      <c r="V300">
        <f>H299</f>
        <v/>
      </c>
      <c r="W300">
        <f>N299</f>
        <v/>
      </c>
    </row>
    <row r="301" ht="15.75" customHeight="1" s="40">
      <c r="C301" s="36">
        <f>_xlfn.IFS(E301&lt;E$24,0,E301&lt;E$26,C$24,E301&lt;E$28,C$26,E301&lt;E$30,C$28,E301&lt;E$32,C$30,E301&lt;E$34,C$32,E301&gt;=E$34,C$34)</f>
        <v/>
      </c>
      <c r="D301" s="37">
        <f>_xlfn.IFS(E301&lt;E$24,0,E301&lt;E$25,D$24,E301&lt;E$26,D$25,E301&lt;E$27,D$26,E301&lt;E$28,D$27,E301&lt;E$29,D$28,E301&lt;E$30,D$29,E301&lt;E$31,D$30,E301&lt;E$32,D$31,E301&lt;E$33,D$32,E301&lt;E$34,D$33,E301&lt;E$35,D$34,E301&gt;=E$35,D$35)</f>
        <v/>
      </c>
      <c r="E301" s="38" t="n">
        <v>251</v>
      </c>
      <c r="F301" s="31">
        <f>E301/52</f>
        <v/>
      </c>
      <c r="G301" s="39">
        <f>D301/1000000*52</f>
        <v/>
      </c>
      <c r="H301" s="33">
        <f>G301/$P$4+($C$22/$P$4)</f>
        <v/>
      </c>
      <c r="I301" s="36">
        <f>_xlfn.IFS(K301&lt;K$24,0,K301&lt;K$26,I$24,K301&lt;K$28,I$26,K301&lt;K$30,I$28,K301&lt;K$32,I$30,K301&lt;K$34,I$32,K301&lt;K$36,I$34,K301&lt;K$38,I$36,K301&lt;K$40,I$38,K301&lt;K$42,I$40,K301&lt;K$44,I$42,K301&lt;K$46,I$44,K301&gt;=K$46,I$46)</f>
        <v/>
      </c>
      <c r="J301" s="37">
        <f>_xlfn.IFS(K301&lt;K$24,0,K301&lt;K$25,J$24,K301&lt;K$26,J$25,K301&lt;K$27,J$26,K301&lt;K$28,J$27,K301&lt;K$29,J$28,K301&lt;K$30,J$29,K301&lt;K$31,J$30,K301&lt;K$32,J$31,K301&lt;K$33,J$32,K301&lt;K$34,J$33,K301&lt;K$35,J$34,K301&lt;K$36,J$35,K301&lt;K$37,J$36,K301&lt;K$38,J$37,K301&lt;K$39,J$38,K301&lt;K$40,J$39,K301&lt;K$41,J$40,K301&lt;K$42,J$41,K301&lt;K$43,J$42,K301&lt;K$44,J$43,K301&lt;K$45,J$44,K301&lt;K$46,J$45,K301&lt;K$47,J$46,K301&gt;=K$47,J$47)</f>
        <v/>
      </c>
      <c r="K301" s="38" t="n">
        <v>251</v>
      </c>
      <c r="L301" s="31">
        <f>K301/52</f>
        <v/>
      </c>
      <c r="M301" s="39">
        <f>J301/1000000*52</f>
        <v/>
      </c>
      <c r="N301" s="33">
        <f>M301/$P$4+($I$22/$P$4)</f>
        <v/>
      </c>
      <c r="U301">
        <f>F300</f>
        <v/>
      </c>
      <c r="V301">
        <f>H300</f>
        <v/>
      </c>
      <c r="W301">
        <f>N300</f>
        <v/>
      </c>
    </row>
    <row r="302" ht="15.75" customHeight="1" s="40">
      <c r="C302" s="36">
        <f>_xlfn.IFS(E302&lt;E$24,0,E302&lt;E$26,C$24,E302&lt;E$28,C$26,E302&lt;E$30,C$28,E302&lt;E$32,C$30,E302&lt;E$34,C$32,E302&gt;=E$34,C$34)</f>
        <v/>
      </c>
      <c r="D302" s="37">
        <f>_xlfn.IFS(E302&lt;E$24,0,E302&lt;E$25,D$24,E302&lt;E$26,D$25,E302&lt;E$27,D$26,E302&lt;E$28,D$27,E302&lt;E$29,D$28,E302&lt;E$30,D$29,E302&lt;E$31,D$30,E302&lt;E$32,D$31,E302&lt;E$33,D$32,E302&lt;E$34,D$33,E302&lt;E$35,D$34,E302&gt;=E$35,D$35)</f>
        <v/>
      </c>
      <c r="E302" s="38" t="n">
        <v>252</v>
      </c>
      <c r="F302" s="31">
        <f>E302/52</f>
        <v/>
      </c>
      <c r="G302" s="39">
        <f>D302/1000000*52</f>
        <v/>
      </c>
      <c r="H302" s="33">
        <f>G302/$P$4+($C$22/$P$4)</f>
        <v/>
      </c>
      <c r="I302" s="36">
        <f>_xlfn.IFS(K302&lt;K$24,0,K302&lt;K$26,I$24,K302&lt;K$28,I$26,K302&lt;K$30,I$28,K302&lt;K$32,I$30,K302&lt;K$34,I$32,K302&lt;K$36,I$34,K302&lt;K$38,I$36,K302&lt;K$40,I$38,K302&lt;K$42,I$40,K302&lt;K$44,I$42,K302&lt;K$46,I$44,K302&gt;=K$46,I$46)</f>
        <v/>
      </c>
      <c r="J302" s="37">
        <f>_xlfn.IFS(K302&lt;K$24,0,K302&lt;K$25,J$24,K302&lt;K$26,J$25,K302&lt;K$27,J$26,K302&lt;K$28,J$27,K302&lt;K$29,J$28,K302&lt;K$30,J$29,K302&lt;K$31,J$30,K302&lt;K$32,J$31,K302&lt;K$33,J$32,K302&lt;K$34,J$33,K302&lt;K$35,J$34,K302&lt;K$36,J$35,K302&lt;K$37,J$36,K302&lt;K$38,J$37,K302&lt;K$39,J$38,K302&lt;K$40,J$39,K302&lt;K$41,J$40,K302&lt;K$42,J$41,K302&lt;K$43,J$42,K302&lt;K$44,J$43,K302&lt;K$45,J$44,K302&lt;K$46,J$45,K302&lt;K$47,J$46,K302&gt;=K$47,J$47)</f>
        <v/>
      </c>
      <c r="K302" s="38" t="n">
        <v>252</v>
      </c>
      <c r="L302" s="31">
        <f>K302/52</f>
        <v/>
      </c>
      <c r="M302" s="39">
        <f>J302/1000000*52</f>
        <v/>
      </c>
      <c r="N302" s="33">
        <f>M302/$P$4+($I$22/$P$4)</f>
        <v/>
      </c>
      <c r="U302">
        <f>F301</f>
        <v/>
      </c>
      <c r="V302">
        <f>H301</f>
        <v/>
      </c>
      <c r="W302">
        <f>N301</f>
        <v/>
      </c>
    </row>
    <row r="303" ht="15.75" customHeight="1" s="40">
      <c r="C303" s="36">
        <f>_xlfn.IFS(E303&lt;E$24,0,E303&lt;E$26,C$24,E303&lt;E$28,C$26,E303&lt;E$30,C$28,E303&lt;E$32,C$30,E303&lt;E$34,C$32,E303&gt;=E$34,C$34)</f>
        <v/>
      </c>
      <c r="D303" s="37">
        <f>_xlfn.IFS(E303&lt;E$24,0,E303&lt;E$25,D$24,E303&lt;E$26,D$25,E303&lt;E$27,D$26,E303&lt;E$28,D$27,E303&lt;E$29,D$28,E303&lt;E$30,D$29,E303&lt;E$31,D$30,E303&lt;E$32,D$31,E303&lt;E$33,D$32,E303&lt;E$34,D$33,E303&lt;E$35,D$34,E303&gt;=E$35,D$35)</f>
        <v/>
      </c>
      <c r="E303" s="38" t="n">
        <v>253</v>
      </c>
      <c r="F303" s="31">
        <f>E303/52</f>
        <v/>
      </c>
      <c r="G303" s="39">
        <f>D303/1000000*52</f>
        <v/>
      </c>
      <c r="H303" s="33">
        <f>G303/$P$4+($C$22/$P$4)</f>
        <v/>
      </c>
      <c r="I303" s="36">
        <f>_xlfn.IFS(K303&lt;K$24,0,K303&lt;K$26,I$24,K303&lt;K$28,I$26,K303&lt;K$30,I$28,K303&lt;K$32,I$30,K303&lt;K$34,I$32,K303&lt;K$36,I$34,K303&lt;K$38,I$36,K303&lt;K$40,I$38,K303&lt;K$42,I$40,K303&lt;K$44,I$42,K303&lt;K$46,I$44,K303&gt;=K$46,I$46)</f>
        <v/>
      </c>
      <c r="J303" s="37">
        <f>_xlfn.IFS(K303&lt;K$24,0,K303&lt;K$25,J$24,K303&lt;K$26,J$25,K303&lt;K$27,J$26,K303&lt;K$28,J$27,K303&lt;K$29,J$28,K303&lt;K$30,J$29,K303&lt;K$31,J$30,K303&lt;K$32,J$31,K303&lt;K$33,J$32,K303&lt;K$34,J$33,K303&lt;K$35,J$34,K303&lt;K$36,J$35,K303&lt;K$37,J$36,K303&lt;K$38,J$37,K303&lt;K$39,J$38,K303&lt;K$40,J$39,K303&lt;K$41,J$40,K303&lt;K$42,J$41,K303&lt;K$43,J$42,K303&lt;K$44,J$43,K303&lt;K$45,J$44,K303&lt;K$46,J$45,K303&lt;K$47,J$46,K303&gt;=K$47,J$47)</f>
        <v/>
      </c>
      <c r="K303" s="38" t="n">
        <v>253</v>
      </c>
      <c r="L303" s="31">
        <f>K303/52</f>
        <v/>
      </c>
      <c r="M303" s="39">
        <f>J303/1000000*52</f>
        <v/>
      </c>
      <c r="N303" s="33">
        <f>M303/$P$4+($I$22/$P$4)</f>
        <v/>
      </c>
      <c r="U303">
        <f>F302</f>
        <v/>
      </c>
      <c r="V303">
        <f>H302</f>
        <v/>
      </c>
      <c r="W303">
        <f>N302</f>
        <v/>
      </c>
    </row>
    <row r="304" ht="15.75" customHeight="1" s="40">
      <c r="C304" s="36">
        <f>_xlfn.IFS(E304&lt;E$24,0,E304&lt;E$26,C$24,E304&lt;E$28,C$26,E304&lt;E$30,C$28,E304&lt;E$32,C$30,E304&lt;E$34,C$32,E304&gt;=E$34,C$34)</f>
        <v/>
      </c>
      <c r="D304" s="37">
        <f>_xlfn.IFS(E304&lt;E$24,0,E304&lt;E$25,D$24,E304&lt;E$26,D$25,E304&lt;E$27,D$26,E304&lt;E$28,D$27,E304&lt;E$29,D$28,E304&lt;E$30,D$29,E304&lt;E$31,D$30,E304&lt;E$32,D$31,E304&lt;E$33,D$32,E304&lt;E$34,D$33,E304&lt;E$35,D$34,E304&gt;=E$35,D$35)</f>
        <v/>
      </c>
      <c r="E304" s="38" t="n">
        <v>254</v>
      </c>
      <c r="F304" s="31">
        <f>E304/52</f>
        <v/>
      </c>
      <c r="G304" s="39">
        <f>D304/1000000*52</f>
        <v/>
      </c>
      <c r="H304" s="33">
        <f>G304/$P$4+($C$22/$P$4)</f>
        <v/>
      </c>
      <c r="I304" s="36">
        <f>_xlfn.IFS(K304&lt;K$24,0,K304&lt;K$26,I$24,K304&lt;K$28,I$26,K304&lt;K$30,I$28,K304&lt;K$32,I$30,K304&lt;K$34,I$32,K304&lt;K$36,I$34,K304&lt;K$38,I$36,K304&lt;K$40,I$38,K304&lt;K$42,I$40,K304&lt;K$44,I$42,K304&lt;K$46,I$44,K304&gt;=K$46,I$46)</f>
        <v/>
      </c>
      <c r="J304" s="37">
        <f>_xlfn.IFS(K304&lt;K$24,0,K304&lt;K$25,J$24,K304&lt;K$26,J$25,K304&lt;K$27,J$26,K304&lt;K$28,J$27,K304&lt;K$29,J$28,K304&lt;K$30,J$29,K304&lt;K$31,J$30,K304&lt;K$32,J$31,K304&lt;K$33,J$32,K304&lt;K$34,J$33,K304&lt;K$35,J$34,K304&lt;K$36,J$35,K304&lt;K$37,J$36,K304&lt;K$38,J$37,K304&lt;K$39,J$38,K304&lt;K$40,J$39,K304&lt;K$41,J$40,K304&lt;K$42,J$41,K304&lt;K$43,J$42,K304&lt;K$44,J$43,K304&lt;K$45,J$44,K304&lt;K$46,J$45,K304&lt;K$47,J$46,K304&gt;=K$47,J$47)</f>
        <v/>
      </c>
      <c r="K304" s="38" t="n">
        <v>254</v>
      </c>
      <c r="L304" s="31">
        <f>K304/52</f>
        <v/>
      </c>
      <c r="M304" s="39">
        <f>J304/1000000*52</f>
        <v/>
      </c>
      <c r="N304" s="33">
        <f>M304/$P$4+($I$22/$P$4)</f>
        <v/>
      </c>
      <c r="U304">
        <f>F303</f>
        <v/>
      </c>
      <c r="V304">
        <f>H303</f>
        <v/>
      </c>
      <c r="W304">
        <f>N303</f>
        <v/>
      </c>
    </row>
    <row r="305" ht="15.75" customHeight="1" s="40">
      <c r="C305" s="36">
        <f>_xlfn.IFS(E305&lt;E$24,0,E305&lt;E$26,C$24,E305&lt;E$28,C$26,E305&lt;E$30,C$28,E305&lt;E$32,C$30,E305&lt;E$34,C$32,E305&gt;=E$34,C$34)</f>
        <v/>
      </c>
      <c r="D305" s="37">
        <f>_xlfn.IFS(E305&lt;E$24,0,E305&lt;E$25,D$24,E305&lt;E$26,D$25,E305&lt;E$27,D$26,E305&lt;E$28,D$27,E305&lt;E$29,D$28,E305&lt;E$30,D$29,E305&lt;E$31,D$30,E305&lt;E$32,D$31,E305&lt;E$33,D$32,E305&lt;E$34,D$33,E305&lt;E$35,D$34,E305&gt;=E$35,D$35)</f>
        <v/>
      </c>
      <c r="E305" s="38" t="n">
        <v>255</v>
      </c>
      <c r="F305" s="31">
        <f>E305/52</f>
        <v/>
      </c>
      <c r="G305" s="39">
        <f>D305/1000000*52</f>
        <v/>
      </c>
      <c r="H305" s="33">
        <f>G305/$P$4+($C$22/$P$4)</f>
        <v/>
      </c>
      <c r="I305" s="36">
        <f>_xlfn.IFS(K305&lt;K$24,0,K305&lt;K$26,I$24,K305&lt;K$28,I$26,K305&lt;K$30,I$28,K305&lt;K$32,I$30,K305&lt;K$34,I$32,K305&lt;K$36,I$34,K305&lt;K$38,I$36,K305&lt;K$40,I$38,K305&lt;K$42,I$40,K305&lt;K$44,I$42,K305&lt;K$46,I$44,K305&gt;=K$46,I$46)</f>
        <v/>
      </c>
      <c r="J305" s="37">
        <f>_xlfn.IFS(K305&lt;K$24,0,K305&lt;K$25,J$24,K305&lt;K$26,J$25,K305&lt;K$27,J$26,K305&lt;K$28,J$27,K305&lt;K$29,J$28,K305&lt;K$30,J$29,K305&lt;K$31,J$30,K305&lt;K$32,J$31,K305&lt;K$33,J$32,K305&lt;K$34,J$33,K305&lt;K$35,J$34,K305&lt;K$36,J$35,K305&lt;K$37,J$36,K305&lt;K$38,J$37,K305&lt;K$39,J$38,K305&lt;K$40,J$39,K305&lt;K$41,J$40,K305&lt;K$42,J$41,K305&lt;K$43,J$42,K305&lt;K$44,J$43,K305&lt;K$45,J$44,K305&lt;K$46,J$45,K305&lt;K$47,J$46,K305&gt;=K$47,J$47)</f>
        <v/>
      </c>
      <c r="K305" s="38" t="n">
        <v>255</v>
      </c>
      <c r="L305" s="31">
        <f>K305/52</f>
        <v/>
      </c>
      <c r="M305" s="39">
        <f>J305/1000000*52</f>
        <v/>
      </c>
      <c r="N305" s="33">
        <f>M305/$P$4+($I$22/$P$4)</f>
        <v/>
      </c>
      <c r="U305">
        <f>F304</f>
        <v/>
      </c>
      <c r="V305">
        <f>H304</f>
        <v/>
      </c>
      <c r="W305">
        <f>N304</f>
        <v/>
      </c>
    </row>
    <row r="306" ht="15.75" customHeight="1" s="40">
      <c r="C306" s="36">
        <f>_xlfn.IFS(E306&lt;E$24,0,E306&lt;E$26,C$24,E306&lt;E$28,C$26,E306&lt;E$30,C$28,E306&lt;E$32,C$30,E306&lt;E$34,C$32,E306&gt;=E$34,C$34)</f>
        <v/>
      </c>
      <c r="D306" s="37">
        <f>_xlfn.IFS(E306&lt;E$24,0,E306&lt;E$25,D$24,E306&lt;E$26,D$25,E306&lt;E$27,D$26,E306&lt;E$28,D$27,E306&lt;E$29,D$28,E306&lt;E$30,D$29,E306&lt;E$31,D$30,E306&lt;E$32,D$31,E306&lt;E$33,D$32,E306&lt;E$34,D$33,E306&lt;E$35,D$34,E306&gt;=E$35,D$35)</f>
        <v/>
      </c>
      <c r="E306" s="38" t="n">
        <v>256</v>
      </c>
      <c r="F306" s="31">
        <f>E306/52</f>
        <v/>
      </c>
      <c r="G306" s="39">
        <f>D306/1000000*52</f>
        <v/>
      </c>
      <c r="H306" s="33">
        <f>G306/$P$4+($C$22/$P$4)</f>
        <v/>
      </c>
      <c r="I306" s="36">
        <f>_xlfn.IFS(K306&lt;K$24,0,K306&lt;K$26,I$24,K306&lt;K$28,I$26,K306&lt;K$30,I$28,K306&lt;K$32,I$30,K306&lt;K$34,I$32,K306&lt;K$36,I$34,K306&lt;K$38,I$36,K306&lt;K$40,I$38,K306&lt;K$42,I$40,K306&lt;K$44,I$42,K306&lt;K$46,I$44,K306&gt;=K$46,I$46)</f>
        <v/>
      </c>
      <c r="J306" s="37">
        <f>_xlfn.IFS(K306&lt;K$24,0,K306&lt;K$25,J$24,K306&lt;K$26,J$25,K306&lt;K$27,J$26,K306&lt;K$28,J$27,K306&lt;K$29,J$28,K306&lt;K$30,J$29,K306&lt;K$31,J$30,K306&lt;K$32,J$31,K306&lt;K$33,J$32,K306&lt;K$34,J$33,K306&lt;K$35,J$34,K306&lt;K$36,J$35,K306&lt;K$37,J$36,K306&lt;K$38,J$37,K306&lt;K$39,J$38,K306&lt;K$40,J$39,K306&lt;K$41,J$40,K306&lt;K$42,J$41,K306&lt;K$43,J$42,K306&lt;K$44,J$43,K306&lt;K$45,J$44,K306&lt;K$46,J$45,K306&lt;K$47,J$46,K306&gt;=K$47,J$47)</f>
        <v/>
      </c>
      <c r="K306" s="38" t="n">
        <v>256</v>
      </c>
      <c r="L306" s="31">
        <f>K306/52</f>
        <v/>
      </c>
      <c r="M306" s="39">
        <f>J306/1000000*52</f>
        <v/>
      </c>
      <c r="N306" s="33">
        <f>M306/$P$4+($I$22/$P$4)</f>
        <v/>
      </c>
      <c r="U306">
        <f>F305</f>
        <v/>
      </c>
      <c r="V306">
        <f>H305</f>
        <v/>
      </c>
      <c r="W306">
        <f>N305</f>
        <v/>
      </c>
    </row>
    <row r="307" ht="15.75" customHeight="1" s="40">
      <c r="C307" s="36">
        <f>_xlfn.IFS(E307&lt;E$24,0,E307&lt;E$26,C$24,E307&lt;E$28,C$26,E307&lt;E$30,C$28,E307&lt;E$32,C$30,E307&lt;E$34,C$32,E307&gt;=E$34,C$34)</f>
        <v/>
      </c>
      <c r="D307" s="37">
        <f>_xlfn.IFS(E307&lt;E$24,0,E307&lt;E$25,D$24,E307&lt;E$26,D$25,E307&lt;E$27,D$26,E307&lt;E$28,D$27,E307&lt;E$29,D$28,E307&lt;E$30,D$29,E307&lt;E$31,D$30,E307&lt;E$32,D$31,E307&lt;E$33,D$32,E307&lt;E$34,D$33,E307&lt;E$35,D$34,E307&gt;=E$35,D$35)</f>
        <v/>
      </c>
      <c r="E307" s="38" t="n">
        <v>257</v>
      </c>
      <c r="F307" s="31">
        <f>E307/52</f>
        <v/>
      </c>
      <c r="G307" s="39">
        <f>D307/1000000*52</f>
        <v/>
      </c>
      <c r="H307" s="33">
        <f>G307/$P$4+($C$22/$P$4)</f>
        <v/>
      </c>
      <c r="I307" s="36">
        <f>_xlfn.IFS(K307&lt;K$24,0,K307&lt;K$26,I$24,K307&lt;K$28,I$26,K307&lt;K$30,I$28,K307&lt;K$32,I$30,K307&lt;K$34,I$32,K307&lt;K$36,I$34,K307&lt;K$38,I$36,K307&lt;K$40,I$38,K307&lt;K$42,I$40,K307&lt;K$44,I$42,K307&lt;K$46,I$44,K307&gt;=K$46,I$46)</f>
        <v/>
      </c>
      <c r="J307" s="37">
        <f>_xlfn.IFS(K307&lt;K$24,0,K307&lt;K$25,J$24,K307&lt;K$26,J$25,K307&lt;K$27,J$26,K307&lt;K$28,J$27,K307&lt;K$29,J$28,K307&lt;K$30,J$29,K307&lt;K$31,J$30,K307&lt;K$32,J$31,K307&lt;K$33,J$32,K307&lt;K$34,J$33,K307&lt;K$35,J$34,K307&lt;K$36,J$35,K307&lt;K$37,J$36,K307&lt;K$38,J$37,K307&lt;K$39,J$38,K307&lt;K$40,J$39,K307&lt;K$41,J$40,K307&lt;K$42,J$41,K307&lt;K$43,J$42,K307&lt;K$44,J$43,K307&lt;K$45,J$44,K307&lt;K$46,J$45,K307&lt;K$47,J$46,K307&gt;=K$47,J$47)</f>
        <v/>
      </c>
      <c r="K307" s="38" t="n">
        <v>257</v>
      </c>
      <c r="L307" s="31">
        <f>K307/52</f>
        <v/>
      </c>
      <c r="M307" s="39">
        <f>J307/1000000*52</f>
        <v/>
      </c>
      <c r="N307" s="33">
        <f>M307/$P$4+($I$22/$P$4)</f>
        <v/>
      </c>
      <c r="U307">
        <f>F306</f>
        <v/>
      </c>
      <c r="V307">
        <f>H306</f>
        <v/>
      </c>
      <c r="W307">
        <f>N306</f>
        <v/>
      </c>
    </row>
    <row r="308" ht="15.75" customHeight="1" s="40">
      <c r="C308" s="36">
        <f>_xlfn.IFS(E308&lt;E$24,0,E308&lt;E$26,C$24,E308&lt;E$28,C$26,E308&lt;E$30,C$28,E308&lt;E$32,C$30,E308&lt;E$34,C$32,E308&gt;=E$34,C$34)</f>
        <v/>
      </c>
      <c r="D308" s="37">
        <f>_xlfn.IFS(E308&lt;E$24,0,E308&lt;E$25,D$24,E308&lt;E$26,D$25,E308&lt;E$27,D$26,E308&lt;E$28,D$27,E308&lt;E$29,D$28,E308&lt;E$30,D$29,E308&lt;E$31,D$30,E308&lt;E$32,D$31,E308&lt;E$33,D$32,E308&lt;E$34,D$33,E308&lt;E$35,D$34,E308&gt;=E$35,D$35)</f>
        <v/>
      </c>
      <c r="E308" s="38" t="n">
        <v>258</v>
      </c>
      <c r="F308" s="31">
        <f>E308/52</f>
        <v/>
      </c>
      <c r="G308" s="39">
        <f>D308/1000000*52</f>
        <v/>
      </c>
      <c r="H308" s="33">
        <f>G308/$P$4+($C$22/$P$4)</f>
        <v/>
      </c>
      <c r="I308" s="36">
        <f>_xlfn.IFS(K308&lt;K$24,0,K308&lt;K$26,I$24,K308&lt;K$28,I$26,K308&lt;K$30,I$28,K308&lt;K$32,I$30,K308&lt;K$34,I$32,K308&lt;K$36,I$34,K308&lt;K$38,I$36,K308&lt;K$40,I$38,K308&lt;K$42,I$40,K308&lt;K$44,I$42,K308&lt;K$46,I$44,K308&gt;=K$46,I$46)</f>
        <v/>
      </c>
      <c r="J308" s="37">
        <f>_xlfn.IFS(K308&lt;K$24,0,K308&lt;K$25,J$24,K308&lt;K$26,J$25,K308&lt;K$27,J$26,K308&lt;K$28,J$27,K308&lt;K$29,J$28,K308&lt;K$30,J$29,K308&lt;K$31,J$30,K308&lt;K$32,J$31,K308&lt;K$33,J$32,K308&lt;K$34,J$33,K308&lt;K$35,J$34,K308&lt;K$36,J$35,K308&lt;K$37,J$36,K308&lt;K$38,J$37,K308&lt;K$39,J$38,K308&lt;K$40,J$39,K308&lt;K$41,J$40,K308&lt;K$42,J$41,K308&lt;K$43,J$42,K308&lt;K$44,J$43,K308&lt;K$45,J$44,K308&lt;K$46,J$45,K308&lt;K$47,J$46,K308&gt;=K$47,J$47)</f>
        <v/>
      </c>
      <c r="K308" s="38" t="n">
        <v>258</v>
      </c>
      <c r="L308" s="31">
        <f>K308/52</f>
        <v/>
      </c>
      <c r="M308" s="39">
        <f>J308/1000000*52</f>
        <v/>
      </c>
      <c r="N308" s="33">
        <f>M308/$P$4+($I$22/$P$4)</f>
        <v/>
      </c>
      <c r="U308">
        <f>F307</f>
        <v/>
      </c>
      <c r="V308">
        <f>H307</f>
        <v/>
      </c>
      <c r="W308">
        <f>N307</f>
        <v/>
      </c>
    </row>
    <row r="309" ht="15.75" customHeight="1" s="40">
      <c r="C309" s="36">
        <f>_xlfn.IFS(E309&lt;E$24,0,E309&lt;E$26,C$24,E309&lt;E$28,C$26,E309&lt;E$30,C$28,E309&lt;E$32,C$30,E309&lt;E$34,C$32,E309&gt;=E$34,C$34)</f>
        <v/>
      </c>
      <c r="D309" s="37">
        <f>_xlfn.IFS(E309&lt;E$24,0,E309&lt;E$25,D$24,E309&lt;E$26,D$25,E309&lt;E$27,D$26,E309&lt;E$28,D$27,E309&lt;E$29,D$28,E309&lt;E$30,D$29,E309&lt;E$31,D$30,E309&lt;E$32,D$31,E309&lt;E$33,D$32,E309&lt;E$34,D$33,E309&lt;E$35,D$34,E309&gt;=E$35,D$35)</f>
        <v/>
      </c>
      <c r="E309" s="38" t="n">
        <v>259</v>
      </c>
      <c r="F309" s="31">
        <f>E309/52</f>
        <v/>
      </c>
      <c r="G309" s="39">
        <f>D309/1000000*52</f>
        <v/>
      </c>
      <c r="H309" s="33">
        <f>G309/$P$4+($C$22/$P$4)</f>
        <v/>
      </c>
      <c r="I309" s="36">
        <f>_xlfn.IFS(K309&lt;K$24,0,K309&lt;K$26,I$24,K309&lt;K$28,I$26,K309&lt;K$30,I$28,K309&lt;K$32,I$30,K309&lt;K$34,I$32,K309&lt;K$36,I$34,K309&lt;K$38,I$36,K309&lt;K$40,I$38,K309&lt;K$42,I$40,K309&lt;K$44,I$42,K309&lt;K$46,I$44,K309&gt;=K$46,I$46)</f>
        <v/>
      </c>
      <c r="J309" s="37">
        <f>_xlfn.IFS(K309&lt;K$24,0,K309&lt;K$25,J$24,K309&lt;K$26,J$25,K309&lt;K$27,J$26,K309&lt;K$28,J$27,K309&lt;K$29,J$28,K309&lt;K$30,J$29,K309&lt;K$31,J$30,K309&lt;K$32,J$31,K309&lt;K$33,J$32,K309&lt;K$34,J$33,K309&lt;K$35,J$34,K309&lt;K$36,J$35,K309&lt;K$37,J$36,K309&lt;K$38,J$37,K309&lt;K$39,J$38,K309&lt;K$40,J$39,K309&lt;K$41,J$40,K309&lt;K$42,J$41,K309&lt;K$43,J$42,K309&lt;K$44,J$43,K309&lt;K$45,J$44,K309&lt;K$46,J$45,K309&lt;K$47,J$46,K309&gt;=K$47,J$47)</f>
        <v/>
      </c>
      <c r="K309" s="38" t="n">
        <v>259</v>
      </c>
      <c r="L309" s="31">
        <f>K309/52</f>
        <v/>
      </c>
      <c r="M309" s="39">
        <f>J309/1000000*52</f>
        <v/>
      </c>
      <c r="N309" s="33">
        <f>M309/$P$4+($I$22/$P$4)</f>
        <v/>
      </c>
      <c r="U309">
        <f>F308</f>
        <v/>
      </c>
      <c r="V309">
        <f>H308</f>
        <v/>
      </c>
      <c r="W309">
        <f>N308</f>
        <v/>
      </c>
    </row>
    <row r="310" ht="15.75" customHeight="1" s="40">
      <c r="C310" s="36">
        <f>_xlfn.IFS(E310&lt;E$24,0,E310&lt;E$26,C$24,E310&lt;E$28,C$26,E310&lt;E$30,C$28,E310&lt;E$32,C$30,E310&lt;E$34,C$32,E310&gt;=E$34,C$34)</f>
        <v/>
      </c>
      <c r="D310" s="37">
        <f>_xlfn.IFS(E310&lt;E$24,0,E310&lt;E$25,D$24,E310&lt;E$26,D$25,E310&lt;E$27,D$26,E310&lt;E$28,D$27,E310&lt;E$29,D$28,E310&lt;E$30,D$29,E310&lt;E$31,D$30,E310&lt;E$32,D$31,E310&lt;E$33,D$32,E310&lt;E$34,D$33,E310&lt;E$35,D$34,E310&gt;=E$35,D$35)</f>
        <v/>
      </c>
      <c r="E310" s="38" t="n">
        <v>260</v>
      </c>
      <c r="F310" s="31">
        <f>E310/52</f>
        <v/>
      </c>
      <c r="G310" s="39">
        <f>D310/1000000*52</f>
        <v/>
      </c>
      <c r="H310" s="33">
        <f>G310/$P$4+($C$22/$P$4)</f>
        <v/>
      </c>
      <c r="I310" s="36">
        <f>_xlfn.IFS(K310&lt;K$24,0,K310&lt;K$26,I$24,K310&lt;K$28,I$26,K310&lt;K$30,I$28,K310&lt;K$32,I$30,K310&lt;K$34,I$32,K310&lt;K$36,I$34,K310&lt;K$38,I$36,K310&lt;K$40,I$38,K310&lt;K$42,I$40,K310&lt;K$44,I$42,K310&lt;K$46,I$44,K310&gt;=K$46,I$46)</f>
        <v/>
      </c>
      <c r="J310" s="37">
        <f>_xlfn.IFS(K310&lt;K$24,0,K310&lt;K$25,J$24,K310&lt;K$26,J$25,K310&lt;K$27,J$26,K310&lt;K$28,J$27,K310&lt;K$29,J$28,K310&lt;K$30,J$29,K310&lt;K$31,J$30,K310&lt;K$32,J$31,K310&lt;K$33,J$32,K310&lt;K$34,J$33,K310&lt;K$35,J$34,K310&lt;K$36,J$35,K310&lt;K$37,J$36,K310&lt;K$38,J$37,K310&lt;K$39,J$38,K310&lt;K$40,J$39,K310&lt;K$41,J$40,K310&lt;K$42,J$41,K310&lt;K$43,J$42,K310&lt;K$44,J$43,K310&lt;K$45,J$44,K310&lt;K$46,J$45,K310&lt;K$47,J$46,K310&gt;=K$47,J$47)</f>
        <v/>
      </c>
      <c r="K310" s="38" t="n">
        <v>260</v>
      </c>
      <c r="L310" s="31">
        <f>K310/52</f>
        <v/>
      </c>
      <c r="M310" s="39">
        <f>J310/1000000*52</f>
        <v/>
      </c>
      <c r="N310" s="33">
        <f>M310/$P$4+($I$22/$P$4)</f>
        <v/>
      </c>
      <c r="U310">
        <f>F309</f>
        <v/>
      </c>
      <c r="V310">
        <f>H309</f>
        <v/>
      </c>
      <c r="W310">
        <f>N309</f>
        <v/>
      </c>
    </row>
    <row r="311" ht="15.75" customHeight="1" s="40">
      <c r="C311" s="36">
        <f>_xlfn.IFS(E311&lt;E$24,0,E311&lt;E$26,C$24,E311&lt;E$28,C$26,E311&lt;E$30,C$28,E311&lt;E$32,C$30,E311&lt;E$34,C$32,E311&gt;=E$34,C$34)</f>
        <v/>
      </c>
      <c r="D311" s="37">
        <f>_xlfn.IFS(E311&lt;E$24,0,E311&lt;E$25,D$24,E311&lt;E$26,D$25,E311&lt;E$27,D$26,E311&lt;E$28,D$27,E311&lt;E$29,D$28,E311&lt;E$30,D$29,E311&lt;E$31,D$30,E311&lt;E$32,D$31,E311&lt;E$33,D$32,E311&lt;E$34,D$33,E311&lt;E$35,D$34,E311&gt;=E$35,D$35)</f>
        <v/>
      </c>
      <c r="E311" s="38" t="n">
        <v>261</v>
      </c>
      <c r="F311" s="31">
        <f>E311/52</f>
        <v/>
      </c>
      <c r="G311" s="39">
        <f>D311/1000000*52</f>
        <v/>
      </c>
      <c r="H311" s="33">
        <f>G311/$P$4+($C$22/$P$4)</f>
        <v/>
      </c>
      <c r="I311" s="36">
        <f>_xlfn.IFS(K311&lt;K$24,0,K311&lt;K$26,I$24,K311&lt;K$28,I$26,K311&lt;K$30,I$28,K311&lt;K$32,I$30,K311&lt;K$34,I$32,K311&lt;K$36,I$34,K311&lt;K$38,I$36,K311&lt;K$40,I$38,K311&lt;K$42,I$40,K311&lt;K$44,I$42,K311&lt;K$46,I$44,K311&gt;=K$46,I$46)</f>
        <v/>
      </c>
      <c r="J311" s="37">
        <f>_xlfn.IFS(K311&lt;K$24,0,K311&lt;K$25,J$24,K311&lt;K$26,J$25,K311&lt;K$27,J$26,K311&lt;K$28,J$27,K311&lt;K$29,J$28,K311&lt;K$30,J$29,K311&lt;K$31,J$30,K311&lt;K$32,J$31,K311&lt;K$33,J$32,K311&lt;K$34,J$33,K311&lt;K$35,J$34,K311&lt;K$36,J$35,K311&lt;K$37,J$36,K311&lt;K$38,J$37,K311&lt;K$39,J$38,K311&lt;K$40,J$39,K311&lt;K$41,J$40,K311&lt;K$42,J$41,K311&lt;K$43,J$42,K311&lt;K$44,J$43,K311&lt;K$45,J$44,K311&lt;K$46,J$45,K311&lt;K$47,J$46,K311&gt;=K$47,J$47)</f>
        <v/>
      </c>
      <c r="K311" s="38" t="n">
        <v>261</v>
      </c>
      <c r="L311" s="31">
        <f>K311/52</f>
        <v/>
      </c>
      <c r="M311" s="39">
        <f>J311/1000000*52</f>
        <v/>
      </c>
      <c r="N311" s="33">
        <f>M311/$P$4+($I$22/$P$4)</f>
        <v/>
      </c>
      <c r="U311">
        <f>F310</f>
        <v/>
      </c>
      <c r="V311">
        <f>H310</f>
        <v/>
      </c>
      <c r="W311">
        <f>N310</f>
        <v/>
      </c>
    </row>
    <row r="312" ht="15.75" customHeight="1" s="40">
      <c r="C312" s="36">
        <f>_xlfn.IFS(E312&lt;E$24,0,E312&lt;E$26,C$24,E312&lt;E$28,C$26,E312&lt;E$30,C$28,E312&lt;E$32,C$30,E312&lt;E$34,C$32,E312&gt;=E$34,C$34)</f>
        <v/>
      </c>
      <c r="D312" s="37">
        <f>_xlfn.IFS(E312&lt;E$24,0,E312&lt;E$25,D$24,E312&lt;E$26,D$25,E312&lt;E$27,D$26,E312&lt;E$28,D$27,E312&lt;E$29,D$28,E312&lt;E$30,D$29,E312&lt;E$31,D$30,E312&lt;E$32,D$31,E312&lt;E$33,D$32,E312&lt;E$34,D$33,E312&lt;E$35,D$34,E312&gt;=E$35,D$35)</f>
        <v/>
      </c>
      <c r="E312" s="38" t="n">
        <v>262</v>
      </c>
      <c r="F312" s="31">
        <f>E312/52</f>
        <v/>
      </c>
      <c r="G312" s="39">
        <f>D312/1000000*52</f>
        <v/>
      </c>
      <c r="H312" s="33">
        <f>G312/$P$4+($C$22/$P$4)</f>
        <v/>
      </c>
      <c r="I312" s="36">
        <f>_xlfn.IFS(K312&lt;K$24,0,K312&lt;K$26,I$24,K312&lt;K$28,I$26,K312&lt;K$30,I$28,K312&lt;K$32,I$30,K312&lt;K$34,I$32,K312&lt;K$36,I$34,K312&lt;K$38,I$36,K312&lt;K$40,I$38,K312&lt;K$42,I$40,K312&lt;K$44,I$42,K312&lt;K$46,I$44,K312&gt;=K$46,I$46)</f>
        <v/>
      </c>
      <c r="J312" s="37">
        <f>_xlfn.IFS(K312&lt;K$24,0,K312&lt;K$25,J$24,K312&lt;K$26,J$25,K312&lt;K$27,J$26,K312&lt;K$28,J$27,K312&lt;K$29,J$28,K312&lt;K$30,J$29,K312&lt;K$31,J$30,K312&lt;K$32,J$31,K312&lt;K$33,J$32,K312&lt;K$34,J$33,K312&lt;K$35,J$34,K312&lt;K$36,J$35,K312&lt;K$37,J$36,K312&lt;K$38,J$37,K312&lt;K$39,J$38,K312&lt;K$40,J$39,K312&lt;K$41,J$40,K312&lt;K$42,J$41,K312&lt;K$43,J$42,K312&lt;K$44,J$43,K312&lt;K$45,J$44,K312&lt;K$46,J$45,K312&lt;K$47,J$46,K312&gt;=K$47,J$47)</f>
        <v/>
      </c>
      <c r="K312" s="38" t="n">
        <v>262</v>
      </c>
      <c r="L312" s="31">
        <f>K312/52</f>
        <v/>
      </c>
      <c r="M312" s="39">
        <f>J312/1000000*52</f>
        <v/>
      </c>
      <c r="N312" s="33">
        <f>M312/$P$4+($I$22/$P$4)</f>
        <v/>
      </c>
      <c r="U312">
        <f>F311</f>
        <v/>
      </c>
      <c r="V312">
        <f>H311</f>
        <v/>
      </c>
      <c r="W312">
        <f>N311</f>
        <v/>
      </c>
    </row>
    <row r="313" ht="15.75" customHeight="1" s="40">
      <c r="C313" s="36">
        <f>_xlfn.IFS(E313&lt;E$24,0,E313&lt;E$26,C$24,E313&lt;E$28,C$26,E313&lt;E$30,C$28,E313&lt;E$32,C$30,E313&lt;E$34,C$32,E313&gt;=E$34,C$34)</f>
        <v/>
      </c>
      <c r="D313" s="37">
        <f>_xlfn.IFS(E313&lt;E$24,0,E313&lt;E$25,D$24,E313&lt;E$26,D$25,E313&lt;E$27,D$26,E313&lt;E$28,D$27,E313&lt;E$29,D$28,E313&lt;E$30,D$29,E313&lt;E$31,D$30,E313&lt;E$32,D$31,E313&lt;E$33,D$32,E313&lt;E$34,D$33,E313&lt;E$35,D$34,E313&gt;=E$35,D$35)</f>
        <v/>
      </c>
      <c r="E313" s="38" t="n">
        <v>263</v>
      </c>
      <c r="F313" s="31">
        <f>E313/52</f>
        <v/>
      </c>
      <c r="G313" s="39">
        <f>D313/1000000*52</f>
        <v/>
      </c>
      <c r="H313" s="33">
        <f>G313/$P$4+($C$22/$P$4)</f>
        <v/>
      </c>
      <c r="I313" s="36">
        <f>_xlfn.IFS(K313&lt;K$24,0,K313&lt;K$26,I$24,K313&lt;K$28,I$26,K313&lt;K$30,I$28,K313&lt;K$32,I$30,K313&lt;K$34,I$32,K313&lt;K$36,I$34,K313&lt;K$38,I$36,K313&lt;K$40,I$38,K313&lt;K$42,I$40,K313&lt;K$44,I$42,K313&lt;K$46,I$44,K313&gt;=K$46,I$46)</f>
        <v/>
      </c>
      <c r="J313" s="37">
        <f>_xlfn.IFS(K313&lt;K$24,0,K313&lt;K$25,J$24,K313&lt;K$26,J$25,K313&lt;K$27,J$26,K313&lt;K$28,J$27,K313&lt;K$29,J$28,K313&lt;K$30,J$29,K313&lt;K$31,J$30,K313&lt;K$32,J$31,K313&lt;K$33,J$32,K313&lt;K$34,J$33,K313&lt;K$35,J$34,K313&lt;K$36,J$35,K313&lt;K$37,J$36,K313&lt;K$38,J$37,K313&lt;K$39,J$38,K313&lt;K$40,J$39,K313&lt;K$41,J$40,K313&lt;K$42,J$41,K313&lt;K$43,J$42,K313&lt;K$44,J$43,K313&lt;K$45,J$44,K313&lt;K$46,J$45,K313&lt;K$47,J$46,K313&gt;=K$47,J$47)</f>
        <v/>
      </c>
      <c r="K313" s="38" t="n">
        <v>263</v>
      </c>
      <c r="L313" s="31">
        <f>K313/52</f>
        <v/>
      </c>
      <c r="M313" s="39">
        <f>J313/1000000*52</f>
        <v/>
      </c>
      <c r="N313" s="33">
        <f>M313/$P$4+($I$22/$P$4)</f>
        <v/>
      </c>
      <c r="U313">
        <f>F312</f>
        <v/>
      </c>
      <c r="V313">
        <f>H312</f>
        <v/>
      </c>
      <c r="W313">
        <f>N312</f>
        <v/>
      </c>
    </row>
    <row r="314" ht="15.75" customHeight="1" s="40">
      <c r="C314" s="36">
        <f>_xlfn.IFS(E314&lt;E$24,0,E314&lt;E$26,C$24,E314&lt;E$28,C$26,E314&lt;E$30,C$28,E314&lt;E$32,C$30,E314&lt;E$34,C$32,E314&gt;=E$34,C$34)</f>
        <v/>
      </c>
      <c r="D314" s="37">
        <f>_xlfn.IFS(E314&lt;E$24,0,E314&lt;E$25,D$24,E314&lt;E$26,D$25,E314&lt;E$27,D$26,E314&lt;E$28,D$27,E314&lt;E$29,D$28,E314&lt;E$30,D$29,E314&lt;E$31,D$30,E314&lt;E$32,D$31,E314&lt;E$33,D$32,E314&lt;E$34,D$33,E314&lt;E$35,D$34,E314&gt;=E$35,D$35)</f>
        <v/>
      </c>
      <c r="E314" s="38" t="n">
        <v>264</v>
      </c>
      <c r="F314" s="31">
        <f>E314/52</f>
        <v/>
      </c>
      <c r="G314" s="39">
        <f>D314/1000000*52</f>
        <v/>
      </c>
      <c r="H314" s="33">
        <f>G314/$P$4+($C$22/$P$4)</f>
        <v/>
      </c>
      <c r="I314" s="36">
        <f>_xlfn.IFS(K314&lt;K$24,0,K314&lt;K$26,I$24,K314&lt;K$28,I$26,K314&lt;K$30,I$28,K314&lt;K$32,I$30,K314&lt;K$34,I$32,K314&lt;K$36,I$34,K314&lt;K$38,I$36,K314&lt;K$40,I$38,K314&lt;K$42,I$40,K314&lt;K$44,I$42,K314&lt;K$46,I$44,K314&gt;=K$46,I$46)</f>
        <v/>
      </c>
      <c r="J314" s="37">
        <f>_xlfn.IFS(K314&lt;K$24,0,K314&lt;K$25,J$24,K314&lt;K$26,J$25,K314&lt;K$27,J$26,K314&lt;K$28,J$27,K314&lt;K$29,J$28,K314&lt;K$30,J$29,K314&lt;K$31,J$30,K314&lt;K$32,J$31,K314&lt;K$33,J$32,K314&lt;K$34,J$33,K314&lt;K$35,J$34,K314&lt;K$36,J$35,K314&lt;K$37,J$36,K314&lt;K$38,J$37,K314&lt;K$39,J$38,K314&lt;K$40,J$39,K314&lt;K$41,J$40,K314&lt;K$42,J$41,K314&lt;K$43,J$42,K314&lt;K$44,J$43,K314&lt;K$45,J$44,K314&lt;K$46,J$45,K314&lt;K$47,J$46,K314&gt;=K$47,J$47)</f>
        <v/>
      </c>
      <c r="K314" s="38" t="n">
        <v>264</v>
      </c>
      <c r="L314" s="31">
        <f>K314/52</f>
        <v/>
      </c>
      <c r="M314" s="39">
        <f>J314/1000000*52</f>
        <v/>
      </c>
      <c r="N314" s="33">
        <f>M314/$P$4+($I$22/$P$4)</f>
        <v/>
      </c>
      <c r="U314">
        <f>F313</f>
        <v/>
      </c>
      <c r="V314">
        <f>H313</f>
        <v/>
      </c>
      <c r="W314">
        <f>N313</f>
        <v/>
      </c>
    </row>
    <row r="315" ht="15.75" customHeight="1" s="40">
      <c r="C315" s="36">
        <f>_xlfn.IFS(E315&lt;E$24,0,E315&lt;E$26,C$24,E315&lt;E$28,C$26,E315&lt;E$30,C$28,E315&lt;E$32,C$30,E315&lt;E$34,C$32,E315&gt;=E$34,C$34)</f>
        <v/>
      </c>
      <c r="D315" s="37">
        <f>_xlfn.IFS(E315&lt;E$24,0,E315&lt;E$25,D$24,E315&lt;E$26,D$25,E315&lt;E$27,D$26,E315&lt;E$28,D$27,E315&lt;E$29,D$28,E315&lt;E$30,D$29,E315&lt;E$31,D$30,E315&lt;E$32,D$31,E315&lt;E$33,D$32,E315&lt;E$34,D$33,E315&lt;E$35,D$34,E315&gt;=E$35,D$35)</f>
        <v/>
      </c>
      <c r="E315" s="38" t="n">
        <v>265</v>
      </c>
      <c r="F315" s="31">
        <f>E315/52</f>
        <v/>
      </c>
      <c r="G315" s="39">
        <f>D315/1000000*52</f>
        <v/>
      </c>
      <c r="H315" s="33">
        <f>G315/$P$4+($C$22/$P$4)</f>
        <v/>
      </c>
      <c r="I315" s="36">
        <f>_xlfn.IFS(K315&lt;K$24,0,K315&lt;K$26,I$24,K315&lt;K$28,I$26,K315&lt;K$30,I$28,K315&lt;K$32,I$30,K315&lt;K$34,I$32,K315&lt;K$36,I$34,K315&lt;K$38,I$36,K315&lt;K$40,I$38,K315&lt;K$42,I$40,K315&lt;K$44,I$42,K315&lt;K$46,I$44,K315&gt;=K$46,I$46)</f>
        <v/>
      </c>
      <c r="J315" s="37">
        <f>_xlfn.IFS(K315&lt;K$24,0,K315&lt;K$25,J$24,K315&lt;K$26,J$25,K315&lt;K$27,J$26,K315&lt;K$28,J$27,K315&lt;K$29,J$28,K315&lt;K$30,J$29,K315&lt;K$31,J$30,K315&lt;K$32,J$31,K315&lt;K$33,J$32,K315&lt;K$34,J$33,K315&lt;K$35,J$34,K315&lt;K$36,J$35,K315&lt;K$37,J$36,K315&lt;K$38,J$37,K315&lt;K$39,J$38,K315&lt;K$40,J$39,K315&lt;K$41,J$40,K315&lt;K$42,J$41,K315&lt;K$43,J$42,K315&lt;K$44,J$43,K315&lt;K$45,J$44,K315&lt;K$46,J$45,K315&lt;K$47,J$46,K315&gt;=K$47,J$47)</f>
        <v/>
      </c>
      <c r="K315" s="38" t="n">
        <v>265</v>
      </c>
      <c r="L315" s="31">
        <f>K315/52</f>
        <v/>
      </c>
      <c r="M315" s="39">
        <f>J315/1000000*52</f>
        <v/>
      </c>
      <c r="N315" s="33">
        <f>M315/$P$4+($I$22/$P$4)</f>
        <v/>
      </c>
      <c r="U315">
        <f>F314</f>
        <v/>
      </c>
      <c r="V315">
        <f>H314</f>
        <v/>
      </c>
      <c r="W315">
        <f>N314</f>
        <v/>
      </c>
    </row>
    <row r="316" ht="15.75" customHeight="1" s="40">
      <c r="C316" s="36">
        <f>_xlfn.IFS(E316&lt;E$24,0,E316&lt;E$26,C$24,E316&lt;E$28,C$26,E316&lt;E$30,C$28,E316&lt;E$32,C$30,E316&lt;E$34,C$32,E316&gt;=E$34,C$34)</f>
        <v/>
      </c>
      <c r="D316" s="37">
        <f>_xlfn.IFS(E316&lt;E$24,0,E316&lt;E$25,D$24,E316&lt;E$26,D$25,E316&lt;E$27,D$26,E316&lt;E$28,D$27,E316&lt;E$29,D$28,E316&lt;E$30,D$29,E316&lt;E$31,D$30,E316&lt;E$32,D$31,E316&lt;E$33,D$32,E316&lt;E$34,D$33,E316&lt;E$35,D$34,E316&gt;=E$35,D$35)</f>
        <v/>
      </c>
      <c r="E316" s="38" t="n">
        <v>266</v>
      </c>
      <c r="F316" s="31">
        <f>E316/52</f>
        <v/>
      </c>
      <c r="G316" s="39">
        <f>D316/1000000*52</f>
        <v/>
      </c>
      <c r="H316" s="33">
        <f>G316/$P$4+($C$22/$P$4)</f>
        <v/>
      </c>
      <c r="I316" s="36">
        <f>_xlfn.IFS(K316&lt;K$24,0,K316&lt;K$26,I$24,K316&lt;K$28,I$26,K316&lt;K$30,I$28,K316&lt;K$32,I$30,K316&lt;K$34,I$32,K316&lt;K$36,I$34,K316&lt;K$38,I$36,K316&lt;K$40,I$38,K316&lt;K$42,I$40,K316&lt;K$44,I$42,K316&lt;K$46,I$44,K316&gt;=K$46,I$46)</f>
        <v/>
      </c>
      <c r="J316" s="37">
        <f>_xlfn.IFS(K316&lt;K$24,0,K316&lt;K$25,J$24,K316&lt;K$26,J$25,K316&lt;K$27,J$26,K316&lt;K$28,J$27,K316&lt;K$29,J$28,K316&lt;K$30,J$29,K316&lt;K$31,J$30,K316&lt;K$32,J$31,K316&lt;K$33,J$32,K316&lt;K$34,J$33,K316&lt;K$35,J$34,K316&lt;K$36,J$35,K316&lt;K$37,J$36,K316&lt;K$38,J$37,K316&lt;K$39,J$38,K316&lt;K$40,J$39,K316&lt;K$41,J$40,K316&lt;K$42,J$41,K316&lt;K$43,J$42,K316&lt;K$44,J$43,K316&lt;K$45,J$44,K316&lt;K$46,J$45,K316&lt;K$47,J$46,K316&gt;=K$47,J$47)</f>
        <v/>
      </c>
      <c r="K316" s="38" t="n">
        <v>266</v>
      </c>
      <c r="L316" s="31">
        <f>K316/52</f>
        <v/>
      </c>
      <c r="M316" s="39">
        <f>J316/1000000*52</f>
        <v/>
      </c>
      <c r="N316" s="33">
        <f>M316/$P$4+($I$22/$P$4)</f>
        <v/>
      </c>
      <c r="U316">
        <f>F315</f>
        <v/>
      </c>
      <c r="V316">
        <f>H315</f>
        <v/>
      </c>
      <c r="W316">
        <f>N315</f>
        <v/>
      </c>
    </row>
    <row r="317" ht="15.75" customHeight="1" s="40">
      <c r="C317" s="36">
        <f>_xlfn.IFS(E317&lt;E$24,0,E317&lt;E$26,C$24,E317&lt;E$28,C$26,E317&lt;E$30,C$28,E317&lt;E$32,C$30,E317&lt;E$34,C$32,E317&gt;=E$34,C$34)</f>
        <v/>
      </c>
      <c r="D317" s="37">
        <f>_xlfn.IFS(E317&lt;E$24,0,E317&lt;E$25,D$24,E317&lt;E$26,D$25,E317&lt;E$27,D$26,E317&lt;E$28,D$27,E317&lt;E$29,D$28,E317&lt;E$30,D$29,E317&lt;E$31,D$30,E317&lt;E$32,D$31,E317&lt;E$33,D$32,E317&lt;E$34,D$33,E317&lt;E$35,D$34,E317&gt;=E$35,D$35)</f>
        <v/>
      </c>
      <c r="E317" s="38" t="n">
        <v>267</v>
      </c>
      <c r="F317" s="31">
        <f>E317/52</f>
        <v/>
      </c>
      <c r="G317" s="39">
        <f>D317/1000000*52</f>
        <v/>
      </c>
      <c r="H317" s="33">
        <f>G317/$P$4+($C$22/$P$4)</f>
        <v/>
      </c>
      <c r="I317" s="36">
        <f>_xlfn.IFS(K317&lt;K$24,0,K317&lt;K$26,I$24,K317&lt;K$28,I$26,K317&lt;K$30,I$28,K317&lt;K$32,I$30,K317&lt;K$34,I$32,K317&lt;K$36,I$34,K317&lt;K$38,I$36,K317&lt;K$40,I$38,K317&lt;K$42,I$40,K317&lt;K$44,I$42,K317&lt;K$46,I$44,K317&gt;=K$46,I$46)</f>
        <v/>
      </c>
      <c r="J317" s="37">
        <f>_xlfn.IFS(K317&lt;K$24,0,K317&lt;K$25,J$24,K317&lt;K$26,J$25,K317&lt;K$27,J$26,K317&lt;K$28,J$27,K317&lt;K$29,J$28,K317&lt;K$30,J$29,K317&lt;K$31,J$30,K317&lt;K$32,J$31,K317&lt;K$33,J$32,K317&lt;K$34,J$33,K317&lt;K$35,J$34,K317&lt;K$36,J$35,K317&lt;K$37,J$36,K317&lt;K$38,J$37,K317&lt;K$39,J$38,K317&lt;K$40,J$39,K317&lt;K$41,J$40,K317&lt;K$42,J$41,K317&lt;K$43,J$42,K317&lt;K$44,J$43,K317&lt;K$45,J$44,K317&lt;K$46,J$45,K317&lt;K$47,J$46,K317&gt;=K$47,J$47)</f>
        <v/>
      </c>
      <c r="K317" s="38" t="n">
        <v>267</v>
      </c>
      <c r="L317" s="31">
        <f>K317/52</f>
        <v/>
      </c>
      <c r="M317" s="39">
        <f>J317/1000000*52</f>
        <v/>
      </c>
      <c r="N317" s="33">
        <f>M317/$P$4+($I$22/$P$4)</f>
        <v/>
      </c>
      <c r="U317">
        <f>F316</f>
        <v/>
      </c>
      <c r="V317">
        <f>H316</f>
        <v/>
      </c>
      <c r="W317">
        <f>N316</f>
        <v/>
      </c>
    </row>
    <row r="318" ht="15.75" customHeight="1" s="40">
      <c r="C318" s="36">
        <f>_xlfn.IFS(E318&lt;E$24,0,E318&lt;E$26,C$24,E318&lt;E$28,C$26,E318&lt;E$30,C$28,E318&lt;E$32,C$30,E318&lt;E$34,C$32,E318&gt;=E$34,C$34)</f>
        <v/>
      </c>
      <c r="D318" s="37">
        <f>_xlfn.IFS(E318&lt;E$24,0,E318&lt;E$25,D$24,E318&lt;E$26,D$25,E318&lt;E$27,D$26,E318&lt;E$28,D$27,E318&lt;E$29,D$28,E318&lt;E$30,D$29,E318&lt;E$31,D$30,E318&lt;E$32,D$31,E318&lt;E$33,D$32,E318&lt;E$34,D$33,E318&lt;E$35,D$34,E318&gt;=E$35,D$35)</f>
        <v/>
      </c>
      <c r="E318" s="38" t="n">
        <v>268</v>
      </c>
      <c r="F318" s="31">
        <f>E318/52</f>
        <v/>
      </c>
      <c r="G318" s="39">
        <f>D318/1000000*52</f>
        <v/>
      </c>
      <c r="H318" s="33">
        <f>G318/$P$4+($C$22/$P$4)</f>
        <v/>
      </c>
      <c r="I318" s="36">
        <f>_xlfn.IFS(K318&lt;K$24,0,K318&lt;K$26,I$24,K318&lt;K$28,I$26,K318&lt;K$30,I$28,K318&lt;K$32,I$30,K318&lt;K$34,I$32,K318&lt;K$36,I$34,K318&lt;K$38,I$36,K318&lt;K$40,I$38,K318&lt;K$42,I$40,K318&lt;K$44,I$42,K318&lt;K$46,I$44,K318&gt;=K$46,I$46)</f>
        <v/>
      </c>
      <c r="J318" s="37">
        <f>_xlfn.IFS(K318&lt;K$24,0,K318&lt;K$25,J$24,K318&lt;K$26,J$25,K318&lt;K$27,J$26,K318&lt;K$28,J$27,K318&lt;K$29,J$28,K318&lt;K$30,J$29,K318&lt;K$31,J$30,K318&lt;K$32,J$31,K318&lt;K$33,J$32,K318&lt;K$34,J$33,K318&lt;K$35,J$34,K318&lt;K$36,J$35,K318&lt;K$37,J$36,K318&lt;K$38,J$37,K318&lt;K$39,J$38,K318&lt;K$40,J$39,K318&lt;K$41,J$40,K318&lt;K$42,J$41,K318&lt;K$43,J$42,K318&lt;K$44,J$43,K318&lt;K$45,J$44,K318&lt;K$46,J$45,K318&lt;K$47,J$46,K318&gt;=K$47,J$47)</f>
        <v/>
      </c>
      <c r="K318" s="38" t="n">
        <v>268</v>
      </c>
      <c r="L318" s="31">
        <f>K318/52</f>
        <v/>
      </c>
      <c r="M318" s="39">
        <f>J318/1000000*52</f>
        <v/>
      </c>
      <c r="N318" s="33">
        <f>M318/$P$4+($I$22/$P$4)</f>
        <v/>
      </c>
      <c r="U318">
        <f>F317</f>
        <v/>
      </c>
      <c r="V318">
        <f>H317</f>
        <v/>
      </c>
      <c r="W318">
        <f>N317</f>
        <v/>
      </c>
    </row>
    <row r="319" ht="15.75" customHeight="1" s="40">
      <c r="C319" s="36">
        <f>_xlfn.IFS(E319&lt;E$24,0,E319&lt;E$26,C$24,E319&lt;E$28,C$26,E319&lt;E$30,C$28,E319&lt;E$32,C$30,E319&lt;E$34,C$32,E319&gt;=E$34,C$34)</f>
        <v/>
      </c>
      <c r="D319" s="37">
        <f>_xlfn.IFS(E319&lt;E$24,0,E319&lt;E$25,D$24,E319&lt;E$26,D$25,E319&lt;E$27,D$26,E319&lt;E$28,D$27,E319&lt;E$29,D$28,E319&lt;E$30,D$29,E319&lt;E$31,D$30,E319&lt;E$32,D$31,E319&lt;E$33,D$32,E319&lt;E$34,D$33,E319&lt;E$35,D$34,E319&gt;=E$35,D$35)</f>
        <v/>
      </c>
      <c r="E319" s="38" t="n">
        <v>269</v>
      </c>
      <c r="F319" s="31">
        <f>E319/52</f>
        <v/>
      </c>
      <c r="G319" s="39">
        <f>D319/1000000*52</f>
        <v/>
      </c>
      <c r="H319" s="33">
        <f>G319/$P$4+($C$22/$P$4)</f>
        <v/>
      </c>
      <c r="I319" s="36">
        <f>_xlfn.IFS(K319&lt;K$24,0,K319&lt;K$26,I$24,K319&lt;K$28,I$26,K319&lt;K$30,I$28,K319&lt;K$32,I$30,K319&lt;K$34,I$32,K319&lt;K$36,I$34,K319&lt;K$38,I$36,K319&lt;K$40,I$38,K319&lt;K$42,I$40,K319&lt;K$44,I$42,K319&lt;K$46,I$44,K319&gt;=K$46,I$46)</f>
        <v/>
      </c>
      <c r="J319" s="37">
        <f>_xlfn.IFS(K319&lt;K$24,0,K319&lt;K$25,J$24,K319&lt;K$26,J$25,K319&lt;K$27,J$26,K319&lt;K$28,J$27,K319&lt;K$29,J$28,K319&lt;K$30,J$29,K319&lt;K$31,J$30,K319&lt;K$32,J$31,K319&lt;K$33,J$32,K319&lt;K$34,J$33,K319&lt;K$35,J$34,K319&lt;K$36,J$35,K319&lt;K$37,J$36,K319&lt;K$38,J$37,K319&lt;K$39,J$38,K319&lt;K$40,J$39,K319&lt;K$41,J$40,K319&lt;K$42,J$41,K319&lt;K$43,J$42,K319&lt;K$44,J$43,K319&lt;K$45,J$44,K319&lt;K$46,J$45,K319&lt;K$47,J$46,K319&gt;=K$47,J$47)</f>
        <v/>
      </c>
      <c r="K319" s="38" t="n">
        <v>269</v>
      </c>
      <c r="L319" s="31">
        <f>K319/52</f>
        <v/>
      </c>
      <c r="M319" s="39">
        <f>J319/1000000*52</f>
        <v/>
      </c>
      <c r="N319" s="33">
        <f>M319/$P$4+($I$22/$P$4)</f>
        <v/>
      </c>
      <c r="U319">
        <f>F318</f>
        <v/>
      </c>
      <c r="V319">
        <f>H318</f>
        <v/>
      </c>
      <c r="W319">
        <f>N318</f>
        <v/>
      </c>
    </row>
    <row r="320" ht="15.75" customHeight="1" s="40">
      <c r="C320" s="36">
        <f>_xlfn.IFS(E320&lt;E$24,0,E320&lt;E$26,C$24,E320&lt;E$28,C$26,E320&lt;E$30,C$28,E320&lt;E$32,C$30,E320&lt;E$34,C$32,E320&gt;=E$34,C$34)</f>
        <v/>
      </c>
      <c r="D320" s="37">
        <f>_xlfn.IFS(E320&lt;E$24,0,E320&lt;E$25,D$24,E320&lt;E$26,D$25,E320&lt;E$27,D$26,E320&lt;E$28,D$27,E320&lt;E$29,D$28,E320&lt;E$30,D$29,E320&lt;E$31,D$30,E320&lt;E$32,D$31,E320&lt;E$33,D$32,E320&lt;E$34,D$33,E320&lt;E$35,D$34,E320&gt;=E$35,D$35)</f>
        <v/>
      </c>
      <c r="E320" s="38" t="n">
        <v>270</v>
      </c>
      <c r="F320" s="31">
        <f>E320/52</f>
        <v/>
      </c>
      <c r="G320" s="39">
        <f>D320/1000000*52</f>
        <v/>
      </c>
      <c r="H320" s="33">
        <f>G320/$P$4+($C$22/$P$4)</f>
        <v/>
      </c>
      <c r="I320" s="36">
        <f>_xlfn.IFS(K320&lt;K$24,0,K320&lt;K$26,I$24,K320&lt;K$28,I$26,K320&lt;K$30,I$28,K320&lt;K$32,I$30,K320&lt;K$34,I$32,K320&lt;K$36,I$34,K320&lt;K$38,I$36,K320&lt;K$40,I$38,K320&lt;K$42,I$40,K320&lt;K$44,I$42,K320&lt;K$46,I$44,K320&gt;=K$46,I$46)</f>
        <v/>
      </c>
      <c r="J320" s="37">
        <f>_xlfn.IFS(K320&lt;K$24,0,K320&lt;K$25,J$24,K320&lt;K$26,J$25,K320&lt;K$27,J$26,K320&lt;K$28,J$27,K320&lt;K$29,J$28,K320&lt;K$30,J$29,K320&lt;K$31,J$30,K320&lt;K$32,J$31,K320&lt;K$33,J$32,K320&lt;K$34,J$33,K320&lt;K$35,J$34,K320&lt;K$36,J$35,K320&lt;K$37,J$36,K320&lt;K$38,J$37,K320&lt;K$39,J$38,K320&lt;K$40,J$39,K320&lt;K$41,J$40,K320&lt;K$42,J$41,K320&lt;K$43,J$42,K320&lt;K$44,J$43,K320&lt;K$45,J$44,K320&lt;K$46,J$45,K320&lt;K$47,J$46,K320&gt;=K$47,J$47)</f>
        <v/>
      </c>
      <c r="K320" s="38" t="n">
        <v>270</v>
      </c>
      <c r="L320" s="31">
        <f>K320/52</f>
        <v/>
      </c>
      <c r="M320" s="39">
        <f>J320/1000000*52</f>
        <v/>
      </c>
      <c r="N320" s="33">
        <f>M320/$P$4+($I$22/$P$4)</f>
        <v/>
      </c>
      <c r="U320">
        <f>F319</f>
        <v/>
      </c>
      <c r="V320">
        <f>H319</f>
        <v/>
      </c>
      <c r="W320">
        <f>N319</f>
        <v/>
      </c>
    </row>
    <row r="321" ht="15.75" customHeight="1" s="40">
      <c r="C321" s="36">
        <f>_xlfn.IFS(E321&lt;E$24,0,E321&lt;E$26,C$24,E321&lt;E$28,C$26,E321&lt;E$30,C$28,E321&lt;E$32,C$30,E321&lt;E$34,C$32,E321&gt;=E$34,C$34)</f>
        <v/>
      </c>
      <c r="D321" s="37">
        <f>_xlfn.IFS(E321&lt;E$24,0,E321&lt;E$25,D$24,E321&lt;E$26,D$25,E321&lt;E$27,D$26,E321&lt;E$28,D$27,E321&lt;E$29,D$28,E321&lt;E$30,D$29,E321&lt;E$31,D$30,E321&lt;E$32,D$31,E321&lt;E$33,D$32,E321&lt;E$34,D$33,E321&lt;E$35,D$34,E321&gt;=E$35,D$35)</f>
        <v/>
      </c>
      <c r="E321" s="38" t="n">
        <v>271</v>
      </c>
      <c r="F321" s="31">
        <f>E321/52</f>
        <v/>
      </c>
      <c r="G321" s="39">
        <f>D321/1000000*52</f>
        <v/>
      </c>
      <c r="H321" s="33">
        <f>G321/$P$4+($C$22/$P$4)</f>
        <v/>
      </c>
      <c r="I321" s="36">
        <f>_xlfn.IFS(K321&lt;K$24,0,K321&lt;K$26,I$24,K321&lt;K$28,I$26,K321&lt;K$30,I$28,K321&lt;K$32,I$30,K321&lt;K$34,I$32,K321&lt;K$36,I$34,K321&lt;K$38,I$36,K321&lt;K$40,I$38,K321&lt;K$42,I$40,K321&lt;K$44,I$42,K321&lt;K$46,I$44,K321&gt;=K$46,I$46)</f>
        <v/>
      </c>
      <c r="J321" s="37">
        <f>_xlfn.IFS(K321&lt;K$24,0,K321&lt;K$25,J$24,K321&lt;K$26,J$25,K321&lt;K$27,J$26,K321&lt;K$28,J$27,K321&lt;K$29,J$28,K321&lt;K$30,J$29,K321&lt;K$31,J$30,K321&lt;K$32,J$31,K321&lt;K$33,J$32,K321&lt;K$34,J$33,K321&lt;K$35,J$34,K321&lt;K$36,J$35,K321&lt;K$37,J$36,K321&lt;K$38,J$37,K321&lt;K$39,J$38,K321&lt;K$40,J$39,K321&lt;K$41,J$40,K321&lt;K$42,J$41,K321&lt;K$43,J$42,K321&lt;K$44,J$43,K321&lt;K$45,J$44,K321&lt;K$46,J$45,K321&lt;K$47,J$46,K321&gt;=K$47,J$47)</f>
        <v/>
      </c>
      <c r="K321" s="38" t="n">
        <v>271</v>
      </c>
      <c r="L321" s="31">
        <f>K321/52</f>
        <v/>
      </c>
      <c r="M321" s="39">
        <f>J321/1000000*52</f>
        <v/>
      </c>
      <c r="N321" s="33">
        <f>M321/$P$4+($I$22/$P$4)</f>
        <v/>
      </c>
      <c r="U321">
        <f>F320</f>
        <v/>
      </c>
      <c r="V321">
        <f>H320</f>
        <v/>
      </c>
      <c r="W321">
        <f>N320</f>
        <v/>
      </c>
    </row>
    <row r="322" ht="15.75" customHeight="1" s="40">
      <c r="C322" s="36">
        <f>_xlfn.IFS(E322&lt;E$24,0,E322&lt;E$26,C$24,E322&lt;E$28,C$26,E322&lt;E$30,C$28,E322&lt;E$32,C$30,E322&lt;E$34,C$32,E322&gt;=E$34,C$34)</f>
        <v/>
      </c>
      <c r="D322" s="37">
        <f>_xlfn.IFS(E322&lt;E$24,0,E322&lt;E$25,D$24,E322&lt;E$26,D$25,E322&lt;E$27,D$26,E322&lt;E$28,D$27,E322&lt;E$29,D$28,E322&lt;E$30,D$29,E322&lt;E$31,D$30,E322&lt;E$32,D$31,E322&lt;E$33,D$32,E322&lt;E$34,D$33,E322&lt;E$35,D$34,E322&gt;=E$35,D$35)</f>
        <v/>
      </c>
      <c r="E322" s="38" t="n">
        <v>272</v>
      </c>
      <c r="F322" s="31">
        <f>E322/52</f>
        <v/>
      </c>
      <c r="G322" s="39">
        <f>D322/1000000*52</f>
        <v/>
      </c>
      <c r="H322" s="33">
        <f>G322/$P$4+($C$22/$P$4)</f>
        <v/>
      </c>
      <c r="I322" s="36">
        <f>_xlfn.IFS(K322&lt;K$24,0,K322&lt;K$26,I$24,K322&lt;K$28,I$26,K322&lt;K$30,I$28,K322&lt;K$32,I$30,K322&lt;K$34,I$32,K322&lt;K$36,I$34,K322&lt;K$38,I$36,K322&lt;K$40,I$38,K322&lt;K$42,I$40,K322&lt;K$44,I$42,K322&lt;K$46,I$44,K322&gt;=K$46,I$46)</f>
        <v/>
      </c>
      <c r="J322" s="37">
        <f>_xlfn.IFS(K322&lt;K$24,0,K322&lt;K$25,J$24,K322&lt;K$26,J$25,K322&lt;K$27,J$26,K322&lt;K$28,J$27,K322&lt;K$29,J$28,K322&lt;K$30,J$29,K322&lt;K$31,J$30,K322&lt;K$32,J$31,K322&lt;K$33,J$32,K322&lt;K$34,J$33,K322&lt;K$35,J$34,K322&lt;K$36,J$35,K322&lt;K$37,J$36,K322&lt;K$38,J$37,K322&lt;K$39,J$38,K322&lt;K$40,J$39,K322&lt;K$41,J$40,K322&lt;K$42,J$41,K322&lt;K$43,J$42,K322&lt;K$44,J$43,K322&lt;K$45,J$44,K322&lt;K$46,J$45,K322&lt;K$47,J$46,K322&gt;=K$47,J$47)</f>
        <v/>
      </c>
      <c r="K322" s="38" t="n">
        <v>272</v>
      </c>
      <c r="L322" s="31">
        <f>K322/52</f>
        <v/>
      </c>
      <c r="M322" s="39">
        <f>J322/1000000*52</f>
        <v/>
      </c>
      <c r="N322" s="33">
        <f>M322/$P$4+($I$22/$P$4)</f>
        <v/>
      </c>
      <c r="U322">
        <f>F321</f>
        <v/>
      </c>
      <c r="V322">
        <f>H321</f>
        <v/>
      </c>
      <c r="W322">
        <f>N321</f>
        <v/>
      </c>
    </row>
    <row r="323" ht="15.75" customHeight="1" s="40">
      <c r="C323" s="36">
        <f>_xlfn.IFS(E323&lt;E$24,0,E323&lt;E$26,C$24,E323&lt;E$28,C$26,E323&lt;E$30,C$28,E323&lt;E$32,C$30,E323&lt;E$34,C$32,E323&gt;=E$34,C$34)</f>
        <v/>
      </c>
      <c r="D323" s="37">
        <f>_xlfn.IFS(E323&lt;E$24,0,E323&lt;E$25,D$24,E323&lt;E$26,D$25,E323&lt;E$27,D$26,E323&lt;E$28,D$27,E323&lt;E$29,D$28,E323&lt;E$30,D$29,E323&lt;E$31,D$30,E323&lt;E$32,D$31,E323&lt;E$33,D$32,E323&lt;E$34,D$33,E323&lt;E$35,D$34,E323&gt;=E$35,D$35)</f>
        <v/>
      </c>
      <c r="E323" s="38" t="n">
        <v>273</v>
      </c>
      <c r="F323" s="31">
        <f>E323/52</f>
        <v/>
      </c>
      <c r="G323" s="39">
        <f>D323/1000000*52</f>
        <v/>
      </c>
      <c r="H323" s="33">
        <f>G323/$P$4+($C$22/$P$4)</f>
        <v/>
      </c>
      <c r="I323" s="36">
        <f>_xlfn.IFS(K323&lt;K$24,0,K323&lt;K$26,I$24,K323&lt;K$28,I$26,K323&lt;K$30,I$28,K323&lt;K$32,I$30,K323&lt;K$34,I$32,K323&lt;K$36,I$34,K323&lt;K$38,I$36,K323&lt;K$40,I$38,K323&lt;K$42,I$40,K323&lt;K$44,I$42,K323&lt;K$46,I$44,K323&gt;=K$46,I$46)</f>
        <v/>
      </c>
      <c r="J323" s="37">
        <f>_xlfn.IFS(K323&lt;K$24,0,K323&lt;K$25,J$24,K323&lt;K$26,J$25,K323&lt;K$27,J$26,K323&lt;K$28,J$27,K323&lt;K$29,J$28,K323&lt;K$30,J$29,K323&lt;K$31,J$30,K323&lt;K$32,J$31,K323&lt;K$33,J$32,K323&lt;K$34,J$33,K323&lt;K$35,J$34,K323&lt;K$36,J$35,K323&lt;K$37,J$36,K323&lt;K$38,J$37,K323&lt;K$39,J$38,K323&lt;K$40,J$39,K323&lt;K$41,J$40,K323&lt;K$42,J$41,K323&lt;K$43,J$42,K323&lt;K$44,J$43,K323&lt;K$45,J$44,K323&lt;K$46,J$45,K323&lt;K$47,J$46,K323&gt;=K$47,J$47)</f>
        <v/>
      </c>
      <c r="K323" s="38" t="n">
        <v>273</v>
      </c>
      <c r="L323" s="31">
        <f>K323/52</f>
        <v/>
      </c>
      <c r="M323" s="39">
        <f>J323/1000000*52</f>
        <v/>
      </c>
      <c r="N323" s="33">
        <f>M323/$P$4+($I$22/$P$4)</f>
        <v/>
      </c>
      <c r="U323">
        <f>F322</f>
        <v/>
      </c>
      <c r="V323">
        <f>H322</f>
        <v/>
      </c>
      <c r="W323">
        <f>N322</f>
        <v/>
      </c>
    </row>
    <row r="324" ht="15.75" customHeight="1" s="40">
      <c r="C324" s="36">
        <f>_xlfn.IFS(E324&lt;E$24,0,E324&lt;E$26,C$24,E324&lt;E$28,C$26,E324&lt;E$30,C$28,E324&lt;E$32,C$30,E324&lt;E$34,C$32,E324&gt;=E$34,C$34)</f>
        <v/>
      </c>
      <c r="D324" s="37">
        <f>_xlfn.IFS(E324&lt;E$24,0,E324&lt;E$25,D$24,E324&lt;E$26,D$25,E324&lt;E$27,D$26,E324&lt;E$28,D$27,E324&lt;E$29,D$28,E324&lt;E$30,D$29,E324&lt;E$31,D$30,E324&lt;E$32,D$31,E324&lt;E$33,D$32,E324&lt;E$34,D$33,E324&lt;E$35,D$34,E324&gt;=E$35,D$35)</f>
        <v/>
      </c>
      <c r="E324" s="38" t="n">
        <v>274</v>
      </c>
      <c r="F324" s="31">
        <f>E324/52</f>
        <v/>
      </c>
      <c r="G324" s="39">
        <f>D324/1000000*52</f>
        <v/>
      </c>
      <c r="H324" s="33">
        <f>G324/$P$4+($C$22/$P$4)</f>
        <v/>
      </c>
      <c r="I324" s="36">
        <f>_xlfn.IFS(K324&lt;K$24,0,K324&lt;K$26,I$24,K324&lt;K$28,I$26,K324&lt;K$30,I$28,K324&lt;K$32,I$30,K324&lt;K$34,I$32,K324&lt;K$36,I$34,K324&lt;K$38,I$36,K324&lt;K$40,I$38,K324&lt;K$42,I$40,K324&lt;K$44,I$42,K324&lt;K$46,I$44,K324&gt;=K$46,I$46)</f>
        <v/>
      </c>
      <c r="J324" s="37">
        <f>_xlfn.IFS(K324&lt;K$24,0,K324&lt;K$25,J$24,K324&lt;K$26,J$25,K324&lt;K$27,J$26,K324&lt;K$28,J$27,K324&lt;K$29,J$28,K324&lt;K$30,J$29,K324&lt;K$31,J$30,K324&lt;K$32,J$31,K324&lt;K$33,J$32,K324&lt;K$34,J$33,K324&lt;K$35,J$34,K324&lt;K$36,J$35,K324&lt;K$37,J$36,K324&lt;K$38,J$37,K324&lt;K$39,J$38,K324&lt;K$40,J$39,K324&lt;K$41,J$40,K324&lt;K$42,J$41,K324&lt;K$43,J$42,K324&lt;K$44,J$43,K324&lt;K$45,J$44,K324&lt;K$46,J$45,K324&lt;K$47,J$46,K324&gt;=K$47,J$47)</f>
        <v/>
      </c>
      <c r="K324" s="38" t="n">
        <v>274</v>
      </c>
      <c r="L324" s="31">
        <f>K324/52</f>
        <v/>
      </c>
      <c r="M324" s="39">
        <f>J324/1000000*52</f>
        <v/>
      </c>
      <c r="N324" s="33">
        <f>M324/$P$4+($I$22/$P$4)</f>
        <v/>
      </c>
      <c r="U324">
        <f>F323</f>
        <v/>
      </c>
      <c r="V324">
        <f>H323</f>
        <v/>
      </c>
      <c r="W324">
        <f>N323</f>
        <v/>
      </c>
    </row>
    <row r="325" ht="15.75" customHeight="1" s="40">
      <c r="C325" s="36">
        <f>_xlfn.IFS(E325&lt;E$24,0,E325&lt;E$26,C$24,E325&lt;E$28,C$26,E325&lt;E$30,C$28,E325&lt;E$32,C$30,E325&lt;E$34,C$32,E325&gt;=E$34,C$34)</f>
        <v/>
      </c>
      <c r="D325" s="37">
        <f>_xlfn.IFS(E325&lt;E$24,0,E325&lt;E$25,D$24,E325&lt;E$26,D$25,E325&lt;E$27,D$26,E325&lt;E$28,D$27,E325&lt;E$29,D$28,E325&lt;E$30,D$29,E325&lt;E$31,D$30,E325&lt;E$32,D$31,E325&lt;E$33,D$32,E325&lt;E$34,D$33,E325&lt;E$35,D$34,E325&gt;=E$35,D$35)</f>
        <v/>
      </c>
      <c r="E325" s="38" t="n">
        <v>275</v>
      </c>
      <c r="F325" s="31">
        <f>E325/52</f>
        <v/>
      </c>
      <c r="G325" s="39">
        <f>D325/1000000*52</f>
        <v/>
      </c>
      <c r="H325" s="33">
        <f>G325/$P$4+($C$22/$P$4)</f>
        <v/>
      </c>
      <c r="I325" s="36">
        <f>_xlfn.IFS(K325&lt;K$24,0,K325&lt;K$26,I$24,K325&lt;K$28,I$26,K325&lt;K$30,I$28,K325&lt;K$32,I$30,K325&lt;K$34,I$32,K325&lt;K$36,I$34,K325&lt;K$38,I$36,K325&lt;K$40,I$38,K325&lt;K$42,I$40,K325&lt;K$44,I$42,K325&lt;K$46,I$44,K325&gt;=K$46,I$46)</f>
        <v/>
      </c>
      <c r="J325" s="37">
        <f>_xlfn.IFS(K325&lt;K$24,0,K325&lt;K$25,J$24,K325&lt;K$26,J$25,K325&lt;K$27,J$26,K325&lt;K$28,J$27,K325&lt;K$29,J$28,K325&lt;K$30,J$29,K325&lt;K$31,J$30,K325&lt;K$32,J$31,K325&lt;K$33,J$32,K325&lt;K$34,J$33,K325&lt;K$35,J$34,K325&lt;K$36,J$35,K325&lt;K$37,J$36,K325&lt;K$38,J$37,K325&lt;K$39,J$38,K325&lt;K$40,J$39,K325&lt;K$41,J$40,K325&lt;K$42,J$41,K325&lt;K$43,J$42,K325&lt;K$44,J$43,K325&lt;K$45,J$44,K325&lt;K$46,J$45,K325&lt;K$47,J$46,K325&gt;=K$47,J$47)</f>
        <v/>
      </c>
      <c r="K325" s="38" t="n">
        <v>275</v>
      </c>
      <c r="L325" s="31">
        <f>K325/52</f>
        <v/>
      </c>
      <c r="M325" s="39">
        <f>J325/1000000*52</f>
        <v/>
      </c>
      <c r="N325" s="33">
        <f>M325/$P$4+($I$22/$P$4)</f>
        <v/>
      </c>
      <c r="U325">
        <f>F324</f>
        <v/>
      </c>
      <c r="V325">
        <f>H324</f>
        <v/>
      </c>
      <c r="W325">
        <f>N324</f>
        <v/>
      </c>
    </row>
    <row r="326" ht="15.75" customHeight="1" s="40">
      <c r="C326" s="36">
        <f>_xlfn.IFS(E326&lt;E$24,0,E326&lt;E$26,C$24,E326&lt;E$28,C$26,E326&lt;E$30,C$28,E326&lt;E$32,C$30,E326&lt;E$34,C$32,E326&gt;=E$34,C$34)</f>
        <v/>
      </c>
      <c r="D326" s="37">
        <f>_xlfn.IFS(E326&lt;E$24,0,E326&lt;E$25,D$24,E326&lt;E$26,D$25,E326&lt;E$27,D$26,E326&lt;E$28,D$27,E326&lt;E$29,D$28,E326&lt;E$30,D$29,E326&lt;E$31,D$30,E326&lt;E$32,D$31,E326&lt;E$33,D$32,E326&lt;E$34,D$33,E326&lt;E$35,D$34,E326&gt;=E$35,D$35)</f>
        <v/>
      </c>
      <c r="E326" s="38" t="n">
        <v>276</v>
      </c>
      <c r="F326" s="31">
        <f>E326/52</f>
        <v/>
      </c>
      <c r="G326" s="39">
        <f>D326/1000000*52</f>
        <v/>
      </c>
      <c r="H326" s="33">
        <f>G326/$P$4+($C$22/$P$4)</f>
        <v/>
      </c>
      <c r="I326" s="36">
        <f>_xlfn.IFS(K326&lt;K$24,0,K326&lt;K$26,I$24,K326&lt;K$28,I$26,K326&lt;K$30,I$28,K326&lt;K$32,I$30,K326&lt;K$34,I$32,K326&lt;K$36,I$34,K326&lt;K$38,I$36,K326&lt;K$40,I$38,K326&lt;K$42,I$40,K326&lt;K$44,I$42,K326&lt;K$46,I$44,K326&gt;=K$46,I$46)</f>
        <v/>
      </c>
      <c r="J326" s="37">
        <f>_xlfn.IFS(K326&lt;K$24,0,K326&lt;K$25,J$24,K326&lt;K$26,J$25,K326&lt;K$27,J$26,K326&lt;K$28,J$27,K326&lt;K$29,J$28,K326&lt;K$30,J$29,K326&lt;K$31,J$30,K326&lt;K$32,J$31,K326&lt;K$33,J$32,K326&lt;K$34,J$33,K326&lt;K$35,J$34,K326&lt;K$36,J$35,K326&lt;K$37,J$36,K326&lt;K$38,J$37,K326&lt;K$39,J$38,K326&lt;K$40,J$39,K326&lt;K$41,J$40,K326&lt;K$42,J$41,K326&lt;K$43,J$42,K326&lt;K$44,J$43,K326&lt;K$45,J$44,K326&lt;K$46,J$45,K326&lt;K$47,J$46,K326&gt;=K$47,J$47)</f>
        <v/>
      </c>
      <c r="K326" s="38" t="n">
        <v>276</v>
      </c>
      <c r="L326" s="31">
        <f>K326/52</f>
        <v/>
      </c>
      <c r="M326" s="39">
        <f>J326/1000000*52</f>
        <v/>
      </c>
      <c r="N326" s="33">
        <f>M326/$P$4+($I$22/$P$4)</f>
        <v/>
      </c>
      <c r="U326">
        <f>F325</f>
        <v/>
      </c>
      <c r="V326">
        <f>H325</f>
        <v/>
      </c>
      <c r="W326">
        <f>N325</f>
        <v/>
      </c>
    </row>
    <row r="327" ht="15.75" customHeight="1" s="40">
      <c r="C327" s="36">
        <f>_xlfn.IFS(E327&lt;E$24,0,E327&lt;E$26,C$24,E327&lt;E$28,C$26,E327&lt;E$30,C$28,E327&lt;E$32,C$30,E327&lt;E$34,C$32,E327&gt;=E$34,C$34)</f>
        <v/>
      </c>
      <c r="D327" s="37">
        <f>_xlfn.IFS(E327&lt;E$24,0,E327&lt;E$25,D$24,E327&lt;E$26,D$25,E327&lt;E$27,D$26,E327&lt;E$28,D$27,E327&lt;E$29,D$28,E327&lt;E$30,D$29,E327&lt;E$31,D$30,E327&lt;E$32,D$31,E327&lt;E$33,D$32,E327&lt;E$34,D$33,E327&lt;E$35,D$34,E327&gt;=E$35,D$35)</f>
        <v/>
      </c>
      <c r="E327" s="38" t="n">
        <v>277</v>
      </c>
      <c r="F327" s="31">
        <f>E327/52</f>
        <v/>
      </c>
      <c r="G327" s="39">
        <f>D327/1000000*52</f>
        <v/>
      </c>
      <c r="H327" s="33">
        <f>G327/$P$4+($C$22/$P$4)</f>
        <v/>
      </c>
      <c r="I327" s="36">
        <f>_xlfn.IFS(K327&lt;K$24,0,K327&lt;K$26,I$24,K327&lt;K$28,I$26,K327&lt;K$30,I$28,K327&lt;K$32,I$30,K327&lt;K$34,I$32,K327&lt;K$36,I$34,K327&lt;K$38,I$36,K327&lt;K$40,I$38,K327&lt;K$42,I$40,K327&lt;K$44,I$42,K327&lt;K$46,I$44,K327&gt;=K$46,I$46)</f>
        <v/>
      </c>
      <c r="J327" s="37">
        <f>_xlfn.IFS(K327&lt;K$24,0,K327&lt;K$25,J$24,K327&lt;K$26,J$25,K327&lt;K$27,J$26,K327&lt;K$28,J$27,K327&lt;K$29,J$28,K327&lt;K$30,J$29,K327&lt;K$31,J$30,K327&lt;K$32,J$31,K327&lt;K$33,J$32,K327&lt;K$34,J$33,K327&lt;K$35,J$34,K327&lt;K$36,J$35,K327&lt;K$37,J$36,K327&lt;K$38,J$37,K327&lt;K$39,J$38,K327&lt;K$40,J$39,K327&lt;K$41,J$40,K327&lt;K$42,J$41,K327&lt;K$43,J$42,K327&lt;K$44,J$43,K327&lt;K$45,J$44,K327&lt;K$46,J$45,K327&lt;K$47,J$46,K327&gt;=K$47,J$47)</f>
        <v/>
      </c>
      <c r="K327" s="38" t="n">
        <v>277</v>
      </c>
      <c r="L327" s="31">
        <f>K327/52</f>
        <v/>
      </c>
      <c r="M327" s="39">
        <f>J327/1000000*52</f>
        <v/>
      </c>
      <c r="N327" s="33">
        <f>M327/$P$4+($I$22/$P$4)</f>
        <v/>
      </c>
      <c r="U327">
        <f>F326</f>
        <v/>
      </c>
      <c r="V327">
        <f>H326</f>
        <v/>
      </c>
      <c r="W327">
        <f>N326</f>
        <v/>
      </c>
    </row>
    <row r="328" ht="15.75" customHeight="1" s="40">
      <c r="C328" s="36">
        <f>_xlfn.IFS(E328&lt;E$24,0,E328&lt;E$26,C$24,E328&lt;E$28,C$26,E328&lt;E$30,C$28,E328&lt;E$32,C$30,E328&lt;E$34,C$32,E328&gt;=E$34,C$34)</f>
        <v/>
      </c>
      <c r="D328" s="37">
        <f>_xlfn.IFS(E328&lt;E$24,0,E328&lt;E$25,D$24,E328&lt;E$26,D$25,E328&lt;E$27,D$26,E328&lt;E$28,D$27,E328&lt;E$29,D$28,E328&lt;E$30,D$29,E328&lt;E$31,D$30,E328&lt;E$32,D$31,E328&lt;E$33,D$32,E328&lt;E$34,D$33,E328&lt;E$35,D$34,E328&gt;=E$35,D$35)</f>
        <v/>
      </c>
      <c r="E328" s="38" t="n">
        <v>278</v>
      </c>
      <c r="F328" s="31">
        <f>E328/52</f>
        <v/>
      </c>
      <c r="G328" s="39">
        <f>D328/1000000*52</f>
        <v/>
      </c>
      <c r="H328" s="33">
        <f>G328/$P$4+($C$22/$P$4)</f>
        <v/>
      </c>
      <c r="I328" s="36">
        <f>_xlfn.IFS(K328&lt;K$24,0,K328&lt;K$26,I$24,K328&lt;K$28,I$26,K328&lt;K$30,I$28,K328&lt;K$32,I$30,K328&lt;K$34,I$32,K328&lt;K$36,I$34,K328&lt;K$38,I$36,K328&lt;K$40,I$38,K328&lt;K$42,I$40,K328&lt;K$44,I$42,K328&lt;K$46,I$44,K328&gt;=K$46,I$46)</f>
        <v/>
      </c>
      <c r="J328" s="37">
        <f>_xlfn.IFS(K328&lt;K$24,0,K328&lt;K$25,J$24,K328&lt;K$26,J$25,K328&lt;K$27,J$26,K328&lt;K$28,J$27,K328&lt;K$29,J$28,K328&lt;K$30,J$29,K328&lt;K$31,J$30,K328&lt;K$32,J$31,K328&lt;K$33,J$32,K328&lt;K$34,J$33,K328&lt;K$35,J$34,K328&lt;K$36,J$35,K328&lt;K$37,J$36,K328&lt;K$38,J$37,K328&lt;K$39,J$38,K328&lt;K$40,J$39,K328&lt;K$41,J$40,K328&lt;K$42,J$41,K328&lt;K$43,J$42,K328&lt;K$44,J$43,K328&lt;K$45,J$44,K328&lt;K$46,J$45,K328&lt;K$47,J$46,K328&gt;=K$47,J$47)</f>
        <v/>
      </c>
      <c r="K328" s="38" t="n">
        <v>278</v>
      </c>
      <c r="L328" s="31">
        <f>K328/52</f>
        <v/>
      </c>
      <c r="M328" s="39">
        <f>J328/1000000*52</f>
        <v/>
      </c>
      <c r="N328" s="33">
        <f>M328/$P$4+($I$22/$P$4)</f>
        <v/>
      </c>
      <c r="U328">
        <f>F327</f>
        <v/>
      </c>
      <c r="V328">
        <f>H327</f>
        <v/>
      </c>
      <c r="W328">
        <f>N327</f>
        <v/>
      </c>
    </row>
    <row r="329" ht="15.75" customHeight="1" s="40">
      <c r="C329" s="36">
        <f>_xlfn.IFS(E329&lt;E$24,0,E329&lt;E$26,C$24,E329&lt;E$28,C$26,E329&lt;E$30,C$28,E329&lt;E$32,C$30,E329&lt;E$34,C$32,E329&gt;=E$34,C$34)</f>
        <v/>
      </c>
      <c r="D329" s="37">
        <f>_xlfn.IFS(E329&lt;E$24,0,E329&lt;E$25,D$24,E329&lt;E$26,D$25,E329&lt;E$27,D$26,E329&lt;E$28,D$27,E329&lt;E$29,D$28,E329&lt;E$30,D$29,E329&lt;E$31,D$30,E329&lt;E$32,D$31,E329&lt;E$33,D$32,E329&lt;E$34,D$33,E329&lt;E$35,D$34,E329&gt;=E$35,D$35)</f>
        <v/>
      </c>
      <c r="E329" s="38" t="n">
        <v>279</v>
      </c>
      <c r="F329" s="31">
        <f>E329/52</f>
        <v/>
      </c>
      <c r="G329" s="39">
        <f>D329/1000000*52</f>
        <v/>
      </c>
      <c r="H329" s="33">
        <f>G329/$P$4+($C$22/$P$4)</f>
        <v/>
      </c>
      <c r="I329" s="36">
        <f>_xlfn.IFS(K329&lt;K$24,0,K329&lt;K$26,I$24,K329&lt;K$28,I$26,K329&lt;K$30,I$28,K329&lt;K$32,I$30,K329&lt;K$34,I$32,K329&lt;K$36,I$34,K329&lt;K$38,I$36,K329&lt;K$40,I$38,K329&lt;K$42,I$40,K329&lt;K$44,I$42,K329&lt;K$46,I$44,K329&gt;=K$46,I$46)</f>
        <v/>
      </c>
      <c r="J329" s="37">
        <f>_xlfn.IFS(K329&lt;K$24,0,K329&lt;K$25,J$24,K329&lt;K$26,J$25,K329&lt;K$27,J$26,K329&lt;K$28,J$27,K329&lt;K$29,J$28,K329&lt;K$30,J$29,K329&lt;K$31,J$30,K329&lt;K$32,J$31,K329&lt;K$33,J$32,K329&lt;K$34,J$33,K329&lt;K$35,J$34,K329&lt;K$36,J$35,K329&lt;K$37,J$36,K329&lt;K$38,J$37,K329&lt;K$39,J$38,K329&lt;K$40,J$39,K329&lt;K$41,J$40,K329&lt;K$42,J$41,K329&lt;K$43,J$42,K329&lt;K$44,J$43,K329&lt;K$45,J$44,K329&lt;K$46,J$45,K329&lt;K$47,J$46,K329&gt;=K$47,J$47)</f>
        <v/>
      </c>
      <c r="K329" s="38" t="n">
        <v>279</v>
      </c>
      <c r="L329" s="31">
        <f>K329/52</f>
        <v/>
      </c>
      <c r="M329" s="39">
        <f>J329/1000000*52</f>
        <v/>
      </c>
      <c r="N329" s="33">
        <f>M329/$P$4+($I$22/$P$4)</f>
        <v/>
      </c>
      <c r="U329">
        <f>F328</f>
        <v/>
      </c>
      <c r="V329">
        <f>H328</f>
        <v/>
      </c>
      <c r="W329">
        <f>N328</f>
        <v/>
      </c>
    </row>
    <row r="330" ht="15.75" customHeight="1" s="40">
      <c r="C330" s="36">
        <f>_xlfn.IFS(E330&lt;E$24,0,E330&lt;E$26,C$24,E330&lt;E$28,C$26,E330&lt;E$30,C$28,E330&lt;E$32,C$30,E330&lt;E$34,C$32,E330&gt;=E$34,C$34)</f>
        <v/>
      </c>
      <c r="D330" s="37">
        <f>_xlfn.IFS(E330&lt;E$24,0,E330&lt;E$25,D$24,E330&lt;E$26,D$25,E330&lt;E$27,D$26,E330&lt;E$28,D$27,E330&lt;E$29,D$28,E330&lt;E$30,D$29,E330&lt;E$31,D$30,E330&lt;E$32,D$31,E330&lt;E$33,D$32,E330&lt;E$34,D$33,E330&lt;E$35,D$34,E330&gt;=E$35,D$35)</f>
        <v/>
      </c>
      <c r="E330" s="38" t="n">
        <v>280</v>
      </c>
      <c r="F330" s="31">
        <f>E330/52</f>
        <v/>
      </c>
      <c r="G330" s="39">
        <f>D330/1000000*52</f>
        <v/>
      </c>
      <c r="H330" s="33">
        <f>G330/$P$4+($C$22/$P$4)</f>
        <v/>
      </c>
      <c r="I330" s="36">
        <f>_xlfn.IFS(K330&lt;K$24,0,K330&lt;K$26,I$24,K330&lt;K$28,I$26,K330&lt;K$30,I$28,K330&lt;K$32,I$30,K330&lt;K$34,I$32,K330&lt;K$36,I$34,K330&lt;K$38,I$36,K330&lt;K$40,I$38,K330&lt;K$42,I$40,K330&lt;K$44,I$42,K330&lt;K$46,I$44,K330&gt;=K$46,I$46)</f>
        <v/>
      </c>
      <c r="J330" s="37">
        <f>_xlfn.IFS(K330&lt;K$24,0,K330&lt;K$25,J$24,K330&lt;K$26,J$25,K330&lt;K$27,J$26,K330&lt;K$28,J$27,K330&lt;K$29,J$28,K330&lt;K$30,J$29,K330&lt;K$31,J$30,K330&lt;K$32,J$31,K330&lt;K$33,J$32,K330&lt;K$34,J$33,K330&lt;K$35,J$34,K330&lt;K$36,J$35,K330&lt;K$37,J$36,K330&lt;K$38,J$37,K330&lt;K$39,J$38,K330&lt;K$40,J$39,K330&lt;K$41,J$40,K330&lt;K$42,J$41,K330&lt;K$43,J$42,K330&lt;K$44,J$43,K330&lt;K$45,J$44,K330&lt;K$46,J$45,K330&lt;K$47,J$46,K330&gt;=K$47,J$47)</f>
        <v/>
      </c>
      <c r="K330" s="38" t="n">
        <v>280</v>
      </c>
      <c r="L330" s="31">
        <f>K330/52</f>
        <v/>
      </c>
      <c r="M330" s="39">
        <f>J330/1000000*52</f>
        <v/>
      </c>
      <c r="N330" s="33">
        <f>M330/$P$4+($I$22/$P$4)</f>
        <v/>
      </c>
      <c r="U330">
        <f>F329</f>
        <v/>
      </c>
      <c r="V330">
        <f>H329</f>
        <v/>
      </c>
      <c r="W330">
        <f>N329</f>
        <v/>
      </c>
    </row>
    <row r="331" ht="15.75" customHeight="1" s="40">
      <c r="C331" s="36">
        <f>_xlfn.IFS(E331&lt;E$24,0,E331&lt;E$26,C$24,E331&lt;E$28,C$26,E331&lt;E$30,C$28,E331&lt;E$32,C$30,E331&lt;E$34,C$32,E331&gt;=E$34,C$34)</f>
        <v/>
      </c>
      <c r="D331" s="37">
        <f>_xlfn.IFS(E331&lt;E$24,0,E331&lt;E$25,D$24,E331&lt;E$26,D$25,E331&lt;E$27,D$26,E331&lt;E$28,D$27,E331&lt;E$29,D$28,E331&lt;E$30,D$29,E331&lt;E$31,D$30,E331&lt;E$32,D$31,E331&lt;E$33,D$32,E331&lt;E$34,D$33,E331&lt;E$35,D$34,E331&gt;=E$35,D$35)</f>
        <v/>
      </c>
      <c r="E331" s="38" t="n">
        <v>281</v>
      </c>
      <c r="F331" s="31">
        <f>E331/52</f>
        <v/>
      </c>
      <c r="G331" s="39">
        <f>D331/1000000*52</f>
        <v/>
      </c>
      <c r="H331" s="33">
        <f>G331/$P$4+($C$22/$P$4)</f>
        <v/>
      </c>
      <c r="I331" s="36">
        <f>_xlfn.IFS(K331&lt;K$24,0,K331&lt;K$26,I$24,K331&lt;K$28,I$26,K331&lt;K$30,I$28,K331&lt;K$32,I$30,K331&lt;K$34,I$32,K331&lt;K$36,I$34,K331&lt;K$38,I$36,K331&lt;K$40,I$38,K331&lt;K$42,I$40,K331&lt;K$44,I$42,K331&lt;K$46,I$44,K331&gt;=K$46,I$46)</f>
        <v/>
      </c>
      <c r="J331" s="37">
        <f>_xlfn.IFS(K331&lt;K$24,0,K331&lt;K$25,J$24,K331&lt;K$26,J$25,K331&lt;K$27,J$26,K331&lt;K$28,J$27,K331&lt;K$29,J$28,K331&lt;K$30,J$29,K331&lt;K$31,J$30,K331&lt;K$32,J$31,K331&lt;K$33,J$32,K331&lt;K$34,J$33,K331&lt;K$35,J$34,K331&lt;K$36,J$35,K331&lt;K$37,J$36,K331&lt;K$38,J$37,K331&lt;K$39,J$38,K331&lt;K$40,J$39,K331&lt;K$41,J$40,K331&lt;K$42,J$41,K331&lt;K$43,J$42,K331&lt;K$44,J$43,K331&lt;K$45,J$44,K331&lt;K$46,J$45,K331&lt;K$47,J$46,K331&gt;=K$47,J$47)</f>
        <v/>
      </c>
      <c r="K331" s="38" t="n">
        <v>281</v>
      </c>
      <c r="L331" s="31">
        <f>K331/52</f>
        <v/>
      </c>
      <c r="M331" s="39">
        <f>J331/1000000*52</f>
        <v/>
      </c>
      <c r="N331" s="33">
        <f>M331/$P$4+($I$22/$P$4)</f>
        <v/>
      </c>
      <c r="U331">
        <f>F330</f>
        <v/>
      </c>
      <c r="V331">
        <f>H330</f>
        <v/>
      </c>
      <c r="W331">
        <f>N330</f>
        <v/>
      </c>
    </row>
    <row r="332" ht="15.75" customHeight="1" s="40">
      <c r="C332" s="36">
        <f>_xlfn.IFS(E332&lt;E$24,0,E332&lt;E$26,C$24,E332&lt;E$28,C$26,E332&lt;E$30,C$28,E332&lt;E$32,C$30,E332&lt;E$34,C$32,E332&gt;=E$34,C$34)</f>
        <v/>
      </c>
      <c r="D332" s="37">
        <f>_xlfn.IFS(E332&lt;E$24,0,E332&lt;E$25,D$24,E332&lt;E$26,D$25,E332&lt;E$27,D$26,E332&lt;E$28,D$27,E332&lt;E$29,D$28,E332&lt;E$30,D$29,E332&lt;E$31,D$30,E332&lt;E$32,D$31,E332&lt;E$33,D$32,E332&lt;E$34,D$33,E332&lt;E$35,D$34,E332&gt;=E$35,D$35)</f>
        <v/>
      </c>
      <c r="E332" s="38" t="n">
        <v>282</v>
      </c>
      <c r="F332" s="31">
        <f>E332/52</f>
        <v/>
      </c>
      <c r="G332" s="39">
        <f>D332/1000000*52</f>
        <v/>
      </c>
      <c r="H332" s="33">
        <f>G332/$P$4+($C$22/$P$4)</f>
        <v/>
      </c>
      <c r="I332" s="36">
        <f>_xlfn.IFS(K332&lt;K$24,0,K332&lt;K$26,I$24,K332&lt;K$28,I$26,K332&lt;K$30,I$28,K332&lt;K$32,I$30,K332&lt;K$34,I$32,K332&lt;K$36,I$34,K332&lt;K$38,I$36,K332&lt;K$40,I$38,K332&lt;K$42,I$40,K332&lt;K$44,I$42,K332&lt;K$46,I$44,K332&gt;=K$46,I$46)</f>
        <v/>
      </c>
      <c r="J332" s="37">
        <f>_xlfn.IFS(K332&lt;K$24,0,K332&lt;K$25,J$24,K332&lt;K$26,J$25,K332&lt;K$27,J$26,K332&lt;K$28,J$27,K332&lt;K$29,J$28,K332&lt;K$30,J$29,K332&lt;K$31,J$30,K332&lt;K$32,J$31,K332&lt;K$33,J$32,K332&lt;K$34,J$33,K332&lt;K$35,J$34,K332&lt;K$36,J$35,K332&lt;K$37,J$36,K332&lt;K$38,J$37,K332&lt;K$39,J$38,K332&lt;K$40,J$39,K332&lt;K$41,J$40,K332&lt;K$42,J$41,K332&lt;K$43,J$42,K332&lt;K$44,J$43,K332&lt;K$45,J$44,K332&lt;K$46,J$45,K332&lt;K$47,J$46,K332&gt;=K$47,J$47)</f>
        <v/>
      </c>
      <c r="K332" s="38" t="n">
        <v>282</v>
      </c>
      <c r="L332" s="31">
        <f>K332/52</f>
        <v/>
      </c>
      <c r="M332" s="39">
        <f>J332/1000000*52</f>
        <v/>
      </c>
      <c r="N332" s="33">
        <f>M332/$P$4+($I$22/$P$4)</f>
        <v/>
      </c>
      <c r="U332">
        <f>F331</f>
        <v/>
      </c>
      <c r="V332">
        <f>H331</f>
        <v/>
      </c>
      <c r="W332">
        <f>N331</f>
        <v/>
      </c>
    </row>
    <row r="333" ht="15.75" customHeight="1" s="40">
      <c r="C333" s="36">
        <f>_xlfn.IFS(E333&lt;E$24,0,E333&lt;E$26,C$24,E333&lt;E$28,C$26,E333&lt;E$30,C$28,E333&lt;E$32,C$30,E333&lt;E$34,C$32,E333&gt;=E$34,C$34)</f>
        <v/>
      </c>
      <c r="D333" s="37">
        <f>_xlfn.IFS(E333&lt;E$24,0,E333&lt;E$25,D$24,E333&lt;E$26,D$25,E333&lt;E$27,D$26,E333&lt;E$28,D$27,E333&lt;E$29,D$28,E333&lt;E$30,D$29,E333&lt;E$31,D$30,E333&lt;E$32,D$31,E333&lt;E$33,D$32,E333&lt;E$34,D$33,E333&lt;E$35,D$34,E333&gt;=E$35,D$35)</f>
        <v/>
      </c>
      <c r="E333" s="38" t="n">
        <v>283</v>
      </c>
      <c r="F333" s="31">
        <f>E333/52</f>
        <v/>
      </c>
      <c r="G333" s="39">
        <f>D333/1000000*52</f>
        <v/>
      </c>
      <c r="H333" s="33">
        <f>G333/$P$4+($C$22/$P$4)</f>
        <v/>
      </c>
      <c r="I333" s="36">
        <f>_xlfn.IFS(K333&lt;K$24,0,K333&lt;K$26,I$24,K333&lt;K$28,I$26,K333&lt;K$30,I$28,K333&lt;K$32,I$30,K333&lt;K$34,I$32,K333&lt;K$36,I$34,K333&lt;K$38,I$36,K333&lt;K$40,I$38,K333&lt;K$42,I$40,K333&lt;K$44,I$42,K333&lt;K$46,I$44,K333&gt;=K$46,I$46)</f>
        <v/>
      </c>
      <c r="J333" s="37">
        <f>_xlfn.IFS(K333&lt;K$24,0,K333&lt;K$25,J$24,K333&lt;K$26,J$25,K333&lt;K$27,J$26,K333&lt;K$28,J$27,K333&lt;K$29,J$28,K333&lt;K$30,J$29,K333&lt;K$31,J$30,K333&lt;K$32,J$31,K333&lt;K$33,J$32,K333&lt;K$34,J$33,K333&lt;K$35,J$34,K333&lt;K$36,J$35,K333&lt;K$37,J$36,K333&lt;K$38,J$37,K333&lt;K$39,J$38,K333&lt;K$40,J$39,K333&lt;K$41,J$40,K333&lt;K$42,J$41,K333&lt;K$43,J$42,K333&lt;K$44,J$43,K333&lt;K$45,J$44,K333&lt;K$46,J$45,K333&lt;K$47,J$46,K333&gt;=K$47,J$47)</f>
        <v/>
      </c>
      <c r="K333" s="38" t="n">
        <v>283</v>
      </c>
      <c r="L333" s="31">
        <f>K333/52</f>
        <v/>
      </c>
      <c r="M333" s="39">
        <f>J333/1000000*52</f>
        <v/>
      </c>
      <c r="N333" s="33">
        <f>M333/$P$4+($I$22/$P$4)</f>
        <v/>
      </c>
      <c r="U333">
        <f>F332</f>
        <v/>
      </c>
      <c r="V333">
        <f>H332</f>
        <v/>
      </c>
      <c r="W333">
        <f>N332</f>
        <v/>
      </c>
    </row>
    <row r="334" ht="15.75" customHeight="1" s="40">
      <c r="C334" s="36">
        <f>_xlfn.IFS(E334&lt;E$24,0,E334&lt;E$26,C$24,E334&lt;E$28,C$26,E334&lt;E$30,C$28,E334&lt;E$32,C$30,E334&lt;E$34,C$32,E334&gt;=E$34,C$34)</f>
        <v/>
      </c>
      <c r="D334" s="37">
        <f>_xlfn.IFS(E334&lt;E$24,0,E334&lt;E$25,D$24,E334&lt;E$26,D$25,E334&lt;E$27,D$26,E334&lt;E$28,D$27,E334&lt;E$29,D$28,E334&lt;E$30,D$29,E334&lt;E$31,D$30,E334&lt;E$32,D$31,E334&lt;E$33,D$32,E334&lt;E$34,D$33,E334&lt;E$35,D$34,E334&gt;=E$35,D$35)</f>
        <v/>
      </c>
      <c r="E334" s="38" t="n">
        <v>284</v>
      </c>
      <c r="F334" s="31">
        <f>E334/52</f>
        <v/>
      </c>
      <c r="G334" s="39">
        <f>D334/1000000*52</f>
        <v/>
      </c>
      <c r="H334" s="33">
        <f>G334/$P$4+($C$22/$P$4)</f>
        <v/>
      </c>
      <c r="I334" s="36">
        <f>_xlfn.IFS(K334&lt;K$24,0,K334&lt;K$26,I$24,K334&lt;K$28,I$26,K334&lt;K$30,I$28,K334&lt;K$32,I$30,K334&lt;K$34,I$32,K334&lt;K$36,I$34,K334&lt;K$38,I$36,K334&lt;K$40,I$38,K334&lt;K$42,I$40,K334&lt;K$44,I$42,K334&lt;K$46,I$44,K334&gt;=K$46,I$46)</f>
        <v/>
      </c>
      <c r="J334" s="37">
        <f>_xlfn.IFS(K334&lt;K$24,0,K334&lt;K$25,J$24,K334&lt;K$26,J$25,K334&lt;K$27,J$26,K334&lt;K$28,J$27,K334&lt;K$29,J$28,K334&lt;K$30,J$29,K334&lt;K$31,J$30,K334&lt;K$32,J$31,K334&lt;K$33,J$32,K334&lt;K$34,J$33,K334&lt;K$35,J$34,K334&lt;K$36,J$35,K334&lt;K$37,J$36,K334&lt;K$38,J$37,K334&lt;K$39,J$38,K334&lt;K$40,J$39,K334&lt;K$41,J$40,K334&lt;K$42,J$41,K334&lt;K$43,J$42,K334&lt;K$44,J$43,K334&lt;K$45,J$44,K334&lt;K$46,J$45,K334&lt;K$47,J$46,K334&gt;=K$47,J$47)</f>
        <v/>
      </c>
      <c r="K334" s="38" t="n">
        <v>284</v>
      </c>
      <c r="L334" s="31">
        <f>K334/52</f>
        <v/>
      </c>
      <c r="M334" s="39">
        <f>J334/1000000*52</f>
        <v/>
      </c>
      <c r="N334" s="33">
        <f>M334/$P$4+($I$22/$P$4)</f>
        <v/>
      </c>
      <c r="U334">
        <f>F333</f>
        <v/>
      </c>
      <c r="V334">
        <f>H333</f>
        <v/>
      </c>
      <c r="W334">
        <f>N333</f>
        <v/>
      </c>
    </row>
    <row r="335" ht="15.75" customHeight="1" s="40">
      <c r="C335" s="36">
        <f>_xlfn.IFS(E335&lt;E$24,0,E335&lt;E$26,C$24,E335&lt;E$28,C$26,E335&lt;E$30,C$28,E335&lt;E$32,C$30,E335&lt;E$34,C$32,E335&gt;=E$34,C$34)</f>
        <v/>
      </c>
      <c r="D335" s="37">
        <f>_xlfn.IFS(E335&lt;E$24,0,E335&lt;E$25,D$24,E335&lt;E$26,D$25,E335&lt;E$27,D$26,E335&lt;E$28,D$27,E335&lt;E$29,D$28,E335&lt;E$30,D$29,E335&lt;E$31,D$30,E335&lt;E$32,D$31,E335&lt;E$33,D$32,E335&lt;E$34,D$33,E335&lt;E$35,D$34,E335&gt;=E$35,D$35)</f>
        <v/>
      </c>
      <c r="E335" s="38" t="n">
        <v>285</v>
      </c>
      <c r="F335" s="31">
        <f>E335/52</f>
        <v/>
      </c>
      <c r="G335" s="39">
        <f>D335/1000000*52</f>
        <v/>
      </c>
      <c r="H335" s="33">
        <f>G335/$P$4+($C$22/$P$4)</f>
        <v/>
      </c>
      <c r="I335" s="36">
        <f>_xlfn.IFS(K335&lt;K$24,0,K335&lt;K$26,I$24,K335&lt;K$28,I$26,K335&lt;K$30,I$28,K335&lt;K$32,I$30,K335&lt;K$34,I$32,K335&lt;K$36,I$34,K335&lt;K$38,I$36,K335&lt;K$40,I$38,K335&lt;K$42,I$40,K335&lt;K$44,I$42,K335&lt;K$46,I$44,K335&gt;=K$46,I$46)</f>
        <v/>
      </c>
      <c r="J335" s="37">
        <f>_xlfn.IFS(K335&lt;K$24,0,K335&lt;K$25,J$24,K335&lt;K$26,J$25,K335&lt;K$27,J$26,K335&lt;K$28,J$27,K335&lt;K$29,J$28,K335&lt;K$30,J$29,K335&lt;K$31,J$30,K335&lt;K$32,J$31,K335&lt;K$33,J$32,K335&lt;K$34,J$33,K335&lt;K$35,J$34,K335&lt;K$36,J$35,K335&lt;K$37,J$36,K335&lt;K$38,J$37,K335&lt;K$39,J$38,K335&lt;K$40,J$39,K335&lt;K$41,J$40,K335&lt;K$42,J$41,K335&lt;K$43,J$42,K335&lt;K$44,J$43,K335&lt;K$45,J$44,K335&lt;K$46,J$45,K335&lt;K$47,J$46,K335&gt;=K$47,J$47)</f>
        <v/>
      </c>
      <c r="K335" s="38" t="n">
        <v>285</v>
      </c>
      <c r="L335" s="31">
        <f>K335/52</f>
        <v/>
      </c>
      <c r="M335" s="39">
        <f>J335/1000000*52</f>
        <v/>
      </c>
      <c r="N335" s="33">
        <f>M335/$P$4+($I$22/$P$4)</f>
        <v/>
      </c>
      <c r="U335">
        <f>F334</f>
        <v/>
      </c>
      <c r="V335">
        <f>H334</f>
        <v/>
      </c>
      <c r="W335">
        <f>N334</f>
        <v/>
      </c>
    </row>
    <row r="336" ht="15.75" customHeight="1" s="40">
      <c r="C336" s="36">
        <f>_xlfn.IFS(E336&lt;E$24,0,E336&lt;E$26,C$24,E336&lt;E$28,C$26,E336&lt;E$30,C$28,E336&lt;E$32,C$30,E336&lt;E$34,C$32,E336&gt;=E$34,C$34)</f>
        <v/>
      </c>
      <c r="D336" s="37">
        <f>_xlfn.IFS(E336&lt;E$24,0,E336&lt;E$25,D$24,E336&lt;E$26,D$25,E336&lt;E$27,D$26,E336&lt;E$28,D$27,E336&lt;E$29,D$28,E336&lt;E$30,D$29,E336&lt;E$31,D$30,E336&lt;E$32,D$31,E336&lt;E$33,D$32,E336&lt;E$34,D$33,E336&lt;E$35,D$34,E336&gt;=E$35,D$35)</f>
        <v/>
      </c>
      <c r="E336" s="38" t="n">
        <v>286</v>
      </c>
      <c r="F336" s="31">
        <f>E336/52</f>
        <v/>
      </c>
      <c r="G336" s="39">
        <f>D336/1000000*52</f>
        <v/>
      </c>
      <c r="H336" s="33">
        <f>G336/$P$4+($C$22/$P$4)</f>
        <v/>
      </c>
      <c r="I336" s="36">
        <f>_xlfn.IFS(K336&lt;K$24,0,K336&lt;K$26,I$24,K336&lt;K$28,I$26,K336&lt;K$30,I$28,K336&lt;K$32,I$30,K336&lt;K$34,I$32,K336&lt;K$36,I$34,K336&lt;K$38,I$36,K336&lt;K$40,I$38,K336&lt;K$42,I$40,K336&lt;K$44,I$42,K336&lt;K$46,I$44,K336&gt;=K$46,I$46)</f>
        <v/>
      </c>
      <c r="J336" s="37">
        <f>_xlfn.IFS(K336&lt;K$24,0,K336&lt;K$25,J$24,K336&lt;K$26,J$25,K336&lt;K$27,J$26,K336&lt;K$28,J$27,K336&lt;K$29,J$28,K336&lt;K$30,J$29,K336&lt;K$31,J$30,K336&lt;K$32,J$31,K336&lt;K$33,J$32,K336&lt;K$34,J$33,K336&lt;K$35,J$34,K336&lt;K$36,J$35,K336&lt;K$37,J$36,K336&lt;K$38,J$37,K336&lt;K$39,J$38,K336&lt;K$40,J$39,K336&lt;K$41,J$40,K336&lt;K$42,J$41,K336&lt;K$43,J$42,K336&lt;K$44,J$43,K336&lt;K$45,J$44,K336&lt;K$46,J$45,K336&lt;K$47,J$46,K336&gt;=K$47,J$47)</f>
        <v/>
      </c>
      <c r="K336" s="38" t="n">
        <v>286</v>
      </c>
      <c r="L336" s="31">
        <f>K336/52</f>
        <v/>
      </c>
      <c r="M336" s="39">
        <f>J336/1000000*52</f>
        <v/>
      </c>
      <c r="N336" s="33">
        <f>M336/$P$4+($I$22/$P$4)</f>
        <v/>
      </c>
      <c r="U336">
        <f>F335</f>
        <v/>
      </c>
      <c r="V336">
        <f>H335</f>
        <v/>
      </c>
      <c r="W336">
        <f>N335</f>
        <v/>
      </c>
    </row>
    <row r="337" ht="15.75" customHeight="1" s="40">
      <c r="C337" s="36">
        <f>_xlfn.IFS(E337&lt;E$24,0,E337&lt;E$26,C$24,E337&lt;E$28,C$26,E337&lt;E$30,C$28,E337&lt;E$32,C$30,E337&lt;E$34,C$32,E337&gt;=E$34,C$34)</f>
        <v/>
      </c>
      <c r="D337" s="37">
        <f>_xlfn.IFS(E337&lt;E$24,0,E337&lt;E$25,D$24,E337&lt;E$26,D$25,E337&lt;E$27,D$26,E337&lt;E$28,D$27,E337&lt;E$29,D$28,E337&lt;E$30,D$29,E337&lt;E$31,D$30,E337&lt;E$32,D$31,E337&lt;E$33,D$32,E337&lt;E$34,D$33,E337&lt;E$35,D$34,E337&gt;=E$35,D$35)</f>
        <v/>
      </c>
      <c r="E337" s="38" t="n">
        <v>287</v>
      </c>
      <c r="F337" s="31">
        <f>E337/52</f>
        <v/>
      </c>
      <c r="G337" s="39">
        <f>D337/1000000*52</f>
        <v/>
      </c>
      <c r="H337" s="33">
        <f>G337/$P$4+($C$22/$P$4)</f>
        <v/>
      </c>
      <c r="I337" s="36">
        <f>_xlfn.IFS(K337&lt;K$24,0,K337&lt;K$26,I$24,K337&lt;K$28,I$26,K337&lt;K$30,I$28,K337&lt;K$32,I$30,K337&lt;K$34,I$32,K337&lt;K$36,I$34,K337&lt;K$38,I$36,K337&lt;K$40,I$38,K337&lt;K$42,I$40,K337&lt;K$44,I$42,K337&lt;K$46,I$44,K337&gt;=K$46,I$46)</f>
        <v/>
      </c>
      <c r="J337" s="37">
        <f>_xlfn.IFS(K337&lt;K$24,0,K337&lt;K$25,J$24,K337&lt;K$26,J$25,K337&lt;K$27,J$26,K337&lt;K$28,J$27,K337&lt;K$29,J$28,K337&lt;K$30,J$29,K337&lt;K$31,J$30,K337&lt;K$32,J$31,K337&lt;K$33,J$32,K337&lt;K$34,J$33,K337&lt;K$35,J$34,K337&lt;K$36,J$35,K337&lt;K$37,J$36,K337&lt;K$38,J$37,K337&lt;K$39,J$38,K337&lt;K$40,J$39,K337&lt;K$41,J$40,K337&lt;K$42,J$41,K337&lt;K$43,J$42,K337&lt;K$44,J$43,K337&lt;K$45,J$44,K337&lt;K$46,J$45,K337&lt;K$47,J$46,K337&gt;=K$47,J$47)</f>
        <v/>
      </c>
      <c r="K337" s="38" t="n">
        <v>287</v>
      </c>
      <c r="L337" s="31">
        <f>K337/52</f>
        <v/>
      </c>
      <c r="M337" s="39">
        <f>J337/1000000*52</f>
        <v/>
      </c>
      <c r="N337" s="33">
        <f>M337/$P$4+($I$22/$P$4)</f>
        <v/>
      </c>
      <c r="U337">
        <f>F336</f>
        <v/>
      </c>
      <c r="V337">
        <f>H336</f>
        <v/>
      </c>
      <c r="W337">
        <f>N336</f>
        <v/>
      </c>
    </row>
    <row r="338" ht="15.75" customHeight="1" s="40">
      <c r="C338" s="36">
        <f>_xlfn.IFS(E338&lt;E$24,0,E338&lt;E$26,C$24,E338&lt;E$28,C$26,E338&lt;E$30,C$28,E338&lt;E$32,C$30,E338&lt;E$34,C$32,E338&gt;=E$34,C$34)</f>
        <v/>
      </c>
      <c r="D338" s="37">
        <f>_xlfn.IFS(E338&lt;E$24,0,E338&lt;E$25,D$24,E338&lt;E$26,D$25,E338&lt;E$27,D$26,E338&lt;E$28,D$27,E338&lt;E$29,D$28,E338&lt;E$30,D$29,E338&lt;E$31,D$30,E338&lt;E$32,D$31,E338&lt;E$33,D$32,E338&lt;E$34,D$33,E338&lt;E$35,D$34,E338&gt;=E$35,D$35)</f>
        <v/>
      </c>
      <c r="E338" s="38" t="n">
        <v>288</v>
      </c>
      <c r="F338" s="31">
        <f>E338/52</f>
        <v/>
      </c>
      <c r="G338" s="39">
        <f>D338/1000000*52</f>
        <v/>
      </c>
      <c r="H338" s="33">
        <f>G338/$P$4+($C$22/$P$4)</f>
        <v/>
      </c>
      <c r="I338" s="36">
        <f>_xlfn.IFS(K338&lt;K$24,0,K338&lt;K$26,I$24,K338&lt;K$28,I$26,K338&lt;K$30,I$28,K338&lt;K$32,I$30,K338&lt;K$34,I$32,K338&lt;K$36,I$34,K338&lt;K$38,I$36,K338&lt;K$40,I$38,K338&lt;K$42,I$40,K338&lt;K$44,I$42,K338&lt;K$46,I$44,K338&gt;=K$46,I$46)</f>
        <v/>
      </c>
      <c r="J338" s="37">
        <f>_xlfn.IFS(K338&lt;K$24,0,K338&lt;K$25,J$24,K338&lt;K$26,J$25,K338&lt;K$27,J$26,K338&lt;K$28,J$27,K338&lt;K$29,J$28,K338&lt;K$30,J$29,K338&lt;K$31,J$30,K338&lt;K$32,J$31,K338&lt;K$33,J$32,K338&lt;K$34,J$33,K338&lt;K$35,J$34,K338&lt;K$36,J$35,K338&lt;K$37,J$36,K338&lt;K$38,J$37,K338&lt;K$39,J$38,K338&lt;K$40,J$39,K338&lt;K$41,J$40,K338&lt;K$42,J$41,K338&lt;K$43,J$42,K338&lt;K$44,J$43,K338&lt;K$45,J$44,K338&lt;K$46,J$45,K338&lt;K$47,J$46,K338&gt;=K$47,J$47)</f>
        <v/>
      </c>
      <c r="K338" s="38" t="n">
        <v>288</v>
      </c>
      <c r="L338" s="31">
        <f>K338/52</f>
        <v/>
      </c>
      <c r="M338" s="39">
        <f>J338/1000000*52</f>
        <v/>
      </c>
      <c r="N338" s="33">
        <f>M338/$P$4+($I$22/$P$4)</f>
        <v/>
      </c>
      <c r="U338">
        <f>F337</f>
        <v/>
      </c>
      <c r="V338">
        <f>H337</f>
        <v/>
      </c>
      <c r="W338">
        <f>N337</f>
        <v/>
      </c>
    </row>
    <row r="339" ht="15.75" customHeight="1" s="40">
      <c r="C339" s="36">
        <f>_xlfn.IFS(E339&lt;E$24,0,E339&lt;E$26,C$24,E339&lt;E$28,C$26,E339&lt;E$30,C$28,E339&lt;E$32,C$30,E339&lt;E$34,C$32,E339&gt;=E$34,C$34)</f>
        <v/>
      </c>
      <c r="D339" s="37">
        <f>_xlfn.IFS(E339&lt;E$24,0,E339&lt;E$25,D$24,E339&lt;E$26,D$25,E339&lt;E$27,D$26,E339&lt;E$28,D$27,E339&lt;E$29,D$28,E339&lt;E$30,D$29,E339&lt;E$31,D$30,E339&lt;E$32,D$31,E339&lt;E$33,D$32,E339&lt;E$34,D$33,E339&lt;E$35,D$34,E339&gt;=E$35,D$35)</f>
        <v/>
      </c>
      <c r="E339" s="38" t="n">
        <v>289</v>
      </c>
      <c r="F339" s="31">
        <f>E339/52</f>
        <v/>
      </c>
      <c r="G339" s="39">
        <f>D339/1000000*52</f>
        <v/>
      </c>
      <c r="H339" s="33">
        <f>G339/$P$4+($C$22/$P$4)</f>
        <v/>
      </c>
      <c r="I339" s="36">
        <f>_xlfn.IFS(K339&lt;K$24,0,K339&lt;K$26,I$24,K339&lt;K$28,I$26,K339&lt;K$30,I$28,K339&lt;K$32,I$30,K339&lt;K$34,I$32,K339&lt;K$36,I$34,K339&lt;K$38,I$36,K339&lt;K$40,I$38,K339&lt;K$42,I$40,K339&lt;K$44,I$42,K339&lt;K$46,I$44,K339&gt;=K$46,I$46)</f>
        <v/>
      </c>
      <c r="J339" s="37">
        <f>_xlfn.IFS(K339&lt;K$24,0,K339&lt;K$25,J$24,K339&lt;K$26,J$25,K339&lt;K$27,J$26,K339&lt;K$28,J$27,K339&lt;K$29,J$28,K339&lt;K$30,J$29,K339&lt;K$31,J$30,K339&lt;K$32,J$31,K339&lt;K$33,J$32,K339&lt;K$34,J$33,K339&lt;K$35,J$34,K339&lt;K$36,J$35,K339&lt;K$37,J$36,K339&lt;K$38,J$37,K339&lt;K$39,J$38,K339&lt;K$40,J$39,K339&lt;K$41,J$40,K339&lt;K$42,J$41,K339&lt;K$43,J$42,K339&lt;K$44,J$43,K339&lt;K$45,J$44,K339&lt;K$46,J$45,K339&lt;K$47,J$46,K339&gt;=K$47,J$47)</f>
        <v/>
      </c>
      <c r="K339" s="38" t="n">
        <v>289</v>
      </c>
      <c r="L339" s="31">
        <f>K339/52</f>
        <v/>
      </c>
      <c r="M339" s="39">
        <f>J339/1000000*52</f>
        <v/>
      </c>
      <c r="N339" s="33">
        <f>M339/$P$4+($I$22/$P$4)</f>
        <v/>
      </c>
      <c r="U339">
        <f>F338</f>
        <v/>
      </c>
      <c r="V339">
        <f>H338</f>
        <v/>
      </c>
      <c r="W339">
        <f>N338</f>
        <v/>
      </c>
    </row>
    <row r="340" ht="15.75" customHeight="1" s="40">
      <c r="C340" s="36">
        <f>_xlfn.IFS(E340&lt;E$24,0,E340&lt;E$26,C$24,E340&lt;E$28,C$26,E340&lt;E$30,C$28,E340&lt;E$32,C$30,E340&lt;E$34,C$32,E340&gt;=E$34,C$34)</f>
        <v/>
      </c>
      <c r="D340" s="37">
        <f>_xlfn.IFS(E340&lt;E$24,0,E340&lt;E$25,D$24,E340&lt;E$26,D$25,E340&lt;E$27,D$26,E340&lt;E$28,D$27,E340&lt;E$29,D$28,E340&lt;E$30,D$29,E340&lt;E$31,D$30,E340&lt;E$32,D$31,E340&lt;E$33,D$32,E340&lt;E$34,D$33,E340&lt;E$35,D$34,E340&gt;=E$35,D$35)</f>
        <v/>
      </c>
      <c r="E340" s="38" t="n">
        <v>290</v>
      </c>
      <c r="F340" s="31">
        <f>E340/52</f>
        <v/>
      </c>
      <c r="G340" s="39">
        <f>D340/1000000*52</f>
        <v/>
      </c>
      <c r="H340" s="33">
        <f>G340/$P$4+($C$22/$P$4)</f>
        <v/>
      </c>
      <c r="I340" s="36">
        <f>_xlfn.IFS(K340&lt;K$24,0,K340&lt;K$26,I$24,K340&lt;K$28,I$26,K340&lt;K$30,I$28,K340&lt;K$32,I$30,K340&lt;K$34,I$32,K340&lt;K$36,I$34,K340&lt;K$38,I$36,K340&lt;K$40,I$38,K340&lt;K$42,I$40,K340&lt;K$44,I$42,K340&lt;K$46,I$44,K340&gt;=K$46,I$46)</f>
        <v/>
      </c>
      <c r="J340" s="37">
        <f>_xlfn.IFS(K340&lt;K$24,0,K340&lt;K$25,J$24,K340&lt;K$26,J$25,K340&lt;K$27,J$26,K340&lt;K$28,J$27,K340&lt;K$29,J$28,K340&lt;K$30,J$29,K340&lt;K$31,J$30,K340&lt;K$32,J$31,K340&lt;K$33,J$32,K340&lt;K$34,J$33,K340&lt;K$35,J$34,K340&lt;K$36,J$35,K340&lt;K$37,J$36,K340&lt;K$38,J$37,K340&lt;K$39,J$38,K340&lt;K$40,J$39,K340&lt;K$41,J$40,K340&lt;K$42,J$41,K340&lt;K$43,J$42,K340&lt;K$44,J$43,K340&lt;K$45,J$44,K340&lt;K$46,J$45,K340&lt;K$47,J$46,K340&gt;=K$47,J$47)</f>
        <v/>
      </c>
      <c r="K340" s="38" t="n">
        <v>290</v>
      </c>
      <c r="L340" s="31">
        <f>K340/52</f>
        <v/>
      </c>
      <c r="M340" s="39">
        <f>J340/1000000*52</f>
        <v/>
      </c>
      <c r="N340" s="33">
        <f>M340/$P$4+($I$22/$P$4)</f>
        <v/>
      </c>
      <c r="U340">
        <f>F339</f>
        <v/>
      </c>
      <c r="V340">
        <f>H339</f>
        <v/>
      </c>
      <c r="W340">
        <f>N339</f>
        <v/>
      </c>
    </row>
    <row r="341" ht="15.75" customHeight="1" s="40">
      <c r="C341" s="36">
        <f>_xlfn.IFS(E341&lt;E$24,0,E341&lt;E$26,C$24,E341&lt;E$28,C$26,E341&lt;E$30,C$28,E341&lt;E$32,C$30,E341&lt;E$34,C$32,E341&gt;=E$34,C$34)</f>
        <v/>
      </c>
      <c r="D341" s="37">
        <f>_xlfn.IFS(E341&lt;E$24,0,E341&lt;E$25,D$24,E341&lt;E$26,D$25,E341&lt;E$27,D$26,E341&lt;E$28,D$27,E341&lt;E$29,D$28,E341&lt;E$30,D$29,E341&lt;E$31,D$30,E341&lt;E$32,D$31,E341&lt;E$33,D$32,E341&lt;E$34,D$33,E341&lt;E$35,D$34,E341&gt;=E$35,D$35)</f>
        <v/>
      </c>
      <c r="E341" s="38" t="n">
        <v>291</v>
      </c>
      <c r="F341" s="31">
        <f>E341/52</f>
        <v/>
      </c>
      <c r="G341" s="39">
        <f>D341/1000000*52</f>
        <v/>
      </c>
      <c r="H341" s="33">
        <f>G341/$P$4+($C$22/$P$4)</f>
        <v/>
      </c>
      <c r="I341" s="36">
        <f>_xlfn.IFS(K341&lt;K$24,0,K341&lt;K$26,I$24,K341&lt;K$28,I$26,K341&lt;K$30,I$28,K341&lt;K$32,I$30,K341&lt;K$34,I$32,K341&lt;K$36,I$34,K341&lt;K$38,I$36,K341&lt;K$40,I$38,K341&lt;K$42,I$40,K341&lt;K$44,I$42,K341&lt;K$46,I$44,K341&gt;=K$46,I$46)</f>
        <v/>
      </c>
      <c r="J341" s="37">
        <f>_xlfn.IFS(K341&lt;K$24,0,K341&lt;K$25,J$24,K341&lt;K$26,J$25,K341&lt;K$27,J$26,K341&lt;K$28,J$27,K341&lt;K$29,J$28,K341&lt;K$30,J$29,K341&lt;K$31,J$30,K341&lt;K$32,J$31,K341&lt;K$33,J$32,K341&lt;K$34,J$33,K341&lt;K$35,J$34,K341&lt;K$36,J$35,K341&lt;K$37,J$36,K341&lt;K$38,J$37,K341&lt;K$39,J$38,K341&lt;K$40,J$39,K341&lt;K$41,J$40,K341&lt;K$42,J$41,K341&lt;K$43,J$42,K341&lt;K$44,J$43,K341&lt;K$45,J$44,K341&lt;K$46,J$45,K341&lt;K$47,J$46,K341&gt;=K$47,J$47)</f>
        <v/>
      </c>
      <c r="K341" s="38" t="n">
        <v>291</v>
      </c>
      <c r="L341" s="31">
        <f>K341/52</f>
        <v/>
      </c>
      <c r="M341" s="39">
        <f>J341/1000000*52</f>
        <v/>
      </c>
      <c r="N341" s="33">
        <f>M341/$P$4+($I$22/$P$4)</f>
        <v/>
      </c>
      <c r="U341">
        <f>F340</f>
        <v/>
      </c>
      <c r="V341">
        <f>H340</f>
        <v/>
      </c>
      <c r="W341">
        <f>N340</f>
        <v/>
      </c>
    </row>
    <row r="342" ht="15.75" customHeight="1" s="40">
      <c r="C342" s="36">
        <f>_xlfn.IFS(E342&lt;E$24,0,E342&lt;E$26,C$24,E342&lt;E$28,C$26,E342&lt;E$30,C$28,E342&lt;E$32,C$30,E342&lt;E$34,C$32,E342&gt;=E$34,C$34)</f>
        <v/>
      </c>
      <c r="D342" s="37">
        <f>_xlfn.IFS(E342&lt;E$24,0,E342&lt;E$25,D$24,E342&lt;E$26,D$25,E342&lt;E$27,D$26,E342&lt;E$28,D$27,E342&lt;E$29,D$28,E342&lt;E$30,D$29,E342&lt;E$31,D$30,E342&lt;E$32,D$31,E342&lt;E$33,D$32,E342&lt;E$34,D$33,E342&lt;E$35,D$34,E342&gt;=E$35,D$35)</f>
        <v/>
      </c>
      <c r="E342" s="38" t="n">
        <v>292</v>
      </c>
      <c r="F342" s="31">
        <f>E342/52</f>
        <v/>
      </c>
      <c r="G342" s="39">
        <f>D342/1000000*52</f>
        <v/>
      </c>
      <c r="H342" s="33">
        <f>G342/$P$4+($C$22/$P$4)</f>
        <v/>
      </c>
      <c r="I342" s="36">
        <f>_xlfn.IFS(K342&lt;K$24,0,K342&lt;K$26,I$24,K342&lt;K$28,I$26,K342&lt;K$30,I$28,K342&lt;K$32,I$30,K342&lt;K$34,I$32,K342&lt;K$36,I$34,K342&lt;K$38,I$36,K342&lt;K$40,I$38,K342&lt;K$42,I$40,K342&lt;K$44,I$42,K342&lt;K$46,I$44,K342&gt;=K$46,I$46)</f>
        <v/>
      </c>
      <c r="J342" s="37">
        <f>_xlfn.IFS(K342&lt;K$24,0,K342&lt;K$25,J$24,K342&lt;K$26,J$25,K342&lt;K$27,J$26,K342&lt;K$28,J$27,K342&lt;K$29,J$28,K342&lt;K$30,J$29,K342&lt;K$31,J$30,K342&lt;K$32,J$31,K342&lt;K$33,J$32,K342&lt;K$34,J$33,K342&lt;K$35,J$34,K342&lt;K$36,J$35,K342&lt;K$37,J$36,K342&lt;K$38,J$37,K342&lt;K$39,J$38,K342&lt;K$40,J$39,K342&lt;K$41,J$40,K342&lt;K$42,J$41,K342&lt;K$43,J$42,K342&lt;K$44,J$43,K342&lt;K$45,J$44,K342&lt;K$46,J$45,K342&lt;K$47,J$46,K342&gt;=K$47,J$47)</f>
        <v/>
      </c>
      <c r="K342" s="38" t="n">
        <v>292</v>
      </c>
      <c r="L342" s="31">
        <f>K342/52</f>
        <v/>
      </c>
      <c r="M342" s="39">
        <f>J342/1000000*52</f>
        <v/>
      </c>
      <c r="N342" s="33">
        <f>M342/$P$4+($I$22/$P$4)</f>
        <v/>
      </c>
      <c r="U342">
        <f>F341</f>
        <v/>
      </c>
      <c r="V342">
        <f>H341</f>
        <v/>
      </c>
      <c r="W342">
        <f>N341</f>
        <v/>
      </c>
    </row>
    <row r="343" ht="15.75" customHeight="1" s="40">
      <c r="C343" s="36">
        <f>_xlfn.IFS(E343&lt;E$24,0,E343&lt;E$26,C$24,E343&lt;E$28,C$26,E343&lt;E$30,C$28,E343&lt;E$32,C$30,E343&lt;E$34,C$32,E343&gt;=E$34,C$34)</f>
        <v/>
      </c>
      <c r="D343" s="37">
        <f>_xlfn.IFS(E343&lt;E$24,0,E343&lt;E$25,D$24,E343&lt;E$26,D$25,E343&lt;E$27,D$26,E343&lt;E$28,D$27,E343&lt;E$29,D$28,E343&lt;E$30,D$29,E343&lt;E$31,D$30,E343&lt;E$32,D$31,E343&lt;E$33,D$32,E343&lt;E$34,D$33,E343&lt;E$35,D$34,E343&gt;=E$35,D$35)</f>
        <v/>
      </c>
      <c r="E343" s="38" t="n">
        <v>293</v>
      </c>
      <c r="F343" s="31">
        <f>E343/52</f>
        <v/>
      </c>
      <c r="G343" s="39">
        <f>D343/1000000*52</f>
        <v/>
      </c>
      <c r="H343" s="33">
        <f>G343/$P$4+($C$22/$P$4)</f>
        <v/>
      </c>
      <c r="I343" s="36">
        <f>_xlfn.IFS(K343&lt;K$24,0,K343&lt;K$26,I$24,K343&lt;K$28,I$26,K343&lt;K$30,I$28,K343&lt;K$32,I$30,K343&lt;K$34,I$32,K343&lt;K$36,I$34,K343&lt;K$38,I$36,K343&lt;K$40,I$38,K343&lt;K$42,I$40,K343&lt;K$44,I$42,K343&lt;K$46,I$44,K343&gt;=K$46,I$46)</f>
        <v/>
      </c>
      <c r="J343" s="37">
        <f>_xlfn.IFS(K343&lt;K$24,0,K343&lt;K$25,J$24,K343&lt;K$26,J$25,K343&lt;K$27,J$26,K343&lt;K$28,J$27,K343&lt;K$29,J$28,K343&lt;K$30,J$29,K343&lt;K$31,J$30,K343&lt;K$32,J$31,K343&lt;K$33,J$32,K343&lt;K$34,J$33,K343&lt;K$35,J$34,K343&lt;K$36,J$35,K343&lt;K$37,J$36,K343&lt;K$38,J$37,K343&lt;K$39,J$38,K343&lt;K$40,J$39,K343&lt;K$41,J$40,K343&lt;K$42,J$41,K343&lt;K$43,J$42,K343&lt;K$44,J$43,K343&lt;K$45,J$44,K343&lt;K$46,J$45,K343&lt;K$47,J$46,K343&gt;=K$47,J$47)</f>
        <v/>
      </c>
      <c r="K343" s="38" t="n">
        <v>293</v>
      </c>
      <c r="L343" s="31">
        <f>K343/52</f>
        <v/>
      </c>
      <c r="M343" s="39">
        <f>J343/1000000*52</f>
        <v/>
      </c>
      <c r="N343" s="33">
        <f>M343/$P$4+($I$22/$P$4)</f>
        <v/>
      </c>
      <c r="U343">
        <f>F342</f>
        <v/>
      </c>
      <c r="V343">
        <f>H342</f>
        <v/>
      </c>
      <c r="W343">
        <f>N342</f>
        <v/>
      </c>
    </row>
    <row r="344" ht="15.75" customHeight="1" s="40">
      <c r="C344" s="36">
        <f>_xlfn.IFS(E344&lt;E$24,0,E344&lt;E$26,C$24,E344&lt;E$28,C$26,E344&lt;E$30,C$28,E344&lt;E$32,C$30,E344&lt;E$34,C$32,E344&gt;=E$34,C$34)</f>
        <v/>
      </c>
      <c r="D344" s="37">
        <f>_xlfn.IFS(E344&lt;E$24,0,E344&lt;E$25,D$24,E344&lt;E$26,D$25,E344&lt;E$27,D$26,E344&lt;E$28,D$27,E344&lt;E$29,D$28,E344&lt;E$30,D$29,E344&lt;E$31,D$30,E344&lt;E$32,D$31,E344&lt;E$33,D$32,E344&lt;E$34,D$33,E344&lt;E$35,D$34,E344&gt;=E$35,D$35)</f>
        <v/>
      </c>
      <c r="E344" s="38" t="n">
        <v>294</v>
      </c>
      <c r="F344" s="31">
        <f>E344/52</f>
        <v/>
      </c>
      <c r="G344" s="39">
        <f>D344/1000000*52</f>
        <v/>
      </c>
      <c r="H344" s="33">
        <f>G344/$P$4+($C$22/$P$4)</f>
        <v/>
      </c>
      <c r="I344" s="36">
        <f>_xlfn.IFS(K344&lt;K$24,0,K344&lt;K$26,I$24,K344&lt;K$28,I$26,K344&lt;K$30,I$28,K344&lt;K$32,I$30,K344&lt;K$34,I$32,K344&lt;K$36,I$34,K344&lt;K$38,I$36,K344&lt;K$40,I$38,K344&lt;K$42,I$40,K344&lt;K$44,I$42,K344&lt;K$46,I$44,K344&gt;=K$46,I$46)</f>
        <v/>
      </c>
      <c r="J344" s="37">
        <f>_xlfn.IFS(K344&lt;K$24,0,K344&lt;K$25,J$24,K344&lt;K$26,J$25,K344&lt;K$27,J$26,K344&lt;K$28,J$27,K344&lt;K$29,J$28,K344&lt;K$30,J$29,K344&lt;K$31,J$30,K344&lt;K$32,J$31,K344&lt;K$33,J$32,K344&lt;K$34,J$33,K344&lt;K$35,J$34,K344&lt;K$36,J$35,K344&lt;K$37,J$36,K344&lt;K$38,J$37,K344&lt;K$39,J$38,K344&lt;K$40,J$39,K344&lt;K$41,J$40,K344&lt;K$42,J$41,K344&lt;K$43,J$42,K344&lt;K$44,J$43,K344&lt;K$45,J$44,K344&lt;K$46,J$45,K344&lt;K$47,J$46,K344&gt;=K$47,J$47)</f>
        <v/>
      </c>
      <c r="K344" s="38" t="n">
        <v>294</v>
      </c>
      <c r="L344" s="31">
        <f>K344/52</f>
        <v/>
      </c>
      <c r="M344" s="39">
        <f>J344/1000000*52</f>
        <v/>
      </c>
      <c r="N344" s="33">
        <f>M344/$P$4+($I$22/$P$4)</f>
        <v/>
      </c>
      <c r="U344">
        <f>F343</f>
        <v/>
      </c>
      <c r="V344">
        <f>H343</f>
        <v/>
      </c>
      <c r="W344">
        <f>N343</f>
        <v/>
      </c>
    </row>
    <row r="345" ht="15.75" customHeight="1" s="40">
      <c r="C345" s="36">
        <f>_xlfn.IFS(E345&lt;E$24,0,E345&lt;E$26,C$24,E345&lt;E$28,C$26,E345&lt;E$30,C$28,E345&lt;E$32,C$30,E345&lt;E$34,C$32,E345&gt;=E$34,C$34)</f>
        <v/>
      </c>
      <c r="D345" s="37">
        <f>_xlfn.IFS(E345&lt;E$24,0,E345&lt;E$25,D$24,E345&lt;E$26,D$25,E345&lt;E$27,D$26,E345&lt;E$28,D$27,E345&lt;E$29,D$28,E345&lt;E$30,D$29,E345&lt;E$31,D$30,E345&lt;E$32,D$31,E345&lt;E$33,D$32,E345&lt;E$34,D$33,E345&lt;E$35,D$34,E345&gt;=E$35,D$35)</f>
        <v/>
      </c>
      <c r="E345" s="38" t="n">
        <v>295</v>
      </c>
      <c r="F345" s="31">
        <f>E345/52</f>
        <v/>
      </c>
      <c r="G345" s="39">
        <f>D345/1000000*52</f>
        <v/>
      </c>
      <c r="H345" s="33">
        <f>G345/$P$4+($C$22/$P$4)</f>
        <v/>
      </c>
      <c r="I345" s="36">
        <f>_xlfn.IFS(K345&lt;K$24,0,K345&lt;K$26,I$24,K345&lt;K$28,I$26,K345&lt;K$30,I$28,K345&lt;K$32,I$30,K345&lt;K$34,I$32,K345&lt;K$36,I$34,K345&lt;K$38,I$36,K345&lt;K$40,I$38,K345&lt;K$42,I$40,K345&lt;K$44,I$42,K345&lt;K$46,I$44,K345&gt;=K$46,I$46)</f>
        <v/>
      </c>
      <c r="J345" s="37">
        <f>_xlfn.IFS(K345&lt;K$24,0,K345&lt;K$25,J$24,K345&lt;K$26,J$25,K345&lt;K$27,J$26,K345&lt;K$28,J$27,K345&lt;K$29,J$28,K345&lt;K$30,J$29,K345&lt;K$31,J$30,K345&lt;K$32,J$31,K345&lt;K$33,J$32,K345&lt;K$34,J$33,K345&lt;K$35,J$34,K345&lt;K$36,J$35,K345&lt;K$37,J$36,K345&lt;K$38,J$37,K345&lt;K$39,J$38,K345&lt;K$40,J$39,K345&lt;K$41,J$40,K345&lt;K$42,J$41,K345&lt;K$43,J$42,K345&lt;K$44,J$43,K345&lt;K$45,J$44,K345&lt;K$46,J$45,K345&lt;K$47,J$46,K345&gt;=K$47,J$47)</f>
        <v/>
      </c>
      <c r="K345" s="38" t="n">
        <v>295</v>
      </c>
      <c r="L345" s="31">
        <f>K345/52</f>
        <v/>
      </c>
      <c r="M345" s="39">
        <f>J345/1000000*52</f>
        <v/>
      </c>
      <c r="N345" s="33">
        <f>M345/$P$4+($I$22/$P$4)</f>
        <v/>
      </c>
      <c r="U345">
        <f>F344</f>
        <v/>
      </c>
      <c r="V345">
        <f>H344</f>
        <v/>
      </c>
      <c r="W345">
        <f>N344</f>
        <v/>
      </c>
    </row>
    <row r="346" ht="15.75" customHeight="1" s="40">
      <c r="C346" s="36">
        <f>_xlfn.IFS(E346&lt;E$24,0,E346&lt;E$26,C$24,E346&lt;E$28,C$26,E346&lt;E$30,C$28,E346&lt;E$32,C$30,E346&lt;E$34,C$32,E346&gt;=E$34,C$34)</f>
        <v/>
      </c>
      <c r="D346" s="37">
        <f>_xlfn.IFS(E346&lt;E$24,0,E346&lt;E$25,D$24,E346&lt;E$26,D$25,E346&lt;E$27,D$26,E346&lt;E$28,D$27,E346&lt;E$29,D$28,E346&lt;E$30,D$29,E346&lt;E$31,D$30,E346&lt;E$32,D$31,E346&lt;E$33,D$32,E346&lt;E$34,D$33,E346&lt;E$35,D$34,E346&gt;=E$35,D$35)</f>
        <v/>
      </c>
      <c r="E346" s="38" t="n">
        <v>296</v>
      </c>
      <c r="F346" s="31">
        <f>E346/52</f>
        <v/>
      </c>
      <c r="G346" s="39">
        <f>D346/1000000*52</f>
        <v/>
      </c>
      <c r="H346" s="33">
        <f>G346/$P$4+($C$22/$P$4)</f>
        <v/>
      </c>
      <c r="I346" s="36">
        <f>_xlfn.IFS(K346&lt;K$24,0,K346&lt;K$26,I$24,K346&lt;K$28,I$26,K346&lt;K$30,I$28,K346&lt;K$32,I$30,K346&lt;K$34,I$32,K346&lt;K$36,I$34,K346&lt;K$38,I$36,K346&lt;K$40,I$38,K346&lt;K$42,I$40,K346&lt;K$44,I$42,K346&lt;K$46,I$44,K346&gt;=K$46,I$46)</f>
        <v/>
      </c>
      <c r="J346" s="37">
        <f>_xlfn.IFS(K346&lt;K$24,0,K346&lt;K$25,J$24,K346&lt;K$26,J$25,K346&lt;K$27,J$26,K346&lt;K$28,J$27,K346&lt;K$29,J$28,K346&lt;K$30,J$29,K346&lt;K$31,J$30,K346&lt;K$32,J$31,K346&lt;K$33,J$32,K346&lt;K$34,J$33,K346&lt;K$35,J$34,K346&lt;K$36,J$35,K346&lt;K$37,J$36,K346&lt;K$38,J$37,K346&lt;K$39,J$38,K346&lt;K$40,J$39,K346&lt;K$41,J$40,K346&lt;K$42,J$41,K346&lt;K$43,J$42,K346&lt;K$44,J$43,K346&lt;K$45,J$44,K346&lt;K$46,J$45,K346&lt;K$47,J$46,K346&gt;=K$47,J$47)</f>
        <v/>
      </c>
      <c r="K346" s="38" t="n">
        <v>296</v>
      </c>
      <c r="L346" s="31">
        <f>K346/52</f>
        <v/>
      </c>
      <c r="M346" s="39">
        <f>J346/1000000*52</f>
        <v/>
      </c>
      <c r="N346" s="33">
        <f>M346/$P$4+($I$22/$P$4)</f>
        <v/>
      </c>
      <c r="U346">
        <f>F345</f>
        <v/>
      </c>
      <c r="V346">
        <f>H345</f>
        <v/>
      </c>
      <c r="W346">
        <f>N345</f>
        <v/>
      </c>
    </row>
    <row r="347" ht="15.75" customHeight="1" s="40">
      <c r="C347" s="36">
        <f>_xlfn.IFS(E347&lt;E$24,0,E347&lt;E$26,C$24,E347&lt;E$28,C$26,E347&lt;E$30,C$28,E347&lt;E$32,C$30,E347&lt;E$34,C$32,E347&gt;=E$34,C$34)</f>
        <v/>
      </c>
      <c r="D347" s="37">
        <f>_xlfn.IFS(E347&lt;E$24,0,E347&lt;E$25,D$24,E347&lt;E$26,D$25,E347&lt;E$27,D$26,E347&lt;E$28,D$27,E347&lt;E$29,D$28,E347&lt;E$30,D$29,E347&lt;E$31,D$30,E347&lt;E$32,D$31,E347&lt;E$33,D$32,E347&lt;E$34,D$33,E347&lt;E$35,D$34,E347&gt;=E$35,D$35)</f>
        <v/>
      </c>
      <c r="E347" s="38" t="n">
        <v>297</v>
      </c>
      <c r="F347" s="31">
        <f>E347/52</f>
        <v/>
      </c>
      <c r="G347" s="39">
        <f>D347/1000000*52</f>
        <v/>
      </c>
      <c r="H347" s="33">
        <f>G347/$P$4+($C$22/$P$4)</f>
        <v/>
      </c>
      <c r="I347" s="36">
        <f>_xlfn.IFS(K347&lt;K$24,0,K347&lt;K$26,I$24,K347&lt;K$28,I$26,K347&lt;K$30,I$28,K347&lt;K$32,I$30,K347&lt;K$34,I$32,K347&lt;K$36,I$34,K347&lt;K$38,I$36,K347&lt;K$40,I$38,K347&lt;K$42,I$40,K347&lt;K$44,I$42,K347&lt;K$46,I$44,K347&gt;=K$46,I$46)</f>
        <v/>
      </c>
      <c r="J347" s="37">
        <f>_xlfn.IFS(K347&lt;K$24,0,K347&lt;K$25,J$24,K347&lt;K$26,J$25,K347&lt;K$27,J$26,K347&lt;K$28,J$27,K347&lt;K$29,J$28,K347&lt;K$30,J$29,K347&lt;K$31,J$30,K347&lt;K$32,J$31,K347&lt;K$33,J$32,K347&lt;K$34,J$33,K347&lt;K$35,J$34,K347&lt;K$36,J$35,K347&lt;K$37,J$36,K347&lt;K$38,J$37,K347&lt;K$39,J$38,K347&lt;K$40,J$39,K347&lt;K$41,J$40,K347&lt;K$42,J$41,K347&lt;K$43,J$42,K347&lt;K$44,J$43,K347&lt;K$45,J$44,K347&lt;K$46,J$45,K347&lt;K$47,J$46,K347&gt;=K$47,J$47)</f>
        <v/>
      </c>
      <c r="K347" s="38" t="n">
        <v>297</v>
      </c>
      <c r="L347" s="31">
        <f>K347/52</f>
        <v/>
      </c>
      <c r="M347" s="39">
        <f>J347/1000000*52</f>
        <v/>
      </c>
      <c r="N347" s="33">
        <f>M347/$P$4+($I$22/$P$4)</f>
        <v/>
      </c>
      <c r="U347">
        <f>F346</f>
        <v/>
      </c>
      <c r="V347">
        <f>H346</f>
        <v/>
      </c>
      <c r="W347">
        <f>N346</f>
        <v/>
      </c>
    </row>
    <row r="348" ht="15.75" customHeight="1" s="40">
      <c r="C348" s="36">
        <f>_xlfn.IFS(E348&lt;E$24,0,E348&lt;E$26,C$24,E348&lt;E$28,C$26,E348&lt;E$30,C$28,E348&lt;E$32,C$30,E348&lt;E$34,C$32,E348&gt;=E$34,C$34)</f>
        <v/>
      </c>
      <c r="D348" s="37">
        <f>_xlfn.IFS(E348&lt;E$24,0,E348&lt;E$25,D$24,E348&lt;E$26,D$25,E348&lt;E$27,D$26,E348&lt;E$28,D$27,E348&lt;E$29,D$28,E348&lt;E$30,D$29,E348&lt;E$31,D$30,E348&lt;E$32,D$31,E348&lt;E$33,D$32,E348&lt;E$34,D$33,E348&lt;E$35,D$34,E348&gt;=E$35,D$35)</f>
        <v/>
      </c>
      <c r="E348" s="38" t="n">
        <v>298</v>
      </c>
      <c r="F348" s="31">
        <f>E348/52</f>
        <v/>
      </c>
      <c r="G348" s="39">
        <f>D348/1000000*52</f>
        <v/>
      </c>
      <c r="H348" s="33">
        <f>G348/$P$4+($C$22/$P$4)</f>
        <v/>
      </c>
      <c r="I348" s="36">
        <f>_xlfn.IFS(K348&lt;K$24,0,K348&lt;K$26,I$24,K348&lt;K$28,I$26,K348&lt;K$30,I$28,K348&lt;K$32,I$30,K348&lt;K$34,I$32,K348&lt;K$36,I$34,K348&lt;K$38,I$36,K348&lt;K$40,I$38,K348&lt;K$42,I$40,K348&lt;K$44,I$42,K348&lt;K$46,I$44,K348&gt;=K$46,I$46)</f>
        <v/>
      </c>
      <c r="J348" s="37">
        <f>_xlfn.IFS(K348&lt;K$24,0,K348&lt;K$25,J$24,K348&lt;K$26,J$25,K348&lt;K$27,J$26,K348&lt;K$28,J$27,K348&lt;K$29,J$28,K348&lt;K$30,J$29,K348&lt;K$31,J$30,K348&lt;K$32,J$31,K348&lt;K$33,J$32,K348&lt;K$34,J$33,K348&lt;K$35,J$34,K348&lt;K$36,J$35,K348&lt;K$37,J$36,K348&lt;K$38,J$37,K348&lt;K$39,J$38,K348&lt;K$40,J$39,K348&lt;K$41,J$40,K348&lt;K$42,J$41,K348&lt;K$43,J$42,K348&lt;K$44,J$43,K348&lt;K$45,J$44,K348&lt;K$46,J$45,K348&lt;K$47,J$46,K348&gt;=K$47,J$47)</f>
        <v/>
      </c>
      <c r="K348" s="38" t="n">
        <v>298</v>
      </c>
      <c r="L348" s="31">
        <f>K348/52</f>
        <v/>
      </c>
      <c r="M348" s="39">
        <f>J348/1000000*52</f>
        <v/>
      </c>
      <c r="N348" s="33">
        <f>M348/$P$4+($I$22/$P$4)</f>
        <v/>
      </c>
      <c r="U348">
        <f>F347</f>
        <v/>
      </c>
      <c r="V348">
        <f>H347</f>
        <v/>
      </c>
      <c r="W348">
        <f>N347</f>
        <v/>
      </c>
    </row>
    <row r="349" ht="15.75" customHeight="1" s="40">
      <c r="C349" s="36">
        <f>_xlfn.IFS(E349&lt;E$24,0,E349&lt;E$26,C$24,E349&lt;E$28,C$26,E349&lt;E$30,C$28,E349&lt;E$32,C$30,E349&lt;E$34,C$32,E349&gt;=E$34,C$34)</f>
        <v/>
      </c>
      <c r="D349" s="37">
        <f>_xlfn.IFS(E349&lt;E$24,0,E349&lt;E$25,D$24,E349&lt;E$26,D$25,E349&lt;E$27,D$26,E349&lt;E$28,D$27,E349&lt;E$29,D$28,E349&lt;E$30,D$29,E349&lt;E$31,D$30,E349&lt;E$32,D$31,E349&lt;E$33,D$32,E349&lt;E$34,D$33,E349&lt;E$35,D$34,E349&gt;=E$35,D$35)</f>
        <v/>
      </c>
      <c r="E349" s="38" t="n">
        <v>299</v>
      </c>
      <c r="F349" s="31">
        <f>E349/52</f>
        <v/>
      </c>
      <c r="G349" s="39">
        <f>D349/1000000*52</f>
        <v/>
      </c>
      <c r="H349" s="33">
        <f>G349/$P$4+($C$22/$P$4)</f>
        <v/>
      </c>
      <c r="I349" s="36">
        <f>_xlfn.IFS(K349&lt;K$24,0,K349&lt;K$26,I$24,K349&lt;K$28,I$26,K349&lt;K$30,I$28,K349&lt;K$32,I$30,K349&lt;K$34,I$32,K349&lt;K$36,I$34,K349&lt;K$38,I$36,K349&lt;K$40,I$38,K349&lt;K$42,I$40,K349&lt;K$44,I$42,K349&lt;K$46,I$44,K349&gt;=K$46,I$46)</f>
        <v/>
      </c>
      <c r="J349" s="37">
        <f>_xlfn.IFS(K349&lt;K$24,0,K349&lt;K$25,J$24,K349&lt;K$26,J$25,K349&lt;K$27,J$26,K349&lt;K$28,J$27,K349&lt;K$29,J$28,K349&lt;K$30,J$29,K349&lt;K$31,J$30,K349&lt;K$32,J$31,K349&lt;K$33,J$32,K349&lt;K$34,J$33,K349&lt;K$35,J$34,K349&lt;K$36,J$35,K349&lt;K$37,J$36,K349&lt;K$38,J$37,K349&lt;K$39,J$38,K349&lt;K$40,J$39,K349&lt;K$41,J$40,K349&lt;K$42,J$41,K349&lt;K$43,J$42,K349&lt;K$44,J$43,K349&lt;K$45,J$44,K349&lt;K$46,J$45,K349&lt;K$47,J$46,K349&gt;=K$47,J$47)</f>
        <v/>
      </c>
      <c r="K349" s="38" t="n">
        <v>299</v>
      </c>
      <c r="L349" s="31">
        <f>K349/52</f>
        <v/>
      </c>
      <c r="M349" s="39">
        <f>J349/1000000*52</f>
        <v/>
      </c>
      <c r="N349" s="33">
        <f>M349/$P$4+($I$22/$P$4)</f>
        <v/>
      </c>
      <c r="U349">
        <f>F348</f>
        <v/>
      </c>
      <c r="V349">
        <f>H348</f>
        <v/>
      </c>
      <c r="W349">
        <f>N348</f>
        <v/>
      </c>
    </row>
    <row r="350" ht="15.75" customHeight="1" s="40">
      <c r="C350" s="36">
        <f>_xlfn.IFS(E350&lt;E$24,0,E350&lt;E$26,C$24,E350&lt;E$28,C$26,E350&lt;E$30,C$28,E350&lt;E$32,C$30,E350&lt;E$34,C$32,E350&gt;=E$34,C$34)</f>
        <v/>
      </c>
      <c r="D350" s="37">
        <f>_xlfn.IFS(E350&lt;E$24,0,E350&lt;E$25,D$24,E350&lt;E$26,D$25,E350&lt;E$27,D$26,E350&lt;E$28,D$27,E350&lt;E$29,D$28,E350&lt;E$30,D$29,E350&lt;E$31,D$30,E350&lt;E$32,D$31,E350&lt;E$33,D$32,E350&lt;E$34,D$33,E350&lt;E$35,D$34,E350&gt;=E$35,D$35)</f>
        <v/>
      </c>
      <c r="E350" s="38" t="n">
        <v>300</v>
      </c>
      <c r="F350" s="31">
        <f>E350/52</f>
        <v/>
      </c>
      <c r="G350" s="39">
        <f>D350/1000000*52</f>
        <v/>
      </c>
      <c r="H350" s="33">
        <f>G350/$P$4+($C$22/$P$4)</f>
        <v/>
      </c>
      <c r="I350" s="36">
        <f>_xlfn.IFS(K350&lt;K$24,0,K350&lt;K$26,I$24,K350&lt;K$28,I$26,K350&lt;K$30,I$28,K350&lt;K$32,I$30,K350&lt;K$34,I$32,K350&lt;K$36,I$34,K350&lt;K$38,I$36,K350&lt;K$40,I$38,K350&lt;K$42,I$40,K350&lt;K$44,I$42,K350&lt;K$46,I$44,K350&gt;=K$46,I$46)</f>
        <v/>
      </c>
      <c r="J350" s="37">
        <f>_xlfn.IFS(K350&lt;K$24,0,K350&lt;K$25,J$24,K350&lt;K$26,J$25,K350&lt;K$27,J$26,K350&lt;K$28,J$27,K350&lt;K$29,J$28,K350&lt;K$30,J$29,K350&lt;K$31,J$30,K350&lt;K$32,J$31,K350&lt;K$33,J$32,K350&lt;K$34,J$33,K350&lt;K$35,J$34,K350&lt;K$36,J$35,K350&lt;K$37,J$36,K350&lt;K$38,J$37,K350&lt;K$39,J$38,K350&lt;K$40,J$39,K350&lt;K$41,J$40,K350&lt;K$42,J$41,K350&lt;K$43,J$42,K350&lt;K$44,J$43,K350&lt;K$45,J$44,K350&lt;K$46,J$45,K350&lt;K$47,J$46,K350&gt;=K$47,J$47)</f>
        <v/>
      </c>
      <c r="K350" s="38" t="n">
        <v>300</v>
      </c>
      <c r="L350" s="31">
        <f>K350/52</f>
        <v/>
      </c>
      <c r="M350" s="39">
        <f>J350/1000000*52</f>
        <v/>
      </c>
      <c r="N350" s="33">
        <f>M350/$P$4+($I$22/$P$4)</f>
        <v/>
      </c>
      <c r="U350">
        <f>F349</f>
        <v/>
      </c>
      <c r="V350">
        <f>H349</f>
        <v/>
      </c>
      <c r="W350">
        <f>N349</f>
        <v/>
      </c>
    </row>
    <row r="351" ht="15.75" customHeight="1" s="40">
      <c r="C351" s="36">
        <f>_xlfn.IFS(E351&lt;E$24,0,E351&lt;E$26,C$24,E351&lt;E$28,C$26,E351&lt;E$30,C$28,E351&lt;E$32,C$30,E351&lt;E$34,C$32,E351&gt;=E$34,C$34)</f>
        <v/>
      </c>
      <c r="D351" s="37">
        <f>_xlfn.IFS(E351&lt;E$24,0,E351&lt;E$25,D$24,E351&lt;E$26,D$25,E351&lt;E$27,D$26,E351&lt;E$28,D$27,E351&lt;E$29,D$28,E351&lt;E$30,D$29,E351&lt;E$31,D$30,E351&lt;E$32,D$31,E351&lt;E$33,D$32,E351&lt;E$34,D$33,E351&lt;E$35,D$34,E351&gt;=E$35,D$35)</f>
        <v/>
      </c>
      <c r="E351" s="38" t="n">
        <v>301</v>
      </c>
      <c r="F351" s="31">
        <f>E351/52</f>
        <v/>
      </c>
      <c r="G351" s="39">
        <f>D351/1000000*52</f>
        <v/>
      </c>
      <c r="H351" s="33">
        <f>G351/$P$4+($C$22/$P$4)</f>
        <v/>
      </c>
      <c r="I351" s="36">
        <f>_xlfn.IFS(K351&lt;K$24,0,K351&lt;K$26,I$24,K351&lt;K$28,I$26,K351&lt;K$30,I$28,K351&lt;K$32,I$30,K351&lt;K$34,I$32,K351&lt;K$36,I$34,K351&lt;K$38,I$36,K351&lt;K$40,I$38,K351&lt;K$42,I$40,K351&lt;K$44,I$42,K351&lt;K$46,I$44,K351&gt;=K$46,I$46)</f>
        <v/>
      </c>
      <c r="J351" s="37">
        <f>_xlfn.IFS(K351&lt;K$24,0,K351&lt;K$25,J$24,K351&lt;K$26,J$25,K351&lt;K$27,J$26,K351&lt;K$28,J$27,K351&lt;K$29,J$28,K351&lt;K$30,J$29,K351&lt;K$31,J$30,K351&lt;K$32,J$31,K351&lt;K$33,J$32,K351&lt;K$34,J$33,K351&lt;K$35,J$34,K351&lt;K$36,J$35,K351&lt;K$37,J$36,K351&lt;K$38,J$37,K351&lt;K$39,J$38,K351&lt;K$40,J$39,K351&lt;K$41,J$40,K351&lt;K$42,J$41,K351&lt;K$43,J$42,K351&lt;K$44,J$43,K351&lt;K$45,J$44,K351&lt;K$46,J$45,K351&lt;K$47,J$46,K351&gt;=K$47,J$47)</f>
        <v/>
      </c>
      <c r="K351" s="38" t="n">
        <v>301</v>
      </c>
      <c r="L351" s="31">
        <f>K351/52</f>
        <v/>
      </c>
      <c r="M351" s="39">
        <f>J351/1000000*52</f>
        <v/>
      </c>
      <c r="N351" s="33">
        <f>M351/$P$4+($I$22/$P$4)</f>
        <v/>
      </c>
      <c r="U351">
        <f>F350</f>
        <v/>
      </c>
      <c r="V351">
        <f>H350</f>
        <v/>
      </c>
      <c r="W351">
        <f>N350</f>
        <v/>
      </c>
    </row>
    <row r="352" ht="15.75" customHeight="1" s="40">
      <c r="C352" s="36">
        <f>_xlfn.IFS(E352&lt;E$24,0,E352&lt;E$26,C$24,E352&lt;E$28,C$26,E352&lt;E$30,C$28,E352&lt;E$32,C$30,E352&lt;E$34,C$32,E352&gt;=E$34,C$34)</f>
        <v/>
      </c>
      <c r="D352" s="37">
        <f>_xlfn.IFS(E352&lt;E$24,0,E352&lt;E$25,D$24,E352&lt;E$26,D$25,E352&lt;E$27,D$26,E352&lt;E$28,D$27,E352&lt;E$29,D$28,E352&lt;E$30,D$29,E352&lt;E$31,D$30,E352&lt;E$32,D$31,E352&lt;E$33,D$32,E352&lt;E$34,D$33,E352&lt;E$35,D$34,E352&gt;=E$35,D$35)</f>
        <v/>
      </c>
      <c r="E352" s="38" t="n">
        <v>302</v>
      </c>
      <c r="F352" s="31">
        <f>E352/52</f>
        <v/>
      </c>
      <c r="G352" s="39">
        <f>D352/1000000*52</f>
        <v/>
      </c>
      <c r="H352" s="33">
        <f>G352/$P$4+($C$22/$P$4)</f>
        <v/>
      </c>
      <c r="I352" s="36">
        <f>_xlfn.IFS(K352&lt;K$24,0,K352&lt;K$26,I$24,K352&lt;K$28,I$26,K352&lt;K$30,I$28,K352&lt;K$32,I$30,K352&lt;K$34,I$32,K352&lt;K$36,I$34,K352&lt;K$38,I$36,K352&lt;K$40,I$38,K352&lt;K$42,I$40,K352&lt;K$44,I$42,K352&lt;K$46,I$44,K352&gt;=K$46,I$46)</f>
        <v/>
      </c>
      <c r="J352" s="37">
        <f>_xlfn.IFS(K352&lt;K$24,0,K352&lt;K$25,J$24,K352&lt;K$26,J$25,K352&lt;K$27,J$26,K352&lt;K$28,J$27,K352&lt;K$29,J$28,K352&lt;K$30,J$29,K352&lt;K$31,J$30,K352&lt;K$32,J$31,K352&lt;K$33,J$32,K352&lt;K$34,J$33,K352&lt;K$35,J$34,K352&lt;K$36,J$35,K352&lt;K$37,J$36,K352&lt;K$38,J$37,K352&lt;K$39,J$38,K352&lt;K$40,J$39,K352&lt;K$41,J$40,K352&lt;K$42,J$41,K352&lt;K$43,J$42,K352&lt;K$44,J$43,K352&lt;K$45,J$44,K352&lt;K$46,J$45,K352&lt;K$47,J$46,K352&gt;=K$47,J$47)</f>
        <v/>
      </c>
      <c r="K352" s="38" t="n">
        <v>302</v>
      </c>
      <c r="L352" s="31">
        <f>K352/52</f>
        <v/>
      </c>
      <c r="M352" s="39">
        <f>J352/1000000*52</f>
        <v/>
      </c>
      <c r="N352" s="33">
        <f>M352/$P$4+($I$22/$P$4)</f>
        <v/>
      </c>
      <c r="U352">
        <f>F351</f>
        <v/>
      </c>
      <c r="V352">
        <f>H351</f>
        <v/>
      </c>
      <c r="W352">
        <f>N351</f>
        <v/>
      </c>
    </row>
    <row r="353" ht="15.75" customHeight="1" s="40">
      <c r="C353" s="36">
        <f>_xlfn.IFS(E353&lt;E$24,0,E353&lt;E$26,C$24,E353&lt;E$28,C$26,E353&lt;E$30,C$28,E353&lt;E$32,C$30,E353&lt;E$34,C$32,E353&gt;=E$34,C$34)</f>
        <v/>
      </c>
      <c r="D353" s="37">
        <f>_xlfn.IFS(E353&lt;E$24,0,E353&lt;E$25,D$24,E353&lt;E$26,D$25,E353&lt;E$27,D$26,E353&lt;E$28,D$27,E353&lt;E$29,D$28,E353&lt;E$30,D$29,E353&lt;E$31,D$30,E353&lt;E$32,D$31,E353&lt;E$33,D$32,E353&lt;E$34,D$33,E353&lt;E$35,D$34,E353&gt;=E$35,D$35)</f>
        <v/>
      </c>
      <c r="E353" s="38" t="n">
        <v>303</v>
      </c>
      <c r="F353" s="31">
        <f>E353/52</f>
        <v/>
      </c>
      <c r="G353" s="39">
        <f>D353/1000000*52</f>
        <v/>
      </c>
      <c r="H353" s="33">
        <f>G353/$P$4+($C$22/$P$4)</f>
        <v/>
      </c>
      <c r="I353" s="36">
        <f>_xlfn.IFS(K353&lt;K$24,0,K353&lt;K$26,I$24,K353&lt;K$28,I$26,K353&lt;K$30,I$28,K353&lt;K$32,I$30,K353&lt;K$34,I$32,K353&lt;K$36,I$34,K353&lt;K$38,I$36,K353&lt;K$40,I$38,K353&lt;K$42,I$40,K353&lt;K$44,I$42,K353&lt;K$46,I$44,K353&gt;=K$46,I$46)</f>
        <v/>
      </c>
      <c r="J353" s="37">
        <f>_xlfn.IFS(K353&lt;K$24,0,K353&lt;K$25,J$24,K353&lt;K$26,J$25,K353&lt;K$27,J$26,K353&lt;K$28,J$27,K353&lt;K$29,J$28,K353&lt;K$30,J$29,K353&lt;K$31,J$30,K353&lt;K$32,J$31,K353&lt;K$33,J$32,K353&lt;K$34,J$33,K353&lt;K$35,J$34,K353&lt;K$36,J$35,K353&lt;K$37,J$36,K353&lt;K$38,J$37,K353&lt;K$39,J$38,K353&lt;K$40,J$39,K353&lt;K$41,J$40,K353&lt;K$42,J$41,K353&lt;K$43,J$42,K353&lt;K$44,J$43,K353&lt;K$45,J$44,K353&lt;K$46,J$45,K353&lt;K$47,J$46,K353&gt;=K$47,J$47)</f>
        <v/>
      </c>
      <c r="K353" s="38" t="n">
        <v>303</v>
      </c>
      <c r="L353" s="31">
        <f>K353/52</f>
        <v/>
      </c>
      <c r="M353" s="39">
        <f>J353/1000000*52</f>
        <v/>
      </c>
      <c r="N353" s="33">
        <f>M353/$P$4+($I$22/$P$4)</f>
        <v/>
      </c>
      <c r="U353">
        <f>F352</f>
        <v/>
      </c>
      <c r="V353">
        <f>H352</f>
        <v/>
      </c>
      <c r="W353">
        <f>N352</f>
        <v/>
      </c>
    </row>
    <row r="354" ht="15.75" customHeight="1" s="40">
      <c r="C354" s="36">
        <f>_xlfn.IFS(E354&lt;E$24,0,E354&lt;E$26,C$24,E354&lt;E$28,C$26,E354&lt;E$30,C$28,E354&lt;E$32,C$30,E354&lt;E$34,C$32,E354&gt;=E$34,C$34)</f>
        <v/>
      </c>
      <c r="D354" s="37">
        <f>_xlfn.IFS(E354&lt;E$24,0,E354&lt;E$25,D$24,E354&lt;E$26,D$25,E354&lt;E$27,D$26,E354&lt;E$28,D$27,E354&lt;E$29,D$28,E354&lt;E$30,D$29,E354&lt;E$31,D$30,E354&lt;E$32,D$31,E354&lt;E$33,D$32,E354&lt;E$34,D$33,E354&lt;E$35,D$34,E354&gt;=E$35,D$35)</f>
        <v/>
      </c>
      <c r="E354" s="38" t="n">
        <v>304</v>
      </c>
      <c r="F354" s="31">
        <f>E354/52</f>
        <v/>
      </c>
      <c r="G354" s="39">
        <f>D354/1000000*52</f>
        <v/>
      </c>
      <c r="H354" s="33">
        <f>G354/$P$4+($C$22/$P$4)</f>
        <v/>
      </c>
      <c r="I354" s="36">
        <f>_xlfn.IFS(K354&lt;K$24,0,K354&lt;K$26,I$24,K354&lt;K$28,I$26,K354&lt;K$30,I$28,K354&lt;K$32,I$30,K354&lt;K$34,I$32,K354&lt;K$36,I$34,K354&lt;K$38,I$36,K354&lt;K$40,I$38,K354&lt;K$42,I$40,K354&lt;K$44,I$42,K354&lt;K$46,I$44,K354&gt;=K$46,I$46)</f>
        <v/>
      </c>
      <c r="J354" s="37">
        <f>_xlfn.IFS(K354&lt;K$24,0,K354&lt;K$25,J$24,K354&lt;K$26,J$25,K354&lt;K$27,J$26,K354&lt;K$28,J$27,K354&lt;K$29,J$28,K354&lt;K$30,J$29,K354&lt;K$31,J$30,K354&lt;K$32,J$31,K354&lt;K$33,J$32,K354&lt;K$34,J$33,K354&lt;K$35,J$34,K354&lt;K$36,J$35,K354&lt;K$37,J$36,K354&lt;K$38,J$37,K354&lt;K$39,J$38,K354&lt;K$40,J$39,K354&lt;K$41,J$40,K354&lt;K$42,J$41,K354&lt;K$43,J$42,K354&lt;K$44,J$43,K354&lt;K$45,J$44,K354&lt;K$46,J$45,K354&lt;K$47,J$46,K354&gt;=K$47,J$47)</f>
        <v/>
      </c>
      <c r="K354" s="38" t="n">
        <v>304</v>
      </c>
      <c r="L354" s="31">
        <f>K354/52</f>
        <v/>
      </c>
      <c r="M354" s="39">
        <f>J354/1000000*52</f>
        <v/>
      </c>
      <c r="N354" s="33">
        <f>M354/$P$4+($I$22/$P$4)</f>
        <v/>
      </c>
      <c r="U354">
        <f>F353</f>
        <v/>
      </c>
      <c r="V354">
        <f>H353</f>
        <v/>
      </c>
      <c r="W354">
        <f>N353</f>
        <v/>
      </c>
    </row>
    <row r="355" ht="15.75" customHeight="1" s="40">
      <c r="C355" s="36">
        <f>_xlfn.IFS(E355&lt;E$24,0,E355&lt;E$26,C$24,E355&lt;E$28,C$26,E355&lt;E$30,C$28,E355&lt;E$32,C$30,E355&lt;E$34,C$32,E355&gt;=E$34,C$34)</f>
        <v/>
      </c>
      <c r="D355" s="37">
        <f>_xlfn.IFS(E355&lt;E$24,0,E355&lt;E$25,D$24,E355&lt;E$26,D$25,E355&lt;E$27,D$26,E355&lt;E$28,D$27,E355&lt;E$29,D$28,E355&lt;E$30,D$29,E355&lt;E$31,D$30,E355&lt;E$32,D$31,E355&lt;E$33,D$32,E355&lt;E$34,D$33,E355&lt;E$35,D$34,E355&gt;=E$35,D$35)</f>
        <v/>
      </c>
      <c r="E355" s="38" t="n">
        <v>305</v>
      </c>
      <c r="F355" s="31">
        <f>E355/52</f>
        <v/>
      </c>
      <c r="G355" s="39">
        <f>D355/1000000*52</f>
        <v/>
      </c>
      <c r="H355" s="33">
        <f>G355/$P$4+($C$22/$P$4)</f>
        <v/>
      </c>
      <c r="I355" s="36">
        <f>_xlfn.IFS(K355&lt;K$24,0,K355&lt;K$26,I$24,K355&lt;K$28,I$26,K355&lt;K$30,I$28,K355&lt;K$32,I$30,K355&lt;K$34,I$32,K355&lt;K$36,I$34,K355&lt;K$38,I$36,K355&lt;K$40,I$38,K355&lt;K$42,I$40,K355&lt;K$44,I$42,K355&lt;K$46,I$44,K355&gt;=K$46,I$46)</f>
        <v/>
      </c>
      <c r="J355" s="37">
        <f>_xlfn.IFS(K355&lt;K$24,0,K355&lt;K$25,J$24,K355&lt;K$26,J$25,K355&lt;K$27,J$26,K355&lt;K$28,J$27,K355&lt;K$29,J$28,K355&lt;K$30,J$29,K355&lt;K$31,J$30,K355&lt;K$32,J$31,K355&lt;K$33,J$32,K355&lt;K$34,J$33,K355&lt;K$35,J$34,K355&lt;K$36,J$35,K355&lt;K$37,J$36,K355&lt;K$38,J$37,K355&lt;K$39,J$38,K355&lt;K$40,J$39,K355&lt;K$41,J$40,K355&lt;K$42,J$41,K355&lt;K$43,J$42,K355&lt;K$44,J$43,K355&lt;K$45,J$44,K355&lt;K$46,J$45,K355&lt;K$47,J$46,K355&gt;=K$47,J$47)</f>
        <v/>
      </c>
      <c r="K355" s="38" t="n">
        <v>305</v>
      </c>
      <c r="L355" s="31">
        <f>K355/52</f>
        <v/>
      </c>
      <c r="M355" s="39">
        <f>J355/1000000*52</f>
        <v/>
      </c>
      <c r="N355" s="33">
        <f>M355/$P$4+($I$22/$P$4)</f>
        <v/>
      </c>
      <c r="U355">
        <f>F354</f>
        <v/>
      </c>
      <c r="V355">
        <f>H354</f>
        <v/>
      </c>
      <c r="W355">
        <f>N354</f>
        <v/>
      </c>
    </row>
    <row r="356" ht="15.75" customHeight="1" s="40">
      <c r="C356" s="36">
        <f>_xlfn.IFS(E356&lt;E$24,0,E356&lt;E$26,C$24,E356&lt;E$28,C$26,E356&lt;E$30,C$28,E356&lt;E$32,C$30,E356&lt;E$34,C$32,E356&gt;=E$34,C$34)</f>
        <v/>
      </c>
      <c r="D356" s="37">
        <f>_xlfn.IFS(E356&lt;E$24,0,E356&lt;E$25,D$24,E356&lt;E$26,D$25,E356&lt;E$27,D$26,E356&lt;E$28,D$27,E356&lt;E$29,D$28,E356&lt;E$30,D$29,E356&lt;E$31,D$30,E356&lt;E$32,D$31,E356&lt;E$33,D$32,E356&lt;E$34,D$33,E356&lt;E$35,D$34,E356&gt;=E$35,D$35)</f>
        <v/>
      </c>
      <c r="E356" s="38" t="n">
        <v>306</v>
      </c>
      <c r="F356" s="31">
        <f>E356/52</f>
        <v/>
      </c>
      <c r="G356" s="39">
        <f>D356/1000000*52</f>
        <v/>
      </c>
      <c r="H356" s="33">
        <f>G356/$P$4+($C$22/$P$4)</f>
        <v/>
      </c>
      <c r="I356" s="36">
        <f>_xlfn.IFS(K356&lt;K$24,0,K356&lt;K$26,I$24,K356&lt;K$28,I$26,K356&lt;K$30,I$28,K356&lt;K$32,I$30,K356&lt;K$34,I$32,K356&lt;K$36,I$34,K356&lt;K$38,I$36,K356&lt;K$40,I$38,K356&lt;K$42,I$40,K356&lt;K$44,I$42,K356&lt;K$46,I$44,K356&gt;=K$46,I$46)</f>
        <v/>
      </c>
      <c r="J356" s="37">
        <f>_xlfn.IFS(K356&lt;K$24,0,K356&lt;K$25,J$24,K356&lt;K$26,J$25,K356&lt;K$27,J$26,K356&lt;K$28,J$27,K356&lt;K$29,J$28,K356&lt;K$30,J$29,K356&lt;K$31,J$30,K356&lt;K$32,J$31,K356&lt;K$33,J$32,K356&lt;K$34,J$33,K356&lt;K$35,J$34,K356&lt;K$36,J$35,K356&lt;K$37,J$36,K356&lt;K$38,J$37,K356&lt;K$39,J$38,K356&lt;K$40,J$39,K356&lt;K$41,J$40,K356&lt;K$42,J$41,K356&lt;K$43,J$42,K356&lt;K$44,J$43,K356&lt;K$45,J$44,K356&lt;K$46,J$45,K356&lt;K$47,J$46,K356&gt;=K$47,J$47)</f>
        <v/>
      </c>
      <c r="K356" s="38" t="n">
        <v>306</v>
      </c>
      <c r="L356" s="31">
        <f>K356/52</f>
        <v/>
      </c>
      <c r="M356" s="39">
        <f>J356/1000000*52</f>
        <v/>
      </c>
      <c r="N356" s="33">
        <f>M356/$P$4+($I$22/$P$4)</f>
        <v/>
      </c>
      <c r="U356">
        <f>F355</f>
        <v/>
      </c>
      <c r="V356">
        <f>H355</f>
        <v/>
      </c>
      <c r="W356">
        <f>N355</f>
        <v/>
      </c>
    </row>
    <row r="357" ht="15.75" customHeight="1" s="40">
      <c r="C357" s="36">
        <f>_xlfn.IFS(E357&lt;E$24,0,E357&lt;E$26,C$24,E357&lt;E$28,C$26,E357&lt;E$30,C$28,E357&lt;E$32,C$30,E357&lt;E$34,C$32,E357&gt;=E$34,C$34)</f>
        <v/>
      </c>
      <c r="D357" s="37">
        <f>_xlfn.IFS(E357&lt;E$24,0,E357&lt;E$25,D$24,E357&lt;E$26,D$25,E357&lt;E$27,D$26,E357&lt;E$28,D$27,E357&lt;E$29,D$28,E357&lt;E$30,D$29,E357&lt;E$31,D$30,E357&lt;E$32,D$31,E357&lt;E$33,D$32,E357&lt;E$34,D$33,E357&lt;E$35,D$34,E357&gt;=E$35,D$35)</f>
        <v/>
      </c>
      <c r="E357" s="38" t="n">
        <v>307</v>
      </c>
      <c r="F357" s="31">
        <f>E357/52</f>
        <v/>
      </c>
      <c r="G357" s="39">
        <f>D357/1000000*52</f>
        <v/>
      </c>
      <c r="H357" s="33">
        <f>G357/$P$4+($C$22/$P$4)</f>
        <v/>
      </c>
      <c r="I357" s="36">
        <f>_xlfn.IFS(K357&lt;K$24,0,K357&lt;K$26,I$24,K357&lt;K$28,I$26,K357&lt;K$30,I$28,K357&lt;K$32,I$30,K357&lt;K$34,I$32,K357&lt;K$36,I$34,K357&lt;K$38,I$36,K357&lt;K$40,I$38,K357&lt;K$42,I$40,K357&lt;K$44,I$42,K357&lt;K$46,I$44,K357&gt;=K$46,I$46)</f>
        <v/>
      </c>
      <c r="J357" s="37">
        <f>_xlfn.IFS(K357&lt;K$24,0,K357&lt;K$25,J$24,K357&lt;K$26,J$25,K357&lt;K$27,J$26,K357&lt;K$28,J$27,K357&lt;K$29,J$28,K357&lt;K$30,J$29,K357&lt;K$31,J$30,K357&lt;K$32,J$31,K357&lt;K$33,J$32,K357&lt;K$34,J$33,K357&lt;K$35,J$34,K357&lt;K$36,J$35,K357&lt;K$37,J$36,K357&lt;K$38,J$37,K357&lt;K$39,J$38,K357&lt;K$40,J$39,K357&lt;K$41,J$40,K357&lt;K$42,J$41,K357&lt;K$43,J$42,K357&lt;K$44,J$43,K357&lt;K$45,J$44,K357&lt;K$46,J$45,K357&lt;K$47,J$46,K357&gt;=K$47,J$47)</f>
        <v/>
      </c>
      <c r="K357" s="38" t="n">
        <v>307</v>
      </c>
      <c r="L357" s="31">
        <f>K357/52</f>
        <v/>
      </c>
      <c r="M357" s="39">
        <f>J357/1000000*52</f>
        <v/>
      </c>
      <c r="N357" s="33">
        <f>M357/$P$4+($I$22/$P$4)</f>
        <v/>
      </c>
      <c r="U357">
        <f>F356</f>
        <v/>
      </c>
      <c r="V357">
        <f>H356</f>
        <v/>
      </c>
      <c r="W357">
        <f>N356</f>
        <v/>
      </c>
    </row>
    <row r="358" ht="15.75" customHeight="1" s="40">
      <c r="C358" s="36">
        <f>_xlfn.IFS(E358&lt;E$24,0,E358&lt;E$26,C$24,E358&lt;E$28,C$26,E358&lt;E$30,C$28,E358&lt;E$32,C$30,E358&lt;E$34,C$32,E358&gt;=E$34,C$34)</f>
        <v/>
      </c>
      <c r="D358" s="37">
        <f>_xlfn.IFS(E358&lt;E$24,0,E358&lt;E$25,D$24,E358&lt;E$26,D$25,E358&lt;E$27,D$26,E358&lt;E$28,D$27,E358&lt;E$29,D$28,E358&lt;E$30,D$29,E358&lt;E$31,D$30,E358&lt;E$32,D$31,E358&lt;E$33,D$32,E358&lt;E$34,D$33,E358&lt;E$35,D$34,E358&gt;=E$35,D$35)</f>
        <v/>
      </c>
      <c r="E358" s="38" t="n">
        <v>308</v>
      </c>
      <c r="F358" s="31">
        <f>E358/52</f>
        <v/>
      </c>
      <c r="G358" s="39">
        <f>D358/1000000*52</f>
        <v/>
      </c>
      <c r="H358" s="33">
        <f>G358/$P$4+($C$22/$P$4)</f>
        <v/>
      </c>
      <c r="I358" s="36">
        <f>_xlfn.IFS(K358&lt;K$24,0,K358&lt;K$26,I$24,K358&lt;K$28,I$26,K358&lt;K$30,I$28,K358&lt;K$32,I$30,K358&lt;K$34,I$32,K358&lt;K$36,I$34,K358&lt;K$38,I$36,K358&lt;K$40,I$38,K358&lt;K$42,I$40,K358&lt;K$44,I$42,K358&lt;K$46,I$44,K358&gt;=K$46,I$46)</f>
        <v/>
      </c>
      <c r="J358" s="37">
        <f>_xlfn.IFS(K358&lt;K$24,0,K358&lt;K$25,J$24,K358&lt;K$26,J$25,K358&lt;K$27,J$26,K358&lt;K$28,J$27,K358&lt;K$29,J$28,K358&lt;K$30,J$29,K358&lt;K$31,J$30,K358&lt;K$32,J$31,K358&lt;K$33,J$32,K358&lt;K$34,J$33,K358&lt;K$35,J$34,K358&lt;K$36,J$35,K358&lt;K$37,J$36,K358&lt;K$38,J$37,K358&lt;K$39,J$38,K358&lt;K$40,J$39,K358&lt;K$41,J$40,K358&lt;K$42,J$41,K358&lt;K$43,J$42,K358&lt;K$44,J$43,K358&lt;K$45,J$44,K358&lt;K$46,J$45,K358&lt;K$47,J$46,K358&gt;=K$47,J$47)</f>
        <v/>
      </c>
      <c r="K358" s="38" t="n">
        <v>308</v>
      </c>
      <c r="L358" s="31">
        <f>K358/52</f>
        <v/>
      </c>
      <c r="M358" s="39">
        <f>J358/1000000*52</f>
        <v/>
      </c>
      <c r="N358" s="33">
        <f>M358/$P$4+($I$22/$P$4)</f>
        <v/>
      </c>
      <c r="U358">
        <f>F357</f>
        <v/>
      </c>
      <c r="V358">
        <f>H357</f>
        <v/>
      </c>
      <c r="W358">
        <f>N357</f>
        <v/>
      </c>
    </row>
    <row r="359" ht="15.75" customHeight="1" s="40">
      <c r="C359" s="36">
        <f>_xlfn.IFS(E359&lt;E$24,0,E359&lt;E$26,C$24,E359&lt;E$28,C$26,E359&lt;E$30,C$28,E359&lt;E$32,C$30,E359&lt;E$34,C$32,E359&gt;=E$34,C$34)</f>
        <v/>
      </c>
      <c r="D359" s="37">
        <f>_xlfn.IFS(E359&lt;E$24,0,E359&lt;E$25,D$24,E359&lt;E$26,D$25,E359&lt;E$27,D$26,E359&lt;E$28,D$27,E359&lt;E$29,D$28,E359&lt;E$30,D$29,E359&lt;E$31,D$30,E359&lt;E$32,D$31,E359&lt;E$33,D$32,E359&lt;E$34,D$33,E359&lt;E$35,D$34,E359&gt;=E$35,D$35)</f>
        <v/>
      </c>
      <c r="E359" s="38" t="n">
        <v>309</v>
      </c>
      <c r="F359" s="31">
        <f>E359/52</f>
        <v/>
      </c>
      <c r="G359" s="39">
        <f>D359/1000000*52</f>
        <v/>
      </c>
      <c r="H359" s="33">
        <f>G359/$P$4+($C$22/$P$4)</f>
        <v/>
      </c>
      <c r="I359" s="36">
        <f>_xlfn.IFS(K359&lt;K$24,0,K359&lt;K$26,I$24,K359&lt;K$28,I$26,K359&lt;K$30,I$28,K359&lt;K$32,I$30,K359&lt;K$34,I$32,K359&lt;K$36,I$34,K359&lt;K$38,I$36,K359&lt;K$40,I$38,K359&lt;K$42,I$40,K359&lt;K$44,I$42,K359&lt;K$46,I$44,K359&gt;=K$46,I$46)</f>
        <v/>
      </c>
      <c r="J359" s="37">
        <f>_xlfn.IFS(K359&lt;K$24,0,K359&lt;K$25,J$24,K359&lt;K$26,J$25,K359&lt;K$27,J$26,K359&lt;K$28,J$27,K359&lt;K$29,J$28,K359&lt;K$30,J$29,K359&lt;K$31,J$30,K359&lt;K$32,J$31,K359&lt;K$33,J$32,K359&lt;K$34,J$33,K359&lt;K$35,J$34,K359&lt;K$36,J$35,K359&lt;K$37,J$36,K359&lt;K$38,J$37,K359&lt;K$39,J$38,K359&lt;K$40,J$39,K359&lt;K$41,J$40,K359&lt;K$42,J$41,K359&lt;K$43,J$42,K359&lt;K$44,J$43,K359&lt;K$45,J$44,K359&lt;K$46,J$45,K359&lt;K$47,J$46,K359&gt;=K$47,J$47)</f>
        <v/>
      </c>
      <c r="K359" s="38" t="n">
        <v>309</v>
      </c>
      <c r="L359" s="31">
        <f>K359/52</f>
        <v/>
      </c>
      <c r="M359" s="39">
        <f>J359/1000000*52</f>
        <v/>
      </c>
      <c r="N359" s="33">
        <f>M359/$P$4+($I$22/$P$4)</f>
        <v/>
      </c>
      <c r="U359">
        <f>F358</f>
        <v/>
      </c>
      <c r="V359">
        <f>H358</f>
        <v/>
      </c>
      <c r="W359">
        <f>N358</f>
        <v/>
      </c>
    </row>
    <row r="360" ht="15.75" customHeight="1" s="40">
      <c r="C360" s="36">
        <f>_xlfn.IFS(E360&lt;E$24,0,E360&lt;E$26,C$24,E360&lt;E$28,C$26,E360&lt;E$30,C$28,E360&lt;E$32,C$30,E360&lt;E$34,C$32,E360&gt;=E$34,C$34)</f>
        <v/>
      </c>
      <c r="D360" s="37">
        <f>_xlfn.IFS(E360&lt;E$24,0,E360&lt;E$25,D$24,E360&lt;E$26,D$25,E360&lt;E$27,D$26,E360&lt;E$28,D$27,E360&lt;E$29,D$28,E360&lt;E$30,D$29,E360&lt;E$31,D$30,E360&lt;E$32,D$31,E360&lt;E$33,D$32,E360&lt;E$34,D$33,E360&lt;E$35,D$34,E360&gt;=E$35,D$35)</f>
        <v/>
      </c>
      <c r="E360" s="38" t="n">
        <v>310</v>
      </c>
      <c r="F360" s="31">
        <f>E360/52</f>
        <v/>
      </c>
      <c r="G360" s="39">
        <f>D360/1000000*52</f>
        <v/>
      </c>
      <c r="H360" s="33">
        <f>G360/$P$4+($C$22/$P$4)</f>
        <v/>
      </c>
      <c r="I360" s="36">
        <f>_xlfn.IFS(K360&lt;K$24,0,K360&lt;K$26,I$24,K360&lt;K$28,I$26,K360&lt;K$30,I$28,K360&lt;K$32,I$30,K360&lt;K$34,I$32,K360&lt;K$36,I$34,K360&lt;K$38,I$36,K360&lt;K$40,I$38,K360&lt;K$42,I$40,K360&lt;K$44,I$42,K360&lt;K$46,I$44,K360&gt;=K$46,I$46)</f>
        <v/>
      </c>
      <c r="J360" s="37">
        <f>_xlfn.IFS(K360&lt;K$24,0,K360&lt;K$25,J$24,K360&lt;K$26,J$25,K360&lt;K$27,J$26,K360&lt;K$28,J$27,K360&lt;K$29,J$28,K360&lt;K$30,J$29,K360&lt;K$31,J$30,K360&lt;K$32,J$31,K360&lt;K$33,J$32,K360&lt;K$34,J$33,K360&lt;K$35,J$34,K360&lt;K$36,J$35,K360&lt;K$37,J$36,K360&lt;K$38,J$37,K360&lt;K$39,J$38,K360&lt;K$40,J$39,K360&lt;K$41,J$40,K360&lt;K$42,J$41,K360&lt;K$43,J$42,K360&lt;K$44,J$43,K360&lt;K$45,J$44,K360&lt;K$46,J$45,K360&lt;K$47,J$46,K360&gt;=K$47,J$47)</f>
        <v/>
      </c>
      <c r="K360" s="38" t="n">
        <v>310</v>
      </c>
      <c r="L360" s="31">
        <f>K360/52</f>
        <v/>
      </c>
      <c r="M360" s="39">
        <f>J360/1000000*52</f>
        <v/>
      </c>
      <c r="N360" s="33">
        <f>M360/$P$4+($I$22/$P$4)</f>
        <v/>
      </c>
      <c r="U360">
        <f>F359</f>
        <v/>
      </c>
      <c r="V360">
        <f>H359</f>
        <v/>
      </c>
      <c r="W360">
        <f>N359</f>
        <v/>
      </c>
    </row>
    <row r="361" ht="15.75" customHeight="1" s="40">
      <c r="C361" s="36">
        <f>_xlfn.IFS(E361&lt;E$24,0,E361&lt;E$26,C$24,E361&lt;E$28,C$26,E361&lt;E$30,C$28,E361&lt;E$32,C$30,E361&lt;E$34,C$32,E361&gt;=E$34,C$34)</f>
        <v/>
      </c>
      <c r="D361" s="37">
        <f>_xlfn.IFS(E361&lt;E$24,0,E361&lt;E$25,D$24,E361&lt;E$26,D$25,E361&lt;E$27,D$26,E361&lt;E$28,D$27,E361&lt;E$29,D$28,E361&lt;E$30,D$29,E361&lt;E$31,D$30,E361&lt;E$32,D$31,E361&lt;E$33,D$32,E361&lt;E$34,D$33,E361&lt;E$35,D$34,E361&gt;=E$35,D$35)</f>
        <v/>
      </c>
      <c r="E361" s="38" t="n">
        <v>311</v>
      </c>
      <c r="F361" s="31">
        <f>E361/52</f>
        <v/>
      </c>
      <c r="G361" s="39">
        <f>D361/1000000*52</f>
        <v/>
      </c>
      <c r="H361" s="33">
        <f>G361/$P$4+($C$22/$P$4)</f>
        <v/>
      </c>
      <c r="I361" s="36">
        <f>_xlfn.IFS(K361&lt;K$24,0,K361&lt;K$26,I$24,K361&lt;K$28,I$26,K361&lt;K$30,I$28,K361&lt;K$32,I$30,K361&lt;K$34,I$32,K361&lt;K$36,I$34,K361&lt;K$38,I$36,K361&lt;K$40,I$38,K361&lt;K$42,I$40,K361&lt;K$44,I$42,K361&lt;K$46,I$44,K361&gt;=K$46,I$46)</f>
        <v/>
      </c>
      <c r="J361" s="37">
        <f>_xlfn.IFS(K361&lt;K$24,0,K361&lt;K$25,J$24,K361&lt;K$26,J$25,K361&lt;K$27,J$26,K361&lt;K$28,J$27,K361&lt;K$29,J$28,K361&lt;K$30,J$29,K361&lt;K$31,J$30,K361&lt;K$32,J$31,K361&lt;K$33,J$32,K361&lt;K$34,J$33,K361&lt;K$35,J$34,K361&lt;K$36,J$35,K361&lt;K$37,J$36,K361&lt;K$38,J$37,K361&lt;K$39,J$38,K361&lt;K$40,J$39,K361&lt;K$41,J$40,K361&lt;K$42,J$41,K361&lt;K$43,J$42,K361&lt;K$44,J$43,K361&lt;K$45,J$44,K361&lt;K$46,J$45,K361&lt;K$47,J$46,K361&gt;=K$47,J$47)</f>
        <v/>
      </c>
      <c r="K361" s="38" t="n">
        <v>311</v>
      </c>
      <c r="L361" s="31">
        <f>K361/52</f>
        <v/>
      </c>
      <c r="M361" s="39">
        <f>J361/1000000*52</f>
        <v/>
      </c>
      <c r="N361" s="33">
        <f>M361/$P$4+($I$22/$P$4)</f>
        <v/>
      </c>
      <c r="U361">
        <f>F360</f>
        <v/>
      </c>
      <c r="V361">
        <f>H360</f>
        <v/>
      </c>
      <c r="W361">
        <f>N360</f>
        <v/>
      </c>
    </row>
    <row r="362" ht="15.75" customHeight="1" s="40">
      <c r="C362" s="36">
        <f>_xlfn.IFS(E362&lt;E$24,0,E362&lt;E$26,C$24,E362&lt;E$28,C$26,E362&lt;E$30,C$28,E362&lt;E$32,C$30,E362&lt;E$34,C$32,E362&gt;=E$34,C$34)</f>
        <v/>
      </c>
      <c r="D362" s="37">
        <f>_xlfn.IFS(E362&lt;E$24,0,E362&lt;E$25,D$24,E362&lt;E$26,D$25,E362&lt;E$27,D$26,E362&lt;E$28,D$27,E362&lt;E$29,D$28,E362&lt;E$30,D$29,E362&lt;E$31,D$30,E362&lt;E$32,D$31,E362&lt;E$33,D$32,E362&lt;E$34,D$33,E362&lt;E$35,D$34,E362&gt;=E$35,D$35)</f>
        <v/>
      </c>
      <c r="E362" s="38" t="n">
        <v>312</v>
      </c>
      <c r="F362" s="31">
        <f>E362/52</f>
        <v/>
      </c>
      <c r="G362" s="39">
        <f>D362/1000000*52</f>
        <v/>
      </c>
      <c r="H362" s="33">
        <f>G362/$P$4+($C$22/$P$4)</f>
        <v/>
      </c>
      <c r="I362" s="36">
        <f>_xlfn.IFS(K362&lt;K$24,0,K362&lt;K$26,I$24,K362&lt;K$28,I$26,K362&lt;K$30,I$28,K362&lt;K$32,I$30,K362&lt;K$34,I$32,K362&lt;K$36,I$34,K362&lt;K$38,I$36,K362&lt;K$40,I$38,K362&lt;K$42,I$40,K362&lt;K$44,I$42,K362&lt;K$46,I$44,K362&gt;=K$46,I$46)</f>
        <v/>
      </c>
      <c r="J362" s="37">
        <f>_xlfn.IFS(K362&lt;K$24,0,K362&lt;K$25,J$24,K362&lt;K$26,J$25,K362&lt;K$27,J$26,K362&lt;K$28,J$27,K362&lt;K$29,J$28,K362&lt;K$30,J$29,K362&lt;K$31,J$30,K362&lt;K$32,J$31,K362&lt;K$33,J$32,K362&lt;K$34,J$33,K362&lt;K$35,J$34,K362&lt;K$36,J$35,K362&lt;K$37,J$36,K362&lt;K$38,J$37,K362&lt;K$39,J$38,K362&lt;K$40,J$39,K362&lt;K$41,J$40,K362&lt;K$42,J$41,K362&lt;K$43,J$42,K362&lt;K$44,J$43,K362&lt;K$45,J$44,K362&lt;K$46,J$45,K362&lt;K$47,J$46,K362&gt;=K$47,J$47)</f>
        <v/>
      </c>
      <c r="K362" s="38" t="n">
        <v>312</v>
      </c>
      <c r="L362" s="31">
        <f>K362/52</f>
        <v/>
      </c>
      <c r="M362" s="39">
        <f>J362/1000000*52</f>
        <v/>
      </c>
      <c r="N362" s="33">
        <f>M362/$P$4+($I$22/$P$4)</f>
        <v/>
      </c>
      <c r="U362">
        <f>F361</f>
        <v/>
      </c>
      <c r="V362">
        <f>H361</f>
        <v/>
      </c>
      <c r="W362">
        <f>N361</f>
        <v/>
      </c>
    </row>
    <row r="363" ht="15.75" customHeight="1" s="40">
      <c r="C363" s="36">
        <f>_xlfn.IFS(E363&lt;E$24,0,E363&lt;E$26,C$24,E363&lt;E$28,C$26,E363&lt;E$30,C$28,E363&lt;E$32,C$30,E363&lt;E$34,C$32,E363&gt;=E$34,C$34)</f>
        <v/>
      </c>
      <c r="D363" s="37">
        <f>_xlfn.IFS(E363&lt;E$24,0,E363&lt;E$25,D$24,E363&lt;E$26,D$25,E363&lt;E$27,D$26,E363&lt;E$28,D$27,E363&lt;E$29,D$28,E363&lt;E$30,D$29,E363&lt;E$31,D$30,E363&lt;E$32,D$31,E363&lt;E$33,D$32,E363&lt;E$34,D$33,E363&lt;E$35,D$34,E363&gt;=E$35,D$35)</f>
        <v/>
      </c>
      <c r="E363" s="38" t="n">
        <v>313</v>
      </c>
      <c r="F363" s="31">
        <f>E363/52</f>
        <v/>
      </c>
      <c r="G363" s="39">
        <f>D363/1000000*52</f>
        <v/>
      </c>
      <c r="H363" s="33">
        <f>G363/$P$4+($C$22/$P$4)</f>
        <v/>
      </c>
      <c r="I363" s="36">
        <f>_xlfn.IFS(K363&lt;K$24,0,K363&lt;K$26,I$24,K363&lt;K$28,I$26,K363&lt;K$30,I$28,K363&lt;K$32,I$30,K363&lt;K$34,I$32,K363&lt;K$36,I$34,K363&lt;K$38,I$36,K363&lt;K$40,I$38,K363&lt;K$42,I$40,K363&lt;K$44,I$42,K363&lt;K$46,I$44,K363&gt;=K$46,I$46)</f>
        <v/>
      </c>
      <c r="J363" s="37">
        <f>_xlfn.IFS(K363&lt;K$24,0,K363&lt;K$25,J$24,K363&lt;K$26,J$25,K363&lt;K$27,J$26,K363&lt;K$28,J$27,K363&lt;K$29,J$28,K363&lt;K$30,J$29,K363&lt;K$31,J$30,K363&lt;K$32,J$31,K363&lt;K$33,J$32,K363&lt;K$34,J$33,K363&lt;K$35,J$34,K363&lt;K$36,J$35,K363&lt;K$37,J$36,K363&lt;K$38,J$37,K363&lt;K$39,J$38,K363&lt;K$40,J$39,K363&lt;K$41,J$40,K363&lt;K$42,J$41,K363&lt;K$43,J$42,K363&lt;K$44,J$43,K363&lt;K$45,J$44,K363&lt;K$46,J$45,K363&lt;K$47,J$46,K363&gt;=K$47,J$47)</f>
        <v/>
      </c>
      <c r="K363" s="38" t="n">
        <v>313</v>
      </c>
      <c r="L363" s="31">
        <f>K363/52</f>
        <v/>
      </c>
      <c r="M363" s="39">
        <f>J363/1000000*52</f>
        <v/>
      </c>
      <c r="N363" s="33">
        <f>M363/$P$4+($I$22/$P$4)</f>
        <v/>
      </c>
      <c r="U363">
        <f>F362</f>
        <v/>
      </c>
      <c r="V363">
        <f>H362</f>
        <v/>
      </c>
      <c r="W363">
        <f>N362</f>
        <v/>
      </c>
    </row>
    <row r="364" ht="15.75" customHeight="1" s="40">
      <c r="C364" s="36">
        <f>_xlfn.IFS(E364&lt;E$24,0,E364&lt;E$26,C$24,E364&lt;E$28,C$26,E364&lt;E$30,C$28,E364&lt;E$32,C$30,E364&lt;E$34,C$32,E364&gt;=E$34,C$34)</f>
        <v/>
      </c>
      <c r="D364" s="37">
        <f>_xlfn.IFS(E364&lt;E$24,0,E364&lt;E$25,D$24,E364&lt;E$26,D$25,E364&lt;E$27,D$26,E364&lt;E$28,D$27,E364&lt;E$29,D$28,E364&lt;E$30,D$29,E364&lt;E$31,D$30,E364&lt;E$32,D$31,E364&lt;E$33,D$32,E364&lt;E$34,D$33,E364&lt;E$35,D$34,E364&gt;=E$35,D$35)</f>
        <v/>
      </c>
      <c r="E364" s="38" t="n">
        <v>314</v>
      </c>
      <c r="F364" s="31">
        <f>E364/52</f>
        <v/>
      </c>
      <c r="G364" s="39">
        <f>D364/1000000*52</f>
        <v/>
      </c>
      <c r="H364" s="33">
        <f>G364/$P$4+($C$22/$P$4)</f>
        <v/>
      </c>
      <c r="I364" s="36">
        <f>_xlfn.IFS(K364&lt;K$24,0,K364&lt;K$26,I$24,K364&lt;K$28,I$26,K364&lt;K$30,I$28,K364&lt;K$32,I$30,K364&lt;K$34,I$32,K364&lt;K$36,I$34,K364&lt;K$38,I$36,K364&lt;K$40,I$38,K364&lt;K$42,I$40,K364&lt;K$44,I$42,K364&lt;K$46,I$44,K364&gt;=K$46,I$46)</f>
        <v/>
      </c>
      <c r="J364" s="37">
        <f>_xlfn.IFS(K364&lt;K$24,0,K364&lt;K$25,J$24,K364&lt;K$26,J$25,K364&lt;K$27,J$26,K364&lt;K$28,J$27,K364&lt;K$29,J$28,K364&lt;K$30,J$29,K364&lt;K$31,J$30,K364&lt;K$32,J$31,K364&lt;K$33,J$32,K364&lt;K$34,J$33,K364&lt;K$35,J$34,K364&lt;K$36,J$35,K364&lt;K$37,J$36,K364&lt;K$38,J$37,K364&lt;K$39,J$38,K364&lt;K$40,J$39,K364&lt;K$41,J$40,K364&lt;K$42,J$41,K364&lt;K$43,J$42,K364&lt;K$44,J$43,K364&lt;K$45,J$44,K364&lt;K$46,J$45,K364&lt;K$47,J$46,K364&gt;=K$47,J$47)</f>
        <v/>
      </c>
      <c r="K364" s="38" t="n">
        <v>314</v>
      </c>
      <c r="L364" s="31">
        <f>K364/52</f>
        <v/>
      </c>
      <c r="M364" s="39">
        <f>J364/1000000*52</f>
        <v/>
      </c>
      <c r="N364" s="33">
        <f>M364/$P$4+($I$22/$P$4)</f>
        <v/>
      </c>
      <c r="U364">
        <f>F363</f>
        <v/>
      </c>
      <c r="V364">
        <f>H363</f>
        <v/>
      </c>
      <c r="W364">
        <f>N363</f>
        <v/>
      </c>
    </row>
    <row r="365" ht="15.75" customHeight="1" s="40">
      <c r="C365" s="36">
        <f>_xlfn.IFS(E365&lt;E$24,0,E365&lt;E$26,C$24,E365&lt;E$28,C$26,E365&lt;E$30,C$28,E365&lt;E$32,C$30,E365&lt;E$34,C$32,E365&gt;=E$34,C$34)</f>
        <v/>
      </c>
      <c r="D365" s="37">
        <f>_xlfn.IFS(E365&lt;E$24,0,E365&lt;E$25,D$24,E365&lt;E$26,D$25,E365&lt;E$27,D$26,E365&lt;E$28,D$27,E365&lt;E$29,D$28,E365&lt;E$30,D$29,E365&lt;E$31,D$30,E365&lt;E$32,D$31,E365&lt;E$33,D$32,E365&lt;E$34,D$33,E365&lt;E$35,D$34,E365&gt;=E$35,D$35)</f>
        <v/>
      </c>
      <c r="E365" s="38" t="n">
        <v>315</v>
      </c>
      <c r="F365" s="31">
        <f>E365/52</f>
        <v/>
      </c>
      <c r="G365" s="39">
        <f>D365/1000000*52</f>
        <v/>
      </c>
      <c r="H365" s="33">
        <f>G365/$P$4+($C$22/$P$4)</f>
        <v/>
      </c>
      <c r="I365" s="36">
        <f>_xlfn.IFS(K365&lt;K$24,0,K365&lt;K$26,I$24,K365&lt;K$28,I$26,K365&lt;K$30,I$28,K365&lt;K$32,I$30,K365&lt;K$34,I$32,K365&lt;K$36,I$34,K365&lt;K$38,I$36,K365&lt;K$40,I$38,K365&lt;K$42,I$40,K365&lt;K$44,I$42,K365&lt;K$46,I$44,K365&gt;=K$46,I$46)</f>
        <v/>
      </c>
      <c r="J365" s="37">
        <f>_xlfn.IFS(K365&lt;K$24,0,K365&lt;K$25,J$24,K365&lt;K$26,J$25,K365&lt;K$27,J$26,K365&lt;K$28,J$27,K365&lt;K$29,J$28,K365&lt;K$30,J$29,K365&lt;K$31,J$30,K365&lt;K$32,J$31,K365&lt;K$33,J$32,K365&lt;K$34,J$33,K365&lt;K$35,J$34,K365&lt;K$36,J$35,K365&lt;K$37,J$36,K365&lt;K$38,J$37,K365&lt;K$39,J$38,K365&lt;K$40,J$39,K365&lt;K$41,J$40,K365&lt;K$42,J$41,K365&lt;K$43,J$42,K365&lt;K$44,J$43,K365&lt;K$45,J$44,K365&lt;K$46,J$45,K365&lt;K$47,J$46,K365&gt;=K$47,J$47)</f>
        <v/>
      </c>
      <c r="K365" s="38" t="n">
        <v>315</v>
      </c>
      <c r="L365" s="31">
        <f>K365/52</f>
        <v/>
      </c>
      <c r="M365" s="39">
        <f>J365/1000000*52</f>
        <v/>
      </c>
      <c r="N365" s="33">
        <f>M365/$P$4+($I$22/$P$4)</f>
        <v/>
      </c>
      <c r="U365">
        <f>F364</f>
        <v/>
      </c>
      <c r="V365">
        <f>H364</f>
        <v/>
      </c>
      <c r="W365">
        <f>N364</f>
        <v/>
      </c>
    </row>
    <row r="366" ht="15.75" customHeight="1" s="40">
      <c r="C366" s="36">
        <f>_xlfn.IFS(E366&lt;E$24,0,E366&lt;E$26,C$24,E366&lt;E$28,C$26,E366&lt;E$30,C$28,E366&lt;E$32,C$30,E366&lt;E$34,C$32,E366&gt;=E$34,C$34)</f>
        <v/>
      </c>
      <c r="D366" s="37">
        <f>_xlfn.IFS(E366&lt;E$24,0,E366&lt;E$25,D$24,E366&lt;E$26,D$25,E366&lt;E$27,D$26,E366&lt;E$28,D$27,E366&lt;E$29,D$28,E366&lt;E$30,D$29,E366&lt;E$31,D$30,E366&lt;E$32,D$31,E366&lt;E$33,D$32,E366&lt;E$34,D$33,E366&lt;E$35,D$34,E366&gt;=E$35,D$35)</f>
        <v/>
      </c>
      <c r="E366" s="38" t="n">
        <v>316</v>
      </c>
      <c r="F366" s="31">
        <f>E366/52</f>
        <v/>
      </c>
      <c r="G366" s="39">
        <f>D366/1000000*52</f>
        <v/>
      </c>
      <c r="H366" s="33">
        <f>G366/$P$4+($C$22/$P$4)</f>
        <v/>
      </c>
      <c r="I366" s="36">
        <f>_xlfn.IFS(K366&lt;K$24,0,K366&lt;K$26,I$24,K366&lt;K$28,I$26,K366&lt;K$30,I$28,K366&lt;K$32,I$30,K366&lt;K$34,I$32,K366&lt;K$36,I$34,K366&lt;K$38,I$36,K366&lt;K$40,I$38,K366&lt;K$42,I$40,K366&lt;K$44,I$42,K366&lt;K$46,I$44,K366&gt;=K$46,I$46)</f>
        <v/>
      </c>
      <c r="J366" s="37">
        <f>_xlfn.IFS(K366&lt;K$24,0,K366&lt;K$25,J$24,K366&lt;K$26,J$25,K366&lt;K$27,J$26,K366&lt;K$28,J$27,K366&lt;K$29,J$28,K366&lt;K$30,J$29,K366&lt;K$31,J$30,K366&lt;K$32,J$31,K366&lt;K$33,J$32,K366&lt;K$34,J$33,K366&lt;K$35,J$34,K366&lt;K$36,J$35,K366&lt;K$37,J$36,K366&lt;K$38,J$37,K366&lt;K$39,J$38,K366&lt;K$40,J$39,K366&lt;K$41,J$40,K366&lt;K$42,J$41,K366&lt;K$43,J$42,K366&lt;K$44,J$43,K366&lt;K$45,J$44,K366&lt;K$46,J$45,K366&lt;K$47,J$46,K366&gt;=K$47,J$47)</f>
        <v/>
      </c>
      <c r="K366" s="38" t="n">
        <v>316</v>
      </c>
      <c r="L366" s="31">
        <f>K366/52</f>
        <v/>
      </c>
      <c r="M366" s="39">
        <f>J366/1000000*52</f>
        <v/>
      </c>
      <c r="N366" s="33">
        <f>M366/$P$4+($I$22/$P$4)</f>
        <v/>
      </c>
      <c r="U366">
        <f>F365</f>
        <v/>
      </c>
      <c r="V366">
        <f>H365</f>
        <v/>
      </c>
      <c r="W366">
        <f>N365</f>
        <v/>
      </c>
    </row>
    <row r="367" ht="15.75" customHeight="1" s="40">
      <c r="C367" s="36">
        <f>_xlfn.IFS(E367&lt;E$24,0,E367&lt;E$26,C$24,E367&lt;E$28,C$26,E367&lt;E$30,C$28,E367&lt;E$32,C$30,E367&lt;E$34,C$32,E367&gt;=E$34,C$34)</f>
        <v/>
      </c>
      <c r="D367" s="37">
        <f>_xlfn.IFS(E367&lt;E$24,0,E367&lt;E$25,D$24,E367&lt;E$26,D$25,E367&lt;E$27,D$26,E367&lt;E$28,D$27,E367&lt;E$29,D$28,E367&lt;E$30,D$29,E367&lt;E$31,D$30,E367&lt;E$32,D$31,E367&lt;E$33,D$32,E367&lt;E$34,D$33,E367&lt;E$35,D$34,E367&gt;=E$35,D$35)</f>
        <v/>
      </c>
      <c r="E367" s="38" t="n">
        <v>317</v>
      </c>
      <c r="F367" s="31">
        <f>E367/52</f>
        <v/>
      </c>
      <c r="G367" s="39">
        <f>D367/1000000*52</f>
        <v/>
      </c>
      <c r="H367" s="33">
        <f>G367/$P$4+($C$22/$P$4)</f>
        <v/>
      </c>
      <c r="I367" s="36">
        <f>_xlfn.IFS(K367&lt;K$24,0,K367&lt;K$26,I$24,K367&lt;K$28,I$26,K367&lt;K$30,I$28,K367&lt;K$32,I$30,K367&lt;K$34,I$32,K367&lt;K$36,I$34,K367&lt;K$38,I$36,K367&lt;K$40,I$38,K367&lt;K$42,I$40,K367&lt;K$44,I$42,K367&lt;K$46,I$44,K367&gt;=K$46,I$46)</f>
        <v/>
      </c>
      <c r="J367" s="37">
        <f>_xlfn.IFS(K367&lt;K$24,0,K367&lt;K$25,J$24,K367&lt;K$26,J$25,K367&lt;K$27,J$26,K367&lt;K$28,J$27,K367&lt;K$29,J$28,K367&lt;K$30,J$29,K367&lt;K$31,J$30,K367&lt;K$32,J$31,K367&lt;K$33,J$32,K367&lt;K$34,J$33,K367&lt;K$35,J$34,K367&lt;K$36,J$35,K367&lt;K$37,J$36,K367&lt;K$38,J$37,K367&lt;K$39,J$38,K367&lt;K$40,J$39,K367&lt;K$41,J$40,K367&lt;K$42,J$41,K367&lt;K$43,J$42,K367&lt;K$44,J$43,K367&lt;K$45,J$44,K367&lt;K$46,J$45,K367&lt;K$47,J$46,K367&gt;=K$47,J$47)</f>
        <v/>
      </c>
      <c r="K367" s="38" t="n">
        <v>317</v>
      </c>
      <c r="L367" s="31">
        <f>K367/52</f>
        <v/>
      </c>
      <c r="M367" s="39">
        <f>J367/1000000*52</f>
        <v/>
      </c>
      <c r="N367" s="33">
        <f>M367/$P$4+($I$22/$P$4)</f>
        <v/>
      </c>
      <c r="U367">
        <f>F366</f>
        <v/>
      </c>
      <c r="V367">
        <f>H366</f>
        <v/>
      </c>
      <c r="W367">
        <f>N366</f>
        <v/>
      </c>
    </row>
    <row r="368" ht="15.75" customHeight="1" s="40">
      <c r="C368" s="36">
        <f>_xlfn.IFS(E368&lt;E$24,0,E368&lt;E$26,C$24,E368&lt;E$28,C$26,E368&lt;E$30,C$28,E368&lt;E$32,C$30,E368&lt;E$34,C$32,E368&gt;=E$34,C$34)</f>
        <v/>
      </c>
      <c r="D368" s="37">
        <f>_xlfn.IFS(E368&lt;E$24,0,E368&lt;E$25,D$24,E368&lt;E$26,D$25,E368&lt;E$27,D$26,E368&lt;E$28,D$27,E368&lt;E$29,D$28,E368&lt;E$30,D$29,E368&lt;E$31,D$30,E368&lt;E$32,D$31,E368&lt;E$33,D$32,E368&lt;E$34,D$33,E368&lt;E$35,D$34,E368&gt;=E$35,D$35)</f>
        <v/>
      </c>
      <c r="E368" s="38" t="n">
        <v>318</v>
      </c>
      <c r="F368" s="31">
        <f>E368/52</f>
        <v/>
      </c>
      <c r="G368" s="39">
        <f>D368/1000000*52</f>
        <v/>
      </c>
      <c r="H368" s="33">
        <f>G368/$P$4+($C$22/$P$4)</f>
        <v/>
      </c>
      <c r="I368" s="36">
        <f>_xlfn.IFS(K368&lt;K$24,0,K368&lt;K$26,I$24,K368&lt;K$28,I$26,K368&lt;K$30,I$28,K368&lt;K$32,I$30,K368&lt;K$34,I$32,K368&lt;K$36,I$34,K368&lt;K$38,I$36,K368&lt;K$40,I$38,K368&lt;K$42,I$40,K368&lt;K$44,I$42,K368&lt;K$46,I$44,K368&gt;=K$46,I$46)</f>
        <v/>
      </c>
      <c r="J368" s="37">
        <f>_xlfn.IFS(K368&lt;K$24,0,K368&lt;K$25,J$24,K368&lt;K$26,J$25,K368&lt;K$27,J$26,K368&lt;K$28,J$27,K368&lt;K$29,J$28,K368&lt;K$30,J$29,K368&lt;K$31,J$30,K368&lt;K$32,J$31,K368&lt;K$33,J$32,K368&lt;K$34,J$33,K368&lt;K$35,J$34,K368&lt;K$36,J$35,K368&lt;K$37,J$36,K368&lt;K$38,J$37,K368&lt;K$39,J$38,K368&lt;K$40,J$39,K368&lt;K$41,J$40,K368&lt;K$42,J$41,K368&lt;K$43,J$42,K368&lt;K$44,J$43,K368&lt;K$45,J$44,K368&lt;K$46,J$45,K368&lt;K$47,J$46,K368&gt;=K$47,J$47)</f>
        <v/>
      </c>
      <c r="K368" s="38" t="n">
        <v>318</v>
      </c>
      <c r="L368" s="31">
        <f>K368/52</f>
        <v/>
      </c>
      <c r="M368" s="39">
        <f>J368/1000000*52</f>
        <v/>
      </c>
      <c r="N368" s="33">
        <f>M368/$P$4+($I$22/$P$4)</f>
        <v/>
      </c>
      <c r="U368">
        <f>F367</f>
        <v/>
      </c>
      <c r="V368">
        <f>H367</f>
        <v/>
      </c>
      <c r="W368">
        <f>N367</f>
        <v/>
      </c>
    </row>
    <row r="369" ht="15.75" customHeight="1" s="40">
      <c r="C369" s="36">
        <f>_xlfn.IFS(E369&lt;E$24,0,E369&lt;E$26,C$24,E369&lt;E$28,C$26,E369&lt;E$30,C$28,E369&lt;E$32,C$30,E369&lt;E$34,C$32,E369&gt;=E$34,C$34)</f>
        <v/>
      </c>
      <c r="D369" s="37">
        <f>_xlfn.IFS(E369&lt;E$24,0,E369&lt;E$25,D$24,E369&lt;E$26,D$25,E369&lt;E$27,D$26,E369&lt;E$28,D$27,E369&lt;E$29,D$28,E369&lt;E$30,D$29,E369&lt;E$31,D$30,E369&lt;E$32,D$31,E369&lt;E$33,D$32,E369&lt;E$34,D$33,E369&lt;E$35,D$34,E369&gt;=E$35,D$35)</f>
        <v/>
      </c>
      <c r="E369" s="38" t="n">
        <v>319</v>
      </c>
      <c r="F369" s="31">
        <f>E369/52</f>
        <v/>
      </c>
      <c r="G369" s="39">
        <f>D369/1000000*52</f>
        <v/>
      </c>
      <c r="H369" s="33">
        <f>G369/$P$4+($C$22/$P$4)</f>
        <v/>
      </c>
      <c r="I369" s="36">
        <f>_xlfn.IFS(K369&lt;K$24,0,K369&lt;K$26,I$24,K369&lt;K$28,I$26,K369&lt;K$30,I$28,K369&lt;K$32,I$30,K369&lt;K$34,I$32,K369&lt;K$36,I$34,K369&lt;K$38,I$36,K369&lt;K$40,I$38,K369&lt;K$42,I$40,K369&lt;K$44,I$42,K369&lt;K$46,I$44,K369&gt;=K$46,I$46)</f>
        <v/>
      </c>
      <c r="J369" s="37">
        <f>_xlfn.IFS(K369&lt;K$24,0,K369&lt;K$25,J$24,K369&lt;K$26,J$25,K369&lt;K$27,J$26,K369&lt;K$28,J$27,K369&lt;K$29,J$28,K369&lt;K$30,J$29,K369&lt;K$31,J$30,K369&lt;K$32,J$31,K369&lt;K$33,J$32,K369&lt;K$34,J$33,K369&lt;K$35,J$34,K369&lt;K$36,J$35,K369&lt;K$37,J$36,K369&lt;K$38,J$37,K369&lt;K$39,J$38,K369&lt;K$40,J$39,K369&lt;K$41,J$40,K369&lt;K$42,J$41,K369&lt;K$43,J$42,K369&lt;K$44,J$43,K369&lt;K$45,J$44,K369&lt;K$46,J$45,K369&lt;K$47,J$46,K369&gt;=K$47,J$47)</f>
        <v/>
      </c>
      <c r="K369" s="38" t="n">
        <v>319</v>
      </c>
      <c r="L369" s="31">
        <f>K369/52</f>
        <v/>
      </c>
      <c r="M369" s="39">
        <f>J369/1000000*52</f>
        <v/>
      </c>
      <c r="N369" s="33">
        <f>M369/$P$4+($I$22/$P$4)</f>
        <v/>
      </c>
      <c r="U369">
        <f>F368</f>
        <v/>
      </c>
      <c r="V369">
        <f>H368</f>
        <v/>
      </c>
      <c r="W369">
        <f>N368</f>
        <v/>
      </c>
    </row>
    <row r="370" ht="15.75" customHeight="1" s="40">
      <c r="C370" s="36">
        <f>_xlfn.IFS(E370&lt;E$24,0,E370&lt;E$26,C$24,E370&lt;E$28,C$26,E370&lt;E$30,C$28,E370&lt;E$32,C$30,E370&lt;E$34,C$32,E370&gt;=E$34,C$34)</f>
        <v/>
      </c>
      <c r="D370" s="37">
        <f>_xlfn.IFS(E370&lt;E$24,0,E370&lt;E$25,D$24,E370&lt;E$26,D$25,E370&lt;E$27,D$26,E370&lt;E$28,D$27,E370&lt;E$29,D$28,E370&lt;E$30,D$29,E370&lt;E$31,D$30,E370&lt;E$32,D$31,E370&lt;E$33,D$32,E370&lt;E$34,D$33,E370&lt;E$35,D$34,E370&gt;=E$35,D$35)</f>
        <v/>
      </c>
      <c r="E370" s="38" t="n">
        <v>320</v>
      </c>
      <c r="F370" s="31">
        <f>E370/52</f>
        <v/>
      </c>
      <c r="G370" s="39">
        <f>D370/1000000*52</f>
        <v/>
      </c>
      <c r="H370" s="33">
        <f>G370/$P$4+($C$22/$P$4)</f>
        <v/>
      </c>
      <c r="I370" s="36">
        <f>_xlfn.IFS(K370&lt;K$24,0,K370&lt;K$26,I$24,K370&lt;K$28,I$26,K370&lt;K$30,I$28,K370&lt;K$32,I$30,K370&lt;K$34,I$32,K370&lt;K$36,I$34,K370&lt;K$38,I$36,K370&lt;K$40,I$38,K370&lt;K$42,I$40,K370&lt;K$44,I$42,K370&lt;K$46,I$44,K370&gt;=K$46,I$46)</f>
        <v/>
      </c>
      <c r="J370" s="37">
        <f>_xlfn.IFS(K370&lt;K$24,0,K370&lt;K$25,J$24,K370&lt;K$26,J$25,K370&lt;K$27,J$26,K370&lt;K$28,J$27,K370&lt;K$29,J$28,K370&lt;K$30,J$29,K370&lt;K$31,J$30,K370&lt;K$32,J$31,K370&lt;K$33,J$32,K370&lt;K$34,J$33,K370&lt;K$35,J$34,K370&lt;K$36,J$35,K370&lt;K$37,J$36,K370&lt;K$38,J$37,K370&lt;K$39,J$38,K370&lt;K$40,J$39,K370&lt;K$41,J$40,K370&lt;K$42,J$41,K370&lt;K$43,J$42,K370&lt;K$44,J$43,K370&lt;K$45,J$44,K370&lt;K$46,J$45,K370&lt;K$47,J$46,K370&gt;=K$47,J$47)</f>
        <v/>
      </c>
      <c r="K370" s="38" t="n">
        <v>320</v>
      </c>
      <c r="L370" s="31">
        <f>K370/52</f>
        <v/>
      </c>
      <c r="M370" s="39">
        <f>J370/1000000*52</f>
        <v/>
      </c>
      <c r="N370" s="33">
        <f>M370/$P$4+($I$22/$P$4)</f>
        <v/>
      </c>
      <c r="U370">
        <f>F369</f>
        <v/>
      </c>
      <c r="V370">
        <f>H369</f>
        <v/>
      </c>
      <c r="W370">
        <f>N369</f>
        <v/>
      </c>
    </row>
    <row r="371" ht="15.75" customHeight="1" s="40">
      <c r="C371" s="36">
        <f>_xlfn.IFS(E371&lt;E$24,0,E371&lt;E$26,C$24,E371&lt;E$28,C$26,E371&lt;E$30,C$28,E371&lt;E$32,C$30,E371&lt;E$34,C$32,E371&gt;=E$34,C$34)</f>
        <v/>
      </c>
      <c r="D371" s="37">
        <f>_xlfn.IFS(E371&lt;E$24,0,E371&lt;E$25,D$24,E371&lt;E$26,D$25,E371&lt;E$27,D$26,E371&lt;E$28,D$27,E371&lt;E$29,D$28,E371&lt;E$30,D$29,E371&lt;E$31,D$30,E371&lt;E$32,D$31,E371&lt;E$33,D$32,E371&lt;E$34,D$33,E371&lt;E$35,D$34,E371&gt;=E$35,D$35)</f>
        <v/>
      </c>
      <c r="E371" s="38" t="n">
        <v>321</v>
      </c>
      <c r="F371" s="31">
        <f>E371/52</f>
        <v/>
      </c>
      <c r="G371" s="39">
        <f>D371/1000000*52</f>
        <v/>
      </c>
      <c r="H371" s="33">
        <f>G371/$P$4+($C$22/$P$4)</f>
        <v/>
      </c>
      <c r="I371" s="36">
        <f>_xlfn.IFS(K371&lt;K$24,0,K371&lt;K$26,I$24,K371&lt;K$28,I$26,K371&lt;K$30,I$28,K371&lt;K$32,I$30,K371&lt;K$34,I$32,K371&lt;K$36,I$34,K371&lt;K$38,I$36,K371&lt;K$40,I$38,K371&lt;K$42,I$40,K371&lt;K$44,I$42,K371&lt;K$46,I$44,K371&gt;=K$46,I$46)</f>
        <v/>
      </c>
      <c r="J371" s="37">
        <f>_xlfn.IFS(K371&lt;K$24,0,K371&lt;K$25,J$24,K371&lt;K$26,J$25,K371&lt;K$27,J$26,K371&lt;K$28,J$27,K371&lt;K$29,J$28,K371&lt;K$30,J$29,K371&lt;K$31,J$30,K371&lt;K$32,J$31,K371&lt;K$33,J$32,K371&lt;K$34,J$33,K371&lt;K$35,J$34,K371&lt;K$36,J$35,K371&lt;K$37,J$36,K371&lt;K$38,J$37,K371&lt;K$39,J$38,K371&lt;K$40,J$39,K371&lt;K$41,J$40,K371&lt;K$42,J$41,K371&lt;K$43,J$42,K371&lt;K$44,J$43,K371&lt;K$45,J$44,K371&lt;K$46,J$45,K371&lt;K$47,J$46,K371&gt;=K$47,J$47)</f>
        <v/>
      </c>
      <c r="K371" s="38" t="n">
        <v>321</v>
      </c>
      <c r="L371" s="31">
        <f>K371/52</f>
        <v/>
      </c>
      <c r="M371" s="39">
        <f>J371/1000000*52</f>
        <v/>
      </c>
      <c r="N371" s="33">
        <f>M371/$P$4+($I$22/$P$4)</f>
        <v/>
      </c>
      <c r="U371">
        <f>F370</f>
        <v/>
      </c>
      <c r="V371">
        <f>H370</f>
        <v/>
      </c>
      <c r="W371">
        <f>N370</f>
        <v/>
      </c>
    </row>
    <row r="372" ht="15.75" customHeight="1" s="40">
      <c r="C372" s="36">
        <f>_xlfn.IFS(E372&lt;E$24,0,E372&lt;E$26,C$24,E372&lt;E$28,C$26,E372&lt;E$30,C$28,E372&lt;E$32,C$30,E372&lt;E$34,C$32,E372&gt;=E$34,C$34)</f>
        <v/>
      </c>
      <c r="D372" s="37">
        <f>_xlfn.IFS(E372&lt;E$24,0,E372&lt;E$25,D$24,E372&lt;E$26,D$25,E372&lt;E$27,D$26,E372&lt;E$28,D$27,E372&lt;E$29,D$28,E372&lt;E$30,D$29,E372&lt;E$31,D$30,E372&lt;E$32,D$31,E372&lt;E$33,D$32,E372&lt;E$34,D$33,E372&lt;E$35,D$34,E372&gt;=E$35,D$35)</f>
        <v/>
      </c>
      <c r="E372" s="38" t="n">
        <v>322</v>
      </c>
      <c r="F372" s="31">
        <f>E372/52</f>
        <v/>
      </c>
      <c r="G372" s="39">
        <f>D372/1000000*52</f>
        <v/>
      </c>
      <c r="H372" s="33">
        <f>G372/$P$4+($C$22/$P$4)</f>
        <v/>
      </c>
      <c r="I372" s="36">
        <f>_xlfn.IFS(K372&lt;K$24,0,K372&lt;K$26,I$24,K372&lt;K$28,I$26,K372&lt;K$30,I$28,K372&lt;K$32,I$30,K372&lt;K$34,I$32,K372&lt;K$36,I$34,K372&lt;K$38,I$36,K372&lt;K$40,I$38,K372&lt;K$42,I$40,K372&lt;K$44,I$42,K372&lt;K$46,I$44,K372&gt;=K$46,I$46)</f>
        <v/>
      </c>
      <c r="J372" s="37">
        <f>_xlfn.IFS(K372&lt;K$24,0,K372&lt;K$25,J$24,K372&lt;K$26,J$25,K372&lt;K$27,J$26,K372&lt;K$28,J$27,K372&lt;K$29,J$28,K372&lt;K$30,J$29,K372&lt;K$31,J$30,K372&lt;K$32,J$31,K372&lt;K$33,J$32,K372&lt;K$34,J$33,K372&lt;K$35,J$34,K372&lt;K$36,J$35,K372&lt;K$37,J$36,K372&lt;K$38,J$37,K372&lt;K$39,J$38,K372&lt;K$40,J$39,K372&lt;K$41,J$40,K372&lt;K$42,J$41,K372&lt;K$43,J$42,K372&lt;K$44,J$43,K372&lt;K$45,J$44,K372&lt;K$46,J$45,K372&lt;K$47,J$46,K372&gt;=K$47,J$47)</f>
        <v/>
      </c>
      <c r="K372" s="38" t="n">
        <v>322</v>
      </c>
      <c r="L372" s="31">
        <f>K372/52</f>
        <v/>
      </c>
      <c r="M372" s="39">
        <f>J372/1000000*52</f>
        <v/>
      </c>
      <c r="N372" s="33">
        <f>M372/$P$4+($I$22/$P$4)</f>
        <v/>
      </c>
      <c r="U372">
        <f>F371</f>
        <v/>
      </c>
      <c r="V372">
        <f>H371</f>
        <v/>
      </c>
      <c r="W372">
        <f>N371</f>
        <v/>
      </c>
    </row>
    <row r="373" ht="15.75" customHeight="1" s="40">
      <c r="C373" s="36">
        <f>_xlfn.IFS(E373&lt;E$24,0,E373&lt;E$26,C$24,E373&lt;E$28,C$26,E373&lt;E$30,C$28,E373&lt;E$32,C$30,E373&lt;E$34,C$32,E373&gt;=E$34,C$34)</f>
        <v/>
      </c>
      <c r="D373" s="37">
        <f>_xlfn.IFS(E373&lt;E$24,0,E373&lt;E$25,D$24,E373&lt;E$26,D$25,E373&lt;E$27,D$26,E373&lt;E$28,D$27,E373&lt;E$29,D$28,E373&lt;E$30,D$29,E373&lt;E$31,D$30,E373&lt;E$32,D$31,E373&lt;E$33,D$32,E373&lt;E$34,D$33,E373&lt;E$35,D$34,E373&gt;=E$35,D$35)</f>
        <v/>
      </c>
      <c r="E373" s="38" t="n">
        <v>323</v>
      </c>
      <c r="F373" s="31">
        <f>E373/52</f>
        <v/>
      </c>
      <c r="G373" s="39">
        <f>D373/1000000*52</f>
        <v/>
      </c>
      <c r="H373" s="33">
        <f>G373/$P$4+($C$22/$P$4)</f>
        <v/>
      </c>
      <c r="I373" s="36">
        <f>_xlfn.IFS(K373&lt;K$24,0,K373&lt;K$26,I$24,K373&lt;K$28,I$26,K373&lt;K$30,I$28,K373&lt;K$32,I$30,K373&lt;K$34,I$32,K373&lt;K$36,I$34,K373&lt;K$38,I$36,K373&lt;K$40,I$38,K373&lt;K$42,I$40,K373&lt;K$44,I$42,K373&lt;K$46,I$44,K373&gt;=K$46,I$46)</f>
        <v/>
      </c>
      <c r="J373" s="37">
        <f>_xlfn.IFS(K373&lt;K$24,0,K373&lt;K$25,J$24,K373&lt;K$26,J$25,K373&lt;K$27,J$26,K373&lt;K$28,J$27,K373&lt;K$29,J$28,K373&lt;K$30,J$29,K373&lt;K$31,J$30,K373&lt;K$32,J$31,K373&lt;K$33,J$32,K373&lt;K$34,J$33,K373&lt;K$35,J$34,K373&lt;K$36,J$35,K373&lt;K$37,J$36,K373&lt;K$38,J$37,K373&lt;K$39,J$38,K373&lt;K$40,J$39,K373&lt;K$41,J$40,K373&lt;K$42,J$41,K373&lt;K$43,J$42,K373&lt;K$44,J$43,K373&lt;K$45,J$44,K373&lt;K$46,J$45,K373&lt;K$47,J$46,K373&gt;=K$47,J$47)</f>
        <v/>
      </c>
      <c r="K373" s="38" t="n">
        <v>323</v>
      </c>
      <c r="L373" s="31">
        <f>K373/52</f>
        <v/>
      </c>
      <c r="M373" s="39">
        <f>J373/1000000*52</f>
        <v/>
      </c>
      <c r="N373" s="33">
        <f>M373/$P$4+($I$22/$P$4)</f>
        <v/>
      </c>
      <c r="U373">
        <f>F372</f>
        <v/>
      </c>
      <c r="V373">
        <f>H372</f>
        <v/>
      </c>
      <c r="W373">
        <f>N372</f>
        <v/>
      </c>
    </row>
    <row r="374" ht="15.75" customHeight="1" s="40">
      <c r="C374" s="36">
        <f>_xlfn.IFS(E374&lt;E$24,0,E374&lt;E$26,C$24,E374&lt;E$28,C$26,E374&lt;E$30,C$28,E374&lt;E$32,C$30,E374&lt;E$34,C$32,E374&gt;=E$34,C$34)</f>
        <v/>
      </c>
      <c r="D374" s="37">
        <f>_xlfn.IFS(E374&lt;E$24,0,E374&lt;E$25,D$24,E374&lt;E$26,D$25,E374&lt;E$27,D$26,E374&lt;E$28,D$27,E374&lt;E$29,D$28,E374&lt;E$30,D$29,E374&lt;E$31,D$30,E374&lt;E$32,D$31,E374&lt;E$33,D$32,E374&lt;E$34,D$33,E374&lt;E$35,D$34,E374&gt;=E$35,D$35)</f>
        <v/>
      </c>
      <c r="E374" s="38" t="n">
        <v>324</v>
      </c>
      <c r="F374" s="31">
        <f>E374/52</f>
        <v/>
      </c>
      <c r="G374" s="39">
        <f>D374/1000000*52</f>
        <v/>
      </c>
      <c r="H374" s="33">
        <f>G374/$P$4+($C$22/$P$4)</f>
        <v/>
      </c>
      <c r="I374" s="36">
        <f>_xlfn.IFS(K374&lt;K$24,0,K374&lt;K$26,I$24,K374&lt;K$28,I$26,K374&lt;K$30,I$28,K374&lt;K$32,I$30,K374&lt;K$34,I$32,K374&lt;K$36,I$34,K374&lt;K$38,I$36,K374&lt;K$40,I$38,K374&lt;K$42,I$40,K374&lt;K$44,I$42,K374&lt;K$46,I$44,K374&gt;=K$46,I$46)</f>
        <v/>
      </c>
      <c r="J374" s="37">
        <f>_xlfn.IFS(K374&lt;K$24,0,K374&lt;K$25,J$24,K374&lt;K$26,J$25,K374&lt;K$27,J$26,K374&lt;K$28,J$27,K374&lt;K$29,J$28,K374&lt;K$30,J$29,K374&lt;K$31,J$30,K374&lt;K$32,J$31,K374&lt;K$33,J$32,K374&lt;K$34,J$33,K374&lt;K$35,J$34,K374&lt;K$36,J$35,K374&lt;K$37,J$36,K374&lt;K$38,J$37,K374&lt;K$39,J$38,K374&lt;K$40,J$39,K374&lt;K$41,J$40,K374&lt;K$42,J$41,K374&lt;K$43,J$42,K374&lt;K$44,J$43,K374&lt;K$45,J$44,K374&lt;K$46,J$45,K374&lt;K$47,J$46,K374&gt;=K$47,J$47)</f>
        <v/>
      </c>
      <c r="K374" s="38" t="n">
        <v>324</v>
      </c>
      <c r="L374" s="31">
        <f>K374/52</f>
        <v/>
      </c>
      <c r="M374" s="39">
        <f>J374/1000000*52</f>
        <v/>
      </c>
      <c r="N374" s="33">
        <f>M374/$P$4+($I$22/$P$4)</f>
        <v/>
      </c>
      <c r="U374">
        <f>F373</f>
        <v/>
      </c>
      <c r="V374">
        <f>H373</f>
        <v/>
      </c>
      <c r="W374">
        <f>N373</f>
        <v/>
      </c>
    </row>
    <row r="375" ht="15.75" customHeight="1" s="40">
      <c r="C375" s="36">
        <f>_xlfn.IFS(E375&lt;E$24,0,E375&lt;E$26,C$24,E375&lt;E$28,C$26,E375&lt;E$30,C$28,E375&lt;E$32,C$30,E375&lt;E$34,C$32,E375&gt;=E$34,C$34)</f>
        <v/>
      </c>
      <c r="D375" s="37">
        <f>_xlfn.IFS(E375&lt;E$24,0,E375&lt;E$25,D$24,E375&lt;E$26,D$25,E375&lt;E$27,D$26,E375&lt;E$28,D$27,E375&lt;E$29,D$28,E375&lt;E$30,D$29,E375&lt;E$31,D$30,E375&lt;E$32,D$31,E375&lt;E$33,D$32,E375&lt;E$34,D$33,E375&lt;E$35,D$34,E375&gt;=E$35,D$35)</f>
        <v/>
      </c>
      <c r="E375" s="38" t="n">
        <v>325</v>
      </c>
      <c r="F375" s="31">
        <f>E375/52</f>
        <v/>
      </c>
      <c r="G375" s="39">
        <f>D375/1000000*52</f>
        <v/>
      </c>
      <c r="H375" s="33">
        <f>G375/$P$4+($C$22/$P$4)</f>
        <v/>
      </c>
      <c r="I375" s="36">
        <f>_xlfn.IFS(K375&lt;K$24,0,K375&lt;K$26,I$24,K375&lt;K$28,I$26,K375&lt;K$30,I$28,K375&lt;K$32,I$30,K375&lt;K$34,I$32,K375&lt;K$36,I$34,K375&lt;K$38,I$36,K375&lt;K$40,I$38,K375&lt;K$42,I$40,K375&lt;K$44,I$42,K375&lt;K$46,I$44,K375&gt;=K$46,I$46)</f>
        <v/>
      </c>
      <c r="J375" s="37">
        <f>_xlfn.IFS(K375&lt;K$24,0,K375&lt;K$25,J$24,K375&lt;K$26,J$25,K375&lt;K$27,J$26,K375&lt;K$28,J$27,K375&lt;K$29,J$28,K375&lt;K$30,J$29,K375&lt;K$31,J$30,K375&lt;K$32,J$31,K375&lt;K$33,J$32,K375&lt;K$34,J$33,K375&lt;K$35,J$34,K375&lt;K$36,J$35,K375&lt;K$37,J$36,K375&lt;K$38,J$37,K375&lt;K$39,J$38,K375&lt;K$40,J$39,K375&lt;K$41,J$40,K375&lt;K$42,J$41,K375&lt;K$43,J$42,K375&lt;K$44,J$43,K375&lt;K$45,J$44,K375&lt;K$46,J$45,K375&lt;K$47,J$46,K375&gt;=K$47,J$47)</f>
        <v/>
      </c>
      <c r="K375" s="38" t="n">
        <v>325</v>
      </c>
      <c r="L375" s="31">
        <f>K375/52</f>
        <v/>
      </c>
      <c r="M375" s="39">
        <f>J375/1000000*52</f>
        <v/>
      </c>
      <c r="N375" s="33">
        <f>M375/$P$4+($I$22/$P$4)</f>
        <v/>
      </c>
      <c r="U375">
        <f>F374</f>
        <v/>
      </c>
      <c r="V375">
        <f>H374</f>
        <v/>
      </c>
      <c r="W375">
        <f>N374</f>
        <v/>
      </c>
    </row>
    <row r="376" ht="15.75" customHeight="1" s="40">
      <c r="C376" s="36">
        <f>_xlfn.IFS(E376&lt;E$24,0,E376&lt;E$26,C$24,E376&lt;E$28,C$26,E376&lt;E$30,C$28,E376&lt;E$32,C$30,E376&lt;E$34,C$32,E376&gt;=E$34,C$34)</f>
        <v/>
      </c>
      <c r="D376" s="37">
        <f>_xlfn.IFS(E376&lt;E$24,0,E376&lt;E$25,D$24,E376&lt;E$26,D$25,E376&lt;E$27,D$26,E376&lt;E$28,D$27,E376&lt;E$29,D$28,E376&lt;E$30,D$29,E376&lt;E$31,D$30,E376&lt;E$32,D$31,E376&lt;E$33,D$32,E376&lt;E$34,D$33,E376&lt;E$35,D$34,E376&gt;=E$35,D$35)</f>
        <v/>
      </c>
      <c r="E376" s="38" t="n">
        <v>326</v>
      </c>
      <c r="F376" s="31">
        <f>E376/52</f>
        <v/>
      </c>
      <c r="G376" s="39">
        <f>D376/1000000*52</f>
        <v/>
      </c>
      <c r="H376" s="33">
        <f>G376/$P$4+($C$22/$P$4)</f>
        <v/>
      </c>
      <c r="I376" s="36">
        <f>_xlfn.IFS(K376&lt;K$24,0,K376&lt;K$26,I$24,K376&lt;K$28,I$26,K376&lt;K$30,I$28,K376&lt;K$32,I$30,K376&lt;K$34,I$32,K376&lt;K$36,I$34,K376&lt;K$38,I$36,K376&lt;K$40,I$38,K376&lt;K$42,I$40,K376&lt;K$44,I$42,K376&lt;K$46,I$44,K376&gt;=K$46,I$46)</f>
        <v/>
      </c>
      <c r="J376" s="37">
        <f>_xlfn.IFS(K376&lt;K$24,0,K376&lt;K$25,J$24,K376&lt;K$26,J$25,K376&lt;K$27,J$26,K376&lt;K$28,J$27,K376&lt;K$29,J$28,K376&lt;K$30,J$29,K376&lt;K$31,J$30,K376&lt;K$32,J$31,K376&lt;K$33,J$32,K376&lt;K$34,J$33,K376&lt;K$35,J$34,K376&lt;K$36,J$35,K376&lt;K$37,J$36,K376&lt;K$38,J$37,K376&lt;K$39,J$38,K376&lt;K$40,J$39,K376&lt;K$41,J$40,K376&lt;K$42,J$41,K376&lt;K$43,J$42,K376&lt;K$44,J$43,K376&lt;K$45,J$44,K376&lt;K$46,J$45,K376&lt;K$47,J$46,K376&gt;=K$47,J$47)</f>
        <v/>
      </c>
      <c r="K376" s="38" t="n">
        <v>326</v>
      </c>
      <c r="L376" s="31">
        <f>K376/52</f>
        <v/>
      </c>
      <c r="M376" s="39">
        <f>J376/1000000*52</f>
        <v/>
      </c>
      <c r="N376" s="33">
        <f>M376/$P$4+($I$22/$P$4)</f>
        <v/>
      </c>
      <c r="U376">
        <f>F375</f>
        <v/>
      </c>
      <c r="V376">
        <f>H375</f>
        <v/>
      </c>
      <c r="W376">
        <f>N375</f>
        <v/>
      </c>
    </row>
    <row r="377" ht="15.75" customHeight="1" s="40">
      <c r="C377" s="36">
        <f>_xlfn.IFS(E377&lt;E$24,0,E377&lt;E$26,C$24,E377&lt;E$28,C$26,E377&lt;E$30,C$28,E377&lt;E$32,C$30,E377&lt;E$34,C$32,E377&gt;=E$34,C$34)</f>
        <v/>
      </c>
      <c r="D377" s="37">
        <f>_xlfn.IFS(E377&lt;E$24,0,E377&lt;E$25,D$24,E377&lt;E$26,D$25,E377&lt;E$27,D$26,E377&lt;E$28,D$27,E377&lt;E$29,D$28,E377&lt;E$30,D$29,E377&lt;E$31,D$30,E377&lt;E$32,D$31,E377&lt;E$33,D$32,E377&lt;E$34,D$33,E377&lt;E$35,D$34,E377&gt;=E$35,D$35)</f>
        <v/>
      </c>
      <c r="E377" s="38" t="n">
        <v>327</v>
      </c>
      <c r="F377" s="31">
        <f>E377/52</f>
        <v/>
      </c>
      <c r="G377" s="39">
        <f>D377/1000000*52</f>
        <v/>
      </c>
      <c r="H377" s="33">
        <f>G377/$P$4+($C$22/$P$4)</f>
        <v/>
      </c>
      <c r="I377" s="36">
        <f>_xlfn.IFS(K377&lt;K$24,0,K377&lt;K$26,I$24,K377&lt;K$28,I$26,K377&lt;K$30,I$28,K377&lt;K$32,I$30,K377&lt;K$34,I$32,K377&lt;K$36,I$34,K377&lt;K$38,I$36,K377&lt;K$40,I$38,K377&lt;K$42,I$40,K377&lt;K$44,I$42,K377&lt;K$46,I$44,K377&gt;=K$46,I$46)</f>
        <v/>
      </c>
      <c r="J377" s="37">
        <f>_xlfn.IFS(K377&lt;K$24,0,K377&lt;K$25,J$24,K377&lt;K$26,J$25,K377&lt;K$27,J$26,K377&lt;K$28,J$27,K377&lt;K$29,J$28,K377&lt;K$30,J$29,K377&lt;K$31,J$30,K377&lt;K$32,J$31,K377&lt;K$33,J$32,K377&lt;K$34,J$33,K377&lt;K$35,J$34,K377&lt;K$36,J$35,K377&lt;K$37,J$36,K377&lt;K$38,J$37,K377&lt;K$39,J$38,K377&lt;K$40,J$39,K377&lt;K$41,J$40,K377&lt;K$42,J$41,K377&lt;K$43,J$42,K377&lt;K$44,J$43,K377&lt;K$45,J$44,K377&lt;K$46,J$45,K377&lt;K$47,J$46,K377&gt;=K$47,J$47)</f>
        <v/>
      </c>
      <c r="K377" s="38" t="n">
        <v>327</v>
      </c>
      <c r="L377" s="31">
        <f>K377/52</f>
        <v/>
      </c>
      <c r="M377" s="39">
        <f>J377/1000000*52</f>
        <v/>
      </c>
      <c r="N377" s="33">
        <f>M377/$P$4+($I$22/$P$4)</f>
        <v/>
      </c>
      <c r="U377">
        <f>F376</f>
        <v/>
      </c>
      <c r="V377">
        <f>H376</f>
        <v/>
      </c>
      <c r="W377">
        <f>N376</f>
        <v/>
      </c>
    </row>
    <row r="378" ht="15.75" customHeight="1" s="40">
      <c r="C378" s="36">
        <f>_xlfn.IFS(E378&lt;E$24,0,E378&lt;E$26,C$24,E378&lt;E$28,C$26,E378&lt;E$30,C$28,E378&lt;E$32,C$30,E378&lt;E$34,C$32,E378&gt;=E$34,C$34)</f>
        <v/>
      </c>
      <c r="D378" s="37">
        <f>_xlfn.IFS(E378&lt;E$24,0,E378&lt;E$25,D$24,E378&lt;E$26,D$25,E378&lt;E$27,D$26,E378&lt;E$28,D$27,E378&lt;E$29,D$28,E378&lt;E$30,D$29,E378&lt;E$31,D$30,E378&lt;E$32,D$31,E378&lt;E$33,D$32,E378&lt;E$34,D$33,E378&lt;E$35,D$34,E378&gt;=E$35,D$35)</f>
        <v/>
      </c>
      <c r="E378" s="38" t="n">
        <v>328</v>
      </c>
      <c r="F378" s="31">
        <f>E378/52</f>
        <v/>
      </c>
      <c r="G378" s="39">
        <f>D378/1000000*52</f>
        <v/>
      </c>
      <c r="H378" s="33">
        <f>G378/$P$4+($C$22/$P$4)</f>
        <v/>
      </c>
      <c r="I378" s="36">
        <f>_xlfn.IFS(K378&lt;K$24,0,K378&lt;K$26,I$24,K378&lt;K$28,I$26,K378&lt;K$30,I$28,K378&lt;K$32,I$30,K378&lt;K$34,I$32,K378&lt;K$36,I$34,K378&lt;K$38,I$36,K378&lt;K$40,I$38,K378&lt;K$42,I$40,K378&lt;K$44,I$42,K378&lt;K$46,I$44,K378&gt;=K$46,I$46)</f>
        <v/>
      </c>
      <c r="J378" s="37">
        <f>_xlfn.IFS(K378&lt;K$24,0,K378&lt;K$25,J$24,K378&lt;K$26,J$25,K378&lt;K$27,J$26,K378&lt;K$28,J$27,K378&lt;K$29,J$28,K378&lt;K$30,J$29,K378&lt;K$31,J$30,K378&lt;K$32,J$31,K378&lt;K$33,J$32,K378&lt;K$34,J$33,K378&lt;K$35,J$34,K378&lt;K$36,J$35,K378&lt;K$37,J$36,K378&lt;K$38,J$37,K378&lt;K$39,J$38,K378&lt;K$40,J$39,K378&lt;K$41,J$40,K378&lt;K$42,J$41,K378&lt;K$43,J$42,K378&lt;K$44,J$43,K378&lt;K$45,J$44,K378&lt;K$46,J$45,K378&lt;K$47,J$46,K378&gt;=K$47,J$47)</f>
        <v/>
      </c>
      <c r="K378" s="38" t="n">
        <v>328</v>
      </c>
      <c r="L378" s="31">
        <f>K378/52</f>
        <v/>
      </c>
      <c r="M378" s="39">
        <f>J378/1000000*52</f>
        <v/>
      </c>
      <c r="N378" s="33">
        <f>M378/$P$4+($I$22/$P$4)</f>
        <v/>
      </c>
      <c r="U378">
        <f>F377</f>
        <v/>
      </c>
      <c r="V378">
        <f>H377</f>
        <v/>
      </c>
      <c r="W378">
        <f>N377</f>
        <v/>
      </c>
    </row>
    <row r="379" ht="15.75" customHeight="1" s="40">
      <c r="C379" s="36">
        <f>_xlfn.IFS(E379&lt;E$24,0,E379&lt;E$26,C$24,E379&lt;E$28,C$26,E379&lt;E$30,C$28,E379&lt;E$32,C$30,E379&lt;E$34,C$32,E379&gt;=E$34,C$34)</f>
        <v/>
      </c>
      <c r="D379" s="37">
        <f>_xlfn.IFS(E379&lt;E$24,0,E379&lt;E$25,D$24,E379&lt;E$26,D$25,E379&lt;E$27,D$26,E379&lt;E$28,D$27,E379&lt;E$29,D$28,E379&lt;E$30,D$29,E379&lt;E$31,D$30,E379&lt;E$32,D$31,E379&lt;E$33,D$32,E379&lt;E$34,D$33,E379&lt;E$35,D$34,E379&gt;=E$35,D$35)</f>
        <v/>
      </c>
      <c r="E379" s="38" t="n">
        <v>329</v>
      </c>
      <c r="F379" s="31">
        <f>E379/52</f>
        <v/>
      </c>
      <c r="G379" s="39">
        <f>D379/1000000*52</f>
        <v/>
      </c>
      <c r="H379" s="33">
        <f>G379/$P$4+($C$22/$P$4)</f>
        <v/>
      </c>
      <c r="I379" s="36">
        <f>_xlfn.IFS(K379&lt;K$24,0,K379&lt;K$26,I$24,K379&lt;K$28,I$26,K379&lt;K$30,I$28,K379&lt;K$32,I$30,K379&lt;K$34,I$32,K379&lt;K$36,I$34,K379&lt;K$38,I$36,K379&lt;K$40,I$38,K379&lt;K$42,I$40,K379&lt;K$44,I$42,K379&lt;K$46,I$44,K379&gt;=K$46,I$46)</f>
        <v/>
      </c>
      <c r="J379" s="37">
        <f>_xlfn.IFS(K379&lt;K$24,0,K379&lt;K$25,J$24,K379&lt;K$26,J$25,K379&lt;K$27,J$26,K379&lt;K$28,J$27,K379&lt;K$29,J$28,K379&lt;K$30,J$29,K379&lt;K$31,J$30,K379&lt;K$32,J$31,K379&lt;K$33,J$32,K379&lt;K$34,J$33,K379&lt;K$35,J$34,K379&lt;K$36,J$35,K379&lt;K$37,J$36,K379&lt;K$38,J$37,K379&lt;K$39,J$38,K379&lt;K$40,J$39,K379&lt;K$41,J$40,K379&lt;K$42,J$41,K379&lt;K$43,J$42,K379&lt;K$44,J$43,K379&lt;K$45,J$44,K379&lt;K$46,J$45,K379&lt;K$47,J$46,K379&gt;=K$47,J$47)</f>
        <v/>
      </c>
      <c r="K379" s="38" t="n">
        <v>329</v>
      </c>
      <c r="L379" s="31">
        <f>K379/52</f>
        <v/>
      </c>
      <c r="M379" s="39">
        <f>J379/1000000*52</f>
        <v/>
      </c>
      <c r="N379" s="33">
        <f>M379/$P$4+($I$22/$P$4)</f>
        <v/>
      </c>
      <c r="U379">
        <f>F378</f>
        <v/>
      </c>
      <c r="V379">
        <f>H378</f>
        <v/>
      </c>
      <c r="W379">
        <f>N378</f>
        <v/>
      </c>
    </row>
    <row r="380" ht="15.75" customHeight="1" s="40">
      <c r="C380" s="36">
        <f>_xlfn.IFS(E380&lt;E$24,0,E380&lt;E$26,C$24,E380&lt;E$28,C$26,E380&lt;E$30,C$28,E380&lt;E$32,C$30,E380&lt;E$34,C$32,E380&gt;=E$34,C$34)</f>
        <v/>
      </c>
      <c r="D380" s="37">
        <f>_xlfn.IFS(E380&lt;E$24,0,E380&lt;E$25,D$24,E380&lt;E$26,D$25,E380&lt;E$27,D$26,E380&lt;E$28,D$27,E380&lt;E$29,D$28,E380&lt;E$30,D$29,E380&lt;E$31,D$30,E380&lt;E$32,D$31,E380&lt;E$33,D$32,E380&lt;E$34,D$33,E380&lt;E$35,D$34,E380&gt;=E$35,D$35)</f>
        <v/>
      </c>
      <c r="E380" s="38" t="n">
        <v>330</v>
      </c>
      <c r="F380" s="31">
        <f>E380/52</f>
        <v/>
      </c>
      <c r="G380" s="39">
        <f>D380/1000000*52</f>
        <v/>
      </c>
      <c r="H380" s="33">
        <f>G380/$P$4+($C$22/$P$4)</f>
        <v/>
      </c>
      <c r="I380" s="36">
        <f>_xlfn.IFS(K380&lt;K$24,0,K380&lt;K$26,I$24,K380&lt;K$28,I$26,K380&lt;K$30,I$28,K380&lt;K$32,I$30,K380&lt;K$34,I$32,K380&lt;K$36,I$34,K380&lt;K$38,I$36,K380&lt;K$40,I$38,K380&lt;K$42,I$40,K380&lt;K$44,I$42,K380&lt;K$46,I$44,K380&gt;=K$46,I$46)</f>
        <v/>
      </c>
      <c r="J380" s="37">
        <f>_xlfn.IFS(K380&lt;K$24,0,K380&lt;K$25,J$24,K380&lt;K$26,J$25,K380&lt;K$27,J$26,K380&lt;K$28,J$27,K380&lt;K$29,J$28,K380&lt;K$30,J$29,K380&lt;K$31,J$30,K380&lt;K$32,J$31,K380&lt;K$33,J$32,K380&lt;K$34,J$33,K380&lt;K$35,J$34,K380&lt;K$36,J$35,K380&lt;K$37,J$36,K380&lt;K$38,J$37,K380&lt;K$39,J$38,K380&lt;K$40,J$39,K380&lt;K$41,J$40,K380&lt;K$42,J$41,K380&lt;K$43,J$42,K380&lt;K$44,J$43,K380&lt;K$45,J$44,K380&lt;K$46,J$45,K380&lt;K$47,J$46,K380&gt;=K$47,J$47)</f>
        <v/>
      </c>
      <c r="K380" s="38" t="n">
        <v>330</v>
      </c>
      <c r="L380" s="31">
        <f>K380/52</f>
        <v/>
      </c>
      <c r="M380" s="39">
        <f>J380/1000000*52</f>
        <v/>
      </c>
      <c r="N380" s="33">
        <f>M380/$P$4+($I$22/$P$4)</f>
        <v/>
      </c>
      <c r="U380">
        <f>F379</f>
        <v/>
      </c>
      <c r="V380">
        <f>H379</f>
        <v/>
      </c>
      <c r="W380">
        <f>N379</f>
        <v/>
      </c>
    </row>
    <row r="381" ht="15.75" customHeight="1" s="40">
      <c r="C381" s="36">
        <f>_xlfn.IFS(E381&lt;E$24,0,E381&lt;E$26,C$24,E381&lt;E$28,C$26,E381&lt;E$30,C$28,E381&lt;E$32,C$30,E381&lt;E$34,C$32,E381&gt;=E$34,C$34)</f>
        <v/>
      </c>
      <c r="D381" s="37">
        <f>_xlfn.IFS(E381&lt;E$24,0,E381&lt;E$25,D$24,E381&lt;E$26,D$25,E381&lt;E$27,D$26,E381&lt;E$28,D$27,E381&lt;E$29,D$28,E381&lt;E$30,D$29,E381&lt;E$31,D$30,E381&lt;E$32,D$31,E381&lt;E$33,D$32,E381&lt;E$34,D$33,E381&lt;E$35,D$34,E381&gt;=E$35,D$35)</f>
        <v/>
      </c>
      <c r="E381" s="38" t="n">
        <v>331</v>
      </c>
      <c r="F381" s="31">
        <f>E381/52</f>
        <v/>
      </c>
      <c r="G381" s="39">
        <f>D381/1000000*52</f>
        <v/>
      </c>
      <c r="H381" s="33">
        <f>G381/$P$4+($C$22/$P$4)</f>
        <v/>
      </c>
      <c r="I381" s="36">
        <f>_xlfn.IFS(K381&lt;K$24,0,K381&lt;K$26,I$24,K381&lt;K$28,I$26,K381&lt;K$30,I$28,K381&lt;K$32,I$30,K381&lt;K$34,I$32,K381&lt;K$36,I$34,K381&lt;K$38,I$36,K381&lt;K$40,I$38,K381&lt;K$42,I$40,K381&lt;K$44,I$42,K381&lt;K$46,I$44,K381&gt;=K$46,I$46)</f>
        <v/>
      </c>
      <c r="J381" s="37">
        <f>_xlfn.IFS(K381&lt;K$24,0,K381&lt;K$25,J$24,K381&lt;K$26,J$25,K381&lt;K$27,J$26,K381&lt;K$28,J$27,K381&lt;K$29,J$28,K381&lt;K$30,J$29,K381&lt;K$31,J$30,K381&lt;K$32,J$31,K381&lt;K$33,J$32,K381&lt;K$34,J$33,K381&lt;K$35,J$34,K381&lt;K$36,J$35,K381&lt;K$37,J$36,K381&lt;K$38,J$37,K381&lt;K$39,J$38,K381&lt;K$40,J$39,K381&lt;K$41,J$40,K381&lt;K$42,J$41,K381&lt;K$43,J$42,K381&lt;K$44,J$43,K381&lt;K$45,J$44,K381&lt;K$46,J$45,K381&lt;K$47,J$46,K381&gt;=K$47,J$47)</f>
        <v/>
      </c>
      <c r="K381" s="38" t="n">
        <v>331</v>
      </c>
      <c r="L381" s="31">
        <f>K381/52</f>
        <v/>
      </c>
      <c r="M381" s="39">
        <f>J381/1000000*52</f>
        <v/>
      </c>
      <c r="N381" s="33">
        <f>M381/$P$4+($I$22/$P$4)</f>
        <v/>
      </c>
      <c r="U381">
        <f>F380</f>
        <v/>
      </c>
      <c r="V381">
        <f>H380</f>
        <v/>
      </c>
      <c r="W381">
        <f>N380</f>
        <v/>
      </c>
    </row>
    <row r="382" ht="15.75" customHeight="1" s="40">
      <c r="C382" s="36">
        <f>_xlfn.IFS(E382&lt;E$24,0,E382&lt;E$26,C$24,E382&lt;E$28,C$26,E382&lt;E$30,C$28,E382&lt;E$32,C$30,E382&lt;E$34,C$32,E382&gt;=E$34,C$34)</f>
        <v/>
      </c>
      <c r="D382" s="37">
        <f>_xlfn.IFS(E382&lt;E$24,0,E382&lt;E$25,D$24,E382&lt;E$26,D$25,E382&lt;E$27,D$26,E382&lt;E$28,D$27,E382&lt;E$29,D$28,E382&lt;E$30,D$29,E382&lt;E$31,D$30,E382&lt;E$32,D$31,E382&lt;E$33,D$32,E382&lt;E$34,D$33,E382&lt;E$35,D$34,E382&gt;=E$35,D$35)</f>
        <v/>
      </c>
      <c r="E382" s="38" t="n">
        <v>332</v>
      </c>
      <c r="F382" s="31">
        <f>E382/52</f>
        <v/>
      </c>
      <c r="G382" s="39">
        <f>D382/1000000*52</f>
        <v/>
      </c>
      <c r="H382" s="33">
        <f>G382/$P$4+($C$22/$P$4)</f>
        <v/>
      </c>
      <c r="I382" s="36">
        <f>_xlfn.IFS(K382&lt;K$24,0,K382&lt;K$26,I$24,K382&lt;K$28,I$26,K382&lt;K$30,I$28,K382&lt;K$32,I$30,K382&lt;K$34,I$32,K382&lt;K$36,I$34,K382&lt;K$38,I$36,K382&lt;K$40,I$38,K382&lt;K$42,I$40,K382&lt;K$44,I$42,K382&lt;K$46,I$44,K382&gt;=K$46,I$46)</f>
        <v/>
      </c>
      <c r="J382" s="37">
        <f>_xlfn.IFS(K382&lt;K$24,0,K382&lt;K$25,J$24,K382&lt;K$26,J$25,K382&lt;K$27,J$26,K382&lt;K$28,J$27,K382&lt;K$29,J$28,K382&lt;K$30,J$29,K382&lt;K$31,J$30,K382&lt;K$32,J$31,K382&lt;K$33,J$32,K382&lt;K$34,J$33,K382&lt;K$35,J$34,K382&lt;K$36,J$35,K382&lt;K$37,J$36,K382&lt;K$38,J$37,K382&lt;K$39,J$38,K382&lt;K$40,J$39,K382&lt;K$41,J$40,K382&lt;K$42,J$41,K382&lt;K$43,J$42,K382&lt;K$44,J$43,K382&lt;K$45,J$44,K382&lt;K$46,J$45,K382&lt;K$47,J$46,K382&gt;=K$47,J$47)</f>
        <v/>
      </c>
      <c r="K382" s="38" t="n">
        <v>332</v>
      </c>
      <c r="L382" s="31">
        <f>K382/52</f>
        <v/>
      </c>
      <c r="M382" s="39">
        <f>J382/1000000*52</f>
        <v/>
      </c>
      <c r="N382" s="33">
        <f>M382/$P$4+($I$22/$P$4)</f>
        <v/>
      </c>
      <c r="U382">
        <f>F381</f>
        <v/>
      </c>
      <c r="V382">
        <f>H381</f>
        <v/>
      </c>
      <c r="W382">
        <f>N381</f>
        <v/>
      </c>
    </row>
    <row r="383" ht="15.75" customHeight="1" s="40">
      <c r="C383" s="36">
        <f>_xlfn.IFS(E383&lt;E$24,0,E383&lt;E$26,C$24,E383&lt;E$28,C$26,E383&lt;E$30,C$28,E383&lt;E$32,C$30,E383&lt;E$34,C$32,E383&gt;=E$34,C$34)</f>
        <v/>
      </c>
      <c r="D383" s="37">
        <f>_xlfn.IFS(E383&lt;E$24,0,E383&lt;E$25,D$24,E383&lt;E$26,D$25,E383&lt;E$27,D$26,E383&lt;E$28,D$27,E383&lt;E$29,D$28,E383&lt;E$30,D$29,E383&lt;E$31,D$30,E383&lt;E$32,D$31,E383&lt;E$33,D$32,E383&lt;E$34,D$33,E383&lt;E$35,D$34,E383&gt;=E$35,D$35)</f>
        <v/>
      </c>
      <c r="E383" s="38" t="n">
        <v>333</v>
      </c>
      <c r="F383" s="31">
        <f>E383/52</f>
        <v/>
      </c>
      <c r="G383" s="39">
        <f>D383/1000000*52</f>
        <v/>
      </c>
      <c r="H383" s="33">
        <f>G383/$P$4+($C$22/$P$4)</f>
        <v/>
      </c>
      <c r="I383" s="36">
        <f>_xlfn.IFS(K383&lt;K$24,0,K383&lt;K$26,I$24,K383&lt;K$28,I$26,K383&lt;K$30,I$28,K383&lt;K$32,I$30,K383&lt;K$34,I$32,K383&lt;K$36,I$34,K383&lt;K$38,I$36,K383&lt;K$40,I$38,K383&lt;K$42,I$40,K383&lt;K$44,I$42,K383&lt;K$46,I$44,K383&gt;=K$46,I$46)</f>
        <v/>
      </c>
      <c r="J383" s="37">
        <f>_xlfn.IFS(K383&lt;K$24,0,K383&lt;K$25,J$24,K383&lt;K$26,J$25,K383&lt;K$27,J$26,K383&lt;K$28,J$27,K383&lt;K$29,J$28,K383&lt;K$30,J$29,K383&lt;K$31,J$30,K383&lt;K$32,J$31,K383&lt;K$33,J$32,K383&lt;K$34,J$33,K383&lt;K$35,J$34,K383&lt;K$36,J$35,K383&lt;K$37,J$36,K383&lt;K$38,J$37,K383&lt;K$39,J$38,K383&lt;K$40,J$39,K383&lt;K$41,J$40,K383&lt;K$42,J$41,K383&lt;K$43,J$42,K383&lt;K$44,J$43,K383&lt;K$45,J$44,K383&lt;K$46,J$45,K383&lt;K$47,J$46,K383&gt;=K$47,J$47)</f>
        <v/>
      </c>
      <c r="K383" s="38" t="n">
        <v>333</v>
      </c>
      <c r="L383" s="31">
        <f>K383/52</f>
        <v/>
      </c>
      <c r="M383" s="39">
        <f>J383/1000000*52</f>
        <v/>
      </c>
      <c r="N383" s="33">
        <f>M383/$P$4+($I$22/$P$4)</f>
        <v/>
      </c>
      <c r="U383">
        <f>F382</f>
        <v/>
      </c>
      <c r="V383">
        <f>H382</f>
        <v/>
      </c>
      <c r="W383">
        <f>N382</f>
        <v/>
      </c>
    </row>
    <row r="384" ht="15.75" customHeight="1" s="40">
      <c r="C384" s="36">
        <f>_xlfn.IFS(E384&lt;E$24,0,E384&lt;E$26,C$24,E384&lt;E$28,C$26,E384&lt;E$30,C$28,E384&lt;E$32,C$30,E384&lt;E$34,C$32,E384&gt;=E$34,C$34)</f>
        <v/>
      </c>
      <c r="D384" s="37">
        <f>_xlfn.IFS(E384&lt;E$24,0,E384&lt;E$25,D$24,E384&lt;E$26,D$25,E384&lt;E$27,D$26,E384&lt;E$28,D$27,E384&lt;E$29,D$28,E384&lt;E$30,D$29,E384&lt;E$31,D$30,E384&lt;E$32,D$31,E384&lt;E$33,D$32,E384&lt;E$34,D$33,E384&lt;E$35,D$34,E384&gt;=E$35,D$35)</f>
        <v/>
      </c>
      <c r="E384" s="38" t="n">
        <v>334</v>
      </c>
      <c r="F384" s="31">
        <f>E384/52</f>
        <v/>
      </c>
      <c r="G384" s="39">
        <f>D384/1000000*52</f>
        <v/>
      </c>
      <c r="H384" s="33">
        <f>G384/$P$4+($C$22/$P$4)</f>
        <v/>
      </c>
      <c r="I384" s="36">
        <f>_xlfn.IFS(K384&lt;K$24,0,K384&lt;K$26,I$24,K384&lt;K$28,I$26,K384&lt;K$30,I$28,K384&lt;K$32,I$30,K384&lt;K$34,I$32,K384&lt;K$36,I$34,K384&lt;K$38,I$36,K384&lt;K$40,I$38,K384&lt;K$42,I$40,K384&lt;K$44,I$42,K384&lt;K$46,I$44,K384&gt;=K$46,I$46)</f>
        <v/>
      </c>
      <c r="J384" s="37">
        <f>_xlfn.IFS(K384&lt;K$24,0,K384&lt;K$25,J$24,K384&lt;K$26,J$25,K384&lt;K$27,J$26,K384&lt;K$28,J$27,K384&lt;K$29,J$28,K384&lt;K$30,J$29,K384&lt;K$31,J$30,K384&lt;K$32,J$31,K384&lt;K$33,J$32,K384&lt;K$34,J$33,K384&lt;K$35,J$34,K384&lt;K$36,J$35,K384&lt;K$37,J$36,K384&lt;K$38,J$37,K384&lt;K$39,J$38,K384&lt;K$40,J$39,K384&lt;K$41,J$40,K384&lt;K$42,J$41,K384&lt;K$43,J$42,K384&lt;K$44,J$43,K384&lt;K$45,J$44,K384&lt;K$46,J$45,K384&lt;K$47,J$46,K384&gt;=K$47,J$47)</f>
        <v/>
      </c>
      <c r="K384" s="38" t="n">
        <v>334</v>
      </c>
      <c r="L384" s="31">
        <f>K384/52</f>
        <v/>
      </c>
      <c r="M384" s="39">
        <f>J384/1000000*52</f>
        <v/>
      </c>
      <c r="N384" s="33">
        <f>M384/$P$4+($I$22/$P$4)</f>
        <v/>
      </c>
      <c r="U384">
        <f>F383</f>
        <v/>
      </c>
      <c r="V384">
        <f>H383</f>
        <v/>
      </c>
      <c r="W384">
        <f>N383</f>
        <v/>
      </c>
    </row>
    <row r="385" ht="15.75" customHeight="1" s="40">
      <c r="C385" s="36">
        <f>_xlfn.IFS(E385&lt;E$24,0,E385&lt;E$26,C$24,E385&lt;E$28,C$26,E385&lt;E$30,C$28,E385&lt;E$32,C$30,E385&lt;E$34,C$32,E385&gt;=E$34,C$34)</f>
        <v/>
      </c>
      <c r="D385" s="37">
        <f>_xlfn.IFS(E385&lt;E$24,0,E385&lt;E$25,D$24,E385&lt;E$26,D$25,E385&lt;E$27,D$26,E385&lt;E$28,D$27,E385&lt;E$29,D$28,E385&lt;E$30,D$29,E385&lt;E$31,D$30,E385&lt;E$32,D$31,E385&lt;E$33,D$32,E385&lt;E$34,D$33,E385&lt;E$35,D$34,E385&gt;=E$35,D$35)</f>
        <v/>
      </c>
      <c r="E385" s="38" t="n">
        <v>335</v>
      </c>
      <c r="F385" s="31">
        <f>E385/52</f>
        <v/>
      </c>
      <c r="G385" s="39">
        <f>D385/1000000*52</f>
        <v/>
      </c>
      <c r="H385" s="33">
        <f>G385/$P$4+($C$22/$P$4)</f>
        <v/>
      </c>
      <c r="I385" s="36">
        <f>_xlfn.IFS(K385&lt;K$24,0,K385&lt;K$26,I$24,K385&lt;K$28,I$26,K385&lt;K$30,I$28,K385&lt;K$32,I$30,K385&lt;K$34,I$32,K385&lt;K$36,I$34,K385&lt;K$38,I$36,K385&lt;K$40,I$38,K385&lt;K$42,I$40,K385&lt;K$44,I$42,K385&lt;K$46,I$44,K385&gt;=K$46,I$46)</f>
        <v/>
      </c>
      <c r="J385" s="37">
        <f>_xlfn.IFS(K385&lt;K$24,0,K385&lt;K$25,J$24,K385&lt;K$26,J$25,K385&lt;K$27,J$26,K385&lt;K$28,J$27,K385&lt;K$29,J$28,K385&lt;K$30,J$29,K385&lt;K$31,J$30,K385&lt;K$32,J$31,K385&lt;K$33,J$32,K385&lt;K$34,J$33,K385&lt;K$35,J$34,K385&lt;K$36,J$35,K385&lt;K$37,J$36,K385&lt;K$38,J$37,K385&lt;K$39,J$38,K385&lt;K$40,J$39,K385&lt;K$41,J$40,K385&lt;K$42,J$41,K385&lt;K$43,J$42,K385&lt;K$44,J$43,K385&lt;K$45,J$44,K385&lt;K$46,J$45,K385&lt;K$47,J$46,K385&gt;=K$47,J$47)</f>
        <v/>
      </c>
      <c r="K385" s="38" t="n">
        <v>335</v>
      </c>
      <c r="L385" s="31">
        <f>K385/52</f>
        <v/>
      </c>
      <c r="M385" s="39">
        <f>J385/1000000*52</f>
        <v/>
      </c>
      <c r="N385" s="33">
        <f>M385/$P$4+($I$22/$P$4)</f>
        <v/>
      </c>
      <c r="U385">
        <f>F384</f>
        <v/>
      </c>
      <c r="V385">
        <f>H384</f>
        <v/>
      </c>
      <c r="W385">
        <f>N384</f>
        <v/>
      </c>
    </row>
    <row r="386" ht="15.75" customHeight="1" s="40">
      <c r="C386" s="36">
        <f>_xlfn.IFS(E386&lt;E$24,0,E386&lt;E$26,C$24,E386&lt;E$28,C$26,E386&lt;E$30,C$28,E386&lt;E$32,C$30,E386&lt;E$34,C$32,E386&gt;=E$34,C$34)</f>
        <v/>
      </c>
      <c r="D386" s="37">
        <f>_xlfn.IFS(E386&lt;E$24,0,E386&lt;E$25,D$24,E386&lt;E$26,D$25,E386&lt;E$27,D$26,E386&lt;E$28,D$27,E386&lt;E$29,D$28,E386&lt;E$30,D$29,E386&lt;E$31,D$30,E386&lt;E$32,D$31,E386&lt;E$33,D$32,E386&lt;E$34,D$33,E386&lt;E$35,D$34,E386&gt;=E$35,D$35)</f>
        <v/>
      </c>
      <c r="E386" s="38" t="n">
        <v>336</v>
      </c>
      <c r="F386" s="31">
        <f>E386/52</f>
        <v/>
      </c>
      <c r="G386" s="39">
        <f>D386/1000000*52</f>
        <v/>
      </c>
      <c r="H386" s="33">
        <f>G386/$P$4+($C$22/$P$4)</f>
        <v/>
      </c>
      <c r="I386" s="36">
        <f>_xlfn.IFS(K386&lt;K$24,0,K386&lt;K$26,I$24,K386&lt;K$28,I$26,K386&lt;K$30,I$28,K386&lt;K$32,I$30,K386&lt;K$34,I$32,K386&lt;K$36,I$34,K386&lt;K$38,I$36,K386&lt;K$40,I$38,K386&lt;K$42,I$40,K386&lt;K$44,I$42,K386&lt;K$46,I$44,K386&gt;=K$46,I$46)</f>
        <v/>
      </c>
      <c r="J386" s="37">
        <f>_xlfn.IFS(K386&lt;K$24,0,K386&lt;K$25,J$24,K386&lt;K$26,J$25,K386&lt;K$27,J$26,K386&lt;K$28,J$27,K386&lt;K$29,J$28,K386&lt;K$30,J$29,K386&lt;K$31,J$30,K386&lt;K$32,J$31,K386&lt;K$33,J$32,K386&lt;K$34,J$33,K386&lt;K$35,J$34,K386&lt;K$36,J$35,K386&lt;K$37,J$36,K386&lt;K$38,J$37,K386&lt;K$39,J$38,K386&lt;K$40,J$39,K386&lt;K$41,J$40,K386&lt;K$42,J$41,K386&lt;K$43,J$42,K386&lt;K$44,J$43,K386&lt;K$45,J$44,K386&lt;K$46,J$45,K386&lt;K$47,J$46,K386&gt;=K$47,J$47)</f>
        <v/>
      </c>
      <c r="K386" s="38" t="n">
        <v>336</v>
      </c>
      <c r="L386" s="31">
        <f>K386/52</f>
        <v/>
      </c>
      <c r="M386" s="39">
        <f>J386/1000000*52</f>
        <v/>
      </c>
      <c r="N386" s="33">
        <f>M386/$P$4+($I$22/$P$4)</f>
        <v/>
      </c>
      <c r="U386">
        <f>F385</f>
        <v/>
      </c>
      <c r="V386">
        <f>H385</f>
        <v/>
      </c>
      <c r="W386">
        <f>N385</f>
        <v/>
      </c>
    </row>
    <row r="387" ht="15.75" customHeight="1" s="40">
      <c r="C387" s="36">
        <f>_xlfn.IFS(E387&lt;E$24,0,E387&lt;E$26,C$24,E387&lt;E$28,C$26,E387&lt;E$30,C$28,E387&lt;E$32,C$30,E387&lt;E$34,C$32,E387&gt;=E$34,C$34)</f>
        <v/>
      </c>
      <c r="D387" s="37">
        <f>_xlfn.IFS(E387&lt;E$24,0,E387&lt;E$25,D$24,E387&lt;E$26,D$25,E387&lt;E$27,D$26,E387&lt;E$28,D$27,E387&lt;E$29,D$28,E387&lt;E$30,D$29,E387&lt;E$31,D$30,E387&lt;E$32,D$31,E387&lt;E$33,D$32,E387&lt;E$34,D$33,E387&lt;E$35,D$34,E387&gt;=E$35,D$35)</f>
        <v/>
      </c>
      <c r="E387" s="38" t="n">
        <v>337</v>
      </c>
      <c r="F387" s="31">
        <f>E387/52</f>
        <v/>
      </c>
      <c r="G387" s="39">
        <f>D387/1000000*52</f>
        <v/>
      </c>
      <c r="H387" s="33">
        <f>G387/$P$4+($C$22/$P$4)</f>
        <v/>
      </c>
      <c r="I387" s="36">
        <f>_xlfn.IFS(K387&lt;K$24,0,K387&lt;K$26,I$24,K387&lt;K$28,I$26,K387&lt;K$30,I$28,K387&lt;K$32,I$30,K387&lt;K$34,I$32,K387&lt;K$36,I$34,K387&lt;K$38,I$36,K387&lt;K$40,I$38,K387&lt;K$42,I$40,K387&lt;K$44,I$42,K387&lt;K$46,I$44,K387&gt;=K$46,I$46)</f>
        <v/>
      </c>
      <c r="J387" s="37">
        <f>_xlfn.IFS(K387&lt;K$24,0,K387&lt;K$25,J$24,K387&lt;K$26,J$25,K387&lt;K$27,J$26,K387&lt;K$28,J$27,K387&lt;K$29,J$28,K387&lt;K$30,J$29,K387&lt;K$31,J$30,K387&lt;K$32,J$31,K387&lt;K$33,J$32,K387&lt;K$34,J$33,K387&lt;K$35,J$34,K387&lt;K$36,J$35,K387&lt;K$37,J$36,K387&lt;K$38,J$37,K387&lt;K$39,J$38,K387&lt;K$40,J$39,K387&lt;K$41,J$40,K387&lt;K$42,J$41,K387&lt;K$43,J$42,K387&lt;K$44,J$43,K387&lt;K$45,J$44,K387&lt;K$46,J$45,K387&lt;K$47,J$46,K387&gt;=K$47,J$47)</f>
        <v/>
      </c>
      <c r="K387" s="38" t="n">
        <v>337</v>
      </c>
      <c r="L387" s="31">
        <f>K387/52</f>
        <v/>
      </c>
      <c r="M387" s="39">
        <f>J387/1000000*52</f>
        <v/>
      </c>
      <c r="N387" s="33">
        <f>M387/$P$4+($I$22/$P$4)</f>
        <v/>
      </c>
      <c r="U387">
        <f>F386</f>
        <v/>
      </c>
      <c r="V387">
        <f>H386</f>
        <v/>
      </c>
      <c r="W387">
        <f>N386</f>
        <v/>
      </c>
    </row>
    <row r="388" ht="15.75" customHeight="1" s="40">
      <c r="C388" s="36">
        <f>_xlfn.IFS(E388&lt;E$24,0,E388&lt;E$26,C$24,E388&lt;E$28,C$26,E388&lt;E$30,C$28,E388&lt;E$32,C$30,E388&lt;E$34,C$32,E388&gt;=E$34,C$34)</f>
        <v/>
      </c>
      <c r="D388" s="37">
        <f>_xlfn.IFS(E388&lt;E$24,0,E388&lt;E$25,D$24,E388&lt;E$26,D$25,E388&lt;E$27,D$26,E388&lt;E$28,D$27,E388&lt;E$29,D$28,E388&lt;E$30,D$29,E388&lt;E$31,D$30,E388&lt;E$32,D$31,E388&lt;E$33,D$32,E388&lt;E$34,D$33,E388&lt;E$35,D$34,E388&gt;=E$35,D$35)</f>
        <v/>
      </c>
      <c r="E388" s="38" t="n">
        <v>338</v>
      </c>
      <c r="F388" s="31">
        <f>E388/52</f>
        <v/>
      </c>
      <c r="G388" s="39">
        <f>D388/1000000*52</f>
        <v/>
      </c>
      <c r="H388" s="33">
        <f>G388/$P$4+($C$22/$P$4)</f>
        <v/>
      </c>
      <c r="I388" s="36">
        <f>_xlfn.IFS(K388&lt;K$24,0,K388&lt;K$26,I$24,K388&lt;K$28,I$26,K388&lt;K$30,I$28,K388&lt;K$32,I$30,K388&lt;K$34,I$32,K388&lt;K$36,I$34,K388&lt;K$38,I$36,K388&lt;K$40,I$38,K388&lt;K$42,I$40,K388&lt;K$44,I$42,K388&lt;K$46,I$44,K388&gt;=K$46,I$46)</f>
        <v/>
      </c>
      <c r="J388" s="37">
        <f>_xlfn.IFS(K388&lt;K$24,0,K388&lt;K$25,J$24,K388&lt;K$26,J$25,K388&lt;K$27,J$26,K388&lt;K$28,J$27,K388&lt;K$29,J$28,K388&lt;K$30,J$29,K388&lt;K$31,J$30,K388&lt;K$32,J$31,K388&lt;K$33,J$32,K388&lt;K$34,J$33,K388&lt;K$35,J$34,K388&lt;K$36,J$35,K388&lt;K$37,J$36,K388&lt;K$38,J$37,K388&lt;K$39,J$38,K388&lt;K$40,J$39,K388&lt;K$41,J$40,K388&lt;K$42,J$41,K388&lt;K$43,J$42,K388&lt;K$44,J$43,K388&lt;K$45,J$44,K388&lt;K$46,J$45,K388&lt;K$47,J$46,K388&gt;=K$47,J$47)</f>
        <v/>
      </c>
      <c r="K388" s="38" t="n">
        <v>338</v>
      </c>
      <c r="L388" s="31">
        <f>K388/52</f>
        <v/>
      </c>
      <c r="M388" s="39">
        <f>J388/1000000*52</f>
        <v/>
      </c>
      <c r="N388" s="33">
        <f>M388/$P$4+($I$22/$P$4)</f>
        <v/>
      </c>
      <c r="U388">
        <f>F387</f>
        <v/>
      </c>
      <c r="V388">
        <f>H387</f>
        <v/>
      </c>
      <c r="W388">
        <f>N387</f>
        <v/>
      </c>
    </row>
    <row r="389" ht="15.75" customHeight="1" s="40">
      <c r="C389" s="36">
        <f>_xlfn.IFS(E389&lt;E$24,0,E389&lt;E$26,C$24,E389&lt;E$28,C$26,E389&lt;E$30,C$28,E389&lt;E$32,C$30,E389&lt;E$34,C$32,E389&gt;=E$34,C$34)</f>
        <v/>
      </c>
      <c r="D389" s="37">
        <f>_xlfn.IFS(E389&lt;E$24,0,E389&lt;E$25,D$24,E389&lt;E$26,D$25,E389&lt;E$27,D$26,E389&lt;E$28,D$27,E389&lt;E$29,D$28,E389&lt;E$30,D$29,E389&lt;E$31,D$30,E389&lt;E$32,D$31,E389&lt;E$33,D$32,E389&lt;E$34,D$33,E389&lt;E$35,D$34,E389&gt;=E$35,D$35)</f>
        <v/>
      </c>
      <c r="E389" s="38" t="n">
        <v>339</v>
      </c>
      <c r="F389" s="31">
        <f>E389/52</f>
        <v/>
      </c>
      <c r="G389" s="39">
        <f>D389/1000000*52</f>
        <v/>
      </c>
      <c r="H389" s="33">
        <f>G389/$P$4+($C$22/$P$4)</f>
        <v/>
      </c>
      <c r="I389" s="36">
        <f>_xlfn.IFS(K389&lt;K$24,0,K389&lt;K$26,I$24,K389&lt;K$28,I$26,K389&lt;K$30,I$28,K389&lt;K$32,I$30,K389&lt;K$34,I$32,K389&lt;K$36,I$34,K389&lt;K$38,I$36,K389&lt;K$40,I$38,K389&lt;K$42,I$40,K389&lt;K$44,I$42,K389&lt;K$46,I$44,K389&gt;=K$46,I$46)</f>
        <v/>
      </c>
      <c r="J389" s="37">
        <f>_xlfn.IFS(K389&lt;K$24,0,K389&lt;K$25,J$24,K389&lt;K$26,J$25,K389&lt;K$27,J$26,K389&lt;K$28,J$27,K389&lt;K$29,J$28,K389&lt;K$30,J$29,K389&lt;K$31,J$30,K389&lt;K$32,J$31,K389&lt;K$33,J$32,K389&lt;K$34,J$33,K389&lt;K$35,J$34,K389&lt;K$36,J$35,K389&lt;K$37,J$36,K389&lt;K$38,J$37,K389&lt;K$39,J$38,K389&lt;K$40,J$39,K389&lt;K$41,J$40,K389&lt;K$42,J$41,K389&lt;K$43,J$42,K389&lt;K$44,J$43,K389&lt;K$45,J$44,K389&lt;K$46,J$45,K389&lt;K$47,J$46,K389&gt;=K$47,J$47)</f>
        <v/>
      </c>
      <c r="K389" s="38" t="n">
        <v>339</v>
      </c>
      <c r="L389" s="31">
        <f>K389/52</f>
        <v/>
      </c>
      <c r="M389" s="39">
        <f>J389/1000000*52</f>
        <v/>
      </c>
      <c r="N389" s="33">
        <f>M389/$P$4+($I$22/$P$4)</f>
        <v/>
      </c>
      <c r="U389">
        <f>F388</f>
        <v/>
      </c>
      <c r="V389">
        <f>H388</f>
        <v/>
      </c>
      <c r="W389">
        <f>N388</f>
        <v/>
      </c>
    </row>
    <row r="390" ht="15.75" customHeight="1" s="40">
      <c r="C390" s="36">
        <f>_xlfn.IFS(E390&lt;E$24,0,E390&lt;E$26,C$24,E390&lt;E$28,C$26,E390&lt;E$30,C$28,E390&lt;E$32,C$30,E390&lt;E$34,C$32,E390&gt;=E$34,C$34)</f>
        <v/>
      </c>
      <c r="D390" s="37">
        <f>_xlfn.IFS(E390&lt;E$24,0,E390&lt;E$25,D$24,E390&lt;E$26,D$25,E390&lt;E$27,D$26,E390&lt;E$28,D$27,E390&lt;E$29,D$28,E390&lt;E$30,D$29,E390&lt;E$31,D$30,E390&lt;E$32,D$31,E390&lt;E$33,D$32,E390&lt;E$34,D$33,E390&lt;E$35,D$34,E390&gt;=E$35,D$35)</f>
        <v/>
      </c>
      <c r="E390" s="38" t="n">
        <v>340</v>
      </c>
      <c r="F390" s="31">
        <f>E390/52</f>
        <v/>
      </c>
      <c r="G390" s="39">
        <f>D390/1000000*52</f>
        <v/>
      </c>
      <c r="H390" s="33">
        <f>G390/$P$4+($C$22/$P$4)</f>
        <v/>
      </c>
      <c r="I390" s="36">
        <f>_xlfn.IFS(K390&lt;K$24,0,K390&lt;K$26,I$24,K390&lt;K$28,I$26,K390&lt;K$30,I$28,K390&lt;K$32,I$30,K390&lt;K$34,I$32,K390&lt;K$36,I$34,K390&lt;K$38,I$36,K390&lt;K$40,I$38,K390&lt;K$42,I$40,K390&lt;K$44,I$42,K390&lt;K$46,I$44,K390&gt;=K$46,I$46)</f>
        <v/>
      </c>
      <c r="J390" s="37">
        <f>_xlfn.IFS(K390&lt;K$24,0,K390&lt;K$25,J$24,K390&lt;K$26,J$25,K390&lt;K$27,J$26,K390&lt;K$28,J$27,K390&lt;K$29,J$28,K390&lt;K$30,J$29,K390&lt;K$31,J$30,K390&lt;K$32,J$31,K390&lt;K$33,J$32,K390&lt;K$34,J$33,K390&lt;K$35,J$34,K390&lt;K$36,J$35,K390&lt;K$37,J$36,K390&lt;K$38,J$37,K390&lt;K$39,J$38,K390&lt;K$40,J$39,K390&lt;K$41,J$40,K390&lt;K$42,J$41,K390&lt;K$43,J$42,K390&lt;K$44,J$43,K390&lt;K$45,J$44,K390&lt;K$46,J$45,K390&lt;K$47,J$46,K390&gt;=K$47,J$47)</f>
        <v/>
      </c>
      <c r="K390" s="38" t="n">
        <v>340</v>
      </c>
      <c r="L390" s="31">
        <f>K390/52</f>
        <v/>
      </c>
      <c r="M390" s="39">
        <f>J390/1000000*52</f>
        <v/>
      </c>
      <c r="N390" s="33">
        <f>M390/$P$4+($I$22/$P$4)</f>
        <v/>
      </c>
      <c r="U390">
        <f>F389</f>
        <v/>
      </c>
      <c r="V390">
        <f>H389</f>
        <v/>
      </c>
      <c r="W390">
        <f>N389</f>
        <v/>
      </c>
    </row>
    <row r="391" ht="15.75" customHeight="1" s="40">
      <c r="C391" s="36">
        <f>_xlfn.IFS(E391&lt;E$24,0,E391&lt;E$26,C$24,E391&lt;E$28,C$26,E391&lt;E$30,C$28,E391&lt;E$32,C$30,E391&lt;E$34,C$32,E391&gt;=E$34,C$34)</f>
        <v/>
      </c>
      <c r="D391" s="37">
        <f>_xlfn.IFS(E391&lt;E$24,0,E391&lt;E$25,D$24,E391&lt;E$26,D$25,E391&lt;E$27,D$26,E391&lt;E$28,D$27,E391&lt;E$29,D$28,E391&lt;E$30,D$29,E391&lt;E$31,D$30,E391&lt;E$32,D$31,E391&lt;E$33,D$32,E391&lt;E$34,D$33,E391&lt;E$35,D$34,E391&gt;=E$35,D$35)</f>
        <v/>
      </c>
      <c r="E391" s="38" t="n">
        <v>341</v>
      </c>
      <c r="F391" s="31">
        <f>E391/52</f>
        <v/>
      </c>
      <c r="G391" s="39">
        <f>D391/1000000*52</f>
        <v/>
      </c>
      <c r="H391" s="33">
        <f>G391/$P$4+($C$22/$P$4)</f>
        <v/>
      </c>
      <c r="I391" s="36">
        <f>_xlfn.IFS(K391&lt;K$24,0,K391&lt;K$26,I$24,K391&lt;K$28,I$26,K391&lt;K$30,I$28,K391&lt;K$32,I$30,K391&lt;K$34,I$32,K391&lt;K$36,I$34,K391&lt;K$38,I$36,K391&lt;K$40,I$38,K391&lt;K$42,I$40,K391&lt;K$44,I$42,K391&lt;K$46,I$44,K391&gt;=K$46,I$46)</f>
        <v/>
      </c>
      <c r="J391" s="37">
        <f>_xlfn.IFS(K391&lt;K$24,0,K391&lt;K$25,J$24,K391&lt;K$26,J$25,K391&lt;K$27,J$26,K391&lt;K$28,J$27,K391&lt;K$29,J$28,K391&lt;K$30,J$29,K391&lt;K$31,J$30,K391&lt;K$32,J$31,K391&lt;K$33,J$32,K391&lt;K$34,J$33,K391&lt;K$35,J$34,K391&lt;K$36,J$35,K391&lt;K$37,J$36,K391&lt;K$38,J$37,K391&lt;K$39,J$38,K391&lt;K$40,J$39,K391&lt;K$41,J$40,K391&lt;K$42,J$41,K391&lt;K$43,J$42,K391&lt;K$44,J$43,K391&lt;K$45,J$44,K391&lt;K$46,J$45,K391&lt;K$47,J$46,K391&gt;=K$47,J$47)</f>
        <v/>
      </c>
      <c r="K391" s="38" t="n">
        <v>341</v>
      </c>
      <c r="L391" s="31">
        <f>K391/52</f>
        <v/>
      </c>
      <c r="M391" s="39">
        <f>J391/1000000*52</f>
        <v/>
      </c>
      <c r="N391" s="33">
        <f>M391/$P$4+($I$22/$P$4)</f>
        <v/>
      </c>
      <c r="U391">
        <f>F390</f>
        <v/>
      </c>
      <c r="V391">
        <f>H390</f>
        <v/>
      </c>
      <c r="W391">
        <f>N390</f>
        <v/>
      </c>
    </row>
    <row r="392" ht="15.75" customHeight="1" s="40">
      <c r="C392" s="36">
        <f>_xlfn.IFS(E392&lt;E$24,0,E392&lt;E$26,C$24,E392&lt;E$28,C$26,E392&lt;E$30,C$28,E392&lt;E$32,C$30,E392&lt;E$34,C$32,E392&gt;=E$34,C$34)</f>
        <v/>
      </c>
      <c r="D392" s="37">
        <f>_xlfn.IFS(E392&lt;E$24,0,E392&lt;E$25,D$24,E392&lt;E$26,D$25,E392&lt;E$27,D$26,E392&lt;E$28,D$27,E392&lt;E$29,D$28,E392&lt;E$30,D$29,E392&lt;E$31,D$30,E392&lt;E$32,D$31,E392&lt;E$33,D$32,E392&lt;E$34,D$33,E392&lt;E$35,D$34,E392&gt;=E$35,D$35)</f>
        <v/>
      </c>
      <c r="E392" s="38" t="n">
        <v>342</v>
      </c>
      <c r="F392" s="31">
        <f>E392/52</f>
        <v/>
      </c>
      <c r="G392" s="39">
        <f>D392/1000000*52</f>
        <v/>
      </c>
      <c r="H392" s="33">
        <f>G392/$P$4+($C$22/$P$4)</f>
        <v/>
      </c>
      <c r="I392" s="36">
        <f>_xlfn.IFS(K392&lt;K$24,0,K392&lt;K$26,I$24,K392&lt;K$28,I$26,K392&lt;K$30,I$28,K392&lt;K$32,I$30,K392&lt;K$34,I$32,K392&lt;K$36,I$34,K392&lt;K$38,I$36,K392&lt;K$40,I$38,K392&lt;K$42,I$40,K392&lt;K$44,I$42,K392&lt;K$46,I$44,K392&gt;=K$46,I$46)</f>
        <v/>
      </c>
      <c r="J392" s="37">
        <f>_xlfn.IFS(K392&lt;K$24,0,K392&lt;K$25,J$24,K392&lt;K$26,J$25,K392&lt;K$27,J$26,K392&lt;K$28,J$27,K392&lt;K$29,J$28,K392&lt;K$30,J$29,K392&lt;K$31,J$30,K392&lt;K$32,J$31,K392&lt;K$33,J$32,K392&lt;K$34,J$33,K392&lt;K$35,J$34,K392&lt;K$36,J$35,K392&lt;K$37,J$36,K392&lt;K$38,J$37,K392&lt;K$39,J$38,K392&lt;K$40,J$39,K392&lt;K$41,J$40,K392&lt;K$42,J$41,K392&lt;K$43,J$42,K392&lt;K$44,J$43,K392&lt;K$45,J$44,K392&lt;K$46,J$45,K392&lt;K$47,J$46,K392&gt;=K$47,J$47)</f>
        <v/>
      </c>
      <c r="K392" s="38" t="n">
        <v>342</v>
      </c>
      <c r="L392" s="31">
        <f>K392/52</f>
        <v/>
      </c>
      <c r="M392" s="39">
        <f>J392/1000000*52</f>
        <v/>
      </c>
      <c r="N392" s="33">
        <f>M392/$P$4+($I$22/$P$4)</f>
        <v/>
      </c>
      <c r="U392">
        <f>F391</f>
        <v/>
      </c>
      <c r="V392">
        <f>H391</f>
        <v/>
      </c>
      <c r="W392">
        <f>N391</f>
        <v/>
      </c>
    </row>
    <row r="393" ht="15.75" customHeight="1" s="40">
      <c r="C393" s="36">
        <f>_xlfn.IFS(E393&lt;E$24,0,E393&lt;E$26,C$24,E393&lt;E$28,C$26,E393&lt;E$30,C$28,E393&lt;E$32,C$30,E393&lt;E$34,C$32,E393&gt;=E$34,C$34)</f>
        <v/>
      </c>
      <c r="D393" s="37">
        <f>_xlfn.IFS(E393&lt;E$24,0,E393&lt;E$25,D$24,E393&lt;E$26,D$25,E393&lt;E$27,D$26,E393&lt;E$28,D$27,E393&lt;E$29,D$28,E393&lt;E$30,D$29,E393&lt;E$31,D$30,E393&lt;E$32,D$31,E393&lt;E$33,D$32,E393&lt;E$34,D$33,E393&lt;E$35,D$34,E393&gt;=E$35,D$35)</f>
        <v/>
      </c>
      <c r="E393" s="38" t="n">
        <v>343</v>
      </c>
      <c r="F393" s="31">
        <f>E393/52</f>
        <v/>
      </c>
      <c r="G393" s="39">
        <f>D393/1000000*52</f>
        <v/>
      </c>
      <c r="H393" s="33">
        <f>G393/$P$4+($C$22/$P$4)</f>
        <v/>
      </c>
      <c r="I393" s="36">
        <f>_xlfn.IFS(K393&lt;K$24,0,K393&lt;K$26,I$24,K393&lt;K$28,I$26,K393&lt;K$30,I$28,K393&lt;K$32,I$30,K393&lt;K$34,I$32,K393&lt;K$36,I$34,K393&lt;K$38,I$36,K393&lt;K$40,I$38,K393&lt;K$42,I$40,K393&lt;K$44,I$42,K393&lt;K$46,I$44,K393&gt;=K$46,I$46)</f>
        <v/>
      </c>
      <c r="J393" s="37">
        <f>_xlfn.IFS(K393&lt;K$24,0,K393&lt;K$25,J$24,K393&lt;K$26,J$25,K393&lt;K$27,J$26,K393&lt;K$28,J$27,K393&lt;K$29,J$28,K393&lt;K$30,J$29,K393&lt;K$31,J$30,K393&lt;K$32,J$31,K393&lt;K$33,J$32,K393&lt;K$34,J$33,K393&lt;K$35,J$34,K393&lt;K$36,J$35,K393&lt;K$37,J$36,K393&lt;K$38,J$37,K393&lt;K$39,J$38,K393&lt;K$40,J$39,K393&lt;K$41,J$40,K393&lt;K$42,J$41,K393&lt;K$43,J$42,K393&lt;K$44,J$43,K393&lt;K$45,J$44,K393&lt;K$46,J$45,K393&lt;K$47,J$46,K393&gt;=K$47,J$47)</f>
        <v/>
      </c>
      <c r="K393" s="38" t="n">
        <v>343</v>
      </c>
      <c r="L393" s="31">
        <f>K393/52</f>
        <v/>
      </c>
      <c r="M393" s="39">
        <f>J393/1000000*52</f>
        <v/>
      </c>
      <c r="N393" s="33">
        <f>M393/$P$4+($I$22/$P$4)</f>
        <v/>
      </c>
      <c r="U393">
        <f>F392</f>
        <v/>
      </c>
      <c r="V393">
        <f>H392</f>
        <v/>
      </c>
      <c r="W393">
        <f>N392</f>
        <v/>
      </c>
    </row>
    <row r="394" ht="15.75" customHeight="1" s="40">
      <c r="C394" s="36">
        <f>_xlfn.IFS(E394&lt;E$24,0,E394&lt;E$26,C$24,E394&lt;E$28,C$26,E394&lt;E$30,C$28,E394&lt;E$32,C$30,E394&lt;E$34,C$32,E394&gt;=E$34,C$34)</f>
        <v/>
      </c>
      <c r="D394" s="37">
        <f>_xlfn.IFS(E394&lt;E$24,0,E394&lt;E$25,D$24,E394&lt;E$26,D$25,E394&lt;E$27,D$26,E394&lt;E$28,D$27,E394&lt;E$29,D$28,E394&lt;E$30,D$29,E394&lt;E$31,D$30,E394&lt;E$32,D$31,E394&lt;E$33,D$32,E394&lt;E$34,D$33,E394&lt;E$35,D$34,E394&gt;=E$35,D$35)</f>
        <v/>
      </c>
      <c r="E394" s="38" t="n">
        <v>344</v>
      </c>
      <c r="F394" s="31">
        <f>E394/52</f>
        <v/>
      </c>
      <c r="G394" s="39">
        <f>D394/1000000*52</f>
        <v/>
      </c>
      <c r="H394" s="33">
        <f>G394/$P$4+($C$22/$P$4)</f>
        <v/>
      </c>
      <c r="I394" s="36">
        <f>_xlfn.IFS(K394&lt;K$24,0,K394&lt;K$26,I$24,K394&lt;K$28,I$26,K394&lt;K$30,I$28,K394&lt;K$32,I$30,K394&lt;K$34,I$32,K394&lt;K$36,I$34,K394&lt;K$38,I$36,K394&lt;K$40,I$38,K394&lt;K$42,I$40,K394&lt;K$44,I$42,K394&lt;K$46,I$44,K394&gt;=K$46,I$46)</f>
        <v/>
      </c>
      <c r="J394" s="37">
        <f>_xlfn.IFS(K394&lt;K$24,0,K394&lt;K$25,J$24,K394&lt;K$26,J$25,K394&lt;K$27,J$26,K394&lt;K$28,J$27,K394&lt;K$29,J$28,K394&lt;K$30,J$29,K394&lt;K$31,J$30,K394&lt;K$32,J$31,K394&lt;K$33,J$32,K394&lt;K$34,J$33,K394&lt;K$35,J$34,K394&lt;K$36,J$35,K394&lt;K$37,J$36,K394&lt;K$38,J$37,K394&lt;K$39,J$38,K394&lt;K$40,J$39,K394&lt;K$41,J$40,K394&lt;K$42,J$41,K394&lt;K$43,J$42,K394&lt;K$44,J$43,K394&lt;K$45,J$44,K394&lt;K$46,J$45,K394&lt;K$47,J$46,K394&gt;=K$47,J$47)</f>
        <v/>
      </c>
      <c r="K394" s="38" t="n">
        <v>344</v>
      </c>
      <c r="L394" s="31">
        <f>K394/52</f>
        <v/>
      </c>
      <c r="M394" s="39">
        <f>J394/1000000*52</f>
        <v/>
      </c>
      <c r="N394" s="33">
        <f>M394/$P$4+($I$22/$P$4)</f>
        <v/>
      </c>
      <c r="U394">
        <f>F393</f>
        <v/>
      </c>
      <c r="V394">
        <f>H393</f>
        <v/>
      </c>
      <c r="W394">
        <f>N393</f>
        <v/>
      </c>
    </row>
    <row r="395" ht="15.75" customHeight="1" s="40">
      <c r="C395" s="36">
        <f>_xlfn.IFS(E395&lt;E$24,0,E395&lt;E$26,C$24,E395&lt;E$28,C$26,E395&lt;E$30,C$28,E395&lt;E$32,C$30,E395&lt;E$34,C$32,E395&gt;=E$34,C$34)</f>
        <v/>
      </c>
      <c r="D395" s="37">
        <f>_xlfn.IFS(E395&lt;E$24,0,E395&lt;E$25,D$24,E395&lt;E$26,D$25,E395&lt;E$27,D$26,E395&lt;E$28,D$27,E395&lt;E$29,D$28,E395&lt;E$30,D$29,E395&lt;E$31,D$30,E395&lt;E$32,D$31,E395&lt;E$33,D$32,E395&lt;E$34,D$33,E395&lt;E$35,D$34,E395&gt;=E$35,D$35)</f>
        <v/>
      </c>
      <c r="E395" s="38" t="n">
        <v>345</v>
      </c>
      <c r="F395" s="31">
        <f>E395/52</f>
        <v/>
      </c>
      <c r="G395" s="39">
        <f>D395/1000000*52</f>
        <v/>
      </c>
      <c r="H395" s="33">
        <f>G395/$P$4+($C$22/$P$4)</f>
        <v/>
      </c>
      <c r="I395" s="36">
        <f>_xlfn.IFS(K395&lt;K$24,0,K395&lt;K$26,I$24,K395&lt;K$28,I$26,K395&lt;K$30,I$28,K395&lt;K$32,I$30,K395&lt;K$34,I$32,K395&lt;K$36,I$34,K395&lt;K$38,I$36,K395&lt;K$40,I$38,K395&lt;K$42,I$40,K395&lt;K$44,I$42,K395&lt;K$46,I$44,K395&gt;=K$46,I$46)</f>
        <v/>
      </c>
      <c r="J395" s="37">
        <f>_xlfn.IFS(K395&lt;K$24,0,K395&lt;K$25,J$24,K395&lt;K$26,J$25,K395&lt;K$27,J$26,K395&lt;K$28,J$27,K395&lt;K$29,J$28,K395&lt;K$30,J$29,K395&lt;K$31,J$30,K395&lt;K$32,J$31,K395&lt;K$33,J$32,K395&lt;K$34,J$33,K395&lt;K$35,J$34,K395&lt;K$36,J$35,K395&lt;K$37,J$36,K395&lt;K$38,J$37,K395&lt;K$39,J$38,K395&lt;K$40,J$39,K395&lt;K$41,J$40,K395&lt;K$42,J$41,K395&lt;K$43,J$42,K395&lt;K$44,J$43,K395&lt;K$45,J$44,K395&lt;K$46,J$45,K395&lt;K$47,J$46,K395&gt;=K$47,J$47)</f>
        <v/>
      </c>
      <c r="K395" s="38" t="n">
        <v>345</v>
      </c>
      <c r="L395" s="31">
        <f>K395/52</f>
        <v/>
      </c>
      <c r="M395" s="39">
        <f>J395/1000000*52</f>
        <v/>
      </c>
      <c r="N395" s="33">
        <f>M395/$P$4+($I$22/$P$4)</f>
        <v/>
      </c>
      <c r="U395">
        <f>F394</f>
        <v/>
      </c>
      <c r="V395">
        <f>H394</f>
        <v/>
      </c>
      <c r="W395">
        <f>N394</f>
        <v/>
      </c>
    </row>
    <row r="396" ht="15.75" customHeight="1" s="40">
      <c r="C396" s="36">
        <f>_xlfn.IFS(E396&lt;E$24,0,E396&lt;E$26,C$24,E396&lt;E$28,C$26,E396&lt;E$30,C$28,E396&lt;E$32,C$30,E396&lt;E$34,C$32,E396&gt;=E$34,C$34)</f>
        <v/>
      </c>
      <c r="D396" s="37">
        <f>_xlfn.IFS(E396&lt;E$24,0,E396&lt;E$25,D$24,E396&lt;E$26,D$25,E396&lt;E$27,D$26,E396&lt;E$28,D$27,E396&lt;E$29,D$28,E396&lt;E$30,D$29,E396&lt;E$31,D$30,E396&lt;E$32,D$31,E396&lt;E$33,D$32,E396&lt;E$34,D$33,E396&lt;E$35,D$34,E396&gt;=E$35,D$35)</f>
        <v/>
      </c>
      <c r="E396" s="38" t="n">
        <v>346</v>
      </c>
      <c r="F396" s="31">
        <f>E396/52</f>
        <v/>
      </c>
      <c r="G396" s="39">
        <f>D396/1000000*52</f>
        <v/>
      </c>
      <c r="H396" s="33">
        <f>G396/$P$4+($C$22/$P$4)</f>
        <v/>
      </c>
      <c r="I396" s="36">
        <f>_xlfn.IFS(K396&lt;K$24,0,K396&lt;K$26,I$24,K396&lt;K$28,I$26,K396&lt;K$30,I$28,K396&lt;K$32,I$30,K396&lt;K$34,I$32,K396&lt;K$36,I$34,K396&lt;K$38,I$36,K396&lt;K$40,I$38,K396&lt;K$42,I$40,K396&lt;K$44,I$42,K396&lt;K$46,I$44,K396&gt;=K$46,I$46)</f>
        <v/>
      </c>
      <c r="J396" s="37">
        <f>_xlfn.IFS(K396&lt;K$24,0,K396&lt;K$25,J$24,K396&lt;K$26,J$25,K396&lt;K$27,J$26,K396&lt;K$28,J$27,K396&lt;K$29,J$28,K396&lt;K$30,J$29,K396&lt;K$31,J$30,K396&lt;K$32,J$31,K396&lt;K$33,J$32,K396&lt;K$34,J$33,K396&lt;K$35,J$34,K396&lt;K$36,J$35,K396&lt;K$37,J$36,K396&lt;K$38,J$37,K396&lt;K$39,J$38,K396&lt;K$40,J$39,K396&lt;K$41,J$40,K396&lt;K$42,J$41,K396&lt;K$43,J$42,K396&lt;K$44,J$43,K396&lt;K$45,J$44,K396&lt;K$46,J$45,K396&lt;K$47,J$46,K396&gt;=K$47,J$47)</f>
        <v/>
      </c>
      <c r="K396" s="38" t="n">
        <v>346</v>
      </c>
      <c r="L396" s="31">
        <f>K396/52</f>
        <v/>
      </c>
      <c r="M396" s="39">
        <f>J396/1000000*52</f>
        <v/>
      </c>
      <c r="N396" s="33">
        <f>M396/$P$4+($I$22/$P$4)</f>
        <v/>
      </c>
      <c r="U396">
        <f>F395</f>
        <v/>
      </c>
      <c r="V396">
        <f>H395</f>
        <v/>
      </c>
      <c r="W396">
        <f>N395</f>
        <v/>
      </c>
    </row>
    <row r="397" ht="15.75" customHeight="1" s="40">
      <c r="C397" s="36">
        <f>_xlfn.IFS(E397&lt;E$24,0,E397&lt;E$26,C$24,E397&lt;E$28,C$26,E397&lt;E$30,C$28,E397&lt;E$32,C$30,E397&lt;E$34,C$32,E397&gt;=E$34,C$34)</f>
        <v/>
      </c>
      <c r="D397" s="37">
        <f>_xlfn.IFS(E397&lt;E$24,0,E397&lt;E$25,D$24,E397&lt;E$26,D$25,E397&lt;E$27,D$26,E397&lt;E$28,D$27,E397&lt;E$29,D$28,E397&lt;E$30,D$29,E397&lt;E$31,D$30,E397&lt;E$32,D$31,E397&lt;E$33,D$32,E397&lt;E$34,D$33,E397&lt;E$35,D$34,E397&gt;=E$35,D$35)</f>
        <v/>
      </c>
      <c r="E397" s="38" t="n">
        <v>347</v>
      </c>
      <c r="F397" s="31">
        <f>E397/52</f>
        <v/>
      </c>
      <c r="G397" s="39">
        <f>D397/1000000*52</f>
        <v/>
      </c>
      <c r="H397" s="33">
        <f>G397/$P$4+($C$22/$P$4)</f>
        <v/>
      </c>
      <c r="I397" s="36">
        <f>_xlfn.IFS(K397&lt;K$24,0,K397&lt;K$26,I$24,K397&lt;K$28,I$26,K397&lt;K$30,I$28,K397&lt;K$32,I$30,K397&lt;K$34,I$32,K397&lt;K$36,I$34,K397&lt;K$38,I$36,K397&lt;K$40,I$38,K397&lt;K$42,I$40,K397&lt;K$44,I$42,K397&lt;K$46,I$44,K397&gt;=K$46,I$46)</f>
        <v/>
      </c>
      <c r="J397" s="37">
        <f>_xlfn.IFS(K397&lt;K$24,0,K397&lt;K$25,J$24,K397&lt;K$26,J$25,K397&lt;K$27,J$26,K397&lt;K$28,J$27,K397&lt;K$29,J$28,K397&lt;K$30,J$29,K397&lt;K$31,J$30,K397&lt;K$32,J$31,K397&lt;K$33,J$32,K397&lt;K$34,J$33,K397&lt;K$35,J$34,K397&lt;K$36,J$35,K397&lt;K$37,J$36,K397&lt;K$38,J$37,K397&lt;K$39,J$38,K397&lt;K$40,J$39,K397&lt;K$41,J$40,K397&lt;K$42,J$41,K397&lt;K$43,J$42,K397&lt;K$44,J$43,K397&lt;K$45,J$44,K397&lt;K$46,J$45,K397&lt;K$47,J$46,K397&gt;=K$47,J$47)</f>
        <v/>
      </c>
      <c r="K397" s="38" t="n">
        <v>347</v>
      </c>
      <c r="L397" s="31">
        <f>K397/52</f>
        <v/>
      </c>
      <c r="M397" s="39">
        <f>J397/1000000*52</f>
        <v/>
      </c>
      <c r="N397" s="33">
        <f>M397/$P$4+($I$22/$P$4)</f>
        <v/>
      </c>
      <c r="U397">
        <f>F396</f>
        <v/>
      </c>
      <c r="V397">
        <f>H396</f>
        <v/>
      </c>
      <c r="W397">
        <f>N396</f>
        <v/>
      </c>
    </row>
    <row r="398" ht="15.75" customHeight="1" s="40">
      <c r="C398" s="36">
        <f>_xlfn.IFS(E398&lt;E$24,0,E398&lt;E$26,C$24,E398&lt;E$28,C$26,E398&lt;E$30,C$28,E398&lt;E$32,C$30,E398&lt;E$34,C$32,E398&gt;=E$34,C$34)</f>
        <v/>
      </c>
      <c r="D398" s="37">
        <f>_xlfn.IFS(E398&lt;E$24,0,E398&lt;E$25,D$24,E398&lt;E$26,D$25,E398&lt;E$27,D$26,E398&lt;E$28,D$27,E398&lt;E$29,D$28,E398&lt;E$30,D$29,E398&lt;E$31,D$30,E398&lt;E$32,D$31,E398&lt;E$33,D$32,E398&lt;E$34,D$33,E398&lt;E$35,D$34,E398&gt;=E$35,D$35)</f>
        <v/>
      </c>
      <c r="E398" s="38" t="n">
        <v>348</v>
      </c>
      <c r="F398" s="31">
        <f>E398/52</f>
        <v/>
      </c>
      <c r="G398" s="39">
        <f>D398/1000000*52</f>
        <v/>
      </c>
      <c r="H398" s="33">
        <f>G398/$P$4+($C$22/$P$4)</f>
        <v/>
      </c>
      <c r="I398" s="36">
        <f>_xlfn.IFS(K398&lt;K$24,0,K398&lt;K$26,I$24,K398&lt;K$28,I$26,K398&lt;K$30,I$28,K398&lt;K$32,I$30,K398&lt;K$34,I$32,K398&lt;K$36,I$34,K398&lt;K$38,I$36,K398&lt;K$40,I$38,K398&lt;K$42,I$40,K398&lt;K$44,I$42,K398&lt;K$46,I$44,K398&gt;=K$46,I$46)</f>
        <v/>
      </c>
      <c r="J398" s="37">
        <f>_xlfn.IFS(K398&lt;K$24,0,K398&lt;K$25,J$24,K398&lt;K$26,J$25,K398&lt;K$27,J$26,K398&lt;K$28,J$27,K398&lt;K$29,J$28,K398&lt;K$30,J$29,K398&lt;K$31,J$30,K398&lt;K$32,J$31,K398&lt;K$33,J$32,K398&lt;K$34,J$33,K398&lt;K$35,J$34,K398&lt;K$36,J$35,K398&lt;K$37,J$36,K398&lt;K$38,J$37,K398&lt;K$39,J$38,K398&lt;K$40,J$39,K398&lt;K$41,J$40,K398&lt;K$42,J$41,K398&lt;K$43,J$42,K398&lt;K$44,J$43,K398&lt;K$45,J$44,K398&lt;K$46,J$45,K398&lt;K$47,J$46,K398&gt;=K$47,J$47)</f>
        <v/>
      </c>
      <c r="K398" s="38" t="n">
        <v>348</v>
      </c>
      <c r="L398" s="31">
        <f>K398/52</f>
        <v/>
      </c>
      <c r="M398" s="39">
        <f>J398/1000000*52</f>
        <v/>
      </c>
      <c r="N398" s="33">
        <f>M398/$P$4+($I$22/$P$4)</f>
        <v/>
      </c>
      <c r="U398">
        <f>F397</f>
        <v/>
      </c>
      <c r="V398">
        <f>H397</f>
        <v/>
      </c>
      <c r="W398">
        <f>N397</f>
        <v/>
      </c>
    </row>
    <row r="399" ht="15.75" customHeight="1" s="40">
      <c r="C399" s="36">
        <f>_xlfn.IFS(E399&lt;E$24,0,E399&lt;E$26,C$24,E399&lt;E$28,C$26,E399&lt;E$30,C$28,E399&lt;E$32,C$30,E399&lt;E$34,C$32,E399&gt;=E$34,C$34)</f>
        <v/>
      </c>
      <c r="D399" s="37">
        <f>_xlfn.IFS(E399&lt;E$24,0,E399&lt;E$25,D$24,E399&lt;E$26,D$25,E399&lt;E$27,D$26,E399&lt;E$28,D$27,E399&lt;E$29,D$28,E399&lt;E$30,D$29,E399&lt;E$31,D$30,E399&lt;E$32,D$31,E399&lt;E$33,D$32,E399&lt;E$34,D$33,E399&lt;E$35,D$34,E399&gt;=E$35,D$35)</f>
        <v/>
      </c>
      <c r="E399" s="38" t="n">
        <v>349</v>
      </c>
      <c r="F399" s="31">
        <f>E399/52</f>
        <v/>
      </c>
      <c r="G399" s="39">
        <f>D399/1000000*52</f>
        <v/>
      </c>
      <c r="H399" s="33">
        <f>G399/$P$4+($C$22/$P$4)</f>
        <v/>
      </c>
      <c r="I399" s="36">
        <f>_xlfn.IFS(K399&lt;K$24,0,K399&lt;K$26,I$24,K399&lt;K$28,I$26,K399&lt;K$30,I$28,K399&lt;K$32,I$30,K399&lt;K$34,I$32,K399&lt;K$36,I$34,K399&lt;K$38,I$36,K399&lt;K$40,I$38,K399&lt;K$42,I$40,K399&lt;K$44,I$42,K399&lt;K$46,I$44,K399&gt;=K$46,I$46)</f>
        <v/>
      </c>
      <c r="J399" s="37">
        <f>_xlfn.IFS(K399&lt;K$24,0,K399&lt;K$25,J$24,K399&lt;K$26,J$25,K399&lt;K$27,J$26,K399&lt;K$28,J$27,K399&lt;K$29,J$28,K399&lt;K$30,J$29,K399&lt;K$31,J$30,K399&lt;K$32,J$31,K399&lt;K$33,J$32,K399&lt;K$34,J$33,K399&lt;K$35,J$34,K399&lt;K$36,J$35,K399&lt;K$37,J$36,K399&lt;K$38,J$37,K399&lt;K$39,J$38,K399&lt;K$40,J$39,K399&lt;K$41,J$40,K399&lt;K$42,J$41,K399&lt;K$43,J$42,K399&lt;K$44,J$43,K399&lt;K$45,J$44,K399&lt;K$46,J$45,K399&lt;K$47,J$46,K399&gt;=K$47,J$47)</f>
        <v/>
      </c>
      <c r="K399" s="38" t="n">
        <v>349</v>
      </c>
      <c r="L399" s="31">
        <f>K399/52</f>
        <v/>
      </c>
      <c r="M399" s="39">
        <f>J399/1000000*52</f>
        <v/>
      </c>
      <c r="N399" s="33">
        <f>M399/$P$4+($I$22/$P$4)</f>
        <v/>
      </c>
      <c r="U399">
        <f>F398</f>
        <v/>
      </c>
      <c r="V399">
        <f>H398</f>
        <v/>
      </c>
      <c r="W399">
        <f>N398</f>
        <v/>
      </c>
    </row>
    <row r="400" ht="15.75" customHeight="1" s="40">
      <c r="C400" s="36">
        <f>_xlfn.IFS(E400&lt;E$24,0,E400&lt;E$26,C$24,E400&lt;E$28,C$26,E400&lt;E$30,C$28,E400&lt;E$32,C$30,E400&lt;E$34,C$32,E400&gt;=E$34,C$34)</f>
        <v/>
      </c>
      <c r="D400" s="37">
        <f>_xlfn.IFS(E400&lt;E$24,0,E400&lt;E$25,D$24,E400&lt;E$26,D$25,E400&lt;E$27,D$26,E400&lt;E$28,D$27,E400&lt;E$29,D$28,E400&lt;E$30,D$29,E400&lt;E$31,D$30,E400&lt;E$32,D$31,E400&lt;E$33,D$32,E400&lt;E$34,D$33,E400&lt;E$35,D$34,E400&gt;=E$35,D$35)</f>
        <v/>
      </c>
      <c r="E400" s="38" t="n">
        <v>350</v>
      </c>
      <c r="F400" s="31">
        <f>E400/52</f>
        <v/>
      </c>
      <c r="G400" s="39">
        <f>D400/1000000*52</f>
        <v/>
      </c>
      <c r="H400" s="33">
        <f>G400/$P$4+($C$22/$P$4)</f>
        <v/>
      </c>
      <c r="I400" s="36">
        <f>_xlfn.IFS(K400&lt;K$24,0,K400&lt;K$26,I$24,K400&lt;K$28,I$26,K400&lt;K$30,I$28,K400&lt;K$32,I$30,K400&lt;K$34,I$32,K400&lt;K$36,I$34,K400&lt;K$38,I$36,K400&lt;K$40,I$38,K400&lt;K$42,I$40,K400&lt;K$44,I$42,K400&lt;K$46,I$44,K400&gt;=K$46,I$46)</f>
        <v/>
      </c>
      <c r="J400" s="37">
        <f>_xlfn.IFS(K400&lt;K$24,0,K400&lt;K$25,J$24,K400&lt;K$26,J$25,K400&lt;K$27,J$26,K400&lt;K$28,J$27,K400&lt;K$29,J$28,K400&lt;K$30,J$29,K400&lt;K$31,J$30,K400&lt;K$32,J$31,K400&lt;K$33,J$32,K400&lt;K$34,J$33,K400&lt;K$35,J$34,K400&lt;K$36,J$35,K400&lt;K$37,J$36,K400&lt;K$38,J$37,K400&lt;K$39,J$38,K400&lt;K$40,J$39,K400&lt;K$41,J$40,K400&lt;K$42,J$41,K400&lt;K$43,J$42,K400&lt;K$44,J$43,K400&lt;K$45,J$44,K400&lt;K$46,J$45,K400&lt;K$47,J$46,K400&gt;=K$47,J$47)</f>
        <v/>
      </c>
      <c r="K400" s="38" t="n">
        <v>350</v>
      </c>
      <c r="L400" s="31">
        <f>K400/52</f>
        <v/>
      </c>
      <c r="M400" s="39">
        <f>J400/1000000*52</f>
        <v/>
      </c>
      <c r="N400" s="33">
        <f>M400/$P$4+($I$22/$P$4)</f>
        <v/>
      </c>
      <c r="U400">
        <f>F399</f>
        <v/>
      </c>
      <c r="V400">
        <f>H399</f>
        <v/>
      </c>
      <c r="W400">
        <f>N399</f>
        <v/>
      </c>
    </row>
    <row r="401" ht="15.75" customHeight="1" s="40">
      <c r="C401" s="36">
        <f>_xlfn.IFS(E401&lt;E$24,0,E401&lt;E$26,C$24,E401&lt;E$28,C$26,E401&lt;E$30,C$28,E401&lt;E$32,C$30,E401&lt;E$34,C$32,E401&gt;=E$34,C$34)</f>
        <v/>
      </c>
      <c r="D401" s="37">
        <f>_xlfn.IFS(E401&lt;E$24,0,E401&lt;E$25,D$24,E401&lt;E$26,D$25,E401&lt;E$27,D$26,E401&lt;E$28,D$27,E401&lt;E$29,D$28,E401&lt;E$30,D$29,E401&lt;E$31,D$30,E401&lt;E$32,D$31,E401&lt;E$33,D$32,E401&lt;E$34,D$33,E401&lt;E$35,D$34,E401&gt;=E$35,D$35)</f>
        <v/>
      </c>
      <c r="E401" s="38" t="n">
        <v>351</v>
      </c>
      <c r="F401" s="31">
        <f>E401/52</f>
        <v/>
      </c>
      <c r="G401" s="39">
        <f>D401/1000000*52</f>
        <v/>
      </c>
      <c r="H401" s="33">
        <f>G401/$P$4+($C$22/$P$4)</f>
        <v/>
      </c>
      <c r="I401" s="36">
        <f>_xlfn.IFS(K401&lt;K$24,0,K401&lt;K$26,I$24,K401&lt;K$28,I$26,K401&lt;K$30,I$28,K401&lt;K$32,I$30,K401&lt;K$34,I$32,K401&lt;K$36,I$34,K401&lt;K$38,I$36,K401&lt;K$40,I$38,K401&lt;K$42,I$40,K401&lt;K$44,I$42,K401&lt;K$46,I$44,K401&gt;=K$46,I$46)</f>
        <v/>
      </c>
      <c r="J401" s="37">
        <f>_xlfn.IFS(K401&lt;K$24,0,K401&lt;K$25,J$24,K401&lt;K$26,J$25,K401&lt;K$27,J$26,K401&lt;K$28,J$27,K401&lt;K$29,J$28,K401&lt;K$30,J$29,K401&lt;K$31,J$30,K401&lt;K$32,J$31,K401&lt;K$33,J$32,K401&lt;K$34,J$33,K401&lt;K$35,J$34,K401&lt;K$36,J$35,K401&lt;K$37,J$36,K401&lt;K$38,J$37,K401&lt;K$39,J$38,K401&lt;K$40,J$39,K401&lt;K$41,J$40,K401&lt;K$42,J$41,K401&lt;K$43,J$42,K401&lt;K$44,J$43,K401&lt;K$45,J$44,K401&lt;K$46,J$45,K401&lt;K$47,J$46,K401&gt;=K$47,J$47)</f>
        <v/>
      </c>
      <c r="K401" s="38" t="n">
        <v>351</v>
      </c>
      <c r="L401" s="31">
        <f>K401/52</f>
        <v/>
      </c>
      <c r="M401" s="39">
        <f>J401/1000000*52</f>
        <v/>
      </c>
      <c r="N401" s="33">
        <f>M401/$P$4+($I$22/$P$4)</f>
        <v/>
      </c>
      <c r="U401">
        <f>F400</f>
        <v/>
      </c>
      <c r="V401">
        <f>H400</f>
        <v/>
      </c>
      <c r="W401">
        <f>N400</f>
        <v/>
      </c>
    </row>
    <row r="402" ht="15.75" customHeight="1" s="40">
      <c r="C402" s="36">
        <f>_xlfn.IFS(E402&lt;E$24,0,E402&lt;E$26,C$24,E402&lt;E$28,C$26,E402&lt;E$30,C$28,E402&lt;E$32,C$30,E402&lt;E$34,C$32,E402&gt;=E$34,C$34)</f>
        <v/>
      </c>
      <c r="D402" s="37">
        <f>_xlfn.IFS(E402&lt;E$24,0,E402&lt;E$25,D$24,E402&lt;E$26,D$25,E402&lt;E$27,D$26,E402&lt;E$28,D$27,E402&lt;E$29,D$28,E402&lt;E$30,D$29,E402&lt;E$31,D$30,E402&lt;E$32,D$31,E402&lt;E$33,D$32,E402&lt;E$34,D$33,E402&lt;E$35,D$34,E402&gt;=E$35,D$35)</f>
        <v/>
      </c>
      <c r="E402" s="38" t="n">
        <v>352</v>
      </c>
      <c r="F402" s="31">
        <f>E402/52</f>
        <v/>
      </c>
      <c r="G402" s="39">
        <f>D402/1000000*52</f>
        <v/>
      </c>
      <c r="H402" s="33">
        <f>G402/$P$4+($C$22/$P$4)</f>
        <v/>
      </c>
      <c r="I402" s="36">
        <f>_xlfn.IFS(K402&lt;K$24,0,K402&lt;K$26,I$24,K402&lt;K$28,I$26,K402&lt;K$30,I$28,K402&lt;K$32,I$30,K402&lt;K$34,I$32,K402&lt;K$36,I$34,K402&lt;K$38,I$36,K402&lt;K$40,I$38,K402&lt;K$42,I$40,K402&lt;K$44,I$42,K402&lt;K$46,I$44,K402&gt;=K$46,I$46)</f>
        <v/>
      </c>
      <c r="J402" s="37">
        <f>_xlfn.IFS(K402&lt;K$24,0,K402&lt;K$25,J$24,K402&lt;K$26,J$25,K402&lt;K$27,J$26,K402&lt;K$28,J$27,K402&lt;K$29,J$28,K402&lt;K$30,J$29,K402&lt;K$31,J$30,K402&lt;K$32,J$31,K402&lt;K$33,J$32,K402&lt;K$34,J$33,K402&lt;K$35,J$34,K402&lt;K$36,J$35,K402&lt;K$37,J$36,K402&lt;K$38,J$37,K402&lt;K$39,J$38,K402&lt;K$40,J$39,K402&lt;K$41,J$40,K402&lt;K$42,J$41,K402&lt;K$43,J$42,K402&lt;K$44,J$43,K402&lt;K$45,J$44,K402&lt;K$46,J$45,K402&lt;K$47,J$46,K402&gt;=K$47,J$47)</f>
        <v/>
      </c>
      <c r="K402" s="38" t="n">
        <v>352</v>
      </c>
      <c r="L402" s="31">
        <f>K402/52</f>
        <v/>
      </c>
      <c r="M402" s="39">
        <f>J402/1000000*52</f>
        <v/>
      </c>
      <c r="N402" s="33">
        <f>M402/$P$4+($I$22/$P$4)</f>
        <v/>
      </c>
      <c r="U402">
        <f>F401</f>
        <v/>
      </c>
      <c r="V402">
        <f>H401</f>
        <v/>
      </c>
      <c r="W402">
        <f>N401</f>
        <v/>
      </c>
    </row>
    <row r="403" ht="15.75" customHeight="1" s="40">
      <c r="C403" s="36">
        <f>_xlfn.IFS(E403&lt;E$24,0,E403&lt;E$26,C$24,E403&lt;E$28,C$26,E403&lt;E$30,C$28,E403&lt;E$32,C$30,E403&lt;E$34,C$32,E403&gt;=E$34,C$34)</f>
        <v/>
      </c>
      <c r="D403" s="37">
        <f>_xlfn.IFS(E403&lt;E$24,0,E403&lt;E$25,D$24,E403&lt;E$26,D$25,E403&lt;E$27,D$26,E403&lt;E$28,D$27,E403&lt;E$29,D$28,E403&lt;E$30,D$29,E403&lt;E$31,D$30,E403&lt;E$32,D$31,E403&lt;E$33,D$32,E403&lt;E$34,D$33,E403&lt;E$35,D$34,E403&gt;=E$35,D$35)</f>
        <v/>
      </c>
      <c r="E403" s="38" t="n">
        <v>353</v>
      </c>
      <c r="F403" s="31">
        <f>E403/52</f>
        <v/>
      </c>
      <c r="G403" s="39">
        <f>D403/1000000*52</f>
        <v/>
      </c>
      <c r="H403" s="33">
        <f>G403/$P$4+($C$22/$P$4)</f>
        <v/>
      </c>
      <c r="I403" s="36">
        <f>_xlfn.IFS(K403&lt;K$24,0,K403&lt;K$26,I$24,K403&lt;K$28,I$26,K403&lt;K$30,I$28,K403&lt;K$32,I$30,K403&lt;K$34,I$32,K403&lt;K$36,I$34,K403&lt;K$38,I$36,K403&lt;K$40,I$38,K403&lt;K$42,I$40,K403&lt;K$44,I$42,K403&lt;K$46,I$44,K403&gt;=K$46,I$46)</f>
        <v/>
      </c>
      <c r="J403" s="37">
        <f>_xlfn.IFS(K403&lt;K$24,0,K403&lt;K$25,J$24,K403&lt;K$26,J$25,K403&lt;K$27,J$26,K403&lt;K$28,J$27,K403&lt;K$29,J$28,K403&lt;K$30,J$29,K403&lt;K$31,J$30,K403&lt;K$32,J$31,K403&lt;K$33,J$32,K403&lt;K$34,J$33,K403&lt;K$35,J$34,K403&lt;K$36,J$35,K403&lt;K$37,J$36,K403&lt;K$38,J$37,K403&lt;K$39,J$38,K403&lt;K$40,J$39,K403&lt;K$41,J$40,K403&lt;K$42,J$41,K403&lt;K$43,J$42,K403&lt;K$44,J$43,K403&lt;K$45,J$44,K403&lt;K$46,J$45,K403&lt;K$47,J$46,K403&gt;=K$47,J$47)</f>
        <v/>
      </c>
      <c r="K403" s="38" t="n">
        <v>353</v>
      </c>
      <c r="L403" s="31">
        <f>K403/52</f>
        <v/>
      </c>
      <c r="M403" s="39">
        <f>J403/1000000*52</f>
        <v/>
      </c>
      <c r="N403" s="33">
        <f>M403/$P$4+($I$22/$P$4)</f>
        <v/>
      </c>
      <c r="U403">
        <f>F402</f>
        <v/>
      </c>
      <c r="V403">
        <f>H402</f>
        <v/>
      </c>
      <c r="W403">
        <f>N402</f>
        <v/>
      </c>
    </row>
    <row r="404" ht="15.75" customHeight="1" s="40">
      <c r="C404" s="36">
        <f>_xlfn.IFS(E404&lt;E$24,0,E404&lt;E$26,C$24,E404&lt;E$28,C$26,E404&lt;E$30,C$28,E404&lt;E$32,C$30,E404&lt;E$34,C$32,E404&gt;=E$34,C$34)</f>
        <v/>
      </c>
      <c r="D404" s="37">
        <f>_xlfn.IFS(E404&lt;E$24,0,E404&lt;E$25,D$24,E404&lt;E$26,D$25,E404&lt;E$27,D$26,E404&lt;E$28,D$27,E404&lt;E$29,D$28,E404&lt;E$30,D$29,E404&lt;E$31,D$30,E404&lt;E$32,D$31,E404&lt;E$33,D$32,E404&lt;E$34,D$33,E404&lt;E$35,D$34,E404&gt;=E$35,D$35)</f>
        <v/>
      </c>
      <c r="E404" s="38" t="n">
        <v>354</v>
      </c>
      <c r="F404" s="31">
        <f>E404/52</f>
        <v/>
      </c>
      <c r="G404" s="39">
        <f>D404/1000000*52</f>
        <v/>
      </c>
      <c r="H404" s="33">
        <f>G404/$P$4+($C$22/$P$4)</f>
        <v/>
      </c>
      <c r="I404" s="36">
        <f>_xlfn.IFS(K404&lt;K$24,0,K404&lt;K$26,I$24,K404&lt;K$28,I$26,K404&lt;K$30,I$28,K404&lt;K$32,I$30,K404&lt;K$34,I$32,K404&lt;K$36,I$34,K404&lt;K$38,I$36,K404&lt;K$40,I$38,K404&lt;K$42,I$40,K404&lt;K$44,I$42,K404&lt;K$46,I$44,K404&gt;=K$46,I$46)</f>
        <v/>
      </c>
      <c r="J404" s="37">
        <f>_xlfn.IFS(K404&lt;K$24,0,K404&lt;K$25,J$24,K404&lt;K$26,J$25,K404&lt;K$27,J$26,K404&lt;K$28,J$27,K404&lt;K$29,J$28,K404&lt;K$30,J$29,K404&lt;K$31,J$30,K404&lt;K$32,J$31,K404&lt;K$33,J$32,K404&lt;K$34,J$33,K404&lt;K$35,J$34,K404&lt;K$36,J$35,K404&lt;K$37,J$36,K404&lt;K$38,J$37,K404&lt;K$39,J$38,K404&lt;K$40,J$39,K404&lt;K$41,J$40,K404&lt;K$42,J$41,K404&lt;K$43,J$42,K404&lt;K$44,J$43,K404&lt;K$45,J$44,K404&lt;K$46,J$45,K404&lt;K$47,J$46,K404&gt;=K$47,J$47)</f>
        <v/>
      </c>
      <c r="K404" s="38" t="n">
        <v>354</v>
      </c>
      <c r="L404" s="31">
        <f>K404/52</f>
        <v/>
      </c>
      <c r="M404" s="39">
        <f>J404/1000000*52</f>
        <v/>
      </c>
      <c r="N404" s="33">
        <f>M404/$P$4+($I$22/$P$4)</f>
        <v/>
      </c>
      <c r="U404">
        <f>F403</f>
        <v/>
      </c>
      <c r="V404">
        <f>H403</f>
        <v/>
      </c>
      <c r="W404">
        <f>N403</f>
        <v/>
      </c>
    </row>
    <row r="405" ht="15.75" customHeight="1" s="40">
      <c r="C405" s="36">
        <f>_xlfn.IFS(E405&lt;E$24,0,E405&lt;E$26,C$24,E405&lt;E$28,C$26,E405&lt;E$30,C$28,E405&lt;E$32,C$30,E405&lt;E$34,C$32,E405&gt;=E$34,C$34)</f>
        <v/>
      </c>
      <c r="D405" s="37">
        <f>_xlfn.IFS(E405&lt;E$24,0,E405&lt;E$25,D$24,E405&lt;E$26,D$25,E405&lt;E$27,D$26,E405&lt;E$28,D$27,E405&lt;E$29,D$28,E405&lt;E$30,D$29,E405&lt;E$31,D$30,E405&lt;E$32,D$31,E405&lt;E$33,D$32,E405&lt;E$34,D$33,E405&lt;E$35,D$34,E405&gt;=E$35,D$35)</f>
        <v/>
      </c>
      <c r="E405" s="38" t="n">
        <v>355</v>
      </c>
      <c r="F405" s="31">
        <f>E405/52</f>
        <v/>
      </c>
      <c r="G405" s="39">
        <f>D405/1000000*52</f>
        <v/>
      </c>
      <c r="H405" s="33">
        <f>G405/$P$4+($C$22/$P$4)</f>
        <v/>
      </c>
      <c r="I405" s="36">
        <f>_xlfn.IFS(K405&lt;K$24,0,K405&lt;K$26,I$24,K405&lt;K$28,I$26,K405&lt;K$30,I$28,K405&lt;K$32,I$30,K405&lt;K$34,I$32,K405&lt;K$36,I$34,K405&lt;K$38,I$36,K405&lt;K$40,I$38,K405&lt;K$42,I$40,K405&lt;K$44,I$42,K405&lt;K$46,I$44,K405&gt;=K$46,I$46)</f>
        <v/>
      </c>
      <c r="J405" s="37">
        <f>_xlfn.IFS(K405&lt;K$24,0,K405&lt;K$25,J$24,K405&lt;K$26,J$25,K405&lt;K$27,J$26,K405&lt;K$28,J$27,K405&lt;K$29,J$28,K405&lt;K$30,J$29,K405&lt;K$31,J$30,K405&lt;K$32,J$31,K405&lt;K$33,J$32,K405&lt;K$34,J$33,K405&lt;K$35,J$34,K405&lt;K$36,J$35,K405&lt;K$37,J$36,K405&lt;K$38,J$37,K405&lt;K$39,J$38,K405&lt;K$40,J$39,K405&lt;K$41,J$40,K405&lt;K$42,J$41,K405&lt;K$43,J$42,K405&lt;K$44,J$43,K405&lt;K$45,J$44,K405&lt;K$46,J$45,K405&lt;K$47,J$46,K405&gt;=K$47,J$47)</f>
        <v/>
      </c>
      <c r="K405" s="38" t="n">
        <v>355</v>
      </c>
      <c r="L405" s="31">
        <f>K405/52</f>
        <v/>
      </c>
      <c r="M405" s="39">
        <f>J405/1000000*52</f>
        <v/>
      </c>
      <c r="N405" s="33">
        <f>M405/$P$4+($I$22/$P$4)</f>
        <v/>
      </c>
      <c r="U405">
        <f>F404</f>
        <v/>
      </c>
      <c r="V405">
        <f>H404</f>
        <v/>
      </c>
      <c r="W405">
        <f>N404</f>
        <v/>
      </c>
    </row>
    <row r="406" ht="15.75" customHeight="1" s="40">
      <c r="C406" s="36">
        <f>_xlfn.IFS(E406&lt;E$24,0,E406&lt;E$26,C$24,E406&lt;E$28,C$26,E406&lt;E$30,C$28,E406&lt;E$32,C$30,E406&lt;E$34,C$32,E406&gt;=E$34,C$34)</f>
        <v/>
      </c>
      <c r="D406" s="37">
        <f>_xlfn.IFS(E406&lt;E$24,0,E406&lt;E$25,D$24,E406&lt;E$26,D$25,E406&lt;E$27,D$26,E406&lt;E$28,D$27,E406&lt;E$29,D$28,E406&lt;E$30,D$29,E406&lt;E$31,D$30,E406&lt;E$32,D$31,E406&lt;E$33,D$32,E406&lt;E$34,D$33,E406&lt;E$35,D$34,E406&gt;=E$35,D$35)</f>
        <v/>
      </c>
      <c r="E406" s="38" t="n">
        <v>356</v>
      </c>
      <c r="F406" s="31">
        <f>E406/52</f>
        <v/>
      </c>
      <c r="G406" s="39">
        <f>D406/1000000*52</f>
        <v/>
      </c>
      <c r="H406" s="33">
        <f>G406/$P$4+($C$22/$P$4)</f>
        <v/>
      </c>
      <c r="I406" s="36">
        <f>_xlfn.IFS(K406&lt;K$24,0,K406&lt;K$26,I$24,K406&lt;K$28,I$26,K406&lt;K$30,I$28,K406&lt;K$32,I$30,K406&lt;K$34,I$32,K406&lt;K$36,I$34,K406&lt;K$38,I$36,K406&lt;K$40,I$38,K406&lt;K$42,I$40,K406&lt;K$44,I$42,K406&lt;K$46,I$44,K406&gt;=K$46,I$46)</f>
        <v/>
      </c>
      <c r="J406" s="37">
        <f>_xlfn.IFS(K406&lt;K$24,0,K406&lt;K$25,J$24,K406&lt;K$26,J$25,K406&lt;K$27,J$26,K406&lt;K$28,J$27,K406&lt;K$29,J$28,K406&lt;K$30,J$29,K406&lt;K$31,J$30,K406&lt;K$32,J$31,K406&lt;K$33,J$32,K406&lt;K$34,J$33,K406&lt;K$35,J$34,K406&lt;K$36,J$35,K406&lt;K$37,J$36,K406&lt;K$38,J$37,K406&lt;K$39,J$38,K406&lt;K$40,J$39,K406&lt;K$41,J$40,K406&lt;K$42,J$41,K406&lt;K$43,J$42,K406&lt;K$44,J$43,K406&lt;K$45,J$44,K406&lt;K$46,J$45,K406&lt;K$47,J$46,K406&gt;=K$47,J$47)</f>
        <v/>
      </c>
      <c r="K406" s="38" t="n">
        <v>356</v>
      </c>
      <c r="L406" s="31">
        <f>K406/52</f>
        <v/>
      </c>
      <c r="M406" s="39">
        <f>J406/1000000*52</f>
        <v/>
      </c>
      <c r="N406" s="33">
        <f>M406/$P$4+($I$22/$P$4)</f>
        <v/>
      </c>
      <c r="U406">
        <f>F405</f>
        <v/>
      </c>
      <c r="V406">
        <f>H405</f>
        <v/>
      </c>
      <c r="W406">
        <f>N405</f>
        <v/>
      </c>
    </row>
    <row r="407" ht="15.75" customHeight="1" s="40">
      <c r="C407" s="36">
        <f>_xlfn.IFS(E407&lt;E$24,0,E407&lt;E$26,C$24,E407&lt;E$28,C$26,E407&lt;E$30,C$28,E407&lt;E$32,C$30,E407&lt;E$34,C$32,E407&gt;=E$34,C$34)</f>
        <v/>
      </c>
      <c r="D407" s="37">
        <f>_xlfn.IFS(E407&lt;E$24,0,E407&lt;E$25,D$24,E407&lt;E$26,D$25,E407&lt;E$27,D$26,E407&lt;E$28,D$27,E407&lt;E$29,D$28,E407&lt;E$30,D$29,E407&lt;E$31,D$30,E407&lt;E$32,D$31,E407&lt;E$33,D$32,E407&lt;E$34,D$33,E407&lt;E$35,D$34,E407&gt;=E$35,D$35)</f>
        <v/>
      </c>
      <c r="E407" s="38" t="n">
        <v>357</v>
      </c>
      <c r="F407" s="31">
        <f>E407/52</f>
        <v/>
      </c>
      <c r="G407" s="39">
        <f>D407/1000000*52</f>
        <v/>
      </c>
      <c r="H407" s="33">
        <f>G407/$P$4+($C$22/$P$4)</f>
        <v/>
      </c>
      <c r="I407" s="36">
        <f>_xlfn.IFS(K407&lt;K$24,0,K407&lt;K$26,I$24,K407&lt;K$28,I$26,K407&lt;K$30,I$28,K407&lt;K$32,I$30,K407&lt;K$34,I$32,K407&lt;K$36,I$34,K407&lt;K$38,I$36,K407&lt;K$40,I$38,K407&lt;K$42,I$40,K407&lt;K$44,I$42,K407&lt;K$46,I$44,K407&gt;=K$46,I$46)</f>
        <v/>
      </c>
      <c r="J407" s="37">
        <f>_xlfn.IFS(K407&lt;K$24,0,K407&lt;K$25,J$24,K407&lt;K$26,J$25,K407&lt;K$27,J$26,K407&lt;K$28,J$27,K407&lt;K$29,J$28,K407&lt;K$30,J$29,K407&lt;K$31,J$30,K407&lt;K$32,J$31,K407&lt;K$33,J$32,K407&lt;K$34,J$33,K407&lt;K$35,J$34,K407&lt;K$36,J$35,K407&lt;K$37,J$36,K407&lt;K$38,J$37,K407&lt;K$39,J$38,K407&lt;K$40,J$39,K407&lt;K$41,J$40,K407&lt;K$42,J$41,K407&lt;K$43,J$42,K407&lt;K$44,J$43,K407&lt;K$45,J$44,K407&lt;K$46,J$45,K407&lt;K$47,J$46,K407&gt;=K$47,J$47)</f>
        <v/>
      </c>
      <c r="K407" s="38" t="n">
        <v>357</v>
      </c>
      <c r="L407" s="31">
        <f>K407/52</f>
        <v/>
      </c>
      <c r="M407" s="39">
        <f>J407/1000000*52</f>
        <v/>
      </c>
      <c r="N407" s="33">
        <f>M407/$P$4+($I$22/$P$4)</f>
        <v/>
      </c>
      <c r="U407">
        <f>F406</f>
        <v/>
      </c>
      <c r="V407">
        <f>H406</f>
        <v/>
      </c>
      <c r="W407">
        <f>N406</f>
        <v/>
      </c>
    </row>
    <row r="408" ht="15.75" customHeight="1" s="40">
      <c r="C408" s="36">
        <f>_xlfn.IFS(E408&lt;E$24,0,E408&lt;E$26,C$24,E408&lt;E$28,C$26,E408&lt;E$30,C$28,E408&lt;E$32,C$30,E408&lt;E$34,C$32,E408&gt;=E$34,C$34)</f>
        <v/>
      </c>
      <c r="D408" s="37">
        <f>_xlfn.IFS(E408&lt;E$24,0,E408&lt;E$25,D$24,E408&lt;E$26,D$25,E408&lt;E$27,D$26,E408&lt;E$28,D$27,E408&lt;E$29,D$28,E408&lt;E$30,D$29,E408&lt;E$31,D$30,E408&lt;E$32,D$31,E408&lt;E$33,D$32,E408&lt;E$34,D$33,E408&lt;E$35,D$34,E408&gt;=E$35,D$35)</f>
        <v/>
      </c>
      <c r="E408" s="38" t="n">
        <v>358</v>
      </c>
      <c r="F408" s="31">
        <f>E408/52</f>
        <v/>
      </c>
      <c r="G408" s="39">
        <f>D408/1000000*52</f>
        <v/>
      </c>
      <c r="H408" s="33">
        <f>G408/$P$4+($C$22/$P$4)</f>
        <v/>
      </c>
      <c r="I408" s="36">
        <f>_xlfn.IFS(K408&lt;K$24,0,K408&lt;K$26,I$24,K408&lt;K$28,I$26,K408&lt;K$30,I$28,K408&lt;K$32,I$30,K408&lt;K$34,I$32,K408&lt;K$36,I$34,K408&lt;K$38,I$36,K408&lt;K$40,I$38,K408&lt;K$42,I$40,K408&lt;K$44,I$42,K408&lt;K$46,I$44,K408&gt;=K$46,I$46)</f>
        <v/>
      </c>
      <c r="J408" s="37">
        <f>_xlfn.IFS(K408&lt;K$24,0,K408&lt;K$25,J$24,K408&lt;K$26,J$25,K408&lt;K$27,J$26,K408&lt;K$28,J$27,K408&lt;K$29,J$28,K408&lt;K$30,J$29,K408&lt;K$31,J$30,K408&lt;K$32,J$31,K408&lt;K$33,J$32,K408&lt;K$34,J$33,K408&lt;K$35,J$34,K408&lt;K$36,J$35,K408&lt;K$37,J$36,K408&lt;K$38,J$37,K408&lt;K$39,J$38,K408&lt;K$40,J$39,K408&lt;K$41,J$40,K408&lt;K$42,J$41,K408&lt;K$43,J$42,K408&lt;K$44,J$43,K408&lt;K$45,J$44,K408&lt;K$46,J$45,K408&lt;K$47,J$46,K408&gt;=K$47,J$47)</f>
        <v/>
      </c>
      <c r="K408" s="38" t="n">
        <v>358</v>
      </c>
      <c r="L408" s="31">
        <f>K408/52</f>
        <v/>
      </c>
      <c r="M408" s="39">
        <f>J408/1000000*52</f>
        <v/>
      </c>
      <c r="N408" s="33">
        <f>M408/$P$4+($I$22/$P$4)</f>
        <v/>
      </c>
      <c r="U408">
        <f>F407</f>
        <v/>
      </c>
      <c r="V408">
        <f>H407</f>
        <v/>
      </c>
      <c r="W408">
        <f>N407</f>
        <v/>
      </c>
    </row>
    <row r="409" ht="15.75" customHeight="1" s="40">
      <c r="C409" s="36">
        <f>_xlfn.IFS(E409&lt;E$24,0,E409&lt;E$26,C$24,E409&lt;E$28,C$26,E409&lt;E$30,C$28,E409&lt;E$32,C$30,E409&lt;E$34,C$32,E409&gt;=E$34,C$34)</f>
        <v/>
      </c>
      <c r="D409" s="37">
        <f>_xlfn.IFS(E409&lt;E$24,0,E409&lt;E$25,D$24,E409&lt;E$26,D$25,E409&lt;E$27,D$26,E409&lt;E$28,D$27,E409&lt;E$29,D$28,E409&lt;E$30,D$29,E409&lt;E$31,D$30,E409&lt;E$32,D$31,E409&lt;E$33,D$32,E409&lt;E$34,D$33,E409&lt;E$35,D$34,E409&gt;=E$35,D$35)</f>
        <v/>
      </c>
      <c r="E409" s="38" t="n">
        <v>359</v>
      </c>
      <c r="F409" s="31">
        <f>E409/52</f>
        <v/>
      </c>
      <c r="G409" s="39">
        <f>D409/1000000*52</f>
        <v/>
      </c>
      <c r="H409" s="33">
        <f>G409/$P$4+($C$22/$P$4)</f>
        <v/>
      </c>
      <c r="I409" s="36">
        <f>_xlfn.IFS(K409&lt;K$24,0,K409&lt;K$26,I$24,K409&lt;K$28,I$26,K409&lt;K$30,I$28,K409&lt;K$32,I$30,K409&lt;K$34,I$32,K409&lt;K$36,I$34,K409&lt;K$38,I$36,K409&lt;K$40,I$38,K409&lt;K$42,I$40,K409&lt;K$44,I$42,K409&lt;K$46,I$44,K409&gt;=K$46,I$46)</f>
        <v/>
      </c>
      <c r="J409" s="37">
        <f>_xlfn.IFS(K409&lt;K$24,0,K409&lt;K$25,J$24,K409&lt;K$26,J$25,K409&lt;K$27,J$26,K409&lt;K$28,J$27,K409&lt;K$29,J$28,K409&lt;K$30,J$29,K409&lt;K$31,J$30,K409&lt;K$32,J$31,K409&lt;K$33,J$32,K409&lt;K$34,J$33,K409&lt;K$35,J$34,K409&lt;K$36,J$35,K409&lt;K$37,J$36,K409&lt;K$38,J$37,K409&lt;K$39,J$38,K409&lt;K$40,J$39,K409&lt;K$41,J$40,K409&lt;K$42,J$41,K409&lt;K$43,J$42,K409&lt;K$44,J$43,K409&lt;K$45,J$44,K409&lt;K$46,J$45,K409&lt;K$47,J$46,K409&gt;=K$47,J$47)</f>
        <v/>
      </c>
      <c r="K409" s="38" t="n">
        <v>359</v>
      </c>
      <c r="L409" s="31">
        <f>K409/52</f>
        <v/>
      </c>
      <c r="M409" s="39">
        <f>J409/1000000*52</f>
        <v/>
      </c>
      <c r="N409" s="33">
        <f>M409/$P$4+($I$22/$P$4)</f>
        <v/>
      </c>
      <c r="U409">
        <f>F408</f>
        <v/>
      </c>
      <c r="V409">
        <f>H408</f>
        <v/>
      </c>
      <c r="W409">
        <f>N408</f>
        <v/>
      </c>
    </row>
    <row r="410" ht="15.75" customHeight="1" s="40">
      <c r="C410" s="36">
        <f>_xlfn.IFS(E410&lt;E$24,0,E410&lt;E$26,C$24,E410&lt;E$28,C$26,E410&lt;E$30,C$28,E410&lt;E$32,C$30,E410&lt;E$34,C$32,E410&gt;=E$34,C$34)</f>
        <v/>
      </c>
      <c r="D410" s="37">
        <f>_xlfn.IFS(E410&lt;E$24,0,E410&lt;E$25,D$24,E410&lt;E$26,D$25,E410&lt;E$27,D$26,E410&lt;E$28,D$27,E410&lt;E$29,D$28,E410&lt;E$30,D$29,E410&lt;E$31,D$30,E410&lt;E$32,D$31,E410&lt;E$33,D$32,E410&lt;E$34,D$33,E410&lt;E$35,D$34,E410&gt;=E$35,D$35)</f>
        <v/>
      </c>
      <c r="E410" s="38" t="n">
        <v>360</v>
      </c>
      <c r="F410" s="31">
        <f>E410/52</f>
        <v/>
      </c>
      <c r="G410" s="39">
        <f>D410/1000000*52</f>
        <v/>
      </c>
      <c r="H410" s="33">
        <f>G410/$P$4+($C$22/$P$4)</f>
        <v/>
      </c>
      <c r="I410" s="36">
        <f>_xlfn.IFS(K410&lt;K$24,0,K410&lt;K$26,I$24,K410&lt;K$28,I$26,K410&lt;K$30,I$28,K410&lt;K$32,I$30,K410&lt;K$34,I$32,K410&lt;K$36,I$34,K410&lt;K$38,I$36,K410&lt;K$40,I$38,K410&lt;K$42,I$40,K410&lt;K$44,I$42,K410&lt;K$46,I$44,K410&gt;=K$46,I$46)</f>
        <v/>
      </c>
      <c r="J410" s="37">
        <f>_xlfn.IFS(K410&lt;K$24,0,K410&lt;K$25,J$24,K410&lt;K$26,J$25,K410&lt;K$27,J$26,K410&lt;K$28,J$27,K410&lt;K$29,J$28,K410&lt;K$30,J$29,K410&lt;K$31,J$30,K410&lt;K$32,J$31,K410&lt;K$33,J$32,K410&lt;K$34,J$33,K410&lt;K$35,J$34,K410&lt;K$36,J$35,K410&lt;K$37,J$36,K410&lt;K$38,J$37,K410&lt;K$39,J$38,K410&lt;K$40,J$39,K410&lt;K$41,J$40,K410&lt;K$42,J$41,K410&lt;K$43,J$42,K410&lt;K$44,J$43,K410&lt;K$45,J$44,K410&lt;K$46,J$45,K410&lt;K$47,J$46,K410&gt;=K$47,J$47)</f>
        <v/>
      </c>
      <c r="K410" s="38" t="n">
        <v>360</v>
      </c>
      <c r="L410" s="31">
        <f>K410/52</f>
        <v/>
      </c>
      <c r="M410" s="39">
        <f>J410/1000000*52</f>
        <v/>
      </c>
      <c r="N410" s="33">
        <f>M410/$P$4+($I$22/$P$4)</f>
        <v/>
      </c>
      <c r="U410">
        <f>F409</f>
        <v/>
      </c>
      <c r="V410">
        <f>H409</f>
        <v/>
      </c>
      <c r="W410">
        <f>N409</f>
        <v/>
      </c>
    </row>
    <row r="411" ht="15.75" customHeight="1" s="40">
      <c r="C411" s="36">
        <f>_xlfn.IFS(E411&lt;E$24,0,E411&lt;E$26,C$24,E411&lt;E$28,C$26,E411&lt;E$30,C$28,E411&lt;E$32,C$30,E411&lt;E$34,C$32,E411&gt;=E$34,C$34)</f>
        <v/>
      </c>
      <c r="D411" s="37">
        <f>_xlfn.IFS(E411&lt;E$24,0,E411&lt;E$25,D$24,E411&lt;E$26,D$25,E411&lt;E$27,D$26,E411&lt;E$28,D$27,E411&lt;E$29,D$28,E411&lt;E$30,D$29,E411&lt;E$31,D$30,E411&lt;E$32,D$31,E411&lt;E$33,D$32,E411&lt;E$34,D$33,E411&lt;E$35,D$34,E411&gt;=E$35,D$35)</f>
        <v/>
      </c>
      <c r="E411" s="38" t="n">
        <v>361</v>
      </c>
      <c r="F411" s="31">
        <f>E411/52</f>
        <v/>
      </c>
      <c r="G411" s="39">
        <f>D411/1000000*52</f>
        <v/>
      </c>
      <c r="H411" s="33">
        <f>G411/$P$4+($C$22/$P$4)</f>
        <v/>
      </c>
      <c r="I411" s="36">
        <f>_xlfn.IFS(K411&lt;K$24,0,K411&lt;K$26,I$24,K411&lt;K$28,I$26,K411&lt;K$30,I$28,K411&lt;K$32,I$30,K411&lt;K$34,I$32,K411&lt;K$36,I$34,K411&lt;K$38,I$36,K411&lt;K$40,I$38,K411&lt;K$42,I$40,K411&lt;K$44,I$42,K411&lt;K$46,I$44,K411&gt;=K$46,I$46)</f>
        <v/>
      </c>
      <c r="J411" s="37">
        <f>_xlfn.IFS(K411&lt;K$24,0,K411&lt;K$25,J$24,K411&lt;K$26,J$25,K411&lt;K$27,J$26,K411&lt;K$28,J$27,K411&lt;K$29,J$28,K411&lt;K$30,J$29,K411&lt;K$31,J$30,K411&lt;K$32,J$31,K411&lt;K$33,J$32,K411&lt;K$34,J$33,K411&lt;K$35,J$34,K411&lt;K$36,J$35,K411&lt;K$37,J$36,K411&lt;K$38,J$37,K411&lt;K$39,J$38,K411&lt;K$40,J$39,K411&lt;K$41,J$40,K411&lt;K$42,J$41,K411&lt;K$43,J$42,K411&lt;K$44,J$43,K411&lt;K$45,J$44,K411&lt;K$46,J$45,K411&lt;K$47,J$46,K411&gt;=K$47,J$47)</f>
        <v/>
      </c>
      <c r="K411" s="38" t="n">
        <v>361</v>
      </c>
      <c r="L411" s="31">
        <f>K411/52</f>
        <v/>
      </c>
      <c r="M411" s="39">
        <f>J411/1000000*52</f>
        <v/>
      </c>
      <c r="N411" s="33">
        <f>M411/$P$4+($I$22/$P$4)</f>
        <v/>
      </c>
      <c r="U411">
        <f>F410</f>
        <v/>
      </c>
      <c r="V411">
        <f>H410</f>
        <v/>
      </c>
      <c r="W411">
        <f>N410</f>
        <v/>
      </c>
    </row>
    <row r="412" ht="15.75" customHeight="1" s="40">
      <c r="C412" s="36">
        <f>_xlfn.IFS(E412&lt;E$24,0,E412&lt;E$26,C$24,E412&lt;E$28,C$26,E412&lt;E$30,C$28,E412&lt;E$32,C$30,E412&lt;E$34,C$32,E412&gt;=E$34,C$34)</f>
        <v/>
      </c>
      <c r="D412" s="37">
        <f>_xlfn.IFS(E412&lt;E$24,0,E412&lt;E$25,D$24,E412&lt;E$26,D$25,E412&lt;E$27,D$26,E412&lt;E$28,D$27,E412&lt;E$29,D$28,E412&lt;E$30,D$29,E412&lt;E$31,D$30,E412&lt;E$32,D$31,E412&lt;E$33,D$32,E412&lt;E$34,D$33,E412&lt;E$35,D$34,E412&gt;=E$35,D$35)</f>
        <v/>
      </c>
      <c r="E412" s="38" t="n">
        <v>362</v>
      </c>
      <c r="F412" s="31">
        <f>E412/52</f>
        <v/>
      </c>
      <c r="G412" s="39">
        <f>D412/1000000*52</f>
        <v/>
      </c>
      <c r="H412" s="33">
        <f>G412/$P$4+($C$22/$P$4)</f>
        <v/>
      </c>
      <c r="I412" s="36">
        <f>_xlfn.IFS(K412&lt;K$24,0,K412&lt;K$26,I$24,K412&lt;K$28,I$26,K412&lt;K$30,I$28,K412&lt;K$32,I$30,K412&lt;K$34,I$32,K412&lt;K$36,I$34,K412&lt;K$38,I$36,K412&lt;K$40,I$38,K412&lt;K$42,I$40,K412&lt;K$44,I$42,K412&lt;K$46,I$44,K412&gt;=K$46,I$46)</f>
        <v/>
      </c>
      <c r="J412" s="37">
        <f>_xlfn.IFS(K412&lt;K$24,0,K412&lt;K$25,J$24,K412&lt;K$26,J$25,K412&lt;K$27,J$26,K412&lt;K$28,J$27,K412&lt;K$29,J$28,K412&lt;K$30,J$29,K412&lt;K$31,J$30,K412&lt;K$32,J$31,K412&lt;K$33,J$32,K412&lt;K$34,J$33,K412&lt;K$35,J$34,K412&lt;K$36,J$35,K412&lt;K$37,J$36,K412&lt;K$38,J$37,K412&lt;K$39,J$38,K412&lt;K$40,J$39,K412&lt;K$41,J$40,K412&lt;K$42,J$41,K412&lt;K$43,J$42,K412&lt;K$44,J$43,K412&lt;K$45,J$44,K412&lt;K$46,J$45,K412&lt;K$47,J$46,K412&gt;=K$47,J$47)</f>
        <v/>
      </c>
      <c r="K412" s="38" t="n">
        <v>362</v>
      </c>
      <c r="L412" s="31">
        <f>K412/52</f>
        <v/>
      </c>
      <c r="M412" s="39">
        <f>J412/1000000*52</f>
        <v/>
      </c>
      <c r="N412" s="33">
        <f>M412/$P$4+($I$22/$P$4)</f>
        <v/>
      </c>
      <c r="U412">
        <f>F411</f>
        <v/>
      </c>
      <c r="V412">
        <f>H411</f>
        <v/>
      </c>
      <c r="W412">
        <f>N411</f>
        <v/>
      </c>
    </row>
    <row r="413" ht="15.75" customHeight="1" s="40">
      <c r="C413" s="36">
        <f>_xlfn.IFS(E413&lt;E$24,0,E413&lt;E$26,C$24,E413&lt;E$28,C$26,E413&lt;E$30,C$28,E413&lt;E$32,C$30,E413&lt;E$34,C$32,E413&gt;=E$34,C$34)</f>
        <v/>
      </c>
      <c r="D413" s="37">
        <f>_xlfn.IFS(E413&lt;E$24,0,E413&lt;E$25,D$24,E413&lt;E$26,D$25,E413&lt;E$27,D$26,E413&lt;E$28,D$27,E413&lt;E$29,D$28,E413&lt;E$30,D$29,E413&lt;E$31,D$30,E413&lt;E$32,D$31,E413&lt;E$33,D$32,E413&lt;E$34,D$33,E413&lt;E$35,D$34,E413&gt;=E$35,D$35)</f>
        <v/>
      </c>
      <c r="E413" s="38" t="n">
        <v>363</v>
      </c>
      <c r="F413" s="31">
        <f>E413/52</f>
        <v/>
      </c>
      <c r="G413" s="39">
        <f>D413/1000000*52</f>
        <v/>
      </c>
      <c r="H413" s="33">
        <f>G413/$P$4+($C$22/$P$4)</f>
        <v/>
      </c>
      <c r="I413" s="36">
        <f>_xlfn.IFS(K413&lt;K$24,0,K413&lt;K$26,I$24,K413&lt;K$28,I$26,K413&lt;K$30,I$28,K413&lt;K$32,I$30,K413&lt;K$34,I$32,K413&lt;K$36,I$34,K413&lt;K$38,I$36,K413&lt;K$40,I$38,K413&lt;K$42,I$40,K413&lt;K$44,I$42,K413&lt;K$46,I$44,K413&gt;=K$46,I$46)</f>
        <v/>
      </c>
      <c r="J413" s="37">
        <f>_xlfn.IFS(K413&lt;K$24,0,K413&lt;K$25,J$24,K413&lt;K$26,J$25,K413&lt;K$27,J$26,K413&lt;K$28,J$27,K413&lt;K$29,J$28,K413&lt;K$30,J$29,K413&lt;K$31,J$30,K413&lt;K$32,J$31,K413&lt;K$33,J$32,K413&lt;K$34,J$33,K413&lt;K$35,J$34,K413&lt;K$36,J$35,K413&lt;K$37,J$36,K413&lt;K$38,J$37,K413&lt;K$39,J$38,K413&lt;K$40,J$39,K413&lt;K$41,J$40,K413&lt;K$42,J$41,K413&lt;K$43,J$42,K413&lt;K$44,J$43,K413&lt;K$45,J$44,K413&lt;K$46,J$45,K413&lt;K$47,J$46,K413&gt;=K$47,J$47)</f>
        <v/>
      </c>
      <c r="K413" s="38" t="n">
        <v>363</v>
      </c>
      <c r="L413" s="31">
        <f>K413/52</f>
        <v/>
      </c>
      <c r="M413" s="39">
        <f>J413/1000000*52</f>
        <v/>
      </c>
      <c r="N413" s="33">
        <f>M413/$P$4+($I$22/$P$4)</f>
        <v/>
      </c>
      <c r="U413">
        <f>F412</f>
        <v/>
      </c>
      <c r="V413">
        <f>H412</f>
        <v/>
      </c>
      <c r="W413">
        <f>N412</f>
        <v/>
      </c>
    </row>
    <row r="414" ht="15.75" customHeight="1" s="40">
      <c r="C414" s="36">
        <f>_xlfn.IFS(E414&lt;E$24,0,E414&lt;E$26,C$24,E414&lt;E$28,C$26,E414&lt;E$30,C$28,E414&lt;E$32,C$30,E414&lt;E$34,C$32,E414&gt;=E$34,C$34)</f>
        <v/>
      </c>
      <c r="D414" s="37">
        <f>_xlfn.IFS(E414&lt;E$24,0,E414&lt;E$25,D$24,E414&lt;E$26,D$25,E414&lt;E$27,D$26,E414&lt;E$28,D$27,E414&lt;E$29,D$28,E414&lt;E$30,D$29,E414&lt;E$31,D$30,E414&lt;E$32,D$31,E414&lt;E$33,D$32,E414&lt;E$34,D$33,E414&lt;E$35,D$34,E414&gt;=E$35,D$35)</f>
        <v/>
      </c>
      <c r="E414" s="38" t="n">
        <v>364</v>
      </c>
      <c r="F414" s="31">
        <f>E414/52</f>
        <v/>
      </c>
      <c r="G414" s="39">
        <f>D414/1000000*52</f>
        <v/>
      </c>
      <c r="H414" s="33">
        <f>G414/$P$4+($C$22/$P$4)</f>
        <v/>
      </c>
      <c r="I414" s="36">
        <f>_xlfn.IFS(K414&lt;K$24,0,K414&lt;K$26,I$24,K414&lt;K$28,I$26,K414&lt;K$30,I$28,K414&lt;K$32,I$30,K414&lt;K$34,I$32,K414&lt;K$36,I$34,K414&lt;K$38,I$36,K414&lt;K$40,I$38,K414&lt;K$42,I$40,K414&lt;K$44,I$42,K414&lt;K$46,I$44,K414&gt;=K$46,I$46)</f>
        <v/>
      </c>
      <c r="J414" s="37">
        <f>_xlfn.IFS(K414&lt;K$24,0,K414&lt;K$25,J$24,K414&lt;K$26,J$25,K414&lt;K$27,J$26,K414&lt;K$28,J$27,K414&lt;K$29,J$28,K414&lt;K$30,J$29,K414&lt;K$31,J$30,K414&lt;K$32,J$31,K414&lt;K$33,J$32,K414&lt;K$34,J$33,K414&lt;K$35,J$34,K414&lt;K$36,J$35,K414&lt;K$37,J$36,K414&lt;K$38,J$37,K414&lt;K$39,J$38,K414&lt;K$40,J$39,K414&lt;K$41,J$40,K414&lt;K$42,J$41,K414&lt;K$43,J$42,K414&lt;K$44,J$43,K414&lt;K$45,J$44,K414&lt;K$46,J$45,K414&lt;K$47,J$46,K414&gt;=K$47,J$47)</f>
        <v/>
      </c>
      <c r="K414" s="38" t="n">
        <v>364</v>
      </c>
      <c r="L414" s="31">
        <f>K414/52</f>
        <v/>
      </c>
      <c r="M414" s="39">
        <f>J414/1000000*52</f>
        <v/>
      </c>
      <c r="N414" s="33">
        <f>M414/$P$4+($I$22/$P$4)</f>
        <v/>
      </c>
      <c r="U414">
        <f>F413</f>
        <v/>
      </c>
      <c r="V414">
        <f>H413</f>
        <v/>
      </c>
      <c r="W414">
        <f>N413</f>
        <v/>
      </c>
    </row>
    <row r="415" ht="15.75" customHeight="1" s="40">
      <c r="C415" s="36">
        <f>_xlfn.IFS(E415&lt;E$24,0,E415&lt;E$26,C$24,E415&lt;E$28,C$26,E415&lt;E$30,C$28,E415&lt;E$32,C$30,E415&lt;E$34,C$32,E415&gt;=E$34,C$34)</f>
        <v/>
      </c>
      <c r="D415" s="37">
        <f>_xlfn.IFS(E415&lt;E$24,0,E415&lt;E$25,D$24,E415&lt;E$26,D$25,E415&lt;E$27,D$26,E415&lt;E$28,D$27,E415&lt;E$29,D$28,E415&lt;E$30,D$29,E415&lt;E$31,D$30,E415&lt;E$32,D$31,E415&lt;E$33,D$32,E415&lt;E$34,D$33,E415&lt;E$35,D$34,E415&gt;=E$35,D$35)</f>
        <v/>
      </c>
      <c r="E415" s="38" t="n">
        <v>365</v>
      </c>
      <c r="F415" s="31">
        <f>E415/52</f>
        <v/>
      </c>
      <c r="G415" s="39">
        <f>D415/1000000*52</f>
        <v/>
      </c>
      <c r="H415" s="33">
        <f>G415/$P$4+($C$22/$P$4)</f>
        <v/>
      </c>
      <c r="I415" s="36">
        <f>_xlfn.IFS(K415&lt;K$24,0,K415&lt;K$26,I$24,K415&lt;K$28,I$26,K415&lt;K$30,I$28,K415&lt;K$32,I$30,K415&lt;K$34,I$32,K415&lt;K$36,I$34,K415&lt;K$38,I$36,K415&lt;K$40,I$38,K415&lt;K$42,I$40,K415&lt;K$44,I$42,K415&lt;K$46,I$44,K415&gt;=K$46,I$46)</f>
        <v/>
      </c>
      <c r="J415" s="37">
        <f>_xlfn.IFS(K415&lt;K$24,0,K415&lt;K$25,J$24,K415&lt;K$26,J$25,K415&lt;K$27,J$26,K415&lt;K$28,J$27,K415&lt;K$29,J$28,K415&lt;K$30,J$29,K415&lt;K$31,J$30,K415&lt;K$32,J$31,K415&lt;K$33,J$32,K415&lt;K$34,J$33,K415&lt;K$35,J$34,K415&lt;K$36,J$35,K415&lt;K$37,J$36,K415&lt;K$38,J$37,K415&lt;K$39,J$38,K415&lt;K$40,J$39,K415&lt;K$41,J$40,K415&lt;K$42,J$41,K415&lt;K$43,J$42,K415&lt;K$44,J$43,K415&lt;K$45,J$44,K415&lt;K$46,J$45,K415&lt;K$47,J$46,K415&gt;=K$47,J$47)</f>
        <v/>
      </c>
      <c r="K415" s="38" t="n">
        <v>365</v>
      </c>
      <c r="L415" s="31">
        <f>K415/52</f>
        <v/>
      </c>
      <c r="M415" s="39">
        <f>J415/1000000*52</f>
        <v/>
      </c>
      <c r="N415" s="33">
        <f>M415/$P$4+($I$22/$P$4)</f>
        <v/>
      </c>
      <c r="U415">
        <f>F414</f>
        <v/>
      </c>
      <c r="V415">
        <f>H414</f>
        <v/>
      </c>
      <c r="W415">
        <f>N414</f>
        <v/>
      </c>
    </row>
    <row r="416" ht="15.75" customHeight="1" s="40">
      <c r="C416" s="36">
        <f>_xlfn.IFS(E416&lt;E$24,0,E416&lt;E$26,C$24,E416&lt;E$28,C$26,E416&lt;E$30,C$28,E416&lt;E$32,C$30,E416&lt;E$34,C$32,E416&gt;=E$34,C$34)</f>
        <v/>
      </c>
      <c r="D416" s="37">
        <f>_xlfn.IFS(E416&lt;E$24,0,E416&lt;E$25,D$24,E416&lt;E$26,D$25,E416&lt;E$27,D$26,E416&lt;E$28,D$27,E416&lt;E$29,D$28,E416&lt;E$30,D$29,E416&lt;E$31,D$30,E416&lt;E$32,D$31,E416&lt;E$33,D$32,E416&lt;E$34,D$33,E416&lt;E$35,D$34,E416&gt;=E$35,D$35)</f>
        <v/>
      </c>
      <c r="E416" s="38" t="n">
        <v>366</v>
      </c>
      <c r="F416" s="31">
        <f>E416/52</f>
        <v/>
      </c>
      <c r="G416" s="39">
        <f>D416/1000000*52</f>
        <v/>
      </c>
      <c r="H416" s="33">
        <f>G416/$P$4+($C$22/$P$4)</f>
        <v/>
      </c>
      <c r="I416" s="36">
        <f>_xlfn.IFS(K416&lt;K$24,0,K416&lt;K$26,I$24,K416&lt;K$28,I$26,K416&lt;K$30,I$28,K416&lt;K$32,I$30,K416&lt;K$34,I$32,K416&lt;K$36,I$34,K416&lt;K$38,I$36,K416&lt;K$40,I$38,K416&lt;K$42,I$40,K416&lt;K$44,I$42,K416&lt;K$46,I$44,K416&gt;=K$46,I$46)</f>
        <v/>
      </c>
      <c r="J416" s="37">
        <f>_xlfn.IFS(K416&lt;K$24,0,K416&lt;K$25,J$24,K416&lt;K$26,J$25,K416&lt;K$27,J$26,K416&lt;K$28,J$27,K416&lt;K$29,J$28,K416&lt;K$30,J$29,K416&lt;K$31,J$30,K416&lt;K$32,J$31,K416&lt;K$33,J$32,K416&lt;K$34,J$33,K416&lt;K$35,J$34,K416&lt;K$36,J$35,K416&lt;K$37,J$36,K416&lt;K$38,J$37,K416&lt;K$39,J$38,K416&lt;K$40,J$39,K416&lt;K$41,J$40,K416&lt;K$42,J$41,K416&lt;K$43,J$42,K416&lt;K$44,J$43,K416&lt;K$45,J$44,K416&lt;K$46,J$45,K416&lt;K$47,J$46,K416&gt;=K$47,J$47)</f>
        <v/>
      </c>
      <c r="K416" s="38" t="n">
        <v>366</v>
      </c>
      <c r="L416" s="31">
        <f>K416/52</f>
        <v/>
      </c>
      <c r="M416" s="39">
        <f>J416/1000000*52</f>
        <v/>
      </c>
      <c r="N416" s="33">
        <f>M416/$P$4+($I$22/$P$4)</f>
        <v/>
      </c>
      <c r="U416">
        <f>F415</f>
        <v/>
      </c>
      <c r="V416">
        <f>H415</f>
        <v/>
      </c>
      <c r="W416">
        <f>N415</f>
        <v/>
      </c>
    </row>
    <row r="417" ht="15.75" customHeight="1" s="40">
      <c r="C417" s="36">
        <f>_xlfn.IFS(E417&lt;E$24,0,E417&lt;E$26,C$24,E417&lt;E$28,C$26,E417&lt;E$30,C$28,E417&lt;E$32,C$30,E417&lt;E$34,C$32,E417&gt;=E$34,C$34)</f>
        <v/>
      </c>
      <c r="D417" s="37">
        <f>_xlfn.IFS(E417&lt;E$24,0,E417&lt;E$25,D$24,E417&lt;E$26,D$25,E417&lt;E$27,D$26,E417&lt;E$28,D$27,E417&lt;E$29,D$28,E417&lt;E$30,D$29,E417&lt;E$31,D$30,E417&lt;E$32,D$31,E417&lt;E$33,D$32,E417&lt;E$34,D$33,E417&lt;E$35,D$34,E417&gt;=E$35,D$35)</f>
        <v/>
      </c>
      <c r="E417" s="38" t="n">
        <v>367</v>
      </c>
      <c r="F417" s="31">
        <f>E417/52</f>
        <v/>
      </c>
      <c r="G417" s="39">
        <f>D417/1000000*52</f>
        <v/>
      </c>
      <c r="H417" s="33">
        <f>G417/$P$4+($C$22/$P$4)</f>
        <v/>
      </c>
      <c r="I417" s="36">
        <f>_xlfn.IFS(K417&lt;K$24,0,K417&lt;K$26,I$24,K417&lt;K$28,I$26,K417&lt;K$30,I$28,K417&lt;K$32,I$30,K417&lt;K$34,I$32,K417&lt;K$36,I$34,K417&lt;K$38,I$36,K417&lt;K$40,I$38,K417&lt;K$42,I$40,K417&lt;K$44,I$42,K417&lt;K$46,I$44,K417&gt;=K$46,I$46)</f>
        <v/>
      </c>
      <c r="J417" s="37">
        <f>_xlfn.IFS(K417&lt;K$24,0,K417&lt;K$25,J$24,K417&lt;K$26,J$25,K417&lt;K$27,J$26,K417&lt;K$28,J$27,K417&lt;K$29,J$28,K417&lt;K$30,J$29,K417&lt;K$31,J$30,K417&lt;K$32,J$31,K417&lt;K$33,J$32,K417&lt;K$34,J$33,K417&lt;K$35,J$34,K417&lt;K$36,J$35,K417&lt;K$37,J$36,K417&lt;K$38,J$37,K417&lt;K$39,J$38,K417&lt;K$40,J$39,K417&lt;K$41,J$40,K417&lt;K$42,J$41,K417&lt;K$43,J$42,K417&lt;K$44,J$43,K417&lt;K$45,J$44,K417&lt;K$46,J$45,K417&lt;K$47,J$46,K417&gt;=K$47,J$47)</f>
        <v/>
      </c>
      <c r="K417" s="38" t="n">
        <v>367</v>
      </c>
      <c r="L417" s="31">
        <f>K417/52</f>
        <v/>
      </c>
      <c r="M417" s="39">
        <f>J417/1000000*52</f>
        <v/>
      </c>
      <c r="N417" s="33">
        <f>M417/$P$4+($I$22/$P$4)</f>
        <v/>
      </c>
      <c r="U417">
        <f>F416</f>
        <v/>
      </c>
      <c r="V417">
        <f>H416</f>
        <v/>
      </c>
      <c r="W417">
        <f>N416</f>
        <v/>
      </c>
    </row>
    <row r="418" ht="15.75" customHeight="1" s="40">
      <c r="C418" s="36">
        <f>_xlfn.IFS(E418&lt;E$24,0,E418&lt;E$26,C$24,E418&lt;E$28,C$26,E418&lt;E$30,C$28,E418&lt;E$32,C$30,E418&lt;E$34,C$32,E418&gt;=E$34,C$34)</f>
        <v/>
      </c>
      <c r="D418" s="37">
        <f>_xlfn.IFS(E418&lt;E$24,0,E418&lt;E$25,D$24,E418&lt;E$26,D$25,E418&lt;E$27,D$26,E418&lt;E$28,D$27,E418&lt;E$29,D$28,E418&lt;E$30,D$29,E418&lt;E$31,D$30,E418&lt;E$32,D$31,E418&lt;E$33,D$32,E418&lt;E$34,D$33,E418&lt;E$35,D$34,E418&gt;=E$35,D$35)</f>
        <v/>
      </c>
      <c r="E418" s="38" t="n">
        <v>368</v>
      </c>
      <c r="F418" s="31">
        <f>E418/52</f>
        <v/>
      </c>
      <c r="G418" s="39">
        <f>D418/1000000*52</f>
        <v/>
      </c>
      <c r="H418" s="33">
        <f>G418/$P$4+($C$22/$P$4)</f>
        <v/>
      </c>
      <c r="I418" s="36">
        <f>_xlfn.IFS(K418&lt;K$24,0,K418&lt;K$26,I$24,K418&lt;K$28,I$26,K418&lt;K$30,I$28,K418&lt;K$32,I$30,K418&lt;K$34,I$32,K418&lt;K$36,I$34,K418&lt;K$38,I$36,K418&lt;K$40,I$38,K418&lt;K$42,I$40,K418&lt;K$44,I$42,K418&lt;K$46,I$44,K418&gt;=K$46,I$46)</f>
        <v/>
      </c>
      <c r="J418" s="37">
        <f>_xlfn.IFS(K418&lt;K$24,0,K418&lt;K$25,J$24,K418&lt;K$26,J$25,K418&lt;K$27,J$26,K418&lt;K$28,J$27,K418&lt;K$29,J$28,K418&lt;K$30,J$29,K418&lt;K$31,J$30,K418&lt;K$32,J$31,K418&lt;K$33,J$32,K418&lt;K$34,J$33,K418&lt;K$35,J$34,K418&lt;K$36,J$35,K418&lt;K$37,J$36,K418&lt;K$38,J$37,K418&lt;K$39,J$38,K418&lt;K$40,J$39,K418&lt;K$41,J$40,K418&lt;K$42,J$41,K418&lt;K$43,J$42,K418&lt;K$44,J$43,K418&lt;K$45,J$44,K418&lt;K$46,J$45,K418&lt;K$47,J$46,K418&gt;=K$47,J$47)</f>
        <v/>
      </c>
      <c r="K418" s="38" t="n">
        <v>368</v>
      </c>
      <c r="L418" s="31">
        <f>K418/52</f>
        <v/>
      </c>
      <c r="M418" s="39">
        <f>J418/1000000*52</f>
        <v/>
      </c>
      <c r="N418" s="33">
        <f>M418/$P$4+($I$22/$P$4)</f>
        <v/>
      </c>
      <c r="U418">
        <f>F417</f>
        <v/>
      </c>
      <c r="V418">
        <f>H417</f>
        <v/>
      </c>
      <c r="W418">
        <f>N417</f>
        <v/>
      </c>
    </row>
    <row r="419" ht="15.75" customHeight="1" s="40">
      <c r="C419" s="36">
        <f>_xlfn.IFS(E419&lt;E$24,0,E419&lt;E$26,C$24,E419&lt;E$28,C$26,E419&lt;E$30,C$28,E419&lt;E$32,C$30,E419&lt;E$34,C$32,E419&gt;=E$34,C$34)</f>
        <v/>
      </c>
      <c r="D419" s="37">
        <f>_xlfn.IFS(E419&lt;E$24,0,E419&lt;E$25,D$24,E419&lt;E$26,D$25,E419&lt;E$27,D$26,E419&lt;E$28,D$27,E419&lt;E$29,D$28,E419&lt;E$30,D$29,E419&lt;E$31,D$30,E419&lt;E$32,D$31,E419&lt;E$33,D$32,E419&lt;E$34,D$33,E419&lt;E$35,D$34,E419&gt;=E$35,D$35)</f>
        <v/>
      </c>
      <c r="E419" s="38" t="n">
        <v>369</v>
      </c>
      <c r="F419" s="31">
        <f>E419/52</f>
        <v/>
      </c>
      <c r="G419" s="39">
        <f>D419/1000000*52</f>
        <v/>
      </c>
      <c r="H419" s="33">
        <f>G419/$P$4+($C$22/$P$4)</f>
        <v/>
      </c>
      <c r="I419" s="36">
        <f>_xlfn.IFS(K419&lt;K$24,0,K419&lt;K$26,I$24,K419&lt;K$28,I$26,K419&lt;K$30,I$28,K419&lt;K$32,I$30,K419&lt;K$34,I$32,K419&lt;K$36,I$34,K419&lt;K$38,I$36,K419&lt;K$40,I$38,K419&lt;K$42,I$40,K419&lt;K$44,I$42,K419&lt;K$46,I$44,K419&gt;=K$46,I$46)</f>
        <v/>
      </c>
      <c r="J419" s="37">
        <f>_xlfn.IFS(K419&lt;K$24,0,K419&lt;K$25,J$24,K419&lt;K$26,J$25,K419&lt;K$27,J$26,K419&lt;K$28,J$27,K419&lt;K$29,J$28,K419&lt;K$30,J$29,K419&lt;K$31,J$30,K419&lt;K$32,J$31,K419&lt;K$33,J$32,K419&lt;K$34,J$33,K419&lt;K$35,J$34,K419&lt;K$36,J$35,K419&lt;K$37,J$36,K419&lt;K$38,J$37,K419&lt;K$39,J$38,K419&lt;K$40,J$39,K419&lt;K$41,J$40,K419&lt;K$42,J$41,K419&lt;K$43,J$42,K419&lt;K$44,J$43,K419&lt;K$45,J$44,K419&lt;K$46,J$45,K419&lt;K$47,J$46,K419&gt;=K$47,J$47)</f>
        <v/>
      </c>
      <c r="K419" s="38" t="n">
        <v>369</v>
      </c>
      <c r="L419" s="31">
        <f>K419/52</f>
        <v/>
      </c>
      <c r="M419" s="39">
        <f>J419/1000000*52</f>
        <v/>
      </c>
      <c r="N419" s="33">
        <f>M419/$P$4+($I$22/$P$4)</f>
        <v/>
      </c>
      <c r="U419">
        <f>F418</f>
        <v/>
      </c>
      <c r="V419">
        <f>H418</f>
        <v/>
      </c>
      <c r="W419">
        <f>N418</f>
        <v/>
      </c>
    </row>
    <row r="420" ht="15.75" customHeight="1" s="40">
      <c r="C420" s="36">
        <f>_xlfn.IFS(E420&lt;E$24,0,E420&lt;E$26,C$24,E420&lt;E$28,C$26,E420&lt;E$30,C$28,E420&lt;E$32,C$30,E420&lt;E$34,C$32,E420&gt;=E$34,C$34)</f>
        <v/>
      </c>
      <c r="D420" s="37">
        <f>_xlfn.IFS(E420&lt;E$24,0,E420&lt;E$25,D$24,E420&lt;E$26,D$25,E420&lt;E$27,D$26,E420&lt;E$28,D$27,E420&lt;E$29,D$28,E420&lt;E$30,D$29,E420&lt;E$31,D$30,E420&lt;E$32,D$31,E420&lt;E$33,D$32,E420&lt;E$34,D$33,E420&lt;E$35,D$34,E420&gt;=E$35,D$35)</f>
        <v/>
      </c>
      <c r="E420" s="38" t="n">
        <v>370</v>
      </c>
      <c r="F420" s="31">
        <f>E420/52</f>
        <v/>
      </c>
      <c r="G420" s="39">
        <f>D420/1000000*52</f>
        <v/>
      </c>
      <c r="H420" s="33">
        <f>G420/$P$4+($C$22/$P$4)</f>
        <v/>
      </c>
      <c r="I420" s="36">
        <f>_xlfn.IFS(K420&lt;K$24,0,K420&lt;K$26,I$24,K420&lt;K$28,I$26,K420&lt;K$30,I$28,K420&lt;K$32,I$30,K420&lt;K$34,I$32,K420&lt;K$36,I$34,K420&lt;K$38,I$36,K420&lt;K$40,I$38,K420&lt;K$42,I$40,K420&lt;K$44,I$42,K420&lt;K$46,I$44,K420&gt;=K$46,I$46)</f>
        <v/>
      </c>
      <c r="J420" s="37">
        <f>_xlfn.IFS(K420&lt;K$24,0,K420&lt;K$25,J$24,K420&lt;K$26,J$25,K420&lt;K$27,J$26,K420&lt;K$28,J$27,K420&lt;K$29,J$28,K420&lt;K$30,J$29,K420&lt;K$31,J$30,K420&lt;K$32,J$31,K420&lt;K$33,J$32,K420&lt;K$34,J$33,K420&lt;K$35,J$34,K420&lt;K$36,J$35,K420&lt;K$37,J$36,K420&lt;K$38,J$37,K420&lt;K$39,J$38,K420&lt;K$40,J$39,K420&lt;K$41,J$40,K420&lt;K$42,J$41,K420&lt;K$43,J$42,K420&lt;K$44,J$43,K420&lt;K$45,J$44,K420&lt;K$46,J$45,K420&lt;K$47,J$46,K420&gt;=K$47,J$47)</f>
        <v/>
      </c>
      <c r="K420" s="38" t="n">
        <v>370</v>
      </c>
      <c r="L420" s="31">
        <f>K420/52</f>
        <v/>
      </c>
      <c r="M420" s="39">
        <f>J420/1000000*52</f>
        <v/>
      </c>
      <c r="N420" s="33">
        <f>M420/$P$4+($I$22/$P$4)</f>
        <v/>
      </c>
      <c r="U420">
        <f>F419</f>
        <v/>
      </c>
      <c r="V420">
        <f>H419</f>
        <v/>
      </c>
      <c r="W420">
        <f>N419</f>
        <v/>
      </c>
    </row>
    <row r="421" ht="15.75" customHeight="1" s="40">
      <c r="C421" s="36">
        <f>_xlfn.IFS(E421&lt;E$24,0,E421&lt;E$26,C$24,E421&lt;E$28,C$26,E421&lt;E$30,C$28,E421&lt;E$32,C$30,E421&lt;E$34,C$32,E421&gt;=E$34,C$34)</f>
        <v/>
      </c>
      <c r="D421" s="37">
        <f>_xlfn.IFS(E421&lt;E$24,0,E421&lt;E$25,D$24,E421&lt;E$26,D$25,E421&lt;E$27,D$26,E421&lt;E$28,D$27,E421&lt;E$29,D$28,E421&lt;E$30,D$29,E421&lt;E$31,D$30,E421&lt;E$32,D$31,E421&lt;E$33,D$32,E421&lt;E$34,D$33,E421&lt;E$35,D$34,E421&gt;=E$35,D$35)</f>
        <v/>
      </c>
      <c r="E421" s="38" t="n">
        <v>371</v>
      </c>
      <c r="F421" s="31">
        <f>E421/52</f>
        <v/>
      </c>
      <c r="G421" s="39">
        <f>D421/1000000*52</f>
        <v/>
      </c>
      <c r="H421" s="33">
        <f>G421/$P$4+($C$22/$P$4)</f>
        <v/>
      </c>
      <c r="I421" s="36">
        <f>_xlfn.IFS(K421&lt;K$24,0,K421&lt;K$26,I$24,K421&lt;K$28,I$26,K421&lt;K$30,I$28,K421&lt;K$32,I$30,K421&lt;K$34,I$32,K421&lt;K$36,I$34,K421&lt;K$38,I$36,K421&lt;K$40,I$38,K421&lt;K$42,I$40,K421&lt;K$44,I$42,K421&lt;K$46,I$44,K421&gt;=K$46,I$46)</f>
        <v/>
      </c>
      <c r="J421" s="37">
        <f>_xlfn.IFS(K421&lt;K$24,0,K421&lt;K$25,J$24,K421&lt;K$26,J$25,K421&lt;K$27,J$26,K421&lt;K$28,J$27,K421&lt;K$29,J$28,K421&lt;K$30,J$29,K421&lt;K$31,J$30,K421&lt;K$32,J$31,K421&lt;K$33,J$32,K421&lt;K$34,J$33,K421&lt;K$35,J$34,K421&lt;K$36,J$35,K421&lt;K$37,J$36,K421&lt;K$38,J$37,K421&lt;K$39,J$38,K421&lt;K$40,J$39,K421&lt;K$41,J$40,K421&lt;K$42,J$41,K421&lt;K$43,J$42,K421&lt;K$44,J$43,K421&lt;K$45,J$44,K421&lt;K$46,J$45,K421&lt;K$47,J$46,K421&gt;=K$47,J$47)</f>
        <v/>
      </c>
      <c r="K421" s="38" t="n">
        <v>371</v>
      </c>
      <c r="L421" s="31">
        <f>K421/52</f>
        <v/>
      </c>
      <c r="M421" s="39">
        <f>J421/1000000*52</f>
        <v/>
      </c>
      <c r="N421" s="33">
        <f>M421/$P$4+($I$22/$P$4)</f>
        <v/>
      </c>
      <c r="U421">
        <f>F420</f>
        <v/>
      </c>
      <c r="V421">
        <f>H420</f>
        <v/>
      </c>
      <c r="W421">
        <f>N420</f>
        <v/>
      </c>
    </row>
    <row r="422" ht="15.75" customHeight="1" s="40">
      <c r="C422" s="36">
        <f>_xlfn.IFS(E422&lt;E$24,0,E422&lt;E$26,C$24,E422&lt;E$28,C$26,E422&lt;E$30,C$28,E422&lt;E$32,C$30,E422&lt;E$34,C$32,E422&gt;=E$34,C$34)</f>
        <v/>
      </c>
      <c r="D422" s="37">
        <f>_xlfn.IFS(E422&lt;E$24,0,E422&lt;E$25,D$24,E422&lt;E$26,D$25,E422&lt;E$27,D$26,E422&lt;E$28,D$27,E422&lt;E$29,D$28,E422&lt;E$30,D$29,E422&lt;E$31,D$30,E422&lt;E$32,D$31,E422&lt;E$33,D$32,E422&lt;E$34,D$33,E422&lt;E$35,D$34,E422&gt;=E$35,D$35)</f>
        <v/>
      </c>
      <c r="E422" s="38" t="n">
        <v>372</v>
      </c>
      <c r="F422" s="31">
        <f>E422/52</f>
        <v/>
      </c>
      <c r="G422" s="39">
        <f>D422/1000000*52</f>
        <v/>
      </c>
      <c r="H422" s="33">
        <f>G422/$P$4+($C$22/$P$4)</f>
        <v/>
      </c>
      <c r="I422" s="36">
        <f>_xlfn.IFS(K422&lt;K$24,0,K422&lt;K$26,I$24,K422&lt;K$28,I$26,K422&lt;K$30,I$28,K422&lt;K$32,I$30,K422&lt;K$34,I$32,K422&lt;K$36,I$34,K422&lt;K$38,I$36,K422&lt;K$40,I$38,K422&lt;K$42,I$40,K422&lt;K$44,I$42,K422&lt;K$46,I$44,K422&gt;=K$46,I$46)</f>
        <v/>
      </c>
      <c r="J422" s="37">
        <f>_xlfn.IFS(K422&lt;K$24,0,K422&lt;K$25,J$24,K422&lt;K$26,J$25,K422&lt;K$27,J$26,K422&lt;K$28,J$27,K422&lt;K$29,J$28,K422&lt;K$30,J$29,K422&lt;K$31,J$30,K422&lt;K$32,J$31,K422&lt;K$33,J$32,K422&lt;K$34,J$33,K422&lt;K$35,J$34,K422&lt;K$36,J$35,K422&lt;K$37,J$36,K422&lt;K$38,J$37,K422&lt;K$39,J$38,K422&lt;K$40,J$39,K422&lt;K$41,J$40,K422&lt;K$42,J$41,K422&lt;K$43,J$42,K422&lt;K$44,J$43,K422&lt;K$45,J$44,K422&lt;K$46,J$45,K422&lt;K$47,J$46,K422&gt;=K$47,J$47)</f>
        <v/>
      </c>
      <c r="K422" s="38" t="n">
        <v>372</v>
      </c>
      <c r="L422" s="31">
        <f>K422/52</f>
        <v/>
      </c>
      <c r="M422" s="39">
        <f>J422/1000000*52</f>
        <v/>
      </c>
      <c r="N422" s="33">
        <f>M422/$P$4+($I$22/$P$4)</f>
        <v/>
      </c>
      <c r="U422">
        <f>F421</f>
        <v/>
      </c>
      <c r="V422">
        <f>H421</f>
        <v/>
      </c>
      <c r="W422">
        <f>N421</f>
        <v/>
      </c>
    </row>
    <row r="423" ht="15.75" customHeight="1" s="40">
      <c r="C423" s="36">
        <f>_xlfn.IFS(E423&lt;E$24,0,E423&lt;E$26,C$24,E423&lt;E$28,C$26,E423&lt;E$30,C$28,E423&lt;E$32,C$30,E423&lt;E$34,C$32,E423&gt;=E$34,C$34)</f>
        <v/>
      </c>
      <c r="D423" s="37">
        <f>_xlfn.IFS(E423&lt;E$24,0,E423&lt;E$25,D$24,E423&lt;E$26,D$25,E423&lt;E$27,D$26,E423&lt;E$28,D$27,E423&lt;E$29,D$28,E423&lt;E$30,D$29,E423&lt;E$31,D$30,E423&lt;E$32,D$31,E423&lt;E$33,D$32,E423&lt;E$34,D$33,E423&lt;E$35,D$34,E423&gt;=E$35,D$35)</f>
        <v/>
      </c>
      <c r="E423" s="38" t="n">
        <v>373</v>
      </c>
      <c r="F423" s="31">
        <f>E423/52</f>
        <v/>
      </c>
      <c r="G423" s="39">
        <f>D423/1000000*52</f>
        <v/>
      </c>
      <c r="H423" s="33">
        <f>G423/$P$4+($C$22/$P$4)</f>
        <v/>
      </c>
      <c r="I423" s="36">
        <f>_xlfn.IFS(K423&lt;K$24,0,K423&lt;K$26,I$24,K423&lt;K$28,I$26,K423&lt;K$30,I$28,K423&lt;K$32,I$30,K423&lt;K$34,I$32,K423&lt;K$36,I$34,K423&lt;K$38,I$36,K423&lt;K$40,I$38,K423&lt;K$42,I$40,K423&lt;K$44,I$42,K423&lt;K$46,I$44,K423&gt;=K$46,I$46)</f>
        <v/>
      </c>
      <c r="J423" s="37">
        <f>_xlfn.IFS(K423&lt;K$24,0,K423&lt;K$25,J$24,K423&lt;K$26,J$25,K423&lt;K$27,J$26,K423&lt;K$28,J$27,K423&lt;K$29,J$28,K423&lt;K$30,J$29,K423&lt;K$31,J$30,K423&lt;K$32,J$31,K423&lt;K$33,J$32,K423&lt;K$34,J$33,K423&lt;K$35,J$34,K423&lt;K$36,J$35,K423&lt;K$37,J$36,K423&lt;K$38,J$37,K423&lt;K$39,J$38,K423&lt;K$40,J$39,K423&lt;K$41,J$40,K423&lt;K$42,J$41,K423&lt;K$43,J$42,K423&lt;K$44,J$43,K423&lt;K$45,J$44,K423&lt;K$46,J$45,K423&lt;K$47,J$46,K423&gt;=K$47,J$47)</f>
        <v/>
      </c>
      <c r="K423" s="38" t="n">
        <v>373</v>
      </c>
      <c r="L423" s="31">
        <f>K423/52</f>
        <v/>
      </c>
      <c r="M423" s="39">
        <f>J423/1000000*52</f>
        <v/>
      </c>
      <c r="N423" s="33">
        <f>M423/$P$4+($I$22/$P$4)</f>
        <v/>
      </c>
      <c r="U423">
        <f>F422</f>
        <v/>
      </c>
      <c r="V423">
        <f>H422</f>
        <v/>
      </c>
      <c r="W423">
        <f>N422</f>
        <v/>
      </c>
    </row>
    <row r="424" ht="15.75" customHeight="1" s="40">
      <c r="C424" s="36">
        <f>_xlfn.IFS(E424&lt;E$24,0,E424&lt;E$26,C$24,E424&lt;E$28,C$26,E424&lt;E$30,C$28,E424&lt;E$32,C$30,E424&lt;E$34,C$32,E424&gt;=E$34,C$34)</f>
        <v/>
      </c>
      <c r="D424" s="37">
        <f>_xlfn.IFS(E424&lt;E$24,0,E424&lt;E$25,D$24,E424&lt;E$26,D$25,E424&lt;E$27,D$26,E424&lt;E$28,D$27,E424&lt;E$29,D$28,E424&lt;E$30,D$29,E424&lt;E$31,D$30,E424&lt;E$32,D$31,E424&lt;E$33,D$32,E424&lt;E$34,D$33,E424&lt;E$35,D$34,E424&gt;=E$35,D$35)</f>
        <v/>
      </c>
      <c r="E424" s="38" t="n">
        <v>374</v>
      </c>
      <c r="F424" s="31">
        <f>E424/52</f>
        <v/>
      </c>
      <c r="G424" s="39">
        <f>D424/1000000*52</f>
        <v/>
      </c>
      <c r="H424" s="33">
        <f>G424/$P$4+($C$22/$P$4)</f>
        <v/>
      </c>
      <c r="I424" s="36">
        <f>_xlfn.IFS(K424&lt;K$24,0,K424&lt;K$26,I$24,K424&lt;K$28,I$26,K424&lt;K$30,I$28,K424&lt;K$32,I$30,K424&lt;K$34,I$32,K424&lt;K$36,I$34,K424&lt;K$38,I$36,K424&lt;K$40,I$38,K424&lt;K$42,I$40,K424&lt;K$44,I$42,K424&lt;K$46,I$44,K424&gt;=K$46,I$46)</f>
        <v/>
      </c>
      <c r="J424" s="37">
        <f>_xlfn.IFS(K424&lt;K$24,0,K424&lt;K$25,J$24,K424&lt;K$26,J$25,K424&lt;K$27,J$26,K424&lt;K$28,J$27,K424&lt;K$29,J$28,K424&lt;K$30,J$29,K424&lt;K$31,J$30,K424&lt;K$32,J$31,K424&lt;K$33,J$32,K424&lt;K$34,J$33,K424&lt;K$35,J$34,K424&lt;K$36,J$35,K424&lt;K$37,J$36,K424&lt;K$38,J$37,K424&lt;K$39,J$38,K424&lt;K$40,J$39,K424&lt;K$41,J$40,K424&lt;K$42,J$41,K424&lt;K$43,J$42,K424&lt;K$44,J$43,K424&lt;K$45,J$44,K424&lt;K$46,J$45,K424&lt;K$47,J$46,K424&gt;=K$47,J$47)</f>
        <v/>
      </c>
      <c r="K424" s="38" t="n">
        <v>374</v>
      </c>
      <c r="L424" s="31">
        <f>K424/52</f>
        <v/>
      </c>
      <c r="M424" s="39">
        <f>J424/1000000*52</f>
        <v/>
      </c>
      <c r="N424" s="33">
        <f>M424/$P$4+($I$22/$P$4)</f>
        <v/>
      </c>
      <c r="U424">
        <f>F423</f>
        <v/>
      </c>
      <c r="V424">
        <f>H423</f>
        <v/>
      </c>
      <c r="W424">
        <f>N423</f>
        <v/>
      </c>
    </row>
    <row r="425" ht="15.75" customHeight="1" s="40">
      <c r="C425" s="36">
        <f>_xlfn.IFS(E425&lt;E$24,0,E425&lt;E$26,C$24,E425&lt;E$28,C$26,E425&lt;E$30,C$28,E425&lt;E$32,C$30,E425&lt;E$34,C$32,E425&gt;=E$34,C$34)</f>
        <v/>
      </c>
      <c r="D425" s="37">
        <f>_xlfn.IFS(E425&lt;E$24,0,E425&lt;E$25,D$24,E425&lt;E$26,D$25,E425&lt;E$27,D$26,E425&lt;E$28,D$27,E425&lt;E$29,D$28,E425&lt;E$30,D$29,E425&lt;E$31,D$30,E425&lt;E$32,D$31,E425&lt;E$33,D$32,E425&lt;E$34,D$33,E425&lt;E$35,D$34,E425&gt;=E$35,D$35)</f>
        <v/>
      </c>
      <c r="E425" s="38" t="n">
        <v>375</v>
      </c>
      <c r="F425" s="31">
        <f>E425/52</f>
        <v/>
      </c>
      <c r="G425" s="39">
        <f>D425/1000000*52</f>
        <v/>
      </c>
      <c r="H425" s="33">
        <f>G425/$P$4+($C$22/$P$4)</f>
        <v/>
      </c>
      <c r="I425" s="36">
        <f>_xlfn.IFS(K425&lt;K$24,0,K425&lt;K$26,I$24,K425&lt;K$28,I$26,K425&lt;K$30,I$28,K425&lt;K$32,I$30,K425&lt;K$34,I$32,K425&lt;K$36,I$34,K425&lt;K$38,I$36,K425&lt;K$40,I$38,K425&lt;K$42,I$40,K425&lt;K$44,I$42,K425&lt;K$46,I$44,K425&gt;=K$46,I$46)</f>
        <v/>
      </c>
      <c r="J425" s="37">
        <f>_xlfn.IFS(K425&lt;K$24,0,K425&lt;K$25,J$24,K425&lt;K$26,J$25,K425&lt;K$27,J$26,K425&lt;K$28,J$27,K425&lt;K$29,J$28,K425&lt;K$30,J$29,K425&lt;K$31,J$30,K425&lt;K$32,J$31,K425&lt;K$33,J$32,K425&lt;K$34,J$33,K425&lt;K$35,J$34,K425&lt;K$36,J$35,K425&lt;K$37,J$36,K425&lt;K$38,J$37,K425&lt;K$39,J$38,K425&lt;K$40,J$39,K425&lt;K$41,J$40,K425&lt;K$42,J$41,K425&lt;K$43,J$42,K425&lt;K$44,J$43,K425&lt;K$45,J$44,K425&lt;K$46,J$45,K425&lt;K$47,J$46,K425&gt;=K$47,J$47)</f>
        <v/>
      </c>
      <c r="K425" s="38" t="n">
        <v>375</v>
      </c>
      <c r="L425" s="31">
        <f>K425/52</f>
        <v/>
      </c>
      <c r="M425" s="39">
        <f>J425/1000000*52</f>
        <v/>
      </c>
      <c r="N425" s="33">
        <f>M425/$P$4+($I$22/$P$4)</f>
        <v/>
      </c>
      <c r="U425">
        <f>F424</f>
        <v/>
      </c>
      <c r="V425">
        <f>H424</f>
        <v/>
      </c>
      <c r="W425">
        <f>N424</f>
        <v/>
      </c>
    </row>
    <row r="426" ht="15.75" customHeight="1" s="40">
      <c r="C426" s="36">
        <f>_xlfn.IFS(E426&lt;E$24,0,E426&lt;E$26,C$24,E426&lt;E$28,C$26,E426&lt;E$30,C$28,E426&lt;E$32,C$30,E426&lt;E$34,C$32,E426&gt;=E$34,C$34)</f>
        <v/>
      </c>
      <c r="D426" s="37">
        <f>_xlfn.IFS(E426&lt;E$24,0,E426&lt;E$25,D$24,E426&lt;E$26,D$25,E426&lt;E$27,D$26,E426&lt;E$28,D$27,E426&lt;E$29,D$28,E426&lt;E$30,D$29,E426&lt;E$31,D$30,E426&lt;E$32,D$31,E426&lt;E$33,D$32,E426&lt;E$34,D$33,E426&lt;E$35,D$34,E426&gt;=E$35,D$35)</f>
        <v/>
      </c>
      <c r="E426" s="38" t="n">
        <v>376</v>
      </c>
      <c r="F426" s="31">
        <f>E426/52</f>
        <v/>
      </c>
      <c r="G426" s="39">
        <f>D426/1000000*52</f>
        <v/>
      </c>
      <c r="H426" s="33">
        <f>G426/$P$4+($C$22/$P$4)</f>
        <v/>
      </c>
      <c r="I426" s="36">
        <f>_xlfn.IFS(K426&lt;K$24,0,K426&lt;K$26,I$24,K426&lt;K$28,I$26,K426&lt;K$30,I$28,K426&lt;K$32,I$30,K426&lt;K$34,I$32,K426&lt;K$36,I$34,K426&lt;K$38,I$36,K426&lt;K$40,I$38,K426&lt;K$42,I$40,K426&lt;K$44,I$42,K426&lt;K$46,I$44,K426&gt;=K$46,I$46)</f>
        <v/>
      </c>
      <c r="J426" s="37">
        <f>_xlfn.IFS(K426&lt;K$24,0,K426&lt;K$25,J$24,K426&lt;K$26,J$25,K426&lt;K$27,J$26,K426&lt;K$28,J$27,K426&lt;K$29,J$28,K426&lt;K$30,J$29,K426&lt;K$31,J$30,K426&lt;K$32,J$31,K426&lt;K$33,J$32,K426&lt;K$34,J$33,K426&lt;K$35,J$34,K426&lt;K$36,J$35,K426&lt;K$37,J$36,K426&lt;K$38,J$37,K426&lt;K$39,J$38,K426&lt;K$40,J$39,K426&lt;K$41,J$40,K426&lt;K$42,J$41,K426&lt;K$43,J$42,K426&lt;K$44,J$43,K426&lt;K$45,J$44,K426&lt;K$46,J$45,K426&lt;K$47,J$46,K426&gt;=K$47,J$47)</f>
        <v/>
      </c>
      <c r="K426" s="38" t="n">
        <v>376</v>
      </c>
      <c r="L426" s="31">
        <f>K426/52</f>
        <v/>
      </c>
      <c r="M426" s="39">
        <f>J426/1000000*52</f>
        <v/>
      </c>
      <c r="N426" s="33">
        <f>M426/$P$4+($I$22/$P$4)</f>
        <v/>
      </c>
      <c r="U426">
        <f>F425</f>
        <v/>
      </c>
      <c r="V426">
        <f>H425</f>
        <v/>
      </c>
      <c r="W426">
        <f>N425</f>
        <v/>
      </c>
    </row>
    <row r="427" ht="15.75" customHeight="1" s="40">
      <c r="C427" s="36">
        <f>_xlfn.IFS(E427&lt;E$24,0,E427&lt;E$26,C$24,E427&lt;E$28,C$26,E427&lt;E$30,C$28,E427&lt;E$32,C$30,E427&lt;E$34,C$32,E427&gt;=E$34,C$34)</f>
        <v/>
      </c>
      <c r="D427" s="37">
        <f>_xlfn.IFS(E427&lt;E$24,0,E427&lt;E$25,D$24,E427&lt;E$26,D$25,E427&lt;E$27,D$26,E427&lt;E$28,D$27,E427&lt;E$29,D$28,E427&lt;E$30,D$29,E427&lt;E$31,D$30,E427&lt;E$32,D$31,E427&lt;E$33,D$32,E427&lt;E$34,D$33,E427&lt;E$35,D$34,E427&gt;=E$35,D$35)</f>
        <v/>
      </c>
      <c r="E427" s="38" t="n">
        <v>377</v>
      </c>
      <c r="F427" s="31">
        <f>E427/52</f>
        <v/>
      </c>
      <c r="G427" s="39">
        <f>D427/1000000*52</f>
        <v/>
      </c>
      <c r="H427" s="33">
        <f>G427/$P$4+($C$22/$P$4)</f>
        <v/>
      </c>
      <c r="I427" s="36">
        <f>_xlfn.IFS(K427&lt;K$24,0,K427&lt;K$26,I$24,K427&lt;K$28,I$26,K427&lt;K$30,I$28,K427&lt;K$32,I$30,K427&lt;K$34,I$32,K427&lt;K$36,I$34,K427&lt;K$38,I$36,K427&lt;K$40,I$38,K427&lt;K$42,I$40,K427&lt;K$44,I$42,K427&lt;K$46,I$44,K427&gt;=K$46,I$46)</f>
        <v/>
      </c>
      <c r="J427" s="37">
        <f>_xlfn.IFS(K427&lt;K$24,0,K427&lt;K$25,J$24,K427&lt;K$26,J$25,K427&lt;K$27,J$26,K427&lt;K$28,J$27,K427&lt;K$29,J$28,K427&lt;K$30,J$29,K427&lt;K$31,J$30,K427&lt;K$32,J$31,K427&lt;K$33,J$32,K427&lt;K$34,J$33,K427&lt;K$35,J$34,K427&lt;K$36,J$35,K427&lt;K$37,J$36,K427&lt;K$38,J$37,K427&lt;K$39,J$38,K427&lt;K$40,J$39,K427&lt;K$41,J$40,K427&lt;K$42,J$41,K427&lt;K$43,J$42,K427&lt;K$44,J$43,K427&lt;K$45,J$44,K427&lt;K$46,J$45,K427&lt;K$47,J$46,K427&gt;=K$47,J$47)</f>
        <v/>
      </c>
      <c r="K427" s="38" t="n">
        <v>377</v>
      </c>
      <c r="L427" s="31">
        <f>K427/52</f>
        <v/>
      </c>
      <c r="M427" s="39">
        <f>J427/1000000*52</f>
        <v/>
      </c>
      <c r="N427" s="33">
        <f>M427/$P$4+($I$22/$P$4)</f>
        <v/>
      </c>
      <c r="U427">
        <f>F426</f>
        <v/>
      </c>
      <c r="V427">
        <f>H426</f>
        <v/>
      </c>
      <c r="W427">
        <f>N426</f>
        <v/>
      </c>
    </row>
    <row r="428" ht="15.75" customHeight="1" s="40">
      <c r="C428" s="36">
        <f>_xlfn.IFS(E428&lt;E$24,0,E428&lt;E$26,C$24,E428&lt;E$28,C$26,E428&lt;E$30,C$28,E428&lt;E$32,C$30,E428&lt;E$34,C$32,E428&gt;=E$34,C$34)</f>
        <v/>
      </c>
      <c r="D428" s="37">
        <f>_xlfn.IFS(E428&lt;E$24,0,E428&lt;E$25,D$24,E428&lt;E$26,D$25,E428&lt;E$27,D$26,E428&lt;E$28,D$27,E428&lt;E$29,D$28,E428&lt;E$30,D$29,E428&lt;E$31,D$30,E428&lt;E$32,D$31,E428&lt;E$33,D$32,E428&lt;E$34,D$33,E428&lt;E$35,D$34,E428&gt;=E$35,D$35)</f>
        <v/>
      </c>
      <c r="E428" s="38" t="n">
        <v>378</v>
      </c>
      <c r="F428" s="31">
        <f>E428/52</f>
        <v/>
      </c>
      <c r="G428" s="39">
        <f>D428/1000000*52</f>
        <v/>
      </c>
      <c r="H428" s="33">
        <f>G428/$P$4+($C$22/$P$4)</f>
        <v/>
      </c>
      <c r="I428" s="36">
        <f>_xlfn.IFS(K428&lt;K$24,0,K428&lt;K$26,I$24,K428&lt;K$28,I$26,K428&lt;K$30,I$28,K428&lt;K$32,I$30,K428&lt;K$34,I$32,K428&lt;K$36,I$34,K428&lt;K$38,I$36,K428&lt;K$40,I$38,K428&lt;K$42,I$40,K428&lt;K$44,I$42,K428&lt;K$46,I$44,K428&gt;=K$46,I$46)</f>
        <v/>
      </c>
      <c r="J428" s="37">
        <f>_xlfn.IFS(K428&lt;K$24,0,K428&lt;K$25,J$24,K428&lt;K$26,J$25,K428&lt;K$27,J$26,K428&lt;K$28,J$27,K428&lt;K$29,J$28,K428&lt;K$30,J$29,K428&lt;K$31,J$30,K428&lt;K$32,J$31,K428&lt;K$33,J$32,K428&lt;K$34,J$33,K428&lt;K$35,J$34,K428&lt;K$36,J$35,K428&lt;K$37,J$36,K428&lt;K$38,J$37,K428&lt;K$39,J$38,K428&lt;K$40,J$39,K428&lt;K$41,J$40,K428&lt;K$42,J$41,K428&lt;K$43,J$42,K428&lt;K$44,J$43,K428&lt;K$45,J$44,K428&lt;K$46,J$45,K428&lt;K$47,J$46,K428&gt;=K$47,J$47)</f>
        <v/>
      </c>
      <c r="K428" s="38" t="n">
        <v>378</v>
      </c>
      <c r="L428" s="31">
        <f>K428/52</f>
        <v/>
      </c>
      <c r="M428" s="39">
        <f>J428/1000000*52</f>
        <v/>
      </c>
      <c r="N428" s="33">
        <f>M428/$P$4+($I$22/$P$4)</f>
        <v/>
      </c>
      <c r="U428">
        <f>F427</f>
        <v/>
      </c>
      <c r="V428">
        <f>H427</f>
        <v/>
      </c>
      <c r="W428">
        <f>N427</f>
        <v/>
      </c>
    </row>
    <row r="429" ht="15.75" customHeight="1" s="40">
      <c r="C429" s="36">
        <f>_xlfn.IFS(E429&lt;E$24,0,E429&lt;E$26,C$24,E429&lt;E$28,C$26,E429&lt;E$30,C$28,E429&lt;E$32,C$30,E429&lt;E$34,C$32,E429&gt;=E$34,C$34)</f>
        <v/>
      </c>
      <c r="D429" s="37">
        <f>_xlfn.IFS(E429&lt;E$24,0,E429&lt;E$25,D$24,E429&lt;E$26,D$25,E429&lt;E$27,D$26,E429&lt;E$28,D$27,E429&lt;E$29,D$28,E429&lt;E$30,D$29,E429&lt;E$31,D$30,E429&lt;E$32,D$31,E429&lt;E$33,D$32,E429&lt;E$34,D$33,E429&lt;E$35,D$34,E429&gt;=E$35,D$35)</f>
        <v/>
      </c>
      <c r="E429" s="38" t="n">
        <v>379</v>
      </c>
      <c r="F429" s="31">
        <f>E429/52</f>
        <v/>
      </c>
      <c r="G429" s="39">
        <f>D429/1000000*52</f>
        <v/>
      </c>
      <c r="H429" s="33">
        <f>G429/$P$4+($C$22/$P$4)</f>
        <v/>
      </c>
      <c r="I429" s="36">
        <f>_xlfn.IFS(K429&lt;K$24,0,K429&lt;K$26,I$24,K429&lt;K$28,I$26,K429&lt;K$30,I$28,K429&lt;K$32,I$30,K429&lt;K$34,I$32,K429&lt;K$36,I$34,K429&lt;K$38,I$36,K429&lt;K$40,I$38,K429&lt;K$42,I$40,K429&lt;K$44,I$42,K429&lt;K$46,I$44,K429&gt;=K$46,I$46)</f>
        <v/>
      </c>
      <c r="J429" s="37">
        <f>_xlfn.IFS(K429&lt;K$24,0,K429&lt;K$25,J$24,K429&lt;K$26,J$25,K429&lt;K$27,J$26,K429&lt;K$28,J$27,K429&lt;K$29,J$28,K429&lt;K$30,J$29,K429&lt;K$31,J$30,K429&lt;K$32,J$31,K429&lt;K$33,J$32,K429&lt;K$34,J$33,K429&lt;K$35,J$34,K429&lt;K$36,J$35,K429&lt;K$37,J$36,K429&lt;K$38,J$37,K429&lt;K$39,J$38,K429&lt;K$40,J$39,K429&lt;K$41,J$40,K429&lt;K$42,J$41,K429&lt;K$43,J$42,K429&lt;K$44,J$43,K429&lt;K$45,J$44,K429&lt;K$46,J$45,K429&lt;K$47,J$46,K429&gt;=K$47,J$47)</f>
        <v/>
      </c>
      <c r="K429" s="38" t="n">
        <v>379</v>
      </c>
      <c r="L429" s="31">
        <f>K429/52</f>
        <v/>
      </c>
      <c r="M429" s="39">
        <f>J429/1000000*52</f>
        <v/>
      </c>
      <c r="N429" s="33">
        <f>M429/$P$4+($I$22/$P$4)</f>
        <v/>
      </c>
      <c r="U429">
        <f>F428</f>
        <v/>
      </c>
      <c r="V429">
        <f>H428</f>
        <v/>
      </c>
      <c r="W429">
        <f>N428</f>
        <v/>
      </c>
    </row>
    <row r="430" ht="15.75" customHeight="1" s="40">
      <c r="C430" s="36">
        <f>_xlfn.IFS(E430&lt;E$24,0,E430&lt;E$26,C$24,E430&lt;E$28,C$26,E430&lt;E$30,C$28,E430&lt;E$32,C$30,E430&lt;E$34,C$32,E430&gt;=E$34,C$34)</f>
        <v/>
      </c>
      <c r="D430" s="37">
        <f>_xlfn.IFS(E430&lt;E$24,0,E430&lt;E$25,D$24,E430&lt;E$26,D$25,E430&lt;E$27,D$26,E430&lt;E$28,D$27,E430&lt;E$29,D$28,E430&lt;E$30,D$29,E430&lt;E$31,D$30,E430&lt;E$32,D$31,E430&lt;E$33,D$32,E430&lt;E$34,D$33,E430&lt;E$35,D$34,E430&gt;=E$35,D$35)</f>
        <v/>
      </c>
      <c r="E430" s="38" t="n">
        <v>380</v>
      </c>
      <c r="F430" s="31">
        <f>E430/52</f>
        <v/>
      </c>
      <c r="G430" s="39">
        <f>D430/1000000*52</f>
        <v/>
      </c>
      <c r="H430" s="33">
        <f>G430/$P$4+($C$22/$P$4)</f>
        <v/>
      </c>
      <c r="I430" s="36">
        <f>_xlfn.IFS(K430&lt;K$24,0,K430&lt;K$26,I$24,K430&lt;K$28,I$26,K430&lt;K$30,I$28,K430&lt;K$32,I$30,K430&lt;K$34,I$32,K430&lt;K$36,I$34,K430&lt;K$38,I$36,K430&lt;K$40,I$38,K430&lt;K$42,I$40,K430&lt;K$44,I$42,K430&lt;K$46,I$44,K430&gt;=K$46,I$46)</f>
        <v/>
      </c>
      <c r="J430" s="37">
        <f>_xlfn.IFS(K430&lt;K$24,0,K430&lt;K$25,J$24,K430&lt;K$26,J$25,K430&lt;K$27,J$26,K430&lt;K$28,J$27,K430&lt;K$29,J$28,K430&lt;K$30,J$29,K430&lt;K$31,J$30,K430&lt;K$32,J$31,K430&lt;K$33,J$32,K430&lt;K$34,J$33,K430&lt;K$35,J$34,K430&lt;K$36,J$35,K430&lt;K$37,J$36,K430&lt;K$38,J$37,K430&lt;K$39,J$38,K430&lt;K$40,J$39,K430&lt;K$41,J$40,K430&lt;K$42,J$41,K430&lt;K$43,J$42,K430&lt;K$44,J$43,K430&lt;K$45,J$44,K430&lt;K$46,J$45,K430&lt;K$47,J$46,K430&gt;=K$47,J$47)</f>
        <v/>
      </c>
      <c r="K430" s="38" t="n">
        <v>380</v>
      </c>
      <c r="L430" s="31">
        <f>K430/52</f>
        <v/>
      </c>
      <c r="M430" s="39">
        <f>J430/1000000*52</f>
        <v/>
      </c>
      <c r="N430" s="33">
        <f>M430/$P$4+($I$22/$P$4)</f>
        <v/>
      </c>
      <c r="U430">
        <f>F429</f>
        <v/>
      </c>
      <c r="V430">
        <f>H429</f>
        <v/>
      </c>
      <c r="W430">
        <f>N429</f>
        <v/>
      </c>
    </row>
    <row r="431" ht="15.75" customHeight="1" s="40">
      <c r="C431" s="36">
        <f>_xlfn.IFS(E431&lt;E$24,0,E431&lt;E$26,C$24,E431&lt;E$28,C$26,E431&lt;E$30,C$28,E431&lt;E$32,C$30,E431&lt;E$34,C$32,E431&gt;=E$34,C$34)</f>
        <v/>
      </c>
      <c r="D431" s="37">
        <f>_xlfn.IFS(E431&lt;E$24,0,E431&lt;E$25,D$24,E431&lt;E$26,D$25,E431&lt;E$27,D$26,E431&lt;E$28,D$27,E431&lt;E$29,D$28,E431&lt;E$30,D$29,E431&lt;E$31,D$30,E431&lt;E$32,D$31,E431&lt;E$33,D$32,E431&lt;E$34,D$33,E431&lt;E$35,D$34,E431&gt;=E$35,D$35)</f>
        <v/>
      </c>
      <c r="E431" s="38" t="n">
        <v>381</v>
      </c>
      <c r="F431" s="31">
        <f>E431/52</f>
        <v/>
      </c>
      <c r="G431" s="39">
        <f>D431/1000000*52</f>
        <v/>
      </c>
      <c r="H431" s="33">
        <f>G431/$P$4+($C$22/$P$4)</f>
        <v/>
      </c>
      <c r="I431" s="36">
        <f>_xlfn.IFS(K431&lt;K$24,0,K431&lt;K$26,I$24,K431&lt;K$28,I$26,K431&lt;K$30,I$28,K431&lt;K$32,I$30,K431&lt;K$34,I$32,K431&lt;K$36,I$34,K431&lt;K$38,I$36,K431&lt;K$40,I$38,K431&lt;K$42,I$40,K431&lt;K$44,I$42,K431&lt;K$46,I$44,K431&gt;=K$46,I$46)</f>
        <v/>
      </c>
      <c r="J431" s="37">
        <f>_xlfn.IFS(K431&lt;K$24,0,K431&lt;K$25,J$24,K431&lt;K$26,J$25,K431&lt;K$27,J$26,K431&lt;K$28,J$27,K431&lt;K$29,J$28,K431&lt;K$30,J$29,K431&lt;K$31,J$30,K431&lt;K$32,J$31,K431&lt;K$33,J$32,K431&lt;K$34,J$33,K431&lt;K$35,J$34,K431&lt;K$36,J$35,K431&lt;K$37,J$36,K431&lt;K$38,J$37,K431&lt;K$39,J$38,K431&lt;K$40,J$39,K431&lt;K$41,J$40,K431&lt;K$42,J$41,K431&lt;K$43,J$42,K431&lt;K$44,J$43,K431&lt;K$45,J$44,K431&lt;K$46,J$45,K431&lt;K$47,J$46,K431&gt;=K$47,J$47)</f>
        <v/>
      </c>
      <c r="K431" s="38" t="n">
        <v>381</v>
      </c>
      <c r="L431" s="31">
        <f>K431/52</f>
        <v/>
      </c>
      <c r="M431" s="39">
        <f>J431/1000000*52</f>
        <v/>
      </c>
      <c r="N431" s="33">
        <f>M431/$P$4+($I$22/$P$4)</f>
        <v/>
      </c>
      <c r="U431">
        <f>F430</f>
        <v/>
      </c>
      <c r="V431">
        <f>H430</f>
        <v/>
      </c>
      <c r="W431">
        <f>N430</f>
        <v/>
      </c>
    </row>
    <row r="432" ht="15.75" customHeight="1" s="40">
      <c r="C432" s="36">
        <f>_xlfn.IFS(E432&lt;E$24,0,E432&lt;E$26,C$24,E432&lt;E$28,C$26,E432&lt;E$30,C$28,E432&lt;E$32,C$30,E432&lt;E$34,C$32,E432&gt;=E$34,C$34)</f>
        <v/>
      </c>
      <c r="D432" s="37">
        <f>_xlfn.IFS(E432&lt;E$24,0,E432&lt;E$25,D$24,E432&lt;E$26,D$25,E432&lt;E$27,D$26,E432&lt;E$28,D$27,E432&lt;E$29,D$28,E432&lt;E$30,D$29,E432&lt;E$31,D$30,E432&lt;E$32,D$31,E432&lt;E$33,D$32,E432&lt;E$34,D$33,E432&lt;E$35,D$34,E432&gt;=E$35,D$35)</f>
        <v/>
      </c>
      <c r="E432" s="38" t="n">
        <v>382</v>
      </c>
      <c r="F432" s="31">
        <f>E432/52</f>
        <v/>
      </c>
      <c r="G432" s="39">
        <f>D432/1000000*52</f>
        <v/>
      </c>
      <c r="H432" s="33">
        <f>G432/$P$4+($C$22/$P$4)</f>
        <v/>
      </c>
      <c r="I432" s="36">
        <f>_xlfn.IFS(K432&lt;K$24,0,K432&lt;K$26,I$24,K432&lt;K$28,I$26,K432&lt;K$30,I$28,K432&lt;K$32,I$30,K432&lt;K$34,I$32,K432&lt;K$36,I$34,K432&lt;K$38,I$36,K432&lt;K$40,I$38,K432&lt;K$42,I$40,K432&lt;K$44,I$42,K432&lt;K$46,I$44,K432&gt;=K$46,I$46)</f>
        <v/>
      </c>
      <c r="J432" s="37">
        <f>_xlfn.IFS(K432&lt;K$24,0,K432&lt;K$25,J$24,K432&lt;K$26,J$25,K432&lt;K$27,J$26,K432&lt;K$28,J$27,K432&lt;K$29,J$28,K432&lt;K$30,J$29,K432&lt;K$31,J$30,K432&lt;K$32,J$31,K432&lt;K$33,J$32,K432&lt;K$34,J$33,K432&lt;K$35,J$34,K432&lt;K$36,J$35,K432&lt;K$37,J$36,K432&lt;K$38,J$37,K432&lt;K$39,J$38,K432&lt;K$40,J$39,K432&lt;K$41,J$40,K432&lt;K$42,J$41,K432&lt;K$43,J$42,K432&lt;K$44,J$43,K432&lt;K$45,J$44,K432&lt;K$46,J$45,K432&lt;K$47,J$46,K432&gt;=K$47,J$47)</f>
        <v/>
      </c>
      <c r="K432" s="38" t="n">
        <v>382</v>
      </c>
      <c r="L432" s="31">
        <f>K432/52</f>
        <v/>
      </c>
      <c r="M432" s="39">
        <f>J432/1000000*52</f>
        <v/>
      </c>
      <c r="N432" s="33">
        <f>M432/$P$4+($I$22/$P$4)</f>
        <v/>
      </c>
      <c r="U432">
        <f>F431</f>
        <v/>
      </c>
      <c r="V432">
        <f>H431</f>
        <v/>
      </c>
      <c r="W432">
        <f>N431</f>
        <v/>
      </c>
    </row>
    <row r="433" ht="15.75" customHeight="1" s="40">
      <c r="C433" s="36">
        <f>_xlfn.IFS(E433&lt;E$24,0,E433&lt;E$26,C$24,E433&lt;E$28,C$26,E433&lt;E$30,C$28,E433&lt;E$32,C$30,E433&lt;E$34,C$32,E433&gt;=E$34,C$34)</f>
        <v/>
      </c>
      <c r="D433" s="37">
        <f>_xlfn.IFS(E433&lt;E$24,0,E433&lt;E$25,D$24,E433&lt;E$26,D$25,E433&lt;E$27,D$26,E433&lt;E$28,D$27,E433&lt;E$29,D$28,E433&lt;E$30,D$29,E433&lt;E$31,D$30,E433&lt;E$32,D$31,E433&lt;E$33,D$32,E433&lt;E$34,D$33,E433&lt;E$35,D$34,E433&gt;=E$35,D$35)</f>
        <v/>
      </c>
      <c r="E433" s="38" t="n">
        <v>383</v>
      </c>
      <c r="F433" s="31">
        <f>E433/52</f>
        <v/>
      </c>
      <c r="G433" s="39">
        <f>D433/1000000*52</f>
        <v/>
      </c>
      <c r="H433" s="33">
        <f>G433/$P$4+($C$22/$P$4)</f>
        <v/>
      </c>
      <c r="I433" s="36">
        <f>_xlfn.IFS(K433&lt;K$24,0,K433&lt;K$26,I$24,K433&lt;K$28,I$26,K433&lt;K$30,I$28,K433&lt;K$32,I$30,K433&lt;K$34,I$32,K433&lt;K$36,I$34,K433&lt;K$38,I$36,K433&lt;K$40,I$38,K433&lt;K$42,I$40,K433&lt;K$44,I$42,K433&lt;K$46,I$44,K433&gt;=K$46,I$46)</f>
        <v/>
      </c>
      <c r="J433" s="37">
        <f>_xlfn.IFS(K433&lt;K$24,0,K433&lt;K$25,J$24,K433&lt;K$26,J$25,K433&lt;K$27,J$26,K433&lt;K$28,J$27,K433&lt;K$29,J$28,K433&lt;K$30,J$29,K433&lt;K$31,J$30,K433&lt;K$32,J$31,K433&lt;K$33,J$32,K433&lt;K$34,J$33,K433&lt;K$35,J$34,K433&lt;K$36,J$35,K433&lt;K$37,J$36,K433&lt;K$38,J$37,K433&lt;K$39,J$38,K433&lt;K$40,J$39,K433&lt;K$41,J$40,K433&lt;K$42,J$41,K433&lt;K$43,J$42,K433&lt;K$44,J$43,K433&lt;K$45,J$44,K433&lt;K$46,J$45,K433&lt;K$47,J$46,K433&gt;=K$47,J$47)</f>
        <v/>
      </c>
      <c r="K433" s="38" t="n">
        <v>383</v>
      </c>
      <c r="L433" s="31">
        <f>K433/52</f>
        <v/>
      </c>
      <c r="M433" s="39">
        <f>J433/1000000*52</f>
        <v/>
      </c>
      <c r="N433" s="33">
        <f>M433/$P$4+($I$22/$P$4)</f>
        <v/>
      </c>
      <c r="U433">
        <f>F432</f>
        <v/>
      </c>
      <c r="V433">
        <f>H432</f>
        <v/>
      </c>
      <c r="W433">
        <f>N432</f>
        <v/>
      </c>
    </row>
    <row r="434" ht="15.75" customHeight="1" s="40">
      <c r="C434" s="36">
        <f>_xlfn.IFS(E434&lt;E$24,0,E434&lt;E$26,C$24,E434&lt;E$28,C$26,E434&lt;E$30,C$28,E434&lt;E$32,C$30,E434&lt;E$34,C$32,E434&gt;=E$34,C$34)</f>
        <v/>
      </c>
      <c r="D434" s="37">
        <f>_xlfn.IFS(E434&lt;E$24,0,E434&lt;E$25,D$24,E434&lt;E$26,D$25,E434&lt;E$27,D$26,E434&lt;E$28,D$27,E434&lt;E$29,D$28,E434&lt;E$30,D$29,E434&lt;E$31,D$30,E434&lt;E$32,D$31,E434&lt;E$33,D$32,E434&lt;E$34,D$33,E434&lt;E$35,D$34,E434&gt;=E$35,D$35)</f>
        <v/>
      </c>
      <c r="E434" s="38" t="n">
        <v>384</v>
      </c>
      <c r="F434" s="31">
        <f>E434/52</f>
        <v/>
      </c>
      <c r="G434" s="39">
        <f>D434/1000000*52</f>
        <v/>
      </c>
      <c r="H434" s="33">
        <f>G434/$P$4+($C$22/$P$4)</f>
        <v/>
      </c>
      <c r="I434" s="36">
        <f>_xlfn.IFS(K434&lt;K$24,0,K434&lt;K$26,I$24,K434&lt;K$28,I$26,K434&lt;K$30,I$28,K434&lt;K$32,I$30,K434&lt;K$34,I$32,K434&lt;K$36,I$34,K434&lt;K$38,I$36,K434&lt;K$40,I$38,K434&lt;K$42,I$40,K434&lt;K$44,I$42,K434&lt;K$46,I$44,K434&gt;=K$46,I$46)</f>
        <v/>
      </c>
      <c r="J434" s="37">
        <f>_xlfn.IFS(K434&lt;K$24,0,K434&lt;K$25,J$24,K434&lt;K$26,J$25,K434&lt;K$27,J$26,K434&lt;K$28,J$27,K434&lt;K$29,J$28,K434&lt;K$30,J$29,K434&lt;K$31,J$30,K434&lt;K$32,J$31,K434&lt;K$33,J$32,K434&lt;K$34,J$33,K434&lt;K$35,J$34,K434&lt;K$36,J$35,K434&lt;K$37,J$36,K434&lt;K$38,J$37,K434&lt;K$39,J$38,K434&lt;K$40,J$39,K434&lt;K$41,J$40,K434&lt;K$42,J$41,K434&lt;K$43,J$42,K434&lt;K$44,J$43,K434&lt;K$45,J$44,K434&lt;K$46,J$45,K434&lt;K$47,J$46,K434&gt;=K$47,J$47)</f>
        <v/>
      </c>
      <c r="K434" s="38" t="n">
        <v>384</v>
      </c>
      <c r="L434" s="31">
        <f>K434/52</f>
        <v/>
      </c>
      <c r="M434" s="39">
        <f>J434/1000000*52</f>
        <v/>
      </c>
      <c r="N434" s="33">
        <f>M434/$P$4+($I$22/$P$4)</f>
        <v/>
      </c>
      <c r="U434">
        <f>F433</f>
        <v/>
      </c>
      <c r="V434">
        <f>H433</f>
        <v/>
      </c>
      <c r="W434">
        <f>N433</f>
        <v/>
      </c>
    </row>
    <row r="435" ht="15.75" customHeight="1" s="40">
      <c r="C435" s="36">
        <f>_xlfn.IFS(E435&lt;E$24,0,E435&lt;E$26,C$24,E435&lt;E$28,C$26,E435&lt;E$30,C$28,E435&lt;E$32,C$30,E435&lt;E$34,C$32,E435&gt;=E$34,C$34)</f>
        <v/>
      </c>
      <c r="D435" s="37">
        <f>_xlfn.IFS(E435&lt;E$24,0,E435&lt;E$25,D$24,E435&lt;E$26,D$25,E435&lt;E$27,D$26,E435&lt;E$28,D$27,E435&lt;E$29,D$28,E435&lt;E$30,D$29,E435&lt;E$31,D$30,E435&lt;E$32,D$31,E435&lt;E$33,D$32,E435&lt;E$34,D$33,E435&lt;E$35,D$34,E435&gt;=E$35,D$35)</f>
        <v/>
      </c>
      <c r="E435" s="38" t="n">
        <v>385</v>
      </c>
      <c r="F435" s="31">
        <f>E435/52</f>
        <v/>
      </c>
      <c r="G435" s="39">
        <f>D435/1000000*52</f>
        <v/>
      </c>
      <c r="H435" s="33">
        <f>G435/$P$4+($C$22/$P$4)</f>
        <v/>
      </c>
      <c r="I435" s="36">
        <f>_xlfn.IFS(K435&lt;K$24,0,K435&lt;K$26,I$24,K435&lt;K$28,I$26,K435&lt;K$30,I$28,K435&lt;K$32,I$30,K435&lt;K$34,I$32,K435&lt;K$36,I$34,K435&lt;K$38,I$36,K435&lt;K$40,I$38,K435&lt;K$42,I$40,K435&lt;K$44,I$42,K435&lt;K$46,I$44,K435&gt;=K$46,I$46)</f>
        <v/>
      </c>
      <c r="J435" s="37">
        <f>_xlfn.IFS(K435&lt;K$24,0,K435&lt;K$25,J$24,K435&lt;K$26,J$25,K435&lt;K$27,J$26,K435&lt;K$28,J$27,K435&lt;K$29,J$28,K435&lt;K$30,J$29,K435&lt;K$31,J$30,K435&lt;K$32,J$31,K435&lt;K$33,J$32,K435&lt;K$34,J$33,K435&lt;K$35,J$34,K435&lt;K$36,J$35,K435&lt;K$37,J$36,K435&lt;K$38,J$37,K435&lt;K$39,J$38,K435&lt;K$40,J$39,K435&lt;K$41,J$40,K435&lt;K$42,J$41,K435&lt;K$43,J$42,K435&lt;K$44,J$43,K435&lt;K$45,J$44,K435&lt;K$46,J$45,K435&lt;K$47,J$46,K435&gt;=K$47,J$47)</f>
        <v/>
      </c>
      <c r="K435" s="38" t="n">
        <v>385</v>
      </c>
      <c r="L435" s="31">
        <f>K435/52</f>
        <v/>
      </c>
      <c r="M435" s="39">
        <f>J435/1000000*52</f>
        <v/>
      </c>
      <c r="N435" s="33">
        <f>M435/$P$4+($I$22/$P$4)</f>
        <v/>
      </c>
      <c r="U435">
        <f>F434</f>
        <v/>
      </c>
      <c r="V435">
        <f>H434</f>
        <v/>
      </c>
      <c r="W435">
        <f>N434</f>
        <v/>
      </c>
    </row>
    <row r="436" ht="15.75" customHeight="1" s="40">
      <c r="C436" s="36">
        <f>_xlfn.IFS(E436&lt;E$24,0,E436&lt;E$26,C$24,E436&lt;E$28,C$26,E436&lt;E$30,C$28,E436&lt;E$32,C$30,E436&lt;E$34,C$32,E436&gt;=E$34,C$34)</f>
        <v/>
      </c>
      <c r="D436" s="37">
        <f>_xlfn.IFS(E436&lt;E$24,0,E436&lt;E$25,D$24,E436&lt;E$26,D$25,E436&lt;E$27,D$26,E436&lt;E$28,D$27,E436&lt;E$29,D$28,E436&lt;E$30,D$29,E436&lt;E$31,D$30,E436&lt;E$32,D$31,E436&lt;E$33,D$32,E436&lt;E$34,D$33,E436&lt;E$35,D$34,E436&gt;=E$35,D$35)</f>
        <v/>
      </c>
      <c r="E436" s="38" t="n">
        <v>386</v>
      </c>
      <c r="F436" s="31">
        <f>E436/52</f>
        <v/>
      </c>
      <c r="G436" s="39">
        <f>D436/1000000*52</f>
        <v/>
      </c>
      <c r="H436" s="33">
        <f>G436/$P$4+($C$22/$P$4)</f>
        <v/>
      </c>
      <c r="I436" s="36">
        <f>_xlfn.IFS(K436&lt;K$24,0,K436&lt;K$26,I$24,K436&lt;K$28,I$26,K436&lt;K$30,I$28,K436&lt;K$32,I$30,K436&lt;K$34,I$32,K436&lt;K$36,I$34,K436&lt;K$38,I$36,K436&lt;K$40,I$38,K436&lt;K$42,I$40,K436&lt;K$44,I$42,K436&lt;K$46,I$44,K436&gt;=K$46,I$46)</f>
        <v/>
      </c>
      <c r="J436" s="37">
        <f>_xlfn.IFS(K436&lt;K$24,0,K436&lt;K$25,J$24,K436&lt;K$26,J$25,K436&lt;K$27,J$26,K436&lt;K$28,J$27,K436&lt;K$29,J$28,K436&lt;K$30,J$29,K436&lt;K$31,J$30,K436&lt;K$32,J$31,K436&lt;K$33,J$32,K436&lt;K$34,J$33,K436&lt;K$35,J$34,K436&lt;K$36,J$35,K436&lt;K$37,J$36,K436&lt;K$38,J$37,K436&lt;K$39,J$38,K436&lt;K$40,J$39,K436&lt;K$41,J$40,K436&lt;K$42,J$41,K436&lt;K$43,J$42,K436&lt;K$44,J$43,K436&lt;K$45,J$44,K436&lt;K$46,J$45,K436&lt;K$47,J$46,K436&gt;=K$47,J$47)</f>
        <v/>
      </c>
      <c r="K436" s="38" t="n">
        <v>386</v>
      </c>
      <c r="L436" s="31">
        <f>K436/52</f>
        <v/>
      </c>
      <c r="M436" s="39">
        <f>J436/1000000*52</f>
        <v/>
      </c>
      <c r="N436" s="33">
        <f>M436/$P$4+($I$22/$P$4)</f>
        <v/>
      </c>
      <c r="U436">
        <f>F435</f>
        <v/>
      </c>
      <c r="V436">
        <f>H435</f>
        <v/>
      </c>
      <c r="W436">
        <f>N435</f>
        <v/>
      </c>
    </row>
    <row r="437" ht="15.75" customHeight="1" s="40">
      <c r="C437" s="36">
        <f>_xlfn.IFS(E437&lt;E$24,0,E437&lt;E$26,C$24,E437&lt;E$28,C$26,E437&lt;E$30,C$28,E437&lt;E$32,C$30,E437&lt;E$34,C$32,E437&gt;=E$34,C$34)</f>
        <v/>
      </c>
      <c r="D437" s="37">
        <f>_xlfn.IFS(E437&lt;E$24,0,E437&lt;E$25,D$24,E437&lt;E$26,D$25,E437&lt;E$27,D$26,E437&lt;E$28,D$27,E437&lt;E$29,D$28,E437&lt;E$30,D$29,E437&lt;E$31,D$30,E437&lt;E$32,D$31,E437&lt;E$33,D$32,E437&lt;E$34,D$33,E437&lt;E$35,D$34,E437&gt;=E$35,D$35)</f>
        <v/>
      </c>
      <c r="E437" s="38" t="n">
        <v>387</v>
      </c>
      <c r="F437" s="31">
        <f>E437/52</f>
        <v/>
      </c>
      <c r="G437" s="39">
        <f>D437/1000000*52</f>
        <v/>
      </c>
      <c r="H437" s="33">
        <f>G437/$P$4+($C$22/$P$4)</f>
        <v/>
      </c>
      <c r="I437" s="36">
        <f>_xlfn.IFS(K437&lt;K$24,0,K437&lt;K$26,I$24,K437&lt;K$28,I$26,K437&lt;K$30,I$28,K437&lt;K$32,I$30,K437&lt;K$34,I$32,K437&lt;K$36,I$34,K437&lt;K$38,I$36,K437&lt;K$40,I$38,K437&lt;K$42,I$40,K437&lt;K$44,I$42,K437&lt;K$46,I$44,K437&gt;=K$46,I$46)</f>
        <v/>
      </c>
      <c r="J437" s="37">
        <f>_xlfn.IFS(K437&lt;K$24,0,K437&lt;K$25,J$24,K437&lt;K$26,J$25,K437&lt;K$27,J$26,K437&lt;K$28,J$27,K437&lt;K$29,J$28,K437&lt;K$30,J$29,K437&lt;K$31,J$30,K437&lt;K$32,J$31,K437&lt;K$33,J$32,K437&lt;K$34,J$33,K437&lt;K$35,J$34,K437&lt;K$36,J$35,K437&lt;K$37,J$36,K437&lt;K$38,J$37,K437&lt;K$39,J$38,K437&lt;K$40,J$39,K437&lt;K$41,J$40,K437&lt;K$42,J$41,K437&lt;K$43,J$42,K437&lt;K$44,J$43,K437&lt;K$45,J$44,K437&lt;K$46,J$45,K437&lt;K$47,J$46,K437&gt;=K$47,J$47)</f>
        <v/>
      </c>
      <c r="K437" s="38" t="n">
        <v>387</v>
      </c>
      <c r="L437" s="31">
        <f>K437/52</f>
        <v/>
      </c>
      <c r="M437" s="39">
        <f>J437/1000000*52</f>
        <v/>
      </c>
      <c r="N437" s="33">
        <f>M437/$P$4+($I$22/$P$4)</f>
        <v/>
      </c>
      <c r="U437">
        <f>F436</f>
        <v/>
      </c>
      <c r="V437">
        <f>H436</f>
        <v/>
      </c>
      <c r="W437">
        <f>N436</f>
        <v/>
      </c>
    </row>
    <row r="438" ht="15.75" customHeight="1" s="40">
      <c r="C438" s="36">
        <f>_xlfn.IFS(E438&lt;E$24,0,E438&lt;E$26,C$24,E438&lt;E$28,C$26,E438&lt;E$30,C$28,E438&lt;E$32,C$30,E438&lt;E$34,C$32,E438&gt;=E$34,C$34)</f>
        <v/>
      </c>
      <c r="D438" s="37">
        <f>_xlfn.IFS(E438&lt;E$24,0,E438&lt;E$25,D$24,E438&lt;E$26,D$25,E438&lt;E$27,D$26,E438&lt;E$28,D$27,E438&lt;E$29,D$28,E438&lt;E$30,D$29,E438&lt;E$31,D$30,E438&lt;E$32,D$31,E438&lt;E$33,D$32,E438&lt;E$34,D$33,E438&lt;E$35,D$34,E438&gt;=E$35,D$35)</f>
        <v/>
      </c>
      <c r="E438" s="38" t="n">
        <v>388</v>
      </c>
      <c r="F438" s="31">
        <f>E438/52</f>
        <v/>
      </c>
      <c r="G438" s="39">
        <f>D438/1000000*52</f>
        <v/>
      </c>
      <c r="H438" s="33">
        <f>G438/$P$4+($C$22/$P$4)</f>
        <v/>
      </c>
      <c r="I438" s="36">
        <f>_xlfn.IFS(K438&lt;K$24,0,K438&lt;K$26,I$24,K438&lt;K$28,I$26,K438&lt;K$30,I$28,K438&lt;K$32,I$30,K438&lt;K$34,I$32,K438&lt;K$36,I$34,K438&lt;K$38,I$36,K438&lt;K$40,I$38,K438&lt;K$42,I$40,K438&lt;K$44,I$42,K438&lt;K$46,I$44,K438&gt;=K$46,I$46)</f>
        <v/>
      </c>
      <c r="J438" s="37">
        <f>_xlfn.IFS(K438&lt;K$24,0,K438&lt;K$25,J$24,K438&lt;K$26,J$25,K438&lt;K$27,J$26,K438&lt;K$28,J$27,K438&lt;K$29,J$28,K438&lt;K$30,J$29,K438&lt;K$31,J$30,K438&lt;K$32,J$31,K438&lt;K$33,J$32,K438&lt;K$34,J$33,K438&lt;K$35,J$34,K438&lt;K$36,J$35,K438&lt;K$37,J$36,K438&lt;K$38,J$37,K438&lt;K$39,J$38,K438&lt;K$40,J$39,K438&lt;K$41,J$40,K438&lt;K$42,J$41,K438&lt;K$43,J$42,K438&lt;K$44,J$43,K438&lt;K$45,J$44,K438&lt;K$46,J$45,K438&lt;K$47,J$46,K438&gt;=K$47,J$47)</f>
        <v/>
      </c>
      <c r="K438" s="38" t="n">
        <v>388</v>
      </c>
      <c r="L438" s="31">
        <f>K438/52</f>
        <v/>
      </c>
      <c r="M438" s="39">
        <f>J438/1000000*52</f>
        <v/>
      </c>
      <c r="N438" s="33">
        <f>M438/$P$4+($I$22/$P$4)</f>
        <v/>
      </c>
      <c r="U438">
        <f>F437</f>
        <v/>
      </c>
      <c r="V438">
        <f>H437</f>
        <v/>
      </c>
      <c r="W438">
        <f>N437</f>
        <v/>
      </c>
    </row>
    <row r="439" ht="15.75" customHeight="1" s="40">
      <c r="C439" s="36">
        <f>_xlfn.IFS(E439&lt;E$24,0,E439&lt;E$26,C$24,E439&lt;E$28,C$26,E439&lt;E$30,C$28,E439&lt;E$32,C$30,E439&lt;E$34,C$32,E439&gt;=E$34,C$34)</f>
        <v/>
      </c>
      <c r="D439" s="37">
        <f>_xlfn.IFS(E439&lt;E$24,0,E439&lt;E$25,D$24,E439&lt;E$26,D$25,E439&lt;E$27,D$26,E439&lt;E$28,D$27,E439&lt;E$29,D$28,E439&lt;E$30,D$29,E439&lt;E$31,D$30,E439&lt;E$32,D$31,E439&lt;E$33,D$32,E439&lt;E$34,D$33,E439&lt;E$35,D$34,E439&gt;=E$35,D$35)</f>
        <v/>
      </c>
      <c r="E439" s="38" t="n">
        <v>389</v>
      </c>
      <c r="F439" s="31">
        <f>E439/52</f>
        <v/>
      </c>
      <c r="G439" s="39">
        <f>D439/1000000*52</f>
        <v/>
      </c>
      <c r="H439" s="33">
        <f>G439/$P$4+($C$22/$P$4)</f>
        <v/>
      </c>
      <c r="I439" s="36">
        <f>_xlfn.IFS(K439&lt;K$24,0,K439&lt;K$26,I$24,K439&lt;K$28,I$26,K439&lt;K$30,I$28,K439&lt;K$32,I$30,K439&lt;K$34,I$32,K439&lt;K$36,I$34,K439&lt;K$38,I$36,K439&lt;K$40,I$38,K439&lt;K$42,I$40,K439&lt;K$44,I$42,K439&lt;K$46,I$44,K439&gt;=K$46,I$46)</f>
        <v/>
      </c>
      <c r="J439" s="37">
        <f>_xlfn.IFS(K439&lt;K$24,0,K439&lt;K$25,J$24,K439&lt;K$26,J$25,K439&lt;K$27,J$26,K439&lt;K$28,J$27,K439&lt;K$29,J$28,K439&lt;K$30,J$29,K439&lt;K$31,J$30,K439&lt;K$32,J$31,K439&lt;K$33,J$32,K439&lt;K$34,J$33,K439&lt;K$35,J$34,K439&lt;K$36,J$35,K439&lt;K$37,J$36,K439&lt;K$38,J$37,K439&lt;K$39,J$38,K439&lt;K$40,J$39,K439&lt;K$41,J$40,K439&lt;K$42,J$41,K439&lt;K$43,J$42,K439&lt;K$44,J$43,K439&lt;K$45,J$44,K439&lt;K$46,J$45,K439&lt;K$47,J$46,K439&gt;=K$47,J$47)</f>
        <v/>
      </c>
      <c r="K439" s="38" t="n">
        <v>389</v>
      </c>
      <c r="L439" s="31">
        <f>K439/52</f>
        <v/>
      </c>
      <c r="M439" s="39">
        <f>J439/1000000*52</f>
        <v/>
      </c>
      <c r="N439" s="33">
        <f>M439/$P$4+($I$22/$P$4)</f>
        <v/>
      </c>
      <c r="U439">
        <f>F438</f>
        <v/>
      </c>
      <c r="V439">
        <f>H438</f>
        <v/>
      </c>
      <c r="W439">
        <f>N438</f>
        <v/>
      </c>
    </row>
    <row r="440" ht="15.75" customHeight="1" s="40">
      <c r="C440" s="36">
        <f>_xlfn.IFS(E440&lt;E$24,0,E440&lt;E$26,C$24,E440&lt;E$28,C$26,E440&lt;E$30,C$28,E440&lt;E$32,C$30,E440&lt;E$34,C$32,E440&gt;=E$34,C$34)</f>
        <v/>
      </c>
      <c r="D440" s="37">
        <f>_xlfn.IFS(E440&lt;E$24,0,E440&lt;E$25,D$24,E440&lt;E$26,D$25,E440&lt;E$27,D$26,E440&lt;E$28,D$27,E440&lt;E$29,D$28,E440&lt;E$30,D$29,E440&lt;E$31,D$30,E440&lt;E$32,D$31,E440&lt;E$33,D$32,E440&lt;E$34,D$33,E440&lt;E$35,D$34,E440&gt;=E$35,D$35)</f>
        <v/>
      </c>
      <c r="E440" s="38" t="n">
        <v>390</v>
      </c>
      <c r="F440" s="31">
        <f>E440/52</f>
        <v/>
      </c>
      <c r="G440" s="39">
        <f>D440/1000000*52</f>
        <v/>
      </c>
      <c r="H440" s="33">
        <f>G440/$P$4+($C$22/$P$4)</f>
        <v/>
      </c>
      <c r="I440" s="36">
        <f>_xlfn.IFS(K440&lt;K$24,0,K440&lt;K$26,I$24,K440&lt;K$28,I$26,K440&lt;K$30,I$28,K440&lt;K$32,I$30,K440&lt;K$34,I$32,K440&lt;K$36,I$34,K440&lt;K$38,I$36,K440&lt;K$40,I$38,K440&lt;K$42,I$40,K440&lt;K$44,I$42,K440&lt;K$46,I$44,K440&gt;=K$46,I$46)</f>
        <v/>
      </c>
      <c r="J440" s="37">
        <f>_xlfn.IFS(K440&lt;K$24,0,K440&lt;K$25,J$24,K440&lt;K$26,J$25,K440&lt;K$27,J$26,K440&lt;K$28,J$27,K440&lt;K$29,J$28,K440&lt;K$30,J$29,K440&lt;K$31,J$30,K440&lt;K$32,J$31,K440&lt;K$33,J$32,K440&lt;K$34,J$33,K440&lt;K$35,J$34,K440&lt;K$36,J$35,K440&lt;K$37,J$36,K440&lt;K$38,J$37,K440&lt;K$39,J$38,K440&lt;K$40,J$39,K440&lt;K$41,J$40,K440&lt;K$42,J$41,K440&lt;K$43,J$42,K440&lt;K$44,J$43,K440&lt;K$45,J$44,K440&lt;K$46,J$45,K440&lt;K$47,J$46,K440&gt;=K$47,J$47)</f>
        <v/>
      </c>
      <c r="K440" s="38" t="n">
        <v>390</v>
      </c>
      <c r="L440" s="31">
        <f>K440/52</f>
        <v/>
      </c>
      <c r="M440" s="39">
        <f>J440/1000000*52</f>
        <v/>
      </c>
      <c r="N440" s="33">
        <f>M440/$P$4+($I$22/$P$4)</f>
        <v/>
      </c>
      <c r="U440">
        <f>F439</f>
        <v/>
      </c>
      <c r="V440">
        <f>H439</f>
        <v/>
      </c>
      <c r="W440">
        <f>N439</f>
        <v/>
      </c>
    </row>
    <row r="441" ht="15.75" customHeight="1" s="40">
      <c r="C441" s="36">
        <f>_xlfn.IFS(E441&lt;E$24,0,E441&lt;E$26,C$24,E441&lt;E$28,C$26,E441&lt;E$30,C$28,E441&lt;E$32,C$30,E441&lt;E$34,C$32,E441&gt;=E$34,C$34)</f>
        <v/>
      </c>
      <c r="D441" s="37">
        <f>_xlfn.IFS(E441&lt;E$24,0,E441&lt;E$25,D$24,E441&lt;E$26,D$25,E441&lt;E$27,D$26,E441&lt;E$28,D$27,E441&lt;E$29,D$28,E441&lt;E$30,D$29,E441&lt;E$31,D$30,E441&lt;E$32,D$31,E441&lt;E$33,D$32,E441&lt;E$34,D$33,E441&lt;E$35,D$34,E441&gt;=E$35,D$35)</f>
        <v/>
      </c>
      <c r="E441" s="38" t="n">
        <v>391</v>
      </c>
      <c r="F441" s="31">
        <f>E441/52</f>
        <v/>
      </c>
      <c r="G441" s="39">
        <f>D441/1000000*52</f>
        <v/>
      </c>
      <c r="H441" s="33">
        <f>G441/$P$4+($C$22/$P$4)</f>
        <v/>
      </c>
      <c r="I441" s="36">
        <f>_xlfn.IFS(K441&lt;K$24,0,K441&lt;K$26,I$24,K441&lt;K$28,I$26,K441&lt;K$30,I$28,K441&lt;K$32,I$30,K441&lt;K$34,I$32,K441&lt;K$36,I$34,K441&lt;K$38,I$36,K441&lt;K$40,I$38,K441&lt;K$42,I$40,K441&lt;K$44,I$42,K441&lt;K$46,I$44,K441&gt;=K$46,I$46)</f>
        <v/>
      </c>
      <c r="J441" s="37">
        <f>_xlfn.IFS(K441&lt;K$24,0,K441&lt;K$25,J$24,K441&lt;K$26,J$25,K441&lt;K$27,J$26,K441&lt;K$28,J$27,K441&lt;K$29,J$28,K441&lt;K$30,J$29,K441&lt;K$31,J$30,K441&lt;K$32,J$31,K441&lt;K$33,J$32,K441&lt;K$34,J$33,K441&lt;K$35,J$34,K441&lt;K$36,J$35,K441&lt;K$37,J$36,K441&lt;K$38,J$37,K441&lt;K$39,J$38,K441&lt;K$40,J$39,K441&lt;K$41,J$40,K441&lt;K$42,J$41,K441&lt;K$43,J$42,K441&lt;K$44,J$43,K441&lt;K$45,J$44,K441&lt;K$46,J$45,K441&lt;K$47,J$46,K441&gt;=K$47,J$47)</f>
        <v/>
      </c>
      <c r="K441" s="38" t="n">
        <v>391</v>
      </c>
      <c r="L441" s="31">
        <f>K441/52</f>
        <v/>
      </c>
      <c r="M441" s="39">
        <f>J441/1000000*52</f>
        <v/>
      </c>
      <c r="N441" s="33">
        <f>M441/$P$4+($I$22/$P$4)</f>
        <v/>
      </c>
      <c r="U441">
        <f>F440</f>
        <v/>
      </c>
      <c r="V441">
        <f>H440</f>
        <v/>
      </c>
      <c r="W441">
        <f>N440</f>
        <v/>
      </c>
    </row>
    <row r="442" ht="15.75" customHeight="1" s="40">
      <c r="C442" s="36">
        <f>_xlfn.IFS(E442&lt;E$24,0,E442&lt;E$26,C$24,E442&lt;E$28,C$26,E442&lt;E$30,C$28,E442&lt;E$32,C$30,E442&lt;E$34,C$32,E442&gt;=E$34,C$34)</f>
        <v/>
      </c>
      <c r="D442" s="37">
        <f>_xlfn.IFS(E442&lt;E$24,0,E442&lt;E$25,D$24,E442&lt;E$26,D$25,E442&lt;E$27,D$26,E442&lt;E$28,D$27,E442&lt;E$29,D$28,E442&lt;E$30,D$29,E442&lt;E$31,D$30,E442&lt;E$32,D$31,E442&lt;E$33,D$32,E442&lt;E$34,D$33,E442&lt;E$35,D$34,E442&gt;=E$35,D$35)</f>
        <v/>
      </c>
      <c r="E442" s="38" t="n">
        <v>392</v>
      </c>
      <c r="F442" s="31">
        <f>E442/52</f>
        <v/>
      </c>
      <c r="G442" s="39">
        <f>D442/1000000*52</f>
        <v/>
      </c>
      <c r="H442" s="33">
        <f>G442/$P$4+($C$22/$P$4)</f>
        <v/>
      </c>
      <c r="I442" s="36">
        <f>_xlfn.IFS(K442&lt;K$24,0,K442&lt;K$26,I$24,K442&lt;K$28,I$26,K442&lt;K$30,I$28,K442&lt;K$32,I$30,K442&lt;K$34,I$32,K442&lt;K$36,I$34,K442&lt;K$38,I$36,K442&lt;K$40,I$38,K442&lt;K$42,I$40,K442&lt;K$44,I$42,K442&lt;K$46,I$44,K442&gt;=K$46,I$46)</f>
        <v/>
      </c>
      <c r="J442" s="37">
        <f>_xlfn.IFS(K442&lt;K$24,0,K442&lt;K$25,J$24,K442&lt;K$26,J$25,K442&lt;K$27,J$26,K442&lt;K$28,J$27,K442&lt;K$29,J$28,K442&lt;K$30,J$29,K442&lt;K$31,J$30,K442&lt;K$32,J$31,K442&lt;K$33,J$32,K442&lt;K$34,J$33,K442&lt;K$35,J$34,K442&lt;K$36,J$35,K442&lt;K$37,J$36,K442&lt;K$38,J$37,K442&lt;K$39,J$38,K442&lt;K$40,J$39,K442&lt;K$41,J$40,K442&lt;K$42,J$41,K442&lt;K$43,J$42,K442&lt;K$44,J$43,K442&lt;K$45,J$44,K442&lt;K$46,J$45,K442&lt;K$47,J$46,K442&gt;=K$47,J$47)</f>
        <v/>
      </c>
      <c r="K442" s="38" t="n">
        <v>392</v>
      </c>
      <c r="L442" s="31">
        <f>K442/52</f>
        <v/>
      </c>
      <c r="M442" s="39">
        <f>J442/1000000*52</f>
        <v/>
      </c>
      <c r="N442" s="33">
        <f>M442/$P$4+($I$22/$P$4)</f>
        <v/>
      </c>
      <c r="U442">
        <f>F441</f>
        <v/>
      </c>
      <c r="V442">
        <f>H441</f>
        <v/>
      </c>
      <c r="W442">
        <f>N441</f>
        <v/>
      </c>
    </row>
    <row r="443" ht="15.75" customHeight="1" s="40">
      <c r="C443" s="36">
        <f>_xlfn.IFS(E443&lt;E$24,0,E443&lt;E$26,C$24,E443&lt;E$28,C$26,E443&lt;E$30,C$28,E443&lt;E$32,C$30,E443&lt;E$34,C$32,E443&gt;=E$34,C$34)</f>
        <v/>
      </c>
      <c r="D443" s="37">
        <f>_xlfn.IFS(E443&lt;E$24,0,E443&lt;E$25,D$24,E443&lt;E$26,D$25,E443&lt;E$27,D$26,E443&lt;E$28,D$27,E443&lt;E$29,D$28,E443&lt;E$30,D$29,E443&lt;E$31,D$30,E443&lt;E$32,D$31,E443&lt;E$33,D$32,E443&lt;E$34,D$33,E443&lt;E$35,D$34,E443&gt;=E$35,D$35)</f>
        <v/>
      </c>
      <c r="E443" s="38" t="n">
        <v>393</v>
      </c>
      <c r="F443" s="31">
        <f>E443/52</f>
        <v/>
      </c>
      <c r="G443" s="39">
        <f>D443/1000000*52</f>
        <v/>
      </c>
      <c r="H443" s="33">
        <f>G443/$P$4+($C$22/$P$4)</f>
        <v/>
      </c>
      <c r="I443" s="36">
        <f>_xlfn.IFS(K443&lt;K$24,0,K443&lt;K$26,I$24,K443&lt;K$28,I$26,K443&lt;K$30,I$28,K443&lt;K$32,I$30,K443&lt;K$34,I$32,K443&lt;K$36,I$34,K443&lt;K$38,I$36,K443&lt;K$40,I$38,K443&lt;K$42,I$40,K443&lt;K$44,I$42,K443&lt;K$46,I$44,K443&gt;=K$46,I$46)</f>
        <v/>
      </c>
      <c r="J443" s="37">
        <f>_xlfn.IFS(K443&lt;K$24,0,K443&lt;K$25,J$24,K443&lt;K$26,J$25,K443&lt;K$27,J$26,K443&lt;K$28,J$27,K443&lt;K$29,J$28,K443&lt;K$30,J$29,K443&lt;K$31,J$30,K443&lt;K$32,J$31,K443&lt;K$33,J$32,K443&lt;K$34,J$33,K443&lt;K$35,J$34,K443&lt;K$36,J$35,K443&lt;K$37,J$36,K443&lt;K$38,J$37,K443&lt;K$39,J$38,K443&lt;K$40,J$39,K443&lt;K$41,J$40,K443&lt;K$42,J$41,K443&lt;K$43,J$42,K443&lt;K$44,J$43,K443&lt;K$45,J$44,K443&lt;K$46,J$45,K443&lt;K$47,J$46,K443&gt;=K$47,J$47)</f>
        <v/>
      </c>
      <c r="K443" s="38" t="n">
        <v>393</v>
      </c>
      <c r="L443" s="31">
        <f>K443/52</f>
        <v/>
      </c>
      <c r="M443" s="39">
        <f>J443/1000000*52</f>
        <v/>
      </c>
      <c r="N443" s="33">
        <f>M443/$P$4+($I$22/$P$4)</f>
        <v/>
      </c>
      <c r="U443">
        <f>F442</f>
        <v/>
      </c>
      <c r="V443">
        <f>H442</f>
        <v/>
      </c>
      <c r="W443">
        <f>N442</f>
        <v/>
      </c>
    </row>
    <row r="444" ht="15.75" customHeight="1" s="40">
      <c r="C444" s="36">
        <f>_xlfn.IFS(E444&lt;E$24,0,E444&lt;E$26,C$24,E444&lt;E$28,C$26,E444&lt;E$30,C$28,E444&lt;E$32,C$30,E444&lt;E$34,C$32,E444&gt;=E$34,C$34)</f>
        <v/>
      </c>
      <c r="D444" s="37">
        <f>_xlfn.IFS(E444&lt;E$24,0,E444&lt;E$25,D$24,E444&lt;E$26,D$25,E444&lt;E$27,D$26,E444&lt;E$28,D$27,E444&lt;E$29,D$28,E444&lt;E$30,D$29,E444&lt;E$31,D$30,E444&lt;E$32,D$31,E444&lt;E$33,D$32,E444&lt;E$34,D$33,E444&lt;E$35,D$34,E444&gt;=E$35,D$35)</f>
        <v/>
      </c>
      <c r="E444" s="38" t="n">
        <v>394</v>
      </c>
      <c r="F444" s="31">
        <f>E444/52</f>
        <v/>
      </c>
      <c r="G444" s="39">
        <f>D444/1000000*52</f>
        <v/>
      </c>
      <c r="H444" s="33">
        <f>G444/$P$4+($C$22/$P$4)</f>
        <v/>
      </c>
      <c r="I444" s="36">
        <f>_xlfn.IFS(K444&lt;K$24,0,K444&lt;K$26,I$24,K444&lt;K$28,I$26,K444&lt;K$30,I$28,K444&lt;K$32,I$30,K444&lt;K$34,I$32,K444&lt;K$36,I$34,K444&lt;K$38,I$36,K444&lt;K$40,I$38,K444&lt;K$42,I$40,K444&lt;K$44,I$42,K444&lt;K$46,I$44,K444&gt;=K$46,I$46)</f>
        <v/>
      </c>
      <c r="J444" s="37">
        <f>_xlfn.IFS(K444&lt;K$24,0,K444&lt;K$25,J$24,K444&lt;K$26,J$25,K444&lt;K$27,J$26,K444&lt;K$28,J$27,K444&lt;K$29,J$28,K444&lt;K$30,J$29,K444&lt;K$31,J$30,K444&lt;K$32,J$31,K444&lt;K$33,J$32,K444&lt;K$34,J$33,K444&lt;K$35,J$34,K444&lt;K$36,J$35,K444&lt;K$37,J$36,K444&lt;K$38,J$37,K444&lt;K$39,J$38,K444&lt;K$40,J$39,K444&lt;K$41,J$40,K444&lt;K$42,J$41,K444&lt;K$43,J$42,K444&lt;K$44,J$43,K444&lt;K$45,J$44,K444&lt;K$46,J$45,K444&lt;K$47,J$46,K444&gt;=K$47,J$47)</f>
        <v/>
      </c>
      <c r="K444" s="38" t="n">
        <v>394</v>
      </c>
      <c r="L444" s="31">
        <f>K444/52</f>
        <v/>
      </c>
      <c r="M444" s="39">
        <f>J444/1000000*52</f>
        <v/>
      </c>
      <c r="N444" s="33">
        <f>M444/$P$4+($I$22/$P$4)</f>
        <v/>
      </c>
      <c r="U444">
        <f>F443</f>
        <v/>
      </c>
      <c r="V444">
        <f>H443</f>
        <v/>
      </c>
      <c r="W444">
        <f>N443</f>
        <v/>
      </c>
    </row>
    <row r="445" ht="15.75" customHeight="1" s="40">
      <c r="C445" s="36">
        <f>_xlfn.IFS(E445&lt;E$24,0,E445&lt;E$26,C$24,E445&lt;E$28,C$26,E445&lt;E$30,C$28,E445&lt;E$32,C$30,E445&lt;E$34,C$32,E445&gt;=E$34,C$34)</f>
        <v/>
      </c>
      <c r="D445" s="37">
        <f>_xlfn.IFS(E445&lt;E$24,0,E445&lt;E$25,D$24,E445&lt;E$26,D$25,E445&lt;E$27,D$26,E445&lt;E$28,D$27,E445&lt;E$29,D$28,E445&lt;E$30,D$29,E445&lt;E$31,D$30,E445&lt;E$32,D$31,E445&lt;E$33,D$32,E445&lt;E$34,D$33,E445&lt;E$35,D$34,E445&gt;=E$35,D$35)</f>
        <v/>
      </c>
      <c r="E445" s="38" t="n">
        <v>395</v>
      </c>
      <c r="F445" s="31">
        <f>E445/52</f>
        <v/>
      </c>
      <c r="G445" s="39">
        <f>D445/1000000*52</f>
        <v/>
      </c>
      <c r="H445" s="33">
        <f>G445/$P$4+($C$22/$P$4)</f>
        <v/>
      </c>
      <c r="I445" s="36">
        <f>_xlfn.IFS(K445&lt;K$24,0,K445&lt;K$26,I$24,K445&lt;K$28,I$26,K445&lt;K$30,I$28,K445&lt;K$32,I$30,K445&lt;K$34,I$32,K445&lt;K$36,I$34,K445&lt;K$38,I$36,K445&lt;K$40,I$38,K445&lt;K$42,I$40,K445&lt;K$44,I$42,K445&lt;K$46,I$44,K445&gt;=K$46,I$46)</f>
        <v/>
      </c>
      <c r="J445" s="37">
        <f>_xlfn.IFS(K445&lt;K$24,0,K445&lt;K$25,J$24,K445&lt;K$26,J$25,K445&lt;K$27,J$26,K445&lt;K$28,J$27,K445&lt;K$29,J$28,K445&lt;K$30,J$29,K445&lt;K$31,J$30,K445&lt;K$32,J$31,K445&lt;K$33,J$32,K445&lt;K$34,J$33,K445&lt;K$35,J$34,K445&lt;K$36,J$35,K445&lt;K$37,J$36,K445&lt;K$38,J$37,K445&lt;K$39,J$38,K445&lt;K$40,J$39,K445&lt;K$41,J$40,K445&lt;K$42,J$41,K445&lt;K$43,J$42,K445&lt;K$44,J$43,K445&lt;K$45,J$44,K445&lt;K$46,J$45,K445&lt;K$47,J$46,K445&gt;=K$47,J$47)</f>
        <v/>
      </c>
      <c r="K445" s="38" t="n">
        <v>395</v>
      </c>
      <c r="L445" s="31">
        <f>K445/52</f>
        <v/>
      </c>
      <c r="M445" s="39">
        <f>J445/1000000*52</f>
        <v/>
      </c>
      <c r="N445" s="33">
        <f>M445/$P$4+($I$22/$P$4)</f>
        <v/>
      </c>
      <c r="U445">
        <f>F444</f>
        <v/>
      </c>
      <c r="V445">
        <f>H444</f>
        <v/>
      </c>
      <c r="W445">
        <f>N444</f>
        <v/>
      </c>
    </row>
    <row r="446" ht="15.75" customHeight="1" s="40">
      <c r="C446" s="36">
        <f>_xlfn.IFS(E446&lt;E$24,0,E446&lt;E$26,C$24,E446&lt;E$28,C$26,E446&lt;E$30,C$28,E446&lt;E$32,C$30,E446&lt;E$34,C$32,E446&gt;=E$34,C$34)</f>
        <v/>
      </c>
      <c r="D446" s="37">
        <f>_xlfn.IFS(E446&lt;E$24,0,E446&lt;E$25,D$24,E446&lt;E$26,D$25,E446&lt;E$27,D$26,E446&lt;E$28,D$27,E446&lt;E$29,D$28,E446&lt;E$30,D$29,E446&lt;E$31,D$30,E446&lt;E$32,D$31,E446&lt;E$33,D$32,E446&lt;E$34,D$33,E446&lt;E$35,D$34,E446&gt;=E$35,D$35)</f>
        <v/>
      </c>
      <c r="E446" s="38" t="n">
        <v>396</v>
      </c>
      <c r="F446" s="31">
        <f>E446/52</f>
        <v/>
      </c>
      <c r="G446" s="39">
        <f>D446/1000000*52</f>
        <v/>
      </c>
      <c r="H446" s="33">
        <f>G446/$P$4+($C$22/$P$4)</f>
        <v/>
      </c>
      <c r="I446" s="36">
        <f>_xlfn.IFS(K446&lt;K$24,0,K446&lt;K$26,I$24,K446&lt;K$28,I$26,K446&lt;K$30,I$28,K446&lt;K$32,I$30,K446&lt;K$34,I$32,K446&lt;K$36,I$34,K446&lt;K$38,I$36,K446&lt;K$40,I$38,K446&lt;K$42,I$40,K446&lt;K$44,I$42,K446&lt;K$46,I$44,K446&gt;=K$46,I$46)</f>
        <v/>
      </c>
      <c r="J446" s="37">
        <f>_xlfn.IFS(K446&lt;K$24,0,K446&lt;K$25,J$24,K446&lt;K$26,J$25,K446&lt;K$27,J$26,K446&lt;K$28,J$27,K446&lt;K$29,J$28,K446&lt;K$30,J$29,K446&lt;K$31,J$30,K446&lt;K$32,J$31,K446&lt;K$33,J$32,K446&lt;K$34,J$33,K446&lt;K$35,J$34,K446&lt;K$36,J$35,K446&lt;K$37,J$36,K446&lt;K$38,J$37,K446&lt;K$39,J$38,K446&lt;K$40,J$39,K446&lt;K$41,J$40,K446&lt;K$42,J$41,K446&lt;K$43,J$42,K446&lt;K$44,J$43,K446&lt;K$45,J$44,K446&lt;K$46,J$45,K446&lt;K$47,J$46,K446&gt;=K$47,J$47)</f>
        <v/>
      </c>
      <c r="K446" s="38" t="n">
        <v>396</v>
      </c>
      <c r="L446" s="31">
        <f>K446/52</f>
        <v/>
      </c>
      <c r="M446" s="39">
        <f>J446/1000000*52</f>
        <v/>
      </c>
      <c r="N446" s="33">
        <f>M446/$P$4+($I$22/$P$4)</f>
        <v/>
      </c>
      <c r="U446">
        <f>F445</f>
        <v/>
      </c>
      <c r="V446">
        <f>H445</f>
        <v/>
      </c>
      <c r="W446">
        <f>N445</f>
        <v/>
      </c>
    </row>
    <row r="447" ht="15.75" customHeight="1" s="40">
      <c r="C447" s="36">
        <f>_xlfn.IFS(E447&lt;E$24,0,E447&lt;E$26,C$24,E447&lt;E$28,C$26,E447&lt;E$30,C$28,E447&lt;E$32,C$30,E447&lt;E$34,C$32,E447&gt;=E$34,C$34)</f>
        <v/>
      </c>
      <c r="D447" s="37">
        <f>_xlfn.IFS(E447&lt;E$24,0,E447&lt;E$25,D$24,E447&lt;E$26,D$25,E447&lt;E$27,D$26,E447&lt;E$28,D$27,E447&lt;E$29,D$28,E447&lt;E$30,D$29,E447&lt;E$31,D$30,E447&lt;E$32,D$31,E447&lt;E$33,D$32,E447&lt;E$34,D$33,E447&lt;E$35,D$34,E447&gt;=E$35,D$35)</f>
        <v/>
      </c>
      <c r="E447" s="38" t="n">
        <v>397</v>
      </c>
      <c r="F447" s="31">
        <f>E447/52</f>
        <v/>
      </c>
      <c r="G447" s="39">
        <f>D447/1000000*52</f>
        <v/>
      </c>
      <c r="H447" s="33">
        <f>G447/$P$4+($C$22/$P$4)</f>
        <v/>
      </c>
      <c r="I447" s="36">
        <f>_xlfn.IFS(K447&lt;K$24,0,K447&lt;K$26,I$24,K447&lt;K$28,I$26,K447&lt;K$30,I$28,K447&lt;K$32,I$30,K447&lt;K$34,I$32,K447&lt;K$36,I$34,K447&lt;K$38,I$36,K447&lt;K$40,I$38,K447&lt;K$42,I$40,K447&lt;K$44,I$42,K447&lt;K$46,I$44,K447&gt;=K$46,I$46)</f>
        <v/>
      </c>
      <c r="J447" s="37">
        <f>_xlfn.IFS(K447&lt;K$24,0,K447&lt;K$25,J$24,K447&lt;K$26,J$25,K447&lt;K$27,J$26,K447&lt;K$28,J$27,K447&lt;K$29,J$28,K447&lt;K$30,J$29,K447&lt;K$31,J$30,K447&lt;K$32,J$31,K447&lt;K$33,J$32,K447&lt;K$34,J$33,K447&lt;K$35,J$34,K447&lt;K$36,J$35,K447&lt;K$37,J$36,K447&lt;K$38,J$37,K447&lt;K$39,J$38,K447&lt;K$40,J$39,K447&lt;K$41,J$40,K447&lt;K$42,J$41,K447&lt;K$43,J$42,K447&lt;K$44,J$43,K447&lt;K$45,J$44,K447&lt;K$46,J$45,K447&lt;K$47,J$46,K447&gt;=K$47,J$47)</f>
        <v/>
      </c>
      <c r="K447" s="38" t="n">
        <v>397</v>
      </c>
      <c r="L447" s="31">
        <f>K447/52</f>
        <v/>
      </c>
      <c r="M447" s="39">
        <f>J447/1000000*52</f>
        <v/>
      </c>
      <c r="N447" s="33">
        <f>M447/$P$4+($I$22/$P$4)</f>
        <v/>
      </c>
      <c r="U447">
        <f>F446</f>
        <v/>
      </c>
      <c r="V447">
        <f>H446</f>
        <v/>
      </c>
      <c r="W447">
        <f>N446</f>
        <v/>
      </c>
    </row>
    <row r="448" ht="15.75" customHeight="1" s="40">
      <c r="C448" s="36">
        <f>_xlfn.IFS(E448&lt;E$24,0,E448&lt;E$26,C$24,E448&lt;E$28,C$26,E448&lt;E$30,C$28,E448&lt;E$32,C$30,E448&lt;E$34,C$32,E448&gt;=E$34,C$34)</f>
        <v/>
      </c>
      <c r="D448" s="37">
        <f>_xlfn.IFS(E448&lt;E$24,0,E448&lt;E$25,D$24,E448&lt;E$26,D$25,E448&lt;E$27,D$26,E448&lt;E$28,D$27,E448&lt;E$29,D$28,E448&lt;E$30,D$29,E448&lt;E$31,D$30,E448&lt;E$32,D$31,E448&lt;E$33,D$32,E448&lt;E$34,D$33,E448&lt;E$35,D$34,E448&gt;=E$35,D$35)</f>
        <v/>
      </c>
      <c r="E448" s="38" t="n">
        <v>398</v>
      </c>
      <c r="F448" s="31">
        <f>E448/52</f>
        <v/>
      </c>
      <c r="G448" s="39">
        <f>D448/1000000*52</f>
        <v/>
      </c>
      <c r="H448" s="33">
        <f>G448/$P$4+($C$22/$P$4)</f>
        <v/>
      </c>
      <c r="I448" s="36">
        <f>_xlfn.IFS(K448&lt;K$24,0,K448&lt;K$26,I$24,K448&lt;K$28,I$26,K448&lt;K$30,I$28,K448&lt;K$32,I$30,K448&lt;K$34,I$32,K448&lt;K$36,I$34,K448&lt;K$38,I$36,K448&lt;K$40,I$38,K448&lt;K$42,I$40,K448&lt;K$44,I$42,K448&lt;K$46,I$44,K448&gt;=K$46,I$46)</f>
        <v/>
      </c>
      <c r="J448" s="37">
        <f>_xlfn.IFS(K448&lt;K$24,0,K448&lt;K$25,J$24,K448&lt;K$26,J$25,K448&lt;K$27,J$26,K448&lt;K$28,J$27,K448&lt;K$29,J$28,K448&lt;K$30,J$29,K448&lt;K$31,J$30,K448&lt;K$32,J$31,K448&lt;K$33,J$32,K448&lt;K$34,J$33,K448&lt;K$35,J$34,K448&lt;K$36,J$35,K448&lt;K$37,J$36,K448&lt;K$38,J$37,K448&lt;K$39,J$38,K448&lt;K$40,J$39,K448&lt;K$41,J$40,K448&lt;K$42,J$41,K448&lt;K$43,J$42,K448&lt;K$44,J$43,K448&lt;K$45,J$44,K448&lt;K$46,J$45,K448&lt;K$47,J$46,K448&gt;=K$47,J$47)</f>
        <v/>
      </c>
      <c r="K448" s="38" t="n">
        <v>398</v>
      </c>
      <c r="L448" s="31">
        <f>K448/52</f>
        <v/>
      </c>
      <c r="M448" s="39">
        <f>J448/1000000*52</f>
        <v/>
      </c>
      <c r="N448" s="33">
        <f>M448/$P$4+($I$22/$P$4)</f>
        <v/>
      </c>
      <c r="U448">
        <f>F447</f>
        <v/>
      </c>
      <c r="V448">
        <f>H447</f>
        <v/>
      </c>
      <c r="W448">
        <f>N447</f>
        <v/>
      </c>
    </row>
    <row r="449" ht="15.75" customHeight="1" s="40">
      <c r="C449" s="36">
        <f>_xlfn.IFS(E449&lt;E$24,0,E449&lt;E$26,C$24,E449&lt;E$28,C$26,E449&lt;E$30,C$28,E449&lt;E$32,C$30,E449&lt;E$34,C$32,E449&gt;=E$34,C$34)</f>
        <v/>
      </c>
      <c r="D449" s="37">
        <f>_xlfn.IFS(E449&lt;E$24,0,E449&lt;E$25,D$24,E449&lt;E$26,D$25,E449&lt;E$27,D$26,E449&lt;E$28,D$27,E449&lt;E$29,D$28,E449&lt;E$30,D$29,E449&lt;E$31,D$30,E449&lt;E$32,D$31,E449&lt;E$33,D$32,E449&lt;E$34,D$33,E449&lt;E$35,D$34,E449&gt;=E$35,D$35)</f>
        <v/>
      </c>
      <c r="E449" s="38" t="n">
        <v>399</v>
      </c>
      <c r="F449" s="31">
        <f>E449/52</f>
        <v/>
      </c>
      <c r="G449" s="39">
        <f>D449/1000000*52</f>
        <v/>
      </c>
      <c r="H449" s="33">
        <f>G449/$P$4+($C$22/$P$4)</f>
        <v/>
      </c>
      <c r="I449" s="36">
        <f>_xlfn.IFS(K449&lt;K$24,0,K449&lt;K$26,I$24,K449&lt;K$28,I$26,K449&lt;K$30,I$28,K449&lt;K$32,I$30,K449&lt;K$34,I$32,K449&lt;K$36,I$34,K449&lt;K$38,I$36,K449&lt;K$40,I$38,K449&lt;K$42,I$40,K449&lt;K$44,I$42,K449&lt;K$46,I$44,K449&gt;=K$46,I$46)</f>
        <v/>
      </c>
      <c r="J449" s="37">
        <f>_xlfn.IFS(K449&lt;K$24,0,K449&lt;K$25,J$24,K449&lt;K$26,J$25,K449&lt;K$27,J$26,K449&lt;K$28,J$27,K449&lt;K$29,J$28,K449&lt;K$30,J$29,K449&lt;K$31,J$30,K449&lt;K$32,J$31,K449&lt;K$33,J$32,K449&lt;K$34,J$33,K449&lt;K$35,J$34,K449&lt;K$36,J$35,K449&lt;K$37,J$36,K449&lt;K$38,J$37,K449&lt;K$39,J$38,K449&lt;K$40,J$39,K449&lt;K$41,J$40,K449&lt;K$42,J$41,K449&lt;K$43,J$42,K449&lt;K$44,J$43,K449&lt;K$45,J$44,K449&lt;K$46,J$45,K449&lt;K$47,J$46,K449&gt;=K$47,J$47)</f>
        <v/>
      </c>
      <c r="K449" s="38" t="n">
        <v>399</v>
      </c>
      <c r="L449" s="31">
        <f>K449/52</f>
        <v/>
      </c>
      <c r="M449" s="39">
        <f>J449/1000000*52</f>
        <v/>
      </c>
      <c r="N449" s="33">
        <f>M449/$P$4+($I$22/$P$4)</f>
        <v/>
      </c>
      <c r="U449">
        <f>F448</f>
        <v/>
      </c>
      <c r="V449">
        <f>H448</f>
        <v/>
      </c>
      <c r="W449">
        <f>N448</f>
        <v/>
      </c>
    </row>
    <row r="450" ht="15.75" customHeight="1" s="40">
      <c r="C450" s="36">
        <f>_xlfn.IFS(E450&lt;E$24,0,E450&lt;E$26,C$24,E450&lt;E$28,C$26,E450&lt;E$30,C$28,E450&lt;E$32,C$30,E450&lt;E$34,C$32,E450&gt;=E$34,C$34)</f>
        <v/>
      </c>
      <c r="D450" s="37">
        <f>_xlfn.IFS(E450&lt;E$24,0,E450&lt;E$25,D$24,E450&lt;E$26,D$25,E450&lt;E$27,D$26,E450&lt;E$28,D$27,E450&lt;E$29,D$28,E450&lt;E$30,D$29,E450&lt;E$31,D$30,E450&lt;E$32,D$31,E450&lt;E$33,D$32,E450&lt;E$34,D$33,E450&lt;E$35,D$34,E450&gt;=E$35,D$35)</f>
        <v/>
      </c>
      <c r="E450" s="38" t="n">
        <v>400</v>
      </c>
      <c r="F450" s="31">
        <f>E450/52</f>
        <v/>
      </c>
      <c r="G450" s="39">
        <f>D450/1000000*52</f>
        <v/>
      </c>
      <c r="H450" s="33">
        <f>G450/$P$4+($C$22/$P$4)</f>
        <v/>
      </c>
      <c r="I450" s="36">
        <f>_xlfn.IFS(K450&lt;K$24,0,K450&lt;K$26,I$24,K450&lt;K$28,I$26,K450&lt;K$30,I$28,K450&lt;K$32,I$30,K450&lt;K$34,I$32,K450&lt;K$36,I$34,K450&lt;K$38,I$36,K450&lt;K$40,I$38,K450&lt;K$42,I$40,K450&lt;K$44,I$42,K450&lt;K$46,I$44,K450&gt;=K$46,I$46)</f>
        <v/>
      </c>
      <c r="J450" s="37">
        <f>_xlfn.IFS(K450&lt;K$24,0,K450&lt;K$25,J$24,K450&lt;K$26,J$25,K450&lt;K$27,J$26,K450&lt;K$28,J$27,K450&lt;K$29,J$28,K450&lt;K$30,J$29,K450&lt;K$31,J$30,K450&lt;K$32,J$31,K450&lt;K$33,J$32,K450&lt;K$34,J$33,K450&lt;K$35,J$34,K450&lt;K$36,J$35,K450&lt;K$37,J$36,K450&lt;K$38,J$37,K450&lt;K$39,J$38,K450&lt;K$40,J$39,K450&lt;K$41,J$40,K450&lt;K$42,J$41,K450&lt;K$43,J$42,K450&lt;K$44,J$43,K450&lt;K$45,J$44,K450&lt;K$46,J$45,K450&lt;K$47,J$46,K450&gt;=K$47,J$47)</f>
        <v/>
      </c>
      <c r="K450" s="38" t="n">
        <v>400</v>
      </c>
      <c r="L450" s="31">
        <f>K450/52</f>
        <v/>
      </c>
      <c r="M450" s="39">
        <f>J450/1000000*52</f>
        <v/>
      </c>
      <c r="N450" s="33">
        <f>M450/$P$4+($I$22/$P$4)</f>
        <v/>
      </c>
      <c r="U450">
        <f>F449</f>
        <v/>
      </c>
      <c r="V450">
        <f>H449</f>
        <v/>
      </c>
      <c r="W450">
        <f>N449</f>
        <v/>
      </c>
    </row>
    <row r="451" ht="15.75" customHeight="1" s="40">
      <c r="C451" s="36">
        <f>_xlfn.IFS(E451&lt;E$24,0,E451&lt;E$26,C$24,E451&lt;E$28,C$26,E451&lt;E$30,C$28,E451&lt;E$32,C$30,E451&lt;E$34,C$32,E451&gt;=E$34,C$34)</f>
        <v/>
      </c>
      <c r="D451" s="37">
        <f>_xlfn.IFS(E451&lt;E$24,0,E451&lt;E$25,D$24,E451&lt;E$26,D$25,E451&lt;E$27,D$26,E451&lt;E$28,D$27,E451&lt;E$29,D$28,E451&lt;E$30,D$29,E451&lt;E$31,D$30,E451&lt;E$32,D$31,E451&lt;E$33,D$32,E451&lt;E$34,D$33,E451&lt;E$35,D$34,E451&gt;=E$35,D$35)</f>
        <v/>
      </c>
      <c r="E451" s="38" t="n">
        <v>401</v>
      </c>
      <c r="F451" s="31">
        <f>E451/52</f>
        <v/>
      </c>
      <c r="G451" s="39">
        <f>D451/1000000*52</f>
        <v/>
      </c>
      <c r="H451" s="33">
        <f>G451/$P$4+($C$22/$P$4)</f>
        <v/>
      </c>
      <c r="I451" s="36">
        <f>_xlfn.IFS(K451&lt;K$24,0,K451&lt;K$26,I$24,K451&lt;K$28,I$26,K451&lt;K$30,I$28,K451&lt;K$32,I$30,K451&lt;K$34,I$32,K451&lt;K$36,I$34,K451&lt;K$38,I$36,K451&lt;K$40,I$38,K451&lt;K$42,I$40,K451&lt;K$44,I$42,K451&lt;K$46,I$44,K451&gt;=K$46,I$46)</f>
        <v/>
      </c>
      <c r="J451" s="37">
        <f>_xlfn.IFS(K451&lt;K$24,0,K451&lt;K$25,J$24,K451&lt;K$26,J$25,K451&lt;K$27,J$26,K451&lt;K$28,J$27,K451&lt;K$29,J$28,K451&lt;K$30,J$29,K451&lt;K$31,J$30,K451&lt;K$32,J$31,K451&lt;K$33,J$32,K451&lt;K$34,J$33,K451&lt;K$35,J$34,K451&lt;K$36,J$35,K451&lt;K$37,J$36,K451&lt;K$38,J$37,K451&lt;K$39,J$38,K451&lt;K$40,J$39,K451&lt;K$41,J$40,K451&lt;K$42,J$41,K451&lt;K$43,J$42,K451&lt;K$44,J$43,K451&lt;K$45,J$44,K451&lt;K$46,J$45,K451&lt;K$47,J$46,K451&gt;=K$47,J$47)</f>
        <v/>
      </c>
      <c r="K451" s="38" t="n">
        <v>401</v>
      </c>
      <c r="L451" s="31">
        <f>K451/52</f>
        <v/>
      </c>
      <c r="M451" s="39">
        <f>J451/1000000*52</f>
        <v/>
      </c>
      <c r="N451" s="33">
        <f>M451/$P$4+($I$22/$P$4)</f>
        <v/>
      </c>
      <c r="U451">
        <f>F450</f>
        <v/>
      </c>
      <c r="V451">
        <f>H450</f>
        <v/>
      </c>
      <c r="W451">
        <f>N450</f>
        <v/>
      </c>
    </row>
    <row r="452" ht="15.75" customHeight="1" s="40">
      <c r="C452" s="36">
        <f>_xlfn.IFS(E452&lt;E$24,0,E452&lt;E$26,C$24,E452&lt;E$28,C$26,E452&lt;E$30,C$28,E452&lt;E$32,C$30,E452&lt;E$34,C$32,E452&gt;=E$34,C$34)</f>
        <v/>
      </c>
      <c r="D452" s="37">
        <f>_xlfn.IFS(E452&lt;E$24,0,E452&lt;E$25,D$24,E452&lt;E$26,D$25,E452&lt;E$27,D$26,E452&lt;E$28,D$27,E452&lt;E$29,D$28,E452&lt;E$30,D$29,E452&lt;E$31,D$30,E452&lt;E$32,D$31,E452&lt;E$33,D$32,E452&lt;E$34,D$33,E452&lt;E$35,D$34,E452&gt;=E$35,D$35)</f>
        <v/>
      </c>
      <c r="E452" s="38" t="n">
        <v>402</v>
      </c>
      <c r="F452" s="31">
        <f>E452/52</f>
        <v/>
      </c>
      <c r="G452" s="39">
        <f>D452/1000000*52</f>
        <v/>
      </c>
      <c r="H452" s="33">
        <f>G452/$P$4+($C$22/$P$4)</f>
        <v/>
      </c>
      <c r="I452" s="36">
        <f>_xlfn.IFS(K452&lt;K$24,0,K452&lt;K$26,I$24,K452&lt;K$28,I$26,K452&lt;K$30,I$28,K452&lt;K$32,I$30,K452&lt;K$34,I$32,K452&lt;K$36,I$34,K452&lt;K$38,I$36,K452&lt;K$40,I$38,K452&lt;K$42,I$40,K452&lt;K$44,I$42,K452&lt;K$46,I$44,K452&gt;=K$46,I$46)</f>
        <v/>
      </c>
      <c r="J452" s="37">
        <f>_xlfn.IFS(K452&lt;K$24,0,K452&lt;K$25,J$24,K452&lt;K$26,J$25,K452&lt;K$27,J$26,K452&lt;K$28,J$27,K452&lt;K$29,J$28,K452&lt;K$30,J$29,K452&lt;K$31,J$30,K452&lt;K$32,J$31,K452&lt;K$33,J$32,K452&lt;K$34,J$33,K452&lt;K$35,J$34,K452&lt;K$36,J$35,K452&lt;K$37,J$36,K452&lt;K$38,J$37,K452&lt;K$39,J$38,K452&lt;K$40,J$39,K452&lt;K$41,J$40,K452&lt;K$42,J$41,K452&lt;K$43,J$42,K452&lt;K$44,J$43,K452&lt;K$45,J$44,K452&lt;K$46,J$45,K452&lt;K$47,J$46,K452&gt;=K$47,J$47)</f>
        <v/>
      </c>
      <c r="K452" s="38" t="n">
        <v>402</v>
      </c>
      <c r="L452" s="31">
        <f>K452/52</f>
        <v/>
      </c>
      <c r="M452" s="39">
        <f>J452/1000000*52</f>
        <v/>
      </c>
      <c r="N452" s="33">
        <f>M452/$P$4+($I$22/$P$4)</f>
        <v/>
      </c>
      <c r="U452">
        <f>F451</f>
        <v/>
      </c>
      <c r="V452">
        <f>H451</f>
        <v/>
      </c>
      <c r="W452">
        <f>N451</f>
        <v/>
      </c>
    </row>
    <row r="453" ht="15.75" customHeight="1" s="40">
      <c r="C453" s="36">
        <f>_xlfn.IFS(E453&lt;E$24,0,E453&lt;E$26,C$24,E453&lt;E$28,C$26,E453&lt;E$30,C$28,E453&lt;E$32,C$30,E453&lt;E$34,C$32,E453&gt;=E$34,C$34)</f>
        <v/>
      </c>
      <c r="D453" s="37">
        <f>_xlfn.IFS(E453&lt;E$24,0,E453&lt;E$25,D$24,E453&lt;E$26,D$25,E453&lt;E$27,D$26,E453&lt;E$28,D$27,E453&lt;E$29,D$28,E453&lt;E$30,D$29,E453&lt;E$31,D$30,E453&lt;E$32,D$31,E453&lt;E$33,D$32,E453&lt;E$34,D$33,E453&lt;E$35,D$34,E453&gt;=E$35,D$35)</f>
        <v/>
      </c>
      <c r="E453" s="38" t="n">
        <v>403</v>
      </c>
      <c r="F453" s="31">
        <f>E453/52</f>
        <v/>
      </c>
      <c r="G453" s="39">
        <f>D453/1000000*52</f>
        <v/>
      </c>
      <c r="H453" s="33">
        <f>G453/$P$4+($C$22/$P$4)</f>
        <v/>
      </c>
      <c r="I453" s="36">
        <f>_xlfn.IFS(K453&lt;K$24,0,K453&lt;K$26,I$24,K453&lt;K$28,I$26,K453&lt;K$30,I$28,K453&lt;K$32,I$30,K453&lt;K$34,I$32,K453&lt;K$36,I$34,K453&lt;K$38,I$36,K453&lt;K$40,I$38,K453&lt;K$42,I$40,K453&lt;K$44,I$42,K453&lt;K$46,I$44,K453&gt;=K$46,I$46)</f>
        <v/>
      </c>
      <c r="J453" s="37">
        <f>_xlfn.IFS(K453&lt;K$24,0,K453&lt;K$25,J$24,K453&lt;K$26,J$25,K453&lt;K$27,J$26,K453&lt;K$28,J$27,K453&lt;K$29,J$28,K453&lt;K$30,J$29,K453&lt;K$31,J$30,K453&lt;K$32,J$31,K453&lt;K$33,J$32,K453&lt;K$34,J$33,K453&lt;K$35,J$34,K453&lt;K$36,J$35,K453&lt;K$37,J$36,K453&lt;K$38,J$37,K453&lt;K$39,J$38,K453&lt;K$40,J$39,K453&lt;K$41,J$40,K453&lt;K$42,J$41,K453&lt;K$43,J$42,K453&lt;K$44,J$43,K453&lt;K$45,J$44,K453&lt;K$46,J$45,K453&lt;K$47,J$46,K453&gt;=K$47,J$47)</f>
        <v/>
      </c>
      <c r="K453" s="38" t="n">
        <v>403</v>
      </c>
      <c r="L453" s="31">
        <f>K453/52</f>
        <v/>
      </c>
      <c r="M453" s="39">
        <f>J453/1000000*52</f>
        <v/>
      </c>
      <c r="N453" s="33">
        <f>M453/$P$4+($I$22/$P$4)</f>
        <v/>
      </c>
      <c r="U453">
        <f>F452</f>
        <v/>
      </c>
      <c r="V453">
        <f>H452</f>
        <v/>
      </c>
      <c r="W453">
        <f>N452</f>
        <v/>
      </c>
    </row>
    <row r="454" ht="15.75" customHeight="1" s="40">
      <c r="C454" s="36">
        <f>_xlfn.IFS(E454&lt;E$24,0,E454&lt;E$26,C$24,E454&lt;E$28,C$26,E454&lt;E$30,C$28,E454&lt;E$32,C$30,E454&lt;E$34,C$32,E454&gt;=E$34,C$34)</f>
        <v/>
      </c>
      <c r="D454" s="37">
        <f>_xlfn.IFS(E454&lt;E$24,0,E454&lt;E$25,D$24,E454&lt;E$26,D$25,E454&lt;E$27,D$26,E454&lt;E$28,D$27,E454&lt;E$29,D$28,E454&lt;E$30,D$29,E454&lt;E$31,D$30,E454&lt;E$32,D$31,E454&lt;E$33,D$32,E454&lt;E$34,D$33,E454&lt;E$35,D$34,E454&gt;=E$35,D$35)</f>
        <v/>
      </c>
      <c r="E454" s="38" t="n">
        <v>404</v>
      </c>
      <c r="F454" s="31">
        <f>E454/52</f>
        <v/>
      </c>
      <c r="G454" s="39">
        <f>D454/1000000*52</f>
        <v/>
      </c>
      <c r="H454" s="33">
        <f>G454/$P$4+($C$22/$P$4)</f>
        <v/>
      </c>
      <c r="I454" s="36">
        <f>_xlfn.IFS(K454&lt;K$24,0,K454&lt;K$26,I$24,K454&lt;K$28,I$26,K454&lt;K$30,I$28,K454&lt;K$32,I$30,K454&lt;K$34,I$32,K454&lt;K$36,I$34,K454&lt;K$38,I$36,K454&lt;K$40,I$38,K454&lt;K$42,I$40,K454&lt;K$44,I$42,K454&lt;K$46,I$44,K454&gt;=K$46,I$46)</f>
        <v/>
      </c>
      <c r="J454" s="37">
        <f>_xlfn.IFS(K454&lt;K$24,0,K454&lt;K$25,J$24,K454&lt;K$26,J$25,K454&lt;K$27,J$26,K454&lt;K$28,J$27,K454&lt;K$29,J$28,K454&lt;K$30,J$29,K454&lt;K$31,J$30,K454&lt;K$32,J$31,K454&lt;K$33,J$32,K454&lt;K$34,J$33,K454&lt;K$35,J$34,K454&lt;K$36,J$35,K454&lt;K$37,J$36,K454&lt;K$38,J$37,K454&lt;K$39,J$38,K454&lt;K$40,J$39,K454&lt;K$41,J$40,K454&lt;K$42,J$41,K454&lt;K$43,J$42,K454&lt;K$44,J$43,K454&lt;K$45,J$44,K454&lt;K$46,J$45,K454&lt;K$47,J$46,K454&gt;=K$47,J$47)</f>
        <v/>
      </c>
      <c r="K454" s="38" t="n">
        <v>404</v>
      </c>
      <c r="L454" s="31">
        <f>K454/52</f>
        <v/>
      </c>
      <c r="M454" s="39">
        <f>J454/1000000*52</f>
        <v/>
      </c>
      <c r="N454" s="33">
        <f>M454/$P$4+($I$22/$P$4)</f>
        <v/>
      </c>
      <c r="U454">
        <f>F453</f>
        <v/>
      </c>
      <c r="V454">
        <f>H453</f>
        <v/>
      </c>
      <c r="W454">
        <f>N453</f>
        <v/>
      </c>
    </row>
    <row r="455" ht="15.75" customHeight="1" s="40">
      <c r="C455" s="36">
        <f>_xlfn.IFS(E455&lt;E$24,0,E455&lt;E$26,C$24,E455&lt;E$28,C$26,E455&lt;E$30,C$28,E455&lt;E$32,C$30,E455&lt;E$34,C$32,E455&gt;=E$34,C$34)</f>
        <v/>
      </c>
      <c r="D455" s="37">
        <f>_xlfn.IFS(E455&lt;E$24,0,E455&lt;E$25,D$24,E455&lt;E$26,D$25,E455&lt;E$27,D$26,E455&lt;E$28,D$27,E455&lt;E$29,D$28,E455&lt;E$30,D$29,E455&lt;E$31,D$30,E455&lt;E$32,D$31,E455&lt;E$33,D$32,E455&lt;E$34,D$33,E455&lt;E$35,D$34,E455&gt;=E$35,D$35)</f>
        <v/>
      </c>
      <c r="E455" s="38" t="n">
        <v>405</v>
      </c>
      <c r="F455" s="31">
        <f>E455/52</f>
        <v/>
      </c>
      <c r="G455" s="39">
        <f>D455/1000000*52</f>
        <v/>
      </c>
      <c r="H455" s="33">
        <f>G455/$P$4+($C$22/$P$4)</f>
        <v/>
      </c>
      <c r="I455" s="36">
        <f>_xlfn.IFS(K455&lt;K$24,0,K455&lt;K$26,I$24,K455&lt;K$28,I$26,K455&lt;K$30,I$28,K455&lt;K$32,I$30,K455&lt;K$34,I$32,K455&lt;K$36,I$34,K455&lt;K$38,I$36,K455&lt;K$40,I$38,K455&lt;K$42,I$40,K455&lt;K$44,I$42,K455&lt;K$46,I$44,K455&gt;=K$46,I$46)</f>
        <v/>
      </c>
      <c r="J455" s="37">
        <f>_xlfn.IFS(K455&lt;K$24,0,K455&lt;K$25,J$24,K455&lt;K$26,J$25,K455&lt;K$27,J$26,K455&lt;K$28,J$27,K455&lt;K$29,J$28,K455&lt;K$30,J$29,K455&lt;K$31,J$30,K455&lt;K$32,J$31,K455&lt;K$33,J$32,K455&lt;K$34,J$33,K455&lt;K$35,J$34,K455&lt;K$36,J$35,K455&lt;K$37,J$36,K455&lt;K$38,J$37,K455&lt;K$39,J$38,K455&lt;K$40,J$39,K455&lt;K$41,J$40,K455&lt;K$42,J$41,K455&lt;K$43,J$42,K455&lt;K$44,J$43,K455&lt;K$45,J$44,K455&lt;K$46,J$45,K455&lt;K$47,J$46,K455&gt;=K$47,J$47)</f>
        <v/>
      </c>
      <c r="K455" s="38" t="n">
        <v>405</v>
      </c>
      <c r="L455" s="31">
        <f>K455/52</f>
        <v/>
      </c>
      <c r="M455" s="39">
        <f>J455/1000000*52</f>
        <v/>
      </c>
      <c r="N455" s="33">
        <f>M455/$P$4+($I$22/$P$4)</f>
        <v/>
      </c>
      <c r="U455">
        <f>F454</f>
        <v/>
      </c>
      <c r="V455">
        <f>H454</f>
        <v/>
      </c>
      <c r="W455">
        <f>N454</f>
        <v/>
      </c>
    </row>
    <row r="456" ht="15.75" customHeight="1" s="40">
      <c r="C456" s="36">
        <f>_xlfn.IFS(E456&lt;E$24,0,E456&lt;E$26,C$24,E456&lt;E$28,C$26,E456&lt;E$30,C$28,E456&lt;E$32,C$30,E456&lt;E$34,C$32,E456&gt;=E$34,C$34)</f>
        <v/>
      </c>
      <c r="D456" s="37">
        <f>_xlfn.IFS(E456&lt;E$24,0,E456&lt;E$25,D$24,E456&lt;E$26,D$25,E456&lt;E$27,D$26,E456&lt;E$28,D$27,E456&lt;E$29,D$28,E456&lt;E$30,D$29,E456&lt;E$31,D$30,E456&lt;E$32,D$31,E456&lt;E$33,D$32,E456&lt;E$34,D$33,E456&lt;E$35,D$34,E456&gt;=E$35,D$35)</f>
        <v/>
      </c>
      <c r="E456" s="38" t="n">
        <v>406</v>
      </c>
      <c r="F456" s="31">
        <f>E456/52</f>
        <v/>
      </c>
      <c r="G456" s="39">
        <f>D456/1000000*52</f>
        <v/>
      </c>
      <c r="H456" s="33">
        <f>G456/$P$4+($C$22/$P$4)</f>
        <v/>
      </c>
      <c r="I456" s="36">
        <f>_xlfn.IFS(K456&lt;K$24,0,K456&lt;K$26,I$24,K456&lt;K$28,I$26,K456&lt;K$30,I$28,K456&lt;K$32,I$30,K456&lt;K$34,I$32,K456&lt;K$36,I$34,K456&lt;K$38,I$36,K456&lt;K$40,I$38,K456&lt;K$42,I$40,K456&lt;K$44,I$42,K456&lt;K$46,I$44,K456&gt;=K$46,I$46)</f>
        <v/>
      </c>
      <c r="J456" s="37">
        <f>_xlfn.IFS(K456&lt;K$24,0,K456&lt;K$25,J$24,K456&lt;K$26,J$25,K456&lt;K$27,J$26,K456&lt;K$28,J$27,K456&lt;K$29,J$28,K456&lt;K$30,J$29,K456&lt;K$31,J$30,K456&lt;K$32,J$31,K456&lt;K$33,J$32,K456&lt;K$34,J$33,K456&lt;K$35,J$34,K456&lt;K$36,J$35,K456&lt;K$37,J$36,K456&lt;K$38,J$37,K456&lt;K$39,J$38,K456&lt;K$40,J$39,K456&lt;K$41,J$40,K456&lt;K$42,J$41,K456&lt;K$43,J$42,K456&lt;K$44,J$43,K456&lt;K$45,J$44,K456&lt;K$46,J$45,K456&lt;K$47,J$46,K456&gt;=K$47,J$47)</f>
        <v/>
      </c>
      <c r="K456" s="38" t="n">
        <v>406</v>
      </c>
      <c r="L456" s="31">
        <f>K456/52</f>
        <v/>
      </c>
      <c r="M456" s="39">
        <f>J456/1000000*52</f>
        <v/>
      </c>
      <c r="N456" s="33">
        <f>M456/$P$4+($I$22/$P$4)</f>
        <v/>
      </c>
      <c r="U456">
        <f>F455</f>
        <v/>
      </c>
      <c r="V456">
        <f>H455</f>
        <v/>
      </c>
      <c r="W456">
        <f>N455</f>
        <v/>
      </c>
    </row>
    <row r="457" ht="15.75" customHeight="1" s="40">
      <c r="C457" s="36">
        <f>_xlfn.IFS(E457&lt;E$24,0,E457&lt;E$26,C$24,E457&lt;E$28,C$26,E457&lt;E$30,C$28,E457&lt;E$32,C$30,E457&lt;E$34,C$32,E457&gt;=E$34,C$34)</f>
        <v/>
      </c>
      <c r="D457" s="37">
        <f>_xlfn.IFS(E457&lt;E$24,0,E457&lt;E$25,D$24,E457&lt;E$26,D$25,E457&lt;E$27,D$26,E457&lt;E$28,D$27,E457&lt;E$29,D$28,E457&lt;E$30,D$29,E457&lt;E$31,D$30,E457&lt;E$32,D$31,E457&lt;E$33,D$32,E457&lt;E$34,D$33,E457&lt;E$35,D$34,E457&gt;=E$35,D$35)</f>
        <v/>
      </c>
      <c r="E457" s="38" t="n">
        <v>407</v>
      </c>
      <c r="F457" s="31">
        <f>E457/52</f>
        <v/>
      </c>
      <c r="G457" s="39">
        <f>D457/1000000*52</f>
        <v/>
      </c>
      <c r="H457" s="33">
        <f>G457/$P$4+($C$22/$P$4)</f>
        <v/>
      </c>
      <c r="I457" s="36">
        <f>_xlfn.IFS(K457&lt;K$24,0,K457&lt;K$26,I$24,K457&lt;K$28,I$26,K457&lt;K$30,I$28,K457&lt;K$32,I$30,K457&lt;K$34,I$32,K457&lt;K$36,I$34,K457&lt;K$38,I$36,K457&lt;K$40,I$38,K457&lt;K$42,I$40,K457&lt;K$44,I$42,K457&lt;K$46,I$44,K457&gt;=K$46,I$46)</f>
        <v/>
      </c>
      <c r="J457" s="37">
        <f>_xlfn.IFS(K457&lt;K$24,0,K457&lt;K$25,J$24,K457&lt;K$26,J$25,K457&lt;K$27,J$26,K457&lt;K$28,J$27,K457&lt;K$29,J$28,K457&lt;K$30,J$29,K457&lt;K$31,J$30,K457&lt;K$32,J$31,K457&lt;K$33,J$32,K457&lt;K$34,J$33,K457&lt;K$35,J$34,K457&lt;K$36,J$35,K457&lt;K$37,J$36,K457&lt;K$38,J$37,K457&lt;K$39,J$38,K457&lt;K$40,J$39,K457&lt;K$41,J$40,K457&lt;K$42,J$41,K457&lt;K$43,J$42,K457&lt;K$44,J$43,K457&lt;K$45,J$44,K457&lt;K$46,J$45,K457&lt;K$47,J$46,K457&gt;=K$47,J$47)</f>
        <v/>
      </c>
      <c r="K457" s="38" t="n">
        <v>407</v>
      </c>
      <c r="L457" s="31">
        <f>K457/52</f>
        <v/>
      </c>
      <c r="M457" s="39">
        <f>J457/1000000*52</f>
        <v/>
      </c>
      <c r="N457" s="33">
        <f>M457/$P$4+($I$22/$P$4)</f>
        <v/>
      </c>
      <c r="U457">
        <f>F456</f>
        <v/>
      </c>
      <c r="V457">
        <f>H456</f>
        <v/>
      </c>
      <c r="W457">
        <f>N456</f>
        <v/>
      </c>
    </row>
    <row r="458" ht="15.75" customHeight="1" s="40">
      <c r="C458" s="36">
        <f>_xlfn.IFS(E458&lt;E$24,0,E458&lt;E$26,C$24,E458&lt;E$28,C$26,E458&lt;E$30,C$28,E458&lt;E$32,C$30,E458&lt;E$34,C$32,E458&gt;=E$34,C$34)</f>
        <v/>
      </c>
      <c r="D458" s="37">
        <f>_xlfn.IFS(E458&lt;E$24,0,E458&lt;E$25,D$24,E458&lt;E$26,D$25,E458&lt;E$27,D$26,E458&lt;E$28,D$27,E458&lt;E$29,D$28,E458&lt;E$30,D$29,E458&lt;E$31,D$30,E458&lt;E$32,D$31,E458&lt;E$33,D$32,E458&lt;E$34,D$33,E458&lt;E$35,D$34,E458&gt;=E$35,D$35)</f>
        <v/>
      </c>
      <c r="E458" s="38" t="n">
        <v>408</v>
      </c>
      <c r="F458" s="31">
        <f>E458/52</f>
        <v/>
      </c>
      <c r="G458" s="39">
        <f>D458/1000000*52</f>
        <v/>
      </c>
      <c r="H458" s="33">
        <f>G458/$P$4+($C$22/$P$4)</f>
        <v/>
      </c>
      <c r="I458" s="36">
        <f>_xlfn.IFS(K458&lt;K$24,0,K458&lt;K$26,I$24,K458&lt;K$28,I$26,K458&lt;K$30,I$28,K458&lt;K$32,I$30,K458&lt;K$34,I$32,K458&lt;K$36,I$34,K458&lt;K$38,I$36,K458&lt;K$40,I$38,K458&lt;K$42,I$40,K458&lt;K$44,I$42,K458&lt;K$46,I$44,K458&gt;=K$46,I$46)</f>
        <v/>
      </c>
      <c r="J458" s="37">
        <f>_xlfn.IFS(K458&lt;K$24,0,K458&lt;K$25,J$24,K458&lt;K$26,J$25,K458&lt;K$27,J$26,K458&lt;K$28,J$27,K458&lt;K$29,J$28,K458&lt;K$30,J$29,K458&lt;K$31,J$30,K458&lt;K$32,J$31,K458&lt;K$33,J$32,K458&lt;K$34,J$33,K458&lt;K$35,J$34,K458&lt;K$36,J$35,K458&lt;K$37,J$36,K458&lt;K$38,J$37,K458&lt;K$39,J$38,K458&lt;K$40,J$39,K458&lt;K$41,J$40,K458&lt;K$42,J$41,K458&lt;K$43,J$42,K458&lt;K$44,J$43,K458&lt;K$45,J$44,K458&lt;K$46,J$45,K458&lt;K$47,J$46,K458&gt;=K$47,J$47)</f>
        <v/>
      </c>
      <c r="K458" s="38" t="n">
        <v>408</v>
      </c>
      <c r="L458" s="31">
        <f>K458/52</f>
        <v/>
      </c>
      <c r="M458" s="39">
        <f>J458/1000000*52</f>
        <v/>
      </c>
      <c r="N458" s="33">
        <f>M458/$P$4+($I$22/$P$4)</f>
        <v/>
      </c>
      <c r="U458">
        <f>F457</f>
        <v/>
      </c>
      <c r="V458">
        <f>H457</f>
        <v/>
      </c>
      <c r="W458">
        <f>N457</f>
        <v/>
      </c>
    </row>
    <row r="459" ht="15.75" customHeight="1" s="40">
      <c r="C459" s="36">
        <f>_xlfn.IFS(E459&lt;E$24,0,E459&lt;E$26,C$24,E459&lt;E$28,C$26,E459&lt;E$30,C$28,E459&lt;E$32,C$30,E459&lt;E$34,C$32,E459&gt;=E$34,C$34)</f>
        <v/>
      </c>
      <c r="D459" s="37">
        <f>_xlfn.IFS(E459&lt;E$24,0,E459&lt;E$25,D$24,E459&lt;E$26,D$25,E459&lt;E$27,D$26,E459&lt;E$28,D$27,E459&lt;E$29,D$28,E459&lt;E$30,D$29,E459&lt;E$31,D$30,E459&lt;E$32,D$31,E459&lt;E$33,D$32,E459&lt;E$34,D$33,E459&lt;E$35,D$34,E459&gt;=E$35,D$35)</f>
        <v/>
      </c>
      <c r="E459" s="38" t="n">
        <v>409</v>
      </c>
      <c r="F459" s="31">
        <f>E459/52</f>
        <v/>
      </c>
      <c r="G459" s="39">
        <f>D459/1000000*52</f>
        <v/>
      </c>
      <c r="H459" s="33">
        <f>G459/$P$4+($C$22/$P$4)</f>
        <v/>
      </c>
      <c r="I459" s="36">
        <f>_xlfn.IFS(K459&lt;K$24,0,K459&lt;K$26,I$24,K459&lt;K$28,I$26,K459&lt;K$30,I$28,K459&lt;K$32,I$30,K459&lt;K$34,I$32,K459&lt;K$36,I$34,K459&lt;K$38,I$36,K459&lt;K$40,I$38,K459&lt;K$42,I$40,K459&lt;K$44,I$42,K459&lt;K$46,I$44,K459&gt;=K$46,I$46)</f>
        <v/>
      </c>
      <c r="J459" s="37">
        <f>_xlfn.IFS(K459&lt;K$24,0,K459&lt;K$25,J$24,K459&lt;K$26,J$25,K459&lt;K$27,J$26,K459&lt;K$28,J$27,K459&lt;K$29,J$28,K459&lt;K$30,J$29,K459&lt;K$31,J$30,K459&lt;K$32,J$31,K459&lt;K$33,J$32,K459&lt;K$34,J$33,K459&lt;K$35,J$34,K459&lt;K$36,J$35,K459&lt;K$37,J$36,K459&lt;K$38,J$37,K459&lt;K$39,J$38,K459&lt;K$40,J$39,K459&lt;K$41,J$40,K459&lt;K$42,J$41,K459&lt;K$43,J$42,K459&lt;K$44,J$43,K459&lt;K$45,J$44,K459&lt;K$46,J$45,K459&lt;K$47,J$46,K459&gt;=K$47,J$47)</f>
        <v/>
      </c>
      <c r="K459" s="38" t="n">
        <v>409</v>
      </c>
      <c r="L459" s="31">
        <f>K459/52</f>
        <v/>
      </c>
      <c r="M459" s="39">
        <f>J459/1000000*52</f>
        <v/>
      </c>
      <c r="N459" s="33">
        <f>M459/$P$4+($I$22/$P$4)</f>
        <v/>
      </c>
      <c r="U459">
        <f>F458</f>
        <v/>
      </c>
      <c r="V459">
        <f>H458</f>
        <v/>
      </c>
      <c r="W459">
        <f>N458</f>
        <v/>
      </c>
    </row>
    <row r="460" ht="15.75" customHeight="1" s="40">
      <c r="C460" s="36">
        <f>_xlfn.IFS(E460&lt;E$24,0,E460&lt;E$26,C$24,E460&lt;E$28,C$26,E460&lt;E$30,C$28,E460&lt;E$32,C$30,E460&lt;E$34,C$32,E460&gt;=E$34,C$34)</f>
        <v/>
      </c>
      <c r="D460" s="37">
        <f>_xlfn.IFS(E460&lt;E$24,0,E460&lt;E$25,D$24,E460&lt;E$26,D$25,E460&lt;E$27,D$26,E460&lt;E$28,D$27,E460&lt;E$29,D$28,E460&lt;E$30,D$29,E460&lt;E$31,D$30,E460&lt;E$32,D$31,E460&lt;E$33,D$32,E460&lt;E$34,D$33,E460&lt;E$35,D$34,E460&gt;=E$35,D$35)</f>
        <v/>
      </c>
      <c r="E460" s="38" t="n">
        <v>410</v>
      </c>
      <c r="F460" s="31">
        <f>E460/52</f>
        <v/>
      </c>
      <c r="G460" s="39">
        <f>D460/1000000*52</f>
        <v/>
      </c>
      <c r="H460" s="33">
        <f>G460/$P$4+($C$22/$P$4)</f>
        <v/>
      </c>
      <c r="I460" s="36">
        <f>_xlfn.IFS(K460&lt;K$24,0,K460&lt;K$26,I$24,K460&lt;K$28,I$26,K460&lt;K$30,I$28,K460&lt;K$32,I$30,K460&lt;K$34,I$32,K460&lt;K$36,I$34,K460&lt;K$38,I$36,K460&lt;K$40,I$38,K460&lt;K$42,I$40,K460&lt;K$44,I$42,K460&lt;K$46,I$44,K460&gt;=K$46,I$46)</f>
        <v/>
      </c>
      <c r="J460" s="37">
        <f>_xlfn.IFS(K460&lt;K$24,0,K460&lt;K$25,J$24,K460&lt;K$26,J$25,K460&lt;K$27,J$26,K460&lt;K$28,J$27,K460&lt;K$29,J$28,K460&lt;K$30,J$29,K460&lt;K$31,J$30,K460&lt;K$32,J$31,K460&lt;K$33,J$32,K460&lt;K$34,J$33,K460&lt;K$35,J$34,K460&lt;K$36,J$35,K460&lt;K$37,J$36,K460&lt;K$38,J$37,K460&lt;K$39,J$38,K460&lt;K$40,J$39,K460&lt;K$41,J$40,K460&lt;K$42,J$41,K460&lt;K$43,J$42,K460&lt;K$44,J$43,K460&lt;K$45,J$44,K460&lt;K$46,J$45,K460&lt;K$47,J$46,K460&gt;=K$47,J$47)</f>
        <v/>
      </c>
      <c r="K460" s="38" t="n">
        <v>410</v>
      </c>
      <c r="L460" s="31">
        <f>K460/52</f>
        <v/>
      </c>
      <c r="M460" s="39">
        <f>J460/1000000*52</f>
        <v/>
      </c>
      <c r="N460" s="33">
        <f>M460/$P$4+($I$22/$P$4)</f>
        <v/>
      </c>
      <c r="U460">
        <f>F459</f>
        <v/>
      </c>
      <c r="V460">
        <f>H459</f>
        <v/>
      </c>
      <c r="W460">
        <f>N459</f>
        <v/>
      </c>
    </row>
    <row r="461" ht="15.75" customHeight="1" s="40">
      <c r="C461" s="36">
        <f>_xlfn.IFS(E461&lt;E$24,0,E461&lt;E$26,C$24,E461&lt;E$28,C$26,E461&lt;E$30,C$28,E461&lt;E$32,C$30,E461&lt;E$34,C$32,E461&gt;=E$34,C$34)</f>
        <v/>
      </c>
      <c r="D461" s="37">
        <f>_xlfn.IFS(E461&lt;E$24,0,E461&lt;E$25,D$24,E461&lt;E$26,D$25,E461&lt;E$27,D$26,E461&lt;E$28,D$27,E461&lt;E$29,D$28,E461&lt;E$30,D$29,E461&lt;E$31,D$30,E461&lt;E$32,D$31,E461&lt;E$33,D$32,E461&lt;E$34,D$33,E461&lt;E$35,D$34,E461&gt;=E$35,D$35)</f>
        <v/>
      </c>
      <c r="E461" s="38" t="n">
        <v>411</v>
      </c>
      <c r="F461" s="31">
        <f>E461/52</f>
        <v/>
      </c>
      <c r="G461" s="39">
        <f>D461/1000000*52</f>
        <v/>
      </c>
      <c r="H461" s="33">
        <f>G461/$P$4+($C$22/$P$4)</f>
        <v/>
      </c>
      <c r="I461" s="36">
        <f>_xlfn.IFS(K461&lt;K$24,0,K461&lt;K$26,I$24,K461&lt;K$28,I$26,K461&lt;K$30,I$28,K461&lt;K$32,I$30,K461&lt;K$34,I$32,K461&lt;K$36,I$34,K461&lt;K$38,I$36,K461&lt;K$40,I$38,K461&lt;K$42,I$40,K461&lt;K$44,I$42,K461&lt;K$46,I$44,K461&gt;=K$46,I$46)</f>
        <v/>
      </c>
      <c r="J461" s="37">
        <f>_xlfn.IFS(K461&lt;K$24,0,K461&lt;K$25,J$24,K461&lt;K$26,J$25,K461&lt;K$27,J$26,K461&lt;K$28,J$27,K461&lt;K$29,J$28,K461&lt;K$30,J$29,K461&lt;K$31,J$30,K461&lt;K$32,J$31,K461&lt;K$33,J$32,K461&lt;K$34,J$33,K461&lt;K$35,J$34,K461&lt;K$36,J$35,K461&lt;K$37,J$36,K461&lt;K$38,J$37,K461&lt;K$39,J$38,K461&lt;K$40,J$39,K461&lt;K$41,J$40,K461&lt;K$42,J$41,K461&lt;K$43,J$42,K461&lt;K$44,J$43,K461&lt;K$45,J$44,K461&lt;K$46,J$45,K461&lt;K$47,J$46,K461&gt;=K$47,J$47)</f>
        <v/>
      </c>
      <c r="K461" s="38" t="n">
        <v>411</v>
      </c>
      <c r="L461" s="31">
        <f>K461/52</f>
        <v/>
      </c>
      <c r="M461" s="39">
        <f>J461/1000000*52</f>
        <v/>
      </c>
      <c r="N461" s="33">
        <f>M461/$P$4+($I$22/$P$4)</f>
        <v/>
      </c>
      <c r="U461">
        <f>F460</f>
        <v/>
      </c>
      <c r="V461">
        <f>H460</f>
        <v/>
      </c>
      <c r="W461">
        <f>N460</f>
        <v/>
      </c>
    </row>
    <row r="462" ht="15.75" customHeight="1" s="40">
      <c r="C462" s="36">
        <f>_xlfn.IFS(E462&lt;E$24,0,E462&lt;E$26,C$24,E462&lt;E$28,C$26,E462&lt;E$30,C$28,E462&lt;E$32,C$30,E462&lt;E$34,C$32,E462&gt;=E$34,C$34)</f>
        <v/>
      </c>
      <c r="D462" s="37">
        <f>_xlfn.IFS(E462&lt;E$24,0,E462&lt;E$25,D$24,E462&lt;E$26,D$25,E462&lt;E$27,D$26,E462&lt;E$28,D$27,E462&lt;E$29,D$28,E462&lt;E$30,D$29,E462&lt;E$31,D$30,E462&lt;E$32,D$31,E462&lt;E$33,D$32,E462&lt;E$34,D$33,E462&lt;E$35,D$34,E462&gt;=E$35,D$35)</f>
        <v/>
      </c>
      <c r="E462" s="38" t="n">
        <v>412</v>
      </c>
      <c r="F462" s="31">
        <f>E462/52</f>
        <v/>
      </c>
      <c r="G462" s="39">
        <f>D462/1000000*52</f>
        <v/>
      </c>
      <c r="H462" s="33">
        <f>G462/$P$4+($C$22/$P$4)</f>
        <v/>
      </c>
      <c r="I462" s="36">
        <f>_xlfn.IFS(K462&lt;K$24,0,K462&lt;K$26,I$24,K462&lt;K$28,I$26,K462&lt;K$30,I$28,K462&lt;K$32,I$30,K462&lt;K$34,I$32,K462&lt;K$36,I$34,K462&lt;K$38,I$36,K462&lt;K$40,I$38,K462&lt;K$42,I$40,K462&lt;K$44,I$42,K462&lt;K$46,I$44,K462&gt;=K$46,I$46)</f>
        <v/>
      </c>
      <c r="J462" s="37">
        <f>_xlfn.IFS(K462&lt;K$24,0,K462&lt;K$25,J$24,K462&lt;K$26,J$25,K462&lt;K$27,J$26,K462&lt;K$28,J$27,K462&lt;K$29,J$28,K462&lt;K$30,J$29,K462&lt;K$31,J$30,K462&lt;K$32,J$31,K462&lt;K$33,J$32,K462&lt;K$34,J$33,K462&lt;K$35,J$34,K462&lt;K$36,J$35,K462&lt;K$37,J$36,K462&lt;K$38,J$37,K462&lt;K$39,J$38,K462&lt;K$40,J$39,K462&lt;K$41,J$40,K462&lt;K$42,J$41,K462&lt;K$43,J$42,K462&lt;K$44,J$43,K462&lt;K$45,J$44,K462&lt;K$46,J$45,K462&lt;K$47,J$46,K462&gt;=K$47,J$47)</f>
        <v/>
      </c>
      <c r="K462" s="38" t="n">
        <v>412</v>
      </c>
      <c r="L462" s="31">
        <f>K462/52</f>
        <v/>
      </c>
      <c r="M462" s="39">
        <f>J462/1000000*52</f>
        <v/>
      </c>
      <c r="N462" s="33">
        <f>M462/$P$4+($I$22/$P$4)</f>
        <v/>
      </c>
      <c r="U462">
        <f>F461</f>
        <v/>
      </c>
      <c r="V462">
        <f>H461</f>
        <v/>
      </c>
      <c r="W462">
        <f>N461</f>
        <v/>
      </c>
    </row>
    <row r="463" ht="15.75" customHeight="1" s="40">
      <c r="C463" s="36">
        <f>_xlfn.IFS(E463&lt;E$24,0,E463&lt;E$26,C$24,E463&lt;E$28,C$26,E463&lt;E$30,C$28,E463&lt;E$32,C$30,E463&lt;E$34,C$32,E463&gt;=E$34,C$34)</f>
        <v/>
      </c>
      <c r="D463" s="37">
        <f>_xlfn.IFS(E463&lt;E$24,0,E463&lt;E$25,D$24,E463&lt;E$26,D$25,E463&lt;E$27,D$26,E463&lt;E$28,D$27,E463&lt;E$29,D$28,E463&lt;E$30,D$29,E463&lt;E$31,D$30,E463&lt;E$32,D$31,E463&lt;E$33,D$32,E463&lt;E$34,D$33,E463&lt;E$35,D$34,E463&gt;=E$35,D$35)</f>
        <v/>
      </c>
      <c r="E463" s="38" t="n">
        <v>413</v>
      </c>
      <c r="F463" s="31">
        <f>E463/52</f>
        <v/>
      </c>
      <c r="G463" s="39">
        <f>D463/1000000*52</f>
        <v/>
      </c>
      <c r="H463" s="33">
        <f>G463/$P$4+($C$22/$P$4)</f>
        <v/>
      </c>
      <c r="I463" s="36">
        <f>_xlfn.IFS(K463&lt;K$24,0,K463&lt;K$26,I$24,K463&lt;K$28,I$26,K463&lt;K$30,I$28,K463&lt;K$32,I$30,K463&lt;K$34,I$32,K463&lt;K$36,I$34,K463&lt;K$38,I$36,K463&lt;K$40,I$38,K463&lt;K$42,I$40,K463&lt;K$44,I$42,K463&lt;K$46,I$44,K463&gt;=K$46,I$46)</f>
        <v/>
      </c>
      <c r="J463" s="37">
        <f>_xlfn.IFS(K463&lt;K$24,0,K463&lt;K$25,J$24,K463&lt;K$26,J$25,K463&lt;K$27,J$26,K463&lt;K$28,J$27,K463&lt;K$29,J$28,K463&lt;K$30,J$29,K463&lt;K$31,J$30,K463&lt;K$32,J$31,K463&lt;K$33,J$32,K463&lt;K$34,J$33,K463&lt;K$35,J$34,K463&lt;K$36,J$35,K463&lt;K$37,J$36,K463&lt;K$38,J$37,K463&lt;K$39,J$38,K463&lt;K$40,J$39,K463&lt;K$41,J$40,K463&lt;K$42,J$41,K463&lt;K$43,J$42,K463&lt;K$44,J$43,K463&lt;K$45,J$44,K463&lt;K$46,J$45,K463&lt;K$47,J$46,K463&gt;=K$47,J$47)</f>
        <v/>
      </c>
      <c r="K463" s="38" t="n">
        <v>413</v>
      </c>
      <c r="L463" s="31">
        <f>K463/52</f>
        <v/>
      </c>
      <c r="M463" s="39">
        <f>J463/1000000*52</f>
        <v/>
      </c>
      <c r="N463" s="33">
        <f>M463/$P$4+($I$22/$P$4)</f>
        <v/>
      </c>
      <c r="U463">
        <f>F462</f>
        <v/>
      </c>
      <c r="V463">
        <f>H462</f>
        <v/>
      </c>
      <c r="W463">
        <f>N462</f>
        <v/>
      </c>
    </row>
    <row r="464" ht="15.75" customHeight="1" s="40">
      <c r="C464" s="36">
        <f>_xlfn.IFS(E464&lt;E$24,0,E464&lt;E$26,C$24,E464&lt;E$28,C$26,E464&lt;E$30,C$28,E464&lt;E$32,C$30,E464&lt;E$34,C$32,E464&gt;=E$34,C$34)</f>
        <v/>
      </c>
      <c r="D464" s="37">
        <f>_xlfn.IFS(E464&lt;E$24,0,E464&lt;E$25,D$24,E464&lt;E$26,D$25,E464&lt;E$27,D$26,E464&lt;E$28,D$27,E464&lt;E$29,D$28,E464&lt;E$30,D$29,E464&lt;E$31,D$30,E464&lt;E$32,D$31,E464&lt;E$33,D$32,E464&lt;E$34,D$33,E464&lt;E$35,D$34,E464&gt;=E$35,D$35)</f>
        <v/>
      </c>
      <c r="E464" s="38" t="n">
        <v>414</v>
      </c>
      <c r="F464" s="31">
        <f>E464/52</f>
        <v/>
      </c>
      <c r="G464" s="39">
        <f>D464/1000000*52</f>
        <v/>
      </c>
      <c r="H464" s="33">
        <f>G464/$P$4+($C$22/$P$4)</f>
        <v/>
      </c>
      <c r="I464" s="36">
        <f>_xlfn.IFS(K464&lt;K$24,0,K464&lt;K$26,I$24,K464&lt;K$28,I$26,K464&lt;K$30,I$28,K464&lt;K$32,I$30,K464&lt;K$34,I$32,K464&lt;K$36,I$34,K464&lt;K$38,I$36,K464&lt;K$40,I$38,K464&lt;K$42,I$40,K464&lt;K$44,I$42,K464&lt;K$46,I$44,K464&gt;=K$46,I$46)</f>
        <v/>
      </c>
      <c r="J464" s="37">
        <f>_xlfn.IFS(K464&lt;K$24,0,K464&lt;K$25,J$24,K464&lt;K$26,J$25,K464&lt;K$27,J$26,K464&lt;K$28,J$27,K464&lt;K$29,J$28,K464&lt;K$30,J$29,K464&lt;K$31,J$30,K464&lt;K$32,J$31,K464&lt;K$33,J$32,K464&lt;K$34,J$33,K464&lt;K$35,J$34,K464&lt;K$36,J$35,K464&lt;K$37,J$36,K464&lt;K$38,J$37,K464&lt;K$39,J$38,K464&lt;K$40,J$39,K464&lt;K$41,J$40,K464&lt;K$42,J$41,K464&lt;K$43,J$42,K464&lt;K$44,J$43,K464&lt;K$45,J$44,K464&lt;K$46,J$45,K464&lt;K$47,J$46,K464&gt;=K$47,J$47)</f>
        <v/>
      </c>
      <c r="K464" s="38" t="n">
        <v>414</v>
      </c>
      <c r="L464" s="31">
        <f>K464/52</f>
        <v/>
      </c>
      <c r="M464" s="39">
        <f>J464/1000000*52</f>
        <v/>
      </c>
      <c r="N464" s="33">
        <f>M464/$P$4+($I$22/$P$4)</f>
        <v/>
      </c>
      <c r="U464">
        <f>F463</f>
        <v/>
      </c>
      <c r="V464">
        <f>H463</f>
        <v/>
      </c>
      <c r="W464">
        <f>N463</f>
        <v/>
      </c>
    </row>
    <row r="465" ht="15.75" customHeight="1" s="40">
      <c r="C465" s="36">
        <f>_xlfn.IFS(E465&lt;E$24,0,E465&lt;E$26,C$24,E465&lt;E$28,C$26,E465&lt;E$30,C$28,E465&lt;E$32,C$30,E465&lt;E$34,C$32,E465&gt;=E$34,C$34)</f>
        <v/>
      </c>
      <c r="D465" s="37">
        <f>_xlfn.IFS(E465&lt;E$24,0,E465&lt;E$25,D$24,E465&lt;E$26,D$25,E465&lt;E$27,D$26,E465&lt;E$28,D$27,E465&lt;E$29,D$28,E465&lt;E$30,D$29,E465&lt;E$31,D$30,E465&lt;E$32,D$31,E465&lt;E$33,D$32,E465&lt;E$34,D$33,E465&lt;E$35,D$34,E465&gt;=E$35,D$35)</f>
        <v/>
      </c>
      <c r="E465" s="38" t="n">
        <v>415</v>
      </c>
      <c r="F465" s="31">
        <f>E465/52</f>
        <v/>
      </c>
      <c r="G465" s="39">
        <f>D465/1000000*52</f>
        <v/>
      </c>
      <c r="H465" s="33">
        <f>G465/$P$4+($C$22/$P$4)</f>
        <v/>
      </c>
      <c r="I465" s="36">
        <f>_xlfn.IFS(K465&lt;K$24,0,K465&lt;K$26,I$24,K465&lt;K$28,I$26,K465&lt;K$30,I$28,K465&lt;K$32,I$30,K465&lt;K$34,I$32,K465&lt;K$36,I$34,K465&lt;K$38,I$36,K465&lt;K$40,I$38,K465&lt;K$42,I$40,K465&lt;K$44,I$42,K465&lt;K$46,I$44,K465&gt;=K$46,I$46)</f>
        <v/>
      </c>
      <c r="J465" s="37">
        <f>_xlfn.IFS(K465&lt;K$24,0,K465&lt;K$25,J$24,K465&lt;K$26,J$25,K465&lt;K$27,J$26,K465&lt;K$28,J$27,K465&lt;K$29,J$28,K465&lt;K$30,J$29,K465&lt;K$31,J$30,K465&lt;K$32,J$31,K465&lt;K$33,J$32,K465&lt;K$34,J$33,K465&lt;K$35,J$34,K465&lt;K$36,J$35,K465&lt;K$37,J$36,K465&lt;K$38,J$37,K465&lt;K$39,J$38,K465&lt;K$40,J$39,K465&lt;K$41,J$40,K465&lt;K$42,J$41,K465&lt;K$43,J$42,K465&lt;K$44,J$43,K465&lt;K$45,J$44,K465&lt;K$46,J$45,K465&lt;K$47,J$46,K465&gt;=K$47,J$47)</f>
        <v/>
      </c>
      <c r="K465" s="38" t="n">
        <v>415</v>
      </c>
      <c r="L465" s="31">
        <f>K465/52</f>
        <v/>
      </c>
      <c r="M465" s="39">
        <f>J465/1000000*52</f>
        <v/>
      </c>
      <c r="N465" s="33">
        <f>M465/$P$4+($I$22/$P$4)</f>
        <v/>
      </c>
      <c r="U465">
        <f>F464</f>
        <v/>
      </c>
      <c r="V465">
        <f>H464</f>
        <v/>
      </c>
      <c r="W465">
        <f>N464</f>
        <v/>
      </c>
    </row>
    <row r="466" ht="15.75" customHeight="1" s="40">
      <c r="C466" s="36">
        <f>_xlfn.IFS(E466&lt;E$24,0,E466&lt;E$26,C$24,E466&lt;E$28,C$26,E466&lt;E$30,C$28,E466&lt;E$32,C$30,E466&lt;E$34,C$32,E466&gt;=E$34,C$34)</f>
        <v/>
      </c>
      <c r="D466" s="37">
        <f>_xlfn.IFS(E466&lt;E$24,0,E466&lt;E$25,D$24,E466&lt;E$26,D$25,E466&lt;E$27,D$26,E466&lt;E$28,D$27,E466&lt;E$29,D$28,E466&lt;E$30,D$29,E466&lt;E$31,D$30,E466&lt;E$32,D$31,E466&lt;E$33,D$32,E466&lt;E$34,D$33,E466&lt;E$35,D$34,E466&gt;=E$35,D$35)</f>
        <v/>
      </c>
      <c r="E466" s="38" t="n">
        <v>416</v>
      </c>
      <c r="F466" s="31">
        <f>E466/52</f>
        <v/>
      </c>
      <c r="G466" s="39">
        <f>D466/1000000*52</f>
        <v/>
      </c>
      <c r="H466" s="33">
        <f>G466/$P$4+($C$22/$P$4)</f>
        <v/>
      </c>
      <c r="I466" s="36">
        <f>_xlfn.IFS(K466&lt;K$24,0,K466&lt;K$26,I$24,K466&lt;K$28,I$26,K466&lt;K$30,I$28,K466&lt;K$32,I$30,K466&lt;K$34,I$32,K466&lt;K$36,I$34,K466&lt;K$38,I$36,K466&lt;K$40,I$38,K466&lt;K$42,I$40,K466&lt;K$44,I$42,K466&lt;K$46,I$44,K466&gt;=K$46,I$46)</f>
        <v/>
      </c>
      <c r="J466" s="37">
        <f>_xlfn.IFS(K466&lt;K$24,0,K466&lt;K$25,J$24,K466&lt;K$26,J$25,K466&lt;K$27,J$26,K466&lt;K$28,J$27,K466&lt;K$29,J$28,K466&lt;K$30,J$29,K466&lt;K$31,J$30,K466&lt;K$32,J$31,K466&lt;K$33,J$32,K466&lt;K$34,J$33,K466&lt;K$35,J$34,K466&lt;K$36,J$35,K466&lt;K$37,J$36,K466&lt;K$38,J$37,K466&lt;K$39,J$38,K466&lt;K$40,J$39,K466&lt;K$41,J$40,K466&lt;K$42,J$41,K466&lt;K$43,J$42,K466&lt;K$44,J$43,K466&lt;K$45,J$44,K466&lt;K$46,J$45,K466&lt;K$47,J$46,K466&gt;=K$47,J$47)</f>
        <v/>
      </c>
      <c r="K466" s="38" t="n">
        <v>416</v>
      </c>
      <c r="L466" s="31">
        <f>K466/52</f>
        <v/>
      </c>
      <c r="M466" s="39">
        <f>J466/1000000*52</f>
        <v/>
      </c>
      <c r="N466" s="33">
        <f>M466/$P$4+($I$22/$P$4)</f>
        <v/>
      </c>
      <c r="U466">
        <f>F465</f>
        <v/>
      </c>
      <c r="V466">
        <f>H465</f>
        <v/>
      </c>
      <c r="W466">
        <f>N465</f>
        <v/>
      </c>
    </row>
    <row r="467" ht="15.75" customHeight="1" s="40">
      <c r="C467" s="36">
        <f>_xlfn.IFS(E467&lt;E$24,0,E467&lt;E$26,C$24,E467&lt;E$28,C$26,E467&lt;E$30,C$28,E467&lt;E$32,C$30,E467&lt;E$34,C$32,E467&gt;=E$34,C$34)</f>
        <v/>
      </c>
      <c r="D467" s="37">
        <f>_xlfn.IFS(E467&lt;E$24,0,E467&lt;E$25,D$24,E467&lt;E$26,D$25,E467&lt;E$27,D$26,E467&lt;E$28,D$27,E467&lt;E$29,D$28,E467&lt;E$30,D$29,E467&lt;E$31,D$30,E467&lt;E$32,D$31,E467&lt;E$33,D$32,E467&lt;E$34,D$33,E467&lt;E$35,D$34,E467&gt;=E$35,D$35)</f>
        <v/>
      </c>
      <c r="E467" s="38" t="n">
        <v>417</v>
      </c>
      <c r="F467" s="31">
        <f>E467/52</f>
        <v/>
      </c>
      <c r="G467" s="39">
        <f>D467/1000000*52</f>
        <v/>
      </c>
      <c r="H467" s="33">
        <f>G467/$P$4+($C$22/$P$4)</f>
        <v/>
      </c>
      <c r="I467" s="36">
        <f>_xlfn.IFS(K467&lt;K$24,0,K467&lt;K$26,I$24,K467&lt;K$28,I$26,K467&lt;K$30,I$28,K467&lt;K$32,I$30,K467&lt;K$34,I$32,K467&lt;K$36,I$34,K467&lt;K$38,I$36,K467&lt;K$40,I$38,K467&lt;K$42,I$40,K467&lt;K$44,I$42,K467&lt;K$46,I$44,K467&gt;=K$46,I$46)</f>
        <v/>
      </c>
      <c r="J467" s="37">
        <f>_xlfn.IFS(K467&lt;K$24,0,K467&lt;K$25,J$24,K467&lt;K$26,J$25,K467&lt;K$27,J$26,K467&lt;K$28,J$27,K467&lt;K$29,J$28,K467&lt;K$30,J$29,K467&lt;K$31,J$30,K467&lt;K$32,J$31,K467&lt;K$33,J$32,K467&lt;K$34,J$33,K467&lt;K$35,J$34,K467&lt;K$36,J$35,K467&lt;K$37,J$36,K467&lt;K$38,J$37,K467&lt;K$39,J$38,K467&lt;K$40,J$39,K467&lt;K$41,J$40,K467&lt;K$42,J$41,K467&lt;K$43,J$42,K467&lt;K$44,J$43,K467&lt;K$45,J$44,K467&lt;K$46,J$45,K467&lt;K$47,J$46,K467&gt;=K$47,J$47)</f>
        <v/>
      </c>
      <c r="K467" s="38" t="n">
        <v>417</v>
      </c>
      <c r="L467" s="31">
        <f>K467/52</f>
        <v/>
      </c>
      <c r="M467" s="39">
        <f>J467/1000000*52</f>
        <v/>
      </c>
      <c r="N467" s="33">
        <f>M467/$P$4+($I$22/$P$4)</f>
        <v/>
      </c>
      <c r="U467">
        <f>F466</f>
        <v/>
      </c>
      <c r="V467">
        <f>H466</f>
        <v/>
      </c>
      <c r="W467">
        <f>N466</f>
        <v/>
      </c>
    </row>
    <row r="468" ht="15.75" customHeight="1" s="40">
      <c r="C468" s="36">
        <f>_xlfn.IFS(E468&lt;E$24,0,E468&lt;E$26,C$24,E468&lt;E$28,C$26,E468&lt;E$30,C$28,E468&lt;E$32,C$30,E468&lt;E$34,C$32,E468&gt;=E$34,C$34)</f>
        <v/>
      </c>
      <c r="D468" s="37">
        <f>_xlfn.IFS(E468&lt;E$24,0,E468&lt;E$25,D$24,E468&lt;E$26,D$25,E468&lt;E$27,D$26,E468&lt;E$28,D$27,E468&lt;E$29,D$28,E468&lt;E$30,D$29,E468&lt;E$31,D$30,E468&lt;E$32,D$31,E468&lt;E$33,D$32,E468&lt;E$34,D$33,E468&lt;E$35,D$34,E468&gt;=E$35,D$35)</f>
        <v/>
      </c>
      <c r="E468" s="38" t="n">
        <v>418</v>
      </c>
      <c r="F468" s="31">
        <f>E468/52</f>
        <v/>
      </c>
      <c r="G468" s="39">
        <f>D468/1000000*52</f>
        <v/>
      </c>
      <c r="H468" s="33">
        <f>G468/$P$4+($C$22/$P$4)</f>
        <v/>
      </c>
      <c r="I468" s="36">
        <f>_xlfn.IFS(K468&lt;K$24,0,K468&lt;K$26,I$24,K468&lt;K$28,I$26,K468&lt;K$30,I$28,K468&lt;K$32,I$30,K468&lt;K$34,I$32,K468&lt;K$36,I$34,K468&lt;K$38,I$36,K468&lt;K$40,I$38,K468&lt;K$42,I$40,K468&lt;K$44,I$42,K468&lt;K$46,I$44,K468&gt;=K$46,I$46)</f>
        <v/>
      </c>
      <c r="J468" s="37">
        <f>_xlfn.IFS(K468&lt;K$24,0,K468&lt;K$25,J$24,K468&lt;K$26,J$25,K468&lt;K$27,J$26,K468&lt;K$28,J$27,K468&lt;K$29,J$28,K468&lt;K$30,J$29,K468&lt;K$31,J$30,K468&lt;K$32,J$31,K468&lt;K$33,J$32,K468&lt;K$34,J$33,K468&lt;K$35,J$34,K468&lt;K$36,J$35,K468&lt;K$37,J$36,K468&lt;K$38,J$37,K468&lt;K$39,J$38,K468&lt;K$40,J$39,K468&lt;K$41,J$40,K468&lt;K$42,J$41,K468&lt;K$43,J$42,K468&lt;K$44,J$43,K468&lt;K$45,J$44,K468&lt;K$46,J$45,K468&lt;K$47,J$46,K468&gt;=K$47,J$47)</f>
        <v/>
      </c>
      <c r="K468" s="38" t="n">
        <v>418</v>
      </c>
      <c r="L468" s="31">
        <f>K468/52</f>
        <v/>
      </c>
      <c r="M468" s="39">
        <f>J468/1000000*52</f>
        <v/>
      </c>
      <c r="N468" s="33">
        <f>M468/$P$4+($I$22/$P$4)</f>
        <v/>
      </c>
      <c r="U468">
        <f>F467</f>
        <v/>
      </c>
      <c r="V468">
        <f>H467</f>
        <v/>
      </c>
      <c r="W468">
        <f>N467</f>
        <v/>
      </c>
    </row>
    <row r="469" ht="15.75" customHeight="1" s="40">
      <c r="C469" s="36">
        <f>_xlfn.IFS(E469&lt;E$24,0,E469&lt;E$26,C$24,E469&lt;E$28,C$26,E469&lt;E$30,C$28,E469&lt;E$32,C$30,E469&lt;E$34,C$32,E469&gt;=E$34,C$34)</f>
        <v/>
      </c>
      <c r="D469" s="37">
        <f>_xlfn.IFS(E469&lt;E$24,0,E469&lt;E$25,D$24,E469&lt;E$26,D$25,E469&lt;E$27,D$26,E469&lt;E$28,D$27,E469&lt;E$29,D$28,E469&lt;E$30,D$29,E469&lt;E$31,D$30,E469&lt;E$32,D$31,E469&lt;E$33,D$32,E469&lt;E$34,D$33,E469&lt;E$35,D$34,E469&gt;=E$35,D$35)</f>
        <v/>
      </c>
      <c r="E469" s="38" t="n">
        <v>419</v>
      </c>
      <c r="F469" s="31">
        <f>E469/52</f>
        <v/>
      </c>
      <c r="G469" s="39">
        <f>D469/1000000*52</f>
        <v/>
      </c>
      <c r="H469" s="33">
        <f>G469/$P$4+($C$22/$P$4)</f>
        <v/>
      </c>
      <c r="I469" s="36">
        <f>_xlfn.IFS(K469&lt;K$24,0,K469&lt;K$26,I$24,K469&lt;K$28,I$26,K469&lt;K$30,I$28,K469&lt;K$32,I$30,K469&lt;K$34,I$32,K469&lt;K$36,I$34,K469&lt;K$38,I$36,K469&lt;K$40,I$38,K469&lt;K$42,I$40,K469&lt;K$44,I$42,K469&lt;K$46,I$44,K469&gt;=K$46,I$46)</f>
        <v/>
      </c>
      <c r="J469" s="37">
        <f>_xlfn.IFS(K469&lt;K$24,0,K469&lt;K$25,J$24,K469&lt;K$26,J$25,K469&lt;K$27,J$26,K469&lt;K$28,J$27,K469&lt;K$29,J$28,K469&lt;K$30,J$29,K469&lt;K$31,J$30,K469&lt;K$32,J$31,K469&lt;K$33,J$32,K469&lt;K$34,J$33,K469&lt;K$35,J$34,K469&lt;K$36,J$35,K469&lt;K$37,J$36,K469&lt;K$38,J$37,K469&lt;K$39,J$38,K469&lt;K$40,J$39,K469&lt;K$41,J$40,K469&lt;K$42,J$41,K469&lt;K$43,J$42,K469&lt;K$44,J$43,K469&lt;K$45,J$44,K469&lt;K$46,J$45,K469&lt;K$47,J$46,K469&gt;=K$47,J$47)</f>
        <v/>
      </c>
      <c r="K469" s="38" t="n">
        <v>419</v>
      </c>
      <c r="L469" s="31">
        <f>K469/52</f>
        <v/>
      </c>
      <c r="M469" s="39">
        <f>J469/1000000*52</f>
        <v/>
      </c>
      <c r="N469" s="33">
        <f>M469/$P$4+($I$22/$P$4)</f>
        <v/>
      </c>
      <c r="U469">
        <f>F468</f>
        <v/>
      </c>
      <c r="V469">
        <f>H468</f>
        <v/>
      </c>
      <c r="W469">
        <f>N468</f>
        <v/>
      </c>
    </row>
    <row r="470" ht="15.75" customHeight="1" s="40">
      <c r="C470" s="36">
        <f>_xlfn.IFS(E470&lt;E$24,0,E470&lt;E$26,C$24,E470&lt;E$28,C$26,E470&lt;E$30,C$28,E470&lt;E$32,C$30,E470&lt;E$34,C$32,E470&gt;=E$34,C$34)</f>
        <v/>
      </c>
      <c r="D470" s="37">
        <f>_xlfn.IFS(E470&lt;E$24,0,E470&lt;E$25,D$24,E470&lt;E$26,D$25,E470&lt;E$27,D$26,E470&lt;E$28,D$27,E470&lt;E$29,D$28,E470&lt;E$30,D$29,E470&lt;E$31,D$30,E470&lt;E$32,D$31,E470&lt;E$33,D$32,E470&lt;E$34,D$33,E470&lt;E$35,D$34,E470&gt;=E$35,D$35)</f>
        <v/>
      </c>
      <c r="E470" s="38" t="n">
        <v>420</v>
      </c>
      <c r="F470" s="31">
        <f>E470/52</f>
        <v/>
      </c>
      <c r="G470" s="39">
        <f>D470/1000000*52</f>
        <v/>
      </c>
      <c r="H470" s="33">
        <f>G470/$P$4+($C$22/$P$4)</f>
        <v/>
      </c>
      <c r="I470" s="36">
        <f>_xlfn.IFS(K470&lt;K$24,0,K470&lt;K$26,I$24,K470&lt;K$28,I$26,K470&lt;K$30,I$28,K470&lt;K$32,I$30,K470&lt;K$34,I$32,K470&lt;K$36,I$34,K470&lt;K$38,I$36,K470&lt;K$40,I$38,K470&lt;K$42,I$40,K470&lt;K$44,I$42,K470&lt;K$46,I$44,K470&gt;=K$46,I$46)</f>
        <v/>
      </c>
      <c r="J470" s="37">
        <f>_xlfn.IFS(K470&lt;K$24,0,K470&lt;K$25,J$24,K470&lt;K$26,J$25,K470&lt;K$27,J$26,K470&lt;K$28,J$27,K470&lt;K$29,J$28,K470&lt;K$30,J$29,K470&lt;K$31,J$30,K470&lt;K$32,J$31,K470&lt;K$33,J$32,K470&lt;K$34,J$33,K470&lt;K$35,J$34,K470&lt;K$36,J$35,K470&lt;K$37,J$36,K470&lt;K$38,J$37,K470&lt;K$39,J$38,K470&lt;K$40,J$39,K470&lt;K$41,J$40,K470&lt;K$42,J$41,K470&lt;K$43,J$42,K470&lt;K$44,J$43,K470&lt;K$45,J$44,K470&lt;K$46,J$45,K470&lt;K$47,J$46,K470&gt;=K$47,J$47)</f>
        <v/>
      </c>
      <c r="K470" s="38" t="n">
        <v>420</v>
      </c>
      <c r="L470" s="31">
        <f>K470/52</f>
        <v/>
      </c>
      <c r="M470" s="39">
        <f>J470/1000000*52</f>
        <v/>
      </c>
      <c r="N470" s="33">
        <f>M470/$P$4+($I$22/$P$4)</f>
        <v/>
      </c>
      <c r="U470">
        <f>F469</f>
        <v/>
      </c>
      <c r="V470">
        <f>H469</f>
        <v/>
      </c>
      <c r="W470">
        <f>N469</f>
        <v/>
      </c>
    </row>
    <row r="471" ht="15.75" customHeight="1" s="40">
      <c r="C471" s="36">
        <f>_xlfn.IFS(E471&lt;E$24,0,E471&lt;E$26,C$24,E471&lt;E$28,C$26,E471&lt;E$30,C$28,E471&lt;E$32,C$30,E471&lt;E$34,C$32,E471&gt;=E$34,C$34)</f>
        <v/>
      </c>
      <c r="D471" s="37">
        <f>_xlfn.IFS(E471&lt;E$24,0,E471&lt;E$25,D$24,E471&lt;E$26,D$25,E471&lt;E$27,D$26,E471&lt;E$28,D$27,E471&lt;E$29,D$28,E471&lt;E$30,D$29,E471&lt;E$31,D$30,E471&lt;E$32,D$31,E471&lt;E$33,D$32,E471&lt;E$34,D$33,E471&lt;E$35,D$34,E471&gt;=E$35,D$35)</f>
        <v/>
      </c>
      <c r="E471" s="38" t="n">
        <v>421</v>
      </c>
      <c r="F471" s="31">
        <f>E471/52</f>
        <v/>
      </c>
      <c r="G471" s="39">
        <f>D471/1000000*52</f>
        <v/>
      </c>
      <c r="H471" s="33">
        <f>G471/$P$4+($C$22/$P$4)</f>
        <v/>
      </c>
      <c r="I471" s="36">
        <f>_xlfn.IFS(K471&lt;K$24,0,K471&lt;K$26,I$24,K471&lt;K$28,I$26,K471&lt;K$30,I$28,K471&lt;K$32,I$30,K471&lt;K$34,I$32,K471&lt;K$36,I$34,K471&lt;K$38,I$36,K471&lt;K$40,I$38,K471&lt;K$42,I$40,K471&lt;K$44,I$42,K471&lt;K$46,I$44,K471&gt;=K$46,I$46)</f>
        <v/>
      </c>
      <c r="J471" s="37">
        <f>_xlfn.IFS(K471&lt;K$24,0,K471&lt;K$25,J$24,K471&lt;K$26,J$25,K471&lt;K$27,J$26,K471&lt;K$28,J$27,K471&lt;K$29,J$28,K471&lt;K$30,J$29,K471&lt;K$31,J$30,K471&lt;K$32,J$31,K471&lt;K$33,J$32,K471&lt;K$34,J$33,K471&lt;K$35,J$34,K471&lt;K$36,J$35,K471&lt;K$37,J$36,K471&lt;K$38,J$37,K471&lt;K$39,J$38,K471&lt;K$40,J$39,K471&lt;K$41,J$40,K471&lt;K$42,J$41,K471&lt;K$43,J$42,K471&lt;K$44,J$43,K471&lt;K$45,J$44,K471&lt;K$46,J$45,K471&lt;K$47,J$46,K471&gt;=K$47,J$47)</f>
        <v/>
      </c>
      <c r="K471" s="38" t="n">
        <v>421</v>
      </c>
      <c r="L471" s="31">
        <f>K471/52</f>
        <v/>
      </c>
      <c r="M471" s="39">
        <f>J471/1000000*52</f>
        <v/>
      </c>
      <c r="N471" s="33">
        <f>M471/$P$4+($I$22/$P$4)</f>
        <v/>
      </c>
      <c r="U471">
        <f>F470</f>
        <v/>
      </c>
      <c r="V471">
        <f>H470</f>
        <v/>
      </c>
      <c r="W471">
        <f>N470</f>
        <v/>
      </c>
    </row>
    <row r="472" ht="15.75" customHeight="1" s="40">
      <c r="C472" s="36">
        <f>_xlfn.IFS(E472&lt;E$24,0,E472&lt;E$26,C$24,E472&lt;E$28,C$26,E472&lt;E$30,C$28,E472&lt;E$32,C$30,E472&lt;E$34,C$32,E472&gt;=E$34,C$34)</f>
        <v/>
      </c>
      <c r="D472" s="37">
        <f>_xlfn.IFS(E472&lt;E$24,0,E472&lt;E$25,D$24,E472&lt;E$26,D$25,E472&lt;E$27,D$26,E472&lt;E$28,D$27,E472&lt;E$29,D$28,E472&lt;E$30,D$29,E472&lt;E$31,D$30,E472&lt;E$32,D$31,E472&lt;E$33,D$32,E472&lt;E$34,D$33,E472&lt;E$35,D$34,E472&gt;=E$35,D$35)</f>
        <v/>
      </c>
      <c r="E472" s="38" t="n">
        <v>422</v>
      </c>
      <c r="F472" s="31">
        <f>E472/52</f>
        <v/>
      </c>
      <c r="G472" s="39">
        <f>D472/1000000*52</f>
        <v/>
      </c>
      <c r="H472" s="33">
        <f>G472/$P$4+($C$22/$P$4)</f>
        <v/>
      </c>
      <c r="I472" s="36">
        <f>_xlfn.IFS(K472&lt;K$24,0,K472&lt;K$26,I$24,K472&lt;K$28,I$26,K472&lt;K$30,I$28,K472&lt;K$32,I$30,K472&lt;K$34,I$32,K472&lt;K$36,I$34,K472&lt;K$38,I$36,K472&lt;K$40,I$38,K472&lt;K$42,I$40,K472&lt;K$44,I$42,K472&lt;K$46,I$44,K472&gt;=K$46,I$46)</f>
        <v/>
      </c>
      <c r="J472" s="37">
        <f>_xlfn.IFS(K472&lt;K$24,0,K472&lt;K$25,J$24,K472&lt;K$26,J$25,K472&lt;K$27,J$26,K472&lt;K$28,J$27,K472&lt;K$29,J$28,K472&lt;K$30,J$29,K472&lt;K$31,J$30,K472&lt;K$32,J$31,K472&lt;K$33,J$32,K472&lt;K$34,J$33,K472&lt;K$35,J$34,K472&lt;K$36,J$35,K472&lt;K$37,J$36,K472&lt;K$38,J$37,K472&lt;K$39,J$38,K472&lt;K$40,J$39,K472&lt;K$41,J$40,K472&lt;K$42,J$41,K472&lt;K$43,J$42,K472&lt;K$44,J$43,K472&lt;K$45,J$44,K472&lt;K$46,J$45,K472&lt;K$47,J$46,K472&gt;=K$47,J$47)</f>
        <v/>
      </c>
      <c r="K472" s="38" t="n">
        <v>422</v>
      </c>
      <c r="L472" s="31">
        <f>K472/52</f>
        <v/>
      </c>
      <c r="M472" s="39">
        <f>J472/1000000*52</f>
        <v/>
      </c>
      <c r="N472" s="33">
        <f>M472/$P$4+($I$22/$P$4)</f>
        <v/>
      </c>
      <c r="U472">
        <f>F471</f>
        <v/>
      </c>
      <c r="V472">
        <f>H471</f>
        <v/>
      </c>
      <c r="W472">
        <f>N471</f>
        <v/>
      </c>
    </row>
    <row r="473" ht="15.75" customHeight="1" s="40">
      <c r="C473" s="36">
        <f>_xlfn.IFS(E473&lt;E$24,0,E473&lt;E$26,C$24,E473&lt;E$28,C$26,E473&lt;E$30,C$28,E473&lt;E$32,C$30,E473&lt;E$34,C$32,E473&gt;=E$34,C$34)</f>
        <v/>
      </c>
      <c r="D473" s="37">
        <f>_xlfn.IFS(E473&lt;E$24,0,E473&lt;E$25,D$24,E473&lt;E$26,D$25,E473&lt;E$27,D$26,E473&lt;E$28,D$27,E473&lt;E$29,D$28,E473&lt;E$30,D$29,E473&lt;E$31,D$30,E473&lt;E$32,D$31,E473&lt;E$33,D$32,E473&lt;E$34,D$33,E473&lt;E$35,D$34,E473&gt;=E$35,D$35)</f>
        <v/>
      </c>
      <c r="E473" s="38" t="n">
        <v>423</v>
      </c>
      <c r="F473" s="31">
        <f>E473/52</f>
        <v/>
      </c>
      <c r="G473" s="39">
        <f>D473/1000000*52</f>
        <v/>
      </c>
      <c r="H473" s="33">
        <f>G473/$P$4+($C$22/$P$4)</f>
        <v/>
      </c>
      <c r="I473" s="36">
        <f>_xlfn.IFS(K473&lt;K$24,0,K473&lt;K$26,I$24,K473&lt;K$28,I$26,K473&lt;K$30,I$28,K473&lt;K$32,I$30,K473&lt;K$34,I$32,K473&lt;K$36,I$34,K473&lt;K$38,I$36,K473&lt;K$40,I$38,K473&lt;K$42,I$40,K473&lt;K$44,I$42,K473&lt;K$46,I$44,K473&gt;=K$46,I$46)</f>
        <v/>
      </c>
      <c r="J473" s="37">
        <f>_xlfn.IFS(K473&lt;K$24,0,K473&lt;K$25,J$24,K473&lt;K$26,J$25,K473&lt;K$27,J$26,K473&lt;K$28,J$27,K473&lt;K$29,J$28,K473&lt;K$30,J$29,K473&lt;K$31,J$30,K473&lt;K$32,J$31,K473&lt;K$33,J$32,K473&lt;K$34,J$33,K473&lt;K$35,J$34,K473&lt;K$36,J$35,K473&lt;K$37,J$36,K473&lt;K$38,J$37,K473&lt;K$39,J$38,K473&lt;K$40,J$39,K473&lt;K$41,J$40,K473&lt;K$42,J$41,K473&lt;K$43,J$42,K473&lt;K$44,J$43,K473&lt;K$45,J$44,K473&lt;K$46,J$45,K473&lt;K$47,J$46,K473&gt;=K$47,J$47)</f>
        <v/>
      </c>
      <c r="K473" s="38" t="n">
        <v>423</v>
      </c>
      <c r="L473" s="31">
        <f>K473/52</f>
        <v/>
      </c>
      <c r="M473" s="39">
        <f>J473/1000000*52</f>
        <v/>
      </c>
      <c r="N473" s="33">
        <f>M473/$P$4+($I$22/$P$4)</f>
        <v/>
      </c>
      <c r="U473">
        <f>F472</f>
        <v/>
      </c>
      <c r="V473">
        <f>H472</f>
        <v/>
      </c>
      <c r="W473">
        <f>N472</f>
        <v/>
      </c>
    </row>
    <row r="474" ht="15.75" customHeight="1" s="40">
      <c r="C474" s="36">
        <f>_xlfn.IFS(E474&lt;E$24,0,E474&lt;E$26,C$24,E474&lt;E$28,C$26,E474&lt;E$30,C$28,E474&lt;E$32,C$30,E474&lt;E$34,C$32,E474&gt;=E$34,C$34)</f>
        <v/>
      </c>
      <c r="D474" s="37">
        <f>_xlfn.IFS(E474&lt;E$24,0,E474&lt;E$25,D$24,E474&lt;E$26,D$25,E474&lt;E$27,D$26,E474&lt;E$28,D$27,E474&lt;E$29,D$28,E474&lt;E$30,D$29,E474&lt;E$31,D$30,E474&lt;E$32,D$31,E474&lt;E$33,D$32,E474&lt;E$34,D$33,E474&lt;E$35,D$34,E474&gt;=E$35,D$35)</f>
        <v/>
      </c>
      <c r="E474" s="38" t="n">
        <v>424</v>
      </c>
      <c r="F474" s="31">
        <f>E474/52</f>
        <v/>
      </c>
      <c r="G474" s="39">
        <f>D474/1000000*52</f>
        <v/>
      </c>
      <c r="H474" s="33">
        <f>G474/$P$4+($C$22/$P$4)</f>
        <v/>
      </c>
      <c r="I474" s="36">
        <f>_xlfn.IFS(K474&lt;K$24,0,K474&lt;K$26,I$24,K474&lt;K$28,I$26,K474&lt;K$30,I$28,K474&lt;K$32,I$30,K474&lt;K$34,I$32,K474&lt;K$36,I$34,K474&lt;K$38,I$36,K474&lt;K$40,I$38,K474&lt;K$42,I$40,K474&lt;K$44,I$42,K474&lt;K$46,I$44,K474&gt;=K$46,I$46)</f>
        <v/>
      </c>
      <c r="J474" s="37">
        <f>_xlfn.IFS(K474&lt;K$24,0,K474&lt;K$25,J$24,K474&lt;K$26,J$25,K474&lt;K$27,J$26,K474&lt;K$28,J$27,K474&lt;K$29,J$28,K474&lt;K$30,J$29,K474&lt;K$31,J$30,K474&lt;K$32,J$31,K474&lt;K$33,J$32,K474&lt;K$34,J$33,K474&lt;K$35,J$34,K474&lt;K$36,J$35,K474&lt;K$37,J$36,K474&lt;K$38,J$37,K474&lt;K$39,J$38,K474&lt;K$40,J$39,K474&lt;K$41,J$40,K474&lt;K$42,J$41,K474&lt;K$43,J$42,K474&lt;K$44,J$43,K474&lt;K$45,J$44,K474&lt;K$46,J$45,K474&lt;K$47,J$46,K474&gt;=K$47,J$47)</f>
        <v/>
      </c>
      <c r="K474" s="38" t="n">
        <v>424</v>
      </c>
      <c r="L474" s="31">
        <f>K474/52</f>
        <v/>
      </c>
      <c r="M474" s="39">
        <f>J474/1000000*52</f>
        <v/>
      </c>
      <c r="N474" s="33">
        <f>M474/$P$4+($I$22/$P$4)</f>
        <v/>
      </c>
      <c r="U474">
        <f>F473</f>
        <v/>
      </c>
      <c r="V474">
        <f>H473</f>
        <v/>
      </c>
      <c r="W474">
        <f>N473</f>
        <v/>
      </c>
    </row>
    <row r="475" ht="15.75" customHeight="1" s="40">
      <c r="C475" s="36">
        <f>_xlfn.IFS(E475&lt;E$24,0,E475&lt;E$26,C$24,E475&lt;E$28,C$26,E475&lt;E$30,C$28,E475&lt;E$32,C$30,E475&lt;E$34,C$32,E475&gt;=E$34,C$34)</f>
        <v/>
      </c>
      <c r="D475" s="37">
        <f>_xlfn.IFS(E475&lt;E$24,0,E475&lt;E$25,D$24,E475&lt;E$26,D$25,E475&lt;E$27,D$26,E475&lt;E$28,D$27,E475&lt;E$29,D$28,E475&lt;E$30,D$29,E475&lt;E$31,D$30,E475&lt;E$32,D$31,E475&lt;E$33,D$32,E475&lt;E$34,D$33,E475&lt;E$35,D$34,E475&gt;=E$35,D$35)</f>
        <v/>
      </c>
      <c r="E475" s="38" t="n">
        <v>425</v>
      </c>
      <c r="F475" s="31">
        <f>E475/52</f>
        <v/>
      </c>
      <c r="G475" s="39">
        <f>D475/1000000*52</f>
        <v/>
      </c>
      <c r="H475" s="33">
        <f>G475/$P$4+($C$22/$P$4)</f>
        <v/>
      </c>
      <c r="I475" s="36">
        <f>_xlfn.IFS(K475&lt;K$24,0,K475&lt;K$26,I$24,K475&lt;K$28,I$26,K475&lt;K$30,I$28,K475&lt;K$32,I$30,K475&lt;K$34,I$32,K475&lt;K$36,I$34,K475&lt;K$38,I$36,K475&lt;K$40,I$38,K475&lt;K$42,I$40,K475&lt;K$44,I$42,K475&lt;K$46,I$44,K475&gt;=K$46,I$46)</f>
        <v/>
      </c>
      <c r="J475" s="37">
        <f>_xlfn.IFS(K475&lt;K$24,0,K475&lt;K$25,J$24,K475&lt;K$26,J$25,K475&lt;K$27,J$26,K475&lt;K$28,J$27,K475&lt;K$29,J$28,K475&lt;K$30,J$29,K475&lt;K$31,J$30,K475&lt;K$32,J$31,K475&lt;K$33,J$32,K475&lt;K$34,J$33,K475&lt;K$35,J$34,K475&lt;K$36,J$35,K475&lt;K$37,J$36,K475&lt;K$38,J$37,K475&lt;K$39,J$38,K475&lt;K$40,J$39,K475&lt;K$41,J$40,K475&lt;K$42,J$41,K475&lt;K$43,J$42,K475&lt;K$44,J$43,K475&lt;K$45,J$44,K475&lt;K$46,J$45,K475&lt;K$47,J$46,K475&gt;=K$47,J$47)</f>
        <v/>
      </c>
      <c r="K475" s="38" t="n">
        <v>425</v>
      </c>
      <c r="L475" s="31">
        <f>K475/52</f>
        <v/>
      </c>
      <c r="M475" s="39">
        <f>J475/1000000*52</f>
        <v/>
      </c>
      <c r="N475" s="33">
        <f>M475/$P$4+($I$22/$P$4)</f>
        <v/>
      </c>
      <c r="U475">
        <f>F474</f>
        <v/>
      </c>
      <c r="V475">
        <f>H474</f>
        <v/>
      </c>
      <c r="W475">
        <f>N474</f>
        <v/>
      </c>
    </row>
    <row r="476" ht="15.75" customHeight="1" s="40">
      <c r="C476" s="36">
        <f>_xlfn.IFS(E476&lt;E$24,0,E476&lt;E$26,C$24,E476&lt;E$28,C$26,E476&lt;E$30,C$28,E476&lt;E$32,C$30,E476&lt;E$34,C$32,E476&gt;=E$34,C$34)</f>
        <v/>
      </c>
      <c r="D476" s="37">
        <f>_xlfn.IFS(E476&lt;E$24,0,E476&lt;E$25,D$24,E476&lt;E$26,D$25,E476&lt;E$27,D$26,E476&lt;E$28,D$27,E476&lt;E$29,D$28,E476&lt;E$30,D$29,E476&lt;E$31,D$30,E476&lt;E$32,D$31,E476&lt;E$33,D$32,E476&lt;E$34,D$33,E476&lt;E$35,D$34,E476&gt;=E$35,D$35)</f>
        <v/>
      </c>
      <c r="E476" s="38" t="n">
        <v>426</v>
      </c>
      <c r="F476" s="31">
        <f>E476/52</f>
        <v/>
      </c>
      <c r="G476" s="39">
        <f>D476/1000000*52</f>
        <v/>
      </c>
      <c r="H476" s="33">
        <f>G476/$P$4+($C$22/$P$4)</f>
        <v/>
      </c>
      <c r="I476" s="36">
        <f>_xlfn.IFS(K476&lt;K$24,0,K476&lt;K$26,I$24,K476&lt;K$28,I$26,K476&lt;K$30,I$28,K476&lt;K$32,I$30,K476&lt;K$34,I$32,K476&lt;K$36,I$34,K476&lt;K$38,I$36,K476&lt;K$40,I$38,K476&lt;K$42,I$40,K476&lt;K$44,I$42,K476&lt;K$46,I$44,K476&gt;=K$46,I$46)</f>
        <v/>
      </c>
      <c r="J476" s="37">
        <f>_xlfn.IFS(K476&lt;K$24,0,K476&lt;K$25,J$24,K476&lt;K$26,J$25,K476&lt;K$27,J$26,K476&lt;K$28,J$27,K476&lt;K$29,J$28,K476&lt;K$30,J$29,K476&lt;K$31,J$30,K476&lt;K$32,J$31,K476&lt;K$33,J$32,K476&lt;K$34,J$33,K476&lt;K$35,J$34,K476&lt;K$36,J$35,K476&lt;K$37,J$36,K476&lt;K$38,J$37,K476&lt;K$39,J$38,K476&lt;K$40,J$39,K476&lt;K$41,J$40,K476&lt;K$42,J$41,K476&lt;K$43,J$42,K476&lt;K$44,J$43,K476&lt;K$45,J$44,K476&lt;K$46,J$45,K476&lt;K$47,J$46,K476&gt;=K$47,J$47)</f>
        <v/>
      </c>
      <c r="K476" s="38" t="n">
        <v>426</v>
      </c>
      <c r="L476" s="31">
        <f>K476/52</f>
        <v/>
      </c>
      <c r="M476" s="39">
        <f>J476/1000000*52</f>
        <v/>
      </c>
      <c r="N476" s="33">
        <f>M476/$P$4+($I$22/$P$4)</f>
        <v/>
      </c>
      <c r="U476">
        <f>F475</f>
        <v/>
      </c>
      <c r="V476">
        <f>H475</f>
        <v/>
      </c>
      <c r="W476">
        <f>N475</f>
        <v/>
      </c>
    </row>
    <row r="477" ht="15.75" customHeight="1" s="40">
      <c r="C477" s="36">
        <f>_xlfn.IFS(E477&lt;E$24,0,E477&lt;E$26,C$24,E477&lt;E$28,C$26,E477&lt;E$30,C$28,E477&lt;E$32,C$30,E477&lt;E$34,C$32,E477&gt;=E$34,C$34)</f>
        <v/>
      </c>
      <c r="D477" s="37">
        <f>_xlfn.IFS(E477&lt;E$24,0,E477&lt;E$25,D$24,E477&lt;E$26,D$25,E477&lt;E$27,D$26,E477&lt;E$28,D$27,E477&lt;E$29,D$28,E477&lt;E$30,D$29,E477&lt;E$31,D$30,E477&lt;E$32,D$31,E477&lt;E$33,D$32,E477&lt;E$34,D$33,E477&lt;E$35,D$34,E477&gt;=E$35,D$35)</f>
        <v/>
      </c>
      <c r="E477" s="38" t="n">
        <v>427</v>
      </c>
      <c r="F477" s="31">
        <f>E477/52</f>
        <v/>
      </c>
      <c r="G477" s="39">
        <f>D477/1000000*52</f>
        <v/>
      </c>
      <c r="H477" s="33">
        <f>G477/$P$4+($C$22/$P$4)</f>
        <v/>
      </c>
      <c r="I477" s="36">
        <f>_xlfn.IFS(K477&lt;K$24,0,K477&lt;K$26,I$24,K477&lt;K$28,I$26,K477&lt;K$30,I$28,K477&lt;K$32,I$30,K477&lt;K$34,I$32,K477&lt;K$36,I$34,K477&lt;K$38,I$36,K477&lt;K$40,I$38,K477&lt;K$42,I$40,K477&lt;K$44,I$42,K477&lt;K$46,I$44,K477&gt;=K$46,I$46)</f>
        <v/>
      </c>
      <c r="J477" s="37">
        <f>_xlfn.IFS(K477&lt;K$24,0,K477&lt;K$25,J$24,K477&lt;K$26,J$25,K477&lt;K$27,J$26,K477&lt;K$28,J$27,K477&lt;K$29,J$28,K477&lt;K$30,J$29,K477&lt;K$31,J$30,K477&lt;K$32,J$31,K477&lt;K$33,J$32,K477&lt;K$34,J$33,K477&lt;K$35,J$34,K477&lt;K$36,J$35,K477&lt;K$37,J$36,K477&lt;K$38,J$37,K477&lt;K$39,J$38,K477&lt;K$40,J$39,K477&lt;K$41,J$40,K477&lt;K$42,J$41,K477&lt;K$43,J$42,K477&lt;K$44,J$43,K477&lt;K$45,J$44,K477&lt;K$46,J$45,K477&lt;K$47,J$46,K477&gt;=K$47,J$47)</f>
        <v/>
      </c>
      <c r="K477" s="38" t="n">
        <v>427</v>
      </c>
      <c r="L477" s="31">
        <f>K477/52</f>
        <v/>
      </c>
      <c r="M477" s="39">
        <f>J477/1000000*52</f>
        <v/>
      </c>
      <c r="N477" s="33">
        <f>M477/$P$4+($I$22/$P$4)</f>
        <v/>
      </c>
      <c r="U477">
        <f>F476</f>
        <v/>
      </c>
      <c r="V477">
        <f>H476</f>
        <v/>
      </c>
      <c r="W477">
        <f>N476</f>
        <v/>
      </c>
    </row>
    <row r="478" ht="15.75" customHeight="1" s="40">
      <c r="C478" s="36">
        <f>_xlfn.IFS(E478&lt;E$24,0,E478&lt;E$26,C$24,E478&lt;E$28,C$26,E478&lt;E$30,C$28,E478&lt;E$32,C$30,E478&lt;E$34,C$32,E478&gt;=E$34,C$34)</f>
        <v/>
      </c>
      <c r="D478" s="37">
        <f>_xlfn.IFS(E478&lt;E$24,0,E478&lt;E$25,D$24,E478&lt;E$26,D$25,E478&lt;E$27,D$26,E478&lt;E$28,D$27,E478&lt;E$29,D$28,E478&lt;E$30,D$29,E478&lt;E$31,D$30,E478&lt;E$32,D$31,E478&lt;E$33,D$32,E478&lt;E$34,D$33,E478&lt;E$35,D$34,E478&gt;=E$35,D$35)</f>
        <v/>
      </c>
      <c r="E478" s="38" t="n">
        <v>428</v>
      </c>
      <c r="F478" s="31">
        <f>E478/52</f>
        <v/>
      </c>
      <c r="G478" s="39">
        <f>D478/1000000*52</f>
        <v/>
      </c>
      <c r="H478" s="33">
        <f>G478/$P$4+($C$22/$P$4)</f>
        <v/>
      </c>
      <c r="I478" s="36">
        <f>_xlfn.IFS(K478&lt;K$24,0,K478&lt;K$26,I$24,K478&lt;K$28,I$26,K478&lt;K$30,I$28,K478&lt;K$32,I$30,K478&lt;K$34,I$32,K478&lt;K$36,I$34,K478&lt;K$38,I$36,K478&lt;K$40,I$38,K478&lt;K$42,I$40,K478&lt;K$44,I$42,K478&lt;K$46,I$44,K478&gt;=K$46,I$46)</f>
        <v/>
      </c>
      <c r="J478" s="37">
        <f>_xlfn.IFS(K478&lt;K$24,0,K478&lt;K$25,J$24,K478&lt;K$26,J$25,K478&lt;K$27,J$26,K478&lt;K$28,J$27,K478&lt;K$29,J$28,K478&lt;K$30,J$29,K478&lt;K$31,J$30,K478&lt;K$32,J$31,K478&lt;K$33,J$32,K478&lt;K$34,J$33,K478&lt;K$35,J$34,K478&lt;K$36,J$35,K478&lt;K$37,J$36,K478&lt;K$38,J$37,K478&lt;K$39,J$38,K478&lt;K$40,J$39,K478&lt;K$41,J$40,K478&lt;K$42,J$41,K478&lt;K$43,J$42,K478&lt;K$44,J$43,K478&lt;K$45,J$44,K478&lt;K$46,J$45,K478&lt;K$47,J$46,K478&gt;=K$47,J$47)</f>
        <v/>
      </c>
      <c r="K478" s="38" t="n">
        <v>428</v>
      </c>
      <c r="L478" s="31">
        <f>K478/52</f>
        <v/>
      </c>
      <c r="M478" s="39">
        <f>J478/1000000*52</f>
        <v/>
      </c>
      <c r="N478" s="33">
        <f>M478/$P$4+($I$22/$P$4)</f>
        <v/>
      </c>
      <c r="U478">
        <f>F477</f>
        <v/>
      </c>
      <c r="V478">
        <f>H477</f>
        <v/>
      </c>
      <c r="W478">
        <f>N477</f>
        <v/>
      </c>
    </row>
    <row r="479" ht="15.75" customHeight="1" s="40">
      <c r="C479" s="36">
        <f>_xlfn.IFS(E479&lt;E$24,0,E479&lt;E$26,C$24,E479&lt;E$28,C$26,E479&lt;E$30,C$28,E479&lt;E$32,C$30,E479&lt;E$34,C$32,E479&gt;=E$34,C$34)</f>
        <v/>
      </c>
      <c r="D479" s="37">
        <f>_xlfn.IFS(E479&lt;E$24,0,E479&lt;E$25,D$24,E479&lt;E$26,D$25,E479&lt;E$27,D$26,E479&lt;E$28,D$27,E479&lt;E$29,D$28,E479&lt;E$30,D$29,E479&lt;E$31,D$30,E479&lt;E$32,D$31,E479&lt;E$33,D$32,E479&lt;E$34,D$33,E479&lt;E$35,D$34,E479&gt;=E$35,D$35)</f>
        <v/>
      </c>
      <c r="E479" s="38" t="n">
        <v>429</v>
      </c>
      <c r="F479" s="31">
        <f>E479/52</f>
        <v/>
      </c>
      <c r="G479" s="39">
        <f>D479/1000000*52</f>
        <v/>
      </c>
      <c r="H479" s="33">
        <f>G479/$P$4+($C$22/$P$4)</f>
        <v/>
      </c>
      <c r="I479" s="36">
        <f>_xlfn.IFS(K479&lt;K$24,0,K479&lt;K$26,I$24,K479&lt;K$28,I$26,K479&lt;K$30,I$28,K479&lt;K$32,I$30,K479&lt;K$34,I$32,K479&lt;K$36,I$34,K479&lt;K$38,I$36,K479&lt;K$40,I$38,K479&lt;K$42,I$40,K479&lt;K$44,I$42,K479&lt;K$46,I$44,K479&gt;=K$46,I$46)</f>
        <v/>
      </c>
      <c r="J479" s="37">
        <f>_xlfn.IFS(K479&lt;K$24,0,K479&lt;K$25,J$24,K479&lt;K$26,J$25,K479&lt;K$27,J$26,K479&lt;K$28,J$27,K479&lt;K$29,J$28,K479&lt;K$30,J$29,K479&lt;K$31,J$30,K479&lt;K$32,J$31,K479&lt;K$33,J$32,K479&lt;K$34,J$33,K479&lt;K$35,J$34,K479&lt;K$36,J$35,K479&lt;K$37,J$36,K479&lt;K$38,J$37,K479&lt;K$39,J$38,K479&lt;K$40,J$39,K479&lt;K$41,J$40,K479&lt;K$42,J$41,K479&lt;K$43,J$42,K479&lt;K$44,J$43,K479&lt;K$45,J$44,K479&lt;K$46,J$45,K479&lt;K$47,J$46,K479&gt;=K$47,J$47)</f>
        <v/>
      </c>
      <c r="K479" s="38" t="n">
        <v>429</v>
      </c>
      <c r="L479" s="31">
        <f>K479/52</f>
        <v/>
      </c>
      <c r="M479" s="39">
        <f>J479/1000000*52</f>
        <v/>
      </c>
      <c r="N479" s="33">
        <f>M479/$P$4+($I$22/$P$4)</f>
        <v/>
      </c>
      <c r="U479">
        <f>F478</f>
        <v/>
      </c>
      <c r="V479">
        <f>H478</f>
        <v/>
      </c>
      <c r="W479">
        <f>N478</f>
        <v/>
      </c>
    </row>
    <row r="480" ht="15.75" customHeight="1" s="40">
      <c r="C480" s="36">
        <f>_xlfn.IFS(E480&lt;E$24,0,E480&lt;E$26,C$24,E480&lt;E$28,C$26,E480&lt;E$30,C$28,E480&lt;E$32,C$30,E480&lt;E$34,C$32,E480&gt;=E$34,C$34)</f>
        <v/>
      </c>
      <c r="D480" s="37">
        <f>_xlfn.IFS(E480&lt;E$24,0,E480&lt;E$25,D$24,E480&lt;E$26,D$25,E480&lt;E$27,D$26,E480&lt;E$28,D$27,E480&lt;E$29,D$28,E480&lt;E$30,D$29,E480&lt;E$31,D$30,E480&lt;E$32,D$31,E480&lt;E$33,D$32,E480&lt;E$34,D$33,E480&lt;E$35,D$34,E480&gt;=E$35,D$35)</f>
        <v/>
      </c>
      <c r="E480" s="38" t="n">
        <v>430</v>
      </c>
      <c r="F480" s="31">
        <f>E480/52</f>
        <v/>
      </c>
      <c r="G480" s="39">
        <f>D480/1000000*52</f>
        <v/>
      </c>
      <c r="H480" s="33">
        <f>G480/$P$4+($C$22/$P$4)</f>
        <v/>
      </c>
      <c r="I480" s="36">
        <f>_xlfn.IFS(K480&lt;K$24,0,K480&lt;K$26,I$24,K480&lt;K$28,I$26,K480&lt;K$30,I$28,K480&lt;K$32,I$30,K480&lt;K$34,I$32,K480&lt;K$36,I$34,K480&lt;K$38,I$36,K480&lt;K$40,I$38,K480&lt;K$42,I$40,K480&lt;K$44,I$42,K480&lt;K$46,I$44,K480&gt;=K$46,I$46)</f>
        <v/>
      </c>
      <c r="J480" s="37">
        <f>_xlfn.IFS(K480&lt;K$24,0,K480&lt;K$25,J$24,K480&lt;K$26,J$25,K480&lt;K$27,J$26,K480&lt;K$28,J$27,K480&lt;K$29,J$28,K480&lt;K$30,J$29,K480&lt;K$31,J$30,K480&lt;K$32,J$31,K480&lt;K$33,J$32,K480&lt;K$34,J$33,K480&lt;K$35,J$34,K480&lt;K$36,J$35,K480&lt;K$37,J$36,K480&lt;K$38,J$37,K480&lt;K$39,J$38,K480&lt;K$40,J$39,K480&lt;K$41,J$40,K480&lt;K$42,J$41,K480&lt;K$43,J$42,K480&lt;K$44,J$43,K480&lt;K$45,J$44,K480&lt;K$46,J$45,K480&lt;K$47,J$46,K480&gt;=K$47,J$47)</f>
        <v/>
      </c>
      <c r="K480" s="38" t="n">
        <v>430</v>
      </c>
      <c r="L480" s="31">
        <f>K480/52</f>
        <v/>
      </c>
      <c r="M480" s="39">
        <f>J480/1000000*52</f>
        <v/>
      </c>
      <c r="N480" s="33">
        <f>M480/$P$4+($I$22/$P$4)</f>
        <v/>
      </c>
      <c r="U480">
        <f>F479</f>
        <v/>
      </c>
      <c r="V480">
        <f>H479</f>
        <v/>
      </c>
      <c r="W480">
        <f>N479</f>
        <v/>
      </c>
    </row>
    <row r="481" ht="15.75" customHeight="1" s="40">
      <c r="C481" s="36">
        <f>_xlfn.IFS(E481&lt;E$24,0,E481&lt;E$26,C$24,E481&lt;E$28,C$26,E481&lt;E$30,C$28,E481&lt;E$32,C$30,E481&lt;E$34,C$32,E481&gt;=E$34,C$34)</f>
        <v/>
      </c>
      <c r="D481" s="37">
        <f>_xlfn.IFS(E481&lt;E$24,0,E481&lt;E$25,D$24,E481&lt;E$26,D$25,E481&lt;E$27,D$26,E481&lt;E$28,D$27,E481&lt;E$29,D$28,E481&lt;E$30,D$29,E481&lt;E$31,D$30,E481&lt;E$32,D$31,E481&lt;E$33,D$32,E481&lt;E$34,D$33,E481&lt;E$35,D$34,E481&gt;=E$35,D$35)</f>
        <v/>
      </c>
      <c r="E481" s="38" t="n">
        <v>431</v>
      </c>
      <c r="F481" s="31">
        <f>E481/52</f>
        <v/>
      </c>
      <c r="G481" s="39">
        <f>D481/1000000*52</f>
        <v/>
      </c>
      <c r="H481" s="33">
        <f>G481/$P$4+($C$22/$P$4)</f>
        <v/>
      </c>
      <c r="I481" s="36">
        <f>_xlfn.IFS(K481&lt;K$24,0,K481&lt;K$26,I$24,K481&lt;K$28,I$26,K481&lt;K$30,I$28,K481&lt;K$32,I$30,K481&lt;K$34,I$32,K481&lt;K$36,I$34,K481&lt;K$38,I$36,K481&lt;K$40,I$38,K481&lt;K$42,I$40,K481&lt;K$44,I$42,K481&lt;K$46,I$44,K481&gt;=K$46,I$46)</f>
        <v/>
      </c>
      <c r="J481" s="37">
        <f>_xlfn.IFS(K481&lt;K$24,0,K481&lt;K$25,J$24,K481&lt;K$26,J$25,K481&lt;K$27,J$26,K481&lt;K$28,J$27,K481&lt;K$29,J$28,K481&lt;K$30,J$29,K481&lt;K$31,J$30,K481&lt;K$32,J$31,K481&lt;K$33,J$32,K481&lt;K$34,J$33,K481&lt;K$35,J$34,K481&lt;K$36,J$35,K481&lt;K$37,J$36,K481&lt;K$38,J$37,K481&lt;K$39,J$38,K481&lt;K$40,J$39,K481&lt;K$41,J$40,K481&lt;K$42,J$41,K481&lt;K$43,J$42,K481&lt;K$44,J$43,K481&lt;K$45,J$44,K481&lt;K$46,J$45,K481&lt;K$47,J$46,K481&gt;=K$47,J$47)</f>
        <v/>
      </c>
      <c r="K481" s="38" t="n">
        <v>431</v>
      </c>
      <c r="L481" s="31">
        <f>K481/52</f>
        <v/>
      </c>
      <c r="M481" s="39">
        <f>J481/1000000*52</f>
        <v/>
      </c>
      <c r="N481" s="33">
        <f>M481/$P$4+($I$22/$P$4)</f>
        <v/>
      </c>
      <c r="U481">
        <f>F480</f>
        <v/>
      </c>
      <c r="V481">
        <f>H480</f>
        <v/>
      </c>
      <c r="W481">
        <f>N480</f>
        <v/>
      </c>
    </row>
    <row r="482" ht="15.75" customHeight="1" s="40">
      <c r="C482" s="36">
        <f>_xlfn.IFS(E482&lt;E$24,0,E482&lt;E$26,C$24,E482&lt;E$28,C$26,E482&lt;E$30,C$28,E482&lt;E$32,C$30,E482&lt;E$34,C$32,E482&gt;=E$34,C$34)</f>
        <v/>
      </c>
      <c r="D482" s="37">
        <f>_xlfn.IFS(E482&lt;E$24,0,E482&lt;E$25,D$24,E482&lt;E$26,D$25,E482&lt;E$27,D$26,E482&lt;E$28,D$27,E482&lt;E$29,D$28,E482&lt;E$30,D$29,E482&lt;E$31,D$30,E482&lt;E$32,D$31,E482&lt;E$33,D$32,E482&lt;E$34,D$33,E482&lt;E$35,D$34,E482&gt;=E$35,D$35)</f>
        <v/>
      </c>
      <c r="E482" s="38" t="n">
        <v>432</v>
      </c>
      <c r="F482" s="31">
        <f>E482/52</f>
        <v/>
      </c>
      <c r="G482" s="39">
        <f>D482/1000000*52</f>
        <v/>
      </c>
      <c r="H482" s="33">
        <f>G482/$P$4+($C$22/$P$4)</f>
        <v/>
      </c>
      <c r="I482" s="36">
        <f>_xlfn.IFS(K482&lt;K$24,0,K482&lt;K$26,I$24,K482&lt;K$28,I$26,K482&lt;K$30,I$28,K482&lt;K$32,I$30,K482&lt;K$34,I$32,K482&lt;K$36,I$34,K482&lt;K$38,I$36,K482&lt;K$40,I$38,K482&lt;K$42,I$40,K482&lt;K$44,I$42,K482&lt;K$46,I$44,K482&gt;=K$46,I$46)</f>
        <v/>
      </c>
      <c r="J482" s="37">
        <f>_xlfn.IFS(K482&lt;K$24,0,K482&lt;K$25,J$24,K482&lt;K$26,J$25,K482&lt;K$27,J$26,K482&lt;K$28,J$27,K482&lt;K$29,J$28,K482&lt;K$30,J$29,K482&lt;K$31,J$30,K482&lt;K$32,J$31,K482&lt;K$33,J$32,K482&lt;K$34,J$33,K482&lt;K$35,J$34,K482&lt;K$36,J$35,K482&lt;K$37,J$36,K482&lt;K$38,J$37,K482&lt;K$39,J$38,K482&lt;K$40,J$39,K482&lt;K$41,J$40,K482&lt;K$42,J$41,K482&lt;K$43,J$42,K482&lt;K$44,J$43,K482&lt;K$45,J$44,K482&lt;K$46,J$45,K482&lt;K$47,J$46,K482&gt;=K$47,J$47)</f>
        <v/>
      </c>
      <c r="K482" s="38" t="n">
        <v>432</v>
      </c>
      <c r="L482" s="31">
        <f>K482/52</f>
        <v/>
      </c>
      <c r="M482" s="39">
        <f>J482/1000000*52</f>
        <v/>
      </c>
      <c r="N482" s="33">
        <f>M482/$P$4+($I$22/$P$4)</f>
        <v/>
      </c>
      <c r="U482">
        <f>F481</f>
        <v/>
      </c>
      <c r="V482">
        <f>H481</f>
        <v/>
      </c>
      <c r="W482">
        <f>N481</f>
        <v/>
      </c>
    </row>
    <row r="483" ht="15.75" customHeight="1" s="40">
      <c r="C483" s="36">
        <f>_xlfn.IFS(E483&lt;E$24,0,E483&lt;E$26,C$24,E483&lt;E$28,C$26,E483&lt;E$30,C$28,E483&lt;E$32,C$30,E483&lt;E$34,C$32,E483&gt;=E$34,C$34)</f>
        <v/>
      </c>
      <c r="D483" s="37">
        <f>_xlfn.IFS(E483&lt;E$24,0,E483&lt;E$25,D$24,E483&lt;E$26,D$25,E483&lt;E$27,D$26,E483&lt;E$28,D$27,E483&lt;E$29,D$28,E483&lt;E$30,D$29,E483&lt;E$31,D$30,E483&lt;E$32,D$31,E483&lt;E$33,D$32,E483&lt;E$34,D$33,E483&lt;E$35,D$34,E483&gt;=E$35,D$35)</f>
        <v/>
      </c>
      <c r="E483" s="38" t="n">
        <v>433</v>
      </c>
      <c r="F483" s="31">
        <f>E483/52</f>
        <v/>
      </c>
      <c r="G483" s="39">
        <f>D483/1000000*52</f>
        <v/>
      </c>
      <c r="H483" s="33">
        <f>G483/$P$4+($C$22/$P$4)</f>
        <v/>
      </c>
      <c r="I483" s="36">
        <f>_xlfn.IFS(K483&lt;K$24,0,K483&lt;K$26,I$24,K483&lt;K$28,I$26,K483&lt;K$30,I$28,K483&lt;K$32,I$30,K483&lt;K$34,I$32,K483&lt;K$36,I$34,K483&lt;K$38,I$36,K483&lt;K$40,I$38,K483&lt;K$42,I$40,K483&lt;K$44,I$42,K483&lt;K$46,I$44,K483&gt;=K$46,I$46)</f>
        <v/>
      </c>
      <c r="J483" s="37">
        <f>_xlfn.IFS(K483&lt;K$24,0,K483&lt;K$25,J$24,K483&lt;K$26,J$25,K483&lt;K$27,J$26,K483&lt;K$28,J$27,K483&lt;K$29,J$28,K483&lt;K$30,J$29,K483&lt;K$31,J$30,K483&lt;K$32,J$31,K483&lt;K$33,J$32,K483&lt;K$34,J$33,K483&lt;K$35,J$34,K483&lt;K$36,J$35,K483&lt;K$37,J$36,K483&lt;K$38,J$37,K483&lt;K$39,J$38,K483&lt;K$40,J$39,K483&lt;K$41,J$40,K483&lt;K$42,J$41,K483&lt;K$43,J$42,K483&lt;K$44,J$43,K483&lt;K$45,J$44,K483&lt;K$46,J$45,K483&lt;K$47,J$46,K483&gt;=K$47,J$47)</f>
        <v/>
      </c>
      <c r="K483" s="38" t="n">
        <v>433</v>
      </c>
      <c r="L483" s="31">
        <f>K483/52</f>
        <v/>
      </c>
      <c r="M483" s="39">
        <f>J483/1000000*52</f>
        <v/>
      </c>
      <c r="N483" s="33">
        <f>M483/$P$4+($I$22/$P$4)</f>
        <v/>
      </c>
      <c r="U483">
        <f>F482</f>
        <v/>
      </c>
      <c r="V483">
        <f>H482</f>
        <v/>
      </c>
      <c r="W483">
        <f>N482</f>
        <v/>
      </c>
    </row>
    <row r="484" ht="15.75" customHeight="1" s="40">
      <c r="C484" s="36">
        <f>_xlfn.IFS(E484&lt;E$24,0,E484&lt;E$26,C$24,E484&lt;E$28,C$26,E484&lt;E$30,C$28,E484&lt;E$32,C$30,E484&lt;E$34,C$32,E484&gt;=E$34,C$34)</f>
        <v/>
      </c>
      <c r="D484" s="37">
        <f>_xlfn.IFS(E484&lt;E$24,0,E484&lt;E$25,D$24,E484&lt;E$26,D$25,E484&lt;E$27,D$26,E484&lt;E$28,D$27,E484&lt;E$29,D$28,E484&lt;E$30,D$29,E484&lt;E$31,D$30,E484&lt;E$32,D$31,E484&lt;E$33,D$32,E484&lt;E$34,D$33,E484&lt;E$35,D$34,E484&gt;=E$35,D$35)</f>
        <v/>
      </c>
      <c r="E484" s="38" t="n">
        <v>434</v>
      </c>
      <c r="F484" s="31">
        <f>E484/52</f>
        <v/>
      </c>
      <c r="G484" s="39">
        <f>D484/1000000*52</f>
        <v/>
      </c>
      <c r="H484" s="33">
        <f>G484/$P$4+($C$22/$P$4)</f>
        <v/>
      </c>
      <c r="I484" s="36">
        <f>_xlfn.IFS(K484&lt;K$24,0,K484&lt;K$26,I$24,K484&lt;K$28,I$26,K484&lt;K$30,I$28,K484&lt;K$32,I$30,K484&lt;K$34,I$32,K484&lt;K$36,I$34,K484&lt;K$38,I$36,K484&lt;K$40,I$38,K484&lt;K$42,I$40,K484&lt;K$44,I$42,K484&lt;K$46,I$44,K484&gt;=K$46,I$46)</f>
        <v/>
      </c>
      <c r="J484" s="37">
        <f>_xlfn.IFS(K484&lt;K$24,0,K484&lt;K$25,J$24,K484&lt;K$26,J$25,K484&lt;K$27,J$26,K484&lt;K$28,J$27,K484&lt;K$29,J$28,K484&lt;K$30,J$29,K484&lt;K$31,J$30,K484&lt;K$32,J$31,K484&lt;K$33,J$32,K484&lt;K$34,J$33,K484&lt;K$35,J$34,K484&lt;K$36,J$35,K484&lt;K$37,J$36,K484&lt;K$38,J$37,K484&lt;K$39,J$38,K484&lt;K$40,J$39,K484&lt;K$41,J$40,K484&lt;K$42,J$41,K484&lt;K$43,J$42,K484&lt;K$44,J$43,K484&lt;K$45,J$44,K484&lt;K$46,J$45,K484&lt;K$47,J$46,K484&gt;=K$47,J$47)</f>
        <v/>
      </c>
      <c r="K484" s="38" t="n">
        <v>434</v>
      </c>
      <c r="L484" s="31">
        <f>K484/52</f>
        <v/>
      </c>
      <c r="M484" s="39">
        <f>J484/1000000*52</f>
        <v/>
      </c>
      <c r="N484" s="33">
        <f>M484/$P$4+($I$22/$P$4)</f>
        <v/>
      </c>
      <c r="U484">
        <f>F483</f>
        <v/>
      </c>
      <c r="V484">
        <f>H483</f>
        <v/>
      </c>
      <c r="W484">
        <f>N483</f>
        <v/>
      </c>
    </row>
    <row r="485" ht="15.75" customHeight="1" s="40">
      <c r="C485" s="36">
        <f>_xlfn.IFS(E485&lt;E$24,0,E485&lt;E$26,C$24,E485&lt;E$28,C$26,E485&lt;E$30,C$28,E485&lt;E$32,C$30,E485&lt;E$34,C$32,E485&gt;=E$34,C$34)</f>
        <v/>
      </c>
      <c r="D485" s="37">
        <f>_xlfn.IFS(E485&lt;E$24,0,E485&lt;E$25,D$24,E485&lt;E$26,D$25,E485&lt;E$27,D$26,E485&lt;E$28,D$27,E485&lt;E$29,D$28,E485&lt;E$30,D$29,E485&lt;E$31,D$30,E485&lt;E$32,D$31,E485&lt;E$33,D$32,E485&lt;E$34,D$33,E485&lt;E$35,D$34,E485&gt;=E$35,D$35)</f>
        <v/>
      </c>
      <c r="E485" s="38" t="n">
        <v>435</v>
      </c>
      <c r="F485" s="31">
        <f>E485/52</f>
        <v/>
      </c>
      <c r="G485" s="39">
        <f>D485/1000000*52</f>
        <v/>
      </c>
      <c r="H485" s="33">
        <f>G485/$P$4+($C$22/$P$4)</f>
        <v/>
      </c>
      <c r="I485" s="36">
        <f>_xlfn.IFS(K485&lt;K$24,0,K485&lt;K$26,I$24,K485&lt;K$28,I$26,K485&lt;K$30,I$28,K485&lt;K$32,I$30,K485&lt;K$34,I$32,K485&lt;K$36,I$34,K485&lt;K$38,I$36,K485&lt;K$40,I$38,K485&lt;K$42,I$40,K485&lt;K$44,I$42,K485&lt;K$46,I$44,K485&gt;=K$46,I$46)</f>
        <v/>
      </c>
      <c r="J485" s="37">
        <f>_xlfn.IFS(K485&lt;K$24,0,K485&lt;K$25,J$24,K485&lt;K$26,J$25,K485&lt;K$27,J$26,K485&lt;K$28,J$27,K485&lt;K$29,J$28,K485&lt;K$30,J$29,K485&lt;K$31,J$30,K485&lt;K$32,J$31,K485&lt;K$33,J$32,K485&lt;K$34,J$33,K485&lt;K$35,J$34,K485&lt;K$36,J$35,K485&lt;K$37,J$36,K485&lt;K$38,J$37,K485&lt;K$39,J$38,K485&lt;K$40,J$39,K485&lt;K$41,J$40,K485&lt;K$42,J$41,K485&lt;K$43,J$42,K485&lt;K$44,J$43,K485&lt;K$45,J$44,K485&lt;K$46,J$45,K485&lt;K$47,J$46,K485&gt;=K$47,J$47)</f>
        <v/>
      </c>
      <c r="K485" s="38" t="n">
        <v>435</v>
      </c>
      <c r="L485" s="31">
        <f>K485/52</f>
        <v/>
      </c>
      <c r="M485" s="39">
        <f>J485/1000000*52</f>
        <v/>
      </c>
      <c r="N485" s="33">
        <f>M485/$P$4+($I$22/$P$4)</f>
        <v/>
      </c>
      <c r="U485">
        <f>F484</f>
        <v/>
      </c>
      <c r="V485">
        <f>H484</f>
        <v/>
      </c>
      <c r="W485">
        <f>N484</f>
        <v/>
      </c>
    </row>
    <row r="486" ht="15.75" customHeight="1" s="40">
      <c r="C486" s="36">
        <f>_xlfn.IFS(E486&lt;E$24,0,E486&lt;E$26,C$24,E486&lt;E$28,C$26,E486&lt;E$30,C$28,E486&lt;E$32,C$30,E486&lt;E$34,C$32,E486&gt;=E$34,C$34)</f>
        <v/>
      </c>
      <c r="D486" s="37">
        <f>_xlfn.IFS(E486&lt;E$24,0,E486&lt;E$25,D$24,E486&lt;E$26,D$25,E486&lt;E$27,D$26,E486&lt;E$28,D$27,E486&lt;E$29,D$28,E486&lt;E$30,D$29,E486&lt;E$31,D$30,E486&lt;E$32,D$31,E486&lt;E$33,D$32,E486&lt;E$34,D$33,E486&lt;E$35,D$34,E486&gt;=E$35,D$35)</f>
        <v/>
      </c>
      <c r="E486" s="38" t="n">
        <v>436</v>
      </c>
      <c r="F486" s="31">
        <f>E486/52</f>
        <v/>
      </c>
      <c r="G486" s="39">
        <f>D486/1000000*52</f>
        <v/>
      </c>
      <c r="H486" s="33">
        <f>G486/$P$4+($C$22/$P$4)</f>
        <v/>
      </c>
      <c r="I486" s="36">
        <f>_xlfn.IFS(K486&lt;K$24,0,K486&lt;K$26,I$24,K486&lt;K$28,I$26,K486&lt;K$30,I$28,K486&lt;K$32,I$30,K486&lt;K$34,I$32,K486&lt;K$36,I$34,K486&lt;K$38,I$36,K486&lt;K$40,I$38,K486&lt;K$42,I$40,K486&lt;K$44,I$42,K486&lt;K$46,I$44,K486&gt;=K$46,I$46)</f>
        <v/>
      </c>
      <c r="J486" s="37">
        <f>_xlfn.IFS(K486&lt;K$24,0,K486&lt;K$25,J$24,K486&lt;K$26,J$25,K486&lt;K$27,J$26,K486&lt;K$28,J$27,K486&lt;K$29,J$28,K486&lt;K$30,J$29,K486&lt;K$31,J$30,K486&lt;K$32,J$31,K486&lt;K$33,J$32,K486&lt;K$34,J$33,K486&lt;K$35,J$34,K486&lt;K$36,J$35,K486&lt;K$37,J$36,K486&lt;K$38,J$37,K486&lt;K$39,J$38,K486&lt;K$40,J$39,K486&lt;K$41,J$40,K486&lt;K$42,J$41,K486&lt;K$43,J$42,K486&lt;K$44,J$43,K486&lt;K$45,J$44,K486&lt;K$46,J$45,K486&lt;K$47,J$46,K486&gt;=K$47,J$47)</f>
        <v/>
      </c>
      <c r="K486" s="38" t="n">
        <v>436</v>
      </c>
      <c r="L486" s="31">
        <f>K486/52</f>
        <v/>
      </c>
      <c r="M486" s="39">
        <f>J486/1000000*52</f>
        <v/>
      </c>
      <c r="N486" s="33">
        <f>M486/$P$4+($I$22/$P$4)</f>
        <v/>
      </c>
      <c r="U486">
        <f>F485</f>
        <v/>
      </c>
      <c r="V486">
        <f>H485</f>
        <v/>
      </c>
      <c r="W486">
        <f>N485</f>
        <v/>
      </c>
    </row>
    <row r="487" ht="15.75" customHeight="1" s="40">
      <c r="C487" s="36">
        <f>_xlfn.IFS(E487&lt;E$24,0,E487&lt;E$26,C$24,E487&lt;E$28,C$26,E487&lt;E$30,C$28,E487&lt;E$32,C$30,E487&lt;E$34,C$32,E487&gt;=E$34,C$34)</f>
        <v/>
      </c>
      <c r="D487" s="37">
        <f>_xlfn.IFS(E487&lt;E$24,0,E487&lt;E$25,D$24,E487&lt;E$26,D$25,E487&lt;E$27,D$26,E487&lt;E$28,D$27,E487&lt;E$29,D$28,E487&lt;E$30,D$29,E487&lt;E$31,D$30,E487&lt;E$32,D$31,E487&lt;E$33,D$32,E487&lt;E$34,D$33,E487&lt;E$35,D$34,E487&gt;=E$35,D$35)</f>
        <v/>
      </c>
      <c r="E487" s="38" t="n">
        <v>437</v>
      </c>
      <c r="F487" s="31">
        <f>E487/52</f>
        <v/>
      </c>
      <c r="G487" s="39">
        <f>D487/1000000*52</f>
        <v/>
      </c>
      <c r="H487" s="33">
        <f>G487/$P$4+($C$22/$P$4)</f>
        <v/>
      </c>
      <c r="I487" s="36">
        <f>_xlfn.IFS(K487&lt;K$24,0,K487&lt;K$26,I$24,K487&lt;K$28,I$26,K487&lt;K$30,I$28,K487&lt;K$32,I$30,K487&lt;K$34,I$32,K487&lt;K$36,I$34,K487&lt;K$38,I$36,K487&lt;K$40,I$38,K487&lt;K$42,I$40,K487&lt;K$44,I$42,K487&lt;K$46,I$44,K487&gt;=K$46,I$46)</f>
        <v/>
      </c>
      <c r="J487" s="37">
        <f>_xlfn.IFS(K487&lt;K$24,0,K487&lt;K$25,J$24,K487&lt;K$26,J$25,K487&lt;K$27,J$26,K487&lt;K$28,J$27,K487&lt;K$29,J$28,K487&lt;K$30,J$29,K487&lt;K$31,J$30,K487&lt;K$32,J$31,K487&lt;K$33,J$32,K487&lt;K$34,J$33,K487&lt;K$35,J$34,K487&lt;K$36,J$35,K487&lt;K$37,J$36,K487&lt;K$38,J$37,K487&lt;K$39,J$38,K487&lt;K$40,J$39,K487&lt;K$41,J$40,K487&lt;K$42,J$41,K487&lt;K$43,J$42,K487&lt;K$44,J$43,K487&lt;K$45,J$44,K487&lt;K$46,J$45,K487&lt;K$47,J$46,K487&gt;=K$47,J$47)</f>
        <v/>
      </c>
      <c r="K487" s="38" t="n">
        <v>437</v>
      </c>
      <c r="L487" s="31">
        <f>K487/52</f>
        <v/>
      </c>
      <c r="M487" s="39">
        <f>J487/1000000*52</f>
        <v/>
      </c>
      <c r="N487" s="33">
        <f>M487/$P$4+($I$22/$P$4)</f>
        <v/>
      </c>
      <c r="U487">
        <f>F486</f>
        <v/>
      </c>
      <c r="V487">
        <f>H486</f>
        <v/>
      </c>
      <c r="W487">
        <f>N486</f>
        <v/>
      </c>
    </row>
    <row r="488" ht="15.75" customHeight="1" s="40">
      <c r="C488" s="36">
        <f>_xlfn.IFS(E488&lt;E$24,0,E488&lt;E$26,C$24,E488&lt;E$28,C$26,E488&lt;E$30,C$28,E488&lt;E$32,C$30,E488&lt;E$34,C$32,E488&gt;=E$34,C$34)</f>
        <v/>
      </c>
      <c r="D488" s="37">
        <f>_xlfn.IFS(E488&lt;E$24,0,E488&lt;E$25,D$24,E488&lt;E$26,D$25,E488&lt;E$27,D$26,E488&lt;E$28,D$27,E488&lt;E$29,D$28,E488&lt;E$30,D$29,E488&lt;E$31,D$30,E488&lt;E$32,D$31,E488&lt;E$33,D$32,E488&lt;E$34,D$33,E488&lt;E$35,D$34,E488&gt;=E$35,D$35)</f>
        <v/>
      </c>
      <c r="E488" s="38" t="n">
        <v>438</v>
      </c>
      <c r="F488" s="31">
        <f>E488/52</f>
        <v/>
      </c>
      <c r="G488" s="39">
        <f>D488/1000000*52</f>
        <v/>
      </c>
      <c r="H488" s="33">
        <f>G488/$P$4+($C$22/$P$4)</f>
        <v/>
      </c>
      <c r="I488" s="36">
        <f>_xlfn.IFS(K488&lt;K$24,0,K488&lt;K$26,I$24,K488&lt;K$28,I$26,K488&lt;K$30,I$28,K488&lt;K$32,I$30,K488&lt;K$34,I$32,K488&lt;K$36,I$34,K488&lt;K$38,I$36,K488&lt;K$40,I$38,K488&lt;K$42,I$40,K488&lt;K$44,I$42,K488&lt;K$46,I$44,K488&gt;=K$46,I$46)</f>
        <v/>
      </c>
      <c r="J488" s="37">
        <f>_xlfn.IFS(K488&lt;K$24,0,K488&lt;K$25,J$24,K488&lt;K$26,J$25,K488&lt;K$27,J$26,K488&lt;K$28,J$27,K488&lt;K$29,J$28,K488&lt;K$30,J$29,K488&lt;K$31,J$30,K488&lt;K$32,J$31,K488&lt;K$33,J$32,K488&lt;K$34,J$33,K488&lt;K$35,J$34,K488&lt;K$36,J$35,K488&lt;K$37,J$36,K488&lt;K$38,J$37,K488&lt;K$39,J$38,K488&lt;K$40,J$39,K488&lt;K$41,J$40,K488&lt;K$42,J$41,K488&lt;K$43,J$42,K488&lt;K$44,J$43,K488&lt;K$45,J$44,K488&lt;K$46,J$45,K488&lt;K$47,J$46,K488&gt;=K$47,J$47)</f>
        <v/>
      </c>
      <c r="K488" s="38" t="n">
        <v>438</v>
      </c>
      <c r="L488" s="31">
        <f>K488/52</f>
        <v/>
      </c>
      <c r="M488" s="39">
        <f>J488/1000000*52</f>
        <v/>
      </c>
      <c r="N488" s="33">
        <f>M488/$P$4+($I$22/$P$4)</f>
        <v/>
      </c>
      <c r="U488">
        <f>F487</f>
        <v/>
      </c>
      <c r="V488">
        <f>H487</f>
        <v/>
      </c>
      <c r="W488">
        <f>N487</f>
        <v/>
      </c>
    </row>
    <row r="489" ht="15.75" customHeight="1" s="40">
      <c r="C489" s="36">
        <f>_xlfn.IFS(E489&lt;E$24,0,E489&lt;E$26,C$24,E489&lt;E$28,C$26,E489&lt;E$30,C$28,E489&lt;E$32,C$30,E489&lt;E$34,C$32,E489&gt;=E$34,C$34)</f>
        <v/>
      </c>
      <c r="D489" s="37">
        <f>_xlfn.IFS(E489&lt;E$24,0,E489&lt;E$25,D$24,E489&lt;E$26,D$25,E489&lt;E$27,D$26,E489&lt;E$28,D$27,E489&lt;E$29,D$28,E489&lt;E$30,D$29,E489&lt;E$31,D$30,E489&lt;E$32,D$31,E489&lt;E$33,D$32,E489&lt;E$34,D$33,E489&lt;E$35,D$34,E489&gt;=E$35,D$35)</f>
        <v/>
      </c>
      <c r="E489" s="38" t="n">
        <v>439</v>
      </c>
      <c r="F489" s="31">
        <f>E489/52</f>
        <v/>
      </c>
      <c r="G489" s="39">
        <f>D489/1000000*52</f>
        <v/>
      </c>
      <c r="H489" s="33">
        <f>G489/$P$4+($C$22/$P$4)</f>
        <v/>
      </c>
      <c r="I489" s="36">
        <f>_xlfn.IFS(K489&lt;K$24,0,K489&lt;K$26,I$24,K489&lt;K$28,I$26,K489&lt;K$30,I$28,K489&lt;K$32,I$30,K489&lt;K$34,I$32,K489&lt;K$36,I$34,K489&lt;K$38,I$36,K489&lt;K$40,I$38,K489&lt;K$42,I$40,K489&lt;K$44,I$42,K489&lt;K$46,I$44,K489&gt;=K$46,I$46)</f>
        <v/>
      </c>
      <c r="J489" s="37">
        <f>_xlfn.IFS(K489&lt;K$24,0,K489&lt;K$25,J$24,K489&lt;K$26,J$25,K489&lt;K$27,J$26,K489&lt;K$28,J$27,K489&lt;K$29,J$28,K489&lt;K$30,J$29,K489&lt;K$31,J$30,K489&lt;K$32,J$31,K489&lt;K$33,J$32,K489&lt;K$34,J$33,K489&lt;K$35,J$34,K489&lt;K$36,J$35,K489&lt;K$37,J$36,K489&lt;K$38,J$37,K489&lt;K$39,J$38,K489&lt;K$40,J$39,K489&lt;K$41,J$40,K489&lt;K$42,J$41,K489&lt;K$43,J$42,K489&lt;K$44,J$43,K489&lt;K$45,J$44,K489&lt;K$46,J$45,K489&lt;K$47,J$46,K489&gt;=K$47,J$47)</f>
        <v/>
      </c>
      <c r="K489" s="38" t="n">
        <v>439</v>
      </c>
      <c r="L489" s="31">
        <f>K489/52</f>
        <v/>
      </c>
      <c r="M489" s="39">
        <f>J489/1000000*52</f>
        <v/>
      </c>
      <c r="N489" s="33">
        <f>M489/$P$4+($I$22/$P$4)</f>
        <v/>
      </c>
      <c r="U489">
        <f>F488</f>
        <v/>
      </c>
      <c r="V489">
        <f>H488</f>
        <v/>
      </c>
      <c r="W489">
        <f>N488</f>
        <v/>
      </c>
    </row>
    <row r="490" ht="15.75" customHeight="1" s="40">
      <c r="C490" s="36">
        <f>_xlfn.IFS(E490&lt;E$24,0,E490&lt;E$26,C$24,E490&lt;E$28,C$26,E490&lt;E$30,C$28,E490&lt;E$32,C$30,E490&lt;E$34,C$32,E490&gt;=E$34,C$34)</f>
        <v/>
      </c>
      <c r="D490" s="37">
        <f>_xlfn.IFS(E490&lt;E$24,0,E490&lt;E$25,D$24,E490&lt;E$26,D$25,E490&lt;E$27,D$26,E490&lt;E$28,D$27,E490&lt;E$29,D$28,E490&lt;E$30,D$29,E490&lt;E$31,D$30,E490&lt;E$32,D$31,E490&lt;E$33,D$32,E490&lt;E$34,D$33,E490&lt;E$35,D$34,E490&gt;=E$35,D$35)</f>
        <v/>
      </c>
      <c r="E490" s="38" t="n">
        <v>440</v>
      </c>
      <c r="F490" s="31">
        <f>E490/52</f>
        <v/>
      </c>
      <c r="G490" s="39">
        <f>D490/1000000*52</f>
        <v/>
      </c>
      <c r="H490" s="33">
        <f>G490/$P$4+($C$22/$P$4)</f>
        <v/>
      </c>
      <c r="I490" s="36">
        <f>_xlfn.IFS(K490&lt;K$24,0,K490&lt;K$26,I$24,K490&lt;K$28,I$26,K490&lt;K$30,I$28,K490&lt;K$32,I$30,K490&lt;K$34,I$32,K490&lt;K$36,I$34,K490&lt;K$38,I$36,K490&lt;K$40,I$38,K490&lt;K$42,I$40,K490&lt;K$44,I$42,K490&lt;K$46,I$44,K490&gt;=K$46,I$46)</f>
        <v/>
      </c>
      <c r="J490" s="37">
        <f>_xlfn.IFS(K490&lt;K$24,0,K490&lt;K$25,J$24,K490&lt;K$26,J$25,K490&lt;K$27,J$26,K490&lt;K$28,J$27,K490&lt;K$29,J$28,K490&lt;K$30,J$29,K490&lt;K$31,J$30,K490&lt;K$32,J$31,K490&lt;K$33,J$32,K490&lt;K$34,J$33,K490&lt;K$35,J$34,K490&lt;K$36,J$35,K490&lt;K$37,J$36,K490&lt;K$38,J$37,K490&lt;K$39,J$38,K490&lt;K$40,J$39,K490&lt;K$41,J$40,K490&lt;K$42,J$41,K490&lt;K$43,J$42,K490&lt;K$44,J$43,K490&lt;K$45,J$44,K490&lt;K$46,J$45,K490&lt;K$47,J$46,K490&gt;=K$47,J$47)</f>
        <v/>
      </c>
      <c r="K490" s="38" t="n">
        <v>440</v>
      </c>
      <c r="L490" s="31">
        <f>K490/52</f>
        <v/>
      </c>
      <c r="M490" s="39">
        <f>J490/1000000*52</f>
        <v/>
      </c>
      <c r="N490" s="33">
        <f>M490/$P$4+($I$22/$P$4)</f>
        <v/>
      </c>
      <c r="U490">
        <f>F489</f>
        <v/>
      </c>
      <c r="V490">
        <f>H489</f>
        <v/>
      </c>
      <c r="W490">
        <f>N489</f>
        <v/>
      </c>
    </row>
    <row r="491" ht="15.75" customHeight="1" s="40">
      <c r="C491" s="36">
        <f>_xlfn.IFS(E491&lt;E$24,0,E491&lt;E$26,C$24,E491&lt;E$28,C$26,E491&lt;E$30,C$28,E491&lt;E$32,C$30,E491&lt;E$34,C$32,E491&gt;=E$34,C$34)</f>
        <v/>
      </c>
      <c r="D491" s="37">
        <f>_xlfn.IFS(E491&lt;E$24,0,E491&lt;E$25,D$24,E491&lt;E$26,D$25,E491&lt;E$27,D$26,E491&lt;E$28,D$27,E491&lt;E$29,D$28,E491&lt;E$30,D$29,E491&lt;E$31,D$30,E491&lt;E$32,D$31,E491&lt;E$33,D$32,E491&lt;E$34,D$33,E491&lt;E$35,D$34,E491&gt;=E$35,D$35)</f>
        <v/>
      </c>
      <c r="E491" s="38" t="n">
        <v>441</v>
      </c>
      <c r="F491" s="31">
        <f>E491/52</f>
        <v/>
      </c>
      <c r="G491" s="39">
        <f>D491/1000000*52</f>
        <v/>
      </c>
      <c r="H491" s="33">
        <f>G491/$P$4+($C$22/$P$4)</f>
        <v/>
      </c>
      <c r="I491" s="36">
        <f>_xlfn.IFS(K491&lt;K$24,0,K491&lt;K$26,I$24,K491&lt;K$28,I$26,K491&lt;K$30,I$28,K491&lt;K$32,I$30,K491&lt;K$34,I$32,K491&lt;K$36,I$34,K491&lt;K$38,I$36,K491&lt;K$40,I$38,K491&lt;K$42,I$40,K491&lt;K$44,I$42,K491&lt;K$46,I$44,K491&gt;=K$46,I$46)</f>
        <v/>
      </c>
      <c r="J491" s="37">
        <f>_xlfn.IFS(K491&lt;K$24,0,K491&lt;K$25,J$24,K491&lt;K$26,J$25,K491&lt;K$27,J$26,K491&lt;K$28,J$27,K491&lt;K$29,J$28,K491&lt;K$30,J$29,K491&lt;K$31,J$30,K491&lt;K$32,J$31,K491&lt;K$33,J$32,K491&lt;K$34,J$33,K491&lt;K$35,J$34,K491&lt;K$36,J$35,K491&lt;K$37,J$36,K491&lt;K$38,J$37,K491&lt;K$39,J$38,K491&lt;K$40,J$39,K491&lt;K$41,J$40,K491&lt;K$42,J$41,K491&lt;K$43,J$42,K491&lt;K$44,J$43,K491&lt;K$45,J$44,K491&lt;K$46,J$45,K491&lt;K$47,J$46,K491&gt;=K$47,J$47)</f>
        <v/>
      </c>
      <c r="K491" s="38" t="n">
        <v>441</v>
      </c>
      <c r="L491" s="31">
        <f>K491/52</f>
        <v/>
      </c>
      <c r="M491" s="39">
        <f>J491/1000000*52</f>
        <v/>
      </c>
      <c r="N491" s="33">
        <f>M491/$P$4+($I$22/$P$4)</f>
        <v/>
      </c>
      <c r="U491">
        <f>F490</f>
        <v/>
      </c>
      <c r="V491">
        <f>H490</f>
        <v/>
      </c>
      <c r="W491">
        <f>N490</f>
        <v/>
      </c>
    </row>
    <row r="492" ht="15.75" customHeight="1" s="40">
      <c r="C492" s="36">
        <f>_xlfn.IFS(E492&lt;E$24,0,E492&lt;E$26,C$24,E492&lt;E$28,C$26,E492&lt;E$30,C$28,E492&lt;E$32,C$30,E492&lt;E$34,C$32,E492&gt;=E$34,C$34)</f>
        <v/>
      </c>
      <c r="D492" s="37">
        <f>_xlfn.IFS(E492&lt;E$24,0,E492&lt;E$25,D$24,E492&lt;E$26,D$25,E492&lt;E$27,D$26,E492&lt;E$28,D$27,E492&lt;E$29,D$28,E492&lt;E$30,D$29,E492&lt;E$31,D$30,E492&lt;E$32,D$31,E492&lt;E$33,D$32,E492&lt;E$34,D$33,E492&lt;E$35,D$34,E492&gt;=E$35,D$35)</f>
        <v/>
      </c>
      <c r="E492" s="38" t="n">
        <v>442</v>
      </c>
      <c r="F492" s="31">
        <f>E492/52</f>
        <v/>
      </c>
      <c r="G492" s="39">
        <f>D492/1000000*52</f>
        <v/>
      </c>
      <c r="H492" s="33">
        <f>G492/$P$4+($C$22/$P$4)</f>
        <v/>
      </c>
      <c r="I492" s="36">
        <f>_xlfn.IFS(K492&lt;K$24,0,K492&lt;K$26,I$24,K492&lt;K$28,I$26,K492&lt;K$30,I$28,K492&lt;K$32,I$30,K492&lt;K$34,I$32,K492&lt;K$36,I$34,K492&lt;K$38,I$36,K492&lt;K$40,I$38,K492&lt;K$42,I$40,K492&lt;K$44,I$42,K492&lt;K$46,I$44,K492&gt;=K$46,I$46)</f>
        <v/>
      </c>
      <c r="J492" s="37">
        <f>_xlfn.IFS(K492&lt;K$24,0,K492&lt;K$25,J$24,K492&lt;K$26,J$25,K492&lt;K$27,J$26,K492&lt;K$28,J$27,K492&lt;K$29,J$28,K492&lt;K$30,J$29,K492&lt;K$31,J$30,K492&lt;K$32,J$31,K492&lt;K$33,J$32,K492&lt;K$34,J$33,K492&lt;K$35,J$34,K492&lt;K$36,J$35,K492&lt;K$37,J$36,K492&lt;K$38,J$37,K492&lt;K$39,J$38,K492&lt;K$40,J$39,K492&lt;K$41,J$40,K492&lt;K$42,J$41,K492&lt;K$43,J$42,K492&lt;K$44,J$43,K492&lt;K$45,J$44,K492&lt;K$46,J$45,K492&lt;K$47,J$46,K492&gt;=K$47,J$47)</f>
        <v/>
      </c>
      <c r="K492" s="38" t="n">
        <v>442</v>
      </c>
      <c r="L492" s="31">
        <f>K492/52</f>
        <v/>
      </c>
      <c r="M492" s="39">
        <f>J492/1000000*52</f>
        <v/>
      </c>
      <c r="N492" s="33">
        <f>M492/$P$4+($I$22/$P$4)</f>
        <v/>
      </c>
      <c r="U492">
        <f>F491</f>
        <v/>
      </c>
      <c r="V492">
        <f>H491</f>
        <v/>
      </c>
      <c r="W492">
        <f>N491</f>
        <v/>
      </c>
    </row>
    <row r="493" ht="15.75" customHeight="1" s="40">
      <c r="C493" s="36">
        <f>_xlfn.IFS(E493&lt;E$24,0,E493&lt;E$26,C$24,E493&lt;E$28,C$26,E493&lt;E$30,C$28,E493&lt;E$32,C$30,E493&lt;E$34,C$32,E493&gt;=E$34,C$34)</f>
        <v/>
      </c>
      <c r="D493" s="37">
        <f>_xlfn.IFS(E493&lt;E$24,0,E493&lt;E$25,D$24,E493&lt;E$26,D$25,E493&lt;E$27,D$26,E493&lt;E$28,D$27,E493&lt;E$29,D$28,E493&lt;E$30,D$29,E493&lt;E$31,D$30,E493&lt;E$32,D$31,E493&lt;E$33,D$32,E493&lt;E$34,D$33,E493&lt;E$35,D$34,E493&gt;=E$35,D$35)</f>
        <v/>
      </c>
      <c r="E493" s="38" t="n">
        <v>443</v>
      </c>
      <c r="F493" s="31">
        <f>E493/52</f>
        <v/>
      </c>
      <c r="G493" s="39">
        <f>D493/1000000*52</f>
        <v/>
      </c>
      <c r="H493" s="33">
        <f>G493/$P$4+($C$22/$P$4)</f>
        <v/>
      </c>
      <c r="I493" s="36">
        <f>_xlfn.IFS(K493&lt;K$24,0,K493&lt;K$26,I$24,K493&lt;K$28,I$26,K493&lt;K$30,I$28,K493&lt;K$32,I$30,K493&lt;K$34,I$32,K493&lt;K$36,I$34,K493&lt;K$38,I$36,K493&lt;K$40,I$38,K493&lt;K$42,I$40,K493&lt;K$44,I$42,K493&lt;K$46,I$44,K493&gt;=K$46,I$46)</f>
        <v/>
      </c>
      <c r="J493" s="37">
        <f>_xlfn.IFS(K493&lt;K$24,0,K493&lt;K$25,J$24,K493&lt;K$26,J$25,K493&lt;K$27,J$26,K493&lt;K$28,J$27,K493&lt;K$29,J$28,K493&lt;K$30,J$29,K493&lt;K$31,J$30,K493&lt;K$32,J$31,K493&lt;K$33,J$32,K493&lt;K$34,J$33,K493&lt;K$35,J$34,K493&lt;K$36,J$35,K493&lt;K$37,J$36,K493&lt;K$38,J$37,K493&lt;K$39,J$38,K493&lt;K$40,J$39,K493&lt;K$41,J$40,K493&lt;K$42,J$41,K493&lt;K$43,J$42,K493&lt;K$44,J$43,K493&lt;K$45,J$44,K493&lt;K$46,J$45,K493&lt;K$47,J$46,K493&gt;=K$47,J$47)</f>
        <v/>
      </c>
      <c r="K493" s="38" t="n">
        <v>443</v>
      </c>
      <c r="L493" s="31">
        <f>K493/52</f>
        <v/>
      </c>
      <c r="M493" s="39">
        <f>J493/1000000*52</f>
        <v/>
      </c>
      <c r="N493" s="33">
        <f>M493/$P$4+($I$22/$P$4)</f>
        <v/>
      </c>
      <c r="U493">
        <f>F492</f>
        <v/>
      </c>
      <c r="V493">
        <f>H492</f>
        <v/>
      </c>
      <c r="W493">
        <f>N492</f>
        <v/>
      </c>
    </row>
    <row r="494" ht="15.75" customHeight="1" s="40">
      <c r="C494" s="36">
        <f>_xlfn.IFS(E494&lt;E$24,0,E494&lt;E$26,C$24,E494&lt;E$28,C$26,E494&lt;E$30,C$28,E494&lt;E$32,C$30,E494&lt;E$34,C$32,E494&gt;=E$34,C$34)</f>
        <v/>
      </c>
      <c r="D494" s="37">
        <f>_xlfn.IFS(E494&lt;E$24,0,E494&lt;E$25,D$24,E494&lt;E$26,D$25,E494&lt;E$27,D$26,E494&lt;E$28,D$27,E494&lt;E$29,D$28,E494&lt;E$30,D$29,E494&lt;E$31,D$30,E494&lt;E$32,D$31,E494&lt;E$33,D$32,E494&lt;E$34,D$33,E494&lt;E$35,D$34,E494&gt;=E$35,D$35)</f>
        <v/>
      </c>
      <c r="E494" s="38" t="n">
        <v>444</v>
      </c>
      <c r="F494" s="31">
        <f>E494/52</f>
        <v/>
      </c>
      <c r="G494" s="39">
        <f>D494/1000000*52</f>
        <v/>
      </c>
      <c r="H494" s="33">
        <f>G494/$P$4+($C$22/$P$4)</f>
        <v/>
      </c>
      <c r="I494" s="36">
        <f>_xlfn.IFS(K494&lt;K$24,0,K494&lt;K$26,I$24,K494&lt;K$28,I$26,K494&lt;K$30,I$28,K494&lt;K$32,I$30,K494&lt;K$34,I$32,K494&lt;K$36,I$34,K494&lt;K$38,I$36,K494&lt;K$40,I$38,K494&lt;K$42,I$40,K494&lt;K$44,I$42,K494&lt;K$46,I$44,K494&gt;=K$46,I$46)</f>
        <v/>
      </c>
      <c r="J494" s="37">
        <f>_xlfn.IFS(K494&lt;K$24,0,K494&lt;K$25,J$24,K494&lt;K$26,J$25,K494&lt;K$27,J$26,K494&lt;K$28,J$27,K494&lt;K$29,J$28,K494&lt;K$30,J$29,K494&lt;K$31,J$30,K494&lt;K$32,J$31,K494&lt;K$33,J$32,K494&lt;K$34,J$33,K494&lt;K$35,J$34,K494&lt;K$36,J$35,K494&lt;K$37,J$36,K494&lt;K$38,J$37,K494&lt;K$39,J$38,K494&lt;K$40,J$39,K494&lt;K$41,J$40,K494&lt;K$42,J$41,K494&lt;K$43,J$42,K494&lt;K$44,J$43,K494&lt;K$45,J$44,K494&lt;K$46,J$45,K494&lt;K$47,J$46,K494&gt;=K$47,J$47)</f>
        <v/>
      </c>
      <c r="K494" s="38" t="n">
        <v>444</v>
      </c>
      <c r="L494" s="31">
        <f>K494/52</f>
        <v/>
      </c>
      <c r="M494" s="39">
        <f>J494/1000000*52</f>
        <v/>
      </c>
      <c r="N494" s="33">
        <f>M494/$P$4+($I$22/$P$4)</f>
        <v/>
      </c>
      <c r="U494">
        <f>F493</f>
        <v/>
      </c>
      <c r="V494">
        <f>H493</f>
        <v/>
      </c>
      <c r="W494">
        <f>N493</f>
        <v/>
      </c>
    </row>
    <row r="495" ht="15.75" customHeight="1" s="40">
      <c r="C495" s="36">
        <f>_xlfn.IFS(E495&lt;E$24,0,E495&lt;E$26,C$24,E495&lt;E$28,C$26,E495&lt;E$30,C$28,E495&lt;E$32,C$30,E495&lt;E$34,C$32,E495&gt;=E$34,C$34)</f>
        <v/>
      </c>
      <c r="D495" s="37">
        <f>_xlfn.IFS(E495&lt;E$24,0,E495&lt;E$25,D$24,E495&lt;E$26,D$25,E495&lt;E$27,D$26,E495&lt;E$28,D$27,E495&lt;E$29,D$28,E495&lt;E$30,D$29,E495&lt;E$31,D$30,E495&lt;E$32,D$31,E495&lt;E$33,D$32,E495&lt;E$34,D$33,E495&lt;E$35,D$34,E495&gt;=E$35,D$35)</f>
        <v/>
      </c>
      <c r="E495" s="38" t="n">
        <v>445</v>
      </c>
      <c r="F495" s="31">
        <f>E495/52</f>
        <v/>
      </c>
      <c r="G495" s="39">
        <f>D495/1000000*52</f>
        <v/>
      </c>
      <c r="H495" s="33">
        <f>G495/$P$4+($C$22/$P$4)</f>
        <v/>
      </c>
      <c r="I495" s="36">
        <f>_xlfn.IFS(K495&lt;K$24,0,K495&lt;K$26,I$24,K495&lt;K$28,I$26,K495&lt;K$30,I$28,K495&lt;K$32,I$30,K495&lt;K$34,I$32,K495&lt;K$36,I$34,K495&lt;K$38,I$36,K495&lt;K$40,I$38,K495&lt;K$42,I$40,K495&lt;K$44,I$42,K495&lt;K$46,I$44,K495&gt;=K$46,I$46)</f>
        <v/>
      </c>
      <c r="J495" s="37">
        <f>_xlfn.IFS(K495&lt;K$24,0,K495&lt;K$25,J$24,K495&lt;K$26,J$25,K495&lt;K$27,J$26,K495&lt;K$28,J$27,K495&lt;K$29,J$28,K495&lt;K$30,J$29,K495&lt;K$31,J$30,K495&lt;K$32,J$31,K495&lt;K$33,J$32,K495&lt;K$34,J$33,K495&lt;K$35,J$34,K495&lt;K$36,J$35,K495&lt;K$37,J$36,K495&lt;K$38,J$37,K495&lt;K$39,J$38,K495&lt;K$40,J$39,K495&lt;K$41,J$40,K495&lt;K$42,J$41,K495&lt;K$43,J$42,K495&lt;K$44,J$43,K495&lt;K$45,J$44,K495&lt;K$46,J$45,K495&lt;K$47,J$46,K495&gt;=K$47,J$47)</f>
        <v/>
      </c>
      <c r="K495" s="38" t="n">
        <v>445</v>
      </c>
      <c r="L495" s="31">
        <f>K495/52</f>
        <v/>
      </c>
      <c r="M495" s="39">
        <f>J495/1000000*52</f>
        <v/>
      </c>
      <c r="N495" s="33">
        <f>M495/$P$4+($I$22/$P$4)</f>
        <v/>
      </c>
      <c r="U495">
        <f>F494</f>
        <v/>
      </c>
      <c r="V495">
        <f>H494</f>
        <v/>
      </c>
      <c r="W495">
        <f>N494</f>
        <v/>
      </c>
    </row>
    <row r="496" ht="15.75" customHeight="1" s="40">
      <c r="C496" s="36">
        <f>_xlfn.IFS(E496&lt;E$24,0,E496&lt;E$26,C$24,E496&lt;E$28,C$26,E496&lt;E$30,C$28,E496&lt;E$32,C$30,E496&lt;E$34,C$32,E496&gt;=E$34,C$34)</f>
        <v/>
      </c>
      <c r="D496" s="37">
        <f>_xlfn.IFS(E496&lt;E$24,0,E496&lt;E$25,D$24,E496&lt;E$26,D$25,E496&lt;E$27,D$26,E496&lt;E$28,D$27,E496&lt;E$29,D$28,E496&lt;E$30,D$29,E496&lt;E$31,D$30,E496&lt;E$32,D$31,E496&lt;E$33,D$32,E496&lt;E$34,D$33,E496&lt;E$35,D$34,E496&gt;=E$35,D$35)</f>
        <v/>
      </c>
      <c r="E496" s="38" t="n">
        <v>446</v>
      </c>
      <c r="F496" s="31">
        <f>E496/52</f>
        <v/>
      </c>
      <c r="G496" s="39">
        <f>D496/1000000*52</f>
        <v/>
      </c>
      <c r="H496" s="33">
        <f>G496/$P$4+($C$22/$P$4)</f>
        <v/>
      </c>
      <c r="I496" s="36">
        <f>_xlfn.IFS(K496&lt;K$24,0,K496&lt;K$26,I$24,K496&lt;K$28,I$26,K496&lt;K$30,I$28,K496&lt;K$32,I$30,K496&lt;K$34,I$32,K496&lt;K$36,I$34,K496&lt;K$38,I$36,K496&lt;K$40,I$38,K496&lt;K$42,I$40,K496&lt;K$44,I$42,K496&lt;K$46,I$44,K496&gt;=K$46,I$46)</f>
        <v/>
      </c>
      <c r="J496" s="37">
        <f>_xlfn.IFS(K496&lt;K$24,0,K496&lt;K$25,J$24,K496&lt;K$26,J$25,K496&lt;K$27,J$26,K496&lt;K$28,J$27,K496&lt;K$29,J$28,K496&lt;K$30,J$29,K496&lt;K$31,J$30,K496&lt;K$32,J$31,K496&lt;K$33,J$32,K496&lt;K$34,J$33,K496&lt;K$35,J$34,K496&lt;K$36,J$35,K496&lt;K$37,J$36,K496&lt;K$38,J$37,K496&lt;K$39,J$38,K496&lt;K$40,J$39,K496&lt;K$41,J$40,K496&lt;K$42,J$41,K496&lt;K$43,J$42,K496&lt;K$44,J$43,K496&lt;K$45,J$44,K496&lt;K$46,J$45,K496&lt;K$47,J$46,K496&gt;=K$47,J$47)</f>
        <v/>
      </c>
      <c r="K496" s="38" t="n">
        <v>446</v>
      </c>
      <c r="L496" s="31">
        <f>K496/52</f>
        <v/>
      </c>
      <c r="M496" s="39">
        <f>J496/1000000*52</f>
        <v/>
      </c>
      <c r="N496" s="33">
        <f>M496/$P$4+($I$22/$P$4)</f>
        <v/>
      </c>
      <c r="U496">
        <f>F495</f>
        <v/>
      </c>
      <c r="V496">
        <f>H495</f>
        <v/>
      </c>
      <c r="W496">
        <f>N495</f>
        <v/>
      </c>
    </row>
    <row r="497" ht="15.75" customHeight="1" s="40">
      <c r="C497" s="36">
        <f>_xlfn.IFS(E497&lt;E$24,0,E497&lt;E$26,C$24,E497&lt;E$28,C$26,E497&lt;E$30,C$28,E497&lt;E$32,C$30,E497&lt;E$34,C$32,E497&gt;=E$34,C$34)</f>
        <v/>
      </c>
      <c r="D497" s="37">
        <f>_xlfn.IFS(E497&lt;E$24,0,E497&lt;E$25,D$24,E497&lt;E$26,D$25,E497&lt;E$27,D$26,E497&lt;E$28,D$27,E497&lt;E$29,D$28,E497&lt;E$30,D$29,E497&lt;E$31,D$30,E497&lt;E$32,D$31,E497&lt;E$33,D$32,E497&lt;E$34,D$33,E497&lt;E$35,D$34,E497&gt;=E$35,D$35)</f>
        <v/>
      </c>
      <c r="E497" s="38" t="n">
        <v>447</v>
      </c>
      <c r="F497" s="31">
        <f>E497/52</f>
        <v/>
      </c>
      <c r="G497" s="39">
        <f>D497/1000000*52</f>
        <v/>
      </c>
      <c r="H497" s="33">
        <f>G497/$P$4+($C$22/$P$4)</f>
        <v/>
      </c>
      <c r="I497" s="36">
        <f>_xlfn.IFS(K497&lt;K$24,0,K497&lt;K$26,I$24,K497&lt;K$28,I$26,K497&lt;K$30,I$28,K497&lt;K$32,I$30,K497&lt;K$34,I$32,K497&lt;K$36,I$34,K497&lt;K$38,I$36,K497&lt;K$40,I$38,K497&lt;K$42,I$40,K497&lt;K$44,I$42,K497&lt;K$46,I$44,K497&gt;=K$46,I$46)</f>
        <v/>
      </c>
      <c r="J497" s="37">
        <f>_xlfn.IFS(K497&lt;K$24,0,K497&lt;K$25,J$24,K497&lt;K$26,J$25,K497&lt;K$27,J$26,K497&lt;K$28,J$27,K497&lt;K$29,J$28,K497&lt;K$30,J$29,K497&lt;K$31,J$30,K497&lt;K$32,J$31,K497&lt;K$33,J$32,K497&lt;K$34,J$33,K497&lt;K$35,J$34,K497&lt;K$36,J$35,K497&lt;K$37,J$36,K497&lt;K$38,J$37,K497&lt;K$39,J$38,K497&lt;K$40,J$39,K497&lt;K$41,J$40,K497&lt;K$42,J$41,K497&lt;K$43,J$42,K497&lt;K$44,J$43,K497&lt;K$45,J$44,K497&lt;K$46,J$45,K497&lt;K$47,J$46,K497&gt;=K$47,J$47)</f>
        <v/>
      </c>
      <c r="K497" s="38" t="n">
        <v>447</v>
      </c>
      <c r="L497" s="31">
        <f>K497/52</f>
        <v/>
      </c>
      <c r="M497" s="39">
        <f>J497/1000000*52</f>
        <v/>
      </c>
      <c r="N497" s="33">
        <f>M497/$P$4+($I$22/$P$4)</f>
        <v/>
      </c>
      <c r="U497">
        <f>F496</f>
        <v/>
      </c>
      <c r="V497">
        <f>H496</f>
        <v/>
      </c>
      <c r="W497">
        <f>N496</f>
        <v/>
      </c>
    </row>
    <row r="498" ht="15.75" customHeight="1" s="40">
      <c r="C498" s="36">
        <f>_xlfn.IFS(E498&lt;E$24,0,E498&lt;E$26,C$24,E498&lt;E$28,C$26,E498&lt;E$30,C$28,E498&lt;E$32,C$30,E498&lt;E$34,C$32,E498&gt;=E$34,C$34)</f>
        <v/>
      </c>
      <c r="D498" s="37">
        <f>_xlfn.IFS(E498&lt;E$24,0,E498&lt;E$25,D$24,E498&lt;E$26,D$25,E498&lt;E$27,D$26,E498&lt;E$28,D$27,E498&lt;E$29,D$28,E498&lt;E$30,D$29,E498&lt;E$31,D$30,E498&lt;E$32,D$31,E498&lt;E$33,D$32,E498&lt;E$34,D$33,E498&lt;E$35,D$34,E498&gt;=E$35,D$35)</f>
        <v/>
      </c>
      <c r="E498" s="38" t="n">
        <v>448</v>
      </c>
      <c r="F498" s="31">
        <f>E498/52</f>
        <v/>
      </c>
      <c r="G498" s="39">
        <f>D498/1000000*52</f>
        <v/>
      </c>
      <c r="H498" s="33">
        <f>G498/$P$4+($C$22/$P$4)</f>
        <v/>
      </c>
      <c r="I498" s="36">
        <f>_xlfn.IFS(K498&lt;K$24,0,K498&lt;K$26,I$24,K498&lt;K$28,I$26,K498&lt;K$30,I$28,K498&lt;K$32,I$30,K498&lt;K$34,I$32,K498&lt;K$36,I$34,K498&lt;K$38,I$36,K498&lt;K$40,I$38,K498&lt;K$42,I$40,K498&lt;K$44,I$42,K498&lt;K$46,I$44,K498&gt;=K$46,I$46)</f>
        <v/>
      </c>
      <c r="J498" s="37">
        <f>_xlfn.IFS(K498&lt;K$24,0,K498&lt;K$25,J$24,K498&lt;K$26,J$25,K498&lt;K$27,J$26,K498&lt;K$28,J$27,K498&lt;K$29,J$28,K498&lt;K$30,J$29,K498&lt;K$31,J$30,K498&lt;K$32,J$31,K498&lt;K$33,J$32,K498&lt;K$34,J$33,K498&lt;K$35,J$34,K498&lt;K$36,J$35,K498&lt;K$37,J$36,K498&lt;K$38,J$37,K498&lt;K$39,J$38,K498&lt;K$40,J$39,K498&lt;K$41,J$40,K498&lt;K$42,J$41,K498&lt;K$43,J$42,K498&lt;K$44,J$43,K498&lt;K$45,J$44,K498&lt;K$46,J$45,K498&lt;K$47,J$46,K498&gt;=K$47,J$47)</f>
        <v/>
      </c>
      <c r="K498" s="38" t="n">
        <v>448</v>
      </c>
      <c r="L498" s="31">
        <f>K498/52</f>
        <v/>
      </c>
      <c r="M498" s="39">
        <f>J498/1000000*52</f>
        <v/>
      </c>
      <c r="N498" s="33">
        <f>M498/$P$4+($I$22/$P$4)</f>
        <v/>
      </c>
      <c r="U498">
        <f>F497</f>
        <v/>
      </c>
      <c r="V498">
        <f>H497</f>
        <v/>
      </c>
      <c r="W498">
        <f>N497</f>
        <v/>
      </c>
    </row>
    <row r="499" ht="15.75" customHeight="1" s="40">
      <c r="C499" s="36">
        <f>_xlfn.IFS(E499&lt;E$24,0,E499&lt;E$26,C$24,E499&lt;E$28,C$26,E499&lt;E$30,C$28,E499&lt;E$32,C$30,E499&lt;E$34,C$32,E499&gt;=E$34,C$34)</f>
        <v/>
      </c>
      <c r="D499" s="37">
        <f>_xlfn.IFS(E499&lt;E$24,0,E499&lt;E$25,D$24,E499&lt;E$26,D$25,E499&lt;E$27,D$26,E499&lt;E$28,D$27,E499&lt;E$29,D$28,E499&lt;E$30,D$29,E499&lt;E$31,D$30,E499&lt;E$32,D$31,E499&lt;E$33,D$32,E499&lt;E$34,D$33,E499&lt;E$35,D$34,E499&gt;=E$35,D$35)</f>
        <v/>
      </c>
      <c r="E499" s="38" t="n">
        <v>449</v>
      </c>
      <c r="F499" s="31">
        <f>E499/52</f>
        <v/>
      </c>
      <c r="G499" s="39">
        <f>D499/1000000*52</f>
        <v/>
      </c>
      <c r="H499" s="33">
        <f>G499/$P$4+($C$22/$P$4)</f>
        <v/>
      </c>
      <c r="I499" s="36">
        <f>_xlfn.IFS(K499&lt;K$24,0,K499&lt;K$26,I$24,K499&lt;K$28,I$26,K499&lt;K$30,I$28,K499&lt;K$32,I$30,K499&lt;K$34,I$32,K499&lt;K$36,I$34,K499&lt;K$38,I$36,K499&lt;K$40,I$38,K499&lt;K$42,I$40,K499&lt;K$44,I$42,K499&lt;K$46,I$44,K499&gt;=K$46,I$46)</f>
        <v/>
      </c>
      <c r="J499" s="37">
        <f>_xlfn.IFS(K499&lt;K$24,0,K499&lt;K$25,J$24,K499&lt;K$26,J$25,K499&lt;K$27,J$26,K499&lt;K$28,J$27,K499&lt;K$29,J$28,K499&lt;K$30,J$29,K499&lt;K$31,J$30,K499&lt;K$32,J$31,K499&lt;K$33,J$32,K499&lt;K$34,J$33,K499&lt;K$35,J$34,K499&lt;K$36,J$35,K499&lt;K$37,J$36,K499&lt;K$38,J$37,K499&lt;K$39,J$38,K499&lt;K$40,J$39,K499&lt;K$41,J$40,K499&lt;K$42,J$41,K499&lt;K$43,J$42,K499&lt;K$44,J$43,K499&lt;K$45,J$44,K499&lt;K$46,J$45,K499&lt;K$47,J$46,K499&gt;=K$47,J$47)</f>
        <v/>
      </c>
      <c r="K499" s="38" t="n">
        <v>449</v>
      </c>
      <c r="L499" s="31">
        <f>K499/52</f>
        <v/>
      </c>
      <c r="M499" s="39">
        <f>J499/1000000*52</f>
        <v/>
      </c>
      <c r="N499" s="33">
        <f>M499/$P$4+($I$22/$P$4)</f>
        <v/>
      </c>
      <c r="U499">
        <f>F498</f>
        <v/>
      </c>
      <c r="V499">
        <f>H498</f>
        <v/>
      </c>
      <c r="W499">
        <f>N498</f>
        <v/>
      </c>
    </row>
    <row r="500" ht="15.75" customHeight="1" s="40">
      <c r="C500" s="36">
        <f>_xlfn.IFS(E500&lt;E$24,0,E500&lt;E$26,C$24,E500&lt;E$28,C$26,E500&lt;E$30,C$28,E500&lt;E$32,C$30,E500&lt;E$34,C$32,E500&gt;=E$34,C$34)</f>
        <v/>
      </c>
      <c r="D500" s="37">
        <f>_xlfn.IFS(E500&lt;E$24,0,E500&lt;E$25,D$24,E500&lt;E$26,D$25,E500&lt;E$27,D$26,E500&lt;E$28,D$27,E500&lt;E$29,D$28,E500&lt;E$30,D$29,E500&lt;E$31,D$30,E500&lt;E$32,D$31,E500&lt;E$33,D$32,E500&lt;E$34,D$33,E500&lt;E$35,D$34,E500&gt;=E$35,D$35)</f>
        <v/>
      </c>
      <c r="E500" s="38" t="n">
        <v>450</v>
      </c>
      <c r="F500" s="31">
        <f>E500/52</f>
        <v/>
      </c>
      <c r="G500" s="39">
        <f>D500/1000000*52</f>
        <v/>
      </c>
      <c r="H500" s="33">
        <f>G500/$P$4+($C$22/$P$4)</f>
        <v/>
      </c>
      <c r="I500" s="36">
        <f>_xlfn.IFS(K500&lt;K$24,0,K500&lt;K$26,I$24,K500&lt;K$28,I$26,K500&lt;K$30,I$28,K500&lt;K$32,I$30,K500&lt;K$34,I$32,K500&lt;K$36,I$34,K500&lt;K$38,I$36,K500&lt;K$40,I$38,K500&lt;K$42,I$40,K500&lt;K$44,I$42,K500&lt;K$46,I$44,K500&gt;=K$46,I$46)</f>
        <v/>
      </c>
      <c r="J500" s="37">
        <f>_xlfn.IFS(K500&lt;K$24,0,K500&lt;K$25,J$24,K500&lt;K$26,J$25,K500&lt;K$27,J$26,K500&lt;K$28,J$27,K500&lt;K$29,J$28,K500&lt;K$30,J$29,K500&lt;K$31,J$30,K500&lt;K$32,J$31,K500&lt;K$33,J$32,K500&lt;K$34,J$33,K500&lt;K$35,J$34,K500&lt;K$36,J$35,K500&lt;K$37,J$36,K500&lt;K$38,J$37,K500&lt;K$39,J$38,K500&lt;K$40,J$39,K500&lt;K$41,J$40,K500&lt;K$42,J$41,K500&lt;K$43,J$42,K500&lt;K$44,J$43,K500&lt;K$45,J$44,K500&lt;K$46,J$45,K500&lt;K$47,J$46,K500&gt;=K$47,J$47)</f>
        <v/>
      </c>
      <c r="K500" s="38" t="n">
        <v>450</v>
      </c>
      <c r="L500" s="31">
        <f>K500/52</f>
        <v/>
      </c>
      <c r="M500" s="39">
        <f>J500/1000000*52</f>
        <v/>
      </c>
      <c r="N500" s="33">
        <f>M500/$P$4+($I$22/$P$4)</f>
        <v/>
      </c>
      <c r="U500">
        <f>F499</f>
        <v/>
      </c>
      <c r="V500">
        <f>H499</f>
        <v/>
      </c>
      <c r="W500">
        <f>N499</f>
        <v/>
      </c>
    </row>
    <row r="501" ht="15.75" customHeight="1" s="40">
      <c r="C501" s="36">
        <f>_xlfn.IFS(E501&lt;E$24,0,E501&lt;E$26,C$24,E501&lt;E$28,C$26,E501&lt;E$30,C$28,E501&lt;E$32,C$30,E501&lt;E$34,C$32,E501&gt;=E$34,C$34)</f>
        <v/>
      </c>
      <c r="D501" s="37">
        <f>_xlfn.IFS(E501&lt;E$24,0,E501&lt;E$25,D$24,E501&lt;E$26,D$25,E501&lt;E$27,D$26,E501&lt;E$28,D$27,E501&lt;E$29,D$28,E501&lt;E$30,D$29,E501&lt;E$31,D$30,E501&lt;E$32,D$31,E501&lt;E$33,D$32,E501&lt;E$34,D$33,E501&lt;E$35,D$34,E501&gt;=E$35,D$35)</f>
        <v/>
      </c>
      <c r="E501" s="38" t="n">
        <v>451</v>
      </c>
      <c r="F501" s="31">
        <f>E501/52</f>
        <v/>
      </c>
      <c r="G501" s="39">
        <f>D501/1000000*52</f>
        <v/>
      </c>
      <c r="H501" s="33">
        <f>G501/$P$4+($C$22/$P$4)</f>
        <v/>
      </c>
      <c r="I501" s="36">
        <f>_xlfn.IFS(K501&lt;K$24,0,K501&lt;K$26,I$24,K501&lt;K$28,I$26,K501&lt;K$30,I$28,K501&lt;K$32,I$30,K501&lt;K$34,I$32,K501&lt;K$36,I$34,K501&lt;K$38,I$36,K501&lt;K$40,I$38,K501&lt;K$42,I$40,K501&lt;K$44,I$42,K501&lt;K$46,I$44,K501&gt;=K$46,I$46)</f>
        <v/>
      </c>
      <c r="J501" s="37">
        <f>_xlfn.IFS(K501&lt;K$24,0,K501&lt;K$25,J$24,K501&lt;K$26,J$25,K501&lt;K$27,J$26,K501&lt;K$28,J$27,K501&lt;K$29,J$28,K501&lt;K$30,J$29,K501&lt;K$31,J$30,K501&lt;K$32,J$31,K501&lt;K$33,J$32,K501&lt;K$34,J$33,K501&lt;K$35,J$34,K501&lt;K$36,J$35,K501&lt;K$37,J$36,K501&lt;K$38,J$37,K501&lt;K$39,J$38,K501&lt;K$40,J$39,K501&lt;K$41,J$40,K501&lt;K$42,J$41,K501&lt;K$43,J$42,K501&lt;K$44,J$43,K501&lt;K$45,J$44,K501&lt;K$46,J$45,K501&lt;K$47,J$46,K501&gt;=K$47,J$47)</f>
        <v/>
      </c>
      <c r="K501" s="38" t="n">
        <v>451</v>
      </c>
      <c r="L501" s="31">
        <f>K501/52</f>
        <v/>
      </c>
      <c r="M501" s="39">
        <f>J501/1000000*52</f>
        <v/>
      </c>
      <c r="N501" s="33">
        <f>M501/$P$4+($I$22/$P$4)</f>
        <v/>
      </c>
      <c r="U501">
        <f>F500</f>
        <v/>
      </c>
      <c r="V501">
        <f>H500</f>
        <v/>
      </c>
      <c r="W501">
        <f>N500</f>
        <v/>
      </c>
    </row>
    <row r="502" ht="15.75" customHeight="1" s="40">
      <c r="C502" s="36">
        <f>_xlfn.IFS(E502&lt;E$24,0,E502&lt;E$26,C$24,E502&lt;E$28,C$26,E502&lt;E$30,C$28,E502&lt;E$32,C$30,E502&lt;E$34,C$32,E502&gt;=E$34,C$34)</f>
        <v/>
      </c>
      <c r="D502" s="37">
        <f>_xlfn.IFS(E502&lt;E$24,0,E502&lt;E$25,D$24,E502&lt;E$26,D$25,E502&lt;E$27,D$26,E502&lt;E$28,D$27,E502&lt;E$29,D$28,E502&lt;E$30,D$29,E502&lt;E$31,D$30,E502&lt;E$32,D$31,E502&lt;E$33,D$32,E502&lt;E$34,D$33,E502&lt;E$35,D$34,E502&gt;=E$35,D$35)</f>
        <v/>
      </c>
      <c r="E502" s="38" t="n">
        <v>452</v>
      </c>
      <c r="F502" s="31">
        <f>E502/52</f>
        <v/>
      </c>
      <c r="G502" s="39">
        <f>D502/1000000*52</f>
        <v/>
      </c>
      <c r="H502" s="33">
        <f>G502/$P$4+($C$22/$P$4)</f>
        <v/>
      </c>
      <c r="I502" s="36">
        <f>_xlfn.IFS(K502&lt;K$24,0,K502&lt;K$26,I$24,K502&lt;K$28,I$26,K502&lt;K$30,I$28,K502&lt;K$32,I$30,K502&lt;K$34,I$32,K502&lt;K$36,I$34,K502&lt;K$38,I$36,K502&lt;K$40,I$38,K502&lt;K$42,I$40,K502&lt;K$44,I$42,K502&lt;K$46,I$44,K502&gt;=K$46,I$46)</f>
        <v/>
      </c>
      <c r="J502" s="37">
        <f>_xlfn.IFS(K502&lt;K$24,0,K502&lt;K$25,J$24,K502&lt;K$26,J$25,K502&lt;K$27,J$26,K502&lt;K$28,J$27,K502&lt;K$29,J$28,K502&lt;K$30,J$29,K502&lt;K$31,J$30,K502&lt;K$32,J$31,K502&lt;K$33,J$32,K502&lt;K$34,J$33,K502&lt;K$35,J$34,K502&lt;K$36,J$35,K502&lt;K$37,J$36,K502&lt;K$38,J$37,K502&lt;K$39,J$38,K502&lt;K$40,J$39,K502&lt;K$41,J$40,K502&lt;K$42,J$41,K502&lt;K$43,J$42,K502&lt;K$44,J$43,K502&lt;K$45,J$44,K502&lt;K$46,J$45,K502&lt;K$47,J$46,K502&gt;=K$47,J$47)</f>
        <v/>
      </c>
      <c r="K502" s="38" t="n">
        <v>452</v>
      </c>
      <c r="L502" s="31">
        <f>K502/52</f>
        <v/>
      </c>
      <c r="M502" s="39">
        <f>J502/1000000*52</f>
        <v/>
      </c>
      <c r="N502" s="33">
        <f>M502/$P$4+($I$22/$P$4)</f>
        <v/>
      </c>
      <c r="U502">
        <f>F501</f>
        <v/>
      </c>
      <c r="V502">
        <f>H501</f>
        <v/>
      </c>
      <c r="W502">
        <f>N501</f>
        <v/>
      </c>
    </row>
    <row r="503" ht="15.75" customHeight="1" s="40">
      <c r="C503" s="36">
        <f>_xlfn.IFS(E503&lt;E$24,0,E503&lt;E$26,C$24,E503&lt;E$28,C$26,E503&lt;E$30,C$28,E503&lt;E$32,C$30,E503&lt;E$34,C$32,E503&gt;=E$34,C$34)</f>
        <v/>
      </c>
      <c r="D503" s="37">
        <f>_xlfn.IFS(E503&lt;E$24,0,E503&lt;E$25,D$24,E503&lt;E$26,D$25,E503&lt;E$27,D$26,E503&lt;E$28,D$27,E503&lt;E$29,D$28,E503&lt;E$30,D$29,E503&lt;E$31,D$30,E503&lt;E$32,D$31,E503&lt;E$33,D$32,E503&lt;E$34,D$33,E503&lt;E$35,D$34,E503&gt;=E$35,D$35)</f>
        <v/>
      </c>
      <c r="E503" s="38" t="n">
        <v>453</v>
      </c>
      <c r="F503" s="31">
        <f>E503/52</f>
        <v/>
      </c>
      <c r="G503" s="39">
        <f>D503/1000000*52</f>
        <v/>
      </c>
      <c r="H503" s="33">
        <f>G503/$P$4+($C$22/$P$4)</f>
        <v/>
      </c>
      <c r="I503" s="36">
        <f>_xlfn.IFS(K503&lt;K$24,0,K503&lt;K$26,I$24,K503&lt;K$28,I$26,K503&lt;K$30,I$28,K503&lt;K$32,I$30,K503&lt;K$34,I$32,K503&lt;K$36,I$34,K503&lt;K$38,I$36,K503&lt;K$40,I$38,K503&lt;K$42,I$40,K503&lt;K$44,I$42,K503&lt;K$46,I$44,K503&gt;=K$46,I$46)</f>
        <v/>
      </c>
      <c r="J503" s="37">
        <f>_xlfn.IFS(K503&lt;K$24,0,K503&lt;K$25,J$24,K503&lt;K$26,J$25,K503&lt;K$27,J$26,K503&lt;K$28,J$27,K503&lt;K$29,J$28,K503&lt;K$30,J$29,K503&lt;K$31,J$30,K503&lt;K$32,J$31,K503&lt;K$33,J$32,K503&lt;K$34,J$33,K503&lt;K$35,J$34,K503&lt;K$36,J$35,K503&lt;K$37,J$36,K503&lt;K$38,J$37,K503&lt;K$39,J$38,K503&lt;K$40,J$39,K503&lt;K$41,J$40,K503&lt;K$42,J$41,K503&lt;K$43,J$42,K503&lt;K$44,J$43,K503&lt;K$45,J$44,K503&lt;K$46,J$45,K503&lt;K$47,J$46,K503&gt;=K$47,J$47)</f>
        <v/>
      </c>
      <c r="K503" s="38" t="n">
        <v>453</v>
      </c>
      <c r="L503" s="31">
        <f>K503/52</f>
        <v/>
      </c>
      <c r="M503" s="39">
        <f>J503/1000000*52</f>
        <v/>
      </c>
      <c r="N503" s="33">
        <f>M503/$P$4+($I$22/$P$4)</f>
        <v/>
      </c>
      <c r="U503">
        <f>F502</f>
        <v/>
      </c>
      <c r="V503">
        <f>H502</f>
        <v/>
      </c>
      <c r="W503">
        <f>N502</f>
        <v/>
      </c>
    </row>
    <row r="504" ht="15.75" customHeight="1" s="40">
      <c r="C504" s="36">
        <f>_xlfn.IFS(E504&lt;E$24,0,E504&lt;E$26,C$24,E504&lt;E$28,C$26,E504&lt;E$30,C$28,E504&lt;E$32,C$30,E504&lt;E$34,C$32,E504&gt;=E$34,C$34)</f>
        <v/>
      </c>
      <c r="D504" s="37">
        <f>_xlfn.IFS(E504&lt;E$24,0,E504&lt;E$25,D$24,E504&lt;E$26,D$25,E504&lt;E$27,D$26,E504&lt;E$28,D$27,E504&lt;E$29,D$28,E504&lt;E$30,D$29,E504&lt;E$31,D$30,E504&lt;E$32,D$31,E504&lt;E$33,D$32,E504&lt;E$34,D$33,E504&lt;E$35,D$34,E504&gt;=E$35,D$35)</f>
        <v/>
      </c>
      <c r="E504" s="38" t="n">
        <v>454</v>
      </c>
      <c r="F504" s="31">
        <f>E504/52</f>
        <v/>
      </c>
      <c r="G504" s="39">
        <f>D504/1000000*52</f>
        <v/>
      </c>
      <c r="H504" s="33">
        <f>G504/$P$4+($C$22/$P$4)</f>
        <v/>
      </c>
      <c r="I504" s="36">
        <f>_xlfn.IFS(K504&lt;K$24,0,K504&lt;K$26,I$24,K504&lt;K$28,I$26,K504&lt;K$30,I$28,K504&lt;K$32,I$30,K504&lt;K$34,I$32,K504&lt;K$36,I$34,K504&lt;K$38,I$36,K504&lt;K$40,I$38,K504&lt;K$42,I$40,K504&lt;K$44,I$42,K504&lt;K$46,I$44,K504&gt;=K$46,I$46)</f>
        <v/>
      </c>
      <c r="J504" s="37">
        <f>_xlfn.IFS(K504&lt;K$24,0,K504&lt;K$25,J$24,K504&lt;K$26,J$25,K504&lt;K$27,J$26,K504&lt;K$28,J$27,K504&lt;K$29,J$28,K504&lt;K$30,J$29,K504&lt;K$31,J$30,K504&lt;K$32,J$31,K504&lt;K$33,J$32,K504&lt;K$34,J$33,K504&lt;K$35,J$34,K504&lt;K$36,J$35,K504&lt;K$37,J$36,K504&lt;K$38,J$37,K504&lt;K$39,J$38,K504&lt;K$40,J$39,K504&lt;K$41,J$40,K504&lt;K$42,J$41,K504&lt;K$43,J$42,K504&lt;K$44,J$43,K504&lt;K$45,J$44,K504&lt;K$46,J$45,K504&lt;K$47,J$46,K504&gt;=K$47,J$47)</f>
        <v/>
      </c>
      <c r="K504" s="38" t="n">
        <v>454</v>
      </c>
      <c r="L504" s="31">
        <f>K504/52</f>
        <v/>
      </c>
      <c r="M504" s="39">
        <f>J504/1000000*52</f>
        <v/>
      </c>
      <c r="N504" s="33">
        <f>M504/$P$4+($I$22/$P$4)</f>
        <v/>
      </c>
      <c r="U504">
        <f>F503</f>
        <v/>
      </c>
      <c r="V504">
        <f>H503</f>
        <v/>
      </c>
      <c r="W504">
        <f>N503</f>
        <v/>
      </c>
    </row>
    <row r="505" ht="15.75" customHeight="1" s="40">
      <c r="C505" s="36">
        <f>_xlfn.IFS(E505&lt;E$24,0,E505&lt;E$26,C$24,E505&lt;E$28,C$26,E505&lt;E$30,C$28,E505&lt;E$32,C$30,E505&lt;E$34,C$32,E505&gt;=E$34,C$34)</f>
        <v/>
      </c>
      <c r="D505" s="37">
        <f>_xlfn.IFS(E505&lt;E$24,0,E505&lt;E$25,D$24,E505&lt;E$26,D$25,E505&lt;E$27,D$26,E505&lt;E$28,D$27,E505&lt;E$29,D$28,E505&lt;E$30,D$29,E505&lt;E$31,D$30,E505&lt;E$32,D$31,E505&lt;E$33,D$32,E505&lt;E$34,D$33,E505&lt;E$35,D$34,E505&gt;=E$35,D$35)</f>
        <v/>
      </c>
      <c r="E505" s="38" t="n">
        <v>455</v>
      </c>
      <c r="F505" s="31">
        <f>E505/52</f>
        <v/>
      </c>
      <c r="G505" s="39">
        <f>D505/1000000*52</f>
        <v/>
      </c>
      <c r="H505" s="33">
        <f>G505/$P$4+($C$22/$P$4)</f>
        <v/>
      </c>
      <c r="I505" s="36">
        <f>_xlfn.IFS(K505&lt;K$24,0,K505&lt;K$26,I$24,K505&lt;K$28,I$26,K505&lt;K$30,I$28,K505&lt;K$32,I$30,K505&lt;K$34,I$32,K505&lt;K$36,I$34,K505&lt;K$38,I$36,K505&lt;K$40,I$38,K505&lt;K$42,I$40,K505&lt;K$44,I$42,K505&lt;K$46,I$44,K505&gt;=K$46,I$46)</f>
        <v/>
      </c>
      <c r="J505" s="37">
        <f>_xlfn.IFS(K505&lt;K$24,0,K505&lt;K$25,J$24,K505&lt;K$26,J$25,K505&lt;K$27,J$26,K505&lt;K$28,J$27,K505&lt;K$29,J$28,K505&lt;K$30,J$29,K505&lt;K$31,J$30,K505&lt;K$32,J$31,K505&lt;K$33,J$32,K505&lt;K$34,J$33,K505&lt;K$35,J$34,K505&lt;K$36,J$35,K505&lt;K$37,J$36,K505&lt;K$38,J$37,K505&lt;K$39,J$38,K505&lt;K$40,J$39,K505&lt;K$41,J$40,K505&lt;K$42,J$41,K505&lt;K$43,J$42,K505&lt;K$44,J$43,K505&lt;K$45,J$44,K505&lt;K$46,J$45,K505&lt;K$47,J$46,K505&gt;=K$47,J$47)</f>
        <v/>
      </c>
      <c r="K505" s="38" t="n">
        <v>455</v>
      </c>
      <c r="L505" s="31">
        <f>K505/52</f>
        <v/>
      </c>
      <c r="M505" s="39">
        <f>J505/1000000*52</f>
        <v/>
      </c>
      <c r="N505" s="33">
        <f>M505/$P$4+($I$22/$P$4)</f>
        <v/>
      </c>
      <c r="U505">
        <f>F504</f>
        <v/>
      </c>
      <c r="V505">
        <f>H504</f>
        <v/>
      </c>
      <c r="W505">
        <f>N504</f>
        <v/>
      </c>
    </row>
    <row r="506" ht="15.75" customHeight="1" s="40">
      <c r="C506" s="36">
        <f>_xlfn.IFS(E506&lt;E$24,0,E506&lt;E$26,C$24,E506&lt;E$28,C$26,E506&lt;E$30,C$28,E506&lt;E$32,C$30,E506&lt;E$34,C$32,E506&gt;=E$34,C$34)</f>
        <v/>
      </c>
      <c r="D506" s="37">
        <f>_xlfn.IFS(E506&lt;E$24,0,E506&lt;E$25,D$24,E506&lt;E$26,D$25,E506&lt;E$27,D$26,E506&lt;E$28,D$27,E506&lt;E$29,D$28,E506&lt;E$30,D$29,E506&lt;E$31,D$30,E506&lt;E$32,D$31,E506&lt;E$33,D$32,E506&lt;E$34,D$33,E506&lt;E$35,D$34,E506&gt;=E$35,D$35)</f>
        <v/>
      </c>
      <c r="E506" s="38" t="n">
        <v>456</v>
      </c>
      <c r="F506" s="31">
        <f>E506/52</f>
        <v/>
      </c>
      <c r="G506" s="39">
        <f>D506/1000000*52</f>
        <v/>
      </c>
      <c r="H506" s="33">
        <f>G506/$P$4+($C$22/$P$4)</f>
        <v/>
      </c>
      <c r="I506" s="36">
        <f>_xlfn.IFS(K506&lt;K$24,0,K506&lt;K$26,I$24,K506&lt;K$28,I$26,K506&lt;K$30,I$28,K506&lt;K$32,I$30,K506&lt;K$34,I$32,K506&lt;K$36,I$34,K506&lt;K$38,I$36,K506&lt;K$40,I$38,K506&lt;K$42,I$40,K506&lt;K$44,I$42,K506&lt;K$46,I$44,K506&gt;=K$46,I$46)</f>
        <v/>
      </c>
      <c r="J506" s="37">
        <f>_xlfn.IFS(K506&lt;K$24,0,K506&lt;K$25,J$24,K506&lt;K$26,J$25,K506&lt;K$27,J$26,K506&lt;K$28,J$27,K506&lt;K$29,J$28,K506&lt;K$30,J$29,K506&lt;K$31,J$30,K506&lt;K$32,J$31,K506&lt;K$33,J$32,K506&lt;K$34,J$33,K506&lt;K$35,J$34,K506&lt;K$36,J$35,K506&lt;K$37,J$36,K506&lt;K$38,J$37,K506&lt;K$39,J$38,K506&lt;K$40,J$39,K506&lt;K$41,J$40,K506&lt;K$42,J$41,K506&lt;K$43,J$42,K506&lt;K$44,J$43,K506&lt;K$45,J$44,K506&lt;K$46,J$45,K506&lt;K$47,J$46,K506&gt;=K$47,J$47)</f>
        <v/>
      </c>
      <c r="K506" s="38" t="n">
        <v>456</v>
      </c>
      <c r="L506" s="31">
        <f>K506/52</f>
        <v/>
      </c>
      <c r="M506" s="39">
        <f>J506/1000000*52</f>
        <v/>
      </c>
      <c r="N506" s="33">
        <f>M506/$P$4+($I$22/$P$4)</f>
        <v/>
      </c>
      <c r="U506">
        <f>F505</f>
        <v/>
      </c>
      <c r="V506">
        <f>H505</f>
        <v/>
      </c>
      <c r="W506">
        <f>N505</f>
        <v/>
      </c>
    </row>
    <row r="507" ht="15.75" customHeight="1" s="40">
      <c r="C507" s="36">
        <f>_xlfn.IFS(E507&lt;E$24,0,E507&lt;E$26,C$24,E507&lt;E$28,C$26,E507&lt;E$30,C$28,E507&lt;E$32,C$30,E507&lt;E$34,C$32,E507&gt;=E$34,C$34)</f>
        <v/>
      </c>
      <c r="D507" s="37">
        <f>_xlfn.IFS(E507&lt;E$24,0,E507&lt;E$25,D$24,E507&lt;E$26,D$25,E507&lt;E$27,D$26,E507&lt;E$28,D$27,E507&lt;E$29,D$28,E507&lt;E$30,D$29,E507&lt;E$31,D$30,E507&lt;E$32,D$31,E507&lt;E$33,D$32,E507&lt;E$34,D$33,E507&lt;E$35,D$34,E507&gt;=E$35,D$35)</f>
        <v/>
      </c>
      <c r="E507" s="38" t="n">
        <v>457</v>
      </c>
      <c r="F507" s="31">
        <f>E507/52</f>
        <v/>
      </c>
      <c r="G507" s="39">
        <f>D507/1000000*52</f>
        <v/>
      </c>
      <c r="H507" s="33">
        <f>G507/$P$4+($C$22/$P$4)</f>
        <v/>
      </c>
      <c r="I507" s="36">
        <f>_xlfn.IFS(K507&lt;K$24,0,K507&lt;K$26,I$24,K507&lt;K$28,I$26,K507&lt;K$30,I$28,K507&lt;K$32,I$30,K507&lt;K$34,I$32,K507&lt;K$36,I$34,K507&lt;K$38,I$36,K507&lt;K$40,I$38,K507&lt;K$42,I$40,K507&lt;K$44,I$42,K507&lt;K$46,I$44,K507&gt;=K$46,I$46)</f>
        <v/>
      </c>
      <c r="J507" s="37">
        <f>_xlfn.IFS(K507&lt;K$24,0,K507&lt;K$25,J$24,K507&lt;K$26,J$25,K507&lt;K$27,J$26,K507&lt;K$28,J$27,K507&lt;K$29,J$28,K507&lt;K$30,J$29,K507&lt;K$31,J$30,K507&lt;K$32,J$31,K507&lt;K$33,J$32,K507&lt;K$34,J$33,K507&lt;K$35,J$34,K507&lt;K$36,J$35,K507&lt;K$37,J$36,K507&lt;K$38,J$37,K507&lt;K$39,J$38,K507&lt;K$40,J$39,K507&lt;K$41,J$40,K507&lt;K$42,J$41,K507&lt;K$43,J$42,K507&lt;K$44,J$43,K507&lt;K$45,J$44,K507&lt;K$46,J$45,K507&lt;K$47,J$46,K507&gt;=K$47,J$47)</f>
        <v/>
      </c>
      <c r="K507" s="38" t="n">
        <v>457</v>
      </c>
      <c r="L507" s="31">
        <f>K507/52</f>
        <v/>
      </c>
      <c r="M507" s="39">
        <f>J507/1000000*52</f>
        <v/>
      </c>
      <c r="N507" s="33">
        <f>M507/$P$4+($I$22/$P$4)</f>
        <v/>
      </c>
      <c r="U507">
        <f>F506</f>
        <v/>
      </c>
      <c r="V507">
        <f>H506</f>
        <v/>
      </c>
      <c r="W507">
        <f>N506</f>
        <v/>
      </c>
    </row>
    <row r="508" ht="15.75" customHeight="1" s="40">
      <c r="C508" s="36">
        <f>_xlfn.IFS(E508&lt;E$24,0,E508&lt;E$26,C$24,E508&lt;E$28,C$26,E508&lt;E$30,C$28,E508&lt;E$32,C$30,E508&lt;E$34,C$32,E508&gt;=E$34,C$34)</f>
        <v/>
      </c>
      <c r="D508" s="37">
        <f>_xlfn.IFS(E508&lt;E$24,0,E508&lt;E$25,D$24,E508&lt;E$26,D$25,E508&lt;E$27,D$26,E508&lt;E$28,D$27,E508&lt;E$29,D$28,E508&lt;E$30,D$29,E508&lt;E$31,D$30,E508&lt;E$32,D$31,E508&lt;E$33,D$32,E508&lt;E$34,D$33,E508&lt;E$35,D$34,E508&gt;=E$35,D$35)</f>
        <v/>
      </c>
      <c r="E508" s="38" t="n">
        <v>458</v>
      </c>
      <c r="F508" s="31">
        <f>E508/52</f>
        <v/>
      </c>
      <c r="G508" s="39">
        <f>D508/1000000*52</f>
        <v/>
      </c>
      <c r="H508" s="33">
        <f>G508/$P$4+($C$22/$P$4)</f>
        <v/>
      </c>
      <c r="I508" s="36">
        <f>_xlfn.IFS(K508&lt;K$24,0,K508&lt;K$26,I$24,K508&lt;K$28,I$26,K508&lt;K$30,I$28,K508&lt;K$32,I$30,K508&lt;K$34,I$32,K508&lt;K$36,I$34,K508&lt;K$38,I$36,K508&lt;K$40,I$38,K508&lt;K$42,I$40,K508&lt;K$44,I$42,K508&lt;K$46,I$44,K508&gt;=K$46,I$46)</f>
        <v/>
      </c>
      <c r="J508" s="37">
        <f>_xlfn.IFS(K508&lt;K$24,0,K508&lt;K$25,J$24,K508&lt;K$26,J$25,K508&lt;K$27,J$26,K508&lt;K$28,J$27,K508&lt;K$29,J$28,K508&lt;K$30,J$29,K508&lt;K$31,J$30,K508&lt;K$32,J$31,K508&lt;K$33,J$32,K508&lt;K$34,J$33,K508&lt;K$35,J$34,K508&lt;K$36,J$35,K508&lt;K$37,J$36,K508&lt;K$38,J$37,K508&lt;K$39,J$38,K508&lt;K$40,J$39,K508&lt;K$41,J$40,K508&lt;K$42,J$41,K508&lt;K$43,J$42,K508&lt;K$44,J$43,K508&lt;K$45,J$44,K508&lt;K$46,J$45,K508&lt;K$47,J$46,K508&gt;=K$47,J$47)</f>
        <v/>
      </c>
      <c r="K508" s="38" t="n">
        <v>458</v>
      </c>
      <c r="L508" s="31">
        <f>K508/52</f>
        <v/>
      </c>
      <c r="M508" s="39">
        <f>J508/1000000*52</f>
        <v/>
      </c>
      <c r="N508" s="33">
        <f>M508/$P$4+($I$22/$P$4)</f>
        <v/>
      </c>
      <c r="U508">
        <f>F507</f>
        <v/>
      </c>
      <c r="V508">
        <f>H507</f>
        <v/>
      </c>
      <c r="W508">
        <f>N507</f>
        <v/>
      </c>
    </row>
    <row r="509" ht="15.75" customHeight="1" s="40">
      <c r="C509" s="36">
        <f>_xlfn.IFS(E509&lt;E$24,0,E509&lt;E$26,C$24,E509&lt;E$28,C$26,E509&lt;E$30,C$28,E509&lt;E$32,C$30,E509&lt;E$34,C$32,E509&gt;=E$34,C$34)</f>
        <v/>
      </c>
      <c r="D509" s="37">
        <f>_xlfn.IFS(E509&lt;E$24,0,E509&lt;E$25,D$24,E509&lt;E$26,D$25,E509&lt;E$27,D$26,E509&lt;E$28,D$27,E509&lt;E$29,D$28,E509&lt;E$30,D$29,E509&lt;E$31,D$30,E509&lt;E$32,D$31,E509&lt;E$33,D$32,E509&lt;E$34,D$33,E509&lt;E$35,D$34,E509&gt;=E$35,D$35)</f>
        <v/>
      </c>
      <c r="E509" s="38" t="n">
        <v>459</v>
      </c>
      <c r="F509" s="31">
        <f>E509/52</f>
        <v/>
      </c>
      <c r="G509" s="39">
        <f>D509/1000000*52</f>
        <v/>
      </c>
      <c r="H509" s="33">
        <f>G509/$P$4+($C$22/$P$4)</f>
        <v/>
      </c>
      <c r="I509" s="36">
        <f>_xlfn.IFS(K509&lt;K$24,0,K509&lt;K$26,I$24,K509&lt;K$28,I$26,K509&lt;K$30,I$28,K509&lt;K$32,I$30,K509&lt;K$34,I$32,K509&lt;K$36,I$34,K509&lt;K$38,I$36,K509&lt;K$40,I$38,K509&lt;K$42,I$40,K509&lt;K$44,I$42,K509&lt;K$46,I$44,K509&gt;=K$46,I$46)</f>
        <v/>
      </c>
      <c r="J509" s="37">
        <f>_xlfn.IFS(K509&lt;K$24,0,K509&lt;K$25,J$24,K509&lt;K$26,J$25,K509&lt;K$27,J$26,K509&lt;K$28,J$27,K509&lt;K$29,J$28,K509&lt;K$30,J$29,K509&lt;K$31,J$30,K509&lt;K$32,J$31,K509&lt;K$33,J$32,K509&lt;K$34,J$33,K509&lt;K$35,J$34,K509&lt;K$36,J$35,K509&lt;K$37,J$36,K509&lt;K$38,J$37,K509&lt;K$39,J$38,K509&lt;K$40,J$39,K509&lt;K$41,J$40,K509&lt;K$42,J$41,K509&lt;K$43,J$42,K509&lt;K$44,J$43,K509&lt;K$45,J$44,K509&lt;K$46,J$45,K509&lt;K$47,J$46,K509&gt;=K$47,J$47)</f>
        <v/>
      </c>
      <c r="K509" s="38" t="n">
        <v>459</v>
      </c>
      <c r="L509" s="31">
        <f>K509/52</f>
        <v/>
      </c>
      <c r="M509" s="39">
        <f>J509/1000000*52</f>
        <v/>
      </c>
      <c r="N509" s="33">
        <f>M509/$P$4+($I$22/$P$4)</f>
        <v/>
      </c>
      <c r="U509">
        <f>F508</f>
        <v/>
      </c>
      <c r="V509">
        <f>H508</f>
        <v/>
      </c>
      <c r="W509">
        <f>N508</f>
        <v/>
      </c>
    </row>
    <row r="510" ht="15.75" customHeight="1" s="40">
      <c r="C510" s="36">
        <f>_xlfn.IFS(E510&lt;E$24,0,E510&lt;E$26,C$24,E510&lt;E$28,C$26,E510&lt;E$30,C$28,E510&lt;E$32,C$30,E510&lt;E$34,C$32,E510&gt;=E$34,C$34)</f>
        <v/>
      </c>
      <c r="D510" s="37">
        <f>_xlfn.IFS(E510&lt;E$24,0,E510&lt;E$25,D$24,E510&lt;E$26,D$25,E510&lt;E$27,D$26,E510&lt;E$28,D$27,E510&lt;E$29,D$28,E510&lt;E$30,D$29,E510&lt;E$31,D$30,E510&lt;E$32,D$31,E510&lt;E$33,D$32,E510&lt;E$34,D$33,E510&lt;E$35,D$34,E510&gt;=E$35,D$35)</f>
        <v/>
      </c>
      <c r="E510" s="38" t="n">
        <v>460</v>
      </c>
      <c r="F510" s="31">
        <f>E510/52</f>
        <v/>
      </c>
      <c r="G510" s="39">
        <f>D510/1000000*52</f>
        <v/>
      </c>
      <c r="H510" s="33">
        <f>G510/$P$4+($C$22/$P$4)</f>
        <v/>
      </c>
      <c r="I510" s="36">
        <f>_xlfn.IFS(K510&lt;K$24,0,K510&lt;K$26,I$24,K510&lt;K$28,I$26,K510&lt;K$30,I$28,K510&lt;K$32,I$30,K510&lt;K$34,I$32,K510&lt;K$36,I$34,K510&lt;K$38,I$36,K510&lt;K$40,I$38,K510&lt;K$42,I$40,K510&lt;K$44,I$42,K510&lt;K$46,I$44,K510&gt;=K$46,I$46)</f>
        <v/>
      </c>
      <c r="J510" s="37">
        <f>_xlfn.IFS(K510&lt;K$24,0,K510&lt;K$25,J$24,K510&lt;K$26,J$25,K510&lt;K$27,J$26,K510&lt;K$28,J$27,K510&lt;K$29,J$28,K510&lt;K$30,J$29,K510&lt;K$31,J$30,K510&lt;K$32,J$31,K510&lt;K$33,J$32,K510&lt;K$34,J$33,K510&lt;K$35,J$34,K510&lt;K$36,J$35,K510&lt;K$37,J$36,K510&lt;K$38,J$37,K510&lt;K$39,J$38,K510&lt;K$40,J$39,K510&lt;K$41,J$40,K510&lt;K$42,J$41,K510&lt;K$43,J$42,K510&lt;K$44,J$43,K510&lt;K$45,J$44,K510&lt;K$46,J$45,K510&lt;K$47,J$46,K510&gt;=K$47,J$47)</f>
        <v/>
      </c>
      <c r="K510" s="38" t="n">
        <v>460</v>
      </c>
      <c r="L510" s="31">
        <f>K510/52</f>
        <v/>
      </c>
      <c r="M510" s="39">
        <f>J510/1000000*52</f>
        <v/>
      </c>
      <c r="N510" s="33">
        <f>M510/$P$4+($I$22/$P$4)</f>
        <v/>
      </c>
      <c r="U510">
        <f>F509</f>
        <v/>
      </c>
      <c r="V510">
        <f>H509</f>
        <v/>
      </c>
      <c r="W510">
        <f>N509</f>
        <v/>
      </c>
    </row>
    <row r="511" ht="15.75" customHeight="1" s="40">
      <c r="C511" s="36">
        <f>_xlfn.IFS(E511&lt;E$24,0,E511&lt;E$26,C$24,E511&lt;E$28,C$26,E511&lt;E$30,C$28,E511&lt;E$32,C$30,E511&lt;E$34,C$32,E511&gt;=E$34,C$34)</f>
        <v/>
      </c>
      <c r="D511" s="37">
        <f>_xlfn.IFS(E511&lt;E$24,0,E511&lt;E$25,D$24,E511&lt;E$26,D$25,E511&lt;E$27,D$26,E511&lt;E$28,D$27,E511&lt;E$29,D$28,E511&lt;E$30,D$29,E511&lt;E$31,D$30,E511&lt;E$32,D$31,E511&lt;E$33,D$32,E511&lt;E$34,D$33,E511&lt;E$35,D$34,E511&gt;=E$35,D$35)</f>
        <v/>
      </c>
      <c r="E511" s="38" t="n">
        <v>461</v>
      </c>
      <c r="F511" s="31">
        <f>E511/52</f>
        <v/>
      </c>
      <c r="G511" s="39">
        <f>D511/1000000*52</f>
        <v/>
      </c>
      <c r="H511" s="33">
        <f>G511/$P$4+($C$22/$P$4)</f>
        <v/>
      </c>
      <c r="I511" s="36">
        <f>_xlfn.IFS(K511&lt;K$24,0,K511&lt;K$26,I$24,K511&lt;K$28,I$26,K511&lt;K$30,I$28,K511&lt;K$32,I$30,K511&lt;K$34,I$32,K511&lt;K$36,I$34,K511&lt;K$38,I$36,K511&lt;K$40,I$38,K511&lt;K$42,I$40,K511&lt;K$44,I$42,K511&lt;K$46,I$44,K511&gt;=K$46,I$46)</f>
        <v/>
      </c>
      <c r="J511" s="37">
        <f>_xlfn.IFS(K511&lt;K$24,0,K511&lt;K$25,J$24,K511&lt;K$26,J$25,K511&lt;K$27,J$26,K511&lt;K$28,J$27,K511&lt;K$29,J$28,K511&lt;K$30,J$29,K511&lt;K$31,J$30,K511&lt;K$32,J$31,K511&lt;K$33,J$32,K511&lt;K$34,J$33,K511&lt;K$35,J$34,K511&lt;K$36,J$35,K511&lt;K$37,J$36,K511&lt;K$38,J$37,K511&lt;K$39,J$38,K511&lt;K$40,J$39,K511&lt;K$41,J$40,K511&lt;K$42,J$41,K511&lt;K$43,J$42,K511&lt;K$44,J$43,K511&lt;K$45,J$44,K511&lt;K$46,J$45,K511&lt;K$47,J$46,K511&gt;=K$47,J$47)</f>
        <v/>
      </c>
      <c r="K511" s="38" t="n">
        <v>461</v>
      </c>
      <c r="L511" s="31">
        <f>K511/52</f>
        <v/>
      </c>
      <c r="M511" s="39">
        <f>J511/1000000*52</f>
        <v/>
      </c>
      <c r="N511" s="33">
        <f>M511/$P$4+($I$22/$P$4)</f>
        <v/>
      </c>
      <c r="U511">
        <f>F510</f>
        <v/>
      </c>
      <c r="V511">
        <f>H510</f>
        <v/>
      </c>
      <c r="W511">
        <f>N510</f>
        <v/>
      </c>
    </row>
    <row r="512" ht="15.75" customHeight="1" s="40">
      <c r="C512" s="36">
        <f>_xlfn.IFS(E512&lt;E$24,0,E512&lt;E$26,C$24,E512&lt;E$28,C$26,E512&lt;E$30,C$28,E512&lt;E$32,C$30,E512&lt;E$34,C$32,E512&gt;=E$34,C$34)</f>
        <v/>
      </c>
      <c r="D512" s="37">
        <f>_xlfn.IFS(E512&lt;E$24,0,E512&lt;E$25,D$24,E512&lt;E$26,D$25,E512&lt;E$27,D$26,E512&lt;E$28,D$27,E512&lt;E$29,D$28,E512&lt;E$30,D$29,E512&lt;E$31,D$30,E512&lt;E$32,D$31,E512&lt;E$33,D$32,E512&lt;E$34,D$33,E512&lt;E$35,D$34,E512&gt;=E$35,D$35)</f>
        <v/>
      </c>
      <c r="E512" s="38" t="n">
        <v>462</v>
      </c>
      <c r="F512" s="31">
        <f>E512/52</f>
        <v/>
      </c>
      <c r="G512" s="39">
        <f>D512/1000000*52</f>
        <v/>
      </c>
      <c r="H512" s="33">
        <f>G512/$P$4+($C$22/$P$4)</f>
        <v/>
      </c>
      <c r="I512" s="36">
        <f>_xlfn.IFS(K512&lt;K$24,0,K512&lt;K$26,I$24,K512&lt;K$28,I$26,K512&lt;K$30,I$28,K512&lt;K$32,I$30,K512&lt;K$34,I$32,K512&lt;K$36,I$34,K512&lt;K$38,I$36,K512&lt;K$40,I$38,K512&lt;K$42,I$40,K512&lt;K$44,I$42,K512&lt;K$46,I$44,K512&gt;=K$46,I$46)</f>
        <v/>
      </c>
      <c r="J512" s="37">
        <f>_xlfn.IFS(K512&lt;K$24,0,K512&lt;K$25,J$24,K512&lt;K$26,J$25,K512&lt;K$27,J$26,K512&lt;K$28,J$27,K512&lt;K$29,J$28,K512&lt;K$30,J$29,K512&lt;K$31,J$30,K512&lt;K$32,J$31,K512&lt;K$33,J$32,K512&lt;K$34,J$33,K512&lt;K$35,J$34,K512&lt;K$36,J$35,K512&lt;K$37,J$36,K512&lt;K$38,J$37,K512&lt;K$39,J$38,K512&lt;K$40,J$39,K512&lt;K$41,J$40,K512&lt;K$42,J$41,K512&lt;K$43,J$42,K512&lt;K$44,J$43,K512&lt;K$45,J$44,K512&lt;K$46,J$45,K512&lt;K$47,J$46,K512&gt;=K$47,J$47)</f>
        <v/>
      </c>
      <c r="K512" s="38" t="n">
        <v>462</v>
      </c>
      <c r="L512" s="31">
        <f>K512/52</f>
        <v/>
      </c>
      <c r="M512" s="39">
        <f>J512/1000000*52</f>
        <v/>
      </c>
      <c r="N512" s="33">
        <f>M512/$P$4+($I$22/$P$4)</f>
        <v/>
      </c>
      <c r="U512">
        <f>F511</f>
        <v/>
      </c>
      <c r="V512">
        <f>H511</f>
        <v/>
      </c>
      <c r="W512">
        <f>N511</f>
        <v/>
      </c>
    </row>
    <row r="513" ht="15.75" customHeight="1" s="40">
      <c r="C513" s="36">
        <f>_xlfn.IFS(E513&lt;E$24,0,E513&lt;E$26,C$24,E513&lt;E$28,C$26,E513&lt;E$30,C$28,E513&lt;E$32,C$30,E513&lt;E$34,C$32,E513&gt;=E$34,C$34)</f>
        <v/>
      </c>
      <c r="D513" s="37">
        <f>_xlfn.IFS(E513&lt;E$24,0,E513&lt;E$25,D$24,E513&lt;E$26,D$25,E513&lt;E$27,D$26,E513&lt;E$28,D$27,E513&lt;E$29,D$28,E513&lt;E$30,D$29,E513&lt;E$31,D$30,E513&lt;E$32,D$31,E513&lt;E$33,D$32,E513&lt;E$34,D$33,E513&lt;E$35,D$34,E513&gt;=E$35,D$35)</f>
        <v/>
      </c>
      <c r="E513" s="38" t="n">
        <v>463</v>
      </c>
      <c r="F513" s="31">
        <f>E513/52</f>
        <v/>
      </c>
      <c r="G513" s="39">
        <f>D513/1000000*52</f>
        <v/>
      </c>
      <c r="H513" s="33">
        <f>G513/$P$4+($C$22/$P$4)</f>
        <v/>
      </c>
      <c r="I513" s="36">
        <f>_xlfn.IFS(K513&lt;K$24,0,K513&lt;K$26,I$24,K513&lt;K$28,I$26,K513&lt;K$30,I$28,K513&lt;K$32,I$30,K513&lt;K$34,I$32,K513&lt;K$36,I$34,K513&lt;K$38,I$36,K513&lt;K$40,I$38,K513&lt;K$42,I$40,K513&lt;K$44,I$42,K513&lt;K$46,I$44,K513&gt;=K$46,I$46)</f>
        <v/>
      </c>
      <c r="J513" s="37">
        <f>_xlfn.IFS(K513&lt;K$24,0,K513&lt;K$25,J$24,K513&lt;K$26,J$25,K513&lt;K$27,J$26,K513&lt;K$28,J$27,K513&lt;K$29,J$28,K513&lt;K$30,J$29,K513&lt;K$31,J$30,K513&lt;K$32,J$31,K513&lt;K$33,J$32,K513&lt;K$34,J$33,K513&lt;K$35,J$34,K513&lt;K$36,J$35,K513&lt;K$37,J$36,K513&lt;K$38,J$37,K513&lt;K$39,J$38,K513&lt;K$40,J$39,K513&lt;K$41,J$40,K513&lt;K$42,J$41,K513&lt;K$43,J$42,K513&lt;K$44,J$43,K513&lt;K$45,J$44,K513&lt;K$46,J$45,K513&lt;K$47,J$46,K513&gt;=K$47,J$47)</f>
        <v/>
      </c>
      <c r="K513" s="38" t="n">
        <v>463</v>
      </c>
      <c r="L513" s="31">
        <f>K513/52</f>
        <v/>
      </c>
      <c r="M513" s="39">
        <f>J513/1000000*52</f>
        <v/>
      </c>
      <c r="N513" s="33">
        <f>M513/$P$4+($I$22/$P$4)</f>
        <v/>
      </c>
      <c r="U513">
        <f>F512</f>
        <v/>
      </c>
      <c r="V513">
        <f>H512</f>
        <v/>
      </c>
      <c r="W513">
        <f>N512</f>
        <v/>
      </c>
    </row>
    <row r="514" ht="15.75" customHeight="1" s="40">
      <c r="C514" s="36">
        <f>_xlfn.IFS(E514&lt;E$24,0,E514&lt;E$26,C$24,E514&lt;E$28,C$26,E514&lt;E$30,C$28,E514&lt;E$32,C$30,E514&lt;E$34,C$32,E514&gt;=E$34,C$34)</f>
        <v/>
      </c>
      <c r="D514" s="37">
        <f>_xlfn.IFS(E514&lt;E$24,0,E514&lt;E$25,D$24,E514&lt;E$26,D$25,E514&lt;E$27,D$26,E514&lt;E$28,D$27,E514&lt;E$29,D$28,E514&lt;E$30,D$29,E514&lt;E$31,D$30,E514&lt;E$32,D$31,E514&lt;E$33,D$32,E514&lt;E$34,D$33,E514&lt;E$35,D$34,E514&gt;=E$35,D$35)</f>
        <v/>
      </c>
      <c r="E514" s="38" t="n">
        <v>464</v>
      </c>
      <c r="F514" s="31">
        <f>E514/52</f>
        <v/>
      </c>
      <c r="G514" s="39">
        <f>D514/1000000*52</f>
        <v/>
      </c>
      <c r="H514" s="33">
        <f>G514/$P$4+($C$22/$P$4)</f>
        <v/>
      </c>
      <c r="I514" s="36">
        <f>_xlfn.IFS(K514&lt;K$24,0,K514&lt;K$26,I$24,K514&lt;K$28,I$26,K514&lt;K$30,I$28,K514&lt;K$32,I$30,K514&lt;K$34,I$32,K514&lt;K$36,I$34,K514&lt;K$38,I$36,K514&lt;K$40,I$38,K514&lt;K$42,I$40,K514&lt;K$44,I$42,K514&lt;K$46,I$44,K514&gt;=K$46,I$46)</f>
        <v/>
      </c>
      <c r="J514" s="37">
        <f>_xlfn.IFS(K514&lt;K$24,0,K514&lt;K$25,J$24,K514&lt;K$26,J$25,K514&lt;K$27,J$26,K514&lt;K$28,J$27,K514&lt;K$29,J$28,K514&lt;K$30,J$29,K514&lt;K$31,J$30,K514&lt;K$32,J$31,K514&lt;K$33,J$32,K514&lt;K$34,J$33,K514&lt;K$35,J$34,K514&lt;K$36,J$35,K514&lt;K$37,J$36,K514&lt;K$38,J$37,K514&lt;K$39,J$38,K514&lt;K$40,J$39,K514&lt;K$41,J$40,K514&lt;K$42,J$41,K514&lt;K$43,J$42,K514&lt;K$44,J$43,K514&lt;K$45,J$44,K514&lt;K$46,J$45,K514&lt;K$47,J$46,K514&gt;=K$47,J$47)</f>
        <v/>
      </c>
      <c r="K514" s="38" t="n">
        <v>464</v>
      </c>
      <c r="L514" s="31">
        <f>K514/52</f>
        <v/>
      </c>
      <c r="M514" s="39">
        <f>J514/1000000*52</f>
        <v/>
      </c>
      <c r="N514" s="33">
        <f>M514/$P$4+($I$22/$P$4)</f>
        <v/>
      </c>
      <c r="U514">
        <f>F513</f>
        <v/>
      </c>
      <c r="V514">
        <f>H513</f>
        <v/>
      </c>
      <c r="W514">
        <f>N513</f>
        <v/>
      </c>
    </row>
    <row r="515" ht="15.75" customHeight="1" s="40">
      <c r="C515" s="36">
        <f>_xlfn.IFS(E515&lt;E$24,0,E515&lt;E$26,C$24,E515&lt;E$28,C$26,E515&lt;E$30,C$28,E515&lt;E$32,C$30,E515&lt;E$34,C$32,E515&gt;=E$34,C$34)</f>
        <v/>
      </c>
      <c r="D515" s="37">
        <f>_xlfn.IFS(E515&lt;E$24,0,E515&lt;E$25,D$24,E515&lt;E$26,D$25,E515&lt;E$27,D$26,E515&lt;E$28,D$27,E515&lt;E$29,D$28,E515&lt;E$30,D$29,E515&lt;E$31,D$30,E515&lt;E$32,D$31,E515&lt;E$33,D$32,E515&lt;E$34,D$33,E515&lt;E$35,D$34,E515&gt;=E$35,D$35)</f>
        <v/>
      </c>
      <c r="E515" s="38" t="n">
        <v>465</v>
      </c>
      <c r="F515" s="31">
        <f>E515/52</f>
        <v/>
      </c>
      <c r="G515" s="39">
        <f>D515/1000000*52</f>
        <v/>
      </c>
      <c r="H515" s="33">
        <f>G515/$P$4+($C$22/$P$4)</f>
        <v/>
      </c>
      <c r="I515" s="36">
        <f>_xlfn.IFS(K515&lt;K$24,0,K515&lt;K$26,I$24,K515&lt;K$28,I$26,K515&lt;K$30,I$28,K515&lt;K$32,I$30,K515&lt;K$34,I$32,K515&lt;K$36,I$34,K515&lt;K$38,I$36,K515&lt;K$40,I$38,K515&lt;K$42,I$40,K515&lt;K$44,I$42,K515&lt;K$46,I$44,K515&gt;=K$46,I$46)</f>
        <v/>
      </c>
      <c r="J515" s="37">
        <f>_xlfn.IFS(K515&lt;K$24,0,K515&lt;K$25,J$24,K515&lt;K$26,J$25,K515&lt;K$27,J$26,K515&lt;K$28,J$27,K515&lt;K$29,J$28,K515&lt;K$30,J$29,K515&lt;K$31,J$30,K515&lt;K$32,J$31,K515&lt;K$33,J$32,K515&lt;K$34,J$33,K515&lt;K$35,J$34,K515&lt;K$36,J$35,K515&lt;K$37,J$36,K515&lt;K$38,J$37,K515&lt;K$39,J$38,K515&lt;K$40,J$39,K515&lt;K$41,J$40,K515&lt;K$42,J$41,K515&lt;K$43,J$42,K515&lt;K$44,J$43,K515&lt;K$45,J$44,K515&lt;K$46,J$45,K515&lt;K$47,J$46,K515&gt;=K$47,J$47)</f>
        <v/>
      </c>
      <c r="K515" s="38" t="n">
        <v>465</v>
      </c>
      <c r="L515" s="31">
        <f>K515/52</f>
        <v/>
      </c>
      <c r="M515" s="39">
        <f>J515/1000000*52</f>
        <v/>
      </c>
      <c r="N515" s="33">
        <f>M515/$P$4+($I$22/$P$4)</f>
        <v/>
      </c>
      <c r="U515">
        <f>F514</f>
        <v/>
      </c>
      <c r="V515">
        <f>H514</f>
        <v/>
      </c>
      <c r="W515">
        <f>N514</f>
        <v/>
      </c>
    </row>
    <row r="516" ht="15.75" customHeight="1" s="40">
      <c r="C516" s="36">
        <f>_xlfn.IFS(E516&lt;E$24,0,E516&lt;E$26,C$24,E516&lt;E$28,C$26,E516&lt;E$30,C$28,E516&lt;E$32,C$30,E516&lt;E$34,C$32,E516&gt;=E$34,C$34)</f>
        <v/>
      </c>
      <c r="D516" s="37">
        <f>_xlfn.IFS(E516&lt;E$24,0,E516&lt;E$25,D$24,E516&lt;E$26,D$25,E516&lt;E$27,D$26,E516&lt;E$28,D$27,E516&lt;E$29,D$28,E516&lt;E$30,D$29,E516&lt;E$31,D$30,E516&lt;E$32,D$31,E516&lt;E$33,D$32,E516&lt;E$34,D$33,E516&lt;E$35,D$34,E516&gt;=E$35,D$35)</f>
        <v/>
      </c>
      <c r="E516" s="38" t="n">
        <v>466</v>
      </c>
      <c r="F516" s="31">
        <f>E516/52</f>
        <v/>
      </c>
      <c r="G516" s="39">
        <f>D516/1000000*52</f>
        <v/>
      </c>
      <c r="H516" s="33">
        <f>G516/$P$4+($C$22/$P$4)</f>
        <v/>
      </c>
      <c r="I516" s="36">
        <f>_xlfn.IFS(K516&lt;K$24,0,K516&lt;K$26,I$24,K516&lt;K$28,I$26,K516&lt;K$30,I$28,K516&lt;K$32,I$30,K516&lt;K$34,I$32,K516&lt;K$36,I$34,K516&lt;K$38,I$36,K516&lt;K$40,I$38,K516&lt;K$42,I$40,K516&lt;K$44,I$42,K516&lt;K$46,I$44,K516&gt;=K$46,I$46)</f>
        <v/>
      </c>
      <c r="J516" s="37">
        <f>_xlfn.IFS(K516&lt;K$24,0,K516&lt;K$25,J$24,K516&lt;K$26,J$25,K516&lt;K$27,J$26,K516&lt;K$28,J$27,K516&lt;K$29,J$28,K516&lt;K$30,J$29,K516&lt;K$31,J$30,K516&lt;K$32,J$31,K516&lt;K$33,J$32,K516&lt;K$34,J$33,K516&lt;K$35,J$34,K516&lt;K$36,J$35,K516&lt;K$37,J$36,K516&lt;K$38,J$37,K516&lt;K$39,J$38,K516&lt;K$40,J$39,K516&lt;K$41,J$40,K516&lt;K$42,J$41,K516&lt;K$43,J$42,K516&lt;K$44,J$43,K516&lt;K$45,J$44,K516&lt;K$46,J$45,K516&lt;K$47,J$46,K516&gt;=K$47,J$47)</f>
        <v/>
      </c>
      <c r="K516" s="38" t="n">
        <v>466</v>
      </c>
      <c r="L516" s="31">
        <f>K516/52</f>
        <v/>
      </c>
      <c r="M516" s="39">
        <f>J516/1000000*52</f>
        <v/>
      </c>
      <c r="N516" s="33">
        <f>M516/$P$4+($I$22/$P$4)</f>
        <v/>
      </c>
      <c r="U516">
        <f>F515</f>
        <v/>
      </c>
      <c r="V516">
        <f>H515</f>
        <v/>
      </c>
      <c r="W516">
        <f>N515</f>
        <v/>
      </c>
    </row>
    <row r="517" ht="15.75" customHeight="1" s="40">
      <c r="C517" s="36">
        <f>_xlfn.IFS(E517&lt;E$24,0,E517&lt;E$26,C$24,E517&lt;E$28,C$26,E517&lt;E$30,C$28,E517&lt;E$32,C$30,E517&lt;E$34,C$32,E517&gt;=E$34,C$34)</f>
        <v/>
      </c>
      <c r="D517" s="37">
        <f>_xlfn.IFS(E517&lt;E$24,0,E517&lt;E$25,D$24,E517&lt;E$26,D$25,E517&lt;E$27,D$26,E517&lt;E$28,D$27,E517&lt;E$29,D$28,E517&lt;E$30,D$29,E517&lt;E$31,D$30,E517&lt;E$32,D$31,E517&lt;E$33,D$32,E517&lt;E$34,D$33,E517&lt;E$35,D$34,E517&gt;=E$35,D$35)</f>
        <v/>
      </c>
      <c r="E517" s="38" t="n">
        <v>467</v>
      </c>
      <c r="F517" s="31">
        <f>E517/52</f>
        <v/>
      </c>
      <c r="G517" s="39">
        <f>D517/1000000*52</f>
        <v/>
      </c>
      <c r="H517" s="33">
        <f>G517/$P$4+($C$22/$P$4)</f>
        <v/>
      </c>
      <c r="I517" s="36">
        <f>_xlfn.IFS(K517&lt;K$24,0,K517&lt;K$26,I$24,K517&lt;K$28,I$26,K517&lt;K$30,I$28,K517&lt;K$32,I$30,K517&lt;K$34,I$32,K517&lt;K$36,I$34,K517&lt;K$38,I$36,K517&lt;K$40,I$38,K517&lt;K$42,I$40,K517&lt;K$44,I$42,K517&lt;K$46,I$44,K517&gt;=K$46,I$46)</f>
        <v/>
      </c>
      <c r="J517" s="37">
        <f>_xlfn.IFS(K517&lt;K$24,0,K517&lt;K$25,J$24,K517&lt;K$26,J$25,K517&lt;K$27,J$26,K517&lt;K$28,J$27,K517&lt;K$29,J$28,K517&lt;K$30,J$29,K517&lt;K$31,J$30,K517&lt;K$32,J$31,K517&lt;K$33,J$32,K517&lt;K$34,J$33,K517&lt;K$35,J$34,K517&lt;K$36,J$35,K517&lt;K$37,J$36,K517&lt;K$38,J$37,K517&lt;K$39,J$38,K517&lt;K$40,J$39,K517&lt;K$41,J$40,K517&lt;K$42,J$41,K517&lt;K$43,J$42,K517&lt;K$44,J$43,K517&lt;K$45,J$44,K517&lt;K$46,J$45,K517&lt;K$47,J$46,K517&gt;=K$47,J$47)</f>
        <v/>
      </c>
      <c r="K517" s="38" t="n">
        <v>467</v>
      </c>
      <c r="L517" s="31">
        <f>K517/52</f>
        <v/>
      </c>
      <c r="M517" s="39">
        <f>J517/1000000*52</f>
        <v/>
      </c>
      <c r="N517" s="33">
        <f>M517/$P$4+($I$22/$P$4)</f>
        <v/>
      </c>
      <c r="U517">
        <f>F516</f>
        <v/>
      </c>
      <c r="V517">
        <f>H516</f>
        <v/>
      </c>
      <c r="W517">
        <f>N516</f>
        <v/>
      </c>
    </row>
    <row r="518" ht="15.75" customHeight="1" s="40">
      <c r="C518" s="36">
        <f>_xlfn.IFS(E518&lt;E$24,0,E518&lt;E$26,C$24,E518&lt;E$28,C$26,E518&lt;E$30,C$28,E518&lt;E$32,C$30,E518&lt;E$34,C$32,E518&gt;=E$34,C$34)</f>
        <v/>
      </c>
      <c r="D518" s="37">
        <f>_xlfn.IFS(E518&lt;E$24,0,E518&lt;E$25,D$24,E518&lt;E$26,D$25,E518&lt;E$27,D$26,E518&lt;E$28,D$27,E518&lt;E$29,D$28,E518&lt;E$30,D$29,E518&lt;E$31,D$30,E518&lt;E$32,D$31,E518&lt;E$33,D$32,E518&lt;E$34,D$33,E518&lt;E$35,D$34,E518&gt;=E$35,D$35)</f>
        <v/>
      </c>
      <c r="E518" s="38" t="n">
        <v>468</v>
      </c>
      <c r="F518" s="31">
        <f>E518/52</f>
        <v/>
      </c>
      <c r="G518" s="39">
        <f>D518/1000000*52</f>
        <v/>
      </c>
      <c r="H518" s="33">
        <f>G518/$P$4+($C$22/$P$4)</f>
        <v/>
      </c>
      <c r="I518" s="36">
        <f>_xlfn.IFS(K518&lt;K$24,0,K518&lt;K$26,I$24,K518&lt;K$28,I$26,K518&lt;K$30,I$28,K518&lt;K$32,I$30,K518&lt;K$34,I$32,K518&lt;K$36,I$34,K518&lt;K$38,I$36,K518&lt;K$40,I$38,K518&lt;K$42,I$40,K518&lt;K$44,I$42,K518&lt;K$46,I$44,K518&gt;=K$46,I$46)</f>
        <v/>
      </c>
      <c r="J518" s="37">
        <f>_xlfn.IFS(K518&lt;K$24,0,K518&lt;K$25,J$24,K518&lt;K$26,J$25,K518&lt;K$27,J$26,K518&lt;K$28,J$27,K518&lt;K$29,J$28,K518&lt;K$30,J$29,K518&lt;K$31,J$30,K518&lt;K$32,J$31,K518&lt;K$33,J$32,K518&lt;K$34,J$33,K518&lt;K$35,J$34,K518&lt;K$36,J$35,K518&lt;K$37,J$36,K518&lt;K$38,J$37,K518&lt;K$39,J$38,K518&lt;K$40,J$39,K518&lt;K$41,J$40,K518&lt;K$42,J$41,K518&lt;K$43,J$42,K518&lt;K$44,J$43,K518&lt;K$45,J$44,K518&lt;K$46,J$45,K518&lt;K$47,J$46,K518&gt;=K$47,J$47)</f>
        <v/>
      </c>
      <c r="K518" s="38" t="n">
        <v>468</v>
      </c>
      <c r="L518" s="31">
        <f>K518/52</f>
        <v/>
      </c>
      <c r="M518" s="39">
        <f>J518/1000000*52</f>
        <v/>
      </c>
      <c r="N518" s="33">
        <f>M518/$P$4+($I$22/$P$4)</f>
        <v/>
      </c>
      <c r="U518">
        <f>F517</f>
        <v/>
      </c>
      <c r="V518">
        <f>H517</f>
        <v/>
      </c>
      <c r="W518">
        <f>N517</f>
        <v/>
      </c>
    </row>
    <row r="519" ht="15.75" customHeight="1" s="40">
      <c r="C519" s="36">
        <f>_xlfn.IFS(E519&lt;E$24,0,E519&lt;E$26,C$24,E519&lt;E$28,C$26,E519&lt;E$30,C$28,E519&lt;E$32,C$30,E519&lt;E$34,C$32,E519&gt;=E$34,C$34)</f>
        <v/>
      </c>
      <c r="D519" s="37">
        <f>_xlfn.IFS(E519&lt;E$24,0,E519&lt;E$25,D$24,E519&lt;E$26,D$25,E519&lt;E$27,D$26,E519&lt;E$28,D$27,E519&lt;E$29,D$28,E519&lt;E$30,D$29,E519&lt;E$31,D$30,E519&lt;E$32,D$31,E519&lt;E$33,D$32,E519&lt;E$34,D$33,E519&lt;E$35,D$34,E519&gt;=E$35,D$35)</f>
        <v/>
      </c>
      <c r="E519" s="38" t="n">
        <v>469</v>
      </c>
      <c r="F519" s="31">
        <f>E519/52</f>
        <v/>
      </c>
      <c r="G519" s="39">
        <f>D519/1000000*52</f>
        <v/>
      </c>
      <c r="H519" s="33">
        <f>G519/$P$4+($C$22/$P$4)</f>
        <v/>
      </c>
      <c r="I519" s="36">
        <f>_xlfn.IFS(K519&lt;K$24,0,K519&lt;K$26,I$24,K519&lt;K$28,I$26,K519&lt;K$30,I$28,K519&lt;K$32,I$30,K519&lt;K$34,I$32,K519&lt;K$36,I$34,K519&lt;K$38,I$36,K519&lt;K$40,I$38,K519&lt;K$42,I$40,K519&lt;K$44,I$42,K519&lt;K$46,I$44,K519&gt;=K$46,I$46)</f>
        <v/>
      </c>
      <c r="J519" s="37">
        <f>_xlfn.IFS(K519&lt;K$24,0,K519&lt;K$25,J$24,K519&lt;K$26,J$25,K519&lt;K$27,J$26,K519&lt;K$28,J$27,K519&lt;K$29,J$28,K519&lt;K$30,J$29,K519&lt;K$31,J$30,K519&lt;K$32,J$31,K519&lt;K$33,J$32,K519&lt;K$34,J$33,K519&lt;K$35,J$34,K519&lt;K$36,J$35,K519&lt;K$37,J$36,K519&lt;K$38,J$37,K519&lt;K$39,J$38,K519&lt;K$40,J$39,K519&lt;K$41,J$40,K519&lt;K$42,J$41,K519&lt;K$43,J$42,K519&lt;K$44,J$43,K519&lt;K$45,J$44,K519&lt;K$46,J$45,K519&lt;K$47,J$46,K519&gt;=K$47,J$47)</f>
        <v/>
      </c>
      <c r="K519" s="38" t="n">
        <v>469</v>
      </c>
      <c r="L519" s="31">
        <f>K519/52</f>
        <v/>
      </c>
      <c r="M519" s="39">
        <f>J519/1000000*52</f>
        <v/>
      </c>
      <c r="N519" s="33">
        <f>M519/$P$4+($I$22/$P$4)</f>
        <v/>
      </c>
      <c r="U519">
        <f>F518</f>
        <v/>
      </c>
      <c r="V519">
        <f>H518</f>
        <v/>
      </c>
      <c r="W519">
        <f>N518</f>
        <v/>
      </c>
    </row>
    <row r="520" ht="15.75" customHeight="1" s="40">
      <c r="C520" s="36">
        <f>_xlfn.IFS(E520&lt;E$24,0,E520&lt;E$26,C$24,E520&lt;E$28,C$26,E520&lt;E$30,C$28,E520&lt;E$32,C$30,E520&lt;E$34,C$32,E520&gt;=E$34,C$34)</f>
        <v/>
      </c>
      <c r="D520" s="37">
        <f>_xlfn.IFS(E520&lt;E$24,0,E520&lt;E$25,D$24,E520&lt;E$26,D$25,E520&lt;E$27,D$26,E520&lt;E$28,D$27,E520&lt;E$29,D$28,E520&lt;E$30,D$29,E520&lt;E$31,D$30,E520&lt;E$32,D$31,E520&lt;E$33,D$32,E520&lt;E$34,D$33,E520&lt;E$35,D$34,E520&gt;=E$35,D$35)</f>
        <v/>
      </c>
      <c r="E520" s="38" t="n">
        <v>470</v>
      </c>
      <c r="F520" s="31">
        <f>E520/52</f>
        <v/>
      </c>
      <c r="G520" s="39">
        <f>D520/1000000*52</f>
        <v/>
      </c>
      <c r="H520" s="33">
        <f>G520/$P$4+($C$22/$P$4)</f>
        <v/>
      </c>
      <c r="I520" s="36">
        <f>_xlfn.IFS(K520&lt;K$24,0,K520&lt;K$26,I$24,K520&lt;K$28,I$26,K520&lt;K$30,I$28,K520&lt;K$32,I$30,K520&lt;K$34,I$32,K520&lt;K$36,I$34,K520&lt;K$38,I$36,K520&lt;K$40,I$38,K520&lt;K$42,I$40,K520&lt;K$44,I$42,K520&lt;K$46,I$44,K520&gt;=K$46,I$46)</f>
        <v/>
      </c>
      <c r="J520" s="37">
        <f>_xlfn.IFS(K520&lt;K$24,0,K520&lt;K$25,J$24,K520&lt;K$26,J$25,K520&lt;K$27,J$26,K520&lt;K$28,J$27,K520&lt;K$29,J$28,K520&lt;K$30,J$29,K520&lt;K$31,J$30,K520&lt;K$32,J$31,K520&lt;K$33,J$32,K520&lt;K$34,J$33,K520&lt;K$35,J$34,K520&lt;K$36,J$35,K520&lt;K$37,J$36,K520&lt;K$38,J$37,K520&lt;K$39,J$38,K520&lt;K$40,J$39,K520&lt;K$41,J$40,K520&lt;K$42,J$41,K520&lt;K$43,J$42,K520&lt;K$44,J$43,K520&lt;K$45,J$44,K520&lt;K$46,J$45,K520&lt;K$47,J$46,K520&gt;=K$47,J$47)</f>
        <v/>
      </c>
      <c r="K520" s="38" t="n">
        <v>470</v>
      </c>
      <c r="L520" s="31">
        <f>K520/52</f>
        <v/>
      </c>
      <c r="M520" s="39">
        <f>J520/1000000*52</f>
        <v/>
      </c>
      <c r="N520" s="33">
        <f>M520/$P$4+($I$22/$P$4)</f>
        <v/>
      </c>
      <c r="U520">
        <f>F519</f>
        <v/>
      </c>
      <c r="V520">
        <f>H519</f>
        <v/>
      </c>
      <c r="W520">
        <f>N519</f>
        <v/>
      </c>
    </row>
    <row r="521" ht="15.75" customHeight="1" s="40">
      <c r="C521" s="36">
        <f>_xlfn.IFS(E521&lt;E$24,0,E521&lt;E$26,C$24,E521&lt;E$28,C$26,E521&lt;E$30,C$28,E521&lt;E$32,C$30,E521&lt;E$34,C$32,E521&gt;=E$34,C$34)</f>
        <v/>
      </c>
      <c r="D521" s="37">
        <f>_xlfn.IFS(E521&lt;E$24,0,E521&lt;E$25,D$24,E521&lt;E$26,D$25,E521&lt;E$27,D$26,E521&lt;E$28,D$27,E521&lt;E$29,D$28,E521&lt;E$30,D$29,E521&lt;E$31,D$30,E521&lt;E$32,D$31,E521&lt;E$33,D$32,E521&lt;E$34,D$33,E521&lt;E$35,D$34,E521&gt;=E$35,D$35)</f>
        <v/>
      </c>
      <c r="E521" s="38" t="n">
        <v>471</v>
      </c>
      <c r="F521" s="31">
        <f>E521/52</f>
        <v/>
      </c>
      <c r="G521" s="39">
        <f>D521/1000000*52</f>
        <v/>
      </c>
      <c r="H521" s="33">
        <f>G521/$P$4+($C$22/$P$4)</f>
        <v/>
      </c>
      <c r="I521" s="36">
        <f>_xlfn.IFS(K521&lt;K$24,0,K521&lt;K$26,I$24,K521&lt;K$28,I$26,K521&lt;K$30,I$28,K521&lt;K$32,I$30,K521&lt;K$34,I$32,K521&lt;K$36,I$34,K521&lt;K$38,I$36,K521&lt;K$40,I$38,K521&lt;K$42,I$40,K521&lt;K$44,I$42,K521&lt;K$46,I$44,K521&gt;=K$46,I$46)</f>
        <v/>
      </c>
      <c r="J521" s="37">
        <f>_xlfn.IFS(K521&lt;K$24,0,K521&lt;K$25,J$24,K521&lt;K$26,J$25,K521&lt;K$27,J$26,K521&lt;K$28,J$27,K521&lt;K$29,J$28,K521&lt;K$30,J$29,K521&lt;K$31,J$30,K521&lt;K$32,J$31,K521&lt;K$33,J$32,K521&lt;K$34,J$33,K521&lt;K$35,J$34,K521&lt;K$36,J$35,K521&lt;K$37,J$36,K521&lt;K$38,J$37,K521&lt;K$39,J$38,K521&lt;K$40,J$39,K521&lt;K$41,J$40,K521&lt;K$42,J$41,K521&lt;K$43,J$42,K521&lt;K$44,J$43,K521&lt;K$45,J$44,K521&lt;K$46,J$45,K521&lt;K$47,J$46,K521&gt;=K$47,J$47)</f>
        <v/>
      </c>
      <c r="K521" s="38" t="n">
        <v>471</v>
      </c>
      <c r="L521" s="31">
        <f>K521/52</f>
        <v/>
      </c>
      <c r="M521" s="39">
        <f>J521/1000000*52</f>
        <v/>
      </c>
      <c r="N521" s="33">
        <f>M521/$P$4+($I$22/$P$4)</f>
        <v/>
      </c>
      <c r="U521">
        <f>F520</f>
        <v/>
      </c>
      <c r="V521">
        <f>H520</f>
        <v/>
      </c>
      <c r="W521">
        <f>N520</f>
        <v/>
      </c>
    </row>
    <row r="522" ht="15.75" customHeight="1" s="40">
      <c r="C522" s="36">
        <f>_xlfn.IFS(E522&lt;E$24,0,E522&lt;E$26,C$24,E522&lt;E$28,C$26,E522&lt;E$30,C$28,E522&lt;E$32,C$30,E522&lt;E$34,C$32,E522&gt;=E$34,C$34)</f>
        <v/>
      </c>
      <c r="D522" s="37">
        <f>_xlfn.IFS(E522&lt;E$24,0,E522&lt;E$25,D$24,E522&lt;E$26,D$25,E522&lt;E$27,D$26,E522&lt;E$28,D$27,E522&lt;E$29,D$28,E522&lt;E$30,D$29,E522&lt;E$31,D$30,E522&lt;E$32,D$31,E522&lt;E$33,D$32,E522&lt;E$34,D$33,E522&lt;E$35,D$34,E522&gt;=E$35,D$35)</f>
        <v/>
      </c>
      <c r="E522" s="38" t="n">
        <v>472</v>
      </c>
      <c r="F522" s="31">
        <f>E522/52</f>
        <v/>
      </c>
      <c r="G522" s="39">
        <f>D522/1000000*52</f>
        <v/>
      </c>
      <c r="H522" s="33">
        <f>G522/$P$4+($C$22/$P$4)</f>
        <v/>
      </c>
      <c r="I522" s="36">
        <f>_xlfn.IFS(K522&lt;K$24,0,K522&lt;K$26,I$24,K522&lt;K$28,I$26,K522&lt;K$30,I$28,K522&lt;K$32,I$30,K522&lt;K$34,I$32,K522&lt;K$36,I$34,K522&lt;K$38,I$36,K522&lt;K$40,I$38,K522&lt;K$42,I$40,K522&lt;K$44,I$42,K522&lt;K$46,I$44,K522&gt;=K$46,I$46)</f>
        <v/>
      </c>
      <c r="J522" s="37">
        <f>_xlfn.IFS(K522&lt;K$24,0,K522&lt;K$25,J$24,K522&lt;K$26,J$25,K522&lt;K$27,J$26,K522&lt;K$28,J$27,K522&lt;K$29,J$28,K522&lt;K$30,J$29,K522&lt;K$31,J$30,K522&lt;K$32,J$31,K522&lt;K$33,J$32,K522&lt;K$34,J$33,K522&lt;K$35,J$34,K522&lt;K$36,J$35,K522&lt;K$37,J$36,K522&lt;K$38,J$37,K522&lt;K$39,J$38,K522&lt;K$40,J$39,K522&lt;K$41,J$40,K522&lt;K$42,J$41,K522&lt;K$43,J$42,K522&lt;K$44,J$43,K522&lt;K$45,J$44,K522&lt;K$46,J$45,K522&lt;K$47,J$46,K522&gt;=K$47,J$47)</f>
        <v/>
      </c>
      <c r="K522" s="38" t="n">
        <v>472</v>
      </c>
      <c r="L522" s="31">
        <f>K522/52</f>
        <v/>
      </c>
      <c r="M522" s="39">
        <f>J522/1000000*52</f>
        <v/>
      </c>
      <c r="N522" s="33">
        <f>M522/$P$4+($I$22/$P$4)</f>
        <v/>
      </c>
      <c r="U522">
        <f>F521</f>
        <v/>
      </c>
      <c r="V522">
        <f>H521</f>
        <v/>
      </c>
      <c r="W522">
        <f>N521</f>
        <v/>
      </c>
    </row>
    <row r="523" ht="15.75" customHeight="1" s="40">
      <c r="C523" s="36">
        <f>_xlfn.IFS(E523&lt;E$24,0,E523&lt;E$26,C$24,E523&lt;E$28,C$26,E523&lt;E$30,C$28,E523&lt;E$32,C$30,E523&lt;E$34,C$32,E523&gt;=E$34,C$34)</f>
        <v/>
      </c>
      <c r="D523" s="37">
        <f>_xlfn.IFS(E523&lt;E$24,0,E523&lt;E$25,D$24,E523&lt;E$26,D$25,E523&lt;E$27,D$26,E523&lt;E$28,D$27,E523&lt;E$29,D$28,E523&lt;E$30,D$29,E523&lt;E$31,D$30,E523&lt;E$32,D$31,E523&lt;E$33,D$32,E523&lt;E$34,D$33,E523&lt;E$35,D$34,E523&gt;=E$35,D$35)</f>
        <v/>
      </c>
      <c r="E523" s="38" t="n">
        <v>473</v>
      </c>
      <c r="F523" s="31">
        <f>E523/52</f>
        <v/>
      </c>
      <c r="G523" s="39">
        <f>D523/1000000*52</f>
        <v/>
      </c>
      <c r="H523" s="33">
        <f>G523/$P$4+($C$22/$P$4)</f>
        <v/>
      </c>
      <c r="I523" s="36">
        <f>_xlfn.IFS(K523&lt;K$24,0,K523&lt;K$26,I$24,K523&lt;K$28,I$26,K523&lt;K$30,I$28,K523&lt;K$32,I$30,K523&lt;K$34,I$32,K523&lt;K$36,I$34,K523&lt;K$38,I$36,K523&lt;K$40,I$38,K523&lt;K$42,I$40,K523&lt;K$44,I$42,K523&lt;K$46,I$44,K523&gt;=K$46,I$46)</f>
        <v/>
      </c>
      <c r="J523" s="37">
        <f>_xlfn.IFS(K523&lt;K$24,0,K523&lt;K$25,J$24,K523&lt;K$26,J$25,K523&lt;K$27,J$26,K523&lt;K$28,J$27,K523&lt;K$29,J$28,K523&lt;K$30,J$29,K523&lt;K$31,J$30,K523&lt;K$32,J$31,K523&lt;K$33,J$32,K523&lt;K$34,J$33,K523&lt;K$35,J$34,K523&lt;K$36,J$35,K523&lt;K$37,J$36,K523&lt;K$38,J$37,K523&lt;K$39,J$38,K523&lt;K$40,J$39,K523&lt;K$41,J$40,K523&lt;K$42,J$41,K523&lt;K$43,J$42,K523&lt;K$44,J$43,K523&lt;K$45,J$44,K523&lt;K$46,J$45,K523&lt;K$47,J$46,K523&gt;=K$47,J$47)</f>
        <v/>
      </c>
      <c r="K523" s="38" t="n">
        <v>473</v>
      </c>
      <c r="L523" s="31">
        <f>K523/52</f>
        <v/>
      </c>
      <c r="M523" s="39">
        <f>J523/1000000*52</f>
        <v/>
      </c>
      <c r="N523" s="33">
        <f>M523/$P$4+($I$22/$P$4)</f>
        <v/>
      </c>
      <c r="U523">
        <f>F522</f>
        <v/>
      </c>
      <c r="V523">
        <f>H522</f>
        <v/>
      </c>
      <c r="W523">
        <f>N522</f>
        <v/>
      </c>
    </row>
    <row r="524" ht="15.75" customHeight="1" s="40">
      <c r="C524" s="36">
        <f>_xlfn.IFS(E524&lt;E$24,0,E524&lt;E$26,C$24,E524&lt;E$28,C$26,E524&lt;E$30,C$28,E524&lt;E$32,C$30,E524&lt;E$34,C$32,E524&gt;=E$34,C$34)</f>
        <v/>
      </c>
      <c r="D524" s="37">
        <f>_xlfn.IFS(E524&lt;E$24,0,E524&lt;E$25,D$24,E524&lt;E$26,D$25,E524&lt;E$27,D$26,E524&lt;E$28,D$27,E524&lt;E$29,D$28,E524&lt;E$30,D$29,E524&lt;E$31,D$30,E524&lt;E$32,D$31,E524&lt;E$33,D$32,E524&lt;E$34,D$33,E524&lt;E$35,D$34,E524&gt;=E$35,D$35)</f>
        <v/>
      </c>
      <c r="E524" s="38" t="n">
        <v>474</v>
      </c>
      <c r="F524" s="31">
        <f>E524/52</f>
        <v/>
      </c>
      <c r="G524" s="39">
        <f>D524/1000000*52</f>
        <v/>
      </c>
      <c r="H524" s="33">
        <f>G524/$P$4+($C$22/$P$4)</f>
        <v/>
      </c>
      <c r="I524" s="36">
        <f>_xlfn.IFS(K524&lt;K$24,0,K524&lt;K$26,I$24,K524&lt;K$28,I$26,K524&lt;K$30,I$28,K524&lt;K$32,I$30,K524&lt;K$34,I$32,K524&lt;K$36,I$34,K524&lt;K$38,I$36,K524&lt;K$40,I$38,K524&lt;K$42,I$40,K524&lt;K$44,I$42,K524&lt;K$46,I$44,K524&gt;=K$46,I$46)</f>
        <v/>
      </c>
      <c r="J524" s="37">
        <f>_xlfn.IFS(K524&lt;K$24,0,K524&lt;K$25,J$24,K524&lt;K$26,J$25,K524&lt;K$27,J$26,K524&lt;K$28,J$27,K524&lt;K$29,J$28,K524&lt;K$30,J$29,K524&lt;K$31,J$30,K524&lt;K$32,J$31,K524&lt;K$33,J$32,K524&lt;K$34,J$33,K524&lt;K$35,J$34,K524&lt;K$36,J$35,K524&lt;K$37,J$36,K524&lt;K$38,J$37,K524&lt;K$39,J$38,K524&lt;K$40,J$39,K524&lt;K$41,J$40,K524&lt;K$42,J$41,K524&lt;K$43,J$42,K524&lt;K$44,J$43,K524&lt;K$45,J$44,K524&lt;K$46,J$45,K524&lt;K$47,J$46,K524&gt;=K$47,J$47)</f>
        <v/>
      </c>
      <c r="K524" s="38" t="n">
        <v>474</v>
      </c>
      <c r="L524" s="31">
        <f>K524/52</f>
        <v/>
      </c>
      <c r="M524" s="39">
        <f>J524/1000000*52</f>
        <v/>
      </c>
      <c r="N524" s="33">
        <f>M524/$P$4+($I$22/$P$4)</f>
        <v/>
      </c>
      <c r="U524">
        <f>F523</f>
        <v/>
      </c>
      <c r="V524">
        <f>H523</f>
        <v/>
      </c>
      <c r="W524">
        <f>N523</f>
        <v/>
      </c>
    </row>
    <row r="525" ht="15.75" customHeight="1" s="40">
      <c r="C525" s="36">
        <f>_xlfn.IFS(E525&lt;E$24,0,E525&lt;E$26,C$24,E525&lt;E$28,C$26,E525&lt;E$30,C$28,E525&lt;E$32,C$30,E525&lt;E$34,C$32,E525&gt;=E$34,C$34)</f>
        <v/>
      </c>
      <c r="D525" s="37">
        <f>_xlfn.IFS(E525&lt;E$24,0,E525&lt;E$25,D$24,E525&lt;E$26,D$25,E525&lt;E$27,D$26,E525&lt;E$28,D$27,E525&lt;E$29,D$28,E525&lt;E$30,D$29,E525&lt;E$31,D$30,E525&lt;E$32,D$31,E525&lt;E$33,D$32,E525&lt;E$34,D$33,E525&lt;E$35,D$34,E525&gt;=E$35,D$35)</f>
        <v/>
      </c>
      <c r="E525" s="38" t="n">
        <v>475</v>
      </c>
      <c r="F525" s="31">
        <f>E525/52</f>
        <v/>
      </c>
      <c r="G525" s="39">
        <f>D525/1000000*52</f>
        <v/>
      </c>
      <c r="H525" s="33">
        <f>G525/$P$4+($C$22/$P$4)</f>
        <v/>
      </c>
      <c r="I525" s="36">
        <f>_xlfn.IFS(K525&lt;K$24,0,K525&lt;K$26,I$24,K525&lt;K$28,I$26,K525&lt;K$30,I$28,K525&lt;K$32,I$30,K525&lt;K$34,I$32,K525&lt;K$36,I$34,K525&lt;K$38,I$36,K525&lt;K$40,I$38,K525&lt;K$42,I$40,K525&lt;K$44,I$42,K525&lt;K$46,I$44,K525&gt;=K$46,I$46)</f>
        <v/>
      </c>
      <c r="J525" s="37">
        <f>_xlfn.IFS(K525&lt;K$24,0,K525&lt;K$25,J$24,K525&lt;K$26,J$25,K525&lt;K$27,J$26,K525&lt;K$28,J$27,K525&lt;K$29,J$28,K525&lt;K$30,J$29,K525&lt;K$31,J$30,K525&lt;K$32,J$31,K525&lt;K$33,J$32,K525&lt;K$34,J$33,K525&lt;K$35,J$34,K525&lt;K$36,J$35,K525&lt;K$37,J$36,K525&lt;K$38,J$37,K525&lt;K$39,J$38,K525&lt;K$40,J$39,K525&lt;K$41,J$40,K525&lt;K$42,J$41,K525&lt;K$43,J$42,K525&lt;K$44,J$43,K525&lt;K$45,J$44,K525&lt;K$46,J$45,K525&lt;K$47,J$46,K525&gt;=K$47,J$47)</f>
        <v/>
      </c>
      <c r="K525" s="38" t="n">
        <v>475</v>
      </c>
      <c r="L525" s="31">
        <f>K525/52</f>
        <v/>
      </c>
      <c r="M525" s="39">
        <f>J525/1000000*52</f>
        <v/>
      </c>
      <c r="N525" s="33">
        <f>M525/$P$4+($I$22/$P$4)</f>
        <v/>
      </c>
      <c r="U525">
        <f>F524</f>
        <v/>
      </c>
      <c r="V525">
        <f>H524</f>
        <v/>
      </c>
      <c r="W525">
        <f>N524</f>
        <v/>
      </c>
    </row>
    <row r="526" ht="15.75" customHeight="1" s="40">
      <c r="C526" s="36">
        <f>_xlfn.IFS(E526&lt;E$24,0,E526&lt;E$26,C$24,E526&lt;E$28,C$26,E526&lt;E$30,C$28,E526&lt;E$32,C$30,E526&lt;E$34,C$32,E526&gt;=E$34,C$34)</f>
        <v/>
      </c>
      <c r="D526" s="37">
        <f>_xlfn.IFS(E526&lt;E$24,0,E526&lt;E$25,D$24,E526&lt;E$26,D$25,E526&lt;E$27,D$26,E526&lt;E$28,D$27,E526&lt;E$29,D$28,E526&lt;E$30,D$29,E526&lt;E$31,D$30,E526&lt;E$32,D$31,E526&lt;E$33,D$32,E526&lt;E$34,D$33,E526&lt;E$35,D$34,E526&gt;=E$35,D$35)</f>
        <v/>
      </c>
      <c r="E526" s="38" t="n">
        <v>476</v>
      </c>
      <c r="F526" s="31">
        <f>E526/52</f>
        <v/>
      </c>
      <c r="G526" s="39">
        <f>D526/1000000*52</f>
        <v/>
      </c>
      <c r="H526" s="33">
        <f>G526/$P$4+($C$22/$P$4)</f>
        <v/>
      </c>
      <c r="I526" s="36">
        <f>_xlfn.IFS(K526&lt;K$24,0,K526&lt;K$26,I$24,K526&lt;K$28,I$26,K526&lt;K$30,I$28,K526&lt;K$32,I$30,K526&lt;K$34,I$32,K526&lt;K$36,I$34,K526&lt;K$38,I$36,K526&lt;K$40,I$38,K526&lt;K$42,I$40,K526&lt;K$44,I$42,K526&lt;K$46,I$44,K526&gt;=K$46,I$46)</f>
        <v/>
      </c>
      <c r="J526" s="37">
        <f>_xlfn.IFS(K526&lt;K$24,0,K526&lt;K$25,J$24,K526&lt;K$26,J$25,K526&lt;K$27,J$26,K526&lt;K$28,J$27,K526&lt;K$29,J$28,K526&lt;K$30,J$29,K526&lt;K$31,J$30,K526&lt;K$32,J$31,K526&lt;K$33,J$32,K526&lt;K$34,J$33,K526&lt;K$35,J$34,K526&lt;K$36,J$35,K526&lt;K$37,J$36,K526&lt;K$38,J$37,K526&lt;K$39,J$38,K526&lt;K$40,J$39,K526&lt;K$41,J$40,K526&lt;K$42,J$41,K526&lt;K$43,J$42,K526&lt;K$44,J$43,K526&lt;K$45,J$44,K526&lt;K$46,J$45,K526&lt;K$47,J$46,K526&gt;=K$47,J$47)</f>
        <v/>
      </c>
      <c r="K526" s="38" t="n">
        <v>476</v>
      </c>
      <c r="L526" s="31">
        <f>K526/52</f>
        <v/>
      </c>
      <c r="M526" s="39">
        <f>J526/1000000*52</f>
        <v/>
      </c>
      <c r="N526" s="33">
        <f>M526/$P$4+($I$22/$P$4)</f>
        <v/>
      </c>
      <c r="U526">
        <f>F525</f>
        <v/>
      </c>
      <c r="V526">
        <f>H525</f>
        <v/>
      </c>
      <c r="W526">
        <f>N525</f>
        <v/>
      </c>
    </row>
    <row r="527" ht="15.75" customHeight="1" s="40">
      <c r="C527" s="36">
        <f>_xlfn.IFS(E527&lt;E$24,0,E527&lt;E$26,C$24,E527&lt;E$28,C$26,E527&lt;E$30,C$28,E527&lt;E$32,C$30,E527&lt;E$34,C$32,E527&gt;=E$34,C$34)</f>
        <v/>
      </c>
      <c r="D527" s="37">
        <f>_xlfn.IFS(E527&lt;E$24,0,E527&lt;E$25,D$24,E527&lt;E$26,D$25,E527&lt;E$27,D$26,E527&lt;E$28,D$27,E527&lt;E$29,D$28,E527&lt;E$30,D$29,E527&lt;E$31,D$30,E527&lt;E$32,D$31,E527&lt;E$33,D$32,E527&lt;E$34,D$33,E527&lt;E$35,D$34,E527&gt;=E$35,D$35)</f>
        <v/>
      </c>
      <c r="E527" s="38" t="n">
        <v>477</v>
      </c>
      <c r="F527" s="31">
        <f>E527/52</f>
        <v/>
      </c>
      <c r="G527" s="39">
        <f>D527/1000000*52</f>
        <v/>
      </c>
      <c r="H527" s="33">
        <f>G527/$P$4+($C$22/$P$4)</f>
        <v/>
      </c>
      <c r="I527" s="36">
        <f>_xlfn.IFS(K527&lt;K$24,0,K527&lt;K$26,I$24,K527&lt;K$28,I$26,K527&lt;K$30,I$28,K527&lt;K$32,I$30,K527&lt;K$34,I$32,K527&lt;K$36,I$34,K527&lt;K$38,I$36,K527&lt;K$40,I$38,K527&lt;K$42,I$40,K527&lt;K$44,I$42,K527&lt;K$46,I$44,K527&gt;=K$46,I$46)</f>
        <v/>
      </c>
      <c r="J527" s="37">
        <f>_xlfn.IFS(K527&lt;K$24,0,K527&lt;K$25,J$24,K527&lt;K$26,J$25,K527&lt;K$27,J$26,K527&lt;K$28,J$27,K527&lt;K$29,J$28,K527&lt;K$30,J$29,K527&lt;K$31,J$30,K527&lt;K$32,J$31,K527&lt;K$33,J$32,K527&lt;K$34,J$33,K527&lt;K$35,J$34,K527&lt;K$36,J$35,K527&lt;K$37,J$36,K527&lt;K$38,J$37,K527&lt;K$39,J$38,K527&lt;K$40,J$39,K527&lt;K$41,J$40,K527&lt;K$42,J$41,K527&lt;K$43,J$42,K527&lt;K$44,J$43,K527&lt;K$45,J$44,K527&lt;K$46,J$45,K527&lt;K$47,J$46,K527&gt;=K$47,J$47)</f>
        <v/>
      </c>
      <c r="K527" s="38" t="n">
        <v>477</v>
      </c>
      <c r="L527" s="31">
        <f>K527/52</f>
        <v/>
      </c>
      <c r="M527" s="39">
        <f>J527/1000000*52</f>
        <v/>
      </c>
      <c r="N527" s="33">
        <f>M527/$P$4+($I$22/$P$4)</f>
        <v/>
      </c>
      <c r="U527">
        <f>F526</f>
        <v/>
      </c>
      <c r="V527">
        <f>H526</f>
        <v/>
      </c>
      <c r="W527">
        <f>N526</f>
        <v/>
      </c>
    </row>
    <row r="528" ht="15.75" customHeight="1" s="40">
      <c r="C528" s="36">
        <f>_xlfn.IFS(E528&lt;E$24,0,E528&lt;E$26,C$24,E528&lt;E$28,C$26,E528&lt;E$30,C$28,E528&lt;E$32,C$30,E528&lt;E$34,C$32,E528&gt;=E$34,C$34)</f>
        <v/>
      </c>
      <c r="D528" s="37">
        <f>_xlfn.IFS(E528&lt;E$24,0,E528&lt;E$25,D$24,E528&lt;E$26,D$25,E528&lt;E$27,D$26,E528&lt;E$28,D$27,E528&lt;E$29,D$28,E528&lt;E$30,D$29,E528&lt;E$31,D$30,E528&lt;E$32,D$31,E528&lt;E$33,D$32,E528&lt;E$34,D$33,E528&lt;E$35,D$34,E528&gt;=E$35,D$35)</f>
        <v/>
      </c>
      <c r="E528" s="38" t="n">
        <v>478</v>
      </c>
      <c r="F528" s="31">
        <f>E528/52</f>
        <v/>
      </c>
      <c r="G528" s="39">
        <f>D528/1000000*52</f>
        <v/>
      </c>
      <c r="H528" s="33">
        <f>G528/$P$4+($C$22/$P$4)</f>
        <v/>
      </c>
      <c r="I528" s="36">
        <f>_xlfn.IFS(K528&lt;K$24,0,K528&lt;K$26,I$24,K528&lt;K$28,I$26,K528&lt;K$30,I$28,K528&lt;K$32,I$30,K528&lt;K$34,I$32,K528&lt;K$36,I$34,K528&lt;K$38,I$36,K528&lt;K$40,I$38,K528&lt;K$42,I$40,K528&lt;K$44,I$42,K528&lt;K$46,I$44,K528&gt;=K$46,I$46)</f>
        <v/>
      </c>
      <c r="J528" s="37">
        <f>_xlfn.IFS(K528&lt;K$24,0,K528&lt;K$25,J$24,K528&lt;K$26,J$25,K528&lt;K$27,J$26,K528&lt;K$28,J$27,K528&lt;K$29,J$28,K528&lt;K$30,J$29,K528&lt;K$31,J$30,K528&lt;K$32,J$31,K528&lt;K$33,J$32,K528&lt;K$34,J$33,K528&lt;K$35,J$34,K528&lt;K$36,J$35,K528&lt;K$37,J$36,K528&lt;K$38,J$37,K528&lt;K$39,J$38,K528&lt;K$40,J$39,K528&lt;K$41,J$40,K528&lt;K$42,J$41,K528&lt;K$43,J$42,K528&lt;K$44,J$43,K528&lt;K$45,J$44,K528&lt;K$46,J$45,K528&lt;K$47,J$46,K528&gt;=K$47,J$47)</f>
        <v/>
      </c>
      <c r="K528" s="38" t="n">
        <v>478</v>
      </c>
      <c r="L528" s="31">
        <f>K528/52</f>
        <v/>
      </c>
      <c r="M528" s="39">
        <f>J528/1000000*52</f>
        <v/>
      </c>
      <c r="N528" s="33">
        <f>M528/$P$4+($I$22/$P$4)</f>
        <v/>
      </c>
      <c r="U528">
        <f>F527</f>
        <v/>
      </c>
      <c r="V528">
        <f>H527</f>
        <v/>
      </c>
      <c r="W528">
        <f>N527</f>
        <v/>
      </c>
    </row>
    <row r="529" ht="15.75" customHeight="1" s="40">
      <c r="C529" s="36">
        <f>_xlfn.IFS(E529&lt;E$24,0,E529&lt;E$26,C$24,E529&lt;E$28,C$26,E529&lt;E$30,C$28,E529&lt;E$32,C$30,E529&lt;E$34,C$32,E529&gt;=E$34,C$34)</f>
        <v/>
      </c>
      <c r="D529" s="37">
        <f>_xlfn.IFS(E529&lt;E$24,0,E529&lt;E$25,D$24,E529&lt;E$26,D$25,E529&lt;E$27,D$26,E529&lt;E$28,D$27,E529&lt;E$29,D$28,E529&lt;E$30,D$29,E529&lt;E$31,D$30,E529&lt;E$32,D$31,E529&lt;E$33,D$32,E529&lt;E$34,D$33,E529&lt;E$35,D$34,E529&gt;=E$35,D$35)</f>
        <v/>
      </c>
      <c r="E529" s="38" t="n">
        <v>479</v>
      </c>
      <c r="F529" s="31">
        <f>E529/52</f>
        <v/>
      </c>
      <c r="G529" s="39">
        <f>D529/1000000*52</f>
        <v/>
      </c>
      <c r="H529" s="33">
        <f>G529/$P$4+($C$22/$P$4)</f>
        <v/>
      </c>
      <c r="I529" s="36">
        <f>_xlfn.IFS(K529&lt;K$24,0,K529&lt;K$26,I$24,K529&lt;K$28,I$26,K529&lt;K$30,I$28,K529&lt;K$32,I$30,K529&lt;K$34,I$32,K529&lt;K$36,I$34,K529&lt;K$38,I$36,K529&lt;K$40,I$38,K529&lt;K$42,I$40,K529&lt;K$44,I$42,K529&lt;K$46,I$44,K529&gt;=K$46,I$46)</f>
        <v/>
      </c>
      <c r="J529" s="37">
        <f>_xlfn.IFS(K529&lt;K$24,0,K529&lt;K$25,J$24,K529&lt;K$26,J$25,K529&lt;K$27,J$26,K529&lt;K$28,J$27,K529&lt;K$29,J$28,K529&lt;K$30,J$29,K529&lt;K$31,J$30,K529&lt;K$32,J$31,K529&lt;K$33,J$32,K529&lt;K$34,J$33,K529&lt;K$35,J$34,K529&lt;K$36,J$35,K529&lt;K$37,J$36,K529&lt;K$38,J$37,K529&lt;K$39,J$38,K529&lt;K$40,J$39,K529&lt;K$41,J$40,K529&lt;K$42,J$41,K529&lt;K$43,J$42,K529&lt;K$44,J$43,K529&lt;K$45,J$44,K529&lt;K$46,J$45,K529&lt;K$47,J$46,K529&gt;=K$47,J$47)</f>
        <v/>
      </c>
      <c r="K529" s="38" t="n">
        <v>479</v>
      </c>
      <c r="L529" s="31">
        <f>K529/52</f>
        <v/>
      </c>
      <c r="M529" s="39">
        <f>J529/1000000*52</f>
        <v/>
      </c>
      <c r="N529" s="33">
        <f>M529/$P$4+($I$22/$P$4)</f>
        <v/>
      </c>
      <c r="U529">
        <f>F528</f>
        <v/>
      </c>
      <c r="V529">
        <f>H528</f>
        <v/>
      </c>
      <c r="W529">
        <f>N528</f>
        <v/>
      </c>
    </row>
    <row r="530" ht="15.75" customHeight="1" s="40">
      <c r="C530" s="36">
        <f>_xlfn.IFS(E530&lt;E$24,0,E530&lt;E$26,C$24,E530&lt;E$28,C$26,E530&lt;E$30,C$28,E530&lt;E$32,C$30,E530&lt;E$34,C$32,E530&gt;=E$34,C$34)</f>
        <v/>
      </c>
      <c r="D530" s="37">
        <f>_xlfn.IFS(E530&lt;E$24,0,E530&lt;E$25,D$24,E530&lt;E$26,D$25,E530&lt;E$27,D$26,E530&lt;E$28,D$27,E530&lt;E$29,D$28,E530&lt;E$30,D$29,E530&lt;E$31,D$30,E530&lt;E$32,D$31,E530&lt;E$33,D$32,E530&lt;E$34,D$33,E530&lt;E$35,D$34,E530&gt;=E$35,D$35)</f>
        <v/>
      </c>
      <c r="E530" s="38" t="n">
        <v>480</v>
      </c>
      <c r="F530" s="31">
        <f>E530/52</f>
        <v/>
      </c>
      <c r="G530" s="39">
        <f>D530/1000000*52</f>
        <v/>
      </c>
      <c r="H530" s="33">
        <f>G530/$P$4+($C$22/$P$4)</f>
        <v/>
      </c>
      <c r="I530" s="36">
        <f>_xlfn.IFS(K530&lt;K$24,0,K530&lt;K$26,I$24,K530&lt;K$28,I$26,K530&lt;K$30,I$28,K530&lt;K$32,I$30,K530&lt;K$34,I$32,K530&lt;K$36,I$34,K530&lt;K$38,I$36,K530&lt;K$40,I$38,K530&lt;K$42,I$40,K530&lt;K$44,I$42,K530&lt;K$46,I$44,K530&gt;=K$46,I$46)</f>
        <v/>
      </c>
      <c r="J530" s="37">
        <f>_xlfn.IFS(K530&lt;K$24,0,K530&lt;K$25,J$24,K530&lt;K$26,J$25,K530&lt;K$27,J$26,K530&lt;K$28,J$27,K530&lt;K$29,J$28,K530&lt;K$30,J$29,K530&lt;K$31,J$30,K530&lt;K$32,J$31,K530&lt;K$33,J$32,K530&lt;K$34,J$33,K530&lt;K$35,J$34,K530&lt;K$36,J$35,K530&lt;K$37,J$36,K530&lt;K$38,J$37,K530&lt;K$39,J$38,K530&lt;K$40,J$39,K530&lt;K$41,J$40,K530&lt;K$42,J$41,K530&lt;K$43,J$42,K530&lt;K$44,J$43,K530&lt;K$45,J$44,K530&lt;K$46,J$45,K530&lt;K$47,J$46,K530&gt;=K$47,J$47)</f>
        <v/>
      </c>
      <c r="K530" s="38" t="n">
        <v>480</v>
      </c>
      <c r="L530" s="31">
        <f>K530/52</f>
        <v/>
      </c>
      <c r="M530" s="39">
        <f>J530/1000000*52</f>
        <v/>
      </c>
      <c r="N530" s="33">
        <f>M530/$P$4+($I$22/$P$4)</f>
        <v/>
      </c>
      <c r="U530">
        <f>F529</f>
        <v/>
      </c>
      <c r="V530">
        <f>H529</f>
        <v/>
      </c>
      <c r="W530">
        <f>N529</f>
        <v/>
      </c>
    </row>
    <row r="531" ht="15.75" customHeight="1" s="40">
      <c r="C531" s="36">
        <f>_xlfn.IFS(E531&lt;E$24,0,E531&lt;E$26,C$24,E531&lt;E$28,C$26,E531&lt;E$30,C$28,E531&lt;E$32,C$30,E531&lt;E$34,C$32,E531&gt;=E$34,C$34)</f>
        <v/>
      </c>
      <c r="D531" s="37">
        <f>_xlfn.IFS(E531&lt;E$24,0,E531&lt;E$25,D$24,E531&lt;E$26,D$25,E531&lt;E$27,D$26,E531&lt;E$28,D$27,E531&lt;E$29,D$28,E531&lt;E$30,D$29,E531&lt;E$31,D$30,E531&lt;E$32,D$31,E531&lt;E$33,D$32,E531&lt;E$34,D$33,E531&lt;E$35,D$34,E531&gt;=E$35,D$35)</f>
        <v/>
      </c>
      <c r="E531" s="38" t="n">
        <v>481</v>
      </c>
      <c r="F531" s="31">
        <f>E531/52</f>
        <v/>
      </c>
      <c r="G531" s="39">
        <f>D531/1000000*52</f>
        <v/>
      </c>
      <c r="H531" s="33">
        <f>G531/$P$4+($C$22/$P$4)</f>
        <v/>
      </c>
      <c r="I531" s="36">
        <f>_xlfn.IFS(K531&lt;K$24,0,K531&lt;K$26,I$24,K531&lt;K$28,I$26,K531&lt;K$30,I$28,K531&lt;K$32,I$30,K531&lt;K$34,I$32,K531&lt;K$36,I$34,K531&lt;K$38,I$36,K531&lt;K$40,I$38,K531&lt;K$42,I$40,K531&lt;K$44,I$42,K531&lt;K$46,I$44,K531&gt;=K$46,I$46)</f>
        <v/>
      </c>
      <c r="J531" s="37">
        <f>_xlfn.IFS(K531&lt;K$24,0,K531&lt;K$25,J$24,K531&lt;K$26,J$25,K531&lt;K$27,J$26,K531&lt;K$28,J$27,K531&lt;K$29,J$28,K531&lt;K$30,J$29,K531&lt;K$31,J$30,K531&lt;K$32,J$31,K531&lt;K$33,J$32,K531&lt;K$34,J$33,K531&lt;K$35,J$34,K531&lt;K$36,J$35,K531&lt;K$37,J$36,K531&lt;K$38,J$37,K531&lt;K$39,J$38,K531&lt;K$40,J$39,K531&lt;K$41,J$40,K531&lt;K$42,J$41,K531&lt;K$43,J$42,K531&lt;K$44,J$43,K531&lt;K$45,J$44,K531&lt;K$46,J$45,K531&lt;K$47,J$46,K531&gt;=K$47,J$47)</f>
        <v/>
      </c>
      <c r="K531" s="38" t="n">
        <v>481</v>
      </c>
      <c r="L531" s="31">
        <f>K531/52</f>
        <v/>
      </c>
      <c r="M531" s="39">
        <f>J531/1000000*52</f>
        <v/>
      </c>
      <c r="N531" s="33">
        <f>M531/$P$4+($I$22/$P$4)</f>
        <v/>
      </c>
      <c r="U531">
        <f>F530</f>
        <v/>
      </c>
      <c r="V531">
        <f>H530</f>
        <v/>
      </c>
      <c r="W531">
        <f>N530</f>
        <v/>
      </c>
    </row>
    <row r="532" ht="15.75" customHeight="1" s="40">
      <c r="C532" s="36">
        <f>_xlfn.IFS(E532&lt;E$24,0,E532&lt;E$26,C$24,E532&lt;E$28,C$26,E532&lt;E$30,C$28,E532&lt;E$32,C$30,E532&lt;E$34,C$32,E532&gt;=E$34,C$34)</f>
        <v/>
      </c>
      <c r="D532" s="37">
        <f>_xlfn.IFS(E532&lt;E$24,0,E532&lt;E$25,D$24,E532&lt;E$26,D$25,E532&lt;E$27,D$26,E532&lt;E$28,D$27,E532&lt;E$29,D$28,E532&lt;E$30,D$29,E532&lt;E$31,D$30,E532&lt;E$32,D$31,E532&lt;E$33,D$32,E532&lt;E$34,D$33,E532&lt;E$35,D$34,E532&gt;=E$35,D$35)</f>
        <v/>
      </c>
      <c r="E532" s="38" t="n">
        <v>482</v>
      </c>
      <c r="F532" s="31">
        <f>E532/52</f>
        <v/>
      </c>
      <c r="G532" s="39">
        <f>D532/1000000*52</f>
        <v/>
      </c>
      <c r="H532" s="33">
        <f>G532/$P$4+($C$22/$P$4)</f>
        <v/>
      </c>
      <c r="I532" s="36">
        <f>_xlfn.IFS(K532&lt;K$24,0,K532&lt;K$26,I$24,K532&lt;K$28,I$26,K532&lt;K$30,I$28,K532&lt;K$32,I$30,K532&lt;K$34,I$32,K532&lt;K$36,I$34,K532&lt;K$38,I$36,K532&lt;K$40,I$38,K532&lt;K$42,I$40,K532&lt;K$44,I$42,K532&lt;K$46,I$44,K532&gt;=K$46,I$46)</f>
        <v/>
      </c>
      <c r="J532" s="37">
        <f>_xlfn.IFS(K532&lt;K$24,0,K532&lt;K$25,J$24,K532&lt;K$26,J$25,K532&lt;K$27,J$26,K532&lt;K$28,J$27,K532&lt;K$29,J$28,K532&lt;K$30,J$29,K532&lt;K$31,J$30,K532&lt;K$32,J$31,K532&lt;K$33,J$32,K532&lt;K$34,J$33,K532&lt;K$35,J$34,K532&lt;K$36,J$35,K532&lt;K$37,J$36,K532&lt;K$38,J$37,K532&lt;K$39,J$38,K532&lt;K$40,J$39,K532&lt;K$41,J$40,K532&lt;K$42,J$41,K532&lt;K$43,J$42,K532&lt;K$44,J$43,K532&lt;K$45,J$44,K532&lt;K$46,J$45,K532&lt;K$47,J$46,K532&gt;=K$47,J$47)</f>
        <v/>
      </c>
      <c r="K532" s="38" t="n">
        <v>482</v>
      </c>
      <c r="L532" s="31">
        <f>K532/52</f>
        <v/>
      </c>
      <c r="M532" s="39">
        <f>J532/1000000*52</f>
        <v/>
      </c>
      <c r="N532" s="33">
        <f>M532/$P$4+($I$22/$P$4)</f>
        <v/>
      </c>
      <c r="U532">
        <f>F531</f>
        <v/>
      </c>
      <c r="V532">
        <f>H531</f>
        <v/>
      </c>
      <c r="W532">
        <f>N531</f>
        <v/>
      </c>
    </row>
    <row r="533" ht="15.75" customHeight="1" s="40">
      <c r="C533" s="36">
        <f>_xlfn.IFS(E533&lt;E$24,0,E533&lt;E$26,C$24,E533&lt;E$28,C$26,E533&lt;E$30,C$28,E533&lt;E$32,C$30,E533&lt;E$34,C$32,E533&gt;=E$34,C$34)</f>
        <v/>
      </c>
      <c r="D533" s="37">
        <f>_xlfn.IFS(E533&lt;E$24,0,E533&lt;E$25,D$24,E533&lt;E$26,D$25,E533&lt;E$27,D$26,E533&lt;E$28,D$27,E533&lt;E$29,D$28,E533&lt;E$30,D$29,E533&lt;E$31,D$30,E533&lt;E$32,D$31,E533&lt;E$33,D$32,E533&lt;E$34,D$33,E533&lt;E$35,D$34,E533&gt;=E$35,D$35)</f>
        <v/>
      </c>
      <c r="E533" s="38" t="n">
        <v>483</v>
      </c>
      <c r="F533" s="31">
        <f>E533/52</f>
        <v/>
      </c>
      <c r="G533" s="39">
        <f>D533/1000000*52</f>
        <v/>
      </c>
      <c r="H533" s="33">
        <f>G533/$P$4+($C$22/$P$4)</f>
        <v/>
      </c>
      <c r="I533" s="36">
        <f>_xlfn.IFS(K533&lt;K$24,0,K533&lt;K$26,I$24,K533&lt;K$28,I$26,K533&lt;K$30,I$28,K533&lt;K$32,I$30,K533&lt;K$34,I$32,K533&lt;K$36,I$34,K533&lt;K$38,I$36,K533&lt;K$40,I$38,K533&lt;K$42,I$40,K533&lt;K$44,I$42,K533&lt;K$46,I$44,K533&gt;=K$46,I$46)</f>
        <v/>
      </c>
      <c r="J533" s="37">
        <f>_xlfn.IFS(K533&lt;K$24,0,K533&lt;K$25,J$24,K533&lt;K$26,J$25,K533&lt;K$27,J$26,K533&lt;K$28,J$27,K533&lt;K$29,J$28,K533&lt;K$30,J$29,K533&lt;K$31,J$30,K533&lt;K$32,J$31,K533&lt;K$33,J$32,K533&lt;K$34,J$33,K533&lt;K$35,J$34,K533&lt;K$36,J$35,K533&lt;K$37,J$36,K533&lt;K$38,J$37,K533&lt;K$39,J$38,K533&lt;K$40,J$39,K533&lt;K$41,J$40,K533&lt;K$42,J$41,K533&lt;K$43,J$42,K533&lt;K$44,J$43,K533&lt;K$45,J$44,K533&lt;K$46,J$45,K533&lt;K$47,J$46,K533&gt;=K$47,J$47)</f>
        <v/>
      </c>
      <c r="K533" s="38" t="n">
        <v>483</v>
      </c>
      <c r="L533" s="31">
        <f>K533/52</f>
        <v/>
      </c>
      <c r="M533" s="39">
        <f>J533/1000000*52</f>
        <v/>
      </c>
      <c r="N533" s="33">
        <f>M533/$P$4+($I$22/$P$4)</f>
        <v/>
      </c>
      <c r="U533">
        <f>F532</f>
        <v/>
      </c>
      <c r="V533">
        <f>H532</f>
        <v/>
      </c>
      <c r="W533">
        <f>N532</f>
        <v/>
      </c>
    </row>
    <row r="534" ht="15.75" customHeight="1" s="40">
      <c r="C534" s="36">
        <f>_xlfn.IFS(E534&lt;E$24,0,E534&lt;E$26,C$24,E534&lt;E$28,C$26,E534&lt;E$30,C$28,E534&lt;E$32,C$30,E534&lt;E$34,C$32,E534&gt;=E$34,C$34)</f>
        <v/>
      </c>
      <c r="D534" s="37">
        <f>_xlfn.IFS(E534&lt;E$24,0,E534&lt;E$25,D$24,E534&lt;E$26,D$25,E534&lt;E$27,D$26,E534&lt;E$28,D$27,E534&lt;E$29,D$28,E534&lt;E$30,D$29,E534&lt;E$31,D$30,E534&lt;E$32,D$31,E534&lt;E$33,D$32,E534&lt;E$34,D$33,E534&lt;E$35,D$34,E534&gt;=E$35,D$35)</f>
        <v/>
      </c>
      <c r="E534" s="38" t="n">
        <v>484</v>
      </c>
      <c r="F534" s="31">
        <f>E534/52</f>
        <v/>
      </c>
      <c r="G534" s="39">
        <f>D534/1000000*52</f>
        <v/>
      </c>
      <c r="H534" s="33">
        <f>G534/$P$4+($C$22/$P$4)</f>
        <v/>
      </c>
      <c r="I534" s="36">
        <f>_xlfn.IFS(K534&lt;K$24,0,K534&lt;K$26,I$24,K534&lt;K$28,I$26,K534&lt;K$30,I$28,K534&lt;K$32,I$30,K534&lt;K$34,I$32,K534&lt;K$36,I$34,K534&lt;K$38,I$36,K534&lt;K$40,I$38,K534&lt;K$42,I$40,K534&lt;K$44,I$42,K534&lt;K$46,I$44,K534&gt;=K$46,I$46)</f>
        <v/>
      </c>
      <c r="J534" s="37">
        <f>_xlfn.IFS(K534&lt;K$24,0,K534&lt;K$25,J$24,K534&lt;K$26,J$25,K534&lt;K$27,J$26,K534&lt;K$28,J$27,K534&lt;K$29,J$28,K534&lt;K$30,J$29,K534&lt;K$31,J$30,K534&lt;K$32,J$31,K534&lt;K$33,J$32,K534&lt;K$34,J$33,K534&lt;K$35,J$34,K534&lt;K$36,J$35,K534&lt;K$37,J$36,K534&lt;K$38,J$37,K534&lt;K$39,J$38,K534&lt;K$40,J$39,K534&lt;K$41,J$40,K534&lt;K$42,J$41,K534&lt;K$43,J$42,K534&lt;K$44,J$43,K534&lt;K$45,J$44,K534&lt;K$46,J$45,K534&lt;K$47,J$46,K534&gt;=K$47,J$47)</f>
        <v/>
      </c>
      <c r="K534" s="38" t="n">
        <v>484</v>
      </c>
      <c r="L534" s="31">
        <f>K534/52</f>
        <v/>
      </c>
      <c r="M534" s="39">
        <f>J534/1000000*52</f>
        <v/>
      </c>
      <c r="N534" s="33">
        <f>M534/$P$4+($I$22/$P$4)</f>
        <v/>
      </c>
      <c r="U534">
        <f>F533</f>
        <v/>
      </c>
      <c r="V534">
        <f>H533</f>
        <v/>
      </c>
      <c r="W534">
        <f>N533</f>
        <v/>
      </c>
    </row>
    <row r="535" ht="15.75" customHeight="1" s="40">
      <c r="C535" s="36">
        <f>_xlfn.IFS(E535&lt;E$24,0,E535&lt;E$26,C$24,E535&lt;E$28,C$26,E535&lt;E$30,C$28,E535&lt;E$32,C$30,E535&lt;E$34,C$32,E535&gt;=E$34,C$34)</f>
        <v/>
      </c>
      <c r="D535" s="37">
        <f>_xlfn.IFS(E535&lt;E$24,0,E535&lt;E$25,D$24,E535&lt;E$26,D$25,E535&lt;E$27,D$26,E535&lt;E$28,D$27,E535&lt;E$29,D$28,E535&lt;E$30,D$29,E535&lt;E$31,D$30,E535&lt;E$32,D$31,E535&lt;E$33,D$32,E535&lt;E$34,D$33,E535&lt;E$35,D$34,E535&gt;=E$35,D$35)</f>
        <v/>
      </c>
      <c r="E535" s="38" t="n">
        <v>485</v>
      </c>
      <c r="F535" s="31">
        <f>E535/52</f>
        <v/>
      </c>
      <c r="G535" s="39">
        <f>D535/1000000*52</f>
        <v/>
      </c>
      <c r="H535" s="33">
        <f>G535/$P$4+($C$22/$P$4)</f>
        <v/>
      </c>
      <c r="I535" s="36">
        <f>_xlfn.IFS(K535&lt;K$24,0,K535&lt;K$26,I$24,K535&lt;K$28,I$26,K535&lt;K$30,I$28,K535&lt;K$32,I$30,K535&lt;K$34,I$32,K535&lt;K$36,I$34,K535&lt;K$38,I$36,K535&lt;K$40,I$38,K535&lt;K$42,I$40,K535&lt;K$44,I$42,K535&lt;K$46,I$44,K535&gt;=K$46,I$46)</f>
        <v/>
      </c>
      <c r="J535" s="37">
        <f>_xlfn.IFS(K535&lt;K$24,0,K535&lt;K$25,J$24,K535&lt;K$26,J$25,K535&lt;K$27,J$26,K535&lt;K$28,J$27,K535&lt;K$29,J$28,K535&lt;K$30,J$29,K535&lt;K$31,J$30,K535&lt;K$32,J$31,K535&lt;K$33,J$32,K535&lt;K$34,J$33,K535&lt;K$35,J$34,K535&lt;K$36,J$35,K535&lt;K$37,J$36,K535&lt;K$38,J$37,K535&lt;K$39,J$38,K535&lt;K$40,J$39,K535&lt;K$41,J$40,K535&lt;K$42,J$41,K535&lt;K$43,J$42,K535&lt;K$44,J$43,K535&lt;K$45,J$44,K535&lt;K$46,J$45,K535&lt;K$47,J$46,K535&gt;=K$47,J$47)</f>
        <v/>
      </c>
      <c r="K535" s="38" t="n">
        <v>485</v>
      </c>
      <c r="L535" s="31">
        <f>K535/52</f>
        <v/>
      </c>
      <c r="M535" s="39">
        <f>J535/1000000*52</f>
        <v/>
      </c>
      <c r="N535" s="33">
        <f>M535/$P$4+($I$22/$P$4)</f>
        <v/>
      </c>
      <c r="U535">
        <f>F534</f>
        <v/>
      </c>
      <c r="V535">
        <f>H534</f>
        <v/>
      </c>
      <c r="W535">
        <f>N534</f>
        <v/>
      </c>
    </row>
    <row r="536" ht="15.75" customHeight="1" s="40">
      <c r="C536" s="36">
        <f>_xlfn.IFS(E536&lt;E$24,0,E536&lt;E$26,C$24,E536&lt;E$28,C$26,E536&lt;E$30,C$28,E536&lt;E$32,C$30,E536&lt;E$34,C$32,E536&gt;=E$34,C$34)</f>
        <v/>
      </c>
      <c r="D536" s="37">
        <f>_xlfn.IFS(E536&lt;E$24,0,E536&lt;E$25,D$24,E536&lt;E$26,D$25,E536&lt;E$27,D$26,E536&lt;E$28,D$27,E536&lt;E$29,D$28,E536&lt;E$30,D$29,E536&lt;E$31,D$30,E536&lt;E$32,D$31,E536&lt;E$33,D$32,E536&lt;E$34,D$33,E536&lt;E$35,D$34,E536&gt;=E$35,D$35)</f>
        <v/>
      </c>
      <c r="E536" s="38" t="n">
        <v>486</v>
      </c>
      <c r="F536" s="31">
        <f>E536/52</f>
        <v/>
      </c>
      <c r="G536" s="39">
        <f>D536/1000000*52</f>
        <v/>
      </c>
      <c r="H536" s="33">
        <f>G536/$P$4+($C$22/$P$4)</f>
        <v/>
      </c>
      <c r="I536" s="36">
        <f>_xlfn.IFS(K536&lt;K$24,0,K536&lt;K$26,I$24,K536&lt;K$28,I$26,K536&lt;K$30,I$28,K536&lt;K$32,I$30,K536&lt;K$34,I$32,K536&lt;K$36,I$34,K536&lt;K$38,I$36,K536&lt;K$40,I$38,K536&lt;K$42,I$40,K536&lt;K$44,I$42,K536&lt;K$46,I$44,K536&gt;=K$46,I$46)</f>
        <v/>
      </c>
      <c r="J536" s="37">
        <f>_xlfn.IFS(K536&lt;K$24,0,K536&lt;K$25,J$24,K536&lt;K$26,J$25,K536&lt;K$27,J$26,K536&lt;K$28,J$27,K536&lt;K$29,J$28,K536&lt;K$30,J$29,K536&lt;K$31,J$30,K536&lt;K$32,J$31,K536&lt;K$33,J$32,K536&lt;K$34,J$33,K536&lt;K$35,J$34,K536&lt;K$36,J$35,K536&lt;K$37,J$36,K536&lt;K$38,J$37,K536&lt;K$39,J$38,K536&lt;K$40,J$39,K536&lt;K$41,J$40,K536&lt;K$42,J$41,K536&lt;K$43,J$42,K536&lt;K$44,J$43,K536&lt;K$45,J$44,K536&lt;K$46,J$45,K536&lt;K$47,J$46,K536&gt;=K$47,J$47)</f>
        <v/>
      </c>
      <c r="K536" s="38" t="n">
        <v>486</v>
      </c>
      <c r="L536" s="31">
        <f>K536/52</f>
        <v/>
      </c>
      <c r="M536" s="39">
        <f>J536/1000000*52</f>
        <v/>
      </c>
      <c r="N536" s="33">
        <f>M536/$P$4+($I$22/$P$4)</f>
        <v/>
      </c>
      <c r="U536">
        <f>F535</f>
        <v/>
      </c>
      <c r="V536">
        <f>H535</f>
        <v/>
      </c>
      <c r="W536">
        <f>N535</f>
        <v/>
      </c>
    </row>
    <row r="537" ht="15.75" customHeight="1" s="40">
      <c r="C537" s="36">
        <f>_xlfn.IFS(E537&lt;E$24,0,E537&lt;E$26,C$24,E537&lt;E$28,C$26,E537&lt;E$30,C$28,E537&lt;E$32,C$30,E537&lt;E$34,C$32,E537&gt;=E$34,C$34)</f>
        <v/>
      </c>
      <c r="D537" s="37">
        <f>_xlfn.IFS(E537&lt;E$24,0,E537&lt;E$25,D$24,E537&lt;E$26,D$25,E537&lt;E$27,D$26,E537&lt;E$28,D$27,E537&lt;E$29,D$28,E537&lt;E$30,D$29,E537&lt;E$31,D$30,E537&lt;E$32,D$31,E537&lt;E$33,D$32,E537&lt;E$34,D$33,E537&lt;E$35,D$34,E537&gt;=E$35,D$35)</f>
        <v/>
      </c>
      <c r="E537" s="38" t="n">
        <v>487</v>
      </c>
      <c r="F537" s="31">
        <f>E537/52</f>
        <v/>
      </c>
      <c r="G537" s="39">
        <f>D537/1000000*52</f>
        <v/>
      </c>
      <c r="H537" s="33">
        <f>G537/$P$4+($C$22/$P$4)</f>
        <v/>
      </c>
      <c r="I537" s="36">
        <f>_xlfn.IFS(K537&lt;K$24,0,K537&lt;K$26,I$24,K537&lt;K$28,I$26,K537&lt;K$30,I$28,K537&lt;K$32,I$30,K537&lt;K$34,I$32,K537&lt;K$36,I$34,K537&lt;K$38,I$36,K537&lt;K$40,I$38,K537&lt;K$42,I$40,K537&lt;K$44,I$42,K537&lt;K$46,I$44,K537&gt;=K$46,I$46)</f>
        <v/>
      </c>
      <c r="J537" s="37">
        <f>_xlfn.IFS(K537&lt;K$24,0,K537&lt;K$25,J$24,K537&lt;K$26,J$25,K537&lt;K$27,J$26,K537&lt;K$28,J$27,K537&lt;K$29,J$28,K537&lt;K$30,J$29,K537&lt;K$31,J$30,K537&lt;K$32,J$31,K537&lt;K$33,J$32,K537&lt;K$34,J$33,K537&lt;K$35,J$34,K537&lt;K$36,J$35,K537&lt;K$37,J$36,K537&lt;K$38,J$37,K537&lt;K$39,J$38,K537&lt;K$40,J$39,K537&lt;K$41,J$40,K537&lt;K$42,J$41,K537&lt;K$43,J$42,K537&lt;K$44,J$43,K537&lt;K$45,J$44,K537&lt;K$46,J$45,K537&lt;K$47,J$46,K537&gt;=K$47,J$47)</f>
        <v/>
      </c>
      <c r="K537" s="38" t="n">
        <v>487</v>
      </c>
      <c r="L537" s="31">
        <f>K537/52</f>
        <v/>
      </c>
      <c r="M537" s="39">
        <f>J537/1000000*52</f>
        <v/>
      </c>
      <c r="N537" s="33">
        <f>M537/$P$4+($I$22/$P$4)</f>
        <v/>
      </c>
      <c r="U537">
        <f>F536</f>
        <v/>
      </c>
      <c r="V537">
        <f>H536</f>
        <v/>
      </c>
      <c r="W537">
        <f>N536</f>
        <v/>
      </c>
    </row>
    <row r="538" ht="15.75" customHeight="1" s="40">
      <c r="C538" s="36">
        <f>_xlfn.IFS(E538&lt;E$24,0,E538&lt;E$26,C$24,E538&lt;E$28,C$26,E538&lt;E$30,C$28,E538&lt;E$32,C$30,E538&lt;E$34,C$32,E538&gt;=E$34,C$34)</f>
        <v/>
      </c>
      <c r="D538" s="37">
        <f>_xlfn.IFS(E538&lt;E$24,0,E538&lt;E$25,D$24,E538&lt;E$26,D$25,E538&lt;E$27,D$26,E538&lt;E$28,D$27,E538&lt;E$29,D$28,E538&lt;E$30,D$29,E538&lt;E$31,D$30,E538&lt;E$32,D$31,E538&lt;E$33,D$32,E538&lt;E$34,D$33,E538&lt;E$35,D$34,E538&gt;=E$35,D$35)</f>
        <v/>
      </c>
      <c r="E538" s="38" t="n">
        <v>488</v>
      </c>
      <c r="F538" s="31">
        <f>E538/52</f>
        <v/>
      </c>
      <c r="G538" s="39">
        <f>D538/1000000*52</f>
        <v/>
      </c>
      <c r="H538" s="33">
        <f>G538/$P$4+($C$22/$P$4)</f>
        <v/>
      </c>
      <c r="I538" s="36">
        <f>_xlfn.IFS(K538&lt;K$24,0,K538&lt;K$26,I$24,K538&lt;K$28,I$26,K538&lt;K$30,I$28,K538&lt;K$32,I$30,K538&lt;K$34,I$32,K538&lt;K$36,I$34,K538&lt;K$38,I$36,K538&lt;K$40,I$38,K538&lt;K$42,I$40,K538&lt;K$44,I$42,K538&lt;K$46,I$44,K538&gt;=K$46,I$46)</f>
        <v/>
      </c>
      <c r="J538" s="37">
        <f>_xlfn.IFS(K538&lt;K$24,0,K538&lt;K$25,J$24,K538&lt;K$26,J$25,K538&lt;K$27,J$26,K538&lt;K$28,J$27,K538&lt;K$29,J$28,K538&lt;K$30,J$29,K538&lt;K$31,J$30,K538&lt;K$32,J$31,K538&lt;K$33,J$32,K538&lt;K$34,J$33,K538&lt;K$35,J$34,K538&lt;K$36,J$35,K538&lt;K$37,J$36,K538&lt;K$38,J$37,K538&lt;K$39,J$38,K538&lt;K$40,J$39,K538&lt;K$41,J$40,K538&lt;K$42,J$41,K538&lt;K$43,J$42,K538&lt;K$44,J$43,K538&lt;K$45,J$44,K538&lt;K$46,J$45,K538&lt;K$47,J$46,K538&gt;=K$47,J$47)</f>
        <v/>
      </c>
      <c r="K538" s="38" t="n">
        <v>488</v>
      </c>
      <c r="L538" s="31">
        <f>K538/52</f>
        <v/>
      </c>
      <c r="M538" s="39">
        <f>J538/1000000*52</f>
        <v/>
      </c>
      <c r="N538" s="33">
        <f>M538/$P$4+($I$22/$P$4)</f>
        <v/>
      </c>
      <c r="U538">
        <f>F537</f>
        <v/>
      </c>
      <c r="V538">
        <f>H537</f>
        <v/>
      </c>
      <c r="W538">
        <f>N537</f>
        <v/>
      </c>
    </row>
    <row r="539" ht="15.75" customHeight="1" s="40">
      <c r="C539" s="36">
        <f>_xlfn.IFS(E539&lt;E$24,0,E539&lt;E$26,C$24,E539&lt;E$28,C$26,E539&lt;E$30,C$28,E539&lt;E$32,C$30,E539&lt;E$34,C$32,E539&gt;=E$34,C$34)</f>
        <v/>
      </c>
      <c r="D539" s="37">
        <f>_xlfn.IFS(E539&lt;E$24,0,E539&lt;E$25,D$24,E539&lt;E$26,D$25,E539&lt;E$27,D$26,E539&lt;E$28,D$27,E539&lt;E$29,D$28,E539&lt;E$30,D$29,E539&lt;E$31,D$30,E539&lt;E$32,D$31,E539&lt;E$33,D$32,E539&lt;E$34,D$33,E539&lt;E$35,D$34,E539&gt;=E$35,D$35)</f>
        <v/>
      </c>
      <c r="E539" s="38" t="n">
        <v>489</v>
      </c>
      <c r="F539" s="31">
        <f>E539/52</f>
        <v/>
      </c>
      <c r="G539" s="39">
        <f>D539/1000000*52</f>
        <v/>
      </c>
      <c r="H539" s="33">
        <f>G539/$P$4+($C$22/$P$4)</f>
        <v/>
      </c>
      <c r="I539" s="36">
        <f>_xlfn.IFS(K539&lt;K$24,0,K539&lt;K$26,I$24,K539&lt;K$28,I$26,K539&lt;K$30,I$28,K539&lt;K$32,I$30,K539&lt;K$34,I$32,K539&lt;K$36,I$34,K539&lt;K$38,I$36,K539&lt;K$40,I$38,K539&lt;K$42,I$40,K539&lt;K$44,I$42,K539&lt;K$46,I$44,K539&gt;=K$46,I$46)</f>
        <v/>
      </c>
      <c r="J539" s="37">
        <f>_xlfn.IFS(K539&lt;K$24,0,K539&lt;K$25,J$24,K539&lt;K$26,J$25,K539&lt;K$27,J$26,K539&lt;K$28,J$27,K539&lt;K$29,J$28,K539&lt;K$30,J$29,K539&lt;K$31,J$30,K539&lt;K$32,J$31,K539&lt;K$33,J$32,K539&lt;K$34,J$33,K539&lt;K$35,J$34,K539&lt;K$36,J$35,K539&lt;K$37,J$36,K539&lt;K$38,J$37,K539&lt;K$39,J$38,K539&lt;K$40,J$39,K539&lt;K$41,J$40,K539&lt;K$42,J$41,K539&lt;K$43,J$42,K539&lt;K$44,J$43,K539&lt;K$45,J$44,K539&lt;K$46,J$45,K539&lt;K$47,J$46,K539&gt;=K$47,J$47)</f>
        <v/>
      </c>
      <c r="K539" s="38" t="n">
        <v>489</v>
      </c>
      <c r="L539" s="31">
        <f>K539/52</f>
        <v/>
      </c>
      <c r="M539" s="39">
        <f>J539/1000000*52</f>
        <v/>
      </c>
      <c r="N539" s="33">
        <f>M539/$P$4+($I$22/$P$4)</f>
        <v/>
      </c>
      <c r="U539">
        <f>F538</f>
        <v/>
      </c>
      <c r="V539">
        <f>H538</f>
        <v/>
      </c>
      <c r="W539">
        <f>N538</f>
        <v/>
      </c>
    </row>
    <row r="540" ht="15.75" customHeight="1" s="40">
      <c r="C540" s="36">
        <f>_xlfn.IFS(E540&lt;E$24,0,E540&lt;E$26,C$24,E540&lt;E$28,C$26,E540&lt;E$30,C$28,E540&lt;E$32,C$30,E540&lt;E$34,C$32,E540&gt;=E$34,C$34)</f>
        <v/>
      </c>
      <c r="D540" s="37">
        <f>_xlfn.IFS(E540&lt;E$24,0,E540&lt;E$25,D$24,E540&lt;E$26,D$25,E540&lt;E$27,D$26,E540&lt;E$28,D$27,E540&lt;E$29,D$28,E540&lt;E$30,D$29,E540&lt;E$31,D$30,E540&lt;E$32,D$31,E540&lt;E$33,D$32,E540&lt;E$34,D$33,E540&lt;E$35,D$34,E540&gt;=E$35,D$35)</f>
        <v/>
      </c>
      <c r="E540" s="38" t="n">
        <v>490</v>
      </c>
      <c r="F540" s="31">
        <f>E540/52</f>
        <v/>
      </c>
      <c r="G540" s="39">
        <f>D540/1000000*52</f>
        <v/>
      </c>
      <c r="H540" s="33">
        <f>G540/$P$4+($C$22/$P$4)</f>
        <v/>
      </c>
      <c r="I540" s="36">
        <f>_xlfn.IFS(K540&lt;K$24,0,K540&lt;K$26,I$24,K540&lt;K$28,I$26,K540&lt;K$30,I$28,K540&lt;K$32,I$30,K540&lt;K$34,I$32,K540&lt;K$36,I$34,K540&lt;K$38,I$36,K540&lt;K$40,I$38,K540&lt;K$42,I$40,K540&lt;K$44,I$42,K540&lt;K$46,I$44,K540&gt;=K$46,I$46)</f>
        <v/>
      </c>
      <c r="J540" s="37">
        <f>_xlfn.IFS(K540&lt;K$24,0,K540&lt;K$25,J$24,K540&lt;K$26,J$25,K540&lt;K$27,J$26,K540&lt;K$28,J$27,K540&lt;K$29,J$28,K540&lt;K$30,J$29,K540&lt;K$31,J$30,K540&lt;K$32,J$31,K540&lt;K$33,J$32,K540&lt;K$34,J$33,K540&lt;K$35,J$34,K540&lt;K$36,J$35,K540&lt;K$37,J$36,K540&lt;K$38,J$37,K540&lt;K$39,J$38,K540&lt;K$40,J$39,K540&lt;K$41,J$40,K540&lt;K$42,J$41,K540&lt;K$43,J$42,K540&lt;K$44,J$43,K540&lt;K$45,J$44,K540&lt;K$46,J$45,K540&lt;K$47,J$46,K540&gt;=K$47,J$47)</f>
        <v/>
      </c>
      <c r="K540" s="38" t="n">
        <v>490</v>
      </c>
      <c r="L540" s="31">
        <f>K540/52</f>
        <v/>
      </c>
      <c r="M540" s="39">
        <f>J540/1000000*52</f>
        <v/>
      </c>
      <c r="N540" s="33">
        <f>M540/$P$4+($I$22/$P$4)</f>
        <v/>
      </c>
      <c r="U540">
        <f>F539</f>
        <v/>
      </c>
      <c r="V540">
        <f>H539</f>
        <v/>
      </c>
      <c r="W540">
        <f>N539</f>
        <v/>
      </c>
    </row>
    <row r="541" ht="15.75" customHeight="1" s="40">
      <c r="H541" s="33" t="n"/>
      <c r="U541">
        <f>F540</f>
        <v/>
      </c>
      <c r="V541">
        <f>H540</f>
        <v/>
      </c>
      <c r="W541">
        <f>N540</f>
        <v/>
      </c>
    </row>
    <row r="542" ht="15.75" customHeight="1" s="40">
      <c r="H542" s="33" t="n"/>
    </row>
    <row r="543" ht="15.75" customHeight="1" s="40">
      <c r="H543" s="33" t="n"/>
    </row>
    <row r="544" ht="15.75" customHeight="1" s="40">
      <c r="H544" s="33" t="n"/>
    </row>
    <row r="545" ht="15.75" customHeight="1" s="40">
      <c r="H545" s="33" t="n"/>
    </row>
    <row r="546" ht="15.75" customHeight="1" s="40">
      <c r="H546" s="33" t="n"/>
    </row>
    <row r="547" ht="15.75" customHeight="1" s="40">
      <c r="H547" s="33" t="n"/>
    </row>
    <row r="548" ht="15.75" customHeight="1" s="40">
      <c r="H548" s="33" t="n"/>
    </row>
    <row r="549" ht="15.75" customHeight="1" s="40">
      <c r="H549" s="33" t="n"/>
    </row>
    <row r="550" ht="15.75" customHeight="1" s="40">
      <c r="H550" s="33" t="n"/>
    </row>
    <row r="551" ht="15.75" customHeight="1" s="40">
      <c r="H551" s="33" t="n"/>
    </row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mergeCells count="59">
    <mergeCell ref="I7:N7"/>
    <mergeCell ref="C10:H10"/>
    <mergeCell ref="C16:H16"/>
    <mergeCell ref="A15:B15"/>
    <mergeCell ref="C22:H22"/>
    <mergeCell ref="I22:N22"/>
    <mergeCell ref="C9:H9"/>
    <mergeCell ref="A11:B11"/>
    <mergeCell ref="I18:N18"/>
    <mergeCell ref="I3:N3"/>
    <mergeCell ref="C12:H12"/>
    <mergeCell ref="I12:N12"/>
    <mergeCell ref="C21:H21"/>
    <mergeCell ref="I21:N21"/>
    <mergeCell ref="C11:H11"/>
    <mergeCell ref="A16:B16"/>
    <mergeCell ref="C2:H2"/>
    <mergeCell ref="A7:B7"/>
    <mergeCell ref="I5:N5"/>
    <mergeCell ref="C1:G1"/>
    <mergeCell ref="I14:N14"/>
    <mergeCell ref="I17:N17"/>
    <mergeCell ref="C8:H8"/>
    <mergeCell ref="I8:N8"/>
    <mergeCell ref="C17:H17"/>
    <mergeCell ref="A18:B18"/>
    <mergeCell ref="I4:N4"/>
    <mergeCell ref="A3:B3"/>
    <mergeCell ref="I20:N20"/>
    <mergeCell ref="C7:H7"/>
    <mergeCell ref="A21:B21"/>
    <mergeCell ref="C19:H19"/>
    <mergeCell ref="I19:N19"/>
    <mergeCell ref="A2:B2"/>
    <mergeCell ref="I10:N10"/>
    <mergeCell ref="C13:H13"/>
    <mergeCell ref="I13:N13"/>
    <mergeCell ref="I9:N9"/>
    <mergeCell ref="A14:B14"/>
    <mergeCell ref="C18:H18"/>
    <mergeCell ref="A17:B17"/>
    <mergeCell ref="C3:H3"/>
    <mergeCell ref="I1:M1"/>
    <mergeCell ref="A8:B8"/>
    <mergeCell ref="C15:H15"/>
    <mergeCell ref="A4:B4"/>
    <mergeCell ref="I15:N15"/>
    <mergeCell ref="A20:B20"/>
    <mergeCell ref="I11:N11"/>
    <mergeCell ref="C14:H14"/>
    <mergeCell ref="I2:N2"/>
    <mergeCell ref="A19:B19"/>
    <mergeCell ref="C5:H5"/>
    <mergeCell ref="A10:B10"/>
    <mergeCell ref="A13:B13"/>
    <mergeCell ref="C4:H4"/>
    <mergeCell ref="C20:H20"/>
    <mergeCell ref="A9:B9"/>
    <mergeCell ref="I16:N16"/>
  </mergeCells>
  <hyperlinks>
    <hyperlink xmlns:r="http://schemas.openxmlformats.org/officeDocument/2006/relationships" ref="Q2" r:id="rId1"/>
    <hyperlink xmlns:r="http://schemas.openxmlformats.org/officeDocument/2006/relationships" ref="Q3" r:id="rId2"/>
  </hyperlinks>
  <pageMargins left="0.75" right="0.75" top="1" bottom="1" header="0.5" footer="0.5"/>
  <drawing xmlns:r="http://schemas.openxmlformats.org/officeDocument/2006/relationships" r:id="rId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H31"/>
  <sheetViews>
    <sheetView workbookViewId="0">
      <selection activeCell="A1" sqref="A1"/>
    </sheetView>
  </sheetViews>
  <sheetFormatPr baseColWidth="8" defaultColWidth="12.6328125" defaultRowHeight="15" customHeight="1"/>
  <cols>
    <col width="41.90625" customWidth="1" style="40" min="1" max="1"/>
    <col width="16.6328125" customWidth="1" style="40" min="2" max="2"/>
    <col width="17.90625" customWidth="1" style="40" min="3" max="3"/>
    <col width="12.6328125" customWidth="1" style="40" min="4" max="5"/>
    <col width="26.7265625" bestFit="1" customWidth="1" style="40" min="6" max="6"/>
  </cols>
  <sheetData>
    <row r="1" ht="15.75" customHeight="1" s="40">
      <c r="A1" s="53" t="inlineStr">
        <is>
          <t>P (MAP+DAP) CAPEX Calcs</t>
        </is>
      </c>
      <c r="B1" s="39" t="n"/>
      <c r="D1" s="1" t="n"/>
    </row>
    <row r="2" ht="15.75" customHeight="1" s="40">
      <c r="A2" s="3" t="inlineStr">
        <is>
          <t>UNIDO TSP 1978$ inflated to 2025$</t>
        </is>
      </c>
      <c r="B2" s="3" t="n"/>
    </row>
    <row r="3" ht="15.75" customHeight="1" s="40">
      <c r="A3" s="39" t="n"/>
      <c r="B3" s="39" t="n"/>
      <c r="C3" s="4" t="n"/>
      <c r="D3" s="39" t="n"/>
      <c r="F3" s="5" t="n"/>
    </row>
    <row r="4" ht="15.75" customHeight="1" s="40">
      <c r="A4" s="39" t="n"/>
      <c r="B4" s="39" t="n"/>
      <c r="C4" s="4" t="n"/>
      <c r="D4" s="39" t="n"/>
      <c r="F4" s="6" t="n"/>
    </row>
    <row r="5" ht="15.75" customHeight="1" s="40">
      <c r="A5" s="39" t="n"/>
      <c r="B5" s="39" t="n"/>
      <c r="C5" s="4" t="n"/>
      <c r="D5" s="39" t="inlineStr">
        <is>
          <t>Target Plant Size (tonneP/day)</t>
        </is>
      </c>
      <c r="F5" s="39">
        <f>B16</f>
        <v/>
      </c>
    </row>
    <row r="6" ht="15.75" customHeight="1" s="40">
      <c r="A6" s="39" t="n"/>
      <c r="B6" s="39" t="n"/>
      <c r="C6" s="4" t="n"/>
      <c r="D6" s="39" t="n"/>
      <c r="F6" s="7" t="n"/>
    </row>
    <row r="7" ht="15.75" customHeight="1" s="40">
      <c r="A7" s="39" t="n"/>
    </row>
    <row r="8" ht="15.75" customHeight="1" s="40"/>
    <row r="9" ht="15.75" customHeight="1" s="40">
      <c r="A9" s="1" t="n"/>
    </row>
    <row r="10" ht="15.75" customHeight="1" s="40"/>
    <row r="11" ht="15.75" customHeight="1" s="40">
      <c r="A11" s="8" t="n"/>
      <c r="B11" s="9" t="n"/>
      <c r="C11" s="10" t="n"/>
      <c r="F11" s="39" t="inlineStr">
        <is>
          <t>Fast construction cost factor</t>
        </is>
      </c>
      <c r="G11" s="39" t="n"/>
      <c r="H11" s="11" t="n">
        <v>1.47</v>
      </c>
    </row>
    <row r="12" ht="15.75" customHeight="1" s="40">
      <c r="A12" s="45" t="inlineStr">
        <is>
          <t>Reference capacity (t/day TSP)</t>
        </is>
      </c>
      <c r="B12" s="39" t="n">
        <v>1200</v>
      </c>
      <c r="C12" s="13" t="n"/>
      <c r="F12" s="39" t="inlineStr">
        <is>
          <t>Fast construction speed factor</t>
        </is>
      </c>
      <c r="H12" s="14" t="n">
        <v>0.32</v>
      </c>
    </row>
    <row r="13" ht="15.75" customHeight="1" s="40">
      <c r="A13" s="45" t="inlineStr">
        <is>
          <t>Reference total investment (1978 USD)</t>
        </is>
      </c>
      <c r="B13" s="39" t="n">
        <v>70000000</v>
      </c>
      <c r="C13" s="15" t="n"/>
    </row>
    <row r="14" ht="15.75" customHeight="1" s="40">
      <c r="A14" s="45" t="inlineStr">
        <is>
          <t>Inflation multiplier (1978→2025)</t>
        </is>
      </c>
      <c r="B14" s="16" t="n">
        <v>4.924095092024539</v>
      </c>
      <c r="C14" s="15" t="n"/>
      <c r="F14" s="39" t="inlineStr">
        <is>
          <t>Fast construction (24/7) CAPEX</t>
        </is>
      </c>
      <c r="H14" s="7">
        <f>H11*B19</f>
        <v/>
      </c>
    </row>
    <row r="15" ht="15.75" customHeight="1" s="40">
      <c r="A15" s="45" t="inlineStr">
        <is>
          <t>Reference CAPEX (2025 USD)</t>
        </is>
      </c>
      <c r="B15" s="1">
        <f>B13*B14</f>
        <v/>
      </c>
      <c r="C15" s="15" t="n"/>
    </row>
    <row r="16" ht="15.75" customHeight="1" s="40">
      <c r="A16" s="45" t="inlineStr">
        <is>
          <t>Target Plant Size (tonnes/day)</t>
        </is>
      </c>
      <c r="B16" s="39" t="n">
        <v>1300</v>
      </c>
      <c r="C16" s="13" t="n"/>
    </row>
    <row r="17" ht="15.75" customHeight="1" s="40">
      <c r="A17" s="45" t="inlineStr">
        <is>
          <t>Plant scale factor</t>
        </is>
      </c>
      <c r="B17" s="16">
        <f>B16/B12</f>
        <v/>
      </c>
      <c r="C17" s="13" t="n"/>
    </row>
    <row r="18" ht="15.75" customHeight="1" s="40">
      <c r="A18" s="17" t="inlineStr">
        <is>
          <t>Cost-Capacity Exponent</t>
        </is>
      </c>
      <c r="B18" s="16" t="n">
        <v>0.7</v>
      </c>
      <c r="C18" s="13" t="n"/>
    </row>
    <row r="19" ht="15.75" customHeight="1" s="40">
      <c r="A19" s="45" t="inlineStr">
        <is>
          <t>Target Plant CAPEX (USD)</t>
        </is>
      </c>
      <c r="B19" s="18">
        <f>B15*(B16/B12)^B18</f>
        <v/>
      </c>
      <c r="C19" s="13" t="n"/>
      <c r="D19" s="39" t="inlineStr">
        <is>
          <t>&lt;-- Using this estimate</t>
        </is>
      </c>
    </row>
    <row r="20" ht="15.75" customHeight="1" s="40">
      <c r="A20" s="45" t="n"/>
      <c r="C20" s="13" t="n"/>
    </row>
    <row r="21" ht="15.75" customHeight="1" s="40">
      <c r="A21" s="19" t="inlineStr">
        <is>
          <t>Capital efficiency</t>
        </is>
      </c>
      <c r="B21" s="20">
        <f>B19/B16/365</f>
        <v/>
      </c>
      <c r="C21" s="21" t="inlineStr">
        <is>
          <t>$/tpa installed</t>
        </is>
      </c>
    </row>
    <row r="22" ht="15.75" customHeight="1" s="40"/>
    <row r="23" ht="15.75" customHeight="1" s="40">
      <c r="E23" s="22" t="n"/>
    </row>
    <row r="24" ht="15.75" customHeight="1" s="40">
      <c r="A24" s="1" t="n"/>
    </row>
    <row r="25" ht="15.75" customHeight="1" s="40">
      <c r="A25" s="39" t="n"/>
      <c r="B25" s="7" t="n"/>
      <c r="D25" s="22" t="n"/>
    </row>
    <row r="26" ht="15.75" customHeight="1" s="40">
      <c r="A26" s="39" t="n"/>
      <c r="B26" s="39" t="n"/>
    </row>
    <row r="27" ht="15.75" customHeight="1" s="40">
      <c r="A27" s="39" t="n"/>
      <c r="B27" s="39" t="n"/>
      <c r="D27" s="22" t="n"/>
    </row>
    <row r="28" ht="15.75" customHeight="1" s="40">
      <c r="A28" s="39" t="n"/>
      <c r="B28" s="16" t="n"/>
      <c r="D28" s="22" t="n"/>
    </row>
    <row r="29" ht="15.75" customHeight="1" s="40">
      <c r="A29" s="39" t="n"/>
      <c r="B29" s="7" t="n"/>
      <c r="D29" s="23" t="n"/>
    </row>
    <row r="30" ht="15.75" customHeight="1" s="40"/>
    <row r="31" ht="15.75" customHeight="1" s="40">
      <c r="E31" s="22" t="n"/>
    </row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hyperlinks>
    <hyperlink xmlns:r="http://schemas.openxmlformats.org/officeDocument/2006/relationships" ref="A1" r:id="rId1"/>
    <hyperlink xmlns:r="http://schemas.openxmlformats.org/officeDocument/2006/relationships" ref="D1" r:id="rId2"/>
    <hyperlink xmlns:r="http://schemas.openxmlformats.org/officeDocument/2006/relationships" ref="A9" r:id="rId3"/>
    <hyperlink xmlns:r="http://schemas.openxmlformats.org/officeDocument/2006/relationships" ref="A11" r:id="rId4"/>
    <hyperlink xmlns:r="http://schemas.openxmlformats.org/officeDocument/2006/relationships" ref="B15" display="https://www.exchange-rates.org/converter/eur-usd" r:id="rId5"/>
    <hyperlink xmlns:r="http://schemas.openxmlformats.org/officeDocument/2006/relationships" ref="A24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W551"/>
  <sheetViews>
    <sheetView workbookViewId="0">
      <selection activeCell="A1" sqref="A1"/>
    </sheetView>
  </sheetViews>
  <sheetFormatPr baseColWidth="8" defaultColWidth="12.6328125" defaultRowHeight="15" customHeight="1"/>
  <cols>
    <col width="12.6328125" customWidth="1" style="40" min="1" max="1"/>
    <col width="25.36328125" customWidth="1" style="40" min="2" max="2"/>
    <col width="12.6328125" customWidth="1" style="40" min="3" max="6"/>
    <col width="19.7265625" customWidth="1" style="40" min="7" max="7"/>
  </cols>
  <sheetData>
    <row r="1" ht="15.75" customHeight="1" s="40">
      <c r="C1" s="39" t="inlineStr">
        <is>
          <t>P (MAP+DAP) REGULAR CONSTRUCTION</t>
        </is>
      </c>
      <c r="H1" s="39" t="n"/>
      <c r="I1" s="39" t="inlineStr">
        <is>
          <t>P (MAP+DAP) FAST CONSTRUCTION</t>
        </is>
      </c>
      <c r="N1" s="39" t="n"/>
      <c r="R1" s="22" t="inlineStr">
        <is>
          <t>fraction_functioning_after_disruption</t>
        </is>
      </c>
      <c r="U1" t="inlineStr">
        <is>
          <t>CODE-MATCHED (current model)</t>
        </is>
      </c>
    </row>
    <row r="2" ht="15.75" customHeight="1" s="40">
      <c r="A2" s="39" t="inlineStr">
        <is>
          <t>Annual World Construction Budget</t>
        </is>
      </c>
      <c r="C2" s="44" t="n">
        <v>62132238606.74318</v>
      </c>
      <c r="H2" s="42" t="n"/>
      <c r="I2" s="44" t="n">
        <v>62132238606.74318</v>
      </c>
      <c r="N2" s="42" t="n"/>
      <c r="P2" s="39" t="inlineStr">
        <is>
          <t>Sanity check:</t>
        </is>
      </c>
      <c r="Q2" s="1" t="inlineStr">
        <is>
          <t>the AEA’s datasets track 490 production plants in development, comprising a total of 438.1 million tons of low-emission and transitional ammonia capacity</t>
        </is>
      </c>
      <c r="U2" t="inlineStr">
        <is>
          <t>C16/I16 = 0.4; startup% = 0.5; budget = equal-pace default</t>
        </is>
      </c>
    </row>
    <row r="3" ht="15.75" customHeight="1" s="40">
      <c r="A3" s="39" t="inlineStr">
        <is>
          <t>Total Capital Investment Per Plant</t>
        </is>
      </c>
      <c r="C3" s="50">
        <f>'P CAPEX'!B19</f>
        <v/>
      </c>
      <c r="H3" s="42" t="n"/>
      <c r="I3" s="50">
        <f>'P CAPEX'!H14</f>
        <v/>
      </c>
      <c r="N3" s="42" t="n"/>
      <c r="P3" s="4">
        <f>P4*1000000/('P CAPEX'!B16*365.25)</f>
        <v/>
      </c>
      <c r="Q3" s="1" t="inlineStr">
        <is>
          <t>plants needed to make 240million metric tonnes per year assuming an average of 2000 metric tonnes/day plant capacity</t>
        </is>
      </c>
      <c r="U3" t="inlineStr">
        <is>
          <t>Multiple = (new Mt/yr + surviving Mt/yr) / current Mt/yr</t>
        </is>
      </c>
    </row>
    <row r="4" ht="15.75" customHeight="1" s="40">
      <c r="A4" s="39" t="inlineStr">
        <is>
          <t>Number of Plants Per Year</t>
        </is>
      </c>
      <c r="C4" s="41">
        <f>(C2/C3)*C16</f>
        <v/>
      </c>
      <c r="H4" s="42" t="n"/>
      <c r="I4" s="41">
        <f>(I2/I3)*I16</f>
        <v/>
      </c>
      <c r="N4" s="42" t="n"/>
      <c r="P4" s="39" t="n">
        <v>47.8</v>
      </c>
      <c r="Q4" s="39" t="inlineStr">
        <is>
          <t>Current P production in million metric tonnes</t>
        </is>
      </c>
      <c r="U4" t="inlineStr">
        <is>
          <t>Surviving Mt/yr in C22/I22</t>
        </is>
      </c>
    </row>
    <row r="5" ht="15.75" customHeight="1" s="40">
      <c r="A5" s="39" t="n"/>
      <c r="B5" s="39" t="n"/>
      <c r="C5" s="45" t="n"/>
      <c r="I5" s="46" t="n"/>
      <c r="N5" s="42" t="n"/>
      <c r="U5" t="inlineStr">
        <is>
          <t>Multiple chart uses U50:W (1.0 before t=0, then drops to 0.4)</t>
        </is>
      </c>
    </row>
    <row r="6" ht="15.75" customHeight="1" s="40">
      <c r="A6" s="39" t="inlineStr">
        <is>
          <t>Corrected CAPEX for construction time method</t>
        </is>
      </c>
      <c r="B6" s="39" t="n"/>
      <c r="C6" s="24" t="n"/>
      <c r="D6" s="4" t="n"/>
      <c r="E6" s="4" t="n"/>
      <c r="F6" s="4" t="n"/>
      <c r="G6" s="25">
        <f>C3*(1-9.1%-6.6%)</f>
        <v/>
      </c>
      <c r="H6" s="26" t="n"/>
      <c r="I6" s="24" t="n"/>
      <c r="J6" s="4" t="n"/>
      <c r="K6" s="4" t="n"/>
      <c r="L6" s="4" t="n"/>
      <c r="M6" s="25">
        <f>I3*(1-9.1%-6.6%)</f>
        <v/>
      </c>
      <c r="N6" s="25" t="n"/>
      <c r="U6" t="inlineStr">
        <is>
          <t>Production chart (G/M) = NEW factory Mt/yr only (starts at 0)</t>
        </is>
      </c>
    </row>
    <row r="7" ht="15.75" customHeight="1" s="40">
      <c r="A7" s="39" t="inlineStr">
        <is>
          <t>Weeks to Build at Facility Costs</t>
        </is>
      </c>
      <c r="C7" s="41">
        <f>10.774*LN(0.8*G6)-121.45</f>
        <v/>
      </c>
      <c r="H7" s="42" t="n"/>
      <c r="I7" s="41">
        <f>C7*'P CAPEX'!H12</f>
        <v/>
      </c>
      <c r="N7" s="42" t="n"/>
    </row>
    <row r="8" ht="15.75" customHeight="1" s="40">
      <c r="A8" s="39" t="inlineStr">
        <is>
          <t>Waves Per Year</t>
        </is>
      </c>
      <c r="C8" s="47">
        <f>52/C7</f>
        <v/>
      </c>
      <c r="H8" s="42" t="n"/>
      <c r="I8" s="47">
        <f>52/I7</f>
        <v/>
      </c>
      <c r="N8" s="42" t="n"/>
    </row>
    <row r="9" ht="15.75" customHeight="1" s="40">
      <c r="A9" s="39" t="inlineStr">
        <is>
          <t>Plants Per Wave</t>
        </is>
      </c>
      <c r="C9" s="49">
        <f>(C4/C8)</f>
        <v/>
      </c>
      <c r="H9" s="42" t="n"/>
      <c r="I9" s="49">
        <f>(I4/I8)</f>
        <v/>
      </c>
      <c r="N9" s="42" t="n"/>
    </row>
    <row r="10" ht="15.75" customHeight="1" s="40">
      <c r="A10" s="39" t="inlineStr">
        <is>
          <t>Plants Per Year</t>
        </is>
      </c>
      <c r="C10" s="41">
        <f>C9*C8</f>
        <v/>
      </c>
      <c r="H10" s="42" t="n"/>
      <c r="I10" s="41">
        <f>I9*I8</f>
        <v/>
      </c>
      <c r="N10" s="42" t="n"/>
    </row>
    <row r="11" ht="15.75" customHeight="1" s="40">
      <c r="A11" s="39" t="inlineStr">
        <is>
          <t>Plants Per Week</t>
        </is>
      </c>
      <c r="C11" s="41">
        <f>C10/52</f>
        <v/>
      </c>
      <c r="H11" s="42" t="n"/>
      <c r="I11" s="41">
        <f>I10/52</f>
        <v/>
      </c>
      <c r="N11" s="42" t="n"/>
    </row>
    <row r="12" ht="15.75" customHeight="1" s="40">
      <c r="B12" s="39" t="n"/>
      <c r="C12" s="45" t="n"/>
      <c r="I12" s="46" t="n"/>
      <c r="N12" s="42" t="n"/>
    </row>
    <row r="13" ht="15.75" customHeight="1" s="40">
      <c r="A13" s="39" t="inlineStr">
        <is>
          <t>Single Facility Scaled Production (tonnes/week)</t>
        </is>
      </c>
      <c r="C13" s="48">
        <f>'P CAPEX'!$F5*7</f>
        <v/>
      </c>
      <c r="H13" s="42" t="n"/>
      <c r="I13" s="48">
        <f>'P CAPEX'!$F5*7</f>
        <v/>
      </c>
      <c r="N13" s="42" t="n"/>
    </row>
    <row r="14" ht="15.75" customHeight="1" s="40">
      <c r="A14" s="39" t="inlineStr">
        <is>
          <t>Startup % of Fully Scaled Production (break in period)</t>
        </is>
      </c>
      <c r="C14" s="43" t="n">
        <v>0.5</v>
      </c>
      <c r="H14" s="42" t="n"/>
      <c r="I14" s="43" t="n">
        <v>0.5</v>
      </c>
      <c r="N14" s="42" t="n"/>
    </row>
    <row r="15" ht="15.75" customHeight="1" s="40">
      <c r="A15" s="39" t="inlineStr">
        <is>
          <t>Single Facility Startup Production (tonnes/week)</t>
        </is>
      </c>
      <c r="C15" s="41">
        <f>C13*C14</f>
        <v/>
      </c>
      <c r="H15" s="42" t="n"/>
      <c r="I15" s="41">
        <f>I13*I14</f>
        <v/>
      </c>
      <c r="N15" s="42" t="n"/>
    </row>
    <row r="16" ht="15.75" customHeight="1" s="40">
      <c r="A16" s="39" t="inlineStr">
        <is>
          <t>fraction_functioning_after_disruption (surviving existing + new build share)</t>
        </is>
      </c>
      <c r="C16" s="43" t="n">
        <v>0.4</v>
      </c>
      <c r="H16" s="42" t="n"/>
      <c r="I16" s="43" t="n">
        <v>0.4</v>
      </c>
      <c r="N16" s="42" t="n"/>
    </row>
    <row r="17" ht="15.75" customHeight="1" s="40">
      <c r="A17" s="39" t="inlineStr">
        <is>
          <t>Time to construct a wave (years)</t>
        </is>
      </c>
      <c r="C17" s="51">
        <f>C7/52</f>
        <v/>
      </c>
      <c r="H17" s="42" t="n"/>
      <c r="I17" s="51">
        <f>I7/52</f>
        <v/>
      </c>
      <c r="N17" s="42" t="n"/>
    </row>
    <row r="18" ht="15.75" customHeight="1" s="40">
      <c r="A18" s="39" t="inlineStr">
        <is>
          <t>Startup time (weeks)</t>
        </is>
      </c>
      <c r="C18" s="51">
        <f>C7/4</f>
        <v/>
      </c>
      <c r="H18" s="42" t="n"/>
      <c r="I18" s="51">
        <f>I7/4</f>
        <v/>
      </c>
      <c r="N18" s="42" t="n"/>
    </row>
    <row r="19" ht="15.75" customHeight="1" s="40">
      <c r="A19" s="39" t="inlineStr">
        <is>
          <t>Startup time (years)</t>
        </is>
      </c>
      <c r="C19" s="51">
        <f>C18/52</f>
        <v/>
      </c>
      <c r="H19" s="42" t="n"/>
      <c r="I19" s="51">
        <f>I18/52</f>
        <v/>
      </c>
      <c r="N19" s="42" t="n"/>
    </row>
    <row r="20" ht="15.75" customHeight="1" s="40">
      <c r="A20" s="39" t="inlineStr">
        <is>
          <t>Planning time (weeks)</t>
        </is>
      </c>
      <c r="C20" s="52" t="n">
        <v>4</v>
      </c>
      <c r="H20" s="42" t="n"/>
      <c r="I20" s="52" t="n">
        <v>4</v>
      </c>
      <c r="N20" s="42" t="n"/>
    </row>
    <row r="21" ht="15.75" customHeight="1" s="40">
      <c r="A21" s="39" t="inlineStr">
        <is>
          <t>Planning time (years)</t>
        </is>
      </c>
      <c r="C21" s="51">
        <f>C20/52</f>
        <v/>
      </c>
      <c r="H21" s="42" t="n"/>
      <c r="I21" s="51">
        <f>I20/52</f>
        <v/>
      </c>
      <c r="N21" s="42" t="n"/>
    </row>
    <row r="22" ht="15.75" customHeight="1" s="40">
      <c r="A22" s="39" t="inlineStr">
        <is>
          <t>Surviving Mt/yr (= fraction_functioning * current Mt/yr)</t>
        </is>
      </c>
      <c r="B22" s="39" t="n"/>
      <c r="C22" s="45">
        <f>C16*$P$4</f>
        <v/>
      </c>
      <c r="I22" s="45">
        <f>I16*$P$4</f>
        <v/>
      </c>
    </row>
    <row r="23" ht="15.75" customHeight="1" s="40">
      <c r="A23" s="27" t="inlineStr">
        <is>
          <t>Wave</t>
        </is>
      </c>
      <c r="B23" s="27" t="inlineStr">
        <is>
          <t>Production Level</t>
        </is>
      </c>
      <c r="C23" s="19" t="inlineStr">
        <is>
          <t>Plants</t>
        </is>
      </c>
      <c r="D23" s="27" t="inlineStr">
        <is>
          <t>tonnes/week</t>
        </is>
      </c>
      <c r="E23" s="27" t="inlineStr">
        <is>
          <t>Weeks</t>
        </is>
      </c>
      <c r="F23" s="28" t="inlineStr">
        <is>
          <t>Years</t>
        </is>
      </c>
      <c r="G23" s="39" t="inlineStr">
        <is>
          <t>Megatonnes/year</t>
        </is>
      </c>
      <c r="H23" s="21" t="inlineStr">
        <is>
          <t>Multiple of Current P Production</t>
        </is>
      </c>
      <c r="I23" s="19" t="inlineStr">
        <is>
          <t>Plants</t>
        </is>
      </c>
      <c r="J23" s="27" t="inlineStr">
        <is>
          <t>tonnes/week</t>
        </is>
      </c>
      <c r="K23" s="27" t="inlineStr">
        <is>
          <t>Weeks</t>
        </is>
      </c>
      <c r="L23" s="28" t="inlineStr">
        <is>
          <t>Years</t>
        </is>
      </c>
      <c r="M23" s="39" t="inlineStr">
        <is>
          <t>Megatonnes/year</t>
        </is>
      </c>
      <c r="N23" s="21" t="inlineStr">
        <is>
          <t>Multiple of Current P Production</t>
        </is>
      </c>
      <c r="S23" s="22" t="inlineStr">
        <is>
          <t>Required</t>
        </is>
      </c>
      <c r="T23" s="22" t="inlineStr">
        <is>
          <t>Current</t>
        </is>
      </c>
      <c r="U23" s="22" t="inlineStr">
        <is>
          <t>New</t>
        </is>
      </c>
    </row>
    <row r="24" ht="15.75" customHeight="1" s="40">
      <c r="A24" s="39" t="n">
        <v>1</v>
      </c>
      <c r="B24" s="39" t="inlineStr">
        <is>
          <t>startup production</t>
        </is>
      </c>
      <c r="C24" s="29">
        <f>C$9*$A24</f>
        <v/>
      </c>
      <c r="D24" s="30">
        <f>C15*C24</f>
        <v/>
      </c>
      <c r="E24" s="30">
        <f>F24*52</f>
        <v/>
      </c>
      <c r="F24" s="31">
        <f>C$17*$A24+C$21</f>
        <v/>
      </c>
      <c r="G24" s="32">
        <f>D24/1000000*52</f>
        <v/>
      </c>
      <c r="H24" s="33">
        <f>G24/$P$4+($C$22/$P$4)</f>
        <v/>
      </c>
      <c r="I24" s="29">
        <f>I$9*$A24</f>
        <v/>
      </c>
      <c r="J24" s="30">
        <f>I15*I24</f>
        <v/>
      </c>
      <c r="K24" s="30">
        <f>L24*52</f>
        <v/>
      </c>
      <c r="L24" s="31">
        <f>I$17*$A24+I$21</f>
        <v/>
      </c>
      <c r="M24" s="32">
        <f>J24/1000000*52</f>
        <v/>
      </c>
      <c r="N24" s="33">
        <f>M24/$P$4+($I$22/$P$4)</f>
        <v/>
      </c>
      <c r="R24" s="22" t="inlineStr">
        <is>
          <t>N</t>
        </is>
      </c>
      <c r="S24" s="22" t="n">
        <v>1000</v>
      </c>
      <c r="T24" s="22" t="n">
        <v>1000</v>
      </c>
      <c r="U24" s="22" t="n">
        <v>0</v>
      </c>
    </row>
    <row r="25" ht="15.75" customHeight="1" s="40">
      <c r="A25" s="39" t="n">
        <v>1</v>
      </c>
      <c r="B25" s="39" t="inlineStr">
        <is>
          <t>full production</t>
        </is>
      </c>
      <c r="C25" s="29">
        <f>C$9*$A25</f>
        <v/>
      </c>
      <c r="D25" s="30">
        <f>C25*C$13</f>
        <v/>
      </c>
      <c r="E25" s="30">
        <f>F25*52</f>
        <v/>
      </c>
      <c r="F25" s="31">
        <f>F24+C$19</f>
        <v/>
      </c>
      <c r="G25" s="4">
        <f>D25/1000000*52</f>
        <v/>
      </c>
      <c r="H25" s="33">
        <f>G25/$P$4+($C$22/$P$4)</f>
        <v/>
      </c>
      <c r="I25" s="29">
        <f>I$9*$A25</f>
        <v/>
      </c>
      <c r="J25" s="30">
        <f>I25*I$13</f>
        <v/>
      </c>
      <c r="K25" s="30">
        <f>L25*52</f>
        <v/>
      </c>
      <c r="L25" s="31">
        <f>L24+I$19</f>
        <v/>
      </c>
      <c r="M25" s="4">
        <f>J25/1000000*52</f>
        <v/>
      </c>
      <c r="N25" s="33">
        <f>M25/$P$4+($I$22/$P$4)</f>
        <v/>
      </c>
      <c r="R25" s="34" t="n">
        <v>0.7</v>
      </c>
      <c r="T25" s="22" t="n">
        <v>700</v>
      </c>
    </row>
    <row r="26" ht="15.75" customHeight="1" s="40">
      <c r="A26" s="39" t="n">
        <v>2</v>
      </c>
      <c r="B26" s="39" t="inlineStr">
        <is>
          <t>startup production</t>
        </is>
      </c>
      <c r="C26" s="29">
        <f>C$9*$A26</f>
        <v/>
      </c>
      <c r="D26" s="30">
        <f>D25+C$15*C$9</f>
        <v/>
      </c>
      <c r="E26" s="30">
        <f>F26*52</f>
        <v/>
      </c>
      <c r="F26" s="31">
        <f>C$17*$A26+C$21</f>
        <v/>
      </c>
      <c r="G26" s="4">
        <f>D26/1000000*52</f>
        <v/>
      </c>
      <c r="H26" s="33">
        <f>G26/$P$4+($C$22/$P$4)</f>
        <v/>
      </c>
      <c r="I26" s="29">
        <f>I$9*$A26</f>
        <v/>
      </c>
      <c r="J26" s="30">
        <f>J25+I$15*I$9</f>
        <v/>
      </c>
      <c r="K26" s="30">
        <f>L26*52</f>
        <v/>
      </c>
      <c r="L26" s="31">
        <f>I$17*$A26+I$21</f>
        <v/>
      </c>
      <c r="M26" s="4">
        <f>J26/1000000*52</f>
        <v/>
      </c>
      <c r="N26" s="33">
        <f>M26/$P$4+($I$22/$P$4)</f>
        <v/>
      </c>
    </row>
    <row r="27" ht="15.75" customHeight="1" s="40">
      <c r="A27" s="39" t="n">
        <v>2</v>
      </c>
      <c r="B27" s="39" t="inlineStr">
        <is>
          <t>full production</t>
        </is>
      </c>
      <c r="C27" s="29">
        <f>C$9*$A27</f>
        <v/>
      </c>
      <c r="D27" s="30">
        <f>C27*C$13</f>
        <v/>
      </c>
      <c r="E27" s="30">
        <f>F27*52</f>
        <v/>
      </c>
      <c r="F27" s="31">
        <f>F26+C$19</f>
        <v/>
      </c>
      <c r="G27" s="4">
        <f>D27/1000000*52</f>
        <v/>
      </c>
      <c r="H27" s="33">
        <f>G27/$P$4+($C$22/$P$4)</f>
        <v/>
      </c>
      <c r="I27" s="29">
        <f>I$9*$A27</f>
        <v/>
      </c>
      <c r="J27" s="30">
        <f>I27*I$13</f>
        <v/>
      </c>
      <c r="K27" s="30">
        <f>L27*52</f>
        <v/>
      </c>
      <c r="L27" s="31">
        <f>L26+I$19</f>
        <v/>
      </c>
      <c r="M27" s="4">
        <f>J27/1000000*52</f>
        <v/>
      </c>
      <c r="N27" s="33">
        <f>M27/$P$4+($I$22/$P$4)</f>
        <v/>
      </c>
    </row>
    <row r="28" ht="15.75" customHeight="1" s="40">
      <c r="A28" s="39" t="n">
        <v>3</v>
      </c>
      <c r="B28" s="39" t="inlineStr">
        <is>
          <t>startup production</t>
        </is>
      </c>
      <c r="C28" s="29">
        <f>C$9*$A28</f>
        <v/>
      </c>
      <c r="D28" s="30">
        <f>D27+C$15*C$9</f>
        <v/>
      </c>
      <c r="E28" s="30">
        <f>F28*52</f>
        <v/>
      </c>
      <c r="F28" s="31">
        <f>C$17*$A28+C$21</f>
        <v/>
      </c>
      <c r="G28" s="4">
        <f>D28/1000000*52</f>
        <v/>
      </c>
      <c r="H28" s="33">
        <f>G28/$P$4+($C$22/$P$4)</f>
        <v/>
      </c>
      <c r="I28" s="29">
        <f>I$9*$A28</f>
        <v/>
      </c>
      <c r="J28" s="30">
        <f>J27+I$15*I$9</f>
        <v/>
      </c>
      <c r="K28" s="30">
        <f>L28*52</f>
        <v/>
      </c>
      <c r="L28" s="31">
        <f>I$17*$A28+I$21</f>
        <v/>
      </c>
      <c r="M28" s="4">
        <f>J28/1000000*52</f>
        <v/>
      </c>
      <c r="N28" s="33">
        <f>M28/$P$4+($I$22/$P$4)</f>
        <v/>
      </c>
    </row>
    <row r="29" ht="15.75" customHeight="1" s="40">
      <c r="A29" s="39" t="n">
        <v>3</v>
      </c>
      <c r="B29" s="39" t="inlineStr">
        <is>
          <t>full production</t>
        </is>
      </c>
      <c r="C29" s="29">
        <f>C$9*$A29</f>
        <v/>
      </c>
      <c r="D29" s="30">
        <f>C29*C$13</f>
        <v/>
      </c>
      <c r="E29" s="30">
        <f>F29*52</f>
        <v/>
      </c>
      <c r="F29" s="31">
        <f>F28+C$19</f>
        <v/>
      </c>
      <c r="G29" s="4">
        <f>D29/1000000*52</f>
        <v/>
      </c>
      <c r="H29" s="33">
        <f>G29/$P$4+($C$22/$P$4)</f>
        <v/>
      </c>
      <c r="I29" s="29">
        <f>I$9*$A29</f>
        <v/>
      </c>
      <c r="J29" s="30">
        <f>I29*I$13</f>
        <v/>
      </c>
      <c r="K29" s="30">
        <f>L29*52</f>
        <v/>
      </c>
      <c r="L29" s="31">
        <f>L28+I$19</f>
        <v/>
      </c>
      <c r="M29" s="4">
        <f>J29/1000000*52</f>
        <v/>
      </c>
      <c r="N29" s="33">
        <f>M29/$P$4+($I$22/$P$4)</f>
        <v/>
      </c>
    </row>
    <row r="30" ht="15.75" customHeight="1" s="40">
      <c r="A30" s="39" t="n">
        <v>4</v>
      </c>
      <c r="B30" s="39" t="inlineStr">
        <is>
          <t>startup production</t>
        </is>
      </c>
      <c r="C30" s="29">
        <f>C$9*$A30</f>
        <v/>
      </c>
      <c r="D30" s="30">
        <f>D29+C$15*C$9</f>
        <v/>
      </c>
      <c r="E30" s="30">
        <f>F30*52</f>
        <v/>
      </c>
      <c r="F30" s="31">
        <f>C$17*$A30+C$21</f>
        <v/>
      </c>
      <c r="G30" s="4">
        <f>D30/1000000*52</f>
        <v/>
      </c>
      <c r="H30" s="33">
        <f>G30/$P$4+($C$22/$P$4)</f>
        <v/>
      </c>
      <c r="I30" s="29">
        <f>I$9*$A30</f>
        <v/>
      </c>
      <c r="J30" s="30">
        <f>J29+I$15*I$9</f>
        <v/>
      </c>
      <c r="K30" s="30">
        <f>L30*52</f>
        <v/>
      </c>
      <c r="L30" s="31">
        <f>I$17*$A30+I$21</f>
        <v/>
      </c>
      <c r="M30" s="4">
        <f>J30/1000000*52</f>
        <v/>
      </c>
      <c r="N30" s="33">
        <f>M30/$P$4+($I$22/$P$4)</f>
        <v/>
      </c>
    </row>
    <row r="31" ht="15.75" customHeight="1" s="40">
      <c r="A31" s="39" t="n">
        <v>4</v>
      </c>
      <c r="B31" s="39" t="inlineStr">
        <is>
          <t>full production</t>
        </is>
      </c>
      <c r="C31" s="29">
        <f>C$9*$A31</f>
        <v/>
      </c>
      <c r="D31" s="30">
        <f>C31*C$13</f>
        <v/>
      </c>
      <c r="E31" s="30">
        <f>F31*52</f>
        <v/>
      </c>
      <c r="F31" s="31">
        <f>F30+C$19</f>
        <v/>
      </c>
      <c r="G31" s="4">
        <f>D31/1000000*52</f>
        <v/>
      </c>
      <c r="H31" s="33">
        <f>G31/$P$4+($C$22/$P$4)</f>
        <v/>
      </c>
      <c r="I31" s="29">
        <f>I$9*$A31</f>
        <v/>
      </c>
      <c r="J31" s="30">
        <f>I31*I$13</f>
        <v/>
      </c>
      <c r="K31" s="30">
        <f>L31*52</f>
        <v/>
      </c>
      <c r="L31" s="31">
        <f>L30+I$19</f>
        <v/>
      </c>
      <c r="M31" s="4">
        <f>J31/1000000*52</f>
        <v/>
      </c>
      <c r="N31" s="33">
        <f>M31/$P$4+($I$22/$P$4)</f>
        <v/>
      </c>
    </row>
    <row r="32" ht="15.75" customHeight="1" s="40">
      <c r="A32" s="39" t="n">
        <v>5</v>
      </c>
      <c r="B32" s="39" t="inlineStr">
        <is>
          <t>startup production</t>
        </is>
      </c>
      <c r="C32" s="29">
        <f>C$9*$A32</f>
        <v/>
      </c>
      <c r="D32" s="30">
        <f>D31+C$15*C$9</f>
        <v/>
      </c>
      <c r="E32" s="30">
        <f>F32*52</f>
        <v/>
      </c>
      <c r="F32" s="31">
        <f>C$17*$A32+C$21</f>
        <v/>
      </c>
      <c r="G32" s="4">
        <f>D32/1000000*52</f>
        <v/>
      </c>
      <c r="H32" s="33">
        <f>G32/$P$4+($C$22/$P$4)</f>
        <v/>
      </c>
      <c r="I32" s="29">
        <f>I$9*$A32</f>
        <v/>
      </c>
      <c r="J32" s="30">
        <f>J31+I$15*I$9</f>
        <v/>
      </c>
      <c r="K32" s="30">
        <f>L32*52</f>
        <v/>
      </c>
      <c r="L32" s="31">
        <f>I$17*$A32+I$21</f>
        <v/>
      </c>
      <c r="M32" s="4">
        <f>J32/1000000*52</f>
        <v/>
      </c>
      <c r="N32" s="33">
        <f>M32/$P$4+($I$22/$P$4)</f>
        <v/>
      </c>
    </row>
    <row r="33" ht="15.75" customHeight="1" s="40">
      <c r="A33" s="39" t="n">
        <v>5</v>
      </c>
      <c r="B33" s="39" t="inlineStr">
        <is>
          <t>full production</t>
        </is>
      </c>
      <c r="C33" s="29">
        <f>C$9*$A33</f>
        <v/>
      </c>
      <c r="D33" s="30">
        <f>C33*C$13</f>
        <v/>
      </c>
      <c r="E33" s="30">
        <f>F33*52</f>
        <v/>
      </c>
      <c r="F33" s="31">
        <f>F32+C$19</f>
        <v/>
      </c>
      <c r="G33" s="4">
        <f>D33/1000000*52</f>
        <v/>
      </c>
      <c r="H33" s="33">
        <f>G33/$P$4+($C$22/$P$4)</f>
        <v/>
      </c>
      <c r="I33" s="29">
        <f>I$9*$A33</f>
        <v/>
      </c>
      <c r="J33" s="30">
        <f>I33*I$13</f>
        <v/>
      </c>
      <c r="K33" s="30">
        <f>L33*52</f>
        <v/>
      </c>
      <c r="L33" s="31">
        <f>L32+I$19</f>
        <v/>
      </c>
      <c r="M33" s="4">
        <f>J33/1000000*52</f>
        <v/>
      </c>
      <c r="N33" s="33">
        <f>M33/$P$4+($I$22/$P$4)</f>
        <v/>
      </c>
    </row>
    <row r="34" ht="15.75" customHeight="1" s="40">
      <c r="A34" s="39" t="n">
        <v>6</v>
      </c>
      <c r="B34" s="39" t="inlineStr">
        <is>
          <t>startup production</t>
        </is>
      </c>
      <c r="C34" s="29">
        <f>C$9*$A34</f>
        <v/>
      </c>
      <c r="D34" s="30">
        <f>D33+C$15*C$9</f>
        <v/>
      </c>
      <c r="E34" s="30">
        <f>F34*52</f>
        <v/>
      </c>
      <c r="F34" s="31">
        <f>C$17*$A34+C$21</f>
        <v/>
      </c>
      <c r="G34" s="4">
        <f>D34/1000000*52</f>
        <v/>
      </c>
      <c r="H34" s="33">
        <f>G34/$P$4+($C$22/$P$4)</f>
        <v/>
      </c>
      <c r="I34" s="29">
        <f>I$9*$A34</f>
        <v/>
      </c>
      <c r="J34" s="30">
        <f>J33+I$15*I$9</f>
        <v/>
      </c>
      <c r="K34" s="30">
        <f>L34*52</f>
        <v/>
      </c>
      <c r="L34" s="31">
        <f>I$17*$A34+I$21</f>
        <v/>
      </c>
      <c r="M34" s="4">
        <f>J34/1000000*52</f>
        <v/>
      </c>
      <c r="N34" s="33">
        <f>M34/$P$4+($I$22/$P$4)</f>
        <v/>
      </c>
    </row>
    <row r="35" ht="15.75" customHeight="1" s="40">
      <c r="A35" s="39" t="n">
        <v>6</v>
      </c>
      <c r="B35" s="39" t="inlineStr">
        <is>
          <t>full production</t>
        </is>
      </c>
      <c r="C35" s="29">
        <f>C$9*$A35</f>
        <v/>
      </c>
      <c r="D35" s="30">
        <f>C35*C$13</f>
        <v/>
      </c>
      <c r="E35" s="30">
        <f>F35*52</f>
        <v/>
      </c>
      <c r="F35" s="31">
        <f>F34+C$19</f>
        <v/>
      </c>
      <c r="G35" s="4">
        <f>D35/1000000*52</f>
        <v/>
      </c>
      <c r="H35" s="33">
        <f>G35/$P$4+($C$22/$P$4)</f>
        <v/>
      </c>
      <c r="I35" s="29">
        <f>I$9*$A35</f>
        <v/>
      </c>
      <c r="J35" s="30">
        <f>I35*I$13</f>
        <v/>
      </c>
      <c r="K35" s="30">
        <f>L35*52</f>
        <v/>
      </c>
      <c r="L35" s="31">
        <f>L34+I$19</f>
        <v/>
      </c>
      <c r="M35" s="4">
        <f>J35/1000000*52</f>
        <v/>
      </c>
      <c r="N35" s="33">
        <f>M35/$P$4+($I$22/$P$4)</f>
        <v/>
      </c>
    </row>
    <row r="36" ht="15.75" customHeight="1" s="40">
      <c r="A36" s="39" t="n">
        <v>7</v>
      </c>
      <c r="B36" s="39" t="inlineStr">
        <is>
          <t>startup production</t>
        </is>
      </c>
      <c r="C36" s="29">
        <f>C$9*$A36</f>
        <v/>
      </c>
      <c r="D36" s="30">
        <f>D35+C$15*C$9</f>
        <v/>
      </c>
      <c r="E36" s="30">
        <f>F36*52</f>
        <v/>
      </c>
      <c r="F36" s="31">
        <f>C$17*$A36+C$21</f>
        <v/>
      </c>
      <c r="G36" s="4">
        <f>D36/1000000*52</f>
        <v/>
      </c>
      <c r="H36" s="33">
        <f>G36/$P$4+($C$22/$P$4)</f>
        <v/>
      </c>
      <c r="I36" s="29">
        <f>I$9*$A36</f>
        <v/>
      </c>
      <c r="J36" s="30">
        <f>J35+I$15*I$9</f>
        <v/>
      </c>
      <c r="K36" s="30">
        <f>L36*52</f>
        <v/>
      </c>
      <c r="L36" s="31">
        <f>I$17*$A36+I$21</f>
        <v/>
      </c>
      <c r="M36" s="4">
        <f>J36/1000000*52</f>
        <v/>
      </c>
      <c r="N36" s="33">
        <f>M36/$P$4+($I$22/$P$4)</f>
        <v/>
      </c>
    </row>
    <row r="37" ht="15.75" customHeight="1" s="40">
      <c r="A37" s="39" t="n">
        <v>7</v>
      </c>
      <c r="B37" s="39" t="inlineStr">
        <is>
          <t>full production</t>
        </is>
      </c>
      <c r="C37" s="29">
        <f>C$9*$A37</f>
        <v/>
      </c>
      <c r="D37" s="30">
        <f>C37*C$13</f>
        <v/>
      </c>
      <c r="E37" s="30">
        <f>F37*52</f>
        <v/>
      </c>
      <c r="F37" s="31">
        <f>F36+C$19</f>
        <v/>
      </c>
      <c r="G37" s="4">
        <f>D37/1000000*52</f>
        <v/>
      </c>
      <c r="H37" s="33">
        <f>G37/$P$4+($C$22/$P$4)</f>
        <v/>
      </c>
      <c r="I37" s="29">
        <f>I$9*$A37</f>
        <v/>
      </c>
      <c r="J37" s="30">
        <f>I37*I$13</f>
        <v/>
      </c>
      <c r="K37" s="30">
        <f>L37*52</f>
        <v/>
      </c>
      <c r="L37" s="31">
        <f>L36+I$19</f>
        <v/>
      </c>
      <c r="M37" s="4">
        <f>J37/1000000*52</f>
        <v/>
      </c>
      <c r="N37" s="33">
        <f>M37/$P$4+($I$22/$P$4)</f>
        <v/>
      </c>
    </row>
    <row r="38" ht="15.75" customHeight="1" s="40">
      <c r="A38" s="39" t="n">
        <v>8</v>
      </c>
      <c r="B38" s="39" t="inlineStr">
        <is>
          <t>startup production</t>
        </is>
      </c>
      <c r="C38" s="29">
        <f>C$9*$A38</f>
        <v/>
      </c>
      <c r="D38" s="30">
        <f>D37+C$15*C$9</f>
        <v/>
      </c>
      <c r="E38" s="30">
        <f>F38*52</f>
        <v/>
      </c>
      <c r="F38" s="31">
        <f>C$17*$A38+C$21</f>
        <v/>
      </c>
      <c r="G38" s="4">
        <f>D38/1000000*52</f>
        <v/>
      </c>
      <c r="H38" s="33">
        <f>G38/$P$4+($C$22/$P$4)</f>
        <v/>
      </c>
      <c r="I38" s="29">
        <f>I$9*$A38</f>
        <v/>
      </c>
      <c r="J38" s="30">
        <f>J37+I$15*I$9</f>
        <v/>
      </c>
      <c r="K38" s="30">
        <f>L38*52</f>
        <v/>
      </c>
      <c r="L38" s="31">
        <f>I$17*$A38+I$21</f>
        <v/>
      </c>
      <c r="M38" s="4">
        <f>J38/1000000*52</f>
        <v/>
      </c>
      <c r="N38" s="33">
        <f>M38/$P$4+($I$22/$P$4)</f>
        <v/>
      </c>
    </row>
    <row r="39" ht="15.75" customHeight="1" s="40">
      <c r="A39" s="39" t="n">
        <v>8</v>
      </c>
      <c r="B39" s="39" t="inlineStr">
        <is>
          <t>full production</t>
        </is>
      </c>
      <c r="C39" s="29">
        <f>C$9*$A39</f>
        <v/>
      </c>
      <c r="D39" s="30">
        <f>C39*C$13</f>
        <v/>
      </c>
      <c r="E39" s="30">
        <f>F39*52</f>
        <v/>
      </c>
      <c r="F39" s="31">
        <f>F38+C$19</f>
        <v/>
      </c>
      <c r="G39" s="4">
        <f>D39/1000000*52</f>
        <v/>
      </c>
      <c r="H39" s="33">
        <f>G39/$P$4+($C$22/$P$4)</f>
        <v/>
      </c>
      <c r="I39" s="29">
        <f>I$9*$A39</f>
        <v/>
      </c>
      <c r="J39" s="30">
        <f>I39*I$13</f>
        <v/>
      </c>
      <c r="K39" s="30">
        <f>L39*52</f>
        <v/>
      </c>
      <c r="L39" s="31">
        <f>L38+I$19</f>
        <v/>
      </c>
      <c r="M39" s="4">
        <f>J39/1000000*52</f>
        <v/>
      </c>
      <c r="N39" s="33">
        <f>M39/$P$4+($I$22/$P$4)</f>
        <v/>
      </c>
    </row>
    <row r="40" ht="15.75" customHeight="1" s="40">
      <c r="A40" s="39" t="n">
        <v>9</v>
      </c>
      <c r="B40" s="39" t="inlineStr">
        <is>
          <t>startup production</t>
        </is>
      </c>
      <c r="C40" s="29">
        <f>C$9*$A40</f>
        <v/>
      </c>
      <c r="D40" s="30">
        <f>D39+C$15*C$9</f>
        <v/>
      </c>
      <c r="E40" s="30">
        <f>F40*52</f>
        <v/>
      </c>
      <c r="F40" s="31">
        <f>C$17*$A40+C$21</f>
        <v/>
      </c>
      <c r="G40" s="4">
        <f>D40/1000000*52</f>
        <v/>
      </c>
      <c r="H40" s="33">
        <f>G40/$P$4+($C$22/$P$4)</f>
        <v/>
      </c>
      <c r="I40" s="29">
        <f>I$9*$A40</f>
        <v/>
      </c>
      <c r="J40" s="30">
        <f>J39+I$15*I$9</f>
        <v/>
      </c>
      <c r="K40" s="30">
        <f>L40*52</f>
        <v/>
      </c>
      <c r="L40" s="31">
        <f>I$17*$A40+I$21</f>
        <v/>
      </c>
      <c r="M40" s="4">
        <f>J40/1000000*52</f>
        <v/>
      </c>
      <c r="N40" s="33">
        <f>M40/$P$4+($I$22/$P$4)</f>
        <v/>
      </c>
    </row>
    <row r="41" ht="15.75" customHeight="1" s="40">
      <c r="A41" s="39" t="n">
        <v>9</v>
      </c>
      <c r="B41" s="39" t="inlineStr">
        <is>
          <t>full production</t>
        </is>
      </c>
      <c r="C41" s="29">
        <f>C$9*$A41</f>
        <v/>
      </c>
      <c r="D41" s="30">
        <f>C41*C$13</f>
        <v/>
      </c>
      <c r="E41" s="30">
        <f>F41*52</f>
        <v/>
      </c>
      <c r="F41" s="31">
        <f>F40+C$19</f>
        <v/>
      </c>
      <c r="G41" s="4">
        <f>D41/1000000*52</f>
        <v/>
      </c>
      <c r="H41" s="33">
        <f>G41/$P$4+($C$22/$P$4)</f>
        <v/>
      </c>
      <c r="I41" s="29">
        <f>I$9*$A41</f>
        <v/>
      </c>
      <c r="J41" s="30">
        <f>I41*I$13</f>
        <v/>
      </c>
      <c r="K41" s="30">
        <f>L41*52</f>
        <v/>
      </c>
      <c r="L41" s="31">
        <f>L40+I$19</f>
        <v/>
      </c>
      <c r="M41" s="4">
        <f>J41/1000000*52</f>
        <v/>
      </c>
      <c r="N41" s="33">
        <f>M41/$P$4+($I$22/$P$4)</f>
        <v/>
      </c>
    </row>
    <row r="42" ht="15.75" customHeight="1" s="40">
      <c r="A42" s="39" t="n">
        <v>10</v>
      </c>
      <c r="B42" s="39" t="inlineStr">
        <is>
          <t>startup production</t>
        </is>
      </c>
      <c r="C42" s="29">
        <f>C$9*$A42</f>
        <v/>
      </c>
      <c r="D42" s="30">
        <f>D41+C$15*C$9</f>
        <v/>
      </c>
      <c r="E42" s="30">
        <f>F42*52</f>
        <v/>
      </c>
      <c r="F42" s="31">
        <f>C$17*$A42+C$21</f>
        <v/>
      </c>
      <c r="G42" s="4">
        <f>D42/1000000*52</f>
        <v/>
      </c>
      <c r="H42" s="33">
        <f>G42/$P$4+($C$22/$P$4)</f>
        <v/>
      </c>
      <c r="I42" s="29">
        <f>I$9*$A42</f>
        <v/>
      </c>
      <c r="J42" s="30">
        <f>J41+I$15*I$9</f>
        <v/>
      </c>
      <c r="K42" s="30">
        <f>L42*52</f>
        <v/>
      </c>
      <c r="L42" s="31">
        <f>I$17*$A42+I$21</f>
        <v/>
      </c>
      <c r="M42" s="4">
        <f>J42/1000000*52</f>
        <v/>
      </c>
      <c r="N42" s="33">
        <f>M42/$P$4+($I$22/$P$4)</f>
        <v/>
      </c>
    </row>
    <row r="43" ht="15.75" customHeight="1" s="40">
      <c r="A43" s="39" t="n">
        <v>10</v>
      </c>
      <c r="B43" s="39" t="inlineStr">
        <is>
          <t>full production</t>
        </is>
      </c>
      <c r="C43" s="29">
        <f>C$9*$A43</f>
        <v/>
      </c>
      <c r="D43" s="30">
        <f>C43*C$13</f>
        <v/>
      </c>
      <c r="E43" s="30">
        <f>F43*52</f>
        <v/>
      </c>
      <c r="F43" s="31">
        <f>F42+C$19</f>
        <v/>
      </c>
      <c r="G43" s="4">
        <f>D43/1000000*52</f>
        <v/>
      </c>
      <c r="H43" s="33">
        <f>G43/$P$4+($C$22/$P$4)</f>
        <v/>
      </c>
      <c r="I43" s="29">
        <f>I$9*$A43</f>
        <v/>
      </c>
      <c r="J43" s="30">
        <f>I43*I$13</f>
        <v/>
      </c>
      <c r="K43" s="30">
        <f>L43*52</f>
        <v/>
      </c>
      <c r="L43" s="31">
        <f>L42+I$19</f>
        <v/>
      </c>
      <c r="M43" s="4">
        <f>J43/1000000*52</f>
        <v/>
      </c>
      <c r="N43" s="33">
        <f>M43/$P$4+($I$22/$P$4)</f>
        <v/>
      </c>
    </row>
    <row r="44" ht="15.75" customHeight="1" s="40">
      <c r="A44" s="39" t="n">
        <v>11</v>
      </c>
      <c r="B44" s="39" t="inlineStr">
        <is>
          <t>startup production</t>
        </is>
      </c>
      <c r="C44" s="29">
        <f>C$9*$A44</f>
        <v/>
      </c>
      <c r="D44" s="30">
        <f>D43+C$15*C$9</f>
        <v/>
      </c>
      <c r="E44" s="30">
        <f>F44*52</f>
        <v/>
      </c>
      <c r="F44" s="31">
        <f>C$17*$A44+C$21</f>
        <v/>
      </c>
      <c r="G44" s="4">
        <f>D44/1000000*52</f>
        <v/>
      </c>
      <c r="H44" s="33">
        <f>G44/$P$4+($C$22/$P$4)</f>
        <v/>
      </c>
      <c r="I44" s="29">
        <f>I$9*$A44</f>
        <v/>
      </c>
      <c r="J44" s="30">
        <f>J43+I$15*I$9</f>
        <v/>
      </c>
      <c r="K44" s="30">
        <f>L44*52</f>
        <v/>
      </c>
      <c r="L44" s="31">
        <f>I$17*$A44+I$21</f>
        <v/>
      </c>
      <c r="M44" s="4">
        <f>J44/1000000*52</f>
        <v/>
      </c>
      <c r="N44" s="33">
        <f>M44/$P$4+($I$22/$P$4)</f>
        <v/>
      </c>
    </row>
    <row r="45" ht="15.75" customHeight="1" s="40">
      <c r="A45" s="39" t="n">
        <v>11</v>
      </c>
      <c r="B45" s="39" t="inlineStr">
        <is>
          <t>full production</t>
        </is>
      </c>
      <c r="C45" s="29">
        <f>C$9*$A45</f>
        <v/>
      </c>
      <c r="D45" s="30">
        <f>C45*C$13</f>
        <v/>
      </c>
      <c r="E45" s="30">
        <f>F45*52</f>
        <v/>
      </c>
      <c r="F45" s="31">
        <f>F44+C$19</f>
        <v/>
      </c>
      <c r="G45" s="4">
        <f>D45/1000000*52</f>
        <v/>
      </c>
      <c r="H45" s="33">
        <f>G45/$P$4+($C$22/$P$4)</f>
        <v/>
      </c>
      <c r="I45" s="29">
        <f>I$9*$A45</f>
        <v/>
      </c>
      <c r="J45" s="30">
        <f>I45*I$13</f>
        <v/>
      </c>
      <c r="K45" s="30">
        <f>L45*52</f>
        <v/>
      </c>
      <c r="L45" s="31">
        <f>L44+I$19</f>
        <v/>
      </c>
      <c r="M45" s="4">
        <f>J45/1000000*52</f>
        <v/>
      </c>
      <c r="N45" s="33">
        <f>M45/$P$4+($I$22/$P$4)</f>
        <v/>
      </c>
    </row>
    <row r="46" ht="15.75" customHeight="1" s="40">
      <c r="A46" s="39" t="n">
        <v>12</v>
      </c>
      <c r="B46" s="39" t="inlineStr">
        <is>
          <t>startup production</t>
        </is>
      </c>
      <c r="C46" s="29">
        <f>C$9*$A46</f>
        <v/>
      </c>
      <c r="D46" s="30">
        <f>D45+C$15*C$9</f>
        <v/>
      </c>
      <c r="E46" s="30">
        <f>F46*52</f>
        <v/>
      </c>
      <c r="F46" s="31">
        <f>C$17*$A46+C$21</f>
        <v/>
      </c>
      <c r="G46" s="4">
        <f>D46/1000000*52</f>
        <v/>
      </c>
      <c r="H46" s="33">
        <f>G46/$P$4+($C$22/$P$4)</f>
        <v/>
      </c>
      <c r="I46" s="29">
        <f>I$9*$A46</f>
        <v/>
      </c>
      <c r="J46" s="30">
        <f>J45+I$15*I$9</f>
        <v/>
      </c>
      <c r="K46" s="30">
        <f>L46*52</f>
        <v/>
      </c>
      <c r="L46" s="31">
        <f>I$17*$A46+I$21</f>
        <v/>
      </c>
      <c r="M46" s="4">
        <f>J46/1000000*52</f>
        <v/>
      </c>
      <c r="N46" s="33">
        <f>M46/$P$4+($I$22/$P$4)</f>
        <v/>
      </c>
    </row>
    <row r="47" ht="15.75" customHeight="1" s="40">
      <c r="A47" s="39" t="n">
        <v>12</v>
      </c>
      <c r="B47" s="39" t="inlineStr">
        <is>
          <t>full production</t>
        </is>
      </c>
      <c r="C47" s="29">
        <f>C$9*$A47</f>
        <v/>
      </c>
      <c r="D47" s="30">
        <f>C47*C$13</f>
        <v/>
      </c>
      <c r="E47" s="30">
        <f>F47*52</f>
        <v/>
      </c>
      <c r="F47" s="31">
        <f>F46+C$19</f>
        <v/>
      </c>
      <c r="G47" s="4">
        <f>D47/1000000*52</f>
        <v/>
      </c>
      <c r="H47" s="33">
        <f>G47/$P$4+($C$22/$P$4)</f>
        <v/>
      </c>
      <c r="I47" s="29">
        <f>I$9*$A47</f>
        <v/>
      </c>
      <c r="J47" s="30">
        <f>I47*I$13</f>
        <v/>
      </c>
      <c r="K47" s="30">
        <f>L47*52</f>
        <v/>
      </c>
      <c r="L47" s="31">
        <f>L46+I$19</f>
        <v/>
      </c>
      <c r="M47" s="4">
        <f>J47/1000000*52</f>
        <v/>
      </c>
      <c r="N47" s="33">
        <f>M47/$P$4+($I$22/$P$4)</f>
        <v/>
      </c>
    </row>
    <row r="48" ht="15.75" customHeight="1" s="40">
      <c r="C48" s="45" t="n"/>
      <c r="D48" s="39" t="n"/>
      <c r="E48" s="39" t="n"/>
      <c r="F48" s="35" t="n"/>
      <c r="G48" s="39" t="n"/>
      <c r="H48" s="39" t="n"/>
      <c r="I48" s="45" t="n"/>
      <c r="J48" s="39" t="n"/>
      <c r="K48" s="39" t="n"/>
      <c r="L48" s="35" t="n"/>
      <c r="M48" s="39" t="n"/>
      <c r="N48" s="39" t="n"/>
      <c r="U48" t="inlineStr">
        <is>
          <t>MULTIPLE CHART DATA (includes pre-disruption = 1)</t>
        </is>
      </c>
    </row>
    <row r="49" ht="15.75" customHeight="1" s="40">
      <c r="C49" s="45" t="inlineStr">
        <is>
          <t>Plants</t>
        </is>
      </c>
      <c r="D49" s="39" t="inlineStr">
        <is>
          <t>tonnes/week</t>
        </is>
      </c>
      <c r="E49" s="39" t="inlineStr">
        <is>
          <t>Weeks</t>
        </is>
      </c>
      <c r="F49" s="35" t="inlineStr">
        <is>
          <t>Years</t>
        </is>
      </c>
      <c r="G49" s="39" t="inlineStr">
        <is>
          <t>Regular Construction</t>
        </is>
      </c>
      <c r="H49" s="39" t="inlineStr">
        <is>
          <t>Regular Construction</t>
        </is>
      </c>
      <c r="I49" s="45" t="inlineStr">
        <is>
          <t>Plants</t>
        </is>
      </c>
      <c r="J49" s="39" t="inlineStr">
        <is>
          <t>tonnes/week</t>
        </is>
      </c>
      <c r="K49" s="39" t="inlineStr">
        <is>
          <t>Weeks</t>
        </is>
      </c>
      <c r="L49" s="35" t="inlineStr">
        <is>
          <t>Years</t>
        </is>
      </c>
      <c r="M49" s="39" t="inlineStr">
        <is>
          <t>Fast Construction</t>
        </is>
      </c>
      <c r="N49" s="39" t="inlineStr">
        <is>
          <t>Fast Construction</t>
        </is>
      </c>
      <c r="U49" t="inlineStr">
        <is>
          <t>Years</t>
        </is>
      </c>
      <c r="V49" t="inlineStr">
        <is>
          <t>Regular Construction</t>
        </is>
      </c>
      <c r="W49" t="inlineStr">
        <is>
          <t>Fast Construction</t>
        </is>
      </c>
    </row>
    <row r="50" ht="15.75" customHeight="1" s="40">
      <c r="C50" s="24" t="n"/>
      <c r="D50" s="4" t="n"/>
      <c r="E50" s="39" t="n"/>
      <c r="F50" s="35" t="n"/>
      <c r="G50" s="39" t="inlineStr">
        <is>
          <t>new megatonnes/year</t>
        </is>
      </c>
      <c r="H50" s="13" t="inlineStr">
        <is>
          <t>Multiple of Current P Production</t>
        </is>
      </c>
      <c r="I50" s="24" t="n"/>
      <c r="J50" s="4" t="n"/>
      <c r="K50" s="39" t="n"/>
      <c r="L50" s="35" t="n"/>
      <c r="M50" s="39" t="inlineStr">
        <is>
          <t>new megatonnes/year</t>
        </is>
      </c>
      <c r="N50" s="13" t="inlineStr">
        <is>
          <t>Multiple of Current P Production</t>
        </is>
      </c>
      <c r="U50" t="n">
        <v>-0.25</v>
      </c>
      <c r="V50" t="n">
        <v>1</v>
      </c>
      <c r="W50" t="n">
        <v>1</v>
      </c>
    </row>
    <row r="51" ht="15.75" customHeight="1" s="40">
      <c r="C51" s="36">
        <f>_xlfn.IFS(E51&lt;E$24,0,E51&lt;E$26,C$24,E51&lt;E$28,C$26,E51&lt;E$30,C$28,E51&lt;E$32,C$30,E51&lt;E$34,C$32,E51&gt;=E$34,C$34)</f>
        <v/>
      </c>
      <c r="D51" s="37">
        <f>_xlfn.IFS(E51&lt;E$24,0,E51&lt;E$25,D$24,E51&lt;E$26,D$25,E51&lt;E$27,D$26,E51&lt;E$28,D$27,E51&lt;E$29,D$28,E51&lt;E$30,D$29,E51&lt;E$31,D$30,E51&lt;E$32,D$31,E51&lt;E$33,D$32,E51&lt;E$34,D$33,E51&lt;E$35,D$34,E51&gt;=E$35,D$35)</f>
        <v/>
      </c>
      <c r="E51" s="38" t="n">
        <v>1</v>
      </c>
      <c r="F51" s="31" t="n">
        <v>0</v>
      </c>
      <c r="G51" s="39">
        <f>D51/1000000*52</f>
        <v/>
      </c>
      <c r="H51" s="33">
        <f>G51/$P$4+($C$22/$P$4)</f>
        <v/>
      </c>
      <c r="I51" s="36">
        <f>_xlfn.IFS(K51&lt;K$24,0,K51&lt;K$26,I$24,K51&lt;K$28,I$26,K51&lt;K$30,I$28,K51&lt;K$32,I$30,K51&lt;K$34,I$32,K51&lt;K$36,I$34,K51&lt;K$38,I$36,K51&lt;K$40,I$38,K51&lt;K$42,I$40,K51&lt;K$44,I$42,K51&lt;K$46,I$44,K51&gt;=K$46,I$46)</f>
        <v/>
      </c>
      <c r="J51" s="37">
        <f>_xlfn.IFS(K51&lt;K$24,0,K51&lt;K$25,J$24,K51&lt;K$26,J$25,K51&lt;K$27,J$26,K51&lt;K$28,J$27,K51&lt;K$29,J$28,K51&lt;K$30,J$29,K51&lt;K$31,J$30,K51&lt;K$32,J$31,K51&lt;K$33,J$32,K51&lt;K$34,J$33,K51&lt;K$35,J$34,K51&lt;K$36,J$35,K51&lt;K$37,J$36,K51&lt;K$38,J$37,K51&lt;K$39,J$38,K51&lt;K$40,J$39,K51&lt;K$41,J$40,K51&lt;K$42,J$41,K51&lt;K$43,J$42,K51&lt;K$44,J$43,K51&lt;K$45,J$44,K51&lt;K$46,J$45,K51&lt;K$47,J$46,K51&gt;=K$47,J$47)</f>
        <v/>
      </c>
      <c r="K51" s="38" t="n">
        <v>1</v>
      </c>
      <c r="L51" s="31" t="n">
        <v>0</v>
      </c>
      <c r="M51" s="39">
        <f>J51/1000000*52</f>
        <v/>
      </c>
      <c r="N51" s="33">
        <f>M51/$P$4+($I$22/$P$4)</f>
        <v/>
      </c>
      <c r="U51" t="n">
        <v>0</v>
      </c>
      <c r="V51" t="n">
        <v>1</v>
      </c>
      <c r="W51" t="n">
        <v>1</v>
      </c>
    </row>
    <row r="52" ht="15.75" customHeight="1" s="40">
      <c r="C52" s="36">
        <f>_xlfn.IFS(E52&lt;E$24,0,E52&lt;E$26,C$24,E52&lt;E$28,C$26,E52&lt;E$30,C$28,E52&lt;E$32,C$30,E52&lt;E$34,C$32,E52&gt;=E$34,C$34)</f>
        <v/>
      </c>
      <c r="D52" s="37">
        <f>_xlfn.IFS(E52&lt;E$24,0,E52&lt;E$25,D$24,E52&lt;E$26,D$25,E52&lt;E$27,D$26,E52&lt;E$28,D$27,E52&lt;E$29,D$28,E52&lt;E$30,D$29,E52&lt;E$31,D$30,E52&lt;E$32,D$31,E52&lt;E$33,D$32,E52&lt;E$34,D$33,E52&lt;E$35,D$34,E52&gt;=E$35,D$35)</f>
        <v/>
      </c>
      <c r="E52" s="38" t="n">
        <v>2</v>
      </c>
      <c r="F52" s="31">
        <f>E52/52</f>
        <v/>
      </c>
      <c r="G52" s="39">
        <f>D52/1000000*52</f>
        <v/>
      </c>
      <c r="H52" s="33">
        <f>G52/$P$4+($C$22/$P$4)</f>
        <v/>
      </c>
      <c r="I52" s="36">
        <f>_xlfn.IFS(K52&lt;K$24,0,K52&lt;K$26,I$24,K52&lt;K$28,I$26,K52&lt;K$30,I$28,K52&lt;K$32,I$30,K52&lt;K$34,I$32,K52&lt;K$36,I$34,K52&lt;K$38,I$36,K52&lt;K$40,I$38,K52&lt;K$42,I$40,K52&lt;K$44,I$42,K52&lt;K$46,I$44,K52&gt;=K$46,I$46)</f>
        <v/>
      </c>
      <c r="J52" s="37">
        <f>_xlfn.IFS(K52&lt;K$24,0,K52&lt;K$25,J$24,K52&lt;K$26,J$25,K52&lt;K$27,J$26,K52&lt;K$28,J$27,K52&lt;K$29,J$28,K52&lt;K$30,J$29,K52&lt;K$31,J$30,K52&lt;K$32,J$31,K52&lt;K$33,J$32,K52&lt;K$34,J$33,K52&lt;K$35,J$34,K52&lt;K$36,J$35,K52&lt;K$37,J$36,K52&lt;K$38,J$37,K52&lt;K$39,J$38,K52&lt;K$40,J$39,K52&lt;K$41,J$40,K52&lt;K$42,J$41,K52&lt;K$43,J$42,K52&lt;K$44,J$43,K52&lt;K$45,J$44,K52&lt;K$46,J$45,K52&lt;K$47,J$46,K52&gt;=K$47,J$47)</f>
        <v/>
      </c>
      <c r="K52" s="38" t="n">
        <v>2</v>
      </c>
      <c r="L52" s="31">
        <f>K52/52</f>
        <v/>
      </c>
      <c r="M52" s="39">
        <f>J52/1000000*52</f>
        <v/>
      </c>
      <c r="N52" s="33">
        <f>M52/$P$4+($I$22/$P$4)</f>
        <v/>
      </c>
      <c r="U52">
        <f>F51</f>
        <v/>
      </c>
      <c r="V52">
        <f>H51</f>
        <v/>
      </c>
      <c r="W52">
        <f>N51</f>
        <v/>
      </c>
    </row>
    <row r="53" ht="15.75" customHeight="1" s="40">
      <c r="C53" s="36">
        <f>_xlfn.IFS(E53&lt;E$24,0,E53&lt;E$26,C$24,E53&lt;E$28,C$26,E53&lt;E$30,C$28,E53&lt;E$32,C$30,E53&lt;E$34,C$32,E53&gt;=E$34,C$34)</f>
        <v/>
      </c>
      <c r="D53" s="37">
        <f>_xlfn.IFS(E53&lt;E$24,0,E53&lt;E$25,D$24,E53&lt;E$26,D$25,E53&lt;E$27,D$26,E53&lt;E$28,D$27,E53&lt;E$29,D$28,E53&lt;E$30,D$29,E53&lt;E$31,D$30,E53&lt;E$32,D$31,E53&lt;E$33,D$32,E53&lt;E$34,D$33,E53&lt;E$35,D$34,E53&gt;=E$35,D$35)</f>
        <v/>
      </c>
      <c r="E53" s="38" t="n">
        <v>3</v>
      </c>
      <c r="F53" s="31">
        <f>E53/52</f>
        <v/>
      </c>
      <c r="G53" s="39">
        <f>D53/1000000*52</f>
        <v/>
      </c>
      <c r="H53" s="33">
        <f>G53/$P$4+($C$22/$P$4)</f>
        <v/>
      </c>
      <c r="I53" s="36">
        <f>_xlfn.IFS(K53&lt;K$24,0,K53&lt;K$26,I$24,K53&lt;K$28,I$26,K53&lt;K$30,I$28,K53&lt;K$32,I$30,K53&lt;K$34,I$32,K53&lt;K$36,I$34,K53&lt;K$38,I$36,K53&lt;K$40,I$38,K53&lt;K$42,I$40,K53&lt;K$44,I$42,K53&lt;K$46,I$44,K53&gt;=K$46,I$46)</f>
        <v/>
      </c>
      <c r="J53" s="37">
        <f>_xlfn.IFS(K53&lt;K$24,0,K53&lt;K$25,J$24,K53&lt;K$26,J$25,K53&lt;K$27,J$26,K53&lt;K$28,J$27,K53&lt;K$29,J$28,K53&lt;K$30,J$29,K53&lt;K$31,J$30,K53&lt;K$32,J$31,K53&lt;K$33,J$32,K53&lt;K$34,J$33,K53&lt;K$35,J$34,K53&lt;K$36,J$35,K53&lt;K$37,J$36,K53&lt;K$38,J$37,K53&lt;K$39,J$38,K53&lt;K$40,J$39,K53&lt;K$41,J$40,K53&lt;K$42,J$41,K53&lt;K$43,J$42,K53&lt;K$44,J$43,K53&lt;K$45,J$44,K53&lt;K$46,J$45,K53&lt;K$47,J$46,K53&gt;=K$47,J$47)</f>
        <v/>
      </c>
      <c r="K53" s="38" t="n">
        <v>3</v>
      </c>
      <c r="L53" s="31">
        <f>K53/52</f>
        <v/>
      </c>
      <c r="M53" s="39">
        <f>J53/1000000*52</f>
        <v/>
      </c>
      <c r="N53" s="33">
        <f>M53/$P$4+($I$22/$P$4)</f>
        <v/>
      </c>
      <c r="U53">
        <f>F52</f>
        <v/>
      </c>
      <c r="V53">
        <f>H52</f>
        <v/>
      </c>
      <c r="W53">
        <f>N52</f>
        <v/>
      </c>
    </row>
    <row r="54" ht="15.75" customHeight="1" s="40">
      <c r="C54" s="36">
        <f>_xlfn.IFS(E54&lt;E$24,0,E54&lt;E$26,C$24,E54&lt;E$28,C$26,E54&lt;E$30,C$28,E54&lt;E$32,C$30,E54&lt;E$34,C$32,E54&gt;=E$34,C$34)</f>
        <v/>
      </c>
      <c r="D54" s="37">
        <f>_xlfn.IFS(E54&lt;E$24,0,E54&lt;E$25,D$24,E54&lt;E$26,D$25,E54&lt;E$27,D$26,E54&lt;E$28,D$27,E54&lt;E$29,D$28,E54&lt;E$30,D$29,E54&lt;E$31,D$30,E54&lt;E$32,D$31,E54&lt;E$33,D$32,E54&lt;E$34,D$33,E54&lt;E$35,D$34,E54&gt;=E$35,D$35)</f>
        <v/>
      </c>
      <c r="E54" s="38" t="n">
        <v>4</v>
      </c>
      <c r="F54" s="31">
        <f>E54/52</f>
        <v/>
      </c>
      <c r="G54" s="39">
        <f>D54/1000000*52</f>
        <v/>
      </c>
      <c r="H54" s="33">
        <f>G54/$P$4+($C$22/$P$4)</f>
        <v/>
      </c>
      <c r="I54" s="36">
        <f>_xlfn.IFS(K54&lt;K$24,0,K54&lt;K$26,I$24,K54&lt;K$28,I$26,K54&lt;K$30,I$28,K54&lt;K$32,I$30,K54&lt;K$34,I$32,K54&lt;K$36,I$34,K54&lt;K$38,I$36,K54&lt;K$40,I$38,K54&lt;K$42,I$40,K54&lt;K$44,I$42,K54&lt;K$46,I$44,K54&gt;=K$46,I$46)</f>
        <v/>
      </c>
      <c r="J54" s="37">
        <f>_xlfn.IFS(K54&lt;K$24,0,K54&lt;K$25,J$24,K54&lt;K$26,J$25,K54&lt;K$27,J$26,K54&lt;K$28,J$27,K54&lt;K$29,J$28,K54&lt;K$30,J$29,K54&lt;K$31,J$30,K54&lt;K$32,J$31,K54&lt;K$33,J$32,K54&lt;K$34,J$33,K54&lt;K$35,J$34,K54&lt;K$36,J$35,K54&lt;K$37,J$36,K54&lt;K$38,J$37,K54&lt;K$39,J$38,K54&lt;K$40,J$39,K54&lt;K$41,J$40,K54&lt;K$42,J$41,K54&lt;K$43,J$42,K54&lt;K$44,J$43,K54&lt;K$45,J$44,K54&lt;K$46,J$45,K54&lt;K$47,J$46,K54&gt;=K$47,J$47)</f>
        <v/>
      </c>
      <c r="K54" s="38" t="n">
        <v>4</v>
      </c>
      <c r="L54" s="31">
        <f>K54/52</f>
        <v/>
      </c>
      <c r="M54" s="39">
        <f>J54/1000000*52</f>
        <v/>
      </c>
      <c r="N54" s="33">
        <f>M54/$P$4+($I$22/$P$4)</f>
        <v/>
      </c>
      <c r="U54">
        <f>F53</f>
        <v/>
      </c>
      <c r="V54">
        <f>H53</f>
        <v/>
      </c>
      <c r="W54">
        <f>N53</f>
        <v/>
      </c>
    </row>
    <row r="55" ht="15.75" customHeight="1" s="40">
      <c r="C55" s="36">
        <f>_xlfn.IFS(E55&lt;E$24,0,E55&lt;E$26,C$24,E55&lt;E$28,C$26,E55&lt;E$30,C$28,E55&lt;E$32,C$30,E55&lt;E$34,C$32,E55&gt;=E$34,C$34)</f>
        <v/>
      </c>
      <c r="D55" s="37">
        <f>_xlfn.IFS(E55&lt;E$24,0,E55&lt;E$25,D$24,E55&lt;E$26,D$25,E55&lt;E$27,D$26,E55&lt;E$28,D$27,E55&lt;E$29,D$28,E55&lt;E$30,D$29,E55&lt;E$31,D$30,E55&lt;E$32,D$31,E55&lt;E$33,D$32,E55&lt;E$34,D$33,E55&lt;E$35,D$34,E55&gt;=E$35,D$35)</f>
        <v/>
      </c>
      <c r="E55" s="38" t="n">
        <v>5</v>
      </c>
      <c r="F55" s="31">
        <f>E55/52</f>
        <v/>
      </c>
      <c r="G55" s="39">
        <f>D55/1000000*52</f>
        <v/>
      </c>
      <c r="H55" s="33">
        <f>G55/$P$4+($C$22/$P$4)</f>
        <v/>
      </c>
      <c r="I55" s="36">
        <f>_xlfn.IFS(K55&lt;K$24,0,K55&lt;K$26,I$24,K55&lt;K$28,I$26,K55&lt;K$30,I$28,K55&lt;K$32,I$30,K55&lt;K$34,I$32,K55&lt;K$36,I$34,K55&lt;K$38,I$36,K55&lt;K$40,I$38,K55&lt;K$42,I$40,K55&lt;K$44,I$42,K55&lt;K$46,I$44,K55&gt;=K$46,I$46)</f>
        <v/>
      </c>
      <c r="J55" s="37">
        <f>_xlfn.IFS(K55&lt;K$24,0,K55&lt;K$25,J$24,K55&lt;K$26,J$25,K55&lt;K$27,J$26,K55&lt;K$28,J$27,K55&lt;K$29,J$28,K55&lt;K$30,J$29,K55&lt;K$31,J$30,K55&lt;K$32,J$31,K55&lt;K$33,J$32,K55&lt;K$34,J$33,K55&lt;K$35,J$34,K55&lt;K$36,J$35,K55&lt;K$37,J$36,K55&lt;K$38,J$37,K55&lt;K$39,J$38,K55&lt;K$40,J$39,K55&lt;K$41,J$40,K55&lt;K$42,J$41,K55&lt;K$43,J$42,K55&lt;K$44,J$43,K55&lt;K$45,J$44,K55&lt;K$46,J$45,K55&lt;K$47,J$46,K55&gt;=K$47,J$47)</f>
        <v/>
      </c>
      <c r="K55" s="38" t="n">
        <v>5</v>
      </c>
      <c r="L55" s="31">
        <f>K55/52</f>
        <v/>
      </c>
      <c r="M55" s="39">
        <f>J55/1000000*52</f>
        <v/>
      </c>
      <c r="N55" s="33">
        <f>M55/$P$4+($I$22/$P$4)</f>
        <v/>
      </c>
      <c r="U55">
        <f>F54</f>
        <v/>
      </c>
      <c r="V55">
        <f>H54</f>
        <v/>
      </c>
      <c r="W55">
        <f>N54</f>
        <v/>
      </c>
    </row>
    <row r="56" ht="15.75" customHeight="1" s="40">
      <c r="C56" s="36">
        <f>_xlfn.IFS(E56&lt;E$24,0,E56&lt;E$26,C$24,E56&lt;E$28,C$26,E56&lt;E$30,C$28,E56&lt;E$32,C$30,E56&lt;E$34,C$32,E56&gt;=E$34,C$34)</f>
        <v/>
      </c>
      <c r="D56" s="37">
        <f>_xlfn.IFS(E56&lt;E$24,0,E56&lt;E$25,D$24,E56&lt;E$26,D$25,E56&lt;E$27,D$26,E56&lt;E$28,D$27,E56&lt;E$29,D$28,E56&lt;E$30,D$29,E56&lt;E$31,D$30,E56&lt;E$32,D$31,E56&lt;E$33,D$32,E56&lt;E$34,D$33,E56&lt;E$35,D$34,E56&gt;=E$35,D$35)</f>
        <v/>
      </c>
      <c r="E56" s="38" t="n">
        <v>6</v>
      </c>
      <c r="F56" s="31">
        <f>E56/52</f>
        <v/>
      </c>
      <c r="G56" s="39">
        <f>D56/1000000*52</f>
        <v/>
      </c>
      <c r="H56" s="33">
        <f>G56/$P$4+($C$22/$P$4)</f>
        <v/>
      </c>
      <c r="I56" s="36">
        <f>_xlfn.IFS(K56&lt;K$24,0,K56&lt;K$26,I$24,K56&lt;K$28,I$26,K56&lt;K$30,I$28,K56&lt;K$32,I$30,K56&lt;K$34,I$32,K56&lt;K$36,I$34,K56&lt;K$38,I$36,K56&lt;K$40,I$38,K56&lt;K$42,I$40,K56&lt;K$44,I$42,K56&lt;K$46,I$44,K56&gt;=K$46,I$46)</f>
        <v/>
      </c>
      <c r="J56" s="37">
        <f>_xlfn.IFS(K56&lt;K$24,0,K56&lt;K$25,J$24,K56&lt;K$26,J$25,K56&lt;K$27,J$26,K56&lt;K$28,J$27,K56&lt;K$29,J$28,K56&lt;K$30,J$29,K56&lt;K$31,J$30,K56&lt;K$32,J$31,K56&lt;K$33,J$32,K56&lt;K$34,J$33,K56&lt;K$35,J$34,K56&lt;K$36,J$35,K56&lt;K$37,J$36,K56&lt;K$38,J$37,K56&lt;K$39,J$38,K56&lt;K$40,J$39,K56&lt;K$41,J$40,K56&lt;K$42,J$41,K56&lt;K$43,J$42,K56&lt;K$44,J$43,K56&lt;K$45,J$44,K56&lt;K$46,J$45,K56&lt;K$47,J$46,K56&gt;=K$47,J$47)</f>
        <v/>
      </c>
      <c r="K56" s="38" t="n">
        <v>6</v>
      </c>
      <c r="L56" s="31">
        <f>K56/52</f>
        <v/>
      </c>
      <c r="M56" s="39">
        <f>J56/1000000*52</f>
        <v/>
      </c>
      <c r="N56" s="33">
        <f>M56/$P$4+($I$22/$P$4)</f>
        <v/>
      </c>
      <c r="U56">
        <f>F55</f>
        <v/>
      </c>
      <c r="V56">
        <f>H55</f>
        <v/>
      </c>
      <c r="W56">
        <f>N55</f>
        <v/>
      </c>
    </row>
    <row r="57" ht="15.75" customHeight="1" s="40">
      <c r="C57" s="36">
        <f>_xlfn.IFS(E57&lt;E$24,0,E57&lt;E$26,C$24,E57&lt;E$28,C$26,E57&lt;E$30,C$28,E57&lt;E$32,C$30,E57&lt;E$34,C$32,E57&gt;=E$34,C$34)</f>
        <v/>
      </c>
      <c r="D57" s="37">
        <f>_xlfn.IFS(E57&lt;E$24,0,E57&lt;E$25,D$24,E57&lt;E$26,D$25,E57&lt;E$27,D$26,E57&lt;E$28,D$27,E57&lt;E$29,D$28,E57&lt;E$30,D$29,E57&lt;E$31,D$30,E57&lt;E$32,D$31,E57&lt;E$33,D$32,E57&lt;E$34,D$33,E57&lt;E$35,D$34,E57&gt;=E$35,D$35)</f>
        <v/>
      </c>
      <c r="E57" s="38" t="n">
        <v>7</v>
      </c>
      <c r="F57" s="31">
        <f>E57/52</f>
        <v/>
      </c>
      <c r="G57" s="39">
        <f>D57/1000000*52</f>
        <v/>
      </c>
      <c r="H57" s="33">
        <f>G57/$P$4+($C$22/$P$4)</f>
        <v/>
      </c>
      <c r="I57" s="36">
        <f>_xlfn.IFS(K57&lt;K$24,0,K57&lt;K$26,I$24,K57&lt;K$28,I$26,K57&lt;K$30,I$28,K57&lt;K$32,I$30,K57&lt;K$34,I$32,K57&lt;K$36,I$34,K57&lt;K$38,I$36,K57&lt;K$40,I$38,K57&lt;K$42,I$40,K57&lt;K$44,I$42,K57&lt;K$46,I$44,K57&gt;=K$46,I$46)</f>
        <v/>
      </c>
      <c r="J57" s="37">
        <f>_xlfn.IFS(K57&lt;K$24,0,K57&lt;K$25,J$24,K57&lt;K$26,J$25,K57&lt;K$27,J$26,K57&lt;K$28,J$27,K57&lt;K$29,J$28,K57&lt;K$30,J$29,K57&lt;K$31,J$30,K57&lt;K$32,J$31,K57&lt;K$33,J$32,K57&lt;K$34,J$33,K57&lt;K$35,J$34,K57&lt;K$36,J$35,K57&lt;K$37,J$36,K57&lt;K$38,J$37,K57&lt;K$39,J$38,K57&lt;K$40,J$39,K57&lt;K$41,J$40,K57&lt;K$42,J$41,K57&lt;K$43,J$42,K57&lt;K$44,J$43,K57&lt;K$45,J$44,K57&lt;K$46,J$45,K57&lt;K$47,J$46,K57&gt;=K$47,J$47)</f>
        <v/>
      </c>
      <c r="K57" s="38" t="n">
        <v>7</v>
      </c>
      <c r="L57" s="31">
        <f>K57/52</f>
        <v/>
      </c>
      <c r="M57" s="39">
        <f>J57/1000000*52</f>
        <v/>
      </c>
      <c r="N57" s="33">
        <f>M57/$P$4+($I$22/$P$4)</f>
        <v/>
      </c>
      <c r="U57">
        <f>F56</f>
        <v/>
      </c>
      <c r="V57">
        <f>H56</f>
        <v/>
      </c>
      <c r="W57">
        <f>N56</f>
        <v/>
      </c>
    </row>
    <row r="58" ht="15.75" customHeight="1" s="40">
      <c r="C58" s="36">
        <f>_xlfn.IFS(E58&lt;E$24,0,E58&lt;E$26,C$24,E58&lt;E$28,C$26,E58&lt;E$30,C$28,E58&lt;E$32,C$30,E58&lt;E$34,C$32,E58&gt;=E$34,C$34)</f>
        <v/>
      </c>
      <c r="D58" s="37">
        <f>_xlfn.IFS(E58&lt;E$24,0,E58&lt;E$25,D$24,E58&lt;E$26,D$25,E58&lt;E$27,D$26,E58&lt;E$28,D$27,E58&lt;E$29,D$28,E58&lt;E$30,D$29,E58&lt;E$31,D$30,E58&lt;E$32,D$31,E58&lt;E$33,D$32,E58&lt;E$34,D$33,E58&lt;E$35,D$34,E58&gt;=E$35,D$35)</f>
        <v/>
      </c>
      <c r="E58" s="38" t="n">
        <v>8</v>
      </c>
      <c r="F58" s="31">
        <f>E58/52</f>
        <v/>
      </c>
      <c r="G58" s="39">
        <f>D58/1000000*52</f>
        <v/>
      </c>
      <c r="H58" s="33">
        <f>G58/$P$4+($C$22/$P$4)</f>
        <v/>
      </c>
      <c r="I58" s="36">
        <f>_xlfn.IFS(K58&lt;K$24,0,K58&lt;K$26,I$24,K58&lt;K$28,I$26,K58&lt;K$30,I$28,K58&lt;K$32,I$30,K58&lt;K$34,I$32,K58&lt;K$36,I$34,K58&lt;K$38,I$36,K58&lt;K$40,I$38,K58&lt;K$42,I$40,K58&lt;K$44,I$42,K58&lt;K$46,I$44,K58&gt;=K$46,I$46)</f>
        <v/>
      </c>
      <c r="J58" s="37">
        <f>_xlfn.IFS(K58&lt;K$24,0,K58&lt;K$25,J$24,K58&lt;K$26,J$25,K58&lt;K$27,J$26,K58&lt;K$28,J$27,K58&lt;K$29,J$28,K58&lt;K$30,J$29,K58&lt;K$31,J$30,K58&lt;K$32,J$31,K58&lt;K$33,J$32,K58&lt;K$34,J$33,K58&lt;K$35,J$34,K58&lt;K$36,J$35,K58&lt;K$37,J$36,K58&lt;K$38,J$37,K58&lt;K$39,J$38,K58&lt;K$40,J$39,K58&lt;K$41,J$40,K58&lt;K$42,J$41,K58&lt;K$43,J$42,K58&lt;K$44,J$43,K58&lt;K$45,J$44,K58&lt;K$46,J$45,K58&lt;K$47,J$46,K58&gt;=K$47,J$47)</f>
        <v/>
      </c>
      <c r="K58" s="38" t="n">
        <v>8</v>
      </c>
      <c r="L58" s="31">
        <f>K58/52</f>
        <v/>
      </c>
      <c r="M58" s="39">
        <f>J58/1000000*52</f>
        <v/>
      </c>
      <c r="N58" s="33">
        <f>M58/$P$4+($I$22/$P$4)</f>
        <v/>
      </c>
      <c r="U58">
        <f>F57</f>
        <v/>
      </c>
      <c r="V58">
        <f>H57</f>
        <v/>
      </c>
      <c r="W58">
        <f>N57</f>
        <v/>
      </c>
    </row>
    <row r="59" ht="15.75" customHeight="1" s="40">
      <c r="C59" s="36">
        <f>_xlfn.IFS(E59&lt;E$24,0,E59&lt;E$26,C$24,E59&lt;E$28,C$26,E59&lt;E$30,C$28,E59&lt;E$32,C$30,E59&lt;E$34,C$32,E59&gt;=E$34,C$34)</f>
        <v/>
      </c>
      <c r="D59" s="37">
        <f>_xlfn.IFS(E59&lt;E$24,0,E59&lt;E$25,D$24,E59&lt;E$26,D$25,E59&lt;E$27,D$26,E59&lt;E$28,D$27,E59&lt;E$29,D$28,E59&lt;E$30,D$29,E59&lt;E$31,D$30,E59&lt;E$32,D$31,E59&lt;E$33,D$32,E59&lt;E$34,D$33,E59&lt;E$35,D$34,E59&gt;=E$35,D$35)</f>
        <v/>
      </c>
      <c r="E59" s="38" t="n">
        <v>9</v>
      </c>
      <c r="F59" s="31">
        <f>E59/52</f>
        <v/>
      </c>
      <c r="G59" s="39">
        <f>D59/1000000*52</f>
        <v/>
      </c>
      <c r="H59" s="33">
        <f>G59/$P$4+($C$22/$P$4)</f>
        <v/>
      </c>
      <c r="I59" s="36">
        <f>_xlfn.IFS(K59&lt;K$24,0,K59&lt;K$26,I$24,K59&lt;K$28,I$26,K59&lt;K$30,I$28,K59&lt;K$32,I$30,K59&lt;K$34,I$32,K59&lt;K$36,I$34,K59&lt;K$38,I$36,K59&lt;K$40,I$38,K59&lt;K$42,I$40,K59&lt;K$44,I$42,K59&lt;K$46,I$44,K59&gt;=K$46,I$46)</f>
        <v/>
      </c>
      <c r="J59" s="37">
        <f>_xlfn.IFS(K59&lt;K$24,0,K59&lt;K$25,J$24,K59&lt;K$26,J$25,K59&lt;K$27,J$26,K59&lt;K$28,J$27,K59&lt;K$29,J$28,K59&lt;K$30,J$29,K59&lt;K$31,J$30,K59&lt;K$32,J$31,K59&lt;K$33,J$32,K59&lt;K$34,J$33,K59&lt;K$35,J$34,K59&lt;K$36,J$35,K59&lt;K$37,J$36,K59&lt;K$38,J$37,K59&lt;K$39,J$38,K59&lt;K$40,J$39,K59&lt;K$41,J$40,K59&lt;K$42,J$41,K59&lt;K$43,J$42,K59&lt;K$44,J$43,K59&lt;K$45,J$44,K59&lt;K$46,J$45,K59&lt;K$47,J$46,K59&gt;=K$47,J$47)</f>
        <v/>
      </c>
      <c r="K59" s="38" t="n">
        <v>9</v>
      </c>
      <c r="L59" s="31">
        <f>K59/52</f>
        <v/>
      </c>
      <c r="M59" s="39">
        <f>J59/1000000*52</f>
        <v/>
      </c>
      <c r="N59" s="33">
        <f>M59/$P$4+($I$22/$P$4)</f>
        <v/>
      </c>
      <c r="U59">
        <f>F58</f>
        <v/>
      </c>
      <c r="V59">
        <f>H58</f>
        <v/>
      </c>
      <c r="W59">
        <f>N58</f>
        <v/>
      </c>
    </row>
    <row r="60" ht="15.75" customHeight="1" s="40">
      <c r="C60" s="36">
        <f>_xlfn.IFS(E60&lt;E$24,0,E60&lt;E$26,C$24,E60&lt;E$28,C$26,E60&lt;E$30,C$28,E60&lt;E$32,C$30,E60&lt;E$34,C$32,E60&gt;=E$34,C$34)</f>
        <v/>
      </c>
      <c r="D60" s="37">
        <f>_xlfn.IFS(E60&lt;E$24,0,E60&lt;E$25,D$24,E60&lt;E$26,D$25,E60&lt;E$27,D$26,E60&lt;E$28,D$27,E60&lt;E$29,D$28,E60&lt;E$30,D$29,E60&lt;E$31,D$30,E60&lt;E$32,D$31,E60&lt;E$33,D$32,E60&lt;E$34,D$33,E60&lt;E$35,D$34,E60&gt;=E$35,D$35)</f>
        <v/>
      </c>
      <c r="E60" s="38" t="n">
        <v>10</v>
      </c>
      <c r="F60" s="31">
        <f>E60/52</f>
        <v/>
      </c>
      <c r="G60" s="39">
        <f>D60/1000000*52</f>
        <v/>
      </c>
      <c r="H60" s="33">
        <f>G60/$P$4+($C$22/$P$4)</f>
        <v/>
      </c>
      <c r="I60" s="36">
        <f>_xlfn.IFS(K60&lt;K$24,0,K60&lt;K$26,I$24,K60&lt;K$28,I$26,K60&lt;K$30,I$28,K60&lt;K$32,I$30,K60&lt;K$34,I$32,K60&lt;K$36,I$34,K60&lt;K$38,I$36,K60&lt;K$40,I$38,K60&lt;K$42,I$40,K60&lt;K$44,I$42,K60&lt;K$46,I$44,K60&gt;=K$46,I$46)</f>
        <v/>
      </c>
      <c r="J60" s="37">
        <f>_xlfn.IFS(K60&lt;K$24,0,K60&lt;K$25,J$24,K60&lt;K$26,J$25,K60&lt;K$27,J$26,K60&lt;K$28,J$27,K60&lt;K$29,J$28,K60&lt;K$30,J$29,K60&lt;K$31,J$30,K60&lt;K$32,J$31,K60&lt;K$33,J$32,K60&lt;K$34,J$33,K60&lt;K$35,J$34,K60&lt;K$36,J$35,K60&lt;K$37,J$36,K60&lt;K$38,J$37,K60&lt;K$39,J$38,K60&lt;K$40,J$39,K60&lt;K$41,J$40,K60&lt;K$42,J$41,K60&lt;K$43,J$42,K60&lt;K$44,J$43,K60&lt;K$45,J$44,K60&lt;K$46,J$45,K60&lt;K$47,J$46,K60&gt;=K$47,J$47)</f>
        <v/>
      </c>
      <c r="K60" s="38" t="n">
        <v>10</v>
      </c>
      <c r="L60" s="31">
        <f>K60/52</f>
        <v/>
      </c>
      <c r="M60" s="39">
        <f>J60/1000000*52</f>
        <v/>
      </c>
      <c r="N60" s="33">
        <f>M60/$P$4+($I$22/$P$4)</f>
        <v/>
      </c>
      <c r="U60">
        <f>F59</f>
        <v/>
      </c>
      <c r="V60">
        <f>H59</f>
        <v/>
      </c>
      <c r="W60">
        <f>N59</f>
        <v/>
      </c>
    </row>
    <row r="61" ht="15.75" customHeight="1" s="40">
      <c r="C61" s="36">
        <f>_xlfn.IFS(E61&lt;E$24,0,E61&lt;E$26,C$24,E61&lt;E$28,C$26,E61&lt;E$30,C$28,E61&lt;E$32,C$30,E61&lt;E$34,C$32,E61&gt;=E$34,C$34)</f>
        <v/>
      </c>
      <c r="D61" s="37">
        <f>_xlfn.IFS(E61&lt;E$24,0,E61&lt;E$25,D$24,E61&lt;E$26,D$25,E61&lt;E$27,D$26,E61&lt;E$28,D$27,E61&lt;E$29,D$28,E61&lt;E$30,D$29,E61&lt;E$31,D$30,E61&lt;E$32,D$31,E61&lt;E$33,D$32,E61&lt;E$34,D$33,E61&lt;E$35,D$34,E61&gt;=E$35,D$35)</f>
        <v/>
      </c>
      <c r="E61" s="38" t="n">
        <v>11</v>
      </c>
      <c r="F61" s="31">
        <f>E61/52</f>
        <v/>
      </c>
      <c r="G61" s="39">
        <f>D61/1000000*52</f>
        <v/>
      </c>
      <c r="H61" s="33">
        <f>G61/$P$4+($C$22/$P$4)</f>
        <v/>
      </c>
      <c r="I61" s="36">
        <f>_xlfn.IFS(K61&lt;K$24,0,K61&lt;K$26,I$24,K61&lt;K$28,I$26,K61&lt;K$30,I$28,K61&lt;K$32,I$30,K61&lt;K$34,I$32,K61&lt;K$36,I$34,K61&lt;K$38,I$36,K61&lt;K$40,I$38,K61&lt;K$42,I$40,K61&lt;K$44,I$42,K61&lt;K$46,I$44,K61&gt;=K$46,I$46)</f>
        <v/>
      </c>
      <c r="J61" s="37">
        <f>_xlfn.IFS(K61&lt;K$24,0,K61&lt;K$25,J$24,K61&lt;K$26,J$25,K61&lt;K$27,J$26,K61&lt;K$28,J$27,K61&lt;K$29,J$28,K61&lt;K$30,J$29,K61&lt;K$31,J$30,K61&lt;K$32,J$31,K61&lt;K$33,J$32,K61&lt;K$34,J$33,K61&lt;K$35,J$34,K61&lt;K$36,J$35,K61&lt;K$37,J$36,K61&lt;K$38,J$37,K61&lt;K$39,J$38,K61&lt;K$40,J$39,K61&lt;K$41,J$40,K61&lt;K$42,J$41,K61&lt;K$43,J$42,K61&lt;K$44,J$43,K61&lt;K$45,J$44,K61&lt;K$46,J$45,K61&lt;K$47,J$46,K61&gt;=K$47,J$47)</f>
        <v/>
      </c>
      <c r="K61" s="38" t="n">
        <v>11</v>
      </c>
      <c r="L61" s="31">
        <f>K61/52</f>
        <v/>
      </c>
      <c r="M61" s="39">
        <f>J61/1000000*52</f>
        <v/>
      </c>
      <c r="N61" s="33">
        <f>M61/$P$4+($I$22/$P$4)</f>
        <v/>
      </c>
      <c r="U61">
        <f>F60</f>
        <v/>
      </c>
      <c r="V61">
        <f>H60</f>
        <v/>
      </c>
      <c r="W61">
        <f>N60</f>
        <v/>
      </c>
    </row>
    <row r="62" ht="15.75" customHeight="1" s="40">
      <c r="C62" s="36">
        <f>_xlfn.IFS(E62&lt;E$24,0,E62&lt;E$26,C$24,E62&lt;E$28,C$26,E62&lt;E$30,C$28,E62&lt;E$32,C$30,E62&lt;E$34,C$32,E62&gt;=E$34,C$34)</f>
        <v/>
      </c>
      <c r="D62" s="37">
        <f>_xlfn.IFS(E62&lt;E$24,0,E62&lt;E$25,D$24,E62&lt;E$26,D$25,E62&lt;E$27,D$26,E62&lt;E$28,D$27,E62&lt;E$29,D$28,E62&lt;E$30,D$29,E62&lt;E$31,D$30,E62&lt;E$32,D$31,E62&lt;E$33,D$32,E62&lt;E$34,D$33,E62&lt;E$35,D$34,E62&gt;=E$35,D$35)</f>
        <v/>
      </c>
      <c r="E62" s="38" t="n">
        <v>12</v>
      </c>
      <c r="F62" s="31">
        <f>E62/52</f>
        <v/>
      </c>
      <c r="G62" s="39">
        <f>D62/1000000*52</f>
        <v/>
      </c>
      <c r="H62" s="33">
        <f>G62/$P$4+($C$22/$P$4)</f>
        <v/>
      </c>
      <c r="I62" s="36">
        <f>_xlfn.IFS(K62&lt;K$24,0,K62&lt;K$26,I$24,K62&lt;K$28,I$26,K62&lt;K$30,I$28,K62&lt;K$32,I$30,K62&lt;K$34,I$32,K62&lt;K$36,I$34,K62&lt;K$38,I$36,K62&lt;K$40,I$38,K62&lt;K$42,I$40,K62&lt;K$44,I$42,K62&lt;K$46,I$44,K62&gt;=K$46,I$46)</f>
        <v/>
      </c>
      <c r="J62" s="37">
        <f>_xlfn.IFS(K62&lt;K$24,0,K62&lt;K$25,J$24,K62&lt;K$26,J$25,K62&lt;K$27,J$26,K62&lt;K$28,J$27,K62&lt;K$29,J$28,K62&lt;K$30,J$29,K62&lt;K$31,J$30,K62&lt;K$32,J$31,K62&lt;K$33,J$32,K62&lt;K$34,J$33,K62&lt;K$35,J$34,K62&lt;K$36,J$35,K62&lt;K$37,J$36,K62&lt;K$38,J$37,K62&lt;K$39,J$38,K62&lt;K$40,J$39,K62&lt;K$41,J$40,K62&lt;K$42,J$41,K62&lt;K$43,J$42,K62&lt;K$44,J$43,K62&lt;K$45,J$44,K62&lt;K$46,J$45,K62&lt;K$47,J$46,K62&gt;=K$47,J$47)</f>
        <v/>
      </c>
      <c r="K62" s="38" t="n">
        <v>12</v>
      </c>
      <c r="L62" s="31">
        <f>K62/52</f>
        <v/>
      </c>
      <c r="M62" s="39">
        <f>J62/1000000*52</f>
        <v/>
      </c>
      <c r="N62" s="33">
        <f>M62/$P$4+($I$22/$P$4)</f>
        <v/>
      </c>
      <c r="U62">
        <f>F61</f>
        <v/>
      </c>
      <c r="V62">
        <f>H61</f>
        <v/>
      </c>
      <c r="W62">
        <f>N61</f>
        <v/>
      </c>
    </row>
    <row r="63" ht="15.75" customHeight="1" s="40">
      <c r="C63" s="36">
        <f>_xlfn.IFS(E63&lt;E$24,0,E63&lt;E$26,C$24,E63&lt;E$28,C$26,E63&lt;E$30,C$28,E63&lt;E$32,C$30,E63&lt;E$34,C$32,E63&gt;=E$34,C$34)</f>
        <v/>
      </c>
      <c r="D63" s="37">
        <f>_xlfn.IFS(E63&lt;E$24,0,E63&lt;E$25,D$24,E63&lt;E$26,D$25,E63&lt;E$27,D$26,E63&lt;E$28,D$27,E63&lt;E$29,D$28,E63&lt;E$30,D$29,E63&lt;E$31,D$30,E63&lt;E$32,D$31,E63&lt;E$33,D$32,E63&lt;E$34,D$33,E63&lt;E$35,D$34,E63&gt;=E$35,D$35)</f>
        <v/>
      </c>
      <c r="E63" s="38" t="n">
        <v>13</v>
      </c>
      <c r="F63" s="31">
        <f>E63/52</f>
        <v/>
      </c>
      <c r="G63" s="39">
        <f>D63/1000000*52</f>
        <v/>
      </c>
      <c r="H63" s="33">
        <f>G63/$P$4+($C$22/$P$4)</f>
        <v/>
      </c>
      <c r="I63" s="36">
        <f>_xlfn.IFS(K63&lt;K$24,0,K63&lt;K$26,I$24,K63&lt;K$28,I$26,K63&lt;K$30,I$28,K63&lt;K$32,I$30,K63&lt;K$34,I$32,K63&lt;K$36,I$34,K63&lt;K$38,I$36,K63&lt;K$40,I$38,K63&lt;K$42,I$40,K63&lt;K$44,I$42,K63&lt;K$46,I$44,K63&gt;=K$46,I$46)</f>
        <v/>
      </c>
      <c r="J63" s="37">
        <f>_xlfn.IFS(K63&lt;K$24,0,K63&lt;K$25,J$24,K63&lt;K$26,J$25,K63&lt;K$27,J$26,K63&lt;K$28,J$27,K63&lt;K$29,J$28,K63&lt;K$30,J$29,K63&lt;K$31,J$30,K63&lt;K$32,J$31,K63&lt;K$33,J$32,K63&lt;K$34,J$33,K63&lt;K$35,J$34,K63&lt;K$36,J$35,K63&lt;K$37,J$36,K63&lt;K$38,J$37,K63&lt;K$39,J$38,K63&lt;K$40,J$39,K63&lt;K$41,J$40,K63&lt;K$42,J$41,K63&lt;K$43,J$42,K63&lt;K$44,J$43,K63&lt;K$45,J$44,K63&lt;K$46,J$45,K63&lt;K$47,J$46,K63&gt;=K$47,J$47)</f>
        <v/>
      </c>
      <c r="K63" s="38" t="n">
        <v>13</v>
      </c>
      <c r="L63" s="31">
        <f>K63/52</f>
        <v/>
      </c>
      <c r="M63" s="39">
        <f>J63/1000000*52</f>
        <v/>
      </c>
      <c r="N63" s="33">
        <f>M63/$P$4+($I$22/$P$4)</f>
        <v/>
      </c>
      <c r="U63">
        <f>F62</f>
        <v/>
      </c>
      <c r="V63">
        <f>H62</f>
        <v/>
      </c>
      <c r="W63">
        <f>N62</f>
        <v/>
      </c>
    </row>
    <row r="64" ht="15.75" customHeight="1" s="40">
      <c r="C64" s="36">
        <f>_xlfn.IFS(E64&lt;E$24,0,E64&lt;E$26,C$24,E64&lt;E$28,C$26,E64&lt;E$30,C$28,E64&lt;E$32,C$30,E64&lt;E$34,C$32,E64&gt;=E$34,C$34)</f>
        <v/>
      </c>
      <c r="D64" s="37">
        <f>_xlfn.IFS(E64&lt;E$24,0,E64&lt;E$25,D$24,E64&lt;E$26,D$25,E64&lt;E$27,D$26,E64&lt;E$28,D$27,E64&lt;E$29,D$28,E64&lt;E$30,D$29,E64&lt;E$31,D$30,E64&lt;E$32,D$31,E64&lt;E$33,D$32,E64&lt;E$34,D$33,E64&lt;E$35,D$34,E64&gt;=E$35,D$35)</f>
        <v/>
      </c>
      <c r="E64" s="38" t="n">
        <v>14</v>
      </c>
      <c r="F64" s="31">
        <f>E64/52</f>
        <v/>
      </c>
      <c r="G64" s="39">
        <f>D64/1000000*52</f>
        <v/>
      </c>
      <c r="H64" s="33">
        <f>G64/$P$4+($C$22/$P$4)</f>
        <v/>
      </c>
      <c r="I64" s="36">
        <f>_xlfn.IFS(K64&lt;K$24,0,K64&lt;K$26,I$24,K64&lt;K$28,I$26,K64&lt;K$30,I$28,K64&lt;K$32,I$30,K64&lt;K$34,I$32,K64&lt;K$36,I$34,K64&lt;K$38,I$36,K64&lt;K$40,I$38,K64&lt;K$42,I$40,K64&lt;K$44,I$42,K64&lt;K$46,I$44,K64&gt;=K$46,I$46)</f>
        <v/>
      </c>
      <c r="J64" s="37">
        <f>_xlfn.IFS(K64&lt;K$24,0,K64&lt;K$25,J$24,K64&lt;K$26,J$25,K64&lt;K$27,J$26,K64&lt;K$28,J$27,K64&lt;K$29,J$28,K64&lt;K$30,J$29,K64&lt;K$31,J$30,K64&lt;K$32,J$31,K64&lt;K$33,J$32,K64&lt;K$34,J$33,K64&lt;K$35,J$34,K64&lt;K$36,J$35,K64&lt;K$37,J$36,K64&lt;K$38,J$37,K64&lt;K$39,J$38,K64&lt;K$40,J$39,K64&lt;K$41,J$40,K64&lt;K$42,J$41,K64&lt;K$43,J$42,K64&lt;K$44,J$43,K64&lt;K$45,J$44,K64&lt;K$46,J$45,K64&lt;K$47,J$46,K64&gt;=K$47,J$47)</f>
        <v/>
      </c>
      <c r="K64" s="38" t="n">
        <v>14</v>
      </c>
      <c r="L64" s="31">
        <f>K64/52</f>
        <v/>
      </c>
      <c r="M64" s="39">
        <f>J64/1000000*52</f>
        <v/>
      </c>
      <c r="N64" s="33">
        <f>M64/$P$4+($I$22/$P$4)</f>
        <v/>
      </c>
      <c r="U64">
        <f>F63</f>
        <v/>
      </c>
      <c r="V64">
        <f>H63</f>
        <v/>
      </c>
      <c r="W64">
        <f>N63</f>
        <v/>
      </c>
    </row>
    <row r="65" ht="15.75" customHeight="1" s="40">
      <c r="C65" s="36">
        <f>_xlfn.IFS(E65&lt;E$24,0,E65&lt;E$26,C$24,E65&lt;E$28,C$26,E65&lt;E$30,C$28,E65&lt;E$32,C$30,E65&lt;E$34,C$32,E65&gt;=E$34,C$34)</f>
        <v/>
      </c>
      <c r="D65" s="37">
        <f>_xlfn.IFS(E65&lt;E$24,0,E65&lt;E$25,D$24,E65&lt;E$26,D$25,E65&lt;E$27,D$26,E65&lt;E$28,D$27,E65&lt;E$29,D$28,E65&lt;E$30,D$29,E65&lt;E$31,D$30,E65&lt;E$32,D$31,E65&lt;E$33,D$32,E65&lt;E$34,D$33,E65&lt;E$35,D$34,E65&gt;=E$35,D$35)</f>
        <v/>
      </c>
      <c r="E65" s="38" t="n">
        <v>15</v>
      </c>
      <c r="F65" s="31">
        <f>E65/52</f>
        <v/>
      </c>
      <c r="G65" s="39">
        <f>D65/1000000*52</f>
        <v/>
      </c>
      <c r="H65" s="33">
        <f>G65/$P$4+($C$22/$P$4)</f>
        <v/>
      </c>
      <c r="I65" s="36">
        <f>_xlfn.IFS(K65&lt;K$24,0,K65&lt;K$26,I$24,K65&lt;K$28,I$26,K65&lt;K$30,I$28,K65&lt;K$32,I$30,K65&lt;K$34,I$32,K65&lt;K$36,I$34,K65&lt;K$38,I$36,K65&lt;K$40,I$38,K65&lt;K$42,I$40,K65&lt;K$44,I$42,K65&lt;K$46,I$44,K65&gt;=K$46,I$46)</f>
        <v/>
      </c>
      <c r="J65" s="37">
        <f>_xlfn.IFS(K65&lt;K$24,0,K65&lt;K$25,J$24,K65&lt;K$26,J$25,K65&lt;K$27,J$26,K65&lt;K$28,J$27,K65&lt;K$29,J$28,K65&lt;K$30,J$29,K65&lt;K$31,J$30,K65&lt;K$32,J$31,K65&lt;K$33,J$32,K65&lt;K$34,J$33,K65&lt;K$35,J$34,K65&lt;K$36,J$35,K65&lt;K$37,J$36,K65&lt;K$38,J$37,K65&lt;K$39,J$38,K65&lt;K$40,J$39,K65&lt;K$41,J$40,K65&lt;K$42,J$41,K65&lt;K$43,J$42,K65&lt;K$44,J$43,K65&lt;K$45,J$44,K65&lt;K$46,J$45,K65&lt;K$47,J$46,K65&gt;=K$47,J$47)</f>
        <v/>
      </c>
      <c r="K65" s="38" t="n">
        <v>15</v>
      </c>
      <c r="L65" s="31">
        <f>K65/52</f>
        <v/>
      </c>
      <c r="M65" s="39">
        <f>J65/1000000*52</f>
        <v/>
      </c>
      <c r="N65" s="33">
        <f>M65/$P$4+($I$22/$P$4)</f>
        <v/>
      </c>
      <c r="U65">
        <f>F64</f>
        <v/>
      </c>
      <c r="V65">
        <f>H64</f>
        <v/>
      </c>
      <c r="W65">
        <f>N64</f>
        <v/>
      </c>
    </row>
    <row r="66" ht="15.75" customHeight="1" s="40">
      <c r="C66" s="36">
        <f>_xlfn.IFS(E66&lt;E$24,0,E66&lt;E$26,C$24,E66&lt;E$28,C$26,E66&lt;E$30,C$28,E66&lt;E$32,C$30,E66&lt;E$34,C$32,E66&gt;=E$34,C$34)</f>
        <v/>
      </c>
      <c r="D66" s="37">
        <f>_xlfn.IFS(E66&lt;E$24,0,E66&lt;E$25,D$24,E66&lt;E$26,D$25,E66&lt;E$27,D$26,E66&lt;E$28,D$27,E66&lt;E$29,D$28,E66&lt;E$30,D$29,E66&lt;E$31,D$30,E66&lt;E$32,D$31,E66&lt;E$33,D$32,E66&lt;E$34,D$33,E66&lt;E$35,D$34,E66&gt;=E$35,D$35)</f>
        <v/>
      </c>
      <c r="E66" s="38" t="n">
        <v>16</v>
      </c>
      <c r="F66" s="31">
        <f>E66/52</f>
        <v/>
      </c>
      <c r="G66" s="39">
        <f>D66/1000000*52</f>
        <v/>
      </c>
      <c r="H66" s="33">
        <f>G66/$P$4+($C$22/$P$4)</f>
        <v/>
      </c>
      <c r="I66" s="36">
        <f>_xlfn.IFS(K66&lt;K$24,0,K66&lt;K$26,I$24,K66&lt;K$28,I$26,K66&lt;K$30,I$28,K66&lt;K$32,I$30,K66&lt;K$34,I$32,K66&lt;K$36,I$34,K66&lt;K$38,I$36,K66&lt;K$40,I$38,K66&lt;K$42,I$40,K66&lt;K$44,I$42,K66&lt;K$46,I$44,K66&gt;=K$46,I$46)</f>
        <v/>
      </c>
      <c r="J66" s="37">
        <f>_xlfn.IFS(K66&lt;K$24,0,K66&lt;K$25,J$24,K66&lt;K$26,J$25,K66&lt;K$27,J$26,K66&lt;K$28,J$27,K66&lt;K$29,J$28,K66&lt;K$30,J$29,K66&lt;K$31,J$30,K66&lt;K$32,J$31,K66&lt;K$33,J$32,K66&lt;K$34,J$33,K66&lt;K$35,J$34,K66&lt;K$36,J$35,K66&lt;K$37,J$36,K66&lt;K$38,J$37,K66&lt;K$39,J$38,K66&lt;K$40,J$39,K66&lt;K$41,J$40,K66&lt;K$42,J$41,K66&lt;K$43,J$42,K66&lt;K$44,J$43,K66&lt;K$45,J$44,K66&lt;K$46,J$45,K66&lt;K$47,J$46,K66&gt;=K$47,J$47)</f>
        <v/>
      </c>
      <c r="K66" s="38" t="n">
        <v>16</v>
      </c>
      <c r="L66" s="31">
        <f>K66/52</f>
        <v/>
      </c>
      <c r="M66" s="39">
        <f>J66/1000000*52</f>
        <v/>
      </c>
      <c r="N66" s="33">
        <f>M66/$P$4+($I$22/$P$4)</f>
        <v/>
      </c>
      <c r="U66">
        <f>F65</f>
        <v/>
      </c>
      <c r="V66">
        <f>H65</f>
        <v/>
      </c>
      <c r="W66">
        <f>N65</f>
        <v/>
      </c>
    </row>
    <row r="67" ht="15.75" customHeight="1" s="40">
      <c r="C67" s="36">
        <f>_xlfn.IFS(E67&lt;E$24,0,E67&lt;E$26,C$24,E67&lt;E$28,C$26,E67&lt;E$30,C$28,E67&lt;E$32,C$30,E67&lt;E$34,C$32,E67&gt;=E$34,C$34)</f>
        <v/>
      </c>
      <c r="D67" s="37">
        <f>_xlfn.IFS(E67&lt;E$24,0,E67&lt;E$25,D$24,E67&lt;E$26,D$25,E67&lt;E$27,D$26,E67&lt;E$28,D$27,E67&lt;E$29,D$28,E67&lt;E$30,D$29,E67&lt;E$31,D$30,E67&lt;E$32,D$31,E67&lt;E$33,D$32,E67&lt;E$34,D$33,E67&lt;E$35,D$34,E67&gt;=E$35,D$35)</f>
        <v/>
      </c>
      <c r="E67" s="38" t="n">
        <v>17</v>
      </c>
      <c r="F67" s="31">
        <f>E67/52</f>
        <v/>
      </c>
      <c r="G67" s="39">
        <f>D67/1000000*52</f>
        <v/>
      </c>
      <c r="H67" s="33">
        <f>G67/$P$4+($C$22/$P$4)</f>
        <v/>
      </c>
      <c r="I67" s="36">
        <f>_xlfn.IFS(K67&lt;K$24,0,K67&lt;K$26,I$24,K67&lt;K$28,I$26,K67&lt;K$30,I$28,K67&lt;K$32,I$30,K67&lt;K$34,I$32,K67&lt;K$36,I$34,K67&lt;K$38,I$36,K67&lt;K$40,I$38,K67&lt;K$42,I$40,K67&lt;K$44,I$42,K67&lt;K$46,I$44,K67&gt;=K$46,I$46)</f>
        <v/>
      </c>
      <c r="J67" s="37">
        <f>_xlfn.IFS(K67&lt;K$24,0,K67&lt;K$25,J$24,K67&lt;K$26,J$25,K67&lt;K$27,J$26,K67&lt;K$28,J$27,K67&lt;K$29,J$28,K67&lt;K$30,J$29,K67&lt;K$31,J$30,K67&lt;K$32,J$31,K67&lt;K$33,J$32,K67&lt;K$34,J$33,K67&lt;K$35,J$34,K67&lt;K$36,J$35,K67&lt;K$37,J$36,K67&lt;K$38,J$37,K67&lt;K$39,J$38,K67&lt;K$40,J$39,K67&lt;K$41,J$40,K67&lt;K$42,J$41,K67&lt;K$43,J$42,K67&lt;K$44,J$43,K67&lt;K$45,J$44,K67&lt;K$46,J$45,K67&lt;K$47,J$46,K67&gt;=K$47,J$47)</f>
        <v/>
      </c>
      <c r="K67" s="38" t="n">
        <v>17</v>
      </c>
      <c r="L67" s="31">
        <f>K67/52</f>
        <v/>
      </c>
      <c r="M67" s="39">
        <f>J67/1000000*52</f>
        <v/>
      </c>
      <c r="N67" s="33">
        <f>M67/$P$4+($I$22/$P$4)</f>
        <v/>
      </c>
      <c r="U67">
        <f>F66</f>
        <v/>
      </c>
      <c r="V67">
        <f>H66</f>
        <v/>
      </c>
      <c r="W67">
        <f>N66</f>
        <v/>
      </c>
    </row>
    <row r="68" ht="15.75" customHeight="1" s="40">
      <c r="C68" s="36">
        <f>_xlfn.IFS(E68&lt;E$24,0,E68&lt;E$26,C$24,E68&lt;E$28,C$26,E68&lt;E$30,C$28,E68&lt;E$32,C$30,E68&lt;E$34,C$32,E68&gt;=E$34,C$34)</f>
        <v/>
      </c>
      <c r="D68" s="37">
        <f>_xlfn.IFS(E68&lt;E$24,0,E68&lt;E$25,D$24,E68&lt;E$26,D$25,E68&lt;E$27,D$26,E68&lt;E$28,D$27,E68&lt;E$29,D$28,E68&lt;E$30,D$29,E68&lt;E$31,D$30,E68&lt;E$32,D$31,E68&lt;E$33,D$32,E68&lt;E$34,D$33,E68&lt;E$35,D$34,E68&gt;=E$35,D$35)</f>
        <v/>
      </c>
      <c r="E68" s="38" t="n">
        <v>18</v>
      </c>
      <c r="F68" s="31">
        <f>E68/52</f>
        <v/>
      </c>
      <c r="G68" s="39">
        <f>D68/1000000*52</f>
        <v/>
      </c>
      <c r="H68" s="33">
        <f>G68/$P$4+($C$22/$P$4)</f>
        <v/>
      </c>
      <c r="I68" s="36">
        <f>_xlfn.IFS(K68&lt;K$24,0,K68&lt;K$26,I$24,K68&lt;K$28,I$26,K68&lt;K$30,I$28,K68&lt;K$32,I$30,K68&lt;K$34,I$32,K68&lt;K$36,I$34,K68&lt;K$38,I$36,K68&lt;K$40,I$38,K68&lt;K$42,I$40,K68&lt;K$44,I$42,K68&lt;K$46,I$44,K68&gt;=K$46,I$46)</f>
        <v/>
      </c>
      <c r="J68" s="37">
        <f>_xlfn.IFS(K68&lt;K$24,0,K68&lt;K$25,J$24,K68&lt;K$26,J$25,K68&lt;K$27,J$26,K68&lt;K$28,J$27,K68&lt;K$29,J$28,K68&lt;K$30,J$29,K68&lt;K$31,J$30,K68&lt;K$32,J$31,K68&lt;K$33,J$32,K68&lt;K$34,J$33,K68&lt;K$35,J$34,K68&lt;K$36,J$35,K68&lt;K$37,J$36,K68&lt;K$38,J$37,K68&lt;K$39,J$38,K68&lt;K$40,J$39,K68&lt;K$41,J$40,K68&lt;K$42,J$41,K68&lt;K$43,J$42,K68&lt;K$44,J$43,K68&lt;K$45,J$44,K68&lt;K$46,J$45,K68&lt;K$47,J$46,K68&gt;=K$47,J$47)</f>
        <v/>
      </c>
      <c r="K68" s="38" t="n">
        <v>18</v>
      </c>
      <c r="L68" s="31">
        <f>K68/52</f>
        <v/>
      </c>
      <c r="M68" s="39">
        <f>J68/1000000*52</f>
        <v/>
      </c>
      <c r="N68" s="33">
        <f>M68/$P$4+($I$22/$P$4)</f>
        <v/>
      </c>
      <c r="U68">
        <f>F67</f>
        <v/>
      </c>
      <c r="V68">
        <f>H67</f>
        <v/>
      </c>
      <c r="W68">
        <f>N67</f>
        <v/>
      </c>
    </row>
    <row r="69" ht="15.75" customHeight="1" s="40">
      <c r="C69" s="36">
        <f>_xlfn.IFS(E69&lt;E$24,0,E69&lt;E$26,C$24,E69&lt;E$28,C$26,E69&lt;E$30,C$28,E69&lt;E$32,C$30,E69&lt;E$34,C$32,E69&gt;=E$34,C$34)</f>
        <v/>
      </c>
      <c r="D69" s="37">
        <f>_xlfn.IFS(E69&lt;E$24,0,E69&lt;E$25,D$24,E69&lt;E$26,D$25,E69&lt;E$27,D$26,E69&lt;E$28,D$27,E69&lt;E$29,D$28,E69&lt;E$30,D$29,E69&lt;E$31,D$30,E69&lt;E$32,D$31,E69&lt;E$33,D$32,E69&lt;E$34,D$33,E69&lt;E$35,D$34,E69&gt;=E$35,D$35)</f>
        <v/>
      </c>
      <c r="E69" s="38" t="n">
        <v>19</v>
      </c>
      <c r="F69" s="31">
        <f>E69/52</f>
        <v/>
      </c>
      <c r="G69" s="39">
        <f>D69/1000000*52</f>
        <v/>
      </c>
      <c r="H69" s="33">
        <f>G69/$P$4+($C$22/$P$4)</f>
        <v/>
      </c>
      <c r="I69" s="36">
        <f>_xlfn.IFS(K69&lt;K$24,0,K69&lt;K$26,I$24,K69&lt;K$28,I$26,K69&lt;K$30,I$28,K69&lt;K$32,I$30,K69&lt;K$34,I$32,K69&lt;K$36,I$34,K69&lt;K$38,I$36,K69&lt;K$40,I$38,K69&lt;K$42,I$40,K69&lt;K$44,I$42,K69&lt;K$46,I$44,K69&gt;=K$46,I$46)</f>
        <v/>
      </c>
      <c r="J69" s="37">
        <f>_xlfn.IFS(K69&lt;K$24,0,K69&lt;K$25,J$24,K69&lt;K$26,J$25,K69&lt;K$27,J$26,K69&lt;K$28,J$27,K69&lt;K$29,J$28,K69&lt;K$30,J$29,K69&lt;K$31,J$30,K69&lt;K$32,J$31,K69&lt;K$33,J$32,K69&lt;K$34,J$33,K69&lt;K$35,J$34,K69&lt;K$36,J$35,K69&lt;K$37,J$36,K69&lt;K$38,J$37,K69&lt;K$39,J$38,K69&lt;K$40,J$39,K69&lt;K$41,J$40,K69&lt;K$42,J$41,K69&lt;K$43,J$42,K69&lt;K$44,J$43,K69&lt;K$45,J$44,K69&lt;K$46,J$45,K69&lt;K$47,J$46,K69&gt;=K$47,J$47)</f>
        <v/>
      </c>
      <c r="K69" s="38" t="n">
        <v>19</v>
      </c>
      <c r="L69" s="31">
        <f>K69/52</f>
        <v/>
      </c>
      <c r="M69" s="39">
        <f>J69/1000000*52</f>
        <v/>
      </c>
      <c r="N69" s="33">
        <f>M69/$P$4+($I$22/$P$4)</f>
        <v/>
      </c>
      <c r="U69">
        <f>F68</f>
        <v/>
      </c>
      <c r="V69">
        <f>H68</f>
        <v/>
      </c>
      <c r="W69">
        <f>N68</f>
        <v/>
      </c>
    </row>
    <row r="70" ht="15.75" customHeight="1" s="40">
      <c r="C70" s="36">
        <f>_xlfn.IFS(E70&lt;E$24,0,E70&lt;E$26,C$24,E70&lt;E$28,C$26,E70&lt;E$30,C$28,E70&lt;E$32,C$30,E70&lt;E$34,C$32,E70&gt;=E$34,C$34)</f>
        <v/>
      </c>
      <c r="D70" s="37">
        <f>_xlfn.IFS(E70&lt;E$24,0,E70&lt;E$25,D$24,E70&lt;E$26,D$25,E70&lt;E$27,D$26,E70&lt;E$28,D$27,E70&lt;E$29,D$28,E70&lt;E$30,D$29,E70&lt;E$31,D$30,E70&lt;E$32,D$31,E70&lt;E$33,D$32,E70&lt;E$34,D$33,E70&lt;E$35,D$34,E70&gt;=E$35,D$35)</f>
        <v/>
      </c>
      <c r="E70" s="38" t="n">
        <v>20</v>
      </c>
      <c r="F70" s="31">
        <f>E70/52</f>
        <v/>
      </c>
      <c r="G70" s="39">
        <f>D70/1000000*52</f>
        <v/>
      </c>
      <c r="H70" s="33">
        <f>G70/$P$4+($C$22/$P$4)</f>
        <v/>
      </c>
      <c r="I70" s="36">
        <f>_xlfn.IFS(K70&lt;K$24,0,K70&lt;K$26,I$24,K70&lt;K$28,I$26,K70&lt;K$30,I$28,K70&lt;K$32,I$30,K70&lt;K$34,I$32,K70&lt;K$36,I$34,K70&lt;K$38,I$36,K70&lt;K$40,I$38,K70&lt;K$42,I$40,K70&lt;K$44,I$42,K70&lt;K$46,I$44,K70&gt;=K$46,I$46)</f>
        <v/>
      </c>
      <c r="J70" s="37">
        <f>_xlfn.IFS(K70&lt;K$24,0,K70&lt;K$25,J$24,K70&lt;K$26,J$25,K70&lt;K$27,J$26,K70&lt;K$28,J$27,K70&lt;K$29,J$28,K70&lt;K$30,J$29,K70&lt;K$31,J$30,K70&lt;K$32,J$31,K70&lt;K$33,J$32,K70&lt;K$34,J$33,K70&lt;K$35,J$34,K70&lt;K$36,J$35,K70&lt;K$37,J$36,K70&lt;K$38,J$37,K70&lt;K$39,J$38,K70&lt;K$40,J$39,K70&lt;K$41,J$40,K70&lt;K$42,J$41,K70&lt;K$43,J$42,K70&lt;K$44,J$43,K70&lt;K$45,J$44,K70&lt;K$46,J$45,K70&lt;K$47,J$46,K70&gt;=K$47,J$47)</f>
        <v/>
      </c>
      <c r="K70" s="38" t="n">
        <v>20</v>
      </c>
      <c r="L70" s="31">
        <f>K70/52</f>
        <v/>
      </c>
      <c r="M70" s="39">
        <f>J70/1000000*52</f>
        <v/>
      </c>
      <c r="N70" s="33">
        <f>M70/$P$4+($I$22/$P$4)</f>
        <v/>
      </c>
      <c r="U70">
        <f>F69</f>
        <v/>
      </c>
      <c r="V70">
        <f>H69</f>
        <v/>
      </c>
      <c r="W70">
        <f>N69</f>
        <v/>
      </c>
    </row>
    <row r="71" ht="15.75" customHeight="1" s="40">
      <c r="C71" s="36">
        <f>_xlfn.IFS(E71&lt;E$24,0,E71&lt;E$26,C$24,E71&lt;E$28,C$26,E71&lt;E$30,C$28,E71&lt;E$32,C$30,E71&lt;E$34,C$32,E71&gt;=E$34,C$34)</f>
        <v/>
      </c>
      <c r="D71" s="37">
        <f>_xlfn.IFS(E71&lt;E$24,0,E71&lt;E$25,D$24,E71&lt;E$26,D$25,E71&lt;E$27,D$26,E71&lt;E$28,D$27,E71&lt;E$29,D$28,E71&lt;E$30,D$29,E71&lt;E$31,D$30,E71&lt;E$32,D$31,E71&lt;E$33,D$32,E71&lt;E$34,D$33,E71&lt;E$35,D$34,E71&gt;=E$35,D$35)</f>
        <v/>
      </c>
      <c r="E71" s="38" t="n">
        <v>21</v>
      </c>
      <c r="F71" s="31">
        <f>E71/52</f>
        <v/>
      </c>
      <c r="G71" s="39">
        <f>D71/1000000*52</f>
        <v/>
      </c>
      <c r="H71" s="33">
        <f>G71/$P$4+($C$22/$P$4)</f>
        <v/>
      </c>
      <c r="I71" s="36">
        <f>_xlfn.IFS(K71&lt;K$24,0,K71&lt;K$26,I$24,K71&lt;K$28,I$26,K71&lt;K$30,I$28,K71&lt;K$32,I$30,K71&lt;K$34,I$32,K71&lt;K$36,I$34,K71&lt;K$38,I$36,K71&lt;K$40,I$38,K71&lt;K$42,I$40,K71&lt;K$44,I$42,K71&lt;K$46,I$44,K71&gt;=K$46,I$46)</f>
        <v/>
      </c>
      <c r="J71" s="37">
        <f>_xlfn.IFS(K71&lt;K$24,0,K71&lt;K$25,J$24,K71&lt;K$26,J$25,K71&lt;K$27,J$26,K71&lt;K$28,J$27,K71&lt;K$29,J$28,K71&lt;K$30,J$29,K71&lt;K$31,J$30,K71&lt;K$32,J$31,K71&lt;K$33,J$32,K71&lt;K$34,J$33,K71&lt;K$35,J$34,K71&lt;K$36,J$35,K71&lt;K$37,J$36,K71&lt;K$38,J$37,K71&lt;K$39,J$38,K71&lt;K$40,J$39,K71&lt;K$41,J$40,K71&lt;K$42,J$41,K71&lt;K$43,J$42,K71&lt;K$44,J$43,K71&lt;K$45,J$44,K71&lt;K$46,J$45,K71&lt;K$47,J$46,K71&gt;=K$47,J$47)</f>
        <v/>
      </c>
      <c r="K71" s="38" t="n">
        <v>21</v>
      </c>
      <c r="L71" s="31">
        <f>K71/52</f>
        <v/>
      </c>
      <c r="M71" s="39">
        <f>J71/1000000*52</f>
        <v/>
      </c>
      <c r="N71" s="33">
        <f>M71/$P$4+($I$22/$P$4)</f>
        <v/>
      </c>
      <c r="U71">
        <f>F70</f>
        <v/>
      </c>
      <c r="V71">
        <f>H70</f>
        <v/>
      </c>
      <c r="W71">
        <f>N70</f>
        <v/>
      </c>
    </row>
    <row r="72" ht="15.75" customHeight="1" s="40">
      <c r="C72" s="36">
        <f>_xlfn.IFS(E72&lt;E$24,0,E72&lt;E$26,C$24,E72&lt;E$28,C$26,E72&lt;E$30,C$28,E72&lt;E$32,C$30,E72&lt;E$34,C$32,E72&gt;=E$34,C$34)</f>
        <v/>
      </c>
      <c r="D72" s="37">
        <f>_xlfn.IFS(E72&lt;E$24,0,E72&lt;E$25,D$24,E72&lt;E$26,D$25,E72&lt;E$27,D$26,E72&lt;E$28,D$27,E72&lt;E$29,D$28,E72&lt;E$30,D$29,E72&lt;E$31,D$30,E72&lt;E$32,D$31,E72&lt;E$33,D$32,E72&lt;E$34,D$33,E72&lt;E$35,D$34,E72&gt;=E$35,D$35)</f>
        <v/>
      </c>
      <c r="E72" s="38" t="n">
        <v>22</v>
      </c>
      <c r="F72" s="31">
        <f>E72/52</f>
        <v/>
      </c>
      <c r="G72" s="39">
        <f>D72/1000000*52</f>
        <v/>
      </c>
      <c r="H72" s="33">
        <f>G72/$P$4+($C$22/$P$4)</f>
        <v/>
      </c>
      <c r="I72" s="36">
        <f>_xlfn.IFS(K72&lt;K$24,0,K72&lt;K$26,I$24,K72&lt;K$28,I$26,K72&lt;K$30,I$28,K72&lt;K$32,I$30,K72&lt;K$34,I$32,K72&lt;K$36,I$34,K72&lt;K$38,I$36,K72&lt;K$40,I$38,K72&lt;K$42,I$40,K72&lt;K$44,I$42,K72&lt;K$46,I$44,K72&gt;=K$46,I$46)</f>
        <v/>
      </c>
      <c r="J72" s="37">
        <f>_xlfn.IFS(K72&lt;K$24,0,K72&lt;K$25,J$24,K72&lt;K$26,J$25,K72&lt;K$27,J$26,K72&lt;K$28,J$27,K72&lt;K$29,J$28,K72&lt;K$30,J$29,K72&lt;K$31,J$30,K72&lt;K$32,J$31,K72&lt;K$33,J$32,K72&lt;K$34,J$33,K72&lt;K$35,J$34,K72&lt;K$36,J$35,K72&lt;K$37,J$36,K72&lt;K$38,J$37,K72&lt;K$39,J$38,K72&lt;K$40,J$39,K72&lt;K$41,J$40,K72&lt;K$42,J$41,K72&lt;K$43,J$42,K72&lt;K$44,J$43,K72&lt;K$45,J$44,K72&lt;K$46,J$45,K72&lt;K$47,J$46,K72&gt;=K$47,J$47)</f>
        <v/>
      </c>
      <c r="K72" s="38" t="n">
        <v>22</v>
      </c>
      <c r="L72" s="31">
        <f>K72/52</f>
        <v/>
      </c>
      <c r="M72" s="39">
        <f>J72/1000000*52</f>
        <v/>
      </c>
      <c r="N72" s="33">
        <f>M72/$P$4+($I$22/$P$4)</f>
        <v/>
      </c>
      <c r="U72">
        <f>F71</f>
        <v/>
      </c>
      <c r="V72">
        <f>H71</f>
        <v/>
      </c>
      <c r="W72">
        <f>N71</f>
        <v/>
      </c>
    </row>
    <row r="73" ht="15.75" customHeight="1" s="40">
      <c r="C73" s="36">
        <f>_xlfn.IFS(E73&lt;E$24,0,E73&lt;E$26,C$24,E73&lt;E$28,C$26,E73&lt;E$30,C$28,E73&lt;E$32,C$30,E73&lt;E$34,C$32,E73&gt;=E$34,C$34)</f>
        <v/>
      </c>
      <c r="D73" s="37">
        <f>_xlfn.IFS(E73&lt;E$24,0,E73&lt;E$25,D$24,E73&lt;E$26,D$25,E73&lt;E$27,D$26,E73&lt;E$28,D$27,E73&lt;E$29,D$28,E73&lt;E$30,D$29,E73&lt;E$31,D$30,E73&lt;E$32,D$31,E73&lt;E$33,D$32,E73&lt;E$34,D$33,E73&lt;E$35,D$34,E73&gt;=E$35,D$35)</f>
        <v/>
      </c>
      <c r="E73" s="38" t="n">
        <v>23</v>
      </c>
      <c r="F73" s="31">
        <f>E73/52</f>
        <v/>
      </c>
      <c r="G73" s="39">
        <f>D73/1000000*52</f>
        <v/>
      </c>
      <c r="H73" s="33">
        <f>G73/$P$4+($C$22/$P$4)</f>
        <v/>
      </c>
      <c r="I73" s="36">
        <f>_xlfn.IFS(K73&lt;K$24,0,K73&lt;K$26,I$24,K73&lt;K$28,I$26,K73&lt;K$30,I$28,K73&lt;K$32,I$30,K73&lt;K$34,I$32,K73&lt;K$36,I$34,K73&lt;K$38,I$36,K73&lt;K$40,I$38,K73&lt;K$42,I$40,K73&lt;K$44,I$42,K73&lt;K$46,I$44,K73&gt;=K$46,I$46)</f>
        <v/>
      </c>
      <c r="J73" s="37">
        <f>_xlfn.IFS(K73&lt;K$24,0,K73&lt;K$25,J$24,K73&lt;K$26,J$25,K73&lt;K$27,J$26,K73&lt;K$28,J$27,K73&lt;K$29,J$28,K73&lt;K$30,J$29,K73&lt;K$31,J$30,K73&lt;K$32,J$31,K73&lt;K$33,J$32,K73&lt;K$34,J$33,K73&lt;K$35,J$34,K73&lt;K$36,J$35,K73&lt;K$37,J$36,K73&lt;K$38,J$37,K73&lt;K$39,J$38,K73&lt;K$40,J$39,K73&lt;K$41,J$40,K73&lt;K$42,J$41,K73&lt;K$43,J$42,K73&lt;K$44,J$43,K73&lt;K$45,J$44,K73&lt;K$46,J$45,K73&lt;K$47,J$46,K73&gt;=K$47,J$47)</f>
        <v/>
      </c>
      <c r="K73" s="38" t="n">
        <v>23</v>
      </c>
      <c r="L73" s="31">
        <f>K73/52</f>
        <v/>
      </c>
      <c r="M73" s="39">
        <f>J73/1000000*52</f>
        <v/>
      </c>
      <c r="N73" s="33">
        <f>M73/$P$4+($I$22/$P$4)</f>
        <v/>
      </c>
      <c r="U73">
        <f>F72</f>
        <v/>
      </c>
      <c r="V73">
        <f>H72</f>
        <v/>
      </c>
      <c r="W73">
        <f>N72</f>
        <v/>
      </c>
    </row>
    <row r="74" ht="15.75" customHeight="1" s="40">
      <c r="C74" s="36">
        <f>_xlfn.IFS(E74&lt;E$24,0,E74&lt;E$26,C$24,E74&lt;E$28,C$26,E74&lt;E$30,C$28,E74&lt;E$32,C$30,E74&lt;E$34,C$32,E74&gt;=E$34,C$34)</f>
        <v/>
      </c>
      <c r="D74" s="37">
        <f>_xlfn.IFS(E74&lt;E$24,0,E74&lt;E$25,D$24,E74&lt;E$26,D$25,E74&lt;E$27,D$26,E74&lt;E$28,D$27,E74&lt;E$29,D$28,E74&lt;E$30,D$29,E74&lt;E$31,D$30,E74&lt;E$32,D$31,E74&lt;E$33,D$32,E74&lt;E$34,D$33,E74&lt;E$35,D$34,E74&gt;=E$35,D$35)</f>
        <v/>
      </c>
      <c r="E74" s="38" t="n">
        <v>24</v>
      </c>
      <c r="F74" s="31">
        <f>E74/52</f>
        <v/>
      </c>
      <c r="G74" s="39">
        <f>D74/1000000*52</f>
        <v/>
      </c>
      <c r="H74" s="33">
        <f>G74/$P$4+($C$22/$P$4)</f>
        <v/>
      </c>
      <c r="I74" s="36">
        <f>_xlfn.IFS(K74&lt;K$24,0,K74&lt;K$26,I$24,K74&lt;K$28,I$26,K74&lt;K$30,I$28,K74&lt;K$32,I$30,K74&lt;K$34,I$32,K74&lt;K$36,I$34,K74&lt;K$38,I$36,K74&lt;K$40,I$38,K74&lt;K$42,I$40,K74&lt;K$44,I$42,K74&lt;K$46,I$44,K74&gt;=K$46,I$46)</f>
        <v/>
      </c>
      <c r="J74" s="37">
        <f>_xlfn.IFS(K74&lt;K$24,0,K74&lt;K$25,J$24,K74&lt;K$26,J$25,K74&lt;K$27,J$26,K74&lt;K$28,J$27,K74&lt;K$29,J$28,K74&lt;K$30,J$29,K74&lt;K$31,J$30,K74&lt;K$32,J$31,K74&lt;K$33,J$32,K74&lt;K$34,J$33,K74&lt;K$35,J$34,K74&lt;K$36,J$35,K74&lt;K$37,J$36,K74&lt;K$38,J$37,K74&lt;K$39,J$38,K74&lt;K$40,J$39,K74&lt;K$41,J$40,K74&lt;K$42,J$41,K74&lt;K$43,J$42,K74&lt;K$44,J$43,K74&lt;K$45,J$44,K74&lt;K$46,J$45,K74&lt;K$47,J$46,K74&gt;=K$47,J$47)</f>
        <v/>
      </c>
      <c r="K74" s="38" t="n">
        <v>24</v>
      </c>
      <c r="L74" s="31">
        <f>K74/52</f>
        <v/>
      </c>
      <c r="M74" s="39">
        <f>J74/1000000*52</f>
        <v/>
      </c>
      <c r="N74" s="33">
        <f>M74/$P$4+($I$22/$P$4)</f>
        <v/>
      </c>
      <c r="U74">
        <f>F73</f>
        <v/>
      </c>
      <c r="V74">
        <f>H73</f>
        <v/>
      </c>
      <c r="W74">
        <f>N73</f>
        <v/>
      </c>
    </row>
    <row r="75" ht="15.75" customHeight="1" s="40">
      <c r="C75" s="36">
        <f>_xlfn.IFS(E75&lt;E$24,0,E75&lt;E$26,C$24,E75&lt;E$28,C$26,E75&lt;E$30,C$28,E75&lt;E$32,C$30,E75&lt;E$34,C$32,E75&gt;=E$34,C$34)</f>
        <v/>
      </c>
      <c r="D75" s="37">
        <f>_xlfn.IFS(E75&lt;E$24,0,E75&lt;E$25,D$24,E75&lt;E$26,D$25,E75&lt;E$27,D$26,E75&lt;E$28,D$27,E75&lt;E$29,D$28,E75&lt;E$30,D$29,E75&lt;E$31,D$30,E75&lt;E$32,D$31,E75&lt;E$33,D$32,E75&lt;E$34,D$33,E75&lt;E$35,D$34,E75&gt;=E$35,D$35)</f>
        <v/>
      </c>
      <c r="E75" s="38" t="n">
        <v>25</v>
      </c>
      <c r="F75" s="31">
        <f>E75/52</f>
        <v/>
      </c>
      <c r="G75" s="39">
        <f>D75/1000000*52</f>
        <v/>
      </c>
      <c r="H75" s="33">
        <f>G75/$P$4+($C$22/$P$4)</f>
        <v/>
      </c>
      <c r="I75" s="36">
        <f>_xlfn.IFS(K75&lt;K$24,0,K75&lt;K$26,I$24,K75&lt;K$28,I$26,K75&lt;K$30,I$28,K75&lt;K$32,I$30,K75&lt;K$34,I$32,K75&lt;K$36,I$34,K75&lt;K$38,I$36,K75&lt;K$40,I$38,K75&lt;K$42,I$40,K75&lt;K$44,I$42,K75&lt;K$46,I$44,K75&gt;=K$46,I$46)</f>
        <v/>
      </c>
      <c r="J75" s="37">
        <f>_xlfn.IFS(K75&lt;K$24,0,K75&lt;K$25,J$24,K75&lt;K$26,J$25,K75&lt;K$27,J$26,K75&lt;K$28,J$27,K75&lt;K$29,J$28,K75&lt;K$30,J$29,K75&lt;K$31,J$30,K75&lt;K$32,J$31,K75&lt;K$33,J$32,K75&lt;K$34,J$33,K75&lt;K$35,J$34,K75&lt;K$36,J$35,K75&lt;K$37,J$36,K75&lt;K$38,J$37,K75&lt;K$39,J$38,K75&lt;K$40,J$39,K75&lt;K$41,J$40,K75&lt;K$42,J$41,K75&lt;K$43,J$42,K75&lt;K$44,J$43,K75&lt;K$45,J$44,K75&lt;K$46,J$45,K75&lt;K$47,J$46,K75&gt;=K$47,J$47)</f>
        <v/>
      </c>
      <c r="K75" s="38" t="n">
        <v>25</v>
      </c>
      <c r="L75" s="31">
        <f>K75/52</f>
        <v/>
      </c>
      <c r="M75" s="39">
        <f>J75/1000000*52</f>
        <v/>
      </c>
      <c r="N75" s="33">
        <f>M75/$P$4+($I$22/$P$4)</f>
        <v/>
      </c>
      <c r="U75">
        <f>F74</f>
        <v/>
      </c>
      <c r="V75">
        <f>H74</f>
        <v/>
      </c>
      <c r="W75">
        <f>N74</f>
        <v/>
      </c>
    </row>
    <row r="76" ht="15.75" customHeight="1" s="40">
      <c r="C76" s="36">
        <f>_xlfn.IFS(E76&lt;E$24,0,E76&lt;E$26,C$24,E76&lt;E$28,C$26,E76&lt;E$30,C$28,E76&lt;E$32,C$30,E76&lt;E$34,C$32,E76&gt;=E$34,C$34)</f>
        <v/>
      </c>
      <c r="D76" s="37">
        <f>_xlfn.IFS(E76&lt;E$24,0,E76&lt;E$25,D$24,E76&lt;E$26,D$25,E76&lt;E$27,D$26,E76&lt;E$28,D$27,E76&lt;E$29,D$28,E76&lt;E$30,D$29,E76&lt;E$31,D$30,E76&lt;E$32,D$31,E76&lt;E$33,D$32,E76&lt;E$34,D$33,E76&lt;E$35,D$34,E76&gt;=E$35,D$35)</f>
        <v/>
      </c>
      <c r="E76" s="38" t="n">
        <v>26</v>
      </c>
      <c r="F76" s="31">
        <f>E76/52</f>
        <v/>
      </c>
      <c r="G76" s="39">
        <f>D76/1000000*52</f>
        <v/>
      </c>
      <c r="H76" s="33">
        <f>G76/$P$4+($C$22/$P$4)</f>
        <v/>
      </c>
      <c r="I76" s="36">
        <f>_xlfn.IFS(K76&lt;K$24,0,K76&lt;K$26,I$24,K76&lt;K$28,I$26,K76&lt;K$30,I$28,K76&lt;K$32,I$30,K76&lt;K$34,I$32,K76&lt;K$36,I$34,K76&lt;K$38,I$36,K76&lt;K$40,I$38,K76&lt;K$42,I$40,K76&lt;K$44,I$42,K76&lt;K$46,I$44,K76&gt;=K$46,I$46)</f>
        <v/>
      </c>
      <c r="J76" s="37">
        <f>_xlfn.IFS(K76&lt;K$24,0,K76&lt;K$25,J$24,K76&lt;K$26,J$25,K76&lt;K$27,J$26,K76&lt;K$28,J$27,K76&lt;K$29,J$28,K76&lt;K$30,J$29,K76&lt;K$31,J$30,K76&lt;K$32,J$31,K76&lt;K$33,J$32,K76&lt;K$34,J$33,K76&lt;K$35,J$34,K76&lt;K$36,J$35,K76&lt;K$37,J$36,K76&lt;K$38,J$37,K76&lt;K$39,J$38,K76&lt;K$40,J$39,K76&lt;K$41,J$40,K76&lt;K$42,J$41,K76&lt;K$43,J$42,K76&lt;K$44,J$43,K76&lt;K$45,J$44,K76&lt;K$46,J$45,K76&lt;K$47,J$46,K76&gt;=K$47,J$47)</f>
        <v/>
      </c>
      <c r="K76" s="38" t="n">
        <v>26</v>
      </c>
      <c r="L76" s="31">
        <f>K76/52</f>
        <v/>
      </c>
      <c r="M76" s="39">
        <f>J76/1000000*52</f>
        <v/>
      </c>
      <c r="N76" s="33">
        <f>M76/$P$4+($I$22/$P$4)</f>
        <v/>
      </c>
      <c r="U76">
        <f>F75</f>
        <v/>
      </c>
      <c r="V76">
        <f>H75</f>
        <v/>
      </c>
      <c r="W76">
        <f>N75</f>
        <v/>
      </c>
    </row>
    <row r="77" ht="15.75" customHeight="1" s="40">
      <c r="C77" s="36">
        <f>_xlfn.IFS(E77&lt;E$24,0,E77&lt;E$26,C$24,E77&lt;E$28,C$26,E77&lt;E$30,C$28,E77&lt;E$32,C$30,E77&lt;E$34,C$32,E77&gt;=E$34,C$34)</f>
        <v/>
      </c>
      <c r="D77" s="37">
        <f>_xlfn.IFS(E77&lt;E$24,0,E77&lt;E$25,D$24,E77&lt;E$26,D$25,E77&lt;E$27,D$26,E77&lt;E$28,D$27,E77&lt;E$29,D$28,E77&lt;E$30,D$29,E77&lt;E$31,D$30,E77&lt;E$32,D$31,E77&lt;E$33,D$32,E77&lt;E$34,D$33,E77&lt;E$35,D$34,E77&gt;=E$35,D$35)</f>
        <v/>
      </c>
      <c r="E77" s="38" t="n">
        <v>27</v>
      </c>
      <c r="F77" s="31">
        <f>E77/52</f>
        <v/>
      </c>
      <c r="G77" s="39">
        <f>D77/1000000*52</f>
        <v/>
      </c>
      <c r="H77" s="33">
        <f>G77/$P$4+($C$22/$P$4)</f>
        <v/>
      </c>
      <c r="I77" s="36">
        <f>_xlfn.IFS(K77&lt;K$24,0,K77&lt;K$26,I$24,K77&lt;K$28,I$26,K77&lt;K$30,I$28,K77&lt;K$32,I$30,K77&lt;K$34,I$32,K77&lt;K$36,I$34,K77&lt;K$38,I$36,K77&lt;K$40,I$38,K77&lt;K$42,I$40,K77&lt;K$44,I$42,K77&lt;K$46,I$44,K77&gt;=K$46,I$46)</f>
        <v/>
      </c>
      <c r="J77" s="37">
        <f>_xlfn.IFS(K77&lt;K$24,0,K77&lt;K$25,J$24,K77&lt;K$26,J$25,K77&lt;K$27,J$26,K77&lt;K$28,J$27,K77&lt;K$29,J$28,K77&lt;K$30,J$29,K77&lt;K$31,J$30,K77&lt;K$32,J$31,K77&lt;K$33,J$32,K77&lt;K$34,J$33,K77&lt;K$35,J$34,K77&lt;K$36,J$35,K77&lt;K$37,J$36,K77&lt;K$38,J$37,K77&lt;K$39,J$38,K77&lt;K$40,J$39,K77&lt;K$41,J$40,K77&lt;K$42,J$41,K77&lt;K$43,J$42,K77&lt;K$44,J$43,K77&lt;K$45,J$44,K77&lt;K$46,J$45,K77&lt;K$47,J$46,K77&gt;=K$47,J$47)</f>
        <v/>
      </c>
      <c r="K77" s="38" t="n">
        <v>27</v>
      </c>
      <c r="L77" s="31">
        <f>K77/52</f>
        <v/>
      </c>
      <c r="M77" s="39">
        <f>J77/1000000*52</f>
        <v/>
      </c>
      <c r="N77" s="33">
        <f>M77/$P$4+($I$22/$P$4)</f>
        <v/>
      </c>
      <c r="U77">
        <f>F76</f>
        <v/>
      </c>
      <c r="V77">
        <f>H76</f>
        <v/>
      </c>
      <c r="W77">
        <f>N76</f>
        <v/>
      </c>
    </row>
    <row r="78" ht="15.75" customHeight="1" s="40">
      <c r="C78" s="36">
        <f>_xlfn.IFS(E78&lt;E$24,0,E78&lt;E$26,C$24,E78&lt;E$28,C$26,E78&lt;E$30,C$28,E78&lt;E$32,C$30,E78&lt;E$34,C$32,E78&gt;=E$34,C$34)</f>
        <v/>
      </c>
      <c r="D78" s="37">
        <f>_xlfn.IFS(E78&lt;E$24,0,E78&lt;E$25,D$24,E78&lt;E$26,D$25,E78&lt;E$27,D$26,E78&lt;E$28,D$27,E78&lt;E$29,D$28,E78&lt;E$30,D$29,E78&lt;E$31,D$30,E78&lt;E$32,D$31,E78&lt;E$33,D$32,E78&lt;E$34,D$33,E78&lt;E$35,D$34,E78&gt;=E$35,D$35)</f>
        <v/>
      </c>
      <c r="E78" s="38" t="n">
        <v>28</v>
      </c>
      <c r="F78" s="31">
        <f>E78/52</f>
        <v/>
      </c>
      <c r="G78" s="39">
        <f>D78/1000000*52</f>
        <v/>
      </c>
      <c r="H78" s="33">
        <f>G78/$P$4+($C$22/$P$4)</f>
        <v/>
      </c>
      <c r="I78" s="36">
        <f>_xlfn.IFS(K78&lt;K$24,0,K78&lt;K$26,I$24,K78&lt;K$28,I$26,K78&lt;K$30,I$28,K78&lt;K$32,I$30,K78&lt;K$34,I$32,K78&lt;K$36,I$34,K78&lt;K$38,I$36,K78&lt;K$40,I$38,K78&lt;K$42,I$40,K78&lt;K$44,I$42,K78&lt;K$46,I$44,K78&gt;=K$46,I$46)</f>
        <v/>
      </c>
      <c r="J78" s="37">
        <f>_xlfn.IFS(K78&lt;K$24,0,K78&lt;K$25,J$24,K78&lt;K$26,J$25,K78&lt;K$27,J$26,K78&lt;K$28,J$27,K78&lt;K$29,J$28,K78&lt;K$30,J$29,K78&lt;K$31,J$30,K78&lt;K$32,J$31,K78&lt;K$33,J$32,K78&lt;K$34,J$33,K78&lt;K$35,J$34,K78&lt;K$36,J$35,K78&lt;K$37,J$36,K78&lt;K$38,J$37,K78&lt;K$39,J$38,K78&lt;K$40,J$39,K78&lt;K$41,J$40,K78&lt;K$42,J$41,K78&lt;K$43,J$42,K78&lt;K$44,J$43,K78&lt;K$45,J$44,K78&lt;K$46,J$45,K78&lt;K$47,J$46,K78&gt;=K$47,J$47)</f>
        <v/>
      </c>
      <c r="K78" s="38" t="n">
        <v>28</v>
      </c>
      <c r="L78" s="31">
        <f>K78/52</f>
        <v/>
      </c>
      <c r="M78" s="39">
        <f>J78/1000000*52</f>
        <v/>
      </c>
      <c r="N78" s="33">
        <f>M78/$P$4+($I$22/$P$4)</f>
        <v/>
      </c>
      <c r="U78">
        <f>F77</f>
        <v/>
      </c>
      <c r="V78">
        <f>H77</f>
        <v/>
      </c>
      <c r="W78">
        <f>N77</f>
        <v/>
      </c>
    </row>
    <row r="79" ht="15.75" customHeight="1" s="40">
      <c r="C79" s="36">
        <f>_xlfn.IFS(E79&lt;E$24,0,E79&lt;E$26,C$24,E79&lt;E$28,C$26,E79&lt;E$30,C$28,E79&lt;E$32,C$30,E79&lt;E$34,C$32,E79&gt;=E$34,C$34)</f>
        <v/>
      </c>
      <c r="D79" s="37">
        <f>_xlfn.IFS(E79&lt;E$24,0,E79&lt;E$25,D$24,E79&lt;E$26,D$25,E79&lt;E$27,D$26,E79&lt;E$28,D$27,E79&lt;E$29,D$28,E79&lt;E$30,D$29,E79&lt;E$31,D$30,E79&lt;E$32,D$31,E79&lt;E$33,D$32,E79&lt;E$34,D$33,E79&lt;E$35,D$34,E79&gt;=E$35,D$35)</f>
        <v/>
      </c>
      <c r="E79" s="38" t="n">
        <v>29</v>
      </c>
      <c r="F79" s="31">
        <f>E79/52</f>
        <v/>
      </c>
      <c r="G79" s="39">
        <f>D79/1000000*52</f>
        <v/>
      </c>
      <c r="H79" s="33">
        <f>G79/$P$4+($C$22/$P$4)</f>
        <v/>
      </c>
      <c r="I79" s="36">
        <f>_xlfn.IFS(K79&lt;K$24,0,K79&lt;K$26,I$24,K79&lt;K$28,I$26,K79&lt;K$30,I$28,K79&lt;K$32,I$30,K79&lt;K$34,I$32,K79&lt;K$36,I$34,K79&lt;K$38,I$36,K79&lt;K$40,I$38,K79&lt;K$42,I$40,K79&lt;K$44,I$42,K79&lt;K$46,I$44,K79&gt;=K$46,I$46)</f>
        <v/>
      </c>
      <c r="J79" s="37">
        <f>_xlfn.IFS(K79&lt;K$24,0,K79&lt;K$25,J$24,K79&lt;K$26,J$25,K79&lt;K$27,J$26,K79&lt;K$28,J$27,K79&lt;K$29,J$28,K79&lt;K$30,J$29,K79&lt;K$31,J$30,K79&lt;K$32,J$31,K79&lt;K$33,J$32,K79&lt;K$34,J$33,K79&lt;K$35,J$34,K79&lt;K$36,J$35,K79&lt;K$37,J$36,K79&lt;K$38,J$37,K79&lt;K$39,J$38,K79&lt;K$40,J$39,K79&lt;K$41,J$40,K79&lt;K$42,J$41,K79&lt;K$43,J$42,K79&lt;K$44,J$43,K79&lt;K$45,J$44,K79&lt;K$46,J$45,K79&lt;K$47,J$46,K79&gt;=K$47,J$47)</f>
        <v/>
      </c>
      <c r="K79" s="38" t="n">
        <v>29</v>
      </c>
      <c r="L79" s="31">
        <f>K79/52</f>
        <v/>
      </c>
      <c r="M79" s="39">
        <f>J79/1000000*52</f>
        <v/>
      </c>
      <c r="N79" s="33">
        <f>M79/$P$4+($I$22/$P$4)</f>
        <v/>
      </c>
      <c r="U79">
        <f>F78</f>
        <v/>
      </c>
      <c r="V79">
        <f>H78</f>
        <v/>
      </c>
      <c r="W79">
        <f>N78</f>
        <v/>
      </c>
    </row>
    <row r="80" ht="15.75" customHeight="1" s="40">
      <c r="C80" s="36">
        <f>_xlfn.IFS(E80&lt;E$24,0,E80&lt;E$26,C$24,E80&lt;E$28,C$26,E80&lt;E$30,C$28,E80&lt;E$32,C$30,E80&lt;E$34,C$32,E80&gt;=E$34,C$34)</f>
        <v/>
      </c>
      <c r="D80" s="37">
        <f>_xlfn.IFS(E80&lt;E$24,0,E80&lt;E$25,D$24,E80&lt;E$26,D$25,E80&lt;E$27,D$26,E80&lt;E$28,D$27,E80&lt;E$29,D$28,E80&lt;E$30,D$29,E80&lt;E$31,D$30,E80&lt;E$32,D$31,E80&lt;E$33,D$32,E80&lt;E$34,D$33,E80&lt;E$35,D$34,E80&gt;=E$35,D$35)</f>
        <v/>
      </c>
      <c r="E80" s="38" t="n">
        <v>30</v>
      </c>
      <c r="F80" s="31">
        <f>E80/52</f>
        <v/>
      </c>
      <c r="G80" s="39">
        <f>D80/1000000*52</f>
        <v/>
      </c>
      <c r="H80" s="33">
        <f>G80/$P$4+($C$22/$P$4)</f>
        <v/>
      </c>
      <c r="I80" s="36">
        <f>_xlfn.IFS(K80&lt;K$24,0,K80&lt;K$26,I$24,K80&lt;K$28,I$26,K80&lt;K$30,I$28,K80&lt;K$32,I$30,K80&lt;K$34,I$32,K80&lt;K$36,I$34,K80&lt;K$38,I$36,K80&lt;K$40,I$38,K80&lt;K$42,I$40,K80&lt;K$44,I$42,K80&lt;K$46,I$44,K80&gt;=K$46,I$46)</f>
        <v/>
      </c>
      <c r="J80" s="37">
        <f>_xlfn.IFS(K80&lt;K$24,0,K80&lt;K$25,J$24,K80&lt;K$26,J$25,K80&lt;K$27,J$26,K80&lt;K$28,J$27,K80&lt;K$29,J$28,K80&lt;K$30,J$29,K80&lt;K$31,J$30,K80&lt;K$32,J$31,K80&lt;K$33,J$32,K80&lt;K$34,J$33,K80&lt;K$35,J$34,K80&lt;K$36,J$35,K80&lt;K$37,J$36,K80&lt;K$38,J$37,K80&lt;K$39,J$38,K80&lt;K$40,J$39,K80&lt;K$41,J$40,K80&lt;K$42,J$41,K80&lt;K$43,J$42,K80&lt;K$44,J$43,K80&lt;K$45,J$44,K80&lt;K$46,J$45,K80&lt;K$47,J$46,K80&gt;=K$47,J$47)</f>
        <v/>
      </c>
      <c r="K80" s="38" t="n">
        <v>30</v>
      </c>
      <c r="L80" s="31">
        <f>K80/52</f>
        <v/>
      </c>
      <c r="M80" s="39">
        <f>J80/1000000*52</f>
        <v/>
      </c>
      <c r="N80" s="33">
        <f>M80/$P$4+($I$22/$P$4)</f>
        <v/>
      </c>
      <c r="U80">
        <f>F79</f>
        <v/>
      </c>
      <c r="V80">
        <f>H79</f>
        <v/>
      </c>
      <c r="W80">
        <f>N79</f>
        <v/>
      </c>
    </row>
    <row r="81" ht="15.75" customHeight="1" s="40">
      <c r="C81" s="36">
        <f>_xlfn.IFS(E81&lt;E$24,0,E81&lt;E$26,C$24,E81&lt;E$28,C$26,E81&lt;E$30,C$28,E81&lt;E$32,C$30,E81&lt;E$34,C$32,E81&gt;=E$34,C$34)</f>
        <v/>
      </c>
      <c r="D81" s="37">
        <f>_xlfn.IFS(E81&lt;E$24,0,E81&lt;E$25,D$24,E81&lt;E$26,D$25,E81&lt;E$27,D$26,E81&lt;E$28,D$27,E81&lt;E$29,D$28,E81&lt;E$30,D$29,E81&lt;E$31,D$30,E81&lt;E$32,D$31,E81&lt;E$33,D$32,E81&lt;E$34,D$33,E81&lt;E$35,D$34,E81&gt;=E$35,D$35)</f>
        <v/>
      </c>
      <c r="E81" s="38" t="n">
        <v>31</v>
      </c>
      <c r="F81" s="31">
        <f>E81/52</f>
        <v/>
      </c>
      <c r="G81" s="39">
        <f>D81/1000000*52</f>
        <v/>
      </c>
      <c r="H81" s="33">
        <f>G81/$P$4+($C$22/$P$4)</f>
        <v/>
      </c>
      <c r="I81" s="36">
        <f>_xlfn.IFS(K81&lt;K$24,0,K81&lt;K$26,I$24,K81&lt;K$28,I$26,K81&lt;K$30,I$28,K81&lt;K$32,I$30,K81&lt;K$34,I$32,K81&lt;K$36,I$34,K81&lt;K$38,I$36,K81&lt;K$40,I$38,K81&lt;K$42,I$40,K81&lt;K$44,I$42,K81&lt;K$46,I$44,K81&gt;=K$46,I$46)</f>
        <v/>
      </c>
      <c r="J81" s="37">
        <f>_xlfn.IFS(K81&lt;K$24,0,K81&lt;K$25,J$24,K81&lt;K$26,J$25,K81&lt;K$27,J$26,K81&lt;K$28,J$27,K81&lt;K$29,J$28,K81&lt;K$30,J$29,K81&lt;K$31,J$30,K81&lt;K$32,J$31,K81&lt;K$33,J$32,K81&lt;K$34,J$33,K81&lt;K$35,J$34,K81&lt;K$36,J$35,K81&lt;K$37,J$36,K81&lt;K$38,J$37,K81&lt;K$39,J$38,K81&lt;K$40,J$39,K81&lt;K$41,J$40,K81&lt;K$42,J$41,K81&lt;K$43,J$42,K81&lt;K$44,J$43,K81&lt;K$45,J$44,K81&lt;K$46,J$45,K81&lt;K$47,J$46,K81&gt;=K$47,J$47)</f>
        <v/>
      </c>
      <c r="K81" s="38" t="n">
        <v>31</v>
      </c>
      <c r="L81" s="31">
        <f>K81/52</f>
        <v/>
      </c>
      <c r="M81" s="39">
        <f>J81/1000000*52</f>
        <v/>
      </c>
      <c r="N81" s="33">
        <f>M81/$P$4+($I$22/$P$4)</f>
        <v/>
      </c>
      <c r="U81">
        <f>F80</f>
        <v/>
      </c>
      <c r="V81">
        <f>H80</f>
        <v/>
      </c>
      <c r="W81">
        <f>N80</f>
        <v/>
      </c>
    </row>
    <row r="82" ht="15.75" customHeight="1" s="40">
      <c r="C82" s="36">
        <f>_xlfn.IFS(E82&lt;E$24,0,E82&lt;E$26,C$24,E82&lt;E$28,C$26,E82&lt;E$30,C$28,E82&lt;E$32,C$30,E82&lt;E$34,C$32,E82&gt;=E$34,C$34)</f>
        <v/>
      </c>
      <c r="D82" s="37">
        <f>_xlfn.IFS(E82&lt;E$24,0,E82&lt;E$25,D$24,E82&lt;E$26,D$25,E82&lt;E$27,D$26,E82&lt;E$28,D$27,E82&lt;E$29,D$28,E82&lt;E$30,D$29,E82&lt;E$31,D$30,E82&lt;E$32,D$31,E82&lt;E$33,D$32,E82&lt;E$34,D$33,E82&lt;E$35,D$34,E82&gt;=E$35,D$35)</f>
        <v/>
      </c>
      <c r="E82" s="38" t="n">
        <v>32</v>
      </c>
      <c r="F82" s="31">
        <f>E82/52</f>
        <v/>
      </c>
      <c r="G82" s="39">
        <f>D82/1000000*52</f>
        <v/>
      </c>
      <c r="H82" s="33">
        <f>G82/$P$4+($C$22/$P$4)</f>
        <v/>
      </c>
      <c r="I82" s="36">
        <f>_xlfn.IFS(K82&lt;K$24,0,K82&lt;K$26,I$24,K82&lt;K$28,I$26,K82&lt;K$30,I$28,K82&lt;K$32,I$30,K82&lt;K$34,I$32,K82&lt;K$36,I$34,K82&lt;K$38,I$36,K82&lt;K$40,I$38,K82&lt;K$42,I$40,K82&lt;K$44,I$42,K82&lt;K$46,I$44,K82&gt;=K$46,I$46)</f>
        <v/>
      </c>
      <c r="J82" s="37">
        <f>_xlfn.IFS(K82&lt;K$24,0,K82&lt;K$25,J$24,K82&lt;K$26,J$25,K82&lt;K$27,J$26,K82&lt;K$28,J$27,K82&lt;K$29,J$28,K82&lt;K$30,J$29,K82&lt;K$31,J$30,K82&lt;K$32,J$31,K82&lt;K$33,J$32,K82&lt;K$34,J$33,K82&lt;K$35,J$34,K82&lt;K$36,J$35,K82&lt;K$37,J$36,K82&lt;K$38,J$37,K82&lt;K$39,J$38,K82&lt;K$40,J$39,K82&lt;K$41,J$40,K82&lt;K$42,J$41,K82&lt;K$43,J$42,K82&lt;K$44,J$43,K82&lt;K$45,J$44,K82&lt;K$46,J$45,K82&lt;K$47,J$46,K82&gt;=K$47,J$47)</f>
        <v/>
      </c>
      <c r="K82" s="38" t="n">
        <v>32</v>
      </c>
      <c r="L82" s="31">
        <f>K82/52</f>
        <v/>
      </c>
      <c r="M82" s="39">
        <f>J82/1000000*52</f>
        <v/>
      </c>
      <c r="N82" s="33">
        <f>M82/$P$4+($I$22/$P$4)</f>
        <v/>
      </c>
      <c r="U82">
        <f>F81</f>
        <v/>
      </c>
      <c r="V82">
        <f>H81</f>
        <v/>
      </c>
      <c r="W82">
        <f>N81</f>
        <v/>
      </c>
    </row>
    <row r="83" ht="15.75" customHeight="1" s="40">
      <c r="C83" s="36">
        <f>_xlfn.IFS(E83&lt;E$24,0,E83&lt;E$26,C$24,E83&lt;E$28,C$26,E83&lt;E$30,C$28,E83&lt;E$32,C$30,E83&lt;E$34,C$32,E83&gt;=E$34,C$34)</f>
        <v/>
      </c>
      <c r="D83" s="37">
        <f>_xlfn.IFS(E83&lt;E$24,0,E83&lt;E$25,D$24,E83&lt;E$26,D$25,E83&lt;E$27,D$26,E83&lt;E$28,D$27,E83&lt;E$29,D$28,E83&lt;E$30,D$29,E83&lt;E$31,D$30,E83&lt;E$32,D$31,E83&lt;E$33,D$32,E83&lt;E$34,D$33,E83&lt;E$35,D$34,E83&gt;=E$35,D$35)</f>
        <v/>
      </c>
      <c r="E83" s="38" t="n">
        <v>33</v>
      </c>
      <c r="F83" s="31">
        <f>E83/52</f>
        <v/>
      </c>
      <c r="G83" s="39">
        <f>D83/1000000*52</f>
        <v/>
      </c>
      <c r="H83" s="33">
        <f>G83/$P$4+($C$22/$P$4)</f>
        <v/>
      </c>
      <c r="I83" s="36">
        <f>_xlfn.IFS(K83&lt;K$24,0,K83&lt;K$26,I$24,K83&lt;K$28,I$26,K83&lt;K$30,I$28,K83&lt;K$32,I$30,K83&lt;K$34,I$32,K83&lt;K$36,I$34,K83&lt;K$38,I$36,K83&lt;K$40,I$38,K83&lt;K$42,I$40,K83&lt;K$44,I$42,K83&lt;K$46,I$44,K83&gt;=K$46,I$46)</f>
        <v/>
      </c>
      <c r="J83" s="37">
        <f>_xlfn.IFS(K83&lt;K$24,0,K83&lt;K$25,J$24,K83&lt;K$26,J$25,K83&lt;K$27,J$26,K83&lt;K$28,J$27,K83&lt;K$29,J$28,K83&lt;K$30,J$29,K83&lt;K$31,J$30,K83&lt;K$32,J$31,K83&lt;K$33,J$32,K83&lt;K$34,J$33,K83&lt;K$35,J$34,K83&lt;K$36,J$35,K83&lt;K$37,J$36,K83&lt;K$38,J$37,K83&lt;K$39,J$38,K83&lt;K$40,J$39,K83&lt;K$41,J$40,K83&lt;K$42,J$41,K83&lt;K$43,J$42,K83&lt;K$44,J$43,K83&lt;K$45,J$44,K83&lt;K$46,J$45,K83&lt;K$47,J$46,K83&gt;=K$47,J$47)</f>
        <v/>
      </c>
      <c r="K83" s="38" t="n">
        <v>33</v>
      </c>
      <c r="L83" s="31">
        <f>K83/52</f>
        <v/>
      </c>
      <c r="M83" s="39">
        <f>J83/1000000*52</f>
        <v/>
      </c>
      <c r="N83" s="33">
        <f>M83/$P$4+($I$22/$P$4)</f>
        <v/>
      </c>
      <c r="U83">
        <f>F82</f>
        <v/>
      </c>
      <c r="V83">
        <f>H82</f>
        <v/>
      </c>
      <c r="W83">
        <f>N82</f>
        <v/>
      </c>
    </row>
    <row r="84" ht="15.75" customHeight="1" s="40">
      <c r="C84" s="36">
        <f>_xlfn.IFS(E84&lt;E$24,0,E84&lt;E$26,C$24,E84&lt;E$28,C$26,E84&lt;E$30,C$28,E84&lt;E$32,C$30,E84&lt;E$34,C$32,E84&gt;=E$34,C$34)</f>
        <v/>
      </c>
      <c r="D84" s="37">
        <f>_xlfn.IFS(E84&lt;E$24,0,E84&lt;E$25,D$24,E84&lt;E$26,D$25,E84&lt;E$27,D$26,E84&lt;E$28,D$27,E84&lt;E$29,D$28,E84&lt;E$30,D$29,E84&lt;E$31,D$30,E84&lt;E$32,D$31,E84&lt;E$33,D$32,E84&lt;E$34,D$33,E84&lt;E$35,D$34,E84&gt;=E$35,D$35)</f>
        <v/>
      </c>
      <c r="E84" s="38" t="n">
        <v>34</v>
      </c>
      <c r="F84" s="31">
        <f>E84/52</f>
        <v/>
      </c>
      <c r="G84" s="39">
        <f>D84/1000000*52</f>
        <v/>
      </c>
      <c r="H84" s="33">
        <f>G84/$P$4+($C$22/$P$4)</f>
        <v/>
      </c>
      <c r="I84" s="36">
        <f>_xlfn.IFS(K84&lt;K$24,0,K84&lt;K$26,I$24,K84&lt;K$28,I$26,K84&lt;K$30,I$28,K84&lt;K$32,I$30,K84&lt;K$34,I$32,K84&lt;K$36,I$34,K84&lt;K$38,I$36,K84&lt;K$40,I$38,K84&lt;K$42,I$40,K84&lt;K$44,I$42,K84&lt;K$46,I$44,K84&gt;=K$46,I$46)</f>
        <v/>
      </c>
      <c r="J84" s="37">
        <f>_xlfn.IFS(K84&lt;K$24,0,K84&lt;K$25,J$24,K84&lt;K$26,J$25,K84&lt;K$27,J$26,K84&lt;K$28,J$27,K84&lt;K$29,J$28,K84&lt;K$30,J$29,K84&lt;K$31,J$30,K84&lt;K$32,J$31,K84&lt;K$33,J$32,K84&lt;K$34,J$33,K84&lt;K$35,J$34,K84&lt;K$36,J$35,K84&lt;K$37,J$36,K84&lt;K$38,J$37,K84&lt;K$39,J$38,K84&lt;K$40,J$39,K84&lt;K$41,J$40,K84&lt;K$42,J$41,K84&lt;K$43,J$42,K84&lt;K$44,J$43,K84&lt;K$45,J$44,K84&lt;K$46,J$45,K84&lt;K$47,J$46,K84&gt;=K$47,J$47)</f>
        <v/>
      </c>
      <c r="K84" s="38" t="n">
        <v>34</v>
      </c>
      <c r="L84" s="31">
        <f>K84/52</f>
        <v/>
      </c>
      <c r="M84" s="39">
        <f>J84/1000000*52</f>
        <v/>
      </c>
      <c r="N84" s="33">
        <f>M84/$P$4+($I$22/$P$4)</f>
        <v/>
      </c>
      <c r="U84">
        <f>F83</f>
        <v/>
      </c>
      <c r="V84">
        <f>H83</f>
        <v/>
      </c>
      <c r="W84">
        <f>N83</f>
        <v/>
      </c>
    </row>
    <row r="85" ht="15.75" customHeight="1" s="40">
      <c r="C85" s="36">
        <f>_xlfn.IFS(E85&lt;E$24,0,E85&lt;E$26,C$24,E85&lt;E$28,C$26,E85&lt;E$30,C$28,E85&lt;E$32,C$30,E85&lt;E$34,C$32,E85&gt;=E$34,C$34)</f>
        <v/>
      </c>
      <c r="D85" s="37">
        <f>_xlfn.IFS(E85&lt;E$24,0,E85&lt;E$25,D$24,E85&lt;E$26,D$25,E85&lt;E$27,D$26,E85&lt;E$28,D$27,E85&lt;E$29,D$28,E85&lt;E$30,D$29,E85&lt;E$31,D$30,E85&lt;E$32,D$31,E85&lt;E$33,D$32,E85&lt;E$34,D$33,E85&lt;E$35,D$34,E85&gt;=E$35,D$35)</f>
        <v/>
      </c>
      <c r="E85" s="38" t="n">
        <v>35</v>
      </c>
      <c r="F85" s="31">
        <f>E85/52</f>
        <v/>
      </c>
      <c r="G85" s="39">
        <f>D85/1000000*52</f>
        <v/>
      </c>
      <c r="H85" s="33">
        <f>G85/$P$4+($C$22/$P$4)</f>
        <v/>
      </c>
      <c r="I85" s="36">
        <f>_xlfn.IFS(K85&lt;K$24,0,K85&lt;K$26,I$24,K85&lt;K$28,I$26,K85&lt;K$30,I$28,K85&lt;K$32,I$30,K85&lt;K$34,I$32,K85&lt;K$36,I$34,K85&lt;K$38,I$36,K85&lt;K$40,I$38,K85&lt;K$42,I$40,K85&lt;K$44,I$42,K85&lt;K$46,I$44,K85&gt;=K$46,I$46)</f>
        <v/>
      </c>
      <c r="J85" s="37">
        <f>_xlfn.IFS(K85&lt;K$24,0,K85&lt;K$25,J$24,K85&lt;K$26,J$25,K85&lt;K$27,J$26,K85&lt;K$28,J$27,K85&lt;K$29,J$28,K85&lt;K$30,J$29,K85&lt;K$31,J$30,K85&lt;K$32,J$31,K85&lt;K$33,J$32,K85&lt;K$34,J$33,K85&lt;K$35,J$34,K85&lt;K$36,J$35,K85&lt;K$37,J$36,K85&lt;K$38,J$37,K85&lt;K$39,J$38,K85&lt;K$40,J$39,K85&lt;K$41,J$40,K85&lt;K$42,J$41,K85&lt;K$43,J$42,K85&lt;K$44,J$43,K85&lt;K$45,J$44,K85&lt;K$46,J$45,K85&lt;K$47,J$46,K85&gt;=K$47,J$47)</f>
        <v/>
      </c>
      <c r="K85" s="38" t="n">
        <v>35</v>
      </c>
      <c r="L85" s="31">
        <f>K85/52</f>
        <v/>
      </c>
      <c r="M85" s="39">
        <f>J85/1000000*52</f>
        <v/>
      </c>
      <c r="N85" s="33">
        <f>M85/$P$4+($I$22/$P$4)</f>
        <v/>
      </c>
      <c r="U85">
        <f>F84</f>
        <v/>
      </c>
      <c r="V85">
        <f>H84</f>
        <v/>
      </c>
      <c r="W85">
        <f>N84</f>
        <v/>
      </c>
    </row>
    <row r="86" ht="15.75" customHeight="1" s="40">
      <c r="C86" s="36">
        <f>_xlfn.IFS(E86&lt;E$24,0,E86&lt;E$26,C$24,E86&lt;E$28,C$26,E86&lt;E$30,C$28,E86&lt;E$32,C$30,E86&lt;E$34,C$32,E86&gt;=E$34,C$34)</f>
        <v/>
      </c>
      <c r="D86" s="37">
        <f>_xlfn.IFS(E86&lt;E$24,0,E86&lt;E$25,D$24,E86&lt;E$26,D$25,E86&lt;E$27,D$26,E86&lt;E$28,D$27,E86&lt;E$29,D$28,E86&lt;E$30,D$29,E86&lt;E$31,D$30,E86&lt;E$32,D$31,E86&lt;E$33,D$32,E86&lt;E$34,D$33,E86&lt;E$35,D$34,E86&gt;=E$35,D$35)</f>
        <v/>
      </c>
      <c r="E86" s="38" t="n">
        <v>36</v>
      </c>
      <c r="F86" s="31">
        <f>E86/52</f>
        <v/>
      </c>
      <c r="G86" s="39">
        <f>D86/1000000*52</f>
        <v/>
      </c>
      <c r="H86" s="33">
        <f>G86/$P$4+($C$22/$P$4)</f>
        <v/>
      </c>
      <c r="I86" s="36">
        <f>_xlfn.IFS(K86&lt;K$24,0,K86&lt;K$26,I$24,K86&lt;K$28,I$26,K86&lt;K$30,I$28,K86&lt;K$32,I$30,K86&lt;K$34,I$32,K86&lt;K$36,I$34,K86&lt;K$38,I$36,K86&lt;K$40,I$38,K86&lt;K$42,I$40,K86&lt;K$44,I$42,K86&lt;K$46,I$44,K86&gt;=K$46,I$46)</f>
        <v/>
      </c>
      <c r="J86" s="37">
        <f>_xlfn.IFS(K86&lt;K$24,0,K86&lt;K$25,J$24,K86&lt;K$26,J$25,K86&lt;K$27,J$26,K86&lt;K$28,J$27,K86&lt;K$29,J$28,K86&lt;K$30,J$29,K86&lt;K$31,J$30,K86&lt;K$32,J$31,K86&lt;K$33,J$32,K86&lt;K$34,J$33,K86&lt;K$35,J$34,K86&lt;K$36,J$35,K86&lt;K$37,J$36,K86&lt;K$38,J$37,K86&lt;K$39,J$38,K86&lt;K$40,J$39,K86&lt;K$41,J$40,K86&lt;K$42,J$41,K86&lt;K$43,J$42,K86&lt;K$44,J$43,K86&lt;K$45,J$44,K86&lt;K$46,J$45,K86&lt;K$47,J$46,K86&gt;=K$47,J$47)</f>
        <v/>
      </c>
      <c r="K86" s="38" t="n">
        <v>36</v>
      </c>
      <c r="L86" s="31">
        <f>K86/52</f>
        <v/>
      </c>
      <c r="M86" s="39">
        <f>J86/1000000*52</f>
        <v/>
      </c>
      <c r="N86" s="33">
        <f>M86/$P$4+($I$22/$P$4)</f>
        <v/>
      </c>
      <c r="U86">
        <f>F85</f>
        <v/>
      </c>
      <c r="V86">
        <f>H85</f>
        <v/>
      </c>
      <c r="W86">
        <f>N85</f>
        <v/>
      </c>
    </row>
    <row r="87" ht="15.75" customHeight="1" s="40">
      <c r="C87" s="36">
        <f>_xlfn.IFS(E87&lt;E$24,0,E87&lt;E$26,C$24,E87&lt;E$28,C$26,E87&lt;E$30,C$28,E87&lt;E$32,C$30,E87&lt;E$34,C$32,E87&gt;=E$34,C$34)</f>
        <v/>
      </c>
      <c r="D87" s="37">
        <f>_xlfn.IFS(E87&lt;E$24,0,E87&lt;E$25,D$24,E87&lt;E$26,D$25,E87&lt;E$27,D$26,E87&lt;E$28,D$27,E87&lt;E$29,D$28,E87&lt;E$30,D$29,E87&lt;E$31,D$30,E87&lt;E$32,D$31,E87&lt;E$33,D$32,E87&lt;E$34,D$33,E87&lt;E$35,D$34,E87&gt;=E$35,D$35)</f>
        <v/>
      </c>
      <c r="E87" s="38" t="n">
        <v>37</v>
      </c>
      <c r="F87" s="31">
        <f>E87/52</f>
        <v/>
      </c>
      <c r="G87" s="39">
        <f>D87/1000000*52</f>
        <v/>
      </c>
      <c r="H87" s="33">
        <f>G87/$P$4+($C$22/$P$4)</f>
        <v/>
      </c>
      <c r="I87" s="36">
        <f>_xlfn.IFS(K87&lt;K$24,0,K87&lt;K$26,I$24,K87&lt;K$28,I$26,K87&lt;K$30,I$28,K87&lt;K$32,I$30,K87&lt;K$34,I$32,K87&lt;K$36,I$34,K87&lt;K$38,I$36,K87&lt;K$40,I$38,K87&lt;K$42,I$40,K87&lt;K$44,I$42,K87&lt;K$46,I$44,K87&gt;=K$46,I$46)</f>
        <v/>
      </c>
      <c r="J87" s="37">
        <f>_xlfn.IFS(K87&lt;K$24,0,K87&lt;K$25,J$24,K87&lt;K$26,J$25,K87&lt;K$27,J$26,K87&lt;K$28,J$27,K87&lt;K$29,J$28,K87&lt;K$30,J$29,K87&lt;K$31,J$30,K87&lt;K$32,J$31,K87&lt;K$33,J$32,K87&lt;K$34,J$33,K87&lt;K$35,J$34,K87&lt;K$36,J$35,K87&lt;K$37,J$36,K87&lt;K$38,J$37,K87&lt;K$39,J$38,K87&lt;K$40,J$39,K87&lt;K$41,J$40,K87&lt;K$42,J$41,K87&lt;K$43,J$42,K87&lt;K$44,J$43,K87&lt;K$45,J$44,K87&lt;K$46,J$45,K87&lt;K$47,J$46,K87&gt;=K$47,J$47)</f>
        <v/>
      </c>
      <c r="K87" s="38" t="n">
        <v>37</v>
      </c>
      <c r="L87" s="31">
        <f>K87/52</f>
        <v/>
      </c>
      <c r="M87" s="39">
        <f>J87/1000000*52</f>
        <v/>
      </c>
      <c r="N87" s="33">
        <f>M87/$P$4+($I$22/$P$4)</f>
        <v/>
      </c>
      <c r="U87">
        <f>F86</f>
        <v/>
      </c>
      <c r="V87">
        <f>H86</f>
        <v/>
      </c>
      <c r="W87">
        <f>N86</f>
        <v/>
      </c>
    </row>
    <row r="88" ht="15.75" customHeight="1" s="40">
      <c r="C88" s="36">
        <f>_xlfn.IFS(E88&lt;E$24,0,E88&lt;E$26,C$24,E88&lt;E$28,C$26,E88&lt;E$30,C$28,E88&lt;E$32,C$30,E88&lt;E$34,C$32,E88&gt;=E$34,C$34)</f>
        <v/>
      </c>
      <c r="D88" s="37">
        <f>_xlfn.IFS(E88&lt;E$24,0,E88&lt;E$25,D$24,E88&lt;E$26,D$25,E88&lt;E$27,D$26,E88&lt;E$28,D$27,E88&lt;E$29,D$28,E88&lt;E$30,D$29,E88&lt;E$31,D$30,E88&lt;E$32,D$31,E88&lt;E$33,D$32,E88&lt;E$34,D$33,E88&lt;E$35,D$34,E88&gt;=E$35,D$35)</f>
        <v/>
      </c>
      <c r="E88" s="38" t="n">
        <v>38</v>
      </c>
      <c r="F88" s="31">
        <f>E88/52</f>
        <v/>
      </c>
      <c r="G88" s="39">
        <f>D88/1000000*52</f>
        <v/>
      </c>
      <c r="H88" s="33">
        <f>G88/$P$4+($C$22/$P$4)</f>
        <v/>
      </c>
      <c r="I88" s="36">
        <f>_xlfn.IFS(K88&lt;K$24,0,K88&lt;K$26,I$24,K88&lt;K$28,I$26,K88&lt;K$30,I$28,K88&lt;K$32,I$30,K88&lt;K$34,I$32,K88&lt;K$36,I$34,K88&lt;K$38,I$36,K88&lt;K$40,I$38,K88&lt;K$42,I$40,K88&lt;K$44,I$42,K88&lt;K$46,I$44,K88&gt;=K$46,I$46)</f>
        <v/>
      </c>
      <c r="J88" s="37">
        <f>_xlfn.IFS(K88&lt;K$24,0,K88&lt;K$25,J$24,K88&lt;K$26,J$25,K88&lt;K$27,J$26,K88&lt;K$28,J$27,K88&lt;K$29,J$28,K88&lt;K$30,J$29,K88&lt;K$31,J$30,K88&lt;K$32,J$31,K88&lt;K$33,J$32,K88&lt;K$34,J$33,K88&lt;K$35,J$34,K88&lt;K$36,J$35,K88&lt;K$37,J$36,K88&lt;K$38,J$37,K88&lt;K$39,J$38,K88&lt;K$40,J$39,K88&lt;K$41,J$40,K88&lt;K$42,J$41,K88&lt;K$43,J$42,K88&lt;K$44,J$43,K88&lt;K$45,J$44,K88&lt;K$46,J$45,K88&lt;K$47,J$46,K88&gt;=K$47,J$47)</f>
        <v/>
      </c>
      <c r="K88" s="38" t="n">
        <v>38</v>
      </c>
      <c r="L88" s="31">
        <f>K88/52</f>
        <v/>
      </c>
      <c r="M88" s="39">
        <f>J88/1000000*52</f>
        <v/>
      </c>
      <c r="N88" s="33">
        <f>M88/$P$4+($I$22/$P$4)</f>
        <v/>
      </c>
      <c r="U88">
        <f>F87</f>
        <v/>
      </c>
      <c r="V88">
        <f>H87</f>
        <v/>
      </c>
      <c r="W88">
        <f>N87</f>
        <v/>
      </c>
    </row>
    <row r="89" ht="15.75" customHeight="1" s="40">
      <c r="C89" s="36">
        <f>_xlfn.IFS(E89&lt;E$24,0,E89&lt;E$26,C$24,E89&lt;E$28,C$26,E89&lt;E$30,C$28,E89&lt;E$32,C$30,E89&lt;E$34,C$32,E89&gt;=E$34,C$34)</f>
        <v/>
      </c>
      <c r="D89" s="37">
        <f>_xlfn.IFS(E89&lt;E$24,0,E89&lt;E$25,D$24,E89&lt;E$26,D$25,E89&lt;E$27,D$26,E89&lt;E$28,D$27,E89&lt;E$29,D$28,E89&lt;E$30,D$29,E89&lt;E$31,D$30,E89&lt;E$32,D$31,E89&lt;E$33,D$32,E89&lt;E$34,D$33,E89&lt;E$35,D$34,E89&gt;=E$35,D$35)</f>
        <v/>
      </c>
      <c r="E89" s="38" t="n">
        <v>39</v>
      </c>
      <c r="F89" s="31">
        <f>E89/52</f>
        <v/>
      </c>
      <c r="G89" s="39">
        <f>D89/1000000*52</f>
        <v/>
      </c>
      <c r="H89" s="33">
        <f>G89/$P$4+($C$22/$P$4)</f>
        <v/>
      </c>
      <c r="I89" s="36">
        <f>_xlfn.IFS(K89&lt;K$24,0,K89&lt;K$26,I$24,K89&lt;K$28,I$26,K89&lt;K$30,I$28,K89&lt;K$32,I$30,K89&lt;K$34,I$32,K89&lt;K$36,I$34,K89&lt;K$38,I$36,K89&lt;K$40,I$38,K89&lt;K$42,I$40,K89&lt;K$44,I$42,K89&lt;K$46,I$44,K89&gt;=K$46,I$46)</f>
        <v/>
      </c>
      <c r="J89" s="37">
        <f>_xlfn.IFS(K89&lt;K$24,0,K89&lt;K$25,J$24,K89&lt;K$26,J$25,K89&lt;K$27,J$26,K89&lt;K$28,J$27,K89&lt;K$29,J$28,K89&lt;K$30,J$29,K89&lt;K$31,J$30,K89&lt;K$32,J$31,K89&lt;K$33,J$32,K89&lt;K$34,J$33,K89&lt;K$35,J$34,K89&lt;K$36,J$35,K89&lt;K$37,J$36,K89&lt;K$38,J$37,K89&lt;K$39,J$38,K89&lt;K$40,J$39,K89&lt;K$41,J$40,K89&lt;K$42,J$41,K89&lt;K$43,J$42,K89&lt;K$44,J$43,K89&lt;K$45,J$44,K89&lt;K$46,J$45,K89&lt;K$47,J$46,K89&gt;=K$47,J$47)</f>
        <v/>
      </c>
      <c r="K89" s="38" t="n">
        <v>39</v>
      </c>
      <c r="L89" s="31">
        <f>K89/52</f>
        <v/>
      </c>
      <c r="M89" s="39">
        <f>J89/1000000*52</f>
        <v/>
      </c>
      <c r="N89" s="33">
        <f>M89/$P$4+($I$22/$P$4)</f>
        <v/>
      </c>
      <c r="U89">
        <f>F88</f>
        <v/>
      </c>
      <c r="V89">
        <f>H88</f>
        <v/>
      </c>
      <c r="W89">
        <f>N88</f>
        <v/>
      </c>
    </row>
    <row r="90" ht="15.75" customHeight="1" s="40">
      <c r="C90" s="36">
        <f>_xlfn.IFS(E90&lt;E$24,0,E90&lt;E$26,C$24,E90&lt;E$28,C$26,E90&lt;E$30,C$28,E90&lt;E$32,C$30,E90&lt;E$34,C$32,E90&gt;=E$34,C$34)</f>
        <v/>
      </c>
      <c r="D90" s="37">
        <f>_xlfn.IFS(E90&lt;E$24,0,E90&lt;E$25,D$24,E90&lt;E$26,D$25,E90&lt;E$27,D$26,E90&lt;E$28,D$27,E90&lt;E$29,D$28,E90&lt;E$30,D$29,E90&lt;E$31,D$30,E90&lt;E$32,D$31,E90&lt;E$33,D$32,E90&lt;E$34,D$33,E90&lt;E$35,D$34,E90&gt;=E$35,D$35)</f>
        <v/>
      </c>
      <c r="E90" s="38" t="n">
        <v>40</v>
      </c>
      <c r="F90" s="31">
        <f>E90/52</f>
        <v/>
      </c>
      <c r="G90" s="39">
        <f>D90/1000000*52</f>
        <v/>
      </c>
      <c r="H90" s="33">
        <f>G90/$P$4+($C$22/$P$4)</f>
        <v/>
      </c>
      <c r="I90" s="36">
        <f>_xlfn.IFS(K90&lt;K$24,0,K90&lt;K$26,I$24,K90&lt;K$28,I$26,K90&lt;K$30,I$28,K90&lt;K$32,I$30,K90&lt;K$34,I$32,K90&lt;K$36,I$34,K90&lt;K$38,I$36,K90&lt;K$40,I$38,K90&lt;K$42,I$40,K90&lt;K$44,I$42,K90&lt;K$46,I$44,K90&gt;=K$46,I$46)</f>
        <v/>
      </c>
      <c r="J90" s="37">
        <f>_xlfn.IFS(K90&lt;K$24,0,K90&lt;K$25,J$24,K90&lt;K$26,J$25,K90&lt;K$27,J$26,K90&lt;K$28,J$27,K90&lt;K$29,J$28,K90&lt;K$30,J$29,K90&lt;K$31,J$30,K90&lt;K$32,J$31,K90&lt;K$33,J$32,K90&lt;K$34,J$33,K90&lt;K$35,J$34,K90&lt;K$36,J$35,K90&lt;K$37,J$36,K90&lt;K$38,J$37,K90&lt;K$39,J$38,K90&lt;K$40,J$39,K90&lt;K$41,J$40,K90&lt;K$42,J$41,K90&lt;K$43,J$42,K90&lt;K$44,J$43,K90&lt;K$45,J$44,K90&lt;K$46,J$45,K90&lt;K$47,J$46,K90&gt;=K$47,J$47)</f>
        <v/>
      </c>
      <c r="K90" s="38" t="n">
        <v>40</v>
      </c>
      <c r="L90" s="31">
        <f>K90/52</f>
        <v/>
      </c>
      <c r="M90" s="39">
        <f>J90/1000000*52</f>
        <v/>
      </c>
      <c r="N90" s="33">
        <f>M90/$P$4+($I$22/$P$4)</f>
        <v/>
      </c>
      <c r="U90">
        <f>F89</f>
        <v/>
      </c>
      <c r="V90">
        <f>H89</f>
        <v/>
      </c>
      <c r="W90">
        <f>N89</f>
        <v/>
      </c>
    </row>
    <row r="91" ht="15.75" customHeight="1" s="40">
      <c r="C91" s="36">
        <f>_xlfn.IFS(E91&lt;E$24,0,E91&lt;E$26,C$24,E91&lt;E$28,C$26,E91&lt;E$30,C$28,E91&lt;E$32,C$30,E91&lt;E$34,C$32,E91&gt;=E$34,C$34)</f>
        <v/>
      </c>
      <c r="D91" s="37">
        <f>_xlfn.IFS(E91&lt;E$24,0,E91&lt;E$25,D$24,E91&lt;E$26,D$25,E91&lt;E$27,D$26,E91&lt;E$28,D$27,E91&lt;E$29,D$28,E91&lt;E$30,D$29,E91&lt;E$31,D$30,E91&lt;E$32,D$31,E91&lt;E$33,D$32,E91&lt;E$34,D$33,E91&lt;E$35,D$34,E91&gt;=E$35,D$35)</f>
        <v/>
      </c>
      <c r="E91" s="38" t="n">
        <v>41</v>
      </c>
      <c r="F91" s="31">
        <f>E91/52</f>
        <v/>
      </c>
      <c r="G91" s="39">
        <f>D91/1000000*52</f>
        <v/>
      </c>
      <c r="H91" s="33">
        <f>G91/$P$4+($C$22/$P$4)</f>
        <v/>
      </c>
      <c r="I91" s="36">
        <f>_xlfn.IFS(K91&lt;K$24,0,K91&lt;K$26,I$24,K91&lt;K$28,I$26,K91&lt;K$30,I$28,K91&lt;K$32,I$30,K91&lt;K$34,I$32,K91&lt;K$36,I$34,K91&lt;K$38,I$36,K91&lt;K$40,I$38,K91&lt;K$42,I$40,K91&lt;K$44,I$42,K91&lt;K$46,I$44,K91&gt;=K$46,I$46)</f>
        <v/>
      </c>
      <c r="J91" s="37">
        <f>_xlfn.IFS(K91&lt;K$24,0,K91&lt;K$25,J$24,K91&lt;K$26,J$25,K91&lt;K$27,J$26,K91&lt;K$28,J$27,K91&lt;K$29,J$28,K91&lt;K$30,J$29,K91&lt;K$31,J$30,K91&lt;K$32,J$31,K91&lt;K$33,J$32,K91&lt;K$34,J$33,K91&lt;K$35,J$34,K91&lt;K$36,J$35,K91&lt;K$37,J$36,K91&lt;K$38,J$37,K91&lt;K$39,J$38,K91&lt;K$40,J$39,K91&lt;K$41,J$40,K91&lt;K$42,J$41,K91&lt;K$43,J$42,K91&lt;K$44,J$43,K91&lt;K$45,J$44,K91&lt;K$46,J$45,K91&lt;K$47,J$46,K91&gt;=K$47,J$47)</f>
        <v/>
      </c>
      <c r="K91" s="38" t="n">
        <v>41</v>
      </c>
      <c r="L91" s="31">
        <f>K91/52</f>
        <v/>
      </c>
      <c r="M91" s="39">
        <f>J91/1000000*52</f>
        <v/>
      </c>
      <c r="N91" s="33">
        <f>M91/$P$4+($I$22/$P$4)</f>
        <v/>
      </c>
      <c r="U91">
        <f>F90</f>
        <v/>
      </c>
      <c r="V91">
        <f>H90</f>
        <v/>
      </c>
      <c r="W91">
        <f>N90</f>
        <v/>
      </c>
    </row>
    <row r="92" ht="15.75" customHeight="1" s="40">
      <c r="C92" s="36">
        <f>_xlfn.IFS(E92&lt;E$24,0,E92&lt;E$26,C$24,E92&lt;E$28,C$26,E92&lt;E$30,C$28,E92&lt;E$32,C$30,E92&lt;E$34,C$32,E92&gt;=E$34,C$34)</f>
        <v/>
      </c>
      <c r="D92" s="37">
        <f>_xlfn.IFS(E92&lt;E$24,0,E92&lt;E$25,D$24,E92&lt;E$26,D$25,E92&lt;E$27,D$26,E92&lt;E$28,D$27,E92&lt;E$29,D$28,E92&lt;E$30,D$29,E92&lt;E$31,D$30,E92&lt;E$32,D$31,E92&lt;E$33,D$32,E92&lt;E$34,D$33,E92&lt;E$35,D$34,E92&gt;=E$35,D$35)</f>
        <v/>
      </c>
      <c r="E92" s="38" t="n">
        <v>42</v>
      </c>
      <c r="F92" s="31">
        <f>E92/52</f>
        <v/>
      </c>
      <c r="G92" s="39">
        <f>D92/1000000*52</f>
        <v/>
      </c>
      <c r="H92" s="33">
        <f>G92/$P$4+($C$22/$P$4)</f>
        <v/>
      </c>
      <c r="I92" s="36">
        <f>_xlfn.IFS(K92&lt;K$24,0,K92&lt;K$26,I$24,K92&lt;K$28,I$26,K92&lt;K$30,I$28,K92&lt;K$32,I$30,K92&lt;K$34,I$32,K92&lt;K$36,I$34,K92&lt;K$38,I$36,K92&lt;K$40,I$38,K92&lt;K$42,I$40,K92&lt;K$44,I$42,K92&lt;K$46,I$44,K92&gt;=K$46,I$46)</f>
        <v/>
      </c>
      <c r="J92" s="37">
        <f>_xlfn.IFS(K92&lt;K$24,0,K92&lt;K$25,J$24,K92&lt;K$26,J$25,K92&lt;K$27,J$26,K92&lt;K$28,J$27,K92&lt;K$29,J$28,K92&lt;K$30,J$29,K92&lt;K$31,J$30,K92&lt;K$32,J$31,K92&lt;K$33,J$32,K92&lt;K$34,J$33,K92&lt;K$35,J$34,K92&lt;K$36,J$35,K92&lt;K$37,J$36,K92&lt;K$38,J$37,K92&lt;K$39,J$38,K92&lt;K$40,J$39,K92&lt;K$41,J$40,K92&lt;K$42,J$41,K92&lt;K$43,J$42,K92&lt;K$44,J$43,K92&lt;K$45,J$44,K92&lt;K$46,J$45,K92&lt;K$47,J$46,K92&gt;=K$47,J$47)</f>
        <v/>
      </c>
      <c r="K92" s="38" t="n">
        <v>42</v>
      </c>
      <c r="L92" s="31">
        <f>K92/52</f>
        <v/>
      </c>
      <c r="M92" s="39">
        <f>J92/1000000*52</f>
        <v/>
      </c>
      <c r="N92" s="33">
        <f>M92/$P$4+($I$22/$P$4)</f>
        <v/>
      </c>
      <c r="U92">
        <f>F91</f>
        <v/>
      </c>
      <c r="V92">
        <f>H91</f>
        <v/>
      </c>
      <c r="W92">
        <f>N91</f>
        <v/>
      </c>
    </row>
    <row r="93" ht="15.75" customHeight="1" s="40">
      <c r="C93" s="36">
        <f>_xlfn.IFS(E93&lt;E$24,0,E93&lt;E$26,C$24,E93&lt;E$28,C$26,E93&lt;E$30,C$28,E93&lt;E$32,C$30,E93&lt;E$34,C$32,E93&gt;=E$34,C$34)</f>
        <v/>
      </c>
      <c r="D93" s="37">
        <f>_xlfn.IFS(E93&lt;E$24,0,E93&lt;E$25,D$24,E93&lt;E$26,D$25,E93&lt;E$27,D$26,E93&lt;E$28,D$27,E93&lt;E$29,D$28,E93&lt;E$30,D$29,E93&lt;E$31,D$30,E93&lt;E$32,D$31,E93&lt;E$33,D$32,E93&lt;E$34,D$33,E93&lt;E$35,D$34,E93&gt;=E$35,D$35)</f>
        <v/>
      </c>
      <c r="E93" s="38" t="n">
        <v>43</v>
      </c>
      <c r="F93" s="31">
        <f>E93/52</f>
        <v/>
      </c>
      <c r="G93" s="39">
        <f>D93/1000000*52</f>
        <v/>
      </c>
      <c r="H93" s="33">
        <f>G93/$P$4+($C$22/$P$4)</f>
        <v/>
      </c>
      <c r="I93" s="36">
        <f>_xlfn.IFS(K93&lt;K$24,0,K93&lt;K$26,I$24,K93&lt;K$28,I$26,K93&lt;K$30,I$28,K93&lt;K$32,I$30,K93&lt;K$34,I$32,K93&lt;K$36,I$34,K93&lt;K$38,I$36,K93&lt;K$40,I$38,K93&lt;K$42,I$40,K93&lt;K$44,I$42,K93&lt;K$46,I$44,K93&gt;=K$46,I$46)</f>
        <v/>
      </c>
      <c r="J93" s="37">
        <f>_xlfn.IFS(K93&lt;K$24,0,K93&lt;K$25,J$24,K93&lt;K$26,J$25,K93&lt;K$27,J$26,K93&lt;K$28,J$27,K93&lt;K$29,J$28,K93&lt;K$30,J$29,K93&lt;K$31,J$30,K93&lt;K$32,J$31,K93&lt;K$33,J$32,K93&lt;K$34,J$33,K93&lt;K$35,J$34,K93&lt;K$36,J$35,K93&lt;K$37,J$36,K93&lt;K$38,J$37,K93&lt;K$39,J$38,K93&lt;K$40,J$39,K93&lt;K$41,J$40,K93&lt;K$42,J$41,K93&lt;K$43,J$42,K93&lt;K$44,J$43,K93&lt;K$45,J$44,K93&lt;K$46,J$45,K93&lt;K$47,J$46,K93&gt;=K$47,J$47)</f>
        <v/>
      </c>
      <c r="K93" s="38" t="n">
        <v>43</v>
      </c>
      <c r="L93" s="31">
        <f>K93/52</f>
        <v/>
      </c>
      <c r="M93" s="39">
        <f>J93/1000000*52</f>
        <v/>
      </c>
      <c r="N93" s="33">
        <f>M93/$P$4+($I$22/$P$4)</f>
        <v/>
      </c>
      <c r="U93">
        <f>F92</f>
        <v/>
      </c>
      <c r="V93">
        <f>H92</f>
        <v/>
      </c>
      <c r="W93">
        <f>N92</f>
        <v/>
      </c>
    </row>
    <row r="94" ht="15.75" customHeight="1" s="40">
      <c r="C94" s="36">
        <f>_xlfn.IFS(E94&lt;E$24,0,E94&lt;E$26,C$24,E94&lt;E$28,C$26,E94&lt;E$30,C$28,E94&lt;E$32,C$30,E94&lt;E$34,C$32,E94&gt;=E$34,C$34)</f>
        <v/>
      </c>
      <c r="D94" s="37">
        <f>_xlfn.IFS(E94&lt;E$24,0,E94&lt;E$25,D$24,E94&lt;E$26,D$25,E94&lt;E$27,D$26,E94&lt;E$28,D$27,E94&lt;E$29,D$28,E94&lt;E$30,D$29,E94&lt;E$31,D$30,E94&lt;E$32,D$31,E94&lt;E$33,D$32,E94&lt;E$34,D$33,E94&lt;E$35,D$34,E94&gt;=E$35,D$35)</f>
        <v/>
      </c>
      <c r="E94" s="38" t="n">
        <v>44</v>
      </c>
      <c r="F94" s="31">
        <f>E94/52</f>
        <v/>
      </c>
      <c r="G94" s="39">
        <f>D94/1000000*52</f>
        <v/>
      </c>
      <c r="H94" s="33">
        <f>G94/$P$4+($C$22/$P$4)</f>
        <v/>
      </c>
      <c r="I94" s="36">
        <f>_xlfn.IFS(K94&lt;K$24,0,K94&lt;K$26,I$24,K94&lt;K$28,I$26,K94&lt;K$30,I$28,K94&lt;K$32,I$30,K94&lt;K$34,I$32,K94&lt;K$36,I$34,K94&lt;K$38,I$36,K94&lt;K$40,I$38,K94&lt;K$42,I$40,K94&lt;K$44,I$42,K94&lt;K$46,I$44,K94&gt;=K$46,I$46)</f>
        <v/>
      </c>
      <c r="J94" s="37">
        <f>_xlfn.IFS(K94&lt;K$24,0,K94&lt;K$25,J$24,K94&lt;K$26,J$25,K94&lt;K$27,J$26,K94&lt;K$28,J$27,K94&lt;K$29,J$28,K94&lt;K$30,J$29,K94&lt;K$31,J$30,K94&lt;K$32,J$31,K94&lt;K$33,J$32,K94&lt;K$34,J$33,K94&lt;K$35,J$34,K94&lt;K$36,J$35,K94&lt;K$37,J$36,K94&lt;K$38,J$37,K94&lt;K$39,J$38,K94&lt;K$40,J$39,K94&lt;K$41,J$40,K94&lt;K$42,J$41,K94&lt;K$43,J$42,K94&lt;K$44,J$43,K94&lt;K$45,J$44,K94&lt;K$46,J$45,K94&lt;K$47,J$46,K94&gt;=K$47,J$47)</f>
        <v/>
      </c>
      <c r="K94" s="38" t="n">
        <v>44</v>
      </c>
      <c r="L94" s="31">
        <f>K94/52</f>
        <v/>
      </c>
      <c r="M94" s="39">
        <f>J94/1000000*52</f>
        <v/>
      </c>
      <c r="N94" s="33">
        <f>M94/$P$4+($I$22/$P$4)</f>
        <v/>
      </c>
      <c r="U94">
        <f>F93</f>
        <v/>
      </c>
      <c r="V94">
        <f>H93</f>
        <v/>
      </c>
      <c r="W94">
        <f>N93</f>
        <v/>
      </c>
    </row>
    <row r="95" ht="15.75" customHeight="1" s="40">
      <c r="C95" s="36">
        <f>_xlfn.IFS(E95&lt;E$24,0,E95&lt;E$26,C$24,E95&lt;E$28,C$26,E95&lt;E$30,C$28,E95&lt;E$32,C$30,E95&lt;E$34,C$32,E95&gt;=E$34,C$34)</f>
        <v/>
      </c>
      <c r="D95" s="37">
        <f>_xlfn.IFS(E95&lt;E$24,0,E95&lt;E$25,D$24,E95&lt;E$26,D$25,E95&lt;E$27,D$26,E95&lt;E$28,D$27,E95&lt;E$29,D$28,E95&lt;E$30,D$29,E95&lt;E$31,D$30,E95&lt;E$32,D$31,E95&lt;E$33,D$32,E95&lt;E$34,D$33,E95&lt;E$35,D$34,E95&gt;=E$35,D$35)</f>
        <v/>
      </c>
      <c r="E95" s="38" t="n">
        <v>45</v>
      </c>
      <c r="F95" s="31">
        <f>E95/52</f>
        <v/>
      </c>
      <c r="G95" s="39">
        <f>D95/1000000*52</f>
        <v/>
      </c>
      <c r="H95" s="33">
        <f>G95/$P$4+($C$22/$P$4)</f>
        <v/>
      </c>
      <c r="I95" s="36">
        <f>_xlfn.IFS(K95&lt;K$24,0,K95&lt;K$26,I$24,K95&lt;K$28,I$26,K95&lt;K$30,I$28,K95&lt;K$32,I$30,K95&lt;K$34,I$32,K95&lt;K$36,I$34,K95&lt;K$38,I$36,K95&lt;K$40,I$38,K95&lt;K$42,I$40,K95&lt;K$44,I$42,K95&lt;K$46,I$44,K95&gt;=K$46,I$46)</f>
        <v/>
      </c>
      <c r="J95" s="37">
        <f>_xlfn.IFS(K95&lt;K$24,0,K95&lt;K$25,J$24,K95&lt;K$26,J$25,K95&lt;K$27,J$26,K95&lt;K$28,J$27,K95&lt;K$29,J$28,K95&lt;K$30,J$29,K95&lt;K$31,J$30,K95&lt;K$32,J$31,K95&lt;K$33,J$32,K95&lt;K$34,J$33,K95&lt;K$35,J$34,K95&lt;K$36,J$35,K95&lt;K$37,J$36,K95&lt;K$38,J$37,K95&lt;K$39,J$38,K95&lt;K$40,J$39,K95&lt;K$41,J$40,K95&lt;K$42,J$41,K95&lt;K$43,J$42,K95&lt;K$44,J$43,K95&lt;K$45,J$44,K95&lt;K$46,J$45,K95&lt;K$47,J$46,K95&gt;=K$47,J$47)</f>
        <v/>
      </c>
      <c r="K95" s="38" t="n">
        <v>45</v>
      </c>
      <c r="L95" s="31">
        <f>K95/52</f>
        <v/>
      </c>
      <c r="M95" s="39">
        <f>J95/1000000*52</f>
        <v/>
      </c>
      <c r="N95" s="33">
        <f>M95/$P$4+($I$22/$P$4)</f>
        <v/>
      </c>
      <c r="U95">
        <f>F94</f>
        <v/>
      </c>
      <c r="V95">
        <f>H94</f>
        <v/>
      </c>
      <c r="W95">
        <f>N94</f>
        <v/>
      </c>
    </row>
    <row r="96" ht="15.75" customHeight="1" s="40">
      <c r="C96" s="36">
        <f>_xlfn.IFS(E96&lt;E$24,0,E96&lt;E$26,C$24,E96&lt;E$28,C$26,E96&lt;E$30,C$28,E96&lt;E$32,C$30,E96&lt;E$34,C$32,E96&gt;=E$34,C$34)</f>
        <v/>
      </c>
      <c r="D96" s="37">
        <f>_xlfn.IFS(E96&lt;E$24,0,E96&lt;E$25,D$24,E96&lt;E$26,D$25,E96&lt;E$27,D$26,E96&lt;E$28,D$27,E96&lt;E$29,D$28,E96&lt;E$30,D$29,E96&lt;E$31,D$30,E96&lt;E$32,D$31,E96&lt;E$33,D$32,E96&lt;E$34,D$33,E96&lt;E$35,D$34,E96&gt;=E$35,D$35)</f>
        <v/>
      </c>
      <c r="E96" s="38" t="n">
        <v>46</v>
      </c>
      <c r="F96" s="31">
        <f>E96/52</f>
        <v/>
      </c>
      <c r="G96" s="39">
        <f>D96/1000000*52</f>
        <v/>
      </c>
      <c r="H96" s="33">
        <f>G96/$P$4+($C$22/$P$4)</f>
        <v/>
      </c>
      <c r="I96" s="36">
        <f>_xlfn.IFS(K96&lt;K$24,0,K96&lt;K$26,I$24,K96&lt;K$28,I$26,K96&lt;K$30,I$28,K96&lt;K$32,I$30,K96&lt;K$34,I$32,K96&lt;K$36,I$34,K96&lt;K$38,I$36,K96&lt;K$40,I$38,K96&lt;K$42,I$40,K96&lt;K$44,I$42,K96&lt;K$46,I$44,K96&gt;=K$46,I$46)</f>
        <v/>
      </c>
      <c r="J96" s="37">
        <f>_xlfn.IFS(K96&lt;K$24,0,K96&lt;K$25,J$24,K96&lt;K$26,J$25,K96&lt;K$27,J$26,K96&lt;K$28,J$27,K96&lt;K$29,J$28,K96&lt;K$30,J$29,K96&lt;K$31,J$30,K96&lt;K$32,J$31,K96&lt;K$33,J$32,K96&lt;K$34,J$33,K96&lt;K$35,J$34,K96&lt;K$36,J$35,K96&lt;K$37,J$36,K96&lt;K$38,J$37,K96&lt;K$39,J$38,K96&lt;K$40,J$39,K96&lt;K$41,J$40,K96&lt;K$42,J$41,K96&lt;K$43,J$42,K96&lt;K$44,J$43,K96&lt;K$45,J$44,K96&lt;K$46,J$45,K96&lt;K$47,J$46,K96&gt;=K$47,J$47)</f>
        <v/>
      </c>
      <c r="K96" s="38" t="n">
        <v>46</v>
      </c>
      <c r="L96" s="31">
        <f>K96/52</f>
        <v/>
      </c>
      <c r="M96" s="39">
        <f>J96/1000000*52</f>
        <v/>
      </c>
      <c r="N96" s="33">
        <f>M96/$P$4+($I$22/$P$4)</f>
        <v/>
      </c>
      <c r="U96">
        <f>F95</f>
        <v/>
      </c>
      <c r="V96">
        <f>H95</f>
        <v/>
      </c>
      <c r="W96">
        <f>N95</f>
        <v/>
      </c>
    </row>
    <row r="97" ht="15.75" customHeight="1" s="40">
      <c r="C97" s="36">
        <f>_xlfn.IFS(E97&lt;E$24,0,E97&lt;E$26,C$24,E97&lt;E$28,C$26,E97&lt;E$30,C$28,E97&lt;E$32,C$30,E97&lt;E$34,C$32,E97&gt;=E$34,C$34)</f>
        <v/>
      </c>
      <c r="D97" s="37">
        <f>_xlfn.IFS(E97&lt;E$24,0,E97&lt;E$25,D$24,E97&lt;E$26,D$25,E97&lt;E$27,D$26,E97&lt;E$28,D$27,E97&lt;E$29,D$28,E97&lt;E$30,D$29,E97&lt;E$31,D$30,E97&lt;E$32,D$31,E97&lt;E$33,D$32,E97&lt;E$34,D$33,E97&lt;E$35,D$34,E97&gt;=E$35,D$35)</f>
        <v/>
      </c>
      <c r="E97" s="38" t="n">
        <v>47</v>
      </c>
      <c r="F97" s="31">
        <f>E97/52</f>
        <v/>
      </c>
      <c r="G97" s="39">
        <f>D97/1000000*52</f>
        <v/>
      </c>
      <c r="H97" s="33">
        <f>G97/$P$4+($C$22/$P$4)</f>
        <v/>
      </c>
      <c r="I97" s="36">
        <f>_xlfn.IFS(K97&lt;K$24,0,K97&lt;K$26,I$24,K97&lt;K$28,I$26,K97&lt;K$30,I$28,K97&lt;K$32,I$30,K97&lt;K$34,I$32,K97&lt;K$36,I$34,K97&lt;K$38,I$36,K97&lt;K$40,I$38,K97&lt;K$42,I$40,K97&lt;K$44,I$42,K97&lt;K$46,I$44,K97&gt;=K$46,I$46)</f>
        <v/>
      </c>
      <c r="J97" s="37">
        <f>_xlfn.IFS(K97&lt;K$24,0,K97&lt;K$25,J$24,K97&lt;K$26,J$25,K97&lt;K$27,J$26,K97&lt;K$28,J$27,K97&lt;K$29,J$28,K97&lt;K$30,J$29,K97&lt;K$31,J$30,K97&lt;K$32,J$31,K97&lt;K$33,J$32,K97&lt;K$34,J$33,K97&lt;K$35,J$34,K97&lt;K$36,J$35,K97&lt;K$37,J$36,K97&lt;K$38,J$37,K97&lt;K$39,J$38,K97&lt;K$40,J$39,K97&lt;K$41,J$40,K97&lt;K$42,J$41,K97&lt;K$43,J$42,K97&lt;K$44,J$43,K97&lt;K$45,J$44,K97&lt;K$46,J$45,K97&lt;K$47,J$46,K97&gt;=K$47,J$47)</f>
        <v/>
      </c>
      <c r="K97" s="38" t="n">
        <v>47</v>
      </c>
      <c r="L97" s="31">
        <f>K97/52</f>
        <v/>
      </c>
      <c r="M97" s="39">
        <f>J97/1000000*52</f>
        <v/>
      </c>
      <c r="N97" s="33">
        <f>M97/$P$4+($I$22/$P$4)</f>
        <v/>
      </c>
      <c r="U97">
        <f>F96</f>
        <v/>
      </c>
      <c r="V97">
        <f>H96</f>
        <v/>
      </c>
      <c r="W97">
        <f>N96</f>
        <v/>
      </c>
    </row>
    <row r="98" ht="15.75" customHeight="1" s="40">
      <c r="C98" s="36">
        <f>_xlfn.IFS(E98&lt;E$24,0,E98&lt;E$26,C$24,E98&lt;E$28,C$26,E98&lt;E$30,C$28,E98&lt;E$32,C$30,E98&lt;E$34,C$32,E98&gt;=E$34,C$34)</f>
        <v/>
      </c>
      <c r="D98" s="37">
        <f>_xlfn.IFS(E98&lt;E$24,0,E98&lt;E$25,D$24,E98&lt;E$26,D$25,E98&lt;E$27,D$26,E98&lt;E$28,D$27,E98&lt;E$29,D$28,E98&lt;E$30,D$29,E98&lt;E$31,D$30,E98&lt;E$32,D$31,E98&lt;E$33,D$32,E98&lt;E$34,D$33,E98&lt;E$35,D$34,E98&gt;=E$35,D$35)</f>
        <v/>
      </c>
      <c r="E98" s="38" t="n">
        <v>48</v>
      </c>
      <c r="F98" s="31">
        <f>E98/52</f>
        <v/>
      </c>
      <c r="G98" s="39">
        <f>D98/1000000*52</f>
        <v/>
      </c>
      <c r="H98" s="33">
        <f>G98/$P$4+($C$22/$P$4)</f>
        <v/>
      </c>
      <c r="I98" s="36">
        <f>_xlfn.IFS(K98&lt;K$24,0,K98&lt;K$26,I$24,K98&lt;K$28,I$26,K98&lt;K$30,I$28,K98&lt;K$32,I$30,K98&lt;K$34,I$32,K98&lt;K$36,I$34,K98&lt;K$38,I$36,K98&lt;K$40,I$38,K98&lt;K$42,I$40,K98&lt;K$44,I$42,K98&lt;K$46,I$44,K98&gt;=K$46,I$46)</f>
        <v/>
      </c>
      <c r="J98" s="37">
        <f>_xlfn.IFS(K98&lt;K$24,0,K98&lt;K$25,J$24,K98&lt;K$26,J$25,K98&lt;K$27,J$26,K98&lt;K$28,J$27,K98&lt;K$29,J$28,K98&lt;K$30,J$29,K98&lt;K$31,J$30,K98&lt;K$32,J$31,K98&lt;K$33,J$32,K98&lt;K$34,J$33,K98&lt;K$35,J$34,K98&lt;K$36,J$35,K98&lt;K$37,J$36,K98&lt;K$38,J$37,K98&lt;K$39,J$38,K98&lt;K$40,J$39,K98&lt;K$41,J$40,K98&lt;K$42,J$41,K98&lt;K$43,J$42,K98&lt;K$44,J$43,K98&lt;K$45,J$44,K98&lt;K$46,J$45,K98&lt;K$47,J$46,K98&gt;=K$47,J$47)</f>
        <v/>
      </c>
      <c r="K98" s="38" t="n">
        <v>48</v>
      </c>
      <c r="L98" s="31">
        <f>K98/52</f>
        <v/>
      </c>
      <c r="M98" s="39">
        <f>J98/1000000*52</f>
        <v/>
      </c>
      <c r="N98" s="33">
        <f>M98/$P$4+($I$22/$P$4)</f>
        <v/>
      </c>
      <c r="U98">
        <f>F97</f>
        <v/>
      </c>
      <c r="V98">
        <f>H97</f>
        <v/>
      </c>
      <c r="W98">
        <f>N97</f>
        <v/>
      </c>
    </row>
    <row r="99" ht="15.75" customHeight="1" s="40">
      <c r="C99" s="36">
        <f>_xlfn.IFS(E99&lt;E$24,0,E99&lt;E$26,C$24,E99&lt;E$28,C$26,E99&lt;E$30,C$28,E99&lt;E$32,C$30,E99&lt;E$34,C$32,E99&gt;=E$34,C$34)</f>
        <v/>
      </c>
      <c r="D99" s="37">
        <f>_xlfn.IFS(E99&lt;E$24,0,E99&lt;E$25,D$24,E99&lt;E$26,D$25,E99&lt;E$27,D$26,E99&lt;E$28,D$27,E99&lt;E$29,D$28,E99&lt;E$30,D$29,E99&lt;E$31,D$30,E99&lt;E$32,D$31,E99&lt;E$33,D$32,E99&lt;E$34,D$33,E99&lt;E$35,D$34,E99&gt;=E$35,D$35)</f>
        <v/>
      </c>
      <c r="E99" s="38" t="n">
        <v>49</v>
      </c>
      <c r="F99" s="31">
        <f>E99/52</f>
        <v/>
      </c>
      <c r="G99" s="39">
        <f>D99/1000000*52</f>
        <v/>
      </c>
      <c r="H99" s="33">
        <f>G99/$P$4+($C$22/$P$4)</f>
        <v/>
      </c>
      <c r="I99" s="36">
        <f>_xlfn.IFS(K99&lt;K$24,0,K99&lt;K$26,I$24,K99&lt;K$28,I$26,K99&lt;K$30,I$28,K99&lt;K$32,I$30,K99&lt;K$34,I$32,K99&lt;K$36,I$34,K99&lt;K$38,I$36,K99&lt;K$40,I$38,K99&lt;K$42,I$40,K99&lt;K$44,I$42,K99&lt;K$46,I$44,K99&gt;=K$46,I$46)</f>
        <v/>
      </c>
      <c r="J99" s="37">
        <f>_xlfn.IFS(K99&lt;K$24,0,K99&lt;K$25,J$24,K99&lt;K$26,J$25,K99&lt;K$27,J$26,K99&lt;K$28,J$27,K99&lt;K$29,J$28,K99&lt;K$30,J$29,K99&lt;K$31,J$30,K99&lt;K$32,J$31,K99&lt;K$33,J$32,K99&lt;K$34,J$33,K99&lt;K$35,J$34,K99&lt;K$36,J$35,K99&lt;K$37,J$36,K99&lt;K$38,J$37,K99&lt;K$39,J$38,K99&lt;K$40,J$39,K99&lt;K$41,J$40,K99&lt;K$42,J$41,K99&lt;K$43,J$42,K99&lt;K$44,J$43,K99&lt;K$45,J$44,K99&lt;K$46,J$45,K99&lt;K$47,J$46,K99&gt;=K$47,J$47)</f>
        <v/>
      </c>
      <c r="K99" s="38" t="n">
        <v>49</v>
      </c>
      <c r="L99" s="31">
        <f>K99/52</f>
        <v/>
      </c>
      <c r="M99" s="39">
        <f>J99/1000000*52</f>
        <v/>
      </c>
      <c r="N99" s="33">
        <f>M99/$P$4+($I$22/$P$4)</f>
        <v/>
      </c>
      <c r="U99">
        <f>F98</f>
        <v/>
      </c>
      <c r="V99">
        <f>H98</f>
        <v/>
      </c>
      <c r="W99">
        <f>N98</f>
        <v/>
      </c>
    </row>
    <row r="100" ht="15.75" customHeight="1" s="40">
      <c r="C100" s="36">
        <f>_xlfn.IFS(E100&lt;E$24,0,E100&lt;E$26,C$24,E100&lt;E$28,C$26,E100&lt;E$30,C$28,E100&lt;E$32,C$30,E100&lt;E$34,C$32,E100&gt;=E$34,C$34)</f>
        <v/>
      </c>
      <c r="D100" s="37">
        <f>_xlfn.IFS(E100&lt;E$24,0,E100&lt;E$25,D$24,E100&lt;E$26,D$25,E100&lt;E$27,D$26,E100&lt;E$28,D$27,E100&lt;E$29,D$28,E100&lt;E$30,D$29,E100&lt;E$31,D$30,E100&lt;E$32,D$31,E100&lt;E$33,D$32,E100&lt;E$34,D$33,E100&lt;E$35,D$34,E100&gt;=E$35,D$35)</f>
        <v/>
      </c>
      <c r="E100" s="38" t="n">
        <v>50</v>
      </c>
      <c r="F100" s="31">
        <f>E100/52</f>
        <v/>
      </c>
      <c r="G100" s="39">
        <f>D100/1000000*52</f>
        <v/>
      </c>
      <c r="H100" s="33">
        <f>G100/$P$4+($C$22/$P$4)</f>
        <v/>
      </c>
      <c r="I100" s="36">
        <f>_xlfn.IFS(K100&lt;K$24,0,K100&lt;K$26,I$24,K100&lt;K$28,I$26,K100&lt;K$30,I$28,K100&lt;K$32,I$30,K100&lt;K$34,I$32,K100&lt;K$36,I$34,K100&lt;K$38,I$36,K100&lt;K$40,I$38,K100&lt;K$42,I$40,K100&lt;K$44,I$42,K100&lt;K$46,I$44,K100&gt;=K$46,I$46)</f>
        <v/>
      </c>
      <c r="J100" s="37">
        <f>_xlfn.IFS(K100&lt;K$24,0,K100&lt;K$25,J$24,K100&lt;K$26,J$25,K100&lt;K$27,J$26,K100&lt;K$28,J$27,K100&lt;K$29,J$28,K100&lt;K$30,J$29,K100&lt;K$31,J$30,K100&lt;K$32,J$31,K100&lt;K$33,J$32,K100&lt;K$34,J$33,K100&lt;K$35,J$34,K100&lt;K$36,J$35,K100&lt;K$37,J$36,K100&lt;K$38,J$37,K100&lt;K$39,J$38,K100&lt;K$40,J$39,K100&lt;K$41,J$40,K100&lt;K$42,J$41,K100&lt;K$43,J$42,K100&lt;K$44,J$43,K100&lt;K$45,J$44,K100&lt;K$46,J$45,K100&lt;K$47,J$46,K100&gt;=K$47,J$47)</f>
        <v/>
      </c>
      <c r="K100" s="38" t="n">
        <v>50</v>
      </c>
      <c r="L100" s="31">
        <f>K100/52</f>
        <v/>
      </c>
      <c r="M100" s="39">
        <f>J100/1000000*52</f>
        <v/>
      </c>
      <c r="N100" s="33">
        <f>M100/$P$4+($I$22/$P$4)</f>
        <v/>
      </c>
      <c r="U100">
        <f>F99</f>
        <v/>
      </c>
      <c r="V100">
        <f>H99</f>
        <v/>
      </c>
      <c r="W100">
        <f>N99</f>
        <v/>
      </c>
    </row>
    <row r="101" ht="15.75" customHeight="1" s="40">
      <c r="C101" s="36">
        <f>_xlfn.IFS(E101&lt;E$24,0,E101&lt;E$26,C$24,E101&lt;E$28,C$26,E101&lt;E$30,C$28,E101&lt;E$32,C$30,E101&lt;E$34,C$32,E101&gt;=E$34,C$34)</f>
        <v/>
      </c>
      <c r="D101" s="37">
        <f>_xlfn.IFS(E101&lt;E$24,0,E101&lt;E$25,D$24,E101&lt;E$26,D$25,E101&lt;E$27,D$26,E101&lt;E$28,D$27,E101&lt;E$29,D$28,E101&lt;E$30,D$29,E101&lt;E$31,D$30,E101&lt;E$32,D$31,E101&lt;E$33,D$32,E101&lt;E$34,D$33,E101&lt;E$35,D$34,E101&gt;=E$35,D$35)</f>
        <v/>
      </c>
      <c r="E101" s="38" t="n">
        <v>51</v>
      </c>
      <c r="F101" s="31">
        <f>E101/52</f>
        <v/>
      </c>
      <c r="G101" s="39">
        <f>D101/1000000*52</f>
        <v/>
      </c>
      <c r="H101" s="33">
        <f>G101/$P$4+($C$22/$P$4)</f>
        <v/>
      </c>
      <c r="I101" s="36">
        <f>_xlfn.IFS(K101&lt;K$24,0,K101&lt;K$26,I$24,K101&lt;K$28,I$26,K101&lt;K$30,I$28,K101&lt;K$32,I$30,K101&lt;K$34,I$32,K101&lt;K$36,I$34,K101&lt;K$38,I$36,K101&lt;K$40,I$38,K101&lt;K$42,I$40,K101&lt;K$44,I$42,K101&lt;K$46,I$44,K101&gt;=K$46,I$46)</f>
        <v/>
      </c>
      <c r="J101" s="37">
        <f>_xlfn.IFS(K101&lt;K$24,0,K101&lt;K$25,J$24,K101&lt;K$26,J$25,K101&lt;K$27,J$26,K101&lt;K$28,J$27,K101&lt;K$29,J$28,K101&lt;K$30,J$29,K101&lt;K$31,J$30,K101&lt;K$32,J$31,K101&lt;K$33,J$32,K101&lt;K$34,J$33,K101&lt;K$35,J$34,K101&lt;K$36,J$35,K101&lt;K$37,J$36,K101&lt;K$38,J$37,K101&lt;K$39,J$38,K101&lt;K$40,J$39,K101&lt;K$41,J$40,K101&lt;K$42,J$41,K101&lt;K$43,J$42,K101&lt;K$44,J$43,K101&lt;K$45,J$44,K101&lt;K$46,J$45,K101&lt;K$47,J$46,K101&gt;=K$47,J$47)</f>
        <v/>
      </c>
      <c r="K101" s="38" t="n">
        <v>51</v>
      </c>
      <c r="L101" s="31">
        <f>K101/52</f>
        <v/>
      </c>
      <c r="M101" s="39">
        <f>J101/1000000*52</f>
        <v/>
      </c>
      <c r="N101" s="33">
        <f>M101/$P$4+($I$22/$P$4)</f>
        <v/>
      </c>
      <c r="U101">
        <f>F100</f>
        <v/>
      </c>
      <c r="V101">
        <f>H100</f>
        <v/>
      </c>
      <c r="W101">
        <f>N100</f>
        <v/>
      </c>
    </row>
    <row r="102" ht="15.75" customHeight="1" s="40">
      <c r="C102" s="36">
        <f>_xlfn.IFS(E102&lt;E$24,0,E102&lt;E$26,C$24,E102&lt;E$28,C$26,E102&lt;E$30,C$28,E102&lt;E$32,C$30,E102&lt;E$34,C$32,E102&gt;=E$34,C$34)</f>
        <v/>
      </c>
      <c r="D102" s="37">
        <f>_xlfn.IFS(E102&lt;E$24,0,E102&lt;E$25,D$24,E102&lt;E$26,D$25,E102&lt;E$27,D$26,E102&lt;E$28,D$27,E102&lt;E$29,D$28,E102&lt;E$30,D$29,E102&lt;E$31,D$30,E102&lt;E$32,D$31,E102&lt;E$33,D$32,E102&lt;E$34,D$33,E102&lt;E$35,D$34,E102&gt;=E$35,D$35)</f>
        <v/>
      </c>
      <c r="E102" s="38" t="n">
        <v>52</v>
      </c>
      <c r="F102" s="31">
        <f>E102/52</f>
        <v/>
      </c>
      <c r="G102" s="39">
        <f>D102/1000000*52</f>
        <v/>
      </c>
      <c r="H102" s="33">
        <f>G102/$P$4+($C$22/$P$4)</f>
        <v/>
      </c>
      <c r="I102" s="36">
        <f>_xlfn.IFS(K102&lt;K$24,0,K102&lt;K$26,I$24,K102&lt;K$28,I$26,K102&lt;K$30,I$28,K102&lt;K$32,I$30,K102&lt;K$34,I$32,K102&lt;K$36,I$34,K102&lt;K$38,I$36,K102&lt;K$40,I$38,K102&lt;K$42,I$40,K102&lt;K$44,I$42,K102&lt;K$46,I$44,K102&gt;=K$46,I$46)</f>
        <v/>
      </c>
      <c r="J102" s="37">
        <f>_xlfn.IFS(K102&lt;K$24,0,K102&lt;K$25,J$24,K102&lt;K$26,J$25,K102&lt;K$27,J$26,K102&lt;K$28,J$27,K102&lt;K$29,J$28,K102&lt;K$30,J$29,K102&lt;K$31,J$30,K102&lt;K$32,J$31,K102&lt;K$33,J$32,K102&lt;K$34,J$33,K102&lt;K$35,J$34,K102&lt;K$36,J$35,K102&lt;K$37,J$36,K102&lt;K$38,J$37,K102&lt;K$39,J$38,K102&lt;K$40,J$39,K102&lt;K$41,J$40,K102&lt;K$42,J$41,K102&lt;K$43,J$42,K102&lt;K$44,J$43,K102&lt;K$45,J$44,K102&lt;K$46,J$45,K102&lt;K$47,J$46,K102&gt;=K$47,J$47)</f>
        <v/>
      </c>
      <c r="K102" s="38" t="n">
        <v>52</v>
      </c>
      <c r="L102" s="31">
        <f>K102/52</f>
        <v/>
      </c>
      <c r="M102" s="39">
        <f>J102/1000000*52</f>
        <v/>
      </c>
      <c r="N102" s="33">
        <f>M102/$P$4+($I$22/$P$4)</f>
        <v/>
      </c>
      <c r="U102">
        <f>F101</f>
        <v/>
      </c>
      <c r="V102">
        <f>H101</f>
        <v/>
      </c>
      <c r="W102">
        <f>N101</f>
        <v/>
      </c>
    </row>
    <row r="103" ht="15.75" customHeight="1" s="40">
      <c r="C103" s="36">
        <f>_xlfn.IFS(E103&lt;E$24,0,E103&lt;E$26,C$24,E103&lt;E$28,C$26,E103&lt;E$30,C$28,E103&lt;E$32,C$30,E103&lt;E$34,C$32,E103&gt;=E$34,C$34)</f>
        <v/>
      </c>
      <c r="D103" s="37">
        <f>_xlfn.IFS(E103&lt;E$24,0,E103&lt;E$25,D$24,E103&lt;E$26,D$25,E103&lt;E$27,D$26,E103&lt;E$28,D$27,E103&lt;E$29,D$28,E103&lt;E$30,D$29,E103&lt;E$31,D$30,E103&lt;E$32,D$31,E103&lt;E$33,D$32,E103&lt;E$34,D$33,E103&lt;E$35,D$34,E103&gt;=E$35,D$35)</f>
        <v/>
      </c>
      <c r="E103" s="38" t="n">
        <v>53</v>
      </c>
      <c r="F103" s="31">
        <f>E103/52</f>
        <v/>
      </c>
      <c r="G103" s="39">
        <f>D103/1000000*52</f>
        <v/>
      </c>
      <c r="H103" s="33">
        <f>G103/$P$4+($C$22/$P$4)</f>
        <v/>
      </c>
      <c r="I103" s="36">
        <f>_xlfn.IFS(K103&lt;K$24,0,K103&lt;K$26,I$24,K103&lt;K$28,I$26,K103&lt;K$30,I$28,K103&lt;K$32,I$30,K103&lt;K$34,I$32,K103&lt;K$36,I$34,K103&lt;K$38,I$36,K103&lt;K$40,I$38,K103&lt;K$42,I$40,K103&lt;K$44,I$42,K103&lt;K$46,I$44,K103&gt;=K$46,I$46)</f>
        <v/>
      </c>
      <c r="J103" s="37">
        <f>_xlfn.IFS(K103&lt;K$24,0,K103&lt;K$25,J$24,K103&lt;K$26,J$25,K103&lt;K$27,J$26,K103&lt;K$28,J$27,K103&lt;K$29,J$28,K103&lt;K$30,J$29,K103&lt;K$31,J$30,K103&lt;K$32,J$31,K103&lt;K$33,J$32,K103&lt;K$34,J$33,K103&lt;K$35,J$34,K103&lt;K$36,J$35,K103&lt;K$37,J$36,K103&lt;K$38,J$37,K103&lt;K$39,J$38,K103&lt;K$40,J$39,K103&lt;K$41,J$40,K103&lt;K$42,J$41,K103&lt;K$43,J$42,K103&lt;K$44,J$43,K103&lt;K$45,J$44,K103&lt;K$46,J$45,K103&lt;K$47,J$46,K103&gt;=K$47,J$47)</f>
        <v/>
      </c>
      <c r="K103" s="38" t="n">
        <v>53</v>
      </c>
      <c r="L103" s="31">
        <f>K103/52</f>
        <v/>
      </c>
      <c r="M103" s="39">
        <f>J103/1000000*52</f>
        <v/>
      </c>
      <c r="N103" s="33">
        <f>M103/$P$4+($I$22/$P$4)</f>
        <v/>
      </c>
      <c r="U103">
        <f>F102</f>
        <v/>
      </c>
      <c r="V103">
        <f>H102</f>
        <v/>
      </c>
      <c r="W103">
        <f>N102</f>
        <v/>
      </c>
    </row>
    <row r="104" ht="15.75" customHeight="1" s="40">
      <c r="C104" s="36">
        <f>_xlfn.IFS(E104&lt;E$24,0,E104&lt;E$26,C$24,E104&lt;E$28,C$26,E104&lt;E$30,C$28,E104&lt;E$32,C$30,E104&lt;E$34,C$32,E104&gt;=E$34,C$34)</f>
        <v/>
      </c>
      <c r="D104" s="37">
        <f>_xlfn.IFS(E104&lt;E$24,0,E104&lt;E$25,D$24,E104&lt;E$26,D$25,E104&lt;E$27,D$26,E104&lt;E$28,D$27,E104&lt;E$29,D$28,E104&lt;E$30,D$29,E104&lt;E$31,D$30,E104&lt;E$32,D$31,E104&lt;E$33,D$32,E104&lt;E$34,D$33,E104&lt;E$35,D$34,E104&gt;=E$35,D$35)</f>
        <v/>
      </c>
      <c r="E104" s="38" t="n">
        <v>54</v>
      </c>
      <c r="F104" s="31">
        <f>E104/52</f>
        <v/>
      </c>
      <c r="G104" s="39">
        <f>D104/1000000*52</f>
        <v/>
      </c>
      <c r="H104" s="33">
        <f>G104/$P$4+($C$22/$P$4)</f>
        <v/>
      </c>
      <c r="I104" s="36">
        <f>_xlfn.IFS(K104&lt;K$24,0,K104&lt;K$26,I$24,K104&lt;K$28,I$26,K104&lt;K$30,I$28,K104&lt;K$32,I$30,K104&lt;K$34,I$32,K104&lt;K$36,I$34,K104&lt;K$38,I$36,K104&lt;K$40,I$38,K104&lt;K$42,I$40,K104&lt;K$44,I$42,K104&lt;K$46,I$44,K104&gt;=K$46,I$46)</f>
        <v/>
      </c>
      <c r="J104" s="37">
        <f>_xlfn.IFS(K104&lt;K$24,0,K104&lt;K$25,J$24,K104&lt;K$26,J$25,K104&lt;K$27,J$26,K104&lt;K$28,J$27,K104&lt;K$29,J$28,K104&lt;K$30,J$29,K104&lt;K$31,J$30,K104&lt;K$32,J$31,K104&lt;K$33,J$32,K104&lt;K$34,J$33,K104&lt;K$35,J$34,K104&lt;K$36,J$35,K104&lt;K$37,J$36,K104&lt;K$38,J$37,K104&lt;K$39,J$38,K104&lt;K$40,J$39,K104&lt;K$41,J$40,K104&lt;K$42,J$41,K104&lt;K$43,J$42,K104&lt;K$44,J$43,K104&lt;K$45,J$44,K104&lt;K$46,J$45,K104&lt;K$47,J$46,K104&gt;=K$47,J$47)</f>
        <v/>
      </c>
      <c r="K104" s="38" t="n">
        <v>54</v>
      </c>
      <c r="L104" s="31">
        <f>K104/52</f>
        <v/>
      </c>
      <c r="M104" s="39">
        <f>J104/1000000*52</f>
        <v/>
      </c>
      <c r="N104" s="33">
        <f>M104/$P$4+($I$22/$P$4)</f>
        <v/>
      </c>
      <c r="U104">
        <f>F103</f>
        <v/>
      </c>
      <c r="V104">
        <f>H103</f>
        <v/>
      </c>
      <c r="W104">
        <f>N103</f>
        <v/>
      </c>
    </row>
    <row r="105" ht="15.75" customHeight="1" s="40">
      <c r="C105" s="36">
        <f>_xlfn.IFS(E105&lt;E$24,0,E105&lt;E$26,C$24,E105&lt;E$28,C$26,E105&lt;E$30,C$28,E105&lt;E$32,C$30,E105&lt;E$34,C$32,E105&gt;=E$34,C$34)</f>
        <v/>
      </c>
      <c r="D105" s="37">
        <f>_xlfn.IFS(E105&lt;E$24,0,E105&lt;E$25,D$24,E105&lt;E$26,D$25,E105&lt;E$27,D$26,E105&lt;E$28,D$27,E105&lt;E$29,D$28,E105&lt;E$30,D$29,E105&lt;E$31,D$30,E105&lt;E$32,D$31,E105&lt;E$33,D$32,E105&lt;E$34,D$33,E105&lt;E$35,D$34,E105&gt;=E$35,D$35)</f>
        <v/>
      </c>
      <c r="E105" s="38" t="n">
        <v>55</v>
      </c>
      <c r="F105" s="31">
        <f>E105/52</f>
        <v/>
      </c>
      <c r="G105" s="39">
        <f>D105/1000000*52</f>
        <v/>
      </c>
      <c r="H105" s="33">
        <f>G105/$P$4+($C$22/$P$4)</f>
        <v/>
      </c>
      <c r="I105" s="36">
        <f>_xlfn.IFS(K105&lt;K$24,0,K105&lt;K$26,I$24,K105&lt;K$28,I$26,K105&lt;K$30,I$28,K105&lt;K$32,I$30,K105&lt;K$34,I$32,K105&lt;K$36,I$34,K105&lt;K$38,I$36,K105&lt;K$40,I$38,K105&lt;K$42,I$40,K105&lt;K$44,I$42,K105&lt;K$46,I$44,K105&gt;=K$46,I$46)</f>
        <v/>
      </c>
      <c r="J105" s="37">
        <f>_xlfn.IFS(K105&lt;K$24,0,K105&lt;K$25,J$24,K105&lt;K$26,J$25,K105&lt;K$27,J$26,K105&lt;K$28,J$27,K105&lt;K$29,J$28,K105&lt;K$30,J$29,K105&lt;K$31,J$30,K105&lt;K$32,J$31,K105&lt;K$33,J$32,K105&lt;K$34,J$33,K105&lt;K$35,J$34,K105&lt;K$36,J$35,K105&lt;K$37,J$36,K105&lt;K$38,J$37,K105&lt;K$39,J$38,K105&lt;K$40,J$39,K105&lt;K$41,J$40,K105&lt;K$42,J$41,K105&lt;K$43,J$42,K105&lt;K$44,J$43,K105&lt;K$45,J$44,K105&lt;K$46,J$45,K105&lt;K$47,J$46,K105&gt;=K$47,J$47)</f>
        <v/>
      </c>
      <c r="K105" s="38" t="n">
        <v>55</v>
      </c>
      <c r="L105" s="31">
        <f>K105/52</f>
        <v/>
      </c>
      <c r="M105" s="39">
        <f>J105/1000000*52</f>
        <v/>
      </c>
      <c r="N105" s="33">
        <f>M105/$P$4+($I$22/$P$4)</f>
        <v/>
      </c>
      <c r="U105">
        <f>F104</f>
        <v/>
      </c>
      <c r="V105">
        <f>H104</f>
        <v/>
      </c>
      <c r="W105">
        <f>N104</f>
        <v/>
      </c>
    </row>
    <row r="106" ht="15.75" customHeight="1" s="40">
      <c r="C106" s="36">
        <f>_xlfn.IFS(E106&lt;E$24,0,E106&lt;E$26,C$24,E106&lt;E$28,C$26,E106&lt;E$30,C$28,E106&lt;E$32,C$30,E106&lt;E$34,C$32,E106&gt;=E$34,C$34)</f>
        <v/>
      </c>
      <c r="D106" s="37">
        <f>_xlfn.IFS(E106&lt;E$24,0,E106&lt;E$25,D$24,E106&lt;E$26,D$25,E106&lt;E$27,D$26,E106&lt;E$28,D$27,E106&lt;E$29,D$28,E106&lt;E$30,D$29,E106&lt;E$31,D$30,E106&lt;E$32,D$31,E106&lt;E$33,D$32,E106&lt;E$34,D$33,E106&lt;E$35,D$34,E106&gt;=E$35,D$35)</f>
        <v/>
      </c>
      <c r="E106" s="38" t="n">
        <v>56</v>
      </c>
      <c r="F106" s="31">
        <f>E106/52</f>
        <v/>
      </c>
      <c r="G106" s="39">
        <f>D106/1000000*52</f>
        <v/>
      </c>
      <c r="H106" s="33">
        <f>G106/$P$4+($C$22/$P$4)</f>
        <v/>
      </c>
      <c r="I106" s="36">
        <f>_xlfn.IFS(K106&lt;K$24,0,K106&lt;K$26,I$24,K106&lt;K$28,I$26,K106&lt;K$30,I$28,K106&lt;K$32,I$30,K106&lt;K$34,I$32,K106&lt;K$36,I$34,K106&lt;K$38,I$36,K106&lt;K$40,I$38,K106&lt;K$42,I$40,K106&lt;K$44,I$42,K106&lt;K$46,I$44,K106&gt;=K$46,I$46)</f>
        <v/>
      </c>
      <c r="J106" s="37">
        <f>_xlfn.IFS(K106&lt;K$24,0,K106&lt;K$25,J$24,K106&lt;K$26,J$25,K106&lt;K$27,J$26,K106&lt;K$28,J$27,K106&lt;K$29,J$28,K106&lt;K$30,J$29,K106&lt;K$31,J$30,K106&lt;K$32,J$31,K106&lt;K$33,J$32,K106&lt;K$34,J$33,K106&lt;K$35,J$34,K106&lt;K$36,J$35,K106&lt;K$37,J$36,K106&lt;K$38,J$37,K106&lt;K$39,J$38,K106&lt;K$40,J$39,K106&lt;K$41,J$40,K106&lt;K$42,J$41,K106&lt;K$43,J$42,K106&lt;K$44,J$43,K106&lt;K$45,J$44,K106&lt;K$46,J$45,K106&lt;K$47,J$46,K106&gt;=K$47,J$47)</f>
        <v/>
      </c>
      <c r="K106" s="38" t="n">
        <v>56</v>
      </c>
      <c r="L106" s="31">
        <f>K106/52</f>
        <v/>
      </c>
      <c r="M106" s="39">
        <f>J106/1000000*52</f>
        <v/>
      </c>
      <c r="N106" s="33">
        <f>M106/$P$4+($I$22/$P$4)</f>
        <v/>
      </c>
      <c r="U106">
        <f>F105</f>
        <v/>
      </c>
      <c r="V106">
        <f>H105</f>
        <v/>
      </c>
      <c r="W106">
        <f>N105</f>
        <v/>
      </c>
    </row>
    <row r="107" ht="15.75" customHeight="1" s="40">
      <c r="C107" s="36">
        <f>_xlfn.IFS(E107&lt;E$24,0,E107&lt;E$26,C$24,E107&lt;E$28,C$26,E107&lt;E$30,C$28,E107&lt;E$32,C$30,E107&lt;E$34,C$32,E107&gt;=E$34,C$34)</f>
        <v/>
      </c>
      <c r="D107" s="37">
        <f>_xlfn.IFS(E107&lt;E$24,0,E107&lt;E$25,D$24,E107&lt;E$26,D$25,E107&lt;E$27,D$26,E107&lt;E$28,D$27,E107&lt;E$29,D$28,E107&lt;E$30,D$29,E107&lt;E$31,D$30,E107&lt;E$32,D$31,E107&lt;E$33,D$32,E107&lt;E$34,D$33,E107&lt;E$35,D$34,E107&gt;=E$35,D$35)</f>
        <v/>
      </c>
      <c r="E107" s="38" t="n">
        <v>57</v>
      </c>
      <c r="F107" s="31">
        <f>E107/52</f>
        <v/>
      </c>
      <c r="G107" s="39">
        <f>D107/1000000*52</f>
        <v/>
      </c>
      <c r="H107" s="33">
        <f>G107/$P$4+($C$22/$P$4)</f>
        <v/>
      </c>
      <c r="I107" s="36">
        <f>_xlfn.IFS(K107&lt;K$24,0,K107&lt;K$26,I$24,K107&lt;K$28,I$26,K107&lt;K$30,I$28,K107&lt;K$32,I$30,K107&lt;K$34,I$32,K107&lt;K$36,I$34,K107&lt;K$38,I$36,K107&lt;K$40,I$38,K107&lt;K$42,I$40,K107&lt;K$44,I$42,K107&lt;K$46,I$44,K107&gt;=K$46,I$46)</f>
        <v/>
      </c>
      <c r="J107" s="37">
        <f>_xlfn.IFS(K107&lt;K$24,0,K107&lt;K$25,J$24,K107&lt;K$26,J$25,K107&lt;K$27,J$26,K107&lt;K$28,J$27,K107&lt;K$29,J$28,K107&lt;K$30,J$29,K107&lt;K$31,J$30,K107&lt;K$32,J$31,K107&lt;K$33,J$32,K107&lt;K$34,J$33,K107&lt;K$35,J$34,K107&lt;K$36,J$35,K107&lt;K$37,J$36,K107&lt;K$38,J$37,K107&lt;K$39,J$38,K107&lt;K$40,J$39,K107&lt;K$41,J$40,K107&lt;K$42,J$41,K107&lt;K$43,J$42,K107&lt;K$44,J$43,K107&lt;K$45,J$44,K107&lt;K$46,J$45,K107&lt;K$47,J$46,K107&gt;=K$47,J$47)</f>
        <v/>
      </c>
      <c r="K107" s="38" t="n">
        <v>57</v>
      </c>
      <c r="L107" s="31">
        <f>K107/52</f>
        <v/>
      </c>
      <c r="M107" s="39">
        <f>J107/1000000*52</f>
        <v/>
      </c>
      <c r="N107" s="33">
        <f>M107/$P$4+($I$22/$P$4)</f>
        <v/>
      </c>
      <c r="U107">
        <f>F106</f>
        <v/>
      </c>
      <c r="V107">
        <f>H106</f>
        <v/>
      </c>
      <c r="W107">
        <f>N106</f>
        <v/>
      </c>
    </row>
    <row r="108" ht="15.75" customHeight="1" s="40">
      <c r="C108" s="36">
        <f>_xlfn.IFS(E108&lt;E$24,0,E108&lt;E$26,C$24,E108&lt;E$28,C$26,E108&lt;E$30,C$28,E108&lt;E$32,C$30,E108&lt;E$34,C$32,E108&gt;=E$34,C$34)</f>
        <v/>
      </c>
      <c r="D108" s="37">
        <f>_xlfn.IFS(E108&lt;E$24,0,E108&lt;E$25,D$24,E108&lt;E$26,D$25,E108&lt;E$27,D$26,E108&lt;E$28,D$27,E108&lt;E$29,D$28,E108&lt;E$30,D$29,E108&lt;E$31,D$30,E108&lt;E$32,D$31,E108&lt;E$33,D$32,E108&lt;E$34,D$33,E108&lt;E$35,D$34,E108&gt;=E$35,D$35)</f>
        <v/>
      </c>
      <c r="E108" s="38" t="n">
        <v>58</v>
      </c>
      <c r="F108" s="31">
        <f>E108/52</f>
        <v/>
      </c>
      <c r="G108" s="39">
        <f>D108/1000000*52</f>
        <v/>
      </c>
      <c r="H108" s="33">
        <f>G108/$P$4+($C$22/$P$4)</f>
        <v/>
      </c>
      <c r="I108" s="36">
        <f>_xlfn.IFS(K108&lt;K$24,0,K108&lt;K$26,I$24,K108&lt;K$28,I$26,K108&lt;K$30,I$28,K108&lt;K$32,I$30,K108&lt;K$34,I$32,K108&lt;K$36,I$34,K108&lt;K$38,I$36,K108&lt;K$40,I$38,K108&lt;K$42,I$40,K108&lt;K$44,I$42,K108&lt;K$46,I$44,K108&gt;=K$46,I$46)</f>
        <v/>
      </c>
      <c r="J108" s="37">
        <f>_xlfn.IFS(K108&lt;K$24,0,K108&lt;K$25,J$24,K108&lt;K$26,J$25,K108&lt;K$27,J$26,K108&lt;K$28,J$27,K108&lt;K$29,J$28,K108&lt;K$30,J$29,K108&lt;K$31,J$30,K108&lt;K$32,J$31,K108&lt;K$33,J$32,K108&lt;K$34,J$33,K108&lt;K$35,J$34,K108&lt;K$36,J$35,K108&lt;K$37,J$36,K108&lt;K$38,J$37,K108&lt;K$39,J$38,K108&lt;K$40,J$39,K108&lt;K$41,J$40,K108&lt;K$42,J$41,K108&lt;K$43,J$42,K108&lt;K$44,J$43,K108&lt;K$45,J$44,K108&lt;K$46,J$45,K108&lt;K$47,J$46,K108&gt;=K$47,J$47)</f>
        <v/>
      </c>
      <c r="K108" s="38" t="n">
        <v>58</v>
      </c>
      <c r="L108" s="31">
        <f>K108/52</f>
        <v/>
      </c>
      <c r="M108" s="39">
        <f>J108/1000000*52</f>
        <v/>
      </c>
      <c r="N108" s="33">
        <f>M108/$P$4+($I$22/$P$4)</f>
        <v/>
      </c>
      <c r="U108">
        <f>F107</f>
        <v/>
      </c>
      <c r="V108">
        <f>H107</f>
        <v/>
      </c>
      <c r="W108">
        <f>N107</f>
        <v/>
      </c>
    </row>
    <row r="109" ht="15.75" customHeight="1" s="40">
      <c r="C109" s="36">
        <f>_xlfn.IFS(E109&lt;E$24,0,E109&lt;E$26,C$24,E109&lt;E$28,C$26,E109&lt;E$30,C$28,E109&lt;E$32,C$30,E109&lt;E$34,C$32,E109&gt;=E$34,C$34)</f>
        <v/>
      </c>
      <c r="D109" s="37">
        <f>_xlfn.IFS(E109&lt;E$24,0,E109&lt;E$25,D$24,E109&lt;E$26,D$25,E109&lt;E$27,D$26,E109&lt;E$28,D$27,E109&lt;E$29,D$28,E109&lt;E$30,D$29,E109&lt;E$31,D$30,E109&lt;E$32,D$31,E109&lt;E$33,D$32,E109&lt;E$34,D$33,E109&lt;E$35,D$34,E109&gt;=E$35,D$35)</f>
        <v/>
      </c>
      <c r="E109" s="38" t="n">
        <v>59</v>
      </c>
      <c r="F109" s="31">
        <f>E109/52</f>
        <v/>
      </c>
      <c r="G109" s="39">
        <f>D109/1000000*52</f>
        <v/>
      </c>
      <c r="H109" s="33">
        <f>G109/$P$4+($C$22/$P$4)</f>
        <v/>
      </c>
      <c r="I109" s="36">
        <f>_xlfn.IFS(K109&lt;K$24,0,K109&lt;K$26,I$24,K109&lt;K$28,I$26,K109&lt;K$30,I$28,K109&lt;K$32,I$30,K109&lt;K$34,I$32,K109&lt;K$36,I$34,K109&lt;K$38,I$36,K109&lt;K$40,I$38,K109&lt;K$42,I$40,K109&lt;K$44,I$42,K109&lt;K$46,I$44,K109&gt;=K$46,I$46)</f>
        <v/>
      </c>
      <c r="J109" s="37">
        <f>_xlfn.IFS(K109&lt;K$24,0,K109&lt;K$25,J$24,K109&lt;K$26,J$25,K109&lt;K$27,J$26,K109&lt;K$28,J$27,K109&lt;K$29,J$28,K109&lt;K$30,J$29,K109&lt;K$31,J$30,K109&lt;K$32,J$31,K109&lt;K$33,J$32,K109&lt;K$34,J$33,K109&lt;K$35,J$34,K109&lt;K$36,J$35,K109&lt;K$37,J$36,K109&lt;K$38,J$37,K109&lt;K$39,J$38,K109&lt;K$40,J$39,K109&lt;K$41,J$40,K109&lt;K$42,J$41,K109&lt;K$43,J$42,K109&lt;K$44,J$43,K109&lt;K$45,J$44,K109&lt;K$46,J$45,K109&lt;K$47,J$46,K109&gt;=K$47,J$47)</f>
        <v/>
      </c>
      <c r="K109" s="38" t="n">
        <v>59</v>
      </c>
      <c r="L109" s="31">
        <f>K109/52</f>
        <v/>
      </c>
      <c r="M109" s="39">
        <f>J109/1000000*52</f>
        <v/>
      </c>
      <c r="N109" s="33">
        <f>M109/$P$4+($I$22/$P$4)</f>
        <v/>
      </c>
      <c r="U109">
        <f>F108</f>
        <v/>
      </c>
      <c r="V109">
        <f>H108</f>
        <v/>
      </c>
      <c r="W109">
        <f>N108</f>
        <v/>
      </c>
    </row>
    <row r="110" ht="15.75" customHeight="1" s="40">
      <c r="C110" s="36">
        <f>_xlfn.IFS(E110&lt;E$24,0,E110&lt;E$26,C$24,E110&lt;E$28,C$26,E110&lt;E$30,C$28,E110&lt;E$32,C$30,E110&lt;E$34,C$32,E110&gt;=E$34,C$34)</f>
        <v/>
      </c>
      <c r="D110" s="37">
        <f>_xlfn.IFS(E110&lt;E$24,0,E110&lt;E$25,D$24,E110&lt;E$26,D$25,E110&lt;E$27,D$26,E110&lt;E$28,D$27,E110&lt;E$29,D$28,E110&lt;E$30,D$29,E110&lt;E$31,D$30,E110&lt;E$32,D$31,E110&lt;E$33,D$32,E110&lt;E$34,D$33,E110&lt;E$35,D$34,E110&gt;=E$35,D$35)</f>
        <v/>
      </c>
      <c r="E110" s="38" t="n">
        <v>60</v>
      </c>
      <c r="F110" s="31">
        <f>E110/52</f>
        <v/>
      </c>
      <c r="G110" s="39">
        <f>D110/1000000*52</f>
        <v/>
      </c>
      <c r="H110" s="33">
        <f>G110/$P$4+($C$22/$P$4)</f>
        <v/>
      </c>
      <c r="I110" s="36">
        <f>_xlfn.IFS(K110&lt;K$24,0,K110&lt;K$26,I$24,K110&lt;K$28,I$26,K110&lt;K$30,I$28,K110&lt;K$32,I$30,K110&lt;K$34,I$32,K110&lt;K$36,I$34,K110&lt;K$38,I$36,K110&lt;K$40,I$38,K110&lt;K$42,I$40,K110&lt;K$44,I$42,K110&lt;K$46,I$44,K110&gt;=K$46,I$46)</f>
        <v/>
      </c>
      <c r="J110" s="37">
        <f>_xlfn.IFS(K110&lt;K$24,0,K110&lt;K$25,J$24,K110&lt;K$26,J$25,K110&lt;K$27,J$26,K110&lt;K$28,J$27,K110&lt;K$29,J$28,K110&lt;K$30,J$29,K110&lt;K$31,J$30,K110&lt;K$32,J$31,K110&lt;K$33,J$32,K110&lt;K$34,J$33,K110&lt;K$35,J$34,K110&lt;K$36,J$35,K110&lt;K$37,J$36,K110&lt;K$38,J$37,K110&lt;K$39,J$38,K110&lt;K$40,J$39,K110&lt;K$41,J$40,K110&lt;K$42,J$41,K110&lt;K$43,J$42,K110&lt;K$44,J$43,K110&lt;K$45,J$44,K110&lt;K$46,J$45,K110&lt;K$47,J$46,K110&gt;=K$47,J$47)</f>
        <v/>
      </c>
      <c r="K110" s="38" t="n">
        <v>60</v>
      </c>
      <c r="L110" s="31">
        <f>K110/52</f>
        <v/>
      </c>
      <c r="M110" s="39">
        <f>J110/1000000*52</f>
        <v/>
      </c>
      <c r="N110" s="33">
        <f>M110/$P$4+($I$22/$P$4)</f>
        <v/>
      </c>
      <c r="U110">
        <f>F109</f>
        <v/>
      </c>
      <c r="V110">
        <f>H109</f>
        <v/>
      </c>
      <c r="W110">
        <f>N109</f>
        <v/>
      </c>
    </row>
    <row r="111" ht="15.75" customHeight="1" s="40">
      <c r="C111" s="36">
        <f>_xlfn.IFS(E111&lt;E$24,0,E111&lt;E$26,C$24,E111&lt;E$28,C$26,E111&lt;E$30,C$28,E111&lt;E$32,C$30,E111&lt;E$34,C$32,E111&gt;=E$34,C$34)</f>
        <v/>
      </c>
      <c r="D111" s="37">
        <f>_xlfn.IFS(E111&lt;E$24,0,E111&lt;E$25,D$24,E111&lt;E$26,D$25,E111&lt;E$27,D$26,E111&lt;E$28,D$27,E111&lt;E$29,D$28,E111&lt;E$30,D$29,E111&lt;E$31,D$30,E111&lt;E$32,D$31,E111&lt;E$33,D$32,E111&lt;E$34,D$33,E111&lt;E$35,D$34,E111&gt;=E$35,D$35)</f>
        <v/>
      </c>
      <c r="E111" s="38" t="n">
        <v>61</v>
      </c>
      <c r="F111" s="31">
        <f>E111/52</f>
        <v/>
      </c>
      <c r="G111" s="39">
        <f>D111/1000000*52</f>
        <v/>
      </c>
      <c r="H111" s="33">
        <f>G111/$P$4+($C$22/$P$4)</f>
        <v/>
      </c>
      <c r="I111" s="36">
        <f>_xlfn.IFS(K111&lt;K$24,0,K111&lt;K$26,I$24,K111&lt;K$28,I$26,K111&lt;K$30,I$28,K111&lt;K$32,I$30,K111&lt;K$34,I$32,K111&lt;K$36,I$34,K111&lt;K$38,I$36,K111&lt;K$40,I$38,K111&lt;K$42,I$40,K111&lt;K$44,I$42,K111&lt;K$46,I$44,K111&gt;=K$46,I$46)</f>
        <v/>
      </c>
      <c r="J111" s="37">
        <f>_xlfn.IFS(K111&lt;K$24,0,K111&lt;K$25,J$24,K111&lt;K$26,J$25,K111&lt;K$27,J$26,K111&lt;K$28,J$27,K111&lt;K$29,J$28,K111&lt;K$30,J$29,K111&lt;K$31,J$30,K111&lt;K$32,J$31,K111&lt;K$33,J$32,K111&lt;K$34,J$33,K111&lt;K$35,J$34,K111&lt;K$36,J$35,K111&lt;K$37,J$36,K111&lt;K$38,J$37,K111&lt;K$39,J$38,K111&lt;K$40,J$39,K111&lt;K$41,J$40,K111&lt;K$42,J$41,K111&lt;K$43,J$42,K111&lt;K$44,J$43,K111&lt;K$45,J$44,K111&lt;K$46,J$45,K111&lt;K$47,J$46,K111&gt;=K$47,J$47)</f>
        <v/>
      </c>
      <c r="K111" s="38" t="n">
        <v>61</v>
      </c>
      <c r="L111" s="31">
        <f>K111/52</f>
        <v/>
      </c>
      <c r="M111" s="39">
        <f>J111/1000000*52</f>
        <v/>
      </c>
      <c r="N111" s="33">
        <f>M111/$P$4+($I$22/$P$4)</f>
        <v/>
      </c>
      <c r="U111">
        <f>F110</f>
        <v/>
      </c>
      <c r="V111">
        <f>H110</f>
        <v/>
      </c>
      <c r="W111">
        <f>N110</f>
        <v/>
      </c>
    </row>
    <row r="112" ht="15.75" customHeight="1" s="40">
      <c r="C112" s="36">
        <f>_xlfn.IFS(E112&lt;E$24,0,E112&lt;E$26,C$24,E112&lt;E$28,C$26,E112&lt;E$30,C$28,E112&lt;E$32,C$30,E112&lt;E$34,C$32,E112&gt;=E$34,C$34)</f>
        <v/>
      </c>
      <c r="D112" s="37">
        <f>_xlfn.IFS(E112&lt;E$24,0,E112&lt;E$25,D$24,E112&lt;E$26,D$25,E112&lt;E$27,D$26,E112&lt;E$28,D$27,E112&lt;E$29,D$28,E112&lt;E$30,D$29,E112&lt;E$31,D$30,E112&lt;E$32,D$31,E112&lt;E$33,D$32,E112&lt;E$34,D$33,E112&lt;E$35,D$34,E112&gt;=E$35,D$35)</f>
        <v/>
      </c>
      <c r="E112" s="38" t="n">
        <v>62</v>
      </c>
      <c r="F112" s="31">
        <f>E112/52</f>
        <v/>
      </c>
      <c r="G112" s="39">
        <f>D112/1000000*52</f>
        <v/>
      </c>
      <c r="H112" s="33">
        <f>G112/$P$4+($C$22/$P$4)</f>
        <v/>
      </c>
      <c r="I112" s="36">
        <f>_xlfn.IFS(K112&lt;K$24,0,K112&lt;K$26,I$24,K112&lt;K$28,I$26,K112&lt;K$30,I$28,K112&lt;K$32,I$30,K112&lt;K$34,I$32,K112&lt;K$36,I$34,K112&lt;K$38,I$36,K112&lt;K$40,I$38,K112&lt;K$42,I$40,K112&lt;K$44,I$42,K112&lt;K$46,I$44,K112&gt;=K$46,I$46)</f>
        <v/>
      </c>
      <c r="J112" s="37">
        <f>_xlfn.IFS(K112&lt;K$24,0,K112&lt;K$25,J$24,K112&lt;K$26,J$25,K112&lt;K$27,J$26,K112&lt;K$28,J$27,K112&lt;K$29,J$28,K112&lt;K$30,J$29,K112&lt;K$31,J$30,K112&lt;K$32,J$31,K112&lt;K$33,J$32,K112&lt;K$34,J$33,K112&lt;K$35,J$34,K112&lt;K$36,J$35,K112&lt;K$37,J$36,K112&lt;K$38,J$37,K112&lt;K$39,J$38,K112&lt;K$40,J$39,K112&lt;K$41,J$40,K112&lt;K$42,J$41,K112&lt;K$43,J$42,K112&lt;K$44,J$43,K112&lt;K$45,J$44,K112&lt;K$46,J$45,K112&lt;K$47,J$46,K112&gt;=K$47,J$47)</f>
        <v/>
      </c>
      <c r="K112" s="38" t="n">
        <v>62</v>
      </c>
      <c r="L112" s="31">
        <f>K112/52</f>
        <v/>
      </c>
      <c r="M112" s="39">
        <f>J112/1000000*52</f>
        <v/>
      </c>
      <c r="N112" s="33">
        <f>M112/$P$4+($I$22/$P$4)</f>
        <v/>
      </c>
      <c r="U112">
        <f>F111</f>
        <v/>
      </c>
      <c r="V112">
        <f>H111</f>
        <v/>
      </c>
      <c r="W112">
        <f>N111</f>
        <v/>
      </c>
    </row>
    <row r="113" ht="15.75" customHeight="1" s="40">
      <c r="C113" s="36">
        <f>_xlfn.IFS(E113&lt;E$24,0,E113&lt;E$26,C$24,E113&lt;E$28,C$26,E113&lt;E$30,C$28,E113&lt;E$32,C$30,E113&lt;E$34,C$32,E113&gt;=E$34,C$34)</f>
        <v/>
      </c>
      <c r="D113" s="37">
        <f>_xlfn.IFS(E113&lt;E$24,0,E113&lt;E$25,D$24,E113&lt;E$26,D$25,E113&lt;E$27,D$26,E113&lt;E$28,D$27,E113&lt;E$29,D$28,E113&lt;E$30,D$29,E113&lt;E$31,D$30,E113&lt;E$32,D$31,E113&lt;E$33,D$32,E113&lt;E$34,D$33,E113&lt;E$35,D$34,E113&gt;=E$35,D$35)</f>
        <v/>
      </c>
      <c r="E113" s="38" t="n">
        <v>63</v>
      </c>
      <c r="F113" s="31">
        <f>E113/52</f>
        <v/>
      </c>
      <c r="G113" s="39">
        <f>D113/1000000*52</f>
        <v/>
      </c>
      <c r="H113" s="33">
        <f>G113/$P$4+($C$22/$P$4)</f>
        <v/>
      </c>
      <c r="I113" s="36">
        <f>_xlfn.IFS(K113&lt;K$24,0,K113&lt;K$26,I$24,K113&lt;K$28,I$26,K113&lt;K$30,I$28,K113&lt;K$32,I$30,K113&lt;K$34,I$32,K113&lt;K$36,I$34,K113&lt;K$38,I$36,K113&lt;K$40,I$38,K113&lt;K$42,I$40,K113&lt;K$44,I$42,K113&lt;K$46,I$44,K113&gt;=K$46,I$46)</f>
        <v/>
      </c>
      <c r="J113" s="37">
        <f>_xlfn.IFS(K113&lt;K$24,0,K113&lt;K$25,J$24,K113&lt;K$26,J$25,K113&lt;K$27,J$26,K113&lt;K$28,J$27,K113&lt;K$29,J$28,K113&lt;K$30,J$29,K113&lt;K$31,J$30,K113&lt;K$32,J$31,K113&lt;K$33,J$32,K113&lt;K$34,J$33,K113&lt;K$35,J$34,K113&lt;K$36,J$35,K113&lt;K$37,J$36,K113&lt;K$38,J$37,K113&lt;K$39,J$38,K113&lt;K$40,J$39,K113&lt;K$41,J$40,K113&lt;K$42,J$41,K113&lt;K$43,J$42,K113&lt;K$44,J$43,K113&lt;K$45,J$44,K113&lt;K$46,J$45,K113&lt;K$47,J$46,K113&gt;=K$47,J$47)</f>
        <v/>
      </c>
      <c r="K113" s="38" t="n">
        <v>63</v>
      </c>
      <c r="L113" s="31">
        <f>K113/52</f>
        <v/>
      </c>
      <c r="M113" s="39">
        <f>J113/1000000*52</f>
        <v/>
      </c>
      <c r="N113" s="33">
        <f>M113/$P$4+($I$22/$P$4)</f>
        <v/>
      </c>
      <c r="U113">
        <f>F112</f>
        <v/>
      </c>
      <c r="V113">
        <f>H112</f>
        <v/>
      </c>
      <c r="W113">
        <f>N112</f>
        <v/>
      </c>
    </row>
    <row r="114" ht="15.75" customHeight="1" s="40">
      <c r="C114" s="36">
        <f>_xlfn.IFS(E114&lt;E$24,0,E114&lt;E$26,C$24,E114&lt;E$28,C$26,E114&lt;E$30,C$28,E114&lt;E$32,C$30,E114&lt;E$34,C$32,E114&gt;=E$34,C$34)</f>
        <v/>
      </c>
      <c r="D114" s="37">
        <f>_xlfn.IFS(E114&lt;E$24,0,E114&lt;E$25,D$24,E114&lt;E$26,D$25,E114&lt;E$27,D$26,E114&lt;E$28,D$27,E114&lt;E$29,D$28,E114&lt;E$30,D$29,E114&lt;E$31,D$30,E114&lt;E$32,D$31,E114&lt;E$33,D$32,E114&lt;E$34,D$33,E114&lt;E$35,D$34,E114&gt;=E$35,D$35)</f>
        <v/>
      </c>
      <c r="E114" s="38" t="n">
        <v>64</v>
      </c>
      <c r="F114" s="31">
        <f>E114/52</f>
        <v/>
      </c>
      <c r="G114" s="39">
        <f>D114/1000000*52</f>
        <v/>
      </c>
      <c r="H114" s="33">
        <f>G114/$P$4+($C$22/$P$4)</f>
        <v/>
      </c>
      <c r="I114" s="36">
        <f>_xlfn.IFS(K114&lt;K$24,0,K114&lt;K$26,I$24,K114&lt;K$28,I$26,K114&lt;K$30,I$28,K114&lt;K$32,I$30,K114&lt;K$34,I$32,K114&lt;K$36,I$34,K114&lt;K$38,I$36,K114&lt;K$40,I$38,K114&lt;K$42,I$40,K114&lt;K$44,I$42,K114&lt;K$46,I$44,K114&gt;=K$46,I$46)</f>
        <v/>
      </c>
      <c r="J114" s="37">
        <f>_xlfn.IFS(K114&lt;K$24,0,K114&lt;K$25,J$24,K114&lt;K$26,J$25,K114&lt;K$27,J$26,K114&lt;K$28,J$27,K114&lt;K$29,J$28,K114&lt;K$30,J$29,K114&lt;K$31,J$30,K114&lt;K$32,J$31,K114&lt;K$33,J$32,K114&lt;K$34,J$33,K114&lt;K$35,J$34,K114&lt;K$36,J$35,K114&lt;K$37,J$36,K114&lt;K$38,J$37,K114&lt;K$39,J$38,K114&lt;K$40,J$39,K114&lt;K$41,J$40,K114&lt;K$42,J$41,K114&lt;K$43,J$42,K114&lt;K$44,J$43,K114&lt;K$45,J$44,K114&lt;K$46,J$45,K114&lt;K$47,J$46,K114&gt;=K$47,J$47)</f>
        <v/>
      </c>
      <c r="K114" s="38" t="n">
        <v>64</v>
      </c>
      <c r="L114" s="31">
        <f>K114/52</f>
        <v/>
      </c>
      <c r="M114" s="39">
        <f>J114/1000000*52</f>
        <v/>
      </c>
      <c r="N114" s="33">
        <f>M114/$P$4+($I$22/$P$4)</f>
        <v/>
      </c>
      <c r="U114">
        <f>F113</f>
        <v/>
      </c>
      <c r="V114">
        <f>H113</f>
        <v/>
      </c>
      <c r="W114">
        <f>N113</f>
        <v/>
      </c>
    </row>
    <row r="115" ht="15.75" customHeight="1" s="40">
      <c r="C115" s="36">
        <f>_xlfn.IFS(E115&lt;E$24,0,E115&lt;E$26,C$24,E115&lt;E$28,C$26,E115&lt;E$30,C$28,E115&lt;E$32,C$30,E115&lt;E$34,C$32,E115&gt;=E$34,C$34)</f>
        <v/>
      </c>
      <c r="D115" s="37">
        <f>_xlfn.IFS(E115&lt;E$24,0,E115&lt;E$25,D$24,E115&lt;E$26,D$25,E115&lt;E$27,D$26,E115&lt;E$28,D$27,E115&lt;E$29,D$28,E115&lt;E$30,D$29,E115&lt;E$31,D$30,E115&lt;E$32,D$31,E115&lt;E$33,D$32,E115&lt;E$34,D$33,E115&lt;E$35,D$34,E115&gt;=E$35,D$35)</f>
        <v/>
      </c>
      <c r="E115" s="38" t="n">
        <v>65</v>
      </c>
      <c r="F115" s="31">
        <f>E115/52</f>
        <v/>
      </c>
      <c r="G115" s="39">
        <f>D115/1000000*52</f>
        <v/>
      </c>
      <c r="H115" s="33">
        <f>G115/$P$4+($C$22/$P$4)</f>
        <v/>
      </c>
      <c r="I115" s="36">
        <f>_xlfn.IFS(K115&lt;K$24,0,K115&lt;K$26,I$24,K115&lt;K$28,I$26,K115&lt;K$30,I$28,K115&lt;K$32,I$30,K115&lt;K$34,I$32,K115&lt;K$36,I$34,K115&lt;K$38,I$36,K115&lt;K$40,I$38,K115&lt;K$42,I$40,K115&lt;K$44,I$42,K115&lt;K$46,I$44,K115&gt;=K$46,I$46)</f>
        <v/>
      </c>
      <c r="J115" s="37">
        <f>_xlfn.IFS(K115&lt;K$24,0,K115&lt;K$25,J$24,K115&lt;K$26,J$25,K115&lt;K$27,J$26,K115&lt;K$28,J$27,K115&lt;K$29,J$28,K115&lt;K$30,J$29,K115&lt;K$31,J$30,K115&lt;K$32,J$31,K115&lt;K$33,J$32,K115&lt;K$34,J$33,K115&lt;K$35,J$34,K115&lt;K$36,J$35,K115&lt;K$37,J$36,K115&lt;K$38,J$37,K115&lt;K$39,J$38,K115&lt;K$40,J$39,K115&lt;K$41,J$40,K115&lt;K$42,J$41,K115&lt;K$43,J$42,K115&lt;K$44,J$43,K115&lt;K$45,J$44,K115&lt;K$46,J$45,K115&lt;K$47,J$46,K115&gt;=K$47,J$47)</f>
        <v/>
      </c>
      <c r="K115" s="38" t="n">
        <v>65</v>
      </c>
      <c r="L115" s="31">
        <f>K115/52</f>
        <v/>
      </c>
      <c r="M115" s="39">
        <f>J115/1000000*52</f>
        <v/>
      </c>
      <c r="N115" s="33">
        <f>M115/$P$4+($I$22/$P$4)</f>
        <v/>
      </c>
      <c r="U115">
        <f>F114</f>
        <v/>
      </c>
      <c r="V115">
        <f>H114</f>
        <v/>
      </c>
      <c r="W115">
        <f>N114</f>
        <v/>
      </c>
    </row>
    <row r="116" ht="15.75" customHeight="1" s="40">
      <c r="C116" s="36">
        <f>_xlfn.IFS(E116&lt;E$24,0,E116&lt;E$26,C$24,E116&lt;E$28,C$26,E116&lt;E$30,C$28,E116&lt;E$32,C$30,E116&lt;E$34,C$32,E116&gt;=E$34,C$34)</f>
        <v/>
      </c>
      <c r="D116" s="37">
        <f>_xlfn.IFS(E116&lt;E$24,0,E116&lt;E$25,D$24,E116&lt;E$26,D$25,E116&lt;E$27,D$26,E116&lt;E$28,D$27,E116&lt;E$29,D$28,E116&lt;E$30,D$29,E116&lt;E$31,D$30,E116&lt;E$32,D$31,E116&lt;E$33,D$32,E116&lt;E$34,D$33,E116&lt;E$35,D$34,E116&gt;=E$35,D$35)</f>
        <v/>
      </c>
      <c r="E116" s="38" t="n">
        <v>66</v>
      </c>
      <c r="F116" s="31">
        <f>E116/52</f>
        <v/>
      </c>
      <c r="G116" s="39">
        <f>D116/1000000*52</f>
        <v/>
      </c>
      <c r="H116" s="33">
        <f>G116/$P$4+($C$22/$P$4)</f>
        <v/>
      </c>
      <c r="I116" s="36">
        <f>_xlfn.IFS(K116&lt;K$24,0,K116&lt;K$26,I$24,K116&lt;K$28,I$26,K116&lt;K$30,I$28,K116&lt;K$32,I$30,K116&lt;K$34,I$32,K116&lt;K$36,I$34,K116&lt;K$38,I$36,K116&lt;K$40,I$38,K116&lt;K$42,I$40,K116&lt;K$44,I$42,K116&lt;K$46,I$44,K116&gt;=K$46,I$46)</f>
        <v/>
      </c>
      <c r="J116" s="37">
        <f>_xlfn.IFS(K116&lt;K$24,0,K116&lt;K$25,J$24,K116&lt;K$26,J$25,K116&lt;K$27,J$26,K116&lt;K$28,J$27,K116&lt;K$29,J$28,K116&lt;K$30,J$29,K116&lt;K$31,J$30,K116&lt;K$32,J$31,K116&lt;K$33,J$32,K116&lt;K$34,J$33,K116&lt;K$35,J$34,K116&lt;K$36,J$35,K116&lt;K$37,J$36,K116&lt;K$38,J$37,K116&lt;K$39,J$38,K116&lt;K$40,J$39,K116&lt;K$41,J$40,K116&lt;K$42,J$41,K116&lt;K$43,J$42,K116&lt;K$44,J$43,K116&lt;K$45,J$44,K116&lt;K$46,J$45,K116&lt;K$47,J$46,K116&gt;=K$47,J$47)</f>
        <v/>
      </c>
      <c r="K116" s="38" t="n">
        <v>66</v>
      </c>
      <c r="L116" s="31">
        <f>K116/52</f>
        <v/>
      </c>
      <c r="M116" s="39">
        <f>J116/1000000*52</f>
        <v/>
      </c>
      <c r="N116" s="33">
        <f>M116/$P$4+($I$22/$P$4)</f>
        <v/>
      </c>
      <c r="U116">
        <f>F115</f>
        <v/>
      </c>
      <c r="V116">
        <f>H115</f>
        <v/>
      </c>
      <c r="W116">
        <f>N115</f>
        <v/>
      </c>
    </row>
    <row r="117" ht="15.75" customHeight="1" s="40">
      <c r="C117" s="36">
        <f>_xlfn.IFS(E117&lt;E$24,0,E117&lt;E$26,C$24,E117&lt;E$28,C$26,E117&lt;E$30,C$28,E117&lt;E$32,C$30,E117&lt;E$34,C$32,E117&gt;=E$34,C$34)</f>
        <v/>
      </c>
      <c r="D117" s="37">
        <f>_xlfn.IFS(E117&lt;E$24,0,E117&lt;E$25,D$24,E117&lt;E$26,D$25,E117&lt;E$27,D$26,E117&lt;E$28,D$27,E117&lt;E$29,D$28,E117&lt;E$30,D$29,E117&lt;E$31,D$30,E117&lt;E$32,D$31,E117&lt;E$33,D$32,E117&lt;E$34,D$33,E117&lt;E$35,D$34,E117&gt;=E$35,D$35)</f>
        <v/>
      </c>
      <c r="E117" s="38" t="n">
        <v>67</v>
      </c>
      <c r="F117" s="31">
        <f>E117/52</f>
        <v/>
      </c>
      <c r="G117" s="39">
        <f>D117/1000000*52</f>
        <v/>
      </c>
      <c r="H117" s="33">
        <f>G117/$P$4+($C$22/$P$4)</f>
        <v/>
      </c>
      <c r="I117" s="36">
        <f>_xlfn.IFS(K117&lt;K$24,0,K117&lt;K$26,I$24,K117&lt;K$28,I$26,K117&lt;K$30,I$28,K117&lt;K$32,I$30,K117&lt;K$34,I$32,K117&lt;K$36,I$34,K117&lt;K$38,I$36,K117&lt;K$40,I$38,K117&lt;K$42,I$40,K117&lt;K$44,I$42,K117&lt;K$46,I$44,K117&gt;=K$46,I$46)</f>
        <v/>
      </c>
      <c r="J117" s="37">
        <f>_xlfn.IFS(K117&lt;K$24,0,K117&lt;K$25,J$24,K117&lt;K$26,J$25,K117&lt;K$27,J$26,K117&lt;K$28,J$27,K117&lt;K$29,J$28,K117&lt;K$30,J$29,K117&lt;K$31,J$30,K117&lt;K$32,J$31,K117&lt;K$33,J$32,K117&lt;K$34,J$33,K117&lt;K$35,J$34,K117&lt;K$36,J$35,K117&lt;K$37,J$36,K117&lt;K$38,J$37,K117&lt;K$39,J$38,K117&lt;K$40,J$39,K117&lt;K$41,J$40,K117&lt;K$42,J$41,K117&lt;K$43,J$42,K117&lt;K$44,J$43,K117&lt;K$45,J$44,K117&lt;K$46,J$45,K117&lt;K$47,J$46,K117&gt;=K$47,J$47)</f>
        <v/>
      </c>
      <c r="K117" s="38" t="n">
        <v>67</v>
      </c>
      <c r="L117" s="31">
        <f>K117/52</f>
        <v/>
      </c>
      <c r="M117" s="39">
        <f>J117/1000000*52</f>
        <v/>
      </c>
      <c r="N117" s="33">
        <f>M117/$P$4+($I$22/$P$4)</f>
        <v/>
      </c>
      <c r="U117">
        <f>F116</f>
        <v/>
      </c>
      <c r="V117">
        <f>H116</f>
        <v/>
      </c>
      <c r="W117">
        <f>N116</f>
        <v/>
      </c>
    </row>
    <row r="118" ht="15.75" customHeight="1" s="40">
      <c r="C118" s="36">
        <f>_xlfn.IFS(E118&lt;E$24,0,E118&lt;E$26,C$24,E118&lt;E$28,C$26,E118&lt;E$30,C$28,E118&lt;E$32,C$30,E118&lt;E$34,C$32,E118&gt;=E$34,C$34)</f>
        <v/>
      </c>
      <c r="D118" s="37">
        <f>_xlfn.IFS(E118&lt;E$24,0,E118&lt;E$25,D$24,E118&lt;E$26,D$25,E118&lt;E$27,D$26,E118&lt;E$28,D$27,E118&lt;E$29,D$28,E118&lt;E$30,D$29,E118&lt;E$31,D$30,E118&lt;E$32,D$31,E118&lt;E$33,D$32,E118&lt;E$34,D$33,E118&lt;E$35,D$34,E118&gt;=E$35,D$35)</f>
        <v/>
      </c>
      <c r="E118" s="38" t="n">
        <v>68</v>
      </c>
      <c r="F118" s="31">
        <f>E118/52</f>
        <v/>
      </c>
      <c r="G118" s="39">
        <f>D118/1000000*52</f>
        <v/>
      </c>
      <c r="H118" s="33">
        <f>G118/$P$4+($C$22/$P$4)</f>
        <v/>
      </c>
      <c r="I118" s="36">
        <f>_xlfn.IFS(K118&lt;K$24,0,K118&lt;K$26,I$24,K118&lt;K$28,I$26,K118&lt;K$30,I$28,K118&lt;K$32,I$30,K118&lt;K$34,I$32,K118&lt;K$36,I$34,K118&lt;K$38,I$36,K118&lt;K$40,I$38,K118&lt;K$42,I$40,K118&lt;K$44,I$42,K118&lt;K$46,I$44,K118&gt;=K$46,I$46)</f>
        <v/>
      </c>
      <c r="J118" s="37">
        <f>_xlfn.IFS(K118&lt;K$24,0,K118&lt;K$25,J$24,K118&lt;K$26,J$25,K118&lt;K$27,J$26,K118&lt;K$28,J$27,K118&lt;K$29,J$28,K118&lt;K$30,J$29,K118&lt;K$31,J$30,K118&lt;K$32,J$31,K118&lt;K$33,J$32,K118&lt;K$34,J$33,K118&lt;K$35,J$34,K118&lt;K$36,J$35,K118&lt;K$37,J$36,K118&lt;K$38,J$37,K118&lt;K$39,J$38,K118&lt;K$40,J$39,K118&lt;K$41,J$40,K118&lt;K$42,J$41,K118&lt;K$43,J$42,K118&lt;K$44,J$43,K118&lt;K$45,J$44,K118&lt;K$46,J$45,K118&lt;K$47,J$46,K118&gt;=K$47,J$47)</f>
        <v/>
      </c>
      <c r="K118" s="38" t="n">
        <v>68</v>
      </c>
      <c r="L118" s="31">
        <f>K118/52</f>
        <v/>
      </c>
      <c r="M118" s="39">
        <f>J118/1000000*52</f>
        <v/>
      </c>
      <c r="N118" s="33">
        <f>M118/$P$4+($I$22/$P$4)</f>
        <v/>
      </c>
      <c r="U118">
        <f>F117</f>
        <v/>
      </c>
      <c r="V118">
        <f>H117</f>
        <v/>
      </c>
      <c r="W118">
        <f>N117</f>
        <v/>
      </c>
    </row>
    <row r="119" ht="15.75" customHeight="1" s="40">
      <c r="C119" s="36">
        <f>_xlfn.IFS(E119&lt;E$24,0,E119&lt;E$26,C$24,E119&lt;E$28,C$26,E119&lt;E$30,C$28,E119&lt;E$32,C$30,E119&lt;E$34,C$32,E119&gt;=E$34,C$34)</f>
        <v/>
      </c>
      <c r="D119" s="37">
        <f>_xlfn.IFS(E119&lt;E$24,0,E119&lt;E$25,D$24,E119&lt;E$26,D$25,E119&lt;E$27,D$26,E119&lt;E$28,D$27,E119&lt;E$29,D$28,E119&lt;E$30,D$29,E119&lt;E$31,D$30,E119&lt;E$32,D$31,E119&lt;E$33,D$32,E119&lt;E$34,D$33,E119&lt;E$35,D$34,E119&gt;=E$35,D$35)</f>
        <v/>
      </c>
      <c r="E119" s="38" t="n">
        <v>69</v>
      </c>
      <c r="F119" s="31">
        <f>E119/52</f>
        <v/>
      </c>
      <c r="G119" s="39">
        <f>D119/1000000*52</f>
        <v/>
      </c>
      <c r="H119" s="33">
        <f>G119/$P$4+($C$22/$P$4)</f>
        <v/>
      </c>
      <c r="I119" s="36">
        <f>_xlfn.IFS(K119&lt;K$24,0,K119&lt;K$26,I$24,K119&lt;K$28,I$26,K119&lt;K$30,I$28,K119&lt;K$32,I$30,K119&lt;K$34,I$32,K119&lt;K$36,I$34,K119&lt;K$38,I$36,K119&lt;K$40,I$38,K119&lt;K$42,I$40,K119&lt;K$44,I$42,K119&lt;K$46,I$44,K119&gt;=K$46,I$46)</f>
        <v/>
      </c>
      <c r="J119" s="37">
        <f>_xlfn.IFS(K119&lt;K$24,0,K119&lt;K$25,J$24,K119&lt;K$26,J$25,K119&lt;K$27,J$26,K119&lt;K$28,J$27,K119&lt;K$29,J$28,K119&lt;K$30,J$29,K119&lt;K$31,J$30,K119&lt;K$32,J$31,K119&lt;K$33,J$32,K119&lt;K$34,J$33,K119&lt;K$35,J$34,K119&lt;K$36,J$35,K119&lt;K$37,J$36,K119&lt;K$38,J$37,K119&lt;K$39,J$38,K119&lt;K$40,J$39,K119&lt;K$41,J$40,K119&lt;K$42,J$41,K119&lt;K$43,J$42,K119&lt;K$44,J$43,K119&lt;K$45,J$44,K119&lt;K$46,J$45,K119&lt;K$47,J$46,K119&gt;=K$47,J$47)</f>
        <v/>
      </c>
      <c r="K119" s="38" t="n">
        <v>69</v>
      </c>
      <c r="L119" s="31">
        <f>K119/52</f>
        <v/>
      </c>
      <c r="M119" s="39">
        <f>J119/1000000*52</f>
        <v/>
      </c>
      <c r="N119" s="33">
        <f>M119/$P$4+($I$22/$P$4)</f>
        <v/>
      </c>
      <c r="U119">
        <f>F118</f>
        <v/>
      </c>
      <c r="V119">
        <f>H118</f>
        <v/>
      </c>
      <c r="W119">
        <f>N118</f>
        <v/>
      </c>
    </row>
    <row r="120" ht="15.75" customHeight="1" s="40">
      <c r="C120" s="36">
        <f>_xlfn.IFS(E120&lt;E$24,0,E120&lt;E$26,C$24,E120&lt;E$28,C$26,E120&lt;E$30,C$28,E120&lt;E$32,C$30,E120&lt;E$34,C$32,E120&gt;=E$34,C$34)</f>
        <v/>
      </c>
      <c r="D120" s="37">
        <f>_xlfn.IFS(E120&lt;E$24,0,E120&lt;E$25,D$24,E120&lt;E$26,D$25,E120&lt;E$27,D$26,E120&lt;E$28,D$27,E120&lt;E$29,D$28,E120&lt;E$30,D$29,E120&lt;E$31,D$30,E120&lt;E$32,D$31,E120&lt;E$33,D$32,E120&lt;E$34,D$33,E120&lt;E$35,D$34,E120&gt;=E$35,D$35)</f>
        <v/>
      </c>
      <c r="E120" s="38" t="n">
        <v>70</v>
      </c>
      <c r="F120" s="31">
        <f>E120/52</f>
        <v/>
      </c>
      <c r="G120" s="39">
        <f>D120/1000000*52</f>
        <v/>
      </c>
      <c r="H120" s="33">
        <f>G120/$P$4+($C$22/$P$4)</f>
        <v/>
      </c>
      <c r="I120" s="36">
        <f>_xlfn.IFS(K120&lt;K$24,0,K120&lt;K$26,I$24,K120&lt;K$28,I$26,K120&lt;K$30,I$28,K120&lt;K$32,I$30,K120&lt;K$34,I$32,K120&lt;K$36,I$34,K120&lt;K$38,I$36,K120&lt;K$40,I$38,K120&lt;K$42,I$40,K120&lt;K$44,I$42,K120&lt;K$46,I$44,K120&gt;=K$46,I$46)</f>
        <v/>
      </c>
      <c r="J120" s="37">
        <f>_xlfn.IFS(K120&lt;K$24,0,K120&lt;K$25,J$24,K120&lt;K$26,J$25,K120&lt;K$27,J$26,K120&lt;K$28,J$27,K120&lt;K$29,J$28,K120&lt;K$30,J$29,K120&lt;K$31,J$30,K120&lt;K$32,J$31,K120&lt;K$33,J$32,K120&lt;K$34,J$33,K120&lt;K$35,J$34,K120&lt;K$36,J$35,K120&lt;K$37,J$36,K120&lt;K$38,J$37,K120&lt;K$39,J$38,K120&lt;K$40,J$39,K120&lt;K$41,J$40,K120&lt;K$42,J$41,K120&lt;K$43,J$42,K120&lt;K$44,J$43,K120&lt;K$45,J$44,K120&lt;K$46,J$45,K120&lt;K$47,J$46,K120&gt;=K$47,J$47)</f>
        <v/>
      </c>
      <c r="K120" s="38" t="n">
        <v>70</v>
      </c>
      <c r="L120" s="31">
        <f>K120/52</f>
        <v/>
      </c>
      <c r="M120" s="39">
        <f>J120/1000000*52</f>
        <v/>
      </c>
      <c r="N120" s="33">
        <f>M120/$P$4+($I$22/$P$4)</f>
        <v/>
      </c>
      <c r="U120">
        <f>F119</f>
        <v/>
      </c>
      <c r="V120">
        <f>H119</f>
        <v/>
      </c>
      <c r="W120">
        <f>N119</f>
        <v/>
      </c>
    </row>
    <row r="121" ht="15.75" customHeight="1" s="40">
      <c r="C121" s="36">
        <f>_xlfn.IFS(E121&lt;E$24,0,E121&lt;E$26,C$24,E121&lt;E$28,C$26,E121&lt;E$30,C$28,E121&lt;E$32,C$30,E121&lt;E$34,C$32,E121&gt;=E$34,C$34)</f>
        <v/>
      </c>
      <c r="D121" s="37">
        <f>_xlfn.IFS(E121&lt;E$24,0,E121&lt;E$25,D$24,E121&lt;E$26,D$25,E121&lt;E$27,D$26,E121&lt;E$28,D$27,E121&lt;E$29,D$28,E121&lt;E$30,D$29,E121&lt;E$31,D$30,E121&lt;E$32,D$31,E121&lt;E$33,D$32,E121&lt;E$34,D$33,E121&lt;E$35,D$34,E121&gt;=E$35,D$35)</f>
        <v/>
      </c>
      <c r="E121" s="38" t="n">
        <v>71</v>
      </c>
      <c r="F121" s="31">
        <f>E121/52</f>
        <v/>
      </c>
      <c r="G121" s="39">
        <f>D121/1000000*52</f>
        <v/>
      </c>
      <c r="H121" s="33">
        <f>G121/$P$4+($C$22/$P$4)</f>
        <v/>
      </c>
      <c r="I121" s="36">
        <f>_xlfn.IFS(K121&lt;K$24,0,K121&lt;K$26,I$24,K121&lt;K$28,I$26,K121&lt;K$30,I$28,K121&lt;K$32,I$30,K121&lt;K$34,I$32,K121&lt;K$36,I$34,K121&lt;K$38,I$36,K121&lt;K$40,I$38,K121&lt;K$42,I$40,K121&lt;K$44,I$42,K121&lt;K$46,I$44,K121&gt;=K$46,I$46)</f>
        <v/>
      </c>
      <c r="J121" s="37">
        <f>_xlfn.IFS(K121&lt;K$24,0,K121&lt;K$25,J$24,K121&lt;K$26,J$25,K121&lt;K$27,J$26,K121&lt;K$28,J$27,K121&lt;K$29,J$28,K121&lt;K$30,J$29,K121&lt;K$31,J$30,K121&lt;K$32,J$31,K121&lt;K$33,J$32,K121&lt;K$34,J$33,K121&lt;K$35,J$34,K121&lt;K$36,J$35,K121&lt;K$37,J$36,K121&lt;K$38,J$37,K121&lt;K$39,J$38,K121&lt;K$40,J$39,K121&lt;K$41,J$40,K121&lt;K$42,J$41,K121&lt;K$43,J$42,K121&lt;K$44,J$43,K121&lt;K$45,J$44,K121&lt;K$46,J$45,K121&lt;K$47,J$46,K121&gt;=K$47,J$47)</f>
        <v/>
      </c>
      <c r="K121" s="38" t="n">
        <v>71</v>
      </c>
      <c r="L121" s="31">
        <f>K121/52</f>
        <v/>
      </c>
      <c r="M121" s="39">
        <f>J121/1000000*52</f>
        <v/>
      </c>
      <c r="N121" s="33">
        <f>M121/$P$4+($I$22/$P$4)</f>
        <v/>
      </c>
      <c r="U121">
        <f>F120</f>
        <v/>
      </c>
      <c r="V121">
        <f>H120</f>
        <v/>
      </c>
      <c r="W121">
        <f>N120</f>
        <v/>
      </c>
    </row>
    <row r="122" ht="15.75" customHeight="1" s="40">
      <c r="C122" s="36">
        <f>_xlfn.IFS(E122&lt;E$24,0,E122&lt;E$26,C$24,E122&lt;E$28,C$26,E122&lt;E$30,C$28,E122&lt;E$32,C$30,E122&lt;E$34,C$32,E122&gt;=E$34,C$34)</f>
        <v/>
      </c>
      <c r="D122" s="37">
        <f>_xlfn.IFS(E122&lt;E$24,0,E122&lt;E$25,D$24,E122&lt;E$26,D$25,E122&lt;E$27,D$26,E122&lt;E$28,D$27,E122&lt;E$29,D$28,E122&lt;E$30,D$29,E122&lt;E$31,D$30,E122&lt;E$32,D$31,E122&lt;E$33,D$32,E122&lt;E$34,D$33,E122&lt;E$35,D$34,E122&gt;=E$35,D$35)</f>
        <v/>
      </c>
      <c r="E122" s="38" t="n">
        <v>72</v>
      </c>
      <c r="F122" s="31">
        <f>E122/52</f>
        <v/>
      </c>
      <c r="G122" s="39">
        <f>D122/1000000*52</f>
        <v/>
      </c>
      <c r="H122" s="33">
        <f>G122/$P$4+($C$22/$P$4)</f>
        <v/>
      </c>
      <c r="I122" s="36">
        <f>_xlfn.IFS(K122&lt;K$24,0,K122&lt;K$26,I$24,K122&lt;K$28,I$26,K122&lt;K$30,I$28,K122&lt;K$32,I$30,K122&lt;K$34,I$32,K122&lt;K$36,I$34,K122&lt;K$38,I$36,K122&lt;K$40,I$38,K122&lt;K$42,I$40,K122&lt;K$44,I$42,K122&lt;K$46,I$44,K122&gt;=K$46,I$46)</f>
        <v/>
      </c>
      <c r="J122" s="37">
        <f>_xlfn.IFS(K122&lt;K$24,0,K122&lt;K$25,J$24,K122&lt;K$26,J$25,K122&lt;K$27,J$26,K122&lt;K$28,J$27,K122&lt;K$29,J$28,K122&lt;K$30,J$29,K122&lt;K$31,J$30,K122&lt;K$32,J$31,K122&lt;K$33,J$32,K122&lt;K$34,J$33,K122&lt;K$35,J$34,K122&lt;K$36,J$35,K122&lt;K$37,J$36,K122&lt;K$38,J$37,K122&lt;K$39,J$38,K122&lt;K$40,J$39,K122&lt;K$41,J$40,K122&lt;K$42,J$41,K122&lt;K$43,J$42,K122&lt;K$44,J$43,K122&lt;K$45,J$44,K122&lt;K$46,J$45,K122&lt;K$47,J$46,K122&gt;=K$47,J$47)</f>
        <v/>
      </c>
      <c r="K122" s="38" t="n">
        <v>72</v>
      </c>
      <c r="L122" s="31">
        <f>K122/52</f>
        <v/>
      </c>
      <c r="M122" s="39">
        <f>J122/1000000*52</f>
        <v/>
      </c>
      <c r="N122" s="33">
        <f>M122/$P$4+($I$22/$P$4)</f>
        <v/>
      </c>
      <c r="U122">
        <f>F121</f>
        <v/>
      </c>
      <c r="V122">
        <f>H121</f>
        <v/>
      </c>
      <c r="W122">
        <f>N121</f>
        <v/>
      </c>
    </row>
    <row r="123" ht="15.75" customHeight="1" s="40">
      <c r="C123" s="36">
        <f>_xlfn.IFS(E123&lt;E$24,0,E123&lt;E$26,C$24,E123&lt;E$28,C$26,E123&lt;E$30,C$28,E123&lt;E$32,C$30,E123&lt;E$34,C$32,E123&gt;=E$34,C$34)</f>
        <v/>
      </c>
      <c r="D123" s="37">
        <f>_xlfn.IFS(E123&lt;E$24,0,E123&lt;E$25,D$24,E123&lt;E$26,D$25,E123&lt;E$27,D$26,E123&lt;E$28,D$27,E123&lt;E$29,D$28,E123&lt;E$30,D$29,E123&lt;E$31,D$30,E123&lt;E$32,D$31,E123&lt;E$33,D$32,E123&lt;E$34,D$33,E123&lt;E$35,D$34,E123&gt;=E$35,D$35)</f>
        <v/>
      </c>
      <c r="E123" s="38" t="n">
        <v>73</v>
      </c>
      <c r="F123" s="31">
        <f>E123/52</f>
        <v/>
      </c>
      <c r="G123" s="39">
        <f>D123/1000000*52</f>
        <v/>
      </c>
      <c r="H123" s="33">
        <f>G123/$P$4+($C$22/$P$4)</f>
        <v/>
      </c>
      <c r="I123" s="36">
        <f>_xlfn.IFS(K123&lt;K$24,0,K123&lt;K$26,I$24,K123&lt;K$28,I$26,K123&lt;K$30,I$28,K123&lt;K$32,I$30,K123&lt;K$34,I$32,K123&lt;K$36,I$34,K123&lt;K$38,I$36,K123&lt;K$40,I$38,K123&lt;K$42,I$40,K123&lt;K$44,I$42,K123&lt;K$46,I$44,K123&gt;=K$46,I$46)</f>
        <v/>
      </c>
      <c r="J123" s="37">
        <f>_xlfn.IFS(K123&lt;K$24,0,K123&lt;K$25,J$24,K123&lt;K$26,J$25,K123&lt;K$27,J$26,K123&lt;K$28,J$27,K123&lt;K$29,J$28,K123&lt;K$30,J$29,K123&lt;K$31,J$30,K123&lt;K$32,J$31,K123&lt;K$33,J$32,K123&lt;K$34,J$33,K123&lt;K$35,J$34,K123&lt;K$36,J$35,K123&lt;K$37,J$36,K123&lt;K$38,J$37,K123&lt;K$39,J$38,K123&lt;K$40,J$39,K123&lt;K$41,J$40,K123&lt;K$42,J$41,K123&lt;K$43,J$42,K123&lt;K$44,J$43,K123&lt;K$45,J$44,K123&lt;K$46,J$45,K123&lt;K$47,J$46,K123&gt;=K$47,J$47)</f>
        <v/>
      </c>
      <c r="K123" s="38" t="n">
        <v>73</v>
      </c>
      <c r="L123" s="31">
        <f>K123/52</f>
        <v/>
      </c>
      <c r="M123" s="39">
        <f>J123/1000000*52</f>
        <v/>
      </c>
      <c r="N123" s="33">
        <f>M123/$P$4+($I$22/$P$4)</f>
        <v/>
      </c>
      <c r="U123">
        <f>F122</f>
        <v/>
      </c>
      <c r="V123">
        <f>H122</f>
        <v/>
      </c>
      <c r="W123">
        <f>N122</f>
        <v/>
      </c>
    </row>
    <row r="124" ht="15.75" customHeight="1" s="40">
      <c r="C124" s="36">
        <f>_xlfn.IFS(E124&lt;E$24,0,E124&lt;E$26,C$24,E124&lt;E$28,C$26,E124&lt;E$30,C$28,E124&lt;E$32,C$30,E124&lt;E$34,C$32,E124&gt;=E$34,C$34)</f>
        <v/>
      </c>
      <c r="D124" s="37">
        <f>_xlfn.IFS(E124&lt;E$24,0,E124&lt;E$25,D$24,E124&lt;E$26,D$25,E124&lt;E$27,D$26,E124&lt;E$28,D$27,E124&lt;E$29,D$28,E124&lt;E$30,D$29,E124&lt;E$31,D$30,E124&lt;E$32,D$31,E124&lt;E$33,D$32,E124&lt;E$34,D$33,E124&lt;E$35,D$34,E124&gt;=E$35,D$35)</f>
        <v/>
      </c>
      <c r="E124" s="38" t="n">
        <v>74</v>
      </c>
      <c r="F124" s="31">
        <f>E124/52</f>
        <v/>
      </c>
      <c r="G124" s="39">
        <f>D124/1000000*52</f>
        <v/>
      </c>
      <c r="H124" s="33">
        <f>G124/$P$4+($C$22/$P$4)</f>
        <v/>
      </c>
      <c r="I124" s="36">
        <f>_xlfn.IFS(K124&lt;K$24,0,K124&lt;K$26,I$24,K124&lt;K$28,I$26,K124&lt;K$30,I$28,K124&lt;K$32,I$30,K124&lt;K$34,I$32,K124&lt;K$36,I$34,K124&lt;K$38,I$36,K124&lt;K$40,I$38,K124&lt;K$42,I$40,K124&lt;K$44,I$42,K124&lt;K$46,I$44,K124&gt;=K$46,I$46)</f>
        <v/>
      </c>
      <c r="J124" s="37">
        <f>_xlfn.IFS(K124&lt;K$24,0,K124&lt;K$25,J$24,K124&lt;K$26,J$25,K124&lt;K$27,J$26,K124&lt;K$28,J$27,K124&lt;K$29,J$28,K124&lt;K$30,J$29,K124&lt;K$31,J$30,K124&lt;K$32,J$31,K124&lt;K$33,J$32,K124&lt;K$34,J$33,K124&lt;K$35,J$34,K124&lt;K$36,J$35,K124&lt;K$37,J$36,K124&lt;K$38,J$37,K124&lt;K$39,J$38,K124&lt;K$40,J$39,K124&lt;K$41,J$40,K124&lt;K$42,J$41,K124&lt;K$43,J$42,K124&lt;K$44,J$43,K124&lt;K$45,J$44,K124&lt;K$46,J$45,K124&lt;K$47,J$46,K124&gt;=K$47,J$47)</f>
        <v/>
      </c>
      <c r="K124" s="38" t="n">
        <v>74</v>
      </c>
      <c r="L124" s="31">
        <f>K124/52</f>
        <v/>
      </c>
      <c r="M124" s="39">
        <f>J124/1000000*52</f>
        <v/>
      </c>
      <c r="N124" s="33">
        <f>M124/$P$4+($I$22/$P$4)</f>
        <v/>
      </c>
      <c r="U124">
        <f>F123</f>
        <v/>
      </c>
      <c r="V124">
        <f>H123</f>
        <v/>
      </c>
      <c r="W124">
        <f>N123</f>
        <v/>
      </c>
    </row>
    <row r="125" ht="15.75" customHeight="1" s="40">
      <c r="C125" s="36">
        <f>_xlfn.IFS(E125&lt;E$24,0,E125&lt;E$26,C$24,E125&lt;E$28,C$26,E125&lt;E$30,C$28,E125&lt;E$32,C$30,E125&lt;E$34,C$32,E125&gt;=E$34,C$34)</f>
        <v/>
      </c>
      <c r="D125" s="37">
        <f>_xlfn.IFS(E125&lt;E$24,0,E125&lt;E$25,D$24,E125&lt;E$26,D$25,E125&lt;E$27,D$26,E125&lt;E$28,D$27,E125&lt;E$29,D$28,E125&lt;E$30,D$29,E125&lt;E$31,D$30,E125&lt;E$32,D$31,E125&lt;E$33,D$32,E125&lt;E$34,D$33,E125&lt;E$35,D$34,E125&gt;=E$35,D$35)</f>
        <v/>
      </c>
      <c r="E125" s="38" t="n">
        <v>75</v>
      </c>
      <c r="F125" s="31">
        <f>E125/52</f>
        <v/>
      </c>
      <c r="G125" s="39">
        <f>D125/1000000*52</f>
        <v/>
      </c>
      <c r="H125" s="33">
        <f>G125/$P$4+($C$22/$P$4)</f>
        <v/>
      </c>
      <c r="I125" s="36">
        <f>_xlfn.IFS(K125&lt;K$24,0,K125&lt;K$26,I$24,K125&lt;K$28,I$26,K125&lt;K$30,I$28,K125&lt;K$32,I$30,K125&lt;K$34,I$32,K125&lt;K$36,I$34,K125&lt;K$38,I$36,K125&lt;K$40,I$38,K125&lt;K$42,I$40,K125&lt;K$44,I$42,K125&lt;K$46,I$44,K125&gt;=K$46,I$46)</f>
        <v/>
      </c>
      <c r="J125" s="37">
        <f>_xlfn.IFS(K125&lt;K$24,0,K125&lt;K$25,J$24,K125&lt;K$26,J$25,K125&lt;K$27,J$26,K125&lt;K$28,J$27,K125&lt;K$29,J$28,K125&lt;K$30,J$29,K125&lt;K$31,J$30,K125&lt;K$32,J$31,K125&lt;K$33,J$32,K125&lt;K$34,J$33,K125&lt;K$35,J$34,K125&lt;K$36,J$35,K125&lt;K$37,J$36,K125&lt;K$38,J$37,K125&lt;K$39,J$38,K125&lt;K$40,J$39,K125&lt;K$41,J$40,K125&lt;K$42,J$41,K125&lt;K$43,J$42,K125&lt;K$44,J$43,K125&lt;K$45,J$44,K125&lt;K$46,J$45,K125&lt;K$47,J$46,K125&gt;=K$47,J$47)</f>
        <v/>
      </c>
      <c r="K125" s="38" t="n">
        <v>75</v>
      </c>
      <c r="L125" s="31">
        <f>K125/52</f>
        <v/>
      </c>
      <c r="M125" s="39">
        <f>J125/1000000*52</f>
        <v/>
      </c>
      <c r="N125" s="33">
        <f>M125/$P$4+($I$22/$P$4)</f>
        <v/>
      </c>
      <c r="U125">
        <f>F124</f>
        <v/>
      </c>
      <c r="V125">
        <f>H124</f>
        <v/>
      </c>
      <c r="W125">
        <f>N124</f>
        <v/>
      </c>
    </row>
    <row r="126" ht="15.75" customHeight="1" s="40">
      <c r="C126" s="36">
        <f>_xlfn.IFS(E126&lt;E$24,0,E126&lt;E$26,C$24,E126&lt;E$28,C$26,E126&lt;E$30,C$28,E126&lt;E$32,C$30,E126&lt;E$34,C$32,E126&gt;=E$34,C$34)</f>
        <v/>
      </c>
      <c r="D126" s="37">
        <f>_xlfn.IFS(E126&lt;E$24,0,E126&lt;E$25,D$24,E126&lt;E$26,D$25,E126&lt;E$27,D$26,E126&lt;E$28,D$27,E126&lt;E$29,D$28,E126&lt;E$30,D$29,E126&lt;E$31,D$30,E126&lt;E$32,D$31,E126&lt;E$33,D$32,E126&lt;E$34,D$33,E126&lt;E$35,D$34,E126&gt;=E$35,D$35)</f>
        <v/>
      </c>
      <c r="E126" s="38" t="n">
        <v>76</v>
      </c>
      <c r="F126" s="31">
        <f>E126/52</f>
        <v/>
      </c>
      <c r="G126" s="39">
        <f>D126/1000000*52</f>
        <v/>
      </c>
      <c r="H126" s="33">
        <f>G126/$P$4+($C$22/$P$4)</f>
        <v/>
      </c>
      <c r="I126" s="36">
        <f>_xlfn.IFS(K126&lt;K$24,0,K126&lt;K$26,I$24,K126&lt;K$28,I$26,K126&lt;K$30,I$28,K126&lt;K$32,I$30,K126&lt;K$34,I$32,K126&lt;K$36,I$34,K126&lt;K$38,I$36,K126&lt;K$40,I$38,K126&lt;K$42,I$40,K126&lt;K$44,I$42,K126&lt;K$46,I$44,K126&gt;=K$46,I$46)</f>
        <v/>
      </c>
      <c r="J126" s="37">
        <f>_xlfn.IFS(K126&lt;K$24,0,K126&lt;K$25,J$24,K126&lt;K$26,J$25,K126&lt;K$27,J$26,K126&lt;K$28,J$27,K126&lt;K$29,J$28,K126&lt;K$30,J$29,K126&lt;K$31,J$30,K126&lt;K$32,J$31,K126&lt;K$33,J$32,K126&lt;K$34,J$33,K126&lt;K$35,J$34,K126&lt;K$36,J$35,K126&lt;K$37,J$36,K126&lt;K$38,J$37,K126&lt;K$39,J$38,K126&lt;K$40,J$39,K126&lt;K$41,J$40,K126&lt;K$42,J$41,K126&lt;K$43,J$42,K126&lt;K$44,J$43,K126&lt;K$45,J$44,K126&lt;K$46,J$45,K126&lt;K$47,J$46,K126&gt;=K$47,J$47)</f>
        <v/>
      </c>
      <c r="K126" s="38" t="n">
        <v>76</v>
      </c>
      <c r="L126" s="31">
        <f>K126/52</f>
        <v/>
      </c>
      <c r="M126" s="39">
        <f>J126/1000000*52</f>
        <v/>
      </c>
      <c r="N126" s="33">
        <f>M126/$P$4+($I$22/$P$4)</f>
        <v/>
      </c>
      <c r="U126">
        <f>F125</f>
        <v/>
      </c>
      <c r="V126">
        <f>H125</f>
        <v/>
      </c>
      <c r="W126">
        <f>N125</f>
        <v/>
      </c>
    </row>
    <row r="127" ht="15.75" customHeight="1" s="40">
      <c r="C127" s="36">
        <f>_xlfn.IFS(E127&lt;E$24,0,E127&lt;E$26,C$24,E127&lt;E$28,C$26,E127&lt;E$30,C$28,E127&lt;E$32,C$30,E127&lt;E$34,C$32,E127&gt;=E$34,C$34)</f>
        <v/>
      </c>
      <c r="D127" s="37">
        <f>_xlfn.IFS(E127&lt;E$24,0,E127&lt;E$25,D$24,E127&lt;E$26,D$25,E127&lt;E$27,D$26,E127&lt;E$28,D$27,E127&lt;E$29,D$28,E127&lt;E$30,D$29,E127&lt;E$31,D$30,E127&lt;E$32,D$31,E127&lt;E$33,D$32,E127&lt;E$34,D$33,E127&lt;E$35,D$34,E127&gt;=E$35,D$35)</f>
        <v/>
      </c>
      <c r="E127" s="38" t="n">
        <v>77</v>
      </c>
      <c r="F127" s="31">
        <f>E127/52</f>
        <v/>
      </c>
      <c r="G127" s="39">
        <f>D127/1000000*52</f>
        <v/>
      </c>
      <c r="H127" s="33">
        <f>G127/$P$4+($C$22/$P$4)</f>
        <v/>
      </c>
      <c r="I127" s="36">
        <f>_xlfn.IFS(K127&lt;K$24,0,K127&lt;K$26,I$24,K127&lt;K$28,I$26,K127&lt;K$30,I$28,K127&lt;K$32,I$30,K127&lt;K$34,I$32,K127&lt;K$36,I$34,K127&lt;K$38,I$36,K127&lt;K$40,I$38,K127&lt;K$42,I$40,K127&lt;K$44,I$42,K127&lt;K$46,I$44,K127&gt;=K$46,I$46)</f>
        <v/>
      </c>
      <c r="J127" s="37">
        <f>_xlfn.IFS(K127&lt;K$24,0,K127&lt;K$25,J$24,K127&lt;K$26,J$25,K127&lt;K$27,J$26,K127&lt;K$28,J$27,K127&lt;K$29,J$28,K127&lt;K$30,J$29,K127&lt;K$31,J$30,K127&lt;K$32,J$31,K127&lt;K$33,J$32,K127&lt;K$34,J$33,K127&lt;K$35,J$34,K127&lt;K$36,J$35,K127&lt;K$37,J$36,K127&lt;K$38,J$37,K127&lt;K$39,J$38,K127&lt;K$40,J$39,K127&lt;K$41,J$40,K127&lt;K$42,J$41,K127&lt;K$43,J$42,K127&lt;K$44,J$43,K127&lt;K$45,J$44,K127&lt;K$46,J$45,K127&lt;K$47,J$46,K127&gt;=K$47,J$47)</f>
        <v/>
      </c>
      <c r="K127" s="38" t="n">
        <v>77</v>
      </c>
      <c r="L127" s="31">
        <f>K127/52</f>
        <v/>
      </c>
      <c r="M127" s="39">
        <f>J127/1000000*52</f>
        <v/>
      </c>
      <c r="N127" s="33">
        <f>M127/$P$4+($I$22/$P$4)</f>
        <v/>
      </c>
      <c r="U127">
        <f>F126</f>
        <v/>
      </c>
      <c r="V127">
        <f>H126</f>
        <v/>
      </c>
      <c r="W127">
        <f>N126</f>
        <v/>
      </c>
    </row>
    <row r="128" ht="15.75" customHeight="1" s="40">
      <c r="C128" s="36">
        <f>_xlfn.IFS(E128&lt;E$24,0,E128&lt;E$26,C$24,E128&lt;E$28,C$26,E128&lt;E$30,C$28,E128&lt;E$32,C$30,E128&lt;E$34,C$32,E128&gt;=E$34,C$34)</f>
        <v/>
      </c>
      <c r="D128" s="37">
        <f>_xlfn.IFS(E128&lt;E$24,0,E128&lt;E$25,D$24,E128&lt;E$26,D$25,E128&lt;E$27,D$26,E128&lt;E$28,D$27,E128&lt;E$29,D$28,E128&lt;E$30,D$29,E128&lt;E$31,D$30,E128&lt;E$32,D$31,E128&lt;E$33,D$32,E128&lt;E$34,D$33,E128&lt;E$35,D$34,E128&gt;=E$35,D$35)</f>
        <v/>
      </c>
      <c r="E128" s="38" t="n">
        <v>78</v>
      </c>
      <c r="F128" s="31">
        <f>E128/52</f>
        <v/>
      </c>
      <c r="G128" s="39">
        <f>D128/1000000*52</f>
        <v/>
      </c>
      <c r="H128" s="33">
        <f>G128/$P$4+($C$22/$P$4)</f>
        <v/>
      </c>
      <c r="I128" s="36">
        <f>_xlfn.IFS(K128&lt;K$24,0,K128&lt;K$26,I$24,K128&lt;K$28,I$26,K128&lt;K$30,I$28,K128&lt;K$32,I$30,K128&lt;K$34,I$32,K128&lt;K$36,I$34,K128&lt;K$38,I$36,K128&lt;K$40,I$38,K128&lt;K$42,I$40,K128&lt;K$44,I$42,K128&lt;K$46,I$44,K128&gt;=K$46,I$46)</f>
        <v/>
      </c>
      <c r="J128" s="37">
        <f>_xlfn.IFS(K128&lt;K$24,0,K128&lt;K$25,J$24,K128&lt;K$26,J$25,K128&lt;K$27,J$26,K128&lt;K$28,J$27,K128&lt;K$29,J$28,K128&lt;K$30,J$29,K128&lt;K$31,J$30,K128&lt;K$32,J$31,K128&lt;K$33,J$32,K128&lt;K$34,J$33,K128&lt;K$35,J$34,K128&lt;K$36,J$35,K128&lt;K$37,J$36,K128&lt;K$38,J$37,K128&lt;K$39,J$38,K128&lt;K$40,J$39,K128&lt;K$41,J$40,K128&lt;K$42,J$41,K128&lt;K$43,J$42,K128&lt;K$44,J$43,K128&lt;K$45,J$44,K128&lt;K$46,J$45,K128&lt;K$47,J$46,K128&gt;=K$47,J$47)</f>
        <v/>
      </c>
      <c r="K128" s="38" t="n">
        <v>78</v>
      </c>
      <c r="L128" s="31">
        <f>K128/52</f>
        <v/>
      </c>
      <c r="M128" s="39">
        <f>J128/1000000*52</f>
        <v/>
      </c>
      <c r="N128" s="33">
        <f>M128/$P$4+($I$22/$P$4)</f>
        <v/>
      </c>
      <c r="U128">
        <f>F127</f>
        <v/>
      </c>
      <c r="V128">
        <f>H127</f>
        <v/>
      </c>
      <c r="W128">
        <f>N127</f>
        <v/>
      </c>
    </row>
    <row r="129" ht="15.75" customHeight="1" s="40">
      <c r="C129" s="36">
        <f>_xlfn.IFS(E129&lt;E$24,0,E129&lt;E$26,C$24,E129&lt;E$28,C$26,E129&lt;E$30,C$28,E129&lt;E$32,C$30,E129&lt;E$34,C$32,E129&gt;=E$34,C$34)</f>
        <v/>
      </c>
      <c r="D129" s="37">
        <f>_xlfn.IFS(E129&lt;E$24,0,E129&lt;E$25,D$24,E129&lt;E$26,D$25,E129&lt;E$27,D$26,E129&lt;E$28,D$27,E129&lt;E$29,D$28,E129&lt;E$30,D$29,E129&lt;E$31,D$30,E129&lt;E$32,D$31,E129&lt;E$33,D$32,E129&lt;E$34,D$33,E129&lt;E$35,D$34,E129&gt;=E$35,D$35)</f>
        <v/>
      </c>
      <c r="E129" s="38" t="n">
        <v>79</v>
      </c>
      <c r="F129" s="31">
        <f>E129/52</f>
        <v/>
      </c>
      <c r="G129" s="39">
        <f>D129/1000000*52</f>
        <v/>
      </c>
      <c r="H129" s="33">
        <f>G129/$P$4+($C$22/$P$4)</f>
        <v/>
      </c>
      <c r="I129" s="36">
        <f>_xlfn.IFS(K129&lt;K$24,0,K129&lt;K$26,I$24,K129&lt;K$28,I$26,K129&lt;K$30,I$28,K129&lt;K$32,I$30,K129&lt;K$34,I$32,K129&lt;K$36,I$34,K129&lt;K$38,I$36,K129&lt;K$40,I$38,K129&lt;K$42,I$40,K129&lt;K$44,I$42,K129&lt;K$46,I$44,K129&gt;=K$46,I$46)</f>
        <v/>
      </c>
      <c r="J129" s="37">
        <f>_xlfn.IFS(K129&lt;K$24,0,K129&lt;K$25,J$24,K129&lt;K$26,J$25,K129&lt;K$27,J$26,K129&lt;K$28,J$27,K129&lt;K$29,J$28,K129&lt;K$30,J$29,K129&lt;K$31,J$30,K129&lt;K$32,J$31,K129&lt;K$33,J$32,K129&lt;K$34,J$33,K129&lt;K$35,J$34,K129&lt;K$36,J$35,K129&lt;K$37,J$36,K129&lt;K$38,J$37,K129&lt;K$39,J$38,K129&lt;K$40,J$39,K129&lt;K$41,J$40,K129&lt;K$42,J$41,K129&lt;K$43,J$42,K129&lt;K$44,J$43,K129&lt;K$45,J$44,K129&lt;K$46,J$45,K129&lt;K$47,J$46,K129&gt;=K$47,J$47)</f>
        <v/>
      </c>
      <c r="K129" s="38" t="n">
        <v>79</v>
      </c>
      <c r="L129" s="31">
        <f>K129/52</f>
        <v/>
      </c>
      <c r="M129" s="39">
        <f>J129/1000000*52</f>
        <v/>
      </c>
      <c r="N129" s="33">
        <f>M129/$P$4+($I$22/$P$4)</f>
        <v/>
      </c>
      <c r="U129">
        <f>F128</f>
        <v/>
      </c>
      <c r="V129">
        <f>H128</f>
        <v/>
      </c>
      <c r="W129">
        <f>N128</f>
        <v/>
      </c>
    </row>
    <row r="130" ht="15.75" customHeight="1" s="40">
      <c r="C130" s="36">
        <f>_xlfn.IFS(E130&lt;E$24,0,E130&lt;E$26,C$24,E130&lt;E$28,C$26,E130&lt;E$30,C$28,E130&lt;E$32,C$30,E130&lt;E$34,C$32,E130&gt;=E$34,C$34)</f>
        <v/>
      </c>
      <c r="D130" s="37">
        <f>_xlfn.IFS(E130&lt;E$24,0,E130&lt;E$25,D$24,E130&lt;E$26,D$25,E130&lt;E$27,D$26,E130&lt;E$28,D$27,E130&lt;E$29,D$28,E130&lt;E$30,D$29,E130&lt;E$31,D$30,E130&lt;E$32,D$31,E130&lt;E$33,D$32,E130&lt;E$34,D$33,E130&lt;E$35,D$34,E130&gt;=E$35,D$35)</f>
        <v/>
      </c>
      <c r="E130" s="38" t="n">
        <v>80</v>
      </c>
      <c r="F130" s="31">
        <f>E130/52</f>
        <v/>
      </c>
      <c r="G130" s="39">
        <f>D130/1000000*52</f>
        <v/>
      </c>
      <c r="H130" s="33">
        <f>G130/$P$4+($C$22/$P$4)</f>
        <v/>
      </c>
      <c r="I130" s="36">
        <f>_xlfn.IFS(K130&lt;K$24,0,K130&lt;K$26,I$24,K130&lt;K$28,I$26,K130&lt;K$30,I$28,K130&lt;K$32,I$30,K130&lt;K$34,I$32,K130&lt;K$36,I$34,K130&lt;K$38,I$36,K130&lt;K$40,I$38,K130&lt;K$42,I$40,K130&lt;K$44,I$42,K130&lt;K$46,I$44,K130&gt;=K$46,I$46)</f>
        <v/>
      </c>
      <c r="J130" s="37">
        <f>_xlfn.IFS(K130&lt;K$24,0,K130&lt;K$25,J$24,K130&lt;K$26,J$25,K130&lt;K$27,J$26,K130&lt;K$28,J$27,K130&lt;K$29,J$28,K130&lt;K$30,J$29,K130&lt;K$31,J$30,K130&lt;K$32,J$31,K130&lt;K$33,J$32,K130&lt;K$34,J$33,K130&lt;K$35,J$34,K130&lt;K$36,J$35,K130&lt;K$37,J$36,K130&lt;K$38,J$37,K130&lt;K$39,J$38,K130&lt;K$40,J$39,K130&lt;K$41,J$40,K130&lt;K$42,J$41,K130&lt;K$43,J$42,K130&lt;K$44,J$43,K130&lt;K$45,J$44,K130&lt;K$46,J$45,K130&lt;K$47,J$46,K130&gt;=K$47,J$47)</f>
        <v/>
      </c>
      <c r="K130" s="38" t="n">
        <v>80</v>
      </c>
      <c r="L130" s="31">
        <f>K130/52</f>
        <v/>
      </c>
      <c r="M130" s="39">
        <f>J130/1000000*52</f>
        <v/>
      </c>
      <c r="N130" s="33">
        <f>M130/$P$4+($I$22/$P$4)</f>
        <v/>
      </c>
      <c r="U130">
        <f>F129</f>
        <v/>
      </c>
      <c r="V130">
        <f>H129</f>
        <v/>
      </c>
      <c r="W130">
        <f>N129</f>
        <v/>
      </c>
    </row>
    <row r="131" ht="15.75" customHeight="1" s="40">
      <c r="C131" s="36">
        <f>_xlfn.IFS(E131&lt;E$24,0,E131&lt;E$26,C$24,E131&lt;E$28,C$26,E131&lt;E$30,C$28,E131&lt;E$32,C$30,E131&lt;E$34,C$32,E131&gt;=E$34,C$34)</f>
        <v/>
      </c>
      <c r="D131" s="37">
        <f>_xlfn.IFS(E131&lt;E$24,0,E131&lt;E$25,D$24,E131&lt;E$26,D$25,E131&lt;E$27,D$26,E131&lt;E$28,D$27,E131&lt;E$29,D$28,E131&lt;E$30,D$29,E131&lt;E$31,D$30,E131&lt;E$32,D$31,E131&lt;E$33,D$32,E131&lt;E$34,D$33,E131&lt;E$35,D$34,E131&gt;=E$35,D$35)</f>
        <v/>
      </c>
      <c r="E131" s="38" t="n">
        <v>81</v>
      </c>
      <c r="F131" s="31">
        <f>E131/52</f>
        <v/>
      </c>
      <c r="G131" s="39">
        <f>D131/1000000*52</f>
        <v/>
      </c>
      <c r="H131" s="33">
        <f>G131/$P$4+($C$22/$P$4)</f>
        <v/>
      </c>
      <c r="I131" s="36">
        <f>_xlfn.IFS(K131&lt;K$24,0,K131&lt;K$26,I$24,K131&lt;K$28,I$26,K131&lt;K$30,I$28,K131&lt;K$32,I$30,K131&lt;K$34,I$32,K131&lt;K$36,I$34,K131&lt;K$38,I$36,K131&lt;K$40,I$38,K131&lt;K$42,I$40,K131&lt;K$44,I$42,K131&lt;K$46,I$44,K131&gt;=K$46,I$46)</f>
        <v/>
      </c>
      <c r="J131" s="37">
        <f>_xlfn.IFS(K131&lt;K$24,0,K131&lt;K$25,J$24,K131&lt;K$26,J$25,K131&lt;K$27,J$26,K131&lt;K$28,J$27,K131&lt;K$29,J$28,K131&lt;K$30,J$29,K131&lt;K$31,J$30,K131&lt;K$32,J$31,K131&lt;K$33,J$32,K131&lt;K$34,J$33,K131&lt;K$35,J$34,K131&lt;K$36,J$35,K131&lt;K$37,J$36,K131&lt;K$38,J$37,K131&lt;K$39,J$38,K131&lt;K$40,J$39,K131&lt;K$41,J$40,K131&lt;K$42,J$41,K131&lt;K$43,J$42,K131&lt;K$44,J$43,K131&lt;K$45,J$44,K131&lt;K$46,J$45,K131&lt;K$47,J$46,K131&gt;=K$47,J$47)</f>
        <v/>
      </c>
      <c r="K131" s="38" t="n">
        <v>81</v>
      </c>
      <c r="L131" s="31">
        <f>K131/52</f>
        <v/>
      </c>
      <c r="M131" s="39">
        <f>J131/1000000*52</f>
        <v/>
      </c>
      <c r="N131" s="33">
        <f>M131/$P$4+($I$22/$P$4)</f>
        <v/>
      </c>
      <c r="U131">
        <f>F130</f>
        <v/>
      </c>
      <c r="V131">
        <f>H130</f>
        <v/>
      </c>
      <c r="W131">
        <f>N130</f>
        <v/>
      </c>
    </row>
    <row r="132" ht="15.75" customHeight="1" s="40">
      <c r="C132" s="36">
        <f>_xlfn.IFS(E132&lt;E$24,0,E132&lt;E$26,C$24,E132&lt;E$28,C$26,E132&lt;E$30,C$28,E132&lt;E$32,C$30,E132&lt;E$34,C$32,E132&gt;=E$34,C$34)</f>
        <v/>
      </c>
      <c r="D132" s="37">
        <f>_xlfn.IFS(E132&lt;E$24,0,E132&lt;E$25,D$24,E132&lt;E$26,D$25,E132&lt;E$27,D$26,E132&lt;E$28,D$27,E132&lt;E$29,D$28,E132&lt;E$30,D$29,E132&lt;E$31,D$30,E132&lt;E$32,D$31,E132&lt;E$33,D$32,E132&lt;E$34,D$33,E132&lt;E$35,D$34,E132&gt;=E$35,D$35)</f>
        <v/>
      </c>
      <c r="E132" s="38" t="n">
        <v>82</v>
      </c>
      <c r="F132" s="31">
        <f>E132/52</f>
        <v/>
      </c>
      <c r="G132" s="39">
        <f>D132/1000000*52</f>
        <v/>
      </c>
      <c r="H132" s="33">
        <f>G132/$P$4+($C$22/$P$4)</f>
        <v/>
      </c>
      <c r="I132" s="36">
        <f>_xlfn.IFS(K132&lt;K$24,0,K132&lt;K$26,I$24,K132&lt;K$28,I$26,K132&lt;K$30,I$28,K132&lt;K$32,I$30,K132&lt;K$34,I$32,K132&lt;K$36,I$34,K132&lt;K$38,I$36,K132&lt;K$40,I$38,K132&lt;K$42,I$40,K132&lt;K$44,I$42,K132&lt;K$46,I$44,K132&gt;=K$46,I$46)</f>
        <v/>
      </c>
      <c r="J132" s="37">
        <f>_xlfn.IFS(K132&lt;K$24,0,K132&lt;K$25,J$24,K132&lt;K$26,J$25,K132&lt;K$27,J$26,K132&lt;K$28,J$27,K132&lt;K$29,J$28,K132&lt;K$30,J$29,K132&lt;K$31,J$30,K132&lt;K$32,J$31,K132&lt;K$33,J$32,K132&lt;K$34,J$33,K132&lt;K$35,J$34,K132&lt;K$36,J$35,K132&lt;K$37,J$36,K132&lt;K$38,J$37,K132&lt;K$39,J$38,K132&lt;K$40,J$39,K132&lt;K$41,J$40,K132&lt;K$42,J$41,K132&lt;K$43,J$42,K132&lt;K$44,J$43,K132&lt;K$45,J$44,K132&lt;K$46,J$45,K132&lt;K$47,J$46,K132&gt;=K$47,J$47)</f>
        <v/>
      </c>
      <c r="K132" s="38" t="n">
        <v>82</v>
      </c>
      <c r="L132" s="31">
        <f>K132/52</f>
        <v/>
      </c>
      <c r="M132" s="39">
        <f>J132/1000000*52</f>
        <v/>
      </c>
      <c r="N132" s="33">
        <f>M132/$P$4+($I$22/$P$4)</f>
        <v/>
      </c>
      <c r="U132">
        <f>F131</f>
        <v/>
      </c>
      <c r="V132">
        <f>H131</f>
        <v/>
      </c>
      <c r="W132">
        <f>N131</f>
        <v/>
      </c>
    </row>
    <row r="133" ht="15.75" customHeight="1" s="40">
      <c r="C133" s="36">
        <f>_xlfn.IFS(E133&lt;E$24,0,E133&lt;E$26,C$24,E133&lt;E$28,C$26,E133&lt;E$30,C$28,E133&lt;E$32,C$30,E133&lt;E$34,C$32,E133&gt;=E$34,C$34)</f>
        <v/>
      </c>
      <c r="D133" s="37">
        <f>_xlfn.IFS(E133&lt;E$24,0,E133&lt;E$25,D$24,E133&lt;E$26,D$25,E133&lt;E$27,D$26,E133&lt;E$28,D$27,E133&lt;E$29,D$28,E133&lt;E$30,D$29,E133&lt;E$31,D$30,E133&lt;E$32,D$31,E133&lt;E$33,D$32,E133&lt;E$34,D$33,E133&lt;E$35,D$34,E133&gt;=E$35,D$35)</f>
        <v/>
      </c>
      <c r="E133" s="38" t="n">
        <v>83</v>
      </c>
      <c r="F133" s="31">
        <f>E133/52</f>
        <v/>
      </c>
      <c r="G133" s="39">
        <f>D133/1000000*52</f>
        <v/>
      </c>
      <c r="H133" s="33">
        <f>G133/$P$4+($C$22/$P$4)</f>
        <v/>
      </c>
      <c r="I133" s="36">
        <f>_xlfn.IFS(K133&lt;K$24,0,K133&lt;K$26,I$24,K133&lt;K$28,I$26,K133&lt;K$30,I$28,K133&lt;K$32,I$30,K133&lt;K$34,I$32,K133&lt;K$36,I$34,K133&lt;K$38,I$36,K133&lt;K$40,I$38,K133&lt;K$42,I$40,K133&lt;K$44,I$42,K133&lt;K$46,I$44,K133&gt;=K$46,I$46)</f>
        <v/>
      </c>
      <c r="J133" s="37">
        <f>_xlfn.IFS(K133&lt;K$24,0,K133&lt;K$25,J$24,K133&lt;K$26,J$25,K133&lt;K$27,J$26,K133&lt;K$28,J$27,K133&lt;K$29,J$28,K133&lt;K$30,J$29,K133&lt;K$31,J$30,K133&lt;K$32,J$31,K133&lt;K$33,J$32,K133&lt;K$34,J$33,K133&lt;K$35,J$34,K133&lt;K$36,J$35,K133&lt;K$37,J$36,K133&lt;K$38,J$37,K133&lt;K$39,J$38,K133&lt;K$40,J$39,K133&lt;K$41,J$40,K133&lt;K$42,J$41,K133&lt;K$43,J$42,K133&lt;K$44,J$43,K133&lt;K$45,J$44,K133&lt;K$46,J$45,K133&lt;K$47,J$46,K133&gt;=K$47,J$47)</f>
        <v/>
      </c>
      <c r="K133" s="38" t="n">
        <v>83</v>
      </c>
      <c r="L133" s="31">
        <f>K133/52</f>
        <v/>
      </c>
      <c r="M133" s="39">
        <f>J133/1000000*52</f>
        <v/>
      </c>
      <c r="N133" s="33">
        <f>M133/$P$4+($I$22/$P$4)</f>
        <v/>
      </c>
      <c r="U133">
        <f>F132</f>
        <v/>
      </c>
      <c r="V133">
        <f>H132</f>
        <v/>
      </c>
      <c r="W133">
        <f>N132</f>
        <v/>
      </c>
    </row>
    <row r="134" ht="15.75" customHeight="1" s="40">
      <c r="C134" s="36">
        <f>_xlfn.IFS(E134&lt;E$24,0,E134&lt;E$26,C$24,E134&lt;E$28,C$26,E134&lt;E$30,C$28,E134&lt;E$32,C$30,E134&lt;E$34,C$32,E134&gt;=E$34,C$34)</f>
        <v/>
      </c>
      <c r="D134" s="37">
        <f>_xlfn.IFS(E134&lt;E$24,0,E134&lt;E$25,D$24,E134&lt;E$26,D$25,E134&lt;E$27,D$26,E134&lt;E$28,D$27,E134&lt;E$29,D$28,E134&lt;E$30,D$29,E134&lt;E$31,D$30,E134&lt;E$32,D$31,E134&lt;E$33,D$32,E134&lt;E$34,D$33,E134&lt;E$35,D$34,E134&gt;=E$35,D$35)</f>
        <v/>
      </c>
      <c r="E134" s="38" t="n">
        <v>84</v>
      </c>
      <c r="F134" s="31">
        <f>E134/52</f>
        <v/>
      </c>
      <c r="G134" s="39">
        <f>D134/1000000*52</f>
        <v/>
      </c>
      <c r="H134" s="33">
        <f>G134/$P$4+($C$22/$P$4)</f>
        <v/>
      </c>
      <c r="I134" s="36">
        <f>_xlfn.IFS(K134&lt;K$24,0,K134&lt;K$26,I$24,K134&lt;K$28,I$26,K134&lt;K$30,I$28,K134&lt;K$32,I$30,K134&lt;K$34,I$32,K134&lt;K$36,I$34,K134&lt;K$38,I$36,K134&lt;K$40,I$38,K134&lt;K$42,I$40,K134&lt;K$44,I$42,K134&lt;K$46,I$44,K134&gt;=K$46,I$46)</f>
        <v/>
      </c>
      <c r="J134" s="37">
        <f>_xlfn.IFS(K134&lt;K$24,0,K134&lt;K$25,J$24,K134&lt;K$26,J$25,K134&lt;K$27,J$26,K134&lt;K$28,J$27,K134&lt;K$29,J$28,K134&lt;K$30,J$29,K134&lt;K$31,J$30,K134&lt;K$32,J$31,K134&lt;K$33,J$32,K134&lt;K$34,J$33,K134&lt;K$35,J$34,K134&lt;K$36,J$35,K134&lt;K$37,J$36,K134&lt;K$38,J$37,K134&lt;K$39,J$38,K134&lt;K$40,J$39,K134&lt;K$41,J$40,K134&lt;K$42,J$41,K134&lt;K$43,J$42,K134&lt;K$44,J$43,K134&lt;K$45,J$44,K134&lt;K$46,J$45,K134&lt;K$47,J$46,K134&gt;=K$47,J$47)</f>
        <v/>
      </c>
      <c r="K134" s="38" t="n">
        <v>84</v>
      </c>
      <c r="L134" s="31">
        <f>K134/52</f>
        <v/>
      </c>
      <c r="M134" s="39">
        <f>J134/1000000*52</f>
        <v/>
      </c>
      <c r="N134" s="33">
        <f>M134/$P$4+($I$22/$P$4)</f>
        <v/>
      </c>
      <c r="U134">
        <f>F133</f>
        <v/>
      </c>
      <c r="V134">
        <f>H133</f>
        <v/>
      </c>
      <c r="W134">
        <f>N133</f>
        <v/>
      </c>
    </row>
    <row r="135" ht="15.75" customHeight="1" s="40">
      <c r="C135" s="36">
        <f>_xlfn.IFS(E135&lt;E$24,0,E135&lt;E$26,C$24,E135&lt;E$28,C$26,E135&lt;E$30,C$28,E135&lt;E$32,C$30,E135&lt;E$34,C$32,E135&gt;=E$34,C$34)</f>
        <v/>
      </c>
      <c r="D135" s="37">
        <f>_xlfn.IFS(E135&lt;E$24,0,E135&lt;E$25,D$24,E135&lt;E$26,D$25,E135&lt;E$27,D$26,E135&lt;E$28,D$27,E135&lt;E$29,D$28,E135&lt;E$30,D$29,E135&lt;E$31,D$30,E135&lt;E$32,D$31,E135&lt;E$33,D$32,E135&lt;E$34,D$33,E135&lt;E$35,D$34,E135&gt;=E$35,D$35)</f>
        <v/>
      </c>
      <c r="E135" s="38" t="n">
        <v>85</v>
      </c>
      <c r="F135" s="31">
        <f>E135/52</f>
        <v/>
      </c>
      <c r="G135" s="39">
        <f>D135/1000000*52</f>
        <v/>
      </c>
      <c r="H135" s="33">
        <f>G135/$P$4+($C$22/$P$4)</f>
        <v/>
      </c>
      <c r="I135" s="36">
        <f>_xlfn.IFS(K135&lt;K$24,0,K135&lt;K$26,I$24,K135&lt;K$28,I$26,K135&lt;K$30,I$28,K135&lt;K$32,I$30,K135&lt;K$34,I$32,K135&lt;K$36,I$34,K135&lt;K$38,I$36,K135&lt;K$40,I$38,K135&lt;K$42,I$40,K135&lt;K$44,I$42,K135&lt;K$46,I$44,K135&gt;=K$46,I$46)</f>
        <v/>
      </c>
      <c r="J135" s="37">
        <f>_xlfn.IFS(K135&lt;K$24,0,K135&lt;K$25,J$24,K135&lt;K$26,J$25,K135&lt;K$27,J$26,K135&lt;K$28,J$27,K135&lt;K$29,J$28,K135&lt;K$30,J$29,K135&lt;K$31,J$30,K135&lt;K$32,J$31,K135&lt;K$33,J$32,K135&lt;K$34,J$33,K135&lt;K$35,J$34,K135&lt;K$36,J$35,K135&lt;K$37,J$36,K135&lt;K$38,J$37,K135&lt;K$39,J$38,K135&lt;K$40,J$39,K135&lt;K$41,J$40,K135&lt;K$42,J$41,K135&lt;K$43,J$42,K135&lt;K$44,J$43,K135&lt;K$45,J$44,K135&lt;K$46,J$45,K135&lt;K$47,J$46,K135&gt;=K$47,J$47)</f>
        <v/>
      </c>
      <c r="K135" s="38" t="n">
        <v>85</v>
      </c>
      <c r="L135" s="31">
        <f>K135/52</f>
        <v/>
      </c>
      <c r="M135" s="39">
        <f>J135/1000000*52</f>
        <v/>
      </c>
      <c r="N135" s="33">
        <f>M135/$P$4+($I$22/$P$4)</f>
        <v/>
      </c>
      <c r="U135">
        <f>F134</f>
        <v/>
      </c>
      <c r="V135">
        <f>H134</f>
        <v/>
      </c>
      <c r="W135">
        <f>N134</f>
        <v/>
      </c>
    </row>
    <row r="136" ht="15.75" customHeight="1" s="40">
      <c r="C136" s="36">
        <f>_xlfn.IFS(E136&lt;E$24,0,E136&lt;E$26,C$24,E136&lt;E$28,C$26,E136&lt;E$30,C$28,E136&lt;E$32,C$30,E136&lt;E$34,C$32,E136&gt;=E$34,C$34)</f>
        <v/>
      </c>
      <c r="D136" s="37">
        <f>_xlfn.IFS(E136&lt;E$24,0,E136&lt;E$25,D$24,E136&lt;E$26,D$25,E136&lt;E$27,D$26,E136&lt;E$28,D$27,E136&lt;E$29,D$28,E136&lt;E$30,D$29,E136&lt;E$31,D$30,E136&lt;E$32,D$31,E136&lt;E$33,D$32,E136&lt;E$34,D$33,E136&lt;E$35,D$34,E136&gt;=E$35,D$35)</f>
        <v/>
      </c>
      <c r="E136" s="38" t="n">
        <v>86</v>
      </c>
      <c r="F136" s="31">
        <f>E136/52</f>
        <v/>
      </c>
      <c r="G136" s="39">
        <f>D136/1000000*52</f>
        <v/>
      </c>
      <c r="H136" s="33">
        <f>G136/$P$4+($C$22/$P$4)</f>
        <v/>
      </c>
      <c r="I136" s="36">
        <f>_xlfn.IFS(K136&lt;K$24,0,K136&lt;K$26,I$24,K136&lt;K$28,I$26,K136&lt;K$30,I$28,K136&lt;K$32,I$30,K136&lt;K$34,I$32,K136&lt;K$36,I$34,K136&lt;K$38,I$36,K136&lt;K$40,I$38,K136&lt;K$42,I$40,K136&lt;K$44,I$42,K136&lt;K$46,I$44,K136&gt;=K$46,I$46)</f>
        <v/>
      </c>
      <c r="J136" s="37">
        <f>_xlfn.IFS(K136&lt;K$24,0,K136&lt;K$25,J$24,K136&lt;K$26,J$25,K136&lt;K$27,J$26,K136&lt;K$28,J$27,K136&lt;K$29,J$28,K136&lt;K$30,J$29,K136&lt;K$31,J$30,K136&lt;K$32,J$31,K136&lt;K$33,J$32,K136&lt;K$34,J$33,K136&lt;K$35,J$34,K136&lt;K$36,J$35,K136&lt;K$37,J$36,K136&lt;K$38,J$37,K136&lt;K$39,J$38,K136&lt;K$40,J$39,K136&lt;K$41,J$40,K136&lt;K$42,J$41,K136&lt;K$43,J$42,K136&lt;K$44,J$43,K136&lt;K$45,J$44,K136&lt;K$46,J$45,K136&lt;K$47,J$46,K136&gt;=K$47,J$47)</f>
        <v/>
      </c>
      <c r="K136" s="38" t="n">
        <v>86</v>
      </c>
      <c r="L136" s="31">
        <f>K136/52</f>
        <v/>
      </c>
      <c r="M136" s="39">
        <f>J136/1000000*52</f>
        <v/>
      </c>
      <c r="N136" s="33">
        <f>M136/$P$4+($I$22/$P$4)</f>
        <v/>
      </c>
      <c r="U136">
        <f>F135</f>
        <v/>
      </c>
      <c r="V136">
        <f>H135</f>
        <v/>
      </c>
      <c r="W136">
        <f>N135</f>
        <v/>
      </c>
    </row>
    <row r="137" ht="15.75" customHeight="1" s="40">
      <c r="C137" s="36">
        <f>_xlfn.IFS(E137&lt;E$24,0,E137&lt;E$26,C$24,E137&lt;E$28,C$26,E137&lt;E$30,C$28,E137&lt;E$32,C$30,E137&lt;E$34,C$32,E137&gt;=E$34,C$34)</f>
        <v/>
      </c>
      <c r="D137" s="37">
        <f>_xlfn.IFS(E137&lt;E$24,0,E137&lt;E$25,D$24,E137&lt;E$26,D$25,E137&lt;E$27,D$26,E137&lt;E$28,D$27,E137&lt;E$29,D$28,E137&lt;E$30,D$29,E137&lt;E$31,D$30,E137&lt;E$32,D$31,E137&lt;E$33,D$32,E137&lt;E$34,D$33,E137&lt;E$35,D$34,E137&gt;=E$35,D$35)</f>
        <v/>
      </c>
      <c r="E137" s="38" t="n">
        <v>87</v>
      </c>
      <c r="F137" s="31">
        <f>E137/52</f>
        <v/>
      </c>
      <c r="G137" s="39">
        <f>D137/1000000*52</f>
        <v/>
      </c>
      <c r="H137" s="33">
        <f>G137/$P$4+($C$22/$P$4)</f>
        <v/>
      </c>
      <c r="I137" s="36">
        <f>_xlfn.IFS(K137&lt;K$24,0,K137&lt;K$26,I$24,K137&lt;K$28,I$26,K137&lt;K$30,I$28,K137&lt;K$32,I$30,K137&lt;K$34,I$32,K137&lt;K$36,I$34,K137&lt;K$38,I$36,K137&lt;K$40,I$38,K137&lt;K$42,I$40,K137&lt;K$44,I$42,K137&lt;K$46,I$44,K137&gt;=K$46,I$46)</f>
        <v/>
      </c>
      <c r="J137" s="37">
        <f>_xlfn.IFS(K137&lt;K$24,0,K137&lt;K$25,J$24,K137&lt;K$26,J$25,K137&lt;K$27,J$26,K137&lt;K$28,J$27,K137&lt;K$29,J$28,K137&lt;K$30,J$29,K137&lt;K$31,J$30,K137&lt;K$32,J$31,K137&lt;K$33,J$32,K137&lt;K$34,J$33,K137&lt;K$35,J$34,K137&lt;K$36,J$35,K137&lt;K$37,J$36,K137&lt;K$38,J$37,K137&lt;K$39,J$38,K137&lt;K$40,J$39,K137&lt;K$41,J$40,K137&lt;K$42,J$41,K137&lt;K$43,J$42,K137&lt;K$44,J$43,K137&lt;K$45,J$44,K137&lt;K$46,J$45,K137&lt;K$47,J$46,K137&gt;=K$47,J$47)</f>
        <v/>
      </c>
      <c r="K137" s="38" t="n">
        <v>87</v>
      </c>
      <c r="L137" s="31">
        <f>K137/52</f>
        <v/>
      </c>
      <c r="M137" s="39">
        <f>J137/1000000*52</f>
        <v/>
      </c>
      <c r="N137" s="33">
        <f>M137/$P$4+($I$22/$P$4)</f>
        <v/>
      </c>
      <c r="U137">
        <f>F136</f>
        <v/>
      </c>
      <c r="V137">
        <f>H136</f>
        <v/>
      </c>
      <c r="W137">
        <f>N136</f>
        <v/>
      </c>
    </row>
    <row r="138" ht="15.75" customHeight="1" s="40">
      <c r="C138" s="36">
        <f>_xlfn.IFS(E138&lt;E$24,0,E138&lt;E$26,C$24,E138&lt;E$28,C$26,E138&lt;E$30,C$28,E138&lt;E$32,C$30,E138&lt;E$34,C$32,E138&gt;=E$34,C$34)</f>
        <v/>
      </c>
      <c r="D138" s="37">
        <f>_xlfn.IFS(E138&lt;E$24,0,E138&lt;E$25,D$24,E138&lt;E$26,D$25,E138&lt;E$27,D$26,E138&lt;E$28,D$27,E138&lt;E$29,D$28,E138&lt;E$30,D$29,E138&lt;E$31,D$30,E138&lt;E$32,D$31,E138&lt;E$33,D$32,E138&lt;E$34,D$33,E138&lt;E$35,D$34,E138&gt;=E$35,D$35)</f>
        <v/>
      </c>
      <c r="E138" s="38" t="n">
        <v>88</v>
      </c>
      <c r="F138" s="31">
        <f>E138/52</f>
        <v/>
      </c>
      <c r="G138" s="39">
        <f>D138/1000000*52</f>
        <v/>
      </c>
      <c r="H138" s="33">
        <f>G138/$P$4+($C$22/$P$4)</f>
        <v/>
      </c>
      <c r="I138" s="36">
        <f>_xlfn.IFS(K138&lt;K$24,0,K138&lt;K$26,I$24,K138&lt;K$28,I$26,K138&lt;K$30,I$28,K138&lt;K$32,I$30,K138&lt;K$34,I$32,K138&lt;K$36,I$34,K138&lt;K$38,I$36,K138&lt;K$40,I$38,K138&lt;K$42,I$40,K138&lt;K$44,I$42,K138&lt;K$46,I$44,K138&gt;=K$46,I$46)</f>
        <v/>
      </c>
      <c r="J138" s="37">
        <f>_xlfn.IFS(K138&lt;K$24,0,K138&lt;K$25,J$24,K138&lt;K$26,J$25,K138&lt;K$27,J$26,K138&lt;K$28,J$27,K138&lt;K$29,J$28,K138&lt;K$30,J$29,K138&lt;K$31,J$30,K138&lt;K$32,J$31,K138&lt;K$33,J$32,K138&lt;K$34,J$33,K138&lt;K$35,J$34,K138&lt;K$36,J$35,K138&lt;K$37,J$36,K138&lt;K$38,J$37,K138&lt;K$39,J$38,K138&lt;K$40,J$39,K138&lt;K$41,J$40,K138&lt;K$42,J$41,K138&lt;K$43,J$42,K138&lt;K$44,J$43,K138&lt;K$45,J$44,K138&lt;K$46,J$45,K138&lt;K$47,J$46,K138&gt;=K$47,J$47)</f>
        <v/>
      </c>
      <c r="K138" s="38" t="n">
        <v>88</v>
      </c>
      <c r="L138" s="31">
        <f>K138/52</f>
        <v/>
      </c>
      <c r="M138" s="39">
        <f>J138/1000000*52</f>
        <v/>
      </c>
      <c r="N138" s="33">
        <f>M138/$P$4+($I$22/$P$4)</f>
        <v/>
      </c>
      <c r="U138">
        <f>F137</f>
        <v/>
      </c>
      <c r="V138">
        <f>H137</f>
        <v/>
      </c>
      <c r="W138">
        <f>N137</f>
        <v/>
      </c>
    </row>
    <row r="139" ht="15.75" customHeight="1" s="40">
      <c r="C139" s="36">
        <f>_xlfn.IFS(E139&lt;E$24,0,E139&lt;E$26,C$24,E139&lt;E$28,C$26,E139&lt;E$30,C$28,E139&lt;E$32,C$30,E139&lt;E$34,C$32,E139&gt;=E$34,C$34)</f>
        <v/>
      </c>
      <c r="D139" s="37">
        <f>_xlfn.IFS(E139&lt;E$24,0,E139&lt;E$25,D$24,E139&lt;E$26,D$25,E139&lt;E$27,D$26,E139&lt;E$28,D$27,E139&lt;E$29,D$28,E139&lt;E$30,D$29,E139&lt;E$31,D$30,E139&lt;E$32,D$31,E139&lt;E$33,D$32,E139&lt;E$34,D$33,E139&lt;E$35,D$34,E139&gt;=E$35,D$35)</f>
        <v/>
      </c>
      <c r="E139" s="38" t="n">
        <v>89</v>
      </c>
      <c r="F139" s="31">
        <f>E139/52</f>
        <v/>
      </c>
      <c r="G139" s="39">
        <f>D139/1000000*52</f>
        <v/>
      </c>
      <c r="H139" s="33">
        <f>G139/$P$4+($C$22/$P$4)</f>
        <v/>
      </c>
      <c r="I139" s="36">
        <f>_xlfn.IFS(K139&lt;K$24,0,K139&lt;K$26,I$24,K139&lt;K$28,I$26,K139&lt;K$30,I$28,K139&lt;K$32,I$30,K139&lt;K$34,I$32,K139&lt;K$36,I$34,K139&lt;K$38,I$36,K139&lt;K$40,I$38,K139&lt;K$42,I$40,K139&lt;K$44,I$42,K139&lt;K$46,I$44,K139&gt;=K$46,I$46)</f>
        <v/>
      </c>
      <c r="J139" s="37">
        <f>_xlfn.IFS(K139&lt;K$24,0,K139&lt;K$25,J$24,K139&lt;K$26,J$25,K139&lt;K$27,J$26,K139&lt;K$28,J$27,K139&lt;K$29,J$28,K139&lt;K$30,J$29,K139&lt;K$31,J$30,K139&lt;K$32,J$31,K139&lt;K$33,J$32,K139&lt;K$34,J$33,K139&lt;K$35,J$34,K139&lt;K$36,J$35,K139&lt;K$37,J$36,K139&lt;K$38,J$37,K139&lt;K$39,J$38,K139&lt;K$40,J$39,K139&lt;K$41,J$40,K139&lt;K$42,J$41,K139&lt;K$43,J$42,K139&lt;K$44,J$43,K139&lt;K$45,J$44,K139&lt;K$46,J$45,K139&lt;K$47,J$46,K139&gt;=K$47,J$47)</f>
        <v/>
      </c>
      <c r="K139" s="38" t="n">
        <v>89</v>
      </c>
      <c r="L139" s="31">
        <f>K139/52</f>
        <v/>
      </c>
      <c r="M139" s="39">
        <f>J139/1000000*52</f>
        <v/>
      </c>
      <c r="N139" s="33">
        <f>M139/$P$4+($I$22/$P$4)</f>
        <v/>
      </c>
      <c r="U139">
        <f>F138</f>
        <v/>
      </c>
      <c r="V139">
        <f>H138</f>
        <v/>
      </c>
      <c r="W139">
        <f>N138</f>
        <v/>
      </c>
    </row>
    <row r="140" ht="15.75" customHeight="1" s="40">
      <c r="C140" s="36">
        <f>_xlfn.IFS(E140&lt;E$24,0,E140&lt;E$26,C$24,E140&lt;E$28,C$26,E140&lt;E$30,C$28,E140&lt;E$32,C$30,E140&lt;E$34,C$32,E140&gt;=E$34,C$34)</f>
        <v/>
      </c>
      <c r="D140" s="37">
        <f>_xlfn.IFS(E140&lt;E$24,0,E140&lt;E$25,D$24,E140&lt;E$26,D$25,E140&lt;E$27,D$26,E140&lt;E$28,D$27,E140&lt;E$29,D$28,E140&lt;E$30,D$29,E140&lt;E$31,D$30,E140&lt;E$32,D$31,E140&lt;E$33,D$32,E140&lt;E$34,D$33,E140&lt;E$35,D$34,E140&gt;=E$35,D$35)</f>
        <v/>
      </c>
      <c r="E140" s="38" t="n">
        <v>90</v>
      </c>
      <c r="F140" s="31">
        <f>E140/52</f>
        <v/>
      </c>
      <c r="G140" s="39">
        <f>D140/1000000*52</f>
        <v/>
      </c>
      <c r="H140" s="33">
        <f>G140/$P$4+($C$22/$P$4)</f>
        <v/>
      </c>
      <c r="I140" s="36">
        <f>_xlfn.IFS(K140&lt;K$24,0,K140&lt;K$26,I$24,K140&lt;K$28,I$26,K140&lt;K$30,I$28,K140&lt;K$32,I$30,K140&lt;K$34,I$32,K140&lt;K$36,I$34,K140&lt;K$38,I$36,K140&lt;K$40,I$38,K140&lt;K$42,I$40,K140&lt;K$44,I$42,K140&lt;K$46,I$44,K140&gt;=K$46,I$46)</f>
        <v/>
      </c>
      <c r="J140" s="37">
        <f>_xlfn.IFS(K140&lt;K$24,0,K140&lt;K$25,J$24,K140&lt;K$26,J$25,K140&lt;K$27,J$26,K140&lt;K$28,J$27,K140&lt;K$29,J$28,K140&lt;K$30,J$29,K140&lt;K$31,J$30,K140&lt;K$32,J$31,K140&lt;K$33,J$32,K140&lt;K$34,J$33,K140&lt;K$35,J$34,K140&lt;K$36,J$35,K140&lt;K$37,J$36,K140&lt;K$38,J$37,K140&lt;K$39,J$38,K140&lt;K$40,J$39,K140&lt;K$41,J$40,K140&lt;K$42,J$41,K140&lt;K$43,J$42,K140&lt;K$44,J$43,K140&lt;K$45,J$44,K140&lt;K$46,J$45,K140&lt;K$47,J$46,K140&gt;=K$47,J$47)</f>
        <v/>
      </c>
      <c r="K140" s="38" t="n">
        <v>90</v>
      </c>
      <c r="L140" s="31">
        <f>K140/52</f>
        <v/>
      </c>
      <c r="M140" s="39">
        <f>J140/1000000*52</f>
        <v/>
      </c>
      <c r="N140" s="33">
        <f>M140/$P$4+($I$22/$P$4)</f>
        <v/>
      </c>
      <c r="U140">
        <f>F139</f>
        <v/>
      </c>
      <c r="V140">
        <f>H139</f>
        <v/>
      </c>
      <c r="W140">
        <f>N139</f>
        <v/>
      </c>
    </row>
    <row r="141" ht="15.75" customHeight="1" s="40">
      <c r="C141" s="36">
        <f>_xlfn.IFS(E141&lt;E$24,0,E141&lt;E$26,C$24,E141&lt;E$28,C$26,E141&lt;E$30,C$28,E141&lt;E$32,C$30,E141&lt;E$34,C$32,E141&gt;=E$34,C$34)</f>
        <v/>
      </c>
      <c r="D141" s="37">
        <f>_xlfn.IFS(E141&lt;E$24,0,E141&lt;E$25,D$24,E141&lt;E$26,D$25,E141&lt;E$27,D$26,E141&lt;E$28,D$27,E141&lt;E$29,D$28,E141&lt;E$30,D$29,E141&lt;E$31,D$30,E141&lt;E$32,D$31,E141&lt;E$33,D$32,E141&lt;E$34,D$33,E141&lt;E$35,D$34,E141&gt;=E$35,D$35)</f>
        <v/>
      </c>
      <c r="E141" s="38" t="n">
        <v>91</v>
      </c>
      <c r="F141" s="31">
        <f>E141/52</f>
        <v/>
      </c>
      <c r="G141" s="39">
        <f>D141/1000000*52</f>
        <v/>
      </c>
      <c r="H141" s="33">
        <f>G141/$P$4+($C$22/$P$4)</f>
        <v/>
      </c>
      <c r="I141" s="36">
        <f>_xlfn.IFS(K141&lt;K$24,0,K141&lt;K$26,I$24,K141&lt;K$28,I$26,K141&lt;K$30,I$28,K141&lt;K$32,I$30,K141&lt;K$34,I$32,K141&lt;K$36,I$34,K141&lt;K$38,I$36,K141&lt;K$40,I$38,K141&lt;K$42,I$40,K141&lt;K$44,I$42,K141&lt;K$46,I$44,K141&gt;=K$46,I$46)</f>
        <v/>
      </c>
      <c r="J141" s="37">
        <f>_xlfn.IFS(K141&lt;K$24,0,K141&lt;K$25,J$24,K141&lt;K$26,J$25,K141&lt;K$27,J$26,K141&lt;K$28,J$27,K141&lt;K$29,J$28,K141&lt;K$30,J$29,K141&lt;K$31,J$30,K141&lt;K$32,J$31,K141&lt;K$33,J$32,K141&lt;K$34,J$33,K141&lt;K$35,J$34,K141&lt;K$36,J$35,K141&lt;K$37,J$36,K141&lt;K$38,J$37,K141&lt;K$39,J$38,K141&lt;K$40,J$39,K141&lt;K$41,J$40,K141&lt;K$42,J$41,K141&lt;K$43,J$42,K141&lt;K$44,J$43,K141&lt;K$45,J$44,K141&lt;K$46,J$45,K141&lt;K$47,J$46,K141&gt;=K$47,J$47)</f>
        <v/>
      </c>
      <c r="K141" s="38" t="n">
        <v>91</v>
      </c>
      <c r="L141" s="31">
        <f>K141/52</f>
        <v/>
      </c>
      <c r="M141" s="39">
        <f>J141/1000000*52</f>
        <v/>
      </c>
      <c r="N141" s="33">
        <f>M141/$P$4+($I$22/$P$4)</f>
        <v/>
      </c>
      <c r="U141">
        <f>F140</f>
        <v/>
      </c>
      <c r="V141">
        <f>H140</f>
        <v/>
      </c>
      <c r="W141">
        <f>N140</f>
        <v/>
      </c>
    </row>
    <row r="142" ht="15.75" customHeight="1" s="40">
      <c r="C142" s="36">
        <f>_xlfn.IFS(E142&lt;E$24,0,E142&lt;E$26,C$24,E142&lt;E$28,C$26,E142&lt;E$30,C$28,E142&lt;E$32,C$30,E142&lt;E$34,C$32,E142&gt;=E$34,C$34)</f>
        <v/>
      </c>
      <c r="D142" s="37">
        <f>_xlfn.IFS(E142&lt;E$24,0,E142&lt;E$25,D$24,E142&lt;E$26,D$25,E142&lt;E$27,D$26,E142&lt;E$28,D$27,E142&lt;E$29,D$28,E142&lt;E$30,D$29,E142&lt;E$31,D$30,E142&lt;E$32,D$31,E142&lt;E$33,D$32,E142&lt;E$34,D$33,E142&lt;E$35,D$34,E142&gt;=E$35,D$35)</f>
        <v/>
      </c>
      <c r="E142" s="38" t="n">
        <v>92</v>
      </c>
      <c r="F142" s="31">
        <f>E142/52</f>
        <v/>
      </c>
      <c r="G142" s="39">
        <f>D142/1000000*52</f>
        <v/>
      </c>
      <c r="H142" s="33">
        <f>G142/$P$4+($C$22/$P$4)</f>
        <v/>
      </c>
      <c r="I142" s="36">
        <f>_xlfn.IFS(K142&lt;K$24,0,K142&lt;K$26,I$24,K142&lt;K$28,I$26,K142&lt;K$30,I$28,K142&lt;K$32,I$30,K142&lt;K$34,I$32,K142&lt;K$36,I$34,K142&lt;K$38,I$36,K142&lt;K$40,I$38,K142&lt;K$42,I$40,K142&lt;K$44,I$42,K142&lt;K$46,I$44,K142&gt;=K$46,I$46)</f>
        <v/>
      </c>
      <c r="J142" s="37">
        <f>_xlfn.IFS(K142&lt;K$24,0,K142&lt;K$25,J$24,K142&lt;K$26,J$25,K142&lt;K$27,J$26,K142&lt;K$28,J$27,K142&lt;K$29,J$28,K142&lt;K$30,J$29,K142&lt;K$31,J$30,K142&lt;K$32,J$31,K142&lt;K$33,J$32,K142&lt;K$34,J$33,K142&lt;K$35,J$34,K142&lt;K$36,J$35,K142&lt;K$37,J$36,K142&lt;K$38,J$37,K142&lt;K$39,J$38,K142&lt;K$40,J$39,K142&lt;K$41,J$40,K142&lt;K$42,J$41,K142&lt;K$43,J$42,K142&lt;K$44,J$43,K142&lt;K$45,J$44,K142&lt;K$46,J$45,K142&lt;K$47,J$46,K142&gt;=K$47,J$47)</f>
        <v/>
      </c>
      <c r="K142" s="38" t="n">
        <v>92</v>
      </c>
      <c r="L142" s="31">
        <f>K142/52</f>
        <v/>
      </c>
      <c r="M142" s="39">
        <f>J142/1000000*52</f>
        <v/>
      </c>
      <c r="N142" s="33">
        <f>M142/$P$4+($I$22/$P$4)</f>
        <v/>
      </c>
      <c r="U142">
        <f>F141</f>
        <v/>
      </c>
      <c r="V142">
        <f>H141</f>
        <v/>
      </c>
      <c r="W142">
        <f>N141</f>
        <v/>
      </c>
    </row>
    <row r="143" ht="15.75" customHeight="1" s="40">
      <c r="C143" s="36">
        <f>_xlfn.IFS(E143&lt;E$24,0,E143&lt;E$26,C$24,E143&lt;E$28,C$26,E143&lt;E$30,C$28,E143&lt;E$32,C$30,E143&lt;E$34,C$32,E143&gt;=E$34,C$34)</f>
        <v/>
      </c>
      <c r="D143" s="37">
        <f>_xlfn.IFS(E143&lt;E$24,0,E143&lt;E$25,D$24,E143&lt;E$26,D$25,E143&lt;E$27,D$26,E143&lt;E$28,D$27,E143&lt;E$29,D$28,E143&lt;E$30,D$29,E143&lt;E$31,D$30,E143&lt;E$32,D$31,E143&lt;E$33,D$32,E143&lt;E$34,D$33,E143&lt;E$35,D$34,E143&gt;=E$35,D$35)</f>
        <v/>
      </c>
      <c r="E143" s="38" t="n">
        <v>93</v>
      </c>
      <c r="F143" s="31">
        <f>E143/52</f>
        <v/>
      </c>
      <c r="G143" s="39">
        <f>D143/1000000*52</f>
        <v/>
      </c>
      <c r="H143" s="33">
        <f>G143/$P$4+($C$22/$P$4)</f>
        <v/>
      </c>
      <c r="I143" s="36">
        <f>_xlfn.IFS(K143&lt;K$24,0,K143&lt;K$26,I$24,K143&lt;K$28,I$26,K143&lt;K$30,I$28,K143&lt;K$32,I$30,K143&lt;K$34,I$32,K143&lt;K$36,I$34,K143&lt;K$38,I$36,K143&lt;K$40,I$38,K143&lt;K$42,I$40,K143&lt;K$44,I$42,K143&lt;K$46,I$44,K143&gt;=K$46,I$46)</f>
        <v/>
      </c>
      <c r="J143" s="37">
        <f>_xlfn.IFS(K143&lt;K$24,0,K143&lt;K$25,J$24,K143&lt;K$26,J$25,K143&lt;K$27,J$26,K143&lt;K$28,J$27,K143&lt;K$29,J$28,K143&lt;K$30,J$29,K143&lt;K$31,J$30,K143&lt;K$32,J$31,K143&lt;K$33,J$32,K143&lt;K$34,J$33,K143&lt;K$35,J$34,K143&lt;K$36,J$35,K143&lt;K$37,J$36,K143&lt;K$38,J$37,K143&lt;K$39,J$38,K143&lt;K$40,J$39,K143&lt;K$41,J$40,K143&lt;K$42,J$41,K143&lt;K$43,J$42,K143&lt;K$44,J$43,K143&lt;K$45,J$44,K143&lt;K$46,J$45,K143&lt;K$47,J$46,K143&gt;=K$47,J$47)</f>
        <v/>
      </c>
      <c r="K143" s="38" t="n">
        <v>93</v>
      </c>
      <c r="L143" s="31">
        <f>K143/52</f>
        <v/>
      </c>
      <c r="M143" s="39">
        <f>J143/1000000*52</f>
        <v/>
      </c>
      <c r="N143" s="33">
        <f>M143/$P$4+($I$22/$P$4)</f>
        <v/>
      </c>
      <c r="U143">
        <f>F142</f>
        <v/>
      </c>
      <c r="V143">
        <f>H142</f>
        <v/>
      </c>
      <c r="W143">
        <f>N142</f>
        <v/>
      </c>
    </row>
    <row r="144" ht="15.75" customHeight="1" s="40">
      <c r="C144" s="36">
        <f>_xlfn.IFS(E144&lt;E$24,0,E144&lt;E$26,C$24,E144&lt;E$28,C$26,E144&lt;E$30,C$28,E144&lt;E$32,C$30,E144&lt;E$34,C$32,E144&gt;=E$34,C$34)</f>
        <v/>
      </c>
      <c r="D144" s="37">
        <f>_xlfn.IFS(E144&lt;E$24,0,E144&lt;E$25,D$24,E144&lt;E$26,D$25,E144&lt;E$27,D$26,E144&lt;E$28,D$27,E144&lt;E$29,D$28,E144&lt;E$30,D$29,E144&lt;E$31,D$30,E144&lt;E$32,D$31,E144&lt;E$33,D$32,E144&lt;E$34,D$33,E144&lt;E$35,D$34,E144&gt;=E$35,D$35)</f>
        <v/>
      </c>
      <c r="E144" s="38" t="n">
        <v>94</v>
      </c>
      <c r="F144" s="31">
        <f>E144/52</f>
        <v/>
      </c>
      <c r="G144" s="39">
        <f>D144/1000000*52</f>
        <v/>
      </c>
      <c r="H144" s="33">
        <f>G144/$P$4+($C$22/$P$4)</f>
        <v/>
      </c>
      <c r="I144" s="36">
        <f>_xlfn.IFS(K144&lt;K$24,0,K144&lt;K$26,I$24,K144&lt;K$28,I$26,K144&lt;K$30,I$28,K144&lt;K$32,I$30,K144&lt;K$34,I$32,K144&lt;K$36,I$34,K144&lt;K$38,I$36,K144&lt;K$40,I$38,K144&lt;K$42,I$40,K144&lt;K$44,I$42,K144&lt;K$46,I$44,K144&gt;=K$46,I$46)</f>
        <v/>
      </c>
      <c r="J144" s="37">
        <f>_xlfn.IFS(K144&lt;K$24,0,K144&lt;K$25,J$24,K144&lt;K$26,J$25,K144&lt;K$27,J$26,K144&lt;K$28,J$27,K144&lt;K$29,J$28,K144&lt;K$30,J$29,K144&lt;K$31,J$30,K144&lt;K$32,J$31,K144&lt;K$33,J$32,K144&lt;K$34,J$33,K144&lt;K$35,J$34,K144&lt;K$36,J$35,K144&lt;K$37,J$36,K144&lt;K$38,J$37,K144&lt;K$39,J$38,K144&lt;K$40,J$39,K144&lt;K$41,J$40,K144&lt;K$42,J$41,K144&lt;K$43,J$42,K144&lt;K$44,J$43,K144&lt;K$45,J$44,K144&lt;K$46,J$45,K144&lt;K$47,J$46,K144&gt;=K$47,J$47)</f>
        <v/>
      </c>
      <c r="K144" s="38" t="n">
        <v>94</v>
      </c>
      <c r="L144" s="31">
        <f>K144/52</f>
        <v/>
      </c>
      <c r="M144" s="39">
        <f>J144/1000000*52</f>
        <v/>
      </c>
      <c r="N144" s="33">
        <f>M144/$P$4+($I$22/$P$4)</f>
        <v/>
      </c>
      <c r="U144">
        <f>F143</f>
        <v/>
      </c>
      <c r="V144">
        <f>H143</f>
        <v/>
      </c>
      <c r="W144">
        <f>N143</f>
        <v/>
      </c>
    </row>
    <row r="145" ht="15.75" customHeight="1" s="40">
      <c r="C145" s="36">
        <f>_xlfn.IFS(E145&lt;E$24,0,E145&lt;E$26,C$24,E145&lt;E$28,C$26,E145&lt;E$30,C$28,E145&lt;E$32,C$30,E145&lt;E$34,C$32,E145&gt;=E$34,C$34)</f>
        <v/>
      </c>
      <c r="D145" s="37">
        <f>_xlfn.IFS(E145&lt;E$24,0,E145&lt;E$25,D$24,E145&lt;E$26,D$25,E145&lt;E$27,D$26,E145&lt;E$28,D$27,E145&lt;E$29,D$28,E145&lt;E$30,D$29,E145&lt;E$31,D$30,E145&lt;E$32,D$31,E145&lt;E$33,D$32,E145&lt;E$34,D$33,E145&lt;E$35,D$34,E145&gt;=E$35,D$35)</f>
        <v/>
      </c>
      <c r="E145" s="38" t="n">
        <v>95</v>
      </c>
      <c r="F145" s="31">
        <f>E145/52</f>
        <v/>
      </c>
      <c r="G145" s="39">
        <f>D145/1000000*52</f>
        <v/>
      </c>
      <c r="H145" s="33">
        <f>G145/$P$4+($C$22/$P$4)</f>
        <v/>
      </c>
      <c r="I145" s="36">
        <f>_xlfn.IFS(K145&lt;K$24,0,K145&lt;K$26,I$24,K145&lt;K$28,I$26,K145&lt;K$30,I$28,K145&lt;K$32,I$30,K145&lt;K$34,I$32,K145&lt;K$36,I$34,K145&lt;K$38,I$36,K145&lt;K$40,I$38,K145&lt;K$42,I$40,K145&lt;K$44,I$42,K145&lt;K$46,I$44,K145&gt;=K$46,I$46)</f>
        <v/>
      </c>
      <c r="J145" s="37">
        <f>_xlfn.IFS(K145&lt;K$24,0,K145&lt;K$25,J$24,K145&lt;K$26,J$25,K145&lt;K$27,J$26,K145&lt;K$28,J$27,K145&lt;K$29,J$28,K145&lt;K$30,J$29,K145&lt;K$31,J$30,K145&lt;K$32,J$31,K145&lt;K$33,J$32,K145&lt;K$34,J$33,K145&lt;K$35,J$34,K145&lt;K$36,J$35,K145&lt;K$37,J$36,K145&lt;K$38,J$37,K145&lt;K$39,J$38,K145&lt;K$40,J$39,K145&lt;K$41,J$40,K145&lt;K$42,J$41,K145&lt;K$43,J$42,K145&lt;K$44,J$43,K145&lt;K$45,J$44,K145&lt;K$46,J$45,K145&lt;K$47,J$46,K145&gt;=K$47,J$47)</f>
        <v/>
      </c>
      <c r="K145" s="38" t="n">
        <v>95</v>
      </c>
      <c r="L145" s="31">
        <f>K145/52</f>
        <v/>
      </c>
      <c r="M145" s="39">
        <f>J145/1000000*52</f>
        <v/>
      </c>
      <c r="N145" s="33">
        <f>M145/$P$4+($I$22/$P$4)</f>
        <v/>
      </c>
      <c r="U145">
        <f>F144</f>
        <v/>
      </c>
      <c r="V145">
        <f>H144</f>
        <v/>
      </c>
      <c r="W145">
        <f>N144</f>
        <v/>
      </c>
    </row>
    <row r="146" ht="15.75" customHeight="1" s="40">
      <c r="C146" s="36">
        <f>_xlfn.IFS(E146&lt;E$24,0,E146&lt;E$26,C$24,E146&lt;E$28,C$26,E146&lt;E$30,C$28,E146&lt;E$32,C$30,E146&lt;E$34,C$32,E146&gt;=E$34,C$34)</f>
        <v/>
      </c>
      <c r="D146" s="37">
        <f>_xlfn.IFS(E146&lt;E$24,0,E146&lt;E$25,D$24,E146&lt;E$26,D$25,E146&lt;E$27,D$26,E146&lt;E$28,D$27,E146&lt;E$29,D$28,E146&lt;E$30,D$29,E146&lt;E$31,D$30,E146&lt;E$32,D$31,E146&lt;E$33,D$32,E146&lt;E$34,D$33,E146&lt;E$35,D$34,E146&gt;=E$35,D$35)</f>
        <v/>
      </c>
      <c r="E146" s="38" t="n">
        <v>96</v>
      </c>
      <c r="F146" s="31">
        <f>E146/52</f>
        <v/>
      </c>
      <c r="G146" s="39">
        <f>D146/1000000*52</f>
        <v/>
      </c>
      <c r="H146" s="33">
        <f>G146/$P$4+($C$22/$P$4)</f>
        <v/>
      </c>
      <c r="I146" s="36">
        <f>_xlfn.IFS(K146&lt;K$24,0,K146&lt;K$26,I$24,K146&lt;K$28,I$26,K146&lt;K$30,I$28,K146&lt;K$32,I$30,K146&lt;K$34,I$32,K146&lt;K$36,I$34,K146&lt;K$38,I$36,K146&lt;K$40,I$38,K146&lt;K$42,I$40,K146&lt;K$44,I$42,K146&lt;K$46,I$44,K146&gt;=K$46,I$46)</f>
        <v/>
      </c>
      <c r="J146" s="37">
        <f>_xlfn.IFS(K146&lt;K$24,0,K146&lt;K$25,J$24,K146&lt;K$26,J$25,K146&lt;K$27,J$26,K146&lt;K$28,J$27,K146&lt;K$29,J$28,K146&lt;K$30,J$29,K146&lt;K$31,J$30,K146&lt;K$32,J$31,K146&lt;K$33,J$32,K146&lt;K$34,J$33,K146&lt;K$35,J$34,K146&lt;K$36,J$35,K146&lt;K$37,J$36,K146&lt;K$38,J$37,K146&lt;K$39,J$38,K146&lt;K$40,J$39,K146&lt;K$41,J$40,K146&lt;K$42,J$41,K146&lt;K$43,J$42,K146&lt;K$44,J$43,K146&lt;K$45,J$44,K146&lt;K$46,J$45,K146&lt;K$47,J$46,K146&gt;=K$47,J$47)</f>
        <v/>
      </c>
      <c r="K146" s="38" t="n">
        <v>96</v>
      </c>
      <c r="L146" s="31">
        <f>K146/52</f>
        <v/>
      </c>
      <c r="M146" s="39">
        <f>J146/1000000*52</f>
        <v/>
      </c>
      <c r="N146" s="33">
        <f>M146/$P$4+($I$22/$P$4)</f>
        <v/>
      </c>
      <c r="U146">
        <f>F145</f>
        <v/>
      </c>
      <c r="V146">
        <f>H145</f>
        <v/>
      </c>
      <c r="W146">
        <f>N145</f>
        <v/>
      </c>
    </row>
    <row r="147" ht="15.75" customHeight="1" s="40">
      <c r="C147" s="36">
        <f>_xlfn.IFS(E147&lt;E$24,0,E147&lt;E$26,C$24,E147&lt;E$28,C$26,E147&lt;E$30,C$28,E147&lt;E$32,C$30,E147&lt;E$34,C$32,E147&gt;=E$34,C$34)</f>
        <v/>
      </c>
      <c r="D147" s="37">
        <f>_xlfn.IFS(E147&lt;E$24,0,E147&lt;E$25,D$24,E147&lt;E$26,D$25,E147&lt;E$27,D$26,E147&lt;E$28,D$27,E147&lt;E$29,D$28,E147&lt;E$30,D$29,E147&lt;E$31,D$30,E147&lt;E$32,D$31,E147&lt;E$33,D$32,E147&lt;E$34,D$33,E147&lt;E$35,D$34,E147&gt;=E$35,D$35)</f>
        <v/>
      </c>
      <c r="E147" s="38" t="n">
        <v>97</v>
      </c>
      <c r="F147" s="31">
        <f>E147/52</f>
        <v/>
      </c>
      <c r="G147" s="39">
        <f>D147/1000000*52</f>
        <v/>
      </c>
      <c r="H147" s="33">
        <f>G147/$P$4+($C$22/$P$4)</f>
        <v/>
      </c>
      <c r="I147" s="36">
        <f>_xlfn.IFS(K147&lt;K$24,0,K147&lt;K$26,I$24,K147&lt;K$28,I$26,K147&lt;K$30,I$28,K147&lt;K$32,I$30,K147&lt;K$34,I$32,K147&lt;K$36,I$34,K147&lt;K$38,I$36,K147&lt;K$40,I$38,K147&lt;K$42,I$40,K147&lt;K$44,I$42,K147&lt;K$46,I$44,K147&gt;=K$46,I$46)</f>
        <v/>
      </c>
      <c r="J147" s="37">
        <f>_xlfn.IFS(K147&lt;K$24,0,K147&lt;K$25,J$24,K147&lt;K$26,J$25,K147&lt;K$27,J$26,K147&lt;K$28,J$27,K147&lt;K$29,J$28,K147&lt;K$30,J$29,K147&lt;K$31,J$30,K147&lt;K$32,J$31,K147&lt;K$33,J$32,K147&lt;K$34,J$33,K147&lt;K$35,J$34,K147&lt;K$36,J$35,K147&lt;K$37,J$36,K147&lt;K$38,J$37,K147&lt;K$39,J$38,K147&lt;K$40,J$39,K147&lt;K$41,J$40,K147&lt;K$42,J$41,K147&lt;K$43,J$42,K147&lt;K$44,J$43,K147&lt;K$45,J$44,K147&lt;K$46,J$45,K147&lt;K$47,J$46,K147&gt;=K$47,J$47)</f>
        <v/>
      </c>
      <c r="K147" s="38" t="n">
        <v>97</v>
      </c>
      <c r="L147" s="31">
        <f>K147/52</f>
        <v/>
      </c>
      <c r="M147" s="39">
        <f>J147/1000000*52</f>
        <v/>
      </c>
      <c r="N147" s="33">
        <f>M147/$P$4+($I$22/$P$4)</f>
        <v/>
      </c>
      <c r="U147">
        <f>F146</f>
        <v/>
      </c>
      <c r="V147">
        <f>H146</f>
        <v/>
      </c>
      <c r="W147">
        <f>N146</f>
        <v/>
      </c>
    </row>
    <row r="148" ht="15.75" customHeight="1" s="40">
      <c r="C148" s="36">
        <f>_xlfn.IFS(E148&lt;E$24,0,E148&lt;E$26,C$24,E148&lt;E$28,C$26,E148&lt;E$30,C$28,E148&lt;E$32,C$30,E148&lt;E$34,C$32,E148&gt;=E$34,C$34)</f>
        <v/>
      </c>
      <c r="D148" s="37">
        <f>_xlfn.IFS(E148&lt;E$24,0,E148&lt;E$25,D$24,E148&lt;E$26,D$25,E148&lt;E$27,D$26,E148&lt;E$28,D$27,E148&lt;E$29,D$28,E148&lt;E$30,D$29,E148&lt;E$31,D$30,E148&lt;E$32,D$31,E148&lt;E$33,D$32,E148&lt;E$34,D$33,E148&lt;E$35,D$34,E148&gt;=E$35,D$35)</f>
        <v/>
      </c>
      <c r="E148" s="38" t="n">
        <v>98</v>
      </c>
      <c r="F148" s="31">
        <f>E148/52</f>
        <v/>
      </c>
      <c r="G148" s="39">
        <f>D148/1000000*52</f>
        <v/>
      </c>
      <c r="H148" s="33">
        <f>G148/$P$4+($C$22/$P$4)</f>
        <v/>
      </c>
      <c r="I148" s="36">
        <f>_xlfn.IFS(K148&lt;K$24,0,K148&lt;K$26,I$24,K148&lt;K$28,I$26,K148&lt;K$30,I$28,K148&lt;K$32,I$30,K148&lt;K$34,I$32,K148&lt;K$36,I$34,K148&lt;K$38,I$36,K148&lt;K$40,I$38,K148&lt;K$42,I$40,K148&lt;K$44,I$42,K148&lt;K$46,I$44,K148&gt;=K$46,I$46)</f>
        <v/>
      </c>
      <c r="J148" s="37">
        <f>_xlfn.IFS(K148&lt;K$24,0,K148&lt;K$25,J$24,K148&lt;K$26,J$25,K148&lt;K$27,J$26,K148&lt;K$28,J$27,K148&lt;K$29,J$28,K148&lt;K$30,J$29,K148&lt;K$31,J$30,K148&lt;K$32,J$31,K148&lt;K$33,J$32,K148&lt;K$34,J$33,K148&lt;K$35,J$34,K148&lt;K$36,J$35,K148&lt;K$37,J$36,K148&lt;K$38,J$37,K148&lt;K$39,J$38,K148&lt;K$40,J$39,K148&lt;K$41,J$40,K148&lt;K$42,J$41,K148&lt;K$43,J$42,K148&lt;K$44,J$43,K148&lt;K$45,J$44,K148&lt;K$46,J$45,K148&lt;K$47,J$46,K148&gt;=K$47,J$47)</f>
        <v/>
      </c>
      <c r="K148" s="38" t="n">
        <v>98</v>
      </c>
      <c r="L148" s="31">
        <f>K148/52</f>
        <v/>
      </c>
      <c r="M148" s="39">
        <f>J148/1000000*52</f>
        <v/>
      </c>
      <c r="N148" s="33">
        <f>M148/$P$4+($I$22/$P$4)</f>
        <v/>
      </c>
      <c r="U148">
        <f>F147</f>
        <v/>
      </c>
      <c r="V148">
        <f>H147</f>
        <v/>
      </c>
      <c r="W148">
        <f>N147</f>
        <v/>
      </c>
    </row>
    <row r="149" ht="15.75" customHeight="1" s="40">
      <c r="C149" s="36">
        <f>_xlfn.IFS(E149&lt;E$24,0,E149&lt;E$26,C$24,E149&lt;E$28,C$26,E149&lt;E$30,C$28,E149&lt;E$32,C$30,E149&lt;E$34,C$32,E149&gt;=E$34,C$34)</f>
        <v/>
      </c>
      <c r="D149" s="37">
        <f>_xlfn.IFS(E149&lt;E$24,0,E149&lt;E$25,D$24,E149&lt;E$26,D$25,E149&lt;E$27,D$26,E149&lt;E$28,D$27,E149&lt;E$29,D$28,E149&lt;E$30,D$29,E149&lt;E$31,D$30,E149&lt;E$32,D$31,E149&lt;E$33,D$32,E149&lt;E$34,D$33,E149&lt;E$35,D$34,E149&gt;=E$35,D$35)</f>
        <v/>
      </c>
      <c r="E149" s="38" t="n">
        <v>99</v>
      </c>
      <c r="F149" s="31">
        <f>E149/52</f>
        <v/>
      </c>
      <c r="G149" s="39">
        <f>D149/1000000*52</f>
        <v/>
      </c>
      <c r="H149" s="33">
        <f>G149/$P$4+($C$22/$P$4)</f>
        <v/>
      </c>
      <c r="I149" s="36">
        <f>_xlfn.IFS(K149&lt;K$24,0,K149&lt;K$26,I$24,K149&lt;K$28,I$26,K149&lt;K$30,I$28,K149&lt;K$32,I$30,K149&lt;K$34,I$32,K149&lt;K$36,I$34,K149&lt;K$38,I$36,K149&lt;K$40,I$38,K149&lt;K$42,I$40,K149&lt;K$44,I$42,K149&lt;K$46,I$44,K149&gt;=K$46,I$46)</f>
        <v/>
      </c>
      <c r="J149" s="37">
        <f>_xlfn.IFS(K149&lt;K$24,0,K149&lt;K$25,J$24,K149&lt;K$26,J$25,K149&lt;K$27,J$26,K149&lt;K$28,J$27,K149&lt;K$29,J$28,K149&lt;K$30,J$29,K149&lt;K$31,J$30,K149&lt;K$32,J$31,K149&lt;K$33,J$32,K149&lt;K$34,J$33,K149&lt;K$35,J$34,K149&lt;K$36,J$35,K149&lt;K$37,J$36,K149&lt;K$38,J$37,K149&lt;K$39,J$38,K149&lt;K$40,J$39,K149&lt;K$41,J$40,K149&lt;K$42,J$41,K149&lt;K$43,J$42,K149&lt;K$44,J$43,K149&lt;K$45,J$44,K149&lt;K$46,J$45,K149&lt;K$47,J$46,K149&gt;=K$47,J$47)</f>
        <v/>
      </c>
      <c r="K149" s="38" t="n">
        <v>99</v>
      </c>
      <c r="L149" s="31">
        <f>K149/52</f>
        <v/>
      </c>
      <c r="M149" s="39">
        <f>J149/1000000*52</f>
        <v/>
      </c>
      <c r="N149" s="33">
        <f>M149/$P$4+($I$22/$P$4)</f>
        <v/>
      </c>
      <c r="U149">
        <f>F148</f>
        <v/>
      </c>
      <c r="V149">
        <f>H148</f>
        <v/>
      </c>
      <c r="W149">
        <f>N148</f>
        <v/>
      </c>
    </row>
    <row r="150" ht="15.75" customHeight="1" s="40">
      <c r="C150" s="36">
        <f>_xlfn.IFS(E150&lt;E$24,0,E150&lt;E$26,C$24,E150&lt;E$28,C$26,E150&lt;E$30,C$28,E150&lt;E$32,C$30,E150&lt;E$34,C$32,E150&gt;=E$34,C$34)</f>
        <v/>
      </c>
      <c r="D150" s="37">
        <f>_xlfn.IFS(E150&lt;E$24,0,E150&lt;E$25,D$24,E150&lt;E$26,D$25,E150&lt;E$27,D$26,E150&lt;E$28,D$27,E150&lt;E$29,D$28,E150&lt;E$30,D$29,E150&lt;E$31,D$30,E150&lt;E$32,D$31,E150&lt;E$33,D$32,E150&lt;E$34,D$33,E150&lt;E$35,D$34,E150&gt;=E$35,D$35)</f>
        <v/>
      </c>
      <c r="E150" s="38" t="n">
        <v>100</v>
      </c>
      <c r="F150" s="31">
        <f>E150/52</f>
        <v/>
      </c>
      <c r="G150" s="39">
        <f>D150/1000000*52</f>
        <v/>
      </c>
      <c r="H150" s="33">
        <f>G150/$P$4+($C$22/$P$4)</f>
        <v/>
      </c>
      <c r="I150" s="36">
        <f>_xlfn.IFS(K150&lt;K$24,0,K150&lt;K$26,I$24,K150&lt;K$28,I$26,K150&lt;K$30,I$28,K150&lt;K$32,I$30,K150&lt;K$34,I$32,K150&lt;K$36,I$34,K150&lt;K$38,I$36,K150&lt;K$40,I$38,K150&lt;K$42,I$40,K150&lt;K$44,I$42,K150&lt;K$46,I$44,K150&gt;=K$46,I$46)</f>
        <v/>
      </c>
      <c r="J150" s="37">
        <f>_xlfn.IFS(K150&lt;K$24,0,K150&lt;K$25,J$24,K150&lt;K$26,J$25,K150&lt;K$27,J$26,K150&lt;K$28,J$27,K150&lt;K$29,J$28,K150&lt;K$30,J$29,K150&lt;K$31,J$30,K150&lt;K$32,J$31,K150&lt;K$33,J$32,K150&lt;K$34,J$33,K150&lt;K$35,J$34,K150&lt;K$36,J$35,K150&lt;K$37,J$36,K150&lt;K$38,J$37,K150&lt;K$39,J$38,K150&lt;K$40,J$39,K150&lt;K$41,J$40,K150&lt;K$42,J$41,K150&lt;K$43,J$42,K150&lt;K$44,J$43,K150&lt;K$45,J$44,K150&lt;K$46,J$45,K150&lt;K$47,J$46,K150&gt;=K$47,J$47)</f>
        <v/>
      </c>
      <c r="K150" s="38" t="n">
        <v>100</v>
      </c>
      <c r="L150" s="31">
        <f>K150/52</f>
        <v/>
      </c>
      <c r="M150" s="39">
        <f>J150/1000000*52</f>
        <v/>
      </c>
      <c r="N150" s="33">
        <f>M150/$P$4+($I$22/$P$4)</f>
        <v/>
      </c>
      <c r="U150">
        <f>F149</f>
        <v/>
      </c>
      <c r="V150">
        <f>H149</f>
        <v/>
      </c>
      <c r="W150">
        <f>N149</f>
        <v/>
      </c>
    </row>
    <row r="151" ht="15.75" customHeight="1" s="40">
      <c r="C151" s="36">
        <f>_xlfn.IFS(E151&lt;E$24,0,E151&lt;E$26,C$24,E151&lt;E$28,C$26,E151&lt;E$30,C$28,E151&lt;E$32,C$30,E151&lt;E$34,C$32,E151&gt;=E$34,C$34)</f>
        <v/>
      </c>
      <c r="D151" s="37">
        <f>_xlfn.IFS(E151&lt;E$24,0,E151&lt;E$25,D$24,E151&lt;E$26,D$25,E151&lt;E$27,D$26,E151&lt;E$28,D$27,E151&lt;E$29,D$28,E151&lt;E$30,D$29,E151&lt;E$31,D$30,E151&lt;E$32,D$31,E151&lt;E$33,D$32,E151&lt;E$34,D$33,E151&lt;E$35,D$34,E151&gt;=E$35,D$35)</f>
        <v/>
      </c>
      <c r="E151" s="38" t="n">
        <v>101</v>
      </c>
      <c r="F151" s="31">
        <f>E151/52</f>
        <v/>
      </c>
      <c r="G151" s="39">
        <f>D151/1000000*52</f>
        <v/>
      </c>
      <c r="H151" s="33">
        <f>G151/$P$4+($C$22/$P$4)</f>
        <v/>
      </c>
      <c r="I151" s="36">
        <f>_xlfn.IFS(K151&lt;K$24,0,K151&lt;K$26,I$24,K151&lt;K$28,I$26,K151&lt;K$30,I$28,K151&lt;K$32,I$30,K151&lt;K$34,I$32,K151&lt;K$36,I$34,K151&lt;K$38,I$36,K151&lt;K$40,I$38,K151&lt;K$42,I$40,K151&lt;K$44,I$42,K151&lt;K$46,I$44,K151&gt;=K$46,I$46)</f>
        <v/>
      </c>
      <c r="J151" s="37">
        <f>_xlfn.IFS(K151&lt;K$24,0,K151&lt;K$25,J$24,K151&lt;K$26,J$25,K151&lt;K$27,J$26,K151&lt;K$28,J$27,K151&lt;K$29,J$28,K151&lt;K$30,J$29,K151&lt;K$31,J$30,K151&lt;K$32,J$31,K151&lt;K$33,J$32,K151&lt;K$34,J$33,K151&lt;K$35,J$34,K151&lt;K$36,J$35,K151&lt;K$37,J$36,K151&lt;K$38,J$37,K151&lt;K$39,J$38,K151&lt;K$40,J$39,K151&lt;K$41,J$40,K151&lt;K$42,J$41,K151&lt;K$43,J$42,K151&lt;K$44,J$43,K151&lt;K$45,J$44,K151&lt;K$46,J$45,K151&lt;K$47,J$46,K151&gt;=K$47,J$47)</f>
        <v/>
      </c>
      <c r="K151" s="38" t="n">
        <v>101</v>
      </c>
      <c r="L151" s="31">
        <f>K151/52</f>
        <v/>
      </c>
      <c r="M151" s="39">
        <f>J151/1000000*52</f>
        <v/>
      </c>
      <c r="N151" s="33">
        <f>M151/$P$4+($I$22/$P$4)</f>
        <v/>
      </c>
      <c r="U151">
        <f>F150</f>
        <v/>
      </c>
      <c r="V151">
        <f>H150</f>
        <v/>
      </c>
      <c r="W151">
        <f>N150</f>
        <v/>
      </c>
    </row>
    <row r="152" ht="15.75" customHeight="1" s="40">
      <c r="C152" s="36">
        <f>_xlfn.IFS(E152&lt;E$24,0,E152&lt;E$26,C$24,E152&lt;E$28,C$26,E152&lt;E$30,C$28,E152&lt;E$32,C$30,E152&lt;E$34,C$32,E152&gt;=E$34,C$34)</f>
        <v/>
      </c>
      <c r="D152" s="37">
        <f>_xlfn.IFS(E152&lt;E$24,0,E152&lt;E$25,D$24,E152&lt;E$26,D$25,E152&lt;E$27,D$26,E152&lt;E$28,D$27,E152&lt;E$29,D$28,E152&lt;E$30,D$29,E152&lt;E$31,D$30,E152&lt;E$32,D$31,E152&lt;E$33,D$32,E152&lt;E$34,D$33,E152&lt;E$35,D$34,E152&gt;=E$35,D$35)</f>
        <v/>
      </c>
      <c r="E152" s="38" t="n">
        <v>102</v>
      </c>
      <c r="F152" s="31">
        <f>E152/52</f>
        <v/>
      </c>
      <c r="G152" s="39">
        <f>D152/1000000*52</f>
        <v/>
      </c>
      <c r="H152" s="33">
        <f>G152/$P$4+($C$22/$P$4)</f>
        <v/>
      </c>
      <c r="I152" s="36">
        <f>_xlfn.IFS(K152&lt;K$24,0,K152&lt;K$26,I$24,K152&lt;K$28,I$26,K152&lt;K$30,I$28,K152&lt;K$32,I$30,K152&lt;K$34,I$32,K152&lt;K$36,I$34,K152&lt;K$38,I$36,K152&lt;K$40,I$38,K152&lt;K$42,I$40,K152&lt;K$44,I$42,K152&lt;K$46,I$44,K152&gt;=K$46,I$46)</f>
        <v/>
      </c>
      <c r="J152" s="37">
        <f>_xlfn.IFS(K152&lt;K$24,0,K152&lt;K$25,J$24,K152&lt;K$26,J$25,K152&lt;K$27,J$26,K152&lt;K$28,J$27,K152&lt;K$29,J$28,K152&lt;K$30,J$29,K152&lt;K$31,J$30,K152&lt;K$32,J$31,K152&lt;K$33,J$32,K152&lt;K$34,J$33,K152&lt;K$35,J$34,K152&lt;K$36,J$35,K152&lt;K$37,J$36,K152&lt;K$38,J$37,K152&lt;K$39,J$38,K152&lt;K$40,J$39,K152&lt;K$41,J$40,K152&lt;K$42,J$41,K152&lt;K$43,J$42,K152&lt;K$44,J$43,K152&lt;K$45,J$44,K152&lt;K$46,J$45,K152&lt;K$47,J$46,K152&gt;=K$47,J$47)</f>
        <v/>
      </c>
      <c r="K152" s="38" t="n">
        <v>102</v>
      </c>
      <c r="L152" s="31">
        <f>K152/52</f>
        <v/>
      </c>
      <c r="M152" s="39">
        <f>J152/1000000*52</f>
        <v/>
      </c>
      <c r="N152" s="33">
        <f>M152/$P$4+($I$22/$P$4)</f>
        <v/>
      </c>
      <c r="U152">
        <f>F151</f>
        <v/>
      </c>
      <c r="V152">
        <f>H151</f>
        <v/>
      </c>
      <c r="W152">
        <f>N151</f>
        <v/>
      </c>
    </row>
    <row r="153" ht="15.75" customHeight="1" s="40">
      <c r="C153" s="36">
        <f>_xlfn.IFS(E153&lt;E$24,0,E153&lt;E$26,C$24,E153&lt;E$28,C$26,E153&lt;E$30,C$28,E153&lt;E$32,C$30,E153&lt;E$34,C$32,E153&gt;=E$34,C$34)</f>
        <v/>
      </c>
      <c r="D153" s="37">
        <f>_xlfn.IFS(E153&lt;E$24,0,E153&lt;E$25,D$24,E153&lt;E$26,D$25,E153&lt;E$27,D$26,E153&lt;E$28,D$27,E153&lt;E$29,D$28,E153&lt;E$30,D$29,E153&lt;E$31,D$30,E153&lt;E$32,D$31,E153&lt;E$33,D$32,E153&lt;E$34,D$33,E153&lt;E$35,D$34,E153&gt;=E$35,D$35)</f>
        <v/>
      </c>
      <c r="E153" s="38" t="n">
        <v>103</v>
      </c>
      <c r="F153" s="31">
        <f>E153/52</f>
        <v/>
      </c>
      <c r="G153" s="39">
        <f>D153/1000000*52</f>
        <v/>
      </c>
      <c r="H153" s="33">
        <f>G153/$P$4+($C$22/$P$4)</f>
        <v/>
      </c>
      <c r="I153" s="36">
        <f>_xlfn.IFS(K153&lt;K$24,0,K153&lt;K$26,I$24,K153&lt;K$28,I$26,K153&lt;K$30,I$28,K153&lt;K$32,I$30,K153&lt;K$34,I$32,K153&lt;K$36,I$34,K153&lt;K$38,I$36,K153&lt;K$40,I$38,K153&lt;K$42,I$40,K153&lt;K$44,I$42,K153&lt;K$46,I$44,K153&gt;=K$46,I$46)</f>
        <v/>
      </c>
      <c r="J153" s="37">
        <f>_xlfn.IFS(K153&lt;K$24,0,K153&lt;K$25,J$24,K153&lt;K$26,J$25,K153&lt;K$27,J$26,K153&lt;K$28,J$27,K153&lt;K$29,J$28,K153&lt;K$30,J$29,K153&lt;K$31,J$30,K153&lt;K$32,J$31,K153&lt;K$33,J$32,K153&lt;K$34,J$33,K153&lt;K$35,J$34,K153&lt;K$36,J$35,K153&lt;K$37,J$36,K153&lt;K$38,J$37,K153&lt;K$39,J$38,K153&lt;K$40,J$39,K153&lt;K$41,J$40,K153&lt;K$42,J$41,K153&lt;K$43,J$42,K153&lt;K$44,J$43,K153&lt;K$45,J$44,K153&lt;K$46,J$45,K153&lt;K$47,J$46,K153&gt;=K$47,J$47)</f>
        <v/>
      </c>
      <c r="K153" s="38" t="n">
        <v>103</v>
      </c>
      <c r="L153" s="31">
        <f>K153/52</f>
        <v/>
      </c>
      <c r="M153" s="39">
        <f>J153/1000000*52</f>
        <v/>
      </c>
      <c r="N153" s="33">
        <f>M153/$P$4+($I$22/$P$4)</f>
        <v/>
      </c>
      <c r="U153">
        <f>F152</f>
        <v/>
      </c>
      <c r="V153">
        <f>H152</f>
        <v/>
      </c>
      <c r="W153">
        <f>N152</f>
        <v/>
      </c>
    </row>
    <row r="154" ht="15.75" customHeight="1" s="40">
      <c r="C154" s="36">
        <f>_xlfn.IFS(E154&lt;E$24,0,E154&lt;E$26,C$24,E154&lt;E$28,C$26,E154&lt;E$30,C$28,E154&lt;E$32,C$30,E154&lt;E$34,C$32,E154&gt;=E$34,C$34)</f>
        <v/>
      </c>
      <c r="D154" s="37">
        <f>_xlfn.IFS(E154&lt;E$24,0,E154&lt;E$25,D$24,E154&lt;E$26,D$25,E154&lt;E$27,D$26,E154&lt;E$28,D$27,E154&lt;E$29,D$28,E154&lt;E$30,D$29,E154&lt;E$31,D$30,E154&lt;E$32,D$31,E154&lt;E$33,D$32,E154&lt;E$34,D$33,E154&lt;E$35,D$34,E154&gt;=E$35,D$35)</f>
        <v/>
      </c>
      <c r="E154" s="38" t="n">
        <v>104</v>
      </c>
      <c r="F154" s="31">
        <f>E154/52</f>
        <v/>
      </c>
      <c r="G154" s="39">
        <f>D154/1000000*52</f>
        <v/>
      </c>
      <c r="H154" s="33">
        <f>G154/$P$4+($C$22/$P$4)</f>
        <v/>
      </c>
      <c r="I154" s="36">
        <f>_xlfn.IFS(K154&lt;K$24,0,K154&lt;K$26,I$24,K154&lt;K$28,I$26,K154&lt;K$30,I$28,K154&lt;K$32,I$30,K154&lt;K$34,I$32,K154&lt;K$36,I$34,K154&lt;K$38,I$36,K154&lt;K$40,I$38,K154&lt;K$42,I$40,K154&lt;K$44,I$42,K154&lt;K$46,I$44,K154&gt;=K$46,I$46)</f>
        <v/>
      </c>
      <c r="J154" s="37">
        <f>_xlfn.IFS(K154&lt;K$24,0,K154&lt;K$25,J$24,K154&lt;K$26,J$25,K154&lt;K$27,J$26,K154&lt;K$28,J$27,K154&lt;K$29,J$28,K154&lt;K$30,J$29,K154&lt;K$31,J$30,K154&lt;K$32,J$31,K154&lt;K$33,J$32,K154&lt;K$34,J$33,K154&lt;K$35,J$34,K154&lt;K$36,J$35,K154&lt;K$37,J$36,K154&lt;K$38,J$37,K154&lt;K$39,J$38,K154&lt;K$40,J$39,K154&lt;K$41,J$40,K154&lt;K$42,J$41,K154&lt;K$43,J$42,K154&lt;K$44,J$43,K154&lt;K$45,J$44,K154&lt;K$46,J$45,K154&lt;K$47,J$46,K154&gt;=K$47,J$47)</f>
        <v/>
      </c>
      <c r="K154" s="38" t="n">
        <v>104</v>
      </c>
      <c r="L154" s="31">
        <f>K154/52</f>
        <v/>
      </c>
      <c r="M154" s="39">
        <f>J154/1000000*52</f>
        <v/>
      </c>
      <c r="N154" s="33">
        <f>M154/$P$4+($I$22/$P$4)</f>
        <v/>
      </c>
      <c r="U154">
        <f>F153</f>
        <v/>
      </c>
      <c r="V154">
        <f>H153</f>
        <v/>
      </c>
      <c r="W154">
        <f>N153</f>
        <v/>
      </c>
    </row>
    <row r="155" ht="15.75" customHeight="1" s="40">
      <c r="C155" s="36">
        <f>_xlfn.IFS(E155&lt;E$24,0,E155&lt;E$26,C$24,E155&lt;E$28,C$26,E155&lt;E$30,C$28,E155&lt;E$32,C$30,E155&lt;E$34,C$32,E155&gt;=E$34,C$34)</f>
        <v/>
      </c>
      <c r="D155" s="37">
        <f>_xlfn.IFS(E155&lt;E$24,0,E155&lt;E$25,D$24,E155&lt;E$26,D$25,E155&lt;E$27,D$26,E155&lt;E$28,D$27,E155&lt;E$29,D$28,E155&lt;E$30,D$29,E155&lt;E$31,D$30,E155&lt;E$32,D$31,E155&lt;E$33,D$32,E155&lt;E$34,D$33,E155&lt;E$35,D$34,E155&gt;=E$35,D$35)</f>
        <v/>
      </c>
      <c r="E155" s="38" t="n">
        <v>105</v>
      </c>
      <c r="F155" s="31">
        <f>E155/52</f>
        <v/>
      </c>
      <c r="G155" s="39">
        <f>D155/1000000*52</f>
        <v/>
      </c>
      <c r="H155" s="33">
        <f>G155/$P$4+($C$22/$P$4)</f>
        <v/>
      </c>
      <c r="I155" s="36">
        <f>_xlfn.IFS(K155&lt;K$24,0,K155&lt;K$26,I$24,K155&lt;K$28,I$26,K155&lt;K$30,I$28,K155&lt;K$32,I$30,K155&lt;K$34,I$32,K155&lt;K$36,I$34,K155&lt;K$38,I$36,K155&lt;K$40,I$38,K155&lt;K$42,I$40,K155&lt;K$44,I$42,K155&lt;K$46,I$44,K155&gt;=K$46,I$46)</f>
        <v/>
      </c>
      <c r="J155" s="37">
        <f>_xlfn.IFS(K155&lt;K$24,0,K155&lt;K$25,J$24,K155&lt;K$26,J$25,K155&lt;K$27,J$26,K155&lt;K$28,J$27,K155&lt;K$29,J$28,K155&lt;K$30,J$29,K155&lt;K$31,J$30,K155&lt;K$32,J$31,K155&lt;K$33,J$32,K155&lt;K$34,J$33,K155&lt;K$35,J$34,K155&lt;K$36,J$35,K155&lt;K$37,J$36,K155&lt;K$38,J$37,K155&lt;K$39,J$38,K155&lt;K$40,J$39,K155&lt;K$41,J$40,K155&lt;K$42,J$41,K155&lt;K$43,J$42,K155&lt;K$44,J$43,K155&lt;K$45,J$44,K155&lt;K$46,J$45,K155&lt;K$47,J$46,K155&gt;=K$47,J$47)</f>
        <v/>
      </c>
      <c r="K155" s="38" t="n">
        <v>105</v>
      </c>
      <c r="L155" s="31">
        <f>K155/52</f>
        <v/>
      </c>
      <c r="M155" s="39">
        <f>J155/1000000*52</f>
        <v/>
      </c>
      <c r="N155" s="33">
        <f>M155/$P$4+($I$22/$P$4)</f>
        <v/>
      </c>
      <c r="U155">
        <f>F154</f>
        <v/>
      </c>
      <c r="V155">
        <f>H154</f>
        <v/>
      </c>
      <c r="W155">
        <f>N154</f>
        <v/>
      </c>
    </row>
    <row r="156" ht="15.75" customHeight="1" s="40">
      <c r="C156" s="36">
        <f>_xlfn.IFS(E156&lt;E$24,0,E156&lt;E$26,C$24,E156&lt;E$28,C$26,E156&lt;E$30,C$28,E156&lt;E$32,C$30,E156&lt;E$34,C$32,E156&gt;=E$34,C$34)</f>
        <v/>
      </c>
      <c r="D156" s="37">
        <f>_xlfn.IFS(E156&lt;E$24,0,E156&lt;E$25,D$24,E156&lt;E$26,D$25,E156&lt;E$27,D$26,E156&lt;E$28,D$27,E156&lt;E$29,D$28,E156&lt;E$30,D$29,E156&lt;E$31,D$30,E156&lt;E$32,D$31,E156&lt;E$33,D$32,E156&lt;E$34,D$33,E156&lt;E$35,D$34,E156&gt;=E$35,D$35)</f>
        <v/>
      </c>
      <c r="E156" s="38" t="n">
        <v>106</v>
      </c>
      <c r="F156" s="31">
        <f>E156/52</f>
        <v/>
      </c>
      <c r="G156" s="39">
        <f>D156/1000000*52</f>
        <v/>
      </c>
      <c r="H156" s="33">
        <f>G156/$P$4+($C$22/$P$4)</f>
        <v/>
      </c>
      <c r="I156" s="36">
        <f>_xlfn.IFS(K156&lt;K$24,0,K156&lt;K$26,I$24,K156&lt;K$28,I$26,K156&lt;K$30,I$28,K156&lt;K$32,I$30,K156&lt;K$34,I$32,K156&lt;K$36,I$34,K156&lt;K$38,I$36,K156&lt;K$40,I$38,K156&lt;K$42,I$40,K156&lt;K$44,I$42,K156&lt;K$46,I$44,K156&gt;=K$46,I$46)</f>
        <v/>
      </c>
      <c r="J156" s="37">
        <f>_xlfn.IFS(K156&lt;K$24,0,K156&lt;K$25,J$24,K156&lt;K$26,J$25,K156&lt;K$27,J$26,K156&lt;K$28,J$27,K156&lt;K$29,J$28,K156&lt;K$30,J$29,K156&lt;K$31,J$30,K156&lt;K$32,J$31,K156&lt;K$33,J$32,K156&lt;K$34,J$33,K156&lt;K$35,J$34,K156&lt;K$36,J$35,K156&lt;K$37,J$36,K156&lt;K$38,J$37,K156&lt;K$39,J$38,K156&lt;K$40,J$39,K156&lt;K$41,J$40,K156&lt;K$42,J$41,K156&lt;K$43,J$42,K156&lt;K$44,J$43,K156&lt;K$45,J$44,K156&lt;K$46,J$45,K156&lt;K$47,J$46,K156&gt;=K$47,J$47)</f>
        <v/>
      </c>
      <c r="K156" s="38" t="n">
        <v>106</v>
      </c>
      <c r="L156" s="31">
        <f>K156/52</f>
        <v/>
      </c>
      <c r="M156" s="39">
        <f>J156/1000000*52</f>
        <v/>
      </c>
      <c r="N156" s="33">
        <f>M156/$P$4+($I$22/$P$4)</f>
        <v/>
      </c>
      <c r="U156">
        <f>F155</f>
        <v/>
      </c>
      <c r="V156">
        <f>H155</f>
        <v/>
      </c>
      <c r="W156">
        <f>N155</f>
        <v/>
      </c>
    </row>
    <row r="157" ht="15.75" customHeight="1" s="40">
      <c r="C157" s="36">
        <f>_xlfn.IFS(E157&lt;E$24,0,E157&lt;E$26,C$24,E157&lt;E$28,C$26,E157&lt;E$30,C$28,E157&lt;E$32,C$30,E157&lt;E$34,C$32,E157&gt;=E$34,C$34)</f>
        <v/>
      </c>
      <c r="D157" s="37">
        <f>_xlfn.IFS(E157&lt;E$24,0,E157&lt;E$25,D$24,E157&lt;E$26,D$25,E157&lt;E$27,D$26,E157&lt;E$28,D$27,E157&lt;E$29,D$28,E157&lt;E$30,D$29,E157&lt;E$31,D$30,E157&lt;E$32,D$31,E157&lt;E$33,D$32,E157&lt;E$34,D$33,E157&lt;E$35,D$34,E157&gt;=E$35,D$35)</f>
        <v/>
      </c>
      <c r="E157" s="38" t="n">
        <v>107</v>
      </c>
      <c r="F157" s="31">
        <f>E157/52</f>
        <v/>
      </c>
      <c r="G157" s="39">
        <f>D157/1000000*52</f>
        <v/>
      </c>
      <c r="H157" s="33">
        <f>G157/$P$4+($C$22/$P$4)</f>
        <v/>
      </c>
      <c r="I157" s="36">
        <f>_xlfn.IFS(K157&lt;K$24,0,K157&lt;K$26,I$24,K157&lt;K$28,I$26,K157&lt;K$30,I$28,K157&lt;K$32,I$30,K157&lt;K$34,I$32,K157&lt;K$36,I$34,K157&lt;K$38,I$36,K157&lt;K$40,I$38,K157&lt;K$42,I$40,K157&lt;K$44,I$42,K157&lt;K$46,I$44,K157&gt;=K$46,I$46)</f>
        <v/>
      </c>
      <c r="J157" s="37">
        <f>_xlfn.IFS(K157&lt;K$24,0,K157&lt;K$25,J$24,K157&lt;K$26,J$25,K157&lt;K$27,J$26,K157&lt;K$28,J$27,K157&lt;K$29,J$28,K157&lt;K$30,J$29,K157&lt;K$31,J$30,K157&lt;K$32,J$31,K157&lt;K$33,J$32,K157&lt;K$34,J$33,K157&lt;K$35,J$34,K157&lt;K$36,J$35,K157&lt;K$37,J$36,K157&lt;K$38,J$37,K157&lt;K$39,J$38,K157&lt;K$40,J$39,K157&lt;K$41,J$40,K157&lt;K$42,J$41,K157&lt;K$43,J$42,K157&lt;K$44,J$43,K157&lt;K$45,J$44,K157&lt;K$46,J$45,K157&lt;K$47,J$46,K157&gt;=K$47,J$47)</f>
        <v/>
      </c>
      <c r="K157" s="38" t="n">
        <v>107</v>
      </c>
      <c r="L157" s="31">
        <f>K157/52</f>
        <v/>
      </c>
      <c r="M157" s="39">
        <f>J157/1000000*52</f>
        <v/>
      </c>
      <c r="N157" s="33">
        <f>M157/$P$4+($I$22/$P$4)</f>
        <v/>
      </c>
      <c r="U157">
        <f>F156</f>
        <v/>
      </c>
      <c r="V157">
        <f>H156</f>
        <v/>
      </c>
      <c r="W157">
        <f>N156</f>
        <v/>
      </c>
    </row>
    <row r="158" ht="15.75" customHeight="1" s="40">
      <c r="C158" s="36">
        <f>_xlfn.IFS(E158&lt;E$24,0,E158&lt;E$26,C$24,E158&lt;E$28,C$26,E158&lt;E$30,C$28,E158&lt;E$32,C$30,E158&lt;E$34,C$32,E158&gt;=E$34,C$34)</f>
        <v/>
      </c>
      <c r="D158" s="37">
        <f>_xlfn.IFS(E158&lt;E$24,0,E158&lt;E$25,D$24,E158&lt;E$26,D$25,E158&lt;E$27,D$26,E158&lt;E$28,D$27,E158&lt;E$29,D$28,E158&lt;E$30,D$29,E158&lt;E$31,D$30,E158&lt;E$32,D$31,E158&lt;E$33,D$32,E158&lt;E$34,D$33,E158&lt;E$35,D$34,E158&gt;=E$35,D$35)</f>
        <v/>
      </c>
      <c r="E158" s="38" t="n">
        <v>108</v>
      </c>
      <c r="F158" s="31">
        <f>E158/52</f>
        <v/>
      </c>
      <c r="G158" s="39">
        <f>D158/1000000*52</f>
        <v/>
      </c>
      <c r="H158" s="33">
        <f>G158/$P$4+($C$22/$P$4)</f>
        <v/>
      </c>
      <c r="I158" s="36">
        <f>_xlfn.IFS(K158&lt;K$24,0,K158&lt;K$26,I$24,K158&lt;K$28,I$26,K158&lt;K$30,I$28,K158&lt;K$32,I$30,K158&lt;K$34,I$32,K158&lt;K$36,I$34,K158&lt;K$38,I$36,K158&lt;K$40,I$38,K158&lt;K$42,I$40,K158&lt;K$44,I$42,K158&lt;K$46,I$44,K158&gt;=K$46,I$46)</f>
        <v/>
      </c>
      <c r="J158" s="37">
        <f>_xlfn.IFS(K158&lt;K$24,0,K158&lt;K$25,J$24,K158&lt;K$26,J$25,K158&lt;K$27,J$26,K158&lt;K$28,J$27,K158&lt;K$29,J$28,K158&lt;K$30,J$29,K158&lt;K$31,J$30,K158&lt;K$32,J$31,K158&lt;K$33,J$32,K158&lt;K$34,J$33,K158&lt;K$35,J$34,K158&lt;K$36,J$35,K158&lt;K$37,J$36,K158&lt;K$38,J$37,K158&lt;K$39,J$38,K158&lt;K$40,J$39,K158&lt;K$41,J$40,K158&lt;K$42,J$41,K158&lt;K$43,J$42,K158&lt;K$44,J$43,K158&lt;K$45,J$44,K158&lt;K$46,J$45,K158&lt;K$47,J$46,K158&gt;=K$47,J$47)</f>
        <v/>
      </c>
      <c r="K158" s="38" t="n">
        <v>108</v>
      </c>
      <c r="L158" s="31">
        <f>K158/52</f>
        <v/>
      </c>
      <c r="M158" s="39">
        <f>J158/1000000*52</f>
        <v/>
      </c>
      <c r="N158" s="33">
        <f>M158/$P$4+($I$22/$P$4)</f>
        <v/>
      </c>
      <c r="U158">
        <f>F157</f>
        <v/>
      </c>
      <c r="V158">
        <f>H157</f>
        <v/>
      </c>
      <c r="W158">
        <f>N157</f>
        <v/>
      </c>
    </row>
    <row r="159" ht="15.75" customHeight="1" s="40">
      <c r="C159" s="36">
        <f>_xlfn.IFS(E159&lt;E$24,0,E159&lt;E$26,C$24,E159&lt;E$28,C$26,E159&lt;E$30,C$28,E159&lt;E$32,C$30,E159&lt;E$34,C$32,E159&gt;=E$34,C$34)</f>
        <v/>
      </c>
      <c r="D159" s="37">
        <f>_xlfn.IFS(E159&lt;E$24,0,E159&lt;E$25,D$24,E159&lt;E$26,D$25,E159&lt;E$27,D$26,E159&lt;E$28,D$27,E159&lt;E$29,D$28,E159&lt;E$30,D$29,E159&lt;E$31,D$30,E159&lt;E$32,D$31,E159&lt;E$33,D$32,E159&lt;E$34,D$33,E159&lt;E$35,D$34,E159&gt;=E$35,D$35)</f>
        <v/>
      </c>
      <c r="E159" s="38" t="n">
        <v>109</v>
      </c>
      <c r="F159" s="31">
        <f>E159/52</f>
        <v/>
      </c>
      <c r="G159" s="39">
        <f>D159/1000000*52</f>
        <v/>
      </c>
      <c r="H159" s="33">
        <f>G159/$P$4+($C$22/$P$4)</f>
        <v/>
      </c>
      <c r="I159" s="36">
        <f>_xlfn.IFS(K159&lt;K$24,0,K159&lt;K$26,I$24,K159&lt;K$28,I$26,K159&lt;K$30,I$28,K159&lt;K$32,I$30,K159&lt;K$34,I$32,K159&lt;K$36,I$34,K159&lt;K$38,I$36,K159&lt;K$40,I$38,K159&lt;K$42,I$40,K159&lt;K$44,I$42,K159&lt;K$46,I$44,K159&gt;=K$46,I$46)</f>
        <v/>
      </c>
      <c r="J159" s="37">
        <f>_xlfn.IFS(K159&lt;K$24,0,K159&lt;K$25,J$24,K159&lt;K$26,J$25,K159&lt;K$27,J$26,K159&lt;K$28,J$27,K159&lt;K$29,J$28,K159&lt;K$30,J$29,K159&lt;K$31,J$30,K159&lt;K$32,J$31,K159&lt;K$33,J$32,K159&lt;K$34,J$33,K159&lt;K$35,J$34,K159&lt;K$36,J$35,K159&lt;K$37,J$36,K159&lt;K$38,J$37,K159&lt;K$39,J$38,K159&lt;K$40,J$39,K159&lt;K$41,J$40,K159&lt;K$42,J$41,K159&lt;K$43,J$42,K159&lt;K$44,J$43,K159&lt;K$45,J$44,K159&lt;K$46,J$45,K159&lt;K$47,J$46,K159&gt;=K$47,J$47)</f>
        <v/>
      </c>
      <c r="K159" s="38" t="n">
        <v>109</v>
      </c>
      <c r="L159" s="31">
        <f>K159/52</f>
        <v/>
      </c>
      <c r="M159" s="39">
        <f>J159/1000000*52</f>
        <v/>
      </c>
      <c r="N159" s="33">
        <f>M159/$P$4+($I$22/$P$4)</f>
        <v/>
      </c>
      <c r="U159">
        <f>F158</f>
        <v/>
      </c>
      <c r="V159">
        <f>H158</f>
        <v/>
      </c>
      <c r="W159">
        <f>N158</f>
        <v/>
      </c>
    </row>
    <row r="160" ht="15.75" customHeight="1" s="40">
      <c r="C160" s="36">
        <f>_xlfn.IFS(E160&lt;E$24,0,E160&lt;E$26,C$24,E160&lt;E$28,C$26,E160&lt;E$30,C$28,E160&lt;E$32,C$30,E160&lt;E$34,C$32,E160&gt;=E$34,C$34)</f>
        <v/>
      </c>
      <c r="D160" s="37">
        <f>_xlfn.IFS(E160&lt;E$24,0,E160&lt;E$25,D$24,E160&lt;E$26,D$25,E160&lt;E$27,D$26,E160&lt;E$28,D$27,E160&lt;E$29,D$28,E160&lt;E$30,D$29,E160&lt;E$31,D$30,E160&lt;E$32,D$31,E160&lt;E$33,D$32,E160&lt;E$34,D$33,E160&lt;E$35,D$34,E160&gt;=E$35,D$35)</f>
        <v/>
      </c>
      <c r="E160" s="38" t="n">
        <v>110</v>
      </c>
      <c r="F160" s="31">
        <f>E160/52</f>
        <v/>
      </c>
      <c r="G160" s="39">
        <f>D160/1000000*52</f>
        <v/>
      </c>
      <c r="H160" s="33">
        <f>G160/$P$4+($C$22/$P$4)</f>
        <v/>
      </c>
      <c r="I160" s="36">
        <f>_xlfn.IFS(K160&lt;K$24,0,K160&lt;K$26,I$24,K160&lt;K$28,I$26,K160&lt;K$30,I$28,K160&lt;K$32,I$30,K160&lt;K$34,I$32,K160&lt;K$36,I$34,K160&lt;K$38,I$36,K160&lt;K$40,I$38,K160&lt;K$42,I$40,K160&lt;K$44,I$42,K160&lt;K$46,I$44,K160&gt;=K$46,I$46)</f>
        <v/>
      </c>
      <c r="J160" s="37">
        <f>_xlfn.IFS(K160&lt;K$24,0,K160&lt;K$25,J$24,K160&lt;K$26,J$25,K160&lt;K$27,J$26,K160&lt;K$28,J$27,K160&lt;K$29,J$28,K160&lt;K$30,J$29,K160&lt;K$31,J$30,K160&lt;K$32,J$31,K160&lt;K$33,J$32,K160&lt;K$34,J$33,K160&lt;K$35,J$34,K160&lt;K$36,J$35,K160&lt;K$37,J$36,K160&lt;K$38,J$37,K160&lt;K$39,J$38,K160&lt;K$40,J$39,K160&lt;K$41,J$40,K160&lt;K$42,J$41,K160&lt;K$43,J$42,K160&lt;K$44,J$43,K160&lt;K$45,J$44,K160&lt;K$46,J$45,K160&lt;K$47,J$46,K160&gt;=K$47,J$47)</f>
        <v/>
      </c>
      <c r="K160" s="38" t="n">
        <v>110</v>
      </c>
      <c r="L160" s="31">
        <f>K160/52</f>
        <v/>
      </c>
      <c r="M160" s="39">
        <f>J160/1000000*52</f>
        <v/>
      </c>
      <c r="N160" s="33">
        <f>M160/$P$4+($I$22/$P$4)</f>
        <v/>
      </c>
      <c r="U160">
        <f>F159</f>
        <v/>
      </c>
      <c r="V160">
        <f>H159</f>
        <v/>
      </c>
      <c r="W160">
        <f>N159</f>
        <v/>
      </c>
    </row>
    <row r="161" ht="15.75" customHeight="1" s="40">
      <c r="C161" s="36">
        <f>_xlfn.IFS(E161&lt;E$24,0,E161&lt;E$26,C$24,E161&lt;E$28,C$26,E161&lt;E$30,C$28,E161&lt;E$32,C$30,E161&lt;E$34,C$32,E161&gt;=E$34,C$34)</f>
        <v/>
      </c>
      <c r="D161" s="37">
        <f>_xlfn.IFS(E161&lt;E$24,0,E161&lt;E$25,D$24,E161&lt;E$26,D$25,E161&lt;E$27,D$26,E161&lt;E$28,D$27,E161&lt;E$29,D$28,E161&lt;E$30,D$29,E161&lt;E$31,D$30,E161&lt;E$32,D$31,E161&lt;E$33,D$32,E161&lt;E$34,D$33,E161&lt;E$35,D$34,E161&gt;=E$35,D$35)</f>
        <v/>
      </c>
      <c r="E161" s="38" t="n">
        <v>111</v>
      </c>
      <c r="F161" s="31">
        <f>E161/52</f>
        <v/>
      </c>
      <c r="G161" s="39">
        <f>D161/1000000*52</f>
        <v/>
      </c>
      <c r="H161" s="33">
        <f>G161/$P$4+($C$22/$P$4)</f>
        <v/>
      </c>
      <c r="I161" s="36">
        <f>_xlfn.IFS(K161&lt;K$24,0,K161&lt;K$26,I$24,K161&lt;K$28,I$26,K161&lt;K$30,I$28,K161&lt;K$32,I$30,K161&lt;K$34,I$32,K161&lt;K$36,I$34,K161&lt;K$38,I$36,K161&lt;K$40,I$38,K161&lt;K$42,I$40,K161&lt;K$44,I$42,K161&lt;K$46,I$44,K161&gt;=K$46,I$46)</f>
        <v/>
      </c>
      <c r="J161" s="37">
        <f>_xlfn.IFS(K161&lt;K$24,0,K161&lt;K$25,J$24,K161&lt;K$26,J$25,K161&lt;K$27,J$26,K161&lt;K$28,J$27,K161&lt;K$29,J$28,K161&lt;K$30,J$29,K161&lt;K$31,J$30,K161&lt;K$32,J$31,K161&lt;K$33,J$32,K161&lt;K$34,J$33,K161&lt;K$35,J$34,K161&lt;K$36,J$35,K161&lt;K$37,J$36,K161&lt;K$38,J$37,K161&lt;K$39,J$38,K161&lt;K$40,J$39,K161&lt;K$41,J$40,K161&lt;K$42,J$41,K161&lt;K$43,J$42,K161&lt;K$44,J$43,K161&lt;K$45,J$44,K161&lt;K$46,J$45,K161&lt;K$47,J$46,K161&gt;=K$47,J$47)</f>
        <v/>
      </c>
      <c r="K161" s="38" t="n">
        <v>111</v>
      </c>
      <c r="L161" s="31">
        <f>K161/52</f>
        <v/>
      </c>
      <c r="M161" s="39">
        <f>J161/1000000*52</f>
        <v/>
      </c>
      <c r="N161" s="33">
        <f>M161/$P$4+($I$22/$P$4)</f>
        <v/>
      </c>
      <c r="U161">
        <f>F160</f>
        <v/>
      </c>
      <c r="V161">
        <f>H160</f>
        <v/>
      </c>
      <c r="W161">
        <f>N160</f>
        <v/>
      </c>
    </row>
    <row r="162" ht="15.75" customHeight="1" s="40">
      <c r="C162" s="36">
        <f>_xlfn.IFS(E162&lt;E$24,0,E162&lt;E$26,C$24,E162&lt;E$28,C$26,E162&lt;E$30,C$28,E162&lt;E$32,C$30,E162&lt;E$34,C$32,E162&gt;=E$34,C$34)</f>
        <v/>
      </c>
      <c r="D162" s="37">
        <f>_xlfn.IFS(E162&lt;E$24,0,E162&lt;E$25,D$24,E162&lt;E$26,D$25,E162&lt;E$27,D$26,E162&lt;E$28,D$27,E162&lt;E$29,D$28,E162&lt;E$30,D$29,E162&lt;E$31,D$30,E162&lt;E$32,D$31,E162&lt;E$33,D$32,E162&lt;E$34,D$33,E162&lt;E$35,D$34,E162&gt;=E$35,D$35)</f>
        <v/>
      </c>
      <c r="E162" s="38" t="n">
        <v>112</v>
      </c>
      <c r="F162" s="31">
        <f>E162/52</f>
        <v/>
      </c>
      <c r="G162" s="39">
        <f>D162/1000000*52</f>
        <v/>
      </c>
      <c r="H162" s="33">
        <f>G162/$P$4+($C$22/$P$4)</f>
        <v/>
      </c>
      <c r="I162" s="36">
        <f>_xlfn.IFS(K162&lt;K$24,0,K162&lt;K$26,I$24,K162&lt;K$28,I$26,K162&lt;K$30,I$28,K162&lt;K$32,I$30,K162&lt;K$34,I$32,K162&lt;K$36,I$34,K162&lt;K$38,I$36,K162&lt;K$40,I$38,K162&lt;K$42,I$40,K162&lt;K$44,I$42,K162&lt;K$46,I$44,K162&gt;=K$46,I$46)</f>
        <v/>
      </c>
      <c r="J162" s="37">
        <f>_xlfn.IFS(K162&lt;K$24,0,K162&lt;K$25,J$24,K162&lt;K$26,J$25,K162&lt;K$27,J$26,K162&lt;K$28,J$27,K162&lt;K$29,J$28,K162&lt;K$30,J$29,K162&lt;K$31,J$30,K162&lt;K$32,J$31,K162&lt;K$33,J$32,K162&lt;K$34,J$33,K162&lt;K$35,J$34,K162&lt;K$36,J$35,K162&lt;K$37,J$36,K162&lt;K$38,J$37,K162&lt;K$39,J$38,K162&lt;K$40,J$39,K162&lt;K$41,J$40,K162&lt;K$42,J$41,K162&lt;K$43,J$42,K162&lt;K$44,J$43,K162&lt;K$45,J$44,K162&lt;K$46,J$45,K162&lt;K$47,J$46,K162&gt;=K$47,J$47)</f>
        <v/>
      </c>
      <c r="K162" s="38" t="n">
        <v>112</v>
      </c>
      <c r="L162" s="31">
        <f>K162/52</f>
        <v/>
      </c>
      <c r="M162" s="39">
        <f>J162/1000000*52</f>
        <v/>
      </c>
      <c r="N162" s="33">
        <f>M162/$P$4+($I$22/$P$4)</f>
        <v/>
      </c>
      <c r="U162">
        <f>F161</f>
        <v/>
      </c>
      <c r="V162">
        <f>H161</f>
        <v/>
      </c>
      <c r="W162">
        <f>N161</f>
        <v/>
      </c>
    </row>
    <row r="163" ht="15.75" customHeight="1" s="40">
      <c r="C163" s="36">
        <f>_xlfn.IFS(E163&lt;E$24,0,E163&lt;E$26,C$24,E163&lt;E$28,C$26,E163&lt;E$30,C$28,E163&lt;E$32,C$30,E163&lt;E$34,C$32,E163&gt;=E$34,C$34)</f>
        <v/>
      </c>
      <c r="D163" s="37">
        <f>_xlfn.IFS(E163&lt;E$24,0,E163&lt;E$25,D$24,E163&lt;E$26,D$25,E163&lt;E$27,D$26,E163&lt;E$28,D$27,E163&lt;E$29,D$28,E163&lt;E$30,D$29,E163&lt;E$31,D$30,E163&lt;E$32,D$31,E163&lt;E$33,D$32,E163&lt;E$34,D$33,E163&lt;E$35,D$34,E163&gt;=E$35,D$35)</f>
        <v/>
      </c>
      <c r="E163" s="38" t="n">
        <v>113</v>
      </c>
      <c r="F163" s="31">
        <f>E163/52</f>
        <v/>
      </c>
      <c r="G163" s="39">
        <f>D163/1000000*52</f>
        <v/>
      </c>
      <c r="H163" s="33">
        <f>G163/$P$4+($C$22/$P$4)</f>
        <v/>
      </c>
      <c r="I163" s="36">
        <f>_xlfn.IFS(K163&lt;K$24,0,K163&lt;K$26,I$24,K163&lt;K$28,I$26,K163&lt;K$30,I$28,K163&lt;K$32,I$30,K163&lt;K$34,I$32,K163&lt;K$36,I$34,K163&lt;K$38,I$36,K163&lt;K$40,I$38,K163&lt;K$42,I$40,K163&lt;K$44,I$42,K163&lt;K$46,I$44,K163&gt;=K$46,I$46)</f>
        <v/>
      </c>
      <c r="J163" s="37">
        <f>_xlfn.IFS(K163&lt;K$24,0,K163&lt;K$25,J$24,K163&lt;K$26,J$25,K163&lt;K$27,J$26,K163&lt;K$28,J$27,K163&lt;K$29,J$28,K163&lt;K$30,J$29,K163&lt;K$31,J$30,K163&lt;K$32,J$31,K163&lt;K$33,J$32,K163&lt;K$34,J$33,K163&lt;K$35,J$34,K163&lt;K$36,J$35,K163&lt;K$37,J$36,K163&lt;K$38,J$37,K163&lt;K$39,J$38,K163&lt;K$40,J$39,K163&lt;K$41,J$40,K163&lt;K$42,J$41,K163&lt;K$43,J$42,K163&lt;K$44,J$43,K163&lt;K$45,J$44,K163&lt;K$46,J$45,K163&lt;K$47,J$46,K163&gt;=K$47,J$47)</f>
        <v/>
      </c>
      <c r="K163" s="38" t="n">
        <v>113</v>
      </c>
      <c r="L163" s="31">
        <f>K163/52</f>
        <v/>
      </c>
      <c r="M163" s="39">
        <f>J163/1000000*52</f>
        <v/>
      </c>
      <c r="N163" s="33">
        <f>M163/$P$4+($I$22/$P$4)</f>
        <v/>
      </c>
      <c r="U163">
        <f>F162</f>
        <v/>
      </c>
      <c r="V163">
        <f>H162</f>
        <v/>
      </c>
      <c r="W163">
        <f>N162</f>
        <v/>
      </c>
    </row>
    <row r="164" ht="15.75" customHeight="1" s="40">
      <c r="C164" s="36">
        <f>_xlfn.IFS(E164&lt;E$24,0,E164&lt;E$26,C$24,E164&lt;E$28,C$26,E164&lt;E$30,C$28,E164&lt;E$32,C$30,E164&lt;E$34,C$32,E164&gt;=E$34,C$34)</f>
        <v/>
      </c>
      <c r="D164" s="37">
        <f>_xlfn.IFS(E164&lt;E$24,0,E164&lt;E$25,D$24,E164&lt;E$26,D$25,E164&lt;E$27,D$26,E164&lt;E$28,D$27,E164&lt;E$29,D$28,E164&lt;E$30,D$29,E164&lt;E$31,D$30,E164&lt;E$32,D$31,E164&lt;E$33,D$32,E164&lt;E$34,D$33,E164&lt;E$35,D$34,E164&gt;=E$35,D$35)</f>
        <v/>
      </c>
      <c r="E164" s="38" t="n">
        <v>114</v>
      </c>
      <c r="F164" s="31">
        <f>E164/52</f>
        <v/>
      </c>
      <c r="G164" s="39">
        <f>D164/1000000*52</f>
        <v/>
      </c>
      <c r="H164" s="33">
        <f>G164/$P$4+($C$22/$P$4)</f>
        <v/>
      </c>
      <c r="I164" s="36">
        <f>_xlfn.IFS(K164&lt;K$24,0,K164&lt;K$26,I$24,K164&lt;K$28,I$26,K164&lt;K$30,I$28,K164&lt;K$32,I$30,K164&lt;K$34,I$32,K164&lt;K$36,I$34,K164&lt;K$38,I$36,K164&lt;K$40,I$38,K164&lt;K$42,I$40,K164&lt;K$44,I$42,K164&lt;K$46,I$44,K164&gt;=K$46,I$46)</f>
        <v/>
      </c>
      <c r="J164" s="37">
        <f>_xlfn.IFS(K164&lt;K$24,0,K164&lt;K$25,J$24,K164&lt;K$26,J$25,K164&lt;K$27,J$26,K164&lt;K$28,J$27,K164&lt;K$29,J$28,K164&lt;K$30,J$29,K164&lt;K$31,J$30,K164&lt;K$32,J$31,K164&lt;K$33,J$32,K164&lt;K$34,J$33,K164&lt;K$35,J$34,K164&lt;K$36,J$35,K164&lt;K$37,J$36,K164&lt;K$38,J$37,K164&lt;K$39,J$38,K164&lt;K$40,J$39,K164&lt;K$41,J$40,K164&lt;K$42,J$41,K164&lt;K$43,J$42,K164&lt;K$44,J$43,K164&lt;K$45,J$44,K164&lt;K$46,J$45,K164&lt;K$47,J$46,K164&gt;=K$47,J$47)</f>
        <v/>
      </c>
      <c r="K164" s="38" t="n">
        <v>114</v>
      </c>
      <c r="L164" s="31">
        <f>K164/52</f>
        <v/>
      </c>
      <c r="M164" s="39">
        <f>J164/1000000*52</f>
        <v/>
      </c>
      <c r="N164" s="33">
        <f>M164/$P$4+($I$22/$P$4)</f>
        <v/>
      </c>
      <c r="U164">
        <f>F163</f>
        <v/>
      </c>
      <c r="V164">
        <f>H163</f>
        <v/>
      </c>
      <c r="W164">
        <f>N163</f>
        <v/>
      </c>
    </row>
    <row r="165" ht="15.75" customHeight="1" s="40">
      <c r="C165" s="36">
        <f>_xlfn.IFS(E165&lt;E$24,0,E165&lt;E$26,C$24,E165&lt;E$28,C$26,E165&lt;E$30,C$28,E165&lt;E$32,C$30,E165&lt;E$34,C$32,E165&gt;=E$34,C$34)</f>
        <v/>
      </c>
      <c r="D165" s="37">
        <f>_xlfn.IFS(E165&lt;E$24,0,E165&lt;E$25,D$24,E165&lt;E$26,D$25,E165&lt;E$27,D$26,E165&lt;E$28,D$27,E165&lt;E$29,D$28,E165&lt;E$30,D$29,E165&lt;E$31,D$30,E165&lt;E$32,D$31,E165&lt;E$33,D$32,E165&lt;E$34,D$33,E165&lt;E$35,D$34,E165&gt;=E$35,D$35)</f>
        <v/>
      </c>
      <c r="E165" s="38" t="n">
        <v>115</v>
      </c>
      <c r="F165" s="31">
        <f>E165/52</f>
        <v/>
      </c>
      <c r="G165" s="39">
        <f>D165/1000000*52</f>
        <v/>
      </c>
      <c r="H165" s="33">
        <f>G165/$P$4+($C$22/$P$4)</f>
        <v/>
      </c>
      <c r="I165" s="36">
        <f>_xlfn.IFS(K165&lt;K$24,0,K165&lt;K$26,I$24,K165&lt;K$28,I$26,K165&lt;K$30,I$28,K165&lt;K$32,I$30,K165&lt;K$34,I$32,K165&lt;K$36,I$34,K165&lt;K$38,I$36,K165&lt;K$40,I$38,K165&lt;K$42,I$40,K165&lt;K$44,I$42,K165&lt;K$46,I$44,K165&gt;=K$46,I$46)</f>
        <v/>
      </c>
      <c r="J165" s="37">
        <f>_xlfn.IFS(K165&lt;K$24,0,K165&lt;K$25,J$24,K165&lt;K$26,J$25,K165&lt;K$27,J$26,K165&lt;K$28,J$27,K165&lt;K$29,J$28,K165&lt;K$30,J$29,K165&lt;K$31,J$30,K165&lt;K$32,J$31,K165&lt;K$33,J$32,K165&lt;K$34,J$33,K165&lt;K$35,J$34,K165&lt;K$36,J$35,K165&lt;K$37,J$36,K165&lt;K$38,J$37,K165&lt;K$39,J$38,K165&lt;K$40,J$39,K165&lt;K$41,J$40,K165&lt;K$42,J$41,K165&lt;K$43,J$42,K165&lt;K$44,J$43,K165&lt;K$45,J$44,K165&lt;K$46,J$45,K165&lt;K$47,J$46,K165&gt;=K$47,J$47)</f>
        <v/>
      </c>
      <c r="K165" s="38" t="n">
        <v>115</v>
      </c>
      <c r="L165" s="31">
        <f>K165/52</f>
        <v/>
      </c>
      <c r="M165" s="39">
        <f>J165/1000000*52</f>
        <v/>
      </c>
      <c r="N165" s="33">
        <f>M165/$P$4+($I$22/$P$4)</f>
        <v/>
      </c>
      <c r="U165">
        <f>F164</f>
        <v/>
      </c>
      <c r="V165">
        <f>H164</f>
        <v/>
      </c>
      <c r="W165">
        <f>N164</f>
        <v/>
      </c>
    </row>
    <row r="166" ht="15.75" customHeight="1" s="40">
      <c r="C166" s="36">
        <f>_xlfn.IFS(E166&lt;E$24,0,E166&lt;E$26,C$24,E166&lt;E$28,C$26,E166&lt;E$30,C$28,E166&lt;E$32,C$30,E166&lt;E$34,C$32,E166&gt;=E$34,C$34)</f>
        <v/>
      </c>
      <c r="D166" s="37">
        <f>_xlfn.IFS(E166&lt;E$24,0,E166&lt;E$25,D$24,E166&lt;E$26,D$25,E166&lt;E$27,D$26,E166&lt;E$28,D$27,E166&lt;E$29,D$28,E166&lt;E$30,D$29,E166&lt;E$31,D$30,E166&lt;E$32,D$31,E166&lt;E$33,D$32,E166&lt;E$34,D$33,E166&lt;E$35,D$34,E166&gt;=E$35,D$35)</f>
        <v/>
      </c>
      <c r="E166" s="38" t="n">
        <v>116</v>
      </c>
      <c r="F166" s="31">
        <f>E166/52</f>
        <v/>
      </c>
      <c r="G166" s="39">
        <f>D166/1000000*52</f>
        <v/>
      </c>
      <c r="H166" s="33">
        <f>G166/$P$4+($C$22/$P$4)</f>
        <v/>
      </c>
      <c r="I166" s="36">
        <f>_xlfn.IFS(K166&lt;K$24,0,K166&lt;K$26,I$24,K166&lt;K$28,I$26,K166&lt;K$30,I$28,K166&lt;K$32,I$30,K166&lt;K$34,I$32,K166&lt;K$36,I$34,K166&lt;K$38,I$36,K166&lt;K$40,I$38,K166&lt;K$42,I$40,K166&lt;K$44,I$42,K166&lt;K$46,I$44,K166&gt;=K$46,I$46)</f>
        <v/>
      </c>
      <c r="J166" s="37">
        <f>_xlfn.IFS(K166&lt;K$24,0,K166&lt;K$25,J$24,K166&lt;K$26,J$25,K166&lt;K$27,J$26,K166&lt;K$28,J$27,K166&lt;K$29,J$28,K166&lt;K$30,J$29,K166&lt;K$31,J$30,K166&lt;K$32,J$31,K166&lt;K$33,J$32,K166&lt;K$34,J$33,K166&lt;K$35,J$34,K166&lt;K$36,J$35,K166&lt;K$37,J$36,K166&lt;K$38,J$37,K166&lt;K$39,J$38,K166&lt;K$40,J$39,K166&lt;K$41,J$40,K166&lt;K$42,J$41,K166&lt;K$43,J$42,K166&lt;K$44,J$43,K166&lt;K$45,J$44,K166&lt;K$46,J$45,K166&lt;K$47,J$46,K166&gt;=K$47,J$47)</f>
        <v/>
      </c>
      <c r="K166" s="38" t="n">
        <v>116</v>
      </c>
      <c r="L166" s="31">
        <f>K166/52</f>
        <v/>
      </c>
      <c r="M166" s="39">
        <f>J166/1000000*52</f>
        <v/>
      </c>
      <c r="N166" s="33">
        <f>M166/$P$4+($I$22/$P$4)</f>
        <v/>
      </c>
      <c r="U166">
        <f>F165</f>
        <v/>
      </c>
      <c r="V166">
        <f>H165</f>
        <v/>
      </c>
      <c r="W166">
        <f>N165</f>
        <v/>
      </c>
    </row>
    <row r="167" ht="15.75" customHeight="1" s="40">
      <c r="C167" s="36">
        <f>_xlfn.IFS(E167&lt;E$24,0,E167&lt;E$26,C$24,E167&lt;E$28,C$26,E167&lt;E$30,C$28,E167&lt;E$32,C$30,E167&lt;E$34,C$32,E167&gt;=E$34,C$34)</f>
        <v/>
      </c>
      <c r="D167" s="37">
        <f>_xlfn.IFS(E167&lt;E$24,0,E167&lt;E$25,D$24,E167&lt;E$26,D$25,E167&lt;E$27,D$26,E167&lt;E$28,D$27,E167&lt;E$29,D$28,E167&lt;E$30,D$29,E167&lt;E$31,D$30,E167&lt;E$32,D$31,E167&lt;E$33,D$32,E167&lt;E$34,D$33,E167&lt;E$35,D$34,E167&gt;=E$35,D$35)</f>
        <v/>
      </c>
      <c r="E167" s="38" t="n">
        <v>117</v>
      </c>
      <c r="F167" s="31">
        <f>E167/52</f>
        <v/>
      </c>
      <c r="G167" s="39">
        <f>D167/1000000*52</f>
        <v/>
      </c>
      <c r="H167" s="33">
        <f>G167/$P$4+($C$22/$P$4)</f>
        <v/>
      </c>
      <c r="I167" s="36">
        <f>_xlfn.IFS(K167&lt;K$24,0,K167&lt;K$26,I$24,K167&lt;K$28,I$26,K167&lt;K$30,I$28,K167&lt;K$32,I$30,K167&lt;K$34,I$32,K167&lt;K$36,I$34,K167&lt;K$38,I$36,K167&lt;K$40,I$38,K167&lt;K$42,I$40,K167&lt;K$44,I$42,K167&lt;K$46,I$44,K167&gt;=K$46,I$46)</f>
        <v/>
      </c>
      <c r="J167" s="37">
        <f>_xlfn.IFS(K167&lt;K$24,0,K167&lt;K$25,J$24,K167&lt;K$26,J$25,K167&lt;K$27,J$26,K167&lt;K$28,J$27,K167&lt;K$29,J$28,K167&lt;K$30,J$29,K167&lt;K$31,J$30,K167&lt;K$32,J$31,K167&lt;K$33,J$32,K167&lt;K$34,J$33,K167&lt;K$35,J$34,K167&lt;K$36,J$35,K167&lt;K$37,J$36,K167&lt;K$38,J$37,K167&lt;K$39,J$38,K167&lt;K$40,J$39,K167&lt;K$41,J$40,K167&lt;K$42,J$41,K167&lt;K$43,J$42,K167&lt;K$44,J$43,K167&lt;K$45,J$44,K167&lt;K$46,J$45,K167&lt;K$47,J$46,K167&gt;=K$47,J$47)</f>
        <v/>
      </c>
      <c r="K167" s="38" t="n">
        <v>117</v>
      </c>
      <c r="L167" s="31">
        <f>K167/52</f>
        <v/>
      </c>
      <c r="M167" s="39">
        <f>J167/1000000*52</f>
        <v/>
      </c>
      <c r="N167" s="33">
        <f>M167/$P$4+($I$22/$P$4)</f>
        <v/>
      </c>
      <c r="U167">
        <f>F166</f>
        <v/>
      </c>
      <c r="V167">
        <f>H166</f>
        <v/>
      </c>
      <c r="W167">
        <f>N166</f>
        <v/>
      </c>
    </row>
    <row r="168" ht="15.75" customHeight="1" s="40">
      <c r="C168" s="36">
        <f>_xlfn.IFS(E168&lt;E$24,0,E168&lt;E$26,C$24,E168&lt;E$28,C$26,E168&lt;E$30,C$28,E168&lt;E$32,C$30,E168&lt;E$34,C$32,E168&gt;=E$34,C$34)</f>
        <v/>
      </c>
      <c r="D168" s="37">
        <f>_xlfn.IFS(E168&lt;E$24,0,E168&lt;E$25,D$24,E168&lt;E$26,D$25,E168&lt;E$27,D$26,E168&lt;E$28,D$27,E168&lt;E$29,D$28,E168&lt;E$30,D$29,E168&lt;E$31,D$30,E168&lt;E$32,D$31,E168&lt;E$33,D$32,E168&lt;E$34,D$33,E168&lt;E$35,D$34,E168&gt;=E$35,D$35)</f>
        <v/>
      </c>
      <c r="E168" s="38" t="n">
        <v>118</v>
      </c>
      <c r="F168" s="31">
        <f>E168/52</f>
        <v/>
      </c>
      <c r="G168" s="39">
        <f>D168/1000000*52</f>
        <v/>
      </c>
      <c r="H168" s="33">
        <f>G168/$P$4+($C$22/$P$4)</f>
        <v/>
      </c>
      <c r="I168" s="36">
        <f>_xlfn.IFS(K168&lt;K$24,0,K168&lt;K$26,I$24,K168&lt;K$28,I$26,K168&lt;K$30,I$28,K168&lt;K$32,I$30,K168&lt;K$34,I$32,K168&lt;K$36,I$34,K168&lt;K$38,I$36,K168&lt;K$40,I$38,K168&lt;K$42,I$40,K168&lt;K$44,I$42,K168&lt;K$46,I$44,K168&gt;=K$46,I$46)</f>
        <v/>
      </c>
      <c r="J168" s="37">
        <f>_xlfn.IFS(K168&lt;K$24,0,K168&lt;K$25,J$24,K168&lt;K$26,J$25,K168&lt;K$27,J$26,K168&lt;K$28,J$27,K168&lt;K$29,J$28,K168&lt;K$30,J$29,K168&lt;K$31,J$30,K168&lt;K$32,J$31,K168&lt;K$33,J$32,K168&lt;K$34,J$33,K168&lt;K$35,J$34,K168&lt;K$36,J$35,K168&lt;K$37,J$36,K168&lt;K$38,J$37,K168&lt;K$39,J$38,K168&lt;K$40,J$39,K168&lt;K$41,J$40,K168&lt;K$42,J$41,K168&lt;K$43,J$42,K168&lt;K$44,J$43,K168&lt;K$45,J$44,K168&lt;K$46,J$45,K168&lt;K$47,J$46,K168&gt;=K$47,J$47)</f>
        <v/>
      </c>
      <c r="K168" s="38" t="n">
        <v>118</v>
      </c>
      <c r="L168" s="31">
        <f>K168/52</f>
        <v/>
      </c>
      <c r="M168" s="39">
        <f>J168/1000000*52</f>
        <v/>
      </c>
      <c r="N168" s="33">
        <f>M168/$P$4+($I$22/$P$4)</f>
        <v/>
      </c>
      <c r="U168">
        <f>F167</f>
        <v/>
      </c>
      <c r="V168">
        <f>H167</f>
        <v/>
      </c>
      <c r="W168">
        <f>N167</f>
        <v/>
      </c>
    </row>
    <row r="169" ht="15.75" customHeight="1" s="40">
      <c r="C169" s="36">
        <f>_xlfn.IFS(E169&lt;E$24,0,E169&lt;E$26,C$24,E169&lt;E$28,C$26,E169&lt;E$30,C$28,E169&lt;E$32,C$30,E169&lt;E$34,C$32,E169&gt;=E$34,C$34)</f>
        <v/>
      </c>
      <c r="D169" s="37">
        <f>_xlfn.IFS(E169&lt;E$24,0,E169&lt;E$25,D$24,E169&lt;E$26,D$25,E169&lt;E$27,D$26,E169&lt;E$28,D$27,E169&lt;E$29,D$28,E169&lt;E$30,D$29,E169&lt;E$31,D$30,E169&lt;E$32,D$31,E169&lt;E$33,D$32,E169&lt;E$34,D$33,E169&lt;E$35,D$34,E169&gt;=E$35,D$35)</f>
        <v/>
      </c>
      <c r="E169" s="38" t="n">
        <v>119</v>
      </c>
      <c r="F169" s="31">
        <f>E169/52</f>
        <v/>
      </c>
      <c r="G169" s="39">
        <f>D169/1000000*52</f>
        <v/>
      </c>
      <c r="H169" s="33">
        <f>G169/$P$4+($C$22/$P$4)</f>
        <v/>
      </c>
      <c r="I169" s="36">
        <f>_xlfn.IFS(K169&lt;K$24,0,K169&lt;K$26,I$24,K169&lt;K$28,I$26,K169&lt;K$30,I$28,K169&lt;K$32,I$30,K169&lt;K$34,I$32,K169&lt;K$36,I$34,K169&lt;K$38,I$36,K169&lt;K$40,I$38,K169&lt;K$42,I$40,K169&lt;K$44,I$42,K169&lt;K$46,I$44,K169&gt;=K$46,I$46)</f>
        <v/>
      </c>
      <c r="J169" s="37">
        <f>_xlfn.IFS(K169&lt;K$24,0,K169&lt;K$25,J$24,K169&lt;K$26,J$25,K169&lt;K$27,J$26,K169&lt;K$28,J$27,K169&lt;K$29,J$28,K169&lt;K$30,J$29,K169&lt;K$31,J$30,K169&lt;K$32,J$31,K169&lt;K$33,J$32,K169&lt;K$34,J$33,K169&lt;K$35,J$34,K169&lt;K$36,J$35,K169&lt;K$37,J$36,K169&lt;K$38,J$37,K169&lt;K$39,J$38,K169&lt;K$40,J$39,K169&lt;K$41,J$40,K169&lt;K$42,J$41,K169&lt;K$43,J$42,K169&lt;K$44,J$43,K169&lt;K$45,J$44,K169&lt;K$46,J$45,K169&lt;K$47,J$46,K169&gt;=K$47,J$47)</f>
        <v/>
      </c>
      <c r="K169" s="38" t="n">
        <v>119</v>
      </c>
      <c r="L169" s="31">
        <f>K169/52</f>
        <v/>
      </c>
      <c r="M169" s="39">
        <f>J169/1000000*52</f>
        <v/>
      </c>
      <c r="N169" s="33">
        <f>M169/$P$4+($I$22/$P$4)</f>
        <v/>
      </c>
      <c r="U169">
        <f>F168</f>
        <v/>
      </c>
      <c r="V169">
        <f>H168</f>
        <v/>
      </c>
      <c r="W169">
        <f>N168</f>
        <v/>
      </c>
    </row>
    <row r="170" ht="15.75" customHeight="1" s="40">
      <c r="C170" s="36">
        <f>_xlfn.IFS(E170&lt;E$24,0,E170&lt;E$26,C$24,E170&lt;E$28,C$26,E170&lt;E$30,C$28,E170&lt;E$32,C$30,E170&lt;E$34,C$32,E170&gt;=E$34,C$34)</f>
        <v/>
      </c>
      <c r="D170" s="37">
        <f>_xlfn.IFS(E170&lt;E$24,0,E170&lt;E$25,D$24,E170&lt;E$26,D$25,E170&lt;E$27,D$26,E170&lt;E$28,D$27,E170&lt;E$29,D$28,E170&lt;E$30,D$29,E170&lt;E$31,D$30,E170&lt;E$32,D$31,E170&lt;E$33,D$32,E170&lt;E$34,D$33,E170&lt;E$35,D$34,E170&gt;=E$35,D$35)</f>
        <v/>
      </c>
      <c r="E170" s="38" t="n">
        <v>120</v>
      </c>
      <c r="F170" s="31">
        <f>E170/52</f>
        <v/>
      </c>
      <c r="G170" s="39">
        <f>D170/1000000*52</f>
        <v/>
      </c>
      <c r="H170" s="33">
        <f>G170/$P$4+($C$22/$P$4)</f>
        <v/>
      </c>
      <c r="I170" s="36">
        <f>_xlfn.IFS(K170&lt;K$24,0,K170&lt;K$26,I$24,K170&lt;K$28,I$26,K170&lt;K$30,I$28,K170&lt;K$32,I$30,K170&lt;K$34,I$32,K170&lt;K$36,I$34,K170&lt;K$38,I$36,K170&lt;K$40,I$38,K170&lt;K$42,I$40,K170&lt;K$44,I$42,K170&lt;K$46,I$44,K170&gt;=K$46,I$46)</f>
        <v/>
      </c>
      <c r="J170" s="37">
        <f>_xlfn.IFS(K170&lt;K$24,0,K170&lt;K$25,J$24,K170&lt;K$26,J$25,K170&lt;K$27,J$26,K170&lt;K$28,J$27,K170&lt;K$29,J$28,K170&lt;K$30,J$29,K170&lt;K$31,J$30,K170&lt;K$32,J$31,K170&lt;K$33,J$32,K170&lt;K$34,J$33,K170&lt;K$35,J$34,K170&lt;K$36,J$35,K170&lt;K$37,J$36,K170&lt;K$38,J$37,K170&lt;K$39,J$38,K170&lt;K$40,J$39,K170&lt;K$41,J$40,K170&lt;K$42,J$41,K170&lt;K$43,J$42,K170&lt;K$44,J$43,K170&lt;K$45,J$44,K170&lt;K$46,J$45,K170&lt;K$47,J$46,K170&gt;=K$47,J$47)</f>
        <v/>
      </c>
      <c r="K170" s="38" t="n">
        <v>120</v>
      </c>
      <c r="L170" s="31">
        <f>K170/52</f>
        <v/>
      </c>
      <c r="M170" s="39">
        <f>J170/1000000*52</f>
        <v/>
      </c>
      <c r="N170" s="33">
        <f>M170/$P$4+($I$22/$P$4)</f>
        <v/>
      </c>
      <c r="U170">
        <f>F169</f>
        <v/>
      </c>
      <c r="V170">
        <f>H169</f>
        <v/>
      </c>
      <c r="W170">
        <f>N169</f>
        <v/>
      </c>
    </row>
    <row r="171" ht="15.75" customHeight="1" s="40">
      <c r="C171" s="36">
        <f>_xlfn.IFS(E171&lt;E$24,0,E171&lt;E$26,C$24,E171&lt;E$28,C$26,E171&lt;E$30,C$28,E171&lt;E$32,C$30,E171&lt;E$34,C$32,E171&gt;=E$34,C$34)</f>
        <v/>
      </c>
      <c r="D171" s="37">
        <f>_xlfn.IFS(E171&lt;E$24,0,E171&lt;E$25,D$24,E171&lt;E$26,D$25,E171&lt;E$27,D$26,E171&lt;E$28,D$27,E171&lt;E$29,D$28,E171&lt;E$30,D$29,E171&lt;E$31,D$30,E171&lt;E$32,D$31,E171&lt;E$33,D$32,E171&lt;E$34,D$33,E171&lt;E$35,D$34,E171&gt;=E$35,D$35)</f>
        <v/>
      </c>
      <c r="E171" s="38" t="n">
        <v>121</v>
      </c>
      <c r="F171" s="31">
        <f>E171/52</f>
        <v/>
      </c>
      <c r="G171" s="39">
        <f>D171/1000000*52</f>
        <v/>
      </c>
      <c r="H171" s="33">
        <f>G171/$P$4+($C$22/$P$4)</f>
        <v/>
      </c>
      <c r="I171" s="36">
        <f>_xlfn.IFS(K171&lt;K$24,0,K171&lt;K$26,I$24,K171&lt;K$28,I$26,K171&lt;K$30,I$28,K171&lt;K$32,I$30,K171&lt;K$34,I$32,K171&lt;K$36,I$34,K171&lt;K$38,I$36,K171&lt;K$40,I$38,K171&lt;K$42,I$40,K171&lt;K$44,I$42,K171&lt;K$46,I$44,K171&gt;=K$46,I$46)</f>
        <v/>
      </c>
      <c r="J171" s="37">
        <f>_xlfn.IFS(K171&lt;K$24,0,K171&lt;K$25,J$24,K171&lt;K$26,J$25,K171&lt;K$27,J$26,K171&lt;K$28,J$27,K171&lt;K$29,J$28,K171&lt;K$30,J$29,K171&lt;K$31,J$30,K171&lt;K$32,J$31,K171&lt;K$33,J$32,K171&lt;K$34,J$33,K171&lt;K$35,J$34,K171&lt;K$36,J$35,K171&lt;K$37,J$36,K171&lt;K$38,J$37,K171&lt;K$39,J$38,K171&lt;K$40,J$39,K171&lt;K$41,J$40,K171&lt;K$42,J$41,K171&lt;K$43,J$42,K171&lt;K$44,J$43,K171&lt;K$45,J$44,K171&lt;K$46,J$45,K171&lt;K$47,J$46,K171&gt;=K$47,J$47)</f>
        <v/>
      </c>
      <c r="K171" s="38" t="n">
        <v>121</v>
      </c>
      <c r="L171" s="31">
        <f>K171/52</f>
        <v/>
      </c>
      <c r="M171" s="39">
        <f>J171/1000000*52</f>
        <v/>
      </c>
      <c r="N171" s="33">
        <f>M171/$P$4+($I$22/$P$4)</f>
        <v/>
      </c>
      <c r="U171">
        <f>F170</f>
        <v/>
      </c>
      <c r="V171">
        <f>H170</f>
        <v/>
      </c>
      <c r="W171">
        <f>N170</f>
        <v/>
      </c>
    </row>
    <row r="172" ht="15.75" customHeight="1" s="40">
      <c r="C172" s="36">
        <f>_xlfn.IFS(E172&lt;E$24,0,E172&lt;E$26,C$24,E172&lt;E$28,C$26,E172&lt;E$30,C$28,E172&lt;E$32,C$30,E172&lt;E$34,C$32,E172&gt;=E$34,C$34)</f>
        <v/>
      </c>
      <c r="D172" s="37">
        <f>_xlfn.IFS(E172&lt;E$24,0,E172&lt;E$25,D$24,E172&lt;E$26,D$25,E172&lt;E$27,D$26,E172&lt;E$28,D$27,E172&lt;E$29,D$28,E172&lt;E$30,D$29,E172&lt;E$31,D$30,E172&lt;E$32,D$31,E172&lt;E$33,D$32,E172&lt;E$34,D$33,E172&lt;E$35,D$34,E172&gt;=E$35,D$35)</f>
        <v/>
      </c>
      <c r="E172" s="38" t="n">
        <v>122</v>
      </c>
      <c r="F172" s="31">
        <f>E172/52</f>
        <v/>
      </c>
      <c r="G172" s="39">
        <f>D172/1000000*52</f>
        <v/>
      </c>
      <c r="H172" s="33">
        <f>G172/$P$4+($C$22/$P$4)</f>
        <v/>
      </c>
      <c r="I172" s="36">
        <f>_xlfn.IFS(K172&lt;K$24,0,K172&lt;K$26,I$24,K172&lt;K$28,I$26,K172&lt;K$30,I$28,K172&lt;K$32,I$30,K172&lt;K$34,I$32,K172&lt;K$36,I$34,K172&lt;K$38,I$36,K172&lt;K$40,I$38,K172&lt;K$42,I$40,K172&lt;K$44,I$42,K172&lt;K$46,I$44,K172&gt;=K$46,I$46)</f>
        <v/>
      </c>
      <c r="J172" s="37">
        <f>_xlfn.IFS(K172&lt;K$24,0,K172&lt;K$25,J$24,K172&lt;K$26,J$25,K172&lt;K$27,J$26,K172&lt;K$28,J$27,K172&lt;K$29,J$28,K172&lt;K$30,J$29,K172&lt;K$31,J$30,K172&lt;K$32,J$31,K172&lt;K$33,J$32,K172&lt;K$34,J$33,K172&lt;K$35,J$34,K172&lt;K$36,J$35,K172&lt;K$37,J$36,K172&lt;K$38,J$37,K172&lt;K$39,J$38,K172&lt;K$40,J$39,K172&lt;K$41,J$40,K172&lt;K$42,J$41,K172&lt;K$43,J$42,K172&lt;K$44,J$43,K172&lt;K$45,J$44,K172&lt;K$46,J$45,K172&lt;K$47,J$46,K172&gt;=K$47,J$47)</f>
        <v/>
      </c>
      <c r="K172" s="38" t="n">
        <v>122</v>
      </c>
      <c r="L172" s="31">
        <f>K172/52</f>
        <v/>
      </c>
      <c r="M172" s="39">
        <f>J172/1000000*52</f>
        <v/>
      </c>
      <c r="N172" s="33">
        <f>M172/$P$4+($I$22/$P$4)</f>
        <v/>
      </c>
      <c r="U172">
        <f>F171</f>
        <v/>
      </c>
      <c r="V172">
        <f>H171</f>
        <v/>
      </c>
      <c r="W172">
        <f>N171</f>
        <v/>
      </c>
    </row>
    <row r="173" ht="15.75" customHeight="1" s="40">
      <c r="C173" s="36">
        <f>_xlfn.IFS(E173&lt;E$24,0,E173&lt;E$26,C$24,E173&lt;E$28,C$26,E173&lt;E$30,C$28,E173&lt;E$32,C$30,E173&lt;E$34,C$32,E173&gt;=E$34,C$34)</f>
        <v/>
      </c>
      <c r="D173" s="37">
        <f>_xlfn.IFS(E173&lt;E$24,0,E173&lt;E$25,D$24,E173&lt;E$26,D$25,E173&lt;E$27,D$26,E173&lt;E$28,D$27,E173&lt;E$29,D$28,E173&lt;E$30,D$29,E173&lt;E$31,D$30,E173&lt;E$32,D$31,E173&lt;E$33,D$32,E173&lt;E$34,D$33,E173&lt;E$35,D$34,E173&gt;=E$35,D$35)</f>
        <v/>
      </c>
      <c r="E173" s="38" t="n">
        <v>123</v>
      </c>
      <c r="F173" s="31">
        <f>E173/52</f>
        <v/>
      </c>
      <c r="G173" s="39">
        <f>D173/1000000*52</f>
        <v/>
      </c>
      <c r="H173" s="33">
        <f>G173/$P$4+($C$22/$P$4)</f>
        <v/>
      </c>
      <c r="I173" s="36">
        <f>_xlfn.IFS(K173&lt;K$24,0,K173&lt;K$26,I$24,K173&lt;K$28,I$26,K173&lt;K$30,I$28,K173&lt;K$32,I$30,K173&lt;K$34,I$32,K173&lt;K$36,I$34,K173&lt;K$38,I$36,K173&lt;K$40,I$38,K173&lt;K$42,I$40,K173&lt;K$44,I$42,K173&lt;K$46,I$44,K173&gt;=K$46,I$46)</f>
        <v/>
      </c>
      <c r="J173" s="37">
        <f>_xlfn.IFS(K173&lt;K$24,0,K173&lt;K$25,J$24,K173&lt;K$26,J$25,K173&lt;K$27,J$26,K173&lt;K$28,J$27,K173&lt;K$29,J$28,K173&lt;K$30,J$29,K173&lt;K$31,J$30,K173&lt;K$32,J$31,K173&lt;K$33,J$32,K173&lt;K$34,J$33,K173&lt;K$35,J$34,K173&lt;K$36,J$35,K173&lt;K$37,J$36,K173&lt;K$38,J$37,K173&lt;K$39,J$38,K173&lt;K$40,J$39,K173&lt;K$41,J$40,K173&lt;K$42,J$41,K173&lt;K$43,J$42,K173&lt;K$44,J$43,K173&lt;K$45,J$44,K173&lt;K$46,J$45,K173&lt;K$47,J$46,K173&gt;=K$47,J$47)</f>
        <v/>
      </c>
      <c r="K173" s="38" t="n">
        <v>123</v>
      </c>
      <c r="L173" s="31">
        <f>K173/52</f>
        <v/>
      </c>
      <c r="M173" s="39">
        <f>J173/1000000*52</f>
        <v/>
      </c>
      <c r="N173" s="33">
        <f>M173/$P$4+($I$22/$P$4)</f>
        <v/>
      </c>
      <c r="U173">
        <f>F172</f>
        <v/>
      </c>
      <c r="V173">
        <f>H172</f>
        <v/>
      </c>
      <c r="W173">
        <f>N172</f>
        <v/>
      </c>
    </row>
    <row r="174" ht="15.75" customHeight="1" s="40">
      <c r="C174" s="36">
        <f>_xlfn.IFS(E174&lt;E$24,0,E174&lt;E$26,C$24,E174&lt;E$28,C$26,E174&lt;E$30,C$28,E174&lt;E$32,C$30,E174&lt;E$34,C$32,E174&gt;=E$34,C$34)</f>
        <v/>
      </c>
      <c r="D174" s="37">
        <f>_xlfn.IFS(E174&lt;E$24,0,E174&lt;E$25,D$24,E174&lt;E$26,D$25,E174&lt;E$27,D$26,E174&lt;E$28,D$27,E174&lt;E$29,D$28,E174&lt;E$30,D$29,E174&lt;E$31,D$30,E174&lt;E$32,D$31,E174&lt;E$33,D$32,E174&lt;E$34,D$33,E174&lt;E$35,D$34,E174&gt;=E$35,D$35)</f>
        <v/>
      </c>
      <c r="E174" s="38" t="n">
        <v>124</v>
      </c>
      <c r="F174" s="31">
        <f>E174/52</f>
        <v/>
      </c>
      <c r="G174" s="39">
        <f>D174/1000000*52</f>
        <v/>
      </c>
      <c r="H174" s="33">
        <f>G174/$P$4+($C$22/$P$4)</f>
        <v/>
      </c>
      <c r="I174" s="36">
        <f>_xlfn.IFS(K174&lt;K$24,0,K174&lt;K$26,I$24,K174&lt;K$28,I$26,K174&lt;K$30,I$28,K174&lt;K$32,I$30,K174&lt;K$34,I$32,K174&lt;K$36,I$34,K174&lt;K$38,I$36,K174&lt;K$40,I$38,K174&lt;K$42,I$40,K174&lt;K$44,I$42,K174&lt;K$46,I$44,K174&gt;=K$46,I$46)</f>
        <v/>
      </c>
      <c r="J174" s="37">
        <f>_xlfn.IFS(K174&lt;K$24,0,K174&lt;K$25,J$24,K174&lt;K$26,J$25,K174&lt;K$27,J$26,K174&lt;K$28,J$27,K174&lt;K$29,J$28,K174&lt;K$30,J$29,K174&lt;K$31,J$30,K174&lt;K$32,J$31,K174&lt;K$33,J$32,K174&lt;K$34,J$33,K174&lt;K$35,J$34,K174&lt;K$36,J$35,K174&lt;K$37,J$36,K174&lt;K$38,J$37,K174&lt;K$39,J$38,K174&lt;K$40,J$39,K174&lt;K$41,J$40,K174&lt;K$42,J$41,K174&lt;K$43,J$42,K174&lt;K$44,J$43,K174&lt;K$45,J$44,K174&lt;K$46,J$45,K174&lt;K$47,J$46,K174&gt;=K$47,J$47)</f>
        <v/>
      </c>
      <c r="K174" s="38" t="n">
        <v>124</v>
      </c>
      <c r="L174" s="31">
        <f>K174/52</f>
        <v/>
      </c>
      <c r="M174" s="39">
        <f>J174/1000000*52</f>
        <v/>
      </c>
      <c r="N174" s="33">
        <f>M174/$P$4+($I$22/$P$4)</f>
        <v/>
      </c>
      <c r="U174">
        <f>F173</f>
        <v/>
      </c>
      <c r="V174">
        <f>H173</f>
        <v/>
      </c>
      <c r="W174">
        <f>N173</f>
        <v/>
      </c>
    </row>
    <row r="175" ht="15.75" customHeight="1" s="40">
      <c r="C175" s="36">
        <f>_xlfn.IFS(E175&lt;E$24,0,E175&lt;E$26,C$24,E175&lt;E$28,C$26,E175&lt;E$30,C$28,E175&lt;E$32,C$30,E175&lt;E$34,C$32,E175&gt;=E$34,C$34)</f>
        <v/>
      </c>
      <c r="D175" s="37">
        <f>_xlfn.IFS(E175&lt;E$24,0,E175&lt;E$25,D$24,E175&lt;E$26,D$25,E175&lt;E$27,D$26,E175&lt;E$28,D$27,E175&lt;E$29,D$28,E175&lt;E$30,D$29,E175&lt;E$31,D$30,E175&lt;E$32,D$31,E175&lt;E$33,D$32,E175&lt;E$34,D$33,E175&lt;E$35,D$34,E175&gt;=E$35,D$35)</f>
        <v/>
      </c>
      <c r="E175" s="38" t="n">
        <v>125</v>
      </c>
      <c r="F175" s="31">
        <f>E175/52</f>
        <v/>
      </c>
      <c r="G175" s="39">
        <f>D175/1000000*52</f>
        <v/>
      </c>
      <c r="H175" s="33">
        <f>G175/$P$4+($C$22/$P$4)</f>
        <v/>
      </c>
      <c r="I175" s="36">
        <f>_xlfn.IFS(K175&lt;K$24,0,K175&lt;K$26,I$24,K175&lt;K$28,I$26,K175&lt;K$30,I$28,K175&lt;K$32,I$30,K175&lt;K$34,I$32,K175&lt;K$36,I$34,K175&lt;K$38,I$36,K175&lt;K$40,I$38,K175&lt;K$42,I$40,K175&lt;K$44,I$42,K175&lt;K$46,I$44,K175&gt;=K$46,I$46)</f>
        <v/>
      </c>
      <c r="J175" s="37">
        <f>_xlfn.IFS(K175&lt;K$24,0,K175&lt;K$25,J$24,K175&lt;K$26,J$25,K175&lt;K$27,J$26,K175&lt;K$28,J$27,K175&lt;K$29,J$28,K175&lt;K$30,J$29,K175&lt;K$31,J$30,K175&lt;K$32,J$31,K175&lt;K$33,J$32,K175&lt;K$34,J$33,K175&lt;K$35,J$34,K175&lt;K$36,J$35,K175&lt;K$37,J$36,K175&lt;K$38,J$37,K175&lt;K$39,J$38,K175&lt;K$40,J$39,K175&lt;K$41,J$40,K175&lt;K$42,J$41,K175&lt;K$43,J$42,K175&lt;K$44,J$43,K175&lt;K$45,J$44,K175&lt;K$46,J$45,K175&lt;K$47,J$46,K175&gt;=K$47,J$47)</f>
        <v/>
      </c>
      <c r="K175" s="38" t="n">
        <v>125</v>
      </c>
      <c r="L175" s="31">
        <f>K175/52</f>
        <v/>
      </c>
      <c r="M175" s="39">
        <f>J175/1000000*52</f>
        <v/>
      </c>
      <c r="N175" s="33">
        <f>M175/$P$4+($I$22/$P$4)</f>
        <v/>
      </c>
      <c r="U175">
        <f>F174</f>
        <v/>
      </c>
      <c r="V175">
        <f>H174</f>
        <v/>
      </c>
      <c r="W175">
        <f>N174</f>
        <v/>
      </c>
    </row>
    <row r="176" ht="15.75" customHeight="1" s="40">
      <c r="C176" s="36">
        <f>_xlfn.IFS(E176&lt;E$24,0,E176&lt;E$26,C$24,E176&lt;E$28,C$26,E176&lt;E$30,C$28,E176&lt;E$32,C$30,E176&lt;E$34,C$32,E176&gt;=E$34,C$34)</f>
        <v/>
      </c>
      <c r="D176" s="37">
        <f>_xlfn.IFS(E176&lt;E$24,0,E176&lt;E$25,D$24,E176&lt;E$26,D$25,E176&lt;E$27,D$26,E176&lt;E$28,D$27,E176&lt;E$29,D$28,E176&lt;E$30,D$29,E176&lt;E$31,D$30,E176&lt;E$32,D$31,E176&lt;E$33,D$32,E176&lt;E$34,D$33,E176&lt;E$35,D$34,E176&gt;=E$35,D$35)</f>
        <v/>
      </c>
      <c r="E176" s="38" t="n">
        <v>126</v>
      </c>
      <c r="F176" s="31">
        <f>E176/52</f>
        <v/>
      </c>
      <c r="G176" s="39">
        <f>D176/1000000*52</f>
        <v/>
      </c>
      <c r="H176" s="33">
        <f>G176/$P$4+($C$22/$P$4)</f>
        <v/>
      </c>
      <c r="I176" s="36">
        <f>_xlfn.IFS(K176&lt;K$24,0,K176&lt;K$26,I$24,K176&lt;K$28,I$26,K176&lt;K$30,I$28,K176&lt;K$32,I$30,K176&lt;K$34,I$32,K176&lt;K$36,I$34,K176&lt;K$38,I$36,K176&lt;K$40,I$38,K176&lt;K$42,I$40,K176&lt;K$44,I$42,K176&lt;K$46,I$44,K176&gt;=K$46,I$46)</f>
        <v/>
      </c>
      <c r="J176" s="37">
        <f>_xlfn.IFS(K176&lt;K$24,0,K176&lt;K$25,J$24,K176&lt;K$26,J$25,K176&lt;K$27,J$26,K176&lt;K$28,J$27,K176&lt;K$29,J$28,K176&lt;K$30,J$29,K176&lt;K$31,J$30,K176&lt;K$32,J$31,K176&lt;K$33,J$32,K176&lt;K$34,J$33,K176&lt;K$35,J$34,K176&lt;K$36,J$35,K176&lt;K$37,J$36,K176&lt;K$38,J$37,K176&lt;K$39,J$38,K176&lt;K$40,J$39,K176&lt;K$41,J$40,K176&lt;K$42,J$41,K176&lt;K$43,J$42,K176&lt;K$44,J$43,K176&lt;K$45,J$44,K176&lt;K$46,J$45,K176&lt;K$47,J$46,K176&gt;=K$47,J$47)</f>
        <v/>
      </c>
      <c r="K176" s="38" t="n">
        <v>126</v>
      </c>
      <c r="L176" s="31">
        <f>K176/52</f>
        <v/>
      </c>
      <c r="M176" s="39">
        <f>J176/1000000*52</f>
        <v/>
      </c>
      <c r="N176" s="33">
        <f>M176/$P$4+($I$22/$P$4)</f>
        <v/>
      </c>
      <c r="U176">
        <f>F175</f>
        <v/>
      </c>
      <c r="V176">
        <f>H175</f>
        <v/>
      </c>
      <c r="W176">
        <f>N175</f>
        <v/>
      </c>
    </row>
    <row r="177" ht="15.75" customHeight="1" s="40">
      <c r="C177" s="36">
        <f>_xlfn.IFS(E177&lt;E$24,0,E177&lt;E$26,C$24,E177&lt;E$28,C$26,E177&lt;E$30,C$28,E177&lt;E$32,C$30,E177&lt;E$34,C$32,E177&gt;=E$34,C$34)</f>
        <v/>
      </c>
      <c r="D177" s="37">
        <f>_xlfn.IFS(E177&lt;E$24,0,E177&lt;E$25,D$24,E177&lt;E$26,D$25,E177&lt;E$27,D$26,E177&lt;E$28,D$27,E177&lt;E$29,D$28,E177&lt;E$30,D$29,E177&lt;E$31,D$30,E177&lt;E$32,D$31,E177&lt;E$33,D$32,E177&lt;E$34,D$33,E177&lt;E$35,D$34,E177&gt;=E$35,D$35)</f>
        <v/>
      </c>
      <c r="E177" s="38" t="n">
        <v>127</v>
      </c>
      <c r="F177" s="31">
        <f>E177/52</f>
        <v/>
      </c>
      <c r="G177" s="39">
        <f>D177/1000000*52</f>
        <v/>
      </c>
      <c r="H177" s="33">
        <f>G177/$P$4+($C$22/$P$4)</f>
        <v/>
      </c>
      <c r="I177" s="36">
        <f>_xlfn.IFS(K177&lt;K$24,0,K177&lt;K$26,I$24,K177&lt;K$28,I$26,K177&lt;K$30,I$28,K177&lt;K$32,I$30,K177&lt;K$34,I$32,K177&lt;K$36,I$34,K177&lt;K$38,I$36,K177&lt;K$40,I$38,K177&lt;K$42,I$40,K177&lt;K$44,I$42,K177&lt;K$46,I$44,K177&gt;=K$46,I$46)</f>
        <v/>
      </c>
      <c r="J177" s="37">
        <f>_xlfn.IFS(K177&lt;K$24,0,K177&lt;K$25,J$24,K177&lt;K$26,J$25,K177&lt;K$27,J$26,K177&lt;K$28,J$27,K177&lt;K$29,J$28,K177&lt;K$30,J$29,K177&lt;K$31,J$30,K177&lt;K$32,J$31,K177&lt;K$33,J$32,K177&lt;K$34,J$33,K177&lt;K$35,J$34,K177&lt;K$36,J$35,K177&lt;K$37,J$36,K177&lt;K$38,J$37,K177&lt;K$39,J$38,K177&lt;K$40,J$39,K177&lt;K$41,J$40,K177&lt;K$42,J$41,K177&lt;K$43,J$42,K177&lt;K$44,J$43,K177&lt;K$45,J$44,K177&lt;K$46,J$45,K177&lt;K$47,J$46,K177&gt;=K$47,J$47)</f>
        <v/>
      </c>
      <c r="K177" s="38" t="n">
        <v>127</v>
      </c>
      <c r="L177" s="31">
        <f>K177/52</f>
        <v/>
      </c>
      <c r="M177" s="39">
        <f>J177/1000000*52</f>
        <v/>
      </c>
      <c r="N177" s="33">
        <f>M177/$P$4+($I$22/$P$4)</f>
        <v/>
      </c>
      <c r="U177">
        <f>F176</f>
        <v/>
      </c>
      <c r="V177">
        <f>H176</f>
        <v/>
      </c>
      <c r="W177">
        <f>N176</f>
        <v/>
      </c>
    </row>
    <row r="178" ht="15.75" customHeight="1" s="40">
      <c r="C178" s="36">
        <f>_xlfn.IFS(E178&lt;E$24,0,E178&lt;E$26,C$24,E178&lt;E$28,C$26,E178&lt;E$30,C$28,E178&lt;E$32,C$30,E178&lt;E$34,C$32,E178&gt;=E$34,C$34)</f>
        <v/>
      </c>
      <c r="D178" s="37">
        <f>_xlfn.IFS(E178&lt;E$24,0,E178&lt;E$25,D$24,E178&lt;E$26,D$25,E178&lt;E$27,D$26,E178&lt;E$28,D$27,E178&lt;E$29,D$28,E178&lt;E$30,D$29,E178&lt;E$31,D$30,E178&lt;E$32,D$31,E178&lt;E$33,D$32,E178&lt;E$34,D$33,E178&lt;E$35,D$34,E178&gt;=E$35,D$35)</f>
        <v/>
      </c>
      <c r="E178" s="38" t="n">
        <v>128</v>
      </c>
      <c r="F178" s="31">
        <f>E178/52</f>
        <v/>
      </c>
      <c r="G178" s="39">
        <f>D178/1000000*52</f>
        <v/>
      </c>
      <c r="H178" s="33">
        <f>G178/$P$4+($C$22/$P$4)</f>
        <v/>
      </c>
      <c r="I178" s="36">
        <f>_xlfn.IFS(K178&lt;K$24,0,K178&lt;K$26,I$24,K178&lt;K$28,I$26,K178&lt;K$30,I$28,K178&lt;K$32,I$30,K178&lt;K$34,I$32,K178&lt;K$36,I$34,K178&lt;K$38,I$36,K178&lt;K$40,I$38,K178&lt;K$42,I$40,K178&lt;K$44,I$42,K178&lt;K$46,I$44,K178&gt;=K$46,I$46)</f>
        <v/>
      </c>
      <c r="J178" s="37">
        <f>_xlfn.IFS(K178&lt;K$24,0,K178&lt;K$25,J$24,K178&lt;K$26,J$25,K178&lt;K$27,J$26,K178&lt;K$28,J$27,K178&lt;K$29,J$28,K178&lt;K$30,J$29,K178&lt;K$31,J$30,K178&lt;K$32,J$31,K178&lt;K$33,J$32,K178&lt;K$34,J$33,K178&lt;K$35,J$34,K178&lt;K$36,J$35,K178&lt;K$37,J$36,K178&lt;K$38,J$37,K178&lt;K$39,J$38,K178&lt;K$40,J$39,K178&lt;K$41,J$40,K178&lt;K$42,J$41,K178&lt;K$43,J$42,K178&lt;K$44,J$43,K178&lt;K$45,J$44,K178&lt;K$46,J$45,K178&lt;K$47,J$46,K178&gt;=K$47,J$47)</f>
        <v/>
      </c>
      <c r="K178" s="38" t="n">
        <v>128</v>
      </c>
      <c r="L178" s="31">
        <f>K178/52</f>
        <v/>
      </c>
      <c r="M178" s="39">
        <f>J178/1000000*52</f>
        <v/>
      </c>
      <c r="N178" s="33">
        <f>M178/$P$4+($I$22/$P$4)</f>
        <v/>
      </c>
      <c r="U178">
        <f>F177</f>
        <v/>
      </c>
      <c r="V178">
        <f>H177</f>
        <v/>
      </c>
      <c r="W178">
        <f>N177</f>
        <v/>
      </c>
    </row>
    <row r="179" ht="15.75" customHeight="1" s="40">
      <c r="C179" s="36">
        <f>_xlfn.IFS(E179&lt;E$24,0,E179&lt;E$26,C$24,E179&lt;E$28,C$26,E179&lt;E$30,C$28,E179&lt;E$32,C$30,E179&lt;E$34,C$32,E179&gt;=E$34,C$34)</f>
        <v/>
      </c>
      <c r="D179" s="37">
        <f>_xlfn.IFS(E179&lt;E$24,0,E179&lt;E$25,D$24,E179&lt;E$26,D$25,E179&lt;E$27,D$26,E179&lt;E$28,D$27,E179&lt;E$29,D$28,E179&lt;E$30,D$29,E179&lt;E$31,D$30,E179&lt;E$32,D$31,E179&lt;E$33,D$32,E179&lt;E$34,D$33,E179&lt;E$35,D$34,E179&gt;=E$35,D$35)</f>
        <v/>
      </c>
      <c r="E179" s="38" t="n">
        <v>129</v>
      </c>
      <c r="F179" s="31">
        <f>E179/52</f>
        <v/>
      </c>
      <c r="G179" s="39">
        <f>D179/1000000*52</f>
        <v/>
      </c>
      <c r="H179" s="33">
        <f>G179/$P$4+($C$22/$P$4)</f>
        <v/>
      </c>
      <c r="I179" s="36">
        <f>_xlfn.IFS(K179&lt;K$24,0,K179&lt;K$26,I$24,K179&lt;K$28,I$26,K179&lt;K$30,I$28,K179&lt;K$32,I$30,K179&lt;K$34,I$32,K179&lt;K$36,I$34,K179&lt;K$38,I$36,K179&lt;K$40,I$38,K179&lt;K$42,I$40,K179&lt;K$44,I$42,K179&lt;K$46,I$44,K179&gt;=K$46,I$46)</f>
        <v/>
      </c>
      <c r="J179" s="37">
        <f>_xlfn.IFS(K179&lt;K$24,0,K179&lt;K$25,J$24,K179&lt;K$26,J$25,K179&lt;K$27,J$26,K179&lt;K$28,J$27,K179&lt;K$29,J$28,K179&lt;K$30,J$29,K179&lt;K$31,J$30,K179&lt;K$32,J$31,K179&lt;K$33,J$32,K179&lt;K$34,J$33,K179&lt;K$35,J$34,K179&lt;K$36,J$35,K179&lt;K$37,J$36,K179&lt;K$38,J$37,K179&lt;K$39,J$38,K179&lt;K$40,J$39,K179&lt;K$41,J$40,K179&lt;K$42,J$41,K179&lt;K$43,J$42,K179&lt;K$44,J$43,K179&lt;K$45,J$44,K179&lt;K$46,J$45,K179&lt;K$47,J$46,K179&gt;=K$47,J$47)</f>
        <v/>
      </c>
      <c r="K179" s="38" t="n">
        <v>129</v>
      </c>
      <c r="L179" s="31">
        <f>K179/52</f>
        <v/>
      </c>
      <c r="M179" s="39">
        <f>J179/1000000*52</f>
        <v/>
      </c>
      <c r="N179" s="33">
        <f>M179/$P$4+($I$22/$P$4)</f>
        <v/>
      </c>
      <c r="U179">
        <f>F178</f>
        <v/>
      </c>
      <c r="V179">
        <f>H178</f>
        <v/>
      </c>
      <c r="W179">
        <f>N178</f>
        <v/>
      </c>
    </row>
    <row r="180" ht="15.75" customHeight="1" s="40">
      <c r="C180" s="36">
        <f>_xlfn.IFS(E180&lt;E$24,0,E180&lt;E$26,C$24,E180&lt;E$28,C$26,E180&lt;E$30,C$28,E180&lt;E$32,C$30,E180&lt;E$34,C$32,E180&gt;=E$34,C$34)</f>
        <v/>
      </c>
      <c r="D180" s="37">
        <f>_xlfn.IFS(E180&lt;E$24,0,E180&lt;E$25,D$24,E180&lt;E$26,D$25,E180&lt;E$27,D$26,E180&lt;E$28,D$27,E180&lt;E$29,D$28,E180&lt;E$30,D$29,E180&lt;E$31,D$30,E180&lt;E$32,D$31,E180&lt;E$33,D$32,E180&lt;E$34,D$33,E180&lt;E$35,D$34,E180&gt;=E$35,D$35)</f>
        <v/>
      </c>
      <c r="E180" s="38" t="n">
        <v>130</v>
      </c>
      <c r="F180" s="31">
        <f>E180/52</f>
        <v/>
      </c>
      <c r="G180" s="39">
        <f>D180/1000000*52</f>
        <v/>
      </c>
      <c r="H180" s="33">
        <f>G180/$P$4+($C$22/$P$4)</f>
        <v/>
      </c>
      <c r="I180" s="36">
        <f>_xlfn.IFS(K180&lt;K$24,0,K180&lt;K$26,I$24,K180&lt;K$28,I$26,K180&lt;K$30,I$28,K180&lt;K$32,I$30,K180&lt;K$34,I$32,K180&lt;K$36,I$34,K180&lt;K$38,I$36,K180&lt;K$40,I$38,K180&lt;K$42,I$40,K180&lt;K$44,I$42,K180&lt;K$46,I$44,K180&gt;=K$46,I$46)</f>
        <v/>
      </c>
      <c r="J180" s="37">
        <f>_xlfn.IFS(K180&lt;K$24,0,K180&lt;K$25,J$24,K180&lt;K$26,J$25,K180&lt;K$27,J$26,K180&lt;K$28,J$27,K180&lt;K$29,J$28,K180&lt;K$30,J$29,K180&lt;K$31,J$30,K180&lt;K$32,J$31,K180&lt;K$33,J$32,K180&lt;K$34,J$33,K180&lt;K$35,J$34,K180&lt;K$36,J$35,K180&lt;K$37,J$36,K180&lt;K$38,J$37,K180&lt;K$39,J$38,K180&lt;K$40,J$39,K180&lt;K$41,J$40,K180&lt;K$42,J$41,K180&lt;K$43,J$42,K180&lt;K$44,J$43,K180&lt;K$45,J$44,K180&lt;K$46,J$45,K180&lt;K$47,J$46,K180&gt;=K$47,J$47)</f>
        <v/>
      </c>
      <c r="K180" s="38" t="n">
        <v>130</v>
      </c>
      <c r="L180" s="31">
        <f>K180/52</f>
        <v/>
      </c>
      <c r="M180" s="39">
        <f>J180/1000000*52</f>
        <v/>
      </c>
      <c r="N180" s="33">
        <f>M180/$P$4+($I$22/$P$4)</f>
        <v/>
      </c>
      <c r="U180">
        <f>F179</f>
        <v/>
      </c>
      <c r="V180">
        <f>H179</f>
        <v/>
      </c>
      <c r="W180">
        <f>N179</f>
        <v/>
      </c>
    </row>
    <row r="181" ht="15.75" customHeight="1" s="40">
      <c r="C181" s="36">
        <f>_xlfn.IFS(E181&lt;E$24,0,E181&lt;E$26,C$24,E181&lt;E$28,C$26,E181&lt;E$30,C$28,E181&lt;E$32,C$30,E181&lt;E$34,C$32,E181&gt;=E$34,C$34)</f>
        <v/>
      </c>
      <c r="D181" s="37">
        <f>_xlfn.IFS(E181&lt;E$24,0,E181&lt;E$25,D$24,E181&lt;E$26,D$25,E181&lt;E$27,D$26,E181&lt;E$28,D$27,E181&lt;E$29,D$28,E181&lt;E$30,D$29,E181&lt;E$31,D$30,E181&lt;E$32,D$31,E181&lt;E$33,D$32,E181&lt;E$34,D$33,E181&lt;E$35,D$34,E181&gt;=E$35,D$35)</f>
        <v/>
      </c>
      <c r="E181" s="38" t="n">
        <v>131</v>
      </c>
      <c r="F181" s="31">
        <f>E181/52</f>
        <v/>
      </c>
      <c r="G181" s="39">
        <f>D181/1000000*52</f>
        <v/>
      </c>
      <c r="H181" s="33">
        <f>G181/$P$4+($C$22/$P$4)</f>
        <v/>
      </c>
      <c r="I181" s="36">
        <f>_xlfn.IFS(K181&lt;K$24,0,K181&lt;K$26,I$24,K181&lt;K$28,I$26,K181&lt;K$30,I$28,K181&lt;K$32,I$30,K181&lt;K$34,I$32,K181&lt;K$36,I$34,K181&lt;K$38,I$36,K181&lt;K$40,I$38,K181&lt;K$42,I$40,K181&lt;K$44,I$42,K181&lt;K$46,I$44,K181&gt;=K$46,I$46)</f>
        <v/>
      </c>
      <c r="J181" s="37">
        <f>_xlfn.IFS(K181&lt;K$24,0,K181&lt;K$25,J$24,K181&lt;K$26,J$25,K181&lt;K$27,J$26,K181&lt;K$28,J$27,K181&lt;K$29,J$28,K181&lt;K$30,J$29,K181&lt;K$31,J$30,K181&lt;K$32,J$31,K181&lt;K$33,J$32,K181&lt;K$34,J$33,K181&lt;K$35,J$34,K181&lt;K$36,J$35,K181&lt;K$37,J$36,K181&lt;K$38,J$37,K181&lt;K$39,J$38,K181&lt;K$40,J$39,K181&lt;K$41,J$40,K181&lt;K$42,J$41,K181&lt;K$43,J$42,K181&lt;K$44,J$43,K181&lt;K$45,J$44,K181&lt;K$46,J$45,K181&lt;K$47,J$46,K181&gt;=K$47,J$47)</f>
        <v/>
      </c>
      <c r="K181" s="38" t="n">
        <v>131</v>
      </c>
      <c r="L181" s="31">
        <f>K181/52</f>
        <v/>
      </c>
      <c r="M181" s="39">
        <f>J181/1000000*52</f>
        <v/>
      </c>
      <c r="N181" s="33">
        <f>M181/$P$4+($I$22/$P$4)</f>
        <v/>
      </c>
      <c r="U181">
        <f>F180</f>
        <v/>
      </c>
      <c r="V181">
        <f>H180</f>
        <v/>
      </c>
      <c r="W181">
        <f>N180</f>
        <v/>
      </c>
    </row>
    <row r="182" ht="15.75" customHeight="1" s="40">
      <c r="C182" s="36">
        <f>_xlfn.IFS(E182&lt;E$24,0,E182&lt;E$26,C$24,E182&lt;E$28,C$26,E182&lt;E$30,C$28,E182&lt;E$32,C$30,E182&lt;E$34,C$32,E182&gt;=E$34,C$34)</f>
        <v/>
      </c>
      <c r="D182" s="37">
        <f>_xlfn.IFS(E182&lt;E$24,0,E182&lt;E$25,D$24,E182&lt;E$26,D$25,E182&lt;E$27,D$26,E182&lt;E$28,D$27,E182&lt;E$29,D$28,E182&lt;E$30,D$29,E182&lt;E$31,D$30,E182&lt;E$32,D$31,E182&lt;E$33,D$32,E182&lt;E$34,D$33,E182&lt;E$35,D$34,E182&gt;=E$35,D$35)</f>
        <v/>
      </c>
      <c r="E182" s="38" t="n">
        <v>132</v>
      </c>
      <c r="F182" s="31">
        <f>E182/52</f>
        <v/>
      </c>
      <c r="G182" s="39">
        <f>D182/1000000*52</f>
        <v/>
      </c>
      <c r="H182" s="33">
        <f>G182/$P$4+($C$22/$P$4)</f>
        <v/>
      </c>
      <c r="I182" s="36">
        <f>_xlfn.IFS(K182&lt;K$24,0,K182&lt;K$26,I$24,K182&lt;K$28,I$26,K182&lt;K$30,I$28,K182&lt;K$32,I$30,K182&lt;K$34,I$32,K182&lt;K$36,I$34,K182&lt;K$38,I$36,K182&lt;K$40,I$38,K182&lt;K$42,I$40,K182&lt;K$44,I$42,K182&lt;K$46,I$44,K182&gt;=K$46,I$46)</f>
        <v/>
      </c>
      <c r="J182" s="37">
        <f>_xlfn.IFS(K182&lt;K$24,0,K182&lt;K$25,J$24,K182&lt;K$26,J$25,K182&lt;K$27,J$26,K182&lt;K$28,J$27,K182&lt;K$29,J$28,K182&lt;K$30,J$29,K182&lt;K$31,J$30,K182&lt;K$32,J$31,K182&lt;K$33,J$32,K182&lt;K$34,J$33,K182&lt;K$35,J$34,K182&lt;K$36,J$35,K182&lt;K$37,J$36,K182&lt;K$38,J$37,K182&lt;K$39,J$38,K182&lt;K$40,J$39,K182&lt;K$41,J$40,K182&lt;K$42,J$41,K182&lt;K$43,J$42,K182&lt;K$44,J$43,K182&lt;K$45,J$44,K182&lt;K$46,J$45,K182&lt;K$47,J$46,K182&gt;=K$47,J$47)</f>
        <v/>
      </c>
      <c r="K182" s="38" t="n">
        <v>132</v>
      </c>
      <c r="L182" s="31">
        <f>K182/52</f>
        <v/>
      </c>
      <c r="M182" s="39">
        <f>J182/1000000*52</f>
        <v/>
      </c>
      <c r="N182" s="33">
        <f>M182/$P$4+($I$22/$P$4)</f>
        <v/>
      </c>
      <c r="U182">
        <f>F181</f>
        <v/>
      </c>
      <c r="V182">
        <f>H181</f>
        <v/>
      </c>
      <c r="W182">
        <f>N181</f>
        <v/>
      </c>
    </row>
    <row r="183" ht="15.75" customHeight="1" s="40">
      <c r="C183" s="36">
        <f>_xlfn.IFS(E183&lt;E$24,0,E183&lt;E$26,C$24,E183&lt;E$28,C$26,E183&lt;E$30,C$28,E183&lt;E$32,C$30,E183&lt;E$34,C$32,E183&gt;=E$34,C$34)</f>
        <v/>
      </c>
      <c r="D183" s="37">
        <f>_xlfn.IFS(E183&lt;E$24,0,E183&lt;E$25,D$24,E183&lt;E$26,D$25,E183&lt;E$27,D$26,E183&lt;E$28,D$27,E183&lt;E$29,D$28,E183&lt;E$30,D$29,E183&lt;E$31,D$30,E183&lt;E$32,D$31,E183&lt;E$33,D$32,E183&lt;E$34,D$33,E183&lt;E$35,D$34,E183&gt;=E$35,D$35)</f>
        <v/>
      </c>
      <c r="E183" s="38" t="n">
        <v>133</v>
      </c>
      <c r="F183" s="31">
        <f>E183/52</f>
        <v/>
      </c>
      <c r="G183" s="39">
        <f>D183/1000000*52</f>
        <v/>
      </c>
      <c r="H183" s="33">
        <f>G183/$P$4+($C$22/$P$4)</f>
        <v/>
      </c>
      <c r="I183" s="36">
        <f>_xlfn.IFS(K183&lt;K$24,0,K183&lt;K$26,I$24,K183&lt;K$28,I$26,K183&lt;K$30,I$28,K183&lt;K$32,I$30,K183&lt;K$34,I$32,K183&lt;K$36,I$34,K183&lt;K$38,I$36,K183&lt;K$40,I$38,K183&lt;K$42,I$40,K183&lt;K$44,I$42,K183&lt;K$46,I$44,K183&gt;=K$46,I$46)</f>
        <v/>
      </c>
      <c r="J183" s="37">
        <f>_xlfn.IFS(K183&lt;K$24,0,K183&lt;K$25,J$24,K183&lt;K$26,J$25,K183&lt;K$27,J$26,K183&lt;K$28,J$27,K183&lt;K$29,J$28,K183&lt;K$30,J$29,K183&lt;K$31,J$30,K183&lt;K$32,J$31,K183&lt;K$33,J$32,K183&lt;K$34,J$33,K183&lt;K$35,J$34,K183&lt;K$36,J$35,K183&lt;K$37,J$36,K183&lt;K$38,J$37,K183&lt;K$39,J$38,K183&lt;K$40,J$39,K183&lt;K$41,J$40,K183&lt;K$42,J$41,K183&lt;K$43,J$42,K183&lt;K$44,J$43,K183&lt;K$45,J$44,K183&lt;K$46,J$45,K183&lt;K$47,J$46,K183&gt;=K$47,J$47)</f>
        <v/>
      </c>
      <c r="K183" s="38" t="n">
        <v>133</v>
      </c>
      <c r="L183" s="31">
        <f>K183/52</f>
        <v/>
      </c>
      <c r="M183" s="39">
        <f>J183/1000000*52</f>
        <v/>
      </c>
      <c r="N183" s="33">
        <f>M183/$P$4+($I$22/$P$4)</f>
        <v/>
      </c>
      <c r="U183">
        <f>F182</f>
        <v/>
      </c>
      <c r="V183">
        <f>H182</f>
        <v/>
      </c>
      <c r="W183">
        <f>N182</f>
        <v/>
      </c>
    </row>
    <row r="184" ht="15.75" customHeight="1" s="40">
      <c r="C184" s="36">
        <f>_xlfn.IFS(E184&lt;E$24,0,E184&lt;E$26,C$24,E184&lt;E$28,C$26,E184&lt;E$30,C$28,E184&lt;E$32,C$30,E184&lt;E$34,C$32,E184&gt;=E$34,C$34)</f>
        <v/>
      </c>
      <c r="D184" s="37">
        <f>_xlfn.IFS(E184&lt;E$24,0,E184&lt;E$25,D$24,E184&lt;E$26,D$25,E184&lt;E$27,D$26,E184&lt;E$28,D$27,E184&lt;E$29,D$28,E184&lt;E$30,D$29,E184&lt;E$31,D$30,E184&lt;E$32,D$31,E184&lt;E$33,D$32,E184&lt;E$34,D$33,E184&lt;E$35,D$34,E184&gt;=E$35,D$35)</f>
        <v/>
      </c>
      <c r="E184" s="38" t="n">
        <v>134</v>
      </c>
      <c r="F184" s="31">
        <f>E184/52</f>
        <v/>
      </c>
      <c r="G184" s="39">
        <f>D184/1000000*52</f>
        <v/>
      </c>
      <c r="H184" s="33">
        <f>G184/$P$4+($C$22/$P$4)</f>
        <v/>
      </c>
      <c r="I184" s="36">
        <f>_xlfn.IFS(K184&lt;K$24,0,K184&lt;K$26,I$24,K184&lt;K$28,I$26,K184&lt;K$30,I$28,K184&lt;K$32,I$30,K184&lt;K$34,I$32,K184&lt;K$36,I$34,K184&lt;K$38,I$36,K184&lt;K$40,I$38,K184&lt;K$42,I$40,K184&lt;K$44,I$42,K184&lt;K$46,I$44,K184&gt;=K$46,I$46)</f>
        <v/>
      </c>
      <c r="J184" s="37">
        <f>_xlfn.IFS(K184&lt;K$24,0,K184&lt;K$25,J$24,K184&lt;K$26,J$25,K184&lt;K$27,J$26,K184&lt;K$28,J$27,K184&lt;K$29,J$28,K184&lt;K$30,J$29,K184&lt;K$31,J$30,K184&lt;K$32,J$31,K184&lt;K$33,J$32,K184&lt;K$34,J$33,K184&lt;K$35,J$34,K184&lt;K$36,J$35,K184&lt;K$37,J$36,K184&lt;K$38,J$37,K184&lt;K$39,J$38,K184&lt;K$40,J$39,K184&lt;K$41,J$40,K184&lt;K$42,J$41,K184&lt;K$43,J$42,K184&lt;K$44,J$43,K184&lt;K$45,J$44,K184&lt;K$46,J$45,K184&lt;K$47,J$46,K184&gt;=K$47,J$47)</f>
        <v/>
      </c>
      <c r="K184" s="38" t="n">
        <v>134</v>
      </c>
      <c r="L184" s="31">
        <f>K184/52</f>
        <v/>
      </c>
      <c r="M184" s="39">
        <f>J184/1000000*52</f>
        <v/>
      </c>
      <c r="N184" s="33">
        <f>M184/$P$4+($I$22/$P$4)</f>
        <v/>
      </c>
      <c r="U184">
        <f>F183</f>
        <v/>
      </c>
      <c r="V184">
        <f>H183</f>
        <v/>
      </c>
      <c r="W184">
        <f>N183</f>
        <v/>
      </c>
    </row>
    <row r="185" ht="15.75" customHeight="1" s="40">
      <c r="C185" s="36">
        <f>_xlfn.IFS(E185&lt;E$24,0,E185&lt;E$26,C$24,E185&lt;E$28,C$26,E185&lt;E$30,C$28,E185&lt;E$32,C$30,E185&lt;E$34,C$32,E185&gt;=E$34,C$34)</f>
        <v/>
      </c>
      <c r="D185" s="37">
        <f>_xlfn.IFS(E185&lt;E$24,0,E185&lt;E$25,D$24,E185&lt;E$26,D$25,E185&lt;E$27,D$26,E185&lt;E$28,D$27,E185&lt;E$29,D$28,E185&lt;E$30,D$29,E185&lt;E$31,D$30,E185&lt;E$32,D$31,E185&lt;E$33,D$32,E185&lt;E$34,D$33,E185&lt;E$35,D$34,E185&gt;=E$35,D$35)</f>
        <v/>
      </c>
      <c r="E185" s="38" t="n">
        <v>135</v>
      </c>
      <c r="F185" s="31">
        <f>E185/52</f>
        <v/>
      </c>
      <c r="G185" s="39">
        <f>D185/1000000*52</f>
        <v/>
      </c>
      <c r="H185" s="33">
        <f>G185/$P$4+($C$22/$P$4)</f>
        <v/>
      </c>
      <c r="I185" s="36">
        <f>_xlfn.IFS(K185&lt;K$24,0,K185&lt;K$26,I$24,K185&lt;K$28,I$26,K185&lt;K$30,I$28,K185&lt;K$32,I$30,K185&lt;K$34,I$32,K185&lt;K$36,I$34,K185&lt;K$38,I$36,K185&lt;K$40,I$38,K185&lt;K$42,I$40,K185&lt;K$44,I$42,K185&lt;K$46,I$44,K185&gt;=K$46,I$46)</f>
        <v/>
      </c>
      <c r="J185" s="37">
        <f>_xlfn.IFS(K185&lt;K$24,0,K185&lt;K$25,J$24,K185&lt;K$26,J$25,K185&lt;K$27,J$26,K185&lt;K$28,J$27,K185&lt;K$29,J$28,K185&lt;K$30,J$29,K185&lt;K$31,J$30,K185&lt;K$32,J$31,K185&lt;K$33,J$32,K185&lt;K$34,J$33,K185&lt;K$35,J$34,K185&lt;K$36,J$35,K185&lt;K$37,J$36,K185&lt;K$38,J$37,K185&lt;K$39,J$38,K185&lt;K$40,J$39,K185&lt;K$41,J$40,K185&lt;K$42,J$41,K185&lt;K$43,J$42,K185&lt;K$44,J$43,K185&lt;K$45,J$44,K185&lt;K$46,J$45,K185&lt;K$47,J$46,K185&gt;=K$47,J$47)</f>
        <v/>
      </c>
      <c r="K185" s="38" t="n">
        <v>135</v>
      </c>
      <c r="L185" s="31">
        <f>K185/52</f>
        <v/>
      </c>
      <c r="M185" s="39">
        <f>J185/1000000*52</f>
        <v/>
      </c>
      <c r="N185" s="33">
        <f>M185/$P$4+($I$22/$P$4)</f>
        <v/>
      </c>
      <c r="U185">
        <f>F184</f>
        <v/>
      </c>
      <c r="V185">
        <f>H184</f>
        <v/>
      </c>
      <c r="W185">
        <f>N184</f>
        <v/>
      </c>
    </row>
    <row r="186" ht="15.75" customHeight="1" s="40">
      <c r="C186" s="36">
        <f>_xlfn.IFS(E186&lt;E$24,0,E186&lt;E$26,C$24,E186&lt;E$28,C$26,E186&lt;E$30,C$28,E186&lt;E$32,C$30,E186&lt;E$34,C$32,E186&gt;=E$34,C$34)</f>
        <v/>
      </c>
      <c r="D186" s="37">
        <f>_xlfn.IFS(E186&lt;E$24,0,E186&lt;E$25,D$24,E186&lt;E$26,D$25,E186&lt;E$27,D$26,E186&lt;E$28,D$27,E186&lt;E$29,D$28,E186&lt;E$30,D$29,E186&lt;E$31,D$30,E186&lt;E$32,D$31,E186&lt;E$33,D$32,E186&lt;E$34,D$33,E186&lt;E$35,D$34,E186&gt;=E$35,D$35)</f>
        <v/>
      </c>
      <c r="E186" s="38" t="n">
        <v>136</v>
      </c>
      <c r="F186" s="31">
        <f>E186/52</f>
        <v/>
      </c>
      <c r="G186" s="39">
        <f>D186/1000000*52</f>
        <v/>
      </c>
      <c r="H186" s="33">
        <f>G186/$P$4+($C$22/$P$4)</f>
        <v/>
      </c>
      <c r="I186" s="36">
        <f>_xlfn.IFS(K186&lt;K$24,0,K186&lt;K$26,I$24,K186&lt;K$28,I$26,K186&lt;K$30,I$28,K186&lt;K$32,I$30,K186&lt;K$34,I$32,K186&lt;K$36,I$34,K186&lt;K$38,I$36,K186&lt;K$40,I$38,K186&lt;K$42,I$40,K186&lt;K$44,I$42,K186&lt;K$46,I$44,K186&gt;=K$46,I$46)</f>
        <v/>
      </c>
      <c r="J186" s="37">
        <f>_xlfn.IFS(K186&lt;K$24,0,K186&lt;K$25,J$24,K186&lt;K$26,J$25,K186&lt;K$27,J$26,K186&lt;K$28,J$27,K186&lt;K$29,J$28,K186&lt;K$30,J$29,K186&lt;K$31,J$30,K186&lt;K$32,J$31,K186&lt;K$33,J$32,K186&lt;K$34,J$33,K186&lt;K$35,J$34,K186&lt;K$36,J$35,K186&lt;K$37,J$36,K186&lt;K$38,J$37,K186&lt;K$39,J$38,K186&lt;K$40,J$39,K186&lt;K$41,J$40,K186&lt;K$42,J$41,K186&lt;K$43,J$42,K186&lt;K$44,J$43,K186&lt;K$45,J$44,K186&lt;K$46,J$45,K186&lt;K$47,J$46,K186&gt;=K$47,J$47)</f>
        <v/>
      </c>
      <c r="K186" s="38" t="n">
        <v>136</v>
      </c>
      <c r="L186" s="31">
        <f>K186/52</f>
        <v/>
      </c>
      <c r="M186" s="39">
        <f>J186/1000000*52</f>
        <v/>
      </c>
      <c r="N186" s="33">
        <f>M186/$P$4+($I$22/$P$4)</f>
        <v/>
      </c>
      <c r="U186">
        <f>F185</f>
        <v/>
      </c>
      <c r="V186">
        <f>H185</f>
        <v/>
      </c>
      <c r="W186">
        <f>N185</f>
        <v/>
      </c>
    </row>
    <row r="187" ht="15.75" customHeight="1" s="40">
      <c r="C187" s="36">
        <f>_xlfn.IFS(E187&lt;E$24,0,E187&lt;E$26,C$24,E187&lt;E$28,C$26,E187&lt;E$30,C$28,E187&lt;E$32,C$30,E187&lt;E$34,C$32,E187&gt;=E$34,C$34)</f>
        <v/>
      </c>
      <c r="D187" s="37">
        <f>_xlfn.IFS(E187&lt;E$24,0,E187&lt;E$25,D$24,E187&lt;E$26,D$25,E187&lt;E$27,D$26,E187&lt;E$28,D$27,E187&lt;E$29,D$28,E187&lt;E$30,D$29,E187&lt;E$31,D$30,E187&lt;E$32,D$31,E187&lt;E$33,D$32,E187&lt;E$34,D$33,E187&lt;E$35,D$34,E187&gt;=E$35,D$35)</f>
        <v/>
      </c>
      <c r="E187" s="38" t="n">
        <v>137</v>
      </c>
      <c r="F187" s="31">
        <f>E187/52</f>
        <v/>
      </c>
      <c r="G187" s="39">
        <f>D187/1000000*52</f>
        <v/>
      </c>
      <c r="H187" s="33">
        <f>G187/$P$4+($C$22/$P$4)</f>
        <v/>
      </c>
      <c r="I187" s="36">
        <f>_xlfn.IFS(K187&lt;K$24,0,K187&lt;K$26,I$24,K187&lt;K$28,I$26,K187&lt;K$30,I$28,K187&lt;K$32,I$30,K187&lt;K$34,I$32,K187&lt;K$36,I$34,K187&lt;K$38,I$36,K187&lt;K$40,I$38,K187&lt;K$42,I$40,K187&lt;K$44,I$42,K187&lt;K$46,I$44,K187&gt;=K$46,I$46)</f>
        <v/>
      </c>
      <c r="J187" s="37">
        <f>_xlfn.IFS(K187&lt;K$24,0,K187&lt;K$25,J$24,K187&lt;K$26,J$25,K187&lt;K$27,J$26,K187&lt;K$28,J$27,K187&lt;K$29,J$28,K187&lt;K$30,J$29,K187&lt;K$31,J$30,K187&lt;K$32,J$31,K187&lt;K$33,J$32,K187&lt;K$34,J$33,K187&lt;K$35,J$34,K187&lt;K$36,J$35,K187&lt;K$37,J$36,K187&lt;K$38,J$37,K187&lt;K$39,J$38,K187&lt;K$40,J$39,K187&lt;K$41,J$40,K187&lt;K$42,J$41,K187&lt;K$43,J$42,K187&lt;K$44,J$43,K187&lt;K$45,J$44,K187&lt;K$46,J$45,K187&lt;K$47,J$46,K187&gt;=K$47,J$47)</f>
        <v/>
      </c>
      <c r="K187" s="38" t="n">
        <v>137</v>
      </c>
      <c r="L187" s="31">
        <f>K187/52</f>
        <v/>
      </c>
      <c r="M187" s="39">
        <f>J187/1000000*52</f>
        <v/>
      </c>
      <c r="N187" s="33">
        <f>M187/$P$4+($I$22/$P$4)</f>
        <v/>
      </c>
      <c r="U187">
        <f>F186</f>
        <v/>
      </c>
      <c r="V187">
        <f>H186</f>
        <v/>
      </c>
      <c r="W187">
        <f>N186</f>
        <v/>
      </c>
    </row>
    <row r="188" ht="15.75" customHeight="1" s="40">
      <c r="C188" s="36">
        <f>_xlfn.IFS(E188&lt;E$24,0,E188&lt;E$26,C$24,E188&lt;E$28,C$26,E188&lt;E$30,C$28,E188&lt;E$32,C$30,E188&lt;E$34,C$32,E188&gt;=E$34,C$34)</f>
        <v/>
      </c>
      <c r="D188" s="37">
        <f>_xlfn.IFS(E188&lt;E$24,0,E188&lt;E$25,D$24,E188&lt;E$26,D$25,E188&lt;E$27,D$26,E188&lt;E$28,D$27,E188&lt;E$29,D$28,E188&lt;E$30,D$29,E188&lt;E$31,D$30,E188&lt;E$32,D$31,E188&lt;E$33,D$32,E188&lt;E$34,D$33,E188&lt;E$35,D$34,E188&gt;=E$35,D$35)</f>
        <v/>
      </c>
      <c r="E188" s="38" t="n">
        <v>138</v>
      </c>
      <c r="F188" s="31">
        <f>E188/52</f>
        <v/>
      </c>
      <c r="G188" s="39">
        <f>D188/1000000*52</f>
        <v/>
      </c>
      <c r="H188" s="33">
        <f>G188/$P$4+($C$22/$P$4)</f>
        <v/>
      </c>
      <c r="I188" s="36">
        <f>_xlfn.IFS(K188&lt;K$24,0,K188&lt;K$26,I$24,K188&lt;K$28,I$26,K188&lt;K$30,I$28,K188&lt;K$32,I$30,K188&lt;K$34,I$32,K188&lt;K$36,I$34,K188&lt;K$38,I$36,K188&lt;K$40,I$38,K188&lt;K$42,I$40,K188&lt;K$44,I$42,K188&lt;K$46,I$44,K188&gt;=K$46,I$46)</f>
        <v/>
      </c>
      <c r="J188" s="37">
        <f>_xlfn.IFS(K188&lt;K$24,0,K188&lt;K$25,J$24,K188&lt;K$26,J$25,K188&lt;K$27,J$26,K188&lt;K$28,J$27,K188&lt;K$29,J$28,K188&lt;K$30,J$29,K188&lt;K$31,J$30,K188&lt;K$32,J$31,K188&lt;K$33,J$32,K188&lt;K$34,J$33,K188&lt;K$35,J$34,K188&lt;K$36,J$35,K188&lt;K$37,J$36,K188&lt;K$38,J$37,K188&lt;K$39,J$38,K188&lt;K$40,J$39,K188&lt;K$41,J$40,K188&lt;K$42,J$41,K188&lt;K$43,J$42,K188&lt;K$44,J$43,K188&lt;K$45,J$44,K188&lt;K$46,J$45,K188&lt;K$47,J$46,K188&gt;=K$47,J$47)</f>
        <v/>
      </c>
      <c r="K188" s="38" t="n">
        <v>138</v>
      </c>
      <c r="L188" s="31">
        <f>K188/52</f>
        <v/>
      </c>
      <c r="M188" s="39">
        <f>J188/1000000*52</f>
        <v/>
      </c>
      <c r="N188" s="33">
        <f>M188/$P$4+($I$22/$P$4)</f>
        <v/>
      </c>
      <c r="U188">
        <f>F187</f>
        <v/>
      </c>
      <c r="V188">
        <f>H187</f>
        <v/>
      </c>
      <c r="W188">
        <f>N187</f>
        <v/>
      </c>
    </row>
    <row r="189" ht="15.75" customHeight="1" s="40">
      <c r="C189" s="36">
        <f>_xlfn.IFS(E189&lt;E$24,0,E189&lt;E$26,C$24,E189&lt;E$28,C$26,E189&lt;E$30,C$28,E189&lt;E$32,C$30,E189&lt;E$34,C$32,E189&gt;=E$34,C$34)</f>
        <v/>
      </c>
      <c r="D189" s="37">
        <f>_xlfn.IFS(E189&lt;E$24,0,E189&lt;E$25,D$24,E189&lt;E$26,D$25,E189&lt;E$27,D$26,E189&lt;E$28,D$27,E189&lt;E$29,D$28,E189&lt;E$30,D$29,E189&lt;E$31,D$30,E189&lt;E$32,D$31,E189&lt;E$33,D$32,E189&lt;E$34,D$33,E189&lt;E$35,D$34,E189&gt;=E$35,D$35)</f>
        <v/>
      </c>
      <c r="E189" s="38" t="n">
        <v>139</v>
      </c>
      <c r="F189" s="31">
        <f>E189/52</f>
        <v/>
      </c>
      <c r="G189" s="39">
        <f>D189/1000000*52</f>
        <v/>
      </c>
      <c r="H189" s="33">
        <f>G189/$P$4+($C$22/$P$4)</f>
        <v/>
      </c>
      <c r="I189" s="36">
        <f>_xlfn.IFS(K189&lt;K$24,0,K189&lt;K$26,I$24,K189&lt;K$28,I$26,K189&lt;K$30,I$28,K189&lt;K$32,I$30,K189&lt;K$34,I$32,K189&lt;K$36,I$34,K189&lt;K$38,I$36,K189&lt;K$40,I$38,K189&lt;K$42,I$40,K189&lt;K$44,I$42,K189&lt;K$46,I$44,K189&gt;=K$46,I$46)</f>
        <v/>
      </c>
      <c r="J189" s="37">
        <f>_xlfn.IFS(K189&lt;K$24,0,K189&lt;K$25,J$24,K189&lt;K$26,J$25,K189&lt;K$27,J$26,K189&lt;K$28,J$27,K189&lt;K$29,J$28,K189&lt;K$30,J$29,K189&lt;K$31,J$30,K189&lt;K$32,J$31,K189&lt;K$33,J$32,K189&lt;K$34,J$33,K189&lt;K$35,J$34,K189&lt;K$36,J$35,K189&lt;K$37,J$36,K189&lt;K$38,J$37,K189&lt;K$39,J$38,K189&lt;K$40,J$39,K189&lt;K$41,J$40,K189&lt;K$42,J$41,K189&lt;K$43,J$42,K189&lt;K$44,J$43,K189&lt;K$45,J$44,K189&lt;K$46,J$45,K189&lt;K$47,J$46,K189&gt;=K$47,J$47)</f>
        <v/>
      </c>
      <c r="K189" s="38" t="n">
        <v>139</v>
      </c>
      <c r="L189" s="31">
        <f>K189/52</f>
        <v/>
      </c>
      <c r="M189" s="39">
        <f>J189/1000000*52</f>
        <v/>
      </c>
      <c r="N189" s="33">
        <f>M189/$P$4+($I$22/$P$4)</f>
        <v/>
      </c>
      <c r="U189">
        <f>F188</f>
        <v/>
      </c>
      <c r="V189">
        <f>H188</f>
        <v/>
      </c>
      <c r="W189">
        <f>N188</f>
        <v/>
      </c>
    </row>
    <row r="190" ht="15.75" customHeight="1" s="40">
      <c r="C190" s="36">
        <f>_xlfn.IFS(E190&lt;E$24,0,E190&lt;E$26,C$24,E190&lt;E$28,C$26,E190&lt;E$30,C$28,E190&lt;E$32,C$30,E190&lt;E$34,C$32,E190&gt;=E$34,C$34)</f>
        <v/>
      </c>
      <c r="D190" s="37">
        <f>_xlfn.IFS(E190&lt;E$24,0,E190&lt;E$25,D$24,E190&lt;E$26,D$25,E190&lt;E$27,D$26,E190&lt;E$28,D$27,E190&lt;E$29,D$28,E190&lt;E$30,D$29,E190&lt;E$31,D$30,E190&lt;E$32,D$31,E190&lt;E$33,D$32,E190&lt;E$34,D$33,E190&lt;E$35,D$34,E190&gt;=E$35,D$35)</f>
        <v/>
      </c>
      <c r="E190" s="38" t="n">
        <v>140</v>
      </c>
      <c r="F190" s="31">
        <f>E190/52</f>
        <v/>
      </c>
      <c r="G190" s="39">
        <f>D190/1000000*52</f>
        <v/>
      </c>
      <c r="H190" s="33">
        <f>G190/$P$4+($C$22/$P$4)</f>
        <v/>
      </c>
      <c r="I190" s="36">
        <f>_xlfn.IFS(K190&lt;K$24,0,K190&lt;K$26,I$24,K190&lt;K$28,I$26,K190&lt;K$30,I$28,K190&lt;K$32,I$30,K190&lt;K$34,I$32,K190&lt;K$36,I$34,K190&lt;K$38,I$36,K190&lt;K$40,I$38,K190&lt;K$42,I$40,K190&lt;K$44,I$42,K190&lt;K$46,I$44,K190&gt;=K$46,I$46)</f>
        <v/>
      </c>
      <c r="J190" s="37">
        <f>_xlfn.IFS(K190&lt;K$24,0,K190&lt;K$25,J$24,K190&lt;K$26,J$25,K190&lt;K$27,J$26,K190&lt;K$28,J$27,K190&lt;K$29,J$28,K190&lt;K$30,J$29,K190&lt;K$31,J$30,K190&lt;K$32,J$31,K190&lt;K$33,J$32,K190&lt;K$34,J$33,K190&lt;K$35,J$34,K190&lt;K$36,J$35,K190&lt;K$37,J$36,K190&lt;K$38,J$37,K190&lt;K$39,J$38,K190&lt;K$40,J$39,K190&lt;K$41,J$40,K190&lt;K$42,J$41,K190&lt;K$43,J$42,K190&lt;K$44,J$43,K190&lt;K$45,J$44,K190&lt;K$46,J$45,K190&lt;K$47,J$46,K190&gt;=K$47,J$47)</f>
        <v/>
      </c>
      <c r="K190" s="38" t="n">
        <v>140</v>
      </c>
      <c r="L190" s="31">
        <f>K190/52</f>
        <v/>
      </c>
      <c r="M190" s="39">
        <f>J190/1000000*52</f>
        <v/>
      </c>
      <c r="N190" s="33">
        <f>M190/$P$4+($I$22/$P$4)</f>
        <v/>
      </c>
      <c r="U190">
        <f>F189</f>
        <v/>
      </c>
      <c r="V190">
        <f>H189</f>
        <v/>
      </c>
      <c r="W190">
        <f>N189</f>
        <v/>
      </c>
    </row>
    <row r="191" ht="15.75" customHeight="1" s="40">
      <c r="C191" s="36">
        <f>_xlfn.IFS(E191&lt;E$24,0,E191&lt;E$26,C$24,E191&lt;E$28,C$26,E191&lt;E$30,C$28,E191&lt;E$32,C$30,E191&lt;E$34,C$32,E191&gt;=E$34,C$34)</f>
        <v/>
      </c>
      <c r="D191" s="37">
        <f>_xlfn.IFS(E191&lt;E$24,0,E191&lt;E$25,D$24,E191&lt;E$26,D$25,E191&lt;E$27,D$26,E191&lt;E$28,D$27,E191&lt;E$29,D$28,E191&lt;E$30,D$29,E191&lt;E$31,D$30,E191&lt;E$32,D$31,E191&lt;E$33,D$32,E191&lt;E$34,D$33,E191&lt;E$35,D$34,E191&gt;=E$35,D$35)</f>
        <v/>
      </c>
      <c r="E191" s="38" t="n">
        <v>141</v>
      </c>
      <c r="F191" s="31">
        <f>E191/52</f>
        <v/>
      </c>
      <c r="G191" s="39">
        <f>D191/1000000*52</f>
        <v/>
      </c>
      <c r="H191" s="33">
        <f>G191/$P$4+($C$22/$P$4)</f>
        <v/>
      </c>
      <c r="I191" s="36">
        <f>_xlfn.IFS(K191&lt;K$24,0,K191&lt;K$26,I$24,K191&lt;K$28,I$26,K191&lt;K$30,I$28,K191&lt;K$32,I$30,K191&lt;K$34,I$32,K191&lt;K$36,I$34,K191&lt;K$38,I$36,K191&lt;K$40,I$38,K191&lt;K$42,I$40,K191&lt;K$44,I$42,K191&lt;K$46,I$44,K191&gt;=K$46,I$46)</f>
        <v/>
      </c>
      <c r="J191" s="37">
        <f>_xlfn.IFS(K191&lt;K$24,0,K191&lt;K$25,J$24,K191&lt;K$26,J$25,K191&lt;K$27,J$26,K191&lt;K$28,J$27,K191&lt;K$29,J$28,K191&lt;K$30,J$29,K191&lt;K$31,J$30,K191&lt;K$32,J$31,K191&lt;K$33,J$32,K191&lt;K$34,J$33,K191&lt;K$35,J$34,K191&lt;K$36,J$35,K191&lt;K$37,J$36,K191&lt;K$38,J$37,K191&lt;K$39,J$38,K191&lt;K$40,J$39,K191&lt;K$41,J$40,K191&lt;K$42,J$41,K191&lt;K$43,J$42,K191&lt;K$44,J$43,K191&lt;K$45,J$44,K191&lt;K$46,J$45,K191&lt;K$47,J$46,K191&gt;=K$47,J$47)</f>
        <v/>
      </c>
      <c r="K191" s="38" t="n">
        <v>141</v>
      </c>
      <c r="L191" s="31">
        <f>K191/52</f>
        <v/>
      </c>
      <c r="M191" s="39">
        <f>J191/1000000*52</f>
        <v/>
      </c>
      <c r="N191" s="33">
        <f>M191/$P$4+($I$22/$P$4)</f>
        <v/>
      </c>
      <c r="U191">
        <f>F190</f>
        <v/>
      </c>
      <c r="V191">
        <f>H190</f>
        <v/>
      </c>
      <c r="W191">
        <f>N190</f>
        <v/>
      </c>
    </row>
    <row r="192" ht="15.75" customHeight="1" s="40">
      <c r="C192" s="36">
        <f>_xlfn.IFS(E192&lt;E$24,0,E192&lt;E$26,C$24,E192&lt;E$28,C$26,E192&lt;E$30,C$28,E192&lt;E$32,C$30,E192&lt;E$34,C$32,E192&gt;=E$34,C$34)</f>
        <v/>
      </c>
      <c r="D192" s="37">
        <f>_xlfn.IFS(E192&lt;E$24,0,E192&lt;E$25,D$24,E192&lt;E$26,D$25,E192&lt;E$27,D$26,E192&lt;E$28,D$27,E192&lt;E$29,D$28,E192&lt;E$30,D$29,E192&lt;E$31,D$30,E192&lt;E$32,D$31,E192&lt;E$33,D$32,E192&lt;E$34,D$33,E192&lt;E$35,D$34,E192&gt;=E$35,D$35)</f>
        <v/>
      </c>
      <c r="E192" s="38" t="n">
        <v>142</v>
      </c>
      <c r="F192" s="31">
        <f>E192/52</f>
        <v/>
      </c>
      <c r="G192" s="39">
        <f>D192/1000000*52</f>
        <v/>
      </c>
      <c r="H192" s="33">
        <f>G192/$P$4+($C$22/$P$4)</f>
        <v/>
      </c>
      <c r="I192" s="36">
        <f>_xlfn.IFS(K192&lt;K$24,0,K192&lt;K$26,I$24,K192&lt;K$28,I$26,K192&lt;K$30,I$28,K192&lt;K$32,I$30,K192&lt;K$34,I$32,K192&lt;K$36,I$34,K192&lt;K$38,I$36,K192&lt;K$40,I$38,K192&lt;K$42,I$40,K192&lt;K$44,I$42,K192&lt;K$46,I$44,K192&gt;=K$46,I$46)</f>
        <v/>
      </c>
      <c r="J192" s="37">
        <f>_xlfn.IFS(K192&lt;K$24,0,K192&lt;K$25,J$24,K192&lt;K$26,J$25,K192&lt;K$27,J$26,K192&lt;K$28,J$27,K192&lt;K$29,J$28,K192&lt;K$30,J$29,K192&lt;K$31,J$30,K192&lt;K$32,J$31,K192&lt;K$33,J$32,K192&lt;K$34,J$33,K192&lt;K$35,J$34,K192&lt;K$36,J$35,K192&lt;K$37,J$36,K192&lt;K$38,J$37,K192&lt;K$39,J$38,K192&lt;K$40,J$39,K192&lt;K$41,J$40,K192&lt;K$42,J$41,K192&lt;K$43,J$42,K192&lt;K$44,J$43,K192&lt;K$45,J$44,K192&lt;K$46,J$45,K192&lt;K$47,J$46,K192&gt;=K$47,J$47)</f>
        <v/>
      </c>
      <c r="K192" s="38" t="n">
        <v>142</v>
      </c>
      <c r="L192" s="31">
        <f>K192/52</f>
        <v/>
      </c>
      <c r="M192" s="39">
        <f>J192/1000000*52</f>
        <v/>
      </c>
      <c r="N192" s="33">
        <f>M192/$P$4+($I$22/$P$4)</f>
        <v/>
      </c>
      <c r="U192">
        <f>F191</f>
        <v/>
      </c>
      <c r="V192">
        <f>H191</f>
        <v/>
      </c>
      <c r="W192">
        <f>N191</f>
        <v/>
      </c>
    </row>
    <row r="193" ht="15.75" customHeight="1" s="40">
      <c r="C193" s="36">
        <f>_xlfn.IFS(E193&lt;E$24,0,E193&lt;E$26,C$24,E193&lt;E$28,C$26,E193&lt;E$30,C$28,E193&lt;E$32,C$30,E193&lt;E$34,C$32,E193&gt;=E$34,C$34)</f>
        <v/>
      </c>
      <c r="D193" s="37">
        <f>_xlfn.IFS(E193&lt;E$24,0,E193&lt;E$25,D$24,E193&lt;E$26,D$25,E193&lt;E$27,D$26,E193&lt;E$28,D$27,E193&lt;E$29,D$28,E193&lt;E$30,D$29,E193&lt;E$31,D$30,E193&lt;E$32,D$31,E193&lt;E$33,D$32,E193&lt;E$34,D$33,E193&lt;E$35,D$34,E193&gt;=E$35,D$35)</f>
        <v/>
      </c>
      <c r="E193" s="38" t="n">
        <v>143</v>
      </c>
      <c r="F193" s="31">
        <f>E193/52</f>
        <v/>
      </c>
      <c r="G193" s="39">
        <f>D193/1000000*52</f>
        <v/>
      </c>
      <c r="H193" s="33">
        <f>G193/$P$4+($C$22/$P$4)</f>
        <v/>
      </c>
      <c r="I193" s="36">
        <f>_xlfn.IFS(K193&lt;K$24,0,K193&lt;K$26,I$24,K193&lt;K$28,I$26,K193&lt;K$30,I$28,K193&lt;K$32,I$30,K193&lt;K$34,I$32,K193&lt;K$36,I$34,K193&lt;K$38,I$36,K193&lt;K$40,I$38,K193&lt;K$42,I$40,K193&lt;K$44,I$42,K193&lt;K$46,I$44,K193&gt;=K$46,I$46)</f>
        <v/>
      </c>
      <c r="J193" s="37">
        <f>_xlfn.IFS(K193&lt;K$24,0,K193&lt;K$25,J$24,K193&lt;K$26,J$25,K193&lt;K$27,J$26,K193&lt;K$28,J$27,K193&lt;K$29,J$28,K193&lt;K$30,J$29,K193&lt;K$31,J$30,K193&lt;K$32,J$31,K193&lt;K$33,J$32,K193&lt;K$34,J$33,K193&lt;K$35,J$34,K193&lt;K$36,J$35,K193&lt;K$37,J$36,K193&lt;K$38,J$37,K193&lt;K$39,J$38,K193&lt;K$40,J$39,K193&lt;K$41,J$40,K193&lt;K$42,J$41,K193&lt;K$43,J$42,K193&lt;K$44,J$43,K193&lt;K$45,J$44,K193&lt;K$46,J$45,K193&lt;K$47,J$46,K193&gt;=K$47,J$47)</f>
        <v/>
      </c>
      <c r="K193" s="38" t="n">
        <v>143</v>
      </c>
      <c r="L193" s="31">
        <f>K193/52</f>
        <v/>
      </c>
      <c r="M193" s="39">
        <f>J193/1000000*52</f>
        <v/>
      </c>
      <c r="N193" s="33">
        <f>M193/$P$4+($I$22/$P$4)</f>
        <v/>
      </c>
      <c r="U193">
        <f>F192</f>
        <v/>
      </c>
      <c r="V193">
        <f>H192</f>
        <v/>
      </c>
      <c r="W193">
        <f>N192</f>
        <v/>
      </c>
    </row>
    <row r="194" ht="15.75" customHeight="1" s="40">
      <c r="C194" s="36">
        <f>_xlfn.IFS(E194&lt;E$24,0,E194&lt;E$26,C$24,E194&lt;E$28,C$26,E194&lt;E$30,C$28,E194&lt;E$32,C$30,E194&lt;E$34,C$32,E194&gt;=E$34,C$34)</f>
        <v/>
      </c>
      <c r="D194" s="37">
        <f>_xlfn.IFS(E194&lt;E$24,0,E194&lt;E$25,D$24,E194&lt;E$26,D$25,E194&lt;E$27,D$26,E194&lt;E$28,D$27,E194&lt;E$29,D$28,E194&lt;E$30,D$29,E194&lt;E$31,D$30,E194&lt;E$32,D$31,E194&lt;E$33,D$32,E194&lt;E$34,D$33,E194&lt;E$35,D$34,E194&gt;=E$35,D$35)</f>
        <v/>
      </c>
      <c r="E194" s="38" t="n">
        <v>144</v>
      </c>
      <c r="F194" s="31">
        <f>E194/52</f>
        <v/>
      </c>
      <c r="G194" s="39">
        <f>D194/1000000*52</f>
        <v/>
      </c>
      <c r="H194" s="33">
        <f>G194/$P$4+($C$22/$P$4)</f>
        <v/>
      </c>
      <c r="I194" s="36">
        <f>_xlfn.IFS(K194&lt;K$24,0,K194&lt;K$26,I$24,K194&lt;K$28,I$26,K194&lt;K$30,I$28,K194&lt;K$32,I$30,K194&lt;K$34,I$32,K194&lt;K$36,I$34,K194&lt;K$38,I$36,K194&lt;K$40,I$38,K194&lt;K$42,I$40,K194&lt;K$44,I$42,K194&lt;K$46,I$44,K194&gt;=K$46,I$46)</f>
        <v/>
      </c>
      <c r="J194" s="37">
        <f>_xlfn.IFS(K194&lt;K$24,0,K194&lt;K$25,J$24,K194&lt;K$26,J$25,K194&lt;K$27,J$26,K194&lt;K$28,J$27,K194&lt;K$29,J$28,K194&lt;K$30,J$29,K194&lt;K$31,J$30,K194&lt;K$32,J$31,K194&lt;K$33,J$32,K194&lt;K$34,J$33,K194&lt;K$35,J$34,K194&lt;K$36,J$35,K194&lt;K$37,J$36,K194&lt;K$38,J$37,K194&lt;K$39,J$38,K194&lt;K$40,J$39,K194&lt;K$41,J$40,K194&lt;K$42,J$41,K194&lt;K$43,J$42,K194&lt;K$44,J$43,K194&lt;K$45,J$44,K194&lt;K$46,J$45,K194&lt;K$47,J$46,K194&gt;=K$47,J$47)</f>
        <v/>
      </c>
      <c r="K194" s="38" t="n">
        <v>144</v>
      </c>
      <c r="L194" s="31">
        <f>K194/52</f>
        <v/>
      </c>
      <c r="M194" s="39">
        <f>J194/1000000*52</f>
        <v/>
      </c>
      <c r="N194" s="33">
        <f>M194/$P$4+($I$22/$P$4)</f>
        <v/>
      </c>
      <c r="U194">
        <f>F193</f>
        <v/>
      </c>
      <c r="V194">
        <f>H193</f>
        <v/>
      </c>
      <c r="W194">
        <f>N193</f>
        <v/>
      </c>
    </row>
    <row r="195" ht="15.75" customHeight="1" s="40">
      <c r="C195" s="36">
        <f>_xlfn.IFS(E195&lt;E$24,0,E195&lt;E$26,C$24,E195&lt;E$28,C$26,E195&lt;E$30,C$28,E195&lt;E$32,C$30,E195&lt;E$34,C$32,E195&gt;=E$34,C$34)</f>
        <v/>
      </c>
      <c r="D195" s="37">
        <f>_xlfn.IFS(E195&lt;E$24,0,E195&lt;E$25,D$24,E195&lt;E$26,D$25,E195&lt;E$27,D$26,E195&lt;E$28,D$27,E195&lt;E$29,D$28,E195&lt;E$30,D$29,E195&lt;E$31,D$30,E195&lt;E$32,D$31,E195&lt;E$33,D$32,E195&lt;E$34,D$33,E195&lt;E$35,D$34,E195&gt;=E$35,D$35)</f>
        <v/>
      </c>
      <c r="E195" s="38" t="n">
        <v>145</v>
      </c>
      <c r="F195" s="31">
        <f>E195/52</f>
        <v/>
      </c>
      <c r="G195" s="39">
        <f>D195/1000000*52</f>
        <v/>
      </c>
      <c r="H195" s="33">
        <f>G195/$P$4+($C$22/$P$4)</f>
        <v/>
      </c>
      <c r="I195" s="36">
        <f>_xlfn.IFS(K195&lt;K$24,0,K195&lt;K$26,I$24,K195&lt;K$28,I$26,K195&lt;K$30,I$28,K195&lt;K$32,I$30,K195&lt;K$34,I$32,K195&lt;K$36,I$34,K195&lt;K$38,I$36,K195&lt;K$40,I$38,K195&lt;K$42,I$40,K195&lt;K$44,I$42,K195&lt;K$46,I$44,K195&gt;=K$46,I$46)</f>
        <v/>
      </c>
      <c r="J195" s="37">
        <f>_xlfn.IFS(K195&lt;K$24,0,K195&lt;K$25,J$24,K195&lt;K$26,J$25,K195&lt;K$27,J$26,K195&lt;K$28,J$27,K195&lt;K$29,J$28,K195&lt;K$30,J$29,K195&lt;K$31,J$30,K195&lt;K$32,J$31,K195&lt;K$33,J$32,K195&lt;K$34,J$33,K195&lt;K$35,J$34,K195&lt;K$36,J$35,K195&lt;K$37,J$36,K195&lt;K$38,J$37,K195&lt;K$39,J$38,K195&lt;K$40,J$39,K195&lt;K$41,J$40,K195&lt;K$42,J$41,K195&lt;K$43,J$42,K195&lt;K$44,J$43,K195&lt;K$45,J$44,K195&lt;K$46,J$45,K195&lt;K$47,J$46,K195&gt;=K$47,J$47)</f>
        <v/>
      </c>
      <c r="K195" s="38" t="n">
        <v>145</v>
      </c>
      <c r="L195" s="31">
        <f>K195/52</f>
        <v/>
      </c>
      <c r="M195" s="39">
        <f>J195/1000000*52</f>
        <v/>
      </c>
      <c r="N195" s="33">
        <f>M195/$P$4+($I$22/$P$4)</f>
        <v/>
      </c>
      <c r="U195">
        <f>F194</f>
        <v/>
      </c>
      <c r="V195">
        <f>H194</f>
        <v/>
      </c>
      <c r="W195">
        <f>N194</f>
        <v/>
      </c>
    </row>
    <row r="196" ht="15.75" customHeight="1" s="40">
      <c r="C196" s="36">
        <f>_xlfn.IFS(E196&lt;E$24,0,E196&lt;E$26,C$24,E196&lt;E$28,C$26,E196&lt;E$30,C$28,E196&lt;E$32,C$30,E196&lt;E$34,C$32,E196&gt;=E$34,C$34)</f>
        <v/>
      </c>
      <c r="D196" s="37">
        <f>_xlfn.IFS(E196&lt;E$24,0,E196&lt;E$25,D$24,E196&lt;E$26,D$25,E196&lt;E$27,D$26,E196&lt;E$28,D$27,E196&lt;E$29,D$28,E196&lt;E$30,D$29,E196&lt;E$31,D$30,E196&lt;E$32,D$31,E196&lt;E$33,D$32,E196&lt;E$34,D$33,E196&lt;E$35,D$34,E196&gt;=E$35,D$35)</f>
        <v/>
      </c>
      <c r="E196" s="38" t="n">
        <v>146</v>
      </c>
      <c r="F196" s="31">
        <f>E196/52</f>
        <v/>
      </c>
      <c r="G196" s="39">
        <f>D196/1000000*52</f>
        <v/>
      </c>
      <c r="H196" s="33">
        <f>G196/$P$4+($C$22/$P$4)</f>
        <v/>
      </c>
      <c r="I196" s="36">
        <f>_xlfn.IFS(K196&lt;K$24,0,K196&lt;K$26,I$24,K196&lt;K$28,I$26,K196&lt;K$30,I$28,K196&lt;K$32,I$30,K196&lt;K$34,I$32,K196&lt;K$36,I$34,K196&lt;K$38,I$36,K196&lt;K$40,I$38,K196&lt;K$42,I$40,K196&lt;K$44,I$42,K196&lt;K$46,I$44,K196&gt;=K$46,I$46)</f>
        <v/>
      </c>
      <c r="J196" s="37">
        <f>_xlfn.IFS(K196&lt;K$24,0,K196&lt;K$25,J$24,K196&lt;K$26,J$25,K196&lt;K$27,J$26,K196&lt;K$28,J$27,K196&lt;K$29,J$28,K196&lt;K$30,J$29,K196&lt;K$31,J$30,K196&lt;K$32,J$31,K196&lt;K$33,J$32,K196&lt;K$34,J$33,K196&lt;K$35,J$34,K196&lt;K$36,J$35,K196&lt;K$37,J$36,K196&lt;K$38,J$37,K196&lt;K$39,J$38,K196&lt;K$40,J$39,K196&lt;K$41,J$40,K196&lt;K$42,J$41,K196&lt;K$43,J$42,K196&lt;K$44,J$43,K196&lt;K$45,J$44,K196&lt;K$46,J$45,K196&lt;K$47,J$46,K196&gt;=K$47,J$47)</f>
        <v/>
      </c>
      <c r="K196" s="38" t="n">
        <v>146</v>
      </c>
      <c r="L196" s="31">
        <f>K196/52</f>
        <v/>
      </c>
      <c r="M196" s="39">
        <f>J196/1000000*52</f>
        <v/>
      </c>
      <c r="N196" s="33">
        <f>M196/$P$4+($I$22/$P$4)</f>
        <v/>
      </c>
      <c r="U196">
        <f>F195</f>
        <v/>
      </c>
      <c r="V196">
        <f>H195</f>
        <v/>
      </c>
      <c r="W196">
        <f>N195</f>
        <v/>
      </c>
    </row>
    <row r="197" ht="15.75" customHeight="1" s="40">
      <c r="C197" s="36">
        <f>_xlfn.IFS(E197&lt;E$24,0,E197&lt;E$26,C$24,E197&lt;E$28,C$26,E197&lt;E$30,C$28,E197&lt;E$32,C$30,E197&lt;E$34,C$32,E197&gt;=E$34,C$34)</f>
        <v/>
      </c>
      <c r="D197" s="37">
        <f>_xlfn.IFS(E197&lt;E$24,0,E197&lt;E$25,D$24,E197&lt;E$26,D$25,E197&lt;E$27,D$26,E197&lt;E$28,D$27,E197&lt;E$29,D$28,E197&lt;E$30,D$29,E197&lt;E$31,D$30,E197&lt;E$32,D$31,E197&lt;E$33,D$32,E197&lt;E$34,D$33,E197&lt;E$35,D$34,E197&gt;=E$35,D$35)</f>
        <v/>
      </c>
      <c r="E197" s="38" t="n">
        <v>147</v>
      </c>
      <c r="F197" s="31">
        <f>E197/52</f>
        <v/>
      </c>
      <c r="G197" s="39">
        <f>D197/1000000*52</f>
        <v/>
      </c>
      <c r="H197" s="33">
        <f>G197/$P$4+($C$22/$P$4)</f>
        <v/>
      </c>
      <c r="I197" s="36">
        <f>_xlfn.IFS(K197&lt;K$24,0,K197&lt;K$26,I$24,K197&lt;K$28,I$26,K197&lt;K$30,I$28,K197&lt;K$32,I$30,K197&lt;K$34,I$32,K197&lt;K$36,I$34,K197&lt;K$38,I$36,K197&lt;K$40,I$38,K197&lt;K$42,I$40,K197&lt;K$44,I$42,K197&lt;K$46,I$44,K197&gt;=K$46,I$46)</f>
        <v/>
      </c>
      <c r="J197" s="37">
        <f>_xlfn.IFS(K197&lt;K$24,0,K197&lt;K$25,J$24,K197&lt;K$26,J$25,K197&lt;K$27,J$26,K197&lt;K$28,J$27,K197&lt;K$29,J$28,K197&lt;K$30,J$29,K197&lt;K$31,J$30,K197&lt;K$32,J$31,K197&lt;K$33,J$32,K197&lt;K$34,J$33,K197&lt;K$35,J$34,K197&lt;K$36,J$35,K197&lt;K$37,J$36,K197&lt;K$38,J$37,K197&lt;K$39,J$38,K197&lt;K$40,J$39,K197&lt;K$41,J$40,K197&lt;K$42,J$41,K197&lt;K$43,J$42,K197&lt;K$44,J$43,K197&lt;K$45,J$44,K197&lt;K$46,J$45,K197&lt;K$47,J$46,K197&gt;=K$47,J$47)</f>
        <v/>
      </c>
      <c r="K197" s="38" t="n">
        <v>147</v>
      </c>
      <c r="L197" s="31">
        <f>K197/52</f>
        <v/>
      </c>
      <c r="M197" s="39">
        <f>J197/1000000*52</f>
        <v/>
      </c>
      <c r="N197" s="33">
        <f>M197/$P$4+($I$22/$P$4)</f>
        <v/>
      </c>
      <c r="U197">
        <f>F196</f>
        <v/>
      </c>
      <c r="V197">
        <f>H196</f>
        <v/>
      </c>
      <c r="W197">
        <f>N196</f>
        <v/>
      </c>
    </row>
    <row r="198" ht="15.75" customHeight="1" s="40">
      <c r="C198" s="36">
        <f>_xlfn.IFS(E198&lt;E$24,0,E198&lt;E$26,C$24,E198&lt;E$28,C$26,E198&lt;E$30,C$28,E198&lt;E$32,C$30,E198&lt;E$34,C$32,E198&gt;=E$34,C$34)</f>
        <v/>
      </c>
      <c r="D198" s="37">
        <f>_xlfn.IFS(E198&lt;E$24,0,E198&lt;E$25,D$24,E198&lt;E$26,D$25,E198&lt;E$27,D$26,E198&lt;E$28,D$27,E198&lt;E$29,D$28,E198&lt;E$30,D$29,E198&lt;E$31,D$30,E198&lt;E$32,D$31,E198&lt;E$33,D$32,E198&lt;E$34,D$33,E198&lt;E$35,D$34,E198&gt;=E$35,D$35)</f>
        <v/>
      </c>
      <c r="E198" s="38" t="n">
        <v>148</v>
      </c>
      <c r="F198" s="31">
        <f>E198/52</f>
        <v/>
      </c>
      <c r="G198" s="39">
        <f>D198/1000000*52</f>
        <v/>
      </c>
      <c r="H198" s="33">
        <f>G198/$P$4+($C$22/$P$4)</f>
        <v/>
      </c>
      <c r="I198" s="36">
        <f>_xlfn.IFS(K198&lt;K$24,0,K198&lt;K$26,I$24,K198&lt;K$28,I$26,K198&lt;K$30,I$28,K198&lt;K$32,I$30,K198&lt;K$34,I$32,K198&lt;K$36,I$34,K198&lt;K$38,I$36,K198&lt;K$40,I$38,K198&lt;K$42,I$40,K198&lt;K$44,I$42,K198&lt;K$46,I$44,K198&gt;=K$46,I$46)</f>
        <v/>
      </c>
      <c r="J198" s="37">
        <f>_xlfn.IFS(K198&lt;K$24,0,K198&lt;K$25,J$24,K198&lt;K$26,J$25,K198&lt;K$27,J$26,K198&lt;K$28,J$27,K198&lt;K$29,J$28,K198&lt;K$30,J$29,K198&lt;K$31,J$30,K198&lt;K$32,J$31,K198&lt;K$33,J$32,K198&lt;K$34,J$33,K198&lt;K$35,J$34,K198&lt;K$36,J$35,K198&lt;K$37,J$36,K198&lt;K$38,J$37,K198&lt;K$39,J$38,K198&lt;K$40,J$39,K198&lt;K$41,J$40,K198&lt;K$42,J$41,K198&lt;K$43,J$42,K198&lt;K$44,J$43,K198&lt;K$45,J$44,K198&lt;K$46,J$45,K198&lt;K$47,J$46,K198&gt;=K$47,J$47)</f>
        <v/>
      </c>
      <c r="K198" s="38" t="n">
        <v>148</v>
      </c>
      <c r="L198" s="31">
        <f>K198/52</f>
        <v/>
      </c>
      <c r="M198" s="39">
        <f>J198/1000000*52</f>
        <v/>
      </c>
      <c r="N198" s="33">
        <f>M198/$P$4+($I$22/$P$4)</f>
        <v/>
      </c>
      <c r="U198">
        <f>F197</f>
        <v/>
      </c>
      <c r="V198">
        <f>H197</f>
        <v/>
      </c>
      <c r="W198">
        <f>N197</f>
        <v/>
      </c>
    </row>
    <row r="199" ht="15.75" customHeight="1" s="40">
      <c r="C199" s="36">
        <f>_xlfn.IFS(E199&lt;E$24,0,E199&lt;E$26,C$24,E199&lt;E$28,C$26,E199&lt;E$30,C$28,E199&lt;E$32,C$30,E199&lt;E$34,C$32,E199&gt;=E$34,C$34)</f>
        <v/>
      </c>
      <c r="D199" s="37">
        <f>_xlfn.IFS(E199&lt;E$24,0,E199&lt;E$25,D$24,E199&lt;E$26,D$25,E199&lt;E$27,D$26,E199&lt;E$28,D$27,E199&lt;E$29,D$28,E199&lt;E$30,D$29,E199&lt;E$31,D$30,E199&lt;E$32,D$31,E199&lt;E$33,D$32,E199&lt;E$34,D$33,E199&lt;E$35,D$34,E199&gt;=E$35,D$35)</f>
        <v/>
      </c>
      <c r="E199" s="38" t="n">
        <v>149</v>
      </c>
      <c r="F199" s="31">
        <f>E199/52</f>
        <v/>
      </c>
      <c r="G199" s="39">
        <f>D199/1000000*52</f>
        <v/>
      </c>
      <c r="H199" s="33">
        <f>G199/$P$4+($C$22/$P$4)</f>
        <v/>
      </c>
      <c r="I199" s="36">
        <f>_xlfn.IFS(K199&lt;K$24,0,K199&lt;K$26,I$24,K199&lt;K$28,I$26,K199&lt;K$30,I$28,K199&lt;K$32,I$30,K199&lt;K$34,I$32,K199&lt;K$36,I$34,K199&lt;K$38,I$36,K199&lt;K$40,I$38,K199&lt;K$42,I$40,K199&lt;K$44,I$42,K199&lt;K$46,I$44,K199&gt;=K$46,I$46)</f>
        <v/>
      </c>
      <c r="J199" s="37">
        <f>_xlfn.IFS(K199&lt;K$24,0,K199&lt;K$25,J$24,K199&lt;K$26,J$25,K199&lt;K$27,J$26,K199&lt;K$28,J$27,K199&lt;K$29,J$28,K199&lt;K$30,J$29,K199&lt;K$31,J$30,K199&lt;K$32,J$31,K199&lt;K$33,J$32,K199&lt;K$34,J$33,K199&lt;K$35,J$34,K199&lt;K$36,J$35,K199&lt;K$37,J$36,K199&lt;K$38,J$37,K199&lt;K$39,J$38,K199&lt;K$40,J$39,K199&lt;K$41,J$40,K199&lt;K$42,J$41,K199&lt;K$43,J$42,K199&lt;K$44,J$43,K199&lt;K$45,J$44,K199&lt;K$46,J$45,K199&lt;K$47,J$46,K199&gt;=K$47,J$47)</f>
        <v/>
      </c>
      <c r="K199" s="38" t="n">
        <v>149</v>
      </c>
      <c r="L199" s="31">
        <f>K199/52</f>
        <v/>
      </c>
      <c r="M199" s="39">
        <f>J199/1000000*52</f>
        <v/>
      </c>
      <c r="N199" s="33">
        <f>M199/$P$4+($I$22/$P$4)</f>
        <v/>
      </c>
      <c r="U199">
        <f>F198</f>
        <v/>
      </c>
      <c r="V199">
        <f>H198</f>
        <v/>
      </c>
      <c r="W199">
        <f>N198</f>
        <v/>
      </c>
    </row>
    <row r="200" ht="15.75" customHeight="1" s="40">
      <c r="C200" s="36">
        <f>_xlfn.IFS(E200&lt;E$24,0,E200&lt;E$26,C$24,E200&lt;E$28,C$26,E200&lt;E$30,C$28,E200&lt;E$32,C$30,E200&lt;E$34,C$32,E200&gt;=E$34,C$34)</f>
        <v/>
      </c>
      <c r="D200" s="37">
        <f>_xlfn.IFS(E200&lt;E$24,0,E200&lt;E$25,D$24,E200&lt;E$26,D$25,E200&lt;E$27,D$26,E200&lt;E$28,D$27,E200&lt;E$29,D$28,E200&lt;E$30,D$29,E200&lt;E$31,D$30,E200&lt;E$32,D$31,E200&lt;E$33,D$32,E200&lt;E$34,D$33,E200&lt;E$35,D$34,E200&gt;=E$35,D$35)</f>
        <v/>
      </c>
      <c r="E200" s="38" t="n">
        <v>150</v>
      </c>
      <c r="F200" s="31">
        <f>E200/52</f>
        <v/>
      </c>
      <c r="G200" s="39">
        <f>D200/1000000*52</f>
        <v/>
      </c>
      <c r="H200" s="33">
        <f>G200/$P$4+($C$22/$P$4)</f>
        <v/>
      </c>
      <c r="I200" s="36">
        <f>_xlfn.IFS(K200&lt;K$24,0,K200&lt;K$26,I$24,K200&lt;K$28,I$26,K200&lt;K$30,I$28,K200&lt;K$32,I$30,K200&lt;K$34,I$32,K200&lt;K$36,I$34,K200&lt;K$38,I$36,K200&lt;K$40,I$38,K200&lt;K$42,I$40,K200&lt;K$44,I$42,K200&lt;K$46,I$44,K200&gt;=K$46,I$46)</f>
        <v/>
      </c>
      <c r="J200" s="37">
        <f>_xlfn.IFS(K200&lt;K$24,0,K200&lt;K$25,J$24,K200&lt;K$26,J$25,K200&lt;K$27,J$26,K200&lt;K$28,J$27,K200&lt;K$29,J$28,K200&lt;K$30,J$29,K200&lt;K$31,J$30,K200&lt;K$32,J$31,K200&lt;K$33,J$32,K200&lt;K$34,J$33,K200&lt;K$35,J$34,K200&lt;K$36,J$35,K200&lt;K$37,J$36,K200&lt;K$38,J$37,K200&lt;K$39,J$38,K200&lt;K$40,J$39,K200&lt;K$41,J$40,K200&lt;K$42,J$41,K200&lt;K$43,J$42,K200&lt;K$44,J$43,K200&lt;K$45,J$44,K200&lt;K$46,J$45,K200&lt;K$47,J$46,K200&gt;=K$47,J$47)</f>
        <v/>
      </c>
      <c r="K200" s="38" t="n">
        <v>150</v>
      </c>
      <c r="L200" s="31">
        <f>K200/52</f>
        <v/>
      </c>
      <c r="M200" s="39">
        <f>J200/1000000*52</f>
        <v/>
      </c>
      <c r="N200" s="33">
        <f>M200/$P$4+($I$22/$P$4)</f>
        <v/>
      </c>
      <c r="U200">
        <f>F199</f>
        <v/>
      </c>
      <c r="V200">
        <f>H199</f>
        <v/>
      </c>
      <c r="W200">
        <f>N199</f>
        <v/>
      </c>
    </row>
    <row r="201" ht="15.75" customHeight="1" s="40">
      <c r="C201" s="36">
        <f>_xlfn.IFS(E201&lt;E$24,0,E201&lt;E$26,C$24,E201&lt;E$28,C$26,E201&lt;E$30,C$28,E201&lt;E$32,C$30,E201&lt;E$34,C$32,E201&gt;=E$34,C$34)</f>
        <v/>
      </c>
      <c r="D201" s="37">
        <f>_xlfn.IFS(E201&lt;E$24,0,E201&lt;E$25,D$24,E201&lt;E$26,D$25,E201&lt;E$27,D$26,E201&lt;E$28,D$27,E201&lt;E$29,D$28,E201&lt;E$30,D$29,E201&lt;E$31,D$30,E201&lt;E$32,D$31,E201&lt;E$33,D$32,E201&lt;E$34,D$33,E201&lt;E$35,D$34,E201&gt;=E$35,D$35)</f>
        <v/>
      </c>
      <c r="E201" s="38" t="n">
        <v>151</v>
      </c>
      <c r="F201" s="31">
        <f>E201/52</f>
        <v/>
      </c>
      <c r="G201" s="39">
        <f>D201/1000000*52</f>
        <v/>
      </c>
      <c r="H201" s="33">
        <f>G201/$P$4+($C$22/$P$4)</f>
        <v/>
      </c>
      <c r="I201" s="36">
        <f>_xlfn.IFS(K201&lt;K$24,0,K201&lt;K$26,I$24,K201&lt;K$28,I$26,K201&lt;K$30,I$28,K201&lt;K$32,I$30,K201&lt;K$34,I$32,K201&lt;K$36,I$34,K201&lt;K$38,I$36,K201&lt;K$40,I$38,K201&lt;K$42,I$40,K201&lt;K$44,I$42,K201&lt;K$46,I$44,K201&gt;=K$46,I$46)</f>
        <v/>
      </c>
      <c r="J201" s="37">
        <f>_xlfn.IFS(K201&lt;K$24,0,K201&lt;K$25,J$24,K201&lt;K$26,J$25,K201&lt;K$27,J$26,K201&lt;K$28,J$27,K201&lt;K$29,J$28,K201&lt;K$30,J$29,K201&lt;K$31,J$30,K201&lt;K$32,J$31,K201&lt;K$33,J$32,K201&lt;K$34,J$33,K201&lt;K$35,J$34,K201&lt;K$36,J$35,K201&lt;K$37,J$36,K201&lt;K$38,J$37,K201&lt;K$39,J$38,K201&lt;K$40,J$39,K201&lt;K$41,J$40,K201&lt;K$42,J$41,K201&lt;K$43,J$42,K201&lt;K$44,J$43,K201&lt;K$45,J$44,K201&lt;K$46,J$45,K201&lt;K$47,J$46,K201&gt;=K$47,J$47)</f>
        <v/>
      </c>
      <c r="K201" s="38" t="n">
        <v>151</v>
      </c>
      <c r="L201" s="31">
        <f>K201/52</f>
        <v/>
      </c>
      <c r="M201" s="39">
        <f>J201/1000000*52</f>
        <v/>
      </c>
      <c r="N201" s="33">
        <f>M201/$P$4+($I$22/$P$4)</f>
        <v/>
      </c>
      <c r="U201">
        <f>F200</f>
        <v/>
      </c>
      <c r="V201">
        <f>H200</f>
        <v/>
      </c>
      <c r="W201">
        <f>N200</f>
        <v/>
      </c>
    </row>
    <row r="202" ht="15.75" customHeight="1" s="40">
      <c r="C202" s="36">
        <f>_xlfn.IFS(E202&lt;E$24,0,E202&lt;E$26,C$24,E202&lt;E$28,C$26,E202&lt;E$30,C$28,E202&lt;E$32,C$30,E202&lt;E$34,C$32,E202&gt;=E$34,C$34)</f>
        <v/>
      </c>
      <c r="D202" s="37">
        <f>_xlfn.IFS(E202&lt;E$24,0,E202&lt;E$25,D$24,E202&lt;E$26,D$25,E202&lt;E$27,D$26,E202&lt;E$28,D$27,E202&lt;E$29,D$28,E202&lt;E$30,D$29,E202&lt;E$31,D$30,E202&lt;E$32,D$31,E202&lt;E$33,D$32,E202&lt;E$34,D$33,E202&lt;E$35,D$34,E202&gt;=E$35,D$35)</f>
        <v/>
      </c>
      <c r="E202" s="38" t="n">
        <v>152</v>
      </c>
      <c r="F202" s="31">
        <f>E202/52</f>
        <v/>
      </c>
      <c r="G202" s="39">
        <f>D202/1000000*52</f>
        <v/>
      </c>
      <c r="H202" s="33">
        <f>G202/$P$4+($C$22/$P$4)</f>
        <v/>
      </c>
      <c r="I202" s="36">
        <f>_xlfn.IFS(K202&lt;K$24,0,K202&lt;K$26,I$24,K202&lt;K$28,I$26,K202&lt;K$30,I$28,K202&lt;K$32,I$30,K202&lt;K$34,I$32,K202&lt;K$36,I$34,K202&lt;K$38,I$36,K202&lt;K$40,I$38,K202&lt;K$42,I$40,K202&lt;K$44,I$42,K202&lt;K$46,I$44,K202&gt;=K$46,I$46)</f>
        <v/>
      </c>
      <c r="J202" s="37">
        <f>_xlfn.IFS(K202&lt;K$24,0,K202&lt;K$25,J$24,K202&lt;K$26,J$25,K202&lt;K$27,J$26,K202&lt;K$28,J$27,K202&lt;K$29,J$28,K202&lt;K$30,J$29,K202&lt;K$31,J$30,K202&lt;K$32,J$31,K202&lt;K$33,J$32,K202&lt;K$34,J$33,K202&lt;K$35,J$34,K202&lt;K$36,J$35,K202&lt;K$37,J$36,K202&lt;K$38,J$37,K202&lt;K$39,J$38,K202&lt;K$40,J$39,K202&lt;K$41,J$40,K202&lt;K$42,J$41,K202&lt;K$43,J$42,K202&lt;K$44,J$43,K202&lt;K$45,J$44,K202&lt;K$46,J$45,K202&lt;K$47,J$46,K202&gt;=K$47,J$47)</f>
        <v/>
      </c>
      <c r="K202" s="38" t="n">
        <v>152</v>
      </c>
      <c r="L202" s="31">
        <f>K202/52</f>
        <v/>
      </c>
      <c r="M202" s="39">
        <f>J202/1000000*52</f>
        <v/>
      </c>
      <c r="N202" s="33">
        <f>M202/$P$4+($I$22/$P$4)</f>
        <v/>
      </c>
      <c r="U202">
        <f>F201</f>
        <v/>
      </c>
      <c r="V202">
        <f>H201</f>
        <v/>
      </c>
      <c r="W202">
        <f>N201</f>
        <v/>
      </c>
    </row>
    <row r="203" ht="15.75" customHeight="1" s="40">
      <c r="C203" s="36">
        <f>_xlfn.IFS(E203&lt;E$24,0,E203&lt;E$26,C$24,E203&lt;E$28,C$26,E203&lt;E$30,C$28,E203&lt;E$32,C$30,E203&lt;E$34,C$32,E203&gt;=E$34,C$34)</f>
        <v/>
      </c>
      <c r="D203" s="37">
        <f>_xlfn.IFS(E203&lt;E$24,0,E203&lt;E$25,D$24,E203&lt;E$26,D$25,E203&lt;E$27,D$26,E203&lt;E$28,D$27,E203&lt;E$29,D$28,E203&lt;E$30,D$29,E203&lt;E$31,D$30,E203&lt;E$32,D$31,E203&lt;E$33,D$32,E203&lt;E$34,D$33,E203&lt;E$35,D$34,E203&gt;=E$35,D$35)</f>
        <v/>
      </c>
      <c r="E203" s="38" t="n">
        <v>153</v>
      </c>
      <c r="F203" s="31">
        <f>E203/52</f>
        <v/>
      </c>
      <c r="G203" s="39">
        <f>D203/1000000*52</f>
        <v/>
      </c>
      <c r="H203" s="33">
        <f>G203/$P$4+($C$22/$P$4)</f>
        <v/>
      </c>
      <c r="I203" s="36">
        <f>_xlfn.IFS(K203&lt;K$24,0,K203&lt;K$26,I$24,K203&lt;K$28,I$26,K203&lt;K$30,I$28,K203&lt;K$32,I$30,K203&lt;K$34,I$32,K203&lt;K$36,I$34,K203&lt;K$38,I$36,K203&lt;K$40,I$38,K203&lt;K$42,I$40,K203&lt;K$44,I$42,K203&lt;K$46,I$44,K203&gt;=K$46,I$46)</f>
        <v/>
      </c>
      <c r="J203" s="37">
        <f>_xlfn.IFS(K203&lt;K$24,0,K203&lt;K$25,J$24,K203&lt;K$26,J$25,K203&lt;K$27,J$26,K203&lt;K$28,J$27,K203&lt;K$29,J$28,K203&lt;K$30,J$29,K203&lt;K$31,J$30,K203&lt;K$32,J$31,K203&lt;K$33,J$32,K203&lt;K$34,J$33,K203&lt;K$35,J$34,K203&lt;K$36,J$35,K203&lt;K$37,J$36,K203&lt;K$38,J$37,K203&lt;K$39,J$38,K203&lt;K$40,J$39,K203&lt;K$41,J$40,K203&lt;K$42,J$41,K203&lt;K$43,J$42,K203&lt;K$44,J$43,K203&lt;K$45,J$44,K203&lt;K$46,J$45,K203&lt;K$47,J$46,K203&gt;=K$47,J$47)</f>
        <v/>
      </c>
      <c r="K203" s="38" t="n">
        <v>153</v>
      </c>
      <c r="L203" s="31">
        <f>K203/52</f>
        <v/>
      </c>
      <c r="M203" s="39">
        <f>J203/1000000*52</f>
        <v/>
      </c>
      <c r="N203" s="33">
        <f>M203/$P$4+($I$22/$P$4)</f>
        <v/>
      </c>
      <c r="U203">
        <f>F202</f>
        <v/>
      </c>
      <c r="V203">
        <f>H202</f>
        <v/>
      </c>
      <c r="W203">
        <f>N202</f>
        <v/>
      </c>
    </row>
    <row r="204" ht="15.75" customHeight="1" s="40">
      <c r="C204" s="36">
        <f>_xlfn.IFS(E204&lt;E$24,0,E204&lt;E$26,C$24,E204&lt;E$28,C$26,E204&lt;E$30,C$28,E204&lt;E$32,C$30,E204&lt;E$34,C$32,E204&gt;=E$34,C$34)</f>
        <v/>
      </c>
      <c r="D204" s="37">
        <f>_xlfn.IFS(E204&lt;E$24,0,E204&lt;E$25,D$24,E204&lt;E$26,D$25,E204&lt;E$27,D$26,E204&lt;E$28,D$27,E204&lt;E$29,D$28,E204&lt;E$30,D$29,E204&lt;E$31,D$30,E204&lt;E$32,D$31,E204&lt;E$33,D$32,E204&lt;E$34,D$33,E204&lt;E$35,D$34,E204&gt;=E$35,D$35)</f>
        <v/>
      </c>
      <c r="E204" s="38" t="n">
        <v>154</v>
      </c>
      <c r="F204" s="31">
        <f>E204/52</f>
        <v/>
      </c>
      <c r="G204" s="39">
        <f>D204/1000000*52</f>
        <v/>
      </c>
      <c r="H204" s="33">
        <f>G204/$P$4+($C$22/$P$4)</f>
        <v/>
      </c>
      <c r="I204" s="36">
        <f>_xlfn.IFS(K204&lt;K$24,0,K204&lt;K$26,I$24,K204&lt;K$28,I$26,K204&lt;K$30,I$28,K204&lt;K$32,I$30,K204&lt;K$34,I$32,K204&lt;K$36,I$34,K204&lt;K$38,I$36,K204&lt;K$40,I$38,K204&lt;K$42,I$40,K204&lt;K$44,I$42,K204&lt;K$46,I$44,K204&gt;=K$46,I$46)</f>
        <v/>
      </c>
      <c r="J204" s="37">
        <f>_xlfn.IFS(K204&lt;K$24,0,K204&lt;K$25,J$24,K204&lt;K$26,J$25,K204&lt;K$27,J$26,K204&lt;K$28,J$27,K204&lt;K$29,J$28,K204&lt;K$30,J$29,K204&lt;K$31,J$30,K204&lt;K$32,J$31,K204&lt;K$33,J$32,K204&lt;K$34,J$33,K204&lt;K$35,J$34,K204&lt;K$36,J$35,K204&lt;K$37,J$36,K204&lt;K$38,J$37,K204&lt;K$39,J$38,K204&lt;K$40,J$39,K204&lt;K$41,J$40,K204&lt;K$42,J$41,K204&lt;K$43,J$42,K204&lt;K$44,J$43,K204&lt;K$45,J$44,K204&lt;K$46,J$45,K204&lt;K$47,J$46,K204&gt;=K$47,J$47)</f>
        <v/>
      </c>
      <c r="K204" s="38" t="n">
        <v>154</v>
      </c>
      <c r="L204" s="31">
        <f>K204/52</f>
        <v/>
      </c>
      <c r="M204" s="39">
        <f>J204/1000000*52</f>
        <v/>
      </c>
      <c r="N204" s="33">
        <f>M204/$P$4+($I$22/$P$4)</f>
        <v/>
      </c>
      <c r="U204">
        <f>F203</f>
        <v/>
      </c>
      <c r="V204">
        <f>H203</f>
        <v/>
      </c>
      <c r="W204">
        <f>N203</f>
        <v/>
      </c>
    </row>
    <row r="205" ht="15.75" customHeight="1" s="40">
      <c r="C205" s="36">
        <f>_xlfn.IFS(E205&lt;E$24,0,E205&lt;E$26,C$24,E205&lt;E$28,C$26,E205&lt;E$30,C$28,E205&lt;E$32,C$30,E205&lt;E$34,C$32,E205&gt;=E$34,C$34)</f>
        <v/>
      </c>
      <c r="D205" s="37">
        <f>_xlfn.IFS(E205&lt;E$24,0,E205&lt;E$25,D$24,E205&lt;E$26,D$25,E205&lt;E$27,D$26,E205&lt;E$28,D$27,E205&lt;E$29,D$28,E205&lt;E$30,D$29,E205&lt;E$31,D$30,E205&lt;E$32,D$31,E205&lt;E$33,D$32,E205&lt;E$34,D$33,E205&lt;E$35,D$34,E205&gt;=E$35,D$35)</f>
        <v/>
      </c>
      <c r="E205" s="38" t="n">
        <v>155</v>
      </c>
      <c r="F205" s="31">
        <f>E205/52</f>
        <v/>
      </c>
      <c r="G205" s="39">
        <f>D205/1000000*52</f>
        <v/>
      </c>
      <c r="H205" s="33">
        <f>G205/$P$4+($C$22/$P$4)</f>
        <v/>
      </c>
      <c r="I205" s="36">
        <f>_xlfn.IFS(K205&lt;K$24,0,K205&lt;K$26,I$24,K205&lt;K$28,I$26,K205&lt;K$30,I$28,K205&lt;K$32,I$30,K205&lt;K$34,I$32,K205&lt;K$36,I$34,K205&lt;K$38,I$36,K205&lt;K$40,I$38,K205&lt;K$42,I$40,K205&lt;K$44,I$42,K205&lt;K$46,I$44,K205&gt;=K$46,I$46)</f>
        <v/>
      </c>
      <c r="J205" s="37">
        <f>_xlfn.IFS(K205&lt;K$24,0,K205&lt;K$25,J$24,K205&lt;K$26,J$25,K205&lt;K$27,J$26,K205&lt;K$28,J$27,K205&lt;K$29,J$28,K205&lt;K$30,J$29,K205&lt;K$31,J$30,K205&lt;K$32,J$31,K205&lt;K$33,J$32,K205&lt;K$34,J$33,K205&lt;K$35,J$34,K205&lt;K$36,J$35,K205&lt;K$37,J$36,K205&lt;K$38,J$37,K205&lt;K$39,J$38,K205&lt;K$40,J$39,K205&lt;K$41,J$40,K205&lt;K$42,J$41,K205&lt;K$43,J$42,K205&lt;K$44,J$43,K205&lt;K$45,J$44,K205&lt;K$46,J$45,K205&lt;K$47,J$46,K205&gt;=K$47,J$47)</f>
        <v/>
      </c>
      <c r="K205" s="38" t="n">
        <v>155</v>
      </c>
      <c r="L205" s="31">
        <f>K205/52</f>
        <v/>
      </c>
      <c r="M205" s="39">
        <f>J205/1000000*52</f>
        <v/>
      </c>
      <c r="N205" s="33">
        <f>M205/$P$4+($I$22/$P$4)</f>
        <v/>
      </c>
      <c r="U205">
        <f>F204</f>
        <v/>
      </c>
      <c r="V205">
        <f>H204</f>
        <v/>
      </c>
      <c r="W205">
        <f>N204</f>
        <v/>
      </c>
    </row>
    <row r="206" ht="15.75" customHeight="1" s="40">
      <c r="C206" s="36">
        <f>_xlfn.IFS(E206&lt;E$24,0,E206&lt;E$26,C$24,E206&lt;E$28,C$26,E206&lt;E$30,C$28,E206&lt;E$32,C$30,E206&lt;E$34,C$32,E206&gt;=E$34,C$34)</f>
        <v/>
      </c>
      <c r="D206" s="37">
        <f>_xlfn.IFS(E206&lt;E$24,0,E206&lt;E$25,D$24,E206&lt;E$26,D$25,E206&lt;E$27,D$26,E206&lt;E$28,D$27,E206&lt;E$29,D$28,E206&lt;E$30,D$29,E206&lt;E$31,D$30,E206&lt;E$32,D$31,E206&lt;E$33,D$32,E206&lt;E$34,D$33,E206&lt;E$35,D$34,E206&gt;=E$35,D$35)</f>
        <v/>
      </c>
      <c r="E206" s="38" t="n">
        <v>156</v>
      </c>
      <c r="F206" s="31">
        <f>E206/52</f>
        <v/>
      </c>
      <c r="G206" s="39">
        <f>D206/1000000*52</f>
        <v/>
      </c>
      <c r="H206" s="33">
        <f>G206/$P$4+($C$22/$P$4)</f>
        <v/>
      </c>
      <c r="I206" s="36">
        <f>_xlfn.IFS(K206&lt;K$24,0,K206&lt;K$26,I$24,K206&lt;K$28,I$26,K206&lt;K$30,I$28,K206&lt;K$32,I$30,K206&lt;K$34,I$32,K206&lt;K$36,I$34,K206&lt;K$38,I$36,K206&lt;K$40,I$38,K206&lt;K$42,I$40,K206&lt;K$44,I$42,K206&lt;K$46,I$44,K206&gt;=K$46,I$46)</f>
        <v/>
      </c>
      <c r="J206" s="37">
        <f>_xlfn.IFS(K206&lt;K$24,0,K206&lt;K$25,J$24,K206&lt;K$26,J$25,K206&lt;K$27,J$26,K206&lt;K$28,J$27,K206&lt;K$29,J$28,K206&lt;K$30,J$29,K206&lt;K$31,J$30,K206&lt;K$32,J$31,K206&lt;K$33,J$32,K206&lt;K$34,J$33,K206&lt;K$35,J$34,K206&lt;K$36,J$35,K206&lt;K$37,J$36,K206&lt;K$38,J$37,K206&lt;K$39,J$38,K206&lt;K$40,J$39,K206&lt;K$41,J$40,K206&lt;K$42,J$41,K206&lt;K$43,J$42,K206&lt;K$44,J$43,K206&lt;K$45,J$44,K206&lt;K$46,J$45,K206&lt;K$47,J$46,K206&gt;=K$47,J$47)</f>
        <v/>
      </c>
      <c r="K206" s="38" t="n">
        <v>156</v>
      </c>
      <c r="L206" s="31">
        <f>K206/52</f>
        <v/>
      </c>
      <c r="M206" s="39">
        <f>J206/1000000*52</f>
        <v/>
      </c>
      <c r="N206" s="33">
        <f>M206/$P$4+($I$22/$P$4)</f>
        <v/>
      </c>
      <c r="U206">
        <f>F205</f>
        <v/>
      </c>
      <c r="V206">
        <f>H205</f>
        <v/>
      </c>
      <c r="W206">
        <f>N205</f>
        <v/>
      </c>
    </row>
    <row r="207" ht="15.75" customHeight="1" s="40">
      <c r="C207" s="36">
        <f>_xlfn.IFS(E207&lt;E$24,0,E207&lt;E$26,C$24,E207&lt;E$28,C$26,E207&lt;E$30,C$28,E207&lt;E$32,C$30,E207&lt;E$34,C$32,E207&gt;=E$34,C$34)</f>
        <v/>
      </c>
      <c r="D207" s="37">
        <f>_xlfn.IFS(E207&lt;E$24,0,E207&lt;E$25,D$24,E207&lt;E$26,D$25,E207&lt;E$27,D$26,E207&lt;E$28,D$27,E207&lt;E$29,D$28,E207&lt;E$30,D$29,E207&lt;E$31,D$30,E207&lt;E$32,D$31,E207&lt;E$33,D$32,E207&lt;E$34,D$33,E207&lt;E$35,D$34,E207&gt;=E$35,D$35)</f>
        <v/>
      </c>
      <c r="E207" s="38" t="n">
        <v>157</v>
      </c>
      <c r="F207" s="31">
        <f>E207/52</f>
        <v/>
      </c>
      <c r="G207" s="39">
        <f>D207/1000000*52</f>
        <v/>
      </c>
      <c r="H207" s="33">
        <f>G207/$P$4+($C$22/$P$4)</f>
        <v/>
      </c>
      <c r="I207" s="36">
        <f>_xlfn.IFS(K207&lt;K$24,0,K207&lt;K$26,I$24,K207&lt;K$28,I$26,K207&lt;K$30,I$28,K207&lt;K$32,I$30,K207&lt;K$34,I$32,K207&lt;K$36,I$34,K207&lt;K$38,I$36,K207&lt;K$40,I$38,K207&lt;K$42,I$40,K207&lt;K$44,I$42,K207&lt;K$46,I$44,K207&gt;=K$46,I$46)</f>
        <v/>
      </c>
      <c r="J207" s="37">
        <f>_xlfn.IFS(K207&lt;K$24,0,K207&lt;K$25,J$24,K207&lt;K$26,J$25,K207&lt;K$27,J$26,K207&lt;K$28,J$27,K207&lt;K$29,J$28,K207&lt;K$30,J$29,K207&lt;K$31,J$30,K207&lt;K$32,J$31,K207&lt;K$33,J$32,K207&lt;K$34,J$33,K207&lt;K$35,J$34,K207&lt;K$36,J$35,K207&lt;K$37,J$36,K207&lt;K$38,J$37,K207&lt;K$39,J$38,K207&lt;K$40,J$39,K207&lt;K$41,J$40,K207&lt;K$42,J$41,K207&lt;K$43,J$42,K207&lt;K$44,J$43,K207&lt;K$45,J$44,K207&lt;K$46,J$45,K207&lt;K$47,J$46,K207&gt;=K$47,J$47)</f>
        <v/>
      </c>
      <c r="K207" s="38" t="n">
        <v>157</v>
      </c>
      <c r="L207" s="31">
        <f>K207/52</f>
        <v/>
      </c>
      <c r="M207" s="39">
        <f>J207/1000000*52</f>
        <v/>
      </c>
      <c r="N207" s="33">
        <f>M207/$P$4+($I$22/$P$4)</f>
        <v/>
      </c>
      <c r="U207">
        <f>F206</f>
        <v/>
      </c>
      <c r="V207">
        <f>H206</f>
        <v/>
      </c>
      <c r="W207">
        <f>N206</f>
        <v/>
      </c>
    </row>
    <row r="208" ht="15.75" customHeight="1" s="40">
      <c r="C208" s="36">
        <f>_xlfn.IFS(E208&lt;E$24,0,E208&lt;E$26,C$24,E208&lt;E$28,C$26,E208&lt;E$30,C$28,E208&lt;E$32,C$30,E208&lt;E$34,C$32,E208&gt;=E$34,C$34)</f>
        <v/>
      </c>
      <c r="D208" s="37">
        <f>_xlfn.IFS(E208&lt;E$24,0,E208&lt;E$25,D$24,E208&lt;E$26,D$25,E208&lt;E$27,D$26,E208&lt;E$28,D$27,E208&lt;E$29,D$28,E208&lt;E$30,D$29,E208&lt;E$31,D$30,E208&lt;E$32,D$31,E208&lt;E$33,D$32,E208&lt;E$34,D$33,E208&lt;E$35,D$34,E208&gt;=E$35,D$35)</f>
        <v/>
      </c>
      <c r="E208" s="38" t="n">
        <v>158</v>
      </c>
      <c r="F208" s="31">
        <f>E208/52</f>
        <v/>
      </c>
      <c r="G208" s="39">
        <f>D208/1000000*52</f>
        <v/>
      </c>
      <c r="H208" s="33">
        <f>G208/$P$4+($C$22/$P$4)</f>
        <v/>
      </c>
      <c r="I208" s="36">
        <f>_xlfn.IFS(K208&lt;K$24,0,K208&lt;K$26,I$24,K208&lt;K$28,I$26,K208&lt;K$30,I$28,K208&lt;K$32,I$30,K208&lt;K$34,I$32,K208&lt;K$36,I$34,K208&lt;K$38,I$36,K208&lt;K$40,I$38,K208&lt;K$42,I$40,K208&lt;K$44,I$42,K208&lt;K$46,I$44,K208&gt;=K$46,I$46)</f>
        <v/>
      </c>
      <c r="J208" s="37">
        <f>_xlfn.IFS(K208&lt;K$24,0,K208&lt;K$25,J$24,K208&lt;K$26,J$25,K208&lt;K$27,J$26,K208&lt;K$28,J$27,K208&lt;K$29,J$28,K208&lt;K$30,J$29,K208&lt;K$31,J$30,K208&lt;K$32,J$31,K208&lt;K$33,J$32,K208&lt;K$34,J$33,K208&lt;K$35,J$34,K208&lt;K$36,J$35,K208&lt;K$37,J$36,K208&lt;K$38,J$37,K208&lt;K$39,J$38,K208&lt;K$40,J$39,K208&lt;K$41,J$40,K208&lt;K$42,J$41,K208&lt;K$43,J$42,K208&lt;K$44,J$43,K208&lt;K$45,J$44,K208&lt;K$46,J$45,K208&lt;K$47,J$46,K208&gt;=K$47,J$47)</f>
        <v/>
      </c>
      <c r="K208" s="38" t="n">
        <v>158</v>
      </c>
      <c r="L208" s="31">
        <f>K208/52</f>
        <v/>
      </c>
      <c r="M208" s="39">
        <f>J208/1000000*52</f>
        <v/>
      </c>
      <c r="N208" s="33">
        <f>M208/$P$4+($I$22/$P$4)</f>
        <v/>
      </c>
      <c r="U208">
        <f>F207</f>
        <v/>
      </c>
      <c r="V208">
        <f>H207</f>
        <v/>
      </c>
      <c r="W208">
        <f>N207</f>
        <v/>
      </c>
    </row>
    <row r="209" ht="15.75" customHeight="1" s="40">
      <c r="C209" s="36">
        <f>_xlfn.IFS(E209&lt;E$24,0,E209&lt;E$26,C$24,E209&lt;E$28,C$26,E209&lt;E$30,C$28,E209&lt;E$32,C$30,E209&lt;E$34,C$32,E209&gt;=E$34,C$34)</f>
        <v/>
      </c>
      <c r="D209" s="37">
        <f>_xlfn.IFS(E209&lt;E$24,0,E209&lt;E$25,D$24,E209&lt;E$26,D$25,E209&lt;E$27,D$26,E209&lt;E$28,D$27,E209&lt;E$29,D$28,E209&lt;E$30,D$29,E209&lt;E$31,D$30,E209&lt;E$32,D$31,E209&lt;E$33,D$32,E209&lt;E$34,D$33,E209&lt;E$35,D$34,E209&gt;=E$35,D$35)</f>
        <v/>
      </c>
      <c r="E209" s="38" t="n">
        <v>159</v>
      </c>
      <c r="F209" s="31">
        <f>E209/52</f>
        <v/>
      </c>
      <c r="G209" s="39">
        <f>D209/1000000*52</f>
        <v/>
      </c>
      <c r="H209" s="33">
        <f>G209/$P$4+($C$22/$P$4)</f>
        <v/>
      </c>
      <c r="I209" s="36">
        <f>_xlfn.IFS(K209&lt;K$24,0,K209&lt;K$26,I$24,K209&lt;K$28,I$26,K209&lt;K$30,I$28,K209&lt;K$32,I$30,K209&lt;K$34,I$32,K209&lt;K$36,I$34,K209&lt;K$38,I$36,K209&lt;K$40,I$38,K209&lt;K$42,I$40,K209&lt;K$44,I$42,K209&lt;K$46,I$44,K209&gt;=K$46,I$46)</f>
        <v/>
      </c>
      <c r="J209" s="37">
        <f>_xlfn.IFS(K209&lt;K$24,0,K209&lt;K$25,J$24,K209&lt;K$26,J$25,K209&lt;K$27,J$26,K209&lt;K$28,J$27,K209&lt;K$29,J$28,K209&lt;K$30,J$29,K209&lt;K$31,J$30,K209&lt;K$32,J$31,K209&lt;K$33,J$32,K209&lt;K$34,J$33,K209&lt;K$35,J$34,K209&lt;K$36,J$35,K209&lt;K$37,J$36,K209&lt;K$38,J$37,K209&lt;K$39,J$38,K209&lt;K$40,J$39,K209&lt;K$41,J$40,K209&lt;K$42,J$41,K209&lt;K$43,J$42,K209&lt;K$44,J$43,K209&lt;K$45,J$44,K209&lt;K$46,J$45,K209&lt;K$47,J$46,K209&gt;=K$47,J$47)</f>
        <v/>
      </c>
      <c r="K209" s="38" t="n">
        <v>159</v>
      </c>
      <c r="L209" s="31">
        <f>K209/52</f>
        <v/>
      </c>
      <c r="M209" s="39">
        <f>J209/1000000*52</f>
        <v/>
      </c>
      <c r="N209" s="33">
        <f>M209/$P$4+($I$22/$P$4)</f>
        <v/>
      </c>
      <c r="U209">
        <f>F208</f>
        <v/>
      </c>
      <c r="V209">
        <f>H208</f>
        <v/>
      </c>
      <c r="W209">
        <f>N208</f>
        <v/>
      </c>
    </row>
    <row r="210" ht="15.75" customHeight="1" s="40">
      <c r="C210" s="36">
        <f>_xlfn.IFS(E210&lt;E$24,0,E210&lt;E$26,C$24,E210&lt;E$28,C$26,E210&lt;E$30,C$28,E210&lt;E$32,C$30,E210&lt;E$34,C$32,E210&gt;=E$34,C$34)</f>
        <v/>
      </c>
      <c r="D210" s="37">
        <f>_xlfn.IFS(E210&lt;E$24,0,E210&lt;E$25,D$24,E210&lt;E$26,D$25,E210&lt;E$27,D$26,E210&lt;E$28,D$27,E210&lt;E$29,D$28,E210&lt;E$30,D$29,E210&lt;E$31,D$30,E210&lt;E$32,D$31,E210&lt;E$33,D$32,E210&lt;E$34,D$33,E210&lt;E$35,D$34,E210&gt;=E$35,D$35)</f>
        <v/>
      </c>
      <c r="E210" s="38" t="n">
        <v>160</v>
      </c>
      <c r="F210" s="31">
        <f>E210/52</f>
        <v/>
      </c>
      <c r="G210" s="39">
        <f>D210/1000000*52</f>
        <v/>
      </c>
      <c r="H210" s="33">
        <f>G210/$P$4+($C$22/$P$4)</f>
        <v/>
      </c>
      <c r="I210" s="36">
        <f>_xlfn.IFS(K210&lt;K$24,0,K210&lt;K$26,I$24,K210&lt;K$28,I$26,K210&lt;K$30,I$28,K210&lt;K$32,I$30,K210&lt;K$34,I$32,K210&lt;K$36,I$34,K210&lt;K$38,I$36,K210&lt;K$40,I$38,K210&lt;K$42,I$40,K210&lt;K$44,I$42,K210&lt;K$46,I$44,K210&gt;=K$46,I$46)</f>
        <v/>
      </c>
      <c r="J210" s="37">
        <f>_xlfn.IFS(K210&lt;K$24,0,K210&lt;K$25,J$24,K210&lt;K$26,J$25,K210&lt;K$27,J$26,K210&lt;K$28,J$27,K210&lt;K$29,J$28,K210&lt;K$30,J$29,K210&lt;K$31,J$30,K210&lt;K$32,J$31,K210&lt;K$33,J$32,K210&lt;K$34,J$33,K210&lt;K$35,J$34,K210&lt;K$36,J$35,K210&lt;K$37,J$36,K210&lt;K$38,J$37,K210&lt;K$39,J$38,K210&lt;K$40,J$39,K210&lt;K$41,J$40,K210&lt;K$42,J$41,K210&lt;K$43,J$42,K210&lt;K$44,J$43,K210&lt;K$45,J$44,K210&lt;K$46,J$45,K210&lt;K$47,J$46,K210&gt;=K$47,J$47)</f>
        <v/>
      </c>
      <c r="K210" s="38" t="n">
        <v>160</v>
      </c>
      <c r="L210" s="31">
        <f>K210/52</f>
        <v/>
      </c>
      <c r="M210" s="39">
        <f>J210/1000000*52</f>
        <v/>
      </c>
      <c r="N210" s="33">
        <f>M210/$P$4+($I$22/$P$4)</f>
        <v/>
      </c>
      <c r="U210">
        <f>F209</f>
        <v/>
      </c>
      <c r="V210">
        <f>H209</f>
        <v/>
      </c>
      <c r="W210">
        <f>N209</f>
        <v/>
      </c>
    </row>
    <row r="211" ht="15.75" customHeight="1" s="40">
      <c r="C211" s="36">
        <f>_xlfn.IFS(E211&lt;E$24,0,E211&lt;E$26,C$24,E211&lt;E$28,C$26,E211&lt;E$30,C$28,E211&lt;E$32,C$30,E211&lt;E$34,C$32,E211&gt;=E$34,C$34)</f>
        <v/>
      </c>
      <c r="D211" s="37">
        <f>_xlfn.IFS(E211&lt;E$24,0,E211&lt;E$25,D$24,E211&lt;E$26,D$25,E211&lt;E$27,D$26,E211&lt;E$28,D$27,E211&lt;E$29,D$28,E211&lt;E$30,D$29,E211&lt;E$31,D$30,E211&lt;E$32,D$31,E211&lt;E$33,D$32,E211&lt;E$34,D$33,E211&lt;E$35,D$34,E211&gt;=E$35,D$35)</f>
        <v/>
      </c>
      <c r="E211" s="38" t="n">
        <v>161</v>
      </c>
      <c r="F211" s="31">
        <f>E211/52</f>
        <v/>
      </c>
      <c r="G211" s="39">
        <f>D211/1000000*52</f>
        <v/>
      </c>
      <c r="H211" s="33">
        <f>G211/$P$4+($C$22/$P$4)</f>
        <v/>
      </c>
      <c r="I211" s="36">
        <f>_xlfn.IFS(K211&lt;K$24,0,K211&lt;K$26,I$24,K211&lt;K$28,I$26,K211&lt;K$30,I$28,K211&lt;K$32,I$30,K211&lt;K$34,I$32,K211&lt;K$36,I$34,K211&lt;K$38,I$36,K211&lt;K$40,I$38,K211&lt;K$42,I$40,K211&lt;K$44,I$42,K211&lt;K$46,I$44,K211&gt;=K$46,I$46)</f>
        <v/>
      </c>
      <c r="J211" s="37">
        <f>_xlfn.IFS(K211&lt;K$24,0,K211&lt;K$25,J$24,K211&lt;K$26,J$25,K211&lt;K$27,J$26,K211&lt;K$28,J$27,K211&lt;K$29,J$28,K211&lt;K$30,J$29,K211&lt;K$31,J$30,K211&lt;K$32,J$31,K211&lt;K$33,J$32,K211&lt;K$34,J$33,K211&lt;K$35,J$34,K211&lt;K$36,J$35,K211&lt;K$37,J$36,K211&lt;K$38,J$37,K211&lt;K$39,J$38,K211&lt;K$40,J$39,K211&lt;K$41,J$40,K211&lt;K$42,J$41,K211&lt;K$43,J$42,K211&lt;K$44,J$43,K211&lt;K$45,J$44,K211&lt;K$46,J$45,K211&lt;K$47,J$46,K211&gt;=K$47,J$47)</f>
        <v/>
      </c>
      <c r="K211" s="38" t="n">
        <v>161</v>
      </c>
      <c r="L211" s="31">
        <f>K211/52</f>
        <v/>
      </c>
      <c r="M211" s="39">
        <f>J211/1000000*52</f>
        <v/>
      </c>
      <c r="N211" s="33">
        <f>M211/$P$4+($I$22/$P$4)</f>
        <v/>
      </c>
      <c r="U211">
        <f>F210</f>
        <v/>
      </c>
      <c r="V211">
        <f>H210</f>
        <v/>
      </c>
      <c r="W211">
        <f>N210</f>
        <v/>
      </c>
    </row>
    <row r="212" ht="15.75" customHeight="1" s="40">
      <c r="C212" s="36">
        <f>_xlfn.IFS(E212&lt;E$24,0,E212&lt;E$26,C$24,E212&lt;E$28,C$26,E212&lt;E$30,C$28,E212&lt;E$32,C$30,E212&lt;E$34,C$32,E212&gt;=E$34,C$34)</f>
        <v/>
      </c>
      <c r="D212" s="37">
        <f>_xlfn.IFS(E212&lt;E$24,0,E212&lt;E$25,D$24,E212&lt;E$26,D$25,E212&lt;E$27,D$26,E212&lt;E$28,D$27,E212&lt;E$29,D$28,E212&lt;E$30,D$29,E212&lt;E$31,D$30,E212&lt;E$32,D$31,E212&lt;E$33,D$32,E212&lt;E$34,D$33,E212&lt;E$35,D$34,E212&gt;=E$35,D$35)</f>
        <v/>
      </c>
      <c r="E212" s="38" t="n">
        <v>162</v>
      </c>
      <c r="F212" s="31">
        <f>E212/52</f>
        <v/>
      </c>
      <c r="G212" s="39">
        <f>D212/1000000*52</f>
        <v/>
      </c>
      <c r="H212" s="33">
        <f>G212/$P$4+($C$22/$P$4)</f>
        <v/>
      </c>
      <c r="I212" s="36">
        <f>_xlfn.IFS(K212&lt;K$24,0,K212&lt;K$26,I$24,K212&lt;K$28,I$26,K212&lt;K$30,I$28,K212&lt;K$32,I$30,K212&lt;K$34,I$32,K212&lt;K$36,I$34,K212&lt;K$38,I$36,K212&lt;K$40,I$38,K212&lt;K$42,I$40,K212&lt;K$44,I$42,K212&lt;K$46,I$44,K212&gt;=K$46,I$46)</f>
        <v/>
      </c>
      <c r="J212" s="37">
        <f>_xlfn.IFS(K212&lt;K$24,0,K212&lt;K$25,J$24,K212&lt;K$26,J$25,K212&lt;K$27,J$26,K212&lt;K$28,J$27,K212&lt;K$29,J$28,K212&lt;K$30,J$29,K212&lt;K$31,J$30,K212&lt;K$32,J$31,K212&lt;K$33,J$32,K212&lt;K$34,J$33,K212&lt;K$35,J$34,K212&lt;K$36,J$35,K212&lt;K$37,J$36,K212&lt;K$38,J$37,K212&lt;K$39,J$38,K212&lt;K$40,J$39,K212&lt;K$41,J$40,K212&lt;K$42,J$41,K212&lt;K$43,J$42,K212&lt;K$44,J$43,K212&lt;K$45,J$44,K212&lt;K$46,J$45,K212&lt;K$47,J$46,K212&gt;=K$47,J$47)</f>
        <v/>
      </c>
      <c r="K212" s="38" t="n">
        <v>162</v>
      </c>
      <c r="L212" s="31">
        <f>K212/52</f>
        <v/>
      </c>
      <c r="M212" s="39">
        <f>J212/1000000*52</f>
        <v/>
      </c>
      <c r="N212" s="33">
        <f>M212/$P$4+($I$22/$P$4)</f>
        <v/>
      </c>
      <c r="U212">
        <f>F211</f>
        <v/>
      </c>
      <c r="V212">
        <f>H211</f>
        <v/>
      </c>
      <c r="W212">
        <f>N211</f>
        <v/>
      </c>
    </row>
    <row r="213" ht="15.75" customHeight="1" s="40">
      <c r="C213" s="36">
        <f>_xlfn.IFS(E213&lt;E$24,0,E213&lt;E$26,C$24,E213&lt;E$28,C$26,E213&lt;E$30,C$28,E213&lt;E$32,C$30,E213&lt;E$34,C$32,E213&gt;=E$34,C$34)</f>
        <v/>
      </c>
      <c r="D213" s="37">
        <f>_xlfn.IFS(E213&lt;E$24,0,E213&lt;E$25,D$24,E213&lt;E$26,D$25,E213&lt;E$27,D$26,E213&lt;E$28,D$27,E213&lt;E$29,D$28,E213&lt;E$30,D$29,E213&lt;E$31,D$30,E213&lt;E$32,D$31,E213&lt;E$33,D$32,E213&lt;E$34,D$33,E213&lt;E$35,D$34,E213&gt;=E$35,D$35)</f>
        <v/>
      </c>
      <c r="E213" s="38" t="n">
        <v>163</v>
      </c>
      <c r="F213" s="31">
        <f>E213/52</f>
        <v/>
      </c>
      <c r="G213" s="39">
        <f>D213/1000000*52</f>
        <v/>
      </c>
      <c r="H213" s="33">
        <f>G213/$P$4+($C$22/$P$4)</f>
        <v/>
      </c>
      <c r="I213" s="36">
        <f>_xlfn.IFS(K213&lt;K$24,0,K213&lt;K$26,I$24,K213&lt;K$28,I$26,K213&lt;K$30,I$28,K213&lt;K$32,I$30,K213&lt;K$34,I$32,K213&lt;K$36,I$34,K213&lt;K$38,I$36,K213&lt;K$40,I$38,K213&lt;K$42,I$40,K213&lt;K$44,I$42,K213&lt;K$46,I$44,K213&gt;=K$46,I$46)</f>
        <v/>
      </c>
      <c r="J213" s="37">
        <f>_xlfn.IFS(K213&lt;K$24,0,K213&lt;K$25,J$24,K213&lt;K$26,J$25,K213&lt;K$27,J$26,K213&lt;K$28,J$27,K213&lt;K$29,J$28,K213&lt;K$30,J$29,K213&lt;K$31,J$30,K213&lt;K$32,J$31,K213&lt;K$33,J$32,K213&lt;K$34,J$33,K213&lt;K$35,J$34,K213&lt;K$36,J$35,K213&lt;K$37,J$36,K213&lt;K$38,J$37,K213&lt;K$39,J$38,K213&lt;K$40,J$39,K213&lt;K$41,J$40,K213&lt;K$42,J$41,K213&lt;K$43,J$42,K213&lt;K$44,J$43,K213&lt;K$45,J$44,K213&lt;K$46,J$45,K213&lt;K$47,J$46,K213&gt;=K$47,J$47)</f>
        <v/>
      </c>
      <c r="K213" s="38" t="n">
        <v>163</v>
      </c>
      <c r="L213" s="31">
        <f>K213/52</f>
        <v/>
      </c>
      <c r="M213" s="39">
        <f>J213/1000000*52</f>
        <v/>
      </c>
      <c r="N213" s="33">
        <f>M213/$P$4+($I$22/$P$4)</f>
        <v/>
      </c>
      <c r="U213">
        <f>F212</f>
        <v/>
      </c>
      <c r="V213">
        <f>H212</f>
        <v/>
      </c>
      <c r="W213">
        <f>N212</f>
        <v/>
      </c>
    </row>
    <row r="214" ht="15.75" customHeight="1" s="40">
      <c r="C214" s="36">
        <f>_xlfn.IFS(E214&lt;E$24,0,E214&lt;E$26,C$24,E214&lt;E$28,C$26,E214&lt;E$30,C$28,E214&lt;E$32,C$30,E214&lt;E$34,C$32,E214&gt;=E$34,C$34)</f>
        <v/>
      </c>
      <c r="D214" s="37">
        <f>_xlfn.IFS(E214&lt;E$24,0,E214&lt;E$25,D$24,E214&lt;E$26,D$25,E214&lt;E$27,D$26,E214&lt;E$28,D$27,E214&lt;E$29,D$28,E214&lt;E$30,D$29,E214&lt;E$31,D$30,E214&lt;E$32,D$31,E214&lt;E$33,D$32,E214&lt;E$34,D$33,E214&lt;E$35,D$34,E214&gt;=E$35,D$35)</f>
        <v/>
      </c>
      <c r="E214" s="38" t="n">
        <v>164</v>
      </c>
      <c r="F214" s="31">
        <f>E214/52</f>
        <v/>
      </c>
      <c r="G214" s="39">
        <f>D214/1000000*52</f>
        <v/>
      </c>
      <c r="H214" s="33">
        <f>G214/$P$4+($C$22/$P$4)</f>
        <v/>
      </c>
      <c r="I214" s="36">
        <f>_xlfn.IFS(K214&lt;K$24,0,K214&lt;K$26,I$24,K214&lt;K$28,I$26,K214&lt;K$30,I$28,K214&lt;K$32,I$30,K214&lt;K$34,I$32,K214&lt;K$36,I$34,K214&lt;K$38,I$36,K214&lt;K$40,I$38,K214&lt;K$42,I$40,K214&lt;K$44,I$42,K214&lt;K$46,I$44,K214&gt;=K$46,I$46)</f>
        <v/>
      </c>
      <c r="J214" s="37">
        <f>_xlfn.IFS(K214&lt;K$24,0,K214&lt;K$25,J$24,K214&lt;K$26,J$25,K214&lt;K$27,J$26,K214&lt;K$28,J$27,K214&lt;K$29,J$28,K214&lt;K$30,J$29,K214&lt;K$31,J$30,K214&lt;K$32,J$31,K214&lt;K$33,J$32,K214&lt;K$34,J$33,K214&lt;K$35,J$34,K214&lt;K$36,J$35,K214&lt;K$37,J$36,K214&lt;K$38,J$37,K214&lt;K$39,J$38,K214&lt;K$40,J$39,K214&lt;K$41,J$40,K214&lt;K$42,J$41,K214&lt;K$43,J$42,K214&lt;K$44,J$43,K214&lt;K$45,J$44,K214&lt;K$46,J$45,K214&lt;K$47,J$46,K214&gt;=K$47,J$47)</f>
        <v/>
      </c>
      <c r="K214" s="38" t="n">
        <v>164</v>
      </c>
      <c r="L214" s="31">
        <f>K214/52</f>
        <v/>
      </c>
      <c r="M214" s="39">
        <f>J214/1000000*52</f>
        <v/>
      </c>
      <c r="N214" s="33">
        <f>M214/$P$4+($I$22/$P$4)</f>
        <v/>
      </c>
      <c r="U214">
        <f>F213</f>
        <v/>
      </c>
      <c r="V214">
        <f>H213</f>
        <v/>
      </c>
      <c r="W214">
        <f>N213</f>
        <v/>
      </c>
    </row>
    <row r="215" ht="15.75" customHeight="1" s="40">
      <c r="C215" s="36">
        <f>_xlfn.IFS(E215&lt;E$24,0,E215&lt;E$26,C$24,E215&lt;E$28,C$26,E215&lt;E$30,C$28,E215&lt;E$32,C$30,E215&lt;E$34,C$32,E215&gt;=E$34,C$34)</f>
        <v/>
      </c>
      <c r="D215" s="37">
        <f>_xlfn.IFS(E215&lt;E$24,0,E215&lt;E$25,D$24,E215&lt;E$26,D$25,E215&lt;E$27,D$26,E215&lt;E$28,D$27,E215&lt;E$29,D$28,E215&lt;E$30,D$29,E215&lt;E$31,D$30,E215&lt;E$32,D$31,E215&lt;E$33,D$32,E215&lt;E$34,D$33,E215&lt;E$35,D$34,E215&gt;=E$35,D$35)</f>
        <v/>
      </c>
      <c r="E215" s="38" t="n">
        <v>165</v>
      </c>
      <c r="F215" s="31">
        <f>E215/52</f>
        <v/>
      </c>
      <c r="G215" s="39">
        <f>D215/1000000*52</f>
        <v/>
      </c>
      <c r="H215" s="33">
        <f>G215/$P$4+($C$22/$P$4)</f>
        <v/>
      </c>
      <c r="I215" s="36">
        <f>_xlfn.IFS(K215&lt;K$24,0,K215&lt;K$26,I$24,K215&lt;K$28,I$26,K215&lt;K$30,I$28,K215&lt;K$32,I$30,K215&lt;K$34,I$32,K215&lt;K$36,I$34,K215&lt;K$38,I$36,K215&lt;K$40,I$38,K215&lt;K$42,I$40,K215&lt;K$44,I$42,K215&lt;K$46,I$44,K215&gt;=K$46,I$46)</f>
        <v/>
      </c>
      <c r="J215" s="37">
        <f>_xlfn.IFS(K215&lt;K$24,0,K215&lt;K$25,J$24,K215&lt;K$26,J$25,K215&lt;K$27,J$26,K215&lt;K$28,J$27,K215&lt;K$29,J$28,K215&lt;K$30,J$29,K215&lt;K$31,J$30,K215&lt;K$32,J$31,K215&lt;K$33,J$32,K215&lt;K$34,J$33,K215&lt;K$35,J$34,K215&lt;K$36,J$35,K215&lt;K$37,J$36,K215&lt;K$38,J$37,K215&lt;K$39,J$38,K215&lt;K$40,J$39,K215&lt;K$41,J$40,K215&lt;K$42,J$41,K215&lt;K$43,J$42,K215&lt;K$44,J$43,K215&lt;K$45,J$44,K215&lt;K$46,J$45,K215&lt;K$47,J$46,K215&gt;=K$47,J$47)</f>
        <v/>
      </c>
      <c r="K215" s="38" t="n">
        <v>165</v>
      </c>
      <c r="L215" s="31">
        <f>K215/52</f>
        <v/>
      </c>
      <c r="M215" s="39">
        <f>J215/1000000*52</f>
        <v/>
      </c>
      <c r="N215" s="33">
        <f>M215/$P$4+($I$22/$P$4)</f>
        <v/>
      </c>
      <c r="U215">
        <f>F214</f>
        <v/>
      </c>
      <c r="V215">
        <f>H214</f>
        <v/>
      </c>
      <c r="W215">
        <f>N214</f>
        <v/>
      </c>
    </row>
    <row r="216" ht="15.75" customHeight="1" s="40">
      <c r="C216" s="36">
        <f>_xlfn.IFS(E216&lt;E$24,0,E216&lt;E$26,C$24,E216&lt;E$28,C$26,E216&lt;E$30,C$28,E216&lt;E$32,C$30,E216&lt;E$34,C$32,E216&gt;=E$34,C$34)</f>
        <v/>
      </c>
      <c r="D216" s="37">
        <f>_xlfn.IFS(E216&lt;E$24,0,E216&lt;E$25,D$24,E216&lt;E$26,D$25,E216&lt;E$27,D$26,E216&lt;E$28,D$27,E216&lt;E$29,D$28,E216&lt;E$30,D$29,E216&lt;E$31,D$30,E216&lt;E$32,D$31,E216&lt;E$33,D$32,E216&lt;E$34,D$33,E216&lt;E$35,D$34,E216&gt;=E$35,D$35)</f>
        <v/>
      </c>
      <c r="E216" s="38" t="n">
        <v>166</v>
      </c>
      <c r="F216" s="31">
        <f>E216/52</f>
        <v/>
      </c>
      <c r="G216" s="39">
        <f>D216/1000000*52</f>
        <v/>
      </c>
      <c r="H216" s="33">
        <f>G216/$P$4+($C$22/$P$4)</f>
        <v/>
      </c>
      <c r="I216" s="36">
        <f>_xlfn.IFS(K216&lt;K$24,0,K216&lt;K$26,I$24,K216&lt;K$28,I$26,K216&lt;K$30,I$28,K216&lt;K$32,I$30,K216&lt;K$34,I$32,K216&lt;K$36,I$34,K216&lt;K$38,I$36,K216&lt;K$40,I$38,K216&lt;K$42,I$40,K216&lt;K$44,I$42,K216&lt;K$46,I$44,K216&gt;=K$46,I$46)</f>
        <v/>
      </c>
      <c r="J216" s="37">
        <f>_xlfn.IFS(K216&lt;K$24,0,K216&lt;K$25,J$24,K216&lt;K$26,J$25,K216&lt;K$27,J$26,K216&lt;K$28,J$27,K216&lt;K$29,J$28,K216&lt;K$30,J$29,K216&lt;K$31,J$30,K216&lt;K$32,J$31,K216&lt;K$33,J$32,K216&lt;K$34,J$33,K216&lt;K$35,J$34,K216&lt;K$36,J$35,K216&lt;K$37,J$36,K216&lt;K$38,J$37,K216&lt;K$39,J$38,K216&lt;K$40,J$39,K216&lt;K$41,J$40,K216&lt;K$42,J$41,K216&lt;K$43,J$42,K216&lt;K$44,J$43,K216&lt;K$45,J$44,K216&lt;K$46,J$45,K216&lt;K$47,J$46,K216&gt;=K$47,J$47)</f>
        <v/>
      </c>
      <c r="K216" s="38" t="n">
        <v>166</v>
      </c>
      <c r="L216" s="31">
        <f>K216/52</f>
        <v/>
      </c>
      <c r="M216" s="39">
        <f>J216/1000000*52</f>
        <v/>
      </c>
      <c r="N216" s="33">
        <f>M216/$P$4+($I$22/$P$4)</f>
        <v/>
      </c>
      <c r="U216">
        <f>F215</f>
        <v/>
      </c>
      <c r="V216">
        <f>H215</f>
        <v/>
      </c>
      <c r="W216">
        <f>N215</f>
        <v/>
      </c>
    </row>
    <row r="217" ht="15.75" customHeight="1" s="40">
      <c r="C217" s="36">
        <f>_xlfn.IFS(E217&lt;E$24,0,E217&lt;E$26,C$24,E217&lt;E$28,C$26,E217&lt;E$30,C$28,E217&lt;E$32,C$30,E217&lt;E$34,C$32,E217&gt;=E$34,C$34)</f>
        <v/>
      </c>
      <c r="D217" s="37">
        <f>_xlfn.IFS(E217&lt;E$24,0,E217&lt;E$25,D$24,E217&lt;E$26,D$25,E217&lt;E$27,D$26,E217&lt;E$28,D$27,E217&lt;E$29,D$28,E217&lt;E$30,D$29,E217&lt;E$31,D$30,E217&lt;E$32,D$31,E217&lt;E$33,D$32,E217&lt;E$34,D$33,E217&lt;E$35,D$34,E217&gt;=E$35,D$35)</f>
        <v/>
      </c>
      <c r="E217" s="38" t="n">
        <v>167</v>
      </c>
      <c r="F217" s="31">
        <f>E217/52</f>
        <v/>
      </c>
      <c r="G217" s="39">
        <f>D217/1000000*52</f>
        <v/>
      </c>
      <c r="H217" s="33">
        <f>G217/$P$4+($C$22/$P$4)</f>
        <v/>
      </c>
      <c r="I217" s="36">
        <f>_xlfn.IFS(K217&lt;K$24,0,K217&lt;K$26,I$24,K217&lt;K$28,I$26,K217&lt;K$30,I$28,K217&lt;K$32,I$30,K217&lt;K$34,I$32,K217&lt;K$36,I$34,K217&lt;K$38,I$36,K217&lt;K$40,I$38,K217&lt;K$42,I$40,K217&lt;K$44,I$42,K217&lt;K$46,I$44,K217&gt;=K$46,I$46)</f>
        <v/>
      </c>
      <c r="J217" s="37">
        <f>_xlfn.IFS(K217&lt;K$24,0,K217&lt;K$25,J$24,K217&lt;K$26,J$25,K217&lt;K$27,J$26,K217&lt;K$28,J$27,K217&lt;K$29,J$28,K217&lt;K$30,J$29,K217&lt;K$31,J$30,K217&lt;K$32,J$31,K217&lt;K$33,J$32,K217&lt;K$34,J$33,K217&lt;K$35,J$34,K217&lt;K$36,J$35,K217&lt;K$37,J$36,K217&lt;K$38,J$37,K217&lt;K$39,J$38,K217&lt;K$40,J$39,K217&lt;K$41,J$40,K217&lt;K$42,J$41,K217&lt;K$43,J$42,K217&lt;K$44,J$43,K217&lt;K$45,J$44,K217&lt;K$46,J$45,K217&lt;K$47,J$46,K217&gt;=K$47,J$47)</f>
        <v/>
      </c>
      <c r="K217" s="38" t="n">
        <v>167</v>
      </c>
      <c r="L217" s="31">
        <f>K217/52</f>
        <v/>
      </c>
      <c r="M217" s="39">
        <f>J217/1000000*52</f>
        <v/>
      </c>
      <c r="N217" s="33">
        <f>M217/$P$4+($I$22/$P$4)</f>
        <v/>
      </c>
      <c r="U217">
        <f>F216</f>
        <v/>
      </c>
      <c r="V217">
        <f>H216</f>
        <v/>
      </c>
      <c r="W217">
        <f>N216</f>
        <v/>
      </c>
    </row>
    <row r="218" ht="15.75" customHeight="1" s="40">
      <c r="C218" s="36">
        <f>_xlfn.IFS(E218&lt;E$24,0,E218&lt;E$26,C$24,E218&lt;E$28,C$26,E218&lt;E$30,C$28,E218&lt;E$32,C$30,E218&lt;E$34,C$32,E218&gt;=E$34,C$34)</f>
        <v/>
      </c>
      <c r="D218" s="37">
        <f>_xlfn.IFS(E218&lt;E$24,0,E218&lt;E$25,D$24,E218&lt;E$26,D$25,E218&lt;E$27,D$26,E218&lt;E$28,D$27,E218&lt;E$29,D$28,E218&lt;E$30,D$29,E218&lt;E$31,D$30,E218&lt;E$32,D$31,E218&lt;E$33,D$32,E218&lt;E$34,D$33,E218&lt;E$35,D$34,E218&gt;=E$35,D$35)</f>
        <v/>
      </c>
      <c r="E218" s="38" t="n">
        <v>168</v>
      </c>
      <c r="F218" s="31">
        <f>E218/52</f>
        <v/>
      </c>
      <c r="G218" s="39">
        <f>D218/1000000*52</f>
        <v/>
      </c>
      <c r="H218" s="33">
        <f>G218/$P$4+($C$22/$P$4)</f>
        <v/>
      </c>
      <c r="I218" s="36">
        <f>_xlfn.IFS(K218&lt;K$24,0,K218&lt;K$26,I$24,K218&lt;K$28,I$26,K218&lt;K$30,I$28,K218&lt;K$32,I$30,K218&lt;K$34,I$32,K218&lt;K$36,I$34,K218&lt;K$38,I$36,K218&lt;K$40,I$38,K218&lt;K$42,I$40,K218&lt;K$44,I$42,K218&lt;K$46,I$44,K218&gt;=K$46,I$46)</f>
        <v/>
      </c>
      <c r="J218" s="37">
        <f>_xlfn.IFS(K218&lt;K$24,0,K218&lt;K$25,J$24,K218&lt;K$26,J$25,K218&lt;K$27,J$26,K218&lt;K$28,J$27,K218&lt;K$29,J$28,K218&lt;K$30,J$29,K218&lt;K$31,J$30,K218&lt;K$32,J$31,K218&lt;K$33,J$32,K218&lt;K$34,J$33,K218&lt;K$35,J$34,K218&lt;K$36,J$35,K218&lt;K$37,J$36,K218&lt;K$38,J$37,K218&lt;K$39,J$38,K218&lt;K$40,J$39,K218&lt;K$41,J$40,K218&lt;K$42,J$41,K218&lt;K$43,J$42,K218&lt;K$44,J$43,K218&lt;K$45,J$44,K218&lt;K$46,J$45,K218&lt;K$47,J$46,K218&gt;=K$47,J$47)</f>
        <v/>
      </c>
      <c r="K218" s="38" t="n">
        <v>168</v>
      </c>
      <c r="L218" s="31">
        <f>K218/52</f>
        <v/>
      </c>
      <c r="M218" s="39">
        <f>J218/1000000*52</f>
        <v/>
      </c>
      <c r="N218" s="33">
        <f>M218/$P$4+($I$22/$P$4)</f>
        <v/>
      </c>
      <c r="U218">
        <f>F217</f>
        <v/>
      </c>
      <c r="V218">
        <f>H217</f>
        <v/>
      </c>
      <c r="W218">
        <f>N217</f>
        <v/>
      </c>
    </row>
    <row r="219" ht="15.75" customHeight="1" s="40">
      <c r="C219" s="36">
        <f>_xlfn.IFS(E219&lt;E$24,0,E219&lt;E$26,C$24,E219&lt;E$28,C$26,E219&lt;E$30,C$28,E219&lt;E$32,C$30,E219&lt;E$34,C$32,E219&gt;=E$34,C$34)</f>
        <v/>
      </c>
      <c r="D219" s="37">
        <f>_xlfn.IFS(E219&lt;E$24,0,E219&lt;E$25,D$24,E219&lt;E$26,D$25,E219&lt;E$27,D$26,E219&lt;E$28,D$27,E219&lt;E$29,D$28,E219&lt;E$30,D$29,E219&lt;E$31,D$30,E219&lt;E$32,D$31,E219&lt;E$33,D$32,E219&lt;E$34,D$33,E219&lt;E$35,D$34,E219&gt;=E$35,D$35)</f>
        <v/>
      </c>
      <c r="E219" s="38" t="n">
        <v>169</v>
      </c>
      <c r="F219" s="31">
        <f>E219/52</f>
        <v/>
      </c>
      <c r="G219" s="39">
        <f>D219/1000000*52</f>
        <v/>
      </c>
      <c r="H219" s="33">
        <f>G219/$P$4+($C$22/$P$4)</f>
        <v/>
      </c>
      <c r="I219" s="36">
        <f>_xlfn.IFS(K219&lt;K$24,0,K219&lt;K$26,I$24,K219&lt;K$28,I$26,K219&lt;K$30,I$28,K219&lt;K$32,I$30,K219&lt;K$34,I$32,K219&lt;K$36,I$34,K219&lt;K$38,I$36,K219&lt;K$40,I$38,K219&lt;K$42,I$40,K219&lt;K$44,I$42,K219&lt;K$46,I$44,K219&gt;=K$46,I$46)</f>
        <v/>
      </c>
      <c r="J219" s="37">
        <f>_xlfn.IFS(K219&lt;K$24,0,K219&lt;K$25,J$24,K219&lt;K$26,J$25,K219&lt;K$27,J$26,K219&lt;K$28,J$27,K219&lt;K$29,J$28,K219&lt;K$30,J$29,K219&lt;K$31,J$30,K219&lt;K$32,J$31,K219&lt;K$33,J$32,K219&lt;K$34,J$33,K219&lt;K$35,J$34,K219&lt;K$36,J$35,K219&lt;K$37,J$36,K219&lt;K$38,J$37,K219&lt;K$39,J$38,K219&lt;K$40,J$39,K219&lt;K$41,J$40,K219&lt;K$42,J$41,K219&lt;K$43,J$42,K219&lt;K$44,J$43,K219&lt;K$45,J$44,K219&lt;K$46,J$45,K219&lt;K$47,J$46,K219&gt;=K$47,J$47)</f>
        <v/>
      </c>
      <c r="K219" s="38" t="n">
        <v>169</v>
      </c>
      <c r="L219" s="31">
        <f>K219/52</f>
        <v/>
      </c>
      <c r="M219" s="39">
        <f>J219/1000000*52</f>
        <v/>
      </c>
      <c r="N219" s="33">
        <f>M219/$P$4+($I$22/$P$4)</f>
        <v/>
      </c>
      <c r="U219">
        <f>F218</f>
        <v/>
      </c>
      <c r="V219">
        <f>H218</f>
        <v/>
      </c>
      <c r="W219">
        <f>N218</f>
        <v/>
      </c>
    </row>
    <row r="220" ht="15.75" customHeight="1" s="40">
      <c r="C220" s="36">
        <f>_xlfn.IFS(E220&lt;E$24,0,E220&lt;E$26,C$24,E220&lt;E$28,C$26,E220&lt;E$30,C$28,E220&lt;E$32,C$30,E220&lt;E$34,C$32,E220&gt;=E$34,C$34)</f>
        <v/>
      </c>
      <c r="D220" s="37">
        <f>_xlfn.IFS(E220&lt;E$24,0,E220&lt;E$25,D$24,E220&lt;E$26,D$25,E220&lt;E$27,D$26,E220&lt;E$28,D$27,E220&lt;E$29,D$28,E220&lt;E$30,D$29,E220&lt;E$31,D$30,E220&lt;E$32,D$31,E220&lt;E$33,D$32,E220&lt;E$34,D$33,E220&lt;E$35,D$34,E220&gt;=E$35,D$35)</f>
        <v/>
      </c>
      <c r="E220" s="38" t="n">
        <v>170</v>
      </c>
      <c r="F220" s="31">
        <f>E220/52</f>
        <v/>
      </c>
      <c r="G220" s="39">
        <f>D220/1000000*52</f>
        <v/>
      </c>
      <c r="H220" s="33">
        <f>G220/$P$4+($C$22/$P$4)</f>
        <v/>
      </c>
      <c r="I220" s="36">
        <f>_xlfn.IFS(K220&lt;K$24,0,K220&lt;K$26,I$24,K220&lt;K$28,I$26,K220&lt;K$30,I$28,K220&lt;K$32,I$30,K220&lt;K$34,I$32,K220&lt;K$36,I$34,K220&lt;K$38,I$36,K220&lt;K$40,I$38,K220&lt;K$42,I$40,K220&lt;K$44,I$42,K220&lt;K$46,I$44,K220&gt;=K$46,I$46)</f>
        <v/>
      </c>
      <c r="J220" s="37">
        <f>_xlfn.IFS(K220&lt;K$24,0,K220&lt;K$25,J$24,K220&lt;K$26,J$25,K220&lt;K$27,J$26,K220&lt;K$28,J$27,K220&lt;K$29,J$28,K220&lt;K$30,J$29,K220&lt;K$31,J$30,K220&lt;K$32,J$31,K220&lt;K$33,J$32,K220&lt;K$34,J$33,K220&lt;K$35,J$34,K220&lt;K$36,J$35,K220&lt;K$37,J$36,K220&lt;K$38,J$37,K220&lt;K$39,J$38,K220&lt;K$40,J$39,K220&lt;K$41,J$40,K220&lt;K$42,J$41,K220&lt;K$43,J$42,K220&lt;K$44,J$43,K220&lt;K$45,J$44,K220&lt;K$46,J$45,K220&lt;K$47,J$46,K220&gt;=K$47,J$47)</f>
        <v/>
      </c>
      <c r="K220" s="38" t="n">
        <v>170</v>
      </c>
      <c r="L220" s="31">
        <f>K220/52</f>
        <v/>
      </c>
      <c r="M220" s="39">
        <f>J220/1000000*52</f>
        <v/>
      </c>
      <c r="N220" s="33">
        <f>M220/$P$4+($I$22/$P$4)</f>
        <v/>
      </c>
      <c r="U220">
        <f>F219</f>
        <v/>
      </c>
      <c r="V220">
        <f>H219</f>
        <v/>
      </c>
      <c r="W220">
        <f>N219</f>
        <v/>
      </c>
    </row>
    <row r="221" ht="15.75" customHeight="1" s="40">
      <c r="C221" s="36">
        <f>_xlfn.IFS(E221&lt;E$24,0,E221&lt;E$26,C$24,E221&lt;E$28,C$26,E221&lt;E$30,C$28,E221&lt;E$32,C$30,E221&lt;E$34,C$32,E221&gt;=E$34,C$34)</f>
        <v/>
      </c>
      <c r="D221" s="37">
        <f>_xlfn.IFS(E221&lt;E$24,0,E221&lt;E$25,D$24,E221&lt;E$26,D$25,E221&lt;E$27,D$26,E221&lt;E$28,D$27,E221&lt;E$29,D$28,E221&lt;E$30,D$29,E221&lt;E$31,D$30,E221&lt;E$32,D$31,E221&lt;E$33,D$32,E221&lt;E$34,D$33,E221&lt;E$35,D$34,E221&gt;=E$35,D$35)</f>
        <v/>
      </c>
      <c r="E221" s="38" t="n">
        <v>171</v>
      </c>
      <c r="F221" s="31">
        <f>E221/52</f>
        <v/>
      </c>
      <c r="G221" s="39">
        <f>D221/1000000*52</f>
        <v/>
      </c>
      <c r="H221" s="33">
        <f>G221/$P$4+($C$22/$P$4)</f>
        <v/>
      </c>
      <c r="I221" s="36">
        <f>_xlfn.IFS(K221&lt;K$24,0,K221&lt;K$26,I$24,K221&lt;K$28,I$26,K221&lt;K$30,I$28,K221&lt;K$32,I$30,K221&lt;K$34,I$32,K221&lt;K$36,I$34,K221&lt;K$38,I$36,K221&lt;K$40,I$38,K221&lt;K$42,I$40,K221&lt;K$44,I$42,K221&lt;K$46,I$44,K221&gt;=K$46,I$46)</f>
        <v/>
      </c>
      <c r="J221" s="37">
        <f>_xlfn.IFS(K221&lt;K$24,0,K221&lt;K$25,J$24,K221&lt;K$26,J$25,K221&lt;K$27,J$26,K221&lt;K$28,J$27,K221&lt;K$29,J$28,K221&lt;K$30,J$29,K221&lt;K$31,J$30,K221&lt;K$32,J$31,K221&lt;K$33,J$32,K221&lt;K$34,J$33,K221&lt;K$35,J$34,K221&lt;K$36,J$35,K221&lt;K$37,J$36,K221&lt;K$38,J$37,K221&lt;K$39,J$38,K221&lt;K$40,J$39,K221&lt;K$41,J$40,K221&lt;K$42,J$41,K221&lt;K$43,J$42,K221&lt;K$44,J$43,K221&lt;K$45,J$44,K221&lt;K$46,J$45,K221&lt;K$47,J$46,K221&gt;=K$47,J$47)</f>
        <v/>
      </c>
      <c r="K221" s="38" t="n">
        <v>171</v>
      </c>
      <c r="L221" s="31">
        <f>K221/52</f>
        <v/>
      </c>
      <c r="M221" s="39">
        <f>J221/1000000*52</f>
        <v/>
      </c>
      <c r="N221" s="33">
        <f>M221/$P$4+($I$22/$P$4)</f>
        <v/>
      </c>
      <c r="U221">
        <f>F220</f>
        <v/>
      </c>
      <c r="V221">
        <f>H220</f>
        <v/>
      </c>
      <c r="W221">
        <f>N220</f>
        <v/>
      </c>
    </row>
    <row r="222" ht="15.75" customHeight="1" s="40">
      <c r="C222" s="36">
        <f>_xlfn.IFS(E222&lt;E$24,0,E222&lt;E$26,C$24,E222&lt;E$28,C$26,E222&lt;E$30,C$28,E222&lt;E$32,C$30,E222&lt;E$34,C$32,E222&gt;=E$34,C$34)</f>
        <v/>
      </c>
      <c r="D222" s="37">
        <f>_xlfn.IFS(E222&lt;E$24,0,E222&lt;E$25,D$24,E222&lt;E$26,D$25,E222&lt;E$27,D$26,E222&lt;E$28,D$27,E222&lt;E$29,D$28,E222&lt;E$30,D$29,E222&lt;E$31,D$30,E222&lt;E$32,D$31,E222&lt;E$33,D$32,E222&lt;E$34,D$33,E222&lt;E$35,D$34,E222&gt;=E$35,D$35)</f>
        <v/>
      </c>
      <c r="E222" s="38" t="n">
        <v>172</v>
      </c>
      <c r="F222" s="31">
        <f>E222/52</f>
        <v/>
      </c>
      <c r="G222" s="39">
        <f>D222/1000000*52</f>
        <v/>
      </c>
      <c r="H222" s="33">
        <f>G222/$P$4+($C$22/$P$4)</f>
        <v/>
      </c>
      <c r="I222" s="36">
        <f>_xlfn.IFS(K222&lt;K$24,0,K222&lt;K$26,I$24,K222&lt;K$28,I$26,K222&lt;K$30,I$28,K222&lt;K$32,I$30,K222&lt;K$34,I$32,K222&lt;K$36,I$34,K222&lt;K$38,I$36,K222&lt;K$40,I$38,K222&lt;K$42,I$40,K222&lt;K$44,I$42,K222&lt;K$46,I$44,K222&gt;=K$46,I$46)</f>
        <v/>
      </c>
      <c r="J222" s="37">
        <f>_xlfn.IFS(K222&lt;K$24,0,K222&lt;K$25,J$24,K222&lt;K$26,J$25,K222&lt;K$27,J$26,K222&lt;K$28,J$27,K222&lt;K$29,J$28,K222&lt;K$30,J$29,K222&lt;K$31,J$30,K222&lt;K$32,J$31,K222&lt;K$33,J$32,K222&lt;K$34,J$33,K222&lt;K$35,J$34,K222&lt;K$36,J$35,K222&lt;K$37,J$36,K222&lt;K$38,J$37,K222&lt;K$39,J$38,K222&lt;K$40,J$39,K222&lt;K$41,J$40,K222&lt;K$42,J$41,K222&lt;K$43,J$42,K222&lt;K$44,J$43,K222&lt;K$45,J$44,K222&lt;K$46,J$45,K222&lt;K$47,J$46,K222&gt;=K$47,J$47)</f>
        <v/>
      </c>
      <c r="K222" s="38" t="n">
        <v>172</v>
      </c>
      <c r="L222" s="31">
        <f>K222/52</f>
        <v/>
      </c>
      <c r="M222" s="39">
        <f>J222/1000000*52</f>
        <v/>
      </c>
      <c r="N222" s="33">
        <f>M222/$P$4+($I$22/$P$4)</f>
        <v/>
      </c>
      <c r="U222">
        <f>F221</f>
        <v/>
      </c>
      <c r="V222">
        <f>H221</f>
        <v/>
      </c>
      <c r="W222">
        <f>N221</f>
        <v/>
      </c>
    </row>
    <row r="223" ht="15.75" customHeight="1" s="40">
      <c r="C223" s="36">
        <f>_xlfn.IFS(E223&lt;E$24,0,E223&lt;E$26,C$24,E223&lt;E$28,C$26,E223&lt;E$30,C$28,E223&lt;E$32,C$30,E223&lt;E$34,C$32,E223&gt;=E$34,C$34)</f>
        <v/>
      </c>
      <c r="D223" s="37">
        <f>_xlfn.IFS(E223&lt;E$24,0,E223&lt;E$25,D$24,E223&lt;E$26,D$25,E223&lt;E$27,D$26,E223&lt;E$28,D$27,E223&lt;E$29,D$28,E223&lt;E$30,D$29,E223&lt;E$31,D$30,E223&lt;E$32,D$31,E223&lt;E$33,D$32,E223&lt;E$34,D$33,E223&lt;E$35,D$34,E223&gt;=E$35,D$35)</f>
        <v/>
      </c>
      <c r="E223" s="38" t="n">
        <v>173</v>
      </c>
      <c r="F223" s="31">
        <f>E223/52</f>
        <v/>
      </c>
      <c r="G223" s="39">
        <f>D223/1000000*52</f>
        <v/>
      </c>
      <c r="H223" s="33">
        <f>G223/$P$4+($C$22/$P$4)</f>
        <v/>
      </c>
      <c r="I223" s="36">
        <f>_xlfn.IFS(K223&lt;K$24,0,K223&lt;K$26,I$24,K223&lt;K$28,I$26,K223&lt;K$30,I$28,K223&lt;K$32,I$30,K223&lt;K$34,I$32,K223&lt;K$36,I$34,K223&lt;K$38,I$36,K223&lt;K$40,I$38,K223&lt;K$42,I$40,K223&lt;K$44,I$42,K223&lt;K$46,I$44,K223&gt;=K$46,I$46)</f>
        <v/>
      </c>
      <c r="J223" s="37">
        <f>_xlfn.IFS(K223&lt;K$24,0,K223&lt;K$25,J$24,K223&lt;K$26,J$25,K223&lt;K$27,J$26,K223&lt;K$28,J$27,K223&lt;K$29,J$28,K223&lt;K$30,J$29,K223&lt;K$31,J$30,K223&lt;K$32,J$31,K223&lt;K$33,J$32,K223&lt;K$34,J$33,K223&lt;K$35,J$34,K223&lt;K$36,J$35,K223&lt;K$37,J$36,K223&lt;K$38,J$37,K223&lt;K$39,J$38,K223&lt;K$40,J$39,K223&lt;K$41,J$40,K223&lt;K$42,J$41,K223&lt;K$43,J$42,K223&lt;K$44,J$43,K223&lt;K$45,J$44,K223&lt;K$46,J$45,K223&lt;K$47,J$46,K223&gt;=K$47,J$47)</f>
        <v/>
      </c>
      <c r="K223" s="38" t="n">
        <v>173</v>
      </c>
      <c r="L223" s="31">
        <f>K223/52</f>
        <v/>
      </c>
      <c r="M223" s="39">
        <f>J223/1000000*52</f>
        <v/>
      </c>
      <c r="N223" s="33">
        <f>M223/$P$4+($I$22/$P$4)</f>
        <v/>
      </c>
      <c r="U223">
        <f>F222</f>
        <v/>
      </c>
      <c r="V223">
        <f>H222</f>
        <v/>
      </c>
      <c r="W223">
        <f>N222</f>
        <v/>
      </c>
    </row>
    <row r="224" ht="15.75" customHeight="1" s="40">
      <c r="C224" s="36">
        <f>_xlfn.IFS(E224&lt;E$24,0,E224&lt;E$26,C$24,E224&lt;E$28,C$26,E224&lt;E$30,C$28,E224&lt;E$32,C$30,E224&lt;E$34,C$32,E224&gt;=E$34,C$34)</f>
        <v/>
      </c>
      <c r="D224" s="37">
        <f>_xlfn.IFS(E224&lt;E$24,0,E224&lt;E$25,D$24,E224&lt;E$26,D$25,E224&lt;E$27,D$26,E224&lt;E$28,D$27,E224&lt;E$29,D$28,E224&lt;E$30,D$29,E224&lt;E$31,D$30,E224&lt;E$32,D$31,E224&lt;E$33,D$32,E224&lt;E$34,D$33,E224&lt;E$35,D$34,E224&gt;=E$35,D$35)</f>
        <v/>
      </c>
      <c r="E224" s="38" t="n">
        <v>174</v>
      </c>
      <c r="F224" s="31">
        <f>E224/52</f>
        <v/>
      </c>
      <c r="G224" s="39">
        <f>D224/1000000*52</f>
        <v/>
      </c>
      <c r="H224" s="33">
        <f>G224/$P$4+($C$22/$P$4)</f>
        <v/>
      </c>
      <c r="I224" s="36">
        <f>_xlfn.IFS(K224&lt;K$24,0,K224&lt;K$26,I$24,K224&lt;K$28,I$26,K224&lt;K$30,I$28,K224&lt;K$32,I$30,K224&lt;K$34,I$32,K224&lt;K$36,I$34,K224&lt;K$38,I$36,K224&lt;K$40,I$38,K224&lt;K$42,I$40,K224&lt;K$44,I$42,K224&lt;K$46,I$44,K224&gt;=K$46,I$46)</f>
        <v/>
      </c>
      <c r="J224" s="37">
        <f>_xlfn.IFS(K224&lt;K$24,0,K224&lt;K$25,J$24,K224&lt;K$26,J$25,K224&lt;K$27,J$26,K224&lt;K$28,J$27,K224&lt;K$29,J$28,K224&lt;K$30,J$29,K224&lt;K$31,J$30,K224&lt;K$32,J$31,K224&lt;K$33,J$32,K224&lt;K$34,J$33,K224&lt;K$35,J$34,K224&lt;K$36,J$35,K224&lt;K$37,J$36,K224&lt;K$38,J$37,K224&lt;K$39,J$38,K224&lt;K$40,J$39,K224&lt;K$41,J$40,K224&lt;K$42,J$41,K224&lt;K$43,J$42,K224&lt;K$44,J$43,K224&lt;K$45,J$44,K224&lt;K$46,J$45,K224&lt;K$47,J$46,K224&gt;=K$47,J$47)</f>
        <v/>
      </c>
      <c r="K224" s="38" t="n">
        <v>174</v>
      </c>
      <c r="L224" s="31">
        <f>K224/52</f>
        <v/>
      </c>
      <c r="M224" s="39">
        <f>J224/1000000*52</f>
        <v/>
      </c>
      <c r="N224" s="33">
        <f>M224/$P$4+($I$22/$P$4)</f>
        <v/>
      </c>
      <c r="U224">
        <f>F223</f>
        <v/>
      </c>
      <c r="V224">
        <f>H223</f>
        <v/>
      </c>
      <c r="W224">
        <f>N223</f>
        <v/>
      </c>
    </row>
    <row r="225" ht="15.75" customHeight="1" s="40">
      <c r="C225" s="36">
        <f>_xlfn.IFS(E225&lt;E$24,0,E225&lt;E$26,C$24,E225&lt;E$28,C$26,E225&lt;E$30,C$28,E225&lt;E$32,C$30,E225&lt;E$34,C$32,E225&gt;=E$34,C$34)</f>
        <v/>
      </c>
      <c r="D225" s="37">
        <f>_xlfn.IFS(E225&lt;E$24,0,E225&lt;E$25,D$24,E225&lt;E$26,D$25,E225&lt;E$27,D$26,E225&lt;E$28,D$27,E225&lt;E$29,D$28,E225&lt;E$30,D$29,E225&lt;E$31,D$30,E225&lt;E$32,D$31,E225&lt;E$33,D$32,E225&lt;E$34,D$33,E225&lt;E$35,D$34,E225&gt;=E$35,D$35)</f>
        <v/>
      </c>
      <c r="E225" s="38" t="n">
        <v>175</v>
      </c>
      <c r="F225" s="31">
        <f>E225/52</f>
        <v/>
      </c>
      <c r="G225" s="39">
        <f>D225/1000000*52</f>
        <v/>
      </c>
      <c r="H225" s="33">
        <f>G225/$P$4+($C$22/$P$4)</f>
        <v/>
      </c>
      <c r="I225" s="36">
        <f>_xlfn.IFS(K225&lt;K$24,0,K225&lt;K$26,I$24,K225&lt;K$28,I$26,K225&lt;K$30,I$28,K225&lt;K$32,I$30,K225&lt;K$34,I$32,K225&lt;K$36,I$34,K225&lt;K$38,I$36,K225&lt;K$40,I$38,K225&lt;K$42,I$40,K225&lt;K$44,I$42,K225&lt;K$46,I$44,K225&gt;=K$46,I$46)</f>
        <v/>
      </c>
      <c r="J225" s="37">
        <f>_xlfn.IFS(K225&lt;K$24,0,K225&lt;K$25,J$24,K225&lt;K$26,J$25,K225&lt;K$27,J$26,K225&lt;K$28,J$27,K225&lt;K$29,J$28,K225&lt;K$30,J$29,K225&lt;K$31,J$30,K225&lt;K$32,J$31,K225&lt;K$33,J$32,K225&lt;K$34,J$33,K225&lt;K$35,J$34,K225&lt;K$36,J$35,K225&lt;K$37,J$36,K225&lt;K$38,J$37,K225&lt;K$39,J$38,K225&lt;K$40,J$39,K225&lt;K$41,J$40,K225&lt;K$42,J$41,K225&lt;K$43,J$42,K225&lt;K$44,J$43,K225&lt;K$45,J$44,K225&lt;K$46,J$45,K225&lt;K$47,J$46,K225&gt;=K$47,J$47)</f>
        <v/>
      </c>
      <c r="K225" s="38" t="n">
        <v>175</v>
      </c>
      <c r="L225" s="31">
        <f>K225/52</f>
        <v/>
      </c>
      <c r="M225" s="39">
        <f>J225/1000000*52</f>
        <v/>
      </c>
      <c r="N225" s="33">
        <f>M225/$P$4+($I$22/$P$4)</f>
        <v/>
      </c>
      <c r="U225">
        <f>F224</f>
        <v/>
      </c>
      <c r="V225">
        <f>H224</f>
        <v/>
      </c>
      <c r="W225">
        <f>N224</f>
        <v/>
      </c>
    </row>
    <row r="226" ht="15.75" customHeight="1" s="40">
      <c r="C226" s="36">
        <f>_xlfn.IFS(E226&lt;E$24,0,E226&lt;E$26,C$24,E226&lt;E$28,C$26,E226&lt;E$30,C$28,E226&lt;E$32,C$30,E226&lt;E$34,C$32,E226&gt;=E$34,C$34)</f>
        <v/>
      </c>
      <c r="D226" s="37">
        <f>_xlfn.IFS(E226&lt;E$24,0,E226&lt;E$25,D$24,E226&lt;E$26,D$25,E226&lt;E$27,D$26,E226&lt;E$28,D$27,E226&lt;E$29,D$28,E226&lt;E$30,D$29,E226&lt;E$31,D$30,E226&lt;E$32,D$31,E226&lt;E$33,D$32,E226&lt;E$34,D$33,E226&lt;E$35,D$34,E226&gt;=E$35,D$35)</f>
        <v/>
      </c>
      <c r="E226" s="38" t="n">
        <v>176</v>
      </c>
      <c r="F226" s="31">
        <f>E226/52</f>
        <v/>
      </c>
      <c r="G226" s="39">
        <f>D226/1000000*52</f>
        <v/>
      </c>
      <c r="H226" s="33">
        <f>G226/$P$4+($C$22/$P$4)</f>
        <v/>
      </c>
      <c r="I226" s="36">
        <f>_xlfn.IFS(K226&lt;K$24,0,K226&lt;K$26,I$24,K226&lt;K$28,I$26,K226&lt;K$30,I$28,K226&lt;K$32,I$30,K226&lt;K$34,I$32,K226&lt;K$36,I$34,K226&lt;K$38,I$36,K226&lt;K$40,I$38,K226&lt;K$42,I$40,K226&lt;K$44,I$42,K226&lt;K$46,I$44,K226&gt;=K$46,I$46)</f>
        <v/>
      </c>
      <c r="J226" s="37">
        <f>_xlfn.IFS(K226&lt;K$24,0,K226&lt;K$25,J$24,K226&lt;K$26,J$25,K226&lt;K$27,J$26,K226&lt;K$28,J$27,K226&lt;K$29,J$28,K226&lt;K$30,J$29,K226&lt;K$31,J$30,K226&lt;K$32,J$31,K226&lt;K$33,J$32,K226&lt;K$34,J$33,K226&lt;K$35,J$34,K226&lt;K$36,J$35,K226&lt;K$37,J$36,K226&lt;K$38,J$37,K226&lt;K$39,J$38,K226&lt;K$40,J$39,K226&lt;K$41,J$40,K226&lt;K$42,J$41,K226&lt;K$43,J$42,K226&lt;K$44,J$43,K226&lt;K$45,J$44,K226&lt;K$46,J$45,K226&lt;K$47,J$46,K226&gt;=K$47,J$47)</f>
        <v/>
      </c>
      <c r="K226" s="38" t="n">
        <v>176</v>
      </c>
      <c r="L226" s="31">
        <f>K226/52</f>
        <v/>
      </c>
      <c r="M226" s="39">
        <f>J226/1000000*52</f>
        <v/>
      </c>
      <c r="N226" s="33">
        <f>M226/$P$4+($I$22/$P$4)</f>
        <v/>
      </c>
      <c r="U226">
        <f>F225</f>
        <v/>
      </c>
      <c r="V226">
        <f>H225</f>
        <v/>
      </c>
      <c r="W226">
        <f>N225</f>
        <v/>
      </c>
    </row>
    <row r="227" ht="15.75" customHeight="1" s="40">
      <c r="C227" s="36">
        <f>_xlfn.IFS(E227&lt;E$24,0,E227&lt;E$26,C$24,E227&lt;E$28,C$26,E227&lt;E$30,C$28,E227&lt;E$32,C$30,E227&lt;E$34,C$32,E227&gt;=E$34,C$34)</f>
        <v/>
      </c>
      <c r="D227" s="37">
        <f>_xlfn.IFS(E227&lt;E$24,0,E227&lt;E$25,D$24,E227&lt;E$26,D$25,E227&lt;E$27,D$26,E227&lt;E$28,D$27,E227&lt;E$29,D$28,E227&lt;E$30,D$29,E227&lt;E$31,D$30,E227&lt;E$32,D$31,E227&lt;E$33,D$32,E227&lt;E$34,D$33,E227&lt;E$35,D$34,E227&gt;=E$35,D$35)</f>
        <v/>
      </c>
      <c r="E227" s="38" t="n">
        <v>177</v>
      </c>
      <c r="F227" s="31">
        <f>E227/52</f>
        <v/>
      </c>
      <c r="G227" s="39">
        <f>D227/1000000*52</f>
        <v/>
      </c>
      <c r="H227" s="33">
        <f>G227/$P$4+($C$22/$P$4)</f>
        <v/>
      </c>
      <c r="I227" s="36">
        <f>_xlfn.IFS(K227&lt;K$24,0,K227&lt;K$26,I$24,K227&lt;K$28,I$26,K227&lt;K$30,I$28,K227&lt;K$32,I$30,K227&lt;K$34,I$32,K227&lt;K$36,I$34,K227&lt;K$38,I$36,K227&lt;K$40,I$38,K227&lt;K$42,I$40,K227&lt;K$44,I$42,K227&lt;K$46,I$44,K227&gt;=K$46,I$46)</f>
        <v/>
      </c>
      <c r="J227" s="37">
        <f>_xlfn.IFS(K227&lt;K$24,0,K227&lt;K$25,J$24,K227&lt;K$26,J$25,K227&lt;K$27,J$26,K227&lt;K$28,J$27,K227&lt;K$29,J$28,K227&lt;K$30,J$29,K227&lt;K$31,J$30,K227&lt;K$32,J$31,K227&lt;K$33,J$32,K227&lt;K$34,J$33,K227&lt;K$35,J$34,K227&lt;K$36,J$35,K227&lt;K$37,J$36,K227&lt;K$38,J$37,K227&lt;K$39,J$38,K227&lt;K$40,J$39,K227&lt;K$41,J$40,K227&lt;K$42,J$41,K227&lt;K$43,J$42,K227&lt;K$44,J$43,K227&lt;K$45,J$44,K227&lt;K$46,J$45,K227&lt;K$47,J$46,K227&gt;=K$47,J$47)</f>
        <v/>
      </c>
      <c r="K227" s="38" t="n">
        <v>177</v>
      </c>
      <c r="L227" s="31">
        <f>K227/52</f>
        <v/>
      </c>
      <c r="M227" s="39">
        <f>J227/1000000*52</f>
        <v/>
      </c>
      <c r="N227" s="33">
        <f>M227/$P$4+($I$22/$P$4)</f>
        <v/>
      </c>
      <c r="U227">
        <f>F226</f>
        <v/>
      </c>
      <c r="V227">
        <f>H226</f>
        <v/>
      </c>
      <c r="W227">
        <f>N226</f>
        <v/>
      </c>
    </row>
    <row r="228" ht="15.75" customHeight="1" s="40">
      <c r="C228" s="36">
        <f>_xlfn.IFS(E228&lt;E$24,0,E228&lt;E$26,C$24,E228&lt;E$28,C$26,E228&lt;E$30,C$28,E228&lt;E$32,C$30,E228&lt;E$34,C$32,E228&gt;=E$34,C$34)</f>
        <v/>
      </c>
      <c r="D228" s="37">
        <f>_xlfn.IFS(E228&lt;E$24,0,E228&lt;E$25,D$24,E228&lt;E$26,D$25,E228&lt;E$27,D$26,E228&lt;E$28,D$27,E228&lt;E$29,D$28,E228&lt;E$30,D$29,E228&lt;E$31,D$30,E228&lt;E$32,D$31,E228&lt;E$33,D$32,E228&lt;E$34,D$33,E228&lt;E$35,D$34,E228&gt;=E$35,D$35)</f>
        <v/>
      </c>
      <c r="E228" s="38" t="n">
        <v>178</v>
      </c>
      <c r="F228" s="31">
        <f>E228/52</f>
        <v/>
      </c>
      <c r="G228" s="39">
        <f>D228/1000000*52</f>
        <v/>
      </c>
      <c r="H228" s="33">
        <f>G228/$P$4+($C$22/$P$4)</f>
        <v/>
      </c>
      <c r="I228" s="36">
        <f>_xlfn.IFS(K228&lt;K$24,0,K228&lt;K$26,I$24,K228&lt;K$28,I$26,K228&lt;K$30,I$28,K228&lt;K$32,I$30,K228&lt;K$34,I$32,K228&lt;K$36,I$34,K228&lt;K$38,I$36,K228&lt;K$40,I$38,K228&lt;K$42,I$40,K228&lt;K$44,I$42,K228&lt;K$46,I$44,K228&gt;=K$46,I$46)</f>
        <v/>
      </c>
      <c r="J228" s="37">
        <f>_xlfn.IFS(K228&lt;K$24,0,K228&lt;K$25,J$24,K228&lt;K$26,J$25,K228&lt;K$27,J$26,K228&lt;K$28,J$27,K228&lt;K$29,J$28,K228&lt;K$30,J$29,K228&lt;K$31,J$30,K228&lt;K$32,J$31,K228&lt;K$33,J$32,K228&lt;K$34,J$33,K228&lt;K$35,J$34,K228&lt;K$36,J$35,K228&lt;K$37,J$36,K228&lt;K$38,J$37,K228&lt;K$39,J$38,K228&lt;K$40,J$39,K228&lt;K$41,J$40,K228&lt;K$42,J$41,K228&lt;K$43,J$42,K228&lt;K$44,J$43,K228&lt;K$45,J$44,K228&lt;K$46,J$45,K228&lt;K$47,J$46,K228&gt;=K$47,J$47)</f>
        <v/>
      </c>
      <c r="K228" s="38" t="n">
        <v>178</v>
      </c>
      <c r="L228" s="31">
        <f>K228/52</f>
        <v/>
      </c>
      <c r="M228" s="39">
        <f>J228/1000000*52</f>
        <v/>
      </c>
      <c r="N228" s="33">
        <f>M228/$P$4+($I$22/$P$4)</f>
        <v/>
      </c>
      <c r="U228">
        <f>F227</f>
        <v/>
      </c>
      <c r="V228">
        <f>H227</f>
        <v/>
      </c>
      <c r="W228">
        <f>N227</f>
        <v/>
      </c>
    </row>
    <row r="229" ht="15.75" customHeight="1" s="40">
      <c r="C229" s="36">
        <f>_xlfn.IFS(E229&lt;E$24,0,E229&lt;E$26,C$24,E229&lt;E$28,C$26,E229&lt;E$30,C$28,E229&lt;E$32,C$30,E229&lt;E$34,C$32,E229&gt;=E$34,C$34)</f>
        <v/>
      </c>
      <c r="D229" s="37">
        <f>_xlfn.IFS(E229&lt;E$24,0,E229&lt;E$25,D$24,E229&lt;E$26,D$25,E229&lt;E$27,D$26,E229&lt;E$28,D$27,E229&lt;E$29,D$28,E229&lt;E$30,D$29,E229&lt;E$31,D$30,E229&lt;E$32,D$31,E229&lt;E$33,D$32,E229&lt;E$34,D$33,E229&lt;E$35,D$34,E229&gt;=E$35,D$35)</f>
        <v/>
      </c>
      <c r="E229" s="38" t="n">
        <v>179</v>
      </c>
      <c r="F229" s="31">
        <f>E229/52</f>
        <v/>
      </c>
      <c r="G229" s="39">
        <f>D229/1000000*52</f>
        <v/>
      </c>
      <c r="H229" s="33">
        <f>G229/$P$4+($C$22/$P$4)</f>
        <v/>
      </c>
      <c r="I229" s="36">
        <f>_xlfn.IFS(K229&lt;K$24,0,K229&lt;K$26,I$24,K229&lt;K$28,I$26,K229&lt;K$30,I$28,K229&lt;K$32,I$30,K229&lt;K$34,I$32,K229&lt;K$36,I$34,K229&lt;K$38,I$36,K229&lt;K$40,I$38,K229&lt;K$42,I$40,K229&lt;K$44,I$42,K229&lt;K$46,I$44,K229&gt;=K$46,I$46)</f>
        <v/>
      </c>
      <c r="J229" s="37">
        <f>_xlfn.IFS(K229&lt;K$24,0,K229&lt;K$25,J$24,K229&lt;K$26,J$25,K229&lt;K$27,J$26,K229&lt;K$28,J$27,K229&lt;K$29,J$28,K229&lt;K$30,J$29,K229&lt;K$31,J$30,K229&lt;K$32,J$31,K229&lt;K$33,J$32,K229&lt;K$34,J$33,K229&lt;K$35,J$34,K229&lt;K$36,J$35,K229&lt;K$37,J$36,K229&lt;K$38,J$37,K229&lt;K$39,J$38,K229&lt;K$40,J$39,K229&lt;K$41,J$40,K229&lt;K$42,J$41,K229&lt;K$43,J$42,K229&lt;K$44,J$43,K229&lt;K$45,J$44,K229&lt;K$46,J$45,K229&lt;K$47,J$46,K229&gt;=K$47,J$47)</f>
        <v/>
      </c>
      <c r="K229" s="38" t="n">
        <v>179</v>
      </c>
      <c r="L229" s="31">
        <f>K229/52</f>
        <v/>
      </c>
      <c r="M229" s="39">
        <f>J229/1000000*52</f>
        <v/>
      </c>
      <c r="N229" s="33">
        <f>M229/$P$4+($I$22/$P$4)</f>
        <v/>
      </c>
      <c r="U229">
        <f>F228</f>
        <v/>
      </c>
      <c r="V229">
        <f>H228</f>
        <v/>
      </c>
      <c r="W229">
        <f>N228</f>
        <v/>
      </c>
    </row>
    <row r="230" ht="15.75" customHeight="1" s="40">
      <c r="C230" s="36">
        <f>_xlfn.IFS(E230&lt;E$24,0,E230&lt;E$26,C$24,E230&lt;E$28,C$26,E230&lt;E$30,C$28,E230&lt;E$32,C$30,E230&lt;E$34,C$32,E230&gt;=E$34,C$34)</f>
        <v/>
      </c>
      <c r="D230" s="37">
        <f>_xlfn.IFS(E230&lt;E$24,0,E230&lt;E$25,D$24,E230&lt;E$26,D$25,E230&lt;E$27,D$26,E230&lt;E$28,D$27,E230&lt;E$29,D$28,E230&lt;E$30,D$29,E230&lt;E$31,D$30,E230&lt;E$32,D$31,E230&lt;E$33,D$32,E230&lt;E$34,D$33,E230&lt;E$35,D$34,E230&gt;=E$35,D$35)</f>
        <v/>
      </c>
      <c r="E230" s="38" t="n">
        <v>180</v>
      </c>
      <c r="F230" s="31">
        <f>E230/52</f>
        <v/>
      </c>
      <c r="G230" s="39">
        <f>D230/1000000*52</f>
        <v/>
      </c>
      <c r="H230" s="33">
        <f>G230/$P$4+($C$22/$P$4)</f>
        <v/>
      </c>
      <c r="I230" s="36">
        <f>_xlfn.IFS(K230&lt;K$24,0,K230&lt;K$26,I$24,K230&lt;K$28,I$26,K230&lt;K$30,I$28,K230&lt;K$32,I$30,K230&lt;K$34,I$32,K230&lt;K$36,I$34,K230&lt;K$38,I$36,K230&lt;K$40,I$38,K230&lt;K$42,I$40,K230&lt;K$44,I$42,K230&lt;K$46,I$44,K230&gt;=K$46,I$46)</f>
        <v/>
      </c>
      <c r="J230" s="37">
        <f>_xlfn.IFS(K230&lt;K$24,0,K230&lt;K$25,J$24,K230&lt;K$26,J$25,K230&lt;K$27,J$26,K230&lt;K$28,J$27,K230&lt;K$29,J$28,K230&lt;K$30,J$29,K230&lt;K$31,J$30,K230&lt;K$32,J$31,K230&lt;K$33,J$32,K230&lt;K$34,J$33,K230&lt;K$35,J$34,K230&lt;K$36,J$35,K230&lt;K$37,J$36,K230&lt;K$38,J$37,K230&lt;K$39,J$38,K230&lt;K$40,J$39,K230&lt;K$41,J$40,K230&lt;K$42,J$41,K230&lt;K$43,J$42,K230&lt;K$44,J$43,K230&lt;K$45,J$44,K230&lt;K$46,J$45,K230&lt;K$47,J$46,K230&gt;=K$47,J$47)</f>
        <v/>
      </c>
      <c r="K230" s="38" t="n">
        <v>180</v>
      </c>
      <c r="L230" s="31">
        <f>K230/52</f>
        <v/>
      </c>
      <c r="M230" s="39">
        <f>J230/1000000*52</f>
        <v/>
      </c>
      <c r="N230" s="33">
        <f>M230/$P$4+($I$22/$P$4)</f>
        <v/>
      </c>
      <c r="U230">
        <f>F229</f>
        <v/>
      </c>
      <c r="V230">
        <f>H229</f>
        <v/>
      </c>
      <c r="W230">
        <f>N229</f>
        <v/>
      </c>
    </row>
    <row r="231" ht="15.75" customHeight="1" s="40">
      <c r="C231" s="36">
        <f>_xlfn.IFS(E231&lt;E$24,0,E231&lt;E$26,C$24,E231&lt;E$28,C$26,E231&lt;E$30,C$28,E231&lt;E$32,C$30,E231&lt;E$34,C$32,E231&gt;=E$34,C$34)</f>
        <v/>
      </c>
      <c r="D231" s="37">
        <f>_xlfn.IFS(E231&lt;E$24,0,E231&lt;E$25,D$24,E231&lt;E$26,D$25,E231&lt;E$27,D$26,E231&lt;E$28,D$27,E231&lt;E$29,D$28,E231&lt;E$30,D$29,E231&lt;E$31,D$30,E231&lt;E$32,D$31,E231&lt;E$33,D$32,E231&lt;E$34,D$33,E231&lt;E$35,D$34,E231&gt;=E$35,D$35)</f>
        <v/>
      </c>
      <c r="E231" s="38" t="n">
        <v>181</v>
      </c>
      <c r="F231" s="31">
        <f>E231/52</f>
        <v/>
      </c>
      <c r="G231" s="39">
        <f>D231/1000000*52</f>
        <v/>
      </c>
      <c r="H231" s="33">
        <f>G231/$P$4+($C$22/$P$4)</f>
        <v/>
      </c>
      <c r="I231" s="36">
        <f>_xlfn.IFS(K231&lt;K$24,0,K231&lt;K$26,I$24,K231&lt;K$28,I$26,K231&lt;K$30,I$28,K231&lt;K$32,I$30,K231&lt;K$34,I$32,K231&lt;K$36,I$34,K231&lt;K$38,I$36,K231&lt;K$40,I$38,K231&lt;K$42,I$40,K231&lt;K$44,I$42,K231&lt;K$46,I$44,K231&gt;=K$46,I$46)</f>
        <v/>
      </c>
      <c r="J231" s="37">
        <f>_xlfn.IFS(K231&lt;K$24,0,K231&lt;K$25,J$24,K231&lt;K$26,J$25,K231&lt;K$27,J$26,K231&lt;K$28,J$27,K231&lt;K$29,J$28,K231&lt;K$30,J$29,K231&lt;K$31,J$30,K231&lt;K$32,J$31,K231&lt;K$33,J$32,K231&lt;K$34,J$33,K231&lt;K$35,J$34,K231&lt;K$36,J$35,K231&lt;K$37,J$36,K231&lt;K$38,J$37,K231&lt;K$39,J$38,K231&lt;K$40,J$39,K231&lt;K$41,J$40,K231&lt;K$42,J$41,K231&lt;K$43,J$42,K231&lt;K$44,J$43,K231&lt;K$45,J$44,K231&lt;K$46,J$45,K231&lt;K$47,J$46,K231&gt;=K$47,J$47)</f>
        <v/>
      </c>
      <c r="K231" s="38" t="n">
        <v>181</v>
      </c>
      <c r="L231" s="31">
        <f>K231/52</f>
        <v/>
      </c>
      <c r="M231" s="39">
        <f>J231/1000000*52</f>
        <v/>
      </c>
      <c r="N231" s="33">
        <f>M231/$P$4+($I$22/$P$4)</f>
        <v/>
      </c>
      <c r="U231">
        <f>F230</f>
        <v/>
      </c>
      <c r="V231">
        <f>H230</f>
        <v/>
      </c>
      <c r="W231">
        <f>N230</f>
        <v/>
      </c>
    </row>
    <row r="232" ht="15.75" customHeight="1" s="40">
      <c r="C232" s="36">
        <f>_xlfn.IFS(E232&lt;E$24,0,E232&lt;E$26,C$24,E232&lt;E$28,C$26,E232&lt;E$30,C$28,E232&lt;E$32,C$30,E232&lt;E$34,C$32,E232&gt;=E$34,C$34)</f>
        <v/>
      </c>
      <c r="D232" s="37">
        <f>_xlfn.IFS(E232&lt;E$24,0,E232&lt;E$25,D$24,E232&lt;E$26,D$25,E232&lt;E$27,D$26,E232&lt;E$28,D$27,E232&lt;E$29,D$28,E232&lt;E$30,D$29,E232&lt;E$31,D$30,E232&lt;E$32,D$31,E232&lt;E$33,D$32,E232&lt;E$34,D$33,E232&lt;E$35,D$34,E232&gt;=E$35,D$35)</f>
        <v/>
      </c>
      <c r="E232" s="38" t="n">
        <v>182</v>
      </c>
      <c r="F232" s="31">
        <f>E232/52</f>
        <v/>
      </c>
      <c r="G232" s="39">
        <f>D232/1000000*52</f>
        <v/>
      </c>
      <c r="H232" s="33">
        <f>G232/$P$4+($C$22/$P$4)</f>
        <v/>
      </c>
      <c r="I232" s="36">
        <f>_xlfn.IFS(K232&lt;K$24,0,K232&lt;K$26,I$24,K232&lt;K$28,I$26,K232&lt;K$30,I$28,K232&lt;K$32,I$30,K232&lt;K$34,I$32,K232&lt;K$36,I$34,K232&lt;K$38,I$36,K232&lt;K$40,I$38,K232&lt;K$42,I$40,K232&lt;K$44,I$42,K232&lt;K$46,I$44,K232&gt;=K$46,I$46)</f>
        <v/>
      </c>
      <c r="J232" s="37">
        <f>_xlfn.IFS(K232&lt;K$24,0,K232&lt;K$25,J$24,K232&lt;K$26,J$25,K232&lt;K$27,J$26,K232&lt;K$28,J$27,K232&lt;K$29,J$28,K232&lt;K$30,J$29,K232&lt;K$31,J$30,K232&lt;K$32,J$31,K232&lt;K$33,J$32,K232&lt;K$34,J$33,K232&lt;K$35,J$34,K232&lt;K$36,J$35,K232&lt;K$37,J$36,K232&lt;K$38,J$37,K232&lt;K$39,J$38,K232&lt;K$40,J$39,K232&lt;K$41,J$40,K232&lt;K$42,J$41,K232&lt;K$43,J$42,K232&lt;K$44,J$43,K232&lt;K$45,J$44,K232&lt;K$46,J$45,K232&lt;K$47,J$46,K232&gt;=K$47,J$47)</f>
        <v/>
      </c>
      <c r="K232" s="38" t="n">
        <v>182</v>
      </c>
      <c r="L232" s="31">
        <f>K232/52</f>
        <v/>
      </c>
      <c r="M232" s="39">
        <f>J232/1000000*52</f>
        <v/>
      </c>
      <c r="N232" s="33">
        <f>M232/$P$4+($I$22/$P$4)</f>
        <v/>
      </c>
      <c r="U232">
        <f>F231</f>
        <v/>
      </c>
      <c r="V232">
        <f>H231</f>
        <v/>
      </c>
      <c r="W232">
        <f>N231</f>
        <v/>
      </c>
    </row>
    <row r="233" ht="15.75" customHeight="1" s="40">
      <c r="C233" s="36">
        <f>_xlfn.IFS(E233&lt;E$24,0,E233&lt;E$26,C$24,E233&lt;E$28,C$26,E233&lt;E$30,C$28,E233&lt;E$32,C$30,E233&lt;E$34,C$32,E233&gt;=E$34,C$34)</f>
        <v/>
      </c>
      <c r="D233" s="37">
        <f>_xlfn.IFS(E233&lt;E$24,0,E233&lt;E$25,D$24,E233&lt;E$26,D$25,E233&lt;E$27,D$26,E233&lt;E$28,D$27,E233&lt;E$29,D$28,E233&lt;E$30,D$29,E233&lt;E$31,D$30,E233&lt;E$32,D$31,E233&lt;E$33,D$32,E233&lt;E$34,D$33,E233&lt;E$35,D$34,E233&gt;=E$35,D$35)</f>
        <v/>
      </c>
      <c r="E233" s="38" t="n">
        <v>183</v>
      </c>
      <c r="F233" s="31">
        <f>E233/52</f>
        <v/>
      </c>
      <c r="G233" s="39">
        <f>D233/1000000*52</f>
        <v/>
      </c>
      <c r="H233" s="33">
        <f>G233/$P$4+($C$22/$P$4)</f>
        <v/>
      </c>
      <c r="I233" s="36">
        <f>_xlfn.IFS(K233&lt;K$24,0,K233&lt;K$26,I$24,K233&lt;K$28,I$26,K233&lt;K$30,I$28,K233&lt;K$32,I$30,K233&lt;K$34,I$32,K233&lt;K$36,I$34,K233&lt;K$38,I$36,K233&lt;K$40,I$38,K233&lt;K$42,I$40,K233&lt;K$44,I$42,K233&lt;K$46,I$44,K233&gt;=K$46,I$46)</f>
        <v/>
      </c>
      <c r="J233" s="37">
        <f>_xlfn.IFS(K233&lt;K$24,0,K233&lt;K$25,J$24,K233&lt;K$26,J$25,K233&lt;K$27,J$26,K233&lt;K$28,J$27,K233&lt;K$29,J$28,K233&lt;K$30,J$29,K233&lt;K$31,J$30,K233&lt;K$32,J$31,K233&lt;K$33,J$32,K233&lt;K$34,J$33,K233&lt;K$35,J$34,K233&lt;K$36,J$35,K233&lt;K$37,J$36,K233&lt;K$38,J$37,K233&lt;K$39,J$38,K233&lt;K$40,J$39,K233&lt;K$41,J$40,K233&lt;K$42,J$41,K233&lt;K$43,J$42,K233&lt;K$44,J$43,K233&lt;K$45,J$44,K233&lt;K$46,J$45,K233&lt;K$47,J$46,K233&gt;=K$47,J$47)</f>
        <v/>
      </c>
      <c r="K233" s="38" t="n">
        <v>183</v>
      </c>
      <c r="L233" s="31">
        <f>K233/52</f>
        <v/>
      </c>
      <c r="M233" s="39">
        <f>J233/1000000*52</f>
        <v/>
      </c>
      <c r="N233" s="33">
        <f>M233/$P$4+($I$22/$P$4)</f>
        <v/>
      </c>
      <c r="U233">
        <f>F232</f>
        <v/>
      </c>
      <c r="V233">
        <f>H232</f>
        <v/>
      </c>
      <c r="W233">
        <f>N232</f>
        <v/>
      </c>
    </row>
    <row r="234" ht="15.75" customHeight="1" s="40">
      <c r="C234" s="36">
        <f>_xlfn.IFS(E234&lt;E$24,0,E234&lt;E$26,C$24,E234&lt;E$28,C$26,E234&lt;E$30,C$28,E234&lt;E$32,C$30,E234&lt;E$34,C$32,E234&gt;=E$34,C$34)</f>
        <v/>
      </c>
      <c r="D234" s="37">
        <f>_xlfn.IFS(E234&lt;E$24,0,E234&lt;E$25,D$24,E234&lt;E$26,D$25,E234&lt;E$27,D$26,E234&lt;E$28,D$27,E234&lt;E$29,D$28,E234&lt;E$30,D$29,E234&lt;E$31,D$30,E234&lt;E$32,D$31,E234&lt;E$33,D$32,E234&lt;E$34,D$33,E234&lt;E$35,D$34,E234&gt;=E$35,D$35)</f>
        <v/>
      </c>
      <c r="E234" s="38" t="n">
        <v>184</v>
      </c>
      <c r="F234" s="31">
        <f>E234/52</f>
        <v/>
      </c>
      <c r="G234" s="39">
        <f>D234/1000000*52</f>
        <v/>
      </c>
      <c r="H234" s="33">
        <f>G234/$P$4+($C$22/$P$4)</f>
        <v/>
      </c>
      <c r="I234" s="36">
        <f>_xlfn.IFS(K234&lt;K$24,0,K234&lt;K$26,I$24,K234&lt;K$28,I$26,K234&lt;K$30,I$28,K234&lt;K$32,I$30,K234&lt;K$34,I$32,K234&lt;K$36,I$34,K234&lt;K$38,I$36,K234&lt;K$40,I$38,K234&lt;K$42,I$40,K234&lt;K$44,I$42,K234&lt;K$46,I$44,K234&gt;=K$46,I$46)</f>
        <v/>
      </c>
      <c r="J234" s="37">
        <f>_xlfn.IFS(K234&lt;K$24,0,K234&lt;K$25,J$24,K234&lt;K$26,J$25,K234&lt;K$27,J$26,K234&lt;K$28,J$27,K234&lt;K$29,J$28,K234&lt;K$30,J$29,K234&lt;K$31,J$30,K234&lt;K$32,J$31,K234&lt;K$33,J$32,K234&lt;K$34,J$33,K234&lt;K$35,J$34,K234&lt;K$36,J$35,K234&lt;K$37,J$36,K234&lt;K$38,J$37,K234&lt;K$39,J$38,K234&lt;K$40,J$39,K234&lt;K$41,J$40,K234&lt;K$42,J$41,K234&lt;K$43,J$42,K234&lt;K$44,J$43,K234&lt;K$45,J$44,K234&lt;K$46,J$45,K234&lt;K$47,J$46,K234&gt;=K$47,J$47)</f>
        <v/>
      </c>
      <c r="K234" s="38" t="n">
        <v>184</v>
      </c>
      <c r="L234" s="31">
        <f>K234/52</f>
        <v/>
      </c>
      <c r="M234" s="39">
        <f>J234/1000000*52</f>
        <v/>
      </c>
      <c r="N234" s="33">
        <f>M234/$P$4+($I$22/$P$4)</f>
        <v/>
      </c>
      <c r="U234">
        <f>F233</f>
        <v/>
      </c>
      <c r="V234">
        <f>H233</f>
        <v/>
      </c>
      <c r="W234">
        <f>N233</f>
        <v/>
      </c>
    </row>
    <row r="235" ht="15.75" customHeight="1" s="40">
      <c r="C235" s="36">
        <f>_xlfn.IFS(E235&lt;E$24,0,E235&lt;E$26,C$24,E235&lt;E$28,C$26,E235&lt;E$30,C$28,E235&lt;E$32,C$30,E235&lt;E$34,C$32,E235&gt;=E$34,C$34)</f>
        <v/>
      </c>
      <c r="D235" s="37">
        <f>_xlfn.IFS(E235&lt;E$24,0,E235&lt;E$25,D$24,E235&lt;E$26,D$25,E235&lt;E$27,D$26,E235&lt;E$28,D$27,E235&lt;E$29,D$28,E235&lt;E$30,D$29,E235&lt;E$31,D$30,E235&lt;E$32,D$31,E235&lt;E$33,D$32,E235&lt;E$34,D$33,E235&lt;E$35,D$34,E235&gt;=E$35,D$35)</f>
        <v/>
      </c>
      <c r="E235" s="38" t="n">
        <v>185</v>
      </c>
      <c r="F235" s="31">
        <f>E235/52</f>
        <v/>
      </c>
      <c r="G235" s="39">
        <f>D235/1000000*52</f>
        <v/>
      </c>
      <c r="H235" s="33">
        <f>G235/$P$4+($C$22/$P$4)</f>
        <v/>
      </c>
      <c r="I235" s="36">
        <f>_xlfn.IFS(K235&lt;K$24,0,K235&lt;K$26,I$24,K235&lt;K$28,I$26,K235&lt;K$30,I$28,K235&lt;K$32,I$30,K235&lt;K$34,I$32,K235&lt;K$36,I$34,K235&lt;K$38,I$36,K235&lt;K$40,I$38,K235&lt;K$42,I$40,K235&lt;K$44,I$42,K235&lt;K$46,I$44,K235&gt;=K$46,I$46)</f>
        <v/>
      </c>
      <c r="J235" s="37">
        <f>_xlfn.IFS(K235&lt;K$24,0,K235&lt;K$25,J$24,K235&lt;K$26,J$25,K235&lt;K$27,J$26,K235&lt;K$28,J$27,K235&lt;K$29,J$28,K235&lt;K$30,J$29,K235&lt;K$31,J$30,K235&lt;K$32,J$31,K235&lt;K$33,J$32,K235&lt;K$34,J$33,K235&lt;K$35,J$34,K235&lt;K$36,J$35,K235&lt;K$37,J$36,K235&lt;K$38,J$37,K235&lt;K$39,J$38,K235&lt;K$40,J$39,K235&lt;K$41,J$40,K235&lt;K$42,J$41,K235&lt;K$43,J$42,K235&lt;K$44,J$43,K235&lt;K$45,J$44,K235&lt;K$46,J$45,K235&lt;K$47,J$46,K235&gt;=K$47,J$47)</f>
        <v/>
      </c>
      <c r="K235" s="38" t="n">
        <v>185</v>
      </c>
      <c r="L235" s="31">
        <f>K235/52</f>
        <v/>
      </c>
      <c r="M235" s="39">
        <f>J235/1000000*52</f>
        <v/>
      </c>
      <c r="N235" s="33">
        <f>M235/$P$4+($I$22/$P$4)</f>
        <v/>
      </c>
      <c r="U235">
        <f>F234</f>
        <v/>
      </c>
      <c r="V235">
        <f>H234</f>
        <v/>
      </c>
      <c r="W235">
        <f>N234</f>
        <v/>
      </c>
    </row>
    <row r="236" ht="15.75" customHeight="1" s="40">
      <c r="C236" s="36">
        <f>_xlfn.IFS(E236&lt;E$24,0,E236&lt;E$26,C$24,E236&lt;E$28,C$26,E236&lt;E$30,C$28,E236&lt;E$32,C$30,E236&lt;E$34,C$32,E236&gt;=E$34,C$34)</f>
        <v/>
      </c>
      <c r="D236" s="37">
        <f>_xlfn.IFS(E236&lt;E$24,0,E236&lt;E$25,D$24,E236&lt;E$26,D$25,E236&lt;E$27,D$26,E236&lt;E$28,D$27,E236&lt;E$29,D$28,E236&lt;E$30,D$29,E236&lt;E$31,D$30,E236&lt;E$32,D$31,E236&lt;E$33,D$32,E236&lt;E$34,D$33,E236&lt;E$35,D$34,E236&gt;=E$35,D$35)</f>
        <v/>
      </c>
      <c r="E236" s="38" t="n">
        <v>186</v>
      </c>
      <c r="F236" s="31">
        <f>E236/52</f>
        <v/>
      </c>
      <c r="G236" s="39">
        <f>D236/1000000*52</f>
        <v/>
      </c>
      <c r="H236" s="33">
        <f>G236/$P$4+($C$22/$P$4)</f>
        <v/>
      </c>
      <c r="I236" s="36">
        <f>_xlfn.IFS(K236&lt;K$24,0,K236&lt;K$26,I$24,K236&lt;K$28,I$26,K236&lt;K$30,I$28,K236&lt;K$32,I$30,K236&lt;K$34,I$32,K236&lt;K$36,I$34,K236&lt;K$38,I$36,K236&lt;K$40,I$38,K236&lt;K$42,I$40,K236&lt;K$44,I$42,K236&lt;K$46,I$44,K236&gt;=K$46,I$46)</f>
        <v/>
      </c>
      <c r="J236" s="37">
        <f>_xlfn.IFS(K236&lt;K$24,0,K236&lt;K$25,J$24,K236&lt;K$26,J$25,K236&lt;K$27,J$26,K236&lt;K$28,J$27,K236&lt;K$29,J$28,K236&lt;K$30,J$29,K236&lt;K$31,J$30,K236&lt;K$32,J$31,K236&lt;K$33,J$32,K236&lt;K$34,J$33,K236&lt;K$35,J$34,K236&lt;K$36,J$35,K236&lt;K$37,J$36,K236&lt;K$38,J$37,K236&lt;K$39,J$38,K236&lt;K$40,J$39,K236&lt;K$41,J$40,K236&lt;K$42,J$41,K236&lt;K$43,J$42,K236&lt;K$44,J$43,K236&lt;K$45,J$44,K236&lt;K$46,J$45,K236&lt;K$47,J$46,K236&gt;=K$47,J$47)</f>
        <v/>
      </c>
      <c r="K236" s="38" t="n">
        <v>186</v>
      </c>
      <c r="L236" s="31">
        <f>K236/52</f>
        <v/>
      </c>
      <c r="M236" s="39">
        <f>J236/1000000*52</f>
        <v/>
      </c>
      <c r="N236" s="33">
        <f>M236/$P$4+($I$22/$P$4)</f>
        <v/>
      </c>
      <c r="U236">
        <f>F235</f>
        <v/>
      </c>
      <c r="V236">
        <f>H235</f>
        <v/>
      </c>
      <c r="W236">
        <f>N235</f>
        <v/>
      </c>
    </row>
    <row r="237" ht="15.75" customHeight="1" s="40">
      <c r="C237" s="36">
        <f>_xlfn.IFS(E237&lt;E$24,0,E237&lt;E$26,C$24,E237&lt;E$28,C$26,E237&lt;E$30,C$28,E237&lt;E$32,C$30,E237&lt;E$34,C$32,E237&gt;=E$34,C$34)</f>
        <v/>
      </c>
      <c r="D237" s="37">
        <f>_xlfn.IFS(E237&lt;E$24,0,E237&lt;E$25,D$24,E237&lt;E$26,D$25,E237&lt;E$27,D$26,E237&lt;E$28,D$27,E237&lt;E$29,D$28,E237&lt;E$30,D$29,E237&lt;E$31,D$30,E237&lt;E$32,D$31,E237&lt;E$33,D$32,E237&lt;E$34,D$33,E237&lt;E$35,D$34,E237&gt;=E$35,D$35)</f>
        <v/>
      </c>
      <c r="E237" s="38" t="n">
        <v>187</v>
      </c>
      <c r="F237" s="31">
        <f>E237/52</f>
        <v/>
      </c>
      <c r="G237" s="39">
        <f>D237/1000000*52</f>
        <v/>
      </c>
      <c r="H237" s="33">
        <f>G237/$P$4+($C$22/$P$4)</f>
        <v/>
      </c>
      <c r="I237" s="36">
        <f>_xlfn.IFS(K237&lt;K$24,0,K237&lt;K$26,I$24,K237&lt;K$28,I$26,K237&lt;K$30,I$28,K237&lt;K$32,I$30,K237&lt;K$34,I$32,K237&lt;K$36,I$34,K237&lt;K$38,I$36,K237&lt;K$40,I$38,K237&lt;K$42,I$40,K237&lt;K$44,I$42,K237&lt;K$46,I$44,K237&gt;=K$46,I$46)</f>
        <v/>
      </c>
      <c r="J237" s="37">
        <f>_xlfn.IFS(K237&lt;K$24,0,K237&lt;K$25,J$24,K237&lt;K$26,J$25,K237&lt;K$27,J$26,K237&lt;K$28,J$27,K237&lt;K$29,J$28,K237&lt;K$30,J$29,K237&lt;K$31,J$30,K237&lt;K$32,J$31,K237&lt;K$33,J$32,K237&lt;K$34,J$33,K237&lt;K$35,J$34,K237&lt;K$36,J$35,K237&lt;K$37,J$36,K237&lt;K$38,J$37,K237&lt;K$39,J$38,K237&lt;K$40,J$39,K237&lt;K$41,J$40,K237&lt;K$42,J$41,K237&lt;K$43,J$42,K237&lt;K$44,J$43,K237&lt;K$45,J$44,K237&lt;K$46,J$45,K237&lt;K$47,J$46,K237&gt;=K$47,J$47)</f>
        <v/>
      </c>
      <c r="K237" s="38" t="n">
        <v>187</v>
      </c>
      <c r="L237" s="31">
        <f>K237/52</f>
        <v/>
      </c>
      <c r="M237" s="39">
        <f>J237/1000000*52</f>
        <v/>
      </c>
      <c r="N237" s="33">
        <f>M237/$P$4+($I$22/$P$4)</f>
        <v/>
      </c>
      <c r="U237">
        <f>F236</f>
        <v/>
      </c>
      <c r="V237">
        <f>H236</f>
        <v/>
      </c>
      <c r="W237">
        <f>N236</f>
        <v/>
      </c>
    </row>
    <row r="238" ht="15.75" customHeight="1" s="40">
      <c r="C238" s="36">
        <f>_xlfn.IFS(E238&lt;E$24,0,E238&lt;E$26,C$24,E238&lt;E$28,C$26,E238&lt;E$30,C$28,E238&lt;E$32,C$30,E238&lt;E$34,C$32,E238&gt;=E$34,C$34)</f>
        <v/>
      </c>
      <c r="D238" s="37">
        <f>_xlfn.IFS(E238&lt;E$24,0,E238&lt;E$25,D$24,E238&lt;E$26,D$25,E238&lt;E$27,D$26,E238&lt;E$28,D$27,E238&lt;E$29,D$28,E238&lt;E$30,D$29,E238&lt;E$31,D$30,E238&lt;E$32,D$31,E238&lt;E$33,D$32,E238&lt;E$34,D$33,E238&lt;E$35,D$34,E238&gt;=E$35,D$35)</f>
        <v/>
      </c>
      <c r="E238" s="38" t="n">
        <v>188</v>
      </c>
      <c r="F238" s="31">
        <f>E238/52</f>
        <v/>
      </c>
      <c r="G238" s="39">
        <f>D238/1000000*52</f>
        <v/>
      </c>
      <c r="H238" s="33">
        <f>G238/$P$4+($C$22/$P$4)</f>
        <v/>
      </c>
      <c r="I238" s="36">
        <f>_xlfn.IFS(K238&lt;K$24,0,K238&lt;K$26,I$24,K238&lt;K$28,I$26,K238&lt;K$30,I$28,K238&lt;K$32,I$30,K238&lt;K$34,I$32,K238&lt;K$36,I$34,K238&lt;K$38,I$36,K238&lt;K$40,I$38,K238&lt;K$42,I$40,K238&lt;K$44,I$42,K238&lt;K$46,I$44,K238&gt;=K$46,I$46)</f>
        <v/>
      </c>
      <c r="J238" s="37">
        <f>_xlfn.IFS(K238&lt;K$24,0,K238&lt;K$25,J$24,K238&lt;K$26,J$25,K238&lt;K$27,J$26,K238&lt;K$28,J$27,K238&lt;K$29,J$28,K238&lt;K$30,J$29,K238&lt;K$31,J$30,K238&lt;K$32,J$31,K238&lt;K$33,J$32,K238&lt;K$34,J$33,K238&lt;K$35,J$34,K238&lt;K$36,J$35,K238&lt;K$37,J$36,K238&lt;K$38,J$37,K238&lt;K$39,J$38,K238&lt;K$40,J$39,K238&lt;K$41,J$40,K238&lt;K$42,J$41,K238&lt;K$43,J$42,K238&lt;K$44,J$43,K238&lt;K$45,J$44,K238&lt;K$46,J$45,K238&lt;K$47,J$46,K238&gt;=K$47,J$47)</f>
        <v/>
      </c>
      <c r="K238" s="38" t="n">
        <v>188</v>
      </c>
      <c r="L238" s="31">
        <f>K238/52</f>
        <v/>
      </c>
      <c r="M238" s="39">
        <f>J238/1000000*52</f>
        <v/>
      </c>
      <c r="N238" s="33">
        <f>M238/$P$4+($I$22/$P$4)</f>
        <v/>
      </c>
      <c r="U238">
        <f>F237</f>
        <v/>
      </c>
      <c r="V238">
        <f>H237</f>
        <v/>
      </c>
      <c r="W238">
        <f>N237</f>
        <v/>
      </c>
    </row>
    <row r="239" ht="15.75" customHeight="1" s="40">
      <c r="C239" s="36">
        <f>_xlfn.IFS(E239&lt;E$24,0,E239&lt;E$26,C$24,E239&lt;E$28,C$26,E239&lt;E$30,C$28,E239&lt;E$32,C$30,E239&lt;E$34,C$32,E239&gt;=E$34,C$34)</f>
        <v/>
      </c>
      <c r="D239" s="37">
        <f>_xlfn.IFS(E239&lt;E$24,0,E239&lt;E$25,D$24,E239&lt;E$26,D$25,E239&lt;E$27,D$26,E239&lt;E$28,D$27,E239&lt;E$29,D$28,E239&lt;E$30,D$29,E239&lt;E$31,D$30,E239&lt;E$32,D$31,E239&lt;E$33,D$32,E239&lt;E$34,D$33,E239&lt;E$35,D$34,E239&gt;=E$35,D$35)</f>
        <v/>
      </c>
      <c r="E239" s="38" t="n">
        <v>189</v>
      </c>
      <c r="F239" s="31">
        <f>E239/52</f>
        <v/>
      </c>
      <c r="G239" s="39">
        <f>D239/1000000*52</f>
        <v/>
      </c>
      <c r="H239" s="33">
        <f>G239/$P$4+($C$22/$P$4)</f>
        <v/>
      </c>
      <c r="I239" s="36">
        <f>_xlfn.IFS(K239&lt;K$24,0,K239&lt;K$26,I$24,K239&lt;K$28,I$26,K239&lt;K$30,I$28,K239&lt;K$32,I$30,K239&lt;K$34,I$32,K239&lt;K$36,I$34,K239&lt;K$38,I$36,K239&lt;K$40,I$38,K239&lt;K$42,I$40,K239&lt;K$44,I$42,K239&lt;K$46,I$44,K239&gt;=K$46,I$46)</f>
        <v/>
      </c>
      <c r="J239" s="37">
        <f>_xlfn.IFS(K239&lt;K$24,0,K239&lt;K$25,J$24,K239&lt;K$26,J$25,K239&lt;K$27,J$26,K239&lt;K$28,J$27,K239&lt;K$29,J$28,K239&lt;K$30,J$29,K239&lt;K$31,J$30,K239&lt;K$32,J$31,K239&lt;K$33,J$32,K239&lt;K$34,J$33,K239&lt;K$35,J$34,K239&lt;K$36,J$35,K239&lt;K$37,J$36,K239&lt;K$38,J$37,K239&lt;K$39,J$38,K239&lt;K$40,J$39,K239&lt;K$41,J$40,K239&lt;K$42,J$41,K239&lt;K$43,J$42,K239&lt;K$44,J$43,K239&lt;K$45,J$44,K239&lt;K$46,J$45,K239&lt;K$47,J$46,K239&gt;=K$47,J$47)</f>
        <v/>
      </c>
      <c r="K239" s="38" t="n">
        <v>189</v>
      </c>
      <c r="L239" s="31">
        <f>K239/52</f>
        <v/>
      </c>
      <c r="M239" s="39">
        <f>J239/1000000*52</f>
        <v/>
      </c>
      <c r="N239" s="33">
        <f>M239/$P$4+($I$22/$P$4)</f>
        <v/>
      </c>
      <c r="U239">
        <f>F238</f>
        <v/>
      </c>
      <c r="V239">
        <f>H238</f>
        <v/>
      </c>
      <c r="W239">
        <f>N238</f>
        <v/>
      </c>
    </row>
    <row r="240" ht="15.75" customHeight="1" s="40">
      <c r="C240" s="36">
        <f>_xlfn.IFS(E240&lt;E$24,0,E240&lt;E$26,C$24,E240&lt;E$28,C$26,E240&lt;E$30,C$28,E240&lt;E$32,C$30,E240&lt;E$34,C$32,E240&gt;=E$34,C$34)</f>
        <v/>
      </c>
      <c r="D240" s="37">
        <f>_xlfn.IFS(E240&lt;E$24,0,E240&lt;E$25,D$24,E240&lt;E$26,D$25,E240&lt;E$27,D$26,E240&lt;E$28,D$27,E240&lt;E$29,D$28,E240&lt;E$30,D$29,E240&lt;E$31,D$30,E240&lt;E$32,D$31,E240&lt;E$33,D$32,E240&lt;E$34,D$33,E240&lt;E$35,D$34,E240&gt;=E$35,D$35)</f>
        <v/>
      </c>
      <c r="E240" s="38" t="n">
        <v>190</v>
      </c>
      <c r="F240" s="31">
        <f>E240/52</f>
        <v/>
      </c>
      <c r="G240" s="39">
        <f>D240/1000000*52</f>
        <v/>
      </c>
      <c r="H240" s="33">
        <f>G240/$P$4+($C$22/$P$4)</f>
        <v/>
      </c>
      <c r="I240" s="36">
        <f>_xlfn.IFS(K240&lt;K$24,0,K240&lt;K$26,I$24,K240&lt;K$28,I$26,K240&lt;K$30,I$28,K240&lt;K$32,I$30,K240&lt;K$34,I$32,K240&lt;K$36,I$34,K240&lt;K$38,I$36,K240&lt;K$40,I$38,K240&lt;K$42,I$40,K240&lt;K$44,I$42,K240&lt;K$46,I$44,K240&gt;=K$46,I$46)</f>
        <v/>
      </c>
      <c r="J240" s="37">
        <f>_xlfn.IFS(K240&lt;K$24,0,K240&lt;K$25,J$24,K240&lt;K$26,J$25,K240&lt;K$27,J$26,K240&lt;K$28,J$27,K240&lt;K$29,J$28,K240&lt;K$30,J$29,K240&lt;K$31,J$30,K240&lt;K$32,J$31,K240&lt;K$33,J$32,K240&lt;K$34,J$33,K240&lt;K$35,J$34,K240&lt;K$36,J$35,K240&lt;K$37,J$36,K240&lt;K$38,J$37,K240&lt;K$39,J$38,K240&lt;K$40,J$39,K240&lt;K$41,J$40,K240&lt;K$42,J$41,K240&lt;K$43,J$42,K240&lt;K$44,J$43,K240&lt;K$45,J$44,K240&lt;K$46,J$45,K240&lt;K$47,J$46,K240&gt;=K$47,J$47)</f>
        <v/>
      </c>
      <c r="K240" s="38" t="n">
        <v>190</v>
      </c>
      <c r="L240" s="31">
        <f>K240/52</f>
        <v/>
      </c>
      <c r="M240" s="39">
        <f>J240/1000000*52</f>
        <v/>
      </c>
      <c r="N240" s="33">
        <f>M240/$P$4+($I$22/$P$4)</f>
        <v/>
      </c>
      <c r="U240">
        <f>F239</f>
        <v/>
      </c>
      <c r="V240">
        <f>H239</f>
        <v/>
      </c>
      <c r="W240">
        <f>N239</f>
        <v/>
      </c>
    </row>
    <row r="241" ht="15.75" customHeight="1" s="40">
      <c r="C241" s="36">
        <f>_xlfn.IFS(E241&lt;E$24,0,E241&lt;E$26,C$24,E241&lt;E$28,C$26,E241&lt;E$30,C$28,E241&lt;E$32,C$30,E241&lt;E$34,C$32,E241&gt;=E$34,C$34)</f>
        <v/>
      </c>
      <c r="D241" s="37">
        <f>_xlfn.IFS(E241&lt;E$24,0,E241&lt;E$25,D$24,E241&lt;E$26,D$25,E241&lt;E$27,D$26,E241&lt;E$28,D$27,E241&lt;E$29,D$28,E241&lt;E$30,D$29,E241&lt;E$31,D$30,E241&lt;E$32,D$31,E241&lt;E$33,D$32,E241&lt;E$34,D$33,E241&lt;E$35,D$34,E241&gt;=E$35,D$35)</f>
        <v/>
      </c>
      <c r="E241" s="38" t="n">
        <v>191</v>
      </c>
      <c r="F241" s="31">
        <f>E241/52</f>
        <v/>
      </c>
      <c r="G241" s="39">
        <f>D241/1000000*52</f>
        <v/>
      </c>
      <c r="H241" s="33">
        <f>G241/$P$4+($C$22/$P$4)</f>
        <v/>
      </c>
      <c r="I241" s="36">
        <f>_xlfn.IFS(K241&lt;K$24,0,K241&lt;K$26,I$24,K241&lt;K$28,I$26,K241&lt;K$30,I$28,K241&lt;K$32,I$30,K241&lt;K$34,I$32,K241&lt;K$36,I$34,K241&lt;K$38,I$36,K241&lt;K$40,I$38,K241&lt;K$42,I$40,K241&lt;K$44,I$42,K241&lt;K$46,I$44,K241&gt;=K$46,I$46)</f>
        <v/>
      </c>
      <c r="J241" s="37">
        <f>_xlfn.IFS(K241&lt;K$24,0,K241&lt;K$25,J$24,K241&lt;K$26,J$25,K241&lt;K$27,J$26,K241&lt;K$28,J$27,K241&lt;K$29,J$28,K241&lt;K$30,J$29,K241&lt;K$31,J$30,K241&lt;K$32,J$31,K241&lt;K$33,J$32,K241&lt;K$34,J$33,K241&lt;K$35,J$34,K241&lt;K$36,J$35,K241&lt;K$37,J$36,K241&lt;K$38,J$37,K241&lt;K$39,J$38,K241&lt;K$40,J$39,K241&lt;K$41,J$40,K241&lt;K$42,J$41,K241&lt;K$43,J$42,K241&lt;K$44,J$43,K241&lt;K$45,J$44,K241&lt;K$46,J$45,K241&lt;K$47,J$46,K241&gt;=K$47,J$47)</f>
        <v/>
      </c>
      <c r="K241" s="38" t="n">
        <v>191</v>
      </c>
      <c r="L241" s="31">
        <f>K241/52</f>
        <v/>
      </c>
      <c r="M241" s="39">
        <f>J241/1000000*52</f>
        <v/>
      </c>
      <c r="N241" s="33">
        <f>M241/$P$4+($I$22/$P$4)</f>
        <v/>
      </c>
      <c r="U241">
        <f>F240</f>
        <v/>
      </c>
      <c r="V241">
        <f>H240</f>
        <v/>
      </c>
      <c r="W241">
        <f>N240</f>
        <v/>
      </c>
    </row>
    <row r="242" ht="15.75" customHeight="1" s="40">
      <c r="C242" s="36">
        <f>_xlfn.IFS(E242&lt;E$24,0,E242&lt;E$26,C$24,E242&lt;E$28,C$26,E242&lt;E$30,C$28,E242&lt;E$32,C$30,E242&lt;E$34,C$32,E242&gt;=E$34,C$34)</f>
        <v/>
      </c>
      <c r="D242" s="37">
        <f>_xlfn.IFS(E242&lt;E$24,0,E242&lt;E$25,D$24,E242&lt;E$26,D$25,E242&lt;E$27,D$26,E242&lt;E$28,D$27,E242&lt;E$29,D$28,E242&lt;E$30,D$29,E242&lt;E$31,D$30,E242&lt;E$32,D$31,E242&lt;E$33,D$32,E242&lt;E$34,D$33,E242&lt;E$35,D$34,E242&gt;=E$35,D$35)</f>
        <v/>
      </c>
      <c r="E242" s="38" t="n">
        <v>192</v>
      </c>
      <c r="F242" s="31">
        <f>E242/52</f>
        <v/>
      </c>
      <c r="G242" s="39">
        <f>D242/1000000*52</f>
        <v/>
      </c>
      <c r="H242" s="33">
        <f>G242/$P$4+($C$22/$P$4)</f>
        <v/>
      </c>
      <c r="I242" s="36">
        <f>_xlfn.IFS(K242&lt;K$24,0,K242&lt;K$26,I$24,K242&lt;K$28,I$26,K242&lt;K$30,I$28,K242&lt;K$32,I$30,K242&lt;K$34,I$32,K242&lt;K$36,I$34,K242&lt;K$38,I$36,K242&lt;K$40,I$38,K242&lt;K$42,I$40,K242&lt;K$44,I$42,K242&lt;K$46,I$44,K242&gt;=K$46,I$46)</f>
        <v/>
      </c>
      <c r="J242" s="37">
        <f>_xlfn.IFS(K242&lt;K$24,0,K242&lt;K$25,J$24,K242&lt;K$26,J$25,K242&lt;K$27,J$26,K242&lt;K$28,J$27,K242&lt;K$29,J$28,K242&lt;K$30,J$29,K242&lt;K$31,J$30,K242&lt;K$32,J$31,K242&lt;K$33,J$32,K242&lt;K$34,J$33,K242&lt;K$35,J$34,K242&lt;K$36,J$35,K242&lt;K$37,J$36,K242&lt;K$38,J$37,K242&lt;K$39,J$38,K242&lt;K$40,J$39,K242&lt;K$41,J$40,K242&lt;K$42,J$41,K242&lt;K$43,J$42,K242&lt;K$44,J$43,K242&lt;K$45,J$44,K242&lt;K$46,J$45,K242&lt;K$47,J$46,K242&gt;=K$47,J$47)</f>
        <v/>
      </c>
      <c r="K242" s="38" t="n">
        <v>192</v>
      </c>
      <c r="L242" s="31">
        <f>K242/52</f>
        <v/>
      </c>
      <c r="M242" s="39">
        <f>J242/1000000*52</f>
        <v/>
      </c>
      <c r="N242" s="33">
        <f>M242/$P$4+($I$22/$P$4)</f>
        <v/>
      </c>
      <c r="U242">
        <f>F241</f>
        <v/>
      </c>
      <c r="V242">
        <f>H241</f>
        <v/>
      </c>
      <c r="W242">
        <f>N241</f>
        <v/>
      </c>
    </row>
    <row r="243" ht="15.75" customHeight="1" s="40">
      <c r="C243" s="36">
        <f>_xlfn.IFS(E243&lt;E$24,0,E243&lt;E$26,C$24,E243&lt;E$28,C$26,E243&lt;E$30,C$28,E243&lt;E$32,C$30,E243&lt;E$34,C$32,E243&gt;=E$34,C$34)</f>
        <v/>
      </c>
      <c r="D243" s="37">
        <f>_xlfn.IFS(E243&lt;E$24,0,E243&lt;E$25,D$24,E243&lt;E$26,D$25,E243&lt;E$27,D$26,E243&lt;E$28,D$27,E243&lt;E$29,D$28,E243&lt;E$30,D$29,E243&lt;E$31,D$30,E243&lt;E$32,D$31,E243&lt;E$33,D$32,E243&lt;E$34,D$33,E243&lt;E$35,D$34,E243&gt;=E$35,D$35)</f>
        <v/>
      </c>
      <c r="E243" s="38" t="n">
        <v>193</v>
      </c>
      <c r="F243" s="31">
        <f>E243/52</f>
        <v/>
      </c>
      <c r="G243" s="39">
        <f>D243/1000000*52</f>
        <v/>
      </c>
      <c r="H243" s="33">
        <f>G243/$P$4+($C$22/$P$4)</f>
        <v/>
      </c>
      <c r="I243" s="36">
        <f>_xlfn.IFS(K243&lt;K$24,0,K243&lt;K$26,I$24,K243&lt;K$28,I$26,K243&lt;K$30,I$28,K243&lt;K$32,I$30,K243&lt;K$34,I$32,K243&lt;K$36,I$34,K243&lt;K$38,I$36,K243&lt;K$40,I$38,K243&lt;K$42,I$40,K243&lt;K$44,I$42,K243&lt;K$46,I$44,K243&gt;=K$46,I$46)</f>
        <v/>
      </c>
      <c r="J243" s="37">
        <f>_xlfn.IFS(K243&lt;K$24,0,K243&lt;K$25,J$24,K243&lt;K$26,J$25,K243&lt;K$27,J$26,K243&lt;K$28,J$27,K243&lt;K$29,J$28,K243&lt;K$30,J$29,K243&lt;K$31,J$30,K243&lt;K$32,J$31,K243&lt;K$33,J$32,K243&lt;K$34,J$33,K243&lt;K$35,J$34,K243&lt;K$36,J$35,K243&lt;K$37,J$36,K243&lt;K$38,J$37,K243&lt;K$39,J$38,K243&lt;K$40,J$39,K243&lt;K$41,J$40,K243&lt;K$42,J$41,K243&lt;K$43,J$42,K243&lt;K$44,J$43,K243&lt;K$45,J$44,K243&lt;K$46,J$45,K243&lt;K$47,J$46,K243&gt;=K$47,J$47)</f>
        <v/>
      </c>
      <c r="K243" s="38" t="n">
        <v>193</v>
      </c>
      <c r="L243" s="31">
        <f>K243/52</f>
        <v/>
      </c>
      <c r="M243" s="39">
        <f>J243/1000000*52</f>
        <v/>
      </c>
      <c r="N243" s="33">
        <f>M243/$P$4+($I$22/$P$4)</f>
        <v/>
      </c>
      <c r="U243">
        <f>F242</f>
        <v/>
      </c>
      <c r="V243">
        <f>H242</f>
        <v/>
      </c>
      <c r="W243">
        <f>N242</f>
        <v/>
      </c>
    </row>
    <row r="244" ht="15.75" customHeight="1" s="40">
      <c r="C244" s="36">
        <f>_xlfn.IFS(E244&lt;E$24,0,E244&lt;E$26,C$24,E244&lt;E$28,C$26,E244&lt;E$30,C$28,E244&lt;E$32,C$30,E244&lt;E$34,C$32,E244&gt;=E$34,C$34)</f>
        <v/>
      </c>
      <c r="D244" s="37">
        <f>_xlfn.IFS(E244&lt;E$24,0,E244&lt;E$25,D$24,E244&lt;E$26,D$25,E244&lt;E$27,D$26,E244&lt;E$28,D$27,E244&lt;E$29,D$28,E244&lt;E$30,D$29,E244&lt;E$31,D$30,E244&lt;E$32,D$31,E244&lt;E$33,D$32,E244&lt;E$34,D$33,E244&lt;E$35,D$34,E244&gt;=E$35,D$35)</f>
        <v/>
      </c>
      <c r="E244" s="38" t="n">
        <v>194</v>
      </c>
      <c r="F244" s="31">
        <f>E244/52</f>
        <v/>
      </c>
      <c r="G244" s="39">
        <f>D244/1000000*52</f>
        <v/>
      </c>
      <c r="H244" s="33">
        <f>G244/$P$4+($C$22/$P$4)</f>
        <v/>
      </c>
      <c r="I244" s="36">
        <f>_xlfn.IFS(K244&lt;K$24,0,K244&lt;K$26,I$24,K244&lt;K$28,I$26,K244&lt;K$30,I$28,K244&lt;K$32,I$30,K244&lt;K$34,I$32,K244&lt;K$36,I$34,K244&lt;K$38,I$36,K244&lt;K$40,I$38,K244&lt;K$42,I$40,K244&lt;K$44,I$42,K244&lt;K$46,I$44,K244&gt;=K$46,I$46)</f>
        <v/>
      </c>
      <c r="J244" s="37">
        <f>_xlfn.IFS(K244&lt;K$24,0,K244&lt;K$25,J$24,K244&lt;K$26,J$25,K244&lt;K$27,J$26,K244&lt;K$28,J$27,K244&lt;K$29,J$28,K244&lt;K$30,J$29,K244&lt;K$31,J$30,K244&lt;K$32,J$31,K244&lt;K$33,J$32,K244&lt;K$34,J$33,K244&lt;K$35,J$34,K244&lt;K$36,J$35,K244&lt;K$37,J$36,K244&lt;K$38,J$37,K244&lt;K$39,J$38,K244&lt;K$40,J$39,K244&lt;K$41,J$40,K244&lt;K$42,J$41,K244&lt;K$43,J$42,K244&lt;K$44,J$43,K244&lt;K$45,J$44,K244&lt;K$46,J$45,K244&lt;K$47,J$46,K244&gt;=K$47,J$47)</f>
        <v/>
      </c>
      <c r="K244" s="38" t="n">
        <v>194</v>
      </c>
      <c r="L244" s="31">
        <f>K244/52</f>
        <v/>
      </c>
      <c r="M244" s="39">
        <f>J244/1000000*52</f>
        <v/>
      </c>
      <c r="N244" s="33">
        <f>M244/$P$4+($I$22/$P$4)</f>
        <v/>
      </c>
      <c r="U244">
        <f>F243</f>
        <v/>
      </c>
      <c r="V244">
        <f>H243</f>
        <v/>
      </c>
      <c r="W244">
        <f>N243</f>
        <v/>
      </c>
    </row>
    <row r="245" ht="15.75" customHeight="1" s="40">
      <c r="C245" s="36">
        <f>_xlfn.IFS(E245&lt;E$24,0,E245&lt;E$26,C$24,E245&lt;E$28,C$26,E245&lt;E$30,C$28,E245&lt;E$32,C$30,E245&lt;E$34,C$32,E245&gt;=E$34,C$34)</f>
        <v/>
      </c>
      <c r="D245" s="37">
        <f>_xlfn.IFS(E245&lt;E$24,0,E245&lt;E$25,D$24,E245&lt;E$26,D$25,E245&lt;E$27,D$26,E245&lt;E$28,D$27,E245&lt;E$29,D$28,E245&lt;E$30,D$29,E245&lt;E$31,D$30,E245&lt;E$32,D$31,E245&lt;E$33,D$32,E245&lt;E$34,D$33,E245&lt;E$35,D$34,E245&gt;=E$35,D$35)</f>
        <v/>
      </c>
      <c r="E245" s="38" t="n">
        <v>195</v>
      </c>
      <c r="F245" s="31">
        <f>E245/52</f>
        <v/>
      </c>
      <c r="G245" s="39">
        <f>D245/1000000*52</f>
        <v/>
      </c>
      <c r="H245" s="33">
        <f>G245/$P$4+($C$22/$P$4)</f>
        <v/>
      </c>
      <c r="I245" s="36">
        <f>_xlfn.IFS(K245&lt;K$24,0,K245&lt;K$26,I$24,K245&lt;K$28,I$26,K245&lt;K$30,I$28,K245&lt;K$32,I$30,K245&lt;K$34,I$32,K245&lt;K$36,I$34,K245&lt;K$38,I$36,K245&lt;K$40,I$38,K245&lt;K$42,I$40,K245&lt;K$44,I$42,K245&lt;K$46,I$44,K245&gt;=K$46,I$46)</f>
        <v/>
      </c>
      <c r="J245" s="37">
        <f>_xlfn.IFS(K245&lt;K$24,0,K245&lt;K$25,J$24,K245&lt;K$26,J$25,K245&lt;K$27,J$26,K245&lt;K$28,J$27,K245&lt;K$29,J$28,K245&lt;K$30,J$29,K245&lt;K$31,J$30,K245&lt;K$32,J$31,K245&lt;K$33,J$32,K245&lt;K$34,J$33,K245&lt;K$35,J$34,K245&lt;K$36,J$35,K245&lt;K$37,J$36,K245&lt;K$38,J$37,K245&lt;K$39,J$38,K245&lt;K$40,J$39,K245&lt;K$41,J$40,K245&lt;K$42,J$41,K245&lt;K$43,J$42,K245&lt;K$44,J$43,K245&lt;K$45,J$44,K245&lt;K$46,J$45,K245&lt;K$47,J$46,K245&gt;=K$47,J$47)</f>
        <v/>
      </c>
      <c r="K245" s="38" t="n">
        <v>195</v>
      </c>
      <c r="L245" s="31">
        <f>K245/52</f>
        <v/>
      </c>
      <c r="M245" s="39">
        <f>J245/1000000*52</f>
        <v/>
      </c>
      <c r="N245" s="33">
        <f>M245/$P$4+($I$22/$P$4)</f>
        <v/>
      </c>
      <c r="U245">
        <f>F244</f>
        <v/>
      </c>
      <c r="V245">
        <f>H244</f>
        <v/>
      </c>
      <c r="W245">
        <f>N244</f>
        <v/>
      </c>
    </row>
    <row r="246" ht="15.75" customHeight="1" s="40">
      <c r="C246" s="36">
        <f>_xlfn.IFS(E246&lt;E$24,0,E246&lt;E$26,C$24,E246&lt;E$28,C$26,E246&lt;E$30,C$28,E246&lt;E$32,C$30,E246&lt;E$34,C$32,E246&gt;=E$34,C$34)</f>
        <v/>
      </c>
      <c r="D246" s="37">
        <f>_xlfn.IFS(E246&lt;E$24,0,E246&lt;E$25,D$24,E246&lt;E$26,D$25,E246&lt;E$27,D$26,E246&lt;E$28,D$27,E246&lt;E$29,D$28,E246&lt;E$30,D$29,E246&lt;E$31,D$30,E246&lt;E$32,D$31,E246&lt;E$33,D$32,E246&lt;E$34,D$33,E246&lt;E$35,D$34,E246&gt;=E$35,D$35)</f>
        <v/>
      </c>
      <c r="E246" s="38" t="n">
        <v>196</v>
      </c>
      <c r="F246" s="31">
        <f>E246/52</f>
        <v/>
      </c>
      <c r="G246" s="39">
        <f>D246/1000000*52</f>
        <v/>
      </c>
      <c r="H246" s="33">
        <f>G246/$P$4+($C$22/$P$4)</f>
        <v/>
      </c>
      <c r="I246" s="36">
        <f>_xlfn.IFS(K246&lt;K$24,0,K246&lt;K$26,I$24,K246&lt;K$28,I$26,K246&lt;K$30,I$28,K246&lt;K$32,I$30,K246&lt;K$34,I$32,K246&lt;K$36,I$34,K246&lt;K$38,I$36,K246&lt;K$40,I$38,K246&lt;K$42,I$40,K246&lt;K$44,I$42,K246&lt;K$46,I$44,K246&gt;=K$46,I$46)</f>
        <v/>
      </c>
      <c r="J246" s="37">
        <f>_xlfn.IFS(K246&lt;K$24,0,K246&lt;K$25,J$24,K246&lt;K$26,J$25,K246&lt;K$27,J$26,K246&lt;K$28,J$27,K246&lt;K$29,J$28,K246&lt;K$30,J$29,K246&lt;K$31,J$30,K246&lt;K$32,J$31,K246&lt;K$33,J$32,K246&lt;K$34,J$33,K246&lt;K$35,J$34,K246&lt;K$36,J$35,K246&lt;K$37,J$36,K246&lt;K$38,J$37,K246&lt;K$39,J$38,K246&lt;K$40,J$39,K246&lt;K$41,J$40,K246&lt;K$42,J$41,K246&lt;K$43,J$42,K246&lt;K$44,J$43,K246&lt;K$45,J$44,K246&lt;K$46,J$45,K246&lt;K$47,J$46,K246&gt;=K$47,J$47)</f>
        <v/>
      </c>
      <c r="K246" s="38" t="n">
        <v>196</v>
      </c>
      <c r="L246" s="31">
        <f>K246/52</f>
        <v/>
      </c>
      <c r="M246" s="39">
        <f>J246/1000000*52</f>
        <v/>
      </c>
      <c r="N246" s="33">
        <f>M246/$P$4+($I$22/$P$4)</f>
        <v/>
      </c>
      <c r="U246">
        <f>F245</f>
        <v/>
      </c>
      <c r="V246">
        <f>H245</f>
        <v/>
      </c>
      <c r="W246">
        <f>N245</f>
        <v/>
      </c>
    </row>
    <row r="247" ht="15.75" customHeight="1" s="40">
      <c r="C247" s="36">
        <f>_xlfn.IFS(E247&lt;E$24,0,E247&lt;E$26,C$24,E247&lt;E$28,C$26,E247&lt;E$30,C$28,E247&lt;E$32,C$30,E247&lt;E$34,C$32,E247&gt;=E$34,C$34)</f>
        <v/>
      </c>
      <c r="D247" s="37">
        <f>_xlfn.IFS(E247&lt;E$24,0,E247&lt;E$25,D$24,E247&lt;E$26,D$25,E247&lt;E$27,D$26,E247&lt;E$28,D$27,E247&lt;E$29,D$28,E247&lt;E$30,D$29,E247&lt;E$31,D$30,E247&lt;E$32,D$31,E247&lt;E$33,D$32,E247&lt;E$34,D$33,E247&lt;E$35,D$34,E247&gt;=E$35,D$35)</f>
        <v/>
      </c>
      <c r="E247" s="38" t="n">
        <v>197</v>
      </c>
      <c r="F247" s="31">
        <f>E247/52</f>
        <v/>
      </c>
      <c r="G247" s="39">
        <f>D247/1000000*52</f>
        <v/>
      </c>
      <c r="H247" s="33">
        <f>G247/$P$4+($C$22/$P$4)</f>
        <v/>
      </c>
      <c r="I247" s="36">
        <f>_xlfn.IFS(K247&lt;K$24,0,K247&lt;K$26,I$24,K247&lt;K$28,I$26,K247&lt;K$30,I$28,K247&lt;K$32,I$30,K247&lt;K$34,I$32,K247&lt;K$36,I$34,K247&lt;K$38,I$36,K247&lt;K$40,I$38,K247&lt;K$42,I$40,K247&lt;K$44,I$42,K247&lt;K$46,I$44,K247&gt;=K$46,I$46)</f>
        <v/>
      </c>
      <c r="J247" s="37">
        <f>_xlfn.IFS(K247&lt;K$24,0,K247&lt;K$25,J$24,K247&lt;K$26,J$25,K247&lt;K$27,J$26,K247&lt;K$28,J$27,K247&lt;K$29,J$28,K247&lt;K$30,J$29,K247&lt;K$31,J$30,K247&lt;K$32,J$31,K247&lt;K$33,J$32,K247&lt;K$34,J$33,K247&lt;K$35,J$34,K247&lt;K$36,J$35,K247&lt;K$37,J$36,K247&lt;K$38,J$37,K247&lt;K$39,J$38,K247&lt;K$40,J$39,K247&lt;K$41,J$40,K247&lt;K$42,J$41,K247&lt;K$43,J$42,K247&lt;K$44,J$43,K247&lt;K$45,J$44,K247&lt;K$46,J$45,K247&lt;K$47,J$46,K247&gt;=K$47,J$47)</f>
        <v/>
      </c>
      <c r="K247" s="38" t="n">
        <v>197</v>
      </c>
      <c r="L247" s="31">
        <f>K247/52</f>
        <v/>
      </c>
      <c r="M247" s="39">
        <f>J247/1000000*52</f>
        <v/>
      </c>
      <c r="N247" s="33">
        <f>M247/$P$4+($I$22/$P$4)</f>
        <v/>
      </c>
      <c r="U247">
        <f>F246</f>
        <v/>
      </c>
      <c r="V247">
        <f>H246</f>
        <v/>
      </c>
      <c r="W247">
        <f>N246</f>
        <v/>
      </c>
    </row>
    <row r="248" ht="15.75" customHeight="1" s="40">
      <c r="C248" s="36">
        <f>_xlfn.IFS(E248&lt;E$24,0,E248&lt;E$26,C$24,E248&lt;E$28,C$26,E248&lt;E$30,C$28,E248&lt;E$32,C$30,E248&lt;E$34,C$32,E248&gt;=E$34,C$34)</f>
        <v/>
      </c>
      <c r="D248" s="37">
        <f>_xlfn.IFS(E248&lt;E$24,0,E248&lt;E$25,D$24,E248&lt;E$26,D$25,E248&lt;E$27,D$26,E248&lt;E$28,D$27,E248&lt;E$29,D$28,E248&lt;E$30,D$29,E248&lt;E$31,D$30,E248&lt;E$32,D$31,E248&lt;E$33,D$32,E248&lt;E$34,D$33,E248&lt;E$35,D$34,E248&gt;=E$35,D$35)</f>
        <v/>
      </c>
      <c r="E248" s="38" t="n">
        <v>198</v>
      </c>
      <c r="F248" s="31">
        <f>E248/52</f>
        <v/>
      </c>
      <c r="G248" s="39">
        <f>D248/1000000*52</f>
        <v/>
      </c>
      <c r="H248" s="33">
        <f>G248/$P$4+($C$22/$P$4)</f>
        <v/>
      </c>
      <c r="I248" s="36">
        <f>_xlfn.IFS(K248&lt;K$24,0,K248&lt;K$26,I$24,K248&lt;K$28,I$26,K248&lt;K$30,I$28,K248&lt;K$32,I$30,K248&lt;K$34,I$32,K248&lt;K$36,I$34,K248&lt;K$38,I$36,K248&lt;K$40,I$38,K248&lt;K$42,I$40,K248&lt;K$44,I$42,K248&lt;K$46,I$44,K248&gt;=K$46,I$46)</f>
        <v/>
      </c>
      <c r="J248" s="37">
        <f>_xlfn.IFS(K248&lt;K$24,0,K248&lt;K$25,J$24,K248&lt;K$26,J$25,K248&lt;K$27,J$26,K248&lt;K$28,J$27,K248&lt;K$29,J$28,K248&lt;K$30,J$29,K248&lt;K$31,J$30,K248&lt;K$32,J$31,K248&lt;K$33,J$32,K248&lt;K$34,J$33,K248&lt;K$35,J$34,K248&lt;K$36,J$35,K248&lt;K$37,J$36,K248&lt;K$38,J$37,K248&lt;K$39,J$38,K248&lt;K$40,J$39,K248&lt;K$41,J$40,K248&lt;K$42,J$41,K248&lt;K$43,J$42,K248&lt;K$44,J$43,K248&lt;K$45,J$44,K248&lt;K$46,J$45,K248&lt;K$47,J$46,K248&gt;=K$47,J$47)</f>
        <v/>
      </c>
      <c r="K248" s="38" t="n">
        <v>198</v>
      </c>
      <c r="L248" s="31">
        <f>K248/52</f>
        <v/>
      </c>
      <c r="M248" s="39">
        <f>J248/1000000*52</f>
        <v/>
      </c>
      <c r="N248" s="33">
        <f>M248/$P$4+($I$22/$P$4)</f>
        <v/>
      </c>
      <c r="U248">
        <f>F247</f>
        <v/>
      </c>
      <c r="V248">
        <f>H247</f>
        <v/>
      </c>
      <c r="W248">
        <f>N247</f>
        <v/>
      </c>
    </row>
    <row r="249" ht="15.75" customHeight="1" s="40">
      <c r="C249" s="36">
        <f>_xlfn.IFS(E249&lt;E$24,0,E249&lt;E$26,C$24,E249&lt;E$28,C$26,E249&lt;E$30,C$28,E249&lt;E$32,C$30,E249&lt;E$34,C$32,E249&gt;=E$34,C$34)</f>
        <v/>
      </c>
      <c r="D249" s="37">
        <f>_xlfn.IFS(E249&lt;E$24,0,E249&lt;E$25,D$24,E249&lt;E$26,D$25,E249&lt;E$27,D$26,E249&lt;E$28,D$27,E249&lt;E$29,D$28,E249&lt;E$30,D$29,E249&lt;E$31,D$30,E249&lt;E$32,D$31,E249&lt;E$33,D$32,E249&lt;E$34,D$33,E249&lt;E$35,D$34,E249&gt;=E$35,D$35)</f>
        <v/>
      </c>
      <c r="E249" s="38" t="n">
        <v>199</v>
      </c>
      <c r="F249" s="31">
        <f>E249/52</f>
        <v/>
      </c>
      <c r="G249" s="39">
        <f>D249/1000000*52</f>
        <v/>
      </c>
      <c r="H249" s="33">
        <f>G249/$P$4+($C$22/$P$4)</f>
        <v/>
      </c>
      <c r="I249" s="36">
        <f>_xlfn.IFS(K249&lt;K$24,0,K249&lt;K$26,I$24,K249&lt;K$28,I$26,K249&lt;K$30,I$28,K249&lt;K$32,I$30,K249&lt;K$34,I$32,K249&lt;K$36,I$34,K249&lt;K$38,I$36,K249&lt;K$40,I$38,K249&lt;K$42,I$40,K249&lt;K$44,I$42,K249&lt;K$46,I$44,K249&gt;=K$46,I$46)</f>
        <v/>
      </c>
      <c r="J249" s="37">
        <f>_xlfn.IFS(K249&lt;K$24,0,K249&lt;K$25,J$24,K249&lt;K$26,J$25,K249&lt;K$27,J$26,K249&lt;K$28,J$27,K249&lt;K$29,J$28,K249&lt;K$30,J$29,K249&lt;K$31,J$30,K249&lt;K$32,J$31,K249&lt;K$33,J$32,K249&lt;K$34,J$33,K249&lt;K$35,J$34,K249&lt;K$36,J$35,K249&lt;K$37,J$36,K249&lt;K$38,J$37,K249&lt;K$39,J$38,K249&lt;K$40,J$39,K249&lt;K$41,J$40,K249&lt;K$42,J$41,K249&lt;K$43,J$42,K249&lt;K$44,J$43,K249&lt;K$45,J$44,K249&lt;K$46,J$45,K249&lt;K$47,J$46,K249&gt;=K$47,J$47)</f>
        <v/>
      </c>
      <c r="K249" s="38" t="n">
        <v>199</v>
      </c>
      <c r="L249" s="31">
        <f>K249/52</f>
        <v/>
      </c>
      <c r="M249" s="39">
        <f>J249/1000000*52</f>
        <v/>
      </c>
      <c r="N249" s="33">
        <f>M249/$P$4+($I$22/$P$4)</f>
        <v/>
      </c>
      <c r="U249">
        <f>F248</f>
        <v/>
      </c>
      <c r="V249">
        <f>H248</f>
        <v/>
      </c>
      <c r="W249">
        <f>N248</f>
        <v/>
      </c>
    </row>
    <row r="250" ht="15.75" customHeight="1" s="40">
      <c r="C250" s="36">
        <f>_xlfn.IFS(E250&lt;E$24,0,E250&lt;E$26,C$24,E250&lt;E$28,C$26,E250&lt;E$30,C$28,E250&lt;E$32,C$30,E250&lt;E$34,C$32,E250&gt;=E$34,C$34)</f>
        <v/>
      </c>
      <c r="D250" s="37">
        <f>_xlfn.IFS(E250&lt;E$24,0,E250&lt;E$25,D$24,E250&lt;E$26,D$25,E250&lt;E$27,D$26,E250&lt;E$28,D$27,E250&lt;E$29,D$28,E250&lt;E$30,D$29,E250&lt;E$31,D$30,E250&lt;E$32,D$31,E250&lt;E$33,D$32,E250&lt;E$34,D$33,E250&lt;E$35,D$34,E250&gt;=E$35,D$35)</f>
        <v/>
      </c>
      <c r="E250" s="38" t="n">
        <v>200</v>
      </c>
      <c r="F250" s="31">
        <f>E250/52</f>
        <v/>
      </c>
      <c r="G250" s="39">
        <f>D250/1000000*52</f>
        <v/>
      </c>
      <c r="H250" s="33">
        <f>G250/$P$4+($C$22/$P$4)</f>
        <v/>
      </c>
      <c r="I250" s="36">
        <f>_xlfn.IFS(K250&lt;K$24,0,K250&lt;K$26,I$24,K250&lt;K$28,I$26,K250&lt;K$30,I$28,K250&lt;K$32,I$30,K250&lt;K$34,I$32,K250&lt;K$36,I$34,K250&lt;K$38,I$36,K250&lt;K$40,I$38,K250&lt;K$42,I$40,K250&lt;K$44,I$42,K250&lt;K$46,I$44,K250&gt;=K$46,I$46)</f>
        <v/>
      </c>
      <c r="J250" s="37">
        <f>_xlfn.IFS(K250&lt;K$24,0,K250&lt;K$25,J$24,K250&lt;K$26,J$25,K250&lt;K$27,J$26,K250&lt;K$28,J$27,K250&lt;K$29,J$28,K250&lt;K$30,J$29,K250&lt;K$31,J$30,K250&lt;K$32,J$31,K250&lt;K$33,J$32,K250&lt;K$34,J$33,K250&lt;K$35,J$34,K250&lt;K$36,J$35,K250&lt;K$37,J$36,K250&lt;K$38,J$37,K250&lt;K$39,J$38,K250&lt;K$40,J$39,K250&lt;K$41,J$40,K250&lt;K$42,J$41,K250&lt;K$43,J$42,K250&lt;K$44,J$43,K250&lt;K$45,J$44,K250&lt;K$46,J$45,K250&lt;K$47,J$46,K250&gt;=K$47,J$47)</f>
        <v/>
      </c>
      <c r="K250" s="38" t="n">
        <v>200</v>
      </c>
      <c r="L250" s="31">
        <f>K250/52</f>
        <v/>
      </c>
      <c r="M250" s="39">
        <f>J250/1000000*52</f>
        <v/>
      </c>
      <c r="N250" s="33">
        <f>M250/$P$4+($I$22/$P$4)</f>
        <v/>
      </c>
      <c r="U250">
        <f>F249</f>
        <v/>
      </c>
      <c r="V250">
        <f>H249</f>
        <v/>
      </c>
      <c r="W250">
        <f>N249</f>
        <v/>
      </c>
    </row>
    <row r="251" ht="15.75" customHeight="1" s="40">
      <c r="C251" s="36">
        <f>_xlfn.IFS(E251&lt;E$24,0,E251&lt;E$26,C$24,E251&lt;E$28,C$26,E251&lt;E$30,C$28,E251&lt;E$32,C$30,E251&lt;E$34,C$32,E251&gt;=E$34,C$34)</f>
        <v/>
      </c>
      <c r="D251" s="37">
        <f>_xlfn.IFS(E251&lt;E$24,0,E251&lt;E$25,D$24,E251&lt;E$26,D$25,E251&lt;E$27,D$26,E251&lt;E$28,D$27,E251&lt;E$29,D$28,E251&lt;E$30,D$29,E251&lt;E$31,D$30,E251&lt;E$32,D$31,E251&lt;E$33,D$32,E251&lt;E$34,D$33,E251&lt;E$35,D$34,E251&gt;=E$35,D$35)</f>
        <v/>
      </c>
      <c r="E251" s="38" t="n">
        <v>201</v>
      </c>
      <c r="F251" s="31">
        <f>E251/52</f>
        <v/>
      </c>
      <c r="G251" s="39">
        <f>D251/1000000*52</f>
        <v/>
      </c>
      <c r="H251" s="33">
        <f>G251/$P$4+($C$22/$P$4)</f>
        <v/>
      </c>
      <c r="I251" s="36">
        <f>_xlfn.IFS(K251&lt;K$24,0,K251&lt;K$26,I$24,K251&lt;K$28,I$26,K251&lt;K$30,I$28,K251&lt;K$32,I$30,K251&lt;K$34,I$32,K251&lt;K$36,I$34,K251&lt;K$38,I$36,K251&lt;K$40,I$38,K251&lt;K$42,I$40,K251&lt;K$44,I$42,K251&lt;K$46,I$44,K251&gt;=K$46,I$46)</f>
        <v/>
      </c>
      <c r="J251" s="37">
        <f>_xlfn.IFS(K251&lt;K$24,0,K251&lt;K$25,J$24,K251&lt;K$26,J$25,K251&lt;K$27,J$26,K251&lt;K$28,J$27,K251&lt;K$29,J$28,K251&lt;K$30,J$29,K251&lt;K$31,J$30,K251&lt;K$32,J$31,K251&lt;K$33,J$32,K251&lt;K$34,J$33,K251&lt;K$35,J$34,K251&lt;K$36,J$35,K251&lt;K$37,J$36,K251&lt;K$38,J$37,K251&lt;K$39,J$38,K251&lt;K$40,J$39,K251&lt;K$41,J$40,K251&lt;K$42,J$41,K251&lt;K$43,J$42,K251&lt;K$44,J$43,K251&lt;K$45,J$44,K251&lt;K$46,J$45,K251&lt;K$47,J$46,K251&gt;=K$47,J$47)</f>
        <v/>
      </c>
      <c r="K251" s="38" t="n">
        <v>201</v>
      </c>
      <c r="L251" s="31">
        <f>K251/52</f>
        <v/>
      </c>
      <c r="M251" s="39">
        <f>J251/1000000*52</f>
        <v/>
      </c>
      <c r="N251" s="33">
        <f>M251/$P$4+($I$22/$P$4)</f>
        <v/>
      </c>
      <c r="U251">
        <f>F250</f>
        <v/>
      </c>
      <c r="V251">
        <f>H250</f>
        <v/>
      </c>
      <c r="W251">
        <f>N250</f>
        <v/>
      </c>
    </row>
    <row r="252" ht="15.75" customHeight="1" s="40">
      <c r="C252" s="36">
        <f>_xlfn.IFS(E252&lt;E$24,0,E252&lt;E$26,C$24,E252&lt;E$28,C$26,E252&lt;E$30,C$28,E252&lt;E$32,C$30,E252&lt;E$34,C$32,E252&gt;=E$34,C$34)</f>
        <v/>
      </c>
      <c r="D252" s="37">
        <f>_xlfn.IFS(E252&lt;E$24,0,E252&lt;E$25,D$24,E252&lt;E$26,D$25,E252&lt;E$27,D$26,E252&lt;E$28,D$27,E252&lt;E$29,D$28,E252&lt;E$30,D$29,E252&lt;E$31,D$30,E252&lt;E$32,D$31,E252&lt;E$33,D$32,E252&lt;E$34,D$33,E252&lt;E$35,D$34,E252&gt;=E$35,D$35)</f>
        <v/>
      </c>
      <c r="E252" s="38" t="n">
        <v>202</v>
      </c>
      <c r="F252" s="31">
        <f>E252/52</f>
        <v/>
      </c>
      <c r="G252" s="39">
        <f>D252/1000000*52</f>
        <v/>
      </c>
      <c r="H252" s="33">
        <f>G252/$P$4+($C$22/$P$4)</f>
        <v/>
      </c>
      <c r="I252" s="36">
        <f>_xlfn.IFS(K252&lt;K$24,0,K252&lt;K$26,I$24,K252&lt;K$28,I$26,K252&lt;K$30,I$28,K252&lt;K$32,I$30,K252&lt;K$34,I$32,K252&lt;K$36,I$34,K252&lt;K$38,I$36,K252&lt;K$40,I$38,K252&lt;K$42,I$40,K252&lt;K$44,I$42,K252&lt;K$46,I$44,K252&gt;=K$46,I$46)</f>
        <v/>
      </c>
      <c r="J252" s="37">
        <f>_xlfn.IFS(K252&lt;K$24,0,K252&lt;K$25,J$24,K252&lt;K$26,J$25,K252&lt;K$27,J$26,K252&lt;K$28,J$27,K252&lt;K$29,J$28,K252&lt;K$30,J$29,K252&lt;K$31,J$30,K252&lt;K$32,J$31,K252&lt;K$33,J$32,K252&lt;K$34,J$33,K252&lt;K$35,J$34,K252&lt;K$36,J$35,K252&lt;K$37,J$36,K252&lt;K$38,J$37,K252&lt;K$39,J$38,K252&lt;K$40,J$39,K252&lt;K$41,J$40,K252&lt;K$42,J$41,K252&lt;K$43,J$42,K252&lt;K$44,J$43,K252&lt;K$45,J$44,K252&lt;K$46,J$45,K252&lt;K$47,J$46,K252&gt;=K$47,J$47)</f>
        <v/>
      </c>
      <c r="K252" s="38" t="n">
        <v>202</v>
      </c>
      <c r="L252" s="31">
        <f>K252/52</f>
        <v/>
      </c>
      <c r="M252" s="39">
        <f>J252/1000000*52</f>
        <v/>
      </c>
      <c r="N252" s="33">
        <f>M252/$P$4+($I$22/$P$4)</f>
        <v/>
      </c>
      <c r="U252">
        <f>F251</f>
        <v/>
      </c>
      <c r="V252">
        <f>H251</f>
        <v/>
      </c>
      <c r="W252">
        <f>N251</f>
        <v/>
      </c>
    </row>
    <row r="253" ht="15.75" customHeight="1" s="40">
      <c r="C253" s="36">
        <f>_xlfn.IFS(E253&lt;E$24,0,E253&lt;E$26,C$24,E253&lt;E$28,C$26,E253&lt;E$30,C$28,E253&lt;E$32,C$30,E253&lt;E$34,C$32,E253&gt;=E$34,C$34)</f>
        <v/>
      </c>
      <c r="D253" s="37">
        <f>_xlfn.IFS(E253&lt;E$24,0,E253&lt;E$25,D$24,E253&lt;E$26,D$25,E253&lt;E$27,D$26,E253&lt;E$28,D$27,E253&lt;E$29,D$28,E253&lt;E$30,D$29,E253&lt;E$31,D$30,E253&lt;E$32,D$31,E253&lt;E$33,D$32,E253&lt;E$34,D$33,E253&lt;E$35,D$34,E253&gt;=E$35,D$35)</f>
        <v/>
      </c>
      <c r="E253" s="38" t="n">
        <v>203</v>
      </c>
      <c r="F253" s="31">
        <f>E253/52</f>
        <v/>
      </c>
      <c r="G253" s="39">
        <f>D253/1000000*52</f>
        <v/>
      </c>
      <c r="H253" s="33">
        <f>G253/$P$4+($C$22/$P$4)</f>
        <v/>
      </c>
      <c r="I253" s="36">
        <f>_xlfn.IFS(K253&lt;K$24,0,K253&lt;K$26,I$24,K253&lt;K$28,I$26,K253&lt;K$30,I$28,K253&lt;K$32,I$30,K253&lt;K$34,I$32,K253&lt;K$36,I$34,K253&lt;K$38,I$36,K253&lt;K$40,I$38,K253&lt;K$42,I$40,K253&lt;K$44,I$42,K253&lt;K$46,I$44,K253&gt;=K$46,I$46)</f>
        <v/>
      </c>
      <c r="J253" s="37">
        <f>_xlfn.IFS(K253&lt;K$24,0,K253&lt;K$25,J$24,K253&lt;K$26,J$25,K253&lt;K$27,J$26,K253&lt;K$28,J$27,K253&lt;K$29,J$28,K253&lt;K$30,J$29,K253&lt;K$31,J$30,K253&lt;K$32,J$31,K253&lt;K$33,J$32,K253&lt;K$34,J$33,K253&lt;K$35,J$34,K253&lt;K$36,J$35,K253&lt;K$37,J$36,K253&lt;K$38,J$37,K253&lt;K$39,J$38,K253&lt;K$40,J$39,K253&lt;K$41,J$40,K253&lt;K$42,J$41,K253&lt;K$43,J$42,K253&lt;K$44,J$43,K253&lt;K$45,J$44,K253&lt;K$46,J$45,K253&lt;K$47,J$46,K253&gt;=K$47,J$47)</f>
        <v/>
      </c>
      <c r="K253" s="38" t="n">
        <v>203</v>
      </c>
      <c r="L253" s="31">
        <f>K253/52</f>
        <v/>
      </c>
      <c r="M253" s="39">
        <f>J253/1000000*52</f>
        <v/>
      </c>
      <c r="N253" s="33">
        <f>M253/$P$4+($I$22/$P$4)</f>
        <v/>
      </c>
      <c r="U253">
        <f>F252</f>
        <v/>
      </c>
      <c r="V253">
        <f>H252</f>
        <v/>
      </c>
      <c r="W253">
        <f>N252</f>
        <v/>
      </c>
    </row>
    <row r="254" ht="15.75" customHeight="1" s="40">
      <c r="C254" s="36">
        <f>_xlfn.IFS(E254&lt;E$24,0,E254&lt;E$26,C$24,E254&lt;E$28,C$26,E254&lt;E$30,C$28,E254&lt;E$32,C$30,E254&lt;E$34,C$32,E254&gt;=E$34,C$34)</f>
        <v/>
      </c>
      <c r="D254" s="37">
        <f>_xlfn.IFS(E254&lt;E$24,0,E254&lt;E$25,D$24,E254&lt;E$26,D$25,E254&lt;E$27,D$26,E254&lt;E$28,D$27,E254&lt;E$29,D$28,E254&lt;E$30,D$29,E254&lt;E$31,D$30,E254&lt;E$32,D$31,E254&lt;E$33,D$32,E254&lt;E$34,D$33,E254&lt;E$35,D$34,E254&gt;=E$35,D$35)</f>
        <v/>
      </c>
      <c r="E254" s="38" t="n">
        <v>204</v>
      </c>
      <c r="F254" s="31">
        <f>E254/52</f>
        <v/>
      </c>
      <c r="G254" s="39">
        <f>D254/1000000*52</f>
        <v/>
      </c>
      <c r="H254" s="33">
        <f>G254/$P$4+($C$22/$P$4)</f>
        <v/>
      </c>
      <c r="I254" s="36">
        <f>_xlfn.IFS(K254&lt;K$24,0,K254&lt;K$26,I$24,K254&lt;K$28,I$26,K254&lt;K$30,I$28,K254&lt;K$32,I$30,K254&lt;K$34,I$32,K254&lt;K$36,I$34,K254&lt;K$38,I$36,K254&lt;K$40,I$38,K254&lt;K$42,I$40,K254&lt;K$44,I$42,K254&lt;K$46,I$44,K254&gt;=K$46,I$46)</f>
        <v/>
      </c>
      <c r="J254" s="37">
        <f>_xlfn.IFS(K254&lt;K$24,0,K254&lt;K$25,J$24,K254&lt;K$26,J$25,K254&lt;K$27,J$26,K254&lt;K$28,J$27,K254&lt;K$29,J$28,K254&lt;K$30,J$29,K254&lt;K$31,J$30,K254&lt;K$32,J$31,K254&lt;K$33,J$32,K254&lt;K$34,J$33,K254&lt;K$35,J$34,K254&lt;K$36,J$35,K254&lt;K$37,J$36,K254&lt;K$38,J$37,K254&lt;K$39,J$38,K254&lt;K$40,J$39,K254&lt;K$41,J$40,K254&lt;K$42,J$41,K254&lt;K$43,J$42,K254&lt;K$44,J$43,K254&lt;K$45,J$44,K254&lt;K$46,J$45,K254&lt;K$47,J$46,K254&gt;=K$47,J$47)</f>
        <v/>
      </c>
      <c r="K254" s="38" t="n">
        <v>204</v>
      </c>
      <c r="L254" s="31">
        <f>K254/52</f>
        <v/>
      </c>
      <c r="M254" s="39">
        <f>J254/1000000*52</f>
        <v/>
      </c>
      <c r="N254" s="33">
        <f>M254/$P$4+($I$22/$P$4)</f>
        <v/>
      </c>
      <c r="U254">
        <f>F253</f>
        <v/>
      </c>
      <c r="V254">
        <f>H253</f>
        <v/>
      </c>
      <c r="W254">
        <f>N253</f>
        <v/>
      </c>
    </row>
    <row r="255" ht="15.75" customHeight="1" s="40">
      <c r="C255" s="36">
        <f>_xlfn.IFS(E255&lt;E$24,0,E255&lt;E$26,C$24,E255&lt;E$28,C$26,E255&lt;E$30,C$28,E255&lt;E$32,C$30,E255&lt;E$34,C$32,E255&gt;=E$34,C$34)</f>
        <v/>
      </c>
      <c r="D255" s="37">
        <f>_xlfn.IFS(E255&lt;E$24,0,E255&lt;E$25,D$24,E255&lt;E$26,D$25,E255&lt;E$27,D$26,E255&lt;E$28,D$27,E255&lt;E$29,D$28,E255&lt;E$30,D$29,E255&lt;E$31,D$30,E255&lt;E$32,D$31,E255&lt;E$33,D$32,E255&lt;E$34,D$33,E255&lt;E$35,D$34,E255&gt;=E$35,D$35)</f>
        <v/>
      </c>
      <c r="E255" s="38" t="n">
        <v>205</v>
      </c>
      <c r="F255" s="31">
        <f>E255/52</f>
        <v/>
      </c>
      <c r="G255" s="39">
        <f>D255/1000000*52</f>
        <v/>
      </c>
      <c r="H255" s="33">
        <f>G255/$P$4+($C$22/$P$4)</f>
        <v/>
      </c>
      <c r="I255" s="36">
        <f>_xlfn.IFS(K255&lt;K$24,0,K255&lt;K$26,I$24,K255&lt;K$28,I$26,K255&lt;K$30,I$28,K255&lt;K$32,I$30,K255&lt;K$34,I$32,K255&lt;K$36,I$34,K255&lt;K$38,I$36,K255&lt;K$40,I$38,K255&lt;K$42,I$40,K255&lt;K$44,I$42,K255&lt;K$46,I$44,K255&gt;=K$46,I$46)</f>
        <v/>
      </c>
      <c r="J255" s="37">
        <f>_xlfn.IFS(K255&lt;K$24,0,K255&lt;K$25,J$24,K255&lt;K$26,J$25,K255&lt;K$27,J$26,K255&lt;K$28,J$27,K255&lt;K$29,J$28,K255&lt;K$30,J$29,K255&lt;K$31,J$30,K255&lt;K$32,J$31,K255&lt;K$33,J$32,K255&lt;K$34,J$33,K255&lt;K$35,J$34,K255&lt;K$36,J$35,K255&lt;K$37,J$36,K255&lt;K$38,J$37,K255&lt;K$39,J$38,K255&lt;K$40,J$39,K255&lt;K$41,J$40,K255&lt;K$42,J$41,K255&lt;K$43,J$42,K255&lt;K$44,J$43,K255&lt;K$45,J$44,K255&lt;K$46,J$45,K255&lt;K$47,J$46,K255&gt;=K$47,J$47)</f>
        <v/>
      </c>
      <c r="K255" s="38" t="n">
        <v>205</v>
      </c>
      <c r="L255" s="31">
        <f>K255/52</f>
        <v/>
      </c>
      <c r="M255" s="39">
        <f>J255/1000000*52</f>
        <v/>
      </c>
      <c r="N255" s="33">
        <f>M255/$P$4+($I$22/$P$4)</f>
        <v/>
      </c>
      <c r="U255">
        <f>F254</f>
        <v/>
      </c>
      <c r="V255">
        <f>H254</f>
        <v/>
      </c>
      <c r="W255">
        <f>N254</f>
        <v/>
      </c>
    </row>
    <row r="256" ht="15.75" customHeight="1" s="40">
      <c r="C256" s="36">
        <f>_xlfn.IFS(E256&lt;E$24,0,E256&lt;E$26,C$24,E256&lt;E$28,C$26,E256&lt;E$30,C$28,E256&lt;E$32,C$30,E256&lt;E$34,C$32,E256&gt;=E$34,C$34)</f>
        <v/>
      </c>
      <c r="D256" s="37">
        <f>_xlfn.IFS(E256&lt;E$24,0,E256&lt;E$25,D$24,E256&lt;E$26,D$25,E256&lt;E$27,D$26,E256&lt;E$28,D$27,E256&lt;E$29,D$28,E256&lt;E$30,D$29,E256&lt;E$31,D$30,E256&lt;E$32,D$31,E256&lt;E$33,D$32,E256&lt;E$34,D$33,E256&lt;E$35,D$34,E256&gt;=E$35,D$35)</f>
        <v/>
      </c>
      <c r="E256" s="38" t="n">
        <v>206</v>
      </c>
      <c r="F256" s="31">
        <f>E256/52</f>
        <v/>
      </c>
      <c r="G256" s="39">
        <f>D256/1000000*52</f>
        <v/>
      </c>
      <c r="H256" s="33">
        <f>G256/$P$4+($C$22/$P$4)</f>
        <v/>
      </c>
      <c r="I256" s="36">
        <f>_xlfn.IFS(K256&lt;K$24,0,K256&lt;K$26,I$24,K256&lt;K$28,I$26,K256&lt;K$30,I$28,K256&lt;K$32,I$30,K256&lt;K$34,I$32,K256&lt;K$36,I$34,K256&lt;K$38,I$36,K256&lt;K$40,I$38,K256&lt;K$42,I$40,K256&lt;K$44,I$42,K256&lt;K$46,I$44,K256&gt;=K$46,I$46)</f>
        <v/>
      </c>
      <c r="J256" s="37">
        <f>_xlfn.IFS(K256&lt;K$24,0,K256&lt;K$25,J$24,K256&lt;K$26,J$25,K256&lt;K$27,J$26,K256&lt;K$28,J$27,K256&lt;K$29,J$28,K256&lt;K$30,J$29,K256&lt;K$31,J$30,K256&lt;K$32,J$31,K256&lt;K$33,J$32,K256&lt;K$34,J$33,K256&lt;K$35,J$34,K256&lt;K$36,J$35,K256&lt;K$37,J$36,K256&lt;K$38,J$37,K256&lt;K$39,J$38,K256&lt;K$40,J$39,K256&lt;K$41,J$40,K256&lt;K$42,J$41,K256&lt;K$43,J$42,K256&lt;K$44,J$43,K256&lt;K$45,J$44,K256&lt;K$46,J$45,K256&lt;K$47,J$46,K256&gt;=K$47,J$47)</f>
        <v/>
      </c>
      <c r="K256" s="38" t="n">
        <v>206</v>
      </c>
      <c r="L256" s="31">
        <f>K256/52</f>
        <v/>
      </c>
      <c r="M256" s="39">
        <f>J256/1000000*52</f>
        <v/>
      </c>
      <c r="N256" s="33">
        <f>M256/$P$4+($I$22/$P$4)</f>
        <v/>
      </c>
      <c r="U256">
        <f>F255</f>
        <v/>
      </c>
      <c r="V256">
        <f>H255</f>
        <v/>
      </c>
      <c r="W256">
        <f>N255</f>
        <v/>
      </c>
    </row>
    <row r="257" ht="15.75" customHeight="1" s="40">
      <c r="C257" s="36">
        <f>_xlfn.IFS(E257&lt;E$24,0,E257&lt;E$26,C$24,E257&lt;E$28,C$26,E257&lt;E$30,C$28,E257&lt;E$32,C$30,E257&lt;E$34,C$32,E257&gt;=E$34,C$34)</f>
        <v/>
      </c>
      <c r="D257" s="37">
        <f>_xlfn.IFS(E257&lt;E$24,0,E257&lt;E$25,D$24,E257&lt;E$26,D$25,E257&lt;E$27,D$26,E257&lt;E$28,D$27,E257&lt;E$29,D$28,E257&lt;E$30,D$29,E257&lt;E$31,D$30,E257&lt;E$32,D$31,E257&lt;E$33,D$32,E257&lt;E$34,D$33,E257&lt;E$35,D$34,E257&gt;=E$35,D$35)</f>
        <v/>
      </c>
      <c r="E257" s="38" t="n">
        <v>207</v>
      </c>
      <c r="F257" s="31">
        <f>E257/52</f>
        <v/>
      </c>
      <c r="G257" s="39">
        <f>D257/1000000*52</f>
        <v/>
      </c>
      <c r="H257" s="33">
        <f>G257/$P$4+($C$22/$P$4)</f>
        <v/>
      </c>
      <c r="I257" s="36">
        <f>_xlfn.IFS(K257&lt;K$24,0,K257&lt;K$26,I$24,K257&lt;K$28,I$26,K257&lt;K$30,I$28,K257&lt;K$32,I$30,K257&lt;K$34,I$32,K257&lt;K$36,I$34,K257&lt;K$38,I$36,K257&lt;K$40,I$38,K257&lt;K$42,I$40,K257&lt;K$44,I$42,K257&lt;K$46,I$44,K257&gt;=K$46,I$46)</f>
        <v/>
      </c>
      <c r="J257" s="37">
        <f>_xlfn.IFS(K257&lt;K$24,0,K257&lt;K$25,J$24,K257&lt;K$26,J$25,K257&lt;K$27,J$26,K257&lt;K$28,J$27,K257&lt;K$29,J$28,K257&lt;K$30,J$29,K257&lt;K$31,J$30,K257&lt;K$32,J$31,K257&lt;K$33,J$32,K257&lt;K$34,J$33,K257&lt;K$35,J$34,K257&lt;K$36,J$35,K257&lt;K$37,J$36,K257&lt;K$38,J$37,K257&lt;K$39,J$38,K257&lt;K$40,J$39,K257&lt;K$41,J$40,K257&lt;K$42,J$41,K257&lt;K$43,J$42,K257&lt;K$44,J$43,K257&lt;K$45,J$44,K257&lt;K$46,J$45,K257&lt;K$47,J$46,K257&gt;=K$47,J$47)</f>
        <v/>
      </c>
      <c r="K257" s="38" t="n">
        <v>207</v>
      </c>
      <c r="L257" s="31">
        <f>K257/52</f>
        <v/>
      </c>
      <c r="M257" s="39">
        <f>J257/1000000*52</f>
        <v/>
      </c>
      <c r="N257" s="33">
        <f>M257/$P$4+($I$22/$P$4)</f>
        <v/>
      </c>
      <c r="U257">
        <f>F256</f>
        <v/>
      </c>
      <c r="V257">
        <f>H256</f>
        <v/>
      </c>
      <c r="W257">
        <f>N256</f>
        <v/>
      </c>
    </row>
    <row r="258" ht="15.75" customHeight="1" s="40">
      <c r="C258" s="36">
        <f>_xlfn.IFS(E258&lt;E$24,0,E258&lt;E$26,C$24,E258&lt;E$28,C$26,E258&lt;E$30,C$28,E258&lt;E$32,C$30,E258&lt;E$34,C$32,E258&gt;=E$34,C$34)</f>
        <v/>
      </c>
      <c r="D258" s="37">
        <f>_xlfn.IFS(E258&lt;E$24,0,E258&lt;E$25,D$24,E258&lt;E$26,D$25,E258&lt;E$27,D$26,E258&lt;E$28,D$27,E258&lt;E$29,D$28,E258&lt;E$30,D$29,E258&lt;E$31,D$30,E258&lt;E$32,D$31,E258&lt;E$33,D$32,E258&lt;E$34,D$33,E258&lt;E$35,D$34,E258&gt;=E$35,D$35)</f>
        <v/>
      </c>
      <c r="E258" s="38" t="n">
        <v>208</v>
      </c>
      <c r="F258" s="31">
        <f>E258/52</f>
        <v/>
      </c>
      <c r="G258" s="39">
        <f>D258/1000000*52</f>
        <v/>
      </c>
      <c r="H258" s="33">
        <f>G258/$P$4+($C$22/$P$4)</f>
        <v/>
      </c>
      <c r="I258" s="36">
        <f>_xlfn.IFS(K258&lt;K$24,0,K258&lt;K$26,I$24,K258&lt;K$28,I$26,K258&lt;K$30,I$28,K258&lt;K$32,I$30,K258&lt;K$34,I$32,K258&lt;K$36,I$34,K258&lt;K$38,I$36,K258&lt;K$40,I$38,K258&lt;K$42,I$40,K258&lt;K$44,I$42,K258&lt;K$46,I$44,K258&gt;=K$46,I$46)</f>
        <v/>
      </c>
      <c r="J258" s="37">
        <f>_xlfn.IFS(K258&lt;K$24,0,K258&lt;K$25,J$24,K258&lt;K$26,J$25,K258&lt;K$27,J$26,K258&lt;K$28,J$27,K258&lt;K$29,J$28,K258&lt;K$30,J$29,K258&lt;K$31,J$30,K258&lt;K$32,J$31,K258&lt;K$33,J$32,K258&lt;K$34,J$33,K258&lt;K$35,J$34,K258&lt;K$36,J$35,K258&lt;K$37,J$36,K258&lt;K$38,J$37,K258&lt;K$39,J$38,K258&lt;K$40,J$39,K258&lt;K$41,J$40,K258&lt;K$42,J$41,K258&lt;K$43,J$42,K258&lt;K$44,J$43,K258&lt;K$45,J$44,K258&lt;K$46,J$45,K258&lt;K$47,J$46,K258&gt;=K$47,J$47)</f>
        <v/>
      </c>
      <c r="K258" s="38" t="n">
        <v>208</v>
      </c>
      <c r="L258" s="31">
        <f>K258/52</f>
        <v/>
      </c>
      <c r="M258" s="39">
        <f>J258/1000000*52</f>
        <v/>
      </c>
      <c r="N258" s="33">
        <f>M258/$P$4+($I$22/$P$4)</f>
        <v/>
      </c>
      <c r="U258">
        <f>F257</f>
        <v/>
      </c>
      <c r="V258">
        <f>H257</f>
        <v/>
      </c>
      <c r="W258">
        <f>N257</f>
        <v/>
      </c>
    </row>
    <row r="259" ht="15.75" customHeight="1" s="40">
      <c r="C259" s="36">
        <f>_xlfn.IFS(E259&lt;E$24,0,E259&lt;E$26,C$24,E259&lt;E$28,C$26,E259&lt;E$30,C$28,E259&lt;E$32,C$30,E259&lt;E$34,C$32,E259&gt;=E$34,C$34)</f>
        <v/>
      </c>
      <c r="D259" s="37">
        <f>_xlfn.IFS(E259&lt;E$24,0,E259&lt;E$25,D$24,E259&lt;E$26,D$25,E259&lt;E$27,D$26,E259&lt;E$28,D$27,E259&lt;E$29,D$28,E259&lt;E$30,D$29,E259&lt;E$31,D$30,E259&lt;E$32,D$31,E259&lt;E$33,D$32,E259&lt;E$34,D$33,E259&lt;E$35,D$34,E259&gt;=E$35,D$35)</f>
        <v/>
      </c>
      <c r="E259" s="38" t="n">
        <v>209</v>
      </c>
      <c r="F259" s="31">
        <f>E259/52</f>
        <v/>
      </c>
      <c r="G259" s="39">
        <f>D259/1000000*52</f>
        <v/>
      </c>
      <c r="H259" s="33">
        <f>G259/$P$4+($C$22/$P$4)</f>
        <v/>
      </c>
      <c r="I259" s="36">
        <f>_xlfn.IFS(K259&lt;K$24,0,K259&lt;K$26,I$24,K259&lt;K$28,I$26,K259&lt;K$30,I$28,K259&lt;K$32,I$30,K259&lt;K$34,I$32,K259&lt;K$36,I$34,K259&lt;K$38,I$36,K259&lt;K$40,I$38,K259&lt;K$42,I$40,K259&lt;K$44,I$42,K259&lt;K$46,I$44,K259&gt;=K$46,I$46)</f>
        <v/>
      </c>
      <c r="J259" s="37">
        <f>_xlfn.IFS(K259&lt;K$24,0,K259&lt;K$25,J$24,K259&lt;K$26,J$25,K259&lt;K$27,J$26,K259&lt;K$28,J$27,K259&lt;K$29,J$28,K259&lt;K$30,J$29,K259&lt;K$31,J$30,K259&lt;K$32,J$31,K259&lt;K$33,J$32,K259&lt;K$34,J$33,K259&lt;K$35,J$34,K259&lt;K$36,J$35,K259&lt;K$37,J$36,K259&lt;K$38,J$37,K259&lt;K$39,J$38,K259&lt;K$40,J$39,K259&lt;K$41,J$40,K259&lt;K$42,J$41,K259&lt;K$43,J$42,K259&lt;K$44,J$43,K259&lt;K$45,J$44,K259&lt;K$46,J$45,K259&lt;K$47,J$46,K259&gt;=K$47,J$47)</f>
        <v/>
      </c>
      <c r="K259" s="38" t="n">
        <v>209</v>
      </c>
      <c r="L259" s="31">
        <f>K259/52</f>
        <v/>
      </c>
      <c r="M259" s="39">
        <f>J259/1000000*52</f>
        <v/>
      </c>
      <c r="N259" s="33">
        <f>M259/$P$4+($I$22/$P$4)</f>
        <v/>
      </c>
      <c r="U259">
        <f>F258</f>
        <v/>
      </c>
      <c r="V259">
        <f>H258</f>
        <v/>
      </c>
      <c r="W259">
        <f>N258</f>
        <v/>
      </c>
    </row>
    <row r="260" ht="15.75" customHeight="1" s="40">
      <c r="C260" s="36">
        <f>_xlfn.IFS(E260&lt;E$24,0,E260&lt;E$26,C$24,E260&lt;E$28,C$26,E260&lt;E$30,C$28,E260&lt;E$32,C$30,E260&lt;E$34,C$32,E260&gt;=E$34,C$34)</f>
        <v/>
      </c>
      <c r="D260" s="37">
        <f>_xlfn.IFS(E260&lt;E$24,0,E260&lt;E$25,D$24,E260&lt;E$26,D$25,E260&lt;E$27,D$26,E260&lt;E$28,D$27,E260&lt;E$29,D$28,E260&lt;E$30,D$29,E260&lt;E$31,D$30,E260&lt;E$32,D$31,E260&lt;E$33,D$32,E260&lt;E$34,D$33,E260&lt;E$35,D$34,E260&gt;=E$35,D$35)</f>
        <v/>
      </c>
      <c r="E260" s="38" t="n">
        <v>210</v>
      </c>
      <c r="F260" s="31">
        <f>E260/52</f>
        <v/>
      </c>
      <c r="G260" s="39">
        <f>D260/1000000*52</f>
        <v/>
      </c>
      <c r="H260" s="33">
        <f>G260/$P$4+($C$22/$P$4)</f>
        <v/>
      </c>
      <c r="I260" s="36">
        <f>_xlfn.IFS(K260&lt;K$24,0,K260&lt;K$26,I$24,K260&lt;K$28,I$26,K260&lt;K$30,I$28,K260&lt;K$32,I$30,K260&lt;K$34,I$32,K260&lt;K$36,I$34,K260&lt;K$38,I$36,K260&lt;K$40,I$38,K260&lt;K$42,I$40,K260&lt;K$44,I$42,K260&lt;K$46,I$44,K260&gt;=K$46,I$46)</f>
        <v/>
      </c>
      <c r="J260" s="37">
        <f>_xlfn.IFS(K260&lt;K$24,0,K260&lt;K$25,J$24,K260&lt;K$26,J$25,K260&lt;K$27,J$26,K260&lt;K$28,J$27,K260&lt;K$29,J$28,K260&lt;K$30,J$29,K260&lt;K$31,J$30,K260&lt;K$32,J$31,K260&lt;K$33,J$32,K260&lt;K$34,J$33,K260&lt;K$35,J$34,K260&lt;K$36,J$35,K260&lt;K$37,J$36,K260&lt;K$38,J$37,K260&lt;K$39,J$38,K260&lt;K$40,J$39,K260&lt;K$41,J$40,K260&lt;K$42,J$41,K260&lt;K$43,J$42,K260&lt;K$44,J$43,K260&lt;K$45,J$44,K260&lt;K$46,J$45,K260&lt;K$47,J$46,K260&gt;=K$47,J$47)</f>
        <v/>
      </c>
      <c r="K260" s="38" t="n">
        <v>210</v>
      </c>
      <c r="L260" s="31">
        <f>K260/52</f>
        <v/>
      </c>
      <c r="M260" s="39">
        <f>J260/1000000*52</f>
        <v/>
      </c>
      <c r="N260" s="33">
        <f>M260/$P$4+($I$22/$P$4)</f>
        <v/>
      </c>
      <c r="U260">
        <f>F259</f>
        <v/>
      </c>
      <c r="V260">
        <f>H259</f>
        <v/>
      </c>
      <c r="W260">
        <f>N259</f>
        <v/>
      </c>
    </row>
    <row r="261" ht="15.75" customHeight="1" s="40">
      <c r="C261" s="36">
        <f>_xlfn.IFS(E261&lt;E$24,0,E261&lt;E$26,C$24,E261&lt;E$28,C$26,E261&lt;E$30,C$28,E261&lt;E$32,C$30,E261&lt;E$34,C$32,E261&gt;=E$34,C$34)</f>
        <v/>
      </c>
      <c r="D261" s="37">
        <f>_xlfn.IFS(E261&lt;E$24,0,E261&lt;E$25,D$24,E261&lt;E$26,D$25,E261&lt;E$27,D$26,E261&lt;E$28,D$27,E261&lt;E$29,D$28,E261&lt;E$30,D$29,E261&lt;E$31,D$30,E261&lt;E$32,D$31,E261&lt;E$33,D$32,E261&lt;E$34,D$33,E261&lt;E$35,D$34,E261&gt;=E$35,D$35)</f>
        <v/>
      </c>
      <c r="E261" s="38" t="n">
        <v>211</v>
      </c>
      <c r="F261" s="31">
        <f>E261/52</f>
        <v/>
      </c>
      <c r="G261" s="39">
        <f>D261/1000000*52</f>
        <v/>
      </c>
      <c r="H261" s="33">
        <f>G261/$P$4+($C$22/$P$4)</f>
        <v/>
      </c>
      <c r="I261" s="36">
        <f>_xlfn.IFS(K261&lt;K$24,0,K261&lt;K$26,I$24,K261&lt;K$28,I$26,K261&lt;K$30,I$28,K261&lt;K$32,I$30,K261&lt;K$34,I$32,K261&lt;K$36,I$34,K261&lt;K$38,I$36,K261&lt;K$40,I$38,K261&lt;K$42,I$40,K261&lt;K$44,I$42,K261&lt;K$46,I$44,K261&gt;=K$46,I$46)</f>
        <v/>
      </c>
      <c r="J261" s="37">
        <f>_xlfn.IFS(K261&lt;K$24,0,K261&lt;K$25,J$24,K261&lt;K$26,J$25,K261&lt;K$27,J$26,K261&lt;K$28,J$27,K261&lt;K$29,J$28,K261&lt;K$30,J$29,K261&lt;K$31,J$30,K261&lt;K$32,J$31,K261&lt;K$33,J$32,K261&lt;K$34,J$33,K261&lt;K$35,J$34,K261&lt;K$36,J$35,K261&lt;K$37,J$36,K261&lt;K$38,J$37,K261&lt;K$39,J$38,K261&lt;K$40,J$39,K261&lt;K$41,J$40,K261&lt;K$42,J$41,K261&lt;K$43,J$42,K261&lt;K$44,J$43,K261&lt;K$45,J$44,K261&lt;K$46,J$45,K261&lt;K$47,J$46,K261&gt;=K$47,J$47)</f>
        <v/>
      </c>
      <c r="K261" s="38" t="n">
        <v>211</v>
      </c>
      <c r="L261" s="31">
        <f>K261/52</f>
        <v/>
      </c>
      <c r="M261" s="39">
        <f>J261/1000000*52</f>
        <v/>
      </c>
      <c r="N261" s="33">
        <f>M261/$P$4+($I$22/$P$4)</f>
        <v/>
      </c>
      <c r="U261">
        <f>F260</f>
        <v/>
      </c>
      <c r="V261">
        <f>H260</f>
        <v/>
      </c>
      <c r="W261">
        <f>N260</f>
        <v/>
      </c>
    </row>
    <row r="262" ht="15.75" customHeight="1" s="40">
      <c r="C262" s="36">
        <f>_xlfn.IFS(E262&lt;E$24,0,E262&lt;E$26,C$24,E262&lt;E$28,C$26,E262&lt;E$30,C$28,E262&lt;E$32,C$30,E262&lt;E$34,C$32,E262&gt;=E$34,C$34)</f>
        <v/>
      </c>
      <c r="D262" s="37">
        <f>_xlfn.IFS(E262&lt;E$24,0,E262&lt;E$25,D$24,E262&lt;E$26,D$25,E262&lt;E$27,D$26,E262&lt;E$28,D$27,E262&lt;E$29,D$28,E262&lt;E$30,D$29,E262&lt;E$31,D$30,E262&lt;E$32,D$31,E262&lt;E$33,D$32,E262&lt;E$34,D$33,E262&lt;E$35,D$34,E262&gt;=E$35,D$35)</f>
        <v/>
      </c>
      <c r="E262" s="38" t="n">
        <v>212</v>
      </c>
      <c r="F262" s="31">
        <f>E262/52</f>
        <v/>
      </c>
      <c r="G262" s="39">
        <f>D262/1000000*52</f>
        <v/>
      </c>
      <c r="H262" s="33">
        <f>G262/$P$4+($C$22/$P$4)</f>
        <v/>
      </c>
      <c r="I262" s="36">
        <f>_xlfn.IFS(K262&lt;K$24,0,K262&lt;K$26,I$24,K262&lt;K$28,I$26,K262&lt;K$30,I$28,K262&lt;K$32,I$30,K262&lt;K$34,I$32,K262&lt;K$36,I$34,K262&lt;K$38,I$36,K262&lt;K$40,I$38,K262&lt;K$42,I$40,K262&lt;K$44,I$42,K262&lt;K$46,I$44,K262&gt;=K$46,I$46)</f>
        <v/>
      </c>
      <c r="J262" s="37">
        <f>_xlfn.IFS(K262&lt;K$24,0,K262&lt;K$25,J$24,K262&lt;K$26,J$25,K262&lt;K$27,J$26,K262&lt;K$28,J$27,K262&lt;K$29,J$28,K262&lt;K$30,J$29,K262&lt;K$31,J$30,K262&lt;K$32,J$31,K262&lt;K$33,J$32,K262&lt;K$34,J$33,K262&lt;K$35,J$34,K262&lt;K$36,J$35,K262&lt;K$37,J$36,K262&lt;K$38,J$37,K262&lt;K$39,J$38,K262&lt;K$40,J$39,K262&lt;K$41,J$40,K262&lt;K$42,J$41,K262&lt;K$43,J$42,K262&lt;K$44,J$43,K262&lt;K$45,J$44,K262&lt;K$46,J$45,K262&lt;K$47,J$46,K262&gt;=K$47,J$47)</f>
        <v/>
      </c>
      <c r="K262" s="38" t="n">
        <v>212</v>
      </c>
      <c r="L262" s="31">
        <f>K262/52</f>
        <v/>
      </c>
      <c r="M262" s="39">
        <f>J262/1000000*52</f>
        <v/>
      </c>
      <c r="N262" s="33">
        <f>M262/$P$4+($I$22/$P$4)</f>
        <v/>
      </c>
      <c r="U262">
        <f>F261</f>
        <v/>
      </c>
      <c r="V262">
        <f>H261</f>
        <v/>
      </c>
      <c r="W262">
        <f>N261</f>
        <v/>
      </c>
    </row>
    <row r="263" ht="15.75" customHeight="1" s="40">
      <c r="C263" s="36">
        <f>_xlfn.IFS(E263&lt;E$24,0,E263&lt;E$26,C$24,E263&lt;E$28,C$26,E263&lt;E$30,C$28,E263&lt;E$32,C$30,E263&lt;E$34,C$32,E263&gt;=E$34,C$34)</f>
        <v/>
      </c>
      <c r="D263" s="37">
        <f>_xlfn.IFS(E263&lt;E$24,0,E263&lt;E$25,D$24,E263&lt;E$26,D$25,E263&lt;E$27,D$26,E263&lt;E$28,D$27,E263&lt;E$29,D$28,E263&lt;E$30,D$29,E263&lt;E$31,D$30,E263&lt;E$32,D$31,E263&lt;E$33,D$32,E263&lt;E$34,D$33,E263&lt;E$35,D$34,E263&gt;=E$35,D$35)</f>
        <v/>
      </c>
      <c r="E263" s="38" t="n">
        <v>213</v>
      </c>
      <c r="F263" s="31">
        <f>E263/52</f>
        <v/>
      </c>
      <c r="G263" s="39">
        <f>D263/1000000*52</f>
        <v/>
      </c>
      <c r="H263" s="33">
        <f>G263/$P$4+($C$22/$P$4)</f>
        <v/>
      </c>
      <c r="I263" s="36">
        <f>_xlfn.IFS(K263&lt;K$24,0,K263&lt;K$26,I$24,K263&lt;K$28,I$26,K263&lt;K$30,I$28,K263&lt;K$32,I$30,K263&lt;K$34,I$32,K263&lt;K$36,I$34,K263&lt;K$38,I$36,K263&lt;K$40,I$38,K263&lt;K$42,I$40,K263&lt;K$44,I$42,K263&lt;K$46,I$44,K263&gt;=K$46,I$46)</f>
        <v/>
      </c>
      <c r="J263" s="37">
        <f>_xlfn.IFS(K263&lt;K$24,0,K263&lt;K$25,J$24,K263&lt;K$26,J$25,K263&lt;K$27,J$26,K263&lt;K$28,J$27,K263&lt;K$29,J$28,K263&lt;K$30,J$29,K263&lt;K$31,J$30,K263&lt;K$32,J$31,K263&lt;K$33,J$32,K263&lt;K$34,J$33,K263&lt;K$35,J$34,K263&lt;K$36,J$35,K263&lt;K$37,J$36,K263&lt;K$38,J$37,K263&lt;K$39,J$38,K263&lt;K$40,J$39,K263&lt;K$41,J$40,K263&lt;K$42,J$41,K263&lt;K$43,J$42,K263&lt;K$44,J$43,K263&lt;K$45,J$44,K263&lt;K$46,J$45,K263&lt;K$47,J$46,K263&gt;=K$47,J$47)</f>
        <v/>
      </c>
      <c r="K263" s="38" t="n">
        <v>213</v>
      </c>
      <c r="L263" s="31">
        <f>K263/52</f>
        <v/>
      </c>
      <c r="M263" s="39">
        <f>J263/1000000*52</f>
        <v/>
      </c>
      <c r="N263" s="33">
        <f>M263/$P$4+($I$22/$P$4)</f>
        <v/>
      </c>
      <c r="U263">
        <f>F262</f>
        <v/>
      </c>
      <c r="V263">
        <f>H262</f>
        <v/>
      </c>
      <c r="W263">
        <f>N262</f>
        <v/>
      </c>
    </row>
    <row r="264" ht="15.75" customHeight="1" s="40">
      <c r="C264" s="36">
        <f>_xlfn.IFS(E264&lt;E$24,0,E264&lt;E$26,C$24,E264&lt;E$28,C$26,E264&lt;E$30,C$28,E264&lt;E$32,C$30,E264&lt;E$34,C$32,E264&gt;=E$34,C$34)</f>
        <v/>
      </c>
      <c r="D264" s="37">
        <f>_xlfn.IFS(E264&lt;E$24,0,E264&lt;E$25,D$24,E264&lt;E$26,D$25,E264&lt;E$27,D$26,E264&lt;E$28,D$27,E264&lt;E$29,D$28,E264&lt;E$30,D$29,E264&lt;E$31,D$30,E264&lt;E$32,D$31,E264&lt;E$33,D$32,E264&lt;E$34,D$33,E264&lt;E$35,D$34,E264&gt;=E$35,D$35)</f>
        <v/>
      </c>
      <c r="E264" s="38" t="n">
        <v>214</v>
      </c>
      <c r="F264" s="31">
        <f>E264/52</f>
        <v/>
      </c>
      <c r="G264" s="39">
        <f>D264/1000000*52</f>
        <v/>
      </c>
      <c r="H264" s="33">
        <f>G264/$P$4+($C$22/$P$4)</f>
        <v/>
      </c>
      <c r="I264" s="36">
        <f>_xlfn.IFS(K264&lt;K$24,0,K264&lt;K$26,I$24,K264&lt;K$28,I$26,K264&lt;K$30,I$28,K264&lt;K$32,I$30,K264&lt;K$34,I$32,K264&lt;K$36,I$34,K264&lt;K$38,I$36,K264&lt;K$40,I$38,K264&lt;K$42,I$40,K264&lt;K$44,I$42,K264&lt;K$46,I$44,K264&gt;=K$46,I$46)</f>
        <v/>
      </c>
      <c r="J264" s="37">
        <f>_xlfn.IFS(K264&lt;K$24,0,K264&lt;K$25,J$24,K264&lt;K$26,J$25,K264&lt;K$27,J$26,K264&lt;K$28,J$27,K264&lt;K$29,J$28,K264&lt;K$30,J$29,K264&lt;K$31,J$30,K264&lt;K$32,J$31,K264&lt;K$33,J$32,K264&lt;K$34,J$33,K264&lt;K$35,J$34,K264&lt;K$36,J$35,K264&lt;K$37,J$36,K264&lt;K$38,J$37,K264&lt;K$39,J$38,K264&lt;K$40,J$39,K264&lt;K$41,J$40,K264&lt;K$42,J$41,K264&lt;K$43,J$42,K264&lt;K$44,J$43,K264&lt;K$45,J$44,K264&lt;K$46,J$45,K264&lt;K$47,J$46,K264&gt;=K$47,J$47)</f>
        <v/>
      </c>
      <c r="K264" s="38" t="n">
        <v>214</v>
      </c>
      <c r="L264" s="31">
        <f>K264/52</f>
        <v/>
      </c>
      <c r="M264" s="39">
        <f>J264/1000000*52</f>
        <v/>
      </c>
      <c r="N264" s="33">
        <f>M264/$P$4+($I$22/$P$4)</f>
        <v/>
      </c>
      <c r="U264">
        <f>F263</f>
        <v/>
      </c>
      <c r="V264">
        <f>H263</f>
        <v/>
      </c>
      <c r="W264">
        <f>N263</f>
        <v/>
      </c>
    </row>
    <row r="265" ht="15.75" customHeight="1" s="40">
      <c r="C265" s="36">
        <f>_xlfn.IFS(E265&lt;E$24,0,E265&lt;E$26,C$24,E265&lt;E$28,C$26,E265&lt;E$30,C$28,E265&lt;E$32,C$30,E265&lt;E$34,C$32,E265&gt;=E$34,C$34)</f>
        <v/>
      </c>
      <c r="D265" s="37">
        <f>_xlfn.IFS(E265&lt;E$24,0,E265&lt;E$25,D$24,E265&lt;E$26,D$25,E265&lt;E$27,D$26,E265&lt;E$28,D$27,E265&lt;E$29,D$28,E265&lt;E$30,D$29,E265&lt;E$31,D$30,E265&lt;E$32,D$31,E265&lt;E$33,D$32,E265&lt;E$34,D$33,E265&lt;E$35,D$34,E265&gt;=E$35,D$35)</f>
        <v/>
      </c>
      <c r="E265" s="38" t="n">
        <v>215</v>
      </c>
      <c r="F265" s="31">
        <f>E265/52</f>
        <v/>
      </c>
      <c r="G265" s="39">
        <f>D265/1000000*52</f>
        <v/>
      </c>
      <c r="H265" s="33">
        <f>G265/$P$4+($C$22/$P$4)</f>
        <v/>
      </c>
      <c r="I265" s="36">
        <f>_xlfn.IFS(K265&lt;K$24,0,K265&lt;K$26,I$24,K265&lt;K$28,I$26,K265&lt;K$30,I$28,K265&lt;K$32,I$30,K265&lt;K$34,I$32,K265&lt;K$36,I$34,K265&lt;K$38,I$36,K265&lt;K$40,I$38,K265&lt;K$42,I$40,K265&lt;K$44,I$42,K265&lt;K$46,I$44,K265&gt;=K$46,I$46)</f>
        <v/>
      </c>
      <c r="J265" s="37">
        <f>_xlfn.IFS(K265&lt;K$24,0,K265&lt;K$25,J$24,K265&lt;K$26,J$25,K265&lt;K$27,J$26,K265&lt;K$28,J$27,K265&lt;K$29,J$28,K265&lt;K$30,J$29,K265&lt;K$31,J$30,K265&lt;K$32,J$31,K265&lt;K$33,J$32,K265&lt;K$34,J$33,K265&lt;K$35,J$34,K265&lt;K$36,J$35,K265&lt;K$37,J$36,K265&lt;K$38,J$37,K265&lt;K$39,J$38,K265&lt;K$40,J$39,K265&lt;K$41,J$40,K265&lt;K$42,J$41,K265&lt;K$43,J$42,K265&lt;K$44,J$43,K265&lt;K$45,J$44,K265&lt;K$46,J$45,K265&lt;K$47,J$46,K265&gt;=K$47,J$47)</f>
        <v/>
      </c>
      <c r="K265" s="38" t="n">
        <v>215</v>
      </c>
      <c r="L265" s="31">
        <f>K265/52</f>
        <v/>
      </c>
      <c r="M265" s="39">
        <f>J265/1000000*52</f>
        <v/>
      </c>
      <c r="N265" s="33">
        <f>M265/$P$4+($I$22/$P$4)</f>
        <v/>
      </c>
      <c r="U265">
        <f>F264</f>
        <v/>
      </c>
      <c r="V265">
        <f>H264</f>
        <v/>
      </c>
      <c r="W265">
        <f>N264</f>
        <v/>
      </c>
    </row>
    <row r="266" ht="15.75" customHeight="1" s="40">
      <c r="C266" s="36">
        <f>_xlfn.IFS(E266&lt;E$24,0,E266&lt;E$26,C$24,E266&lt;E$28,C$26,E266&lt;E$30,C$28,E266&lt;E$32,C$30,E266&lt;E$34,C$32,E266&gt;=E$34,C$34)</f>
        <v/>
      </c>
      <c r="D266" s="37">
        <f>_xlfn.IFS(E266&lt;E$24,0,E266&lt;E$25,D$24,E266&lt;E$26,D$25,E266&lt;E$27,D$26,E266&lt;E$28,D$27,E266&lt;E$29,D$28,E266&lt;E$30,D$29,E266&lt;E$31,D$30,E266&lt;E$32,D$31,E266&lt;E$33,D$32,E266&lt;E$34,D$33,E266&lt;E$35,D$34,E266&gt;=E$35,D$35)</f>
        <v/>
      </c>
      <c r="E266" s="38" t="n">
        <v>216</v>
      </c>
      <c r="F266" s="31">
        <f>E266/52</f>
        <v/>
      </c>
      <c r="G266" s="39">
        <f>D266/1000000*52</f>
        <v/>
      </c>
      <c r="H266" s="33">
        <f>G266/$P$4+($C$22/$P$4)</f>
        <v/>
      </c>
      <c r="I266" s="36">
        <f>_xlfn.IFS(K266&lt;K$24,0,K266&lt;K$26,I$24,K266&lt;K$28,I$26,K266&lt;K$30,I$28,K266&lt;K$32,I$30,K266&lt;K$34,I$32,K266&lt;K$36,I$34,K266&lt;K$38,I$36,K266&lt;K$40,I$38,K266&lt;K$42,I$40,K266&lt;K$44,I$42,K266&lt;K$46,I$44,K266&gt;=K$46,I$46)</f>
        <v/>
      </c>
      <c r="J266" s="37">
        <f>_xlfn.IFS(K266&lt;K$24,0,K266&lt;K$25,J$24,K266&lt;K$26,J$25,K266&lt;K$27,J$26,K266&lt;K$28,J$27,K266&lt;K$29,J$28,K266&lt;K$30,J$29,K266&lt;K$31,J$30,K266&lt;K$32,J$31,K266&lt;K$33,J$32,K266&lt;K$34,J$33,K266&lt;K$35,J$34,K266&lt;K$36,J$35,K266&lt;K$37,J$36,K266&lt;K$38,J$37,K266&lt;K$39,J$38,K266&lt;K$40,J$39,K266&lt;K$41,J$40,K266&lt;K$42,J$41,K266&lt;K$43,J$42,K266&lt;K$44,J$43,K266&lt;K$45,J$44,K266&lt;K$46,J$45,K266&lt;K$47,J$46,K266&gt;=K$47,J$47)</f>
        <v/>
      </c>
      <c r="K266" s="38" t="n">
        <v>216</v>
      </c>
      <c r="L266" s="31">
        <f>K266/52</f>
        <v/>
      </c>
      <c r="M266" s="39">
        <f>J266/1000000*52</f>
        <v/>
      </c>
      <c r="N266" s="33">
        <f>M266/$P$4+($I$22/$P$4)</f>
        <v/>
      </c>
      <c r="U266">
        <f>F265</f>
        <v/>
      </c>
      <c r="V266">
        <f>H265</f>
        <v/>
      </c>
      <c r="W266">
        <f>N265</f>
        <v/>
      </c>
    </row>
    <row r="267" ht="15.75" customHeight="1" s="40">
      <c r="C267" s="36">
        <f>_xlfn.IFS(E267&lt;E$24,0,E267&lt;E$26,C$24,E267&lt;E$28,C$26,E267&lt;E$30,C$28,E267&lt;E$32,C$30,E267&lt;E$34,C$32,E267&gt;=E$34,C$34)</f>
        <v/>
      </c>
      <c r="D267" s="37">
        <f>_xlfn.IFS(E267&lt;E$24,0,E267&lt;E$25,D$24,E267&lt;E$26,D$25,E267&lt;E$27,D$26,E267&lt;E$28,D$27,E267&lt;E$29,D$28,E267&lt;E$30,D$29,E267&lt;E$31,D$30,E267&lt;E$32,D$31,E267&lt;E$33,D$32,E267&lt;E$34,D$33,E267&lt;E$35,D$34,E267&gt;=E$35,D$35)</f>
        <v/>
      </c>
      <c r="E267" s="38" t="n">
        <v>217</v>
      </c>
      <c r="F267" s="31">
        <f>E267/52</f>
        <v/>
      </c>
      <c r="G267" s="39">
        <f>D267/1000000*52</f>
        <v/>
      </c>
      <c r="H267" s="33">
        <f>G267/$P$4+($C$22/$P$4)</f>
        <v/>
      </c>
      <c r="I267" s="36">
        <f>_xlfn.IFS(K267&lt;K$24,0,K267&lt;K$26,I$24,K267&lt;K$28,I$26,K267&lt;K$30,I$28,K267&lt;K$32,I$30,K267&lt;K$34,I$32,K267&lt;K$36,I$34,K267&lt;K$38,I$36,K267&lt;K$40,I$38,K267&lt;K$42,I$40,K267&lt;K$44,I$42,K267&lt;K$46,I$44,K267&gt;=K$46,I$46)</f>
        <v/>
      </c>
      <c r="J267" s="37">
        <f>_xlfn.IFS(K267&lt;K$24,0,K267&lt;K$25,J$24,K267&lt;K$26,J$25,K267&lt;K$27,J$26,K267&lt;K$28,J$27,K267&lt;K$29,J$28,K267&lt;K$30,J$29,K267&lt;K$31,J$30,K267&lt;K$32,J$31,K267&lt;K$33,J$32,K267&lt;K$34,J$33,K267&lt;K$35,J$34,K267&lt;K$36,J$35,K267&lt;K$37,J$36,K267&lt;K$38,J$37,K267&lt;K$39,J$38,K267&lt;K$40,J$39,K267&lt;K$41,J$40,K267&lt;K$42,J$41,K267&lt;K$43,J$42,K267&lt;K$44,J$43,K267&lt;K$45,J$44,K267&lt;K$46,J$45,K267&lt;K$47,J$46,K267&gt;=K$47,J$47)</f>
        <v/>
      </c>
      <c r="K267" s="38" t="n">
        <v>217</v>
      </c>
      <c r="L267" s="31">
        <f>K267/52</f>
        <v/>
      </c>
      <c r="M267" s="39">
        <f>J267/1000000*52</f>
        <v/>
      </c>
      <c r="N267" s="33">
        <f>M267/$P$4+($I$22/$P$4)</f>
        <v/>
      </c>
      <c r="U267">
        <f>F266</f>
        <v/>
      </c>
      <c r="V267">
        <f>H266</f>
        <v/>
      </c>
      <c r="W267">
        <f>N266</f>
        <v/>
      </c>
    </row>
    <row r="268" ht="15.75" customHeight="1" s="40">
      <c r="C268" s="36">
        <f>_xlfn.IFS(E268&lt;E$24,0,E268&lt;E$26,C$24,E268&lt;E$28,C$26,E268&lt;E$30,C$28,E268&lt;E$32,C$30,E268&lt;E$34,C$32,E268&gt;=E$34,C$34)</f>
        <v/>
      </c>
      <c r="D268" s="37">
        <f>_xlfn.IFS(E268&lt;E$24,0,E268&lt;E$25,D$24,E268&lt;E$26,D$25,E268&lt;E$27,D$26,E268&lt;E$28,D$27,E268&lt;E$29,D$28,E268&lt;E$30,D$29,E268&lt;E$31,D$30,E268&lt;E$32,D$31,E268&lt;E$33,D$32,E268&lt;E$34,D$33,E268&lt;E$35,D$34,E268&gt;=E$35,D$35)</f>
        <v/>
      </c>
      <c r="E268" s="38" t="n">
        <v>218</v>
      </c>
      <c r="F268" s="31">
        <f>E268/52</f>
        <v/>
      </c>
      <c r="G268" s="39">
        <f>D268/1000000*52</f>
        <v/>
      </c>
      <c r="H268" s="33">
        <f>G268/$P$4+($C$22/$P$4)</f>
        <v/>
      </c>
      <c r="I268" s="36">
        <f>_xlfn.IFS(K268&lt;K$24,0,K268&lt;K$26,I$24,K268&lt;K$28,I$26,K268&lt;K$30,I$28,K268&lt;K$32,I$30,K268&lt;K$34,I$32,K268&lt;K$36,I$34,K268&lt;K$38,I$36,K268&lt;K$40,I$38,K268&lt;K$42,I$40,K268&lt;K$44,I$42,K268&lt;K$46,I$44,K268&gt;=K$46,I$46)</f>
        <v/>
      </c>
      <c r="J268" s="37">
        <f>_xlfn.IFS(K268&lt;K$24,0,K268&lt;K$25,J$24,K268&lt;K$26,J$25,K268&lt;K$27,J$26,K268&lt;K$28,J$27,K268&lt;K$29,J$28,K268&lt;K$30,J$29,K268&lt;K$31,J$30,K268&lt;K$32,J$31,K268&lt;K$33,J$32,K268&lt;K$34,J$33,K268&lt;K$35,J$34,K268&lt;K$36,J$35,K268&lt;K$37,J$36,K268&lt;K$38,J$37,K268&lt;K$39,J$38,K268&lt;K$40,J$39,K268&lt;K$41,J$40,K268&lt;K$42,J$41,K268&lt;K$43,J$42,K268&lt;K$44,J$43,K268&lt;K$45,J$44,K268&lt;K$46,J$45,K268&lt;K$47,J$46,K268&gt;=K$47,J$47)</f>
        <v/>
      </c>
      <c r="K268" s="38" t="n">
        <v>218</v>
      </c>
      <c r="L268" s="31">
        <f>K268/52</f>
        <v/>
      </c>
      <c r="M268" s="39">
        <f>J268/1000000*52</f>
        <v/>
      </c>
      <c r="N268" s="33">
        <f>M268/$P$4+($I$22/$P$4)</f>
        <v/>
      </c>
      <c r="U268">
        <f>F267</f>
        <v/>
      </c>
      <c r="V268">
        <f>H267</f>
        <v/>
      </c>
      <c r="W268">
        <f>N267</f>
        <v/>
      </c>
    </row>
    <row r="269" ht="15.75" customHeight="1" s="40">
      <c r="C269" s="36">
        <f>_xlfn.IFS(E269&lt;E$24,0,E269&lt;E$26,C$24,E269&lt;E$28,C$26,E269&lt;E$30,C$28,E269&lt;E$32,C$30,E269&lt;E$34,C$32,E269&gt;=E$34,C$34)</f>
        <v/>
      </c>
      <c r="D269" s="37">
        <f>_xlfn.IFS(E269&lt;E$24,0,E269&lt;E$25,D$24,E269&lt;E$26,D$25,E269&lt;E$27,D$26,E269&lt;E$28,D$27,E269&lt;E$29,D$28,E269&lt;E$30,D$29,E269&lt;E$31,D$30,E269&lt;E$32,D$31,E269&lt;E$33,D$32,E269&lt;E$34,D$33,E269&lt;E$35,D$34,E269&gt;=E$35,D$35)</f>
        <v/>
      </c>
      <c r="E269" s="38" t="n">
        <v>219</v>
      </c>
      <c r="F269" s="31">
        <f>E269/52</f>
        <v/>
      </c>
      <c r="G269" s="39">
        <f>D269/1000000*52</f>
        <v/>
      </c>
      <c r="H269" s="33">
        <f>G269/$P$4+($C$22/$P$4)</f>
        <v/>
      </c>
      <c r="I269" s="36">
        <f>_xlfn.IFS(K269&lt;K$24,0,K269&lt;K$26,I$24,K269&lt;K$28,I$26,K269&lt;K$30,I$28,K269&lt;K$32,I$30,K269&lt;K$34,I$32,K269&lt;K$36,I$34,K269&lt;K$38,I$36,K269&lt;K$40,I$38,K269&lt;K$42,I$40,K269&lt;K$44,I$42,K269&lt;K$46,I$44,K269&gt;=K$46,I$46)</f>
        <v/>
      </c>
      <c r="J269" s="37">
        <f>_xlfn.IFS(K269&lt;K$24,0,K269&lt;K$25,J$24,K269&lt;K$26,J$25,K269&lt;K$27,J$26,K269&lt;K$28,J$27,K269&lt;K$29,J$28,K269&lt;K$30,J$29,K269&lt;K$31,J$30,K269&lt;K$32,J$31,K269&lt;K$33,J$32,K269&lt;K$34,J$33,K269&lt;K$35,J$34,K269&lt;K$36,J$35,K269&lt;K$37,J$36,K269&lt;K$38,J$37,K269&lt;K$39,J$38,K269&lt;K$40,J$39,K269&lt;K$41,J$40,K269&lt;K$42,J$41,K269&lt;K$43,J$42,K269&lt;K$44,J$43,K269&lt;K$45,J$44,K269&lt;K$46,J$45,K269&lt;K$47,J$46,K269&gt;=K$47,J$47)</f>
        <v/>
      </c>
      <c r="K269" s="38" t="n">
        <v>219</v>
      </c>
      <c r="L269" s="31">
        <f>K269/52</f>
        <v/>
      </c>
      <c r="M269" s="39">
        <f>J269/1000000*52</f>
        <v/>
      </c>
      <c r="N269" s="33">
        <f>M269/$P$4+($I$22/$P$4)</f>
        <v/>
      </c>
      <c r="U269">
        <f>F268</f>
        <v/>
      </c>
      <c r="V269">
        <f>H268</f>
        <v/>
      </c>
      <c r="W269">
        <f>N268</f>
        <v/>
      </c>
    </row>
    <row r="270" ht="15.75" customHeight="1" s="40">
      <c r="C270" s="36">
        <f>_xlfn.IFS(E270&lt;E$24,0,E270&lt;E$26,C$24,E270&lt;E$28,C$26,E270&lt;E$30,C$28,E270&lt;E$32,C$30,E270&lt;E$34,C$32,E270&gt;=E$34,C$34)</f>
        <v/>
      </c>
      <c r="D270" s="37">
        <f>_xlfn.IFS(E270&lt;E$24,0,E270&lt;E$25,D$24,E270&lt;E$26,D$25,E270&lt;E$27,D$26,E270&lt;E$28,D$27,E270&lt;E$29,D$28,E270&lt;E$30,D$29,E270&lt;E$31,D$30,E270&lt;E$32,D$31,E270&lt;E$33,D$32,E270&lt;E$34,D$33,E270&lt;E$35,D$34,E270&gt;=E$35,D$35)</f>
        <v/>
      </c>
      <c r="E270" s="38" t="n">
        <v>220</v>
      </c>
      <c r="F270" s="31">
        <f>E270/52</f>
        <v/>
      </c>
      <c r="G270" s="39">
        <f>D270/1000000*52</f>
        <v/>
      </c>
      <c r="H270" s="33">
        <f>G270/$P$4+($C$22/$P$4)</f>
        <v/>
      </c>
      <c r="I270" s="36">
        <f>_xlfn.IFS(K270&lt;K$24,0,K270&lt;K$26,I$24,K270&lt;K$28,I$26,K270&lt;K$30,I$28,K270&lt;K$32,I$30,K270&lt;K$34,I$32,K270&lt;K$36,I$34,K270&lt;K$38,I$36,K270&lt;K$40,I$38,K270&lt;K$42,I$40,K270&lt;K$44,I$42,K270&lt;K$46,I$44,K270&gt;=K$46,I$46)</f>
        <v/>
      </c>
      <c r="J270" s="37">
        <f>_xlfn.IFS(K270&lt;K$24,0,K270&lt;K$25,J$24,K270&lt;K$26,J$25,K270&lt;K$27,J$26,K270&lt;K$28,J$27,K270&lt;K$29,J$28,K270&lt;K$30,J$29,K270&lt;K$31,J$30,K270&lt;K$32,J$31,K270&lt;K$33,J$32,K270&lt;K$34,J$33,K270&lt;K$35,J$34,K270&lt;K$36,J$35,K270&lt;K$37,J$36,K270&lt;K$38,J$37,K270&lt;K$39,J$38,K270&lt;K$40,J$39,K270&lt;K$41,J$40,K270&lt;K$42,J$41,K270&lt;K$43,J$42,K270&lt;K$44,J$43,K270&lt;K$45,J$44,K270&lt;K$46,J$45,K270&lt;K$47,J$46,K270&gt;=K$47,J$47)</f>
        <v/>
      </c>
      <c r="K270" s="38" t="n">
        <v>220</v>
      </c>
      <c r="L270" s="31">
        <f>K270/52</f>
        <v/>
      </c>
      <c r="M270" s="39">
        <f>J270/1000000*52</f>
        <v/>
      </c>
      <c r="N270" s="33">
        <f>M270/$P$4+($I$22/$P$4)</f>
        <v/>
      </c>
      <c r="U270">
        <f>F269</f>
        <v/>
      </c>
      <c r="V270">
        <f>H269</f>
        <v/>
      </c>
      <c r="W270">
        <f>N269</f>
        <v/>
      </c>
    </row>
    <row r="271" ht="15.75" customHeight="1" s="40">
      <c r="C271" s="36">
        <f>_xlfn.IFS(E271&lt;E$24,0,E271&lt;E$26,C$24,E271&lt;E$28,C$26,E271&lt;E$30,C$28,E271&lt;E$32,C$30,E271&lt;E$34,C$32,E271&gt;=E$34,C$34)</f>
        <v/>
      </c>
      <c r="D271" s="37">
        <f>_xlfn.IFS(E271&lt;E$24,0,E271&lt;E$25,D$24,E271&lt;E$26,D$25,E271&lt;E$27,D$26,E271&lt;E$28,D$27,E271&lt;E$29,D$28,E271&lt;E$30,D$29,E271&lt;E$31,D$30,E271&lt;E$32,D$31,E271&lt;E$33,D$32,E271&lt;E$34,D$33,E271&lt;E$35,D$34,E271&gt;=E$35,D$35)</f>
        <v/>
      </c>
      <c r="E271" s="38" t="n">
        <v>221</v>
      </c>
      <c r="F271" s="31">
        <f>E271/52</f>
        <v/>
      </c>
      <c r="G271" s="39">
        <f>D271/1000000*52</f>
        <v/>
      </c>
      <c r="H271" s="33">
        <f>G271/$P$4+($C$22/$P$4)</f>
        <v/>
      </c>
      <c r="I271" s="36">
        <f>_xlfn.IFS(K271&lt;K$24,0,K271&lt;K$26,I$24,K271&lt;K$28,I$26,K271&lt;K$30,I$28,K271&lt;K$32,I$30,K271&lt;K$34,I$32,K271&lt;K$36,I$34,K271&lt;K$38,I$36,K271&lt;K$40,I$38,K271&lt;K$42,I$40,K271&lt;K$44,I$42,K271&lt;K$46,I$44,K271&gt;=K$46,I$46)</f>
        <v/>
      </c>
      <c r="J271" s="37">
        <f>_xlfn.IFS(K271&lt;K$24,0,K271&lt;K$25,J$24,K271&lt;K$26,J$25,K271&lt;K$27,J$26,K271&lt;K$28,J$27,K271&lt;K$29,J$28,K271&lt;K$30,J$29,K271&lt;K$31,J$30,K271&lt;K$32,J$31,K271&lt;K$33,J$32,K271&lt;K$34,J$33,K271&lt;K$35,J$34,K271&lt;K$36,J$35,K271&lt;K$37,J$36,K271&lt;K$38,J$37,K271&lt;K$39,J$38,K271&lt;K$40,J$39,K271&lt;K$41,J$40,K271&lt;K$42,J$41,K271&lt;K$43,J$42,K271&lt;K$44,J$43,K271&lt;K$45,J$44,K271&lt;K$46,J$45,K271&lt;K$47,J$46,K271&gt;=K$47,J$47)</f>
        <v/>
      </c>
      <c r="K271" s="38" t="n">
        <v>221</v>
      </c>
      <c r="L271" s="31">
        <f>K271/52</f>
        <v/>
      </c>
      <c r="M271" s="39">
        <f>J271/1000000*52</f>
        <v/>
      </c>
      <c r="N271" s="33">
        <f>M271/$P$4+($I$22/$P$4)</f>
        <v/>
      </c>
      <c r="U271">
        <f>F270</f>
        <v/>
      </c>
      <c r="V271">
        <f>H270</f>
        <v/>
      </c>
      <c r="W271">
        <f>N270</f>
        <v/>
      </c>
    </row>
    <row r="272" ht="15.75" customHeight="1" s="40">
      <c r="C272" s="36">
        <f>_xlfn.IFS(E272&lt;E$24,0,E272&lt;E$26,C$24,E272&lt;E$28,C$26,E272&lt;E$30,C$28,E272&lt;E$32,C$30,E272&lt;E$34,C$32,E272&gt;=E$34,C$34)</f>
        <v/>
      </c>
      <c r="D272" s="37">
        <f>_xlfn.IFS(E272&lt;E$24,0,E272&lt;E$25,D$24,E272&lt;E$26,D$25,E272&lt;E$27,D$26,E272&lt;E$28,D$27,E272&lt;E$29,D$28,E272&lt;E$30,D$29,E272&lt;E$31,D$30,E272&lt;E$32,D$31,E272&lt;E$33,D$32,E272&lt;E$34,D$33,E272&lt;E$35,D$34,E272&gt;=E$35,D$35)</f>
        <v/>
      </c>
      <c r="E272" s="38" t="n">
        <v>222</v>
      </c>
      <c r="F272" s="31">
        <f>E272/52</f>
        <v/>
      </c>
      <c r="G272" s="39">
        <f>D272/1000000*52</f>
        <v/>
      </c>
      <c r="H272" s="33">
        <f>G272/$P$4+($C$22/$P$4)</f>
        <v/>
      </c>
      <c r="I272" s="36">
        <f>_xlfn.IFS(K272&lt;K$24,0,K272&lt;K$26,I$24,K272&lt;K$28,I$26,K272&lt;K$30,I$28,K272&lt;K$32,I$30,K272&lt;K$34,I$32,K272&lt;K$36,I$34,K272&lt;K$38,I$36,K272&lt;K$40,I$38,K272&lt;K$42,I$40,K272&lt;K$44,I$42,K272&lt;K$46,I$44,K272&gt;=K$46,I$46)</f>
        <v/>
      </c>
      <c r="J272" s="37">
        <f>_xlfn.IFS(K272&lt;K$24,0,K272&lt;K$25,J$24,K272&lt;K$26,J$25,K272&lt;K$27,J$26,K272&lt;K$28,J$27,K272&lt;K$29,J$28,K272&lt;K$30,J$29,K272&lt;K$31,J$30,K272&lt;K$32,J$31,K272&lt;K$33,J$32,K272&lt;K$34,J$33,K272&lt;K$35,J$34,K272&lt;K$36,J$35,K272&lt;K$37,J$36,K272&lt;K$38,J$37,K272&lt;K$39,J$38,K272&lt;K$40,J$39,K272&lt;K$41,J$40,K272&lt;K$42,J$41,K272&lt;K$43,J$42,K272&lt;K$44,J$43,K272&lt;K$45,J$44,K272&lt;K$46,J$45,K272&lt;K$47,J$46,K272&gt;=K$47,J$47)</f>
        <v/>
      </c>
      <c r="K272" s="38" t="n">
        <v>222</v>
      </c>
      <c r="L272" s="31">
        <f>K272/52</f>
        <v/>
      </c>
      <c r="M272" s="39">
        <f>J272/1000000*52</f>
        <v/>
      </c>
      <c r="N272" s="33">
        <f>M272/$P$4+($I$22/$P$4)</f>
        <v/>
      </c>
      <c r="U272">
        <f>F271</f>
        <v/>
      </c>
      <c r="V272">
        <f>H271</f>
        <v/>
      </c>
      <c r="W272">
        <f>N271</f>
        <v/>
      </c>
    </row>
    <row r="273" ht="15.75" customHeight="1" s="40">
      <c r="C273" s="36">
        <f>_xlfn.IFS(E273&lt;E$24,0,E273&lt;E$26,C$24,E273&lt;E$28,C$26,E273&lt;E$30,C$28,E273&lt;E$32,C$30,E273&lt;E$34,C$32,E273&gt;=E$34,C$34)</f>
        <v/>
      </c>
      <c r="D273" s="37">
        <f>_xlfn.IFS(E273&lt;E$24,0,E273&lt;E$25,D$24,E273&lt;E$26,D$25,E273&lt;E$27,D$26,E273&lt;E$28,D$27,E273&lt;E$29,D$28,E273&lt;E$30,D$29,E273&lt;E$31,D$30,E273&lt;E$32,D$31,E273&lt;E$33,D$32,E273&lt;E$34,D$33,E273&lt;E$35,D$34,E273&gt;=E$35,D$35)</f>
        <v/>
      </c>
      <c r="E273" s="38" t="n">
        <v>223</v>
      </c>
      <c r="F273" s="31">
        <f>E273/52</f>
        <v/>
      </c>
      <c r="G273" s="39">
        <f>D273/1000000*52</f>
        <v/>
      </c>
      <c r="H273" s="33">
        <f>G273/$P$4+($C$22/$P$4)</f>
        <v/>
      </c>
      <c r="I273" s="36">
        <f>_xlfn.IFS(K273&lt;K$24,0,K273&lt;K$26,I$24,K273&lt;K$28,I$26,K273&lt;K$30,I$28,K273&lt;K$32,I$30,K273&lt;K$34,I$32,K273&lt;K$36,I$34,K273&lt;K$38,I$36,K273&lt;K$40,I$38,K273&lt;K$42,I$40,K273&lt;K$44,I$42,K273&lt;K$46,I$44,K273&gt;=K$46,I$46)</f>
        <v/>
      </c>
      <c r="J273" s="37">
        <f>_xlfn.IFS(K273&lt;K$24,0,K273&lt;K$25,J$24,K273&lt;K$26,J$25,K273&lt;K$27,J$26,K273&lt;K$28,J$27,K273&lt;K$29,J$28,K273&lt;K$30,J$29,K273&lt;K$31,J$30,K273&lt;K$32,J$31,K273&lt;K$33,J$32,K273&lt;K$34,J$33,K273&lt;K$35,J$34,K273&lt;K$36,J$35,K273&lt;K$37,J$36,K273&lt;K$38,J$37,K273&lt;K$39,J$38,K273&lt;K$40,J$39,K273&lt;K$41,J$40,K273&lt;K$42,J$41,K273&lt;K$43,J$42,K273&lt;K$44,J$43,K273&lt;K$45,J$44,K273&lt;K$46,J$45,K273&lt;K$47,J$46,K273&gt;=K$47,J$47)</f>
        <v/>
      </c>
      <c r="K273" s="38" t="n">
        <v>223</v>
      </c>
      <c r="L273" s="31">
        <f>K273/52</f>
        <v/>
      </c>
      <c r="M273" s="39">
        <f>J273/1000000*52</f>
        <v/>
      </c>
      <c r="N273" s="33">
        <f>M273/$P$4+($I$22/$P$4)</f>
        <v/>
      </c>
      <c r="U273">
        <f>F272</f>
        <v/>
      </c>
      <c r="V273">
        <f>H272</f>
        <v/>
      </c>
      <c r="W273">
        <f>N272</f>
        <v/>
      </c>
    </row>
    <row r="274" ht="15.75" customHeight="1" s="40">
      <c r="C274" s="36">
        <f>_xlfn.IFS(E274&lt;E$24,0,E274&lt;E$26,C$24,E274&lt;E$28,C$26,E274&lt;E$30,C$28,E274&lt;E$32,C$30,E274&lt;E$34,C$32,E274&gt;=E$34,C$34)</f>
        <v/>
      </c>
      <c r="D274" s="37">
        <f>_xlfn.IFS(E274&lt;E$24,0,E274&lt;E$25,D$24,E274&lt;E$26,D$25,E274&lt;E$27,D$26,E274&lt;E$28,D$27,E274&lt;E$29,D$28,E274&lt;E$30,D$29,E274&lt;E$31,D$30,E274&lt;E$32,D$31,E274&lt;E$33,D$32,E274&lt;E$34,D$33,E274&lt;E$35,D$34,E274&gt;=E$35,D$35)</f>
        <v/>
      </c>
      <c r="E274" s="38" t="n">
        <v>224</v>
      </c>
      <c r="F274" s="31">
        <f>E274/52</f>
        <v/>
      </c>
      <c r="G274" s="39">
        <f>D274/1000000*52</f>
        <v/>
      </c>
      <c r="H274" s="33">
        <f>G274/$P$4+($C$22/$P$4)</f>
        <v/>
      </c>
      <c r="I274" s="36">
        <f>_xlfn.IFS(K274&lt;K$24,0,K274&lt;K$26,I$24,K274&lt;K$28,I$26,K274&lt;K$30,I$28,K274&lt;K$32,I$30,K274&lt;K$34,I$32,K274&lt;K$36,I$34,K274&lt;K$38,I$36,K274&lt;K$40,I$38,K274&lt;K$42,I$40,K274&lt;K$44,I$42,K274&lt;K$46,I$44,K274&gt;=K$46,I$46)</f>
        <v/>
      </c>
      <c r="J274" s="37">
        <f>_xlfn.IFS(K274&lt;K$24,0,K274&lt;K$25,J$24,K274&lt;K$26,J$25,K274&lt;K$27,J$26,K274&lt;K$28,J$27,K274&lt;K$29,J$28,K274&lt;K$30,J$29,K274&lt;K$31,J$30,K274&lt;K$32,J$31,K274&lt;K$33,J$32,K274&lt;K$34,J$33,K274&lt;K$35,J$34,K274&lt;K$36,J$35,K274&lt;K$37,J$36,K274&lt;K$38,J$37,K274&lt;K$39,J$38,K274&lt;K$40,J$39,K274&lt;K$41,J$40,K274&lt;K$42,J$41,K274&lt;K$43,J$42,K274&lt;K$44,J$43,K274&lt;K$45,J$44,K274&lt;K$46,J$45,K274&lt;K$47,J$46,K274&gt;=K$47,J$47)</f>
        <v/>
      </c>
      <c r="K274" s="38" t="n">
        <v>224</v>
      </c>
      <c r="L274" s="31">
        <f>K274/52</f>
        <v/>
      </c>
      <c r="M274" s="39">
        <f>J274/1000000*52</f>
        <v/>
      </c>
      <c r="N274" s="33">
        <f>M274/$P$4+($I$22/$P$4)</f>
        <v/>
      </c>
      <c r="U274">
        <f>F273</f>
        <v/>
      </c>
      <c r="V274">
        <f>H273</f>
        <v/>
      </c>
      <c r="W274">
        <f>N273</f>
        <v/>
      </c>
    </row>
    <row r="275" ht="15.75" customHeight="1" s="40">
      <c r="C275" s="36">
        <f>_xlfn.IFS(E275&lt;E$24,0,E275&lt;E$26,C$24,E275&lt;E$28,C$26,E275&lt;E$30,C$28,E275&lt;E$32,C$30,E275&lt;E$34,C$32,E275&gt;=E$34,C$34)</f>
        <v/>
      </c>
      <c r="D275" s="37">
        <f>_xlfn.IFS(E275&lt;E$24,0,E275&lt;E$25,D$24,E275&lt;E$26,D$25,E275&lt;E$27,D$26,E275&lt;E$28,D$27,E275&lt;E$29,D$28,E275&lt;E$30,D$29,E275&lt;E$31,D$30,E275&lt;E$32,D$31,E275&lt;E$33,D$32,E275&lt;E$34,D$33,E275&lt;E$35,D$34,E275&gt;=E$35,D$35)</f>
        <v/>
      </c>
      <c r="E275" s="38" t="n">
        <v>225</v>
      </c>
      <c r="F275" s="31">
        <f>E275/52</f>
        <v/>
      </c>
      <c r="G275" s="39">
        <f>D275/1000000*52</f>
        <v/>
      </c>
      <c r="H275" s="33">
        <f>G275/$P$4+($C$22/$P$4)</f>
        <v/>
      </c>
      <c r="I275" s="36">
        <f>_xlfn.IFS(K275&lt;K$24,0,K275&lt;K$26,I$24,K275&lt;K$28,I$26,K275&lt;K$30,I$28,K275&lt;K$32,I$30,K275&lt;K$34,I$32,K275&lt;K$36,I$34,K275&lt;K$38,I$36,K275&lt;K$40,I$38,K275&lt;K$42,I$40,K275&lt;K$44,I$42,K275&lt;K$46,I$44,K275&gt;=K$46,I$46)</f>
        <v/>
      </c>
      <c r="J275" s="37">
        <f>_xlfn.IFS(K275&lt;K$24,0,K275&lt;K$25,J$24,K275&lt;K$26,J$25,K275&lt;K$27,J$26,K275&lt;K$28,J$27,K275&lt;K$29,J$28,K275&lt;K$30,J$29,K275&lt;K$31,J$30,K275&lt;K$32,J$31,K275&lt;K$33,J$32,K275&lt;K$34,J$33,K275&lt;K$35,J$34,K275&lt;K$36,J$35,K275&lt;K$37,J$36,K275&lt;K$38,J$37,K275&lt;K$39,J$38,K275&lt;K$40,J$39,K275&lt;K$41,J$40,K275&lt;K$42,J$41,K275&lt;K$43,J$42,K275&lt;K$44,J$43,K275&lt;K$45,J$44,K275&lt;K$46,J$45,K275&lt;K$47,J$46,K275&gt;=K$47,J$47)</f>
        <v/>
      </c>
      <c r="K275" s="38" t="n">
        <v>225</v>
      </c>
      <c r="L275" s="31">
        <f>K275/52</f>
        <v/>
      </c>
      <c r="M275" s="39">
        <f>J275/1000000*52</f>
        <v/>
      </c>
      <c r="N275" s="33">
        <f>M275/$P$4+($I$22/$P$4)</f>
        <v/>
      </c>
      <c r="U275">
        <f>F274</f>
        <v/>
      </c>
      <c r="V275">
        <f>H274</f>
        <v/>
      </c>
      <c r="W275">
        <f>N274</f>
        <v/>
      </c>
    </row>
    <row r="276" ht="15.75" customHeight="1" s="40">
      <c r="C276" s="36">
        <f>_xlfn.IFS(E276&lt;E$24,0,E276&lt;E$26,C$24,E276&lt;E$28,C$26,E276&lt;E$30,C$28,E276&lt;E$32,C$30,E276&lt;E$34,C$32,E276&gt;=E$34,C$34)</f>
        <v/>
      </c>
      <c r="D276" s="37">
        <f>_xlfn.IFS(E276&lt;E$24,0,E276&lt;E$25,D$24,E276&lt;E$26,D$25,E276&lt;E$27,D$26,E276&lt;E$28,D$27,E276&lt;E$29,D$28,E276&lt;E$30,D$29,E276&lt;E$31,D$30,E276&lt;E$32,D$31,E276&lt;E$33,D$32,E276&lt;E$34,D$33,E276&lt;E$35,D$34,E276&gt;=E$35,D$35)</f>
        <v/>
      </c>
      <c r="E276" s="38" t="n">
        <v>226</v>
      </c>
      <c r="F276" s="31">
        <f>E276/52</f>
        <v/>
      </c>
      <c r="G276" s="39">
        <f>D276/1000000*52</f>
        <v/>
      </c>
      <c r="H276" s="33">
        <f>G276/$P$4+($C$22/$P$4)</f>
        <v/>
      </c>
      <c r="I276" s="36">
        <f>_xlfn.IFS(K276&lt;K$24,0,K276&lt;K$26,I$24,K276&lt;K$28,I$26,K276&lt;K$30,I$28,K276&lt;K$32,I$30,K276&lt;K$34,I$32,K276&lt;K$36,I$34,K276&lt;K$38,I$36,K276&lt;K$40,I$38,K276&lt;K$42,I$40,K276&lt;K$44,I$42,K276&lt;K$46,I$44,K276&gt;=K$46,I$46)</f>
        <v/>
      </c>
      <c r="J276" s="37">
        <f>_xlfn.IFS(K276&lt;K$24,0,K276&lt;K$25,J$24,K276&lt;K$26,J$25,K276&lt;K$27,J$26,K276&lt;K$28,J$27,K276&lt;K$29,J$28,K276&lt;K$30,J$29,K276&lt;K$31,J$30,K276&lt;K$32,J$31,K276&lt;K$33,J$32,K276&lt;K$34,J$33,K276&lt;K$35,J$34,K276&lt;K$36,J$35,K276&lt;K$37,J$36,K276&lt;K$38,J$37,K276&lt;K$39,J$38,K276&lt;K$40,J$39,K276&lt;K$41,J$40,K276&lt;K$42,J$41,K276&lt;K$43,J$42,K276&lt;K$44,J$43,K276&lt;K$45,J$44,K276&lt;K$46,J$45,K276&lt;K$47,J$46,K276&gt;=K$47,J$47)</f>
        <v/>
      </c>
      <c r="K276" s="38" t="n">
        <v>226</v>
      </c>
      <c r="L276" s="31">
        <f>K276/52</f>
        <v/>
      </c>
      <c r="M276" s="39">
        <f>J276/1000000*52</f>
        <v/>
      </c>
      <c r="N276" s="33">
        <f>M276/$P$4+($I$22/$P$4)</f>
        <v/>
      </c>
      <c r="U276">
        <f>F275</f>
        <v/>
      </c>
      <c r="V276">
        <f>H275</f>
        <v/>
      </c>
      <c r="W276">
        <f>N275</f>
        <v/>
      </c>
    </row>
    <row r="277" ht="15.75" customHeight="1" s="40">
      <c r="C277" s="36">
        <f>_xlfn.IFS(E277&lt;E$24,0,E277&lt;E$26,C$24,E277&lt;E$28,C$26,E277&lt;E$30,C$28,E277&lt;E$32,C$30,E277&lt;E$34,C$32,E277&gt;=E$34,C$34)</f>
        <v/>
      </c>
      <c r="D277" s="37">
        <f>_xlfn.IFS(E277&lt;E$24,0,E277&lt;E$25,D$24,E277&lt;E$26,D$25,E277&lt;E$27,D$26,E277&lt;E$28,D$27,E277&lt;E$29,D$28,E277&lt;E$30,D$29,E277&lt;E$31,D$30,E277&lt;E$32,D$31,E277&lt;E$33,D$32,E277&lt;E$34,D$33,E277&lt;E$35,D$34,E277&gt;=E$35,D$35)</f>
        <v/>
      </c>
      <c r="E277" s="38" t="n">
        <v>227</v>
      </c>
      <c r="F277" s="31">
        <f>E277/52</f>
        <v/>
      </c>
      <c r="G277" s="39">
        <f>D277/1000000*52</f>
        <v/>
      </c>
      <c r="H277" s="33">
        <f>G277/$P$4+($C$22/$P$4)</f>
        <v/>
      </c>
      <c r="I277" s="36">
        <f>_xlfn.IFS(K277&lt;K$24,0,K277&lt;K$26,I$24,K277&lt;K$28,I$26,K277&lt;K$30,I$28,K277&lt;K$32,I$30,K277&lt;K$34,I$32,K277&lt;K$36,I$34,K277&lt;K$38,I$36,K277&lt;K$40,I$38,K277&lt;K$42,I$40,K277&lt;K$44,I$42,K277&lt;K$46,I$44,K277&gt;=K$46,I$46)</f>
        <v/>
      </c>
      <c r="J277" s="37">
        <f>_xlfn.IFS(K277&lt;K$24,0,K277&lt;K$25,J$24,K277&lt;K$26,J$25,K277&lt;K$27,J$26,K277&lt;K$28,J$27,K277&lt;K$29,J$28,K277&lt;K$30,J$29,K277&lt;K$31,J$30,K277&lt;K$32,J$31,K277&lt;K$33,J$32,K277&lt;K$34,J$33,K277&lt;K$35,J$34,K277&lt;K$36,J$35,K277&lt;K$37,J$36,K277&lt;K$38,J$37,K277&lt;K$39,J$38,K277&lt;K$40,J$39,K277&lt;K$41,J$40,K277&lt;K$42,J$41,K277&lt;K$43,J$42,K277&lt;K$44,J$43,K277&lt;K$45,J$44,K277&lt;K$46,J$45,K277&lt;K$47,J$46,K277&gt;=K$47,J$47)</f>
        <v/>
      </c>
      <c r="K277" s="38" t="n">
        <v>227</v>
      </c>
      <c r="L277" s="31">
        <f>K277/52</f>
        <v/>
      </c>
      <c r="M277" s="39">
        <f>J277/1000000*52</f>
        <v/>
      </c>
      <c r="N277" s="33">
        <f>M277/$P$4+($I$22/$P$4)</f>
        <v/>
      </c>
      <c r="U277">
        <f>F276</f>
        <v/>
      </c>
      <c r="V277">
        <f>H276</f>
        <v/>
      </c>
      <c r="W277">
        <f>N276</f>
        <v/>
      </c>
    </row>
    <row r="278" ht="15.75" customHeight="1" s="40">
      <c r="C278" s="36">
        <f>_xlfn.IFS(E278&lt;E$24,0,E278&lt;E$26,C$24,E278&lt;E$28,C$26,E278&lt;E$30,C$28,E278&lt;E$32,C$30,E278&lt;E$34,C$32,E278&gt;=E$34,C$34)</f>
        <v/>
      </c>
      <c r="D278" s="37">
        <f>_xlfn.IFS(E278&lt;E$24,0,E278&lt;E$25,D$24,E278&lt;E$26,D$25,E278&lt;E$27,D$26,E278&lt;E$28,D$27,E278&lt;E$29,D$28,E278&lt;E$30,D$29,E278&lt;E$31,D$30,E278&lt;E$32,D$31,E278&lt;E$33,D$32,E278&lt;E$34,D$33,E278&lt;E$35,D$34,E278&gt;=E$35,D$35)</f>
        <v/>
      </c>
      <c r="E278" s="38" t="n">
        <v>228</v>
      </c>
      <c r="F278" s="31">
        <f>E278/52</f>
        <v/>
      </c>
      <c r="G278" s="39">
        <f>D278/1000000*52</f>
        <v/>
      </c>
      <c r="H278" s="33">
        <f>G278/$P$4+($C$22/$P$4)</f>
        <v/>
      </c>
      <c r="I278" s="36">
        <f>_xlfn.IFS(K278&lt;K$24,0,K278&lt;K$26,I$24,K278&lt;K$28,I$26,K278&lt;K$30,I$28,K278&lt;K$32,I$30,K278&lt;K$34,I$32,K278&lt;K$36,I$34,K278&lt;K$38,I$36,K278&lt;K$40,I$38,K278&lt;K$42,I$40,K278&lt;K$44,I$42,K278&lt;K$46,I$44,K278&gt;=K$46,I$46)</f>
        <v/>
      </c>
      <c r="J278" s="37">
        <f>_xlfn.IFS(K278&lt;K$24,0,K278&lt;K$25,J$24,K278&lt;K$26,J$25,K278&lt;K$27,J$26,K278&lt;K$28,J$27,K278&lt;K$29,J$28,K278&lt;K$30,J$29,K278&lt;K$31,J$30,K278&lt;K$32,J$31,K278&lt;K$33,J$32,K278&lt;K$34,J$33,K278&lt;K$35,J$34,K278&lt;K$36,J$35,K278&lt;K$37,J$36,K278&lt;K$38,J$37,K278&lt;K$39,J$38,K278&lt;K$40,J$39,K278&lt;K$41,J$40,K278&lt;K$42,J$41,K278&lt;K$43,J$42,K278&lt;K$44,J$43,K278&lt;K$45,J$44,K278&lt;K$46,J$45,K278&lt;K$47,J$46,K278&gt;=K$47,J$47)</f>
        <v/>
      </c>
      <c r="K278" s="38" t="n">
        <v>228</v>
      </c>
      <c r="L278" s="31">
        <f>K278/52</f>
        <v/>
      </c>
      <c r="M278" s="39">
        <f>J278/1000000*52</f>
        <v/>
      </c>
      <c r="N278" s="33">
        <f>M278/$P$4+($I$22/$P$4)</f>
        <v/>
      </c>
      <c r="U278">
        <f>F277</f>
        <v/>
      </c>
      <c r="V278">
        <f>H277</f>
        <v/>
      </c>
      <c r="W278">
        <f>N277</f>
        <v/>
      </c>
    </row>
    <row r="279" ht="15.75" customHeight="1" s="40">
      <c r="C279" s="36">
        <f>_xlfn.IFS(E279&lt;E$24,0,E279&lt;E$26,C$24,E279&lt;E$28,C$26,E279&lt;E$30,C$28,E279&lt;E$32,C$30,E279&lt;E$34,C$32,E279&gt;=E$34,C$34)</f>
        <v/>
      </c>
      <c r="D279" s="37">
        <f>_xlfn.IFS(E279&lt;E$24,0,E279&lt;E$25,D$24,E279&lt;E$26,D$25,E279&lt;E$27,D$26,E279&lt;E$28,D$27,E279&lt;E$29,D$28,E279&lt;E$30,D$29,E279&lt;E$31,D$30,E279&lt;E$32,D$31,E279&lt;E$33,D$32,E279&lt;E$34,D$33,E279&lt;E$35,D$34,E279&gt;=E$35,D$35)</f>
        <v/>
      </c>
      <c r="E279" s="38" t="n">
        <v>229</v>
      </c>
      <c r="F279" s="31">
        <f>E279/52</f>
        <v/>
      </c>
      <c r="G279" s="39">
        <f>D279/1000000*52</f>
        <v/>
      </c>
      <c r="H279" s="33">
        <f>G279/$P$4+($C$22/$P$4)</f>
        <v/>
      </c>
      <c r="I279" s="36">
        <f>_xlfn.IFS(K279&lt;K$24,0,K279&lt;K$26,I$24,K279&lt;K$28,I$26,K279&lt;K$30,I$28,K279&lt;K$32,I$30,K279&lt;K$34,I$32,K279&lt;K$36,I$34,K279&lt;K$38,I$36,K279&lt;K$40,I$38,K279&lt;K$42,I$40,K279&lt;K$44,I$42,K279&lt;K$46,I$44,K279&gt;=K$46,I$46)</f>
        <v/>
      </c>
      <c r="J279" s="37">
        <f>_xlfn.IFS(K279&lt;K$24,0,K279&lt;K$25,J$24,K279&lt;K$26,J$25,K279&lt;K$27,J$26,K279&lt;K$28,J$27,K279&lt;K$29,J$28,K279&lt;K$30,J$29,K279&lt;K$31,J$30,K279&lt;K$32,J$31,K279&lt;K$33,J$32,K279&lt;K$34,J$33,K279&lt;K$35,J$34,K279&lt;K$36,J$35,K279&lt;K$37,J$36,K279&lt;K$38,J$37,K279&lt;K$39,J$38,K279&lt;K$40,J$39,K279&lt;K$41,J$40,K279&lt;K$42,J$41,K279&lt;K$43,J$42,K279&lt;K$44,J$43,K279&lt;K$45,J$44,K279&lt;K$46,J$45,K279&lt;K$47,J$46,K279&gt;=K$47,J$47)</f>
        <v/>
      </c>
      <c r="K279" s="38" t="n">
        <v>229</v>
      </c>
      <c r="L279" s="31">
        <f>K279/52</f>
        <v/>
      </c>
      <c r="M279" s="39">
        <f>J279/1000000*52</f>
        <v/>
      </c>
      <c r="N279" s="33">
        <f>M279/$P$4+($I$22/$P$4)</f>
        <v/>
      </c>
      <c r="U279">
        <f>F278</f>
        <v/>
      </c>
      <c r="V279">
        <f>H278</f>
        <v/>
      </c>
      <c r="W279">
        <f>N278</f>
        <v/>
      </c>
    </row>
    <row r="280" ht="15.75" customHeight="1" s="40">
      <c r="C280" s="36">
        <f>_xlfn.IFS(E280&lt;E$24,0,E280&lt;E$26,C$24,E280&lt;E$28,C$26,E280&lt;E$30,C$28,E280&lt;E$32,C$30,E280&lt;E$34,C$32,E280&gt;=E$34,C$34)</f>
        <v/>
      </c>
      <c r="D280" s="37">
        <f>_xlfn.IFS(E280&lt;E$24,0,E280&lt;E$25,D$24,E280&lt;E$26,D$25,E280&lt;E$27,D$26,E280&lt;E$28,D$27,E280&lt;E$29,D$28,E280&lt;E$30,D$29,E280&lt;E$31,D$30,E280&lt;E$32,D$31,E280&lt;E$33,D$32,E280&lt;E$34,D$33,E280&lt;E$35,D$34,E280&gt;=E$35,D$35)</f>
        <v/>
      </c>
      <c r="E280" s="38" t="n">
        <v>230</v>
      </c>
      <c r="F280" s="31">
        <f>E280/52</f>
        <v/>
      </c>
      <c r="G280" s="39">
        <f>D280/1000000*52</f>
        <v/>
      </c>
      <c r="H280" s="33">
        <f>G280/$P$4+($C$22/$P$4)</f>
        <v/>
      </c>
      <c r="I280" s="36">
        <f>_xlfn.IFS(K280&lt;K$24,0,K280&lt;K$26,I$24,K280&lt;K$28,I$26,K280&lt;K$30,I$28,K280&lt;K$32,I$30,K280&lt;K$34,I$32,K280&lt;K$36,I$34,K280&lt;K$38,I$36,K280&lt;K$40,I$38,K280&lt;K$42,I$40,K280&lt;K$44,I$42,K280&lt;K$46,I$44,K280&gt;=K$46,I$46)</f>
        <v/>
      </c>
      <c r="J280" s="37">
        <f>_xlfn.IFS(K280&lt;K$24,0,K280&lt;K$25,J$24,K280&lt;K$26,J$25,K280&lt;K$27,J$26,K280&lt;K$28,J$27,K280&lt;K$29,J$28,K280&lt;K$30,J$29,K280&lt;K$31,J$30,K280&lt;K$32,J$31,K280&lt;K$33,J$32,K280&lt;K$34,J$33,K280&lt;K$35,J$34,K280&lt;K$36,J$35,K280&lt;K$37,J$36,K280&lt;K$38,J$37,K280&lt;K$39,J$38,K280&lt;K$40,J$39,K280&lt;K$41,J$40,K280&lt;K$42,J$41,K280&lt;K$43,J$42,K280&lt;K$44,J$43,K280&lt;K$45,J$44,K280&lt;K$46,J$45,K280&lt;K$47,J$46,K280&gt;=K$47,J$47)</f>
        <v/>
      </c>
      <c r="K280" s="38" t="n">
        <v>230</v>
      </c>
      <c r="L280" s="31">
        <f>K280/52</f>
        <v/>
      </c>
      <c r="M280" s="39">
        <f>J280/1000000*52</f>
        <v/>
      </c>
      <c r="N280" s="33">
        <f>M280/$P$4+($I$22/$P$4)</f>
        <v/>
      </c>
      <c r="U280">
        <f>F279</f>
        <v/>
      </c>
      <c r="V280">
        <f>H279</f>
        <v/>
      </c>
      <c r="W280">
        <f>N279</f>
        <v/>
      </c>
    </row>
    <row r="281" ht="15.75" customHeight="1" s="40">
      <c r="C281" s="36">
        <f>_xlfn.IFS(E281&lt;E$24,0,E281&lt;E$26,C$24,E281&lt;E$28,C$26,E281&lt;E$30,C$28,E281&lt;E$32,C$30,E281&lt;E$34,C$32,E281&gt;=E$34,C$34)</f>
        <v/>
      </c>
      <c r="D281" s="37">
        <f>_xlfn.IFS(E281&lt;E$24,0,E281&lt;E$25,D$24,E281&lt;E$26,D$25,E281&lt;E$27,D$26,E281&lt;E$28,D$27,E281&lt;E$29,D$28,E281&lt;E$30,D$29,E281&lt;E$31,D$30,E281&lt;E$32,D$31,E281&lt;E$33,D$32,E281&lt;E$34,D$33,E281&lt;E$35,D$34,E281&gt;=E$35,D$35)</f>
        <v/>
      </c>
      <c r="E281" s="38" t="n">
        <v>231</v>
      </c>
      <c r="F281" s="31">
        <f>E281/52</f>
        <v/>
      </c>
      <c r="G281" s="39">
        <f>D281/1000000*52</f>
        <v/>
      </c>
      <c r="H281" s="33">
        <f>G281/$P$4+($C$22/$P$4)</f>
        <v/>
      </c>
      <c r="I281" s="36">
        <f>_xlfn.IFS(K281&lt;K$24,0,K281&lt;K$26,I$24,K281&lt;K$28,I$26,K281&lt;K$30,I$28,K281&lt;K$32,I$30,K281&lt;K$34,I$32,K281&lt;K$36,I$34,K281&lt;K$38,I$36,K281&lt;K$40,I$38,K281&lt;K$42,I$40,K281&lt;K$44,I$42,K281&lt;K$46,I$44,K281&gt;=K$46,I$46)</f>
        <v/>
      </c>
      <c r="J281" s="37">
        <f>_xlfn.IFS(K281&lt;K$24,0,K281&lt;K$25,J$24,K281&lt;K$26,J$25,K281&lt;K$27,J$26,K281&lt;K$28,J$27,K281&lt;K$29,J$28,K281&lt;K$30,J$29,K281&lt;K$31,J$30,K281&lt;K$32,J$31,K281&lt;K$33,J$32,K281&lt;K$34,J$33,K281&lt;K$35,J$34,K281&lt;K$36,J$35,K281&lt;K$37,J$36,K281&lt;K$38,J$37,K281&lt;K$39,J$38,K281&lt;K$40,J$39,K281&lt;K$41,J$40,K281&lt;K$42,J$41,K281&lt;K$43,J$42,K281&lt;K$44,J$43,K281&lt;K$45,J$44,K281&lt;K$46,J$45,K281&lt;K$47,J$46,K281&gt;=K$47,J$47)</f>
        <v/>
      </c>
      <c r="K281" s="38" t="n">
        <v>231</v>
      </c>
      <c r="L281" s="31">
        <f>K281/52</f>
        <v/>
      </c>
      <c r="M281" s="39">
        <f>J281/1000000*52</f>
        <v/>
      </c>
      <c r="N281" s="33">
        <f>M281/$P$4+($I$22/$P$4)</f>
        <v/>
      </c>
      <c r="U281">
        <f>F280</f>
        <v/>
      </c>
      <c r="V281">
        <f>H280</f>
        <v/>
      </c>
      <c r="W281">
        <f>N280</f>
        <v/>
      </c>
    </row>
    <row r="282" ht="15.75" customHeight="1" s="40">
      <c r="C282" s="36">
        <f>_xlfn.IFS(E282&lt;E$24,0,E282&lt;E$26,C$24,E282&lt;E$28,C$26,E282&lt;E$30,C$28,E282&lt;E$32,C$30,E282&lt;E$34,C$32,E282&gt;=E$34,C$34)</f>
        <v/>
      </c>
      <c r="D282" s="37">
        <f>_xlfn.IFS(E282&lt;E$24,0,E282&lt;E$25,D$24,E282&lt;E$26,D$25,E282&lt;E$27,D$26,E282&lt;E$28,D$27,E282&lt;E$29,D$28,E282&lt;E$30,D$29,E282&lt;E$31,D$30,E282&lt;E$32,D$31,E282&lt;E$33,D$32,E282&lt;E$34,D$33,E282&lt;E$35,D$34,E282&gt;=E$35,D$35)</f>
        <v/>
      </c>
      <c r="E282" s="38" t="n">
        <v>232</v>
      </c>
      <c r="F282" s="31">
        <f>E282/52</f>
        <v/>
      </c>
      <c r="G282" s="39">
        <f>D282/1000000*52</f>
        <v/>
      </c>
      <c r="H282" s="33">
        <f>G282/$P$4+($C$22/$P$4)</f>
        <v/>
      </c>
      <c r="I282" s="36">
        <f>_xlfn.IFS(K282&lt;K$24,0,K282&lt;K$26,I$24,K282&lt;K$28,I$26,K282&lt;K$30,I$28,K282&lt;K$32,I$30,K282&lt;K$34,I$32,K282&lt;K$36,I$34,K282&lt;K$38,I$36,K282&lt;K$40,I$38,K282&lt;K$42,I$40,K282&lt;K$44,I$42,K282&lt;K$46,I$44,K282&gt;=K$46,I$46)</f>
        <v/>
      </c>
      <c r="J282" s="37">
        <f>_xlfn.IFS(K282&lt;K$24,0,K282&lt;K$25,J$24,K282&lt;K$26,J$25,K282&lt;K$27,J$26,K282&lt;K$28,J$27,K282&lt;K$29,J$28,K282&lt;K$30,J$29,K282&lt;K$31,J$30,K282&lt;K$32,J$31,K282&lt;K$33,J$32,K282&lt;K$34,J$33,K282&lt;K$35,J$34,K282&lt;K$36,J$35,K282&lt;K$37,J$36,K282&lt;K$38,J$37,K282&lt;K$39,J$38,K282&lt;K$40,J$39,K282&lt;K$41,J$40,K282&lt;K$42,J$41,K282&lt;K$43,J$42,K282&lt;K$44,J$43,K282&lt;K$45,J$44,K282&lt;K$46,J$45,K282&lt;K$47,J$46,K282&gt;=K$47,J$47)</f>
        <v/>
      </c>
      <c r="K282" s="38" t="n">
        <v>232</v>
      </c>
      <c r="L282" s="31">
        <f>K282/52</f>
        <v/>
      </c>
      <c r="M282" s="39">
        <f>J282/1000000*52</f>
        <v/>
      </c>
      <c r="N282" s="33">
        <f>M282/$P$4+($I$22/$P$4)</f>
        <v/>
      </c>
      <c r="U282">
        <f>F281</f>
        <v/>
      </c>
      <c r="V282">
        <f>H281</f>
        <v/>
      </c>
      <c r="W282">
        <f>N281</f>
        <v/>
      </c>
    </row>
    <row r="283" ht="15.75" customHeight="1" s="40">
      <c r="C283" s="36">
        <f>_xlfn.IFS(E283&lt;E$24,0,E283&lt;E$26,C$24,E283&lt;E$28,C$26,E283&lt;E$30,C$28,E283&lt;E$32,C$30,E283&lt;E$34,C$32,E283&gt;=E$34,C$34)</f>
        <v/>
      </c>
      <c r="D283" s="37">
        <f>_xlfn.IFS(E283&lt;E$24,0,E283&lt;E$25,D$24,E283&lt;E$26,D$25,E283&lt;E$27,D$26,E283&lt;E$28,D$27,E283&lt;E$29,D$28,E283&lt;E$30,D$29,E283&lt;E$31,D$30,E283&lt;E$32,D$31,E283&lt;E$33,D$32,E283&lt;E$34,D$33,E283&lt;E$35,D$34,E283&gt;=E$35,D$35)</f>
        <v/>
      </c>
      <c r="E283" s="38" t="n">
        <v>233</v>
      </c>
      <c r="F283" s="31">
        <f>E283/52</f>
        <v/>
      </c>
      <c r="G283" s="39">
        <f>D283/1000000*52</f>
        <v/>
      </c>
      <c r="H283" s="33">
        <f>G283/$P$4+($C$22/$P$4)</f>
        <v/>
      </c>
      <c r="I283" s="36">
        <f>_xlfn.IFS(K283&lt;K$24,0,K283&lt;K$26,I$24,K283&lt;K$28,I$26,K283&lt;K$30,I$28,K283&lt;K$32,I$30,K283&lt;K$34,I$32,K283&lt;K$36,I$34,K283&lt;K$38,I$36,K283&lt;K$40,I$38,K283&lt;K$42,I$40,K283&lt;K$44,I$42,K283&lt;K$46,I$44,K283&gt;=K$46,I$46)</f>
        <v/>
      </c>
      <c r="J283" s="37">
        <f>_xlfn.IFS(K283&lt;K$24,0,K283&lt;K$25,J$24,K283&lt;K$26,J$25,K283&lt;K$27,J$26,K283&lt;K$28,J$27,K283&lt;K$29,J$28,K283&lt;K$30,J$29,K283&lt;K$31,J$30,K283&lt;K$32,J$31,K283&lt;K$33,J$32,K283&lt;K$34,J$33,K283&lt;K$35,J$34,K283&lt;K$36,J$35,K283&lt;K$37,J$36,K283&lt;K$38,J$37,K283&lt;K$39,J$38,K283&lt;K$40,J$39,K283&lt;K$41,J$40,K283&lt;K$42,J$41,K283&lt;K$43,J$42,K283&lt;K$44,J$43,K283&lt;K$45,J$44,K283&lt;K$46,J$45,K283&lt;K$47,J$46,K283&gt;=K$47,J$47)</f>
        <v/>
      </c>
      <c r="K283" s="38" t="n">
        <v>233</v>
      </c>
      <c r="L283" s="31">
        <f>K283/52</f>
        <v/>
      </c>
      <c r="M283" s="39">
        <f>J283/1000000*52</f>
        <v/>
      </c>
      <c r="N283" s="33">
        <f>M283/$P$4+($I$22/$P$4)</f>
        <v/>
      </c>
      <c r="U283">
        <f>F282</f>
        <v/>
      </c>
      <c r="V283">
        <f>H282</f>
        <v/>
      </c>
      <c r="W283">
        <f>N282</f>
        <v/>
      </c>
    </row>
    <row r="284" ht="15.75" customHeight="1" s="40">
      <c r="C284" s="36">
        <f>_xlfn.IFS(E284&lt;E$24,0,E284&lt;E$26,C$24,E284&lt;E$28,C$26,E284&lt;E$30,C$28,E284&lt;E$32,C$30,E284&lt;E$34,C$32,E284&gt;=E$34,C$34)</f>
        <v/>
      </c>
      <c r="D284" s="37">
        <f>_xlfn.IFS(E284&lt;E$24,0,E284&lt;E$25,D$24,E284&lt;E$26,D$25,E284&lt;E$27,D$26,E284&lt;E$28,D$27,E284&lt;E$29,D$28,E284&lt;E$30,D$29,E284&lt;E$31,D$30,E284&lt;E$32,D$31,E284&lt;E$33,D$32,E284&lt;E$34,D$33,E284&lt;E$35,D$34,E284&gt;=E$35,D$35)</f>
        <v/>
      </c>
      <c r="E284" s="38" t="n">
        <v>234</v>
      </c>
      <c r="F284" s="31">
        <f>E284/52</f>
        <v/>
      </c>
      <c r="G284" s="39">
        <f>D284/1000000*52</f>
        <v/>
      </c>
      <c r="H284" s="33">
        <f>G284/$P$4+($C$22/$P$4)</f>
        <v/>
      </c>
      <c r="I284" s="36">
        <f>_xlfn.IFS(K284&lt;K$24,0,K284&lt;K$26,I$24,K284&lt;K$28,I$26,K284&lt;K$30,I$28,K284&lt;K$32,I$30,K284&lt;K$34,I$32,K284&lt;K$36,I$34,K284&lt;K$38,I$36,K284&lt;K$40,I$38,K284&lt;K$42,I$40,K284&lt;K$44,I$42,K284&lt;K$46,I$44,K284&gt;=K$46,I$46)</f>
        <v/>
      </c>
      <c r="J284" s="37">
        <f>_xlfn.IFS(K284&lt;K$24,0,K284&lt;K$25,J$24,K284&lt;K$26,J$25,K284&lt;K$27,J$26,K284&lt;K$28,J$27,K284&lt;K$29,J$28,K284&lt;K$30,J$29,K284&lt;K$31,J$30,K284&lt;K$32,J$31,K284&lt;K$33,J$32,K284&lt;K$34,J$33,K284&lt;K$35,J$34,K284&lt;K$36,J$35,K284&lt;K$37,J$36,K284&lt;K$38,J$37,K284&lt;K$39,J$38,K284&lt;K$40,J$39,K284&lt;K$41,J$40,K284&lt;K$42,J$41,K284&lt;K$43,J$42,K284&lt;K$44,J$43,K284&lt;K$45,J$44,K284&lt;K$46,J$45,K284&lt;K$47,J$46,K284&gt;=K$47,J$47)</f>
        <v/>
      </c>
      <c r="K284" s="38" t="n">
        <v>234</v>
      </c>
      <c r="L284" s="31">
        <f>K284/52</f>
        <v/>
      </c>
      <c r="M284" s="39">
        <f>J284/1000000*52</f>
        <v/>
      </c>
      <c r="N284" s="33">
        <f>M284/$P$4+($I$22/$P$4)</f>
        <v/>
      </c>
      <c r="U284">
        <f>F283</f>
        <v/>
      </c>
      <c r="V284">
        <f>H283</f>
        <v/>
      </c>
      <c r="W284">
        <f>N283</f>
        <v/>
      </c>
    </row>
    <row r="285" ht="15.75" customHeight="1" s="40">
      <c r="C285" s="36">
        <f>_xlfn.IFS(E285&lt;E$24,0,E285&lt;E$26,C$24,E285&lt;E$28,C$26,E285&lt;E$30,C$28,E285&lt;E$32,C$30,E285&lt;E$34,C$32,E285&gt;=E$34,C$34)</f>
        <v/>
      </c>
      <c r="D285" s="37">
        <f>_xlfn.IFS(E285&lt;E$24,0,E285&lt;E$25,D$24,E285&lt;E$26,D$25,E285&lt;E$27,D$26,E285&lt;E$28,D$27,E285&lt;E$29,D$28,E285&lt;E$30,D$29,E285&lt;E$31,D$30,E285&lt;E$32,D$31,E285&lt;E$33,D$32,E285&lt;E$34,D$33,E285&lt;E$35,D$34,E285&gt;=E$35,D$35)</f>
        <v/>
      </c>
      <c r="E285" s="38" t="n">
        <v>235</v>
      </c>
      <c r="F285" s="31">
        <f>E285/52</f>
        <v/>
      </c>
      <c r="G285" s="39">
        <f>D285/1000000*52</f>
        <v/>
      </c>
      <c r="H285" s="33">
        <f>G285/$P$4+($C$22/$P$4)</f>
        <v/>
      </c>
      <c r="I285" s="36">
        <f>_xlfn.IFS(K285&lt;K$24,0,K285&lt;K$26,I$24,K285&lt;K$28,I$26,K285&lt;K$30,I$28,K285&lt;K$32,I$30,K285&lt;K$34,I$32,K285&lt;K$36,I$34,K285&lt;K$38,I$36,K285&lt;K$40,I$38,K285&lt;K$42,I$40,K285&lt;K$44,I$42,K285&lt;K$46,I$44,K285&gt;=K$46,I$46)</f>
        <v/>
      </c>
      <c r="J285" s="37">
        <f>_xlfn.IFS(K285&lt;K$24,0,K285&lt;K$25,J$24,K285&lt;K$26,J$25,K285&lt;K$27,J$26,K285&lt;K$28,J$27,K285&lt;K$29,J$28,K285&lt;K$30,J$29,K285&lt;K$31,J$30,K285&lt;K$32,J$31,K285&lt;K$33,J$32,K285&lt;K$34,J$33,K285&lt;K$35,J$34,K285&lt;K$36,J$35,K285&lt;K$37,J$36,K285&lt;K$38,J$37,K285&lt;K$39,J$38,K285&lt;K$40,J$39,K285&lt;K$41,J$40,K285&lt;K$42,J$41,K285&lt;K$43,J$42,K285&lt;K$44,J$43,K285&lt;K$45,J$44,K285&lt;K$46,J$45,K285&lt;K$47,J$46,K285&gt;=K$47,J$47)</f>
        <v/>
      </c>
      <c r="K285" s="38" t="n">
        <v>235</v>
      </c>
      <c r="L285" s="31">
        <f>K285/52</f>
        <v/>
      </c>
      <c r="M285" s="39">
        <f>J285/1000000*52</f>
        <v/>
      </c>
      <c r="N285" s="33">
        <f>M285/$P$4+($I$22/$P$4)</f>
        <v/>
      </c>
      <c r="U285">
        <f>F284</f>
        <v/>
      </c>
      <c r="V285">
        <f>H284</f>
        <v/>
      </c>
      <c r="W285">
        <f>N284</f>
        <v/>
      </c>
    </row>
    <row r="286" ht="15.75" customHeight="1" s="40">
      <c r="C286" s="36">
        <f>_xlfn.IFS(E286&lt;E$24,0,E286&lt;E$26,C$24,E286&lt;E$28,C$26,E286&lt;E$30,C$28,E286&lt;E$32,C$30,E286&lt;E$34,C$32,E286&gt;=E$34,C$34)</f>
        <v/>
      </c>
      <c r="D286" s="37">
        <f>_xlfn.IFS(E286&lt;E$24,0,E286&lt;E$25,D$24,E286&lt;E$26,D$25,E286&lt;E$27,D$26,E286&lt;E$28,D$27,E286&lt;E$29,D$28,E286&lt;E$30,D$29,E286&lt;E$31,D$30,E286&lt;E$32,D$31,E286&lt;E$33,D$32,E286&lt;E$34,D$33,E286&lt;E$35,D$34,E286&gt;=E$35,D$35)</f>
        <v/>
      </c>
      <c r="E286" s="38" t="n">
        <v>236</v>
      </c>
      <c r="F286" s="31">
        <f>E286/52</f>
        <v/>
      </c>
      <c r="G286" s="39">
        <f>D286/1000000*52</f>
        <v/>
      </c>
      <c r="H286" s="33">
        <f>G286/$P$4+($C$22/$P$4)</f>
        <v/>
      </c>
      <c r="I286" s="36">
        <f>_xlfn.IFS(K286&lt;K$24,0,K286&lt;K$26,I$24,K286&lt;K$28,I$26,K286&lt;K$30,I$28,K286&lt;K$32,I$30,K286&lt;K$34,I$32,K286&lt;K$36,I$34,K286&lt;K$38,I$36,K286&lt;K$40,I$38,K286&lt;K$42,I$40,K286&lt;K$44,I$42,K286&lt;K$46,I$44,K286&gt;=K$46,I$46)</f>
        <v/>
      </c>
      <c r="J286" s="37">
        <f>_xlfn.IFS(K286&lt;K$24,0,K286&lt;K$25,J$24,K286&lt;K$26,J$25,K286&lt;K$27,J$26,K286&lt;K$28,J$27,K286&lt;K$29,J$28,K286&lt;K$30,J$29,K286&lt;K$31,J$30,K286&lt;K$32,J$31,K286&lt;K$33,J$32,K286&lt;K$34,J$33,K286&lt;K$35,J$34,K286&lt;K$36,J$35,K286&lt;K$37,J$36,K286&lt;K$38,J$37,K286&lt;K$39,J$38,K286&lt;K$40,J$39,K286&lt;K$41,J$40,K286&lt;K$42,J$41,K286&lt;K$43,J$42,K286&lt;K$44,J$43,K286&lt;K$45,J$44,K286&lt;K$46,J$45,K286&lt;K$47,J$46,K286&gt;=K$47,J$47)</f>
        <v/>
      </c>
      <c r="K286" s="38" t="n">
        <v>236</v>
      </c>
      <c r="L286" s="31">
        <f>K286/52</f>
        <v/>
      </c>
      <c r="M286" s="39">
        <f>J286/1000000*52</f>
        <v/>
      </c>
      <c r="N286" s="33">
        <f>M286/$P$4+($I$22/$P$4)</f>
        <v/>
      </c>
      <c r="U286">
        <f>F285</f>
        <v/>
      </c>
      <c r="V286">
        <f>H285</f>
        <v/>
      </c>
      <c r="W286">
        <f>N285</f>
        <v/>
      </c>
    </row>
    <row r="287" ht="15.75" customHeight="1" s="40">
      <c r="C287" s="36">
        <f>_xlfn.IFS(E287&lt;E$24,0,E287&lt;E$26,C$24,E287&lt;E$28,C$26,E287&lt;E$30,C$28,E287&lt;E$32,C$30,E287&lt;E$34,C$32,E287&gt;=E$34,C$34)</f>
        <v/>
      </c>
      <c r="D287" s="37">
        <f>_xlfn.IFS(E287&lt;E$24,0,E287&lt;E$25,D$24,E287&lt;E$26,D$25,E287&lt;E$27,D$26,E287&lt;E$28,D$27,E287&lt;E$29,D$28,E287&lt;E$30,D$29,E287&lt;E$31,D$30,E287&lt;E$32,D$31,E287&lt;E$33,D$32,E287&lt;E$34,D$33,E287&lt;E$35,D$34,E287&gt;=E$35,D$35)</f>
        <v/>
      </c>
      <c r="E287" s="38" t="n">
        <v>237</v>
      </c>
      <c r="F287" s="31">
        <f>E287/52</f>
        <v/>
      </c>
      <c r="G287" s="39">
        <f>D287/1000000*52</f>
        <v/>
      </c>
      <c r="H287" s="33">
        <f>G287/$P$4+($C$22/$P$4)</f>
        <v/>
      </c>
      <c r="I287" s="36">
        <f>_xlfn.IFS(K287&lt;K$24,0,K287&lt;K$26,I$24,K287&lt;K$28,I$26,K287&lt;K$30,I$28,K287&lt;K$32,I$30,K287&lt;K$34,I$32,K287&lt;K$36,I$34,K287&lt;K$38,I$36,K287&lt;K$40,I$38,K287&lt;K$42,I$40,K287&lt;K$44,I$42,K287&lt;K$46,I$44,K287&gt;=K$46,I$46)</f>
        <v/>
      </c>
      <c r="J287" s="37">
        <f>_xlfn.IFS(K287&lt;K$24,0,K287&lt;K$25,J$24,K287&lt;K$26,J$25,K287&lt;K$27,J$26,K287&lt;K$28,J$27,K287&lt;K$29,J$28,K287&lt;K$30,J$29,K287&lt;K$31,J$30,K287&lt;K$32,J$31,K287&lt;K$33,J$32,K287&lt;K$34,J$33,K287&lt;K$35,J$34,K287&lt;K$36,J$35,K287&lt;K$37,J$36,K287&lt;K$38,J$37,K287&lt;K$39,J$38,K287&lt;K$40,J$39,K287&lt;K$41,J$40,K287&lt;K$42,J$41,K287&lt;K$43,J$42,K287&lt;K$44,J$43,K287&lt;K$45,J$44,K287&lt;K$46,J$45,K287&lt;K$47,J$46,K287&gt;=K$47,J$47)</f>
        <v/>
      </c>
      <c r="K287" s="38" t="n">
        <v>237</v>
      </c>
      <c r="L287" s="31">
        <f>K287/52</f>
        <v/>
      </c>
      <c r="M287" s="39">
        <f>J287/1000000*52</f>
        <v/>
      </c>
      <c r="N287" s="33">
        <f>M287/$P$4+($I$22/$P$4)</f>
        <v/>
      </c>
      <c r="U287">
        <f>F286</f>
        <v/>
      </c>
      <c r="V287">
        <f>H286</f>
        <v/>
      </c>
      <c r="W287">
        <f>N286</f>
        <v/>
      </c>
    </row>
    <row r="288" ht="15.75" customHeight="1" s="40">
      <c r="C288" s="36">
        <f>_xlfn.IFS(E288&lt;E$24,0,E288&lt;E$26,C$24,E288&lt;E$28,C$26,E288&lt;E$30,C$28,E288&lt;E$32,C$30,E288&lt;E$34,C$32,E288&gt;=E$34,C$34)</f>
        <v/>
      </c>
      <c r="D288" s="37">
        <f>_xlfn.IFS(E288&lt;E$24,0,E288&lt;E$25,D$24,E288&lt;E$26,D$25,E288&lt;E$27,D$26,E288&lt;E$28,D$27,E288&lt;E$29,D$28,E288&lt;E$30,D$29,E288&lt;E$31,D$30,E288&lt;E$32,D$31,E288&lt;E$33,D$32,E288&lt;E$34,D$33,E288&lt;E$35,D$34,E288&gt;=E$35,D$35)</f>
        <v/>
      </c>
      <c r="E288" s="38" t="n">
        <v>238</v>
      </c>
      <c r="F288" s="31">
        <f>E288/52</f>
        <v/>
      </c>
      <c r="G288" s="39">
        <f>D288/1000000*52</f>
        <v/>
      </c>
      <c r="H288" s="33">
        <f>G288/$P$4+($C$22/$P$4)</f>
        <v/>
      </c>
      <c r="I288" s="36">
        <f>_xlfn.IFS(K288&lt;K$24,0,K288&lt;K$26,I$24,K288&lt;K$28,I$26,K288&lt;K$30,I$28,K288&lt;K$32,I$30,K288&lt;K$34,I$32,K288&lt;K$36,I$34,K288&lt;K$38,I$36,K288&lt;K$40,I$38,K288&lt;K$42,I$40,K288&lt;K$44,I$42,K288&lt;K$46,I$44,K288&gt;=K$46,I$46)</f>
        <v/>
      </c>
      <c r="J288" s="37">
        <f>_xlfn.IFS(K288&lt;K$24,0,K288&lt;K$25,J$24,K288&lt;K$26,J$25,K288&lt;K$27,J$26,K288&lt;K$28,J$27,K288&lt;K$29,J$28,K288&lt;K$30,J$29,K288&lt;K$31,J$30,K288&lt;K$32,J$31,K288&lt;K$33,J$32,K288&lt;K$34,J$33,K288&lt;K$35,J$34,K288&lt;K$36,J$35,K288&lt;K$37,J$36,K288&lt;K$38,J$37,K288&lt;K$39,J$38,K288&lt;K$40,J$39,K288&lt;K$41,J$40,K288&lt;K$42,J$41,K288&lt;K$43,J$42,K288&lt;K$44,J$43,K288&lt;K$45,J$44,K288&lt;K$46,J$45,K288&lt;K$47,J$46,K288&gt;=K$47,J$47)</f>
        <v/>
      </c>
      <c r="K288" s="38" t="n">
        <v>238</v>
      </c>
      <c r="L288" s="31">
        <f>K288/52</f>
        <v/>
      </c>
      <c r="M288" s="39">
        <f>J288/1000000*52</f>
        <v/>
      </c>
      <c r="N288" s="33">
        <f>M288/$P$4+($I$22/$P$4)</f>
        <v/>
      </c>
      <c r="U288">
        <f>F287</f>
        <v/>
      </c>
      <c r="V288">
        <f>H287</f>
        <v/>
      </c>
      <c r="W288">
        <f>N287</f>
        <v/>
      </c>
    </row>
    <row r="289" ht="15.75" customHeight="1" s="40">
      <c r="C289" s="36">
        <f>_xlfn.IFS(E289&lt;E$24,0,E289&lt;E$26,C$24,E289&lt;E$28,C$26,E289&lt;E$30,C$28,E289&lt;E$32,C$30,E289&lt;E$34,C$32,E289&gt;=E$34,C$34)</f>
        <v/>
      </c>
      <c r="D289" s="37">
        <f>_xlfn.IFS(E289&lt;E$24,0,E289&lt;E$25,D$24,E289&lt;E$26,D$25,E289&lt;E$27,D$26,E289&lt;E$28,D$27,E289&lt;E$29,D$28,E289&lt;E$30,D$29,E289&lt;E$31,D$30,E289&lt;E$32,D$31,E289&lt;E$33,D$32,E289&lt;E$34,D$33,E289&lt;E$35,D$34,E289&gt;=E$35,D$35)</f>
        <v/>
      </c>
      <c r="E289" s="38" t="n">
        <v>239</v>
      </c>
      <c r="F289" s="31">
        <f>E289/52</f>
        <v/>
      </c>
      <c r="G289" s="39">
        <f>D289/1000000*52</f>
        <v/>
      </c>
      <c r="H289" s="33">
        <f>G289/$P$4+($C$22/$P$4)</f>
        <v/>
      </c>
      <c r="I289" s="36">
        <f>_xlfn.IFS(K289&lt;K$24,0,K289&lt;K$26,I$24,K289&lt;K$28,I$26,K289&lt;K$30,I$28,K289&lt;K$32,I$30,K289&lt;K$34,I$32,K289&lt;K$36,I$34,K289&lt;K$38,I$36,K289&lt;K$40,I$38,K289&lt;K$42,I$40,K289&lt;K$44,I$42,K289&lt;K$46,I$44,K289&gt;=K$46,I$46)</f>
        <v/>
      </c>
      <c r="J289" s="37">
        <f>_xlfn.IFS(K289&lt;K$24,0,K289&lt;K$25,J$24,K289&lt;K$26,J$25,K289&lt;K$27,J$26,K289&lt;K$28,J$27,K289&lt;K$29,J$28,K289&lt;K$30,J$29,K289&lt;K$31,J$30,K289&lt;K$32,J$31,K289&lt;K$33,J$32,K289&lt;K$34,J$33,K289&lt;K$35,J$34,K289&lt;K$36,J$35,K289&lt;K$37,J$36,K289&lt;K$38,J$37,K289&lt;K$39,J$38,K289&lt;K$40,J$39,K289&lt;K$41,J$40,K289&lt;K$42,J$41,K289&lt;K$43,J$42,K289&lt;K$44,J$43,K289&lt;K$45,J$44,K289&lt;K$46,J$45,K289&lt;K$47,J$46,K289&gt;=K$47,J$47)</f>
        <v/>
      </c>
      <c r="K289" s="38" t="n">
        <v>239</v>
      </c>
      <c r="L289" s="31">
        <f>K289/52</f>
        <v/>
      </c>
      <c r="M289" s="39">
        <f>J289/1000000*52</f>
        <v/>
      </c>
      <c r="N289" s="33">
        <f>M289/$P$4+($I$22/$P$4)</f>
        <v/>
      </c>
      <c r="U289">
        <f>F288</f>
        <v/>
      </c>
      <c r="V289">
        <f>H288</f>
        <v/>
      </c>
      <c r="W289">
        <f>N288</f>
        <v/>
      </c>
    </row>
    <row r="290" ht="15.75" customHeight="1" s="40">
      <c r="C290" s="36">
        <f>_xlfn.IFS(E290&lt;E$24,0,E290&lt;E$26,C$24,E290&lt;E$28,C$26,E290&lt;E$30,C$28,E290&lt;E$32,C$30,E290&lt;E$34,C$32,E290&gt;=E$34,C$34)</f>
        <v/>
      </c>
      <c r="D290" s="37">
        <f>_xlfn.IFS(E290&lt;E$24,0,E290&lt;E$25,D$24,E290&lt;E$26,D$25,E290&lt;E$27,D$26,E290&lt;E$28,D$27,E290&lt;E$29,D$28,E290&lt;E$30,D$29,E290&lt;E$31,D$30,E290&lt;E$32,D$31,E290&lt;E$33,D$32,E290&lt;E$34,D$33,E290&lt;E$35,D$34,E290&gt;=E$35,D$35)</f>
        <v/>
      </c>
      <c r="E290" s="38" t="n">
        <v>240</v>
      </c>
      <c r="F290" s="31">
        <f>E290/52</f>
        <v/>
      </c>
      <c r="G290" s="39">
        <f>D290/1000000*52</f>
        <v/>
      </c>
      <c r="H290" s="33">
        <f>G290/$P$4+($C$22/$P$4)</f>
        <v/>
      </c>
      <c r="I290" s="36">
        <f>_xlfn.IFS(K290&lt;K$24,0,K290&lt;K$26,I$24,K290&lt;K$28,I$26,K290&lt;K$30,I$28,K290&lt;K$32,I$30,K290&lt;K$34,I$32,K290&lt;K$36,I$34,K290&lt;K$38,I$36,K290&lt;K$40,I$38,K290&lt;K$42,I$40,K290&lt;K$44,I$42,K290&lt;K$46,I$44,K290&gt;=K$46,I$46)</f>
        <v/>
      </c>
      <c r="J290" s="37">
        <f>_xlfn.IFS(K290&lt;K$24,0,K290&lt;K$25,J$24,K290&lt;K$26,J$25,K290&lt;K$27,J$26,K290&lt;K$28,J$27,K290&lt;K$29,J$28,K290&lt;K$30,J$29,K290&lt;K$31,J$30,K290&lt;K$32,J$31,K290&lt;K$33,J$32,K290&lt;K$34,J$33,K290&lt;K$35,J$34,K290&lt;K$36,J$35,K290&lt;K$37,J$36,K290&lt;K$38,J$37,K290&lt;K$39,J$38,K290&lt;K$40,J$39,K290&lt;K$41,J$40,K290&lt;K$42,J$41,K290&lt;K$43,J$42,K290&lt;K$44,J$43,K290&lt;K$45,J$44,K290&lt;K$46,J$45,K290&lt;K$47,J$46,K290&gt;=K$47,J$47)</f>
        <v/>
      </c>
      <c r="K290" s="38" t="n">
        <v>240</v>
      </c>
      <c r="L290" s="31">
        <f>K290/52</f>
        <v/>
      </c>
      <c r="M290" s="39">
        <f>J290/1000000*52</f>
        <v/>
      </c>
      <c r="N290" s="33">
        <f>M290/$P$4+($I$22/$P$4)</f>
        <v/>
      </c>
      <c r="U290">
        <f>F289</f>
        <v/>
      </c>
      <c r="V290">
        <f>H289</f>
        <v/>
      </c>
      <c r="W290">
        <f>N289</f>
        <v/>
      </c>
    </row>
    <row r="291" ht="15.75" customHeight="1" s="40">
      <c r="C291" s="36">
        <f>_xlfn.IFS(E291&lt;E$24,0,E291&lt;E$26,C$24,E291&lt;E$28,C$26,E291&lt;E$30,C$28,E291&lt;E$32,C$30,E291&lt;E$34,C$32,E291&gt;=E$34,C$34)</f>
        <v/>
      </c>
      <c r="D291" s="37">
        <f>_xlfn.IFS(E291&lt;E$24,0,E291&lt;E$25,D$24,E291&lt;E$26,D$25,E291&lt;E$27,D$26,E291&lt;E$28,D$27,E291&lt;E$29,D$28,E291&lt;E$30,D$29,E291&lt;E$31,D$30,E291&lt;E$32,D$31,E291&lt;E$33,D$32,E291&lt;E$34,D$33,E291&lt;E$35,D$34,E291&gt;=E$35,D$35)</f>
        <v/>
      </c>
      <c r="E291" s="38" t="n">
        <v>241</v>
      </c>
      <c r="F291" s="31">
        <f>E291/52</f>
        <v/>
      </c>
      <c r="G291" s="39">
        <f>D291/1000000*52</f>
        <v/>
      </c>
      <c r="H291" s="33">
        <f>G291/$P$4+($C$22/$P$4)</f>
        <v/>
      </c>
      <c r="I291" s="36">
        <f>_xlfn.IFS(K291&lt;K$24,0,K291&lt;K$26,I$24,K291&lt;K$28,I$26,K291&lt;K$30,I$28,K291&lt;K$32,I$30,K291&lt;K$34,I$32,K291&lt;K$36,I$34,K291&lt;K$38,I$36,K291&lt;K$40,I$38,K291&lt;K$42,I$40,K291&lt;K$44,I$42,K291&lt;K$46,I$44,K291&gt;=K$46,I$46)</f>
        <v/>
      </c>
      <c r="J291" s="37">
        <f>_xlfn.IFS(K291&lt;K$24,0,K291&lt;K$25,J$24,K291&lt;K$26,J$25,K291&lt;K$27,J$26,K291&lt;K$28,J$27,K291&lt;K$29,J$28,K291&lt;K$30,J$29,K291&lt;K$31,J$30,K291&lt;K$32,J$31,K291&lt;K$33,J$32,K291&lt;K$34,J$33,K291&lt;K$35,J$34,K291&lt;K$36,J$35,K291&lt;K$37,J$36,K291&lt;K$38,J$37,K291&lt;K$39,J$38,K291&lt;K$40,J$39,K291&lt;K$41,J$40,K291&lt;K$42,J$41,K291&lt;K$43,J$42,K291&lt;K$44,J$43,K291&lt;K$45,J$44,K291&lt;K$46,J$45,K291&lt;K$47,J$46,K291&gt;=K$47,J$47)</f>
        <v/>
      </c>
      <c r="K291" s="38" t="n">
        <v>241</v>
      </c>
      <c r="L291" s="31">
        <f>K291/52</f>
        <v/>
      </c>
      <c r="M291" s="39">
        <f>J291/1000000*52</f>
        <v/>
      </c>
      <c r="N291" s="33">
        <f>M291/$P$4+($I$22/$P$4)</f>
        <v/>
      </c>
      <c r="U291">
        <f>F290</f>
        <v/>
      </c>
      <c r="V291">
        <f>H290</f>
        <v/>
      </c>
      <c r="W291">
        <f>N290</f>
        <v/>
      </c>
    </row>
    <row r="292" ht="15.75" customHeight="1" s="40">
      <c r="C292" s="36">
        <f>_xlfn.IFS(E292&lt;E$24,0,E292&lt;E$26,C$24,E292&lt;E$28,C$26,E292&lt;E$30,C$28,E292&lt;E$32,C$30,E292&lt;E$34,C$32,E292&gt;=E$34,C$34)</f>
        <v/>
      </c>
      <c r="D292" s="37">
        <f>_xlfn.IFS(E292&lt;E$24,0,E292&lt;E$25,D$24,E292&lt;E$26,D$25,E292&lt;E$27,D$26,E292&lt;E$28,D$27,E292&lt;E$29,D$28,E292&lt;E$30,D$29,E292&lt;E$31,D$30,E292&lt;E$32,D$31,E292&lt;E$33,D$32,E292&lt;E$34,D$33,E292&lt;E$35,D$34,E292&gt;=E$35,D$35)</f>
        <v/>
      </c>
      <c r="E292" s="38" t="n">
        <v>242</v>
      </c>
      <c r="F292" s="31">
        <f>E292/52</f>
        <v/>
      </c>
      <c r="G292" s="39">
        <f>D292/1000000*52</f>
        <v/>
      </c>
      <c r="H292" s="33">
        <f>G292/$P$4+($C$22/$P$4)</f>
        <v/>
      </c>
      <c r="I292" s="36">
        <f>_xlfn.IFS(K292&lt;K$24,0,K292&lt;K$26,I$24,K292&lt;K$28,I$26,K292&lt;K$30,I$28,K292&lt;K$32,I$30,K292&lt;K$34,I$32,K292&lt;K$36,I$34,K292&lt;K$38,I$36,K292&lt;K$40,I$38,K292&lt;K$42,I$40,K292&lt;K$44,I$42,K292&lt;K$46,I$44,K292&gt;=K$46,I$46)</f>
        <v/>
      </c>
      <c r="J292" s="37">
        <f>_xlfn.IFS(K292&lt;K$24,0,K292&lt;K$25,J$24,K292&lt;K$26,J$25,K292&lt;K$27,J$26,K292&lt;K$28,J$27,K292&lt;K$29,J$28,K292&lt;K$30,J$29,K292&lt;K$31,J$30,K292&lt;K$32,J$31,K292&lt;K$33,J$32,K292&lt;K$34,J$33,K292&lt;K$35,J$34,K292&lt;K$36,J$35,K292&lt;K$37,J$36,K292&lt;K$38,J$37,K292&lt;K$39,J$38,K292&lt;K$40,J$39,K292&lt;K$41,J$40,K292&lt;K$42,J$41,K292&lt;K$43,J$42,K292&lt;K$44,J$43,K292&lt;K$45,J$44,K292&lt;K$46,J$45,K292&lt;K$47,J$46,K292&gt;=K$47,J$47)</f>
        <v/>
      </c>
      <c r="K292" s="38" t="n">
        <v>242</v>
      </c>
      <c r="L292" s="31">
        <f>K292/52</f>
        <v/>
      </c>
      <c r="M292" s="39">
        <f>J292/1000000*52</f>
        <v/>
      </c>
      <c r="N292" s="33">
        <f>M292/$P$4+($I$22/$P$4)</f>
        <v/>
      </c>
      <c r="U292">
        <f>F291</f>
        <v/>
      </c>
      <c r="V292">
        <f>H291</f>
        <v/>
      </c>
      <c r="W292">
        <f>N291</f>
        <v/>
      </c>
    </row>
    <row r="293" ht="15.75" customHeight="1" s="40">
      <c r="C293" s="36">
        <f>_xlfn.IFS(E293&lt;E$24,0,E293&lt;E$26,C$24,E293&lt;E$28,C$26,E293&lt;E$30,C$28,E293&lt;E$32,C$30,E293&lt;E$34,C$32,E293&gt;=E$34,C$34)</f>
        <v/>
      </c>
      <c r="D293" s="37">
        <f>_xlfn.IFS(E293&lt;E$24,0,E293&lt;E$25,D$24,E293&lt;E$26,D$25,E293&lt;E$27,D$26,E293&lt;E$28,D$27,E293&lt;E$29,D$28,E293&lt;E$30,D$29,E293&lt;E$31,D$30,E293&lt;E$32,D$31,E293&lt;E$33,D$32,E293&lt;E$34,D$33,E293&lt;E$35,D$34,E293&gt;=E$35,D$35)</f>
        <v/>
      </c>
      <c r="E293" s="38" t="n">
        <v>243</v>
      </c>
      <c r="F293" s="31">
        <f>E293/52</f>
        <v/>
      </c>
      <c r="G293" s="39">
        <f>D293/1000000*52</f>
        <v/>
      </c>
      <c r="H293" s="33">
        <f>G293/$P$4+($C$22/$P$4)</f>
        <v/>
      </c>
      <c r="I293" s="36">
        <f>_xlfn.IFS(K293&lt;K$24,0,K293&lt;K$26,I$24,K293&lt;K$28,I$26,K293&lt;K$30,I$28,K293&lt;K$32,I$30,K293&lt;K$34,I$32,K293&lt;K$36,I$34,K293&lt;K$38,I$36,K293&lt;K$40,I$38,K293&lt;K$42,I$40,K293&lt;K$44,I$42,K293&lt;K$46,I$44,K293&gt;=K$46,I$46)</f>
        <v/>
      </c>
      <c r="J293" s="37">
        <f>_xlfn.IFS(K293&lt;K$24,0,K293&lt;K$25,J$24,K293&lt;K$26,J$25,K293&lt;K$27,J$26,K293&lt;K$28,J$27,K293&lt;K$29,J$28,K293&lt;K$30,J$29,K293&lt;K$31,J$30,K293&lt;K$32,J$31,K293&lt;K$33,J$32,K293&lt;K$34,J$33,K293&lt;K$35,J$34,K293&lt;K$36,J$35,K293&lt;K$37,J$36,K293&lt;K$38,J$37,K293&lt;K$39,J$38,K293&lt;K$40,J$39,K293&lt;K$41,J$40,K293&lt;K$42,J$41,K293&lt;K$43,J$42,K293&lt;K$44,J$43,K293&lt;K$45,J$44,K293&lt;K$46,J$45,K293&lt;K$47,J$46,K293&gt;=K$47,J$47)</f>
        <v/>
      </c>
      <c r="K293" s="38" t="n">
        <v>243</v>
      </c>
      <c r="L293" s="31">
        <f>K293/52</f>
        <v/>
      </c>
      <c r="M293" s="39">
        <f>J293/1000000*52</f>
        <v/>
      </c>
      <c r="N293" s="33">
        <f>M293/$P$4+($I$22/$P$4)</f>
        <v/>
      </c>
      <c r="U293">
        <f>F292</f>
        <v/>
      </c>
      <c r="V293">
        <f>H292</f>
        <v/>
      </c>
      <c r="W293">
        <f>N292</f>
        <v/>
      </c>
    </row>
    <row r="294" ht="15.75" customHeight="1" s="40">
      <c r="C294" s="36">
        <f>_xlfn.IFS(E294&lt;E$24,0,E294&lt;E$26,C$24,E294&lt;E$28,C$26,E294&lt;E$30,C$28,E294&lt;E$32,C$30,E294&lt;E$34,C$32,E294&gt;=E$34,C$34)</f>
        <v/>
      </c>
      <c r="D294" s="37">
        <f>_xlfn.IFS(E294&lt;E$24,0,E294&lt;E$25,D$24,E294&lt;E$26,D$25,E294&lt;E$27,D$26,E294&lt;E$28,D$27,E294&lt;E$29,D$28,E294&lt;E$30,D$29,E294&lt;E$31,D$30,E294&lt;E$32,D$31,E294&lt;E$33,D$32,E294&lt;E$34,D$33,E294&lt;E$35,D$34,E294&gt;=E$35,D$35)</f>
        <v/>
      </c>
      <c r="E294" s="38" t="n">
        <v>244</v>
      </c>
      <c r="F294" s="31">
        <f>E294/52</f>
        <v/>
      </c>
      <c r="G294" s="39">
        <f>D294/1000000*52</f>
        <v/>
      </c>
      <c r="H294" s="33">
        <f>G294/$P$4+($C$22/$P$4)</f>
        <v/>
      </c>
      <c r="I294" s="36">
        <f>_xlfn.IFS(K294&lt;K$24,0,K294&lt;K$26,I$24,K294&lt;K$28,I$26,K294&lt;K$30,I$28,K294&lt;K$32,I$30,K294&lt;K$34,I$32,K294&lt;K$36,I$34,K294&lt;K$38,I$36,K294&lt;K$40,I$38,K294&lt;K$42,I$40,K294&lt;K$44,I$42,K294&lt;K$46,I$44,K294&gt;=K$46,I$46)</f>
        <v/>
      </c>
      <c r="J294" s="37">
        <f>_xlfn.IFS(K294&lt;K$24,0,K294&lt;K$25,J$24,K294&lt;K$26,J$25,K294&lt;K$27,J$26,K294&lt;K$28,J$27,K294&lt;K$29,J$28,K294&lt;K$30,J$29,K294&lt;K$31,J$30,K294&lt;K$32,J$31,K294&lt;K$33,J$32,K294&lt;K$34,J$33,K294&lt;K$35,J$34,K294&lt;K$36,J$35,K294&lt;K$37,J$36,K294&lt;K$38,J$37,K294&lt;K$39,J$38,K294&lt;K$40,J$39,K294&lt;K$41,J$40,K294&lt;K$42,J$41,K294&lt;K$43,J$42,K294&lt;K$44,J$43,K294&lt;K$45,J$44,K294&lt;K$46,J$45,K294&lt;K$47,J$46,K294&gt;=K$47,J$47)</f>
        <v/>
      </c>
      <c r="K294" s="38" t="n">
        <v>244</v>
      </c>
      <c r="L294" s="31">
        <f>K294/52</f>
        <v/>
      </c>
      <c r="M294" s="39">
        <f>J294/1000000*52</f>
        <v/>
      </c>
      <c r="N294" s="33">
        <f>M294/$P$4+($I$22/$P$4)</f>
        <v/>
      </c>
      <c r="U294">
        <f>F293</f>
        <v/>
      </c>
      <c r="V294">
        <f>H293</f>
        <v/>
      </c>
      <c r="W294">
        <f>N293</f>
        <v/>
      </c>
    </row>
    <row r="295" ht="15.75" customHeight="1" s="40">
      <c r="C295" s="36">
        <f>_xlfn.IFS(E295&lt;E$24,0,E295&lt;E$26,C$24,E295&lt;E$28,C$26,E295&lt;E$30,C$28,E295&lt;E$32,C$30,E295&lt;E$34,C$32,E295&gt;=E$34,C$34)</f>
        <v/>
      </c>
      <c r="D295" s="37">
        <f>_xlfn.IFS(E295&lt;E$24,0,E295&lt;E$25,D$24,E295&lt;E$26,D$25,E295&lt;E$27,D$26,E295&lt;E$28,D$27,E295&lt;E$29,D$28,E295&lt;E$30,D$29,E295&lt;E$31,D$30,E295&lt;E$32,D$31,E295&lt;E$33,D$32,E295&lt;E$34,D$33,E295&lt;E$35,D$34,E295&gt;=E$35,D$35)</f>
        <v/>
      </c>
      <c r="E295" s="38" t="n">
        <v>245</v>
      </c>
      <c r="F295" s="31">
        <f>E295/52</f>
        <v/>
      </c>
      <c r="G295" s="39">
        <f>D295/1000000*52</f>
        <v/>
      </c>
      <c r="H295" s="33">
        <f>G295/$P$4+($C$22/$P$4)</f>
        <v/>
      </c>
      <c r="I295" s="36">
        <f>_xlfn.IFS(K295&lt;K$24,0,K295&lt;K$26,I$24,K295&lt;K$28,I$26,K295&lt;K$30,I$28,K295&lt;K$32,I$30,K295&lt;K$34,I$32,K295&lt;K$36,I$34,K295&lt;K$38,I$36,K295&lt;K$40,I$38,K295&lt;K$42,I$40,K295&lt;K$44,I$42,K295&lt;K$46,I$44,K295&gt;=K$46,I$46)</f>
        <v/>
      </c>
      <c r="J295" s="37">
        <f>_xlfn.IFS(K295&lt;K$24,0,K295&lt;K$25,J$24,K295&lt;K$26,J$25,K295&lt;K$27,J$26,K295&lt;K$28,J$27,K295&lt;K$29,J$28,K295&lt;K$30,J$29,K295&lt;K$31,J$30,K295&lt;K$32,J$31,K295&lt;K$33,J$32,K295&lt;K$34,J$33,K295&lt;K$35,J$34,K295&lt;K$36,J$35,K295&lt;K$37,J$36,K295&lt;K$38,J$37,K295&lt;K$39,J$38,K295&lt;K$40,J$39,K295&lt;K$41,J$40,K295&lt;K$42,J$41,K295&lt;K$43,J$42,K295&lt;K$44,J$43,K295&lt;K$45,J$44,K295&lt;K$46,J$45,K295&lt;K$47,J$46,K295&gt;=K$47,J$47)</f>
        <v/>
      </c>
      <c r="K295" s="38" t="n">
        <v>245</v>
      </c>
      <c r="L295" s="31">
        <f>K295/52</f>
        <v/>
      </c>
      <c r="M295" s="39">
        <f>J295/1000000*52</f>
        <v/>
      </c>
      <c r="N295" s="33">
        <f>M295/$P$4+($I$22/$P$4)</f>
        <v/>
      </c>
      <c r="U295">
        <f>F294</f>
        <v/>
      </c>
      <c r="V295">
        <f>H294</f>
        <v/>
      </c>
      <c r="W295">
        <f>N294</f>
        <v/>
      </c>
    </row>
    <row r="296" ht="15.75" customHeight="1" s="40">
      <c r="C296" s="36">
        <f>_xlfn.IFS(E296&lt;E$24,0,E296&lt;E$26,C$24,E296&lt;E$28,C$26,E296&lt;E$30,C$28,E296&lt;E$32,C$30,E296&lt;E$34,C$32,E296&gt;=E$34,C$34)</f>
        <v/>
      </c>
      <c r="D296" s="37">
        <f>_xlfn.IFS(E296&lt;E$24,0,E296&lt;E$25,D$24,E296&lt;E$26,D$25,E296&lt;E$27,D$26,E296&lt;E$28,D$27,E296&lt;E$29,D$28,E296&lt;E$30,D$29,E296&lt;E$31,D$30,E296&lt;E$32,D$31,E296&lt;E$33,D$32,E296&lt;E$34,D$33,E296&lt;E$35,D$34,E296&gt;=E$35,D$35)</f>
        <v/>
      </c>
      <c r="E296" s="38" t="n">
        <v>246</v>
      </c>
      <c r="F296" s="31">
        <f>E296/52</f>
        <v/>
      </c>
      <c r="G296" s="39">
        <f>D296/1000000*52</f>
        <v/>
      </c>
      <c r="H296" s="33">
        <f>G296/$P$4+($C$22/$P$4)</f>
        <v/>
      </c>
      <c r="I296" s="36">
        <f>_xlfn.IFS(K296&lt;K$24,0,K296&lt;K$26,I$24,K296&lt;K$28,I$26,K296&lt;K$30,I$28,K296&lt;K$32,I$30,K296&lt;K$34,I$32,K296&lt;K$36,I$34,K296&lt;K$38,I$36,K296&lt;K$40,I$38,K296&lt;K$42,I$40,K296&lt;K$44,I$42,K296&lt;K$46,I$44,K296&gt;=K$46,I$46)</f>
        <v/>
      </c>
      <c r="J296" s="37">
        <f>_xlfn.IFS(K296&lt;K$24,0,K296&lt;K$25,J$24,K296&lt;K$26,J$25,K296&lt;K$27,J$26,K296&lt;K$28,J$27,K296&lt;K$29,J$28,K296&lt;K$30,J$29,K296&lt;K$31,J$30,K296&lt;K$32,J$31,K296&lt;K$33,J$32,K296&lt;K$34,J$33,K296&lt;K$35,J$34,K296&lt;K$36,J$35,K296&lt;K$37,J$36,K296&lt;K$38,J$37,K296&lt;K$39,J$38,K296&lt;K$40,J$39,K296&lt;K$41,J$40,K296&lt;K$42,J$41,K296&lt;K$43,J$42,K296&lt;K$44,J$43,K296&lt;K$45,J$44,K296&lt;K$46,J$45,K296&lt;K$47,J$46,K296&gt;=K$47,J$47)</f>
        <v/>
      </c>
      <c r="K296" s="38" t="n">
        <v>246</v>
      </c>
      <c r="L296" s="31">
        <f>K296/52</f>
        <v/>
      </c>
      <c r="M296" s="39">
        <f>J296/1000000*52</f>
        <v/>
      </c>
      <c r="N296" s="33">
        <f>M296/$P$4+($I$22/$P$4)</f>
        <v/>
      </c>
      <c r="U296">
        <f>F295</f>
        <v/>
      </c>
      <c r="V296">
        <f>H295</f>
        <v/>
      </c>
      <c r="W296">
        <f>N295</f>
        <v/>
      </c>
    </row>
    <row r="297" ht="15.75" customHeight="1" s="40">
      <c r="C297" s="36">
        <f>_xlfn.IFS(E297&lt;E$24,0,E297&lt;E$26,C$24,E297&lt;E$28,C$26,E297&lt;E$30,C$28,E297&lt;E$32,C$30,E297&lt;E$34,C$32,E297&gt;=E$34,C$34)</f>
        <v/>
      </c>
      <c r="D297" s="37">
        <f>_xlfn.IFS(E297&lt;E$24,0,E297&lt;E$25,D$24,E297&lt;E$26,D$25,E297&lt;E$27,D$26,E297&lt;E$28,D$27,E297&lt;E$29,D$28,E297&lt;E$30,D$29,E297&lt;E$31,D$30,E297&lt;E$32,D$31,E297&lt;E$33,D$32,E297&lt;E$34,D$33,E297&lt;E$35,D$34,E297&gt;=E$35,D$35)</f>
        <v/>
      </c>
      <c r="E297" s="38" t="n">
        <v>247</v>
      </c>
      <c r="F297" s="31">
        <f>E297/52</f>
        <v/>
      </c>
      <c r="G297" s="39">
        <f>D297/1000000*52</f>
        <v/>
      </c>
      <c r="H297" s="33">
        <f>G297/$P$4+($C$22/$P$4)</f>
        <v/>
      </c>
      <c r="I297" s="36">
        <f>_xlfn.IFS(K297&lt;K$24,0,K297&lt;K$26,I$24,K297&lt;K$28,I$26,K297&lt;K$30,I$28,K297&lt;K$32,I$30,K297&lt;K$34,I$32,K297&lt;K$36,I$34,K297&lt;K$38,I$36,K297&lt;K$40,I$38,K297&lt;K$42,I$40,K297&lt;K$44,I$42,K297&lt;K$46,I$44,K297&gt;=K$46,I$46)</f>
        <v/>
      </c>
      <c r="J297" s="37">
        <f>_xlfn.IFS(K297&lt;K$24,0,K297&lt;K$25,J$24,K297&lt;K$26,J$25,K297&lt;K$27,J$26,K297&lt;K$28,J$27,K297&lt;K$29,J$28,K297&lt;K$30,J$29,K297&lt;K$31,J$30,K297&lt;K$32,J$31,K297&lt;K$33,J$32,K297&lt;K$34,J$33,K297&lt;K$35,J$34,K297&lt;K$36,J$35,K297&lt;K$37,J$36,K297&lt;K$38,J$37,K297&lt;K$39,J$38,K297&lt;K$40,J$39,K297&lt;K$41,J$40,K297&lt;K$42,J$41,K297&lt;K$43,J$42,K297&lt;K$44,J$43,K297&lt;K$45,J$44,K297&lt;K$46,J$45,K297&lt;K$47,J$46,K297&gt;=K$47,J$47)</f>
        <v/>
      </c>
      <c r="K297" s="38" t="n">
        <v>247</v>
      </c>
      <c r="L297" s="31">
        <f>K297/52</f>
        <v/>
      </c>
      <c r="M297" s="39">
        <f>J297/1000000*52</f>
        <v/>
      </c>
      <c r="N297" s="33">
        <f>M297/$P$4+($I$22/$P$4)</f>
        <v/>
      </c>
      <c r="U297">
        <f>F296</f>
        <v/>
      </c>
      <c r="V297">
        <f>H296</f>
        <v/>
      </c>
      <c r="W297">
        <f>N296</f>
        <v/>
      </c>
    </row>
    <row r="298" ht="15.75" customHeight="1" s="40">
      <c r="C298" s="36">
        <f>_xlfn.IFS(E298&lt;E$24,0,E298&lt;E$26,C$24,E298&lt;E$28,C$26,E298&lt;E$30,C$28,E298&lt;E$32,C$30,E298&lt;E$34,C$32,E298&gt;=E$34,C$34)</f>
        <v/>
      </c>
      <c r="D298" s="37">
        <f>_xlfn.IFS(E298&lt;E$24,0,E298&lt;E$25,D$24,E298&lt;E$26,D$25,E298&lt;E$27,D$26,E298&lt;E$28,D$27,E298&lt;E$29,D$28,E298&lt;E$30,D$29,E298&lt;E$31,D$30,E298&lt;E$32,D$31,E298&lt;E$33,D$32,E298&lt;E$34,D$33,E298&lt;E$35,D$34,E298&gt;=E$35,D$35)</f>
        <v/>
      </c>
      <c r="E298" s="38" t="n">
        <v>248</v>
      </c>
      <c r="F298" s="31">
        <f>E298/52</f>
        <v/>
      </c>
      <c r="G298" s="39">
        <f>D298/1000000*52</f>
        <v/>
      </c>
      <c r="H298" s="33">
        <f>G298/$P$4+($C$22/$P$4)</f>
        <v/>
      </c>
      <c r="I298" s="36">
        <f>_xlfn.IFS(K298&lt;K$24,0,K298&lt;K$26,I$24,K298&lt;K$28,I$26,K298&lt;K$30,I$28,K298&lt;K$32,I$30,K298&lt;K$34,I$32,K298&lt;K$36,I$34,K298&lt;K$38,I$36,K298&lt;K$40,I$38,K298&lt;K$42,I$40,K298&lt;K$44,I$42,K298&lt;K$46,I$44,K298&gt;=K$46,I$46)</f>
        <v/>
      </c>
      <c r="J298" s="37">
        <f>_xlfn.IFS(K298&lt;K$24,0,K298&lt;K$25,J$24,K298&lt;K$26,J$25,K298&lt;K$27,J$26,K298&lt;K$28,J$27,K298&lt;K$29,J$28,K298&lt;K$30,J$29,K298&lt;K$31,J$30,K298&lt;K$32,J$31,K298&lt;K$33,J$32,K298&lt;K$34,J$33,K298&lt;K$35,J$34,K298&lt;K$36,J$35,K298&lt;K$37,J$36,K298&lt;K$38,J$37,K298&lt;K$39,J$38,K298&lt;K$40,J$39,K298&lt;K$41,J$40,K298&lt;K$42,J$41,K298&lt;K$43,J$42,K298&lt;K$44,J$43,K298&lt;K$45,J$44,K298&lt;K$46,J$45,K298&lt;K$47,J$46,K298&gt;=K$47,J$47)</f>
        <v/>
      </c>
      <c r="K298" s="38" t="n">
        <v>248</v>
      </c>
      <c r="L298" s="31">
        <f>K298/52</f>
        <v/>
      </c>
      <c r="M298" s="39">
        <f>J298/1000000*52</f>
        <v/>
      </c>
      <c r="N298" s="33">
        <f>M298/$P$4+($I$22/$P$4)</f>
        <v/>
      </c>
      <c r="U298">
        <f>F297</f>
        <v/>
      </c>
      <c r="V298">
        <f>H297</f>
        <v/>
      </c>
      <c r="W298">
        <f>N297</f>
        <v/>
      </c>
    </row>
    <row r="299" ht="15.75" customHeight="1" s="40">
      <c r="C299" s="36">
        <f>_xlfn.IFS(E299&lt;E$24,0,E299&lt;E$26,C$24,E299&lt;E$28,C$26,E299&lt;E$30,C$28,E299&lt;E$32,C$30,E299&lt;E$34,C$32,E299&gt;=E$34,C$34)</f>
        <v/>
      </c>
      <c r="D299" s="37">
        <f>_xlfn.IFS(E299&lt;E$24,0,E299&lt;E$25,D$24,E299&lt;E$26,D$25,E299&lt;E$27,D$26,E299&lt;E$28,D$27,E299&lt;E$29,D$28,E299&lt;E$30,D$29,E299&lt;E$31,D$30,E299&lt;E$32,D$31,E299&lt;E$33,D$32,E299&lt;E$34,D$33,E299&lt;E$35,D$34,E299&gt;=E$35,D$35)</f>
        <v/>
      </c>
      <c r="E299" s="38" t="n">
        <v>249</v>
      </c>
      <c r="F299" s="31">
        <f>E299/52</f>
        <v/>
      </c>
      <c r="G299" s="39">
        <f>D299/1000000*52</f>
        <v/>
      </c>
      <c r="H299" s="33">
        <f>G299/$P$4+($C$22/$P$4)</f>
        <v/>
      </c>
      <c r="I299" s="36">
        <f>_xlfn.IFS(K299&lt;K$24,0,K299&lt;K$26,I$24,K299&lt;K$28,I$26,K299&lt;K$30,I$28,K299&lt;K$32,I$30,K299&lt;K$34,I$32,K299&lt;K$36,I$34,K299&lt;K$38,I$36,K299&lt;K$40,I$38,K299&lt;K$42,I$40,K299&lt;K$44,I$42,K299&lt;K$46,I$44,K299&gt;=K$46,I$46)</f>
        <v/>
      </c>
      <c r="J299" s="37">
        <f>_xlfn.IFS(K299&lt;K$24,0,K299&lt;K$25,J$24,K299&lt;K$26,J$25,K299&lt;K$27,J$26,K299&lt;K$28,J$27,K299&lt;K$29,J$28,K299&lt;K$30,J$29,K299&lt;K$31,J$30,K299&lt;K$32,J$31,K299&lt;K$33,J$32,K299&lt;K$34,J$33,K299&lt;K$35,J$34,K299&lt;K$36,J$35,K299&lt;K$37,J$36,K299&lt;K$38,J$37,K299&lt;K$39,J$38,K299&lt;K$40,J$39,K299&lt;K$41,J$40,K299&lt;K$42,J$41,K299&lt;K$43,J$42,K299&lt;K$44,J$43,K299&lt;K$45,J$44,K299&lt;K$46,J$45,K299&lt;K$47,J$46,K299&gt;=K$47,J$47)</f>
        <v/>
      </c>
      <c r="K299" s="38" t="n">
        <v>249</v>
      </c>
      <c r="L299" s="31">
        <f>K299/52</f>
        <v/>
      </c>
      <c r="M299" s="39">
        <f>J299/1000000*52</f>
        <v/>
      </c>
      <c r="N299" s="33">
        <f>M299/$P$4+($I$22/$P$4)</f>
        <v/>
      </c>
      <c r="U299">
        <f>F298</f>
        <v/>
      </c>
      <c r="V299">
        <f>H298</f>
        <v/>
      </c>
      <c r="W299">
        <f>N298</f>
        <v/>
      </c>
    </row>
    <row r="300" ht="15.75" customHeight="1" s="40">
      <c r="C300" s="36">
        <f>_xlfn.IFS(E300&lt;E$24,0,E300&lt;E$26,C$24,E300&lt;E$28,C$26,E300&lt;E$30,C$28,E300&lt;E$32,C$30,E300&lt;E$34,C$32,E300&gt;=E$34,C$34)</f>
        <v/>
      </c>
      <c r="D300" s="37">
        <f>_xlfn.IFS(E300&lt;E$24,0,E300&lt;E$25,D$24,E300&lt;E$26,D$25,E300&lt;E$27,D$26,E300&lt;E$28,D$27,E300&lt;E$29,D$28,E300&lt;E$30,D$29,E300&lt;E$31,D$30,E300&lt;E$32,D$31,E300&lt;E$33,D$32,E300&lt;E$34,D$33,E300&lt;E$35,D$34,E300&gt;=E$35,D$35)</f>
        <v/>
      </c>
      <c r="E300" s="38" t="n">
        <v>250</v>
      </c>
      <c r="F300" s="31">
        <f>E300/52</f>
        <v/>
      </c>
      <c r="G300" s="39">
        <f>D300/1000000*52</f>
        <v/>
      </c>
      <c r="H300" s="33">
        <f>G300/$P$4+($C$22/$P$4)</f>
        <v/>
      </c>
      <c r="I300" s="36">
        <f>_xlfn.IFS(K300&lt;K$24,0,K300&lt;K$26,I$24,K300&lt;K$28,I$26,K300&lt;K$30,I$28,K300&lt;K$32,I$30,K300&lt;K$34,I$32,K300&lt;K$36,I$34,K300&lt;K$38,I$36,K300&lt;K$40,I$38,K300&lt;K$42,I$40,K300&lt;K$44,I$42,K300&lt;K$46,I$44,K300&gt;=K$46,I$46)</f>
        <v/>
      </c>
      <c r="J300" s="37">
        <f>_xlfn.IFS(K300&lt;K$24,0,K300&lt;K$25,J$24,K300&lt;K$26,J$25,K300&lt;K$27,J$26,K300&lt;K$28,J$27,K300&lt;K$29,J$28,K300&lt;K$30,J$29,K300&lt;K$31,J$30,K300&lt;K$32,J$31,K300&lt;K$33,J$32,K300&lt;K$34,J$33,K300&lt;K$35,J$34,K300&lt;K$36,J$35,K300&lt;K$37,J$36,K300&lt;K$38,J$37,K300&lt;K$39,J$38,K300&lt;K$40,J$39,K300&lt;K$41,J$40,K300&lt;K$42,J$41,K300&lt;K$43,J$42,K300&lt;K$44,J$43,K300&lt;K$45,J$44,K300&lt;K$46,J$45,K300&lt;K$47,J$46,K300&gt;=K$47,J$47)</f>
        <v/>
      </c>
      <c r="K300" s="38" t="n">
        <v>250</v>
      </c>
      <c r="L300" s="31">
        <f>K300/52</f>
        <v/>
      </c>
      <c r="M300" s="39">
        <f>J300/1000000*52</f>
        <v/>
      </c>
      <c r="N300" s="33">
        <f>M300/$P$4+($I$22/$P$4)</f>
        <v/>
      </c>
      <c r="U300">
        <f>F299</f>
        <v/>
      </c>
      <c r="V300">
        <f>H299</f>
        <v/>
      </c>
      <c r="W300">
        <f>N299</f>
        <v/>
      </c>
    </row>
    <row r="301" ht="15.75" customHeight="1" s="40">
      <c r="C301" s="36">
        <f>_xlfn.IFS(E301&lt;E$24,0,E301&lt;E$26,C$24,E301&lt;E$28,C$26,E301&lt;E$30,C$28,E301&lt;E$32,C$30,E301&lt;E$34,C$32,E301&gt;=E$34,C$34)</f>
        <v/>
      </c>
      <c r="D301" s="37">
        <f>_xlfn.IFS(E301&lt;E$24,0,E301&lt;E$25,D$24,E301&lt;E$26,D$25,E301&lt;E$27,D$26,E301&lt;E$28,D$27,E301&lt;E$29,D$28,E301&lt;E$30,D$29,E301&lt;E$31,D$30,E301&lt;E$32,D$31,E301&lt;E$33,D$32,E301&lt;E$34,D$33,E301&lt;E$35,D$34,E301&gt;=E$35,D$35)</f>
        <v/>
      </c>
      <c r="E301" s="38" t="n">
        <v>251</v>
      </c>
      <c r="F301" s="31">
        <f>E301/52</f>
        <v/>
      </c>
      <c r="G301" s="39">
        <f>D301/1000000*52</f>
        <v/>
      </c>
      <c r="H301" s="33">
        <f>G301/$P$4+($C$22/$P$4)</f>
        <v/>
      </c>
      <c r="I301" s="36">
        <f>_xlfn.IFS(K301&lt;K$24,0,K301&lt;K$26,I$24,K301&lt;K$28,I$26,K301&lt;K$30,I$28,K301&lt;K$32,I$30,K301&lt;K$34,I$32,K301&lt;K$36,I$34,K301&lt;K$38,I$36,K301&lt;K$40,I$38,K301&lt;K$42,I$40,K301&lt;K$44,I$42,K301&lt;K$46,I$44,K301&gt;=K$46,I$46)</f>
        <v/>
      </c>
      <c r="J301" s="37">
        <f>_xlfn.IFS(K301&lt;K$24,0,K301&lt;K$25,J$24,K301&lt;K$26,J$25,K301&lt;K$27,J$26,K301&lt;K$28,J$27,K301&lt;K$29,J$28,K301&lt;K$30,J$29,K301&lt;K$31,J$30,K301&lt;K$32,J$31,K301&lt;K$33,J$32,K301&lt;K$34,J$33,K301&lt;K$35,J$34,K301&lt;K$36,J$35,K301&lt;K$37,J$36,K301&lt;K$38,J$37,K301&lt;K$39,J$38,K301&lt;K$40,J$39,K301&lt;K$41,J$40,K301&lt;K$42,J$41,K301&lt;K$43,J$42,K301&lt;K$44,J$43,K301&lt;K$45,J$44,K301&lt;K$46,J$45,K301&lt;K$47,J$46,K301&gt;=K$47,J$47)</f>
        <v/>
      </c>
      <c r="K301" s="38" t="n">
        <v>251</v>
      </c>
      <c r="L301" s="31">
        <f>K301/52</f>
        <v/>
      </c>
      <c r="M301" s="39">
        <f>J301/1000000*52</f>
        <v/>
      </c>
      <c r="N301" s="33">
        <f>M301/$P$4+($I$22/$P$4)</f>
        <v/>
      </c>
      <c r="U301">
        <f>F300</f>
        <v/>
      </c>
      <c r="V301">
        <f>H300</f>
        <v/>
      </c>
      <c r="W301">
        <f>N300</f>
        <v/>
      </c>
    </row>
    <row r="302" ht="15.75" customHeight="1" s="40">
      <c r="C302" s="36">
        <f>_xlfn.IFS(E302&lt;E$24,0,E302&lt;E$26,C$24,E302&lt;E$28,C$26,E302&lt;E$30,C$28,E302&lt;E$32,C$30,E302&lt;E$34,C$32,E302&gt;=E$34,C$34)</f>
        <v/>
      </c>
      <c r="D302" s="37">
        <f>_xlfn.IFS(E302&lt;E$24,0,E302&lt;E$25,D$24,E302&lt;E$26,D$25,E302&lt;E$27,D$26,E302&lt;E$28,D$27,E302&lt;E$29,D$28,E302&lt;E$30,D$29,E302&lt;E$31,D$30,E302&lt;E$32,D$31,E302&lt;E$33,D$32,E302&lt;E$34,D$33,E302&lt;E$35,D$34,E302&gt;=E$35,D$35)</f>
        <v/>
      </c>
      <c r="E302" s="38" t="n">
        <v>252</v>
      </c>
      <c r="F302" s="31">
        <f>E302/52</f>
        <v/>
      </c>
      <c r="G302" s="39">
        <f>D302/1000000*52</f>
        <v/>
      </c>
      <c r="H302" s="33">
        <f>G302/$P$4+($C$22/$P$4)</f>
        <v/>
      </c>
      <c r="I302" s="36">
        <f>_xlfn.IFS(K302&lt;K$24,0,K302&lt;K$26,I$24,K302&lt;K$28,I$26,K302&lt;K$30,I$28,K302&lt;K$32,I$30,K302&lt;K$34,I$32,K302&lt;K$36,I$34,K302&lt;K$38,I$36,K302&lt;K$40,I$38,K302&lt;K$42,I$40,K302&lt;K$44,I$42,K302&lt;K$46,I$44,K302&gt;=K$46,I$46)</f>
        <v/>
      </c>
      <c r="J302" s="37">
        <f>_xlfn.IFS(K302&lt;K$24,0,K302&lt;K$25,J$24,K302&lt;K$26,J$25,K302&lt;K$27,J$26,K302&lt;K$28,J$27,K302&lt;K$29,J$28,K302&lt;K$30,J$29,K302&lt;K$31,J$30,K302&lt;K$32,J$31,K302&lt;K$33,J$32,K302&lt;K$34,J$33,K302&lt;K$35,J$34,K302&lt;K$36,J$35,K302&lt;K$37,J$36,K302&lt;K$38,J$37,K302&lt;K$39,J$38,K302&lt;K$40,J$39,K302&lt;K$41,J$40,K302&lt;K$42,J$41,K302&lt;K$43,J$42,K302&lt;K$44,J$43,K302&lt;K$45,J$44,K302&lt;K$46,J$45,K302&lt;K$47,J$46,K302&gt;=K$47,J$47)</f>
        <v/>
      </c>
      <c r="K302" s="38" t="n">
        <v>252</v>
      </c>
      <c r="L302" s="31">
        <f>K302/52</f>
        <v/>
      </c>
      <c r="M302" s="39">
        <f>J302/1000000*52</f>
        <v/>
      </c>
      <c r="N302" s="33">
        <f>M302/$P$4+($I$22/$P$4)</f>
        <v/>
      </c>
      <c r="U302">
        <f>F301</f>
        <v/>
      </c>
      <c r="V302">
        <f>H301</f>
        <v/>
      </c>
      <c r="W302">
        <f>N301</f>
        <v/>
      </c>
    </row>
    <row r="303" ht="15.75" customHeight="1" s="40">
      <c r="C303" s="36">
        <f>_xlfn.IFS(E303&lt;E$24,0,E303&lt;E$26,C$24,E303&lt;E$28,C$26,E303&lt;E$30,C$28,E303&lt;E$32,C$30,E303&lt;E$34,C$32,E303&gt;=E$34,C$34)</f>
        <v/>
      </c>
      <c r="D303" s="37">
        <f>_xlfn.IFS(E303&lt;E$24,0,E303&lt;E$25,D$24,E303&lt;E$26,D$25,E303&lt;E$27,D$26,E303&lt;E$28,D$27,E303&lt;E$29,D$28,E303&lt;E$30,D$29,E303&lt;E$31,D$30,E303&lt;E$32,D$31,E303&lt;E$33,D$32,E303&lt;E$34,D$33,E303&lt;E$35,D$34,E303&gt;=E$35,D$35)</f>
        <v/>
      </c>
      <c r="E303" s="38" t="n">
        <v>253</v>
      </c>
      <c r="F303" s="31">
        <f>E303/52</f>
        <v/>
      </c>
      <c r="G303" s="39">
        <f>D303/1000000*52</f>
        <v/>
      </c>
      <c r="H303" s="33">
        <f>G303/$P$4+($C$22/$P$4)</f>
        <v/>
      </c>
      <c r="I303" s="36">
        <f>_xlfn.IFS(K303&lt;K$24,0,K303&lt;K$26,I$24,K303&lt;K$28,I$26,K303&lt;K$30,I$28,K303&lt;K$32,I$30,K303&lt;K$34,I$32,K303&lt;K$36,I$34,K303&lt;K$38,I$36,K303&lt;K$40,I$38,K303&lt;K$42,I$40,K303&lt;K$44,I$42,K303&lt;K$46,I$44,K303&gt;=K$46,I$46)</f>
        <v/>
      </c>
      <c r="J303" s="37">
        <f>_xlfn.IFS(K303&lt;K$24,0,K303&lt;K$25,J$24,K303&lt;K$26,J$25,K303&lt;K$27,J$26,K303&lt;K$28,J$27,K303&lt;K$29,J$28,K303&lt;K$30,J$29,K303&lt;K$31,J$30,K303&lt;K$32,J$31,K303&lt;K$33,J$32,K303&lt;K$34,J$33,K303&lt;K$35,J$34,K303&lt;K$36,J$35,K303&lt;K$37,J$36,K303&lt;K$38,J$37,K303&lt;K$39,J$38,K303&lt;K$40,J$39,K303&lt;K$41,J$40,K303&lt;K$42,J$41,K303&lt;K$43,J$42,K303&lt;K$44,J$43,K303&lt;K$45,J$44,K303&lt;K$46,J$45,K303&lt;K$47,J$46,K303&gt;=K$47,J$47)</f>
        <v/>
      </c>
      <c r="K303" s="38" t="n">
        <v>253</v>
      </c>
      <c r="L303" s="31">
        <f>K303/52</f>
        <v/>
      </c>
      <c r="M303" s="39">
        <f>J303/1000000*52</f>
        <v/>
      </c>
      <c r="N303" s="33">
        <f>M303/$P$4+($I$22/$P$4)</f>
        <v/>
      </c>
      <c r="U303">
        <f>F302</f>
        <v/>
      </c>
      <c r="V303">
        <f>H302</f>
        <v/>
      </c>
      <c r="W303">
        <f>N302</f>
        <v/>
      </c>
    </row>
    <row r="304" ht="15.75" customHeight="1" s="40">
      <c r="C304" s="36">
        <f>_xlfn.IFS(E304&lt;E$24,0,E304&lt;E$26,C$24,E304&lt;E$28,C$26,E304&lt;E$30,C$28,E304&lt;E$32,C$30,E304&lt;E$34,C$32,E304&gt;=E$34,C$34)</f>
        <v/>
      </c>
      <c r="D304" s="37">
        <f>_xlfn.IFS(E304&lt;E$24,0,E304&lt;E$25,D$24,E304&lt;E$26,D$25,E304&lt;E$27,D$26,E304&lt;E$28,D$27,E304&lt;E$29,D$28,E304&lt;E$30,D$29,E304&lt;E$31,D$30,E304&lt;E$32,D$31,E304&lt;E$33,D$32,E304&lt;E$34,D$33,E304&lt;E$35,D$34,E304&gt;=E$35,D$35)</f>
        <v/>
      </c>
      <c r="E304" s="38" t="n">
        <v>254</v>
      </c>
      <c r="F304" s="31">
        <f>E304/52</f>
        <v/>
      </c>
      <c r="G304" s="39">
        <f>D304/1000000*52</f>
        <v/>
      </c>
      <c r="H304" s="33">
        <f>G304/$P$4+($C$22/$P$4)</f>
        <v/>
      </c>
      <c r="I304" s="36">
        <f>_xlfn.IFS(K304&lt;K$24,0,K304&lt;K$26,I$24,K304&lt;K$28,I$26,K304&lt;K$30,I$28,K304&lt;K$32,I$30,K304&lt;K$34,I$32,K304&lt;K$36,I$34,K304&lt;K$38,I$36,K304&lt;K$40,I$38,K304&lt;K$42,I$40,K304&lt;K$44,I$42,K304&lt;K$46,I$44,K304&gt;=K$46,I$46)</f>
        <v/>
      </c>
      <c r="J304" s="37">
        <f>_xlfn.IFS(K304&lt;K$24,0,K304&lt;K$25,J$24,K304&lt;K$26,J$25,K304&lt;K$27,J$26,K304&lt;K$28,J$27,K304&lt;K$29,J$28,K304&lt;K$30,J$29,K304&lt;K$31,J$30,K304&lt;K$32,J$31,K304&lt;K$33,J$32,K304&lt;K$34,J$33,K304&lt;K$35,J$34,K304&lt;K$36,J$35,K304&lt;K$37,J$36,K304&lt;K$38,J$37,K304&lt;K$39,J$38,K304&lt;K$40,J$39,K304&lt;K$41,J$40,K304&lt;K$42,J$41,K304&lt;K$43,J$42,K304&lt;K$44,J$43,K304&lt;K$45,J$44,K304&lt;K$46,J$45,K304&lt;K$47,J$46,K304&gt;=K$47,J$47)</f>
        <v/>
      </c>
      <c r="K304" s="38" t="n">
        <v>254</v>
      </c>
      <c r="L304" s="31">
        <f>K304/52</f>
        <v/>
      </c>
      <c r="M304" s="39">
        <f>J304/1000000*52</f>
        <v/>
      </c>
      <c r="N304" s="33">
        <f>M304/$P$4+($I$22/$P$4)</f>
        <v/>
      </c>
      <c r="U304">
        <f>F303</f>
        <v/>
      </c>
      <c r="V304">
        <f>H303</f>
        <v/>
      </c>
      <c r="W304">
        <f>N303</f>
        <v/>
      </c>
    </row>
    <row r="305" ht="15.75" customHeight="1" s="40">
      <c r="C305" s="36">
        <f>_xlfn.IFS(E305&lt;E$24,0,E305&lt;E$26,C$24,E305&lt;E$28,C$26,E305&lt;E$30,C$28,E305&lt;E$32,C$30,E305&lt;E$34,C$32,E305&gt;=E$34,C$34)</f>
        <v/>
      </c>
      <c r="D305" s="37">
        <f>_xlfn.IFS(E305&lt;E$24,0,E305&lt;E$25,D$24,E305&lt;E$26,D$25,E305&lt;E$27,D$26,E305&lt;E$28,D$27,E305&lt;E$29,D$28,E305&lt;E$30,D$29,E305&lt;E$31,D$30,E305&lt;E$32,D$31,E305&lt;E$33,D$32,E305&lt;E$34,D$33,E305&lt;E$35,D$34,E305&gt;=E$35,D$35)</f>
        <v/>
      </c>
      <c r="E305" s="38" t="n">
        <v>255</v>
      </c>
      <c r="F305" s="31">
        <f>E305/52</f>
        <v/>
      </c>
      <c r="G305" s="39">
        <f>D305/1000000*52</f>
        <v/>
      </c>
      <c r="H305" s="33">
        <f>G305/$P$4+($C$22/$P$4)</f>
        <v/>
      </c>
      <c r="I305" s="36">
        <f>_xlfn.IFS(K305&lt;K$24,0,K305&lt;K$26,I$24,K305&lt;K$28,I$26,K305&lt;K$30,I$28,K305&lt;K$32,I$30,K305&lt;K$34,I$32,K305&lt;K$36,I$34,K305&lt;K$38,I$36,K305&lt;K$40,I$38,K305&lt;K$42,I$40,K305&lt;K$44,I$42,K305&lt;K$46,I$44,K305&gt;=K$46,I$46)</f>
        <v/>
      </c>
      <c r="J305" s="37">
        <f>_xlfn.IFS(K305&lt;K$24,0,K305&lt;K$25,J$24,K305&lt;K$26,J$25,K305&lt;K$27,J$26,K305&lt;K$28,J$27,K305&lt;K$29,J$28,K305&lt;K$30,J$29,K305&lt;K$31,J$30,K305&lt;K$32,J$31,K305&lt;K$33,J$32,K305&lt;K$34,J$33,K305&lt;K$35,J$34,K305&lt;K$36,J$35,K305&lt;K$37,J$36,K305&lt;K$38,J$37,K305&lt;K$39,J$38,K305&lt;K$40,J$39,K305&lt;K$41,J$40,K305&lt;K$42,J$41,K305&lt;K$43,J$42,K305&lt;K$44,J$43,K305&lt;K$45,J$44,K305&lt;K$46,J$45,K305&lt;K$47,J$46,K305&gt;=K$47,J$47)</f>
        <v/>
      </c>
      <c r="K305" s="38" t="n">
        <v>255</v>
      </c>
      <c r="L305" s="31">
        <f>K305/52</f>
        <v/>
      </c>
      <c r="M305" s="39">
        <f>J305/1000000*52</f>
        <v/>
      </c>
      <c r="N305" s="33">
        <f>M305/$P$4+($I$22/$P$4)</f>
        <v/>
      </c>
      <c r="U305">
        <f>F304</f>
        <v/>
      </c>
      <c r="V305">
        <f>H304</f>
        <v/>
      </c>
      <c r="W305">
        <f>N304</f>
        <v/>
      </c>
    </row>
    <row r="306" ht="15.75" customHeight="1" s="40">
      <c r="C306" s="36">
        <f>_xlfn.IFS(E306&lt;E$24,0,E306&lt;E$26,C$24,E306&lt;E$28,C$26,E306&lt;E$30,C$28,E306&lt;E$32,C$30,E306&lt;E$34,C$32,E306&gt;=E$34,C$34)</f>
        <v/>
      </c>
      <c r="D306" s="37">
        <f>_xlfn.IFS(E306&lt;E$24,0,E306&lt;E$25,D$24,E306&lt;E$26,D$25,E306&lt;E$27,D$26,E306&lt;E$28,D$27,E306&lt;E$29,D$28,E306&lt;E$30,D$29,E306&lt;E$31,D$30,E306&lt;E$32,D$31,E306&lt;E$33,D$32,E306&lt;E$34,D$33,E306&lt;E$35,D$34,E306&gt;=E$35,D$35)</f>
        <v/>
      </c>
      <c r="E306" s="38" t="n">
        <v>256</v>
      </c>
      <c r="F306" s="31">
        <f>E306/52</f>
        <v/>
      </c>
      <c r="G306" s="39">
        <f>D306/1000000*52</f>
        <v/>
      </c>
      <c r="H306" s="33">
        <f>G306/$P$4+($C$22/$P$4)</f>
        <v/>
      </c>
      <c r="I306" s="36">
        <f>_xlfn.IFS(K306&lt;K$24,0,K306&lt;K$26,I$24,K306&lt;K$28,I$26,K306&lt;K$30,I$28,K306&lt;K$32,I$30,K306&lt;K$34,I$32,K306&lt;K$36,I$34,K306&lt;K$38,I$36,K306&lt;K$40,I$38,K306&lt;K$42,I$40,K306&lt;K$44,I$42,K306&lt;K$46,I$44,K306&gt;=K$46,I$46)</f>
        <v/>
      </c>
      <c r="J306" s="37">
        <f>_xlfn.IFS(K306&lt;K$24,0,K306&lt;K$25,J$24,K306&lt;K$26,J$25,K306&lt;K$27,J$26,K306&lt;K$28,J$27,K306&lt;K$29,J$28,K306&lt;K$30,J$29,K306&lt;K$31,J$30,K306&lt;K$32,J$31,K306&lt;K$33,J$32,K306&lt;K$34,J$33,K306&lt;K$35,J$34,K306&lt;K$36,J$35,K306&lt;K$37,J$36,K306&lt;K$38,J$37,K306&lt;K$39,J$38,K306&lt;K$40,J$39,K306&lt;K$41,J$40,K306&lt;K$42,J$41,K306&lt;K$43,J$42,K306&lt;K$44,J$43,K306&lt;K$45,J$44,K306&lt;K$46,J$45,K306&lt;K$47,J$46,K306&gt;=K$47,J$47)</f>
        <v/>
      </c>
      <c r="K306" s="38" t="n">
        <v>256</v>
      </c>
      <c r="L306" s="31">
        <f>K306/52</f>
        <v/>
      </c>
      <c r="M306" s="39">
        <f>J306/1000000*52</f>
        <v/>
      </c>
      <c r="N306" s="33">
        <f>M306/$P$4+($I$22/$P$4)</f>
        <v/>
      </c>
      <c r="U306">
        <f>F305</f>
        <v/>
      </c>
      <c r="V306">
        <f>H305</f>
        <v/>
      </c>
      <c r="W306">
        <f>N305</f>
        <v/>
      </c>
    </row>
    <row r="307" ht="15.75" customHeight="1" s="40">
      <c r="C307" s="36">
        <f>_xlfn.IFS(E307&lt;E$24,0,E307&lt;E$26,C$24,E307&lt;E$28,C$26,E307&lt;E$30,C$28,E307&lt;E$32,C$30,E307&lt;E$34,C$32,E307&gt;=E$34,C$34)</f>
        <v/>
      </c>
      <c r="D307" s="37">
        <f>_xlfn.IFS(E307&lt;E$24,0,E307&lt;E$25,D$24,E307&lt;E$26,D$25,E307&lt;E$27,D$26,E307&lt;E$28,D$27,E307&lt;E$29,D$28,E307&lt;E$30,D$29,E307&lt;E$31,D$30,E307&lt;E$32,D$31,E307&lt;E$33,D$32,E307&lt;E$34,D$33,E307&lt;E$35,D$34,E307&gt;=E$35,D$35)</f>
        <v/>
      </c>
      <c r="E307" s="38" t="n">
        <v>257</v>
      </c>
      <c r="F307" s="31">
        <f>E307/52</f>
        <v/>
      </c>
      <c r="G307" s="39">
        <f>D307/1000000*52</f>
        <v/>
      </c>
      <c r="H307" s="33">
        <f>G307/$P$4+($C$22/$P$4)</f>
        <v/>
      </c>
      <c r="I307" s="36">
        <f>_xlfn.IFS(K307&lt;K$24,0,K307&lt;K$26,I$24,K307&lt;K$28,I$26,K307&lt;K$30,I$28,K307&lt;K$32,I$30,K307&lt;K$34,I$32,K307&lt;K$36,I$34,K307&lt;K$38,I$36,K307&lt;K$40,I$38,K307&lt;K$42,I$40,K307&lt;K$44,I$42,K307&lt;K$46,I$44,K307&gt;=K$46,I$46)</f>
        <v/>
      </c>
      <c r="J307" s="37">
        <f>_xlfn.IFS(K307&lt;K$24,0,K307&lt;K$25,J$24,K307&lt;K$26,J$25,K307&lt;K$27,J$26,K307&lt;K$28,J$27,K307&lt;K$29,J$28,K307&lt;K$30,J$29,K307&lt;K$31,J$30,K307&lt;K$32,J$31,K307&lt;K$33,J$32,K307&lt;K$34,J$33,K307&lt;K$35,J$34,K307&lt;K$36,J$35,K307&lt;K$37,J$36,K307&lt;K$38,J$37,K307&lt;K$39,J$38,K307&lt;K$40,J$39,K307&lt;K$41,J$40,K307&lt;K$42,J$41,K307&lt;K$43,J$42,K307&lt;K$44,J$43,K307&lt;K$45,J$44,K307&lt;K$46,J$45,K307&lt;K$47,J$46,K307&gt;=K$47,J$47)</f>
        <v/>
      </c>
      <c r="K307" s="38" t="n">
        <v>257</v>
      </c>
      <c r="L307" s="31">
        <f>K307/52</f>
        <v/>
      </c>
      <c r="M307" s="39">
        <f>J307/1000000*52</f>
        <v/>
      </c>
      <c r="N307" s="33">
        <f>M307/$P$4+($I$22/$P$4)</f>
        <v/>
      </c>
      <c r="U307">
        <f>F306</f>
        <v/>
      </c>
      <c r="V307">
        <f>H306</f>
        <v/>
      </c>
      <c r="W307">
        <f>N306</f>
        <v/>
      </c>
    </row>
    <row r="308" ht="15.75" customHeight="1" s="40">
      <c r="C308" s="36">
        <f>_xlfn.IFS(E308&lt;E$24,0,E308&lt;E$26,C$24,E308&lt;E$28,C$26,E308&lt;E$30,C$28,E308&lt;E$32,C$30,E308&lt;E$34,C$32,E308&gt;=E$34,C$34)</f>
        <v/>
      </c>
      <c r="D308" s="37">
        <f>_xlfn.IFS(E308&lt;E$24,0,E308&lt;E$25,D$24,E308&lt;E$26,D$25,E308&lt;E$27,D$26,E308&lt;E$28,D$27,E308&lt;E$29,D$28,E308&lt;E$30,D$29,E308&lt;E$31,D$30,E308&lt;E$32,D$31,E308&lt;E$33,D$32,E308&lt;E$34,D$33,E308&lt;E$35,D$34,E308&gt;=E$35,D$35)</f>
        <v/>
      </c>
      <c r="E308" s="38" t="n">
        <v>258</v>
      </c>
      <c r="F308" s="31">
        <f>E308/52</f>
        <v/>
      </c>
      <c r="G308" s="39">
        <f>D308/1000000*52</f>
        <v/>
      </c>
      <c r="H308" s="33">
        <f>G308/$P$4+($C$22/$P$4)</f>
        <v/>
      </c>
      <c r="I308" s="36">
        <f>_xlfn.IFS(K308&lt;K$24,0,K308&lt;K$26,I$24,K308&lt;K$28,I$26,K308&lt;K$30,I$28,K308&lt;K$32,I$30,K308&lt;K$34,I$32,K308&lt;K$36,I$34,K308&lt;K$38,I$36,K308&lt;K$40,I$38,K308&lt;K$42,I$40,K308&lt;K$44,I$42,K308&lt;K$46,I$44,K308&gt;=K$46,I$46)</f>
        <v/>
      </c>
      <c r="J308" s="37">
        <f>_xlfn.IFS(K308&lt;K$24,0,K308&lt;K$25,J$24,K308&lt;K$26,J$25,K308&lt;K$27,J$26,K308&lt;K$28,J$27,K308&lt;K$29,J$28,K308&lt;K$30,J$29,K308&lt;K$31,J$30,K308&lt;K$32,J$31,K308&lt;K$33,J$32,K308&lt;K$34,J$33,K308&lt;K$35,J$34,K308&lt;K$36,J$35,K308&lt;K$37,J$36,K308&lt;K$38,J$37,K308&lt;K$39,J$38,K308&lt;K$40,J$39,K308&lt;K$41,J$40,K308&lt;K$42,J$41,K308&lt;K$43,J$42,K308&lt;K$44,J$43,K308&lt;K$45,J$44,K308&lt;K$46,J$45,K308&lt;K$47,J$46,K308&gt;=K$47,J$47)</f>
        <v/>
      </c>
      <c r="K308" s="38" t="n">
        <v>258</v>
      </c>
      <c r="L308" s="31">
        <f>K308/52</f>
        <v/>
      </c>
      <c r="M308" s="39">
        <f>J308/1000000*52</f>
        <v/>
      </c>
      <c r="N308" s="33">
        <f>M308/$P$4+($I$22/$P$4)</f>
        <v/>
      </c>
      <c r="U308">
        <f>F307</f>
        <v/>
      </c>
      <c r="V308">
        <f>H307</f>
        <v/>
      </c>
      <c r="W308">
        <f>N307</f>
        <v/>
      </c>
    </row>
    <row r="309" ht="15.75" customHeight="1" s="40">
      <c r="C309" s="36">
        <f>_xlfn.IFS(E309&lt;E$24,0,E309&lt;E$26,C$24,E309&lt;E$28,C$26,E309&lt;E$30,C$28,E309&lt;E$32,C$30,E309&lt;E$34,C$32,E309&gt;=E$34,C$34)</f>
        <v/>
      </c>
      <c r="D309" s="37">
        <f>_xlfn.IFS(E309&lt;E$24,0,E309&lt;E$25,D$24,E309&lt;E$26,D$25,E309&lt;E$27,D$26,E309&lt;E$28,D$27,E309&lt;E$29,D$28,E309&lt;E$30,D$29,E309&lt;E$31,D$30,E309&lt;E$32,D$31,E309&lt;E$33,D$32,E309&lt;E$34,D$33,E309&lt;E$35,D$34,E309&gt;=E$35,D$35)</f>
        <v/>
      </c>
      <c r="E309" s="38" t="n">
        <v>259</v>
      </c>
      <c r="F309" s="31">
        <f>E309/52</f>
        <v/>
      </c>
      <c r="G309" s="39">
        <f>D309/1000000*52</f>
        <v/>
      </c>
      <c r="H309" s="33">
        <f>G309/$P$4+($C$22/$P$4)</f>
        <v/>
      </c>
      <c r="I309" s="36">
        <f>_xlfn.IFS(K309&lt;K$24,0,K309&lt;K$26,I$24,K309&lt;K$28,I$26,K309&lt;K$30,I$28,K309&lt;K$32,I$30,K309&lt;K$34,I$32,K309&lt;K$36,I$34,K309&lt;K$38,I$36,K309&lt;K$40,I$38,K309&lt;K$42,I$40,K309&lt;K$44,I$42,K309&lt;K$46,I$44,K309&gt;=K$46,I$46)</f>
        <v/>
      </c>
      <c r="J309" s="37">
        <f>_xlfn.IFS(K309&lt;K$24,0,K309&lt;K$25,J$24,K309&lt;K$26,J$25,K309&lt;K$27,J$26,K309&lt;K$28,J$27,K309&lt;K$29,J$28,K309&lt;K$30,J$29,K309&lt;K$31,J$30,K309&lt;K$32,J$31,K309&lt;K$33,J$32,K309&lt;K$34,J$33,K309&lt;K$35,J$34,K309&lt;K$36,J$35,K309&lt;K$37,J$36,K309&lt;K$38,J$37,K309&lt;K$39,J$38,K309&lt;K$40,J$39,K309&lt;K$41,J$40,K309&lt;K$42,J$41,K309&lt;K$43,J$42,K309&lt;K$44,J$43,K309&lt;K$45,J$44,K309&lt;K$46,J$45,K309&lt;K$47,J$46,K309&gt;=K$47,J$47)</f>
        <v/>
      </c>
      <c r="K309" s="38" t="n">
        <v>259</v>
      </c>
      <c r="L309" s="31">
        <f>K309/52</f>
        <v/>
      </c>
      <c r="M309" s="39">
        <f>J309/1000000*52</f>
        <v/>
      </c>
      <c r="N309" s="33">
        <f>M309/$P$4+($I$22/$P$4)</f>
        <v/>
      </c>
      <c r="U309">
        <f>F308</f>
        <v/>
      </c>
      <c r="V309">
        <f>H308</f>
        <v/>
      </c>
      <c r="W309">
        <f>N308</f>
        <v/>
      </c>
    </row>
    <row r="310" ht="15.75" customHeight="1" s="40">
      <c r="C310" s="36">
        <f>_xlfn.IFS(E310&lt;E$24,0,E310&lt;E$26,C$24,E310&lt;E$28,C$26,E310&lt;E$30,C$28,E310&lt;E$32,C$30,E310&lt;E$34,C$32,E310&gt;=E$34,C$34)</f>
        <v/>
      </c>
      <c r="D310" s="37">
        <f>_xlfn.IFS(E310&lt;E$24,0,E310&lt;E$25,D$24,E310&lt;E$26,D$25,E310&lt;E$27,D$26,E310&lt;E$28,D$27,E310&lt;E$29,D$28,E310&lt;E$30,D$29,E310&lt;E$31,D$30,E310&lt;E$32,D$31,E310&lt;E$33,D$32,E310&lt;E$34,D$33,E310&lt;E$35,D$34,E310&gt;=E$35,D$35)</f>
        <v/>
      </c>
      <c r="E310" s="38" t="n">
        <v>260</v>
      </c>
      <c r="F310" s="31">
        <f>E310/52</f>
        <v/>
      </c>
      <c r="G310" s="39">
        <f>D310/1000000*52</f>
        <v/>
      </c>
      <c r="H310" s="33">
        <f>G310/$P$4+($C$22/$P$4)</f>
        <v/>
      </c>
      <c r="I310" s="36">
        <f>_xlfn.IFS(K310&lt;K$24,0,K310&lt;K$26,I$24,K310&lt;K$28,I$26,K310&lt;K$30,I$28,K310&lt;K$32,I$30,K310&lt;K$34,I$32,K310&lt;K$36,I$34,K310&lt;K$38,I$36,K310&lt;K$40,I$38,K310&lt;K$42,I$40,K310&lt;K$44,I$42,K310&lt;K$46,I$44,K310&gt;=K$46,I$46)</f>
        <v/>
      </c>
      <c r="J310" s="37">
        <f>_xlfn.IFS(K310&lt;K$24,0,K310&lt;K$25,J$24,K310&lt;K$26,J$25,K310&lt;K$27,J$26,K310&lt;K$28,J$27,K310&lt;K$29,J$28,K310&lt;K$30,J$29,K310&lt;K$31,J$30,K310&lt;K$32,J$31,K310&lt;K$33,J$32,K310&lt;K$34,J$33,K310&lt;K$35,J$34,K310&lt;K$36,J$35,K310&lt;K$37,J$36,K310&lt;K$38,J$37,K310&lt;K$39,J$38,K310&lt;K$40,J$39,K310&lt;K$41,J$40,K310&lt;K$42,J$41,K310&lt;K$43,J$42,K310&lt;K$44,J$43,K310&lt;K$45,J$44,K310&lt;K$46,J$45,K310&lt;K$47,J$46,K310&gt;=K$47,J$47)</f>
        <v/>
      </c>
      <c r="K310" s="38" t="n">
        <v>260</v>
      </c>
      <c r="L310" s="31">
        <f>K310/52</f>
        <v/>
      </c>
      <c r="M310" s="39">
        <f>J310/1000000*52</f>
        <v/>
      </c>
      <c r="N310" s="33">
        <f>M310/$P$4+($I$22/$P$4)</f>
        <v/>
      </c>
      <c r="U310">
        <f>F309</f>
        <v/>
      </c>
      <c r="V310">
        <f>H309</f>
        <v/>
      </c>
      <c r="W310">
        <f>N309</f>
        <v/>
      </c>
    </row>
    <row r="311" ht="15.75" customHeight="1" s="40">
      <c r="C311" s="36">
        <f>_xlfn.IFS(E311&lt;E$24,0,E311&lt;E$26,C$24,E311&lt;E$28,C$26,E311&lt;E$30,C$28,E311&lt;E$32,C$30,E311&lt;E$34,C$32,E311&gt;=E$34,C$34)</f>
        <v/>
      </c>
      <c r="D311" s="37">
        <f>_xlfn.IFS(E311&lt;E$24,0,E311&lt;E$25,D$24,E311&lt;E$26,D$25,E311&lt;E$27,D$26,E311&lt;E$28,D$27,E311&lt;E$29,D$28,E311&lt;E$30,D$29,E311&lt;E$31,D$30,E311&lt;E$32,D$31,E311&lt;E$33,D$32,E311&lt;E$34,D$33,E311&lt;E$35,D$34,E311&gt;=E$35,D$35)</f>
        <v/>
      </c>
      <c r="E311" s="38" t="n">
        <v>261</v>
      </c>
      <c r="F311" s="31">
        <f>E311/52</f>
        <v/>
      </c>
      <c r="G311" s="39">
        <f>D311/1000000*52</f>
        <v/>
      </c>
      <c r="H311" s="33">
        <f>G311/$P$4+($C$22/$P$4)</f>
        <v/>
      </c>
      <c r="I311" s="36">
        <f>_xlfn.IFS(K311&lt;K$24,0,K311&lt;K$26,I$24,K311&lt;K$28,I$26,K311&lt;K$30,I$28,K311&lt;K$32,I$30,K311&lt;K$34,I$32,K311&lt;K$36,I$34,K311&lt;K$38,I$36,K311&lt;K$40,I$38,K311&lt;K$42,I$40,K311&lt;K$44,I$42,K311&lt;K$46,I$44,K311&gt;=K$46,I$46)</f>
        <v/>
      </c>
      <c r="J311" s="37">
        <f>_xlfn.IFS(K311&lt;K$24,0,K311&lt;K$25,J$24,K311&lt;K$26,J$25,K311&lt;K$27,J$26,K311&lt;K$28,J$27,K311&lt;K$29,J$28,K311&lt;K$30,J$29,K311&lt;K$31,J$30,K311&lt;K$32,J$31,K311&lt;K$33,J$32,K311&lt;K$34,J$33,K311&lt;K$35,J$34,K311&lt;K$36,J$35,K311&lt;K$37,J$36,K311&lt;K$38,J$37,K311&lt;K$39,J$38,K311&lt;K$40,J$39,K311&lt;K$41,J$40,K311&lt;K$42,J$41,K311&lt;K$43,J$42,K311&lt;K$44,J$43,K311&lt;K$45,J$44,K311&lt;K$46,J$45,K311&lt;K$47,J$46,K311&gt;=K$47,J$47)</f>
        <v/>
      </c>
      <c r="K311" s="38" t="n">
        <v>261</v>
      </c>
      <c r="L311" s="31">
        <f>K311/52</f>
        <v/>
      </c>
      <c r="M311" s="39">
        <f>J311/1000000*52</f>
        <v/>
      </c>
      <c r="N311" s="33">
        <f>M311/$P$4+($I$22/$P$4)</f>
        <v/>
      </c>
      <c r="U311">
        <f>F310</f>
        <v/>
      </c>
      <c r="V311">
        <f>H310</f>
        <v/>
      </c>
      <c r="W311">
        <f>N310</f>
        <v/>
      </c>
    </row>
    <row r="312" ht="15.75" customHeight="1" s="40">
      <c r="C312" s="36">
        <f>_xlfn.IFS(E312&lt;E$24,0,E312&lt;E$26,C$24,E312&lt;E$28,C$26,E312&lt;E$30,C$28,E312&lt;E$32,C$30,E312&lt;E$34,C$32,E312&gt;=E$34,C$34)</f>
        <v/>
      </c>
      <c r="D312" s="37">
        <f>_xlfn.IFS(E312&lt;E$24,0,E312&lt;E$25,D$24,E312&lt;E$26,D$25,E312&lt;E$27,D$26,E312&lt;E$28,D$27,E312&lt;E$29,D$28,E312&lt;E$30,D$29,E312&lt;E$31,D$30,E312&lt;E$32,D$31,E312&lt;E$33,D$32,E312&lt;E$34,D$33,E312&lt;E$35,D$34,E312&gt;=E$35,D$35)</f>
        <v/>
      </c>
      <c r="E312" s="38" t="n">
        <v>262</v>
      </c>
      <c r="F312" s="31">
        <f>E312/52</f>
        <v/>
      </c>
      <c r="G312" s="39">
        <f>D312/1000000*52</f>
        <v/>
      </c>
      <c r="H312" s="33">
        <f>G312/$P$4+($C$22/$P$4)</f>
        <v/>
      </c>
      <c r="I312" s="36">
        <f>_xlfn.IFS(K312&lt;K$24,0,K312&lt;K$26,I$24,K312&lt;K$28,I$26,K312&lt;K$30,I$28,K312&lt;K$32,I$30,K312&lt;K$34,I$32,K312&lt;K$36,I$34,K312&lt;K$38,I$36,K312&lt;K$40,I$38,K312&lt;K$42,I$40,K312&lt;K$44,I$42,K312&lt;K$46,I$44,K312&gt;=K$46,I$46)</f>
        <v/>
      </c>
      <c r="J312" s="37">
        <f>_xlfn.IFS(K312&lt;K$24,0,K312&lt;K$25,J$24,K312&lt;K$26,J$25,K312&lt;K$27,J$26,K312&lt;K$28,J$27,K312&lt;K$29,J$28,K312&lt;K$30,J$29,K312&lt;K$31,J$30,K312&lt;K$32,J$31,K312&lt;K$33,J$32,K312&lt;K$34,J$33,K312&lt;K$35,J$34,K312&lt;K$36,J$35,K312&lt;K$37,J$36,K312&lt;K$38,J$37,K312&lt;K$39,J$38,K312&lt;K$40,J$39,K312&lt;K$41,J$40,K312&lt;K$42,J$41,K312&lt;K$43,J$42,K312&lt;K$44,J$43,K312&lt;K$45,J$44,K312&lt;K$46,J$45,K312&lt;K$47,J$46,K312&gt;=K$47,J$47)</f>
        <v/>
      </c>
      <c r="K312" s="38" t="n">
        <v>262</v>
      </c>
      <c r="L312" s="31">
        <f>K312/52</f>
        <v/>
      </c>
      <c r="M312" s="39">
        <f>J312/1000000*52</f>
        <v/>
      </c>
      <c r="N312" s="33">
        <f>M312/$P$4+($I$22/$P$4)</f>
        <v/>
      </c>
      <c r="U312">
        <f>F311</f>
        <v/>
      </c>
      <c r="V312">
        <f>H311</f>
        <v/>
      </c>
      <c r="W312">
        <f>N311</f>
        <v/>
      </c>
    </row>
    <row r="313" ht="15.75" customHeight="1" s="40">
      <c r="C313" s="36">
        <f>_xlfn.IFS(E313&lt;E$24,0,E313&lt;E$26,C$24,E313&lt;E$28,C$26,E313&lt;E$30,C$28,E313&lt;E$32,C$30,E313&lt;E$34,C$32,E313&gt;=E$34,C$34)</f>
        <v/>
      </c>
      <c r="D313" s="37">
        <f>_xlfn.IFS(E313&lt;E$24,0,E313&lt;E$25,D$24,E313&lt;E$26,D$25,E313&lt;E$27,D$26,E313&lt;E$28,D$27,E313&lt;E$29,D$28,E313&lt;E$30,D$29,E313&lt;E$31,D$30,E313&lt;E$32,D$31,E313&lt;E$33,D$32,E313&lt;E$34,D$33,E313&lt;E$35,D$34,E313&gt;=E$35,D$35)</f>
        <v/>
      </c>
      <c r="E313" s="38" t="n">
        <v>263</v>
      </c>
      <c r="F313" s="31">
        <f>E313/52</f>
        <v/>
      </c>
      <c r="G313" s="39">
        <f>D313/1000000*52</f>
        <v/>
      </c>
      <c r="H313" s="33">
        <f>G313/$P$4+($C$22/$P$4)</f>
        <v/>
      </c>
      <c r="I313" s="36">
        <f>_xlfn.IFS(K313&lt;K$24,0,K313&lt;K$26,I$24,K313&lt;K$28,I$26,K313&lt;K$30,I$28,K313&lt;K$32,I$30,K313&lt;K$34,I$32,K313&lt;K$36,I$34,K313&lt;K$38,I$36,K313&lt;K$40,I$38,K313&lt;K$42,I$40,K313&lt;K$44,I$42,K313&lt;K$46,I$44,K313&gt;=K$46,I$46)</f>
        <v/>
      </c>
      <c r="J313" s="37">
        <f>_xlfn.IFS(K313&lt;K$24,0,K313&lt;K$25,J$24,K313&lt;K$26,J$25,K313&lt;K$27,J$26,K313&lt;K$28,J$27,K313&lt;K$29,J$28,K313&lt;K$30,J$29,K313&lt;K$31,J$30,K313&lt;K$32,J$31,K313&lt;K$33,J$32,K313&lt;K$34,J$33,K313&lt;K$35,J$34,K313&lt;K$36,J$35,K313&lt;K$37,J$36,K313&lt;K$38,J$37,K313&lt;K$39,J$38,K313&lt;K$40,J$39,K313&lt;K$41,J$40,K313&lt;K$42,J$41,K313&lt;K$43,J$42,K313&lt;K$44,J$43,K313&lt;K$45,J$44,K313&lt;K$46,J$45,K313&lt;K$47,J$46,K313&gt;=K$47,J$47)</f>
        <v/>
      </c>
      <c r="K313" s="38" t="n">
        <v>263</v>
      </c>
      <c r="L313" s="31">
        <f>K313/52</f>
        <v/>
      </c>
      <c r="M313" s="39">
        <f>J313/1000000*52</f>
        <v/>
      </c>
      <c r="N313" s="33">
        <f>M313/$P$4+($I$22/$P$4)</f>
        <v/>
      </c>
      <c r="U313">
        <f>F312</f>
        <v/>
      </c>
      <c r="V313">
        <f>H312</f>
        <v/>
      </c>
      <c r="W313">
        <f>N312</f>
        <v/>
      </c>
    </row>
    <row r="314" ht="15.75" customHeight="1" s="40">
      <c r="C314" s="36">
        <f>_xlfn.IFS(E314&lt;E$24,0,E314&lt;E$26,C$24,E314&lt;E$28,C$26,E314&lt;E$30,C$28,E314&lt;E$32,C$30,E314&lt;E$34,C$32,E314&gt;=E$34,C$34)</f>
        <v/>
      </c>
      <c r="D314" s="37">
        <f>_xlfn.IFS(E314&lt;E$24,0,E314&lt;E$25,D$24,E314&lt;E$26,D$25,E314&lt;E$27,D$26,E314&lt;E$28,D$27,E314&lt;E$29,D$28,E314&lt;E$30,D$29,E314&lt;E$31,D$30,E314&lt;E$32,D$31,E314&lt;E$33,D$32,E314&lt;E$34,D$33,E314&lt;E$35,D$34,E314&gt;=E$35,D$35)</f>
        <v/>
      </c>
      <c r="E314" s="38" t="n">
        <v>264</v>
      </c>
      <c r="F314" s="31">
        <f>E314/52</f>
        <v/>
      </c>
      <c r="G314" s="39">
        <f>D314/1000000*52</f>
        <v/>
      </c>
      <c r="H314" s="33">
        <f>G314/$P$4+($C$22/$P$4)</f>
        <v/>
      </c>
      <c r="I314" s="36">
        <f>_xlfn.IFS(K314&lt;K$24,0,K314&lt;K$26,I$24,K314&lt;K$28,I$26,K314&lt;K$30,I$28,K314&lt;K$32,I$30,K314&lt;K$34,I$32,K314&lt;K$36,I$34,K314&lt;K$38,I$36,K314&lt;K$40,I$38,K314&lt;K$42,I$40,K314&lt;K$44,I$42,K314&lt;K$46,I$44,K314&gt;=K$46,I$46)</f>
        <v/>
      </c>
      <c r="J314" s="37">
        <f>_xlfn.IFS(K314&lt;K$24,0,K314&lt;K$25,J$24,K314&lt;K$26,J$25,K314&lt;K$27,J$26,K314&lt;K$28,J$27,K314&lt;K$29,J$28,K314&lt;K$30,J$29,K314&lt;K$31,J$30,K314&lt;K$32,J$31,K314&lt;K$33,J$32,K314&lt;K$34,J$33,K314&lt;K$35,J$34,K314&lt;K$36,J$35,K314&lt;K$37,J$36,K314&lt;K$38,J$37,K314&lt;K$39,J$38,K314&lt;K$40,J$39,K314&lt;K$41,J$40,K314&lt;K$42,J$41,K314&lt;K$43,J$42,K314&lt;K$44,J$43,K314&lt;K$45,J$44,K314&lt;K$46,J$45,K314&lt;K$47,J$46,K314&gt;=K$47,J$47)</f>
        <v/>
      </c>
      <c r="K314" s="38" t="n">
        <v>264</v>
      </c>
      <c r="L314" s="31">
        <f>K314/52</f>
        <v/>
      </c>
      <c r="M314" s="39">
        <f>J314/1000000*52</f>
        <v/>
      </c>
      <c r="N314" s="33">
        <f>M314/$P$4+($I$22/$P$4)</f>
        <v/>
      </c>
      <c r="U314">
        <f>F313</f>
        <v/>
      </c>
      <c r="V314">
        <f>H313</f>
        <v/>
      </c>
      <c r="W314">
        <f>N313</f>
        <v/>
      </c>
    </row>
    <row r="315" ht="15.75" customHeight="1" s="40">
      <c r="C315" s="36">
        <f>_xlfn.IFS(E315&lt;E$24,0,E315&lt;E$26,C$24,E315&lt;E$28,C$26,E315&lt;E$30,C$28,E315&lt;E$32,C$30,E315&lt;E$34,C$32,E315&gt;=E$34,C$34)</f>
        <v/>
      </c>
      <c r="D315" s="37">
        <f>_xlfn.IFS(E315&lt;E$24,0,E315&lt;E$25,D$24,E315&lt;E$26,D$25,E315&lt;E$27,D$26,E315&lt;E$28,D$27,E315&lt;E$29,D$28,E315&lt;E$30,D$29,E315&lt;E$31,D$30,E315&lt;E$32,D$31,E315&lt;E$33,D$32,E315&lt;E$34,D$33,E315&lt;E$35,D$34,E315&gt;=E$35,D$35)</f>
        <v/>
      </c>
      <c r="E315" s="38" t="n">
        <v>265</v>
      </c>
      <c r="F315" s="31">
        <f>E315/52</f>
        <v/>
      </c>
      <c r="G315" s="39">
        <f>D315/1000000*52</f>
        <v/>
      </c>
      <c r="H315" s="33">
        <f>G315/$P$4+($C$22/$P$4)</f>
        <v/>
      </c>
      <c r="I315" s="36">
        <f>_xlfn.IFS(K315&lt;K$24,0,K315&lt;K$26,I$24,K315&lt;K$28,I$26,K315&lt;K$30,I$28,K315&lt;K$32,I$30,K315&lt;K$34,I$32,K315&lt;K$36,I$34,K315&lt;K$38,I$36,K315&lt;K$40,I$38,K315&lt;K$42,I$40,K315&lt;K$44,I$42,K315&lt;K$46,I$44,K315&gt;=K$46,I$46)</f>
        <v/>
      </c>
      <c r="J315" s="37">
        <f>_xlfn.IFS(K315&lt;K$24,0,K315&lt;K$25,J$24,K315&lt;K$26,J$25,K315&lt;K$27,J$26,K315&lt;K$28,J$27,K315&lt;K$29,J$28,K315&lt;K$30,J$29,K315&lt;K$31,J$30,K315&lt;K$32,J$31,K315&lt;K$33,J$32,K315&lt;K$34,J$33,K315&lt;K$35,J$34,K315&lt;K$36,J$35,K315&lt;K$37,J$36,K315&lt;K$38,J$37,K315&lt;K$39,J$38,K315&lt;K$40,J$39,K315&lt;K$41,J$40,K315&lt;K$42,J$41,K315&lt;K$43,J$42,K315&lt;K$44,J$43,K315&lt;K$45,J$44,K315&lt;K$46,J$45,K315&lt;K$47,J$46,K315&gt;=K$47,J$47)</f>
        <v/>
      </c>
      <c r="K315" s="38" t="n">
        <v>265</v>
      </c>
      <c r="L315" s="31">
        <f>K315/52</f>
        <v/>
      </c>
      <c r="M315" s="39">
        <f>J315/1000000*52</f>
        <v/>
      </c>
      <c r="N315" s="33">
        <f>M315/$P$4+($I$22/$P$4)</f>
        <v/>
      </c>
      <c r="U315">
        <f>F314</f>
        <v/>
      </c>
      <c r="V315">
        <f>H314</f>
        <v/>
      </c>
      <c r="W315">
        <f>N314</f>
        <v/>
      </c>
    </row>
    <row r="316" ht="15.75" customHeight="1" s="40">
      <c r="C316" s="36">
        <f>_xlfn.IFS(E316&lt;E$24,0,E316&lt;E$26,C$24,E316&lt;E$28,C$26,E316&lt;E$30,C$28,E316&lt;E$32,C$30,E316&lt;E$34,C$32,E316&gt;=E$34,C$34)</f>
        <v/>
      </c>
      <c r="D316" s="37">
        <f>_xlfn.IFS(E316&lt;E$24,0,E316&lt;E$25,D$24,E316&lt;E$26,D$25,E316&lt;E$27,D$26,E316&lt;E$28,D$27,E316&lt;E$29,D$28,E316&lt;E$30,D$29,E316&lt;E$31,D$30,E316&lt;E$32,D$31,E316&lt;E$33,D$32,E316&lt;E$34,D$33,E316&lt;E$35,D$34,E316&gt;=E$35,D$35)</f>
        <v/>
      </c>
      <c r="E316" s="38" t="n">
        <v>266</v>
      </c>
      <c r="F316" s="31">
        <f>E316/52</f>
        <v/>
      </c>
      <c r="G316" s="39">
        <f>D316/1000000*52</f>
        <v/>
      </c>
      <c r="H316" s="33">
        <f>G316/$P$4+($C$22/$P$4)</f>
        <v/>
      </c>
      <c r="I316" s="36">
        <f>_xlfn.IFS(K316&lt;K$24,0,K316&lt;K$26,I$24,K316&lt;K$28,I$26,K316&lt;K$30,I$28,K316&lt;K$32,I$30,K316&lt;K$34,I$32,K316&lt;K$36,I$34,K316&lt;K$38,I$36,K316&lt;K$40,I$38,K316&lt;K$42,I$40,K316&lt;K$44,I$42,K316&lt;K$46,I$44,K316&gt;=K$46,I$46)</f>
        <v/>
      </c>
      <c r="J316" s="37">
        <f>_xlfn.IFS(K316&lt;K$24,0,K316&lt;K$25,J$24,K316&lt;K$26,J$25,K316&lt;K$27,J$26,K316&lt;K$28,J$27,K316&lt;K$29,J$28,K316&lt;K$30,J$29,K316&lt;K$31,J$30,K316&lt;K$32,J$31,K316&lt;K$33,J$32,K316&lt;K$34,J$33,K316&lt;K$35,J$34,K316&lt;K$36,J$35,K316&lt;K$37,J$36,K316&lt;K$38,J$37,K316&lt;K$39,J$38,K316&lt;K$40,J$39,K316&lt;K$41,J$40,K316&lt;K$42,J$41,K316&lt;K$43,J$42,K316&lt;K$44,J$43,K316&lt;K$45,J$44,K316&lt;K$46,J$45,K316&lt;K$47,J$46,K316&gt;=K$47,J$47)</f>
        <v/>
      </c>
      <c r="K316" s="38" t="n">
        <v>266</v>
      </c>
      <c r="L316" s="31">
        <f>K316/52</f>
        <v/>
      </c>
      <c r="M316" s="39">
        <f>J316/1000000*52</f>
        <v/>
      </c>
      <c r="N316" s="33">
        <f>M316/$P$4+($I$22/$P$4)</f>
        <v/>
      </c>
      <c r="U316">
        <f>F315</f>
        <v/>
      </c>
      <c r="V316">
        <f>H315</f>
        <v/>
      </c>
      <c r="W316">
        <f>N315</f>
        <v/>
      </c>
    </row>
    <row r="317" ht="15.75" customHeight="1" s="40">
      <c r="C317" s="36">
        <f>_xlfn.IFS(E317&lt;E$24,0,E317&lt;E$26,C$24,E317&lt;E$28,C$26,E317&lt;E$30,C$28,E317&lt;E$32,C$30,E317&lt;E$34,C$32,E317&gt;=E$34,C$34)</f>
        <v/>
      </c>
      <c r="D317" s="37">
        <f>_xlfn.IFS(E317&lt;E$24,0,E317&lt;E$25,D$24,E317&lt;E$26,D$25,E317&lt;E$27,D$26,E317&lt;E$28,D$27,E317&lt;E$29,D$28,E317&lt;E$30,D$29,E317&lt;E$31,D$30,E317&lt;E$32,D$31,E317&lt;E$33,D$32,E317&lt;E$34,D$33,E317&lt;E$35,D$34,E317&gt;=E$35,D$35)</f>
        <v/>
      </c>
      <c r="E317" s="38" t="n">
        <v>267</v>
      </c>
      <c r="F317" s="31">
        <f>E317/52</f>
        <v/>
      </c>
      <c r="G317" s="39">
        <f>D317/1000000*52</f>
        <v/>
      </c>
      <c r="H317" s="33">
        <f>G317/$P$4+($C$22/$P$4)</f>
        <v/>
      </c>
      <c r="I317" s="36">
        <f>_xlfn.IFS(K317&lt;K$24,0,K317&lt;K$26,I$24,K317&lt;K$28,I$26,K317&lt;K$30,I$28,K317&lt;K$32,I$30,K317&lt;K$34,I$32,K317&lt;K$36,I$34,K317&lt;K$38,I$36,K317&lt;K$40,I$38,K317&lt;K$42,I$40,K317&lt;K$44,I$42,K317&lt;K$46,I$44,K317&gt;=K$46,I$46)</f>
        <v/>
      </c>
      <c r="J317" s="37">
        <f>_xlfn.IFS(K317&lt;K$24,0,K317&lt;K$25,J$24,K317&lt;K$26,J$25,K317&lt;K$27,J$26,K317&lt;K$28,J$27,K317&lt;K$29,J$28,K317&lt;K$30,J$29,K317&lt;K$31,J$30,K317&lt;K$32,J$31,K317&lt;K$33,J$32,K317&lt;K$34,J$33,K317&lt;K$35,J$34,K317&lt;K$36,J$35,K317&lt;K$37,J$36,K317&lt;K$38,J$37,K317&lt;K$39,J$38,K317&lt;K$40,J$39,K317&lt;K$41,J$40,K317&lt;K$42,J$41,K317&lt;K$43,J$42,K317&lt;K$44,J$43,K317&lt;K$45,J$44,K317&lt;K$46,J$45,K317&lt;K$47,J$46,K317&gt;=K$47,J$47)</f>
        <v/>
      </c>
      <c r="K317" s="38" t="n">
        <v>267</v>
      </c>
      <c r="L317" s="31">
        <f>K317/52</f>
        <v/>
      </c>
      <c r="M317" s="39">
        <f>J317/1000000*52</f>
        <v/>
      </c>
      <c r="N317" s="33">
        <f>M317/$P$4+($I$22/$P$4)</f>
        <v/>
      </c>
      <c r="U317">
        <f>F316</f>
        <v/>
      </c>
      <c r="V317">
        <f>H316</f>
        <v/>
      </c>
      <c r="W317">
        <f>N316</f>
        <v/>
      </c>
    </row>
    <row r="318" ht="15.75" customHeight="1" s="40">
      <c r="C318" s="36">
        <f>_xlfn.IFS(E318&lt;E$24,0,E318&lt;E$26,C$24,E318&lt;E$28,C$26,E318&lt;E$30,C$28,E318&lt;E$32,C$30,E318&lt;E$34,C$32,E318&gt;=E$34,C$34)</f>
        <v/>
      </c>
      <c r="D318" s="37">
        <f>_xlfn.IFS(E318&lt;E$24,0,E318&lt;E$25,D$24,E318&lt;E$26,D$25,E318&lt;E$27,D$26,E318&lt;E$28,D$27,E318&lt;E$29,D$28,E318&lt;E$30,D$29,E318&lt;E$31,D$30,E318&lt;E$32,D$31,E318&lt;E$33,D$32,E318&lt;E$34,D$33,E318&lt;E$35,D$34,E318&gt;=E$35,D$35)</f>
        <v/>
      </c>
      <c r="E318" s="38" t="n">
        <v>268</v>
      </c>
      <c r="F318" s="31">
        <f>E318/52</f>
        <v/>
      </c>
      <c r="G318" s="39">
        <f>D318/1000000*52</f>
        <v/>
      </c>
      <c r="H318" s="33">
        <f>G318/$P$4+($C$22/$P$4)</f>
        <v/>
      </c>
      <c r="I318" s="36">
        <f>_xlfn.IFS(K318&lt;K$24,0,K318&lt;K$26,I$24,K318&lt;K$28,I$26,K318&lt;K$30,I$28,K318&lt;K$32,I$30,K318&lt;K$34,I$32,K318&lt;K$36,I$34,K318&lt;K$38,I$36,K318&lt;K$40,I$38,K318&lt;K$42,I$40,K318&lt;K$44,I$42,K318&lt;K$46,I$44,K318&gt;=K$46,I$46)</f>
        <v/>
      </c>
      <c r="J318" s="37">
        <f>_xlfn.IFS(K318&lt;K$24,0,K318&lt;K$25,J$24,K318&lt;K$26,J$25,K318&lt;K$27,J$26,K318&lt;K$28,J$27,K318&lt;K$29,J$28,K318&lt;K$30,J$29,K318&lt;K$31,J$30,K318&lt;K$32,J$31,K318&lt;K$33,J$32,K318&lt;K$34,J$33,K318&lt;K$35,J$34,K318&lt;K$36,J$35,K318&lt;K$37,J$36,K318&lt;K$38,J$37,K318&lt;K$39,J$38,K318&lt;K$40,J$39,K318&lt;K$41,J$40,K318&lt;K$42,J$41,K318&lt;K$43,J$42,K318&lt;K$44,J$43,K318&lt;K$45,J$44,K318&lt;K$46,J$45,K318&lt;K$47,J$46,K318&gt;=K$47,J$47)</f>
        <v/>
      </c>
      <c r="K318" s="38" t="n">
        <v>268</v>
      </c>
      <c r="L318" s="31">
        <f>K318/52</f>
        <v/>
      </c>
      <c r="M318" s="39">
        <f>J318/1000000*52</f>
        <v/>
      </c>
      <c r="N318" s="33">
        <f>M318/$P$4+($I$22/$P$4)</f>
        <v/>
      </c>
      <c r="U318">
        <f>F317</f>
        <v/>
      </c>
      <c r="V318">
        <f>H317</f>
        <v/>
      </c>
      <c r="W318">
        <f>N317</f>
        <v/>
      </c>
    </row>
    <row r="319" ht="15.75" customHeight="1" s="40">
      <c r="C319" s="36">
        <f>_xlfn.IFS(E319&lt;E$24,0,E319&lt;E$26,C$24,E319&lt;E$28,C$26,E319&lt;E$30,C$28,E319&lt;E$32,C$30,E319&lt;E$34,C$32,E319&gt;=E$34,C$34)</f>
        <v/>
      </c>
      <c r="D319" s="37">
        <f>_xlfn.IFS(E319&lt;E$24,0,E319&lt;E$25,D$24,E319&lt;E$26,D$25,E319&lt;E$27,D$26,E319&lt;E$28,D$27,E319&lt;E$29,D$28,E319&lt;E$30,D$29,E319&lt;E$31,D$30,E319&lt;E$32,D$31,E319&lt;E$33,D$32,E319&lt;E$34,D$33,E319&lt;E$35,D$34,E319&gt;=E$35,D$35)</f>
        <v/>
      </c>
      <c r="E319" s="38" t="n">
        <v>269</v>
      </c>
      <c r="F319" s="31">
        <f>E319/52</f>
        <v/>
      </c>
      <c r="G319" s="39">
        <f>D319/1000000*52</f>
        <v/>
      </c>
      <c r="H319" s="33">
        <f>G319/$P$4+($C$22/$P$4)</f>
        <v/>
      </c>
      <c r="I319" s="36">
        <f>_xlfn.IFS(K319&lt;K$24,0,K319&lt;K$26,I$24,K319&lt;K$28,I$26,K319&lt;K$30,I$28,K319&lt;K$32,I$30,K319&lt;K$34,I$32,K319&lt;K$36,I$34,K319&lt;K$38,I$36,K319&lt;K$40,I$38,K319&lt;K$42,I$40,K319&lt;K$44,I$42,K319&lt;K$46,I$44,K319&gt;=K$46,I$46)</f>
        <v/>
      </c>
      <c r="J319" s="37">
        <f>_xlfn.IFS(K319&lt;K$24,0,K319&lt;K$25,J$24,K319&lt;K$26,J$25,K319&lt;K$27,J$26,K319&lt;K$28,J$27,K319&lt;K$29,J$28,K319&lt;K$30,J$29,K319&lt;K$31,J$30,K319&lt;K$32,J$31,K319&lt;K$33,J$32,K319&lt;K$34,J$33,K319&lt;K$35,J$34,K319&lt;K$36,J$35,K319&lt;K$37,J$36,K319&lt;K$38,J$37,K319&lt;K$39,J$38,K319&lt;K$40,J$39,K319&lt;K$41,J$40,K319&lt;K$42,J$41,K319&lt;K$43,J$42,K319&lt;K$44,J$43,K319&lt;K$45,J$44,K319&lt;K$46,J$45,K319&lt;K$47,J$46,K319&gt;=K$47,J$47)</f>
        <v/>
      </c>
      <c r="K319" s="38" t="n">
        <v>269</v>
      </c>
      <c r="L319" s="31">
        <f>K319/52</f>
        <v/>
      </c>
      <c r="M319" s="39">
        <f>J319/1000000*52</f>
        <v/>
      </c>
      <c r="N319" s="33">
        <f>M319/$P$4+($I$22/$P$4)</f>
        <v/>
      </c>
      <c r="U319">
        <f>F318</f>
        <v/>
      </c>
      <c r="V319">
        <f>H318</f>
        <v/>
      </c>
      <c r="W319">
        <f>N318</f>
        <v/>
      </c>
    </row>
    <row r="320" ht="15.75" customHeight="1" s="40">
      <c r="C320" s="36">
        <f>_xlfn.IFS(E320&lt;E$24,0,E320&lt;E$26,C$24,E320&lt;E$28,C$26,E320&lt;E$30,C$28,E320&lt;E$32,C$30,E320&lt;E$34,C$32,E320&gt;=E$34,C$34)</f>
        <v/>
      </c>
      <c r="D320" s="37">
        <f>_xlfn.IFS(E320&lt;E$24,0,E320&lt;E$25,D$24,E320&lt;E$26,D$25,E320&lt;E$27,D$26,E320&lt;E$28,D$27,E320&lt;E$29,D$28,E320&lt;E$30,D$29,E320&lt;E$31,D$30,E320&lt;E$32,D$31,E320&lt;E$33,D$32,E320&lt;E$34,D$33,E320&lt;E$35,D$34,E320&gt;=E$35,D$35)</f>
        <v/>
      </c>
      <c r="E320" s="38" t="n">
        <v>270</v>
      </c>
      <c r="F320" s="31">
        <f>E320/52</f>
        <v/>
      </c>
      <c r="G320" s="39">
        <f>D320/1000000*52</f>
        <v/>
      </c>
      <c r="H320" s="33">
        <f>G320/$P$4+($C$22/$P$4)</f>
        <v/>
      </c>
      <c r="I320" s="36">
        <f>_xlfn.IFS(K320&lt;K$24,0,K320&lt;K$26,I$24,K320&lt;K$28,I$26,K320&lt;K$30,I$28,K320&lt;K$32,I$30,K320&lt;K$34,I$32,K320&lt;K$36,I$34,K320&lt;K$38,I$36,K320&lt;K$40,I$38,K320&lt;K$42,I$40,K320&lt;K$44,I$42,K320&lt;K$46,I$44,K320&gt;=K$46,I$46)</f>
        <v/>
      </c>
      <c r="J320" s="37">
        <f>_xlfn.IFS(K320&lt;K$24,0,K320&lt;K$25,J$24,K320&lt;K$26,J$25,K320&lt;K$27,J$26,K320&lt;K$28,J$27,K320&lt;K$29,J$28,K320&lt;K$30,J$29,K320&lt;K$31,J$30,K320&lt;K$32,J$31,K320&lt;K$33,J$32,K320&lt;K$34,J$33,K320&lt;K$35,J$34,K320&lt;K$36,J$35,K320&lt;K$37,J$36,K320&lt;K$38,J$37,K320&lt;K$39,J$38,K320&lt;K$40,J$39,K320&lt;K$41,J$40,K320&lt;K$42,J$41,K320&lt;K$43,J$42,K320&lt;K$44,J$43,K320&lt;K$45,J$44,K320&lt;K$46,J$45,K320&lt;K$47,J$46,K320&gt;=K$47,J$47)</f>
        <v/>
      </c>
      <c r="K320" s="38" t="n">
        <v>270</v>
      </c>
      <c r="L320" s="31">
        <f>K320/52</f>
        <v/>
      </c>
      <c r="M320" s="39">
        <f>J320/1000000*52</f>
        <v/>
      </c>
      <c r="N320" s="33">
        <f>M320/$P$4+($I$22/$P$4)</f>
        <v/>
      </c>
      <c r="U320">
        <f>F319</f>
        <v/>
      </c>
      <c r="V320">
        <f>H319</f>
        <v/>
      </c>
      <c r="W320">
        <f>N319</f>
        <v/>
      </c>
    </row>
    <row r="321" ht="15.75" customHeight="1" s="40">
      <c r="C321" s="36">
        <f>_xlfn.IFS(E321&lt;E$24,0,E321&lt;E$26,C$24,E321&lt;E$28,C$26,E321&lt;E$30,C$28,E321&lt;E$32,C$30,E321&lt;E$34,C$32,E321&gt;=E$34,C$34)</f>
        <v/>
      </c>
      <c r="D321" s="37">
        <f>_xlfn.IFS(E321&lt;E$24,0,E321&lt;E$25,D$24,E321&lt;E$26,D$25,E321&lt;E$27,D$26,E321&lt;E$28,D$27,E321&lt;E$29,D$28,E321&lt;E$30,D$29,E321&lt;E$31,D$30,E321&lt;E$32,D$31,E321&lt;E$33,D$32,E321&lt;E$34,D$33,E321&lt;E$35,D$34,E321&gt;=E$35,D$35)</f>
        <v/>
      </c>
      <c r="E321" s="38" t="n">
        <v>271</v>
      </c>
      <c r="F321" s="31">
        <f>E321/52</f>
        <v/>
      </c>
      <c r="G321" s="39">
        <f>D321/1000000*52</f>
        <v/>
      </c>
      <c r="H321" s="33">
        <f>G321/$P$4+($C$22/$P$4)</f>
        <v/>
      </c>
      <c r="I321" s="36">
        <f>_xlfn.IFS(K321&lt;K$24,0,K321&lt;K$26,I$24,K321&lt;K$28,I$26,K321&lt;K$30,I$28,K321&lt;K$32,I$30,K321&lt;K$34,I$32,K321&lt;K$36,I$34,K321&lt;K$38,I$36,K321&lt;K$40,I$38,K321&lt;K$42,I$40,K321&lt;K$44,I$42,K321&lt;K$46,I$44,K321&gt;=K$46,I$46)</f>
        <v/>
      </c>
      <c r="J321" s="37">
        <f>_xlfn.IFS(K321&lt;K$24,0,K321&lt;K$25,J$24,K321&lt;K$26,J$25,K321&lt;K$27,J$26,K321&lt;K$28,J$27,K321&lt;K$29,J$28,K321&lt;K$30,J$29,K321&lt;K$31,J$30,K321&lt;K$32,J$31,K321&lt;K$33,J$32,K321&lt;K$34,J$33,K321&lt;K$35,J$34,K321&lt;K$36,J$35,K321&lt;K$37,J$36,K321&lt;K$38,J$37,K321&lt;K$39,J$38,K321&lt;K$40,J$39,K321&lt;K$41,J$40,K321&lt;K$42,J$41,K321&lt;K$43,J$42,K321&lt;K$44,J$43,K321&lt;K$45,J$44,K321&lt;K$46,J$45,K321&lt;K$47,J$46,K321&gt;=K$47,J$47)</f>
        <v/>
      </c>
      <c r="K321" s="38" t="n">
        <v>271</v>
      </c>
      <c r="L321" s="31">
        <f>K321/52</f>
        <v/>
      </c>
      <c r="M321" s="39">
        <f>J321/1000000*52</f>
        <v/>
      </c>
      <c r="N321" s="33">
        <f>M321/$P$4+($I$22/$P$4)</f>
        <v/>
      </c>
      <c r="U321">
        <f>F320</f>
        <v/>
      </c>
      <c r="V321">
        <f>H320</f>
        <v/>
      </c>
      <c r="W321">
        <f>N320</f>
        <v/>
      </c>
    </row>
    <row r="322" ht="15.75" customHeight="1" s="40">
      <c r="C322" s="36">
        <f>_xlfn.IFS(E322&lt;E$24,0,E322&lt;E$26,C$24,E322&lt;E$28,C$26,E322&lt;E$30,C$28,E322&lt;E$32,C$30,E322&lt;E$34,C$32,E322&gt;=E$34,C$34)</f>
        <v/>
      </c>
      <c r="D322" s="37">
        <f>_xlfn.IFS(E322&lt;E$24,0,E322&lt;E$25,D$24,E322&lt;E$26,D$25,E322&lt;E$27,D$26,E322&lt;E$28,D$27,E322&lt;E$29,D$28,E322&lt;E$30,D$29,E322&lt;E$31,D$30,E322&lt;E$32,D$31,E322&lt;E$33,D$32,E322&lt;E$34,D$33,E322&lt;E$35,D$34,E322&gt;=E$35,D$35)</f>
        <v/>
      </c>
      <c r="E322" s="38" t="n">
        <v>272</v>
      </c>
      <c r="F322" s="31">
        <f>E322/52</f>
        <v/>
      </c>
      <c r="G322" s="39">
        <f>D322/1000000*52</f>
        <v/>
      </c>
      <c r="H322" s="33">
        <f>G322/$P$4+($C$22/$P$4)</f>
        <v/>
      </c>
      <c r="I322" s="36">
        <f>_xlfn.IFS(K322&lt;K$24,0,K322&lt;K$26,I$24,K322&lt;K$28,I$26,K322&lt;K$30,I$28,K322&lt;K$32,I$30,K322&lt;K$34,I$32,K322&lt;K$36,I$34,K322&lt;K$38,I$36,K322&lt;K$40,I$38,K322&lt;K$42,I$40,K322&lt;K$44,I$42,K322&lt;K$46,I$44,K322&gt;=K$46,I$46)</f>
        <v/>
      </c>
      <c r="J322" s="37">
        <f>_xlfn.IFS(K322&lt;K$24,0,K322&lt;K$25,J$24,K322&lt;K$26,J$25,K322&lt;K$27,J$26,K322&lt;K$28,J$27,K322&lt;K$29,J$28,K322&lt;K$30,J$29,K322&lt;K$31,J$30,K322&lt;K$32,J$31,K322&lt;K$33,J$32,K322&lt;K$34,J$33,K322&lt;K$35,J$34,K322&lt;K$36,J$35,K322&lt;K$37,J$36,K322&lt;K$38,J$37,K322&lt;K$39,J$38,K322&lt;K$40,J$39,K322&lt;K$41,J$40,K322&lt;K$42,J$41,K322&lt;K$43,J$42,K322&lt;K$44,J$43,K322&lt;K$45,J$44,K322&lt;K$46,J$45,K322&lt;K$47,J$46,K322&gt;=K$47,J$47)</f>
        <v/>
      </c>
      <c r="K322" s="38" t="n">
        <v>272</v>
      </c>
      <c r="L322" s="31">
        <f>K322/52</f>
        <v/>
      </c>
      <c r="M322" s="39">
        <f>J322/1000000*52</f>
        <v/>
      </c>
      <c r="N322" s="33">
        <f>M322/$P$4+($I$22/$P$4)</f>
        <v/>
      </c>
      <c r="U322">
        <f>F321</f>
        <v/>
      </c>
      <c r="V322">
        <f>H321</f>
        <v/>
      </c>
      <c r="W322">
        <f>N321</f>
        <v/>
      </c>
    </row>
    <row r="323" ht="15.75" customHeight="1" s="40">
      <c r="C323" s="36">
        <f>_xlfn.IFS(E323&lt;E$24,0,E323&lt;E$26,C$24,E323&lt;E$28,C$26,E323&lt;E$30,C$28,E323&lt;E$32,C$30,E323&lt;E$34,C$32,E323&gt;=E$34,C$34)</f>
        <v/>
      </c>
      <c r="D323" s="37">
        <f>_xlfn.IFS(E323&lt;E$24,0,E323&lt;E$25,D$24,E323&lt;E$26,D$25,E323&lt;E$27,D$26,E323&lt;E$28,D$27,E323&lt;E$29,D$28,E323&lt;E$30,D$29,E323&lt;E$31,D$30,E323&lt;E$32,D$31,E323&lt;E$33,D$32,E323&lt;E$34,D$33,E323&lt;E$35,D$34,E323&gt;=E$35,D$35)</f>
        <v/>
      </c>
      <c r="E323" s="38" t="n">
        <v>273</v>
      </c>
      <c r="F323" s="31">
        <f>E323/52</f>
        <v/>
      </c>
      <c r="G323" s="39">
        <f>D323/1000000*52</f>
        <v/>
      </c>
      <c r="H323" s="33">
        <f>G323/$P$4+($C$22/$P$4)</f>
        <v/>
      </c>
      <c r="I323" s="36">
        <f>_xlfn.IFS(K323&lt;K$24,0,K323&lt;K$26,I$24,K323&lt;K$28,I$26,K323&lt;K$30,I$28,K323&lt;K$32,I$30,K323&lt;K$34,I$32,K323&lt;K$36,I$34,K323&lt;K$38,I$36,K323&lt;K$40,I$38,K323&lt;K$42,I$40,K323&lt;K$44,I$42,K323&lt;K$46,I$44,K323&gt;=K$46,I$46)</f>
        <v/>
      </c>
      <c r="J323" s="37">
        <f>_xlfn.IFS(K323&lt;K$24,0,K323&lt;K$25,J$24,K323&lt;K$26,J$25,K323&lt;K$27,J$26,K323&lt;K$28,J$27,K323&lt;K$29,J$28,K323&lt;K$30,J$29,K323&lt;K$31,J$30,K323&lt;K$32,J$31,K323&lt;K$33,J$32,K323&lt;K$34,J$33,K323&lt;K$35,J$34,K323&lt;K$36,J$35,K323&lt;K$37,J$36,K323&lt;K$38,J$37,K323&lt;K$39,J$38,K323&lt;K$40,J$39,K323&lt;K$41,J$40,K323&lt;K$42,J$41,K323&lt;K$43,J$42,K323&lt;K$44,J$43,K323&lt;K$45,J$44,K323&lt;K$46,J$45,K323&lt;K$47,J$46,K323&gt;=K$47,J$47)</f>
        <v/>
      </c>
      <c r="K323" s="38" t="n">
        <v>273</v>
      </c>
      <c r="L323" s="31">
        <f>K323/52</f>
        <v/>
      </c>
      <c r="M323" s="39">
        <f>J323/1000000*52</f>
        <v/>
      </c>
      <c r="N323" s="33">
        <f>M323/$P$4+($I$22/$P$4)</f>
        <v/>
      </c>
      <c r="U323">
        <f>F322</f>
        <v/>
      </c>
      <c r="V323">
        <f>H322</f>
        <v/>
      </c>
      <c r="W323">
        <f>N322</f>
        <v/>
      </c>
    </row>
    <row r="324" ht="15.75" customHeight="1" s="40">
      <c r="C324" s="36">
        <f>_xlfn.IFS(E324&lt;E$24,0,E324&lt;E$26,C$24,E324&lt;E$28,C$26,E324&lt;E$30,C$28,E324&lt;E$32,C$30,E324&lt;E$34,C$32,E324&gt;=E$34,C$34)</f>
        <v/>
      </c>
      <c r="D324" s="37">
        <f>_xlfn.IFS(E324&lt;E$24,0,E324&lt;E$25,D$24,E324&lt;E$26,D$25,E324&lt;E$27,D$26,E324&lt;E$28,D$27,E324&lt;E$29,D$28,E324&lt;E$30,D$29,E324&lt;E$31,D$30,E324&lt;E$32,D$31,E324&lt;E$33,D$32,E324&lt;E$34,D$33,E324&lt;E$35,D$34,E324&gt;=E$35,D$35)</f>
        <v/>
      </c>
      <c r="E324" s="38" t="n">
        <v>274</v>
      </c>
      <c r="F324" s="31">
        <f>E324/52</f>
        <v/>
      </c>
      <c r="G324" s="39">
        <f>D324/1000000*52</f>
        <v/>
      </c>
      <c r="H324" s="33">
        <f>G324/$P$4+($C$22/$P$4)</f>
        <v/>
      </c>
      <c r="I324" s="36">
        <f>_xlfn.IFS(K324&lt;K$24,0,K324&lt;K$26,I$24,K324&lt;K$28,I$26,K324&lt;K$30,I$28,K324&lt;K$32,I$30,K324&lt;K$34,I$32,K324&lt;K$36,I$34,K324&lt;K$38,I$36,K324&lt;K$40,I$38,K324&lt;K$42,I$40,K324&lt;K$44,I$42,K324&lt;K$46,I$44,K324&gt;=K$46,I$46)</f>
        <v/>
      </c>
      <c r="J324" s="37">
        <f>_xlfn.IFS(K324&lt;K$24,0,K324&lt;K$25,J$24,K324&lt;K$26,J$25,K324&lt;K$27,J$26,K324&lt;K$28,J$27,K324&lt;K$29,J$28,K324&lt;K$30,J$29,K324&lt;K$31,J$30,K324&lt;K$32,J$31,K324&lt;K$33,J$32,K324&lt;K$34,J$33,K324&lt;K$35,J$34,K324&lt;K$36,J$35,K324&lt;K$37,J$36,K324&lt;K$38,J$37,K324&lt;K$39,J$38,K324&lt;K$40,J$39,K324&lt;K$41,J$40,K324&lt;K$42,J$41,K324&lt;K$43,J$42,K324&lt;K$44,J$43,K324&lt;K$45,J$44,K324&lt;K$46,J$45,K324&lt;K$47,J$46,K324&gt;=K$47,J$47)</f>
        <v/>
      </c>
      <c r="K324" s="38" t="n">
        <v>274</v>
      </c>
      <c r="L324" s="31">
        <f>K324/52</f>
        <v/>
      </c>
      <c r="M324" s="39">
        <f>J324/1000000*52</f>
        <v/>
      </c>
      <c r="N324" s="33">
        <f>M324/$P$4+($I$22/$P$4)</f>
        <v/>
      </c>
      <c r="U324">
        <f>F323</f>
        <v/>
      </c>
      <c r="V324">
        <f>H323</f>
        <v/>
      </c>
      <c r="W324">
        <f>N323</f>
        <v/>
      </c>
    </row>
    <row r="325" ht="15.75" customHeight="1" s="40">
      <c r="C325" s="36">
        <f>_xlfn.IFS(E325&lt;E$24,0,E325&lt;E$26,C$24,E325&lt;E$28,C$26,E325&lt;E$30,C$28,E325&lt;E$32,C$30,E325&lt;E$34,C$32,E325&gt;=E$34,C$34)</f>
        <v/>
      </c>
      <c r="D325" s="37">
        <f>_xlfn.IFS(E325&lt;E$24,0,E325&lt;E$25,D$24,E325&lt;E$26,D$25,E325&lt;E$27,D$26,E325&lt;E$28,D$27,E325&lt;E$29,D$28,E325&lt;E$30,D$29,E325&lt;E$31,D$30,E325&lt;E$32,D$31,E325&lt;E$33,D$32,E325&lt;E$34,D$33,E325&lt;E$35,D$34,E325&gt;=E$35,D$35)</f>
        <v/>
      </c>
      <c r="E325" s="38" t="n">
        <v>275</v>
      </c>
      <c r="F325" s="31">
        <f>E325/52</f>
        <v/>
      </c>
      <c r="G325" s="39">
        <f>D325/1000000*52</f>
        <v/>
      </c>
      <c r="H325" s="33">
        <f>G325/$P$4+($C$22/$P$4)</f>
        <v/>
      </c>
      <c r="I325" s="36">
        <f>_xlfn.IFS(K325&lt;K$24,0,K325&lt;K$26,I$24,K325&lt;K$28,I$26,K325&lt;K$30,I$28,K325&lt;K$32,I$30,K325&lt;K$34,I$32,K325&lt;K$36,I$34,K325&lt;K$38,I$36,K325&lt;K$40,I$38,K325&lt;K$42,I$40,K325&lt;K$44,I$42,K325&lt;K$46,I$44,K325&gt;=K$46,I$46)</f>
        <v/>
      </c>
      <c r="J325" s="37">
        <f>_xlfn.IFS(K325&lt;K$24,0,K325&lt;K$25,J$24,K325&lt;K$26,J$25,K325&lt;K$27,J$26,K325&lt;K$28,J$27,K325&lt;K$29,J$28,K325&lt;K$30,J$29,K325&lt;K$31,J$30,K325&lt;K$32,J$31,K325&lt;K$33,J$32,K325&lt;K$34,J$33,K325&lt;K$35,J$34,K325&lt;K$36,J$35,K325&lt;K$37,J$36,K325&lt;K$38,J$37,K325&lt;K$39,J$38,K325&lt;K$40,J$39,K325&lt;K$41,J$40,K325&lt;K$42,J$41,K325&lt;K$43,J$42,K325&lt;K$44,J$43,K325&lt;K$45,J$44,K325&lt;K$46,J$45,K325&lt;K$47,J$46,K325&gt;=K$47,J$47)</f>
        <v/>
      </c>
      <c r="K325" s="38" t="n">
        <v>275</v>
      </c>
      <c r="L325" s="31">
        <f>K325/52</f>
        <v/>
      </c>
      <c r="M325" s="39">
        <f>J325/1000000*52</f>
        <v/>
      </c>
      <c r="N325" s="33">
        <f>M325/$P$4+($I$22/$P$4)</f>
        <v/>
      </c>
      <c r="U325">
        <f>F324</f>
        <v/>
      </c>
      <c r="V325">
        <f>H324</f>
        <v/>
      </c>
      <c r="W325">
        <f>N324</f>
        <v/>
      </c>
    </row>
    <row r="326" ht="15.75" customHeight="1" s="40">
      <c r="C326" s="36">
        <f>_xlfn.IFS(E326&lt;E$24,0,E326&lt;E$26,C$24,E326&lt;E$28,C$26,E326&lt;E$30,C$28,E326&lt;E$32,C$30,E326&lt;E$34,C$32,E326&gt;=E$34,C$34)</f>
        <v/>
      </c>
      <c r="D326" s="37">
        <f>_xlfn.IFS(E326&lt;E$24,0,E326&lt;E$25,D$24,E326&lt;E$26,D$25,E326&lt;E$27,D$26,E326&lt;E$28,D$27,E326&lt;E$29,D$28,E326&lt;E$30,D$29,E326&lt;E$31,D$30,E326&lt;E$32,D$31,E326&lt;E$33,D$32,E326&lt;E$34,D$33,E326&lt;E$35,D$34,E326&gt;=E$35,D$35)</f>
        <v/>
      </c>
      <c r="E326" s="38" t="n">
        <v>276</v>
      </c>
      <c r="F326" s="31">
        <f>E326/52</f>
        <v/>
      </c>
      <c r="G326" s="39">
        <f>D326/1000000*52</f>
        <v/>
      </c>
      <c r="H326" s="33">
        <f>G326/$P$4+($C$22/$P$4)</f>
        <v/>
      </c>
      <c r="I326" s="36">
        <f>_xlfn.IFS(K326&lt;K$24,0,K326&lt;K$26,I$24,K326&lt;K$28,I$26,K326&lt;K$30,I$28,K326&lt;K$32,I$30,K326&lt;K$34,I$32,K326&lt;K$36,I$34,K326&lt;K$38,I$36,K326&lt;K$40,I$38,K326&lt;K$42,I$40,K326&lt;K$44,I$42,K326&lt;K$46,I$44,K326&gt;=K$46,I$46)</f>
        <v/>
      </c>
      <c r="J326" s="37">
        <f>_xlfn.IFS(K326&lt;K$24,0,K326&lt;K$25,J$24,K326&lt;K$26,J$25,K326&lt;K$27,J$26,K326&lt;K$28,J$27,K326&lt;K$29,J$28,K326&lt;K$30,J$29,K326&lt;K$31,J$30,K326&lt;K$32,J$31,K326&lt;K$33,J$32,K326&lt;K$34,J$33,K326&lt;K$35,J$34,K326&lt;K$36,J$35,K326&lt;K$37,J$36,K326&lt;K$38,J$37,K326&lt;K$39,J$38,K326&lt;K$40,J$39,K326&lt;K$41,J$40,K326&lt;K$42,J$41,K326&lt;K$43,J$42,K326&lt;K$44,J$43,K326&lt;K$45,J$44,K326&lt;K$46,J$45,K326&lt;K$47,J$46,K326&gt;=K$47,J$47)</f>
        <v/>
      </c>
      <c r="K326" s="38" t="n">
        <v>276</v>
      </c>
      <c r="L326" s="31">
        <f>K326/52</f>
        <v/>
      </c>
      <c r="M326" s="39">
        <f>J326/1000000*52</f>
        <v/>
      </c>
      <c r="N326" s="33">
        <f>M326/$P$4+($I$22/$P$4)</f>
        <v/>
      </c>
      <c r="U326">
        <f>F325</f>
        <v/>
      </c>
      <c r="V326">
        <f>H325</f>
        <v/>
      </c>
      <c r="W326">
        <f>N325</f>
        <v/>
      </c>
    </row>
    <row r="327" ht="15.75" customHeight="1" s="40">
      <c r="C327" s="36">
        <f>_xlfn.IFS(E327&lt;E$24,0,E327&lt;E$26,C$24,E327&lt;E$28,C$26,E327&lt;E$30,C$28,E327&lt;E$32,C$30,E327&lt;E$34,C$32,E327&gt;=E$34,C$34)</f>
        <v/>
      </c>
      <c r="D327" s="37">
        <f>_xlfn.IFS(E327&lt;E$24,0,E327&lt;E$25,D$24,E327&lt;E$26,D$25,E327&lt;E$27,D$26,E327&lt;E$28,D$27,E327&lt;E$29,D$28,E327&lt;E$30,D$29,E327&lt;E$31,D$30,E327&lt;E$32,D$31,E327&lt;E$33,D$32,E327&lt;E$34,D$33,E327&lt;E$35,D$34,E327&gt;=E$35,D$35)</f>
        <v/>
      </c>
      <c r="E327" s="38" t="n">
        <v>277</v>
      </c>
      <c r="F327" s="31">
        <f>E327/52</f>
        <v/>
      </c>
      <c r="G327" s="39">
        <f>D327/1000000*52</f>
        <v/>
      </c>
      <c r="H327" s="33">
        <f>G327/$P$4+($C$22/$P$4)</f>
        <v/>
      </c>
      <c r="I327" s="36">
        <f>_xlfn.IFS(K327&lt;K$24,0,K327&lt;K$26,I$24,K327&lt;K$28,I$26,K327&lt;K$30,I$28,K327&lt;K$32,I$30,K327&lt;K$34,I$32,K327&lt;K$36,I$34,K327&lt;K$38,I$36,K327&lt;K$40,I$38,K327&lt;K$42,I$40,K327&lt;K$44,I$42,K327&lt;K$46,I$44,K327&gt;=K$46,I$46)</f>
        <v/>
      </c>
      <c r="J327" s="37">
        <f>_xlfn.IFS(K327&lt;K$24,0,K327&lt;K$25,J$24,K327&lt;K$26,J$25,K327&lt;K$27,J$26,K327&lt;K$28,J$27,K327&lt;K$29,J$28,K327&lt;K$30,J$29,K327&lt;K$31,J$30,K327&lt;K$32,J$31,K327&lt;K$33,J$32,K327&lt;K$34,J$33,K327&lt;K$35,J$34,K327&lt;K$36,J$35,K327&lt;K$37,J$36,K327&lt;K$38,J$37,K327&lt;K$39,J$38,K327&lt;K$40,J$39,K327&lt;K$41,J$40,K327&lt;K$42,J$41,K327&lt;K$43,J$42,K327&lt;K$44,J$43,K327&lt;K$45,J$44,K327&lt;K$46,J$45,K327&lt;K$47,J$46,K327&gt;=K$47,J$47)</f>
        <v/>
      </c>
      <c r="K327" s="38" t="n">
        <v>277</v>
      </c>
      <c r="L327" s="31">
        <f>K327/52</f>
        <v/>
      </c>
      <c r="M327" s="39">
        <f>J327/1000000*52</f>
        <v/>
      </c>
      <c r="N327" s="33">
        <f>M327/$P$4+($I$22/$P$4)</f>
        <v/>
      </c>
      <c r="U327">
        <f>F326</f>
        <v/>
      </c>
      <c r="V327">
        <f>H326</f>
        <v/>
      </c>
      <c r="W327">
        <f>N326</f>
        <v/>
      </c>
    </row>
    <row r="328" ht="15.75" customHeight="1" s="40">
      <c r="C328" s="36">
        <f>_xlfn.IFS(E328&lt;E$24,0,E328&lt;E$26,C$24,E328&lt;E$28,C$26,E328&lt;E$30,C$28,E328&lt;E$32,C$30,E328&lt;E$34,C$32,E328&gt;=E$34,C$34)</f>
        <v/>
      </c>
      <c r="D328" s="37">
        <f>_xlfn.IFS(E328&lt;E$24,0,E328&lt;E$25,D$24,E328&lt;E$26,D$25,E328&lt;E$27,D$26,E328&lt;E$28,D$27,E328&lt;E$29,D$28,E328&lt;E$30,D$29,E328&lt;E$31,D$30,E328&lt;E$32,D$31,E328&lt;E$33,D$32,E328&lt;E$34,D$33,E328&lt;E$35,D$34,E328&gt;=E$35,D$35)</f>
        <v/>
      </c>
      <c r="E328" s="38" t="n">
        <v>278</v>
      </c>
      <c r="F328" s="31">
        <f>E328/52</f>
        <v/>
      </c>
      <c r="G328" s="39">
        <f>D328/1000000*52</f>
        <v/>
      </c>
      <c r="H328" s="33">
        <f>G328/$P$4+($C$22/$P$4)</f>
        <v/>
      </c>
      <c r="I328" s="36">
        <f>_xlfn.IFS(K328&lt;K$24,0,K328&lt;K$26,I$24,K328&lt;K$28,I$26,K328&lt;K$30,I$28,K328&lt;K$32,I$30,K328&lt;K$34,I$32,K328&lt;K$36,I$34,K328&lt;K$38,I$36,K328&lt;K$40,I$38,K328&lt;K$42,I$40,K328&lt;K$44,I$42,K328&lt;K$46,I$44,K328&gt;=K$46,I$46)</f>
        <v/>
      </c>
      <c r="J328" s="37">
        <f>_xlfn.IFS(K328&lt;K$24,0,K328&lt;K$25,J$24,K328&lt;K$26,J$25,K328&lt;K$27,J$26,K328&lt;K$28,J$27,K328&lt;K$29,J$28,K328&lt;K$30,J$29,K328&lt;K$31,J$30,K328&lt;K$32,J$31,K328&lt;K$33,J$32,K328&lt;K$34,J$33,K328&lt;K$35,J$34,K328&lt;K$36,J$35,K328&lt;K$37,J$36,K328&lt;K$38,J$37,K328&lt;K$39,J$38,K328&lt;K$40,J$39,K328&lt;K$41,J$40,K328&lt;K$42,J$41,K328&lt;K$43,J$42,K328&lt;K$44,J$43,K328&lt;K$45,J$44,K328&lt;K$46,J$45,K328&lt;K$47,J$46,K328&gt;=K$47,J$47)</f>
        <v/>
      </c>
      <c r="K328" s="38" t="n">
        <v>278</v>
      </c>
      <c r="L328" s="31">
        <f>K328/52</f>
        <v/>
      </c>
      <c r="M328" s="39">
        <f>J328/1000000*52</f>
        <v/>
      </c>
      <c r="N328" s="33">
        <f>M328/$P$4+($I$22/$P$4)</f>
        <v/>
      </c>
      <c r="U328">
        <f>F327</f>
        <v/>
      </c>
      <c r="V328">
        <f>H327</f>
        <v/>
      </c>
      <c r="W328">
        <f>N327</f>
        <v/>
      </c>
    </row>
    <row r="329" ht="15.75" customHeight="1" s="40">
      <c r="C329" s="36">
        <f>_xlfn.IFS(E329&lt;E$24,0,E329&lt;E$26,C$24,E329&lt;E$28,C$26,E329&lt;E$30,C$28,E329&lt;E$32,C$30,E329&lt;E$34,C$32,E329&gt;=E$34,C$34)</f>
        <v/>
      </c>
      <c r="D329" s="37">
        <f>_xlfn.IFS(E329&lt;E$24,0,E329&lt;E$25,D$24,E329&lt;E$26,D$25,E329&lt;E$27,D$26,E329&lt;E$28,D$27,E329&lt;E$29,D$28,E329&lt;E$30,D$29,E329&lt;E$31,D$30,E329&lt;E$32,D$31,E329&lt;E$33,D$32,E329&lt;E$34,D$33,E329&lt;E$35,D$34,E329&gt;=E$35,D$35)</f>
        <v/>
      </c>
      <c r="E329" s="38" t="n">
        <v>279</v>
      </c>
      <c r="F329" s="31">
        <f>E329/52</f>
        <v/>
      </c>
      <c r="G329" s="39">
        <f>D329/1000000*52</f>
        <v/>
      </c>
      <c r="H329" s="33">
        <f>G329/$P$4+($C$22/$P$4)</f>
        <v/>
      </c>
      <c r="I329" s="36">
        <f>_xlfn.IFS(K329&lt;K$24,0,K329&lt;K$26,I$24,K329&lt;K$28,I$26,K329&lt;K$30,I$28,K329&lt;K$32,I$30,K329&lt;K$34,I$32,K329&lt;K$36,I$34,K329&lt;K$38,I$36,K329&lt;K$40,I$38,K329&lt;K$42,I$40,K329&lt;K$44,I$42,K329&lt;K$46,I$44,K329&gt;=K$46,I$46)</f>
        <v/>
      </c>
      <c r="J329" s="37">
        <f>_xlfn.IFS(K329&lt;K$24,0,K329&lt;K$25,J$24,K329&lt;K$26,J$25,K329&lt;K$27,J$26,K329&lt;K$28,J$27,K329&lt;K$29,J$28,K329&lt;K$30,J$29,K329&lt;K$31,J$30,K329&lt;K$32,J$31,K329&lt;K$33,J$32,K329&lt;K$34,J$33,K329&lt;K$35,J$34,K329&lt;K$36,J$35,K329&lt;K$37,J$36,K329&lt;K$38,J$37,K329&lt;K$39,J$38,K329&lt;K$40,J$39,K329&lt;K$41,J$40,K329&lt;K$42,J$41,K329&lt;K$43,J$42,K329&lt;K$44,J$43,K329&lt;K$45,J$44,K329&lt;K$46,J$45,K329&lt;K$47,J$46,K329&gt;=K$47,J$47)</f>
        <v/>
      </c>
      <c r="K329" s="38" t="n">
        <v>279</v>
      </c>
      <c r="L329" s="31">
        <f>K329/52</f>
        <v/>
      </c>
      <c r="M329" s="39">
        <f>J329/1000000*52</f>
        <v/>
      </c>
      <c r="N329" s="33">
        <f>M329/$P$4+($I$22/$P$4)</f>
        <v/>
      </c>
      <c r="U329">
        <f>F328</f>
        <v/>
      </c>
      <c r="V329">
        <f>H328</f>
        <v/>
      </c>
      <c r="W329">
        <f>N328</f>
        <v/>
      </c>
    </row>
    <row r="330" ht="15.75" customHeight="1" s="40">
      <c r="C330" s="36">
        <f>_xlfn.IFS(E330&lt;E$24,0,E330&lt;E$26,C$24,E330&lt;E$28,C$26,E330&lt;E$30,C$28,E330&lt;E$32,C$30,E330&lt;E$34,C$32,E330&gt;=E$34,C$34)</f>
        <v/>
      </c>
      <c r="D330" s="37">
        <f>_xlfn.IFS(E330&lt;E$24,0,E330&lt;E$25,D$24,E330&lt;E$26,D$25,E330&lt;E$27,D$26,E330&lt;E$28,D$27,E330&lt;E$29,D$28,E330&lt;E$30,D$29,E330&lt;E$31,D$30,E330&lt;E$32,D$31,E330&lt;E$33,D$32,E330&lt;E$34,D$33,E330&lt;E$35,D$34,E330&gt;=E$35,D$35)</f>
        <v/>
      </c>
      <c r="E330" s="38" t="n">
        <v>280</v>
      </c>
      <c r="F330" s="31">
        <f>E330/52</f>
        <v/>
      </c>
      <c r="G330" s="39">
        <f>D330/1000000*52</f>
        <v/>
      </c>
      <c r="H330" s="33">
        <f>G330/$P$4+($C$22/$P$4)</f>
        <v/>
      </c>
      <c r="I330" s="36">
        <f>_xlfn.IFS(K330&lt;K$24,0,K330&lt;K$26,I$24,K330&lt;K$28,I$26,K330&lt;K$30,I$28,K330&lt;K$32,I$30,K330&lt;K$34,I$32,K330&lt;K$36,I$34,K330&lt;K$38,I$36,K330&lt;K$40,I$38,K330&lt;K$42,I$40,K330&lt;K$44,I$42,K330&lt;K$46,I$44,K330&gt;=K$46,I$46)</f>
        <v/>
      </c>
      <c r="J330" s="37">
        <f>_xlfn.IFS(K330&lt;K$24,0,K330&lt;K$25,J$24,K330&lt;K$26,J$25,K330&lt;K$27,J$26,K330&lt;K$28,J$27,K330&lt;K$29,J$28,K330&lt;K$30,J$29,K330&lt;K$31,J$30,K330&lt;K$32,J$31,K330&lt;K$33,J$32,K330&lt;K$34,J$33,K330&lt;K$35,J$34,K330&lt;K$36,J$35,K330&lt;K$37,J$36,K330&lt;K$38,J$37,K330&lt;K$39,J$38,K330&lt;K$40,J$39,K330&lt;K$41,J$40,K330&lt;K$42,J$41,K330&lt;K$43,J$42,K330&lt;K$44,J$43,K330&lt;K$45,J$44,K330&lt;K$46,J$45,K330&lt;K$47,J$46,K330&gt;=K$47,J$47)</f>
        <v/>
      </c>
      <c r="K330" s="38" t="n">
        <v>280</v>
      </c>
      <c r="L330" s="31">
        <f>K330/52</f>
        <v/>
      </c>
      <c r="M330" s="39">
        <f>J330/1000000*52</f>
        <v/>
      </c>
      <c r="N330" s="33">
        <f>M330/$P$4+($I$22/$P$4)</f>
        <v/>
      </c>
      <c r="U330">
        <f>F329</f>
        <v/>
      </c>
      <c r="V330">
        <f>H329</f>
        <v/>
      </c>
      <c r="W330">
        <f>N329</f>
        <v/>
      </c>
    </row>
    <row r="331" ht="15.75" customHeight="1" s="40">
      <c r="C331" s="36">
        <f>_xlfn.IFS(E331&lt;E$24,0,E331&lt;E$26,C$24,E331&lt;E$28,C$26,E331&lt;E$30,C$28,E331&lt;E$32,C$30,E331&lt;E$34,C$32,E331&gt;=E$34,C$34)</f>
        <v/>
      </c>
      <c r="D331" s="37">
        <f>_xlfn.IFS(E331&lt;E$24,0,E331&lt;E$25,D$24,E331&lt;E$26,D$25,E331&lt;E$27,D$26,E331&lt;E$28,D$27,E331&lt;E$29,D$28,E331&lt;E$30,D$29,E331&lt;E$31,D$30,E331&lt;E$32,D$31,E331&lt;E$33,D$32,E331&lt;E$34,D$33,E331&lt;E$35,D$34,E331&gt;=E$35,D$35)</f>
        <v/>
      </c>
      <c r="E331" s="38" t="n">
        <v>281</v>
      </c>
      <c r="F331" s="31">
        <f>E331/52</f>
        <v/>
      </c>
      <c r="G331" s="39">
        <f>D331/1000000*52</f>
        <v/>
      </c>
      <c r="H331" s="33">
        <f>G331/$P$4+($C$22/$P$4)</f>
        <v/>
      </c>
      <c r="I331" s="36">
        <f>_xlfn.IFS(K331&lt;K$24,0,K331&lt;K$26,I$24,K331&lt;K$28,I$26,K331&lt;K$30,I$28,K331&lt;K$32,I$30,K331&lt;K$34,I$32,K331&lt;K$36,I$34,K331&lt;K$38,I$36,K331&lt;K$40,I$38,K331&lt;K$42,I$40,K331&lt;K$44,I$42,K331&lt;K$46,I$44,K331&gt;=K$46,I$46)</f>
        <v/>
      </c>
      <c r="J331" s="37">
        <f>_xlfn.IFS(K331&lt;K$24,0,K331&lt;K$25,J$24,K331&lt;K$26,J$25,K331&lt;K$27,J$26,K331&lt;K$28,J$27,K331&lt;K$29,J$28,K331&lt;K$30,J$29,K331&lt;K$31,J$30,K331&lt;K$32,J$31,K331&lt;K$33,J$32,K331&lt;K$34,J$33,K331&lt;K$35,J$34,K331&lt;K$36,J$35,K331&lt;K$37,J$36,K331&lt;K$38,J$37,K331&lt;K$39,J$38,K331&lt;K$40,J$39,K331&lt;K$41,J$40,K331&lt;K$42,J$41,K331&lt;K$43,J$42,K331&lt;K$44,J$43,K331&lt;K$45,J$44,K331&lt;K$46,J$45,K331&lt;K$47,J$46,K331&gt;=K$47,J$47)</f>
        <v/>
      </c>
      <c r="K331" s="38" t="n">
        <v>281</v>
      </c>
      <c r="L331" s="31">
        <f>K331/52</f>
        <v/>
      </c>
      <c r="M331" s="39">
        <f>J331/1000000*52</f>
        <v/>
      </c>
      <c r="N331" s="33">
        <f>M331/$P$4+($I$22/$P$4)</f>
        <v/>
      </c>
      <c r="U331">
        <f>F330</f>
        <v/>
      </c>
      <c r="V331">
        <f>H330</f>
        <v/>
      </c>
      <c r="W331">
        <f>N330</f>
        <v/>
      </c>
    </row>
    <row r="332" ht="15.75" customHeight="1" s="40">
      <c r="C332" s="36">
        <f>_xlfn.IFS(E332&lt;E$24,0,E332&lt;E$26,C$24,E332&lt;E$28,C$26,E332&lt;E$30,C$28,E332&lt;E$32,C$30,E332&lt;E$34,C$32,E332&gt;=E$34,C$34)</f>
        <v/>
      </c>
      <c r="D332" s="37">
        <f>_xlfn.IFS(E332&lt;E$24,0,E332&lt;E$25,D$24,E332&lt;E$26,D$25,E332&lt;E$27,D$26,E332&lt;E$28,D$27,E332&lt;E$29,D$28,E332&lt;E$30,D$29,E332&lt;E$31,D$30,E332&lt;E$32,D$31,E332&lt;E$33,D$32,E332&lt;E$34,D$33,E332&lt;E$35,D$34,E332&gt;=E$35,D$35)</f>
        <v/>
      </c>
      <c r="E332" s="38" t="n">
        <v>282</v>
      </c>
      <c r="F332" s="31">
        <f>E332/52</f>
        <v/>
      </c>
      <c r="G332" s="39">
        <f>D332/1000000*52</f>
        <v/>
      </c>
      <c r="H332" s="33">
        <f>G332/$P$4+($C$22/$P$4)</f>
        <v/>
      </c>
      <c r="I332" s="36">
        <f>_xlfn.IFS(K332&lt;K$24,0,K332&lt;K$26,I$24,K332&lt;K$28,I$26,K332&lt;K$30,I$28,K332&lt;K$32,I$30,K332&lt;K$34,I$32,K332&lt;K$36,I$34,K332&lt;K$38,I$36,K332&lt;K$40,I$38,K332&lt;K$42,I$40,K332&lt;K$44,I$42,K332&lt;K$46,I$44,K332&gt;=K$46,I$46)</f>
        <v/>
      </c>
      <c r="J332" s="37">
        <f>_xlfn.IFS(K332&lt;K$24,0,K332&lt;K$25,J$24,K332&lt;K$26,J$25,K332&lt;K$27,J$26,K332&lt;K$28,J$27,K332&lt;K$29,J$28,K332&lt;K$30,J$29,K332&lt;K$31,J$30,K332&lt;K$32,J$31,K332&lt;K$33,J$32,K332&lt;K$34,J$33,K332&lt;K$35,J$34,K332&lt;K$36,J$35,K332&lt;K$37,J$36,K332&lt;K$38,J$37,K332&lt;K$39,J$38,K332&lt;K$40,J$39,K332&lt;K$41,J$40,K332&lt;K$42,J$41,K332&lt;K$43,J$42,K332&lt;K$44,J$43,K332&lt;K$45,J$44,K332&lt;K$46,J$45,K332&lt;K$47,J$46,K332&gt;=K$47,J$47)</f>
        <v/>
      </c>
      <c r="K332" s="38" t="n">
        <v>282</v>
      </c>
      <c r="L332" s="31">
        <f>K332/52</f>
        <v/>
      </c>
      <c r="M332" s="39">
        <f>J332/1000000*52</f>
        <v/>
      </c>
      <c r="N332" s="33">
        <f>M332/$P$4+($I$22/$P$4)</f>
        <v/>
      </c>
      <c r="U332">
        <f>F331</f>
        <v/>
      </c>
      <c r="V332">
        <f>H331</f>
        <v/>
      </c>
      <c r="W332">
        <f>N331</f>
        <v/>
      </c>
    </row>
    <row r="333" ht="15.75" customHeight="1" s="40">
      <c r="C333" s="36">
        <f>_xlfn.IFS(E333&lt;E$24,0,E333&lt;E$26,C$24,E333&lt;E$28,C$26,E333&lt;E$30,C$28,E333&lt;E$32,C$30,E333&lt;E$34,C$32,E333&gt;=E$34,C$34)</f>
        <v/>
      </c>
      <c r="D333" s="37">
        <f>_xlfn.IFS(E333&lt;E$24,0,E333&lt;E$25,D$24,E333&lt;E$26,D$25,E333&lt;E$27,D$26,E333&lt;E$28,D$27,E333&lt;E$29,D$28,E333&lt;E$30,D$29,E333&lt;E$31,D$30,E333&lt;E$32,D$31,E333&lt;E$33,D$32,E333&lt;E$34,D$33,E333&lt;E$35,D$34,E333&gt;=E$35,D$35)</f>
        <v/>
      </c>
      <c r="E333" s="38" t="n">
        <v>283</v>
      </c>
      <c r="F333" s="31">
        <f>E333/52</f>
        <v/>
      </c>
      <c r="G333" s="39">
        <f>D333/1000000*52</f>
        <v/>
      </c>
      <c r="H333" s="33">
        <f>G333/$P$4+($C$22/$P$4)</f>
        <v/>
      </c>
      <c r="I333" s="36">
        <f>_xlfn.IFS(K333&lt;K$24,0,K333&lt;K$26,I$24,K333&lt;K$28,I$26,K333&lt;K$30,I$28,K333&lt;K$32,I$30,K333&lt;K$34,I$32,K333&lt;K$36,I$34,K333&lt;K$38,I$36,K333&lt;K$40,I$38,K333&lt;K$42,I$40,K333&lt;K$44,I$42,K333&lt;K$46,I$44,K333&gt;=K$46,I$46)</f>
        <v/>
      </c>
      <c r="J333" s="37">
        <f>_xlfn.IFS(K333&lt;K$24,0,K333&lt;K$25,J$24,K333&lt;K$26,J$25,K333&lt;K$27,J$26,K333&lt;K$28,J$27,K333&lt;K$29,J$28,K333&lt;K$30,J$29,K333&lt;K$31,J$30,K333&lt;K$32,J$31,K333&lt;K$33,J$32,K333&lt;K$34,J$33,K333&lt;K$35,J$34,K333&lt;K$36,J$35,K333&lt;K$37,J$36,K333&lt;K$38,J$37,K333&lt;K$39,J$38,K333&lt;K$40,J$39,K333&lt;K$41,J$40,K333&lt;K$42,J$41,K333&lt;K$43,J$42,K333&lt;K$44,J$43,K333&lt;K$45,J$44,K333&lt;K$46,J$45,K333&lt;K$47,J$46,K333&gt;=K$47,J$47)</f>
        <v/>
      </c>
      <c r="K333" s="38" t="n">
        <v>283</v>
      </c>
      <c r="L333" s="31">
        <f>K333/52</f>
        <v/>
      </c>
      <c r="M333" s="39">
        <f>J333/1000000*52</f>
        <v/>
      </c>
      <c r="N333" s="33">
        <f>M333/$P$4+($I$22/$P$4)</f>
        <v/>
      </c>
      <c r="U333">
        <f>F332</f>
        <v/>
      </c>
      <c r="V333">
        <f>H332</f>
        <v/>
      </c>
      <c r="W333">
        <f>N332</f>
        <v/>
      </c>
    </row>
    <row r="334" ht="15.75" customHeight="1" s="40">
      <c r="C334" s="36">
        <f>_xlfn.IFS(E334&lt;E$24,0,E334&lt;E$26,C$24,E334&lt;E$28,C$26,E334&lt;E$30,C$28,E334&lt;E$32,C$30,E334&lt;E$34,C$32,E334&gt;=E$34,C$34)</f>
        <v/>
      </c>
      <c r="D334" s="37">
        <f>_xlfn.IFS(E334&lt;E$24,0,E334&lt;E$25,D$24,E334&lt;E$26,D$25,E334&lt;E$27,D$26,E334&lt;E$28,D$27,E334&lt;E$29,D$28,E334&lt;E$30,D$29,E334&lt;E$31,D$30,E334&lt;E$32,D$31,E334&lt;E$33,D$32,E334&lt;E$34,D$33,E334&lt;E$35,D$34,E334&gt;=E$35,D$35)</f>
        <v/>
      </c>
      <c r="E334" s="38" t="n">
        <v>284</v>
      </c>
      <c r="F334" s="31">
        <f>E334/52</f>
        <v/>
      </c>
      <c r="G334" s="39">
        <f>D334/1000000*52</f>
        <v/>
      </c>
      <c r="H334" s="33">
        <f>G334/$P$4+($C$22/$P$4)</f>
        <v/>
      </c>
      <c r="I334" s="36">
        <f>_xlfn.IFS(K334&lt;K$24,0,K334&lt;K$26,I$24,K334&lt;K$28,I$26,K334&lt;K$30,I$28,K334&lt;K$32,I$30,K334&lt;K$34,I$32,K334&lt;K$36,I$34,K334&lt;K$38,I$36,K334&lt;K$40,I$38,K334&lt;K$42,I$40,K334&lt;K$44,I$42,K334&lt;K$46,I$44,K334&gt;=K$46,I$46)</f>
        <v/>
      </c>
      <c r="J334" s="37">
        <f>_xlfn.IFS(K334&lt;K$24,0,K334&lt;K$25,J$24,K334&lt;K$26,J$25,K334&lt;K$27,J$26,K334&lt;K$28,J$27,K334&lt;K$29,J$28,K334&lt;K$30,J$29,K334&lt;K$31,J$30,K334&lt;K$32,J$31,K334&lt;K$33,J$32,K334&lt;K$34,J$33,K334&lt;K$35,J$34,K334&lt;K$36,J$35,K334&lt;K$37,J$36,K334&lt;K$38,J$37,K334&lt;K$39,J$38,K334&lt;K$40,J$39,K334&lt;K$41,J$40,K334&lt;K$42,J$41,K334&lt;K$43,J$42,K334&lt;K$44,J$43,K334&lt;K$45,J$44,K334&lt;K$46,J$45,K334&lt;K$47,J$46,K334&gt;=K$47,J$47)</f>
        <v/>
      </c>
      <c r="K334" s="38" t="n">
        <v>284</v>
      </c>
      <c r="L334" s="31">
        <f>K334/52</f>
        <v/>
      </c>
      <c r="M334" s="39">
        <f>J334/1000000*52</f>
        <v/>
      </c>
      <c r="N334" s="33">
        <f>M334/$P$4+($I$22/$P$4)</f>
        <v/>
      </c>
      <c r="U334">
        <f>F333</f>
        <v/>
      </c>
      <c r="V334">
        <f>H333</f>
        <v/>
      </c>
      <c r="W334">
        <f>N333</f>
        <v/>
      </c>
    </row>
    <row r="335" ht="15.75" customHeight="1" s="40">
      <c r="C335" s="36">
        <f>_xlfn.IFS(E335&lt;E$24,0,E335&lt;E$26,C$24,E335&lt;E$28,C$26,E335&lt;E$30,C$28,E335&lt;E$32,C$30,E335&lt;E$34,C$32,E335&gt;=E$34,C$34)</f>
        <v/>
      </c>
      <c r="D335" s="37">
        <f>_xlfn.IFS(E335&lt;E$24,0,E335&lt;E$25,D$24,E335&lt;E$26,D$25,E335&lt;E$27,D$26,E335&lt;E$28,D$27,E335&lt;E$29,D$28,E335&lt;E$30,D$29,E335&lt;E$31,D$30,E335&lt;E$32,D$31,E335&lt;E$33,D$32,E335&lt;E$34,D$33,E335&lt;E$35,D$34,E335&gt;=E$35,D$35)</f>
        <v/>
      </c>
      <c r="E335" s="38" t="n">
        <v>285</v>
      </c>
      <c r="F335" s="31">
        <f>E335/52</f>
        <v/>
      </c>
      <c r="G335" s="39">
        <f>D335/1000000*52</f>
        <v/>
      </c>
      <c r="H335" s="33">
        <f>G335/$P$4+($C$22/$P$4)</f>
        <v/>
      </c>
      <c r="I335" s="36">
        <f>_xlfn.IFS(K335&lt;K$24,0,K335&lt;K$26,I$24,K335&lt;K$28,I$26,K335&lt;K$30,I$28,K335&lt;K$32,I$30,K335&lt;K$34,I$32,K335&lt;K$36,I$34,K335&lt;K$38,I$36,K335&lt;K$40,I$38,K335&lt;K$42,I$40,K335&lt;K$44,I$42,K335&lt;K$46,I$44,K335&gt;=K$46,I$46)</f>
        <v/>
      </c>
      <c r="J335" s="37">
        <f>_xlfn.IFS(K335&lt;K$24,0,K335&lt;K$25,J$24,K335&lt;K$26,J$25,K335&lt;K$27,J$26,K335&lt;K$28,J$27,K335&lt;K$29,J$28,K335&lt;K$30,J$29,K335&lt;K$31,J$30,K335&lt;K$32,J$31,K335&lt;K$33,J$32,K335&lt;K$34,J$33,K335&lt;K$35,J$34,K335&lt;K$36,J$35,K335&lt;K$37,J$36,K335&lt;K$38,J$37,K335&lt;K$39,J$38,K335&lt;K$40,J$39,K335&lt;K$41,J$40,K335&lt;K$42,J$41,K335&lt;K$43,J$42,K335&lt;K$44,J$43,K335&lt;K$45,J$44,K335&lt;K$46,J$45,K335&lt;K$47,J$46,K335&gt;=K$47,J$47)</f>
        <v/>
      </c>
      <c r="K335" s="38" t="n">
        <v>285</v>
      </c>
      <c r="L335" s="31">
        <f>K335/52</f>
        <v/>
      </c>
      <c r="M335" s="39">
        <f>J335/1000000*52</f>
        <v/>
      </c>
      <c r="N335" s="33">
        <f>M335/$P$4+($I$22/$P$4)</f>
        <v/>
      </c>
      <c r="U335">
        <f>F334</f>
        <v/>
      </c>
      <c r="V335">
        <f>H334</f>
        <v/>
      </c>
      <c r="W335">
        <f>N334</f>
        <v/>
      </c>
    </row>
    <row r="336" ht="15.75" customHeight="1" s="40">
      <c r="C336" s="36">
        <f>_xlfn.IFS(E336&lt;E$24,0,E336&lt;E$26,C$24,E336&lt;E$28,C$26,E336&lt;E$30,C$28,E336&lt;E$32,C$30,E336&lt;E$34,C$32,E336&gt;=E$34,C$34)</f>
        <v/>
      </c>
      <c r="D336" s="37">
        <f>_xlfn.IFS(E336&lt;E$24,0,E336&lt;E$25,D$24,E336&lt;E$26,D$25,E336&lt;E$27,D$26,E336&lt;E$28,D$27,E336&lt;E$29,D$28,E336&lt;E$30,D$29,E336&lt;E$31,D$30,E336&lt;E$32,D$31,E336&lt;E$33,D$32,E336&lt;E$34,D$33,E336&lt;E$35,D$34,E336&gt;=E$35,D$35)</f>
        <v/>
      </c>
      <c r="E336" s="38" t="n">
        <v>286</v>
      </c>
      <c r="F336" s="31">
        <f>E336/52</f>
        <v/>
      </c>
      <c r="G336" s="39">
        <f>D336/1000000*52</f>
        <v/>
      </c>
      <c r="H336" s="33">
        <f>G336/$P$4+($C$22/$P$4)</f>
        <v/>
      </c>
      <c r="I336" s="36">
        <f>_xlfn.IFS(K336&lt;K$24,0,K336&lt;K$26,I$24,K336&lt;K$28,I$26,K336&lt;K$30,I$28,K336&lt;K$32,I$30,K336&lt;K$34,I$32,K336&lt;K$36,I$34,K336&lt;K$38,I$36,K336&lt;K$40,I$38,K336&lt;K$42,I$40,K336&lt;K$44,I$42,K336&lt;K$46,I$44,K336&gt;=K$46,I$46)</f>
        <v/>
      </c>
      <c r="J336" s="37">
        <f>_xlfn.IFS(K336&lt;K$24,0,K336&lt;K$25,J$24,K336&lt;K$26,J$25,K336&lt;K$27,J$26,K336&lt;K$28,J$27,K336&lt;K$29,J$28,K336&lt;K$30,J$29,K336&lt;K$31,J$30,K336&lt;K$32,J$31,K336&lt;K$33,J$32,K336&lt;K$34,J$33,K336&lt;K$35,J$34,K336&lt;K$36,J$35,K336&lt;K$37,J$36,K336&lt;K$38,J$37,K336&lt;K$39,J$38,K336&lt;K$40,J$39,K336&lt;K$41,J$40,K336&lt;K$42,J$41,K336&lt;K$43,J$42,K336&lt;K$44,J$43,K336&lt;K$45,J$44,K336&lt;K$46,J$45,K336&lt;K$47,J$46,K336&gt;=K$47,J$47)</f>
        <v/>
      </c>
      <c r="K336" s="38" t="n">
        <v>286</v>
      </c>
      <c r="L336" s="31">
        <f>K336/52</f>
        <v/>
      </c>
      <c r="M336" s="39">
        <f>J336/1000000*52</f>
        <v/>
      </c>
      <c r="N336" s="33">
        <f>M336/$P$4+($I$22/$P$4)</f>
        <v/>
      </c>
      <c r="U336">
        <f>F335</f>
        <v/>
      </c>
      <c r="V336">
        <f>H335</f>
        <v/>
      </c>
      <c r="W336">
        <f>N335</f>
        <v/>
      </c>
    </row>
    <row r="337" ht="15.75" customHeight="1" s="40">
      <c r="C337" s="36">
        <f>_xlfn.IFS(E337&lt;E$24,0,E337&lt;E$26,C$24,E337&lt;E$28,C$26,E337&lt;E$30,C$28,E337&lt;E$32,C$30,E337&lt;E$34,C$32,E337&gt;=E$34,C$34)</f>
        <v/>
      </c>
      <c r="D337" s="37">
        <f>_xlfn.IFS(E337&lt;E$24,0,E337&lt;E$25,D$24,E337&lt;E$26,D$25,E337&lt;E$27,D$26,E337&lt;E$28,D$27,E337&lt;E$29,D$28,E337&lt;E$30,D$29,E337&lt;E$31,D$30,E337&lt;E$32,D$31,E337&lt;E$33,D$32,E337&lt;E$34,D$33,E337&lt;E$35,D$34,E337&gt;=E$35,D$35)</f>
        <v/>
      </c>
      <c r="E337" s="38" t="n">
        <v>287</v>
      </c>
      <c r="F337" s="31">
        <f>E337/52</f>
        <v/>
      </c>
      <c r="G337" s="39">
        <f>D337/1000000*52</f>
        <v/>
      </c>
      <c r="H337" s="33">
        <f>G337/$P$4+($C$22/$P$4)</f>
        <v/>
      </c>
      <c r="I337" s="36">
        <f>_xlfn.IFS(K337&lt;K$24,0,K337&lt;K$26,I$24,K337&lt;K$28,I$26,K337&lt;K$30,I$28,K337&lt;K$32,I$30,K337&lt;K$34,I$32,K337&lt;K$36,I$34,K337&lt;K$38,I$36,K337&lt;K$40,I$38,K337&lt;K$42,I$40,K337&lt;K$44,I$42,K337&lt;K$46,I$44,K337&gt;=K$46,I$46)</f>
        <v/>
      </c>
      <c r="J337" s="37">
        <f>_xlfn.IFS(K337&lt;K$24,0,K337&lt;K$25,J$24,K337&lt;K$26,J$25,K337&lt;K$27,J$26,K337&lt;K$28,J$27,K337&lt;K$29,J$28,K337&lt;K$30,J$29,K337&lt;K$31,J$30,K337&lt;K$32,J$31,K337&lt;K$33,J$32,K337&lt;K$34,J$33,K337&lt;K$35,J$34,K337&lt;K$36,J$35,K337&lt;K$37,J$36,K337&lt;K$38,J$37,K337&lt;K$39,J$38,K337&lt;K$40,J$39,K337&lt;K$41,J$40,K337&lt;K$42,J$41,K337&lt;K$43,J$42,K337&lt;K$44,J$43,K337&lt;K$45,J$44,K337&lt;K$46,J$45,K337&lt;K$47,J$46,K337&gt;=K$47,J$47)</f>
        <v/>
      </c>
      <c r="K337" s="38" t="n">
        <v>287</v>
      </c>
      <c r="L337" s="31">
        <f>K337/52</f>
        <v/>
      </c>
      <c r="M337" s="39">
        <f>J337/1000000*52</f>
        <v/>
      </c>
      <c r="N337" s="33">
        <f>M337/$P$4+($I$22/$P$4)</f>
        <v/>
      </c>
      <c r="U337">
        <f>F336</f>
        <v/>
      </c>
      <c r="V337">
        <f>H336</f>
        <v/>
      </c>
      <c r="W337">
        <f>N336</f>
        <v/>
      </c>
    </row>
    <row r="338" ht="15.75" customHeight="1" s="40">
      <c r="C338" s="36">
        <f>_xlfn.IFS(E338&lt;E$24,0,E338&lt;E$26,C$24,E338&lt;E$28,C$26,E338&lt;E$30,C$28,E338&lt;E$32,C$30,E338&lt;E$34,C$32,E338&gt;=E$34,C$34)</f>
        <v/>
      </c>
      <c r="D338" s="37">
        <f>_xlfn.IFS(E338&lt;E$24,0,E338&lt;E$25,D$24,E338&lt;E$26,D$25,E338&lt;E$27,D$26,E338&lt;E$28,D$27,E338&lt;E$29,D$28,E338&lt;E$30,D$29,E338&lt;E$31,D$30,E338&lt;E$32,D$31,E338&lt;E$33,D$32,E338&lt;E$34,D$33,E338&lt;E$35,D$34,E338&gt;=E$35,D$35)</f>
        <v/>
      </c>
      <c r="E338" s="38" t="n">
        <v>288</v>
      </c>
      <c r="F338" s="31">
        <f>E338/52</f>
        <v/>
      </c>
      <c r="G338" s="39">
        <f>D338/1000000*52</f>
        <v/>
      </c>
      <c r="H338" s="33">
        <f>G338/$P$4+($C$22/$P$4)</f>
        <v/>
      </c>
      <c r="I338" s="36">
        <f>_xlfn.IFS(K338&lt;K$24,0,K338&lt;K$26,I$24,K338&lt;K$28,I$26,K338&lt;K$30,I$28,K338&lt;K$32,I$30,K338&lt;K$34,I$32,K338&lt;K$36,I$34,K338&lt;K$38,I$36,K338&lt;K$40,I$38,K338&lt;K$42,I$40,K338&lt;K$44,I$42,K338&lt;K$46,I$44,K338&gt;=K$46,I$46)</f>
        <v/>
      </c>
      <c r="J338" s="37">
        <f>_xlfn.IFS(K338&lt;K$24,0,K338&lt;K$25,J$24,K338&lt;K$26,J$25,K338&lt;K$27,J$26,K338&lt;K$28,J$27,K338&lt;K$29,J$28,K338&lt;K$30,J$29,K338&lt;K$31,J$30,K338&lt;K$32,J$31,K338&lt;K$33,J$32,K338&lt;K$34,J$33,K338&lt;K$35,J$34,K338&lt;K$36,J$35,K338&lt;K$37,J$36,K338&lt;K$38,J$37,K338&lt;K$39,J$38,K338&lt;K$40,J$39,K338&lt;K$41,J$40,K338&lt;K$42,J$41,K338&lt;K$43,J$42,K338&lt;K$44,J$43,K338&lt;K$45,J$44,K338&lt;K$46,J$45,K338&lt;K$47,J$46,K338&gt;=K$47,J$47)</f>
        <v/>
      </c>
      <c r="K338" s="38" t="n">
        <v>288</v>
      </c>
      <c r="L338" s="31">
        <f>K338/52</f>
        <v/>
      </c>
      <c r="M338" s="39">
        <f>J338/1000000*52</f>
        <v/>
      </c>
      <c r="N338" s="33">
        <f>M338/$P$4+($I$22/$P$4)</f>
        <v/>
      </c>
      <c r="U338">
        <f>F337</f>
        <v/>
      </c>
      <c r="V338">
        <f>H337</f>
        <v/>
      </c>
      <c r="W338">
        <f>N337</f>
        <v/>
      </c>
    </row>
    <row r="339" ht="15.75" customHeight="1" s="40">
      <c r="C339" s="36">
        <f>_xlfn.IFS(E339&lt;E$24,0,E339&lt;E$26,C$24,E339&lt;E$28,C$26,E339&lt;E$30,C$28,E339&lt;E$32,C$30,E339&lt;E$34,C$32,E339&gt;=E$34,C$34)</f>
        <v/>
      </c>
      <c r="D339" s="37">
        <f>_xlfn.IFS(E339&lt;E$24,0,E339&lt;E$25,D$24,E339&lt;E$26,D$25,E339&lt;E$27,D$26,E339&lt;E$28,D$27,E339&lt;E$29,D$28,E339&lt;E$30,D$29,E339&lt;E$31,D$30,E339&lt;E$32,D$31,E339&lt;E$33,D$32,E339&lt;E$34,D$33,E339&lt;E$35,D$34,E339&gt;=E$35,D$35)</f>
        <v/>
      </c>
      <c r="E339" s="38" t="n">
        <v>289</v>
      </c>
      <c r="F339" s="31">
        <f>E339/52</f>
        <v/>
      </c>
      <c r="G339" s="39">
        <f>D339/1000000*52</f>
        <v/>
      </c>
      <c r="H339" s="33">
        <f>G339/$P$4+($C$22/$P$4)</f>
        <v/>
      </c>
      <c r="I339" s="36">
        <f>_xlfn.IFS(K339&lt;K$24,0,K339&lt;K$26,I$24,K339&lt;K$28,I$26,K339&lt;K$30,I$28,K339&lt;K$32,I$30,K339&lt;K$34,I$32,K339&lt;K$36,I$34,K339&lt;K$38,I$36,K339&lt;K$40,I$38,K339&lt;K$42,I$40,K339&lt;K$44,I$42,K339&lt;K$46,I$44,K339&gt;=K$46,I$46)</f>
        <v/>
      </c>
      <c r="J339" s="37">
        <f>_xlfn.IFS(K339&lt;K$24,0,K339&lt;K$25,J$24,K339&lt;K$26,J$25,K339&lt;K$27,J$26,K339&lt;K$28,J$27,K339&lt;K$29,J$28,K339&lt;K$30,J$29,K339&lt;K$31,J$30,K339&lt;K$32,J$31,K339&lt;K$33,J$32,K339&lt;K$34,J$33,K339&lt;K$35,J$34,K339&lt;K$36,J$35,K339&lt;K$37,J$36,K339&lt;K$38,J$37,K339&lt;K$39,J$38,K339&lt;K$40,J$39,K339&lt;K$41,J$40,K339&lt;K$42,J$41,K339&lt;K$43,J$42,K339&lt;K$44,J$43,K339&lt;K$45,J$44,K339&lt;K$46,J$45,K339&lt;K$47,J$46,K339&gt;=K$47,J$47)</f>
        <v/>
      </c>
      <c r="K339" s="38" t="n">
        <v>289</v>
      </c>
      <c r="L339" s="31">
        <f>K339/52</f>
        <v/>
      </c>
      <c r="M339" s="39">
        <f>J339/1000000*52</f>
        <v/>
      </c>
      <c r="N339" s="33">
        <f>M339/$P$4+($I$22/$P$4)</f>
        <v/>
      </c>
      <c r="U339">
        <f>F338</f>
        <v/>
      </c>
      <c r="V339">
        <f>H338</f>
        <v/>
      </c>
      <c r="W339">
        <f>N338</f>
        <v/>
      </c>
    </row>
    <row r="340" ht="15.75" customHeight="1" s="40">
      <c r="C340" s="36">
        <f>_xlfn.IFS(E340&lt;E$24,0,E340&lt;E$26,C$24,E340&lt;E$28,C$26,E340&lt;E$30,C$28,E340&lt;E$32,C$30,E340&lt;E$34,C$32,E340&gt;=E$34,C$34)</f>
        <v/>
      </c>
      <c r="D340" s="37">
        <f>_xlfn.IFS(E340&lt;E$24,0,E340&lt;E$25,D$24,E340&lt;E$26,D$25,E340&lt;E$27,D$26,E340&lt;E$28,D$27,E340&lt;E$29,D$28,E340&lt;E$30,D$29,E340&lt;E$31,D$30,E340&lt;E$32,D$31,E340&lt;E$33,D$32,E340&lt;E$34,D$33,E340&lt;E$35,D$34,E340&gt;=E$35,D$35)</f>
        <v/>
      </c>
      <c r="E340" s="38" t="n">
        <v>290</v>
      </c>
      <c r="F340" s="31">
        <f>E340/52</f>
        <v/>
      </c>
      <c r="G340" s="39">
        <f>D340/1000000*52</f>
        <v/>
      </c>
      <c r="H340" s="33">
        <f>G340/$P$4+($C$22/$P$4)</f>
        <v/>
      </c>
      <c r="I340" s="36">
        <f>_xlfn.IFS(K340&lt;K$24,0,K340&lt;K$26,I$24,K340&lt;K$28,I$26,K340&lt;K$30,I$28,K340&lt;K$32,I$30,K340&lt;K$34,I$32,K340&lt;K$36,I$34,K340&lt;K$38,I$36,K340&lt;K$40,I$38,K340&lt;K$42,I$40,K340&lt;K$44,I$42,K340&lt;K$46,I$44,K340&gt;=K$46,I$46)</f>
        <v/>
      </c>
      <c r="J340" s="37">
        <f>_xlfn.IFS(K340&lt;K$24,0,K340&lt;K$25,J$24,K340&lt;K$26,J$25,K340&lt;K$27,J$26,K340&lt;K$28,J$27,K340&lt;K$29,J$28,K340&lt;K$30,J$29,K340&lt;K$31,J$30,K340&lt;K$32,J$31,K340&lt;K$33,J$32,K340&lt;K$34,J$33,K340&lt;K$35,J$34,K340&lt;K$36,J$35,K340&lt;K$37,J$36,K340&lt;K$38,J$37,K340&lt;K$39,J$38,K340&lt;K$40,J$39,K340&lt;K$41,J$40,K340&lt;K$42,J$41,K340&lt;K$43,J$42,K340&lt;K$44,J$43,K340&lt;K$45,J$44,K340&lt;K$46,J$45,K340&lt;K$47,J$46,K340&gt;=K$47,J$47)</f>
        <v/>
      </c>
      <c r="K340" s="38" t="n">
        <v>290</v>
      </c>
      <c r="L340" s="31">
        <f>K340/52</f>
        <v/>
      </c>
      <c r="M340" s="39">
        <f>J340/1000000*52</f>
        <v/>
      </c>
      <c r="N340" s="33">
        <f>M340/$P$4+($I$22/$P$4)</f>
        <v/>
      </c>
      <c r="U340">
        <f>F339</f>
        <v/>
      </c>
      <c r="V340">
        <f>H339</f>
        <v/>
      </c>
      <c r="W340">
        <f>N339</f>
        <v/>
      </c>
    </row>
    <row r="341" ht="15.75" customHeight="1" s="40">
      <c r="C341" s="36">
        <f>_xlfn.IFS(E341&lt;E$24,0,E341&lt;E$26,C$24,E341&lt;E$28,C$26,E341&lt;E$30,C$28,E341&lt;E$32,C$30,E341&lt;E$34,C$32,E341&gt;=E$34,C$34)</f>
        <v/>
      </c>
      <c r="D341" s="37">
        <f>_xlfn.IFS(E341&lt;E$24,0,E341&lt;E$25,D$24,E341&lt;E$26,D$25,E341&lt;E$27,D$26,E341&lt;E$28,D$27,E341&lt;E$29,D$28,E341&lt;E$30,D$29,E341&lt;E$31,D$30,E341&lt;E$32,D$31,E341&lt;E$33,D$32,E341&lt;E$34,D$33,E341&lt;E$35,D$34,E341&gt;=E$35,D$35)</f>
        <v/>
      </c>
      <c r="E341" s="38" t="n">
        <v>291</v>
      </c>
      <c r="F341" s="31">
        <f>E341/52</f>
        <v/>
      </c>
      <c r="G341" s="39">
        <f>D341/1000000*52</f>
        <v/>
      </c>
      <c r="H341" s="33">
        <f>G341/$P$4+($C$22/$P$4)</f>
        <v/>
      </c>
      <c r="I341" s="36">
        <f>_xlfn.IFS(K341&lt;K$24,0,K341&lt;K$26,I$24,K341&lt;K$28,I$26,K341&lt;K$30,I$28,K341&lt;K$32,I$30,K341&lt;K$34,I$32,K341&lt;K$36,I$34,K341&lt;K$38,I$36,K341&lt;K$40,I$38,K341&lt;K$42,I$40,K341&lt;K$44,I$42,K341&lt;K$46,I$44,K341&gt;=K$46,I$46)</f>
        <v/>
      </c>
      <c r="J341" s="37">
        <f>_xlfn.IFS(K341&lt;K$24,0,K341&lt;K$25,J$24,K341&lt;K$26,J$25,K341&lt;K$27,J$26,K341&lt;K$28,J$27,K341&lt;K$29,J$28,K341&lt;K$30,J$29,K341&lt;K$31,J$30,K341&lt;K$32,J$31,K341&lt;K$33,J$32,K341&lt;K$34,J$33,K341&lt;K$35,J$34,K341&lt;K$36,J$35,K341&lt;K$37,J$36,K341&lt;K$38,J$37,K341&lt;K$39,J$38,K341&lt;K$40,J$39,K341&lt;K$41,J$40,K341&lt;K$42,J$41,K341&lt;K$43,J$42,K341&lt;K$44,J$43,K341&lt;K$45,J$44,K341&lt;K$46,J$45,K341&lt;K$47,J$46,K341&gt;=K$47,J$47)</f>
        <v/>
      </c>
      <c r="K341" s="38" t="n">
        <v>291</v>
      </c>
      <c r="L341" s="31">
        <f>K341/52</f>
        <v/>
      </c>
      <c r="M341" s="39">
        <f>J341/1000000*52</f>
        <v/>
      </c>
      <c r="N341" s="33">
        <f>M341/$P$4+($I$22/$P$4)</f>
        <v/>
      </c>
      <c r="U341">
        <f>F340</f>
        <v/>
      </c>
      <c r="V341">
        <f>H340</f>
        <v/>
      </c>
      <c r="W341">
        <f>N340</f>
        <v/>
      </c>
    </row>
    <row r="342" ht="15.75" customHeight="1" s="40">
      <c r="C342" s="36">
        <f>_xlfn.IFS(E342&lt;E$24,0,E342&lt;E$26,C$24,E342&lt;E$28,C$26,E342&lt;E$30,C$28,E342&lt;E$32,C$30,E342&lt;E$34,C$32,E342&gt;=E$34,C$34)</f>
        <v/>
      </c>
      <c r="D342" s="37">
        <f>_xlfn.IFS(E342&lt;E$24,0,E342&lt;E$25,D$24,E342&lt;E$26,D$25,E342&lt;E$27,D$26,E342&lt;E$28,D$27,E342&lt;E$29,D$28,E342&lt;E$30,D$29,E342&lt;E$31,D$30,E342&lt;E$32,D$31,E342&lt;E$33,D$32,E342&lt;E$34,D$33,E342&lt;E$35,D$34,E342&gt;=E$35,D$35)</f>
        <v/>
      </c>
      <c r="E342" s="38" t="n">
        <v>292</v>
      </c>
      <c r="F342" s="31">
        <f>E342/52</f>
        <v/>
      </c>
      <c r="G342" s="39">
        <f>D342/1000000*52</f>
        <v/>
      </c>
      <c r="H342" s="33">
        <f>G342/$P$4+($C$22/$P$4)</f>
        <v/>
      </c>
      <c r="I342" s="36">
        <f>_xlfn.IFS(K342&lt;K$24,0,K342&lt;K$26,I$24,K342&lt;K$28,I$26,K342&lt;K$30,I$28,K342&lt;K$32,I$30,K342&lt;K$34,I$32,K342&lt;K$36,I$34,K342&lt;K$38,I$36,K342&lt;K$40,I$38,K342&lt;K$42,I$40,K342&lt;K$44,I$42,K342&lt;K$46,I$44,K342&gt;=K$46,I$46)</f>
        <v/>
      </c>
      <c r="J342" s="37">
        <f>_xlfn.IFS(K342&lt;K$24,0,K342&lt;K$25,J$24,K342&lt;K$26,J$25,K342&lt;K$27,J$26,K342&lt;K$28,J$27,K342&lt;K$29,J$28,K342&lt;K$30,J$29,K342&lt;K$31,J$30,K342&lt;K$32,J$31,K342&lt;K$33,J$32,K342&lt;K$34,J$33,K342&lt;K$35,J$34,K342&lt;K$36,J$35,K342&lt;K$37,J$36,K342&lt;K$38,J$37,K342&lt;K$39,J$38,K342&lt;K$40,J$39,K342&lt;K$41,J$40,K342&lt;K$42,J$41,K342&lt;K$43,J$42,K342&lt;K$44,J$43,K342&lt;K$45,J$44,K342&lt;K$46,J$45,K342&lt;K$47,J$46,K342&gt;=K$47,J$47)</f>
        <v/>
      </c>
      <c r="K342" s="38" t="n">
        <v>292</v>
      </c>
      <c r="L342" s="31">
        <f>K342/52</f>
        <v/>
      </c>
      <c r="M342" s="39">
        <f>J342/1000000*52</f>
        <v/>
      </c>
      <c r="N342" s="33">
        <f>M342/$P$4+($I$22/$P$4)</f>
        <v/>
      </c>
      <c r="U342">
        <f>F341</f>
        <v/>
      </c>
      <c r="V342">
        <f>H341</f>
        <v/>
      </c>
      <c r="W342">
        <f>N341</f>
        <v/>
      </c>
    </row>
    <row r="343" ht="15.75" customHeight="1" s="40">
      <c r="C343" s="36">
        <f>_xlfn.IFS(E343&lt;E$24,0,E343&lt;E$26,C$24,E343&lt;E$28,C$26,E343&lt;E$30,C$28,E343&lt;E$32,C$30,E343&lt;E$34,C$32,E343&gt;=E$34,C$34)</f>
        <v/>
      </c>
      <c r="D343" s="37">
        <f>_xlfn.IFS(E343&lt;E$24,0,E343&lt;E$25,D$24,E343&lt;E$26,D$25,E343&lt;E$27,D$26,E343&lt;E$28,D$27,E343&lt;E$29,D$28,E343&lt;E$30,D$29,E343&lt;E$31,D$30,E343&lt;E$32,D$31,E343&lt;E$33,D$32,E343&lt;E$34,D$33,E343&lt;E$35,D$34,E343&gt;=E$35,D$35)</f>
        <v/>
      </c>
      <c r="E343" s="38" t="n">
        <v>293</v>
      </c>
      <c r="F343" s="31">
        <f>E343/52</f>
        <v/>
      </c>
      <c r="G343" s="39">
        <f>D343/1000000*52</f>
        <v/>
      </c>
      <c r="H343" s="33">
        <f>G343/$P$4+($C$22/$P$4)</f>
        <v/>
      </c>
      <c r="I343" s="36">
        <f>_xlfn.IFS(K343&lt;K$24,0,K343&lt;K$26,I$24,K343&lt;K$28,I$26,K343&lt;K$30,I$28,K343&lt;K$32,I$30,K343&lt;K$34,I$32,K343&lt;K$36,I$34,K343&lt;K$38,I$36,K343&lt;K$40,I$38,K343&lt;K$42,I$40,K343&lt;K$44,I$42,K343&lt;K$46,I$44,K343&gt;=K$46,I$46)</f>
        <v/>
      </c>
      <c r="J343" s="37">
        <f>_xlfn.IFS(K343&lt;K$24,0,K343&lt;K$25,J$24,K343&lt;K$26,J$25,K343&lt;K$27,J$26,K343&lt;K$28,J$27,K343&lt;K$29,J$28,K343&lt;K$30,J$29,K343&lt;K$31,J$30,K343&lt;K$32,J$31,K343&lt;K$33,J$32,K343&lt;K$34,J$33,K343&lt;K$35,J$34,K343&lt;K$36,J$35,K343&lt;K$37,J$36,K343&lt;K$38,J$37,K343&lt;K$39,J$38,K343&lt;K$40,J$39,K343&lt;K$41,J$40,K343&lt;K$42,J$41,K343&lt;K$43,J$42,K343&lt;K$44,J$43,K343&lt;K$45,J$44,K343&lt;K$46,J$45,K343&lt;K$47,J$46,K343&gt;=K$47,J$47)</f>
        <v/>
      </c>
      <c r="K343" s="38" t="n">
        <v>293</v>
      </c>
      <c r="L343" s="31">
        <f>K343/52</f>
        <v/>
      </c>
      <c r="M343" s="39">
        <f>J343/1000000*52</f>
        <v/>
      </c>
      <c r="N343" s="33">
        <f>M343/$P$4+($I$22/$P$4)</f>
        <v/>
      </c>
      <c r="U343">
        <f>F342</f>
        <v/>
      </c>
      <c r="V343">
        <f>H342</f>
        <v/>
      </c>
      <c r="W343">
        <f>N342</f>
        <v/>
      </c>
    </row>
    <row r="344" ht="15.75" customHeight="1" s="40">
      <c r="C344" s="36">
        <f>_xlfn.IFS(E344&lt;E$24,0,E344&lt;E$26,C$24,E344&lt;E$28,C$26,E344&lt;E$30,C$28,E344&lt;E$32,C$30,E344&lt;E$34,C$32,E344&gt;=E$34,C$34)</f>
        <v/>
      </c>
      <c r="D344" s="37">
        <f>_xlfn.IFS(E344&lt;E$24,0,E344&lt;E$25,D$24,E344&lt;E$26,D$25,E344&lt;E$27,D$26,E344&lt;E$28,D$27,E344&lt;E$29,D$28,E344&lt;E$30,D$29,E344&lt;E$31,D$30,E344&lt;E$32,D$31,E344&lt;E$33,D$32,E344&lt;E$34,D$33,E344&lt;E$35,D$34,E344&gt;=E$35,D$35)</f>
        <v/>
      </c>
      <c r="E344" s="38" t="n">
        <v>294</v>
      </c>
      <c r="F344" s="31">
        <f>E344/52</f>
        <v/>
      </c>
      <c r="G344" s="39">
        <f>D344/1000000*52</f>
        <v/>
      </c>
      <c r="H344" s="33">
        <f>G344/$P$4+($C$22/$P$4)</f>
        <v/>
      </c>
      <c r="I344" s="36">
        <f>_xlfn.IFS(K344&lt;K$24,0,K344&lt;K$26,I$24,K344&lt;K$28,I$26,K344&lt;K$30,I$28,K344&lt;K$32,I$30,K344&lt;K$34,I$32,K344&lt;K$36,I$34,K344&lt;K$38,I$36,K344&lt;K$40,I$38,K344&lt;K$42,I$40,K344&lt;K$44,I$42,K344&lt;K$46,I$44,K344&gt;=K$46,I$46)</f>
        <v/>
      </c>
      <c r="J344" s="37">
        <f>_xlfn.IFS(K344&lt;K$24,0,K344&lt;K$25,J$24,K344&lt;K$26,J$25,K344&lt;K$27,J$26,K344&lt;K$28,J$27,K344&lt;K$29,J$28,K344&lt;K$30,J$29,K344&lt;K$31,J$30,K344&lt;K$32,J$31,K344&lt;K$33,J$32,K344&lt;K$34,J$33,K344&lt;K$35,J$34,K344&lt;K$36,J$35,K344&lt;K$37,J$36,K344&lt;K$38,J$37,K344&lt;K$39,J$38,K344&lt;K$40,J$39,K344&lt;K$41,J$40,K344&lt;K$42,J$41,K344&lt;K$43,J$42,K344&lt;K$44,J$43,K344&lt;K$45,J$44,K344&lt;K$46,J$45,K344&lt;K$47,J$46,K344&gt;=K$47,J$47)</f>
        <v/>
      </c>
      <c r="K344" s="38" t="n">
        <v>294</v>
      </c>
      <c r="L344" s="31">
        <f>K344/52</f>
        <v/>
      </c>
      <c r="M344" s="39">
        <f>J344/1000000*52</f>
        <v/>
      </c>
      <c r="N344" s="33">
        <f>M344/$P$4+($I$22/$P$4)</f>
        <v/>
      </c>
      <c r="U344">
        <f>F343</f>
        <v/>
      </c>
      <c r="V344">
        <f>H343</f>
        <v/>
      </c>
      <c r="W344">
        <f>N343</f>
        <v/>
      </c>
    </row>
    <row r="345" ht="15.75" customHeight="1" s="40">
      <c r="C345" s="36">
        <f>_xlfn.IFS(E345&lt;E$24,0,E345&lt;E$26,C$24,E345&lt;E$28,C$26,E345&lt;E$30,C$28,E345&lt;E$32,C$30,E345&lt;E$34,C$32,E345&gt;=E$34,C$34)</f>
        <v/>
      </c>
      <c r="D345" s="37">
        <f>_xlfn.IFS(E345&lt;E$24,0,E345&lt;E$25,D$24,E345&lt;E$26,D$25,E345&lt;E$27,D$26,E345&lt;E$28,D$27,E345&lt;E$29,D$28,E345&lt;E$30,D$29,E345&lt;E$31,D$30,E345&lt;E$32,D$31,E345&lt;E$33,D$32,E345&lt;E$34,D$33,E345&lt;E$35,D$34,E345&gt;=E$35,D$35)</f>
        <v/>
      </c>
      <c r="E345" s="38" t="n">
        <v>295</v>
      </c>
      <c r="F345" s="31">
        <f>E345/52</f>
        <v/>
      </c>
      <c r="G345" s="39">
        <f>D345/1000000*52</f>
        <v/>
      </c>
      <c r="H345" s="33">
        <f>G345/$P$4+($C$22/$P$4)</f>
        <v/>
      </c>
      <c r="I345" s="36">
        <f>_xlfn.IFS(K345&lt;K$24,0,K345&lt;K$26,I$24,K345&lt;K$28,I$26,K345&lt;K$30,I$28,K345&lt;K$32,I$30,K345&lt;K$34,I$32,K345&lt;K$36,I$34,K345&lt;K$38,I$36,K345&lt;K$40,I$38,K345&lt;K$42,I$40,K345&lt;K$44,I$42,K345&lt;K$46,I$44,K345&gt;=K$46,I$46)</f>
        <v/>
      </c>
      <c r="J345" s="37">
        <f>_xlfn.IFS(K345&lt;K$24,0,K345&lt;K$25,J$24,K345&lt;K$26,J$25,K345&lt;K$27,J$26,K345&lt;K$28,J$27,K345&lt;K$29,J$28,K345&lt;K$30,J$29,K345&lt;K$31,J$30,K345&lt;K$32,J$31,K345&lt;K$33,J$32,K345&lt;K$34,J$33,K345&lt;K$35,J$34,K345&lt;K$36,J$35,K345&lt;K$37,J$36,K345&lt;K$38,J$37,K345&lt;K$39,J$38,K345&lt;K$40,J$39,K345&lt;K$41,J$40,K345&lt;K$42,J$41,K345&lt;K$43,J$42,K345&lt;K$44,J$43,K345&lt;K$45,J$44,K345&lt;K$46,J$45,K345&lt;K$47,J$46,K345&gt;=K$47,J$47)</f>
        <v/>
      </c>
      <c r="K345" s="38" t="n">
        <v>295</v>
      </c>
      <c r="L345" s="31">
        <f>K345/52</f>
        <v/>
      </c>
      <c r="M345" s="39">
        <f>J345/1000000*52</f>
        <v/>
      </c>
      <c r="N345" s="33">
        <f>M345/$P$4+($I$22/$P$4)</f>
        <v/>
      </c>
      <c r="U345">
        <f>F344</f>
        <v/>
      </c>
      <c r="V345">
        <f>H344</f>
        <v/>
      </c>
      <c r="W345">
        <f>N344</f>
        <v/>
      </c>
    </row>
    <row r="346" ht="15.75" customHeight="1" s="40">
      <c r="C346" s="36">
        <f>_xlfn.IFS(E346&lt;E$24,0,E346&lt;E$26,C$24,E346&lt;E$28,C$26,E346&lt;E$30,C$28,E346&lt;E$32,C$30,E346&lt;E$34,C$32,E346&gt;=E$34,C$34)</f>
        <v/>
      </c>
      <c r="D346" s="37">
        <f>_xlfn.IFS(E346&lt;E$24,0,E346&lt;E$25,D$24,E346&lt;E$26,D$25,E346&lt;E$27,D$26,E346&lt;E$28,D$27,E346&lt;E$29,D$28,E346&lt;E$30,D$29,E346&lt;E$31,D$30,E346&lt;E$32,D$31,E346&lt;E$33,D$32,E346&lt;E$34,D$33,E346&lt;E$35,D$34,E346&gt;=E$35,D$35)</f>
        <v/>
      </c>
      <c r="E346" s="38" t="n">
        <v>296</v>
      </c>
      <c r="F346" s="31">
        <f>E346/52</f>
        <v/>
      </c>
      <c r="G346" s="39">
        <f>D346/1000000*52</f>
        <v/>
      </c>
      <c r="H346" s="33">
        <f>G346/$P$4+($C$22/$P$4)</f>
        <v/>
      </c>
      <c r="I346" s="36">
        <f>_xlfn.IFS(K346&lt;K$24,0,K346&lt;K$26,I$24,K346&lt;K$28,I$26,K346&lt;K$30,I$28,K346&lt;K$32,I$30,K346&lt;K$34,I$32,K346&lt;K$36,I$34,K346&lt;K$38,I$36,K346&lt;K$40,I$38,K346&lt;K$42,I$40,K346&lt;K$44,I$42,K346&lt;K$46,I$44,K346&gt;=K$46,I$46)</f>
        <v/>
      </c>
      <c r="J346" s="37">
        <f>_xlfn.IFS(K346&lt;K$24,0,K346&lt;K$25,J$24,K346&lt;K$26,J$25,K346&lt;K$27,J$26,K346&lt;K$28,J$27,K346&lt;K$29,J$28,K346&lt;K$30,J$29,K346&lt;K$31,J$30,K346&lt;K$32,J$31,K346&lt;K$33,J$32,K346&lt;K$34,J$33,K346&lt;K$35,J$34,K346&lt;K$36,J$35,K346&lt;K$37,J$36,K346&lt;K$38,J$37,K346&lt;K$39,J$38,K346&lt;K$40,J$39,K346&lt;K$41,J$40,K346&lt;K$42,J$41,K346&lt;K$43,J$42,K346&lt;K$44,J$43,K346&lt;K$45,J$44,K346&lt;K$46,J$45,K346&lt;K$47,J$46,K346&gt;=K$47,J$47)</f>
        <v/>
      </c>
      <c r="K346" s="38" t="n">
        <v>296</v>
      </c>
      <c r="L346" s="31">
        <f>K346/52</f>
        <v/>
      </c>
      <c r="M346" s="39">
        <f>J346/1000000*52</f>
        <v/>
      </c>
      <c r="N346" s="33">
        <f>M346/$P$4+($I$22/$P$4)</f>
        <v/>
      </c>
      <c r="U346">
        <f>F345</f>
        <v/>
      </c>
      <c r="V346">
        <f>H345</f>
        <v/>
      </c>
      <c r="W346">
        <f>N345</f>
        <v/>
      </c>
    </row>
    <row r="347" ht="15.75" customHeight="1" s="40">
      <c r="C347" s="36">
        <f>_xlfn.IFS(E347&lt;E$24,0,E347&lt;E$26,C$24,E347&lt;E$28,C$26,E347&lt;E$30,C$28,E347&lt;E$32,C$30,E347&lt;E$34,C$32,E347&gt;=E$34,C$34)</f>
        <v/>
      </c>
      <c r="D347" s="37">
        <f>_xlfn.IFS(E347&lt;E$24,0,E347&lt;E$25,D$24,E347&lt;E$26,D$25,E347&lt;E$27,D$26,E347&lt;E$28,D$27,E347&lt;E$29,D$28,E347&lt;E$30,D$29,E347&lt;E$31,D$30,E347&lt;E$32,D$31,E347&lt;E$33,D$32,E347&lt;E$34,D$33,E347&lt;E$35,D$34,E347&gt;=E$35,D$35)</f>
        <v/>
      </c>
      <c r="E347" s="38" t="n">
        <v>297</v>
      </c>
      <c r="F347" s="31">
        <f>E347/52</f>
        <v/>
      </c>
      <c r="G347" s="39">
        <f>D347/1000000*52</f>
        <v/>
      </c>
      <c r="H347" s="33">
        <f>G347/$P$4+($C$22/$P$4)</f>
        <v/>
      </c>
      <c r="I347" s="36">
        <f>_xlfn.IFS(K347&lt;K$24,0,K347&lt;K$26,I$24,K347&lt;K$28,I$26,K347&lt;K$30,I$28,K347&lt;K$32,I$30,K347&lt;K$34,I$32,K347&lt;K$36,I$34,K347&lt;K$38,I$36,K347&lt;K$40,I$38,K347&lt;K$42,I$40,K347&lt;K$44,I$42,K347&lt;K$46,I$44,K347&gt;=K$46,I$46)</f>
        <v/>
      </c>
      <c r="J347" s="37">
        <f>_xlfn.IFS(K347&lt;K$24,0,K347&lt;K$25,J$24,K347&lt;K$26,J$25,K347&lt;K$27,J$26,K347&lt;K$28,J$27,K347&lt;K$29,J$28,K347&lt;K$30,J$29,K347&lt;K$31,J$30,K347&lt;K$32,J$31,K347&lt;K$33,J$32,K347&lt;K$34,J$33,K347&lt;K$35,J$34,K347&lt;K$36,J$35,K347&lt;K$37,J$36,K347&lt;K$38,J$37,K347&lt;K$39,J$38,K347&lt;K$40,J$39,K347&lt;K$41,J$40,K347&lt;K$42,J$41,K347&lt;K$43,J$42,K347&lt;K$44,J$43,K347&lt;K$45,J$44,K347&lt;K$46,J$45,K347&lt;K$47,J$46,K347&gt;=K$47,J$47)</f>
        <v/>
      </c>
      <c r="K347" s="38" t="n">
        <v>297</v>
      </c>
      <c r="L347" s="31">
        <f>K347/52</f>
        <v/>
      </c>
      <c r="M347" s="39">
        <f>J347/1000000*52</f>
        <v/>
      </c>
      <c r="N347" s="33">
        <f>M347/$P$4+($I$22/$P$4)</f>
        <v/>
      </c>
      <c r="U347">
        <f>F346</f>
        <v/>
      </c>
      <c r="V347">
        <f>H346</f>
        <v/>
      </c>
      <c r="W347">
        <f>N346</f>
        <v/>
      </c>
    </row>
    <row r="348" ht="15.75" customHeight="1" s="40">
      <c r="C348" s="36">
        <f>_xlfn.IFS(E348&lt;E$24,0,E348&lt;E$26,C$24,E348&lt;E$28,C$26,E348&lt;E$30,C$28,E348&lt;E$32,C$30,E348&lt;E$34,C$32,E348&gt;=E$34,C$34)</f>
        <v/>
      </c>
      <c r="D348" s="37">
        <f>_xlfn.IFS(E348&lt;E$24,0,E348&lt;E$25,D$24,E348&lt;E$26,D$25,E348&lt;E$27,D$26,E348&lt;E$28,D$27,E348&lt;E$29,D$28,E348&lt;E$30,D$29,E348&lt;E$31,D$30,E348&lt;E$32,D$31,E348&lt;E$33,D$32,E348&lt;E$34,D$33,E348&lt;E$35,D$34,E348&gt;=E$35,D$35)</f>
        <v/>
      </c>
      <c r="E348" s="38" t="n">
        <v>298</v>
      </c>
      <c r="F348" s="31">
        <f>E348/52</f>
        <v/>
      </c>
      <c r="G348" s="39">
        <f>D348/1000000*52</f>
        <v/>
      </c>
      <c r="H348" s="33">
        <f>G348/$P$4+($C$22/$P$4)</f>
        <v/>
      </c>
      <c r="I348" s="36">
        <f>_xlfn.IFS(K348&lt;K$24,0,K348&lt;K$26,I$24,K348&lt;K$28,I$26,K348&lt;K$30,I$28,K348&lt;K$32,I$30,K348&lt;K$34,I$32,K348&lt;K$36,I$34,K348&lt;K$38,I$36,K348&lt;K$40,I$38,K348&lt;K$42,I$40,K348&lt;K$44,I$42,K348&lt;K$46,I$44,K348&gt;=K$46,I$46)</f>
        <v/>
      </c>
      <c r="J348" s="37">
        <f>_xlfn.IFS(K348&lt;K$24,0,K348&lt;K$25,J$24,K348&lt;K$26,J$25,K348&lt;K$27,J$26,K348&lt;K$28,J$27,K348&lt;K$29,J$28,K348&lt;K$30,J$29,K348&lt;K$31,J$30,K348&lt;K$32,J$31,K348&lt;K$33,J$32,K348&lt;K$34,J$33,K348&lt;K$35,J$34,K348&lt;K$36,J$35,K348&lt;K$37,J$36,K348&lt;K$38,J$37,K348&lt;K$39,J$38,K348&lt;K$40,J$39,K348&lt;K$41,J$40,K348&lt;K$42,J$41,K348&lt;K$43,J$42,K348&lt;K$44,J$43,K348&lt;K$45,J$44,K348&lt;K$46,J$45,K348&lt;K$47,J$46,K348&gt;=K$47,J$47)</f>
        <v/>
      </c>
      <c r="K348" s="38" t="n">
        <v>298</v>
      </c>
      <c r="L348" s="31">
        <f>K348/52</f>
        <v/>
      </c>
      <c r="M348" s="39">
        <f>J348/1000000*52</f>
        <v/>
      </c>
      <c r="N348" s="33">
        <f>M348/$P$4+($I$22/$P$4)</f>
        <v/>
      </c>
      <c r="U348">
        <f>F347</f>
        <v/>
      </c>
      <c r="V348">
        <f>H347</f>
        <v/>
      </c>
      <c r="W348">
        <f>N347</f>
        <v/>
      </c>
    </row>
    <row r="349" ht="15.75" customHeight="1" s="40">
      <c r="C349" s="36">
        <f>_xlfn.IFS(E349&lt;E$24,0,E349&lt;E$26,C$24,E349&lt;E$28,C$26,E349&lt;E$30,C$28,E349&lt;E$32,C$30,E349&lt;E$34,C$32,E349&gt;=E$34,C$34)</f>
        <v/>
      </c>
      <c r="D349" s="37">
        <f>_xlfn.IFS(E349&lt;E$24,0,E349&lt;E$25,D$24,E349&lt;E$26,D$25,E349&lt;E$27,D$26,E349&lt;E$28,D$27,E349&lt;E$29,D$28,E349&lt;E$30,D$29,E349&lt;E$31,D$30,E349&lt;E$32,D$31,E349&lt;E$33,D$32,E349&lt;E$34,D$33,E349&lt;E$35,D$34,E349&gt;=E$35,D$35)</f>
        <v/>
      </c>
      <c r="E349" s="38" t="n">
        <v>299</v>
      </c>
      <c r="F349" s="31">
        <f>E349/52</f>
        <v/>
      </c>
      <c r="G349" s="39">
        <f>D349/1000000*52</f>
        <v/>
      </c>
      <c r="H349" s="33">
        <f>G349/$P$4+($C$22/$P$4)</f>
        <v/>
      </c>
      <c r="I349" s="36">
        <f>_xlfn.IFS(K349&lt;K$24,0,K349&lt;K$26,I$24,K349&lt;K$28,I$26,K349&lt;K$30,I$28,K349&lt;K$32,I$30,K349&lt;K$34,I$32,K349&lt;K$36,I$34,K349&lt;K$38,I$36,K349&lt;K$40,I$38,K349&lt;K$42,I$40,K349&lt;K$44,I$42,K349&lt;K$46,I$44,K349&gt;=K$46,I$46)</f>
        <v/>
      </c>
      <c r="J349" s="37">
        <f>_xlfn.IFS(K349&lt;K$24,0,K349&lt;K$25,J$24,K349&lt;K$26,J$25,K349&lt;K$27,J$26,K349&lt;K$28,J$27,K349&lt;K$29,J$28,K349&lt;K$30,J$29,K349&lt;K$31,J$30,K349&lt;K$32,J$31,K349&lt;K$33,J$32,K349&lt;K$34,J$33,K349&lt;K$35,J$34,K349&lt;K$36,J$35,K349&lt;K$37,J$36,K349&lt;K$38,J$37,K349&lt;K$39,J$38,K349&lt;K$40,J$39,K349&lt;K$41,J$40,K349&lt;K$42,J$41,K349&lt;K$43,J$42,K349&lt;K$44,J$43,K349&lt;K$45,J$44,K349&lt;K$46,J$45,K349&lt;K$47,J$46,K349&gt;=K$47,J$47)</f>
        <v/>
      </c>
      <c r="K349" s="38" t="n">
        <v>299</v>
      </c>
      <c r="L349" s="31">
        <f>K349/52</f>
        <v/>
      </c>
      <c r="M349" s="39">
        <f>J349/1000000*52</f>
        <v/>
      </c>
      <c r="N349" s="33">
        <f>M349/$P$4+($I$22/$P$4)</f>
        <v/>
      </c>
      <c r="U349">
        <f>F348</f>
        <v/>
      </c>
      <c r="V349">
        <f>H348</f>
        <v/>
      </c>
      <c r="W349">
        <f>N348</f>
        <v/>
      </c>
    </row>
    <row r="350" ht="15.75" customHeight="1" s="40">
      <c r="C350" s="36">
        <f>_xlfn.IFS(E350&lt;E$24,0,E350&lt;E$26,C$24,E350&lt;E$28,C$26,E350&lt;E$30,C$28,E350&lt;E$32,C$30,E350&lt;E$34,C$32,E350&gt;=E$34,C$34)</f>
        <v/>
      </c>
      <c r="D350" s="37">
        <f>_xlfn.IFS(E350&lt;E$24,0,E350&lt;E$25,D$24,E350&lt;E$26,D$25,E350&lt;E$27,D$26,E350&lt;E$28,D$27,E350&lt;E$29,D$28,E350&lt;E$30,D$29,E350&lt;E$31,D$30,E350&lt;E$32,D$31,E350&lt;E$33,D$32,E350&lt;E$34,D$33,E350&lt;E$35,D$34,E350&gt;=E$35,D$35)</f>
        <v/>
      </c>
      <c r="E350" s="38" t="n">
        <v>300</v>
      </c>
      <c r="F350" s="31">
        <f>E350/52</f>
        <v/>
      </c>
      <c r="G350" s="39">
        <f>D350/1000000*52</f>
        <v/>
      </c>
      <c r="H350" s="33">
        <f>G350/$P$4+($C$22/$P$4)</f>
        <v/>
      </c>
      <c r="I350" s="36">
        <f>_xlfn.IFS(K350&lt;K$24,0,K350&lt;K$26,I$24,K350&lt;K$28,I$26,K350&lt;K$30,I$28,K350&lt;K$32,I$30,K350&lt;K$34,I$32,K350&lt;K$36,I$34,K350&lt;K$38,I$36,K350&lt;K$40,I$38,K350&lt;K$42,I$40,K350&lt;K$44,I$42,K350&lt;K$46,I$44,K350&gt;=K$46,I$46)</f>
        <v/>
      </c>
      <c r="J350" s="37">
        <f>_xlfn.IFS(K350&lt;K$24,0,K350&lt;K$25,J$24,K350&lt;K$26,J$25,K350&lt;K$27,J$26,K350&lt;K$28,J$27,K350&lt;K$29,J$28,K350&lt;K$30,J$29,K350&lt;K$31,J$30,K350&lt;K$32,J$31,K350&lt;K$33,J$32,K350&lt;K$34,J$33,K350&lt;K$35,J$34,K350&lt;K$36,J$35,K350&lt;K$37,J$36,K350&lt;K$38,J$37,K350&lt;K$39,J$38,K350&lt;K$40,J$39,K350&lt;K$41,J$40,K350&lt;K$42,J$41,K350&lt;K$43,J$42,K350&lt;K$44,J$43,K350&lt;K$45,J$44,K350&lt;K$46,J$45,K350&lt;K$47,J$46,K350&gt;=K$47,J$47)</f>
        <v/>
      </c>
      <c r="K350" s="38" t="n">
        <v>300</v>
      </c>
      <c r="L350" s="31">
        <f>K350/52</f>
        <v/>
      </c>
      <c r="M350" s="39">
        <f>J350/1000000*52</f>
        <v/>
      </c>
      <c r="N350" s="33">
        <f>M350/$P$4+($I$22/$P$4)</f>
        <v/>
      </c>
      <c r="U350">
        <f>F349</f>
        <v/>
      </c>
      <c r="V350">
        <f>H349</f>
        <v/>
      </c>
      <c r="W350">
        <f>N349</f>
        <v/>
      </c>
    </row>
    <row r="351" ht="15.75" customHeight="1" s="40">
      <c r="C351" s="36">
        <f>_xlfn.IFS(E351&lt;E$24,0,E351&lt;E$26,C$24,E351&lt;E$28,C$26,E351&lt;E$30,C$28,E351&lt;E$32,C$30,E351&lt;E$34,C$32,E351&gt;=E$34,C$34)</f>
        <v/>
      </c>
      <c r="D351" s="37">
        <f>_xlfn.IFS(E351&lt;E$24,0,E351&lt;E$25,D$24,E351&lt;E$26,D$25,E351&lt;E$27,D$26,E351&lt;E$28,D$27,E351&lt;E$29,D$28,E351&lt;E$30,D$29,E351&lt;E$31,D$30,E351&lt;E$32,D$31,E351&lt;E$33,D$32,E351&lt;E$34,D$33,E351&lt;E$35,D$34,E351&gt;=E$35,D$35)</f>
        <v/>
      </c>
      <c r="E351" s="38" t="n">
        <v>301</v>
      </c>
      <c r="F351" s="31">
        <f>E351/52</f>
        <v/>
      </c>
      <c r="G351" s="39">
        <f>D351/1000000*52</f>
        <v/>
      </c>
      <c r="H351" s="33">
        <f>G351/$P$4+($C$22/$P$4)</f>
        <v/>
      </c>
      <c r="I351" s="36">
        <f>_xlfn.IFS(K351&lt;K$24,0,K351&lt;K$26,I$24,K351&lt;K$28,I$26,K351&lt;K$30,I$28,K351&lt;K$32,I$30,K351&lt;K$34,I$32,K351&lt;K$36,I$34,K351&lt;K$38,I$36,K351&lt;K$40,I$38,K351&lt;K$42,I$40,K351&lt;K$44,I$42,K351&lt;K$46,I$44,K351&gt;=K$46,I$46)</f>
        <v/>
      </c>
      <c r="J351" s="37">
        <f>_xlfn.IFS(K351&lt;K$24,0,K351&lt;K$25,J$24,K351&lt;K$26,J$25,K351&lt;K$27,J$26,K351&lt;K$28,J$27,K351&lt;K$29,J$28,K351&lt;K$30,J$29,K351&lt;K$31,J$30,K351&lt;K$32,J$31,K351&lt;K$33,J$32,K351&lt;K$34,J$33,K351&lt;K$35,J$34,K351&lt;K$36,J$35,K351&lt;K$37,J$36,K351&lt;K$38,J$37,K351&lt;K$39,J$38,K351&lt;K$40,J$39,K351&lt;K$41,J$40,K351&lt;K$42,J$41,K351&lt;K$43,J$42,K351&lt;K$44,J$43,K351&lt;K$45,J$44,K351&lt;K$46,J$45,K351&lt;K$47,J$46,K351&gt;=K$47,J$47)</f>
        <v/>
      </c>
      <c r="K351" s="38" t="n">
        <v>301</v>
      </c>
      <c r="L351" s="31">
        <f>K351/52</f>
        <v/>
      </c>
      <c r="M351" s="39">
        <f>J351/1000000*52</f>
        <v/>
      </c>
      <c r="N351" s="33">
        <f>M351/$P$4+($I$22/$P$4)</f>
        <v/>
      </c>
      <c r="U351">
        <f>F350</f>
        <v/>
      </c>
      <c r="V351">
        <f>H350</f>
        <v/>
      </c>
      <c r="W351">
        <f>N350</f>
        <v/>
      </c>
    </row>
    <row r="352" ht="15.75" customHeight="1" s="40">
      <c r="C352" s="36">
        <f>_xlfn.IFS(E352&lt;E$24,0,E352&lt;E$26,C$24,E352&lt;E$28,C$26,E352&lt;E$30,C$28,E352&lt;E$32,C$30,E352&lt;E$34,C$32,E352&gt;=E$34,C$34)</f>
        <v/>
      </c>
      <c r="D352" s="37">
        <f>_xlfn.IFS(E352&lt;E$24,0,E352&lt;E$25,D$24,E352&lt;E$26,D$25,E352&lt;E$27,D$26,E352&lt;E$28,D$27,E352&lt;E$29,D$28,E352&lt;E$30,D$29,E352&lt;E$31,D$30,E352&lt;E$32,D$31,E352&lt;E$33,D$32,E352&lt;E$34,D$33,E352&lt;E$35,D$34,E352&gt;=E$35,D$35)</f>
        <v/>
      </c>
      <c r="E352" s="38" t="n">
        <v>302</v>
      </c>
      <c r="F352" s="31">
        <f>E352/52</f>
        <v/>
      </c>
      <c r="G352" s="39">
        <f>D352/1000000*52</f>
        <v/>
      </c>
      <c r="H352" s="33">
        <f>G352/$P$4+($C$22/$P$4)</f>
        <v/>
      </c>
      <c r="I352" s="36">
        <f>_xlfn.IFS(K352&lt;K$24,0,K352&lt;K$26,I$24,K352&lt;K$28,I$26,K352&lt;K$30,I$28,K352&lt;K$32,I$30,K352&lt;K$34,I$32,K352&lt;K$36,I$34,K352&lt;K$38,I$36,K352&lt;K$40,I$38,K352&lt;K$42,I$40,K352&lt;K$44,I$42,K352&lt;K$46,I$44,K352&gt;=K$46,I$46)</f>
        <v/>
      </c>
      <c r="J352" s="37">
        <f>_xlfn.IFS(K352&lt;K$24,0,K352&lt;K$25,J$24,K352&lt;K$26,J$25,K352&lt;K$27,J$26,K352&lt;K$28,J$27,K352&lt;K$29,J$28,K352&lt;K$30,J$29,K352&lt;K$31,J$30,K352&lt;K$32,J$31,K352&lt;K$33,J$32,K352&lt;K$34,J$33,K352&lt;K$35,J$34,K352&lt;K$36,J$35,K352&lt;K$37,J$36,K352&lt;K$38,J$37,K352&lt;K$39,J$38,K352&lt;K$40,J$39,K352&lt;K$41,J$40,K352&lt;K$42,J$41,K352&lt;K$43,J$42,K352&lt;K$44,J$43,K352&lt;K$45,J$44,K352&lt;K$46,J$45,K352&lt;K$47,J$46,K352&gt;=K$47,J$47)</f>
        <v/>
      </c>
      <c r="K352" s="38" t="n">
        <v>302</v>
      </c>
      <c r="L352" s="31">
        <f>K352/52</f>
        <v/>
      </c>
      <c r="M352" s="39">
        <f>J352/1000000*52</f>
        <v/>
      </c>
      <c r="N352" s="33">
        <f>M352/$P$4+($I$22/$P$4)</f>
        <v/>
      </c>
      <c r="U352">
        <f>F351</f>
        <v/>
      </c>
      <c r="V352">
        <f>H351</f>
        <v/>
      </c>
      <c r="W352">
        <f>N351</f>
        <v/>
      </c>
    </row>
    <row r="353" ht="15.75" customHeight="1" s="40">
      <c r="C353" s="36">
        <f>_xlfn.IFS(E353&lt;E$24,0,E353&lt;E$26,C$24,E353&lt;E$28,C$26,E353&lt;E$30,C$28,E353&lt;E$32,C$30,E353&lt;E$34,C$32,E353&gt;=E$34,C$34)</f>
        <v/>
      </c>
      <c r="D353" s="37">
        <f>_xlfn.IFS(E353&lt;E$24,0,E353&lt;E$25,D$24,E353&lt;E$26,D$25,E353&lt;E$27,D$26,E353&lt;E$28,D$27,E353&lt;E$29,D$28,E353&lt;E$30,D$29,E353&lt;E$31,D$30,E353&lt;E$32,D$31,E353&lt;E$33,D$32,E353&lt;E$34,D$33,E353&lt;E$35,D$34,E353&gt;=E$35,D$35)</f>
        <v/>
      </c>
      <c r="E353" s="38" t="n">
        <v>303</v>
      </c>
      <c r="F353" s="31">
        <f>E353/52</f>
        <v/>
      </c>
      <c r="G353" s="39">
        <f>D353/1000000*52</f>
        <v/>
      </c>
      <c r="H353" s="33">
        <f>G353/$P$4+($C$22/$P$4)</f>
        <v/>
      </c>
      <c r="I353" s="36">
        <f>_xlfn.IFS(K353&lt;K$24,0,K353&lt;K$26,I$24,K353&lt;K$28,I$26,K353&lt;K$30,I$28,K353&lt;K$32,I$30,K353&lt;K$34,I$32,K353&lt;K$36,I$34,K353&lt;K$38,I$36,K353&lt;K$40,I$38,K353&lt;K$42,I$40,K353&lt;K$44,I$42,K353&lt;K$46,I$44,K353&gt;=K$46,I$46)</f>
        <v/>
      </c>
      <c r="J353" s="37">
        <f>_xlfn.IFS(K353&lt;K$24,0,K353&lt;K$25,J$24,K353&lt;K$26,J$25,K353&lt;K$27,J$26,K353&lt;K$28,J$27,K353&lt;K$29,J$28,K353&lt;K$30,J$29,K353&lt;K$31,J$30,K353&lt;K$32,J$31,K353&lt;K$33,J$32,K353&lt;K$34,J$33,K353&lt;K$35,J$34,K353&lt;K$36,J$35,K353&lt;K$37,J$36,K353&lt;K$38,J$37,K353&lt;K$39,J$38,K353&lt;K$40,J$39,K353&lt;K$41,J$40,K353&lt;K$42,J$41,K353&lt;K$43,J$42,K353&lt;K$44,J$43,K353&lt;K$45,J$44,K353&lt;K$46,J$45,K353&lt;K$47,J$46,K353&gt;=K$47,J$47)</f>
        <v/>
      </c>
      <c r="K353" s="38" t="n">
        <v>303</v>
      </c>
      <c r="L353" s="31">
        <f>K353/52</f>
        <v/>
      </c>
      <c r="M353" s="39">
        <f>J353/1000000*52</f>
        <v/>
      </c>
      <c r="N353" s="33">
        <f>M353/$P$4+($I$22/$P$4)</f>
        <v/>
      </c>
      <c r="U353">
        <f>F352</f>
        <v/>
      </c>
      <c r="V353">
        <f>H352</f>
        <v/>
      </c>
      <c r="W353">
        <f>N352</f>
        <v/>
      </c>
    </row>
    <row r="354" ht="15.75" customHeight="1" s="40">
      <c r="C354" s="36">
        <f>_xlfn.IFS(E354&lt;E$24,0,E354&lt;E$26,C$24,E354&lt;E$28,C$26,E354&lt;E$30,C$28,E354&lt;E$32,C$30,E354&lt;E$34,C$32,E354&gt;=E$34,C$34)</f>
        <v/>
      </c>
      <c r="D354" s="37">
        <f>_xlfn.IFS(E354&lt;E$24,0,E354&lt;E$25,D$24,E354&lt;E$26,D$25,E354&lt;E$27,D$26,E354&lt;E$28,D$27,E354&lt;E$29,D$28,E354&lt;E$30,D$29,E354&lt;E$31,D$30,E354&lt;E$32,D$31,E354&lt;E$33,D$32,E354&lt;E$34,D$33,E354&lt;E$35,D$34,E354&gt;=E$35,D$35)</f>
        <v/>
      </c>
      <c r="E354" s="38" t="n">
        <v>304</v>
      </c>
      <c r="F354" s="31">
        <f>E354/52</f>
        <v/>
      </c>
      <c r="G354" s="39">
        <f>D354/1000000*52</f>
        <v/>
      </c>
      <c r="H354" s="33">
        <f>G354/$P$4+($C$22/$P$4)</f>
        <v/>
      </c>
      <c r="I354" s="36">
        <f>_xlfn.IFS(K354&lt;K$24,0,K354&lt;K$26,I$24,K354&lt;K$28,I$26,K354&lt;K$30,I$28,K354&lt;K$32,I$30,K354&lt;K$34,I$32,K354&lt;K$36,I$34,K354&lt;K$38,I$36,K354&lt;K$40,I$38,K354&lt;K$42,I$40,K354&lt;K$44,I$42,K354&lt;K$46,I$44,K354&gt;=K$46,I$46)</f>
        <v/>
      </c>
      <c r="J354" s="37">
        <f>_xlfn.IFS(K354&lt;K$24,0,K354&lt;K$25,J$24,K354&lt;K$26,J$25,K354&lt;K$27,J$26,K354&lt;K$28,J$27,K354&lt;K$29,J$28,K354&lt;K$30,J$29,K354&lt;K$31,J$30,K354&lt;K$32,J$31,K354&lt;K$33,J$32,K354&lt;K$34,J$33,K354&lt;K$35,J$34,K354&lt;K$36,J$35,K354&lt;K$37,J$36,K354&lt;K$38,J$37,K354&lt;K$39,J$38,K354&lt;K$40,J$39,K354&lt;K$41,J$40,K354&lt;K$42,J$41,K354&lt;K$43,J$42,K354&lt;K$44,J$43,K354&lt;K$45,J$44,K354&lt;K$46,J$45,K354&lt;K$47,J$46,K354&gt;=K$47,J$47)</f>
        <v/>
      </c>
      <c r="K354" s="38" t="n">
        <v>304</v>
      </c>
      <c r="L354" s="31">
        <f>K354/52</f>
        <v/>
      </c>
      <c r="M354" s="39">
        <f>J354/1000000*52</f>
        <v/>
      </c>
      <c r="N354" s="33">
        <f>M354/$P$4+($I$22/$P$4)</f>
        <v/>
      </c>
      <c r="U354">
        <f>F353</f>
        <v/>
      </c>
      <c r="V354">
        <f>H353</f>
        <v/>
      </c>
      <c r="W354">
        <f>N353</f>
        <v/>
      </c>
    </row>
    <row r="355" ht="15.75" customHeight="1" s="40">
      <c r="C355" s="36">
        <f>_xlfn.IFS(E355&lt;E$24,0,E355&lt;E$26,C$24,E355&lt;E$28,C$26,E355&lt;E$30,C$28,E355&lt;E$32,C$30,E355&lt;E$34,C$32,E355&gt;=E$34,C$34)</f>
        <v/>
      </c>
      <c r="D355" s="37">
        <f>_xlfn.IFS(E355&lt;E$24,0,E355&lt;E$25,D$24,E355&lt;E$26,D$25,E355&lt;E$27,D$26,E355&lt;E$28,D$27,E355&lt;E$29,D$28,E355&lt;E$30,D$29,E355&lt;E$31,D$30,E355&lt;E$32,D$31,E355&lt;E$33,D$32,E355&lt;E$34,D$33,E355&lt;E$35,D$34,E355&gt;=E$35,D$35)</f>
        <v/>
      </c>
      <c r="E355" s="38" t="n">
        <v>305</v>
      </c>
      <c r="F355" s="31">
        <f>E355/52</f>
        <v/>
      </c>
      <c r="G355" s="39">
        <f>D355/1000000*52</f>
        <v/>
      </c>
      <c r="H355" s="33">
        <f>G355/$P$4+($C$22/$P$4)</f>
        <v/>
      </c>
      <c r="I355" s="36">
        <f>_xlfn.IFS(K355&lt;K$24,0,K355&lt;K$26,I$24,K355&lt;K$28,I$26,K355&lt;K$30,I$28,K355&lt;K$32,I$30,K355&lt;K$34,I$32,K355&lt;K$36,I$34,K355&lt;K$38,I$36,K355&lt;K$40,I$38,K355&lt;K$42,I$40,K355&lt;K$44,I$42,K355&lt;K$46,I$44,K355&gt;=K$46,I$46)</f>
        <v/>
      </c>
      <c r="J355" s="37">
        <f>_xlfn.IFS(K355&lt;K$24,0,K355&lt;K$25,J$24,K355&lt;K$26,J$25,K355&lt;K$27,J$26,K355&lt;K$28,J$27,K355&lt;K$29,J$28,K355&lt;K$30,J$29,K355&lt;K$31,J$30,K355&lt;K$32,J$31,K355&lt;K$33,J$32,K355&lt;K$34,J$33,K355&lt;K$35,J$34,K355&lt;K$36,J$35,K355&lt;K$37,J$36,K355&lt;K$38,J$37,K355&lt;K$39,J$38,K355&lt;K$40,J$39,K355&lt;K$41,J$40,K355&lt;K$42,J$41,K355&lt;K$43,J$42,K355&lt;K$44,J$43,K355&lt;K$45,J$44,K355&lt;K$46,J$45,K355&lt;K$47,J$46,K355&gt;=K$47,J$47)</f>
        <v/>
      </c>
      <c r="K355" s="38" t="n">
        <v>305</v>
      </c>
      <c r="L355" s="31">
        <f>K355/52</f>
        <v/>
      </c>
      <c r="M355" s="39">
        <f>J355/1000000*52</f>
        <v/>
      </c>
      <c r="N355" s="33">
        <f>M355/$P$4+($I$22/$P$4)</f>
        <v/>
      </c>
      <c r="U355">
        <f>F354</f>
        <v/>
      </c>
      <c r="V355">
        <f>H354</f>
        <v/>
      </c>
      <c r="W355">
        <f>N354</f>
        <v/>
      </c>
    </row>
    <row r="356" ht="15.75" customHeight="1" s="40">
      <c r="C356" s="36">
        <f>_xlfn.IFS(E356&lt;E$24,0,E356&lt;E$26,C$24,E356&lt;E$28,C$26,E356&lt;E$30,C$28,E356&lt;E$32,C$30,E356&lt;E$34,C$32,E356&gt;=E$34,C$34)</f>
        <v/>
      </c>
      <c r="D356" s="37">
        <f>_xlfn.IFS(E356&lt;E$24,0,E356&lt;E$25,D$24,E356&lt;E$26,D$25,E356&lt;E$27,D$26,E356&lt;E$28,D$27,E356&lt;E$29,D$28,E356&lt;E$30,D$29,E356&lt;E$31,D$30,E356&lt;E$32,D$31,E356&lt;E$33,D$32,E356&lt;E$34,D$33,E356&lt;E$35,D$34,E356&gt;=E$35,D$35)</f>
        <v/>
      </c>
      <c r="E356" s="38" t="n">
        <v>306</v>
      </c>
      <c r="F356" s="31">
        <f>E356/52</f>
        <v/>
      </c>
      <c r="G356" s="39">
        <f>D356/1000000*52</f>
        <v/>
      </c>
      <c r="H356" s="33">
        <f>G356/$P$4+($C$22/$P$4)</f>
        <v/>
      </c>
      <c r="I356" s="36">
        <f>_xlfn.IFS(K356&lt;K$24,0,K356&lt;K$26,I$24,K356&lt;K$28,I$26,K356&lt;K$30,I$28,K356&lt;K$32,I$30,K356&lt;K$34,I$32,K356&lt;K$36,I$34,K356&lt;K$38,I$36,K356&lt;K$40,I$38,K356&lt;K$42,I$40,K356&lt;K$44,I$42,K356&lt;K$46,I$44,K356&gt;=K$46,I$46)</f>
        <v/>
      </c>
      <c r="J356" s="37">
        <f>_xlfn.IFS(K356&lt;K$24,0,K356&lt;K$25,J$24,K356&lt;K$26,J$25,K356&lt;K$27,J$26,K356&lt;K$28,J$27,K356&lt;K$29,J$28,K356&lt;K$30,J$29,K356&lt;K$31,J$30,K356&lt;K$32,J$31,K356&lt;K$33,J$32,K356&lt;K$34,J$33,K356&lt;K$35,J$34,K356&lt;K$36,J$35,K356&lt;K$37,J$36,K356&lt;K$38,J$37,K356&lt;K$39,J$38,K356&lt;K$40,J$39,K356&lt;K$41,J$40,K356&lt;K$42,J$41,K356&lt;K$43,J$42,K356&lt;K$44,J$43,K356&lt;K$45,J$44,K356&lt;K$46,J$45,K356&lt;K$47,J$46,K356&gt;=K$47,J$47)</f>
        <v/>
      </c>
      <c r="K356" s="38" t="n">
        <v>306</v>
      </c>
      <c r="L356" s="31">
        <f>K356/52</f>
        <v/>
      </c>
      <c r="M356" s="39">
        <f>J356/1000000*52</f>
        <v/>
      </c>
      <c r="N356" s="33">
        <f>M356/$P$4+($I$22/$P$4)</f>
        <v/>
      </c>
      <c r="U356">
        <f>F355</f>
        <v/>
      </c>
      <c r="V356">
        <f>H355</f>
        <v/>
      </c>
      <c r="W356">
        <f>N355</f>
        <v/>
      </c>
    </row>
    <row r="357" ht="15.75" customHeight="1" s="40">
      <c r="C357" s="36">
        <f>_xlfn.IFS(E357&lt;E$24,0,E357&lt;E$26,C$24,E357&lt;E$28,C$26,E357&lt;E$30,C$28,E357&lt;E$32,C$30,E357&lt;E$34,C$32,E357&gt;=E$34,C$34)</f>
        <v/>
      </c>
      <c r="D357" s="37">
        <f>_xlfn.IFS(E357&lt;E$24,0,E357&lt;E$25,D$24,E357&lt;E$26,D$25,E357&lt;E$27,D$26,E357&lt;E$28,D$27,E357&lt;E$29,D$28,E357&lt;E$30,D$29,E357&lt;E$31,D$30,E357&lt;E$32,D$31,E357&lt;E$33,D$32,E357&lt;E$34,D$33,E357&lt;E$35,D$34,E357&gt;=E$35,D$35)</f>
        <v/>
      </c>
      <c r="E357" s="38" t="n">
        <v>307</v>
      </c>
      <c r="F357" s="31">
        <f>E357/52</f>
        <v/>
      </c>
      <c r="G357" s="39">
        <f>D357/1000000*52</f>
        <v/>
      </c>
      <c r="H357" s="33">
        <f>G357/$P$4+($C$22/$P$4)</f>
        <v/>
      </c>
      <c r="I357" s="36">
        <f>_xlfn.IFS(K357&lt;K$24,0,K357&lt;K$26,I$24,K357&lt;K$28,I$26,K357&lt;K$30,I$28,K357&lt;K$32,I$30,K357&lt;K$34,I$32,K357&lt;K$36,I$34,K357&lt;K$38,I$36,K357&lt;K$40,I$38,K357&lt;K$42,I$40,K357&lt;K$44,I$42,K357&lt;K$46,I$44,K357&gt;=K$46,I$46)</f>
        <v/>
      </c>
      <c r="J357" s="37">
        <f>_xlfn.IFS(K357&lt;K$24,0,K357&lt;K$25,J$24,K357&lt;K$26,J$25,K357&lt;K$27,J$26,K357&lt;K$28,J$27,K357&lt;K$29,J$28,K357&lt;K$30,J$29,K357&lt;K$31,J$30,K357&lt;K$32,J$31,K357&lt;K$33,J$32,K357&lt;K$34,J$33,K357&lt;K$35,J$34,K357&lt;K$36,J$35,K357&lt;K$37,J$36,K357&lt;K$38,J$37,K357&lt;K$39,J$38,K357&lt;K$40,J$39,K357&lt;K$41,J$40,K357&lt;K$42,J$41,K357&lt;K$43,J$42,K357&lt;K$44,J$43,K357&lt;K$45,J$44,K357&lt;K$46,J$45,K357&lt;K$47,J$46,K357&gt;=K$47,J$47)</f>
        <v/>
      </c>
      <c r="K357" s="38" t="n">
        <v>307</v>
      </c>
      <c r="L357" s="31">
        <f>K357/52</f>
        <v/>
      </c>
      <c r="M357" s="39">
        <f>J357/1000000*52</f>
        <v/>
      </c>
      <c r="N357" s="33">
        <f>M357/$P$4+($I$22/$P$4)</f>
        <v/>
      </c>
      <c r="U357">
        <f>F356</f>
        <v/>
      </c>
      <c r="V357">
        <f>H356</f>
        <v/>
      </c>
      <c r="W357">
        <f>N356</f>
        <v/>
      </c>
    </row>
    <row r="358" ht="15.75" customHeight="1" s="40">
      <c r="C358" s="36">
        <f>_xlfn.IFS(E358&lt;E$24,0,E358&lt;E$26,C$24,E358&lt;E$28,C$26,E358&lt;E$30,C$28,E358&lt;E$32,C$30,E358&lt;E$34,C$32,E358&gt;=E$34,C$34)</f>
        <v/>
      </c>
      <c r="D358" s="37">
        <f>_xlfn.IFS(E358&lt;E$24,0,E358&lt;E$25,D$24,E358&lt;E$26,D$25,E358&lt;E$27,D$26,E358&lt;E$28,D$27,E358&lt;E$29,D$28,E358&lt;E$30,D$29,E358&lt;E$31,D$30,E358&lt;E$32,D$31,E358&lt;E$33,D$32,E358&lt;E$34,D$33,E358&lt;E$35,D$34,E358&gt;=E$35,D$35)</f>
        <v/>
      </c>
      <c r="E358" s="38" t="n">
        <v>308</v>
      </c>
      <c r="F358" s="31">
        <f>E358/52</f>
        <v/>
      </c>
      <c r="G358" s="39">
        <f>D358/1000000*52</f>
        <v/>
      </c>
      <c r="H358" s="33">
        <f>G358/$P$4+($C$22/$P$4)</f>
        <v/>
      </c>
      <c r="I358" s="36">
        <f>_xlfn.IFS(K358&lt;K$24,0,K358&lt;K$26,I$24,K358&lt;K$28,I$26,K358&lt;K$30,I$28,K358&lt;K$32,I$30,K358&lt;K$34,I$32,K358&lt;K$36,I$34,K358&lt;K$38,I$36,K358&lt;K$40,I$38,K358&lt;K$42,I$40,K358&lt;K$44,I$42,K358&lt;K$46,I$44,K358&gt;=K$46,I$46)</f>
        <v/>
      </c>
      <c r="J358" s="37">
        <f>_xlfn.IFS(K358&lt;K$24,0,K358&lt;K$25,J$24,K358&lt;K$26,J$25,K358&lt;K$27,J$26,K358&lt;K$28,J$27,K358&lt;K$29,J$28,K358&lt;K$30,J$29,K358&lt;K$31,J$30,K358&lt;K$32,J$31,K358&lt;K$33,J$32,K358&lt;K$34,J$33,K358&lt;K$35,J$34,K358&lt;K$36,J$35,K358&lt;K$37,J$36,K358&lt;K$38,J$37,K358&lt;K$39,J$38,K358&lt;K$40,J$39,K358&lt;K$41,J$40,K358&lt;K$42,J$41,K358&lt;K$43,J$42,K358&lt;K$44,J$43,K358&lt;K$45,J$44,K358&lt;K$46,J$45,K358&lt;K$47,J$46,K358&gt;=K$47,J$47)</f>
        <v/>
      </c>
      <c r="K358" s="38" t="n">
        <v>308</v>
      </c>
      <c r="L358" s="31">
        <f>K358/52</f>
        <v/>
      </c>
      <c r="M358" s="39">
        <f>J358/1000000*52</f>
        <v/>
      </c>
      <c r="N358" s="33">
        <f>M358/$P$4+($I$22/$P$4)</f>
        <v/>
      </c>
      <c r="U358">
        <f>F357</f>
        <v/>
      </c>
      <c r="V358">
        <f>H357</f>
        <v/>
      </c>
      <c r="W358">
        <f>N357</f>
        <v/>
      </c>
    </row>
    <row r="359" ht="15.75" customHeight="1" s="40">
      <c r="C359" s="36">
        <f>_xlfn.IFS(E359&lt;E$24,0,E359&lt;E$26,C$24,E359&lt;E$28,C$26,E359&lt;E$30,C$28,E359&lt;E$32,C$30,E359&lt;E$34,C$32,E359&gt;=E$34,C$34)</f>
        <v/>
      </c>
      <c r="D359" s="37">
        <f>_xlfn.IFS(E359&lt;E$24,0,E359&lt;E$25,D$24,E359&lt;E$26,D$25,E359&lt;E$27,D$26,E359&lt;E$28,D$27,E359&lt;E$29,D$28,E359&lt;E$30,D$29,E359&lt;E$31,D$30,E359&lt;E$32,D$31,E359&lt;E$33,D$32,E359&lt;E$34,D$33,E359&lt;E$35,D$34,E359&gt;=E$35,D$35)</f>
        <v/>
      </c>
      <c r="E359" s="38" t="n">
        <v>309</v>
      </c>
      <c r="F359" s="31">
        <f>E359/52</f>
        <v/>
      </c>
      <c r="G359" s="39">
        <f>D359/1000000*52</f>
        <v/>
      </c>
      <c r="H359" s="33">
        <f>G359/$P$4+($C$22/$P$4)</f>
        <v/>
      </c>
      <c r="I359" s="36">
        <f>_xlfn.IFS(K359&lt;K$24,0,K359&lt;K$26,I$24,K359&lt;K$28,I$26,K359&lt;K$30,I$28,K359&lt;K$32,I$30,K359&lt;K$34,I$32,K359&lt;K$36,I$34,K359&lt;K$38,I$36,K359&lt;K$40,I$38,K359&lt;K$42,I$40,K359&lt;K$44,I$42,K359&lt;K$46,I$44,K359&gt;=K$46,I$46)</f>
        <v/>
      </c>
      <c r="J359" s="37">
        <f>_xlfn.IFS(K359&lt;K$24,0,K359&lt;K$25,J$24,K359&lt;K$26,J$25,K359&lt;K$27,J$26,K359&lt;K$28,J$27,K359&lt;K$29,J$28,K359&lt;K$30,J$29,K359&lt;K$31,J$30,K359&lt;K$32,J$31,K359&lt;K$33,J$32,K359&lt;K$34,J$33,K359&lt;K$35,J$34,K359&lt;K$36,J$35,K359&lt;K$37,J$36,K359&lt;K$38,J$37,K359&lt;K$39,J$38,K359&lt;K$40,J$39,K359&lt;K$41,J$40,K359&lt;K$42,J$41,K359&lt;K$43,J$42,K359&lt;K$44,J$43,K359&lt;K$45,J$44,K359&lt;K$46,J$45,K359&lt;K$47,J$46,K359&gt;=K$47,J$47)</f>
        <v/>
      </c>
      <c r="K359" s="38" t="n">
        <v>309</v>
      </c>
      <c r="L359" s="31">
        <f>K359/52</f>
        <v/>
      </c>
      <c r="M359" s="39">
        <f>J359/1000000*52</f>
        <v/>
      </c>
      <c r="N359" s="33">
        <f>M359/$P$4+($I$22/$P$4)</f>
        <v/>
      </c>
      <c r="U359">
        <f>F358</f>
        <v/>
      </c>
      <c r="V359">
        <f>H358</f>
        <v/>
      </c>
      <c r="W359">
        <f>N358</f>
        <v/>
      </c>
    </row>
    <row r="360" ht="15.75" customHeight="1" s="40">
      <c r="C360" s="36">
        <f>_xlfn.IFS(E360&lt;E$24,0,E360&lt;E$26,C$24,E360&lt;E$28,C$26,E360&lt;E$30,C$28,E360&lt;E$32,C$30,E360&lt;E$34,C$32,E360&gt;=E$34,C$34)</f>
        <v/>
      </c>
      <c r="D360" s="37">
        <f>_xlfn.IFS(E360&lt;E$24,0,E360&lt;E$25,D$24,E360&lt;E$26,D$25,E360&lt;E$27,D$26,E360&lt;E$28,D$27,E360&lt;E$29,D$28,E360&lt;E$30,D$29,E360&lt;E$31,D$30,E360&lt;E$32,D$31,E360&lt;E$33,D$32,E360&lt;E$34,D$33,E360&lt;E$35,D$34,E360&gt;=E$35,D$35)</f>
        <v/>
      </c>
      <c r="E360" s="38" t="n">
        <v>310</v>
      </c>
      <c r="F360" s="31">
        <f>E360/52</f>
        <v/>
      </c>
      <c r="G360" s="39">
        <f>D360/1000000*52</f>
        <v/>
      </c>
      <c r="H360" s="33">
        <f>G360/$P$4+($C$22/$P$4)</f>
        <v/>
      </c>
      <c r="I360" s="36">
        <f>_xlfn.IFS(K360&lt;K$24,0,K360&lt;K$26,I$24,K360&lt;K$28,I$26,K360&lt;K$30,I$28,K360&lt;K$32,I$30,K360&lt;K$34,I$32,K360&lt;K$36,I$34,K360&lt;K$38,I$36,K360&lt;K$40,I$38,K360&lt;K$42,I$40,K360&lt;K$44,I$42,K360&lt;K$46,I$44,K360&gt;=K$46,I$46)</f>
        <v/>
      </c>
      <c r="J360" s="37">
        <f>_xlfn.IFS(K360&lt;K$24,0,K360&lt;K$25,J$24,K360&lt;K$26,J$25,K360&lt;K$27,J$26,K360&lt;K$28,J$27,K360&lt;K$29,J$28,K360&lt;K$30,J$29,K360&lt;K$31,J$30,K360&lt;K$32,J$31,K360&lt;K$33,J$32,K360&lt;K$34,J$33,K360&lt;K$35,J$34,K360&lt;K$36,J$35,K360&lt;K$37,J$36,K360&lt;K$38,J$37,K360&lt;K$39,J$38,K360&lt;K$40,J$39,K360&lt;K$41,J$40,K360&lt;K$42,J$41,K360&lt;K$43,J$42,K360&lt;K$44,J$43,K360&lt;K$45,J$44,K360&lt;K$46,J$45,K360&lt;K$47,J$46,K360&gt;=K$47,J$47)</f>
        <v/>
      </c>
      <c r="K360" s="38" t="n">
        <v>310</v>
      </c>
      <c r="L360" s="31">
        <f>K360/52</f>
        <v/>
      </c>
      <c r="M360" s="39">
        <f>J360/1000000*52</f>
        <v/>
      </c>
      <c r="N360" s="33">
        <f>M360/$P$4+($I$22/$P$4)</f>
        <v/>
      </c>
      <c r="U360">
        <f>F359</f>
        <v/>
      </c>
      <c r="V360">
        <f>H359</f>
        <v/>
      </c>
      <c r="W360">
        <f>N359</f>
        <v/>
      </c>
    </row>
    <row r="361" ht="15.75" customHeight="1" s="40">
      <c r="C361" s="36">
        <f>_xlfn.IFS(E361&lt;E$24,0,E361&lt;E$26,C$24,E361&lt;E$28,C$26,E361&lt;E$30,C$28,E361&lt;E$32,C$30,E361&lt;E$34,C$32,E361&gt;=E$34,C$34)</f>
        <v/>
      </c>
      <c r="D361" s="37">
        <f>_xlfn.IFS(E361&lt;E$24,0,E361&lt;E$25,D$24,E361&lt;E$26,D$25,E361&lt;E$27,D$26,E361&lt;E$28,D$27,E361&lt;E$29,D$28,E361&lt;E$30,D$29,E361&lt;E$31,D$30,E361&lt;E$32,D$31,E361&lt;E$33,D$32,E361&lt;E$34,D$33,E361&lt;E$35,D$34,E361&gt;=E$35,D$35)</f>
        <v/>
      </c>
      <c r="E361" s="38" t="n">
        <v>311</v>
      </c>
      <c r="F361" s="31">
        <f>E361/52</f>
        <v/>
      </c>
      <c r="G361" s="39">
        <f>D361/1000000*52</f>
        <v/>
      </c>
      <c r="H361" s="33">
        <f>G361/$P$4+($C$22/$P$4)</f>
        <v/>
      </c>
      <c r="I361" s="36">
        <f>_xlfn.IFS(K361&lt;K$24,0,K361&lt;K$26,I$24,K361&lt;K$28,I$26,K361&lt;K$30,I$28,K361&lt;K$32,I$30,K361&lt;K$34,I$32,K361&lt;K$36,I$34,K361&lt;K$38,I$36,K361&lt;K$40,I$38,K361&lt;K$42,I$40,K361&lt;K$44,I$42,K361&lt;K$46,I$44,K361&gt;=K$46,I$46)</f>
        <v/>
      </c>
      <c r="J361" s="37">
        <f>_xlfn.IFS(K361&lt;K$24,0,K361&lt;K$25,J$24,K361&lt;K$26,J$25,K361&lt;K$27,J$26,K361&lt;K$28,J$27,K361&lt;K$29,J$28,K361&lt;K$30,J$29,K361&lt;K$31,J$30,K361&lt;K$32,J$31,K361&lt;K$33,J$32,K361&lt;K$34,J$33,K361&lt;K$35,J$34,K361&lt;K$36,J$35,K361&lt;K$37,J$36,K361&lt;K$38,J$37,K361&lt;K$39,J$38,K361&lt;K$40,J$39,K361&lt;K$41,J$40,K361&lt;K$42,J$41,K361&lt;K$43,J$42,K361&lt;K$44,J$43,K361&lt;K$45,J$44,K361&lt;K$46,J$45,K361&lt;K$47,J$46,K361&gt;=K$47,J$47)</f>
        <v/>
      </c>
      <c r="K361" s="38" t="n">
        <v>311</v>
      </c>
      <c r="L361" s="31">
        <f>K361/52</f>
        <v/>
      </c>
      <c r="M361" s="39">
        <f>J361/1000000*52</f>
        <v/>
      </c>
      <c r="N361" s="33">
        <f>M361/$P$4+($I$22/$P$4)</f>
        <v/>
      </c>
      <c r="U361">
        <f>F360</f>
        <v/>
      </c>
      <c r="V361">
        <f>H360</f>
        <v/>
      </c>
      <c r="W361">
        <f>N360</f>
        <v/>
      </c>
    </row>
    <row r="362" ht="15.75" customHeight="1" s="40">
      <c r="C362" s="36">
        <f>_xlfn.IFS(E362&lt;E$24,0,E362&lt;E$26,C$24,E362&lt;E$28,C$26,E362&lt;E$30,C$28,E362&lt;E$32,C$30,E362&lt;E$34,C$32,E362&gt;=E$34,C$34)</f>
        <v/>
      </c>
      <c r="D362" s="37">
        <f>_xlfn.IFS(E362&lt;E$24,0,E362&lt;E$25,D$24,E362&lt;E$26,D$25,E362&lt;E$27,D$26,E362&lt;E$28,D$27,E362&lt;E$29,D$28,E362&lt;E$30,D$29,E362&lt;E$31,D$30,E362&lt;E$32,D$31,E362&lt;E$33,D$32,E362&lt;E$34,D$33,E362&lt;E$35,D$34,E362&gt;=E$35,D$35)</f>
        <v/>
      </c>
      <c r="E362" s="38" t="n">
        <v>312</v>
      </c>
      <c r="F362" s="31">
        <f>E362/52</f>
        <v/>
      </c>
      <c r="G362" s="39">
        <f>D362/1000000*52</f>
        <v/>
      </c>
      <c r="H362" s="33">
        <f>G362/$P$4+($C$22/$P$4)</f>
        <v/>
      </c>
      <c r="I362" s="36">
        <f>_xlfn.IFS(K362&lt;K$24,0,K362&lt;K$26,I$24,K362&lt;K$28,I$26,K362&lt;K$30,I$28,K362&lt;K$32,I$30,K362&lt;K$34,I$32,K362&lt;K$36,I$34,K362&lt;K$38,I$36,K362&lt;K$40,I$38,K362&lt;K$42,I$40,K362&lt;K$44,I$42,K362&lt;K$46,I$44,K362&gt;=K$46,I$46)</f>
        <v/>
      </c>
      <c r="J362" s="37">
        <f>_xlfn.IFS(K362&lt;K$24,0,K362&lt;K$25,J$24,K362&lt;K$26,J$25,K362&lt;K$27,J$26,K362&lt;K$28,J$27,K362&lt;K$29,J$28,K362&lt;K$30,J$29,K362&lt;K$31,J$30,K362&lt;K$32,J$31,K362&lt;K$33,J$32,K362&lt;K$34,J$33,K362&lt;K$35,J$34,K362&lt;K$36,J$35,K362&lt;K$37,J$36,K362&lt;K$38,J$37,K362&lt;K$39,J$38,K362&lt;K$40,J$39,K362&lt;K$41,J$40,K362&lt;K$42,J$41,K362&lt;K$43,J$42,K362&lt;K$44,J$43,K362&lt;K$45,J$44,K362&lt;K$46,J$45,K362&lt;K$47,J$46,K362&gt;=K$47,J$47)</f>
        <v/>
      </c>
      <c r="K362" s="38" t="n">
        <v>312</v>
      </c>
      <c r="L362" s="31">
        <f>K362/52</f>
        <v/>
      </c>
      <c r="M362" s="39">
        <f>J362/1000000*52</f>
        <v/>
      </c>
      <c r="N362" s="33">
        <f>M362/$P$4+($I$22/$P$4)</f>
        <v/>
      </c>
      <c r="U362">
        <f>F361</f>
        <v/>
      </c>
      <c r="V362">
        <f>H361</f>
        <v/>
      </c>
      <c r="W362">
        <f>N361</f>
        <v/>
      </c>
    </row>
    <row r="363" ht="15.75" customHeight="1" s="40">
      <c r="C363" s="36">
        <f>_xlfn.IFS(E363&lt;E$24,0,E363&lt;E$26,C$24,E363&lt;E$28,C$26,E363&lt;E$30,C$28,E363&lt;E$32,C$30,E363&lt;E$34,C$32,E363&gt;=E$34,C$34)</f>
        <v/>
      </c>
      <c r="D363" s="37">
        <f>_xlfn.IFS(E363&lt;E$24,0,E363&lt;E$25,D$24,E363&lt;E$26,D$25,E363&lt;E$27,D$26,E363&lt;E$28,D$27,E363&lt;E$29,D$28,E363&lt;E$30,D$29,E363&lt;E$31,D$30,E363&lt;E$32,D$31,E363&lt;E$33,D$32,E363&lt;E$34,D$33,E363&lt;E$35,D$34,E363&gt;=E$35,D$35)</f>
        <v/>
      </c>
      <c r="E363" s="38" t="n">
        <v>313</v>
      </c>
      <c r="F363" s="31">
        <f>E363/52</f>
        <v/>
      </c>
      <c r="G363" s="39">
        <f>D363/1000000*52</f>
        <v/>
      </c>
      <c r="H363" s="33">
        <f>G363/$P$4+($C$22/$P$4)</f>
        <v/>
      </c>
      <c r="I363" s="36">
        <f>_xlfn.IFS(K363&lt;K$24,0,K363&lt;K$26,I$24,K363&lt;K$28,I$26,K363&lt;K$30,I$28,K363&lt;K$32,I$30,K363&lt;K$34,I$32,K363&lt;K$36,I$34,K363&lt;K$38,I$36,K363&lt;K$40,I$38,K363&lt;K$42,I$40,K363&lt;K$44,I$42,K363&lt;K$46,I$44,K363&gt;=K$46,I$46)</f>
        <v/>
      </c>
      <c r="J363" s="37">
        <f>_xlfn.IFS(K363&lt;K$24,0,K363&lt;K$25,J$24,K363&lt;K$26,J$25,K363&lt;K$27,J$26,K363&lt;K$28,J$27,K363&lt;K$29,J$28,K363&lt;K$30,J$29,K363&lt;K$31,J$30,K363&lt;K$32,J$31,K363&lt;K$33,J$32,K363&lt;K$34,J$33,K363&lt;K$35,J$34,K363&lt;K$36,J$35,K363&lt;K$37,J$36,K363&lt;K$38,J$37,K363&lt;K$39,J$38,K363&lt;K$40,J$39,K363&lt;K$41,J$40,K363&lt;K$42,J$41,K363&lt;K$43,J$42,K363&lt;K$44,J$43,K363&lt;K$45,J$44,K363&lt;K$46,J$45,K363&lt;K$47,J$46,K363&gt;=K$47,J$47)</f>
        <v/>
      </c>
      <c r="K363" s="38" t="n">
        <v>313</v>
      </c>
      <c r="L363" s="31">
        <f>K363/52</f>
        <v/>
      </c>
      <c r="M363" s="39">
        <f>J363/1000000*52</f>
        <v/>
      </c>
      <c r="N363" s="33">
        <f>M363/$P$4+($I$22/$P$4)</f>
        <v/>
      </c>
      <c r="U363">
        <f>F362</f>
        <v/>
      </c>
      <c r="V363">
        <f>H362</f>
        <v/>
      </c>
      <c r="W363">
        <f>N362</f>
        <v/>
      </c>
    </row>
    <row r="364" ht="15.75" customHeight="1" s="40">
      <c r="C364" s="36">
        <f>_xlfn.IFS(E364&lt;E$24,0,E364&lt;E$26,C$24,E364&lt;E$28,C$26,E364&lt;E$30,C$28,E364&lt;E$32,C$30,E364&lt;E$34,C$32,E364&gt;=E$34,C$34)</f>
        <v/>
      </c>
      <c r="D364" s="37">
        <f>_xlfn.IFS(E364&lt;E$24,0,E364&lt;E$25,D$24,E364&lt;E$26,D$25,E364&lt;E$27,D$26,E364&lt;E$28,D$27,E364&lt;E$29,D$28,E364&lt;E$30,D$29,E364&lt;E$31,D$30,E364&lt;E$32,D$31,E364&lt;E$33,D$32,E364&lt;E$34,D$33,E364&lt;E$35,D$34,E364&gt;=E$35,D$35)</f>
        <v/>
      </c>
      <c r="E364" s="38" t="n">
        <v>314</v>
      </c>
      <c r="F364" s="31">
        <f>E364/52</f>
        <v/>
      </c>
      <c r="G364" s="39">
        <f>D364/1000000*52</f>
        <v/>
      </c>
      <c r="H364" s="33">
        <f>G364/$P$4+($C$22/$P$4)</f>
        <v/>
      </c>
      <c r="I364" s="36">
        <f>_xlfn.IFS(K364&lt;K$24,0,K364&lt;K$26,I$24,K364&lt;K$28,I$26,K364&lt;K$30,I$28,K364&lt;K$32,I$30,K364&lt;K$34,I$32,K364&lt;K$36,I$34,K364&lt;K$38,I$36,K364&lt;K$40,I$38,K364&lt;K$42,I$40,K364&lt;K$44,I$42,K364&lt;K$46,I$44,K364&gt;=K$46,I$46)</f>
        <v/>
      </c>
      <c r="J364" s="37">
        <f>_xlfn.IFS(K364&lt;K$24,0,K364&lt;K$25,J$24,K364&lt;K$26,J$25,K364&lt;K$27,J$26,K364&lt;K$28,J$27,K364&lt;K$29,J$28,K364&lt;K$30,J$29,K364&lt;K$31,J$30,K364&lt;K$32,J$31,K364&lt;K$33,J$32,K364&lt;K$34,J$33,K364&lt;K$35,J$34,K364&lt;K$36,J$35,K364&lt;K$37,J$36,K364&lt;K$38,J$37,K364&lt;K$39,J$38,K364&lt;K$40,J$39,K364&lt;K$41,J$40,K364&lt;K$42,J$41,K364&lt;K$43,J$42,K364&lt;K$44,J$43,K364&lt;K$45,J$44,K364&lt;K$46,J$45,K364&lt;K$47,J$46,K364&gt;=K$47,J$47)</f>
        <v/>
      </c>
      <c r="K364" s="38" t="n">
        <v>314</v>
      </c>
      <c r="L364" s="31">
        <f>K364/52</f>
        <v/>
      </c>
      <c r="M364" s="39">
        <f>J364/1000000*52</f>
        <v/>
      </c>
      <c r="N364" s="33">
        <f>M364/$P$4+($I$22/$P$4)</f>
        <v/>
      </c>
      <c r="U364">
        <f>F363</f>
        <v/>
      </c>
      <c r="V364">
        <f>H363</f>
        <v/>
      </c>
      <c r="W364">
        <f>N363</f>
        <v/>
      </c>
    </row>
    <row r="365" ht="15.75" customHeight="1" s="40">
      <c r="C365" s="36">
        <f>_xlfn.IFS(E365&lt;E$24,0,E365&lt;E$26,C$24,E365&lt;E$28,C$26,E365&lt;E$30,C$28,E365&lt;E$32,C$30,E365&lt;E$34,C$32,E365&gt;=E$34,C$34)</f>
        <v/>
      </c>
      <c r="D365" s="37">
        <f>_xlfn.IFS(E365&lt;E$24,0,E365&lt;E$25,D$24,E365&lt;E$26,D$25,E365&lt;E$27,D$26,E365&lt;E$28,D$27,E365&lt;E$29,D$28,E365&lt;E$30,D$29,E365&lt;E$31,D$30,E365&lt;E$32,D$31,E365&lt;E$33,D$32,E365&lt;E$34,D$33,E365&lt;E$35,D$34,E365&gt;=E$35,D$35)</f>
        <v/>
      </c>
      <c r="E365" s="38" t="n">
        <v>315</v>
      </c>
      <c r="F365" s="31">
        <f>E365/52</f>
        <v/>
      </c>
      <c r="G365" s="39">
        <f>D365/1000000*52</f>
        <v/>
      </c>
      <c r="H365" s="33">
        <f>G365/$P$4+($C$22/$P$4)</f>
        <v/>
      </c>
      <c r="I365" s="36">
        <f>_xlfn.IFS(K365&lt;K$24,0,K365&lt;K$26,I$24,K365&lt;K$28,I$26,K365&lt;K$30,I$28,K365&lt;K$32,I$30,K365&lt;K$34,I$32,K365&lt;K$36,I$34,K365&lt;K$38,I$36,K365&lt;K$40,I$38,K365&lt;K$42,I$40,K365&lt;K$44,I$42,K365&lt;K$46,I$44,K365&gt;=K$46,I$46)</f>
        <v/>
      </c>
      <c r="J365" s="37">
        <f>_xlfn.IFS(K365&lt;K$24,0,K365&lt;K$25,J$24,K365&lt;K$26,J$25,K365&lt;K$27,J$26,K365&lt;K$28,J$27,K365&lt;K$29,J$28,K365&lt;K$30,J$29,K365&lt;K$31,J$30,K365&lt;K$32,J$31,K365&lt;K$33,J$32,K365&lt;K$34,J$33,K365&lt;K$35,J$34,K365&lt;K$36,J$35,K365&lt;K$37,J$36,K365&lt;K$38,J$37,K365&lt;K$39,J$38,K365&lt;K$40,J$39,K365&lt;K$41,J$40,K365&lt;K$42,J$41,K365&lt;K$43,J$42,K365&lt;K$44,J$43,K365&lt;K$45,J$44,K365&lt;K$46,J$45,K365&lt;K$47,J$46,K365&gt;=K$47,J$47)</f>
        <v/>
      </c>
      <c r="K365" s="38" t="n">
        <v>315</v>
      </c>
      <c r="L365" s="31">
        <f>K365/52</f>
        <v/>
      </c>
      <c r="M365" s="39">
        <f>J365/1000000*52</f>
        <v/>
      </c>
      <c r="N365" s="33">
        <f>M365/$P$4+($I$22/$P$4)</f>
        <v/>
      </c>
      <c r="U365">
        <f>F364</f>
        <v/>
      </c>
      <c r="V365">
        <f>H364</f>
        <v/>
      </c>
      <c r="W365">
        <f>N364</f>
        <v/>
      </c>
    </row>
    <row r="366" ht="15.75" customHeight="1" s="40">
      <c r="C366" s="36">
        <f>_xlfn.IFS(E366&lt;E$24,0,E366&lt;E$26,C$24,E366&lt;E$28,C$26,E366&lt;E$30,C$28,E366&lt;E$32,C$30,E366&lt;E$34,C$32,E366&gt;=E$34,C$34)</f>
        <v/>
      </c>
      <c r="D366" s="37">
        <f>_xlfn.IFS(E366&lt;E$24,0,E366&lt;E$25,D$24,E366&lt;E$26,D$25,E366&lt;E$27,D$26,E366&lt;E$28,D$27,E366&lt;E$29,D$28,E366&lt;E$30,D$29,E366&lt;E$31,D$30,E366&lt;E$32,D$31,E366&lt;E$33,D$32,E366&lt;E$34,D$33,E366&lt;E$35,D$34,E366&gt;=E$35,D$35)</f>
        <v/>
      </c>
      <c r="E366" s="38" t="n">
        <v>316</v>
      </c>
      <c r="F366" s="31">
        <f>E366/52</f>
        <v/>
      </c>
      <c r="G366" s="39">
        <f>D366/1000000*52</f>
        <v/>
      </c>
      <c r="H366" s="33">
        <f>G366/$P$4+($C$22/$P$4)</f>
        <v/>
      </c>
      <c r="I366" s="36">
        <f>_xlfn.IFS(K366&lt;K$24,0,K366&lt;K$26,I$24,K366&lt;K$28,I$26,K366&lt;K$30,I$28,K366&lt;K$32,I$30,K366&lt;K$34,I$32,K366&lt;K$36,I$34,K366&lt;K$38,I$36,K366&lt;K$40,I$38,K366&lt;K$42,I$40,K366&lt;K$44,I$42,K366&lt;K$46,I$44,K366&gt;=K$46,I$46)</f>
        <v/>
      </c>
      <c r="J366" s="37">
        <f>_xlfn.IFS(K366&lt;K$24,0,K366&lt;K$25,J$24,K366&lt;K$26,J$25,K366&lt;K$27,J$26,K366&lt;K$28,J$27,K366&lt;K$29,J$28,K366&lt;K$30,J$29,K366&lt;K$31,J$30,K366&lt;K$32,J$31,K366&lt;K$33,J$32,K366&lt;K$34,J$33,K366&lt;K$35,J$34,K366&lt;K$36,J$35,K366&lt;K$37,J$36,K366&lt;K$38,J$37,K366&lt;K$39,J$38,K366&lt;K$40,J$39,K366&lt;K$41,J$40,K366&lt;K$42,J$41,K366&lt;K$43,J$42,K366&lt;K$44,J$43,K366&lt;K$45,J$44,K366&lt;K$46,J$45,K366&lt;K$47,J$46,K366&gt;=K$47,J$47)</f>
        <v/>
      </c>
      <c r="K366" s="38" t="n">
        <v>316</v>
      </c>
      <c r="L366" s="31">
        <f>K366/52</f>
        <v/>
      </c>
      <c r="M366" s="39">
        <f>J366/1000000*52</f>
        <v/>
      </c>
      <c r="N366" s="33">
        <f>M366/$P$4+($I$22/$P$4)</f>
        <v/>
      </c>
      <c r="U366">
        <f>F365</f>
        <v/>
      </c>
      <c r="V366">
        <f>H365</f>
        <v/>
      </c>
      <c r="W366">
        <f>N365</f>
        <v/>
      </c>
    </row>
    <row r="367" ht="15.75" customHeight="1" s="40">
      <c r="C367" s="36">
        <f>_xlfn.IFS(E367&lt;E$24,0,E367&lt;E$26,C$24,E367&lt;E$28,C$26,E367&lt;E$30,C$28,E367&lt;E$32,C$30,E367&lt;E$34,C$32,E367&gt;=E$34,C$34)</f>
        <v/>
      </c>
      <c r="D367" s="37">
        <f>_xlfn.IFS(E367&lt;E$24,0,E367&lt;E$25,D$24,E367&lt;E$26,D$25,E367&lt;E$27,D$26,E367&lt;E$28,D$27,E367&lt;E$29,D$28,E367&lt;E$30,D$29,E367&lt;E$31,D$30,E367&lt;E$32,D$31,E367&lt;E$33,D$32,E367&lt;E$34,D$33,E367&lt;E$35,D$34,E367&gt;=E$35,D$35)</f>
        <v/>
      </c>
      <c r="E367" s="38" t="n">
        <v>317</v>
      </c>
      <c r="F367" s="31">
        <f>E367/52</f>
        <v/>
      </c>
      <c r="G367" s="39">
        <f>D367/1000000*52</f>
        <v/>
      </c>
      <c r="H367" s="33">
        <f>G367/$P$4+($C$22/$P$4)</f>
        <v/>
      </c>
      <c r="I367" s="36">
        <f>_xlfn.IFS(K367&lt;K$24,0,K367&lt;K$26,I$24,K367&lt;K$28,I$26,K367&lt;K$30,I$28,K367&lt;K$32,I$30,K367&lt;K$34,I$32,K367&lt;K$36,I$34,K367&lt;K$38,I$36,K367&lt;K$40,I$38,K367&lt;K$42,I$40,K367&lt;K$44,I$42,K367&lt;K$46,I$44,K367&gt;=K$46,I$46)</f>
        <v/>
      </c>
      <c r="J367" s="37">
        <f>_xlfn.IFS(K367&lt;K$24,0,K367&lt;K$25,J$24,K367&lt;K$26,J$25,K367&lt;K$27,J$26,K367&lt;K$28,J$27,K367&lt;K$29,J$28,K367&lt;K$30,J$29,K367&lt;K$31,J$30,K367&lt;K$32,J$31,K367&lt;K$33,J$32,K367&lt;K$34,J$33,K367&lt;K$35,J$34,K367&lt;K$36,J$35,K367&lt;K$37,J$36,K367&lt;K$38,J$37,K367&lt;K$39,J$38,K367&lt;K$40,J$39,K367&lt;K$41,J$40,K367&lt;K$42,J$41,K367&lt;K$43,J$42,K367&lt;K$44,J$43,K367&lt;K$45,J$44,K367&lt;K$46,J$45,K367&lt;K$47,J$46,K367&gt;=K$47,J$47)</f>
        <v/>
      </c>
      <c r="K367" s="38" t="n">
        <v>317</v>
      </c>
      <c r="L367" s="31">
        <f>K367/52</f>
        <v/>
      </c>
      <c r="M367" s="39">
        <f>J367/1000000*52</f>
        <v/>
      </c>
      <c r="N367" s="33">
        <f>M367/$P$4+($I$22/$P$4)</f>
        <v/>
      </c>
      <c r="U367">
        <f>F366</f>
        <v/>
      </c>
      <c r="V367">
        <f>H366</f>
        <v/>
      </c>
      <c r="W367">
        <f>N366</f>
        <v/>
      </c>
    </row>
    <row r="368" ht="15.75" customHeight="1" s="40">
      <c r="C368" s="36">
        <f>_xlfn.IFS(E368&lt;E$24,0,E368&lt;E$26,C$24,E368&lt;E$28,C$26,E368&lt;E$30,C$28,E368&lt;E$32,C$30,E368&lt;E$34,C$32,E368&gt;=E$34,C$34)</f>
        <v/>
      </c>
      <c r="D368" s="37">
        <f>_xlfn.IFS(E368&lt;E$24,0,E368&lt;E$25,D$24,E368&lt;E$26,D$25,E368&lt;E$27,D$26,E368&lt;E$28,D$27,E368&lt;E$29,D$28,E368&lt;E$30,D$29,E368&lt;E$31,D$30,E368&lt;E$32,D$31,E368&lt;E$33,D$32,E368&lt;E$34,D$33,E368&lt;E$35,D$34,E368&gt;=E$35,D$35)</f>
        <v/>
      </c>
      <c r="E368" s="38" t="n">
        <v>318</v>
      </c>
      <c r="F368" s="31">
        <f>E368/52</f>
        <v/>
      </c>
      <c r="G368" s="39">
        <f>D368/1000000*52</f>
        <v/>
      </c>
      <c r="H368" s="33">
        <f>G368/$P$4+($C$22/$P$4)</f>
        <v/>
      </c>
      <c r="I368" s="36">
        <f>_xlfn.IFS(K368&lt;K$24,0,K368&lt;K$26,I$24,K368&lt;K$28,I$26,K368&lt;K$30,I$28,K368&lt;K$32,I$30,K368&lt;K$34,I$32,K368&lt;K$36,I$34,K368&lt;K$38,I$36,K368&lt;K$40,I$38,K368&lt;K$42,I$40,K368&lt;K$44,I$42,K368&lt;K$46,I$44,K368&gt;=K$46,I$46)</f>
        <v/>
      </c>
      <c r="J368" s="37">
        <f>_xlfn.IFS(K368&lt;K$24,0,K368&lt;K$25,J$24,K368&lt;K$26,J$25,K368&lt;K$27,J$26,K368&lt;K$28,J$27,K368&lt;K$29,J$28,K368&lt;K$30,J$29,K368&lt;K$31,J$30,K368&lt;K$32,J$31,K368&lt;K$33,J$32,K368&lt;K$34,J$33,K368&lt;K$35,J$34,K368&lt;K$36,J$35,K368&lt;K$37,J$36,K368&lt;K$38,J$37,K368&lt;K$39,J$38,K368&lt;K$40,J$39,K368&lt;K$41,J$40,K368&lt;K$42,J$41,K368&lt;K$43,J$42,K368&lt;K$44,J$43,K368&lt;K$45,J$44,K368&lt;K$46,J$45,K368&lt;K$47,J$46,K368&gt;=K$47,J$47)</f>
        <v/>
      </c>
      <c r="K368" s="38" t="n">
        <v>318</v>
      </c>
      <c r="L368" s="31">
        <f>K368/52</f>
        <v/>
      </c>
      <c r="M368" s="39">
        <f>J368/1000000*52</f>
        <v/>
      </c>
      <c r="N368" s="33">
        <f>M368/$P$4+($I$22/$P$4)</f>
        <v/>
      </c>
      <c r="U368">
        <f>F367</f>
        <v/>
      </c>
      <c r="V368">
        <f>H367</f>
        <v/>
      </c>
      <c r="W368">
        <f>N367</f>
        <v/>
      </c>
    </row>
    <row r="369" ht="15.75" customHeight="1" s="40">
      <c r="C369" s="36">
        <f>_xlfn.IFS(E369&lt;E$24,0,E369&lt;E$26,C$24,E369&lt;E$28,C$26,E369&lt;E$30,C$28,E369&lt;E$32,C$30,E369&lt;E$34,C$32,E369&gt;=E$34,C$34)</f>
        <v/>
      </c>
      <c r="D369" s="37">
        <f>_xlfn.IFS(E369&lt;E$24,0,E369&lt;E$25,D$24,E369&lt;E$26,D$25,E369&lt;E$27,D$26,E369&lt;E$28,D$27,E369&lt;E$29,D$28,E369&lt;E$30,D$29,E369&lt;E$31,D$30,E369&lt;E$32,D$31,E369&lt;E$33,D$32,E369&lt;E$34,D$33,E369&lt;E$35,D$34,E369&gt;=E$35,D$35)</f>
        <v/>
      </c>
      <c r="E369" s="38" t="n">
        <v>319</v>
      </c>
      <c r="F369" s="31">
        <f>E369/52</f>
        <v/>
      </c>
      <c r="G369" s="39">
        <f>D369/1000000*52</f>
        <v/>
      </c>
      <c r="H369" s="33">
        <f>G369/$P$4+($C$22/$P$4)</f>
        <v/>
      </c>
      <c r="I369" s="36">
        <f>_xlfn.IFS(K369&lt;K$24,0,K369&lt;K$26,I$24,K369&lt;K$28,I$26,K369&lt;K$30,I$28,K369&lt;K$32,I$30,K369&lt;K$34,I$32,K369&lt;K$36,I$34,K369&lt;K$38,I$36,K369&lt;K$40,I$38,K369&lt;K$42,I$40,K369&lt;K$44,I$42,K369&lt;K$46,I$44,K369&gt;=K$46,I$46)</f>
        <v/>
      </c>
      <c r="J369" s="37">
        <f>_xlfn.IFS(K369&lt;K$24,0,K369&lt;K$25,J$24,K369&lt;K$26,J$25,K369&lt;K$27,J$26,K369&lt;K$28,J$27,K369&lt;K$29,J$28,K369&lt;K$30,J$29,K369&lt;K$31,J$30,K369&lt;K$32,J$31,K369&lt;K$33,J$32,K369&lt;K$34,J$33,K369&lt;K$35,J$34,K369&lt;K$36,J$35,K369&lt;K$37,J$36,K369&lt;K$38,J$37,K369&lt;K$39,J$38,K369&lt;K$40,J$39,K369&lt;K$41,J$40,K369&lt;K$42,J$41,K369&lt;K$43,J$42,K369&lt;K$44,J$43,K369&lt;K$45,J$44,K369&lt;K$46,J$45,K369&lt;K$47,J$46,K369&gt;=K$47,J$47)</f>
        <v/>
      </c>
      <c r="K369" s="38" t="n">
        <v>319</v>
      </c>
      <c r="L369" s="31">
        <f>K369/52</f>
        <v/>
      </c>
      <c r="M369" s="39">
        <f>J369/1000000*52</f>
        <v/>
      </c>
      <c r="N369" s="33">
        <f>M369/$P$4+($I$22/$P$4)</f>
        <v/>
      </c>
      <c r="U369">
        <f>F368</f>
        <v/>
      </c>
      <c r="V369">
        <f>H368</f>
        <v/>
      </c>
      <c r="W369">
        <f>N368</f>
        <v/>
      </c>
    </row>
    <row r="370" ht="15.75" customHeight="1" s="40">
      <c r="C370" s="36">
        <f>_xlfn.IFS(E370&lt;E$24,0,E370&lt;E$26,C$24,E370&lt;E$28,C$26,E370&lt;E$30,C$28,E370&lt;E$32,C$30,E370&lt;E$34,C$32,E370&gt;=E$34,C$34)</f>
        <v/>
      </c>
      <c r="D370" s="37">
        <f>_xlfn.IFS(E370&lt;E$24,0,E370&lt;E$25,D$24,E370&lt;E$26,D$25,E370&lt;E$27,D$26,E370&lt;E$28,D$27,E370&lt;E$29,D$28,E370&lt;E$30,D$29,E370&lt;E$31,D$30,E370&lt;E$32,D$31,E370&lt;E$33,D$32,E370&lt;E$34,D$33,E370&lt;E$35,D$34,E370&gt;=E$35,D$35)</f>
        <v/>
      </c>
      <c r="E370" s="38" t="n">
        <v>320</v>
      </c>
      <c r="F370" s="31">
        <f>E370/52</f>
        <v/>
      </c>
      <c r="G370" s="39">
        <f>D370/1000000*52</f>
        <v/>
      </c>
      <c r="H370" s="33">
        <f>G370/$P$4+($C$22/$P$4)</f>
        <v/>
      </c>
      <c r="I370" s="36">
        <f>_xlfn.IFS(K370&lt;K$24,0,K370&lt;K$26,I$24,K370&lt;K$28,I$26,K370&lt;K$30,I$28,K370&lt;K$32,I$30,K370&lt;K$34,I$32,K370&lt;K$36,I$34,K370&lt;K$38,I$36,K370&lt;K$40,I$38,K370&lt;K$42,I$40,K370&lt;K$44,I$42,K370&lt;K$46,I$44,K370&gt;=K$46,I$46)</f>
        <v/>
      </c>
      <c r="J370" s="37">
        <f>_xlfn.IFS(K370&lt;K$24,0,K370&lt;K$25,J$24,K370&lt;K$26,J$25,K370&lt;K$27,J$26,K370&lt;K$28,J$27,K370&lt;K$29,J$28,K370&lt;K$30,J$29,K370&lt;K$31,J$30,K370&lt;K$32,J$31,K370&lt;K$33,J$32,K370&lt;K$34,J$33,K370&lt;K$35,J$34,K370&lt;K$36,J$35,K370&lt;K$37,J$36,K370&lt;K$38,J$37,K370&lt;K$39,J$38,K370&lt;K$40,J$39,K370&lt;K$41,J$40,K370&lt;K$42,J$41,K370&lt;K$43,J$42,K370&lt;K$44,J$43,K370&lt;K$45,J$44,K370&lt;K$46,J$45,K370&lt;K$47,J$46,K370&gt;=K$47,J$47)</f>
        <v/>
      </c>
      <c r="K370" s="38" t="n">
        <v>320</v>
      </c>
      <c r="L370" s="31">
        <f>K370/52</f>
        <v/>
      </c>
      <c r="M370" s="39">
        <f>J370/1000000*52</f>
        <v/>
      </c>
      <c r="N370" s="33">
        <f>M370/$P$4+($I$22/$P$4)</f>
        <v/>
      </c>
      <c r="U370">
        <f>F369</f>
        <v/>
      </c>
      <c r="V370">
        <f>H369</f>
        <v/>
      </c>
      <c r="W370">
        <f>N369</f>
        <v/>
      </c>
    </row>
    <row r="371" ht="15.75" customHeight="1" s="40">
      <c r="C371" s="36">
        <f>_xlfn.IFS(E371&lt;E$24,0,E371&lt;E$26,C$24,E371&lt;E$28,C$26,E371&lt;E$30,C$28,E371&lt;E$32,C$30,E371&lt;E$34,C$32,E371&gt;=E$34,C$34)</f>
        <v/>
      </c>
      <c r="D371" s="37">
        <f>_xlfn.IFS(E371&lt;E$24,0,E371&lt;E$25,D$24,E371&lt;E$26,D$25,E371&lt;E$27,D$26,E371&lt;E$28,D$27,E371&lt;E$29,D$28,E371&lt;E$30,D$29,E371&lt;E$31,D$30,E371&lt;E$32,D$31,E371&lt;E$33,D$32,E371&lt;E$34,D$33,E371&lt;E$35,D$34,E371&gt;=E$35,D$35)</f>
        <v/>
      </c>
      <c r="E371" s="38" t="n">
        <v>321</v>
      </c>
      <c r="F371" s="31">
        <f>E371/52</f>
        <v/>
      </c>
      <c r="G371" s="39">
        <f>D371/1000000*52</f>
        <v/>
      </c>
      <c r="H371" s="33">
        <f>G371/$P$4+($C$22/$P$4)</f>
        <v/>
      </c>
      <c r="I371" s="36">
        <f>_xlfn.IFS(K371&lt;K$24,0,K371&lt;K$26,I$24,K371&lt;K$28,I$26,K371&lt;K$30,I$28,K371&lt;K$32,I$30,K371&lt;K$34,I$32,K371&lt;K$36,I$34,K371&lt;K$38,I$36,K371&lt;K$40,I$38,K371&lt;K$42,I$40,K371&lt;K$44,I$42,K371&lt;K$46,I$44,K371&gt;=K$46,I$46)</f>
        <v/>
      </c>
      <c r="J371" s="37">
        <f>_xlfn.IFS(K371&lt;K$24,0,K371&lt;K$25,J$24,K371&lt;K$26,J$25,K371&lt;K$27,J$26,K371&lt;K$28,J$27,K371&lt;K$29,J$28,K371&lt;K$30,J$29,K371&lt;K$31,J$30,K371&lt;K$32,J$31,K371&lt;K$33,J$32,K371&lt;K$34,J$33,K371&lt;K$35,J$34,K371&lt;K$36,J$35,K371&lt;K$37,J$36,K371&lt;K$38,J$37,K371&lt;K$39,J$38,K371&lt;K$40,J$39,K371&lt;K$41,J$40,K371&lt;K$42,J$41,K371&lt;K$43,J$42,K371&lt;K$44,J$43,K371&lt;K$45,J$44,K371&lt;K$46,J$45,K371&lt;K$47,J$46,K371&gt;=K$47,J$47)</f>
        <v/>
      </c>
      <c r="K371" s="38" t="n">
        <v>321</v>
      </c>
      <c r="L371" s="31">
        <f>K371/52</f>
        <v/>
      </c>
      <c r="M371" s="39">
        <f>J371/1000000*52</f>
        <v/>
      </c>
      <c r="N371" s="33">
        <f>M371/$P$4+($I$22/$P$4)</f>
        <v/>
      </c>
      <c r="U371">
        <f>F370</f>
        <v/>
      </c>
      <c r="V371">
        <f>H370</f>
        <v/>
      </c>
      <c r="W371">
        <f>N370</f>
        <v/>
      </c>
    </row>
    <row r="372" ht="15.75" customHeight="1" s="40">
      <c r="C372" s="36">
        <f>_xlfn.IFS(E372&lt;E$24,0,E372&lt;E$26,C$24,E372&lt;E$28,C$26,E372&lt;E$30,C$28,E372&lt;E$32,C$30,E372&lt;E$34,C$32,E372&gt;=E$34,C$34)</f>
        <v/>
      </c>
      <c r="D372" s="37">
        <f>_xlfn.IFS(E372&lt;E$24,0,E372&lt;E$25,D$24,E372&lt;E$26,D$25,E372&lt;E$27,D$26,E372&lt;E$28,D$27,E372&lt;E$29,D$28,E372&lt;E$30,D$29,E372&lt;E$31,D$30,E372&lt;E$32,D$31,E372&lt;E$33,D$32,E372&lt;E$34,D$33,E372&lt;E$35,D$34,E372&gt;=E$35,D$35)</f>
        <v/>
      </c>
      <c r="E372" s="38" t="n">
        <v>322</v>
      </c>
      <c r="F372" s="31">
        <f>E372/52</f>
        <v/>
      </c>
      <c r="G372" s="39">
        <f>D372/1000000*52</f>
        <v/>
      </c>
      <c r="H372" s="33">
        <f>G372/$P$4+($C$22/$P$4)</f>
        <v/>
      </c>
      <c r="I372" s="36">
        <f>_xlfn.IFS(K372&lt;K$24,0,K372&lt;K$26,I$24,K372&lt;K$28,I$26,K372&lt;K$30,I$28,K372&lt;K$32,I$30,K372&lt;K$34,I$32,K372&lt;K$36,I$34,K372&lt;K$38,I$36,K372&lt;K$40,I$38,K372&lt;K$42,I$40,K372&lt;K$44,I$42,K372&lt;K$46,I$44,K372&gt;=K$46,I$46)</f>
        <v/>
      </c>
      <c r="J372" s="37">
        <f>_xlfn.IFS(K372&lt;K$24,0,K372&lt;K$25,J$24,K372&lt;K$26,J$25,K372&lt;K$27,J$26,K372&lt;K$28,J$27,K372&lt;K$29,J$28,K372&lt;K$30,J$29,K372&lt;K$31,J$30,K372&lt;K$32,J$31,K372&lt;K$33,J$32,K372&lt;K$34,J$33,K372&lt;K$35,J$34,K372&lt;K$36,J$35,K372&lt;K$37,J$36,K372&lt;K$38,J$37,K372&lt;K$39,J$38,K372&lt;K$40,J$39,K372&lt;K$41,J$40,K372&lt;K$42,J$41,K372&lt;K$43,J$42,K372&lt;K$44,J$43,K372&lt;K$45,J$44,K372&lt;K$46,J$45,K372&lt;K$47,J$46,K372&gt;=K$47,J$47)</f>
        <v/>
      </c>
      <c r="K372" s="38" t="n">
        <v>322</v>
      </c>
      <c r="L372" s="31">
        <f>K372/52</f>
        <v/>
      </c>
      <c r="M372" s="39">
        <f>J372/1000000*52</f>
        <v/>
      </c>
      <c r="N372" s="33">
        <f>M372/$P$4+($I$22/$P$4)</f>
        <v/>
      </c>
      <c r="U372">
        <f>F371</f>
        <v/>
      </c>
      <c r="V372">
        <f>H371</f>
        <v/>
      </c>
      <c r="W372">
        <f>N371</f>
        <v/>
      </c>
    </row>
    <row r="373" ht="15.75" customHeight="1" s="40">
      <c r="C373" s="36">
        <f>_xlfn.IFS(E373&lt;E$24,0,E373&lt;E$26,C$24,E373&lt;E$28,C$26,E373&lt;E$30,C$28,E373&lt;E$32,C$30,E373&lt;E$34,C$32,E373&gt;=E$34,C$34)</f>
        <v/>
      </c>
      <c r="D373" s="37">
        <f>_xlfn.IFS(E373&lt;E$24,0,E373&lt;E$25,D$24,E373&lt;E$26,D$25,E373&lt;E$27,D$26,E373&lt;E$28,D$27,E373&lt;E$29,D$28,E373&lt;E$30,D$29,E373&lt;E$31,D$30,E373&lt;E$32,D$31,E373&lt;E$33,D$32,E373&lt;E$34,D$33,E373&lt;E$35,D$34,E373&gt;=E$35,D$35)</f>
        <v/>
      </c>
      <c r="E373" s="38" t="n">
        <v>323</v>
      </c>
      <c r="F373" s="31">
        <f>E373/52</f>
        <v/>
      </c>
      <c r="G373" s="39">
        <f>D373/1000000*52</f>
        <v/>
      </c>
      <c r="H373" s="33">
        <f>G373/$P$4+($C$22/$P$4)</f>
        <v/>
      </c>
      <c r="I373" s="36">
        <f>_xlfn.IFS(K373&lt;K$24,0,K373&lt;K$26,I$24,K373&lt;K$28,I$26,K373&lt;K$30,I$28,K373&lt;K$32,I$30,K373&lt;K$34,I$32,K373&lt;K$36,I$34,K373&lt;K$38,I$36,K373&lt;K$40,I$38,K373&lt;K$42,I$40,K373&lt;K$44,I$42,K373&lt;K$46,I$44,K373&gt;=K$46,I$46)</f>
        <v/>
      </c>
      <c r="J373" s="37">
        <f>_xlfn.IFS(K373&lt;K$24,0,K373&lt;K$25,J$24,K373&lt;K$26,J$25,K373&lt;K$27,J$26,K373&lt;K$28,J$27,K373&lt;K$29,J$28,K373&lt;K$30,J$29,K373&lt;K$31,J$30,K373&lt;K$32,J$31,K373&lt;K$33,J$32,K373&lt;K$34,J$33,K373&lt;K$35,J$34,K373&lt;K$36,J$35,K373&lt;K$37,J$36,K373&lt;K$38,J$37,K373&lt;K$39,J$38,K373&lt;K$40,J$39,K373&lt;K$41,J$40,K373&lt;K$42,J$41,K373&lt;K$43,J$42,K373&lt;K$44,J$43,K373&lt;K$45,J$44,K373&lt;K$46,J$45,K373&lt;K$47,J$46,K373&gt;=K$47,J$47)</f>
        <v/>
      </c>
      <c r="K373" s="38" t="n">
        <v>323</v>
      </c>
      <c r="L373" s="31">
        <f>K373/52</f>
        <v/>
      </c>
      <c r="M373" s="39">
        <f>J373/1000000*52</f>
        <v/>
      </c>
      <c r="N373" s="33">
        <f>M373/$P$4+($I$22/$P$4)</f>
        <v/>
      </c>
      <c r="U373">
        <f>F372</f>
        <v/>
      </c>
      <c r="V373">
        <f>H372</f>
        <v/>
      </c>
      <c r="W373">
        <f>N372</f>
        <v/>
      </c>
    </row>
    <row r="374" ht="15.75" customHeight="1" s="40">
      <c r="C374" s="36">
        <f>_xlfn.IFS(E374&lt;E$24,0,E374&lt;E$26,C$24,E374&lt;E$28,C$26,E374&lt;E$30,C$28,E374&lt;E$32,C$30,E374&lt;E$34,C$32,E374&gt;=E$34,C$34)</f>
        <v/>
      </c>
      <c r="D374" s="37">
        <f>_xlfn.IFS(E374&lt;E$24,0,E374&lt;E$25,D$24,E374&lt;E$26,D$25,E374&lt;E$27,D$26,E374&lt;E$28,D$27,E374&lt;E$29,D$28,E374&lt;E$30,D$29,E374&lt;E$31,D$30,E374&lt;E$32,D$31,E374&lt;E$33,D$32,E374&lt;E$34,D$33,E374&lt;E$35,D$34,E374&gt;=E$35,D$35)</f>
        <v/>
      </c>
      <c r="E374" s="38" t="n">
        <v>324</v>
      </c>
      <c r="F374" s="31">
        <f>E374/52</f>
        <v/>
      </c>
      <c r="G374" s="39">
        <f>D374/1000000*52</f>
        <v/>
      </c>
      <c r="H374" s="33">
        <f>G374/$P$4+($C$22/$P$4)</f>
        <v/>
      </c>
      <c r="I374" s="36">
        <f>_xlfn.IFS(K374&lt;K$24,0,K374&lt;K$26,I$24,K374&lt;K$28,I$26,K374&lt;K$30,I$28,K374&lt;K$32,I$30,K374&lt;K$34,I$32,K374&lt;K$36,I$34,K374&lt;K$38,I$36,K374&lt;K$40,I$38,K374&lt;K$42,I$40,K374&lt;K$44,I$42,K374&lt;K$46,I$44,K374&gt;=K$46,I$46)</f>
        <v/>
      </c>
      <c r="J374" s="37">
        <f>_xlfn.IFS(K374&lt;K$24,0,K374&lt;K$25,J$24,K374&lt;K$26,J$25,K374&lt;K$27,J$26,K374&lt;K$28,J$27,K374&lt;K$29,J$28,K374&lt;K$30,J$29,K374&lt;K$31,J$30,K374&lt;K$32,J$31,K374&lt;K$33,J$32,K374&lt;K$34,J$33,K374&lt;K$35,J$34,K374&lt;K$36,J$35,K374&lt;K$37,J$36,K374&lt;K$38,J$37,K374&lt;K$39,J$38,K374&lt;K$40,J$39,K374&lt;K$41,J$40,K374&lt;K$42,J$41,K374&lt;K$43,J$42,K374&lt;K$44,J$43,K374&lt;K$45,J$44,K374&lt;K$46,J$45,K374&lt;K$47,J$46,K374&gt;=K$47,J$47)</f>
        <v/>
      </c>
      <c r="K374" s="38" t="n">
        <v>324</v>
      </c>
      <c r="L374" s="31">
        <f>K374/52</f>
        <v/>
      </c>
      <c r="M374" s="39">
        <f>J374/1000000*52</f>
        <v/>
      </c>
      <c r="N374" s="33">
        <f>M374/$P$4+($I$22/$P$4)</f>
        <v/>
      </c>
      <c r="U374">
        <f>F373</f>
        <v/>
      </c>
      <c r="V374">
        <f>H373</f>
        <v/>
      </c>
      <c r="W374">
        <f>N373</f>
        <v/>
      </c>
    </row>
    <row r="375" ht="15.75" customHeight="1" s="40">
      <c r="C375" s="36">
        <f>_xlfn.IFS(E375&lt;E$24,0,E375&lt;E$26,C$24,E375&lt;E$28,C$26,E375&lt;E$30,C$28,E375&lt;E$32,C$30,E375&lt;E$34,C$32,E375&gt;=E$34,C$34)</f>
        <v/>
      </c>
      <c r="D375" s="37">
        <f>_xlfn.IFS(E375&lt;E$24,0,E375&lt;E$25,D$24,E375&lt;E$26,D$25,E375&lt;E$27,D$26,E375&lt;E$28,D$27,E375&lt;E$29,D$28,E375&lt;E$30,D$29,E375&lt;E$31,D$30,E375&lt;E$32,D$31,E375&lt;E$33,D$32,E375&lt;E$34,D$33,E375&lt;E$35,D$34,E375&gt;=E$35,D$35)</f>
        <v/>
      </c>
      <c r="E375" s="38" t="n">
        <v>325</v>
      </c>
      <c r="F375" s="31">
        <f>E375/52</f>
        <v/>
      </c>
      <c r="G375" s="39">
        <f>D375/1000000*52</f>
        <v/>
      </c>
      <c r="H375" s="33">
        <f>G375/$P$4+($C$22/$P$4)</f>
        <v/>
      </c>
      <c r="I375" s="36">
        <f>_xlfn.IFS(K375&lt;K$24,0,K375&lt;K$26,I$24,K375&lt;K$28,I$26,K375&lt;K$30,I$28,K375&lt;K$32,I$30,K375&lt;K$34,I$32,K375&lt;K$36,I$34,K375&lt;K$38,I$36,K375&lt;K$40,I$38,K375&lt;K$42,I$40,K375&lt;K$44,I$42,K375&lt;K$46,I$44,K375&gt;=K$46,I$46)</f>
        <v/>
      </c>
      <c r="J375" s="37">
        <f>_xlfn.IFS(K375&lt;K$24,0,K375&lt;K$25,J$24,K375&lt;K$26,J$25,K375&lt;K$27,J$26,K375&lt;K$28,J$27,K375&lt;K$29,J$28,K375&lt;K$30,J$29,K375&lt;K$31,J$30,K375&lt;K$32,J$31,K375&lt;K$33,J$32,K375&lt;K$34,J$33,K375&lt;K$35,J$34,K375&lt;K$36,J$35,K375&lt;K$37,J$36,K375&lt;K$38,J$37,K375&lt;K$39,J$38,K375&lt;K$40,J$39,K375&lt;K$41,J$40,K375&lt;K$42,J$41,K375&lt;K$43,J$42,K375&lt;K$44,J$43,K375&lt;K$45,J$44,K375&lt;K$46,J$45,K375&lt;K$47,J$46,K375&gt;=K$47,J$47)</f>
        <v/>
      </c>
      <c r="K375" s="38" t="n">
        <v>325</v>
      </c>
      <c r="L375" s="31">
        <f>K375/52</f>
        <v/>
      </c>
      <c r="M375" s="39">
        <f>J375/1000000*52</f>
        <v/>
      </c>
      <c r="N375" s="33">
        <f>M375/$P$4+($I$22/$P$4)</f>
        <v/>
      </c>
      <c r="U375">
        <f>F374</f>
        <v/>
      </c>
      <c r="V375">
        <f>H374</f>
        <v/>
      </c>
      <c r="W375">
        <f>N374</f>
        <v/>
      </c>
    </row>
    <row r="376" ht="15.75" customHeight="1" s="40">
      <c r="C376" s="36">
        <f>_xlfn.IFS(E376&lt;E$24,0,E376&lt;E$26,C$24,E376&lt;E$28,C$26,E376&lt;E$30,C$28,E376&lt;E$32,C$30,E376&lt;E$34,C$32,E376&gt;=E$34,C$34)</f>
        <v/>
      </c>
      <c r="D376" s="37">
        <f>_xlfn.IFS(E376&lt;E$24,0,E376&lt;E$25,D$24,E376&lt;E$26,D$25,E376&lt;E$27,D$26,E376&lt;E$28,D$27,E376&lt;E$29,D$28,E376&lt;E$30,D$29,E376&lt;E$31,D$30,E376&lt;E$32,D$31,E376&lt;E$33,D$32,E376&lt;E$34,D$33,E376&lt;E$35,D$34,E376&gt;=E$35,D$35)</f>
        <v/>
      </c>
      <c r="E376" s="38" t="n">
        <v>326</v>
      </c>
      <c r="F376" s="31">
        <f>E376/52</f>
        <v/>
      </c>
      <c r="G376" s="39">
        <f>D376/1000000*52</f>
        <v/>
      </c>
      <c r="H376" s="33">
        <f>G376/$P$4+($C$22/$P$4)</f>
        <v/>
      </c>
      <c r="I376" s="36">
        <f>_xlfn.IFS(K376&lt;K$24,0,K376&lt;K$26,I$24,K376&lt;K$28,I$26,K376&lt;K$30,I$28,K376&lt;K$32,I$30,K376&lt;K$34,I$32,K376&lt;K$36,I$34,K376&lt;K$38,I$36,K376&lt;K$40,I$38,K376&lt;K$42,I$40,K376&lt;K$44,I$42,K376&lt;K$46,I$44,K376&gt;=K$46,I$46)</f>
        <v/>
      </c>
      <c r="J376" s="37">
        <f>_xlfn.IFS(K376&lt;K$24,0,K376&lt;K$25,J$24,K376&lt;K$26,J$25,K376&lt;K$27,J$26,K376&lt;K$28,J$27,K376&lt;K$29,J$28,K376&lt;K$30,J$29,K376&lt;K$31,J$30,K376&lt;K$32,J$31,K376&lt;K$33,J$32,K376&lt;K$34,J$33,K376&lt;K$35,J$34,K376&lt;K$36,J$35,K376&lt;K$37,J$36,K376&lt;K$38,J$37,K376&lt;K$39,J$38,K376&lt;K$40,J$39,K376&lt;K$41,J$40,K376&lt;K$42,J$41,K376&lt;K$43,J$42,K376&lt;K$44,J$43,K376&lt;K$45,J$44,K376&lt;K$46,J$45,K376&lt;K$47,J$46,K376&gt;=K$47,J$47)</f>
        <v/>
      </c>
      <c r="K376" s="38" t="n">
        <v>326</v>
      </c>
      <c r="L376" s="31">
        <f>K376/52</f>
        <v/>
      </c>
      <c r="M376" s="39">
        <f>J376/1000000*52</f>
        <v/>
      </c>
      <c r="N376" s="33">
        <f>M376/$P$4+($I$22/$P$4)</f>
        <v/>
      </c>
      <c r="U376">
        <f>F375</f>
        <v/>
      </c>
      <c r="V376">
        <f>H375</f>
        <v/>
      </c>
      <c r="W376">
        <f>N375</f>
        <v/>
      </c>
    </row>
    <row r="377" ht="15.75" customHeight="1" s="40">
      <c r="C377" s="36">
        <f>_xlfn.IFS(E377&lt;E$24,0,E377&lt;E$26,C$24,E377&lt;E$28,C$26,E377&lt;E$30,C$28,E377&lt;E$32,C$30,E377&lt;E$34,C$32,E377&gt;=E$34,C$34)</f>
        <v/>
      </c>
      <c r="D377" s="37">
        <f>_xlfn.IFS(E377&lt;E$24,0,E377&lt;E$25,D$24,E377&lt;E$26,D$25,E377&lt;E$27,D$26,E377&lt;E$28,D$27,E377&lt;E$29,D$28,E377&lt;E$30,D$29,E377&lt;E$31,D$30,E377&lt;E$32,D$31,E377&lt;E$33,D$32,E377&lt;E$34,D$33,E377&lt;E$35,D$34,E377&gt;=E$35,D$35)</f>
        <v/>
      </c>
      <c r="E377" s="38" t="n">
        <v>327</v>
      </c>
      <c r="F377" s="31">
        <f>E377/52</f>
        <v/>
      </c>
      <c r="G377" s="39">
        <f>D377/1000000*52</f>
        <v/>
      </c>
      <c r="H377" s="33">
        <f>G377/$P$4+($C$22/$P$4)</f>
        <v/>
      </c>
      <c r="I377" s="36">
        <f>_xlfn.IFS(K377&lt;K$24,0,K377&lt;K$26,I$24,K377&lt;K$28,I$26,K377&lt;K$30,I$28,K377&lt;K$32,I$30,K377&lt;K$34,I$32,K377&lt;K$36,I$34,K377&lt;K$38,I$36,K377&lt;K$40,I$38,K377&lt;K$42,I$40,K377&lt;K$44,I$42,K377&lt;K$46,I$44,K377&gt;=K$46,I$46)</f>
        <v/>
      </c>
      <c r="J377" s="37">
        <f>_xlfn.IFS(K377&lt;K$24,0,K377&lt;K$25,J$24,K377&lt;K$26,J$25,K377&lt;K$27,J$26,K377&lt;K$28,J$27,K377&lt;K$29,J$28,K377&lt;K$30,J$29,K377&lt;K$31,J$30,K377&lt;K$32,J$31,K377&lt;K$33,J$32,K377&lt;K$34,J$33,K377&lt;K$35,J$34,K377&lt;K$36,J$35,K377&lt;K$37,J$36,K377&lt;K$38,J$37,K377&lt;K$39,J$38,K377&lt;K$40,J$39,K377&lt;K$41,J$40,K377&lt;K$42,J$41,K377&lt;K$43,J$42,K377&lt;K$44,J$43,K377&lt;K$45,J$44,K377&lt;K$46,J$45,K377&lt;K$47,J$46,K377&gt;=K$47,J$47)</f>
        <v/>
      </c>
      <c r="K377" s="38" t="n">
        <v>327</v>
      </c>
      <c r="L377" s="31">
        <f>K377/52</f>
        <v/>
      </c>
      <c r="M377" s="39">
        <f>J377/1000000*52</f>
        <v/>
      </c>
      <c r="N377" s="33">
        <f>M377/$P$4+($I$22/$P$4)</f>
        <v/>
      </c>
      <c r="U377">
        <f>F376</f>
        <v/>
      </c>
      <c r="V377">
        <f>H376</f>
        <v/>
      </c>
      <c r="W377">
        <f>N376</f>
        <v/>
      </c>
    </row>
    <row r="378" ht="15.75" customHeight="1" s="40">
      <c r="C378" s="36">
        <f>_xlfn.IFS(E378&lt;E$24,0,E378&lt;E$26,C$24,E378&lt;E$28,C$26,E378&lt;E$30,C$28,E378&lt;E$32,C$30,E378&lt;E$34,C$32,E378&gt;=E$34,C$34)</f>
        <v/>
      </c>
      <c r="D378" s="37">
        <f>_xlfn.IFS(E378&lt;E$24,0,E378&lt;E$25,D$24,E378&lt;E$26,D$25,E378&lt;E$27,D$26,E378&lt;E$28,D$27,E378&lt;E$29,D$28,E378&lt;E$30,D$29,E378&lt;E$31,D$30,E378&lt;E$32,D$31,E378&lt;E$33,D$32,E378&lt;E$34,D$33,E378&lt;E$35,D$34,E378&gt;=E$35,D$35)</f>
        <v/>
      </c>
      <c r="E378" s="38" t="n">
        <v>328</v>
      </c>
      <c r="F378" s="31">
        <f>E378/52</f>
        <v/>
      </c>
      <c r="G378" s="39">
        <f>D378/1000000*52</f>
        <v/>
      </c>
      <c r="H378" s="33">
        <f>G378/$P$4+($C$22/$P$4)</f>
        <v/>
      </c>
      <c r="I378" s="36">
        <f>_xlfn.IFS(K378&lt;K$24,0,K378&lt;K$26,I$24,K378&lt;K$28,I$26,K378&lt;K$30,I$28,K378&lt;K$32,I$30,K378&lt;K$34,I$32,K378&lt;K$36,I$34,K378&lt;K$38,I$36,K378&lt;K$40,I$38,K378&lt;K$42,I$40,K378&lt;K$44,I$42,K378&lt;K$46,I$44,K378&gt;=K$46,I$46)</f>
        <v/>
      </c>
      <c r="J378" s="37">
        <f>_xlfn.IFS(K378&lt;K$24,0,K378&lt;K$25,J$24,K378&lt;K$26,J$25,K378&lt;K$27,J$26,K378&lt;K$28,J$27,K378&lt;K$29,J$28,K378&lt;K$30,J$29,K378&lt;K$31,J$30,K378&lt;K$32,J$31,K378&lt;K$33,J$32,K378&lt;K$34,J$33,K378&lt;K$35,J$34,K378&lt;K$36,J$35,K378&lt;K$37,J$36,K378&lt;K$38,J$37,K378&lt;K$39,J$38,K378&lt;K$40,J$39,K378&lt;K$41,J$40,K378&lt;K$42,J$41,K378&lt;K$43,J$42,K378&lt;K$44,J$43,K378&lt;K$45,J$44,K378&lt;K$46,J$45,K378&lt;K$47,J$46,K378&gt;=K$47,J$47)</f>
        <v/>
      </c>
      <c r="K378" s="38" t="n">
        <v>328</v>
      </c>
      <c r="L378" s="31">
        <f>K378/52</f>
        <v/>
      </c>
      <c r="M378" s="39">
        <f>J378/1000000*52</f>
        <v/>
      </c>
      <c r="N378" s="33">
        <f>M378/$P$4+($I$22/$P$4)</f>
        <v/>
      </c>
      <c r="U378">
        <f>F377</f>
        <v/>
      </c>
      <c r="V378">
        <f>H377</f>
        <v/>
      </c>
      <c r="W378">
        <f>N377</f>
        <v/>
      </c>
    </row>
    <row r="379" ht="15.75" customHeight="1" s="40">
      <c r="C379" s="36">
        <f>_xlfn.IFS(E379&lt;E$24,0,E379&lt;E$26,C$24,E379&lt;E$28,C$26,E379&lt;E$30,C$28,E379&lt;E$32,C$30,E379&lt;E$34,C$32,E379&gt;=E$34,C$34)</f>
        <v/>
      </c>
      <c r="D379" s="37">
        <f>_xlfn.IFS(E379&lt;E$24,0,E379&lt;E$25,D$24,E379&lt;E$26,D$25,E379&lt;E$27,D$26,E379&lt;E$28,D$27,E379&lt;E$29,D$28,E379&lt;E$30,D$29,E379&lt;E$31,D$30,E379&lt;E$32,D$31,E379&lt;E$33,D$32,E379&lt;E$34,D$33,E379&lt;E$35,D$34,E379&gt;=E$35,D$35)</f>
        <v/>
      </c>
      <c r="E379" s="38" t="n">
        <v>329</v>
      </c>
      <c r="F379" s="31">
        <f>E379/52</f>
        <v/>
      </c>
      <c r="G379" s="39">
        <f>D379/1000000*52</f>
        <v/>
      </c>
      <c r="H379" s="33">
        <f>G379/$P$4+($C$22/$P$4)</f>
        <v/>
      </c>
      <c r="I379" s="36">
        <f>_xlfn.IFS(K379&lt;K$24,0,K379&lt;K$26,I$24,K379&lt;K$28,I$26,K379&lt;K$30,I$28,K379&lt;K$32,I$30,K379&lt;K$34,I$32,K379&lt;K$36,I$34,K379&lt;K$38,I$36,K379&lt;K$40,I$38,K379&lt;K$42,I$40,K379&lt;K$44,I$42,K379&lt;K$46,I$44,K379&gt;=K$46,I$46)</f>
        <v/>
      </c>
      <c r="J379" s="37">
        <f>_xlfn.IFS(K379&lt;K$24,0,K379&lt;K$25,J$24,K379&lt;K$26,J$25,K379&lt;K$27,J$26,K379&lt;K$28,J$27,K379&lt;K$29,J$28,K379&lt;K$30,J$29,K379&lt;K$31,J$30,K379&lt;K$32,J$31,K379&lt;K$33,J$32,K379&lt;K$34,J$33,K379&lt;K$35,J$34,K379&lt;K$36,J$35,K379&lt;K$37,J$36,K379&lt;K$38,J$37,K379&lt;K$39,J$38,K379&lt;K$40,J$39,K379&lt;K$41,J$40,K379&lt;K$42,J$41,K379&lt;K$43,J$42,K379&lt;K$44,J$43,K379&lt;K$45,J$44,K379&lt;K$46,J$45,K379&lt;K$47,J$46,K379&gt;=K$47,J$47)</f>
        <v/>
      </c>
      <c r="K379" s="38" t="n">
        <v>329</v>
      </c>
      <c r="L379" s="31">
        <f>K379/52</f>
        <v/>
      </c>
      <c r="M379" s="39">
        <f>J379/1000000*52</f>
        <v/>
      </c>
      <c r="N379" s="33">
        <f>M379/$P$4+($I$22/$P$4)</f>
        <v/>
      </c>
      <c r="U379">
        <f>F378</f>
        <v/>
      </c>
      <c r="V379">
        <f>H378</f>
        <v/>
      </c>
      <c r="W379">
        <f>N378</f>
        <v/>
      </c>
    </row>
    <row r="380" ht="15.75" customHeight="1" s="40">
      <c r="C380" s="36">
        <f>_xlfn.IFS(E380&lt;E$24,0,E380&lt;E$26,C$24,E380&lt;E$28,C$26,E380&lt;E$30,C$28,E380&lt;E$32,C$30,E380&lt;E$34,C$32,E380&gt;=E$34,C$34)</f>
        <v/>
      </c>
      <c r="D380" s="37">
        <f>_xlfn.IFS(E380&lt;E$24,0,E380&lt;E$25,D$24,E380&lt;E$26,D$25,E380&lt;E$27,D$26,E380&lt;E$28,D$27,E380&lt;E$29,D$28,E380&lt;E$30,D$29,E380&lt;E$31,D$30,E380&lt;E$32,D$31,E380&lt;E$33,D$32,E380&lt;E$34,D$33,E380&lt;E$35,D$34,E380&gt;=E$35,D$35)</f>
        <v/>
      </c>
      <c r="E380" s="38" t="n">
        <v>330</v>
      </c>
      <c r="F380" s="31">
        <f>E380/52</f>
        <v/>
      </c>
      <c r="G380" s="39">
        <f>D380/1000000*52</f>
        <v/>
      </c>
      <c r="H380" s="33">
        <f>G380/$P$4+($C$22/$P$4)</f>
        <v/>
      </c>
      <c r="I380" s="36">
        <f>_xlfn.IFS(K380&lt;K$24,0,K380&lt;K$26,I$24,K380&lt;K$28,I$26,K380&lt;K$30,I$28,K380&lt;K$32,I$30,K380&lt;K$34,I$32,K380&lt;K$36,I$34,K380&lt;K$38,I$36,K380&lt;K$40,I$38,K380&lt;K$42,I$40,K380&lt;K$44,I$42,K380&lt;K$46,I$44,K380&gt;=K$46,I$46)</f>
        <v/>
      </c>
      <c r="J380" s="37">
        <f>_xlfn.IFS(K380&lt;K$24,0,K380&lt;K$25,J$24,K380&lt;K$26,J$25,K380&lt;K$27,J$26,K380&lt;K$28,J$27,K380&lt;K$29,J$28,K380&lt;K$30,J$29,K380&lt;K$31,J$30,K380&lt;K$32,J$31,K380&lt;K$33,J$32,K380&lt;K$34,J$33,K380&lt;K$35,J$34,K380&lt;K$36,J$35,K380&lt;K$37,J$36,K380&lt;K$38,J$37,K380&lt;K$39,J$38,K380&lt;K$40,J$39,K380&lt;K$41,J$40,K380&lt;K$42,J$41,K380&lt;K$43,J$42,K380&lt;K$44,J$43,K380&lt;K$45,J$44,K380&lt;K$46,J$45,K380&lt;K$47,J$46,K380&gt;=K$47,J$47)</f>
        <v/>
      </c>
      <c r="K380" s="38" t="n">
        <v>330</v>
      </c>
      <c r="L380" s="31">
        <f>K380/52</f>
        <v/>
      </c>
      <c r="M380" s="39">
        <f>J380/1000000*52</f>
        <v/>
      </c>
      <c r="N380" s="33">
        <f>M380/$P$4+($I$22/$P$4)</f>
        <v/>
      </c>
      <c r="U380">
        <f>F379</f>
        <v/>
      </c>
      <c r="V380">
        <f>H379</f>
        <v/>
      </c>
      <c r="W380">
        <f>N379</f>
        <v/>
      </c>
    </row>
    <row r="381" ht="15.75" customHeight="1" s="40">
      <c r="C381" s="36">
        <f>_xlfn.IFS(E381&lt;E$24,0,E381&lt;E$26,C$24,E381&lt;E$28,C$26,E381&lt;E$30,C$28,E381&lt;E$32,C$30,E381&lt;E$34,C$32,E381&gt;=E$34,C$34)</f>
        <v/>
      </c>
      <c r="D381" s="37">
        <f>_xlfn.IFS(E381&lt;E$24,0,E381&lt;E$25,D$24,E381&lt;E$26,D$25,E381&lt;E$27,D$26,E381&lt;E$28,D$27,E381&lt;E$29,D$28,E381&lt;E$30,D$29,E381&lt;E$31,D$30,E381&lt;E$32,D$31,E381&lt;E$33,D$32,E381&lt;E$34,D$33,E381&lt;E$35,D$34,E381&gt;=E$35,D$35)</f>
        <v/>
      </c>
      <c r="E381" s="38" t="n">
        <v>331</v>
      </c>
      <c r="F381" s="31">
        <f>E381/52</f>
        <v/>
      </c>
      <c r="G381" s="39">
        <f>D381/1000000*52</f>
        <v/>
      </c>
      <c r="H381" s="33">
        <f>G381/$P$4+($C$22/$P$4)</f>
        <v/>
      </c>
      <c r="I381" s="36">
        <f>_xlfn.IFS(K381&lt;K$24,0,K381&lt;K$26,I$24,K381&lt;K$28,I$26,K381&lt;K$30,I$28,K381&lt;K$32,I$30,K381&lt;K$34,I$32,K381&lt;K$36,I$34,K381&lt;K$38,I$36,K381&lt;K$40,I$38,K381&lt;K$42,I$40,K381&lt;K$44,I$42,K381&lt;K$46,I$44,K381&gt;=K$46,I$46)</f>
        <v/>
      </c>
      <c r="J381" s="37">
        <f>_xlfn.IFS(K381&lt;K$24,0,K381&lt;K$25,J$24,K381&lt;K$26,J$25,K381&lt;K$27,J$26,K381&lt;K$28,J$27,K381&lt;K$29,J$28,K381&lt;K$30,J$29,K381&lt;K$31,J$30,K381&lt;K$32,J$31,K381&lt;K$33,J$32,K381&lt;K$34,J$33,K381&lt;K$35,J$34,K381&lt;K$36,J$35,K381&lt;K$37,J$36,K381&lt;K$38,J$37,K381&lt;K$39,J$38,K381&lt;K$40,J$39,K381&lt;K$41,J$40,K381&lt;K$42,J$41,K381&lt;K$43,J$42,K381&lt;K$44,J$43,K381&lt;K$45,J$44,K381&lt;K$46,J$45,K381&lt;K$47,J$46,K381&gt;=K$47,J$47)</f>
        <v/>
      </c>
      <c r="K381" s="38" t="n">
        <v>331</v>
      </c>
      <c r="L381" s="31">
        <f>K381/52</f>
        <v/>
      </c>
      <c r="M381" s="39">
        <f>J381/1000000*52</f>
        <v/>
      </c>
      <c r="N381" s="33">
        <f>M381/$P$4+($I$22/$P$4)</f>
        <v/>
      </c>
      <c r="U381">
        <f>F380</f>
        <v/>
      </c>
      <c r="V381">
        <f>H380</f>
        <v/>
      </c>
      <c r="W381">
        <f>N380</f>
        <v/>
      </c>
    </row>
    <row r="382" ht="15.75" customHeight="1" s="40">
      <c r="C382" s="36">
        <f>_xlfn.IFS(E382&lt;E$24,0,E382&lt;E$26,C$24,E382&lt;E$28,C$26,E382&lt;E$30,C$28,E382&lt;E$32,C$30,E382&lt;E$34,C$32,E382&gt;=E$34,C$34)</f>
        <v/>
      </c>
      <c r="D382" s="37">
        <f>_xlfn.IFS(E382&lt;E$24,0,E382&lt;E$25,D$24,E382&lt;E$26,D$25,E382&lt;E$27,D$26,E382&lt;E$28,D$27,E382&lt;E$29,D$28,E382&lt;E$30,D$29,E382&lt;E$31,D$30,E382&lt;E$32,D$31,E382&lt;E$33,D$32,E382&lt;E$34,D$33,E382&lt;E$35,D$34,E382&gt;=E$35,D$35)</f>
        <v/>
      </c>
      <c r="E382" s="38" t="n">
        <v>332</v>
      </c>
      <c r="F382" s="31">
        <f>E382/52</f>
        <v/>
      </c>
      <c r="G382" s="39">
        <f>D382/1000000*52</f>
        <v/>
      </c>
      <c r="H382" s="33">
        <f>G382/$P$4+($C$22/$P$4)</f>
        <v/>
      </c>
      <c r="I382" s="36">
        <f>_xlfn.IFS(K382&lt;K$24,0,K382&lt;K$26,I$24,K382&lt;K$28,I$26,K382&lt;K$30,I$28,K382&lt;K$32,I$30,K382&lt;K$34,I$32,K382&lt;K$36,I$34,K382&lt;K$38,I$36,K382&lt;K$40,I$38,K382&lt;K$42,I$40,K382&lt;K$44,I$42,K382&lt;K$46,I$44,K382&gt;=K$46,I$46)</f>
        <v/>
      </c>
      <c r="J382" s="37">
        <f>_xlfn.IFS(K382&lt;K$24,0,K382&lt;K$25,J$24,K382&lt;K$26,J$25,K382&lt;K$27,J$26,K382&lt;K$28,J$27,K382&lt;K$29,J$28,K382&lt;K$30,J$29,K382&lt;K$31,J$30,K382&lt;K$32,J$31,K382&lt;K$33,J$32,K382&lt;K$34,J$33,K382&lt;K$35,J$34,K382&lt;K$36,J$35,K382&lt;K$37,J$36,K382&lt;K$38,J$37,K382&lt;K$39,J$38,K382&lt;K$40,J$39,K382&lt;K$41,J$40,K382&lt;K$42,J$41,K382&lt;K$43,J$42,K382&lt;K$44,J$43,K382&lt;K$45,J$44,K382&lt;K$46,J$45,K382&lt;K$47,J$46,K382&gt;=K$47,J$47)</f>
        <v/>
      </c>
      <c r="K382" s="38" t="n">
        <v>332</v>
      </c>
      <c r="L382" s="31">
        <f>K382/52</f>
        <v/>
      </c>
      <c r="M382" s="39">
        <f>J382/1000000*52</f>
        <v/>
      </c>
      <c r="N382" s="33">
        <f>M382/$P$4+($I$22/$P$4)</f>
        <v/>
      </c>
      <c r="U382">
        <f>F381</f>
        <v/>
      </c>
      <c r="V382">
        <f>H381</f>
        <v/>
      </c>
      <c r="W382">
        <f>N381</f>
        <v/>
      </c>
    </row>
    <row r="383" ht="15.75" customHeight="1" s="40">
      <c r="C383" s="36">
        <f>_xlfn.IFS(E383&lt;E$24,0,E383&lt;E$26,C$24,E383&lt;E$28,C$26,E383&lt;E$30,C$28,E383&lt;E$32,C$30,E383&lt;E$34,C$32,E383&gt;=E$34,C$34)</f>
        <v/>
      </c>
      <c r="D383" s="37">
        <f>_xlfn.IFS(E383&lt;E$24,0,E383&lt;E$25,D$24,E383&lt;E$26,D$25,E383&lt;E$27,D$26,E383&lt;E$28,D$27,E383&lt;E$29,D$28,E383&lt;E$30,D$29,E383&lt;E$31,D$30,E383&lt;E$32,D$31,E383&lt;E$33,D$32,E383&lt;E$34,D$33,E383&lt;E$35,D$34,E383&gt;=E$35,D$35)</f>
        <v/>
      </c>
      <c r="E383" s="38" t="n">
        <v>333</v>
      </c>
      <c r="F383" s="31">
        <f>E383/52</f>
        <v/>
      </c>
      <c r="G383" s="39">
        <f>D383/1000000*52</f>
        <v/>
      </c>
      <c r="H383" s="33">
        <f>G383/$P$4+($C$22/$P$4)</f>
        <v/>
      </c>
      <c r="I383" s="36">
        <f>_xlfn.IFS(K383&lt;K$24,0,K383&lt;K$26,I$24,K383&lt;K$28,I$26,K383&lt;K$30,I$28,K383&lt;K$32,I$30,K383&lt;K$34,I$32,K383&lt;K$36,I$34,K383&lt;K$38,I$36,K383&lt;K$40,I$38,K383&lt;K$42,I$40,K383&lt;K$44,I$42,K383&lt;K$46,I$44,K383&gt;=K$46,I$46)</f>
        <v/>
      </c>
      <c r="J383" s="37">
        <f>_xlfn.IFS(K383&lt;K$24,0,K383&lt;K$25,J$24,K383&lt;K$26,J$25,K383&lt;K$27,J$26,K383&lt;K$28,J$27,K383&lt;K$29,J$28,K383&lt;K$30,J$29,K383&lt;K$31,J$30,K383&lt;K$32,J$31,K383&lt;K$33,J$32,K383&lt;K$34,J$33,K383&lt;K$35,J$34,K383&lt;K$36,J$35,K383&lt;K$37,J$36,K383&lt;K$38,J$37,K383&lt;K$39,J$38,K383&lt;K$40,J$39,K383&lt;K$41,J$40,K383&lt;K$42,J$41,K383&lt;K$43,J$42,K383&lt;K$44,J$43,K383&lt;K$45,J$44,K383&lt;K$46,J$45,K383&lt;K$47,J$46,K383&gt;=K$47,J$47)</f>
        <v/>
      </c>
      <c r="K383" s="38" t="n">
        <v>333</v>
      </c>
      <c r="L383" s="31">
        <f>K383/52</f>
        <v/>
      </c>
      <c r="M383" s="39">
        <f>J383/1000000*52</f>
        <v/>
      </c>
      <c r="N383" s="33">
        <f>M383/$P$4+($I$22/$P$4)</f>
        <v/>
      </c>
      <c r="U383">
        <f>F382</f>
        <v/>
      </c>
      <c r="V383">
        <f>H382</f>
        <v/>
      </c>
      <c r="W383">
        <f>N382</f>
        <v/>
      </c>
    </row>
    <row r="384" ht="15.75" customHeight="1" s="40">
      <c r="C384" s="36">
        <f>_xlfn.IFS(E384&lt;E$24,0,E384&lt;E$26,C$24,E384&lt;E$28,C$26,E384&lt;E$30,C$28,E384&lt;E$32,C$30,E384&lt;E$34,C$32,E384&gt;=E$34,C$34)</f>
        <v/>
      </c>
      <c r="D384" s="37">
        <f>_xlfn.IFS(E384&lt;E$24,0,E384&lt;E$25,D$24,E384&lt;E$26,D$25,E384&lt;E$27,D$26,E384&lt;E$28,D$27,E384&lt;E$29,D$28,E384&lt;E$30,D$29,E384&lt;E$31,D$30,E384&lt;E$32,D$31,E384&lt;E$33,D$32,E384&lt;E$34,D$33,E384&lt;E$35,D$34,E384&gt;=E$35,D$35)</f>
        <v/>
      </c>
      <c r="E384" s="38" t="n">
        <v>334</v>
      </c>
      <c r="F384" s="31">
        <f>E384/52</f>
        <v/>
      </c>
      <c r="G384" s="39">
        <f>D384/1000000*52</f>
        <v/>
      </c>
      <c r="H384" s="33">
        <f>G384/$P$4+($C$22/$P$4)</f>
        <v/>
      </c>
      <c r="I384" s="36">
        <f>_xlfn.IFS(K384&lt;K$24,0,K384&lt;K$26,I$24,K384&lt;K$28,I$26,K384&lt;K$30,I$28,K384&lt;K$32,I$30,K384&lt;K$34,I$32,K384&lt;K$36,I$34,K384&lt;K$38,I$36,K384&lt;K$40,I$38,K384&lt;K$42,I$40,K384&lt;K$44,I$42,K384&lt;K$46,I$44,K384&gt;=K$46,I$46)</f>
        <v/>
      </c>
      <c r="J384" s="37">
        <f>_xlfn.IFS(K384&lt;K$24,0,K384&lt;K$25,J$24,K384&lt;K$26,J$25,K384&lt;K$27,J$26,K384&lt;K$28,J$27,K384&lt;K$29,J$28,K384&lt;K$30,J$29,K384&lt;K$31,J$30,K384&lt;K$32,J$31,K384&lt;K$33,J$32,K384&lt;K$34,J$33,K384&lt;K$35,J$34,K384&lt;K$36,J$35,K384&lt;K$37,J$36,K384&lt;K$38,J$37,K384&lt;K$39,J$38,K384&lt;K$40,J$39,K384&lt;K$41,J$40,K384&lt;K$42,J$41,K384&lt;K$43,J$42,K384&lt;K$44,J$43,K384&lt;K$45,J$44,K384&lt;K$46,J$45,K384&lt;K$47,J$46,K384&gt;=K$47,J$47)</f>
        <v/>
      </c>
      <c r="K384" s="38" t="n">
        <v>334</v>
      </c>
      <c r="L384" s="31">
        <f>K384/52</f>
        <v/>
      </c>
      <c r="M384" s="39">
        <f>J384/1000000*52</f>
        <v/>
      </c>
      <c r="N384" s="33">
        <f>M384/$P$4+($I$22/$P$4)</f>
        <v/>
      </c>
      <c r="U384">
        <f>F383</f>
        <v/>
      </c>
      <c r="V384">
        <f>H383</f>
        <v/>
      </c>
      <c r="W384">
        <f>N383</f>
        <v/>
      </c>
    </row>
    <row r="385" ht="15.75" customHeight="1" s="40">
      <c r="C385" s="36">
        <f>_xlfn.IFS(E385&lt;E$24,0,E385&lt;E$26,C$24,E385&lt;E$28,C$26,E385&lt;E$30,C$28,E385&lt;E$32,C$30,E385&lt;E$34,C$32,E385&gt;=E$34,C$34)</f>
        <v/>
      </c>
      <c r="D385" s="37">
        <f>_xlfn.IFS(E385&lt;E$24,0,E385&lt;E$25,D$24,E385&lt;E$26,D$25,E385&lt;E$27,D$26,E385&lt;E$28,D$27,E385&lt;E$29,D$28,E385&lt;E$30,D$29,E385&lt;E$31,D$30,E385&lt;E$32,D$31,E385&lt;E$33,D$32,E385&lt;E$34,D$33,E385&lt;E$35,D$34,E385&gt;=E$35,D$35)</f>
        <v/>
      </c>
      <c r="E385" s="38" t="n">
        <v>335</v>
      </c>
      <c r="F385" s="31">
        <f>E385/52</f>
        <v/>
      </c>
      <c r="G385" s="39">
        <f>D385/1000000*52</f>
        <v/>
      </c>
      <c r="H385" s="33">
        <f>G385/$P$4+($C$22/$P$4)</f>
        <v/>
      </c>
      <c r="I385" s="36">
        <f>_xlfn.IFS(K385&lt;K$24,0,K385&lt;K$26,I$24,K385&lt;K$28,I$26,K385&lt;K$30,I$28,K385&lt;K$32,I$30,K385&lt;K$34,I$32,K385&lt;K$36,I$34,K385&lt;K$38,I$36,K385&lt;K$40,I$38,K385&lt;K$42,I$40,K385&lt;K$44,I$42,K385&lt;K$46,I$44,K385&gt;=K$46,I$46)</f>
        <v/>
      </c>
      <c r="J385" s="37">
        <f>_xlfn.IFS(K385&lt;K$24,0,K385&lt;K$25,J$24,K385&lt;K$26,J$25,K385&lt;K$27,J$26,K385&lt;K$28,J$27,K385&lt;K$29,J$28,K385&lt;K$30,J$29,K385&lt;K$31,J$30,K385&lt;K$32,J$31,K385&lt;K$33,J$32,K385&lt;K$34,J$33,K385&lt;K$35,J$34,K385&lt;K$36,J$35,K385&lt;K$37,J$36,K385&lt;K$38,J$37,K385&lt;K$39,J$38,K385&lt;K$40,J$39,K385&lt;K$41,J$40,K385&lt;K$42,J$41,K385&lt;K$43,J$42,K385&lt;K$44,J$43,K385&lt;K$45,J$44,K385&lt;K$46,J$45,K385&lt;K$47,J$46,K385&gt;=K$47,J$47)</f>
        <v/>
      </c>
      <c r="K385" s="38" t="n">
        <v>335</v>
      </c>
      <c r="L385" s="31">
        <f>K385/52</f>
        <v/>
      </c>
      <c r="M385" s="39">
        <f>J385/1000000*52</f>
        <v/>
      </c>
      <c r="N385" s="33">
        <f>M385/$P$4+($I$22/$P$4)</f>
        <v/>
      </c>
      <c r="U385">
        <f>F384</f>
        <v/>
      </c>
      <c r="V385">
        <f>H384</f>
        <v/>
      </c>
      <c r="W385">
        <f>N384</f>
        <v/>
      </c>
    </row>
    <row r="386" ht="15.75" customHeight="1" s="40">
      <c r="C386" s="36">
        <f>_xlfn.IFS(E386&lt;E$24,0,E386&lt;E$26,C$24,E386&lt;E$28,C$26,E386&lt;E$30,C$28,E386&lt;E$32,C$30,E386&lt;E$34,C$32,E386&gt;=E$34,C$34)</f>
        <v/>
      </c>
      <c r="D386" s="37">
        <f>_xlfn.IFS(E386&lt;E$24,0,E386&lt;E$25,D$24,E386&lt;E$26,D$25,E386&lt;E$27,D$26,E386&lt;E$28,D$27,E386&lt;E$29,D$28,E386&lt;E$30,D$29,E386&lt;E$31,D$30,E386&lt;E$32,D$31,E386&lt;E$33,D$32,E386&lt;E$34,D$33,E386&lt;E$35,D$34,E386&gt;=E$35,D$35)</f>
        <v/>
      </c>
      <c r="E386" s="38" t="n">
        <v>336</v>
      </c>
      <c r="F386" s="31">
        <f>E386/52</f>
        <v/>
      </c>
      <c r="G386" s="39">
        <f>D386/1000000*52</f>
        <v/>
      </c>
      <c r="H386" s="33">
        <f>G386/$P$4+($C$22/$P$4)</f>
        <v/>
      </c>
      <c r="I386" s="36">
        <f>_xlfn.IFS(K386&lt;K$24,0,K386&lt;K$26,I$24,K386&lt;K$28,I$26,K386&lt;K$30,I$28,K386&lt;K$32,I$30,K386&lt;K$34,I$32,K386&lt;K$36,I$34,K386&lt;K$38,I$36,K386&lt;K$40,I$38,K386&lt;K$42,I$40,K386&lt;K$44,I$42,K386&lt;K$46,I$44,K386&gt;=K$46,I$46)</f>
        <v/>
      </c>
      <c r="J386" s="37">
        <f>_xlfn.IFS(K386&lt;K$24,0,K386&lt;K$25,J$24,K386&lt;K$26,J$25,K386&lt;K$27,J$26,K386&lt;K$28,J$27,K386&lt;K$29,J$28,K386&lt;K$30,J$29,K386&lt;K$31,J$30,K386&lt;K$32,J$31,K386&lt;K$33,J$32,K386&lt;K$34,J$33,K386&lt;K$35,J$34,K386&lt;K$36,J$35,K386&lt;K$37,J$36,K386&lt;K$38,J$37,K386&lt;K$39,J$38,K386&lt;K$40,J$39,K386&lt;K$41,J$40,K386&lt;K$42,J$41,K386&lt;K$43,J$42,K386&lt;K$44,J$43,K386&lt;K$45,J$44,K386&lt;K$46,J$45,K386&lt;K$47,J$46,K386&gt;=K$47,J$47)</f>
        <v/>
      </c>
      <c r="K386" s="38" t="n">
        <v>336</v>
      </c>
      <c r="L386" s="31">
        <f>K386/52</f>
        <v/>
      </c>
      <c r="M386" s="39">
        <f>J386/1000000*52</f>
        <v/>
      </c>
      <c r="N386" s="33">
        <f>M386/$P$4+($I$22/$P$4)</f>
        <v/>
      </c>
      <c r="U386">
        <f>F385</f>
        <v/>
      </c>
      <c r="V386">
        <f>H385</f>
        <v/>
      </c>
      <c r="W386">
        <f>N385</f>
        <v/>
      </c>
    </row>
    <row r="387" ht="15.75" customHeight="1" s="40">
      <c r="C387" s="36">
        <f>_xlfn.IFS(E387&lt;E$24,0,E387&lt;E$26,C$24,E387&lt;E$28,C$26,E387&lt;E$30,C$28,E387&lt;E$32,C$30,E387&lt;E$34,C$32,E387&gt;=E$34,C$34)</f>
        <v/>
      </c>
      <c r="D387" s="37">
        <f>_xlfn.IFS(E387&lt;E$24,0,E387&lt;E$25,D$24,E387&lt;E$26,D$25,E387&lt;E$27,D$26,E387&lt;E$28,D$27,E387&lt;E$29,D$28,E387&lt;E$30,D$29,E387&lt;E$31,D$30,E387&lt;E$32,D$31,E387&lt;E$33,D$32,E387&lt;E$34,D$33,E387&lt;E$35,D$34,E387&gt;=E$35,D$35)</f>
        <v/>
      </c>
      <c r="E387" s="38" t="n">
        <v>337</v>
      </c>
      <c r="F387" s="31">
        <f>E387/52</f>
        <v/>
      </c>
      <c r="G387" s="39">
        <f>D387/1000000*52</f>
        <v/>
      </c>
      <c r="H387" s="33">
        <f>G387/$P$4+($C$22/$P$4)</f>
        <v/>
      </c>
      <c r="I387" s="36">
        <f>_xlfn.IFS(K387&lt;K$24,0,K387&lt;K$26,I$24,K387&lt;K$28,I$26,K387&lt;K$30,I$28,K387&lt;K$32,I$30,K387&lt;K$34,I$32,K387&lt;K$36,I$34,K387&lt;K$38,I$36,K387&lt;K$40,I$38,K387&lt;K$42,I$40,K387&lt;K$44,I$42,K387&lt;K$46,I$44,K387&gt;=K$46,I$46)</f>
        <v/>
      </c>
      <c r="J387" s="37">
        <f>_xlfn.IFS(K387&lt;K$24,0,K387&lt;K$25,J$24,K387&lt;K$26,J$25,K387&lt;K$27,J$26,K387&lt;K$28,J$27,K387&lt;K$29,J$28,K387&lt;K$30,J$29,K387&lt;K$31,J$30,K387&lt;K$32,J$31,K387&lt;K$33,J$32,K387&lt;K$34,J$33,K387&lt;K$35,J$34,K387&lt;K$36,J$35,K387&lt;K$37,J$36,K387&lt;K$38,J$37,K387&lt;K$39,J$38,K387&lt;K$40,J$39,K387&lt;K$41,J$40,K387&lt;K$42,J$41,K387&lt;K$43,J$42,K387&lt;K$44,J$43,K387&lt;K$45,J$44,K387&lt;K$46,J$45,K387&lt;K$47,J$46,K387&gt;=K$47,J$47)</f>
        <v/>
      </c>
      <c r="K387" s="38" t="n">
        <v>337</v>
      </c>
      <c r="L387" s="31">
        <f>K387/52</f>
        <v/>
      </c>
      <c r="M387" s="39">
        <f>J387/1000000*52</f>
        <v/>
      </c>
      <c r="N387" s="33">
        <f>M387/$P$4+($I$22/$P$4)</f>
        <v/>
      </c>
      <c r="U387">
        <f>F386</f>
        <v/>
      </c>
      <c r="V387">
        <f>H386</f>
        <v/>
      </c>
      <c r="W387">
        <f>N386</f>
        <v/>
      </c>
    </row>
    <row r="388" ht="15.75" customHeight="1" s="40">
      <c r="C388" s="36">
        <f>_xlfn.IFS(E388&lt;E$24,0,E388&lt;E$26,C$24,E388&lt;E$28,C$26,E388&lt;E$30,C$28,E388&lt;E$32,C$30,E388&lt;E$34,C$32,E388&gt;=E$34,C$34)</f>
        <v/>
      </c>
      <c r="D388" s="37">
        <f>_xlfn.IFS(E388&lt;E$24,0,E388&lt;E$25,D$24,E388&lt;E$26,D$25,E388&lt;E$27,D$26,E388&lt;E$28,D$27,E388&lt;E$29,D$28,E388&lt;E$30,D$29,E388&lt;E$31,D$30,E388&lt;E$32,D$31,E388&lt;E$33,D$32,E388&lt;E$34,D$33,E388&lt;E$35,D$34,E388&gt;=E$35,D$35)</f>
        <v/>
      </c>
      <c r="E388" s="38" t="n">
        <v>338</v>
      </c>
      <c r="F388" s="31">
        <f>E388/52</f>
        <v/>
      </c>
      <c r="G388" s="39">
        <f>D388/1000000*52</f>
        <v/>
      </c>
      <c r="H388" s="33">
        <f>G388/$P$4+($C$22/$P$4)</f>
        <v/>
      </c>
      <c r="I388" s="36">
        <f>_xlfn.IFS(K388&lt;K$24,0,K388&lt;K$26,I$24,K388&lt;K$28,I$26,K388&lt;K$30,I$28,K388&lt;K$32,I$30,K388&lt;K$34,I$32,K388&lt;K$36,I$34,K388&lt;K$38,I$36,K388&lt;K$40,I$38,K388&lt;K$42,I$40,K388&lt;K$44,I$42,K388&lt;K$46,I$44,K388&gt;=K$46,I$46)</f>
        <v/>
      </c>
      <c r="J388" s="37">
        <f>_xlfn.IFS(K388&lt;K$24,0,K388&lt;K$25,J$24,K388&lt;K$26,J$25,K388&lt;K$27,J$26,K388&lt;K$28,J$27,K388&lt;K$29,J$28,K388&lt;K$30,J$29,K388&lt;K$31,J$30,K388&lt;K$32,J$31,K388&lt;K$33,J$32,K388&lt;K$34,J$33,K388&lt;K$35,J$34,K388&lt;K$36,J$35,K388&lt;K$37,J$36,K388&lt;K$38,J$37,K388&lt;K$39,J$38,K388&lt;K$40,J$39,K388&lt;K$41,J$40,K388&lt;K$42,J$41,K388&lt;K$43,J$42,K388&lt;K$44,J$43,K388&lt;K$45,J$44,K388&lt;K$46,J$45,K388&lt;K$47,J$46,K388&gt;=K$47,J$47)</f>
        <v/>
      </c>
      <c r="K388" s="38" t="n">
        <v>338</v>
      </c>
      <c r="L388" s="31">
        <f>K388/52</f>
        <v/>
      </c>
      <c r="M388" s="39">
        <f>J388/1000000*52</f>
        <v/>
      </c>
      <c r="N388" s="33">
        <f>M388/$P$4+($I$22/$P$4)</f>
        <v/>
      </c>
      <c r="U388">
        <f>F387</f>
        <v/>
      </c>
      <c r="V388">
        <f>H387</f>
        <v/>
      </c>
      <c r="W388">
        <f>N387</f>
        <v/>
      </c>
    </row>
    <row r="389" ht="15.75" customHeight="1" s="40">
      <c r="C389" s="36">
        <f>_xlfn.IFS(E389&lt;E$24,0,E389&lt;E$26,C$24,E389&lt;E$28,C$26,E389&lt;E$30,C$28,E389&lt;E$32,C$30,E389&lt;E$34,C$32,E389&gt;=E$34,C$34)</f>
        <v/>
      </c>
      <c r="D389" s="37">
        <f>_xlfn.IFS(E389&lt;E$24,0,E389&lt;E$25,D$24,E389&lt;E$26,D$25,E389&lt;E$27,D$26,E389&lt;E$28,D$27,E389&lt;E$29,D$28,E389&lt;E$30,D$29,E389&lt;E$31,D$30,E389&lt;E$32,D$31,E389&lt;E$33,D$32,E389&lt;E$34,D$33,E389&lt;E$35,D$34,E389&gt;=E$35,D$35)</f>
        <v/>
      </c>
      <c r="E389" s="38" t="n">
        <v>339</v>
      </c>
      <c r="F389" s="31">
        <f>E389/52</f>
        <v/>
      </c>
      <c r="G389" s="39">
        <f>D389/1000000*52</f>
        <v/>
      </c>
      <c r="H389" s="33">
        <f>G389/$P$4+($C$22/$P$4)</f>
        <v/>
      </c>
      <c r="I389" s="36">
        <f>_xlfn.IFS(K389&lt;K$24,0,K389&lt;K$26,I$24,K389&lt;K$28,I$26,K389&lt;K$30,I$28,K389&lt;K$32,I$30,K389&lt;K$34,I$32,K389&lt;K$36,I$34,K389&lt;K$38,I$36,K389&lt;K$40,I$38,K389&lt;K$42,I$40,K389&lt;K$44,I$42,K389&lt;K$46,I$44,K389&gt;=K$46,I$46)</f>
        <v/>
      </c>
      <c r="J389" s="37">
        <f>_xlfn.IFS(K389&lt;K$24,0,K389&lt;K$25,J$24,K389&lt;K$26,J$25,K389&lt;K$27,J$26,K389&lt;K$28,J$27,K389&lt;K$29,J$28,K389&lt;K$30,J$29,K389&lt;K$31,J$30,K389&lt;K$32,J$31,K389&lt;K$33,J$32,K389&lt;K$34,J$33,K389&lt;K$35,J$34,K389&lt;K$36,J$35,K389&lt;K$37,J$36,K389&lt;K$38,J$37,K389&lt;K$39,J$38,K389&lt;K$40,J$39,K389&lt;K$41,J$40,K389&lt;K$42,J$41,K389&lt;K$43,J$42,K389&lt;K$44,J$43,K389&lt;K$45,J$44,K389&lt;K$46,J$45,K389&lt;K$47,J$46,K389&gt;=K$47,J$47)</f>
        <v/>
      </c>
      <c r="K389" s="38" t="n">
        <v>339</v>
      </c>
      <c r="L389" s="31">
        <f>K389/52</f>
        <v/>
      </c>
      <c r="M389" s="39">
        <f>J389/1000000*52</f>
        <v/>
      </c>
      <c r="N389" s="33">
        <f>M389/$P$4+($I$22/$P$4)</f>
        <v/>
      </c>
      <c r="U389">
        <f>F388</f>
        <v/>
      </c>
      <c r="V389">
        <f>H388</f>
        <v/>
      </c>
      <c r="W389">
        <f>N388</f>
        <v/>
      </c>
    </row>
    <row r="390" ht="15.75" customHeight="1" s="40">
      <c r="C390" s="36">
        <f>_xlfn.IFS(E390&lt;E$24,0,E390&lt;E$26,C$24,E390&lt;E$28,C$26,E390&lt;E$30,C$28,E390&lt;E$32,C$30,E390&lt;E$34,C$32,E390&gt;=E$34,C$34)</f>
        <v/>
      </c>
      <c r="D390" s="37">
        <f>_xlfn.IFS(E390&lt;E$24,0,E390&lt;E$25,D$24,E390&lt;E$26,D$25,E390&lt;E$27,D$26,E390&lt;E$28,D$27,E390&lt;E$29,D$28,E390&lt;E$30,D$29,E390&lt;E$31,D$30,E390&lt;E$32,D$31,E390&lt;E$33,D$32,E390&lt;E$34,D$33,E390&lt;E$35,D$34,E390&gt;=E$35,D$35)</f>
        <v/>
      </c>
      <c r="E390" s="38" t="n">
        <v>340</v>
      </c>
      <c r="F390" s="31">
        <f>E390/52</f>
        <v/>
      </c>
      <c r="G390" s="39">
        <f>D390/1000000*52</f>
        <v/>
      </c>
      <c r="H390" s="33">
        <f>G390/$P$4+($C$22/$P$4)</f>
        <v/>
      </c>
      <c r="I390" s="36">
        <f>_xlfn.IFS(K390&lt;K$24,0,K390&lt;K$26,I$24,K390&lt;K$28,I$26,K390&lt;K$30,I$28,K390&lt;K$32,I$30,K390&lt;K$34,I$32,K390&lt;K$36,I$34,K390&lt;K$38,I$36,K390&lt;K$40,I$38,K390&lt;K$42,I$40,K390&lt;K$44,I$42,K390&lt;K$46,I$44,K390&gt;=K$46,I$46)</f>
        <v/>
      </c>
      <c r="J390" s="37">
        <f>_xlfn.IFS(K390&lt;K$24,0,K390&lt;K$25,J$24,K390&lt;K$26,J$25,K390&lt;K$27,J$26,K390&lt;K$28,J$27,K390&lt;K$29,J$28,K390&lt;K$30,J$29,K390&lt;K$31,J$30,K390&lt;K$32,J$31,K390&lt;K$33,J$32,K390&lt;K$34,J$33,K390&lt;K$35,J$34,K390&lt;K$36,J$35,K390&lt;K$37,J$36,K390&lt;K$38,J$37,K390&lt;K$39,J$38,K390&lt;K$40,J$39,K390&lt;K$41,J$40,K390&lt;K$42,J$41,K390&lt;K$43,J$42,K390&lt;K$44,J$43,K390&lt;K$45,J$44,K390&lt;K$46,J$45,K390&lt;K$47,J$46,K390&gt;=K$47,J$47)</f>
        <v/>
      </c>
      <c r="K390" s="38" t="n">
        <v>340</v>
      </c>
      <c r="L390" s="31">
        <f>K390/52</f>
        <v/>
      </c>
      <c r="M390" s="39">
        <f>J390/1000000*52</f>
        <v/>
      </c>
      <c r="N390" s="33">
        <f>M390/$P$4+($I$22/$P$4)</f>
        <v/>
      </c>
      <c r="U390">
        <f>F389</f>
        <v/>
      </c>
      <c r="V390">
        <f>H389</f>
        <v/>
      </c>
      <c r="W390">
        <f>N389</f>
        <v/>
      </c>
    </row>
    <row r="391" ht="15.75" customHeight="1" s="40">
      <c r="C391" s="36">
        <f>_xlfn.IFS(E391&lt;E$24,0,E391&lt;E$26,C$24,E391&lt;E$28,C$26,E391&lt;E$30,C$28,E391&lt;E$32,C$30,E391&lt;E$34,C$32,E391&gt;=E$34,C$34)</f>
        <v/>
      </c>
      <c r="D391" s="37">
        <f>_xlfn.IFS(E391&lt;E$24,0,E391&lt;E$25,D$24,E391&lt;E$26,D$25,E391&lt;E$27,D$26,E391&lt;E$28,D$27,E391&lt;E$29,D$28,E391&lt;E$30,D$29,E391&lt;E$31,D$30,E391&lt;E$32,D$31,E391&lt;E$33,D$32,E391&lt;E$34,D$33,E391&lt;E$35,D$34,E391&gt;=E$35,D$35)</f>
        <v/>
      </c>
      <c r="E391" s="38" t="n">
        <v>341</v>
      </c>
      <c r="F391" s="31">
        <f>E391/52</f>
        <v/>
      </c>
      <c r="G391" s="39">
        <f>D391/1000000*52</f>
        <v/>
      </c>
      <c r="H391" s="33">
        <f>G391/$P$4+($C$22/$P$4)</f>
        <v/>
      </c>
      <c r="I391" s="36">
        <f>_xlfn.IFS(K391&lt;K$24,0,K391&lt;K$26,I$24,K391&lt;K$28,I$26,K391&lt;K$30,I$28,K391&lt;K$32,I$30,K391&lt;K$34,I$32,K391&lt;K$36,I$34,K391&lt;K$38,I$36,K391&lt;K$40,I$38,K391&lt;K$42,I$40,K391&lt;K$44,I$42,K391&lt;K$46,I$44,K391&gt;=K$46,I$46)</f>
        <v/>
      </c>
      <c r="J391" s="37">
        <f>_xlfn.IFS(K391&lt;K$24,0,K391&lt;K$25,J$24,K391&lt;K$26,J$25,K391&lt;K$27,J$26,K391&lt;K$28,J$27,K391&lt;K$29,J$28,K391&lt;K$30,J$29,K391&lt;K$31,J$30,K391&lt;K$32,J$31,K391&lt;K$33,J$32,K391&lt;K$34,J$33,K391&lt;K$35,J$34,K391&lt;K$36,J$35,K391&lt;K$37,J$36,K391&lt;K$38,J$37,K391&lt;K$39,J$38,K391&lt;K$40,J$39,K391&lt;K$41,J$40,K391&lt;K$42,J$41,K391&lt;K$43,J$42,K391&lt;K$44,J$43,K391&lt;K$45,J$44,K391&lt;K$46,J$45,K391&lt;K$47,J$46,K391&gt;=K$47,J$47)</f>
        <v/>
      </c>
      <c r="K391" s="38" t="n">
        <v>341</v>
      </c>
      <c r="L391" s="31">
        <f>K391/52</f>
        <v/>
      </c>
      <c r="M391" s="39">
        <f>J391/1000000*52</f>
        <v/>
      </c>
      <c r="N391" s="33">
        <f>M391/$P$4+($I$22/$P$4)</f>
        <v/>
      </c>
      <c r="U391">
        <f>F390</f>
        <v/>
      </c>
      <c r="V391">
        <f>H390</f>
        <v/>
      </c>
      <c r="W391">
        <f>N390</f>
        <v/>
      </c>
    </row>
    <row r="392" ht="15.75" customHeight="1" s="40">
      <c r="C392" s="36">
        <f>_xlfn.IFS(E392&lt;E$24,0,E392&lt;E$26,C$24,E392&lt;E$28,C$26,E392&lt;E$30,C$28,E392&lt;E$32,C$30,E392&lt;E$34,C$32,E392&gt;=E$34,C$34)</f>
        <v/>
      </c>
      <c r="D392" s="37">
        <f>_xlfn.IFS(E392&lt;E$24,0,E392&lt;E$25,D$24,E392&lt;E$26,D$25,E392&lt;E$27,D$26,E392&lt;E$28,D$27,E392&lt;E$29,D$28,E392&lt;E$30,D$29,E392&lt;E$31,D$30,E392&lt;E$32,D$31,E392&lt;E$33,D$32,E392&lt;E$34,D$33,E392&lt;E$35,D$34,E392&gt;=E$35,D$35)</f>
        <v/>
      </c>
      <c r="E392" s="38" t="n">
        <v>342</v>
      </c>
      <c r="F392" s="31">
        <f>E392/52</f>
        <v/>
      </c>
      <c r="G392" s="39">
        <f>D392/1000000*52</f>
        <v/>
      </c>
      <c r="H392" s="33">
        <f>G392/$P$4+($C$22/$P$4)</f>
        <v/>
      </c>
      <c r="I392" s="36">
        <f>_xlfn.IFS(K392&lt;K$24,0,K392&lt;K$26,I$24,K392&lt;K$28,I$26,K392&lt;K$30,I$28,K392&lt;K$32,I$30,K392&lt;K$34,I$32,K392&lt;K$36,I$34,K392&lt;K$38,I$36,K392&lt;K$40,I$38,K392&lt;K$42,I$40,K392&lt;K$44,I$42,K392&lt;K$46,I$44,K392&gt;=K$46,I$46)</f>
        <v/>
      </c>
      <c r="J392" s="37">
        <f>_xlfn.IFS(K392&lt;K$24,0,K392&lt;K$25,J$24,K392&lt;K$26,J$25,K392&lt;K$27,J$26,K392&lt;K$28,J$27,K392&lt;K$29,J$28,K392&lt;K$30,J$29,K392&lt;K$31,J$30,K392&lt;K$32,J$31,K392&lt;K$33,J$32,K392&lt;K$34,J$33,K392&lt;K$35,J$34,K392&lt;K$36,J$35,K392&lt;K$37,J$36,K392&lt;K$38,J$37,K392&lt;K$39,J$38,K392&lt;K$40,J$39,K392&lt;K$41,J$40,K392&lt;K$42,J$41,K392&lt;K$43,J$42,K392&lt;K$44,J$43,K392&lt;K$45,J$44,K392&lt;K$46,J$45,K392&lt;K$47,J$46,K392&gt;=K$47,J$47)</f>
        <v/>
      </c>
      <c r="K392" s="38" t="n">
        <v>342</v>
      </c>
      <c r="L392" s="31">
        <f>K392/52</f>
        <v/>
      </c>
      <c r="M392" s="39">
        <f>J392/1000000*52</f>
        <v/>
      </c>
      <c r="N392" s="33">
        <f>M392/$P$4+($I$22/$P$4)</f>
        <v/>
      </c>
      <c r="U392">
        <f>F391</f>
        <v/>
      </c>
      <c r="V392">
        <f>H391</f>
        <v/>
      </c>
      <c r="W392">
        <f>N391</f>
        <v/>
      </c>
    </row>
    <row r="393" ht="15.75" customHeight="1" s="40">
      <c r="C393" s="36">
        <f>_xlfn.IFS(E393&lt;E$24,0,E393&lt;E$26,C$24,E393&lt;E$28,C$26,E393&lt;E$30,C$28,E393&lt;E$32,C$30,E393&lt;E$34,C$32,E393&gt;=E$34,C$34)</f>
        <v/>
      </c>
      <c r="D393" s="37">
        <f>_xlfn.IFS(E393&lt;E$24,0,E393&lt;E$25,D$24,E393&lt;E$26,D$25,E393&lt;E$27,D$26,E393&lt;E$28,D$27,E393&lt;E$29,D$28,E393&lt;E$30,D$29,E393&lt;E$31,D$30,E393&lt;E$32,D$31,E393&lt;E$33,D$32,E393&lt;E$34,D$33,E393&lt;E$35,D$34,E393&gt;=E$35,D$35)</f>
        <v/>
      </c>
      <c r="E393" s="38" t="n">
        <v>343</v>
      </c>
      <c r="F393" s="31">
        <f>E393/52</f>
        <v/>
      </c>
      <c r="G393" s="39">
        <f>D393/1000000*52</f>
        <v/>
      </c>
      <c r="H393" s="33">
        <f>G393/$P$4+($C$22/$P$4)</f>
        <v/>
      </c>
      <c r="I393" s="36">
        <f>_xlfn.IFS(K393&lt;K$24,0,K393&lt;K$26,I$24,K393&lt;K$28,I$26,K393&lt;K$30,I$28,K393&lt;K$32,I$30,K393&lt;K$34,I$32,K393&lt;K$36,I$34,K393&lt;K$38,I$36,K393&lt;K$40,I$38,K393&lt;K$42,I$40,K393&lt;K$44,I$42,K393&lt;K$46,I$44,K393&gt;=K$46,I$46)</f>
        <v/>
      </c>
      <c r="J393" s="37">
        <f>_xlfn.IFS(K393&lt;K$24,0,K393&lt;K$25,J$24,K393&lt;K$26,J$25,K393&lt;K$27,J$26,K393&lt;K$28,J$27,K393&lt;K$29,J$28,K393&lt;K$30,J$29,K393&lt;K$31,J$30,K393&lt;K$32,J$31,K393&lt;K$33,J$32,K393&lt;K$34,J$33,K393&lt;K$35,J$34,K393&lt;K$36,J$35,K393&lt;K$37,J$36,K393&lt;K$38,J$37,K393&lt;K$39,J$38,K393&lt;K$40,J$39,K393&lt;K$41,J$40,K393&lt;K$42,J$41,K393&lt;K$43,J$42,K393&lt;K$44,J$43,K393&lt;K$45,J$44,K393&lt;K$46,J$45,K393&lt;K$47,J$46,K393&gt;=K$47,J$47)</f>
        <v/>
      </c>
      <c r="K393" s="38" t="n">
        <v>343</v>
      </c>
      <c r="L393" s="31">
        <f>K393/52</f>
        <v/>
      </c>
      <c r="M393" s="39">
        <f>J393/1000000*52</f>
        <v/>
      </c>
      <c r="N393" s="33">
        <f>M393/$P$4+($I$22/$P$4)</f>
        <v/>
      </c>
      <c r="U393">
        <f>F392</f>
        <v/>
      </c>
      <c r="V393">
        <f>H392</f>
        <v/>
      </c>
      <c r="W393">
        <f>N392</f>
        <v/>
      </c>
    </row>
    <row r="394" ht="15.75" customHeight="1" s="40">
      <c r="C394" s="36">
        <f>_xlfn.IFS(E394&lt;E$24,0,E394&lt;E$26,C$24,E394&lt;E$28,C$26,E394&lt;E$30,C$28,E394&lt;E$32,C$30,E394&lt;E$34,C$32,E394&gt;=E$34,C$34)</f>
        <v/>
      </c>
      <c r="D394" s="37">
        <f>_xlfn.IFS(E394&lt;E$24,0,E394&lt;E$25,D$24,E394&lt;E$26,D$25,E394&lt;E$27,D$26,E394&lt;E$28,D$27,E394&lt;E$29,D$28,E394&lt;E$30,D$29,E394&lt;E$31,D$30,E394&lt;E$32,D$31,E394&lt;E$33,D$32,E394&lt;E$34,D$33,E394&lt;E$35,D$34,E394&gt;=E$35,D$35)</f>
        <v/>
      </c>
      <c r="E394" s="38" t="n">
        <v>344</v>
      </c>
      <c r="F394" s="31">
        <f>E394/52</f>
        <v/>
      </c>
      <c r="G394" s="39">
        <f>D394/1000000*52</f>
        <v/>
      </c>
      <c r="H394" s="33">
        <f>G394/$P$4+($C$22/$P$4)</f>
        <v/>
      </c>
      <c r="I394" s="36">
        <f>_xlfn.IFS(K394&lt;K$24,0,K394&lt;K$26,I$24,K394&lt;K$28,I$26,K394&lt;K$30,I$28,K394&lt;K$32,I$30,K394&lt;K$34,I$32,K394&lt;K$36,I$34,K394&lt;K$38,I$36,K394&lt;K$40,I$38,K394&lt;K$42,I$40,K394&lt;K$44,I$42,K394&lt;K$46,I$44,K394&gt;=K$46,I$46)</f>
        <v/>
      </c>
      <c r="J394" s="37">
        <f>_xlfn.IFS(K394&lt;K$24,0,K394&lt;K$25,J$24,K394&lt;K$26,J$25,K394&lt;K$27,J$26,K394&lt;K$28,J$27,K394&lt;K$29,J$28,K394&lt;K$30,J$29,K394&lt;K$31,J$30,K394&lt;K$32,J$31,K394&lt;K$33,J$32,K394&lt;K$34,J$33,K394&lt;K$35,J$34,K394&lt;K$36,J$35,K394&lt;K$37,J$36,K394&lt;K$38,J$37,K394&lt;K$39,J$38,K394&lt;K$40,J$39,K394&lt;K$41,J$40,K394&lt;K$42,J$41,K394&lt;K$43,J$42,K394&lt;K$44,J$43,K394&lt;K$45,J$44,K394&lt;K$46,J$45,K394&lt;K$47,J$46,K394&gt;=K$47,J$47)</f>
        <v/>
      </c>
      <c r="K394" s="38" t="n">
        <v>344</v>
      </c>
      <c r="L394" s="31">
        <f>K394/52</f>
        <v/>
      </c>
      <c r="M394" s="39">
        <f>J394/1000000*52</f>
        <v/>
      </c>
      <c r="N394" s="33">
        <f>M394/$P$4+($I$22/$P$4)</f>
        <v/>
      </c>
      <c r="U394">
        <f>F393</f>
        <v/>
      </c>
      <c r="V394">
        <f>H393</f>
        <v/>
      </c>
      <c r="W394">
        <f>N393</f>
        <v/>
      </c>
    </row>
    <row r="395" ht="15.75" customHeight="1" s="40">
      <c r="C395" s="36">
        <f>_xlfn.IFS(E395&lt;E$24,0,E395&lt;E$26,C$24,E395&lt;E$28,C$26,E395&lt;E$30,C$28,E395&lt;E$32,C$30,E395&lt;E$34,C$32,E395&gt;=E$34,C$34)</f>
        <v/>
      </c>
      <c r="D395" s="37">
        <f>_xlfn.IFS(E395&lt;E$24,0,E395&lt;E$25,D$24,E395&lt;E$26,D$25,E395&lt;E$27,D$26,E395&lt;E$28,D$27,E395&lt;E$29,D$28,E395&lt;E$30,D$29,E395&lt;E$31,D$30,E395&lt;E$32,D$31,E395&lt;E$33,D$32,E395&lt;E$34,D$33,E395&lt;E$35,D$34,E395&gt;=E$35,D$35)</f>
        <v/>
      </c>
      <c r="E395" s="38" t="n">
        <v>345</v>
      </c>
      <c r="F395" s="31">
        <f>E395/52</f>
        <v/>
      </c>
      <c r="G395" s="39">
        <f>D395/1000000*52</f>
        <v/>
      </c>
      <c r="H395" s="33">
        <f>G395/$P$4+($C$22/$P$4)</f>
        <v/>
      </c>
      <c r="I395" s="36">
        <f>_xlfn.IFS(K395&lt;K$24,0,K395&lt;K$26,I$24,K395&lt;K$28,I$26,K395&lt;K$30,I$28,K395&lt;K$32,I$30,K395&lt;K$34,I$32,K395&lt;K$36,I$34,K395&lt;K$38,I$36,K395&lt;K$40,I$38,K395&lt;K$42,I$40,K395&lt;K$44,I$42,K395&lt;K$46,I$44,K395&gt;=K$46,I$46)</f>
        <v/>
      </c>
      <c r="J395" s="37">
        <f>_xlfn.IFS(K395&lt;K$24,0,K395&lt;K$25,J$24,K395&lt;K$26,J$25,K395&lt;K$27,J$26,K395&lt;K$28,J$27,K395&lt;K$29,J$28,K395&lt;K$30,J$29,K395&lt;K$31,J$30,K395&lt;K$32,J$31,K395&lt;K$33,J$32,K395&lt;K$34,J$33,K395&lt;K$35,J$34,K395&lt;K$36,J$35,K395&lt;K$37,J$36,K395&lt;K$38,J$37,K395&lt;K$39,J$38,K395&lt;K$40,J$39,K395&lt;K$41,J$40,K395&lt;K$42,J$41,K395&lt;K$43,J$42,K395&lt;K$44,J$43,K395&lt;K$45,J$44,K395&lt;K$46,J$45,K395&lt;K$47,J$46,K395&gt;=K$47,J$47)</f>
        <v/>
      </c>
      <c r="K395" s="38" t="n">
        <v>345</v>
      </c>
      <c r="L395" s="31">
        <f>K395/52</f>
        <v/>
      </c>
      <c r="M395" s="39">
        <f>J395/1000000*52</f>
        <v/>
      </c>
      <c r="N395" s="33">
        <f>M395/$P$4+($I$22/$P$4)</f>
        <v/>
      </c>
      <c r="U395">
        <f>F394</f>
        <v/>
      </c>
      <c r="V395">
        <f>H394</f>
        <v/>
      </c>
      <c r="W395">
        <f>N394</f>
        <v/>
      </c>
    </row>
    <row r="396" ht="15.75" customHeight="1" s="40">
      <c r="C396" s="36">
        <f>_xlfn.IFS(E396&lt;E$24,0,E396&lt;E$26,C$24,E396&lt;E$28,C$26,E396&lt;E$30,C$28,E396&lt;E$32,C$30,E396&lt;E$34,C$32,E396&gt;=E$34,C$34)</f>
        <v/>
      </c>
      <c r="D396" s="37">
        <f>_xlfn.IFS(E396&lt;E$24,0,E396&lt;E$25,D$24,E396&lt;E$26,D$25,E396&lt;E$27,D$26,E396&lt;E$28,D$27,E396&lt;E$29,D$28,E396&lt;E$30,D$29,E396&lt;E$31,D$30,E396&lt;E$32,D$31,E396&lt;E$33,D$32,E396&lt;E$34,D$33,E396&lt;E$35,D$34,E396&gt;=E$35,D$35)</f>
        <v/>
      </c>
      <c r="E396" s="38" t="n">
        <v>346</v>
      </c>
      <c r="F396" s="31">
        <f>E396/52</f>
        <v/>
      </c>
      <c r="G396" s="39">
        <f>D396/1000000*52</f>
        <v/>
      </c>
      <c r="H396" s="33">
        <f>G396/$P$4+($C$22/$P$4)</f>
        <v/>
      </c>
      <c r="I396" s="36">
        <f>_xlfn.IFS(K396&lt;K$24,0,K396&lt;K$26,I$24,K396&lt;K$28,I$26,K396&lt;K$30,I$28,K396&lt;K$32,I$30,K396&lt;K$34,I$32,K396&lt;K$36,I$34,K396&lt;K$38,I$36,K396&lt;K$40,I$38,K396&lt;K$42,I$40,K396&lt;K$44,I$42,K396&lt;K$46,I$44,K396&gt;=K$46,I$46)</f>
        <v/>
      </c>
      <c r="J396" s="37">
        <f>_xlfn.IFS(K396&lt;K$24,0,K396&lt;K$25,J$24,K396&lt;K$26,J$25,K396&lt;K$27,J$26,K396&lt;K$28,J$27,K396&lt;K$29,J$28,K396&lt;K$30,J$29,K396&lt;K$31,J$30,K396&lt;K$32,J$31,K396&lt;K$33,J$32,K396&lt;K$34,J$33,K396&lt;K$35,J$34,K396&lt;K$36,J$35,K396&lt;K$37,J$36,K396&lt;K$38,J$37,K396&lt;K$39,J$38,K396&lt;K$40,J$39,K396&lt;K$41,J$40,K396&lt;K$42,J$41,K396&lt;K$43,J$42,K396&lt;K$44,J$43,K396&lt;K$45,J$44,K396&lt;K$46,J$45,K396&lt;K$47,J$46,K396&gt;=K$47,J$47)</f>
        <v/>
      </c>
      <c r="K396" s="38" t="n">
        <v>346</v>
      </c>
      <c r="L396" s="31">
        <f>K396/52</f>
        <v/>
      </c>
      <c r="M396" s="39">
        <f>J396/1000000*52</f>
        <v/>
      </c>
      <c r="N396" s="33">
        <f>M396/$P$4+($I$22/$P$4)</f>
        <v/>
      </c>
      <c r="U396">
        <f>F395</f>
        <v/>
      </c>
      <c r="V396">
        <f>H395</f>
        <v/>
      </c>
      <c r="W396">
        <f>N395</f>
        <v/>
      </c>
    </row>
    <row r="397" ht="15.75" customHeight="1" s="40">
      <c r="C397" s="36">
        <f>_xlfn.IFS(E397&lt;E$24,0,E397&lt;E$26,C$24,E397&lt;E$28,C$26,E397&lt;E$30,C$28,E397&lt;E$32,C$30,E397&lt;E$34,C$32,E397&gt;=E$34,C$34)</f>
        <v/>
      </c>
      <c r="D397" s="37">
        <f>_xlfn.IFS(E397&lt;E$24,0,E397&lt;E$25,D$24,E397&lt;E$26,D$25,E397&lt;E$27,D$26,E397&lt;E$28,D$27,E397&lt;E$29,D$28,E397&lt;E$30,D$29,E397&lt;E$31,D$30,E397&lt;E$32,D$31,E397&lt;E$33,D$32,E397&lt;E$34,D$33,E397&lt;E$35,D$34,E397&gt;=E$35,D$35)</f>
        <v/>
      </c>
      <c r="E397" s="38" t="n">
        <v>347</v>
      </c>
      <c r="F397" s="31">
        <f>E397/52</f>
        <v/>
      </c>
      <c r="G397" s="39">
        <f>D397/1000000*52</f>
        <v/>
      </c>
      <c r="H397" s="33">
        <f>G397/$P$4+($C$22/$P$4)</f>
        <v/>
      </c>
      <c r="I397" s="36">
        <f>_xlfn.IFS(K397&lt;K$24,0,K397&lt;K$26,I$24,K397&lt;K$28,I$26,K397&lt;K$30,I$28,K397&lt;K$32,I$30,K397&lt;K$34,I$32,K397&lt;K$36,I$34,K397&lt;K$38,I$36,K397&lt;K$40,I$38,K397&lt;K$42,I$40,K397&lt;K$44,I$42,K397&lt;K$46,I$44,K397&gt;=K$46,I$46)</f>
        <v/>
      </c>
      <c r="J397" s="37">
        <f>_xlfn.IFS(K397&lt;K$24,0,K397&lt;K$25,J$24,K397&lt;K$26,J$25,K397&lt;K$27,J$26,K397&lt;K$28,J$27,K397&lt;K$29,J$28,K397&lt;K$30,J$29,K397&lt;K$31,J$30,K397&lt;K$32,J$31,K397&lt;K$33,J$32,K397&lt;K$34,J$33,K397&lt;K$35,J$34,K397&lt;K$36,J$35,K397&lt;K$37,J$36,K397&lt;K$38,J$37,K397&lt;K$39,J$38,K397&lt;K$40,J$39,K397&lt;K$41,J$40,K397&lt;K$42,J$41,K397&lt;K$43,J$42,K397&lt;K$44,J$43,K397&lt;K$45,J$44,K397&lt;K$46,J$45,K397&lt;K$47,J$46,K397&gt;=K$47,J$47)</f>
        <v/>
      </c>
      <c r="K397" s="38" t="n">
        <v>347</v>
      </c>
      <c r="L397" s="31">
        <f>K397/52</f>
        <v/>
      </c>
      <c r="M397" s="39">
        <f>J397/1000000*52</f>
        <v/>
      </c>
      <c r="N397" s="33">
        <f>M397/$P$4+($I$22/$P$4)</f>
        <v/>
      </c>
      <c r="U397">
        <f>F396</f>
        <v/>
      </c>
      <c r="V397">
        <f>H396</f>
        <v/>
      </c>
      <c r="W397">
        <f>N396</f>
        <v/>
      </c>
    </row>
    <row r="398" ht="15.75" customHeight="1" s="40">
      <c r="C398" s="36">
        <f>_xlfn.IFS(E398&lt;E$24,0,E398&lt;E$26,C$24,E398&lt;E$28,C$26,E398&lt;E$30,C$28,E398&lt;E$32,C$30,E398&lt;E$34,C$32,E398&gt;=E$34,C$34)</f>
        <v/>
      </c>
      <c r="D398" s="37">
        <f>_xlfn.IFS(E398&lt;E$24,0,E398&lt;E$25,D$24,E398&lt;E$26,D$25,E398&lt;E$27,D$26,E398&lt;E$28,D$27,E398&lt;E$29,D$28,E398&lt;E$30,D$29,E398&lt;E$31,D$30,E398&lt;E$32,D$31,E398&lt;E$33,D$32,E398&lt;E$34,D$33,E398&lt;E$35,D$34,E398&gt;=E$35,D$35)</f>
        <v/>
      </c>
      <c r="E398" s="38" t="n">
        <v>348</v>
      </c>
      <c r="F398" s="31">
        <f>E398/52</f>
        <v/>
      </c>
      <c r="G398" s="39">
        <f>D398/1000000*52</f>
        <v/>
      </c>
      <c r="H398" s="33">
        <f>G398/$P$4+($C$22/$P$4)</f>
        <v/>
      </c>
      <c r="I398" s="36">
        <f>_xlfn.IFS(K398&lt;K$24,0,K398&lt;K$26,I$24,K398&lt;K$28,I$26,K398&lt;K$30,I$28,K398&lt;K$32,I$30,K398&lt;K$34,I$32,K398&lt;K$36,I$34,K398&lt;K$38,I$36,K398&lt;K$40,I$38,K398&lt;K$42,I$40,K398&lt;K$44,I$42,K398&lt;K$46,I$44,K398&gt;=K$46,I$46)</f>
        <v/>
      </c>
      <c r="J398" s="37">
        <f>_xlfn.IFS(K398&lt;K$24,0,K398&lt;K$25,J$24,K398&lt;K$26,J$25,K398&lt;K$27,J$26,K398&lt;K$28,J$27,K398&lt;K$29,J$28,K398&lt;K$30,J$29,K398&lt;K$31,J$30,K398&lt;K$32,J$31,K398&lt;K$33,J$32,K398&lt;K$34,J$33,K398&lt;K$35,J$34,K398&lt;K$36,J$35,K398&lt;K$37,J$36,K398&lt;K$38,J$37,K398&lt;K$39,J$38,K398&lt;K$40,J$39,K398&lt;K$41,J$40,K398&lt;K$42,J$41,K398&lt;K$43,J$42,K398&lt;K$44,J$43,K398&lt;K$45,J$44,K398&lt;K$46,J$45,K398&lt;K$47,J$46,K398&gt;=K$47,J$47)</f>
        <v/>
      </c>
      <c r="K398" s="38" t="n">
        <v>348</v>
      </c>
      <c r="L398" s="31">
        <f>K398/52</f>
        <v/>
      </c>
      <c r="M398" s="39">
        <f>J398/1000000*52</f>
        <v/>
      </c>
      <c r="N398" s="33">
        <f>M398/$P$4+($I$22/$P$4)</f>
        <v/>
      </c>
      <c r="U398">
        <f>F397</f>
        <v/>
      </c>
      <c r="V398">
        <f>H397</f>
        <v/>
      </c>
      <c r="W398">
        <f>N397</f>
        <v/>
      </c>
    </row>
    <row r="399" ht="15.75" customHeight="1" s="40">
      <c r="C399" s="36">
        <f>_xlfn.IFS(E399&lt;E$24,0,E399&lt;E$26,C$24,E399&lt;E$28,C$26,E399&lt;E$30,C$28,E399&lt;E$32,C$30,E399&lt;E$34,C$32,E399&gt;=E$34,C$34)</f>
        <v/>
      </c>
      <c r="D399" s="37">
        <f>_xlfn.IFS(E399&lt;E$24,0,E399&lt;E$25,D$24,E399&lt;E$26,D$25,E399&lt;E$27,D$26,E399&lt;E$28,D$27,E399&lt;E$29,D$28,E399&lt;E$30,D$29,E399&lt;E$31,D$30,E399&lt;E$32,D$31,E399&lt;E$33,D$32,E399&lt;E$34,D$33,E399&lt;E$35,D$34,E399&gt;=E$35,D$35)</f>
        <v/>
      </c>
      <c r="E399" s="38" t="n">
        <v>349</v>
      </c>
      <c r="F399" s="31">
        <f>E399/52</f>
        <v/>
      </c>
      <c r="G399" s="39">
        <f>D399/1000000*52</f>
        <v/>
      </c>
      <c r="H399" s="33">
        <f>G399/$P$4+($C$22/$P$4)</f>
        <v/>
      </c>
      <c r="I399" s="36">
        <f>_xlfn.IFS(K399&lt;K$24,0,K399&lt;K$26,I$24,K399&lt;K$28,I$26,K399&lt;K$30,I$28,K399&lt;K$32,I$30,K399&lt;K$34,I$32,K399&lt;K$36,I$34,K399&lt;K$38,I$36,K399&lt;K$40,I$38,K399&lt;K$42,I$40,K399&lt;K$44,I$42,K399&lt;K$46,I$44,K399&gt;=K$46,I$46)</f>
        <v/>
      </c>
      <c r="J399" s="37">
        <f>_xlfn.IFS(K399&lt;K$24,0,K399&lt;K$25,J$24,K399&lt;K$26,J$25,K399&lt;K$27,J$26,K399&lt;K$28,J$27,K399&lt;K$29,J$28,K399&lt;K$30,J$29,K399&lt;K$31,J$30,K399&lt;K$32,J$31,K399&lt;K$33,J$32,K399&lt;K$34,J$33,K399&lt;K$35,J$34,K399&lt;K$36,J$35,K399&lt;K$37,J$36,K399&lt;K$38,J$37,K399&lt;K$39,J$38,K399&lt;K$40,J$39,K399&lt;K$41,J$40,K399&lt;K$42,J$41,K399&lt;K$43,J$42,K399&lt;K$44,J$43,K399&lt;K$45,J$44,K399&lt;K$46,J$45,K399&lt;K$47,J$46,K399&gt;=K$47,J$47)</f>
        <v/>
      </c>
      <c r="K399" s="38" t="n">
        <v>349</v>
      </c>
      <c r="L399" s="31">
        <f>K399/52</f>
        <v/>
      </c>
      <c r="M399" s="39">
        <f>J399/1000000*52</f>
        <v/>
      </c>
      <c r="N399" s="33">
        <f>M399/$P$4+($I$22/$P$4)</f>
        <v/>
      </c>
      <c r="U399">
        <f>F398</f>
        <v/>
      </c>
      <c r="V399">
        <f>H398</f>
        <v/>
      </c>
      <c r="W399">
        <f>N398</f>
        <v/>
      </c>
    </row>
    <row r="400" ht="15.75" customHeight="1" s="40">
      <c r="C400" s="36">
        <f>_xlfn.IFS(E400&lt;E$24,0,E400&lt;E$26,C$24,E400&lt;E$28,C$26,E400&lt;E$30,C$28,E400&lt;E$32,C$30,E400&lt;E$34,C$32,E400&gt;=E$34,C$34)</f>
        <v/>
      </c>
      <c r="D400" s="37">
        <f>_xlfn.IFS(E400&lt;E$24,0,E400&lt;E$25,D$24,E400&lt;E$26,D$25,E400&lt;E$27,D$26,E400&lt;E$28,D$27,E400&lt;E$29,D$28,E400&lt;E$30,D$29,E400&lt;E$31,D$30,E400&lt;E$32,D$31,E400&lt;E$33,D$32,E400&lt;E$34,D$33,E400&lt;E$35,D$34,E400&gt;=E$35,D$35)</f>
        <v/>
      </c>
      <c r="E400" s="38" t="n">
        <v>350</v>
      </c>
      <c r="F400" s="31">
        <f>E400/52</f>
        <v/>
      </c>
      <c r="G400" s="39">
        <f>D400/1000000*52</f>
        <v/>
      </c>
      <c r="H400" s="33">
        <f>G400/$P$4+($C$22/$P$4)</f>
        <v/>
      </c>
      <c r="I400" s="36">
        <f>_xlfn.IFS(K400&lt;K$24,0,K400&lt;K$26,I$24,K400&lt;K$28,I$26,K400&lt;K$30,I$28,K400&lt;K$32,I$30,K400&lt;K$34,I$32,K400&lt;K$36,I$34,K400&lt;K$38,I$36,K400&lt;K$40,I$38,K400&lt;K$42,I$40,K400&lt;K$44,I$42,K400&lt;K$46,I$44,K400&gt;=K$46,I$46)</f>
        <v/>
      </c>
      <c r="J400" s="37">
        <f>_xlfn.IFS(K400&lt;K$24,0,K400&lt;K$25,J$24,K400&lt;K$26,J$25,K400&lt;K$27,J$26,K400&lt;K$28,J$27,K400&lt;K$29,J$28,K400&lt;K$30,J$29,K400&lt;K$31,J$30,K400&lt;K$32,J$31,K400&lt;K$33,J$32,K400&lt;K$34,J$33,K400&lt;K$35,J$34,K400&lt;K$36,J$35,K400&lt;K$37,J$36,K400&lt;K$38,J$37,K400&lt;K$39,J$38,K400&lt;K$40,J$39,K400&lt;K$41,J$40,K400&lt;K$42,J$41,K400&lt;K$43,J$42,K400&lt;K$44,J$43,K400&lt;K$45,J$44,K400&lt;K$46,J$45,K400&lt;K$47,J$46,K400&gt;=K$47,J$47)</f>
        <v/>
      </c>
      <c r="K400" s="38" t="n">
        <v>350</v>
      </c>
      <c r="L400" s="31">
        <f>K400/52</f>
        <v/>
      </c>
      <c r="M400" s="39">
        <f>J400/1000000*52</f>
        <v/>
      </c>
      <c r="N400" s="33">
        <f>M400/$P$4+($I$22/$P$4)</f>
        <v/>
      </c>
      <c r="U400">
        <f>F399</f>
        <v/>
      </c>
      <c r="V400">
        <f>H399</f>
        <v/>
      </c>
      <c r="W400">
        <f>N399</f>
        <v/>
      </c>
    </row>
    <row r="401" ht="15.75" customHeight="1" s="40">
      <c r="C401" s="36">
        <f>_xlfn.IFS(E401&lt;E$24,0,E401&lt;E$26,C$24,E401&lt;E$28,C$26,E401&lt;E$30,C$28,E401&lt;E$32,C$30,E401&lt;E$34,C$32,E401&gt;=E$34,C$34)</f>
        <v/>
      </c>
      <c r="D401" s="37">
        <f>_xlfn.IFS(E401&lt;E$24,0,E401&lt;E$25,D$24,E401&lt;E$26,D$25,E401&lt;E$27,D$26,E401&lt;E$28,D$27,E401&lt;E$29,D$28,E401&lt;E$30,D$29,E401&lt;E$31,D$30,E401&lt;E$32,D$31,E401&lt;E$33,D$32,E401&lt;E$34,D$33,E401&lt;E$35,D$34,E401&gt;=E$35,D$35)</f>
        <v/>
      </c>
      <c r="E401" s="38" t="n">
        <v>351</v>
      </c>
      <c r="F401" s="31">
        <f>E401/52</f>
        <v/>
      </c>
      <c r="G401" s="39">
        <f>D401/1000000*52</f>
        <v/>
      </c>
      <c r="H401" s="33">
        <f>G401/$P$4+($C$22/$P$4)</f>
        <v/>
      </c>
      <c r="I401" s="36">
        <f>_xlfn.IFS(K401&lt;K$24,0,K401&lt;K$26,I$24,K401&lt;K$28,I$26,K401&lt;K$30,I$28,K401&lt;K$32,I$30,K401&lt;K$34,I$32,K401&lt;K$36,I$34,K401&lt;K$38,I$36,K401&lt;K$40,I$38,K401&lt;K$42,I$40,K401&lt;K$44,I$42,K401&lt;K$46,I$44,K401&gt;=K$46,I$46)</f>
        <v/>
      </c>
      <c r="J401" s="37">
        <f>_xlfn.IFS(K401&lt;K$24,0,K401&lt;K$25,J$24,K401&lt;K$26,J$25,K401&lt;K$27,J$26,K401&lt;K$28,J$27,K401&lt;K$29,J$28,K401&lt;K$30,J$29,K401&lt;K$31,J$30,K401&lt;K$32,J$31,K401&lt;K$33,J$32,K401&lt;K$34,J$33,K401&lt;K$35,J$34,K401&lt;K$36,J$35,K401&lt;K$37,J$36,K401&lt;K$38,J$37,K401&lt;K$39,J$38,K401&lt;K$40,J$39,K401&lt;K$41,J$40,K401&lt;K$42,J$41,K401&lt;K$43,J$42,K401&lt;K$44,J$43,K401&lt;K$45,J$44,K401&lt;K$46,J$45,K401&lt;K$47,J$46,K401&gt;=K$47,J$47)</f>
        <v/>
      </c>
      <c r="K401" s="38" t="n">
        <v>351</v>
      </c>
      <c r="L401" s="31">
        <f>K401/52</f>
        <v/>
      </c>
      <c r="M401" s="39">
        <f>J401/1000000*52</f>
        <v/>
      </c>
      <c r="N401" s="33">
        <f>M401/$P$4+($I$22/$P$4)</f>
        <v/>
      </c>
      <c r="U401">
        <f>F400</f>
        <v/>
      </c>
      <c r="V401">
        <f>H400</f>
        <v/>
      </c>
      <c r="W401">
        <f>N400</f>
        <v/>
      </c>
    </row>
    <row r="402" ht="15.75" customHeight="1" s="40">
      <c r="C402" s="36">
        <f>_xlfn.IFS(E402&lt;E$24,0,E402&lt;E$26,C$24,E402&lt;E$28,C$26,E402&lt;E$30,C$28,E402&lt;E$32,C$30,E402&lt;E$34,C$32,E402&gt;=E$34,C$34)</f>
        <v/>
      </c>
      <c r="D402" s="37">
        <f>_xlfn.IFS(E402&lt;E$24,0,E402&lt;E$25,D$24,E402&lt;E$26,D$25,E402&lt;E$27,D$26,E402&lt;E$28,D$27,E402&lt;E$29,D$28,E402&lt;E$30,D$29,E402&lt;E$31,D$30,E402&lt;E$32,D$31,E402&lt;E$33,D$32,E402&lt;E$34,D$33,E402&lt;E$35,D$34,E402&gt;=E$35,D$35)</f>
        <v/>
      </c>
      <c r="E402" s="38" t="n">
        <v>352</v>
      </c>
      <c r="F402" s="31">
        <f>E402/52</f>
        <v/>
      </c>
      <c r="G402" s="39">
        <f>D402/1000000*52</f>
        <v/>
      </c>
      <c r="H402" s="33">
        <f>G402/$P$4+($C$22/$P$4)</f>
        <v/>
      </c>
      <c r="I402" s="36">
        <f>_xlfn.IFS(K402&lt;K$24,0,K402&lt;K$26,I$24,K402&lt;K$28,I$26,K402&lt;K$30,I$28,K402&lt;K$32,I$30,K402&lt;K$34,I$32,K402&lt;K$36,I$34,K402&lt;K$38,I$36,K402&lt;K$40,I$38,K402&lt;K$42,I$40,K402&lt;K$44,I$42,K402&lt;K$46,I$44,K402&gt;=K$46,I$46)</f>
        <v/>
      </c>
      <c r="J402" s="37">
        <f>_xlfn.IFS(K402&lt;K$24,0,K402&lt;K$25,J$24,K402&lt;K$26,J$25,K402&lt;K$27,J$26,K402&lt;K$28,J$27,K402&lt;K$29,J$28,K402&lt;K$30,J$29,K402&lt;K$31,J$30,K402&lt;K$32,J$31,K402&lt;K$33,J$32,K402&lt;K$34,J$33,K402&lt;K$35,J$34,K402&lt;K$36,J$35,K402&lt;K$37,J$36,K402&lt;K$38,J$37,K402&lt;K$39,J$38,K402&lt;K$40,J$39,K402&lt;K$41,J$40,K402&lt;K$42,J$41,K402&lt;K$43,J$42,K402&lt;K$44,J$43,K402&lt;K$45,J$44,K402&lt;K$46,J$45,K402&lt;K$47,J$46,K402&gt;=K$47,J$47)</f>
        <v/>
      </c>
      <c r="K402" s="38" t="n">
        <v>352</v>
      </c>
      <c r="L402" s="31">
        <f>K402/52</f>
        <v/>
      </c>
      <c r="M402" s="39">
        <f>J402/1000000*52</f>
        <v/>
      </c>
      <c r="N402" s="33">
        <f>M402/$P$4+($I$22/$P$4)</f>
        <v/>
      </c>
      <c r="U402">
        <f>F401</f>
        <v/>
      </c>
      <c r="V402">
        <f>H401</f>
        <v/>
      </c>
      <c r="W402">
        <f>N401</f>
        <v/>
      </c>
    </row>
    <row r="403" ht="15.75" customHeight="1" s="40">
      <c r="C403" s="36">
        <f>_xlfn.IFS(E403&lt;E$24,0,E403&lt;E$26,C$24,E403&lt;E$28,C$26,E403&lt;E$30,C$28,E403&lt;E$32,C$30,E403&lt;E$34,C$32,E403&gt;=E$34,C$34)</f>
        <v/>
      </c>
      <c r="D403" s="37">
        <f>_xlfn.IFS(E403&lt;E$24,0,E403&lt;E$25,D$24,E403&lt;E$26,D$25,E403&lt;E$27,D$26,E403&lt;E$28,D$27,E403&lt;E$29,D$28,E403&lt;E$30,D$29,E403&lt;E$31,D$30,E403&lt;E$32,D$31,E403&lt;E$33,D$32,E403&lt;E$34,D$33,E403&lt;E$35,D$34,E403&gt;=E$35,D$35)</f>
        <v/>
      </c>
      <c r="E403" s="38" t="n">
        <v>353</v>
      </c>
      <c r="F403" s="31">
        <f>E403/52</f>
        <v/>
      </c>
      <c r="G403" s="39">
        <f>D403/1000000*52</f>
        <v/>
      </c>
      <c r="H403" s="33">
        <f>G403/$P$4+($C$22/$P$4)</f>
        <v/>
      </c>
      <c r="I403" s="36">
        <f>_xlfn.IFS(K403&lt;K$24,0,K403&lt;K$26,I$24,K403&lt;K$28,I$26,K403&lt;K$30,I$28,K403&lt;K$32,I$30,K403&lt;K$34,I$32,K403&lt;K$36,I$34,K403&lt;K$38,I$36,K403&lt;K$40,I$38,K403&lt;K$42,I$40,K403&lt;K$44,I$42,K403&lt;K$46,I$44,K403&gt;=K$46,I$46)</f>
        <v/>
      </c>
      <c r="J403" s="37">
        <f>_xlfn.IFS(K403&lt;K$24,0,K403&lt;K$25,J$24,K403&lt;K$26,J$25,K403&lt;K$27,J$26,K403&lt;K$28,J$27,K403&lt;K$29,J$28,K403&lt;K$30,J$29,K403&lt;K$31,J$30,K403&lt;K$32,J$31,K403&lt;K$33,J$32,K403&lt;K$34,J$33,K403&lt;K$35,J$34,K403&lt;K$36,J$35,K403&lt;K$37,J$36,K403&lt;K$38,J$37,K403&lt;K$39,J$38,K403&lt;K$40,J$39,K403&lt;K$41,J$40,K403&lt;K$42,J$41,K403&lt;K$43,J$42,K403&lt;K$44,J$43,K403&lt;K$45,J$44,K403&lt;K$46,J$45,K403&lt;K$47,J$46,K403&gt;=K$47,J$47)</f>
        <v/>
      </c>
      <c r="K403" s="38" t="n">
        <v>353</v>
      </c>
      <c r="L403" s="31">
        <f>K403/52</f>
        <v/>
      </c>
      <c r="M403" s="39">
        <f>J403/1000000*52</f>
        <v/>
      </c>
      <c r="N403" s="33">
        <f>M403/$P$4+($I$22/$P$4)</f>
        <v/>
      </c>
      <c r="U403">
        <f>F402</f>
        <v/>
      </c>
      <c r="V403">
        <f>H402</f>
        <v/>
      </c>
      <c r="W403">
        <f>N402</f>
        <v/>
      </c>
    </row>
    <row r="404" ht="15.75" customHeight="1" s="40">
      <c r="C404" s="36">
        <f>_xlfn.IFS(E404&lt;E$24,0,E404&lt;E$26,C$24,E404&lt;E$28,C$26,E404&lt;E$30,C$28,E404&lt;E$32,C$30,E404&lt;E$34,C$32,E404&gt;=E$34,C$34)</f>
        <v/>
      </c>
      <c r="D404" s="37">
        <f>_xlfn.IFS(E404&lt;E$24,0,E404&lt;E$25,D$24,E404&lt;E$26,D$25,E404&lt;E$27,D$26,E404&lt;E$28,D$27,E404&lt;E$29,D$28,E404&lt;E$30,D$29,E404&lt;E$31,D$30,E404&lt;E$32,D$31,E404&lt;E$33,D$32,E404&lt;E$34,D$33,E404&lt;E$35,D$34,E404&gt;=E$35,D$35)</f>
        <v/>
      </c>
      <c r="E404" s="38" t="n">
        <v>354</v>
      </c>
      <c r="F404" s="31">
        <f>E404/52</f>
        <v/>
      </c>
      <c r="G404" s="39">
        <f>D404/1000000*52</f>
        <v/>
      </c>
      <c r="H404" s="33">
        <f>G404/$P$4+($C$22/$P$4)</f>
        <v/>
      </c>
      <c r="I404" s="36">
        <f>_xlfn.IFS(K404&lt;K$24,0,K404&lt;K$26,I$24,K404&lt;K$28,I$26,K404&lt;K$30,I$28,K404&lt;K$32,I$30,K404&lt;K$34,I$32,K404&lt;K$36,I$34,K404&lt;K$38,I$36,K404&lt;K$40,I$38,K404&lt;K$42,I$40,K404&lt;K$44,I$42,K404&lt;K$46,I$44,K404&gt;=K$46,I$46)</f>
        <v/>
      </c>
      <c r="J404" s="37">
        <f>_xlfn.IFS(K404&lt;K$24,0,K404&lt;K$25,J$24,K404&lt;K$26,J$25,K404&lt;K$27,J$26,K404&lt;K$28,J$27,K404&lt;K$29,J$28,K404&lt;K$30,J$29,K404&lt;K$31,J$30,K404&lt;K$32,J$31,K404&lt;K$33,J$32,K404&lt;K$34,J$33,K404&lt;K$35,J$34,K404&lt;K$36,J$35,K404&lt;K$37,J$36,K404&lt;K$38,J$37,K404&lt;K$39,J$38,K404&lt;K$40,J$39,K404&lt;K$41,J$40,K404&lt;K$42,J$41,K404&lt;K$43,J$42,K404&lt;K$44,J$43,K404&lt;K$45,J$44,K404&lt;K$46,J$45,K404&lt;K$47,J$46,K404&gt;=K$47,J$47)</f>
        <v/>
      </c>
      <c r="K404" s="38" t="n">
        <v>354</v>
      </c>
      <c r="L404" s="31">
        <f>K404/52</f>
        <v/>
      </c>
      <c r="M404" s="39">
        <f>J404/1000000*52</f>
        <v/>
      </c>
      <c r="N404" s="33">
        <f>M404/$P$4+($I$22/$P$4)</f>
        <v/>
      </c>
      <c r="U404">
        <f>F403</f>
        <v/>
      </c>
      <c r="V404">
        <f>H403</f>
        <v/>
      </c>
      <c r="W404">
        <f>N403</f>
        <v/>
      </c>
    </row>
    <row r="405" ht="15.75" customHeight="1" s="40">
      <c r="C405" s="36">
        <f>_xlfn.IFS(E405&lt;E$24,0,E405&lt;E$26,C$24,E405&lt;E$28,C$26,E405&lt;E$30,C$28,E405&lt;E$32,C$30,E405&lt;E$34,C$32,E405&gt;=E$34,C$34)</f>
        <v/>
      </c>
      <c r="D405" s="37">
        <f>_xlfn.IFS(E405&lt;E$24,0,E405&lt;E$25,D$24,E405&lt;E$26,D$25,E405&lt;E$27,D$26,E405&lt;E$28,D$27,E405&lt;E$29,D$28,E405&lt;E$30,D$29,E405&lt;E$31,D$30,E405&lt;E$32,D$31,E405&lt;E$33,D$32,E405&lt;E$34,D$33,E405&lt;E$35,D$34,E405&gt;=E$35,D$35)</f>
        <v/>
      </c>
      <c r="E405" s="38" t="n">
        <v>355</v>
      </c>
      <c r="F405" s="31">
        <f>E405/52</f>
        <v/>
      </c>
      <c r="G405" s="39">
        <f>D405/1000000*52</f>
        <v/>
      </c>
      <c r="H405" s="33">
        <f>G405/$P$4+($C$22/$P$4)</f>
        <v/>
      </c>
      <c r="I405" s="36">
        <f>_xlfn.IFS(K405&lt;K$24,0,K405&lt;K$26,I$24,K405&lt;K$28,I$26,K405&lt;K$30,I$28,K405&lt;K$32,I$30,K405&lt;K$34,I$32,K405&lt;K$36,I$34,K405&lt;K$38,I$36,K405&lt;K$40,I$38,K405&lt;K$42,I$40,K405&lt;K$44,I$42,K405&lt;K$46,I$44,K405&gt;=K$46,I$46)</f>
        <v/>
      </c>
      <c r="J405" s="37">
        <f>_xlfn.IFS(K405&lt;K$24,0,K405&lt;K$25,J$24,K405&lt;K$26,J$25,K405&lt;K$27,J$26,K405&lt;K$28,J$27,K405&lt;K$29,J$28,K405&lt;K$30,J$29,K405&lt;K$31,J$30,K405&lt;K$32,J$31,K405&lt;K$33,J$32,K405&lt;K$34,J$33,K405&lt;K$35,J$34,K405&lt;K$36,J$35,K405&lt;K$37,J$36,K405&lt;K$38,J$37,K405&lt;K$39,J$38,K405&lt;K$40,J$39,K405&lt;K$41,J$40,K405&lt;K$42,J$41,K405&lt;K$43,J$42,K405&lt;K$44,J$43,K405&lt;K$45,J$44,K405&lt;K$46,J$45,K405&lt;K$47,J$46,K405&gt;=K$47,J$47)</f>
        <v/>
      </c>
      <c r="K405" s="38" t="n">
        <v>355</v>
      </c>
      <c r="L405" s="31">
        <f>K405/52</f>
        <v/>
      </c>
      <c r="M405" s="39">
        <f>J405/1000000*52</f>
        <v/>
      </c>
      <c r="N405" s="33">
        <f>M405/$P$4+($I$22/$P$4)</f>
        <v/>
      </c>
      <c r="U405">
        <f>F404</f>
        <v/>
      </c>
      <c r="V405">
        <f>H404</f>
        <v/>
      </c>
      <c r="W405">
        <f>N404</f>
        <v/>
      </c>
    </row>
    <row r="406" ht="15.75" customHeight="1" s="40">
      <c r="C406" s="36">
        <f>_xlfn.IFS(E406&lt;E$24,0,E406&lt;E$26,C$24,E406&lt;E$28,C$26,E406&lt;E$30,C$28,E406&lt;E$32,C$30,E406&lt;E$34,C$32,E406&gt;=E$34,C$34)</f>
        <v/>
      </c>
      <c r="D406" s="37">
        <f>_xlfn.IFS(E406&lt;E$24,0,E406&lt;E$25,D$24,E406&lt;E$26,D$25,E406&lt;E$27,D$26,E406&lt;E$28,D$27,E406&lt;E$29,D$28,E406&lt;E$30,D$29,E406&lt;E$31,D$30,E406&lt;E$32,D$31,E406&lt;E$33,D$32,E406&lt;E$34,D$33,E406&lt;E$35,D$34,E406&gt;=E$35,D$35)</f>
        <v/>
      </c>
      <c r="E406" s="38" t="n">
        <v>356</v>
      </c>
      <c r="F406" s="31">
        <f>E406/52</f>
        <v/>
      </c>
      <c r="G406" s="39">
        <f>D406/1000000*52</f>
        <v/>
      </c>
      <c r="H406" s="33">
        <f>G406/$P$4+($C$22/$P$4)</f>
        <v/>
      </c>
      <c r="I406" s="36">
        <f>_xlfn.IFS(K406&lt;K$24,0,K406&lt;K$26,I$24,K406&lt;K$28,I$26,K406&lt;K$30,I$28,K406&lt;K$32,I$30,K406&lt;K$34,I$32,K406&lt;K$36,I$34,K406&lt;K$38,I$36,K406&lt;K$40,I$38,K406&lt;K$42,I$40,K406&lt;K$44,I$42,K406&lt;K$46,I$44,K406&gt;=K$46,I$46)</f>
        <v/>
      </c>
      <c r="J406" s="37">
        <f>_xlfn.IFS(K406&lt;K$24,0,K406&lt;K$25,J$24,K406&lt;K$26,J$25,K406&lt;K$27,J$26,K406&lt;K$28,J$27,K406&lt;K$29,J$28,K406&lt;K$30,J$29,K406&lt;K$31,J$30,K406&lt;K$32,J$31,K406&lt;K$33,J$32,K406&lt;K$34,J$33,K406&lt;K$35,J$34,K406&lt;K$36,J$35,K406&lt;K$37,J$36,K406&lt;K$38,J$37,K406&lt;K$39,J$38,K406&lt;K$40,J$39,K406&lt;K$41,J$40,K406&lt;K$42,J$41,K406&lt;K$43,J$42,K406&lt;K$44,J$43,K406&lt;K$45,J$44,K406&lt;K$46,J$45,K406&lt;K$47,J$46,K406&gt;=K$47,J$47)</f>
        <v/>
      </c>
      <c r="K406" s="38" t="n">
        <v>356</v>
      </c>
      <c r="L406" s="31">
        <f>K406/52</f>
        <v/>
      </c>
      <c r="M406" s="39">
        <f>J406/1000000*52</f>
        <v/>
      </c>
      <c r="N406" s="33">
        <f>M406/$P$4+($I$22/$P$4)</f>
        <v/>
      </c>
      <c r="U406">
        <f>F405</f>
        <v/>
      </c>
      <c r="V406">
        <f>H405</f>
        <v/>
      </c>
      <c r="W406">
        <f>N405</f>
        <v/>
      </c>
    </row>
    <row r="407" ht="15.75" customHeight="1" s="40">
      <c r="C407" s="36">
        <f>_xlfn.IFS(E407&lt;E$24,0,E407&lt;E$26,C$24,E407&lt;E$28,C$26,E407&lt;E$30,C$28,E407&lt;E$32,C$30,E407&lt;E$34,C$32,E407&gt;=E$34,C$34)</f>
        <v/>
      </c>
      <c r="D407" s="37">
        <f>_xlfn.IFS(E407&lt;E$24,0,E407&lt;E$25,D$24,E407&lt;E$26,D$25,E407&lt;E$27,D$26,E407&lt;E$28,D$27,E407&lt;E$29,D$28,E407&lt;E$30,D$29,E407&lt;E$31,D$30,E407&lt;E$32,D$31,E407&lt;E$33,D$32,E407&lt;E$34,D$33,E407&lt;E$35,D$34,E407&gt;=E$35,D$35)</f>
        <v/>
      </c>
      <c r="E407" s="38" t="n">
        <v>357</v>
      </c>
      <c r="F407" s="31">
        <f>E407/52</f>
        <v/>
      </c>
      <c r="G407" s="39">
        <f>D407/1000000*52</f>
        <v/>
      </c>
      <c r="H407" s="33">
        <f>G407/$P$4+($C$22/$P$4)</f>
        <v/>
      </c>
      <c r="I407" s="36">
        <f>_xlfn.IFS(K407&lt;K$24,0,K407&lt;K$26,I$24,K407&lt;K$28,I$26,K407&lt;K$30,I$28,K407&lt;K$32,I$30,K407&lt;K$34,I$32,K407&lt;K$36,I$34,K407&lt;K$38,I$36,K407&lt;K$40,I$38,K407&lt;K$42,I$40,K407&lt;K$44,I$42,K407&lt;K$46,I$44,K407&gt;=K$46,I$46)</f>
        <v/>
      </c>
      <c r="J407" s="37">
        <f>_xlfn.IFS(K407&lt;K$24,0,K407&lt;K$25,J$24,K407&lt;K$26,J$25,K407&lt;K$27,J$26,K407&lt;K$28,J$27,K407&lt;K$29,J$28,K407&lt;K$30,J$29,K407&lt;K$31,J$30,K407&lt;K$32,J$31,K407&lt;K$33,J$32,K407&lt;K$34,J$33,K407&lt;K$35,J$34,K407&lt;K$36,J$35,K407&lt;K$37,J$36,K407&lt;K$38,J$37,K407&lt;K$39,J$38,K407&lt;K$40,J$39,K407&lt;K$41,J$40,K407&lt;K$42,J$41,K407&lt;K$43,J$42,K407&lt;K$44,J$43,K407&lt;K$45,J$44,K407&lt;K$46,J$45,K407&lt;K$47,J$46,K407&gt;=K$47,J$47)</f>
        <v/>
      </c>
      <c r="K407" s="38" t="n">
        <v>357</v>
      </c>
      <c r="L407" s="31">
        <f>K407/52</f>
        <v/>
      </c>
      <c r="M407" s="39">
        <f>J407/1000000*52</f>
        <v/>
      </c>
      <c r="N407" s="33">
        <f>M407/$P$4+($I$22/$P$4)</f>
        <v/>
      </c>
      <c r="U407">
        <f>F406</f>
        <v/>
      </c>
      <c r="V407">
        <f>H406</f>
        <v/>
      </c>
      <c r="W407">
        <f>N406</f>
        <v/>
      </c>
    </row>
    <row r="408" ht="15.75" customHeight="1" s="40">
      <c r="C408" s="36">
        <f>_xlfn.IFS(E408&lt;E$24,0,E408&lt;E$26,C$24,E408&lt;E$28,C$26,E408&lt;E$30,C$28,E408&lt;E$32,C$30,E408&lt;E$34,C$32,E408&gt;=E$34,C$34)</f>
        <v/>
      </c>
      <c r="D408" s="37">
        <f>_xlfn.IFS(E408&lt;E$24,0,E408&lt;E$25,D$24,E408&lt;E$26,D$25,E408&lt;E$27,D$26,E408&lt;E$28,D$27,E408&lt;E$29,D$28,E408&lt;E$30,D$29,E408&lt;E$31,D$30,E408&lt;E$32,D$31,E408&lt;E$33,D$32,E408&lt;E$34,D$33,E408&lt;E$35,D$34,E408&gt;=E$35,D$35)</f>
        <v/>
      </c>
      <c r="E408" s="38" t="n">
        <v>358</v>
      </c>
      <c r="F408" s="31">
        <f>E408/52</f>
        <v/>
      </c>
      <c r="G408" s="39">
        <f>D408/1000000*52</f>
        <v/>
      </c>
      <c r="H408" s="33">
        <f>G408/$P$4+($C$22/$P$4)</f>
        <v/>
      </c>
      <c r="I408" s="36">
        <f>_xlfn.IFS(K408&lt;K$24,0,K408&lt;K$26,I$24,K408&lt;K$28,I$26,K408&lt;K$30,I$28,K408&lt;K$32,I$30,K408&lt;K$34,I$32,K408&lt;K$36,I$34,K408&lt;K$38,I$36,K408&lt;K$40,I$38,K408&lt;K$42,I$40,K408&lt;K$44,I$42,K408&lt;K$46,I$44,K408&gt;=K$46,I$46)</f>
        <v/>
      </c>
      <c r="J408" s="37">
        <f>_xlfn.IFS(K408&lt;K$24,0,K408&lt;K$25,J$24,K408&lt;K$26,J$25,K408&lt;K$27,J$26,K408&lt;K$28,J$27,K408&lt;K$29,J$28,K408&lt;K$30,J$29,K408&lt;K$31,J$30,K408&lt;K$32,J$31,K408&lt;K$33,J$32,K408&lt;K$34,J$33,K408&lt;K$35,J$34,K408&lt;K$36,J$35,K408&lt;K$37,J$36,K408&lt;K$38,J$37,K408&lt;K$39,J$38,K408&lt;K$40,J$39,K408&lt;K$41,J$40,K408&lt;K$42,J$41,K408&lt;K$43,J$42,K408&lt;K$44,J$43,K408&lt;K$45,J$44,K408&lt;K$46,J$45,K408&lt;K$47,J$46,K408&gt;=K$47,J$47)</f>
        <v/>
      </c>
      <c r="K408" s="38" t="n">
        <v>358</v>
      </c>
      <c r="L408" s="31">
        <f>K408/52</f>
        <v/>
      </c>
      <c r="M408" s="39">
        <f>J408/1000000*52</f>
        <v/>
      </c>
      <c r="N408" s="33">
        <f>M408/$P$4+($I$22/$P$4)</f>
        <v/>
      </c>
      <c r="U408">
        <f>F407</f>
        <v/>
      </c>
      <c r="V408">
        <f>H407</f>
        <v/>
      </c>
      <c r="W408">
        <f>N407</f>
        <v/>
      </c>
    </row>
    <row r="409" ht="15.75" customHeight="1" s="40">
      <c r="C409" s="36">
        <f>_xlfn.IFS(E409&lt;E$24,0,E409&lt;E$26,C$24,E409&lt;E$28,C$26,E409&lt;E$30,C$28,E409&lt;E$32,C$30,E409&lt;E$34,C$32,E409&gt;=E$34,C$34)</f>
        <v/>
      </c>
      <c r="D409" s="37">
        <f>_xlfn.IFS(E409&lt;E$24,0,E409&lt;E$25,D$24,E409&lt;E$26,D$25,E409&lt;E$27,D$26,E409&lt;E$28,D$27,E409&lt;E$29,D$28,E409&lt;E$30,D$29,E409&lt;E$31,D$30,E409&lt;E$32,D$31,E409&lt;E$33,D$32,E409&lt;E$34,D$33,E409&lt;E$35,D$34,E409&gt;=E$35,D$35)</f>
        <v/>
      </c>
      <c r="E409" s="38" t="n">
        <v>359</v>
      </c>
      <c r="F409" s="31">
        <f>E409/52</f>
        <v/>
      </c>
      <c r="G409" s="39">
        <f>D409/1000000*52</f>
        <v/>
      </c>
      <c r="H409" s="33">
        <f>G409/$P$4+($C$22/$P$4)</f>
        <v/>
      </c>
      <c r="I409" s="36">
        <f>_xlfn.IFS(K409&lt;K$24,0,K409&lt;K$26,I$24,K409&lt;K$28,I$26,K409&lt;K$30,I$28,K409&lt;K$32,I$30,K409&lt;K$34,I$32,K409&lt;K$36,I$34,K409&lt;K$38,I$36,K409&lt;K$40,I$38,K409&lt;K$42,I$40,K409&lt;K$44,I$42,K409&lt;K$46,I$44,K409&gt;=K$46,I$46)</f>
        <v/>
      </c>
      <c r="J409" s="37">
        <f>_xlfn.IFS(K409&lt;K$24,0,K409&lt;K$25,J$24,K409&lt;K$26,J$25,K409&lt;K$27,J$26,K409&lt;K$28,J$27,K409&lt;K$29,J$28,K409&lt;K$30,J$29,K409&lt;K$31,J$30,K409&lt;K$32,J$31,K409&lt;K$33,J$32,K409&lt;K$34,J$33,K409&lt;K$35,J$34,K409&lt;K$36,J$35,K409&lt;K$37,J$36,K409&lt;K$38,J$37,K409&lt;K$39,J$38,K409&lt;K$40,J$39,K409&lt;K$41,J$40,K409&lt;K$42,J$41,K409&lt;K$43,J$42,K409&lt;K$44,J$43,K409&lt;K$45,J$44,K409&lt;K$46,J$45,K409&lt;K$47,J$46,K409&gt;=K$47,J$47)</f>
        <v/>
      </c>
      <c r="K409" s="38" t="n">
        <v>359</v>
      </c>
      <c r="L409" s="31">
        <f>K409/52</f>
        <v/>
      </c>
      <c r="M409" s="39">
        <f>J409/1000000*52</f>
        <v/>
      </c>
      <c r="N409" s="33">
        <f>M409/$P$4+($I$22/$P$4)</f>
        <v/>
      </c>
      <c r="U409">
        <f>F408</f>
        <v/>
      </c>
      <c r="V409">
        <f>H408</f>
        <v/>
      </c>
      <c r="W409">
        <f>N408</f>
        <v/>
      </c>
    </row>
    <row r="410" ht="15.75" customHeight="1" s="40">
      <c r="C410" s="36">
        <f>_xlfn.IFS(E410&lt;E$24,0,E410&lt;E$26,C$24,E410&lt;E$28,C$26,E410&lt;E$30,C$28,E410&lt;E$32,C$30,E410&lt;E$34,C$32,E410&gt;=E$34,C$34)</f>
        <v/>
      </c>
      <c r="D410" s="37">
        <f>_xlfn.IFS(E410&lt;E$24,0,E410&lt;E$25,D$24,E410&lt;E$26,D$25,E410&lt;E$27,D$26,E410&lt;E$28,D$27,E410&lt;E$29,D$28,E410&lt;E$30,D$29,E410&lt;E$31,D$30,E410&lt;E$32,D$31,E410&lt;E$33,D$32,E410&lt;E$34,D$33,E410&lt;E$35,D$34,E410&gt;=E$35,D$35)</f>
        <v/>
      </c>
      <c r="E410" s="38" t="n">
        <v>360</v>
      </c>
      <c r="F410" s="31">
        <f>E410/52</f>
        <v/>
      </c>
      <c r="G410" s="39">
        <f>D410/1000000*52</f>
        <v/>
      </c>
      <c r="H410" s="33">
        <f>G410/$P$4+($C$22/$P$4)</f>
        <v/>
      </c>
      <c r="I410" s="36">
        <f>_xlfn.IFS(K410&lt;K$24,0,K410&lt;K$26,I$24,K410&lt;K$28,I$26,K410&lt;K$30,I$28,K410&lt;K$32,I$30,K410&lt;K$34,I$32,K410&lt;K$36,I$34,K410&lt;K$38,I$36,K410&lt;K$40,I$38,K410&lt;K$42,I$40,K410&lt;K$44,I$42,K410&lt;K$46,I$44,K410&gt;=K$46,I$46)</f>
        <v/>
      </c>
      <c r="J410" s="37">
        <f>_xlfn.IFS(K410&lt;K$24,0,K410&lt;K$25,J$24,K410&lt;K$26,J$25,K410&lt;K$27,J$26,K410&lt;K$28,J$27,K410&lt;K$29,J$28,K410&lt;K$30,J$29,K410&lt;K$31,J$30,K410&lt;K$32,J$31,K410&lt;K$33,J$32,K410&lt;K$34,J$33,K410&lt;K$35,J$34,K410&lt;K$36,J$35,K410&lt;K$37,J$36,K410&lt;K$38,J$37,K410&lt;K$39,J$38,K410&lt;K$40,J$39,K410&lt;K$41,J$40,K410&lt;K$42,J$41,K410&lt;K$43,J$42,K410&lt;K$44,J$43,K410&lt;K$45,J$44,K410&lt;K$46,J$45,K410&lt;K$47,J$46,K410&gt;=K$47,J$47)</f>
        <v/>
      </c>
      <c r="K410" s="38" t="n">
        <v>360</v>
      </c>
      <c r="L410" s="31">
        <f>K410/52</f>
        <v/>
      </c>
      <c r="M410" s="39">
        <f>J410/1000000*52</f>
        <v/>
      </c>
      <c r="N410" s="33">
        <f>M410/$P$4+($I$22/$P$4)</f>
        <v/>
      </c>
      <c r="U410">
        <f>F409</f>
        <v/>
      </c>
      <c r="V410">
        <f>H409</f>
        <v/>
      </c>
      <c r="W410">
        <f>N409</f>
        <v/>
      </c>
    </row>
    <row r="411" ht="15.75" customHeight="1" s="40">
      <c r="C411" s="36">
        <f>_xlfn.IFS(E411&lt;E$24,0,E411&lt;E$26,C$24,E411&lt;E$28,C$26,E411&lt;E$30,C$28,E411&lt;E$32,C$30,E411&lt;E$34,C$32,E411&gt;=E$34,C$34)</f>
        <v/>
      </c>
      <c r="D411" s="37">
        <f>_xlfn.IFS(E411&lt;E$24,0,E411&lt;E$25,D$24,E411&lt;E$26,D$25,E411&lt;E$27,D$26,E411&lt;E$28,D$27,E411&lt;E$29,D$28,E411&lt;E$30,D$29,E411&lt;E$31,D$30,E411&lt;E$32,D$31,E411&lt;E$33,D$32,E411&lt;E$34,D$33,E411&lt;E$35,D$34,E411&gt;=E$35,D$35)</f>
        <v/>
      </c>
      <c r="E411" s="38" t="n">
        <v>361</v>
      </c>
      <c r="F411" s="31">
        <f>E411/52</f>
        <v/>
      </c>
      <c r="G411" s="39">
        <f>D411/1000000*52</f>
        <v/>
      </c>
      <c r="H411" s="33">
        <f>G411/$P$4+($C$22/$P$4)</f>
        <v/>
      </c>
      <c r="I411" s="36">
        <f>_xlfn.IFS(K411&lt;K$24,0,K411&lt;K$26,I$24,K411&lt;K$28,I$26,K411&lt;K$30,I$28,K411&lt;K$32,I$30,K411&lt;K$34,I$32,K411&lt;K$36,I$34,K411&lt;K$38,I$36,K411&lt;K$40,I$38,K411&lt;K$42,I$40,K411&lt;K$44,I$42,K411&lt;K$46,I$44,K411&gt;=K$46,I$46)</f>
        <v/>
      </c>
      <c r="J411" s="37">
        <f>_xlfn.IFS(K411&lt;K$24,0,K411&lt;K$25,J$24,K411&lt;K$26,J$25,K411&lt;K$27,J$26,K411&lt;K$28,J$27,K411&lt;K$29,J$28,K411&lt;K$30,J$29,K411&lt;K$31,J$30,K411&lt;K$32,J$31,K411&lt;K$33,J$32,K411&lt;K$34,J$33,K411&lt;K$35,J$34,K411&lt;K$36,J$35,K411&lt;K$37,J$36,K411&lt;K$38,J$37,K411&lt;K$39,J$38,K411&lt;K$40,J$39,K411&lt;K$41,J$40,K411&lt;K$42,J$41,K411&lt;K$43,J$42,K411&lt;K$44,J$43,K411&lt;K$45,J$44,K411&lt;K$46,J$45,K411&lt;K$47,J$46,K411&gt;=K$47,J$47)</f>
        <v/>
      </c>
      <c r="K411" s="38" t="n">
        <v>361</v>
      </c>
      <c r="L411" s="31">
        <f>K411/52</f>
        <v/>
      </c>
      <c r="M411" s="39">
        <f>J411/1000000*52</f>
        <v/>
      </c>
      <c r="N411" s="33">
        <f>M411/$P$4+($I$22/$P$4)</f>
        <v/>
      </c>
      <c r="U411">
        <f>F410</f>
        <v/>
      </c>
      <c r="V411">
        <f>H410</f>
        <v/>
      </c>
      <c r="W411">
        <f>N410</f>
        <v/>
      </c>
    </row>
    <row r="412" ht="15.75" customHeight="1" s="40">
      <c r="C412" s="36">
        <f>_xlfn.IFS(E412&lt;E$24,0,E412&lt;E$26,C$24,E412&lt;E$28,C$26,E412&lt;E$30,C$28,E412&lt;E$32,C$30,E412&lt;E$34,C$32,E412&gt;=E$34,C$34)</f>
        <v/>
      </c>
      <c r="D412" s="37">
        <f>_xlfn.IFS(E412&lt;E$24,0,E412&lt;E$25,D$24,E412&lt;E$26,D$25,E412&lt;E$27,D$26,E412&lt;E$28,D$27,E412&lt;E$29,D$28,E412&lt;E$30,D$29,E412&lt;E$31,D$30,E412&lt;E$32,D$31,E412&lt;E$33,D$32,E412&lt;E$34,D$33,E412&lt;E$35,D$34,E412&gt;=E$35,D$35)</f>
        <v/>
      </c>
      <c r="E412" s="38" t="n">
        <v>362</v>
      </c>
      <c r="F412" s="31">
        <f>E412/52</f>
        <v/>
      </c>
      <c r="G412" s="39">
        <f>D412/1000000*52</f>
        <v/>
      </c>
      <c r="H412" s="33">
        <f>G412/$P$4+($C$22/$P$4)</f>
        <v/>
      </c>
      <c r="I412" s="36">
        <f>_xlfn.IFS(K412&lt;K$24,0,K412&lt;K$26,I$24,K412&lt;K$28,I$26,K412&lt;K$30,I$28,K412&lt;K$32,I$30,K412&lt;K$34,I$32,K412&lt;K$36,I$34,K412&lt;K$38,I$36,K412&lt;K$40,I$38,K412&lt;K$42,I$40,K412&lt;K$44,I$42,K412&lt;K$46,I$44,K412&gt;=K$46,I$46)</f>
        <v/>
      </c>
      <c r="J412" s="37">
        <f>_xlfn.IFS(K412&lt;K$24,0,K412&lt;K$25,J$24,K412&lt;K$26,J$25,K412&lt;K$27,J$26,K412&lt;K$28,J$27,K412&lt;K$29,J$28,K412&lt;K$30,J$29,K412&lt;K$31,J$30,K412&lt;K$32,J$31,K412&lt;K$33,J$32,K412&lt;K$34,J$33,K412&lt;K$35,J$34,K412&lt;K$36,J$35,K412&lt;K$37,J$36,K412&lt;K$38,J$37,K412&lt;K$39,J$38,K412&lt;K$40,J$39,K412&lt;K$41,J$40,K412&lt;K$42,J$41,K412&lt;K$43,J$42,K412&lt;K$44,J$43,K412&lt;K$45,J$44,K412&lt;K$46,J$45,K412&lt;K$47,J$46,K412&gt;=K$47,J$47)</f>
        <v/>
      </c>
      <c r="K412" s="38" t="n">
        <v>362</v>
      </c>
      <c r="L412" s="31">
        <f>K412/52</f>
        <v/>
      </c>
      <c r="M412" s="39">
        <f>J412/1000000*52</f>
        <v/>
      </c>
      <c r="N412" s="33">
        <f>M412/$P$4+($I$22/$P$4)</f>
        <v/>
      </c>
      <c r="U412">
        <f>F411</f>
        <v/>
      </c>
      <c r="V412">
        <f>H411</f>
        <v/>
      </c>
      <c r="W412">
        <f>N411</f>
        <v/>
      </c>
    </row>
    <row r="413" ht="15.75" customHeight="1" s="40">
      <c r="C413" s="36">
        <f>_xlfn.IFS(E413&lt;E$24,0,E413&lt;E$26,C$24,E413&lt;E$28,C$26,E413&lt;E$30,C$28,E413&lt;E$32,C$30,E413&lt;E$34,C$32,E413&gt;=E$34,C$34)</f>
        <v/>
      </c>
      <c r="D413" s="37">
        <f>_xlfn.IFS(E413&lt;E$24,0,E413&lt;E$25,D$24,E413&lt;E$26,D$25,E413&lt;E$27,D$26,E413&lt;E$28,D$27,E413&lt;E$29,D$28,E413&lt;E$30,D$29,E413&lt;E$31,D$30,E413&lt;E$32,D$31,E413&lt;E$33,D$32,E413&lt;E$34,D$33,E413&lt;E$35,D$34,E413&gt;=E$35,D$35)</f>
        <v/>
      </c>
      <c r="E413" s="38" t="n">
        <v>363</v>
      </c>
      <c r="F413" s="31">
        <f>E413/52</f>
        <v/>
      </c>
      <c r="G413" s="39">
        <f>D413/1000000*52</f>
        <v/>
      </c>
      <c r="H413" s="33">
        <f>G413/$P$4+($C$22/$P$4)</f>
        <v/>
      </c>
      <c r="I413" s="36">
        <f>_xlfn.IFS(K413&lt;K$24,0,K413&lt;K$26,I$24,K413&lt;K$28,I$26,K413&lt;K$30,I$28,K413&lt;K$32,I$30,K413&lt;K$34,I$32,K413&lt;K$36,I$34,K413&lt;K$38,I$36,K413&lt;K$40,I$38,K413&lt;K$42,I$40,K413&lt;K$44,I$42,K413&lt;K$46,I$44,K413&gt;=K$46,I$46)</f>
        <v/>
      </c>
      <c r="J413" s="37">
        <f>_xlfn.IFS(K413&lt;K$24,0,K413&lt;K$25,J$24,K413&lt;K$26,J$25,K413&lt;K$27,J$26,K413&lt;K$28,J$27,K413&lt;K$29,J$28,K413&lt;K$30,J$29,K413&lt;K$31,J$30,K413&lt;K$32,J$31,K413&lt;K$33,J$32,K413&lt;K$34,J$33,K413&lt;K$35,J$34,K413&lt;K$36,J$35,K413&lt;K$37,J$36,K413&lt;K$38,J$37,K413&lt;K$39,J$38,K413&lt;K$40,J$39,K413&lt;K$41,J$40,K413&lt;K$42,J$41,K413&lt;K$43,J$42,K413&lt;K$44,J$43,K413&lt;K$45,J$44,K413&lt;K$46,J$45,K413&lt;K$47,J$46,K413&gt;=K$47,J$47)</f>
        <v/>
      </c>
      <c r="K413" s="38" t="n">
        <v>363</v>
      </c>
      <c r="L413" s="31">
        <f>K413/52</f>
        <v/>
      </c>
      <c r="M413" s="39">
        <f>J413/1000000*52</f>
        <v/>
      </c>
      <c r="N413" s="33">
        <f>M413/$P$4+($I$22/$P$4)</f>
        <v/>
      </c>
      <c r="U413">
        <f>F412</f>
        <v/>
      </c>
      <c r="V413">
        <f>H412</f>
        <v/>
      </c>
      <c r="W413">
        <f>N412</f>
        <v/>
      </c>
    </row>
    <row r="414" ht="15.75" customHeight="1" s="40">
      <c r="C414" s="36">
        <f>_xlfn.IFS(E414&lt;E$24,0,E414&lt;E$26,C$24,E414&lt;E$28,C$26,E414&lt;E$30,C$28,E414&lt;E$32,C$30,E414&lt;E$34,C$32,E414&gt;=E$34,C$34)</f>
        <v/>
      </c>
      <c r="D414" s="37">
        <f>_xlfn.IFS(E414&lt;E$24,0,E414&lt;E$25,D$24,E414&lt;E$26,D$25,E414&lt;E$27,D$26,E414&lt;E$28,D$27,E414&lt;E$29,D$28,E414&lt;E$30,D$29,E414&lt;E$31,D$30,E414&lt;E$32,D$31,E414&lt;E$33,D$32,E414&lt;E$34,D$33,E414&lt;E$35,D$34,E414&gt;=E$35,D$35)</f>
        <v/>
      </c>
      <c r="E414" s="38" t="n">
        <v>364</v>
      </c>
      <c r="F414" s="31">
        <f>E414/52</f>
        <v/>
      </c>
      <c r="G414" s="39">
        <f>D414/1000000*52</f>
        <v/>
      </c>
      <c r="H414" s="33">
        <f>G414/$P$4+($C$22/$P$4)</f>
        <v/>
      </c>
      <c r="I414" s="36">
        <f>_xlfn.IFS(K414&lt;K$24,0,K414&lt;K$26,I$24,K414&lt;K$28,I$26,K414&lt;K$30,I$28,K414&lt;K$32,I$30,K414&lt;K$34,I$32,K414&lt;K$36,I$34,K414&lt;K$38,I$36,K414&lt;K$40,I$38,K414&lt;K$42,I$40,K414&lt;K$44,I$42,K414&lt;K$46,I$44,K414&gt;=K$46,I$46)</f>
        <v/>
      </c>
      <c r="J414" s="37">
        <f>_xlfn.IFS(K414&lt;K$24,0,K414&lt;K$25,J$24,K414&lt;K$26,J$25,K414&lt;K$27,J$26,K414&lt;K$28,J$27,K414&lt;K$29,J$28,K414&lt;K$30,J$29,K414&lt;K$31,J$30,K414&lt;K$32,J$31,K414&lt;K$33,J$32,K414&lt;K$34,J$33,K414&lt;K$35,J$34,K414&lt;K$36,J$35,K414&lt;K$37,J$36,K414&lt;K$38,J$37,K414&lt;K$39,J$38,K414&lt;K$40,J$39,K414&lt;K$41,J$40,K414&lt;K$42,J$41,K414&lt;K$43,J$42,K414&lt;K$44,J$43,K414&lt;K$45,J$44,K414&lt;K$46,J$45,K414&lt;K$47,J$46,K414&gt;=K$47,J$47)</f>
        <v/>
      </c>
      <c r="K414" s="38" t="n">
        <v>364</v>
      </c>
      <c r="L414" s="31">
        <f>K414/52</f>
        <v/>
      </c>
      <c r="M414" s="39">
        <f>J414/1000000*52</f>
        <v/>
      </c>
      <c r="N414" s="33">
        <f>M414/$P$4+($I$22/$P$4)</f>
        <v/>
      </c>
      <c r="U414">
        <f>F413</f>
        <v/>
      </c>
      <c r="V414">
        <f>H413</f>
        <v/>
      </c>
      <c r="W414">
        <f>N413</f>
        <v/>
      </c>
    </row>
    <row r="415" ht="15.75" customHeight="1" s="40">
      <c r="C415" s="36">
        <f>_xlfn.IFS(E415&lt;E$24,0,E415&lt;E$26,C$24,E415&lt;E$28,C$26,E415&lt;E$30,C$28,E415&lt;E$32,C$30,E415&lt;E$34,C$32,E415&gt;=E$34,C$34)</f>
        <v/>
      </c>
      <c r="D415" s="37">
        <f>_xlfn.IFS(E415&lt;E$24,0,E415&lt;E$25,D$24,E415&lt;E$26,D$25,E415&lt;E$27,D$26,E415&lt;E$28,D$27,E415&lt;E$29,D$28,E415&lt;E$30,D$29,E415&lt;E$31,D$30,E415&lt;E$32,D$31,E415&lt;E$33,D$32,E415&lt;E$34,D$33,E415&lt;E$35,D$34,E415&gt;=E$35,D$35)</f>
        <v/>
      </c>
      <c r="E415" s="38" t="n">
        <v>365</v>
      </c>
      <c r="F415" s="31">
        <f>E415/52</f>
        <v/>
      </c>
      <c r="G415" s="39">
        <f>D415/1000000*52</f>
        <v/>
      </c>
      <c r="H415" s="33">
        <f>G415/$P$4+($C$22/$P$4)</f>
        <v/>
      </c>
      <c r="I415" s="36">
        <f>_xlfn.IFS(K415&lt;K$24,0,K415&lt;K$26,I$24,K415&lt;K$28,I$26,K415&lt;K$30,I$28,K415&lt;K$32,I$30,K415&lt;K$34,I$32,K415&lt;K$36,I$34,K415&lt;K$38,I$36,K415&lt;K$40,I$38,K415&lt;K$42,I$40,K415&lt;K$44,I$42,K415&lt;K$46,I$44,K415&gt;=K$46,I$46)</f>
        <v/>
      </c>
      <c r="J415" s="37">
        <f>_xlfn.IFS(K415&lt;K$24,0,K415&lt;K$25,J$24,K415&lt;K$26,J$25,K415&lt;K$27,J$26,K415&lt;K$28,J$27,K415&lt;K$29,J$28,K415&lt;K$30,J$29,K415&lt;K$31,J$30,K415&lt;K$32,J$31,K415&lt;K$33,J$32,K415&lt;K$34,J$33,K415&lt;K$35,J$34,K415&lt;K$36,J$35,K415&lt;K$37,J$36,K415&lt;K$38,J$37,K415&lt;K$39,J$38,K415&lt;K$40,J$39,K415&lt;K$41,J$40,K415&lt;K$42,J$41,K415&lt;K$43,J$42,K415&lt;K$44,J$43,K415&lt;K$45,J$44,K415&lt;K$46,J$45,K415&lt;K$47,J$46,K415&gt;=K$47,J$47)</f>
        <v/>
      </c>
      <c r="K415" s="38" t="n">
        <v>365</v>
      </c>
      <c r="L415" s="31">
        <f>K415/52</f>
        <v/>
      </c>
      <c r="M415" s="39">
        <f>J415/1000000*52</f>
        <v/>
      </c>
      <c r="N415" s="33">
        <f>M415/$P$4+($I$22/$P$4)</f>
        <v/>
      </c>
      <c r="U415">
        <f>F414</f>
        <v/>
      </c>
      <c r="V415">
        <f>H414</f>
        <v/>
      </c>
      <c r="W415">
        <f>N414</f>
        <v/>
      </c>
    </row>
    <row r="416" ht="15.75" customHeight="1" s="40">
      <c r="C416" s="36">
        <f>_xlfn.IFS(E416&lt;E$24,0,E416&lt;E$26,C$24,E416&lt;E$28,C$26,E416&lt;E$30,C$28,E416&lt;E$32,C$30,E416&lt;E$34,C$32,E416&gt;=E$34,C$34)</f>
        <v/>
      </c>
      <c r="D416" s="37">
        <f>_xlfn.IFS(E416&lt;E$24,0,E416&lt;E$25,D$24,E416&lt;E$26,D$25,E416&lt;E$27,D$26,E416&lt;E$28,D$27,E416&lt;E$29,D$28,E416&lt;E$30,D$29,E416&lt;E$31,D$30,E416&lt;E$32,D$31,E416&lt;E$33,D$32,E416&lt;E$34,D$33,E416&lt;E$35,D$34,E416&gt;=E$35,D$35)</f>
        <v/>
      </c>
      <c r="E416" s="38" t="n">
        <v>366</v>
      </c>
      <c r="F416" s="31">
        <f>E416/52</f>
        <v/>
      </c>
      <c r="G416" s="39">
        <f>D416/1000000*52</f>
        <v/>
      </c>
      <c r="H416" s="33">
        <f>G416/$P$4+($C$22/$P$4)</f>
        <v/>
      </c>
      <c r="I416" s="36">
        <f>_xlfn.IFS(K416&lt;K$24,0,K416&lt;K$26,I$24,K416&lt;K$28,I$26,K416&lt;K$30,I$28,K416&lt;K$32,I$30,K416&lt;K$34,I$32,K416&lt;K$36,I$34,K416&lt;K$38,I$36,K416&lt;K$40,I$38,K416&lt;K$42,I$40,K416&lt;K$44,I$42,K416&lt;K$46,I$44,K416&gt;=K$46,I$46)</f>
        <v/>
      </c>
      <c r="J416" s="37">
        <f>_xlfn.IFS(K416&lt;K$24,0,K416&lt;K$25,J$24,K416&lt;K$26,J$25,K416&lt;K$27,J$26,K416&lt;K$28,J$27,K416&lt;K$29,J$28,K416&lt;K$30,J$29,K416&lt;K$31,J$30,K416&lt;K$32,J$31,K416&lt;K$33,J$32,K416&lt;K$34,J$33,K416&lt;K$35,J$34,K416&lt;K$36,J$35,K416&lt;K$37,J$36,K416&lt;K$38,J$37,K416&lt;K$39,J$38,K416&lt;K$40,J$39,K416&lt;K$41,J$40,K416&lt;K$42,J$41,K416&lt;K$43,J$42,K416&lt;K$44,J$43,K416&lt;K$45,J$44,K416&lt;K$46,J$45,K416&lt;K$47,J$46,K416&gt;=K$47,J$47)</f>
        <v/>
      </c>
      <c r="K416" s="38" t="n">
        <v>366</v>
      </c>
      <c r="L416" s="31">
        <f>K416/52</f>
        <v/>
      </c>
      <c r="M416" s="39">
        <f>J416/1000000*52</f>
        <v/>
      </c>
      <c r="N416" s="33">
        <f>M416/$P$4+($I$22/$P$4)</f>
        <v/>
      </c>
      <c r="U416">
        <f>F415</f>
        <v/>
      </c>
      <c r="V416">
        <f>H415</f>
        <v/>
      </c>
      <c r="W416">
        <f>N415</f>
        <v/>
      </c>
    </row>
    <row r="417" ht="15.75" customHeight="1" s="40">
      <c r="C417" s="36">
        <f>_xlfn.IFS(E417&lt;E$24,0,E417&lt;E$26,C$24,E417&lt;E$28,C$26,E417&lt;E$30,C$28,E417&lt;E$32,C$30,E417&lt;E$34,C$32,E417&gt;=E$34,C$34)</f>
        <v/>
      </c>
      <c r="D417" s="37">
        <f>_xlfn.IFS(E417&lt;E$24,0,E417&lt;E$25,D$24,E417&lt;E$26,D$25,E417&lt;E$27,D$26,E417&lt;E$28,D$27,E417&lt;E$29,D$28,E417&lt;E$30,D$29,E417&lt;E$31,D$30,E417&lt;E$32,D$31,E417&lt;E$33,D$32,E417&lt;E$34,D$33,E417&lt;E$35,D$34,E417&gt;=E$35,D$35)</f>
        <v/>
      </c>
      <c r="E417" s="38" t="n">
        <v>367</v>
      </c>
      <c r="F417" s="31">
        <f>E417/52</f>
        <v/>
      </c>
      <c r="G417" s="39">
        <f>D417/1000000*52</f>
        <v/>
      </c>
      <c r="H417" s="33">
        <f>G417/$P$4+($C$22/$P$4)</f>
        <v/>
      </c>
      <c r="I417" s="36">
        <f>_xlfn.IFS(K417&lt;K$24,0,K417&lt;K$26,I$24,K417&lt;K$28,I$26,K417&lt;K$30,I$28,K417&lt;K$32,I$30,K417&lt;K$34,I$32,K417&lt;K$36,I$34,K417&lt;K$38,I$36,K417&lt;K$40,I$38,K417&lt;K$42,I$40,K417&lt;K$44,I$42,K417&lt;K$46,I$44,K417&gt;=K$46,I$46)</f>
        <v/>
      </c>
      <c r="J417" s="37">
        <f>_xlfn.IFS(K417&lt;K$24,0,K417&lt;K$25,J$24,K417&lt;K$26,J$25,K417&lt;K$27,J$26,K417&lt;K$28,J$27,K417&lt;K$29,J$28,K417&lt;K$30,J$29,K417&lt;K$31,J$30,K417&lt;K$32,J$31,K417&lt;K$33,J$32,K417&lt;K$34,J$33,K417&lt;K$35,J$34,K417&lt;K$36,J$35,K417&lt;K$37,J$36,K417&lt;K$38,J$37,K417&lt;K$39,J$38,K417&lt;K$40,J$39,K417&lt;K$41,J$40,K417&lt;K$42,J$41,K417&lt;K$43,J$42,K417&lt;K$44,J$43,K417&lt;K$45,J$44,K417&lt;K$46,J$45,K417&lt;K$47,J$46,K417&gt;=K$47,J$47)</f>
        <v/>
      </c>
      <c r="K417" s="38" t="n">
        <v>367</v>
      </c>
      <c r="L417" s="31">
        <f>K417/52</f>
        <v/>
      </c>
      <c r="M417" s="39">
        <f>J417/1000000*52</f>
        <v/>
      </c>
      <c r="N417" s="33">
        <f>M417/$P$4+($I$22/$P$4)</f>
        <v/>
      </c>
      <c r="U417">
        <f>F416</f>
        <v/>
      </c>
      <c r="V417">
        <f>H416</f>
        <v/>
      </c>
      <c r="W417">
        <f>N416</f>
        <v/>
      </c>
    </row>
    <row r="418" ht="15.75" customHeight="1" s="40">
      <c r="C418" s="36">
        <f>_xlfn.IFS(E418&lt;E$24,0,E418&lt;E$26,C$24,E418&lt;E$28,C$26,E418&lt;E$30,C$28,E418&lt;E$32,C$30,E418&lt;E$34,C$32,E418&gt;=E$34,C$34)</f>
        <v/>
      </c>
      <c r="D418" s="37">
        <f>_xlfn.IFS(E418&lt;E$24,0,E418&lt;E$25,D$24,E418&lt;E$26,D$25,E418&lt;E$27,D$26,E418&lt;E$28,D$27,E418&lt;E$29,D$28,E418&lt;E$30,D$29,E418&lt;E$31,D$30,E418&lt;E$32,D$31,E418&lt;E$33,D$32,E418&lt;E$34,D$33,E418&lt;E$35,D$34,E418&gt;=E$35,D$35)</f>
        <v/>
      </c>
      <c r="E418" s="38" t="n">
        <v>368</v>
      </c>
      <c r="F418" s="31">
        <f>E418/52</f>
        <v/>
      </c>
      <c r="G418" s="39">
        <f>D418/1000000*52</f>
        <v/>
      </c>
      <c r="H418" s="33">
        <f>G418/$P$4+($C$22/$P$4)</f>
        <v/>
      </c>
      <c r="I418" s="36">
        <f>_xlfn.IFS(K418&lt;K$24,0,K418&lt;K$26,I$24,K418&lt;K$28,I$26,K418&lt;K$30,I$28,K418&lt;K$32,I$30,K418&lt;K$34,I$32,K418&lt;K$36,I$34,K418&lt;K$38,I$36,K418&lt;K$40,I$38,K418&lt;K$42,I$40,K418&lt;K$44,I$42,K418&lt;K$46,I$44,K418&gt;=K$46,I$46)</f>
        <v/>
      </c>
      <c r="J418" s="37">
        <f>_xlfn.IFS(K418&lt;K$24,0,K418&lt;K$25,J$24,K418&lt;K$26,J$25,K418&lt;K$27,J$26,K418&lt;K$28,J$27,K418&lt;K$29,J$28,K418&lt;K$30,J$29,K418&lt;K$31,J$30,K418&lt;K$32,J$31,K418&lt;K$33,J$32,K418&lt;K$34,J$33,K418&lt;K$35,J$34,K418&lt;K$36,J$35,K418&lt;K$37,J$36,K418&lt;K$38,J$37,K418&lt;K$39,J$38,K418&lt;K$40,J$39,K418&lt;K$41,J$40,K418&lt;K$42,J$41,K418&lt;K$43,J$42,K418&lt;K$44,J$43,K418&lt;K$45,J$44,K418&lt;K$46,J$45,K418&lt;K$47,J$46,K418&gt;=K$47,J$47)</f>
        <v/>
      </c>
      <c r="K418" s="38" t="n">
        <v>368</v>
      </c>
      <c r="L418" s="31">
        <f>K418/52</f>
        <v/>
      </c>
      <c r="M418" s="39">
        <f>J418/1000000*52</f>
        <v/>
      </c>
      <c r="N418" s="33">
        <f>M418/$P$4+($I$22/$P$4)</f>
        <v/>
      </c>
      <c r="U418">
        <f>F417</f>
        <v/>
      </c>
      <c r="V418">
        <f>H417</f>
        <v/>
      </c>
      <c r="W418">
        <f>N417</f>
        <v/>
      </c>
    </row>
    <row r="419" ht="15.75" customHeight="1" s="40">
      <c r="C419" s="36">
        <f>_xlfn.IFS(E419&lt;E$24,0,E419&lt;E$26,C$24,E419&lt;E$28,C$26,E419&lt;E$30,C$28,E419&lt;E$32,C$30,E419&lt;E$34,C$32,E419&gt;=E$34,C$34)</f>
        <v/>
      </c>
      <c r="D419" s="37">
        <f>_xlfn.IFS(E419&lt;E$24,0,E419&lt;E$25,D$24,E419&lt;E$26,D$25,E419&lt;E$27,D$26,E419&lt;E$28,D$27,E419&lt;E$29,D$28,E419&lt;E$30,D$29,E419&lt;E$31,D$30,E419&lt;E$32,D$31,E419&lt;E$33,D$32,E419&lt;E$34,D$33,E419&lt;E$35,D$34,E419&gt;=E$35,D$35)</f>
        <v/>
      </c>
      <c r="E419" s="38" t="n">
        <v>369</v>
      </c>
      <c r="F419" s="31">
        <f>E419/52</f>
        <v/>
      </c>
      <c r="G419" s="39">
        <f>D419/1000000*52</f>
        <v/>
      </c>
      <c r="H419" s="33">
        <f>G419/$P$4+($C$22/$P$4)</f>
        <v/>
      </c>
      <c r="I419" s="36">
        <f>_xlfn.IFS(K419&lt;K$24,0,K419&lt;K$26,I$24,K419&lt;K$28,I$26,K419&lt;K$30,I$28,K419&lt;K$32,I$30,K419&lt;K$34,I$32,K419&lt;K$36,I$34,K419&lt;K$38,I$36,K419&lt;K$40,I$38,K419&lt;K$42,I$40,K419&lt;K$44,I$42,K419&lt;K$46,I$44,K419&gt;=K$46,I$46)</f>
        <v/>
      </c>
      <c r="J419" s="37">
        <f>_xlfn.IFS(K419&lt;K$24,0,K419&lt;K$25,J$24,K419&lt;K$26,J$25,K419&lt;K$27,J$26,K419&lt;K$28,J$27,K419&lt;K$29,J$28,K419&lt;K$30,J$29,K419&lt;K$31,J$30,K419&lt;K$32,J$31,K419&lt;K$33,J$32,K419&lt;K$34,J$33,K419&lt;K$35,J$34,K419&lt;K$36,J$35,K419&lt;K$37,J$36,K419&lt;K$38,J$37,K419&lt;K$39,J$38,K419&lt;K$40,J$39,K419&lt;K$41,J$40,K419&lt;K$42,J$41,K419&lt;K$43,J$42,K419&lt;K$44,J$43,K419&lt;K$45,J$44,K419&lt;K$46,J$45,K419&lt;K$47,J$46,K419&gt;=K$47,J$47)</f>
        <v/>
      </c>
      <c r="K419" s="38" t="n">
        <v>369</v>
      </c>
      <c r="L419" s="31">
        <f>K419/52</f>
        <v/>
      </c>
      <c r="M419" s="39">
        <f>J419/1000000*52</f>
        <v/>
      </c>
      <c r="N419" s="33">
        <f>M419/$P$4+($I$22/$P$4)</f>
        <v/>
      </c>
      <c r="U419">
        <f>F418</f>
        <v/>
      </c>
      <c r="V419">
        <f>H418</f>
        <v/>
      </c>
      <c r="W419">
        <f>N418</f>
        <v/>
      </c>
    </row>
    <row r="420" ht="15.75" customHeight="1" s="40">
      <c r="C420" s="36">
        <f>_xlfn.IFS(E420&lt;E$24,0,E420&lt;E$26,C$24,E420&lt;E$28,C$26,E420&lt;E$30,C$28,E420&lt;E$32,C$30,E420&lt;E$34,C$32,E420&gt;=E$34,C$34)</f>
        <v/>
      </c>
      <c r="D420" s="37">
        <f>_xlfn.IFS(E420&lt;E$24,0,E420&lt;E$25,D$24,E420&lt;E$26,D$25,E420&lt;E$27,D$26,E420&lt;E$28,D$27,E420&lt;E$29,D$28,E420&lt;E$30,D$29,E420&lt;E$31,D$30,E420&lt;E$32,D$31,E420&lt;E$33,D$32,E420&lt;E$34,D$33,E420&lt;E$35,D$34,E420&gt;=E$35,D$35)</f>
        <v/>
      </c>
      <c r="E420" s="38" t="n">
        <v>370</v>
      </c>
      <c r="F420" s="31">
        <f>E420/52</f>
        <v/>
      </c>
      <c r="G420" s="39">
        <f>D420/1000000*52</f>
        <v/>
      </c>
      <c r="H420" s="33">
        <f>G420/$P$4+($C$22/$P$4)</f>
        <v/>
      </c>
      <c r="I420" s="36">
        <f>_xlfn.IFS(K420&lt;K$24,0,K420&lt;K$26,I$24,K420&lt;K$28,I$26,K420&lt;K$30,I$28,K420&lt;K$32,I$30,K420&lt;K$34,I$32,K420&lt;K$36,I$34,K420&lt;K$38,I$36,K420&lt;K$40,I$38,K420&lt;K$42,I$40,K420&lt;K$44,I$42,K420&lt;K$46,I$44,K420&gt;=K$46,I$46)</f>
        <v/>
      </c>
      <c r="J420" s="37">
        <f>_xlfn.IFS(K420&lt;K$24,0,K420&lt;K$25,J$24,K420&lt;K$26,J$25,K420&lt;K$27,J$26,K420&lt;K$28,J$27,K420&lt;K$29,J$28,K420&lt;K$30,J$29,K420&lt;K$31,J$30,K420&lt;K$32,J$31,K420&lt;K$33,J$32,K420&lt;K$34,J$33,K420&lt;K$35,J$34,K420&lt;K$36,J$35,K420&lt;K$37,J$36,K420&lt;K$38,J$37,K420&lt;K$39,J$38,K420&lt;K$40,J$39,K420&lt;K$41,J$40,K420&lt;K$42,J$41,K420&lt;K$43,J$42,K420&lt;K$44,J$43,K420&lt;K$45,J$44,K420&lt;K$46,J$45,K420&lt;K$47,J$46,K420&gt;=K$47,J$47)</f>
        <v/>
      </c>
      <c r="K420" s="38" t="n">
        <v>370</v>
      </c>
      <c r="L420" s="31">
        <f>K420/52</f>
        <v/>
      </c>
      <c r="M420" s="39">
        <f>J420/1000000*52</f>
        <v/>
      </c>
      <c r="N420" s="33">
        <f>M420/$P$4+($I$22/$P$4)</f>
        <v/>
      </c>
      <c r="U420">
        <f>F419</f>
        <v/>
      </c>
      <c r="V420">
        <f>H419</f>
        <v/>
      </c>
      <c r="W420">
        <f>N419</f>
        <v/>
      </c>
    </row>
    <row r="421" ht="15.75" customHeight="1" s="40">
      <c r="C421" s="36">
        <f>_xlfn.IFS(E421&lt;E$24,0,E421&lt;E$26,C$24,E421&lt;E$28,C$26,E421&lt;E$30,C$28,E421&lt;E$32,C$30,E421&lt;E$34,C$32,E421&gt;=E$34,C$34)</f>
        <v/>
      </c>
      <c r="D421" s="37">
        <f>_xlfn.IFS(E421&lt;E$24,0,E421&lt;E$25,D$24,E421&lt;E$26,D$25,E421&lt;E$27,D$26,E421&lt;E$28,D$27,E421&lt;E$29,D$28,E421&lt;E$30,D$29,E421&lt;E$31,D$30,E421&lt;E$32,D$31,E421&lt;E$33,D$32,E421&lt;E$34,D$33,E421&lt;E$35,D$34,E421&gt;=E$35,D$35)</f>
        <v/>
      </c>
      <c r="E421" s="38" t="n">
        <v>371</v>
      </c>
      <c r="F421" s="31">
        <f>E421/52</f>
        <v/>
      </c>
      <c r="G421" s="39">
        <f>D421/1000000*52</f>
        <v/>
      </c>
      <c r="H421" s="33">
        <f>G421/$P$4+($C$22/$P$4)</f>
        <v/>
      </c>
      <c r="I421" s="36">
        <f>_xlfn.IFS(K421&lt;K$24,0,K421&lt;K$26,I$24,K421&lt;K$28,I$26,K421&lt;K$30,I$28,K421&lt;K$32,I$30,K421&lt;K$34,I$32,K421&lt;K$36,I$34,K421&lt;K$38,I$36,K421&lt;K$40,I$38,K421&lt;K$42,I$40,K421&lt;K$44,I$42,K421&lt;K$46,I$44,K421&gt;=K$46,I$46)</f>
        <v/>
      </c>
      <c r="J421" s="37">
        <f>_xlfn.IFS(K421&lt;K$24,0,K421&lt;K$25,J$24,K421&lt;K$26,J$25,K421&lt;K$27,J$26,K421&lt;K$28,J$27,K421&lt;K$29,J$28,K421&lt;K$30,J$29,K421&lt;K$31,J$30,K421&lt;K$32,J$31,K421&lt;K$33,J$32,K421&lt;K$34,J$33,K421&lt;K$35,J$34,K421&lt;K$36,J$35,K421&lt;K$37,J$36,K421&lt;K$38,J$37,K421&lt;K$39,J$38,K421&lt;K$40,J$39,K421&lt;K$41,J$40,K421&lt;K$42,J$41,K421&lt;K$43,J$42,K421&lt;K$44,J$43,K421&lt;K$45,J$44,K421&lt;K$46,J$45,K421&lt;K$47,J$46,K421&gt;=K$47,J$47)</f>
        <v/>
      </c>
      <c r="K421" s="38" t="n">
        <v>371</v>
      </c>
      <c r="L421" s="31">
        <f>K421/52</f>
        <v/>
      </c>
      <c r="M421" s="39">
        <f>J421/1000000*52</f>
        <v/>
      </c>
      <c r="N421" s="33">
        <f>M421/$P$4+($I$22/$P$4)</f>
        <v/>
      </c>
      <c r="U421">
        <f>F420</f>
        <v/>
      </c>
      <c r="V421">
        <f>H420</f>
        <v/>
      </c>
      <c r="W421">
        <f>N420</f>
        <v/>
      </c>
    </row>
    <row r="422" ht="15.75" customHeight="1" s="40">
      <c r="C422" s="36">
        <f>_xlfn.IFS(E422&lt;E$24,0,E422&lt;E$26,C$24,E422&lt;E$28,C$26,E422&lt;E$30,C$28,E422&lt;E$32,C$30,E422&lt;E$34,C$32,E422&gt;=E$34,C$34)</f>
        <v/>
      </c>
      <c r="D422" s="37">
        <f>_xlfn.IFS(E422&lt;E$24,0,E422&lt;E$25,D$24,E422&lt;E$26,D$25,E422&lt;E$27,D$26,E422&lt;E$28,D$27,E422&lt;E$29,D$28,E422&lt;E$30,D$29,E422&lt;E$31,D$30,E422&lt;E$32,D$31,E422&lt;E$33,D$32,E422&lt;E$34,D$33,E422&lt;E$35,D$34,E422&gt;=E$35,D$35)</f>
        <v/>
      </c>
      <c r="E422" s="38" t="n">
        <v>372</v>
      </c>
      <c r="F422" s="31">
        <f>E422/52</f>
        <v/>
      </c>
      <c r="G422" s="39">
        <f>D422/1000000*52</f>
        <v/>
      </c>
      <c r="H422" s="33">
        <f>G422/$P$4+($C$22/$P$4)</f>
        <v/>
      </c>
      <c r="I422" s="36">
        <f>_xlfn.IFS(K422&lt;K$24,0,K422&lt;K$26,I$24,K422&lt;K$28,I$26,K422&lt;K$30,I$28,K422&lt;K$32,I$30,K422&lt;K$34,I$32,K422&lt;K$36,I$34,K422&lt;K$38,I$36,K422&lt;K$40,I$38,K422&lt;K$42,I$40,K422&lt;K$44,I$42,K422&lt;K$46,I$44,K422&gt;=K$46,I$46)</f>
        <v/>
      </c>
      <c r="J422" s="37">
        <f>_xlfn.IFS(K422&lt;K$24,0,K422&lt;K$25,J$24,K422&lt;K$26,J$25,K422&lt;K$27,J$26,K422&lt;K$28,J$27,K422&lt;K$29,J$28,K422&lt;K$30,J$29,K422&lt;K$31,J$30,K422&lt;K$32,J$31,K422&lt;K$33,J$32,K422&lt;K$34,J$33,K422&lt;K$35,J$34,K422&lt;K$36,J$35,K422&lt;K$37,J$36,K422&lt;K$38,J$37,K422&lt;K$39,J$38,K422&lt;K$40,J$39,K422&lt;K$41,J$40,K422&lt;K$42,J$41,K422&lt;K$43,J$42,K422&lt;K$44,J$43,K422&lt;K$45,J$44,K422&lt;K$46,J$45,K422&lt;K$47,J$46,K422&gt;=K$47,J$47)</f>
        <v/>
      </c>
      <c r="K422" s="38" t="n">
        <v>372</v>
      </c>
      <c r="L422" s="31">
        <f>K422/52</f>
        <v/>
      </c>
      <c r="M422" s="39">
        <f>J422/1000000*52</f>
        <v/>
      </c>
      <c r="N422" s="33">
        <f>M422/$P$4+($I$22/$P$4)</f>
        <v/>
      </c>
      <c r="U422">
        <f>F421</f>
        <v/>
      </c>
      <c r="V422">
        <f>H421</f>
        <v/>
      </c>
      <c r="W422">
        <f>N421</f>
        <v/>
      </c>
    </row>
    <row r="423" ht="15.75" customHeight="1" s="40">
      <c r="C423" s="36">
        <f>_xlfn.IFS(E423&lt;E$24,0,E423&lt;E$26,C$24,E423&lt;E$28,C$26,E423&lt;E$30,C$28,E423&lt;E$32,C$30,E423&lt;E$34,C$32,E423&gt;=E$34,C$34)</f>
        <v/>
      </c>
      <c r="D423" s="37">
        <f>_xlfn.IFS(E423&lt;E$24,0,E423&lt;E$25,D$24,E423&lt;E$26,D$25,E423&lt;E$27,D$26,E423&lt;E$28,D$27,E423&lt;E$29,D$28,E423&lt;E$30,D$29,E423&lt;E$31,D$30,E423&lt;E$32,D$31,E423&lt;E$33,D$32,E423&lt;E$34,D$33,E423&lt;E$35,D$34,E423&gt;=E$35,D$35)</f>
        <v/>
      </c>
      <c r="E423" s="38" t="n">
        <v>373</v>
      </c>
      <c r="F423" s="31">
        <f>E423/52</f>
        <v/>
      </c>
      <c r="G423" s="39">
        <f>D423/1000000*52</f>
        <v/>
      </c>
      <c r="H423" s="33">
        <f>G423/$P$4+($C$22/$P$4)</f>
        <v/>
      </c>
      <c r="I423" s="36">
        <f>_xlfn.IFS(K423&lt;K$24,0,K423&lt;K$26,I$24,K423&lt;K$28,I$26,K423&lt;K$30,I$28,K423&lt;K$32,I$30,K423&lt;K$34,I$32,K423&lt;K$36,I$34,K423&lt;K$38,I$36,K423&lt;K$40,I$38,K423&lt;K$42,I$40,K423&lt;K$44,I$42,K423&lt;K$46,I$44,K423&gt;=K$46,I$46)</f>
        <v/>
      </c>
      <c r="J423" s="37">
        <f>_xlfn.IFS(K423&lt;K$24,0,K423&lt;K$25,J$24,K423&lt;K$26,J$25,K423&lt;K$27,J$26,K423&lt;K$28,J$27,K423&lt;K$29,J$28,K423&lt;K$30,J$29,K423&lt;K$31,J$30,K423&lt;K$32,J$31,K423&lt;K$33,J$32,K423&lt;K$34,J$33,K423&lt;K$35,J$34,K423&lt;K$36,J$35,K423&lt;K$37,J$36,K423&lt;K$38,J$37,K423&lt;K$39,J$38,K423&lt;K$40,J$39,K423&lt;K$41,J$40,K423&lt;K$42,J$41,K423&lt;K$43,J$42,K423&lt;K$44,J$43,K423&lt;K$45,J$44,K423&lt;K$46,J$45,K423&lt;K$47,J$46,K423&gt;=K$47,J$47)</f>
        <v/>
      </c>
      <c r="K423" s="38" t="n">
        <v>373</v>
      </c>
      <c r="L423" s="31">
        <f>K423/52</f>
        <v/>
      </c>
      <c r="M423" s="39">
        <f>J423/1000000*52</f>
        <v/>
      </c>
      <c r="N423" s="33">
        <f>M423/$P$4+($I$22/$P$4)</f>
        <v/>
      </c>
      <c r="U423">
        <f>F422</f>
        <v/>
      </c>
      <c r="V423">
        <f>H422</f>
        <v/>
      </c>
      <c r="W423">
        <f>N422</f>
        <v/>
      </c>
    </row>
    <row r="424" ht="15.75" customHeight="1" s="40">
      <c r="C424" s="36">
        <f>_xlfn.IFS(E424&lt;E$24,0,E424&lt;E$26,C$24,E424&lt;E$28,C$26,E424&lt;E$30,C$28,E424&lt;E$32,C$30,E424&lt;E$34,C$32,E424&gt;=E$34,C$34)</f>
        <v/>
      </c>
      <c r="D424" s="37">
        <f>_xlfn.IFS(E424&lt;E$24,0,E424&lt;E$25,D$24,E424&lt;E$26,D$25,E424&lt;E$27,D$26,E424&lt;E$28,D$27,E424&lt;E$29,D$28,E424&lt;E$30,D$29,E424&lt;E$31,D$30,E424&lt;E$32,D$31,E424&lt;E$33,D$32,E424&lt;E$34,D$33,E424&lt;E$35,D$34,E424&gt;=E$35,D$35)</f>
        <v/>
      </c>
      <c r="E424" s="38" t="n">
        <v>374</v>
      </c>
      <c r="F424" s="31">
        <f>E424/52</f>
        <v/>
      </c>
      <c r="G424" s="39">
        <f>D424/1000000*52</f>
        <v/>
      </c>
      <c r="H424" s="33">
        <f>G424/$P$4+($C$22/$P$4)</f>
        <v/>
      </c>
      <c r="I424" s="36">
        <f>_xlfn.IFS(K424&lt;K$24,0,K424&lt;K$26,I$24,K424&lt;K$28,I$26,K424&lt;K$30,I$28,K424&lt;K$32,I$30,K424&lt;K$34,I$32,K424&lt;K$36,I$34,K424&lt;K$38,I$36,K424&lt;K$40,I$38,K424&lt;K$42,I$40,K424&lt;K$44,I$42,K424&lt;K$46,I$44,K424&gt;=K$46,I$46)</f>
        <v/>
      </c>
      <c r="J424" s="37">
        <f>_xlfn.IFS(K424&lt;K$24,0,K424&lt;K$25,J$24,K424&lt;K$26,J$25,K424&lt;K$27,J$26,K424&lt;K$28,J$27,K424&lt;K$29,J$28,K424&lt;K$30,J$29,K424&lt;K$31,J$30,K424&lt;K$32,J$31,K424&lt;K$33,J$32,K424&lt;K$34,J$33,K424&lt;K$35,J$34,K424&lt;K$36,J$35,K424&lt;K$37,J$36,K424&lt;K$38,J$37,K424&lt;K$39,J$38,K424&lt;K$40,J$39,K424&lt;K$41,J$40,K424&lt;K$42,J$41,K424&lt;K$43,J$42,K424&lt;K$44,J$43,K424&lt;K$45,J$44,K424&lt;K$46,J$45,K424&lt;K$47,J$46,K424&gt;=K$47,J$47)</f>
        <v/>
      </c>
      <c r="K424" s="38" t="n">
        <v>374</v>
      </c>
      <c r="L424" s="31">
        <f>K424/52</f>
        <v/>
      </c>
      <c r="M424" s="39">
        <f>J424/1000000*52</f>
        <v/>
      </c>
      <c r="N424" s="33">
        <f>M424/$P$4+($I$22/$P$4)</f>
        <v/>
      </c>
      <c r="U424">
        <f>F423</f>
        <v/>
      </c>
      <c r="V424">
        <f>H423</f>
        <v/>
      </c>
      <c r="W424">
        <f>N423</f>
        <v/>
      </c>
    </row>
    <row r="425" ht="15.75" customHeight="1" s="40">
      <c r="C425" s="36">
        <f>_xlfn.IFS(E425&lt;E$24,0,E425&lt;E$26,C$24,E425&lt;E$28,C$26,E425&lt;E$30,C$28,E425&lt;E$32,C$30,E425&lt;E$34,C$32,E425&gt;=E$34,C$34)</f>
        <v/>
      </c>
      <c r="D425" s="37">
        <f>_xlfn.IFS(E425&lt;E$24,0,E425&lt;E$25,D$24,E425&lt;E$26,D$25,E425&lt;E$27,D$26,E425&lt;E$28,D$27,E425&lt;E$29,D$28,E425&lt;E$30,D$29,E425&lt;E$31,D$30,E425&lt;E$32,D$31,E425&lt;E$33,D$32,E425&lt;E$34,D$33,E425&lt;E$35,D$34,E425&gt;=E$35,D$35)</f>
        <v/>
      </c>
      <c r="E425" s="38" t="n">
        <v>375</v>
      </c>
      <c r="F425" s="31">
        <f>E425/52</f>
        <v/>
      </c>
      <c r="G425" s="39">
        <f>D425/1000000*52</f>
        <v/>
      </c>
      <c r="H425" s="33">
        <f>G425/$P$4+($C$22/$P$4)</f>
        <v/>
      </c>
      <c r="I425" s="36">
        <f>_xlfn.IFS(K425&lt;K$24,0,K425&lt;K$26,I$24,K425&lt;K$28,I$26,K425&lt;K$30,I$28,K425&lt;K$32,I$30,K425&lt;K$34,I$32,K425&lt;K$36,I$34,K425&lt;K$38,I$36,K425&lt;K$40,I$38,K425&lt;K$42,I$40,K425&lt;K$44,I$42,K425&lt;K$46,I$44,K425&gt;=K$46,I$46)</f>
        <v/>
      </c>
      <c r="J425" s="37">
        <f>_xlfn.IFS(K425&lt;K$24,0,K425&lt;K$25,J$24,K425&lt;K$26,J$25,K425&lt;K$27,J$26,K425&lt;K$28,J$27,K425&lt;K$29,J$28,K425&lt;K$30,J$29,K425&lt;K$31,J$30,K425&lt;K$32,J$31,K425&lt;K$33,J$32,K425&lt;K$34,J$33,K425&lt;K$35,J$34,K425&lt;K$36,J$35,K425&lt;K$37,J$36,K425&lt;K$38,J$37,K425&lt;K$39,J$38,K425&lt;K$40,J$39,K425&lt;K$41,J$40,K425&lt;K$42,J$41,K425&lt;K$43,J$42,K425&lt;K$44,J$43,K425&lt;K$45,J$44,K425&lt;K$46,J$45,K425&lt;K$47,J$46,K425&gt;=K$47,J$47)</f>
        <v/>
      </c>
      <c r="K425" s="38" t="n">
        <v>375</v>
      </c>
      <c r="L425" s="31">
        <f>K425/52</f>
        <v/>
      </c>
      <c r="M425" s="39">
        <f>J425/1000000*52</f>
        <v/>
      </c>
      <c r="N425" s="33">
        <f>M425/$P$4+($I$22/$P$4)</f>
        <v/>
      </c>
      <c r="U425">
        <f>F424</f>
        <v/>
      </c>
      <c r="V425">
        <f>H424</f>
        <v/>
      </c>
      <c r="W425">
        <f>N424</f>
        <v/>
      </c>
    </row>
    <row r="426" ht="15.75" customHeight="1" s="40">
      <c r="C426" s="36">
        <f>_xlfn.IFS(E426&lt;E$24,0,E426&lt;E$26,C$24,E426&lt;E$28,C$26,E426&lt;E$30,C$28,E426&lt;E$32,C$30,E426&lt;E$34,C$32,E426&gt;=E$34,C$34)</f>
        <v/>
      </c>
      <c r="D426" s="37">
        <f>_xlfn.IFS(E426&lt;E$24,0,E426&lt;E$25,D$24,E426&lt;E$26,D$25,E426&lt;E$27,D$26,E426&lt;E$28,D$27,E426&lt;E$29,D$28,E426&lt;E$30,D$29,E426&lt;E$31,D$30,E426&lt;E$32,D$31,E426&lt;E$33,D$32,E426&lt;E$34,D$33,E426&lt;E$35,D$34,E426&gt;=E$35,D$35)</f>
        <v/>
      </c>
      <c r="E426" s="38" t="n">
        <v>376</v>
      </c>
      <c r="F426" s="31">
        <f>E426/52</f>
        <v/>
      </c>
      <c r="G426" s="39">
        <f>D426/1000000*52</f>
        <v/>
      </c>
      <c r="H426" s="33">
        <f>G426/$P$4+($C$22/$P$4)</f>
        <v/>
      </c>
      <c r="I426" s="36">
        <f>_xlfn.IFS(K426&lt;K$24,0,K426&lt;K$26,I$24,K426&lt;K$28,I$26,K426&lt;K$30,I$28,K426&lt;K$32,I$30,K426&lt;K$34,I$32,K426&lt;K$36,I$34,K426&lt;K$38,I$36,K426&lt;K$40,I$38,K426&lt;K$42,I$40,K426&lt;K$44,I$42,K426&lt;K$46,I$44,K426&gt;=K$46,I$46)</f>
        <v/>
      </c>
      <c r="J426" s="37">
        <f>_xlfn.IFS(K426&lt;K$24,0,K426&lt;K$25,J$24,K426&lt;K$26,J$25,K426&lt;K$27,J$26,K426&lt;K$28,J$27,K426&lt;K$29,J$28,K426&lt;K$30,J$29,K426&lt;K$31,J$30,K426&lt;K$32,J$31,K426&lt;K$33,J$32,K426&lt;K$34,J$33,K426&lt;K$35,J$34,K426&lt;K$36,J$35,K426&lt;K$37,J$36,K426&lt;K$38,J$37,K426&lt;K$39,J$38,K426&lt;K$40,J$39,K426&lt;K$41,J$40,K426&lt;K$42,J$41,K426&lt;K$43,J$42,K426&lt;K$44,J$43,K426&lt;K$45,J$44,K426&lt;K$46,J$45,K426&lt;K$47,J$46,K426&gt;=K$47,J$47)</f>
        <v/>
      </c>
      <c r="K426" s="38" t="n">
        <v>376</v>
      </c>
      <c r="L426" s="31">
        <f>K426/52</f>
        <v/>
      </c>
      <c r="M426" s="39">
        <f>J426/1000000*52</f>
        <v/>
      </c>
      <c r="N426" s="33">
        <f>M426/$P$4+($I$22/$P$4)</f>
        <v/>
      </c>
      <c r="U426">
        <f>F425</f>
        <v/>
      </c>
      <c r="V426">
        <f>H425</f>
        <v/>
      </c>
      <c r="W426">
        <f>N425</f>
        <v/>
      </c>
    </row>
    <row r="427" ht="15.75" customHeight="1" s="40">
      <c r="C427" s="36">
        <f>_xlfn.IFS(E427&lt;E$24,0,E427&lt;E$26,C$24,E427&lt;E$28,C$26,E427&lt;E$30,C$28,E427&lt;E$32,C$30,E427&lt;E$34,C$32,E427&gt;=E$34,C$34)</f>
        <v/>
      </c>
      <c r="D427" s="37">
        <f>_xlfn.IFS(E427&lt;E$24,0,E427&lt;E$25,D$24,E427&lt;E$26,D$25,E427&lt;E$27,D$26,E427&lt;E$28,D$27,E427&lt;E$29,D$28,E427&lt;E$30,D$29,E427&lt;E$31,D$30,E427&lt;E$32,D$31,E427&lt;E$33,D$32,E427&lt;E$34,D$33,E427&lt;E$35,D$34,E427&gt;=E$35,D$35)</f>
        <v/>
      </c>
      <c r="E427" s="38" t="n">
        <v>377</v>
      </c>
      <c r="F427" s="31">
        <f>E427/52</f>
        <v/>
      </c>
      <c r="G427" s="39">
        <f>D427/1000000*52</f>
        <v/>
      </c>
      <c r="H427" s="33">
        <f>G427/$P$4+($C$22/$P$4)</f>
        <v/>
      </c>
      <c r="I427" s="36">
        <f>_xlfn.IFS(K427&lt;K$24,0,K427&lt;K$26,I$24,K427&lt;K$28,I$26,K427&lt;K$30,I$28,K427&lt;K$32,I$30,K427&lt;K$34,I$32,K427&lt;K$36,I$34,K427&lt;K$38,I$36,K427&lt;K$40,I$38,K427&lt;K$42,I$40,K427&lt;K$44,I$42,K427&lt;K$46,I$44,K427&gt;=K$46,I$46)</f>
        <v/>
      </c>
      <c r="J427" s="37">
        <f>_xlfn.IFS(K427&lt;K$24,0,K427&lt;K$25,J$24,K427&lt;K$26,J$25,K427&lt;K$27,J$26,K427&lt;K$28,J$27,K427&lt;K$29,J$28,K427&lt;K$30,J$29,K427&lt;K$31,J$30,K427&lt;K$32,J$31,K427&lt;K$33,J$32,K427&lt;K$34,J$33,K427&lt;K$35,J$34,K427&lt;K$36,J$35,K427&lt;K$37,J$36,K427&lt;K$38,J$37,K427&lt;K$39,J$38,K427&lt;K$40,J$39,K427&lt;K$41,J$40,K427&lt;K$42,J$41,K427&lt;K$43,J$42,K427&lt;K$44,J$43,K427&lt;K$45,J$44,K427&lt;K$46,J$45,K427&lt;K$47,J$46,K427&gt;=K$47,J$47)</f>
        <v/>
      </c>
      <c r="K427" s="38" t="n">
        <v>377</v>
      </c>
      <c r="L427" s="31">
        <f>K427/52</f>
        <v/>
      </c>
      <c r="M427" s="39">
        <f>J427/1000000*52</f>
        <v/>
      </c>
      <c r="N427" s="33">
        <f>M427/$P$4+($I$22/$P$4)</f>
        <v/>
      </c>
      <c r="U427">
        <f>F426</f>
        <v/>
      </c>
      <c r="V427">
        <f>H426</f>
        <v/>
      </c>
      <c r="W427">
        <f>N426</f>
        <v/>
      </c>
    </row>
    <row r="428" ht="15.75" customHeight="1" s="40">
      <c r="C428" s="36">
        <f>_xlfn.IFS(E428&lt;E$24,0,E428&lt;E$26,C$24,E428&lt;E$28,C$26,E428&lt;E$30,C$28,E428&lt;E$32,C$30,E428&lt;E$34,C$32,E428&gt;=E$34,C$34)</f>
        <v/>
      </c>
      <c r="D428" s="37">
        <f>_xlfn.IFS(E428&lt;E$24,0,E428&lt;E$25,D$24,E428&lt;E$26,D$25,E428&lt;E$27,D$26,E428&lt;E$28,D$27,E428&lt;E$29,D$28,E428&lt;E$30,D$29,E428&lt;E$31,D$30,E428&lt;E$32,D$31,E428&lt;E$33,D$32,E428&lt;E$34,D$33,E428&lt;E$35,D$34,E428&gt;=E$35,D$35)</f>
        <v/>
      </c>
      <c r="E428" s="38" t="n">
        <v>378</v>
      </c>
      <c r="F428" s="31">
        <f>E428/52</f>
        <v/>
      </c>
      <c r="G428" s="39">
        <f>D428/1000000*52</f>
        <v/>
      </c>
      <c r="H428" s="33">
        <f>G428/$P$4+($C$22/$P$4)</f>
        <v/>
      </c>
      <c r="I428" s="36">
        <f>_xlfn.IFS(K428&lt;K$24,0,K428&lt;K$26,I$24,K428&lt;K$28,I$26,K428&lt;K$30,I$28,K428&lt;K$32,I$30,K428&lt;K$34,I$32,K428&lt;K$36,I$34,K428&lt;K$38,I$36,K428&lt;K$40,I$38,K428&lt;K$42,I$40,K428&lt;K$44,I$42,K428&lt;K$46,I$44,K428&gt;=K$46,I$46)</f>
        <v/>
      </c>
      <c r="J428" s="37">
        <f>_xlfn.IFS(K428&lt;K$24,0,K428&lt;K$25,J$24,K428&lt;K$26,J$25,K428&lt;K$27,J$26,K428&lt;K$28,J$27,K428&lt;K$29,J$28,K428&lt;K$30,J$29,K428&lt;K$31,J$30,K428&lt;K$32,J$31,K428&lt;K$33,J$32,K428&lt;K$34,J$33,K428&lt;K$35,J$34,K428&lt;K$36,J$35,K428&lt;K$37,J$36,K428&lt;K$38,J$37,K428&lt;K$39,J$38,K428&lt;K$40,J$39,K428&lt;K$41,J$40,K428&lt;K$42,J$41,K428&lt;K$43,J$42,K428&lt;K$44,J$43,K428&lt;K$45,J$44,K428&lt;K$46,J$45,K428&lt;K$47,J$46,K428&gt;=K$47,J$47)</f>
        <v/>
      </c>
      <c r="K428" s="38" t="n">
        <v>378</v>
      </c>
      <c r="L428" s="31">
        <f>K428/52</f>
        <v/>
      </c>
      <c r="M428" s="39">
        <f>J428/1000000*52</f>
        <v/>
      </c>
      <c r="N428" s="33">
        <f>M428/$P$4+($I$22/$P$4)</f>
        <v/>
      </c>
      <c r="U428">
        <f>F427</f>
        <v/>
      </c>
      <c r="V428">
        <f>H427</f>
        <v/>
      </c>
      <c r="W428">
        <f>N427</f>
        <v/>
      </c>
    </row>
    <row r="429" ht="15.75" customHeight="1" s="40">
      <c r="C429" s="36">
        <f>_xlfn.IFS(E429&lt;E$24,0,E429&lt;E$26,C$24,E429&lt;E$28,C$26,E429&lt;E$30,C$28,E429&lt;E$32,C$30,E429&lt;E$34,C$32,E429&gt;=E$34,C$34)</f>
        <v/>
      </c>
      <c r="D429" s="37">
        <f>_xlfn.IFS(E429&lt;E$24,0,E429&lt;E$25,D$24,E429&lt;E$26,D$25,E429&lt;E$27,D$26,E429&lt;E$28,D$27,E429&lt;E$29,D$28,E429&lt;E$30,D$29,E429&lt;E$31,D$30,E429&lt;E$32,D$31,E429&lt;E$33,D$32,E429&lt;E$34,D$33,E429&lt;E$35,D$34,E429&gt;=E$35,D$35)</f>
        <v/>
      </c>
      <c r="E429" s="38" t="n">
        <v>379</v>
      </c>
      <c r="F429" s="31">
        <f>E429/52</f>
        <v/>
      </c>
      <c r="G429" s="39">
        <f>D429/1000000*52</f>
        <v/>
      </c>
      <c r="H429" s="33">
        <f>G429/$P$4+($C$22/$P$4)</f>
        <v/>
      </c>
      <c r="I429" s="36">
        <f>_xlfn.IFS(K429&lt;K$24,0,K429&lt;K$26,I$24,K429&lt;K$28,I$26,K429&lt;K$30,I$28,K429&lt;K$32,I$30,K429&lt;K$34,I$32,K429&lt;K$36,I$34,K429&lt;K$38,I$36,K429&lt;K$40,I$38,K429&lt;K$42,I$40,K429&lt;K$44,I$42,K429&lt;K$46,I$44,K429&gt;=K$46,I$46)</f>
        <v/>
      </c>
      <c r="J429" s="37">
        <f>_xlfn.IFS(K429&lt;K$24,0,K429&lt;K$25,J$24,K429&lt;K$26,J$25,K429&lt;K$27,J$26,K429&lt;K$28,J$27,K429&lt;K$29,J$28,K429&lt;K$30,J$29,K429&lt;K$31,J$30,K429&lt;K$32,J$31,K429&lt;K$33,J$32,K429&lt;K$34,J$33,K429&lt;K$35,J$34,K429&lt;K$36,J$35,K429&lt;K$37,J$36,K429&lt;K$38,J$37,K429&lt;K$39,J$38,K429&lt;K$40,J$39,K429&lt;K$41,J$40,K429&lt;K$42,J$41,K429&lt;K$43,J$42,K429&lt;K$44,J$43,K429&lt;K$45,J$44,K429&lt;K$46,J$45,K429&lt;K$47,J$46,K429&gt;=K$47,J$47)</f>
        <v/>
      </c>
      <c r="K429" s="38" t="n">
        <v>379</v>
      </c>
      <c r="L429" s="31">
        <f>K429/52</f>
        <v/>
      </c>
      <c r="M429" s="39">
        <f>J429/1000000*52</f>
        <v/>
      </c>
      <c r="N429" s="33">
        <f>M429/$P$4+($I$22/$P$4)</f>
        <v/>
      </c>
      <c r="U429">
        <f>F428</f>
        <v/>
      </c>
      <c r="V429">
        <f>H428</f>
        <v/>
      </c>
      <c r="W429">
        <f>N428</f>
        <v/>
      </c>
    </row>
    <row r="430" ht="15.75" customHeight="1" s="40">
      <c r="C430" s="36">
        <f>_xlfn.IFS(E430&lt;E$24,0,E430&lt;E$26,C$24,E430&lt;E$28,C$26,E430&lt;E$30,C$28,E430&lt;E$32,C$30,E430&lt;E$34,C$32,E430&gt;=E$34,C$34)</f>
        <v/>
      </c>
      <c r="D430" s="37">
        <f>_xlfn.IFS(E430&lt;E$24,0,E430&lt;E$25,D$24,E430&lt;E$26,D$25,E430&lt;E$27,D$26,E430&lt;E$28,D$27,E430&lt;E$29,D$28,E430&lt;E$30,D$29,E430&lt;E$31,D$30,E430&lt;E$32,D$31,E430&lt;E$33,D$32,E430&lt;E$34,D$33,E430&lt;E$35,D$34,E430&gt;=E$35,D$35)</f>
        <v/>
      </c>
      <c r="E430" s="38" t="n">
        <v>380</v>
      </c>
      <c r="F430" s="31">
        <f>E430/52</f>
        <v/>
      </c>
      <c r="G430" s="39">
        <f>D430/1000000*52</f>
        <v/>
      </c>
      <c r="H430" s="33">
        <f>G430/$P$4+($C$22/$P$4)</f>
        <v/>
      </c>
      <c r="I430" s="36">
        <f>_xlfn.IFS(K430&lt;K$24,0,K430&lt;K$26,I$24,K430&lt;K$28,I$26,K430&lt;K$30,I$28,K430&lt;K$32,I$30,K430&lt;K$34,I$32,K430&lt;K$36,I$34,K430&lt;K$38,I$36,K430&lt;K$40,I$38,K430&lt;K$42,I$40,K430&lt;K$44,I$42,K430&lt;K$46,I$44,K430&gt;=K$46,I$46)</f>
        <v/>
      </c>
      <c r="J430" s="37">
        <f>_xlfn.IFS(K430&lt;K$24,0,K430&lt;K$25,J$24,K430&lt;K$26,J$25,K430&lt;K$27,J$26,K430&lt;K$28,J$27,K430&lt;K$29,J$28,K430&lt;K$30,J$29,K430&lt;K$31,J$30,K430&lt;K$32,J$31,K430&lt;K$33,J$32,K430&lt;K$34,J$33,K430&lt;K$35,J$34,K430&lt;K$36,J$35,K430&lt;K$37,J$36,K430&lt;K$38,J$37,K430&lt;K$39,J$38,K430&lt;K$40,J$39,K430&lt;K$41,J$40,K430&lt;K$42,J$41,K430&lt;K$43,J$42,K430&lt;K$44,J$43,K430&lt;K$45,J$44,K430&lt;K$46,J$45,K430&lt;K$47,J$46,K430&gt;=K$47,J$47)</f>
        <v/>
      </c>
      <c r="K430" s="38" t="n">
        <v>380</v>
      </c>
      <c r="L430" s="31">
        <f>K430/52</f>
        <v/>
      </c>
      <c r="M430" s="39">
        <f>J430/1000000*52</f>
        <v/>
      </c>
      <c r="N430" s="33">
        <f>M430/$P$4+($I$22/$P$4)</f>
        <v/>
      </c>
      <c r="U430">
        <f>F429</f>
        <v/>
      </c>
      <c r="V430">
        <f>H429</f>
        <v/>
      </c>
      <c r="W430">
        <f>N429</f>
        <v/>
      </c>
    </row>
    <row r="431" ht="15.75" customHeight="1" s="40">
      <c r="C431" s="36">
        <f>_xlfn.IFS(E431&lt;E$24,0,E431&lt;E$26,C$24,E431&lt;E$28,C$26,E431&lt;E$30,C$28,E431&lt;E$32,C$30,E431&lt;E$34,C$32,E431&gt;=E$34,C$34)</f>
        <v/>
      </c>
      <c r="D431" s="37">
        <f>_xlfn.IFS(E431&lt;E$24,0,E431&lt;E$25,D$24,E431&lt;E$26,D$25,E431&lt;E$27,D$26,E431&lt;E$28,D$27,E431&lt;E$29,D$28,E431&lt;E$30,D$29,E431&lt;E$31,D$30,E431&lt;E$32,D$31,E431&lt;E$33,D$32,E431&lt;E$34,D$33,E431&lt;E$35,D$34,E431&gt;=E$35,D$35)</f>
        <v/>
      </c>
      <c r="E431" s="38" t="n">
        <v>381</v>
      </c>
      <c r="F431" s="31">
        <f>E431/52</f>
        <v/>
      </c>
      <c r="G431" s="39">
        <f>D431/1000000*52</f>
        <v/>
      </c>
      <c r="H431" s="33">
        <f>G431/$P$4+($C$22/$P$4)</f>
        <v/>
      </c>
      <c r="I431" s="36">
        <f>_xlfn.IFS(K431&lt;K$24,0,K431&lt;K$26,I$24,K431&lt;K$28,I$26,K431&lt;K$30,I$28,K431&lt;K$32,I$30,K431&lt;K$34,I$32,K431&lt;K$36,I$34,K431&lt;K$38,I$36,K431&lt;K$40,I$38,K431&lt;K$42,I$40,K431&lt;K$44,I$42,K431&lt;K$46,I$44,K431&gt;=K$46,I$46)</f>
        <v/>
      </c>
      <c r="J431" s="37">
        <f>_xlfn.IFS(K431&lt;K$24,0,K431&lt;K$25,J$24,K431&lt;K$26,J$25,K431&lt;K$27,J$26,K431&lt;K$28,J$27,K431&lt;K$29,J$28,K431&lt;K$30,J$29,K431&lt;K$31,J$30,K431&lt;K$32,J$31,K431&lt;K$33,J$32,K431&lt;K$34,J$33,K431&lt;K$35,J$34,K431&lt;K$36,J$35,K431&lt;K$37,J$36,K431&lt;K$38,J$37,K431&lt;K$39,J$38,K431&lt;K$40,J$39,K431&lt;K$41,J$40,K431&lt;K$42,J$41,K431&lt;K$43,J$42,K431&lt;K$44,J$43,K431&lt;K$45,J$44,K431&lt;K$46,J$45,K431&lt;K$47,J$46,K431&gt;=K$47,J$47)</f>
        <v/>
      </c>
      <c r="K431" s="38" t="n">
        <v>381</v>
      </c>
      <c r="L431" s="31">
        <f>K431/52</f>
        <v/>
      </c>
      <c r="M431" s="39">
        <f>J431/1000000*52</f>
        <v/>
      </c>
      <c r="N431" s="33">
        <f>M431/$P$4+($I$22/$P$4)</f>
        <v/>
      </c>
      <c r="U431">
        <f>F430</f>
        <v/>
      </c>
      <c r="V431">
        <f>H430</f>
        <v/>
      </c>
      <c r="W431">
        <f>N430</f>
        <v/>
      </c>
    </row>
    <row r="432" ht="15.75" customHeight="1" s="40">
      <c r="C432" s="36">
        <f>_xlfn.IFS(E432&lt;E$24,0,E432&lt;E$26,C$24,E432&lt;E$28,C$26,E432&lt;E$30,C$28,E432&lt;E$32,C$30,E432&lt;E$34,C$32,E432&gt;=E$34,C$34)</f>
        <v/>
      </c>
      <c r="D432" s="37">
        <f>_xlfn.IFS(E432&lt;E$24,0,E432&lt;E$25,D$24,E432&lt;E$26,D$25,E432&lt;E$27,D$26,E432&lt;E$28,D$27,E432&lt;E$29,D$28,E432&lt;E$30,D$29,E432&lt;E$31,D$30,E432&lt;E$32,D$31,E432&lt;E$33,D$32,E432&lt;E$34,D$33,E432&lt;E$35,D$34,E432&gt;=E$35,D$35)</f>
        <v/>
      </c>
      <c r="E432" s="38" t="n">
        <v>382</v>
      </c>
      <c r="F432" s="31">
        <f>E432/52</f>
        <v/>
      </c>
      <c r="G432" s="39">
        <f>D432/1000000*52</f>
        <v/>
      </c>
      <c r="H432" s="33">
        <f>G432/$P$4+($C$22/$P$4)</f>
        <v/>
      </c>
      <c r="I432" s="36">
        <f>_xlfn.IFS(K432&lt;K$24,0,K432&lt;K$26,I$24,K432&lt;K$28,I$26,K432&lt;K$30,I$28,K432&lt;K$32,I$30,K432&lt;K$34,I$32,K432&lt;K$36,I$34,K432&lt;K$38,I$36,K432&lt;K$40,I$38,K432&lt;K$42,I$40,K432&lt;K$44,I$42,K432&lt;K$46,I$44,K432&gt;=K$46,I$46)</f>
        <v/>
      </c>
      <c r="J432" s="37">
        <f>_xlfn.IFS(K432&lt;K$24,0,K432&lt;K$25,J$24,K432&lt;K$26,J$25,K432&lt;K$27,J$26,K432&lt;K$28,J$27,K432&lt;K$29,J$28,K432&lt;K$30,J$29,K432&lt;K$31,J$30,K432&lt;K$32,J$31,K432&lt;K$33,J$32,K432&lt;K$34,J$33,K432&lt;K$35,J$34,K432&lt;K$36,J$35,K432&lt;K$37,J$36,K432&lt;K$38,J$37,K432&lt;K$39,J$38,K432&lt;K$40,J$39,K432&lt;K$41,J$40,K432&lt;K$42,J$41,K432&lt;K$43,J$42,K432&lt;K$44,J$43,K432&lt;K$45,J$44,K432&lt;K$46,J$45,K432&lt;K$47,J$46,K432&gt;=K$47,J$47)</f>
        <v/>
      </c>
      <c r="K432" s="38" t="n">
        <v>382</v>
      </c>
      <c r="L432" s="31">
        <f>K432/52</f>
        <v/>
      </c>
      <c r="M432" s="39">
        <f>J432/1000000*52</f>
        <v/>
      </c>
      <c r="N432" s="33">
        <f>M432/$P$4+($I$22/$P$4)</f>
        <v/>
      </c>
      <c r="U432">
        <f>F431</f>
        <v/>
      </c>
      <c r="V432">
        <f>H431</f>
        <v/>
      </c>
      <c r="W432">
        <f>N431</f>
        <v/>
      </c>
    </row>
    <row r="433" ht="15.75" customHeight="1" s="40">
      <c r="C433" s="36">
        <f>_xlfn.IFS(E433&lt;E$24,0,E433&lt;E$26,C$24,E433&lt;E$28,C$26,E433&lt;E$30,C$28,E433&lt;E$32,C$30,E433&lt;E$34,C$32,E433&gt;=E$34,C$34)</f>
        <v/>
      </c>
      <c r="D433" s="37">
        <f>_xlfn.IFS(E433&lt;E$24,0,E433&lt;E$25,D$24,E433&lt;E$26,D$25,E433&lt;E$27,D$26,E433&lt;E$28,D$27,E433&lt;E$29,D$28,E433&lt;E$30,D$29,E433&lt;E$31,D$30,E433&lt;E$32,D$31,E433&lt;E$33,D$32,E433&lt;E$34,D$33,E433&lt;E$35,D$34,E433&gt;=E$35,D$35)</f>
        <v/>
      </c>
      <c r="E433" s="38" t="n">
        <v>383</v>
      </c>
      <c r="F433" s="31">
        <f>E433/52</f>
        <v/>
      </c>
      <c r="G433" s="39">
        <f>D433/1000000*52</f>
        <v/>
      </c>
      <c r="H433" s="33">
        <f>G433/$P$4+($C$22/$P$4)</f>
        <v/>
      </c>
      <c r="I433" s="36">
        <f>_xlfn.IFS(K433&lt;K$24,0,K433&lt;K$26,I$24,K433&lt;K$28,I$26,K433&lt;K$30,I$28,K433&lt;K$32,I$30,K433&lt;K$34,I$32,K433&lt;K$36,I$34,K433&lt;K$38,I$36,K433&lt;K$40,I$38,K433&lt;K$42,I$40,K433&lt;K$44,I$42,K433&lt;K$46,I$44,K433&gt;=K$46,I$46)</f>
        <v/>
      </c>
      <c r="J433" s="37">
        <f>_xlfn.IFS(K433&lt;K$24,0,K433&lt;K$25,J$24,K433&lt;K$26,J$25,K433&lt;K$27,J$26,K433&lt;K$28,J$27,K433&lt;K$29,J$28,K433&lt;K$30,J$29,K433&lt;K$31,J$30,K433&lt;K$32,J$31,K433&lt;K$33,J$32,K433&lt;K$34,J$33,K433&lt;K$35,J$34,K433&lt;K$36,J$35,K433&lt;K$37,J$36,K433&lt;K$38,J$37,K433&lt;K$39,J$38,K433&lt;K$40,J$39,K433&lt;K$41,J$40,K433&lt;K$42,J$41,K433&lt;K$43,J$42,K433&lt;K$44,J$43,K433&lt;K$45,J$44,K433&lt;K$46,J$45,K433&lt;K$47,J$46,K433&gt;=K$47,J$47)</f>
        <v/>
      </c>
      <c r="K433" s="38" t="n">
        <v>383</v>
      </c>
      <c r="L433" s="31">
        <f>K433/52</f>
        <v/>
      </c>
      <c r="M433" s="39">
        <f>J433/1000000*52</f>
        <v/>
      </c>
      <c r="N433" s="33">
        <f>M433/$P$4+($I$22/$P$4)</f>
        <v/>
      </c>
      <c r="U433">
        <f>F432</f>
        <v/>
      </c>
      <c r="V433">
        <f>H432</f>
        <v/>
      </c>
      <c r="W433">
        <f>N432</f>
        <v/>
      </c>
    </row>
    <row r="434" ht="15.75" customHeight="1" s="40">
      <c r="C434" s="36">
        <f>_xlfn.IFS(E434&lt;E$24,0,E434&lt;E$26,C$24,E434&lt;E$28,C$26,E434&lt;E$30,C$28,E434&lt;E$32,C$30,E434&lt;E$34,C$32,E434&gt;=E$34,C$34)</f>
        <v/>
      </c>
      <c r="D434" s="37">
        <f>_xlfn.IFS(E434&lt;E$24,0,E434&lt;E$25,D$24,E434&lt;E$26,D$25,E434&lt;E$27,D$26,E434&lt;E$28,D$27,E434&lt;E$29,D$28,E434&lt;E$30,D$29,E434&lt;E$31,D$30,E434&lt;E$32,D$31,E434&lt;E$33,D$32,E434&lt;E$34,D$33,E434&lt;E$35,D$34,E434&gt;=E$35,D$35)</f>
        <v/>
      </c>
      <c r="E434" s="38" t="n">
        <v>384</v>
      </c>
      <c r="F434" s="31">
        <f>E434/52</f>
        <v/>
      </c>
      <c r="G434" s="39">
        <f>D434/1000000*52</f>
        <v/>
      </c>
      <c r="H434" s="33">
        <f>G434/$P$4+($C$22/$P$4)</f>
        <v/>
      </c>
      <c r="I434" s="36">
        <f>_xlfn.IFS(K434&lt;K$24,0,K434&lt;K$26,I$24,K434&lt;K$28,I$26,K434&lt;K$30,I$28,K434&lt;K$32,I$30,K434&lt;K$34,I$32,K434&lt;K$36,I$34,K434&lt;K$38,I$36,K434&lt;K$40,I$38,K434&lt;K$42,I$40,K434&lt;K$44,I$42,K434&lt;K$46,I$44,K434&gt;=K$46,I$46)</f>
        <v/>
      </c>
      <c r="J434" s="37">
        <f>_xlfn.IFS(K434&lt;K$24,0,K434&lt;K$25,J$24,K434&lt;K$26,J$25,K434&lt;K$27,J$26,K434&lt;K$28,J$27,K434&lt;K$29,J$28,K434&lt;K$30,J$29,K434&lt;K$31,J$30,K434&lt;K$32,J$31,K434&lt;K$33,J$32,K434&lt;K$34,J$33,K434&lt;K$35,J$34,K434&lt;K$36,J$35,K434&lt;K$37,J$36,K434&lt;K$38,J$37,K434&lt;K$39,J$38,K434&lt;K$40,J$39,K434&lt;K$41,J$40,K434&lt;K$42,J$41,K434&lt;K$43,J$42,K434&lt;K$44,J$43,K434&lt;K$45,J$44,K434&lt;K$46,J$45,K434&lt;K$47,J$46,K434&gt;=K$47,J$47)</f>
        <v/>
      </c>
      <c r="K434" s="38" t="n">
        <v>384</v>
      </c>
      <c r="L434" s="31">
        <f>K434/52</f>
        <v/>
      </c>
      <c r="M434" s="39">
        <f>J434/1000000*52</f>
        <v/>
      </c>
      <c r="N434" s="33">
        <f>M434/$P$4+($I$22/$P$4)</f>
        <v/>
      </c>
      <c r="U434">
        <f>F433</f>
        <v/>
      </c>
      <c r="V434">
        <f>H433</f>
        <v/>
      </c>
      <c r="W434">
        <f>N433</f>
        <v/>
      </c>
    </row>
    <row r="435" ht="15.75" customHeight="1" s="40">
      <c r="C435" s="36">
        <f>_xlfn.IFS(E435&lt;E$24,0,E435&lt;E$26,C$24,E435&lt;E$28,C$26,E435&lt;E$30,C$28,E435&lt;E$32,C$30,E435&lt;E$34,C$32,E435&gt;=E$34,C$34)</f>
        <v/>
      </c>
      <c r="D435" s="37">
        <f>_xlfn.IFS(E435&lt;E$24,0,E435&lt;E$25,D$24,E435&lt;E$26,D$25,E435&lt;E$27,D$26,E435&lt;E$28,D$27,E435&lt;E$29,D$28,E435&lt;E$30,D$29,E435&lt;E$31,D$30,E435&lt;E$32,D$31,E435&lt;E$33,D$32,E435&lt;E$34,D$33,E435&lt;E$35,D$34,E435&gt;=E$35,D$35)</f>
        <v/>
      </c>
      <c r="E435" s="38" t="n">
        <v>385</v>
      </c>
      <c r="F435" s="31">
        <f>E435/52</f>
        <v/>
      </c>
      <c r="G435" s="39">
        <f>D435/1000000*52</f>
        <v/>
      </c>
      <c r="H435" s="33">
        <f>G435/$P$4+($C$22/$P$4)</f>
        <v/>
      </c>
      <c r="I435" s="36">
        <f>_xlfn.IFS(K435&lt;K$24,0,K435&lt;K$26,I$24,K435&lt;K$28,I$26,K435&lt;K$30,I$28,K435&lt;K$32,I$30,K435&lt;K$34,I$32,K435&lt;K$36,I$34,K435&lt;K$38,I$36,K435&lt;K$40,I$38,K435&lt;K$42,I$40,K435&lt;K$44,I$42,K435&lt;K$46,I$44,K435&gt;=K$46,I$46)</f>
        <v/>
      </c>
      <c r="J435" s="37">
        <f>_xlfn.IFS(K435&lt;K$24,0,K435&lt;K$25,J$24,K435&lt;K$26,J$25,K435&lt;K$27,J$26,K435&lt;K$28,J$27,K435&lt;K$29,J$28,K435&lt;K$30,J$29,K435&lt;K$31,J$30,K435&lt;K$32,J$31,K435&lt;K$33,J$32,K435&lt;K$34,J$33,K435&lt;K$35,J$34,K435&lt;K$36,J$35,K435&lt;K$37,J$36,K435&lt;K$38,J$37,K435&lt;K$39,J$38,K435&lt;K$40,J$39,K435&lt;K$41,J$40,K435&lt;K$42,J$41,K435&lt;K$43,J$42,K435&lt;K$44,J$43,K435&lt;K$45,J$44,K435&lt;K$46,J$45,K435&lt;K$47,J$46,K435&gt;=K$47,J$47)</f>
        <v/>
      </c>
      <c r="K435" s="38" t="n">
        <v>385</v>
      </c>
      <c r="L435" s="31">
        <f>K435/52</f>
        <v/>
      </c>
      <c r="M435" s="39">
        <f>J435/1000000*52</f>
        <v/>
      </c>
      <c r="N435" s="33">
        <f>M435/$P$4+($I$22/$P$4)</f>
        <v/>
      </c>
      <c r="U435">
        <f>F434</f>
        <v/>
      </c>
      <c r="V435">
        <f>H434</f>
        <v/>
      </c>
      <c r="W435">
        <f>N434</f>
        <v/>
      </c>
    </row>
    <row r="436" ht="15.75" customHeight="1" s="40">
      <c r="C436" s="36">
        <f>_xlfn.IFS(E436&lt;E$24,0,E436&lt;E$26,C$24,E436&lt;E$28,C$26,E436&lt;E$30,C$28,E436&lt;E$32,C$30,E436&lt;E$34,C$32,E436&gt;=E$34,C$34)</f>
        <v/>
      </c>
      <c r="D436" s="37">
        <f>_xlfn.IFS(E436&lt;E$24,0,E436&lt;E$25,D$24,E436&lt;E$26,D$25,E436&lt;E$27,D$26,E436&lt;E$28,D$27,E436&lt;E$29,D$28,E436&lt;E$30,D$29,E436&lt;E$31,D$30,E436&lt;E$32,D$31,E436&lt;E$33,D$32,E436&lt;E$34,D$33,E436&lt;E$35,D$34,E436&gt;=E$35,D$35)</f>
        <v/>
      </c>
      <c r="E436" s="38" t="n">
        <v>386</v>
      </c>
      <c r="F436" s="31">
        <f>E436/52</f>
        <v/>
      </c>
      <c r="G436" s="39">
        <f>D436/1000000*52</f>
        <v/>
      </c>
      <c r="H436" s="33">
        <f>G436/$P$4+($C$22/$P$4)</f>
        <v/>
      </c>
      <c r="I436" s="36">
        <f>_xlfn.IFS(K436&lt;K$24,0,K436&lt;K$26,I$24,K436&lt;K$28,I$26,K436&lt;K$30,I$28,K436&lt;K$32,I$30,K436&lt;K$34,I$32,K436&lt;K$36,I$34,K436&lt;K$38,I$36,K436&lt;K$40,I$38,K436&lt;K$42,I$40,K436&lt;K$44,I$42,K436&lt;K$46,I$44,K436&gt;=K$46,I$46)</f>
        <v/>
      </c>
      <c r="J436" s="37">
        <f>_xlfn.IFS(K436&lt;K$24,0,K436&lt;K$25,J$24,K436&lt;K$26,J$25,K436&lt;K$27,J$26,K436&lt;K$28,J$27,K436&lt;K$29,J$28,K436&lt;K$30,J$29,K436&lt;K$31,J$30,K436&lt;K$32,J$31,K436&lt;K$33,J$32,K436&lt;K$34,J$33,K436&lt;K$35,J$34,K436&lt;K$36,J$35,K436&lt;K$37,J$36,K436&lt;K$38,J$37,K436&lt;K$39,J$38,K436&lt;K$40,J$39,K436&lt;K$41,J$40,K436&lt;K$42,J$41,K436&lt;K$43,J$42,K436&lt;K$44,J$43,K436&lt;K$45,J$44,K436&lt;K$46,J$45,K436&lt;K$47,J$46,K436&gt;=K$47,J$47)</f>
        <v/>
      </c>
      <c r="K436" s="38" t="n">
        <v>386</v>
      </c>
      <c r="L436" s="31">
        <f>K436/52</f>
        <v/>
      </c>
      <c r="M436" s="39">
        <f>J436/1000000*52</f>
        <v/>
      </c>
      <c r="N436" s="33">
        <f>M436/$P$4+($I$22/$P$4)</f>
        <v/>
      </c>
      <c r="U436">
        <f>F435</f>
        <v/>
      </c>
      <c r="V436">
        <f>H435</f>
        <v/>
      </c>
      <c r="W436">
        <f>N435</f>
        <v/>
      </c>
    </row>
    <row r="437" ht="15.75" customHeight="1" s="40">
      <c r="C437" s="36">
        <f>_xlfn.IFS(E437&lt;E$24,0,E437&lt;E$26,C$24,E437&lt;E$28,C$26,E437&lt;E$30,C$28,E437&lt;E$32,C$30,E437&lt;E$34,C$32,E437&gt;=E$34,C$34)</f>
        <v/>
      </c>
      <c r="D437" s="37">
        <f>_xlfn.IFS(E437&lt;E$24,0,E437&lt;E$25,D$24,E437&lt;E$26,D$25,E437&lt;E$27,D$26,E437&lt;E$28,D$27,E437&lt;E$29,D$28,E437&lt;E$30,D$29,E437&lt;E$31,D$30,E437&lt;E$32,D$31,E437&lt;E$33,D$32,E437&lt;E$34,D$33,E437&lt;E$35,D$34,E437&gt;=E$35,D$35)</f>
        <v/>
      </c>
      <c r="E437" s="38" t="n">
        <v>387</v>
      </c>
      <c r="F437" s="31">
        <f>E437/52</f>
        <v/>
      </c>
      <c r="G437" s="39">
        <f>D437/1000000*52</f>
        <v/>
      </c>
      <c r="H437" s="33">
        <f>G437/$P$4+($C$22/$P$4)</f>
        <v/>
      </c>
      <c r="I437" s="36">
        <f>_xlfn.IFS(K437&lt;K$24,0,K437&lt;K$26,I$24,K437&lt;K$28,I$26,K437&lt;K$30,I$28,K437&lt;K$32,I$30,K437&lt;K$34,I$32,K437&lt;K$36,I$34,K437&lt;K$38,I$36,K437&lt;K$40,I$38,K437&lt;K$42,I$40,K437&lt;K$44,I$42,K437&lt;K$46,I$44,K437&gt;=K$46,I$46)</f>
        <v/>
      </c>
      <c r="J437" s="37">
        <f>_xlfn.IFS(K437&lt;K$24,0,K437&lt;K$25,J$24,K437&lt;K$26,J$25,K437&lt;K$27,J$26,K437&lt;K$28,J$27,K437&lt;K$29,J$28,K437&lt;K$30,J$29,K437&lt;K$31,J$30,K437&lt;K$32,J$31,K437&lt;K$33,J$32,K437&lt;K$34,J$33,K437&lt;K$35,J$34,K437&lt;K$36,J$35,K437&lt;K$37,J$36,K437&lt;K$38,J$37,K437&lt;K$39,J$38,K437&lt;K$40,J$39,K437&lt;K$41,J$40,K437&lt;K$42,J$41,K437&lt;K$43,J$42,K437&lt;K$44,J$43,K437&lt;K$45,J$44,K437&lt;K$46,J$45,K437&lt;K$47,J$46,K437&gt;=K$47,J$47)</f>
        <v/>
      </c>
      <c r="K437" s="38" t="n">
        <v>387</v>
      </c>
      <c r="L437" s="31">
        <f>K437/52</f>
        <v/>
      </c>
      <c r="M437" s="39">
        <f>J437/1000000*52</f>
        <v/>
      </c>
      <c r="N437" s="33">
        <f>M437/$P$4+($I$22/$P$4)</f>
        <v/>
      </c>
      <c r="U437">
        <f>F436</f>
        <v/>
      </c>
      <c r="V437">
        <f>H436</f>
        <v/>
      </c>
      <c r="W437">
        <f>N436</f>
        <v/>
      </c>
    </row>
    <row r="438" ht="15.75" customHeight="1" s="40">
      <c r="C438" s="36">
        <f>_xlfn.IFS(E438&lt;E$24,0,E438&lt;E$26,C$24,E438&lt;E$28,C$26,E438&lt;E$30,C$28,E438&lt;E$32,C$30,E438&lt;E$34,C$32,E438&gt;=E$34,C$34)</f>
        <v/>
      </c>
      <c r="D438" s="37">
        <f>_xlfn.IFS(E438&lt;E$24,0,E438&lt;E$25,D$24,E438&lt;E$26,D$25,E438&lt;E$27,D$26,E438&lt;E$28,D$27,E438&lt;E$29,D$28,E438&lt;E$30,D$29,E438&lt;E$31,D$30,E438&lt;E$32,D$31,E438&lt;E$33,D$32,E438&lt;E$34,D$33,E438&lt;E$35,D$34,E438&gt;=E$35,D$35)</f>
        <v/>
      </c>
      <c r="E438" s="38" t="n">
        <v>388</v>
      </c>
      <c r="F438" s="31">
        <f>E438/52</f>
        <v/>
      </c>
      <c r="G438" s="39">
        <f>D438/1000000*52</f>
        <v/>
      </c>
      <c r="H438" s="33">
        <f>G438/$P$4+($C$22/$P$4)</f>
        <v/>
      </c>
      <c r="I438" s="36">
        <f>_xlfn.IFS(K438&lt;K$24,0,K438&lt;K$26,I$24,K438&lt;K$28,I$26,K438&lt;K$30,I$28,K438&lt;K$32,I$30,K438&lt;K$34,I$32,K438&lt;K$36,I$34,K438&lt;K$38,I$36,K438&lt;K$40,I$38,K438&lt;K$42,I$40,K438&lt;K$44,I$42,K438&lt;K$46,I$44,K438&gt;=K$46,I$46)</f>
        <v/>
      </c>
      <c r="J438" s="37">
        <f>_xlfn.IFS(K438&lt;K$24,0,K438&lt;K$25,J$24,K438&lt;K$26,J$25,K438&lt;K$27,J$26,K438&lt;K$28,J$27,K438&lt;K$29,J$28,K438&lt;K$30,J$29,K438&lt;K$31,J$30,K438&lt;K$32,J$31,K438&lt;K$33,J$32,K438&lt;K$34,J$33,K438&lt;K$35,J$34,K438&lt;K$36,J$35,K438&lt;K$37,J$36,K438&lt;K$38,J$37,K438&lt;K$39,J$38,K438&lt;K$40,J$39,K438&lt;K$41,J$40,K438&lt;K$42,J$41,K438&lt;K$43,J$42,K438&lt;K$44,J$43,K438&lt;K$45,J$44,K438&lt;K$46,J$45,K438&lt;K$47,J$46,K438&gt;=K$47,J$47)</f>
        <v/>
      </c>
      <c r="K438" s="38" t="n">
        <v>388</v>
      </c>
      <c r="L438" s="31">
        <f>K438/52</f>
        <v/>
      </c>
      <c r="M438" s="39">
        <f>J438/1000000*52</f>
        <v/>
      </c>
      <c r="N438" s="33">
        <f>M438/$P$4+($I$22/$P$4)</f>
        <v/>
      </c>
      <c r="U438">
        <f>F437</f>
        <v/>
      </c>
      <c r="V438">
        <f>H437</f>
        <v/>
      </c>
      <c r="W438">
        <f>N437</f>
        <v/>
      </c>
    </row>
    <row r="439" ht="15.75" customHeight="1" s="40">
      <c r="C439" s="36">
        <f>_xlfn.IFS(E439&lt;E$24,0,E439&lt;E$26,C$24,E439&lt;E$28,C$26,E439&lt;E$30,C$28,E439&lt;E$32,C$30,E439&lt;E$34,C$32,E439&gt;=E$34,C$34)</f>
        <v/>
      </c>
      <c r="D439" s="37">
        <f>_xlfn.IFS(E439&lt;E$24,0,E439&lt;E$25,D$24,E439&lt;E$26,D$25,E439&lt;E$27,D$26,E439&lt;E$28,D$27,E439&lt;E$29,D$28,E439&lt;E$30,D$29,E439&lt;E$31,D$30,E439&lt;E$32,D$31,E439&lt;E$33,D$32,E439&lt;E$34,D$33,E439&lt;E$35,D$34,E439&gt;=E$35,D$35)</f>
        <v/>
      </c>
      <c r="E439" s="38" t="n">
        <v>389</v>
      </c>
      <c r="F439" s="31">
        <f>E439/52</f>
        <v/>
      </c>
      <c r="G439" s="39">
        <f>D439/1000000*52</f>
        <v/>
      </c>
      <c r="H439" s="33">
        <f>G439/$P$4+($C$22/$P$4)</f>
        <v/>
      </c>
      <c r="I439" s="36">
        <f>_xlfn.IFS(K439&lt;K$24,0,K439&lt;K$26,I$24,K439&lt;K$28,I$26,K439&lt;K$30,I$28,K439&lt;K$32,I$30,K439&lt;K$34,I$32,K439&lt;K$36,I$34,K439&lt;K$38,I$36,K439&lt;K$40,I$38,K439&lt;K$42,I$40,K439&lt;K$44,I$42,K439&lt;K$46,I$44,K439&gt;=K$46,I$46)</f>
        <v/>
      </c>
      <c r="J439" s="37">
        <f>_xlfn.IFS(K439&lt;K$24,0,K439&lt;K$25,J$24,K439&lt;K$26,J$25,K439&lt;K$27,J$26,K439&lt;K$28,J$27,K439&lt;K$29,J$28,K439&lt;K$30,J$29,K439&lt;K$31,J$30,K439&lt;K$32,J$31,K439&lt;K$33,J$32,K439&lt;K$34,J$33,K439&lt;K$35,J$34,K439&lt;K$36,J$35,K439&lt;K$37,J$36,K439&lt;K$38,J$37,K439&lt;K$39,J$38,K439&lt;K$40,J$39,K439&lt;K$41,J$40,K439&lt;K$42,J$41,K439&lt;K$43,J$42,K439&lt;K$44,J$43,K439&lt;K$45,J$44,K439&lt;K$46,J$45,K439&lt;K$47,J$46,K439&gt;=K$47,J$47)</f>
        <v/>
      </c>
      <c r="K439" s="38" t="n">
        <v>389</v>
      </c>
      <c r="L439" s="31">
        <f>K439/52</f>
        <v/>
      </c>
      <c r="M439" s="39">
        <f>J439/1000000*52</f>
        <v/>
      </c>
      <c r="N439" s="33">
        <f>M439/$P$4+($I$22/$P$4)</f>
        <v/>
      </c>
      <c r="U439">
        <f>F438</f>
        <v/>
      </c>
      <c r="V439">
        <f>H438</f>
        <v/>
      </c>
      <c r="W439">
        <f>N438</f>
        <v/>
      </c>
    </row>
    <row r="440" ht="15.75" customHeight="1" s="40">
      <c r="C440" s="36">
        <f>_xlfn.IFS(E440&lt;E$24,0,E440&lt;E$26,C$24,E440&lt;E$28,C$26,E440&lt;E$30,C$28,E440&lt;E$32,C$30,E440&lt;E$34,C$32,E440&gt;=E$34,C$34)</f>
        <v/>
      </c>
      <c r="D440" s="37">
        <f>_xlfn.IFS(E440&lt;E$24,0,E440&lt;E$25,D$24,E440&lt;E$26,D$25,E440&lt;E$27,D$26,E440&lt;E$28,D$27,E440&lt;E$29,D$28,E440&lt;E$30,D$29,E440&lt;E$31,D$30,E440&lt;E$32,D$31,E440&lt;E$33,D$32,E440&lt;E$34,D$33,E440&lt;E$35,D$34,E440&gt;=E$35,D$35)</f>
        <v/>
      </c>
      <c r="E440" s="38" t="n">
        <v>390</v>
      </c>
      <c r="F440" s="31">
        <f>E440/52</f>
        <v/>
      </c>
      <c r="G440" s="39">
        <f>D440/1000000*52</f>
        <v/>
      </c>
      <c r="H440" s="33">
        <f>G440/$P$4+($C$22/$P$4)</f>
        <v/>
      </c>
      <c r="I440" s="36">
        <f>_xlfn.IFS(K440&lt;K$24,0,K440&lt;K$26,I$24,K440&lt;K$28,I$26,K440&lt;K$30,I$28,K440&lt;K$32,I$30,K440&lt;K$34,I$32,K440&lt;K$36,I$34,K440&lt;K$38,I$36,K440&lt;K$40,I$38,K440&lt;K$42,I$40,K440&lt;K$44,I$42,K440&lt;K$46,I$44,K440&gt;=K$46,I$46)</f>
        <v/>
      </c>
      <c r="J440" s="37">
        <f>_xlfn.IFS(K440&lt;K$24,0,K440&lt;K$25,J$24,K440&lt;K$26,J$25,K440&lt;K$27,J$26,K440&lt;K$28,J$27,K440&lt;K$29,J$28,K440&lt;K$30,J$29,K440&lt;K$31,J$30,K440&lt;K$32,J$31,K440&lt;K$33,J$32,K440&lt;K$34,J$33,K440&lt;K$35,J$34,K440&lt;K$36,J$35,K440&lt;K$37,J$36,K440&lt;K$38,J$37,K440&lt;K$39,J$38,K440&lt;K$40,J$39,K440&lt;K$41,J$40,K440&lt;K$42,J$41,K440&lt;K$43,J$42,K440&lt;K$44,J$43,K440&lt;K$45,J$44,K440&lt;K$46,J$45,K440&lt;K$47,J$46,K440&gt;=K$47,J$47)</f>
        <v/>
      </c>
      <c r="K440" s="38" t="n">
        <v>390</v>
      </c>
      <c r="L440" s="31">
        <f>K440/52</f>
        <v/>
      </c>
      <c r="M440" s="39">
        <f>J440/1000000*52</f>
        <v/>
      </c>
      <c r="N440" s="33">
        <f>M440/$P$4+($I$22/$P$4)</f>
        <v/>
      </c>
      <c r="U440">
        <f>F439</f>
        <v/>
      </c>
      <c r="V440">
        <f>H439</f>
        <v/>
      </c>
      <c r="W440">
        <f>N439</f>
        <v/>
      </c>
    </row>
    <row r="441" ht="15.75" customHeight="1" s="40">
      <c r="C441" s="36">
        <f>_xlfn.IFS(E441&lt;E$24,0,E441&lt;E$26,C$24,E441&lt;E$28,C$26,E441&lt;E$30,C$28,E441&lt;E$32,C$30,E441&lt;E$34,C$32,E441&gt;=E$34,C$34)</f>
        <v/>
      </c>
      <c r="D441" s="37">
        <f>_xlfn.IFS(E441&lt;E$24,0,E441&lt;E$25,D$24,E441&lt;E$26,D$25,E441&lt;E$27,D$26,E441&lt;E$28,D$27,E441&lt;E$29,D$28,E441&lt;E$30,D$29,E441&lt;E$31,D$30,E441&lt;E$32,D$31,E441&lt;E$33,D$32,E441&lt;E$34,D$33,E441&lt;E$35,D$34,E441&gt;=E$35,D$35)</f>
        <v/>
      </c>
      <c r="E441" s="38" t="n">
        <v>391</v>
      </c>
      <c r="F441" s="31">
        <f>E441/52</f>
        <v/>
      </c>
      <c r="G441" s="39">
        <f>D441/1000000*52</f>
        <v/>
      </c>
      <c r="H441" s="33">
        <f>G441/$P$4+($C$22/$P$4)</f>
        <v/>
      </c>
      <c r="I441" s="36">
        <f>_xlfn.IFS(K441&lt;K$24,0,K441&lt;K$26,I$24,K441&lt;K$28,I$26,K441&lt;K$30,I$28,K441&lt;K$32,I$30,K441&lt;K$34,I$32,K441&lt;K$36,I$34,K441&lt;K$38,I$36,K441&lt;K$40,I$38,K441&lt;K$42,I$40,K441&lt;K$44,I$42,K441&lt;K$46,I$44,K441&gt;=K$46,I$46)</f>
        <v/>
      </c>
      <c r="J441" s="37">
        <f>_xlfn.IFS(K441&lt;K$24,0,K441&lt;K$25,J$24,K441&lt;K$26,J$25,K441&lt;K$27,J$26,K441&lt;K$28,J$27,K441&lt;K$29,J$28,K441&lt;K$30,J$29,K441&lt;K$31,J$30,K441&lt;K$32,J$31,K441&lt;K$33,J$32,K441&lt;K$34,J$33,K441&lt;K$35,J$34,K441&lt;K$36,J$35,K441&lt;K$37,J$36,K441&lt;K$38,J$37,K441&lt;K$39,J$38,K441&lt;K$40,J$39,K441&lt;K$41,J$40,K441&lt;K$42,J$41,K441&lt;K$43,J$42,K441&lt;K$44,J$43,K441&lt;K$45,J$44,K441&lt;K$46,J$45,K441&lt;K$47,J$46,K441&gt;=K$47,J$47)</f>
        <v/>
      </c>
      <c r="K441" s="38" t="n">
        <v>391</v>
      </c>
      <c r="L441" s="31">
        <f>K441/52</f>
        <v/>
      </c>
      <c r="M441" s="39">
        <f>J441/1000000*52</f>
        <v/>
      </c>
      <c r="N441" s="33">
        <f>M441/$P$4+($I$22/$P$4)</f>
        <v/>
      </c>
      <c r="U441">
        <f>F440</f>
        <v/>
      </c>
      <c r="V441">
        <f>H440</f>
        <v/>
      </c>
      <c r="W441">
        <f>N440</f>
        <v/>
      </c>
    </row>
    <row r="442" ht="15.75" customHeight="1" s="40">
      <c r="C442" s="36">
        <f>_xlfn.IFS(E442&lt;E$24,0,E442&lt;E$26,C$24,E442&lt;E$28,C$26,E442&lt;E$30,C$28,E442&lt;E$32,C$30,E442&lt;E$34,C$32,E442&gt;=E$34,C$34)</f>
        <v/>
      </c>
      <c r="D442" s="37">
        <f>_xlfn.IFS(E442&lt;E$24,0,E442&lt;E$25,D$24,E442&lt;E$26,D$25,E442&lt;E$27,D$26,E442&lt;E$28,D$27,E442&lt;E$29,D$28,E442&lt;E$30,D$29,E442&lt;E$31,D$30,E442&lt;E$32,D$31,E442&lt;E$33,D$32,E442&lt;E$34,D$33,E442&lt;E$35,D$34,E442&gt;=E$35,D$35)</f>
        <v/>
      </c>
      <c r="E442" s="38" t="n">
        <v>392</v>
      </c>
      <c r="F442" s="31">
        <f>E442/52</f>
        <v/>
      </c>
      <c r="G442" s="39">
        <f>D442/1000000*52</f>
        <v/>
      </c>
      <c r="H442" s="33">
        <f>G442/$P$4+($C$22/$P$4)</f>
        <v/>
      </c>
      <c r="I442" s="36">
        <f>_xlfn.IFS(K442&lt;K$24,0,K442&lt;K$26,I$24,K442&lt;K$28,I$26,K442&lt;K$30,I$28,K442&lt;K$32,I$30,K442&lt;K$34,I$32,K442&lt;K$36,I$34,K442&lt;K$38,I$36,K442&lt;K$40,I$38,K442&lt;K$42,I$40,K442&lt;K$44,I$42,K442&lt;K$46,I$44,K442&gt;=K$46,I$46)</f>
        <v/>
      </c>
      <c r="J442" s="37">
        <f>_xlfn.IFS(K442&lt;K$24,0,K442&lt;K$25,J$24,K442&lt;K$26,J$25,K442&lt;K$27,J$26,K442&lt;K$28,J$27,K442&lt;K$29,J$28,K442&lt;K$30,J$29,K442&lt;K$31,J$30,K442&lt;K$32,J$31,K442&lt;K$33,J$32,K442&lt;K$34,J$33,K442&lt;K$35,J$34,K442&lt;K$36,J$35,K442&lt;K$37,J$36,K442&lt;K$38,J$37,K442&lt;K$39,J$38,K442&lt;K$40,J$39,K442&lt;K$41,J$40,K442&lt;K$42,J$41,K442&lt;K$43,J$42,K442&lt;K$44,J$43,K442&lt;K$45,J$44,K442&lt;K$46,J$45,K442&lt;K$47,J$46,K442&gt;=K$47,J$47)</f>
        <v/>
      </c>
      <c r="K442" s="38" t="n">
        <v>392</v>
      </c>
      <c r="L442" s="31">
        <f>K442/52</f>
        <v/>
      </c>
      <c r="M442" s="39">
        <f>J442/1000000*52</f>
        <v/>
      </c>
      <c r="N442" s="33">
        <f>M442/$P$4+($I$22/$P$4)</f>
        <v/>
      </c>
      <c r="U442">
        <f>F441</f>
        <v/>
      </c>
      <c r="V442">
        <f>H441</f>
        <v/>
      </c>
      <c r="W442">
        <f>N441</f>
        <v/>
      </c>
    </row>
    <row r="443" ht="15.75" customHeight="1" s="40">
      <c r="C443" s="36">
        <f>_xlfn.IFS(E443&lt;E$24,0,E443&lt;E$26,C$24,E443&lt;E$28,C$26,E443&lt;E$30,C$28,E443&lt;E$32,C$30,E443&lt;E$34,C$32,E443&gt;=E$34,C$34)</f>
        <v/>
      </c>
      <c r="D443" s="37">
        <f>_xlfn.IFS(E443&lt;E$24,0,E443&lt;E$25,D$24,E443&lt;E$26,D$25,E443&lt;E$27,D$26,E443&lt;E$28,D$27,E443&lt;E$29,D$28,E443&lt;E$30,D$29,E443&lt;E$31,D$30,E443&lt;E$32,D$31,E443&lt;E$33,D$32,E443&lt;E$34,D$33,E443&lt;E$35,D$34,E443&gt;=E$35,D$35)</f>
        <v/>
      </c>
      <c r="E443" s="38" t="n">
        <v>393</v>
      </c>
      <c r="F443" s="31">
        <f>E443/52</f>
        <v/>
      </c>
      <c r="G443" s="39">
        <f>D443/1000000*52</f>
        <v/>
      </c>
      <c r="H443" s="33">
        <f>G443/$P$4+($C$22/$P$4)</f>
        <v/>
      </c>
      <c r="I443" s="36">
        <f>_xlfn.IFS(K443&lt;K$24,0,K443&lt;K$26,I$24,K443&lt;K$28,I$26,K443&lt;K$30,I$28,K443&lt;K$32,I$30,K443&lt;K$34,I$32,K443&lt;K$36,I$34,K443&lt;K$38,I$36,K443&lt;K$40,I$38,K443&lt;K$42,I$40,K443&lt;K$44,I$42,K443&lt;K$46,I$44,K443&gt;=K$46,I$46)</f>
        <v/>
      </c>
      <c r="J443" s="37">
        <f>_xlfn.IFS(K443&lt;K$24,0,K443&lt;K$25,J$24,K443&lt;K$26,J$25,K443&lt;K$27,J$26,K443&lt;K$28,J$27,K443&lt;K$29,J$28,K443&lt;K$30,J$29,K443&lt;K$31,J$30,K443&lt;K$32,J$31,K443&lt;K$33,J$32,K443&lt;K$34,J$33,K443&lt;K$35,J$34,K443&lt;K$36,J$35,K443&lt;K$37,J$36,K443&lt;K$38,J$37,K443&lt;K$39,J$38,K443&lt;K$40,J$39,K443&lt;K$41,J$40,K443&lt;K$42,J$41,K443&lt;K$43,J$42,K443&lt;K$44,J$43,K443&lt;K$45,J$44,K443&lt;K$46,J$45,K443&lt;K$47,J$46,K443&gt;=K$47,J$47)</f>
        <v/>
      </c>
      <c r="K443" s="38" t="n">
        <v>393</v>
      </c>
      <c r="L443" s="31">
        <f>K443/52</f>
        <v/>
      </c>
      <c r="M443" s="39">
        <f>J443/1000000*52</f>
        <v/>
      </c>
      <c r="N443" s="33">
        <f>M443/$P$4+($I$22/$P$4)</f>
        <v/>
      </c>
      <c r="U443">
        <f>F442</f>
        <v/>
      </c>
      <c r="V443">
        <f>H442</f>
        <v/>
      </c>
      <c r="W443">
        <f>N442</f>
        <v/>
      </c>
    </row>
    <row r="444" ht="15.75" customHeight="1" s="40">
      <c r="C444" s="36">
        <f>_xlfn.IFS(E444&lt;E$24,0,E444&lt;E$26,C$24,E444&lt;E$28,C$26,E444&lt;E$30,C$28,E444&lt;E$32,C$30,E444&lt;E$34,C$32,E444&gt;=E$34,C$34)</f>
        <v/>
      </c>
      <c r="D444" s="37">
        <f>_xlfn.IFS(E444&lt;E$24,0,E444&lt;E$25,D$24,E444&lt;E$26,D$25,E444&lt;E$27,D$26,E444&lt;E$28,D$27,E444&lt;E$29,D$28,E444&lt;E$30,D$29,E444&lt;E$31,D$30,E444&lt;E$32,D$31,E444&lt;E$33,D$32,E444&lt;E$34,D$33,E444&lt;E$35,D$34,E444&gt;=E$35,D$35)</f>
        <v/>
      </c>
      <c r="E444" s="38" t="n">
        <v>394</v>
      </c>
      <c r="F444" s="31">
        <f>E444/52</f>
        <v/>
      </c>
      <c r="G444" s="39">
        <f>D444/1000000*52</f>
        <v/>
      </c>
      <c r="H444" s="33">
        <f>G444/$P$4+($C$22/$P$4)</f>
        <v/>
      </c>
      <c r="I444" s="36">
        <f>_xlfn.IFS(K444&lt;K$24,0,K444&lt;K$26,I$24,K444&lt;K$28,I$26,K444&lt;K$30,I$28,K444&lt;K$32,I$30,K444&lt;K$34,I$32,K444&lt;K$36,I$34,K444&lt;K$38,I$36,K444&lt;K$40,I$38,K444&lt;K$42,I$40,K444&lt;K$44,I$42,K444&lt;K$46,I$44,K444&gt;=K$46,I$46)</f>
        <v/>
      </c>
      <c r="J444" s="37">
        <f>_xlfn.IFS(K444&lt;K$24,0,K444&lt;K$25,J$24,K444&lt;K$26,J$25,K444&lt;K$27,J$26,K444&lt;K$28,J$27,K444&lt;K$29,J$28,K444&lt;K$30,J$29,K444&lt;K$31,J$30,K444&lt;K$32,J$31,K444&lt;K$33,J$32,K444&lt;K$34,J$33,K444&lt;K$35,J$34,K444&lt;K$36,J$35,K444&lt;K$37,J$36,K444&lt;K$38,J$37,K444&lt;K$39,J$38,K444&lt;K$40,J$39,K444&lt;K$41,J$40,K444&lt;K$42,J$41,K444&lt;K$43,J$42,K444&lt;K$44,J$43,K444&lt;K$45,J$44,K444&lt;K$46,J$45,K444&lt;K$47,J$46,K444&gt;=K$47,J$47)</f>
        <v/>
      </c>
      <c r="K444" s="38" t="n">
        <v>394</v>
      </c>
      <c r="L444" s="31">
        <f>K444/52</f>
        <v/>
      </c>
      <c r="M444" s="39">
        <f>J444/1000000*52</f>
        <v/>
      </c>
      <c r="N444" s="33">
        <f>M444/$P$4+($I$22/$P$4)</f>
        <v/>
      </c>
      <c r="U444">
        <f>F443</f>
        <v/>
      </c>
      <c r="V444">
        <f>H443</f>
        <v/>
      </c>
      <c r="W444">
        <f>N443</f>
        <v/>
      </c>
    </row>
    <row r="445" ht="15.75" customHeight="1" s="40">
      <c r="C445" s="36">
        <f>_xlfn.IFS(E445&lt;E$24,0,E445&lt;E$26,C$24,E445&lt;E$28,C$26,E445&lt;E$30,C$28,E445&lt;E$32,C$30,E445&lt;E$34,C$32,E445&gt;=E$34,C$34)</f>
        <v/>
      </c>
      <c r="D445" s="37">
        <f>_xlfn.IFS(E445&lt;E$24,0,E445&lt;E$25,D$24,E445&lt;E$26,D$25,E445&lt;E$27,D$26,E445&lt;E$28,D$27,E445&lt;E$29,D$28,E445&lt;E$30,D$29,E445&lt;E$31,D$30,E445&lt;E$32,D$31,E445&lt;E$33,D$32,E445&lt;E$34,D$33,E445&lt;E$35,D$34,E445&gt;=E$35,D$35)</f>
        <v/>
      </c>
      <c r="E445" s="38" t="n">
        <v>395</v>
      </c>
      <c r="F445" s="31">
        <f>E445/52</f>
        <v/>
      </c>
      <c r="G445" s="39">
        <f>D445/1000000*52</f>
        <v/>
      </c>
      <c r="H445" s="33">
        <f>G445/$P$4+($C$22/$P$4)</f>
        <v/>
      </c>
      <c r="I445" s="36">
        <f>_xlfn.IFS(K445&lt;K$24,0,K445&lt;K$26,I$24,K445&lt;K$28,I$26,K445&lt;K$30,I$28,K445&lt;K$32,I$30,K445&lt;K$34,I$32,K445&lt;K$36,I$34,K445&lt;K$38,I$36,K445&lt;K$40,I$38,K445&lt;K$42,I$40,K445&lt;K$44,I$42,K445&lt;K$46,I$44,K445&gt;=K$46,I$46)</f>
        <v/>
      </c>
      <c r="J445" s="37">
        <f>_xlfn.IFS(K445&lt;K$24,0,K445&lt;K$25,J$24,K445&lt;K$26,J$25,K445&lt;K$27,J$26,K445&lt;K$28,J$27,K445&lt;K$29,J$28,K445&lt;K$30,J$29,K445&lt;K$31,J$30,K445&lt;K$32,J$31,K445&lt;K$33,J$32,K445&lt;K$34,J$33,K445&lt;K$35,J$34,K445&lt;K$36,J$35,K445&lt;K$37,J$36,K445&lt;K$38,J$37,K445&lt;K$39,J$38,K445&lt;K$40,J$39,K445&lt;K$41,J$40,K445&lt;K$42,J$41,K445&lt;K$43,J$42,K445&lt;K$44,J$43,K445&lt;K$45,J$44,K445&lt;K$46,J$45,K445&lt;K$47,J$46,K445&gt;=K$47,J$47)</f>
        <v/>
      </c>
      <c r="K445" s="38" t="n">
        <v>395</v>
      </c>
      <c r="L445" s="31">
        <f>K445/52</f>
        <v/>
      </c>
      <c r="M445" s="39">
        <f>J445/1000000*52</f>
        <v/>
      </c>
      <c r="N445" s="33">
        <f>M445/$P$4+($I$22/$P$4)</f>
        <v/>
      </c>
      <c r="U445">
        <f>F444</f>
        <v/>
      </c>
      <c r="V445">
        <f>H444</f>
        <v/>
      </c>
      <c r="W445">
        <f>N444</f>
        <v/>
      </c>
    </row>
    <row r="446" ht="15.75" customHeight="1" s="40">
      <c r="C446" s="36">
        <f>_xlfn.IFS(E446&lt;E$24,0,E446&lt;E$26,C$24,E446&lt;E$28,C$26,E446&lt;E$30,C$28,E446&lt;E$32,C$30,E446&lt;E$34,C$32,E446&gt;=E$34,C$34)</f>
        <v/>
      </c>
      <c r="D446" s="37">
        <f>_xlfn.IFS(E446&lt;E$24,0,E446&lt;E$25,D$24,E446&lt;E$26,D$25,E446&lt;E$27,D$26,E446&lt;E$28,D$27,E446&lt;E$29,D$28,E446&lt;E$30,D$29,E446&lt;E$31,D$30,E446&lt;E$32,D$31,E446&lt;E$33,D$32,E446&lt;E$34,D$33,E446&lt;E$35,D$34,E446&gt;=E$35,D$35)</f>
        <v/>
      </c>
      <c r="E446" s="38" t="n">
        <v>396</v>
      </c>
      <c r="F446" s="31">
        <f>E446/52</f>
        <v/>
      </c>
      <c r="G446" s="39">
        <f>D446/1000000*52</f>
        <v/>
      </c>
      <c r="H446" s="33">
        <f>G446/$P$4+($C$22/$P$4)</f>
        <v/>
      </c>
      <c r="I446" s="36">
        <f>_xlfn.IFS(K446&lt;K$24,0,K446&lt;K$26,I$24,K446&lt;K$28,I$26,K446&lt;K$30,I$28,K446&lt;K$32,I$30,K446&lt;K$34,I$32,K446&lt;K$36,I$34,K446&lt;K$38,I$36,K446&lt;K$40,I$38,K446&lt;K$42,I$40,K446&lt;K$44,I$42,K446&lt;K$46,I$44,K446&gt;=K$46,I$46)</f>
        <v/>
      </c>
      <c r="J446" s="37">
        <f>_xlfn.IFS(K446&lt;K$24,0,K446&lt;K$25,J$24,K446&lt;K$26,J$25,K446&lt;K$27,J$26,K446&lt;K$28,J$27,K446&lt;K$29,J$28,K446&lt;K$30,J$29,K446&lt;K$31,J$30,K446&lt;K$32,J$31,K446&lt;K$33,J$32,K446&lt;K$34,J$33,K446&lt;K$35,J$34,K446&lt;K$36,J$35,K446&lt;K$37,J$36,K446&lt;K$38,J$37,K446&lt;K$39,J$38,K446&lt;K$40,J$39,K446&lt;K$41,J$40,K446&lt;K$42,J$41,K446&lt;K$43,J$42,K446&lt;K$44,J$43,K446&lt;K$45,J$44,K446&lt;K$46,J$45,K446&lt;K$47,J$46,K446&gt;=K$47,J$47)</f>
        <v/>
      </c>
      <c r="K446" s="38" t="n">
        <v>396</v>
      </c>
      <c r="L446" s="31">
        <f>K446/52</f>
        <v/>
      </c>
      <c r="M446" s="39">
        <f>J446/1000000*52</f>
        <v/>
      </c>
      <c r="N446" s="33">
        <f>M446/$P$4+($I$22/$P$4)</f>
        <v/>
      </c>
      <c r="U446">
        <f>F445</f>
        <v/>
      </c>
      <c r="V446">
        <f>H445</f>
        <v/>
      </c>
      <c r="W446">
        <f>N445</f>
        <v/>
      </c>
    </row>
    <row r="447" ht="15.75" customHeight="1" s="40">
      <c r="C447" s="36">
        <f>_xlfn.IFS(E447&lt;E$24,0,E447&lt;E$26,C$24,E447&lt;E$28,C$26,E447&lt;E$30,C$28,E447&lt;E$32,C$30,E447&lt;E$34,C$32,E447&gt;=E$34,C$34)</f>
        <v/>
      </c>
      <c r="D447" s="37">
        <f>_xlfn.IFS(E447&lt;E$24,0,E447&lt;E$25,D$24,E447&lt;E$26,D$25,E447&lt;E$27,D$26,E447&lt;E$28,D$27,E447&lt;E$29,D$28,E447&lt;E$30,D$29,E447&lt;E$31,D$30,E447&lt;E$32,D$31,E447&lt;E$33,D$32,E447&lt;E$34,D$33,E447&lt;E$35,D$34,E447&gt;=E$35,D$35)</f>
        <v/>
      </c>
      <c r="E447" s="38" t="n">
        <v>397</v>
      </c>
      <c r="F447" s="31">
        <f>E447/52</f>
        <v/>
      </c>
      <c r="G447" s="39">
        <f>D447/1000000*52</f>
        <v/>
      </c>
      <c r="H447" s="33">
        <f>G447/$P$4+($C$22/$P$4)</f>
        <v/>
      </c>
      <c r="I447" s="36">
        <f>_xlfn.IFS(K447&lt;K$24,0,K447&lt;K$26,I$24,K447&lt;K$28,I$26,K447&lt;K$30,I$28,K447&lt;K$32,I$30,K447&lt;K$34,I$32,K447&lt;K$36,I$34,K447&lt;K$38,I$36,K447&lt;K$40,I$38,K447&lt;K$42,I$40,K447&lt;K$44,I$42,K447&lt;K$46,I$44,K447&gt;=K$46,I$46)</f>
        <v/>
      </c>
      <c r="J447" s="37">
        <f>_xlfn.IFS(K447&lt;K$24,0,K447&lt;K$25,J$24,K447&lt;K$26,J$25,K447&lt;K$27,J$26,K447&lt;K$28,J$27,K447&lt;K$29,J$28,K447&lt;K$30,J$29,K447&lt;K$31,J$30,K447&lt;K$32,J$31,K447&lt;K$33,J$32,K447&lt;K$34,J$33,K447&lt;K$35,J$34,K447&lt;K$36,J$35,K447&lt;K$37,J$36,K447&lt;K$38,J$37,K447&lt;K$39,J$38,K447&lt;K$40,J$39,K447&lt;K$41,J$40,K447&lt;K$42,J$41,K447&lt;K$43,J$42,K447&lt;K$44,J$43,K447&lt;K$45,J$44,K447&lt;K$46,J$45,K447&lt;K$47,J$46,K447&gt;=K$47,J$47)</f>
        <v/>
      </c>
      <c r="K447" s="38" t="n">
        <v>397</v>
      </c>
      <c r="L447" s="31">
        <f>K447/52</f>
        <v/>
      </c>
      <c r="M447" s="39">
        <f>J447/1000000*52</f>
        <v/>
      </c>
      <c r="N447" s="33">
        <f>M447/$P$4+($I$22/$P$4)</f>
        <v/>
      </c>
      <c r="U447">
        <f>F446</f>
        <v/>
      </c>
      <c r="V447">
        <f>H446</f>
        <v/>
      </c>
      <c r="W447">
        <f>N446</f>
        <v/>
      </c>
    </row>
    <row r="448" ht="15.75" customHeight="1" s="40">
      <c r="C448" s="36">
        <f>_xlfn.IFS(E448&lt;E$24,0,E448&lt;E$26,C$24,E448&lt;E$28,C$26,E448&lt;E$30,C$28,E448&lt;E$32,C$30,E448&lt;E$34,C$32,E448&gt;=E$34,C$34)</f>
        <v/>
      </c>
      <c r="D448" s="37">
        <f>_xlfn.IFS(E448&lt;E$24,0,E448&lt;E$25,D$24,E448&lt;E$26,D$25,E448&lt;E$27,D$26,E448&lt;E$28,D$27,E448&lt;E$29,D$28,E448&lt;E$30,D$29,E448&lt;E$31,D$30,E448&lt;E$32,D$31,E448&lt;E$33,D$32,E448&lt;E$34,D$33,E448&lt;E$35,D$34,E448&gt;=E$35,D$35)</f>
        <v/>
      </c>
      <c r="E448" s="38" t="n">
        <v>398</v>
      </c>
      <c r="F448" s="31">
        <f>E448/52</f>
        <v/>
      </c>
      <c r="G448" s="39">
        <f>D448/1000000*52</f>
        <v/>
      </c>
      <c r="H448" s="33">
        <f>G448/$P$4+($C$22/$P$4)</f>
        <v/>
      </c>
      <c r="I448" s="36">
        <f>_xlfn.IFS(K448&lt;K$24,0,K448&lt;K$26,I$24,K448&lt;K$28,I$26,K448&lt;K$30,I$28,K448&lt;K$32,I$30,K448&lt;K$34,I$32,K448&lt;K$36,I$34,K448&lt;K$38,I$36,K448&lt;K$40,I$38,K448&lt;K$42,I$40,K448&lt;K$44,I$42,K448&lt;K$46,I$44,K448&gt;=K$46,I$46)</f>
        <v/>
      </c>
      <c r="J448" s="37">
        <f>_xlfn.IFS(K448&lt;K$24,0,K448&lt;K$25,J$24,K448&lt;K$26,J$25,K448&lt;K$27,J$26,K448&lt;K$28,J$27,K448&lt;K$29,J$28,K448&lt;K$30,J$29,K448&lt;K$31,J$30,K448&lt;K$32,J$31,K448&lt;K$33,J$32,K448&lt;K$34,J$33,K448&lt;K$35,J$34,K448&lt;K$36,J$35,K448&lt;K$37,J$36,K448&lt;K$38,J$37,K448&lt;K$39,J$38,K448&lt;K$40,J$39,K448&lt;K$41,J$40,K448&lt;K$42,J$41,K448&lt;K$43,J$42,K448&lt;K$44,J$43,K448&lt;K$45,J$44,K448&lt;K$46,J$45,K448&lt;K$47,J$46,K448&gt;=K$47,J$47)</f>
        <v/>
      </c>
      <c r="K448" s="38" t="n">
        <v>398</v>
      </c>
      <c r="L448" s="31">
        <f>K448/52</f>
        <v/>
      </c>
      <c r="M448" s="39">
        <f>J448/1000000*52</f>
        <v/>
      </c>
      <c r="N448" s="33">
        <f>M448/$P$4+($I$22/$P$4)</f>
        <v/>
      </c>
      <c r="U448">
        <f>F447</f>
        <v/>
      </c>
      <c r="V448">
        <f>H447</f>
        <v/>
      </c>
      <c r="W448">
        <f>N447</f>
        <v/>
      </c>
    </row>
    <row r="449" ht="15.75" customHeight="1" s="40">
      <c r="C449" s="36">
        <f>_xlfn.IFS(E449&lt;E$24,0,E449&lt;E$26,C$24,E449&lt;E$28,C$26,E449&lt;E$30,C$28,E449&lt;E$32,C$30,E449&lt;E$34,C$32,E449&gt;=E$34,C$34)</f>
        <v/>
      </c>
      <c r="D449" s="37">
        <f>_xlfn.IFS(E449&lt;E$24,0,E449&lt;E$25,D$24,E449&lt;E$26,D$25,E449&lt;E$27,D$26,E449&lt;E$28,D$27,E449&lt;E$29,D$28,E449&lt;E$30,D$29,E449&lt;E$31,D$30,E449&lt;E$32,D$31,E449&lt;E$33,D$32,E449&lt;E$34,D$33,E449&lt;E$35,D$34,E449&gt;=E$35,D$35)</f>
        <v/>
      </c>
      <c r="E449" s="38" t="n">
        <v>399</v>
      </c>
      <c r="F449" s="31">
        <f>E449/52</f>
        <v/>
      </c>
      <c r="G449" s="39">
        <f>D449/1000000*52</f>
        <v/>
      </c>
      <c r="H449" s="33">
        <f>G449/$P$4+($C$22/$P$4)</f>
        <v/>
      </c>
      <c r="I449" s="36">
        <f>_xlfn.IFS(K449&lt;K$24,0,K449&lt;K$26,I$24,K449&lt;K$28,I$26,K449&lt;K$30,I$28,K449&lt;K$32,I$30,K449&lt;K$34,I$32,K449&lt;K$36,I$34,K449&lt;K$38,I$36,K449&lt;K$40,I$38,K449&lt;K$42,I$40,K449&lt;K$44,I$42,K449&lt;K$46,I$44,K449&gt;=K$46,I$46)</f>
        <v/>
      </c>
      <c r="J449" s="37">
        <f>_xlfn.IFS(K449&lt;K$24,0,K449&lt;K$25,J$24,K449&lt;K$26,J$25,K449&lt;K$27,J$26,K449&lt;K$28,J$27,K449&lt;K$29,J$28,K449&lt;K$30,J$29,K449&lt;K$31,J$30,K449&lt;K$32,J$31,K449&lt;K$33,J$32,K449&lt;K$34,J$33,K449&lt;K$35,J$34,K449&lt;K$36,J$35,K449&lt;K$37,J$36,K449&lt;K$38,J$37,K449&lt;K$39,J$38,K449&lt;K$40,J$39,K449&lt;K$41,J$40,K449&lt;K$42,J$41,K449&lt;K$43,J$42,K449&lt;K$44,J$43,K449&lt;K$45,J$44,K449&lt;K$46,J$45,K449&lt;K$47,J$46,K449&gt;=K$47,J$47)</f>
        <v/>
      </c>
      <c r="K449" s="38" t="n">
        <v>399</v>
      </c>
      <c r="L449" s="31">
        <f>K449/52</f>
        <v/>
      </c>
      <c r="M449" s="39">
        <f>J449/1000000*52</f>
        <v/>
      </c>
      <c r="N449" s="33">
        <f>M449/$P$4+($I$22/$P$4)</f>
        <v/>
      </c>
      <c r="U449">
        <f>F448</f>
        <v/>
      </c>
      <c r="V449">
        <f>H448</f>
        <v/>
      </c>
      <c r="W449">
        <f>N448</f>
        <v/>
      </c>
    </row>
    <row r="450" ht="15.75" customHeight="1" s="40">
      <c r="C450" s="36">
        <f>_xlfn.IFS(E450&lt;E$24,0,E450&lt;E$26,C$24,E450&lt;E$28,C$26,E450&lt;E$30,C$28,E450&lt;E$32,C$30,E450&lt;E$34,C$32,E450&gt;=E$34,C$34)</f>
        <v/>
      </c>
      <c r="D450" s="37">
        <f>_xlfn.IFS(E450&lt;E$24,0,E450&lt;E$25,D$24,E450&lt;E$26,D$25,E450&lt;E$27,D$26,E450&lt;E$28,D$27,E450&lt;E$29,D$28,E450&lt;E$30,D$29,E450&lt;E$31,D$30,E450&lt;E$32,D$31,E450&lt;E$33,D$32,E450&lt;E$34,D$33,E450&lt;E$35,D$34,E450&gt;=E$35,D$35)</f>
        <v/>
      </c>
      <c r="E450" s="38" t="n">
        <v>400</v>
      </c>
      <c r="F450" s="31">
        <f>E450/52</f>
        <v/>
      </c>
      <c r="G450" s="39">
        <f>D450/1000000*52</f>
        <v/>
      </c>
      <c r="H450" s="33">
        <f>G450/$P$4+($C$22/$P$4)</f>
        <v/>
      </c>
      <c r="I450" s="36">
        <f>_xlfn.IFS(K450&lt;K$24,0,K450&lt;K$26,I$24,K450&lt;K$28,I$26,K450&lt;K$30,I$28,K450&lt;K$32,I$30,K450&lt;K$34,I$32,K450&lt;K$36,I$34,K450&lt;K$38,I$36,K450&lt;K$40,I$38,K450&lt;K$42,I$40,K450&lt;K$44,I$42,K450&lt;K$46,I$44,K450&gt;=K$46,I$46)</f>
        <v/>
      </c>
      <c r="J450" s="37">
        <f>_xlfn.IFS(K450&lt;K$24,0,K450&lt;K$25,J$24,K450&lt;K$26,J$25,K450&lt;K$27,J$26,K450&lt;K$28,J$27,K450&lt;K$29,J$28,K450&lt;K$30,J$29,K450&lt;K$31,J$30,K450&lt;K$32,J$31,K450&lt;K$33,J$32,K450&lt;K$34,J$33,K450&lt;K$35,J$34,K450&lt;K$36,J$35,K450&lt;K$37,J$36,K450&lt;K$38,J$37,K450&lt;K$39,J$38,K450&lt;K$40,J$39,K450&lt;K$41,J$40,K450&lt;K$42,J$41,K450&lt;K$43,J$42,K450&lt;K$44,J$43,K450&lt;K$45,J$44,K450&lt;K$46,J$45,K450&lt;K$47,J$46,K450&gt;=K$47,J$47)</f>
        <v/>
      </c>
      <c r="K450" s="38" t="n">
        <v>400</v>
      </c>
      <c r="L450" s="31">
        <f>K450/52</f>
        <v/>
      </c>
      <c r="M450" s="39">
        <f>J450/1000000*52</f>
        <v/>
      </c>
      <c r="N450" s="33">
        <f>M450/$P$4+($I$22/$P$4)</f>
        <v/>
      </c>
      <c r="U450">
        <f>F449</f>
        <v/>
      </c>
      <c r="V450">
        <f>H449</f>
        <v/>
      </c>
      <c r="W450">
        <f>N449</f>
        <v/>
      </c>
    </row>
    <row r="451" ht="15.75" customHeight="1" s="40">
      <c r="C451" s="36">
        <f>_xlfn.IFS(E451&lt;E$24,0,E451&lt;E$26,C$24,E451&lt;E$28,C$26,E451&lt;E$30,C$28,E451&lt;E$32,C$30,E451&lt;E$34,C$32,E451&gt;=E$34,C$34)</f>
        <v/>
      </c>
      <c r="D451" s="37">
        <f>_xlfn.IFS(E451&lt;E$24,0,E451&lt;E$25,D$24,E451&lt;E$26,D$25,E451&lt;E$27,D$26,E451&lt;E$28,D$27,E451&lt;E$29,D$28,E451&lt;E$30,D$29,E451&lt;E$31,D$30,E451&lt;E$32,D$31,E451&lt;E$33,D$32,E451&lt;E$34,D$33,E451&lt;E$35,D$34,E451&gt;=E$35,D$35)</f>
        <v/>
      </c>
      <c r="E451" s="38" t="n">
        <v>401</v>
      </c>
      <c r="F451" s="31">
        <f>E451/52</f>
        <v/>
      </c>
      <c r="G451" s="39">
        <f>D451/1000000*52</f>
        <v/>
      </c>
      <c r="H451" s="33">
        <f>G451/$P$4+($C$22/$P$4)</f>
        <v/>
      </c>
      <c r="I451" s="36">
        <f>_xlfn.IFS(K451&lt;K$24,0,K451&lt;K$26,I$24,K451&lt;K$28,I$26,K451&lt;K$30,I$28,K451&lt;K$32,I$30,K451&lt;K$34,I$32,K451&lt;K$36,I$34,K451&lt;K$38,I$36,K451&lt;K$40,I$38,K451&lt;K$42,I$40,K451&lt;K$44,I$42,K451&lt;K$46,I$44,K451&gt;=K$46,I$46)</f>
        <v/>
      </c>
      <c r="J451" s="37">
        <f>_xlfn.IFS(K451&lt;K$24,0,K451&lt;K$25,J$24,K451&lt;K$26,J$25,K451&lt;K$27,J$26,K451&lt;K$28,J$27,K451&lt;K$29,J$28,K451&lt;K$30,J$29,K451&lt;K$31,J$30,K451&lt;K$32,J$31,K451&lt;K$33,J$32,K451&lt;K$34,J$33,K451&lt;K$35,J$34,K451&lt;K$36,J$35,K451&lt;K$37,J$36,K451&lt;K$38,J$37,K451&lt;K$39,J$38,K451&lt;K$40,J$39,K451&lt;K$41,J$40,K451&lt;K$42,J$41,K451&lt;K$43,J$42,K451&lt;K$44,J$43,K451&lt;K$45,J$44,K451&lt;K$46,J$45,K451&lt;K$47,J$46,K451&gt;=K$47,J$47)</f>
        <v/>
      </c>
      <c r="K451" s="38" t="n">
        <v>401</v>
      </c>
      <c r="L451" s="31">
        <f>K451/52</f>
        <v/>
      </c>
      <c r="M451" s="39">
        <f>J451/1000000*52</f>
        <v/>
      </c>
      <c r="N451" s="33">
        <f>M451/$P$4+($I$22/$P$4)</f>
        <v/>
      </c>
      <c r="U451">
        <f>F450</f>
        <v/>
      </c>
      <c r="V451">
        <f>H450</f>
        <v/>
      </c>
      <c r="W451">
        <f>N450</f>
        <v/>
      </c>
    </row>
    <row r="452" ht="15.75" customHeight="1" s="40">
      <c r="C452" s="36">
        <f>_xlfn.IFS(E452&lt;E$24,0,E452&lt;E$26,C$24,E452&lt;E$28,C$26,E452&lt;E$30,C$28,E452&lt;E$32,C$30,E452&lt;E$34,C$32,E452&gt;=E$34,C$34)</f>
        <v/>
      </c>
      <c r="D452" s="37">
        <f>_xlfn.IFS(E452&lt;E$24,0,E452&lt;E$25,D$24,E452&lt;E$26,D$25,E452&lt;E$27,D$26,E452&lt;E$28,D$27,E452&lt;E$29,D$28,E452&lt;E$30,D$29,E452&lt;E$31,D$30,E452&lt;E$32,D$31,E452&lt;E$33,D$32,E452&lt;E$34,D$33,E452&lt;E$35,D$34,E452&gt;=E$35,D$35)</f>
        <v/>
      </c>
      <c r="E452" s="38" t="n">
        <v>402</v>
      </c>
      <c r="F452" s="31">
        <f>E452/52</f>
        <v/>
      </c>
      <c r="G452" s="39">
        <f>D452/1000000*52</f>
        <v/>
      </c>
      <c r="H452" s="33">
        <f>G452/$P$4+($C$22/$P$4)</f>
        <v/>
      </c>
      <c r="I452" s="36">
        <f>_xlfn.IFS(K452&lt;K$24,0,K452&lt;K$26,I$24,K452&lt;K$28,I$26,K452&lt;K$30,I$28,K452&lt;K$32,I$30,K452&lt;K$34,I$32,K452&lt;K$36,I$34,K452&lt;K$38,I$36,K452&lt;K$40,I$38,K452&lt;K$42,I$40,K452&lt;K$44,I$42,K452&lt;K$46,I$44,K452&gt;=K$46,I$46)</f>
        <v/>
      </c>
      <c r="J452" s="37">
        <f>_xlfn.IFS(K452&lt;K$24,0,K452&lt;K$25,J$24,K452&lt;K$26,J$25,K452&lt;K$27,J$26,K452&lt;K$28,J$27,K452&lt;K$29,J$28,K452&lt;K$30,J$29,K452&lt;K$31,J$30,K452&lt;K$32,J$31,K452&lt;K$33,J$32,K452&lt;K$34,J$33,K452&lt;K$35,J$34,K452&lt;K$36,J$35,K452&lt;K$37,J$36,K452&lt;K$38,J$37,K452&lt;K$39,J$38,K452&lt;K$40,J$39,K452&lt;K$41,J$40,K452&lt;K$42,J$41,K452&lt;K$43,J$42,K452&lt;K$44,J$43,K452&lt;K$45,J$44,K452&lt;K$46,J$45,K452&lt;K$47,J$46,K452&gt;=K$47,J$47)</f>
        <v/>
      </c>
      <c r="K452" s="38" t="n">
        <v>402</v>
      </c>
      <c r="L452" s="31">
        <f>K452/52</f>
        <v/>
      </c>
      <c r="M452" s="39">
        <f>J452/1000000*52</f>
        <v/>
      </c>
      <c r="N452" s="33">
        <f>M452/$P$4+($I$22/$P$4)</f>
        <v/>
      </c>
      <c r="U452">
        <f>F451</f>
        <v/>
      </c>
      <c r="V452">
        <f>H451</f>
        <v/>
      </c>
      <c r="W452">
        <f>N451</f>
        <v/>
      </c>
    </row>
    <row r="453" ht="15.75" customHeight="1" s="40">
      <c r="C453" s="36">
        <f>_xlfn.IFS(E453&lt;E$24,0,E453&lt;E$26,C$24,E453&lt;E$28,C$26,E453&lt;E$30,C$28,E453&lt;E$32,C$30,E453&lt;E$34,C$32,E453&gt;=E$34,C$34)</f>
        <v/>
      </c>
      <c r="D453" s="37">
        <f>_xlfn.IFS(E453&lt;E$24,0,E453&lt;E$25,D$24,E453&lt;E$26,D$25,E453&lt;E$27,D$26,E453&lt;E$28,D$27,E453&lt;E$29,D$28,E453&lt;E$30,D$29,E453&lt;E$31,D$30,E453&lt;E$32,D$31,E453&lt;E$33,D$32,E453&lt;E$34,D$33,E453&lt;E$35,D$34,E453&gt;=E$35,D$35)</f>
        <v/>
      </c>
      <c r="E453" s="38" t="n">
        <v>403</v>
      </c>
      <c r="F453" s="31">
        <f>E453/52</f>
        <v/>
      </c>
      <c r="G453" s="39">
        <f>D453/1000000*52</f>
        <v/>
      </c>
      <c r="H453" s="33">
        <f>G453/$P$4+($C$22/$P$4)</f>
        <v/>
      </c>
      <c r="I453" s="36">
        <f>_xlfn.IFS(K453&lt;K$24,0,K453&lt;K$26,I$24,K453&lt;K$28,I$26,K453&lt;K$30,I$28,K453&lt;K$32,I$30,K453&lt;K$34,I$32,K453&lt;K$36,I$34,K453&lt;K$38,I$36,K453&lt;K$40,I$38,K453&lt;K$42,I$40,K453&lt;K$44,I$42,K453&lt;K$46,I$44,K453&gt;=K$46,I$46)</f>
        <v/>
      </c>
      <c r="J453" s="37">
        <f>_xlfn.IFS(K453&lt;K$24,0,K453&lt;K$25,J$24,K453&lt;K$26,J$25,K453&lt;K$27,J$26,K453&lt;K$28,J$27,K453&lt;K$29,J$28,K453&lt;K$30,J$29,K453&lt;K$31,J$30,K453&lt;K$32,J$31,K453&lt;K$33,J$32,K453&lt;K$34,J$33,K453&lt;K$35,J$34,K453&lt;K$36,J$35,K453&lt;K$37,J$36,K453&lt;K$38,J$37,K453&lt;K$39,J$38,K453&lt;K$40,J$39,K453&lt;K$41,J$40,K453&lt;K$42,J$41,K453&lt;K$43,J$42,K453&lt;K$44,J$43,K453&lt;K$45,J$44,K453&lt;K$46,J$45,K453&lt;K$47,J$46,K453&gt;=K$47,J$47)</f>
        <v/>
      </c>
      <c r="K453" s="38" t="n">
        <v>403</v>
      </c>
      <c r="L453" s="31">
        <f>K453/52</f>
        <v/>
      </c>
      <c r="M453" s="39">
        <f>J453/1000000*52</f>
        <v/>
      </c>
      <c r="N453" s="33">
        <f>M453/$P$4+($I$22/$P$4)</f>
        <v/>
      </c>
      <c r="U453">
        <f>F452</f>
        <v/>
      </c>
      <c r="V453">
        <f>H452</f>
        <v/>
      </c>
      <c r="W453">
        <f>N452</f>
        <v/>
      </c>
    </row>
    <row r="454" ht="15.75" customHeight="1" s="40">
      <c r="C454" s="36">
        <f>_xlfn.IFS(E454&lt;E$24,0,E454&lt;E$26,C$24,E454&lt;E$28,C$26,E454&lt;E$30,C$28,E454&lt;E$32,C$30,E454&lt;E$34,C$32,E454&gt;=E$34,C$34)</f>
        <v/>
      </c>
      <c r="D454" s="37">
        <f>_xlfn.IFS(E454&lt;E$24,0,E454&lt;E$25,D$24,E454&lt;E$26,D$25,E454&lt;E$27,D$26,E454&lt;E$28,D$27,E454&lt;E$29,D$28,E454&lt;E$30,D$29,E454&lt;E$31,D$30,E454&lt;E$32,D$31,E454&lt;E$33,D$32,E454&lt;E$34,D$33,E454&lt;E$35,D$34,E454&gt;=E$35,D$35)</f>
        <v/>
      </c>
      <c r="E454" s="38" t="n">
        <v>404</v>
      </c>
      <c r="F454" s="31">
        <f>E454/52</f>
        <v/>
      </c>
      <c r="G454" s="39">
        <f>D454/1000000*52</f>
        <v/>
      </c>
      <c r="H454" s="33">
        <f>G454/$P$4+($C$22/$P$4)</f>
        <v/>
      </c>
      <c r="I454" s="36">
        <f>_xlfn.IFS(K454&lt;K$24,0,K454&lt;K$26,I$24,K454&lt;K$28,I$26,K454&lt;K$30,I$28,K454&lt;K$32,I$30,K454&lt;K$34,I$32,K454&lt;K$36,I$34,K454&lt;K$38,I$36,K454&lt;K$40,I$38,K454&lt;K$42,I$40,K454&lt;K$44,I$42,K454&lt;K$46,I$44,K454&gt;=K$46,I$46)</f>
        <v/>
      </c>
      <c r="J454" s="37">
        <f>_xlfn.IFS(K454&lt;K$24,0,K454&lt;K$25,J$24,K454&lt;K$26,J$25,K454&lt;K$27,J$26,K454&lt;K$28,J$27,K454&lt;K$29,J$28,K454&lt;K$30,J$29,K454&lt;K$31,J$30,K454&lt;K$32,J$31,K454&lt;K$33,J$32,K454&lt;K$34,J$33,K454&lt;K$35,J$34,K454&lt;K$36,J$35,K454&lt;K$37,J$36,K454&lt;K$38,J$37,K454&lt;K$39,J$38,K454&lt;K$40,J$39,K454&lt;K$41,J$40,K454&lt;K$42,J$41,K454&lt;K$43,J$42,K454&lt;K$44,J$43,K454&lt;K$45,J$44,K454&lt;K$46,J$45,K454&lt;K$47,J$46,K454&gt;=K$47,J$47)</f>
        <v/>
      </c>
      <c r="K454" s="38" t="n">
        <v>404</v>
      </c>
      <c r="L454" s="31">
        <f>K454/52</f>
        <v/>
      </c>
      <c r="M454" s="39">
        <f>J454/1000000*52</f>
        <v/>
      </c>
      <c r="N454" s="33">
        <f>M454/$P$4+($I$22/$P$4)</f>
        <v/>
      </c>
      <c r="U454">
        <f>F453</f>
        <v/>
      </c>
      <c r="V454">
        <f>H453</f>
        <v/>
      </c>
      <c r="W454">
        <f>N453</f>
        <v/>
      </c>
    </row>
    <row r="455" ht="15.75" customHeight="1" s="40">
      <c r="C455" s="36">
        <f>_xlfn.IFS(E455&lt;E$24,0,E455&lt;E$26,C$24,E455&lt;E$28,C$26,E455&lt;E$30,C$28,E455&lt;E$32,C$30,E455&lt;E$34,C$32,E455&gt;=E$34,C$34)</f>
        <v/>
      </c>
      <c r="D455" s="37">
        <f>_xlfn.IFS(E455&lt;E$24,0,E455&lt;E$25,D$24,E455&lt;E$26,D$25,E455&lt;E$27,D$26,E455&lt;E$28,D$27,E455&lt;E$29,D$28,E455&lt;E$30,D$29,E455&lt;E$31,D$30,E455&lt;E$32,D$31,E455&lt;E$33,D$32,E455&lt;E$34,D$33,E455&lt;E$35,D$34,E455&gt;=E$35,D$35)</f>
        <v/>
      </c>
      <c r="E455" s="38" t="n">
        <v>405</v>
      </c>
      <c r="F455" s="31">
        <f>E455/52</f>
        <v/>
      </c>
      <c r="G455" s="39">
        <f>D455/1000000*52</f>
        <v/>
      </c>
      <c r="H455" s="33">
        <f>G455/$P$4+($C$22/$P$4)</f>
        <v/>
      </c>
      <c r="I455" s="36">
        <f>_xlfn.IFS(K455&lt;K$24,0,K455&lt;K$26,I$24,K455&lt;K$28,I$26,K455&lt;K$30,I$28,K455&lt;K$32,I$30,K455&lt;K$34,I$32,K455&lt;K$36,I$34,K455&lt;K$38,I$36,K455&lt;K$40,I$38,K455&lt;K$42,I$40,K455&lt;K$44,I$42,K455&lt;K$46,I$44,K455&gt;=K$46,I$46)</f>
        <v/>
      </c>
      <c r="J455" s="37">
        <f>_xlfn.IFS(K455&lt;K$24,0,K455&lt;K$25,J$24,K455&lt;K$26,J$25,K455&lt;K$27,J$26,K455&lt;K$28,J$27,K455&lt;K$29,J$28,K455&lt;K$30,J$29,K455&lt;K$31,J$30,K455&lt;K$32,J$31,K455&lt;K$33,J$32,K455&lt;K$34,J$33,K455&lt;K$35,J$34,K455&lt;K$36,J$35,K455&lt;K$37,J$36,K455&lt;K$38,J$37,K455&lt;K$39,J$38,K455&lt;K$40,J$39,K455&lt;K$41,J$40,K455&lt;K$42,J$41,K455&lt;K$43,J$42,K455&lt;K$44,J$43,K455&lt;K$45,J$44,K455&lt;K$46,J$45,K455&lt;K$47,J$46,K455&gt;=K$47,J$47)</f>
        <v/>
      </c>
      <c r="K455" s="38" t="n">
        <v>405</v>
      </c>
      <c r="L455" s="31">
        <f>K455/52</f>
        <v/>
      </c>
      <c r="M455" s="39">
        <f>J455/1000000*52</f>
        <v/>
      </c>
      <c r="N455" s="33">
        <f>M455/$P$4+($I$22/$P$4)</f>
        <v/>
      </c>
      <c r="U455">
        <f>F454</f>
        <v/>
      </c>
      <c r="V455">
        <f>H454</f>
        <v/>
      </c>
      <c r="W455">
        <f>N454</f>
        <v/>
      </c>
    </row>
    <row r="456" ht="15.75" customHeight="1" s="40">
      <c r="C456" s="36">
        <f>_xlfn.IFS(E456&lt;E$24,0,E456&lt;E$26,C$24,E456&lt;E$28,C$26,E456&lt;E$30,C$28,E456&lt;E$32,C$30,E456&lt;E$34,C$32,E456&gt;=E$34,C$34)</f>
        <v/>
      </c>
      <c r="D456" s="37">
        <f>_xlfn.IFS(E456&lt;E$24,0,E456&lt;E$25,D$24,E456&lt;E$26,D$25,E456&lt;E$27,D$26,E456&lt;E$28,D$27,E456&lt;E$29,D$28,E456&lt;E$30,D$29,E456&lt;E$31,D$30,E456&lt;E$32,D$31,E456&lt;E$33,D$32,E456&lt;E$34,D$33,E456&lt;E$35,D$34,E456&gt;=E$35,D$35)</f>
        <v/>
      </c>
      <c r="E456" s="38" t="n">
        <v>406</v>
      </c>
      <c r="F456" s="31">
        <f>E456/52</f>
        <v/>
      </c>
      <c r="G456" s="39">
        <f>D456/1000000*52</f>
        <v/>
      </c>
      <c r="H456" s="33">
        <f>G456/$P$4+($C$22/$P$4)</f>
        <v/>
      </c>
      <c r="I456" s="36">
        <f>_xlfn.IFS(K456&lt;K$24,0,K456&lt;K$26,I$24,K456&lt;K$28,I$26,K456&lt;K$30,I$28,K456&lt;K$32,I$30,K456&lt;K$34,I$32,K456&lt;K$36,I$34,K456&lt;K$38,I$36,K456&lt;K$40,I$38,K456&lt;K$42,I$40,K456&lt;K$44,I$42,K456&lt;K$46,I$44,K456&gt;=K$46,I$46)</f>
        <v/>
      </c>
      <c r="J456" s="37">
        <f>_xlfn.IFS(K456&lt;K$24,0,K456&lt;K$25,J$24,K456&lt;K$26,J$25,K456&lt;K$27,J$26,K456&lt;K$28,J$27,K456&lt;K$29,J$28,K456&lt;K$30,J$29,K456&lt;K$31,J$30,K456&lt;K$32,J$31,K456&lt;K$33,J$32,K456&lt;K$34,J$33,K456&lt;K$35,J$34,K456&lt;K$36,J$35,K456&lt;K$37,J$36,K456&lt;K$38,J$37,K456&lt;K$39,J$38,K456&lt;K$40,J$39,K456&lt;K$41,J$40,K456&lt;K$42,J$41,K456&lt;K$43,J$42,K456&lt;K$44,J$43,K456&lt;K$45,J$44,K456&lt;K$46,J$45,K456&lt;K$47,J$46,K456&gt;=K$47,J$47)</f>
        <v/>
      </c>
      <c r="K456" s="38" t="n">
        <v>406</v>
      </c>
      <c r="L456" s="31">
        <f>K456/52</f>
        <v/>
      </c>
      <c r="M456" s="39">
        <f>J456/1000000*52</f>
        <v/>
      </c>
      <c r="N456" s="33">
        <f>M456/$P$4+($I$22/$P$4)</f>
        <v/>
      </c>
      <c r="U456">
        <f>F455</f>
        <v/>
      </c>
      <c r="V456">
        <f>H455</f>
        <v/>
      </c>
      <c r="W456">
        <f>N455</f>
        <v/>
      </c>
    </row>
    <row r="457" ht="15.75" customHeight="1" s="40">
      <c r="C457" s="36">
        <f>_xlfn.IFS(E457&lt;E$24,0,E457&lt;E$26,C$24,E457&lt;E$28,C$26,E457&lt;E$30,C$28,E457&lt;E$32,C$30,E457&lt;E$34,C$32,E457&gt;=E$34,C$34)</f>
        <v/>
      </c>
      <c r="D457" s="37">
        <f>_xlfn.IFS(E457&lt;E$24,0,E457&lt;E$25,D$24,E457&lt;E$26,D$25,E457&lt;E$27,D$26,E457&lt;E$28,D$27,E457&lt;E$29,D$28,E457&lt;E$30,D$29,E457&lt;E$31,D$30,E457&lt;E$32,D$31,E457&lt;E$33,D$32,E457&lt;E$34,D$33,E457&lt;E$35,D$34,E457&gt;=E$35,D$35)</f>
        <v/>
      </c>
      <c r="E457" s="38" t="n">
        <v>407</v>
      </c>
      <c r="F457" s="31">
        <f>E457/52</f>
        <v/>
      </c>
      <c r="G457" s="39">
        <f>D457/1000000*52</f>
        <v/>
      </c>
      <c r="H457" s="33">
        <f>G457/$P$4+($C$22/$P$4)</f>
        <v/>
      </c>
      <c r="I457" s="36">
        <f>_xlfn.IFS(K457&lt;K$24,0,K457&lt;K$26,I$24,K457&lt;K$28,I$26,K457&lt;K$30,I$28,K457&lt;K$32,I$30,K457&lt;K$34,I$32,K457&lt;K$36,I$34,K457&lt;K$38,I$36,K457&lt;K$40,I$38,K457&lt;K$42,I$40,K457&lt;K$44,I$42,K457&lt;K$46,I$44,K457&gt;=K$46,I$46)</f>
        <v/>
      </c>
      <c r="J457" s="37">
        <f>_xlfn.IFS(K457&lt;K$24,0,K457&lt;K$25,J$24,K457&lt;K$26,J$25,K457&lt;K$27,J$26,K457&lt;K$28,J$27,K457&lt;K$29,J$28,K457&lt;K$30,J$29,K457&lt;K$31,J$30,K457&lt;K$32,J$31,K457&lt;K$33,J$32,K457&lt;K$34,J$33,K457&lt;K$35,J$34,K457&lt;K$36,J$35,K457&lt;K$37,J$36,K457&lt;K$38,J$37,K457&lt;K$39,J$38,K457&lt;K$40,J$39,K457&lt;K$41,J$40,K457&lt;K$42,J$41,K457&lt;K$43,J$42,K457&lt;K$44,J$43,K457&lt;K$45,J$44,K457&lt;K$46,J$45,K457&lt;K$47,J$46,K457&gt;=K$47,J$47)</f>
        <v/>
      </c>
      <c r="K457" s="38" t="n">
        <v>407</v>
      </c>
      <c r="L457" s="31">
        <f>K457/52</f>
        <v/>
      </c>
      <c r="M457" s="39">
        <f>J457/1000000*52</f>
        <v/>
      </c>
      <c r="N457" s="33">
        <f>M457/$P$4+($I$22/$P$4)</f>
        <v/>
      </c>
      <c r="U457">
        <f>F456</f>
        <v/>
      </c>
      <c r="V457">
        <f>H456</f>
        <v/>
      </c>
      <c r="W457">
        <f>N456</f>
        <v/>
      </c>
    </row>
    <row r="458" ht="15.75" customHeight="1" s="40">
      <c r="C458" s="36">
        <f>_xlfn.IFS(E458&lt;E$24,0,E458&lt;E$26,C$24,E458&lt;E$28,C$26,E458&lt;E$30,C$28,E458&lt;E$32,C$30,E458&lt;E$34,C$32,E458&gt;=E$34,C$34)</f>
        <v/>
      </c>
      <c r="D458" s="37">
        <f>_xlfn.IFS(E458&lt;E$24,0,E458&lt;E$25,D$24,E458&lt;E$26,D$25,E458&lt;E$27,D$26,E458&lt;E$28,D$27,E458&lt;E$29,D$28,E458&lt;E$30,D$29,E458&lt;E$31,D$30,E458&lt;E$32,D$31,E458&lt;E$33,D$32,E458&lt;E$34,D$33,E458&lt;E$35,D$34,E458&gt;=E$35,D$35)</f>
        <v/>
      </c>
      <c r="E458" s="38" t="n">
        <v>408</v>
      </c>
      <c r="F458" s="31">
        <f>E458/52</f>
        <v/>
      </c>
      <c r="G458" s="39">
        <f>D458/1000000*52</f>
        <v/>
      </c>
      <c r="H458" s="33">
        <f>G458/$P$4+($C$22/$P$4)</f>
        <v/>
      </c>
      <c r="I458" s="36">
        <f>_xlfn.IFS(K458&lt;K$24,0,K458&lt;K$26,I$24,K458&lt;K$28,I$26,K458&lt;K$30,I$28,K458&lt;K$32,I$30,K458&lt;K$34,I$32,K458&lt;K$36,I$34,K458&lt;K$38,I$36,K458&lt;K$40,I$38,K458&lt;K$42,I$40,K458&lt;K$44,I$42,K458&lt;K$46,I$44,K458&gt;=K$46,I$46)</f>
        <v/>
      </c>
      <c r="J458" s="37">
        <f>_xlfn.IFS(K458&lt;K$24,0,K458&lt;K$25,J$24,K458&lt;K$26,J$25,K458&lt;K$27,J$26,K458&lt;K$28,J$27,K458&lt;K$29,J$28,K458&lt;K$30,J$29,K458&lt;K$31,J$30,K458&lt;K$32,J$31,K458&lt;K$33,J$32,K458&lt;K$34,J$33,K458&lt;K$35,J$34,K458&lt;K$36,J$35,K458&lt;K$37,J$36,K458&lt;K$38,J$37,K458&lt;K$39,J$38,K458&lt;K$40,J$39,K458&lt;K$41,J$40,K458&lt;K$42,J$41,K458&lt;K$43,J$42,K458&lt;K$44,J$43,K458&lt;K$45,J$44,K458&lt;K$46,J$45,K458&lt;K$47,J$46,K458&gt;=K$47,J$47)</f>
        <v/>
      </c>
      <c r="K458" s="38" t="n">
        <v>408</v>
      </c>
      <c r="L458" s="31">
        <f>K458/52</f>
        <v/>
      </c>
      <c r="M458" s="39">
        <f>J458/1000000*52</f>
        <v/>
      </c>
      <c r="N458" s="33">
        <f>M458/$P$4+($I$22/$P$4)</f>
        <v/>
      </c>
      <c r="U458">
        <f>F457</f>
        <v/>
      </c>
      <c r="V458">
        <f>H457</f>
        <v/>
      </c>
      <c r="W458">
        <f>N457</f>
        <v/>
      </c>
    </row>
    <row r="459" ht="15.75" customHeight="1" s="40">
      <c r="C459" s="36">
        <f>_xlfn.IFS(E459&lt;E$24,0,E459&lt;E$26,C$24,E459&lt;E$28,C$26,E459&lt;E$30,C$28,E459&lt;E$32,C$30,E459&lt;E$34,C$32,E459&gt;=E$34,C$34)</f>
        <v/>
      </c>
      <c r="D459" s="37">
        <f>_xlfn.IFS(E459&lt;E$24,0,E459&lt;E$25,D$24,E459&lt;E$26,D$25,E459&lt;E$27,D$26,E459&lt;E$28,D$27,E459&lt;E$29,D$28,E459&lt;E$30,D$29,E459&lt;E$31,D$30,E459&lt;E$32,D$31,E459&lt;E$33,D$32,E459&lt;E$34,D$33,E459&lt;E$35,D$34,E459&gt;=E$35,D$35)</f>
        <v/>
      </c>
      <c r="E459" s="38" t="n">
        <v>409</v>
      </c>
      <c r="F459" s="31">
        <f>E459/52</f>
        <v/>
      </c>
      <c r="G459" s="39">
        <f>D459/1000000*52</f>
        <v/>
      </c>
      <c r="H459" s="33">
        <f>G459/$P$4+($C$22/$P$4)</f>
        <v/>
      </c>
      <c r="I459" s="36">
        <f>_xlfn.IFS(K459&lt;K$24,0,K459&lt;K$26,I$24,K459&lt;K$28,I$26,K459&lt;K$30,I$28,K459&lt;K$32,I$30,K459&lt;K$34,I$32,K459&lt;K$36,I$34,K459&lt;K$38,I$36,K459&lt;K$40,I$38,K459&lt;K$42,I$40,K459&lt;K$44,I$42,K459&lt;K$46,I$44,K459&gt;=K$46,I$46)</f>
        <v/>
      </c>
      <c r="J459" s="37">
        <f>_xlfn.IFS(K459&lt;K$24,0,K459&lt;K$25,J$24,K459&lt;K$26,J$25,K459&lt;K$27,J$26,K459&lt;K$28,J$27,K459&lt;K$29,J$28,K459&lt;K$30,J$29,K459&lt;K$31,J$30,K459&lt;K$32,J$31,K459&lt;K$33,J$32,K459&lt;K$34,J$33,K459&lt;K$35,J$34,K459&lt;K$36,J$35,K459&lt;K$37,J$36,K459&lt;K$38,J$37,K459&lt;K$39,J$38,K459&lt;K$40,J$39,K459&lt;K$41,J$40,K459&lt;K$42,J$41,K459&lt;K$43,J$42,K459&lt;K$44,J$43,K459&lt;K$45,J$44,K459&lt;K$46,J$45,K459&lt;K$47,J$46,K459&gt;=K$47,J$47)</f>
        <v/>
      </c>
      <c r="K459" s="38" t="n">
        <v>409</v>
      </c>
      <c r="L459" s="31">
        <f>K459/52</f>
        <v/>
      </c>
      <c r="M459" s="39">
        <f>J459/1000000*52</f>
        <v/>
      </c>
      <c r="N459" s="33">
        <f>M459/$P$4+($I$22/$P$4)</f>
        <v/>
      </c>
      <c r="U459">
        <f>F458</f>
        <v/>
      </c>
      <c r="V459">
        <f>H458</f>
        <v/>
      </c>
      <c r="W459">
        <f>N458</f>
        <v/>
      </c>
    </row>
    <row r="460" ht="15.75" customHeight="1" s="40">
      <c r="C460" s="36">
        <f>_xlfn.IFS(E460&lt;E$24,0,E460&lt;E$26,C$24,E460&lt;E$28,C$26,E460&lt;E$30,C$28,E460&lt;E$32,C$30,E460&lt;E$34,C$32,E460&gt;=E$34,C$34)</f>
        <v/>
      </c>
      <c r="D460" s="37">
        <f>_xlfn.IFS(E460&lt;E$24,0,E460&lt;E$25,D$24,E460&lt;E$26,D$25,E460&lt;E$27,D$26,E460&lt;E$28,D$27,E460&lt;E$29,D$28,E460&lt;E$30,D$29,E460&lt;E$31,D$30,E460&lt;E$32,D$31,E460&lt;E$33,D$32,E460&lt;E$34,D$33,E460&lt;E$35,D$34,E460&gt;=E$35,D$35)</f>
        <v/>
      </c>
      <c r="E460" s="38" t="n">
        <v>410</v>
      </c>
      <c r="F460" s="31">
        <f>E460/52</f>
        <v/>
      </c>
      <c r="G460" s="39">
        <f>D460/1000000*52</f>
        <v/>
      </c>
      <c r="H460" s="33">
        <f>G460/$P$4+($C$22/$P$4)</f>
        <v/>
      </c>
      <c r="I460" s="36">
        <f>_xlfn.IFS(K460&lt;K$24,0,K460&lt;K$26,I$24,K460&lt;K$28,I$26,K460&lt;K$30,I$28,K460&lt;K$32,I$30,K460&lt;K$34,I$32,K460&lt;K$36,I$34,K460&lt;K$38,I$36,K460&lt;K$40,I$38,K460&lt;K$42,I$40,K460&lt;K$44,I$42,K460&lt;K$46,I$44,K460&gt;=K$46,I$46)</f>
        <v/>
      </c>
      <c r="J460" s="37">
        <f>_xlfn.IFS(K460&lt;K$24,0,K460&lt;K$25,J$24,K460&lt;K$26,J$25,K460&lt;K$27,J$26,K460&lt;K$28,J$27,K460&lt;K$29,J$28,K460&lt;K$30,J$29,K460&lt;K$31,J$30,K460&lt;K$32,J$31,K460&lt;K$33,J$32,K460&lt;K$34,J$33,K460&lt;K$35,J$34,K460&lt;K$36,J$35,K460&lt;K$37,J$36,K460&lt;K$38,J$37,K460&lt;K$39,J$38,K460&lt;K$40,J$39,K460&lt;K$41,J$40,K460&lt;K$42,J$41,K460&lt;K$43,J$42,K460&lt;K$44,J$43,K460&lt;K$45,J$44,K460&lt;K$46,J$45,K460&lt;K$47,J$46,K460&gt;=K$47,J$47)</f>
        <v/>
      </c>
      <c r="K460" s="38" t="n">
        <v>410</v>
      </c>
      <c r="L460" s="31">
        <f>K460/52</f>
        <v/>
      </c>
      <c r="M460" s="39">
        <f>J460/1000000*52</f>
        <v/>
      </c>
      <c r="N460" s="33">
        <f>M460/$P$4+($I$22/$P$4)</f>
        <v/>
      </c>
      <c r="U460">
        <f>F459</f>
        <v/>
      </c>
      <c r="V460">
        <f>H459</f>
        <v/>
      </c>
      <c r="W460">
        <f>N459</f>
        <v/>
      </c>
    </row>
    <row r="461" ht="15.75" customHeight="1" s="40">
      <c r="C461" s="36">
        <f>_xlfn.IFS(E461&lt;E$24,0,E461&lt;E$26,C$24,E461&lt;E$28,C$26,E461&lt;E$30,C$28,E461&lt;E$32,C$30,E461&lt;E$34,C$32,E461&gt;=E$34,C$34)</f>
        <v/>
      </c>
      <c r="D461" s="37">
        <f>_xlfn.IFS(E461&lt;E$24,0,E461&lt;E$25,D$24,E461&lt;E$26,D$25,E461&lt;E$27,D$26,E461&lt;E$28,D$27,E461&lt;E$29,D$28,E461&lt;E$30,D$29,E461&lt;E$31,D$30,E461&lt;E$32,D$31,E461&lt;E$33,D$32,E461&lt;E$34,D$33,E461&lt;E$35,D$34,E461&gt;=E$35,D$35)</f>
        <v/>
      </c>
      <c r="E461" s="38" t="n">
        <v>411</v>
      </c>
      <c r="F461" s="31">
        <f>E461/52</f>
        <v/>
      </c>
      <c r="G461" s="39">
        <f>D461/1000000*52</f>
        <v/>
      </c>
      <c r="H461" s="33">
        <f>G461/$P$4+($C$22/$P$4)</f>
        <v/>
      </c>
      <c r="I461" s="36">
        <f>_xlfn.IFS(K461&lt;K$24,0,K461&lt;K$26,I$24,K461&lt;K$28,I$26,K461&lt;K$30,I$28,K461&lt;K$32,I$30,K461&lt;K$34,I$32,K461&lt;K$36,I$34,K461&lt;K$38,I$36,K461&lt;K$40,I$38,K461&lt;K$42,I$40,K461&lt;K$44,I$42,K461&lt;K$46,I$44,K461&gt;=K$46,I$46)</f>
        <v/>
      </c>
      <c r="J461" s="37">
        <f>_xlfn.IFS(K461&lt;K$24,0,K461&lt;K$25,J$24,K461&lt;K$26,J$25,K461&lt;K$27,J$26,K461&lt;K$28,J$27,K461&lt;K$29,J$28,K461&lt;K$30,J$29,K461&lt;K$31,J$30,K461&lt;K$32,J$31,K461&lt;K$33,J$32,K461&lt;K$34,J$33,K461&lt;K$35,J$34,K461&lt;K$36,J$35,K461&lt;K$37,J$36,K461&lt;K$38,J$37,K461&lt;K$39,J$38,K461&lt;K$40,J$39,K461&lt;K$41,J$40,K461&lt;K$42,J$41,K461&lt;K$43,J$42,K461&lt;K$44,J$43,K461&lt;K$45,J$44,K461&lt;K$46,J$45,K461&lt;K$47,J$46,K461&gt;=K$47,J$47)</f>
        <v/>
      </c>
      <c r="K461" s="38" t="n">
        <v>411</v>
      </c>
      <c r="L461" s="31">
        <f>K461/52</f>
        <v/>
      </c>
      <c r="M461" s="39">
        <f>J461/1000000*52</f>
        <v/>
      </c>
      <c r="N461" s="33">
        <f>M461/$P$4+($I$22/$P$4)</f>
        <v/>
      </c>
      <c r="U461">
        <f>F460</f>
        <v/>
      </c>
      <c r="V461">
        <f>H460</f>
        <v/>
      </c>
      <c r="W461">
        <f>N460</f>
        <v/>
      </c>
    </row>
    <row r="462" ht="15.75" customHeight="1" s="40">
      <c r="C462" s="36">
        <f>_xlfn.IFS(E462&lt;E$24,0,E462&lt;E$26,C$24,E462&lt;E$28,C$26,E462&lt;E$30,C$28,E462&lt;E$32,C$30,E462&lt;E$34,C$32,E462&gt;=E$34,C$34)</f>
        <v/>
      </c>
      <c r="D462" s="37">
        <f>_xlfn.IFS(E462&lt;E$24,0,E462&lt;E$25,D$24,E462&lt;E$26,D$25,E462&lt;E$27,D$26,E462&lt;E$28,D$27,E462&lt;E$29,D$28,E462&lt;E$30,D$29,E462&lt;E$31,D$30,E462&lt;E$32,D$31,E462&lt;E$33,D$32,E462&lt;E$34,D$33,E462&lt;E$35,D$34,E462&gt;=E$35,D$35)</f>
        <v/>
      </c>
      <c r="E462" s="38" t="n">
        <v>412</v>
      </c>
      <c r="F462" s="31">
        <f>E462/52</f>
        <v/>
      </c>
      <c r="G462" s="39">
        <f>D462/1000000*52</f>
        <v/>
      </c>
      <c r="H462" s="33">
        <f>G462/$P$4+($C$22/$P$4)</f>
        <v/>
      </c>
      <c r="I462" s="36">
        <f>_xlfn.IFS(K462&lt;K$24,0,K462&lt;K$26,I$24,K462&lt;K$28,I$26,K462&lt;K$30,I$28,K462&lt;K$32,I$30,K462&lt;K$34,I$32,K462&lt;K$36,I$34,K462&lt;K$38,I$36,K462&lt;K$40,I$38,K462&lt;K$42,I$40,K462&lt;K$44,I$42,K462&lt;K$46,I$44,K462&gt;=K$46,I$46)</f>
        <v/>
      </c>
      <c r="J462" s="37">
        <f>_xlfn.IFS(K462&lt;K$24,0,K462&lt;K$25,J$24,K462&lt;K$26,J$25,K462&lt;K$27,J$26,K462&lt;K$28,J$27,K462&lt;K$29,J$28,K462&lt;K$30,J$29,K462&lt;K$31,J$30,K462&lt;K$32,J$31,K462&lt;K$33,J$32,K462&lt;K$34,J$33,K462&lt;K$35,J$34,K462&lt;K$36,J$35,K462&lt;K$37,J$36,K462&lt;K$38,J$37,K462&lt;K$39,J$38,K462&lt;K$40,J$39,K462&lt;K$41,J$40,K462&lt;K$42,J$41,K462&lt;K$43,J$42,K462&lt;K$44,J$43,K462&lt;K$45,J$44,K462&lt;K$46,J$45,K462&lt;K$47,J$46,K462&gt;=K$47,J$47)</f>
        <v/>
      </c>
      <c r="K462" s="38" t="n">
        <v>412</v>
      </c>
      <c r="L462" s="31">
        <f>K462/52</f>
        <v/>
      </c>
      <c r="M462" s="39">
        <f>J462/1000000*52</f>
        <v/>
      </c>
      <c r="N462" s="33">
        <f>M462/$P$4+($I$22/$P$4)</f>
        <v/>
      </c>
      <c r="U462">
        <f>F461</f>
        <v/>
      </c>
      <c r="V462">
        <f>H461</f>
        <v/>
      </c>
      <c r="W462">
        <f>N461</f>
        <v/>
      </c>
    </row>
    <row r="463" ht="15.75" customHeight="1" s="40">
      <c r="C463" s="36">
        <f>_xlfn.IFS(E463&lt;E$24,0,E463&lt;E$26,C$24,E463&lt;E$28,C$26,E463&lt;E$30,C$28,E463&lt;E$32,C$30,E463&lt;E$34,C$32,E463&gt;=E$34,C$34)</f>
        <v/>
      </c>
      <c r="D463" s="37">
        <f>_xlfn.IFS(E463&lt;E$24,0,E463&lt;E$25,D$24,E463&lt;E$26,D$25,E463&lt;E$27,D$26,E463&lt;E$28,D$27,E463&lt;E$29,D$28,E463&lt;E$30,D$29,E463&lt;E$31,D$30,E463&lt;E$32,D$31,E463&lt;E$33,D$32,E463&lt;E$34,D$33,E463&lt;E$35,D$34,E463&gt;=E$35,D$35)</f>
        <v/>
      </c>
      <c r="E463" s="38" t="n">
        <v>413</v>
      </c>
      <c r="F463" s="31">
        <f>E463/52</f>
        <v/>
      </c>
      <c r="G463" s="39">
        <f>D463/1000000*52</f>
        <v/>
      </c>
      <c r="H463" s="33">
        <f>G463/$P$4+($C$22/$P$4)</f>
        <v/>
      </c>
      <c r="I463" s="36">
        <f>_xlfn.IFS(K463&lt;K$24,0,K463&lt;K$26,I$24,K463&lt;K$28,I$26,K463&lt;K$30,I$28,K463&lt;K$32,I$30,K463&lt;K$34,I$32,K463&lt;K$36,I$34,K463&lt;K$38,I$36,K463&lt;K$40,I$38,K463&lt;K$42,I$40,K463&lt;K$44,I$42,K463&lt;K$46,I$44,K463&gt;=K$46,I$46)</f>
        <v/>
      </c>
      <c r="J463" s="37">
        <f>_xlfn.IFS(K463&lt;K$24,0,K463&lt;K$25,J$24,K463&lt;K$26,J$25,K463&lt;K$27,J$26,K463&lt;K$28,J$27,K463&lt;K$29,J$28,K463&lt;K$30,J$29,K463&lt;K$31,J$30,K463&lt;K$32,J$31,K463&lt;K$33,J$32,K463&lt;K$34,J$33,K463&lt;K$35,J$34,K463&lt;K$36,J$35,K463&lt;K$37,J$36,K463&lt;K$38,J$37,K463&lt;K$39,J$38,K463&lt;K$40,J$39,K463&lt;K$41,J$40,K463&lt;K$42,J$41,K463&lt;K$43,J$42,K463&lt;K$44,J$43,K463&lt;K$45,J$44,K463&lt;K$46,J$45,K463&lt;K$47,J$46,K463&gt;=K$47,J$47)</f>
        <v/>
      </c>
      <c r="K463" s="38" t="n">
        <v>413</v>
      </c>
      <c r="L463" s="31">
        <f>K463/52</f>
        <v/>
      </c>
      <c r="M463" s="39">
        <f>J463/1000000*52</f>
        <v/>
      </c>
      <c r="N463" s="33">
        <f>M463/$P$4+($I$22/$P$4)</f>
        <v/>
      </c>
      <c r="U463">
        <f>F462</f>
        <v/>
      </c>
      <c r="V463">
        <f>H462</f>
        <v/>
      </c>
      <c r="W463">
        <f>N462</f>
        <v/>
      </c>
    </row>
    <row r="464" ht="15.75" customHeight="1" s="40">
      <c r="C464" s="36">
        <f>_xlfn.IFS(E464&lt;E$24,0,E464&lt;E$26,C$24,E464&lt;E$28,C$26,E464&lt;E$30,C$28,E464&lt;E$32,C$30,E464&lt;E$34,C$32,E464&gt;=E$34,C$34)</f>
        <v/>
      </c>
      <c r="D464" s="37">
        <f>_xlfn.IFS(E464&lt;E$24,0,E464&lt;E$25,D$24,E464&lt;E$26,D$25,E464&lt;E$27,D$26,E464&lt;E$28,D$27,E464&lt;E$29,D$28,E464&lt;E$30,D$29,E464&lt;E$31,D$30,E464&lt;E$32,D$31,E464&lt;E$33,D$32,E464&lt;E$34,D$33,E464&lt;E$35,D$34,E464&gt;=E$35,D$35)</f>
        <v/>
      </c>
      <c r="E464" s="38" t="n">
        <v>414</v>
      </c>
      <c r="F464" s="31">
        <f>E464/52</f>
        <v/>
      </c>
      <c r="G464" s="39">
        <f>D464/1000000*52</f>
        <v/>
      </c>
      <c r="H464" s="33">
        <f>G464/$P$4+($C$22/$P$4)</f>
        <v/>
      </c>
      <c r="I464" s="36">
        <f>_xlfn.IFS(K464&lt;K$24,0,K464&lt;K$26,I$24,K464&lt;K$28,I$26,K464&lt;K$30,I$28,K464&lt;K$32,I$30,K464&lt;K$34,I$32,K464&lt;K$36,I$34,K464&lt;K$38,I$36,K464&lt;K$40,I$38,K464&lt;K$42,I$40,K464&lt;K$44,I$42,K464&lt;K$46,I$44,K464&gt;=K$46,I$46)</f>
        <v/>
      </c>
      <c r="J464" s="37">
        <f>_xlfn.IFS(K464&lt;K$24,0,K464&lt;K$25,J$24,K464&lt;K$26,J$25,K464&lt;K$27,J$26,K464&lt;K$28,J$27,K464&lt;K$29,J$28,K464&lt;K$30,J$29,K464&lt;K$31,J$30,K464&lt;K$32,J$31,K464&lt;K$33,J$32,K464&lt;K$34,J$33,K464&lt;K$35,J$34,K464&lt;K$36,J$35,K464&lt;K$37,J$36,K464&lt;K$38,J$37,K464&lt;K$39,J$38,K464&lt;K$40,J$39,K464&lt;K$41,J$40,K464&lt;K$42,J$41,K464&lt;K$43,J$42,K464&lt;K$44,J$43,K464&lt;K$45,J$44,K464&lt;K$46,J$45,K464&lt;K$47,J$46,K464&gt;=K$47,J$47)</f>
        <v/>
      </c>
      <c r="K464" s="38" t="n">
        <v>414</v>
      </c>
      <c r="L464" s="31">
        <f>K464/52</f>
        <v/>
      </c>
      <c r="M464" s="39">
        <f>J464/1000000*52</f>
        <v/>
      </c>
      <c r="N464" s="33">
        <f>M464/$P$4+($I$22/$P$4)</f>
        <v/>
      </c>
      <c r="U464">
        <f>F463</f>
        <v/>
      </c>
      <c r="V464">
        <f>H463</f>
        <v/>
      </c>
      <c r="W464">
        <f>N463</f>
        <v/>
      </c>
    </row>
    <row r="465" ht="15.75" customHeight="1" s="40">
      <c r="C465" s="36">
        <f>_xlfn.IFS(E465&lt;E$24,0,E465&lt;E$26,C$24,E465&lt;E$28,C$26,E465&lt;E$30,C$28,E465&lt;E$32,C$30,E465&lt;E$34,C$32,E465&gt;=E$34,C$34)</f>
        <v/>
      </c>
      <c r="D465" s="37">
        <f>_xlfn.IFS(E465&lt;E$24,0,E465&lt;E$25,D$24,E465&lt;E$26,D$25,E465&lt;E$27,D$26,E465&lt;E$28,D$27,E465&lt;E$29,D$28,E465&lt;E$30,D$29,E465&lt;E$31,D$30,E465&lt;E$32,D$31,E465&lt;E$33,D$32,E465&lt;E$34,D$33,E465&lt;E$35,D$34,E465&gt;=E$35,D$35)</f>
        <v/>
      </c>
      <c r="E465" s="38" t="n">
        <v>415</v>
      </c>
      <c r="F465" s="31">
        <f>E465/52</f>
        <v/>
      </c>
      <c r="G465" s="39">
        <f>D465/1000000*52</f>
        <v/>
      </c>
      <c r="H465" s="33">
        <f>G465/$P$4+($C$22/$P$4)</f>
        <v/>
      </c>
      <c r="I465" s="36">
        <f>_xlfn.IFS(K465&lt;K$24,0,K465&lt;K$26,I$24,K465&lt;K$28,I$26,K465&lt;K$30,I$28,K465&lt;K$32,I$30,K465&lt;K$34,I$32,K465&lt;K$36,I$34,K465&lt;K$38,I$36,K465&lt;K$40,I$38,K465&lt;K$42,I$40,K465&lt;K$44,I$42,K465&lt;K$46,I$44,K465&gt;=K$46,I$46)</f>
        <v/>
      </c>
      <c r="J465" s="37">
        <f>_xlfn.IFS(K465&lt;K$24,0,K465&lt;K$25,J$24,K465&lt;K$26,J$25,K465&lt;K$27,J$26,K465&lt;K$28,J$27,K465&lt;K$29,J$28,K465&lt;K$30,J$29,K465&lt;K$31,J$30,K465&lt;K$32,J$31,K465&lt;K$33,J$32,K465&lt;K$34,J$33,K465&lt;K$35,J$34,K465&lt;K$36,J$35,K465&lt;K$37,J$36,K465&lt;K$38,J$37,K465&lt;K$39,J$38,K465&lt;K$40,J$39,K465&lt;K$41,J$40,K465&lt;K$42,J$41,K465&lt;K$43,J$42,K465&lt;K$44,J$43,K465&lt;K$45,J$44,K465&lt;K$46,J$45,K465&lt;K$47,J$46,K465&gt;=K$47,J$47)</f>
        <v/>
      </c>
      <c r="K465" s="38" t="n">
        <v>415</v>
      </c>
      <c r="L465" s="31">
        <f>K465/52</f>
        <v/>
      </c>
      <c r="M465" s="39">
        <f>J465/1000000*52</f>
        <v/>
      </c>
      <c r="N465" s="33">
        <f>M465/$P$4+($I$22/$P$4)</f>
        <v/>
      </c>
      <c r="U465">
        <f>F464</f>
        <v/>
      </c>
      <c r="V465">
        <f>H464</f>
        <v/>
      </c>
      <c r="W465">
        <f>N464</f>
        <v/>
      </c>
    </row>
    <row r="466" ht="15.75" customHeight="1" s="40">
      <c r="C466" s="36">
        <f>_xlfn.IFS(E466&lt;E$24,0,E466&lt;E$26,C$24,E466&lt;E$28,C$26,E466&lt;E$30,C$28,E466&lt;E$32,C$30,E466&lt;E$34,C$32,E466&gt;=E$34,C$34)</f>
        <v/>
      </c>
      <c r="D466" s="37">
        <f>_xlfn.IFS(E466&lt;E$24,0,E466&lt;E$25,D$24,E466&lt;E$26,D$25,E466&lt;E$27,D$26,E466&lt;E$28,D$27,E466&lt;E$29,D$28,E466&lt;E$30,D$29,E466&lt;E$31,D$30,E466&lt;E$32,D$31,E466&lt;E$33,D$32,E466&lt;E$34,D$33,E466&lt;E$35,D$34,E466&gt;=E$35,D$35)</f>
        <v/>
      </c>
      <c r="E466" s="38" t="n">
        <v>416</v>
      </c>
      <c r="F466" s="31">
        <f>E466/52</f>
        <v/>
      </c>
      <c r="G466" s="39">
        <f>D466/1000000*52</f>
        <v/>
      </c>
      <c r="H466" s="33">
        <f>G466/$P$4+($C$22/$P$4)</f>
        <v/>
      </c>
      <c r="I466" s="36">
        <f>_xlfn.IFS(K466&lt;K$24,0,K466&lt;K$26,I$24,K466&lt;K$28,I$26,K466&lt;K$30,I$28,K466&lt;K$32,I$30,K466&lt;K$34,I$32,K466&lt;K$36,I$34,K466&lt;K$38,I$36,K466&lt;K$40,I$38,K466&lt;K$42,I$40,K466&lt;K$44,I$42,K466&lt;K$46,I$44,K466&gt;=K$46,I$46)</f>
        <v/>
      </c>
      <c r="J466" s="37">
        <f>_xlfn.IFS(K466&lt;K$24,0,K466&lt;K$25,J$24,K466&lt;K$26,J$25,K466&lt;K$27,J$26,K466&lt;K$28,J$27,K466&lt;K$29,J$28,K466&lt;K$30,J$29,K466&lt;K$31,J$30,K466&lt;K$32,J$31,K466&lt;K$33,J$32,K466&lt;K$34,J$33,K466&lt;K$35,J$34,K466&lt;K$36,J$35,K466&lt;K$37,J$36,K466&lt;K$38,J$37,K466&lt;K$39,J$38,K466&lt;K$40,J$39,K466&lt;K$41,J$40,K466&lt;K$42,J$41,K466&lt;K$43,J$42,K466&lt;K$44,J$43,K466&lt;K$45,J$44,K466&lt;K$46,J$45,K466&lt;K$47,J$46,K466&gt;=K$47,J$47)</f>
        <v/>
      </c>
      <c r="K466" s="38" t="n">
        <v>416</v>
      </c>
      <c r="L466" s="31">
        <f>K466/52</f>
        <v/>
      </c>
      <c r="M466" s="39">
        <f>J466/1000000*52</f>
        <v/>
      </c>
      <c r="N466" s="33">
        <f>M466/$P$4+($I$22/$P$4)</f>
        <v/>
      </c>
      <c r="U466">
        <f>F465</f>
        <v/>
      </c>
      <c r="V466">
        <f>H465</f>
        <v/>
      </c>
      <c r="W466">
        <f>N465</f>
        <v/>
      </c>
    </row>
    <row r="467" ht="15.75" customHeight="1" s="40">
      <c r="C467" s="36">
        <f>_xlfn.IFS(E467&lt;E$24,0,E467&lt;E$26,C$24,E467&lt;E$28,C$26,E467&lt;E$30,C$28,E467&lt;E$32,C$30,E467&lt;E$34,C$32,E467&gt;=E$34,C$34)</f>
        <v/>
      </c>
      <c r="D467" s="37">
        <f>_xlfn.IFS(E467&lt;E$24,0,E467&lt;E$25,D$24,E467&lt;E$26,D$25,E467&lt;E$27,D$26,E467&lt;E$28,D$27,E467&lt;E$29,D$28,E467&lt;E$30,D$29,E467&lt;E$31,D$30,E467&lt;E$32,D$31,E467&lt;E$33,D$32,E467&lt;E$34,D$33,E467&lt;E$35,D$34,E467&gt;=E$35,D$35)</f>
        <v/>
      </c>
      <c r="E467" s="38" t="n">
        <v>417</v>
      </c>
      <c r="F467" s="31">
        <f>E467/52</f>
        <v/>
      </c>
      <c r="G467" s="39">
        <f>D467/1000000*52</f>
        <v/>
      </c>
      <c r="H467" s="33">
        <f>G467/$P$4+($C$22/$P$4)</f>
        <v/>
      </c>
      <c r="I467" s="36">
        <f>_xlfn.IFS(K467&lt;K$24,0,K467&lt;K$26,I$24,K467&lt;K$28,I$26,K467&lt;K$30,I$28,K467&lt;K$32,I$30,K467&lt;K$34,I$32,K467&lt;K$36,I$34,K467&lt;K$38,I$36,K467&lt;K$40,I$38,K467&lt;K$42,I$40,K467&lt;K$44,I$42,K467&lt;K$46,I$44,K467&gt;=K$46,I$46)</f>
        <v/>
      </c>
      <c r="J467" s="37">
        <f>_xlfn.IFS(K467&lt;K$24,0,K467&lt;K$25,J$24,K467&lt;K$26,J$25,K467&lt;K$27,J$26,K467&lt;K$28,J$27,K467&lt;K$29,J$28,K467&lt;K$30,J$29,K467&lt;K$31,J$30,K467&lt;K$32,J$31,K467&lt;K$33,J$32,K467&lt;K$34,J$33,K467&lt;K$35,J$34,K467&lt;K$36,J$35,K467&lt;K$37,J$36,K467&lt;K$38,J$37,K467&lt;K$39,J$38,K467&lt;K$40,J$39,K467&lt;K$41,J$40,K467&lt;K$42,J$41,K467&lt;K$43,J$42,K467&lt;K$44,J$43,K467&lt;K$45,J$44,K467&lt;K$46,J$45,K467&lt;K$47,J$46,K467&gt;=K$47,J$47)</f>
        <v/>
      </c>
      <c r="K467" s="38" t="n">
        <v>417</v>
      </c>
      <c r="L467" s="31">
        <f>K467/52</f>
        <v/>
      </c>
      <c r="M467" s="39">
        <f>J467/1000000*52</f>
        <v/>
      </c>
      <c r="N467" s="33">
        <f>M467/$P$4+($I$22/$P$4)</f>
        <v/>
      </c>
      <c r="U467">
        <f>F466</f>
        <v/>
      </c>
      <c r="V467">
        <f>H466</f>
        <v/>
      </c>
      <c r="W467">
        <f>N466</f>
        <v/>
      </c>
    </row>
    <row r="468" ht="15.75" customHeight="1" s="40">
      <c r="C468" s="36">
        <f>_xlfn.IFS(E468&lt;E$24,0,E468&lt;E$26,C$24,E468&lt;E$28,C$26,E468&lt;E$30,C$28,E468&lt;E$32,C$30,E468&lt;E$34,C$32,E468&gt;=E$34,C$34)</f>
        <v/>
      </c>
      <c r="D468" s="37">
        <f>_xlfn.IFS(E468&lt;E$24,0,E468&lt;E$25,D$24,E468&lt;E$26,D$25,E468&lt;E$27,D$26,E468&lt;E$28,D$27,E468&lt;E$29,D$28,E468&lt;E$30,D$29,E468&lt;E$31,D$30,E468&lt;E$32,D$31,E468&lt;E$33,D$32,E468&lt;E$34,D$33,E468&lt;E$35,D$34,E468&gt;=E$35,D$35)</f>
        <v/>
      </c>
      <c r="E468" s="38" t="n">
        <v>418</v>
      </c>
      <c r="F468" s="31">
        <f>E468/52</f>
        <v/>
      </c>
      <c r="G468" s="39">
        <f>D468/1000000*52</f>
        <v/>
      </c>
      <c r="H468" s="33">
        <f>G468/$P$4+($C$22/$P$4)</f>
        <v/>
      </c>
      <c r="I468" s="36">
        <f>_xlfn.IFS(K468&lt;K$24,0,K468&lt;K$26,I$24,K468&lt;K$28,I$26,K468&lt;K$30,I$28,K468&lt;K$32,I$30,K468&lt;K$34,I$32,K468&lt;K$36,I$34,K468&lt;K$38,I$36,K468&lt;K$40,I$38,K468&lt;K$42,I$40,K468&lt;K$44,I$42,K468&lt;K$46,I$44,K468&gt;=K$46,I$46)</f>
        <v/>
      </c>
      <c r="J468" s="37">
        <f>_xlfn.IFS(K468&lt;K$24,0,K468&lt;K$25,J$24,K468&lt;K$26,J$25,K468&lt;K$27,J$26,K468&lt;K$28,J$27,K468&lt;K$29,J$28,K468&lt;K$30,J$29,K468&lt;K$31,J$30,K468&lt;K$32,J$31,K468&lt;K$33,J$32,K468&lt;K$34,J$33,K468&lt;K$35,J$34,K468&lt;K$36,J$35,K468&lt;K$37,J$36,K468&lt;K$38,J$37,K468&lt;K$39,J$38,K468&lt;K$40,J$39,K468&lt;K$41,J$40,K468&lt;K$42,J$41,K468&lt;K$43,J$42,K468&lt;K$44,J$43,K468&lt;K$45,J$44,K468&lt;K$46,J$45,K468&lt;K$47,J$46,K468&gt;=K$47,J$47)</f>
        <v/>
      </c>
      <c r="K468" s="38" t="n">
        <v>418</v>
      </c>
      <c r="L468" s="31">
        <f>K468/52</f>
        <v/>
      </c>
      <c r="M468" s="39">
        <f>J468/1000000*52</f>
        <v/>
      </c>
      <c r="N468" s="33">
        <f>M468/$P$4+($I$22/$P$4)</f>
        <v/>
      </c>
      <c r="U468">
        <f>F467</f>
        <v/>
      </c>
      <c r="V468">
        <f>H467</f>
        <v/>
      </c>
      <c r="W468">
        <f>N467</f>
        <v/>
      </c>
    </row>
    <row r="469" ht="15.75" customHeight="1" s="40">
      <c r="C469" s="36">
        <f>_xlfn.IFS(E469&lt;E$24,0,E469&lt;E$26,C$24,E469&lt;E$28,C$26,E469&lt;E$30,C$28,E469&lt;E$32,C$30,E469&lt;E$34,C$32,E469&gt;=E$34,C$34)</f>
        <v/>
      </c>
      <c r="D469" s="37">
        <f>_xlfn.IFS(E469&lt;E$24,0,E469&lt;E$25,D$24,E469&lt;E$26,D$25,E469&lt;E$27,D$26,E469&lt;E$28,D$27,E469&lt;E$29,D$28,E469&lt;E$30,D$29,E469&lt;E$31,D$30,E469&lt;E$32,D$31,E469&lt;E$33,D$32,E469&lt;E$34,D$33,E469&lt;E$35,D$34,E469&gt;=E$35,D$35)</f>
        <v/>
      </c>
      <c r="E469" s="38" t="n">
        <v>419</v>
      </c>
      <c r="F469" s="31">
        <f>E469/52</f>
        <v/>
      </c>
      <c r="G469" s="39">
        <f>D469/1000000*52</f>
        <v/>
      </c>
      <c r="H469" s="33">
        <f>G469/$P$4+($C$22/$P$4)</f>
        <v/>
      </c>
      <c r="I469" s="36">
        <f>_xlfn.IFS(K469&lt;K$24,0,K469&lt;K$26,I$24,K469&lt;K$28,I$26,K469&lt;K$30,I$28,K469&lt;K$32,I$30,K469&lt;K$34,I$32,K469&lt;K$36,I$34,K469&lt;K$38,I$36,K469&lt;K$40,I$38,K469&lt;K$42,I$40,K469&lt;K$44,I$42,K469&lt;K$46,I$44,K469&gt;=K$46,I$46)</f>
        <v/>
      </c>
      <c r="J469" s="37">
        <f>_xlfn.IFS(K469&lt;K$24,0,K469&lt;K$25,J$24,K469&lt;K$26,J$25,K469&lt;K$27,J$26,K469&lt;K$28,J$27,K469&lt;K$29,J$28,K469&lt;K$30,J$29,K469&lt;K$31,J$30,K469&lt;K$32,J$31,K469&lt;K$33,J$32,K469&lt;K$34,J$33,K469&lt;K$35,J$34,K469&lt;K$36,J$35,K469&lt;K$37,J$36,K469&lt;K$38,J$37,K469&lt;K$39,J$38,K469&lt;K$40,J$39,K469&lt;K$41,J$40,K469&lt;K$42,J$41,K469&lt;K$43,J$42,K469&lt;K$44,J$43,K469&lt;K$45,J$44,K469&lt;K$46,J$45,K469&lt;K$47,J$46,K469&gt;=K$47,J$47)</f>
        <v/>
      </c>
      <c r="K469" s="38" t="n">
        <v>419</v>
      </c>
      <c r="L469" s="31">
        <f>K469/52</f>
        <v/>
      </c>
      <c r="M469" s="39">
        <f>J469/1000000*52</f>
        <v/>
      </c>
      <c r="N469" s="33">
        <f>M469/$P$4+($I$22/$P$4)</f>
        <v/>
      </c>
      <c r="U469">
        <f>F468</f>
        <v/>
      </c>
      <c r="V469">
        <f>H468</f>
        <v/>
      </c>
      <c r="W469">
        <f>N468</f>
        <v/>
      </c>
    </row>
    <row r="470" ht="15.75" customHeight="1" s="40">
      <c r="C470" s="36">
        <f>_xlfn.IFS(E470&lt;E$24,0,E470&lt;E$26,C$24,E470&lt;E$28,C$26,E470&lt;E$30,C$28,E470&lt;E$32,C$30,E470&lt;E$34,C$32,E470&gt;=E$34,C$34)</f>
        <v/>
      </c>
      <c r="D470" s="37">
        <f>_xlfn.IFS(E470&lt;E$24,0,E470&lt;E$25,D$24,E470&lt;E$26,D$25,E470&lt;E$27,D$26,E470&lt;E$28,D$27,E470&lt;E$29,D$28,E470&lt;E$30,D$29,E470&lt;E$31,D$30,E470&lt;E$32,D$31,E470&lt;E$33,D$32,E470&lt;E$34,D$33,E470&lt;E$35,D$34,E470&gt;=E$35,D$35)</f>
        <v/>
      </c>
      <c r="E470" s="38" t="n">
        <v>420</v>
      </c>
      <c r="F470" s="31">
        <f>E470/52</f>
        <v/>
      </c>
      <c r="G470" s="39">
        <f>D470/1000000*52</f>
        <v/>
      </c>
      <c r="H470" s="33">
        <f>G470/$P$4+($C$22/$P$4)</f>
        <v/>
      </c>
      <c r="I470" s="36">
        <f>_xlfn.IFS(K470&lt;K$24,0,K470&lt;K$26,I$24,K470&lt;K$28,I$26,K470&lt;K$30,I$28,K470&lt;K$32,I$30,K470&lt;K$34,I$32,K470&lt;K$36,I$34,K470&lt;K$38,I$36,K470&lt;K$40,I$38,K470&lt;K$42,I$40,K470&lt;K$44,I$42,K470&lt;K$46,I$44,K470&gt;=K$46,I$46)</f>
        <v/>
      </c>
      <c r="J470" s="37">
        <f>_xlfn.IFS(K470&lt;K$24,0,K470&lt;K$25,J$24,K470&lt;K$26,J$25,K470&lt;K$27,J$26,K470&lt;K$28,J$27,K470&lt;K$29,J$28,K470&lt;K$30,J$29,K470&lt;K$31,J$30,K470&lt;K$32,J$31,K470&lt;K$33,J$32,K470&lt;K$34,J$33,K470&lt;K$35,J$34,K470&lt;K$36,J$35,K470&lt;K$37,J$36,K470&lt;K$38,J$37,K470&lt;K$39,J$38,K470&lt;K$40,J$39,K470&lt;K$41,J$40,K470&lt;K$42,J$41,K470&lt;K$43,J$42,K470&lt;K$44,J$43,K470&lt;K$45,J$44,K470&lt;K$46,J$45,K470&lt;K$47,J$46,K470&gt;=K$47,J$47)</f>
        <v/>
      </c>
      <c r="K470" s="38" t="n">
        <v>420</v>
      </c>
      <c r="L470" s="31">
        <f>K470/52</f>
        <v/>
      </c>
      <c r="M470" s="39">
        <f>J470/1000000*52</f>
        <v/>
      </c>
      <c r="N470" s="33">
        <f>M470/$P$4+($I$22/$P$4)</f>
        <v/>
      </c>
      <c r="U470">
        <f>F469</f>
        <v/>
      </c>
      <c r="V470">
        <f>H469</f>
        <v/>
      </c>
      <c r="W470">
        <f>N469</f>
        <v/>
      </c>
    </row>
    <row r="471" ht="15.75" customHeight="1" s="40">
      <c r="C471" s="36">
        <f>_xlfn.IFS(E471&lt;E$24,0,E471&lt;E$26,C$24,E471&lt;E$28,C$26,E471&lt;E$30,C$28,E471&lt;E$32,C$30,E471&lt;E$34,C$32,E471&gt;=E$34,C$34)</f>
        <v/>
      </c>
      <c r="D471" s="37">
        <f>_xlfn.IFS(E471&lt;E$24,0,E471&lt;E$25,D$24,E471&lt;E$26,D$25,E471&lt;E$27,D$26,E471&lt;E$28,D$27,E471&lt;E$29,D$28,E471&lt;E$30,D$29,E471&lt;E$31,D$30,E471&lt;E$32,D$31,E471&lt;E$33,D$32,E471&lt;E$34,D$33,E471&lt;E$35,D$34,E471&gt;=E$35,D$35)</f>
        <v/>
      </c>
      <c r="E471" s="38" t="n">
        <v>421</v>
      </c>
      <c r="F471" s="31">
        <f>E471/52</f>
        <v/>
      </c>
      <c r="G471" s="39">
        <f>D471/1000000*52</f>
        <v/>
      </c>
      <c r="H471" s="33">
        <f>G471/$P$4+($C$22/$P$4)</f>
        <v/>
      </c>
      <c r="I471" s="36">
        <f>_xlfn.IFS(K471&lt;K$24,0,K471&lt;K$26,I$24,K471&lt;K$28,I$26,K471&lt;K$30,I$28,K471&lt;K$32,I$30,K471&lt;K$34,I$32,K471&lt;K$36,I$34,K471&lt;K$38,I$36,K471&lt;K$40,I$38,K471&lt;K$42,I$40,K471&lt;K$44,I$42,K471&lt;K$46,I$44,K471&gt;=K$46,I$46)</f>
        <v/>
      </c>
      <c r="J471" s="37">
        <f>_xlfn.IFS(K471&lt;K$24,0,K471&lt;K$25,J$24,K471&lt;K$26,J$25,K471&lt;K$27,J$26,K471&lt;K$28,J$27,K471&lt;K$29,J$28,K471&lt;K$30,J$29,K471&lt;K$31,J$30,K471&lt;K$32,J$31,K471&lt;K$33,J$32,K471&lt;K$34,J$33,K471&lt;K$35,J$34,K471&lt;K$36,J$35,K471&lt;K$37,J$36,K471&lt;K$38,J$37,K471&lt;K$39,J$38,K471&lt;K$40,J$39,K471&lt;K$41,J$40,K471&lt;K$42,J$41,K471&lt;K$43,J$42,K471&lt;K$44,J$43,K471&lt;K$45,J$44,K471&lt;K$46,J$45,K471&lt;K$47,J$46,K471&gt;=K$47,J$47)</f>
        <v/>
      </c>
      <c r="K471" s="38" t="n">
        <v>421</v>
      </c>
      <c r="L471" s="31">
        <f>K471/52</f>
        <v/>
      </c>
      <c r="M471" s="39">
        <f>J471/1000000*52</f>
        <v/>
      </c>
      <c r="N471" s="33">
        <f>M471/$P$4+($I$22/$P$4)</f>
        <v/>
      </c>
      <c r="U471">
        <f>F470</f>
        <v/>
      </c>
      <c r="V471">
        <f>H470</f>
        <v/>
      </c>
      <c r="W471">
        <f>N470</f>
        <v/>
      </c>
    </row>
    <row r="472" ht="15.75" customHeight="1" s="40">
      <c r="C472" s="36">
        <f>_xlfn.IFS(E472&lt;E$24,0,E472&lt;E$26,C$24,E472&lt;E$28,C$26,E472&lt;E$30,C$28,E472&lt;E$32,C$30,E472&lt;E$34,C$32,E472&gt;=E$34,C$34)</f>
        <v/>
      </c>
      <c r="D472" s="37">
        <f>_xlfn.IFS(E472&lt;E$24,0,E472&lt;E$25,D$24,E472&lt;E$26,D$25,E472&lt;E$27,D$26,E472&lt;E$28,D$27,E472&lt;E$29,D$28,E472&lt;E$30,D$29,E472&lt;E$31,D$30,E472&lt;E$32,D$31,E472&lt;E$33,D$32,E472&lt;E$34,D$33,E472&lt;E$35,D$34,E472&gt;=E$35,D$35)</f>
        <v/>
      </c>
      <c r="E472" s="38" t="n">
        <v>422</v>
      </c>
      <c r="F472" s="31">
        <f>E472/52</f>
        <v/>
      </c>
      <c r="G472" s="39">
        <f>D472/1000000*52</f>
        <v/>
      </c>
      <c r="H472" s="33">
        <f>G472/$P$4+($C$22/$P$4)</f>
        <v/>
      </c>
      <c r="I472" s="36">
        <f>_xlfn.IFS(K472&lt;K$24,0,K472&lt;K$26,I$24,K472&lt;K$28,I$26,K472&lt;K$30,I$28,K472&lt;K$32,I$30,K472&lt;K$34,I$32,K472&lt;K$36,I$34,K472&lt;K$38,I$36,K472&lt;K$40,I$38,K472&lt;K$42,I$40,K472&lt;K$44,I$42,K472&lt;K$46,I$44,K472&gt;=K$46,I$46)</f>
        <v/>
      </c>
      <c r="J472" s="37">
        <f>_xlfn.IFS(K472&lt;K$24,0,K472&lt;K$25,J$24,K472&lt;K$26,J$25,K472&lt;K$27,J$26,K472&lt;K$28,J$27,K472&lt;K$29,J$28,K472&lt;K$30,J$29,K472&lt;K$31,J$30,K472&lt;K$32,J$31,K472&lt;K$33,J$32,K472&lt;K$34,J$33,K472&lt;K$35,J$34,K472&lt;K$36,J$35,K472&lt;K$37,J$36,K472&lt;K$38,J$37,K472&lt;K$39,J$38,K472&lt;K$40,J$39,K472&lt;K$41,J$40,K472&lt;K$42,J$41,K472&lt;K$43,J$42,K472&lt;K$44,J$43,K472&lt;K$45,J$44,K472&lt;K$46,J$45,K472&lt;K$47,J$46,K472&gt;=K$47,J$47)</f>
        <v/>
      </c>
      <c r="K472" s="38" t="n">
        <v>422</v>
      </c>
      <c r="L472" s="31">
        <f>K472/52</f>
        <v/>
      </c>
      <c r="M472" s="39">
        <f>J472/1000000*52</f>
        <v/>
      </c>
      <c r="N472" s="33">
        <f>M472/$P$4+($I$22/$P$4)</f>
        <v/>
      </c>
      <c r="U472">
        <f>F471</f>
        <v/>
      </c>
      <c r="V472">
        <f>H471</f>
        <v/>
      </c>
      <c r="W472">
        <f>N471</f>
        <v/>
      </c>
    </row>
    <row r="473" ht="15.75" customHeight="1" s="40">
      <c r="C473" s="36">
        <f>_xlfn.IFS(E473&lt;E$24,0,E473&lt;E$26,C$24,E473&lt;E$28,C$26,E473&lt;E$30,C$28,E473&lt;E$32,C$30,E473&lt;E$34,C$32,E473&gt;=E$34,C$34)</f>
        <v/>
      </c>
      <c r="D473" s="37">
        <f>_xlfn.IFS(E473&lt;E$24,0,E473&lt;E$25,D$24,E473&lt;E$26,D$25,E473&lt;E$27,D$26,E473&lt;E$28,D$27,E473&lt;E$29,D$28,E473&lt;E$30,D$29,E473&lt;E$31,D$30,E473&lt;E$32,D$31,E473&lt;E$33,D$32,E473&lt;E$34,D$33,E473&lt;E$35,D$34,E473&gt;=E$35,D$35)</f>
        <v/>
      </c>
      <c r="E473" s="38" t="n">
        <v>423</v>
      </c>
      <c r="F473" s="31">
        <f>E473/52</f>
        <v/>
      </c>
      <c r="G473" s="39">
        <f>D473/1000000*52</f>
        <v/>
      </c>
      <c r="H473" s="33">
        <f>G473/$P$4+($C$22/$P$4)</f>
        <v/>
      </c>
      <c r="I473" s="36">
        <f>_xlfn.IFS(K473&lt;K$24,0,K473&lt;K$26,I$24,K473&lt;K$28,I$26,K473&lt;K$30,I$28,K473&lt;K$32,I$30,K473&lt;K$34,I$32,K473&lt;K$36,I$34,K473&lt;K$38,I$36,K473&lt;K$40,I$38,K473&lt;K$42,I$40,K473&lt;K$44,I$42,K473&lt;K$46,I$44,K473&gt;=K$46,I$46)</f>
        <v/>
      </c>
      <c r="J473" s="37">
        <f>_xlfn.IFS(K473&lt;K$24,0,K473&lt;K$25,J$24,K473&lt;K$26,J$25,K473&lt;K$27,J$26,K473&lt;K$28,J$27,K473&lt;K$29,J$28,K473&lt;K$30,J$29,K473&lt;K$31,J$30,K473&lt;K$32,J$31,K473&lt;K$33,J$32,K473&lt;K$34,J$33,K473&lt;K$35,J$34,K473&lt;K$36,J$35,K473&lt;K$37,J$36,K473&lt;K$38,J$37,K473&lt;K$39,J$38,K473&lt;K$40,J$39,K473&lt;K$41,J$40,K473&lt;K$42,J$41,K473&lt;K$43,J$42,K473&lt;K$44,J$43,K473&lt;K$45,J$44,K473&lt;K$46,J$45,K473&lt;K$47,J$46,K473&gt;=K$47,J$47)</f>
        <v/>
      </c>
      <c r="K473" s="38" t="n">
        <v>423</v>
      </c>
      <c r="L473" s="31">
        <f>K473/52</f>
        <v/>
      </c>
      <c r="M473" s="39">
        <f>J473/1000000*52</f>
        <v/>
      </c>
      <c r="N473" s="33">
        <f>M473/$P$4+($I$22/$P$4)</f>
        <v/>
      </c>
      <c r="U473">
        <f>F472</f>
        <v/>
      </c>
      <c r="V473">
        <f>H472</f>
        <v/>
      </c>
      <c r="W473">
        <f>N472</f>
        <v/>
      </c>
    </row>
    <row r="474" ht="15.75" customHeight="1" s="40">
      <c r="C474" s="36">
        <f>_xlfn.IFS(E474&lt;E$24,0,E474&lt;E$26,C$24,E474&lt;E$28,C$26,E474&lt;E$30,C$28,E474&lt;E$32,C$30,E474&lt;E$34,C$32,E474&gt;=E$34,C$34)</f>
        <v/>
      </c>
      <c r="D474" s="37">
        <f>_xlfn.IFS(E474&lt;E$24,0,E474&lt;E$25,D$24,E474&lt;E$26,D$25,E474&lt;E$27,D$26,E474&lt;E$28,D$27,E474&lt;E$29,D$28,E474&lt;E$30,D$29,E474&lt;E$31,D$30,E474&lt;E$32,D$31,E474&lt;E$33,D$32,E474&lt;E$34,D$33,E474&lt;E$35,D$34,E474&gt;=E$35,D$35)</f>
        <v/>
      </c>
      <c r="E474" s="38" t="n">
        <v>424</v>
      </c>
      <c r="F474" s="31">
        <f>E474/52</f>
        <v/>
      </c>
      <c r="G474" s="39">
        <f>D474/1000000*52</f>
        <v/>
      </c>
      <c r="H474" s="33">
        <f>G474/$P$4+($C$22/$P$4)</f>
        <v/>
      </c>
      <c r="I474" s="36">
        <f>_xlfn.IFS(K474&lt;K$24,0,K474&lt;K$26,I$24,K474&lt;K$28,I$26,K474&lt;K$30,I$28,K474&lt;K$32,I$30,K474&lt;K$34,I$32,K474&lt;K$36,I$34,K474&lt;K$38,I$36,K474&lt;K$40,I$38,K474&lt;K$42,I$40,K474&lt;K$44,I$42,K474&lt;K$46,I$44,K474&gt;=K$46,I$46)</f>
        <v/>
      </c>
      <c r="J474" s="37">
        <f>_xlfn.IFS(K474&lt;K$24,0,K474&lt;K$25,J$24,K474&lt;K$26,J$25,K474&lt;K$27,J$26,K474&lt;K$28,J$27,K474&lt;K$29,J$28,K474&lt;K$30,J$29,K474&lt;K$31,J$30,K474&lt;K$32,J$31,K474&lt;K$33,J$32,K474&lt;K$34,J$33,K474&lt;K$35,J$34,K474&lt;K$36,J$35,K474&lt;K$37,J$36,K474&lt;K$38,J$37,K474&lt;K$39,J$38,K474&lt;K$40,J$39,K474&lt;K$41,J$40,K474&lt;K$42,J$41,K474&lt;K$43,J$42,K474&lt;K$44,J$43,K474&lt;K$45,J$44,K474&lt;K$46,J$45,K474&lt;K$47,J$46,K474&gt;=K$47,J$47)</f>
        <v/>
      </c>
      <c r="K474" s="38" t="n">
        <v>424</v>
      </c>
      <c r="L474" s="31">
        <f>K474/52</f>
        <v/>
      </c>
      <c r="M474" s="39">
        <f>J474/1000000*52</f>
        <v/>
      </c>
      <c r="N474" s="33">
        <f>M474/$P$4+($I$22/$P$4)</f>
        <v/>
      </c>
      <c r="U474">
        <f>F473</f>
        <v/>
      </c>
      <c r="V474">
        <f>H473</f>
        <v/>
      </c>
      <c r="W474">
        <f>N473</f>
        <v/>
      </c>
    </row>
    <row r="475" ht="15.75" customHeight="1" s="40">
      <c r="C475" s="36">
        <f>_xlfn.IFS(E475&lt;E$24,0,E475&lt;E$26,C$24,E475&lt;E$28,C$26,E475&lt;E$30,C$28,E475&lt;E$32,C$30,E475&lt;E$34,C$32,E475&gt;=E$34,C$34)</f>
        <v/>
      </c>
      <c r="D475" s="37">
        <f>_xlfn.IFS(E475&lt;E$24,0,E475&lt;E$25,D$24,E475&lt;E$26,D$25,E475&lt;E$27,D$26,E475&lt;E$28,D$27,E475&lt;E$29,D$28,E475&lt;E$30,D$29,E475&lt;E$31,D$30,E475&lt;E$32,D$31,E475&lt;E$33,D$32,E475&lt;E$34,D$33,E475&lt;E$35,D$34,E475&gt;=E$35,D$35)</f>
        <v/>
      </c>
      <c r="E475" s="38" t="n">
        <v>425</v>
      </c>
      <c r="F475" s="31">
        <f>E475/52</f>
        <v/>
      </c>
      <c r="G475" s="39">
        <f>D475/1000000*52</f>
        <v/>
      </c>
      <c r="H475" s="33">
        <f>G475/$P$4+($C$22/$P$4)</f>
        <v/>
      </c>
      <c r="I475" s="36">
        <f>_xlfn.IFS(K475&lt;K$24,0,K475&lt;K$26,I$24,K475&lt;K$28,I$26,K475&lt;K$30,I$28,K475&lt;K$32,I$30,K475&lt;K$34,I$32,K475&lt;K$36,I$34,K475&lt;K$38,I$36,K475&lt;K$40,I$38,K475&lt;K$42,I$40,K475&lt;K$44,I$42,K475&lt;K$46,I$44,K475&gt;=K$46,I$46)</f>
        <v/>
      </c>
      <c r="J475" s="37">
        <f>_xlfn.IFS(K475&lt;K$24,0,K475&lt;K$25,J$24,K475&lt;K$26,J$25,K475&lt;K$27,J$26,K475&lt;K$28,J$27,K475&lt;K$29,J$28,K475&lt;K$30,J$29,K475&lt;K$31,J$30,K475&lt;K$32,J$31,K475&lt;K$33,J$32,K475&lt;K$34,J$33,K475&lt;K$35,J$34,K475&lt;K$36,J$35,K475&lt;K$37,J$36,K475&lt;K$38,J$37,K475&lt;K$39,J$38,K475&lt;K$40,J$39,K475&lt;K$41,J$40,K475&lt;K$42,J$41,K475&lt;K$43,J$42,K475&lt;K$44,J$43,K475&lt;K$45,J$44,K475&lt;K$46,J$45,K475&lt;K$47,J$46,K475&gt;=K$47,J$47)</f>
        <v/>
      </c>
      <c r="K475" s="38" t="n">
        <v>425</v>
      </c>
      <c r="L475" s="31">
        <f>K475/52</f>
        <v/>
      </c>
      <c r="M475" s="39">
        <f>J475/1000000*52</f>
        <v/>
      </c>
      <c r="N475" s="33">
        <f>M475/$P$4+($I$22/$P$4)</f>
        <v/>
      </c>
      <c r="U475">
        <f>F474</f>
        <v/>
      </c>
      <c r="V475">
        <f>H474</f>
        <v/>
      </c>
      <c r="W475">
        <f>N474</f>
        <v/>
      </c>
    </row>
    <row r="476" ht="15.75" customHeight="1" s="40">
      <c r="C476" s="36">
        <f>_xlfn.IFS(E476&lt;E$24,0,E476&lt;E$26,C$24,E476&lt;E$28,C$26,E476&lt;E$30,C$28,E476&lt;E$32,C$30,E476&lt;E$34,C$32,E476&gt;=E$34,C$34)</f>
        <v/>
      </c>
      <c r="D476" s="37">
        <f>_xlfn.IFS(E476&lt;E$24,0,E476&lt;E$25,D$24,E476&lt;E$26,D$25,E476&lt;E$27,D$26,E476&lt;E$28,D$27,E476&lt;E$29,D$28,E476&lt;E$30,D$29,E476&lt;E$31,D$30,E476&lt;E$32,D$31,E476&lt;E$33,D$32,E476&lt;E$34,D$33,E476&lt;E$35,D$34,E476&gt;=E$35,D$35)</f>
        <v/>
      </c>
      <c r="E476" s="38" t="n">
        <v>426</v>
      </c>
      <c r="F476" s="31">
        <f>E476/52</f>
        <v/>
      </c>
      <c r="G476" s="39">
        <f>D476/1000000*52</f>
        <v/>
      </c>
      <c r="H476" s="33">
        <f>G476/$P$4+($C$22/$P$4)</f>
        <v/>
      </c>
      <c r="I476" s="36">
        <f>_xlfn.IFS(K476&lt;K$24,0,K476&lt;K$26,I$24,K476&lt;K$28,I$26,K476&lt;K$30,I$28,K476&lt;K$32,I$30,K476&lt;K$34,I$32,K476&lt;K$36,I$34,K476&lt;K$38,I$36,K476&lt;K$40,I$38,K476&lt;K$42,I$40,K476&lt;K$44,I$42,K476&lt;K$46,I$44,K476&gt;=K$46,I$46)</f>
        <v/>
      </c>
      <c r="J476" s="37">
        <f>_xlfn.IFS(K476&lt;K$24,0,K476&lt;K$25,J$24,K476&lt;K$26,J$25,K476&lt;K$27,J$26,K476&lt;K$28,J$27,K476&lt;K$29,J$28,K476&lt;K$30,J$29,K476&lt;K$31,J$30,K476&lt;K$32,J$31,K476&lt;K$33,J$32,K476&lt;K$34,J$33,K476&lt;K$35,J$34,K476&lt;K$36,J$35,K476&lt;K$37,J$36,K476&lt;K$38,J$37,K476&lt;K$39,J$38,K476&lt;K$40,J$39,K476&lt;K$41,J$40,K476&lt;K$42,J$41,K476&lt;K$43,J$42,K476&lt;K$44,J$43,K476&lt;K$45,J$44,K476&lt;K$46,J$45,K476&lt;K$47,J$46,K476&gt;=K$47,J$47)</f>
        <v/>
      </c>
      <c r="K476" s="38" t="n">
        <v>426</v>
      </c>
      <c r="L476" s="31">
        <f>K476/52</f>
        <v/>
      </c>
      <c r="M476" s="39">
        <f>J476/1000000*52</f>
        <v/>
      </c>
      <c r="N476" s="33">
        <f>M476/$P$4+($I$22/$P$4)</f>
        <v/>
      </c>
      <c r="U476">
        <f>F475</f>
        <v/>
      </c>
      <c r="V476">
        <f>H475</f>
        <v/>
      </c>
      <c r="W476">
        <f>N475</f>
        <v/>
      </c>
    </row>
    <row r="477" ht="15.75" customHeight="1" s="40">
      <c r="C477" s="36">
        <f>_xlfn.IFS(E477&lt;E$24,0,E477&lt;E$26,C$24,E477&lt;E$28,C$26,E477&lt;E$30,C$28,E477&lt;E$32,C$30,E477&lt;E$34,C$32,E477&gt;=E$34,C$34)</f>
        <v/>
      </c>
      <c r="D477" s="37">
        <f>_xlfn.IFS(E477&lt;E$24,0,E477&lt;E$25,D$24,E477&lt;E$26,D$25,E477&lt;E$27,D$26,E477&lt;E$28,D$27,E477&lt;E$29,D$28,E477&lt;E$30,D$29,E477&lt;E$31,D$30,E477&lt;E$32,D$31,E477&lt;E$33,D$32,E477&lt;E$34,D$33,E477&lt;E$35,D$34,E477&gt;=E$35,D$35)</f>
        <v/>
      </c>
      <c r="E477" s="38" t="n">
        <v>427</v>
      </c>
      <c r="F477" s="31">
        <f>E477/52</f>
        <v/>
      </c>
      <c r="G477" s="39">
        <f>D477/1000000*52</f>
        <v/>
      </c>
      <c r="H477" s="33">
        <f>G477/$P$4+($C$22/$P$4)</f>
        <v/>
      </c>
      <c r="I477" s="36">
        <f>_xlfn.IFS(K477&lt;K$24,0,K477&lt;K$26,I$24,K477&lt;K$28,I$26,K477&lt;K$30,I$28,K477&lt;K$32,I$30,K477&lt;K$34,I$32,K477&lt;K$36,I$34,K477&lt;K$38,I$36,K477&lt;K$40,I$38,K477&lt;K$42,I$40,K477&lt;K$44,I$42,K477&lt;K$46,I$44,K477&gt;=K$46,I$46)</f>
        <v/>
      </c>
      <c r="J477" s="37">
        <f>_xlfn.IFS(K477&lt;K$24,0,K477&lt;K$25,J$24,K477&lt;K$26,J$25,K477&lt;K$27,J$26,K477&lt;K$28,J$27,K477&lt;K$29,J$28,K477&lt;K$30,J$29,K477&lt;K$31,J$30,K477&lt;K$32,J$31,K477&lt;K$33,J$32,K477&lt;K$34,J$33,K477&lt;K$35,J$34,K477&lt;K$36,J$35,K477&lt;K$37,J$36,K477&lt;K$38,J$37,K477&lt;K$39,J$38,K477&lt;K$40,J$39,K477&lt;K$41,J$40,K477&lt;K$42,J$41,K477&lt;K$43,J$42,K477&lt;K$44,J$43,K477&lt;K$45,J$44,K477&lt;K$46,J$45,K477&lt;K$47,J$46,K477&gt;=K$47,J$47)</f>
        <v/>
      </c>
      <c r="K477" s="38" t="n">
        <v>427</v>
      </c>
      <c r="L477" s="31">
        <f>K477/52</f>
        <v/>
      </c>
      <c r="M477" s="39">
        <f>J477/1000000*52</f>
        <v/>
      </c>
      <c r="N477" s="33">
        <f>M477/$P$4+($I$22/$P$4)</f>
        <v/>
      </c>
      <c r="U477">
        <f>F476</f>
        <v/>
      </c>
      <c r="V477">
        <f>H476</f>
        <v/>
      </c>
      <c r="W477">
        <f>N476</f>
        <v/>
      </c>
    </row>
    <row r="478" ht="15.75" customHeight="1" s="40">
      <c r="C478" s="36">
        <f>_xlfn.IFS(E478&lt;E$24,0,E478&lt;E$26,C$24,E478&lt;E$28,C$26,E478&lt;E$30,C$28,E478&lt;E$32,C$30,E478&lt;E$34,C$32,E478&gt;=E$34,C$34)</f>
        <v/>
      </c>
      <c r="D478" s="37">
        <f>_xlfn.IFS(E478&lt;E$24,0,E478&lt;E$25,D$24,E478&lt;E$26,D$25,E478&lt;E$27,D$26,E478&lt;E$28,D$27,E478&lt;E$29,D$28,E478&lt;E$30,D$29,E478&lt;E$31,D$30,E478&lt;E$32,D$31,E478&lt;E$33,D$32,E478&lt;E$34,D$33,E478&lt;E$35,D$34,E478&gt;=E$35,D$35)</f>
        <v/>
      </c>
      <c r="E478" s="38" t="n">
        <v>428</v>
      </c>
      <c r="F478" s="31">
        <f>E478/52</f>
        <v/>
      </c>
      <c r="G478" s="39">
        <f>D478/1000000*52</f>
        <v/>
      </c>
      <c r="H478" s="33">
        <f>G478/$P$4+($C$22/$P$4)</f>
        <v/>
      </c>
      <c r="I478" s="36">
        <f>_xlfn.IFS(K478&lt;K$24,0,K478&lt;K$26,I$24,K478&lt;K$28,I$26,K478&lt;K$30,I$28,K478&lt;K$32,I$30,K478&lt;K$34,I$32,K478&lt;K$36,I$34,K478&lt;K$38,I$36,K478&lt;K$40,I$38,K478&lt;K$42,I$40,K478&lt;K$44,I$42,K478&lt;K$46,I$44,K478&gt;=K$46,I$46)</f>
        <v/>
      </c>
      <c r="J478" s="37">
        <f>_xlfn.IFS(K478&lt;K$24,0,K478&lt;K$25,J$24,K478&lt;K$26,J$25,K478&lt;K$27,J$26,K478&lt;K$28,J$27,K478&lt;K$29,J$28,K478&lt;K$30,J$29,K478&lt;K$31,J$30,K478&lt;K$32,J$31,K478&lt;K$33,J$32,K478&lt;K$34,J$33,K478&lt;K$35,J$34,K478&lt;K$36,J$35,K478&lt;K$37,J$36,K478&lt;K$38,J$37,K478&lt;K$39,J$38,K478&lt;K$40,J$39,K478&lt;K$41,J$40,K478&lt;K$42,J$41,K478&lt;K$43,J$42,K478&lt;K$44,J$43,K478&lt;K$45,J$44,K478&lt;K$46,J$45,K478&lt;K$47,J$46,K478&gt;=K$47,J$47)</f>
        <v/>
      </c>
      <c r="K478" s="38" t="n">
        <v>428</v>
      </c>
      <c r="L478" s="31">
        <f>K478/52</f>
        <v/>
      </c>
      <c r="M478" s="39">
        <f>J478/1000000*52</f>
        <v/>
      </c>
      <c r="N478" s="33">
        <f>M478/$P$4+($I$22/$P$4)</f>
        <v/>
      </c>
      <c r="U478">
        <f>F477</f>
        <v/>
      </c>
      <c r="V478">
        <f>H477</f>
        <v/>
      </c>
      <c r="W478">
        <f>N477</f>
        <v/>
      </c>
    </row>
    <row r="479" ht="15.75" customHeight="1" s="40">
      <c r="C479" s="36">
        <f>_xlfn.IFS(E479&lt;E$24,0,E479&lt;E$26,C$24,E479&lt;E$28,C$26,E479&lt;E$30,C$28,E479&lt;E$32,C$30,E479&lt;E$34,C$32,E479&gt;=E$34,C$34)</f>
        <v/>
      </c>
      <c r="D479" s="37">
        <f>_xlfn.IFS(E479&lt;E$24,0,E479&lt;E$25,D$24,E479&lt;E$26,D$25,E479&lt;E$27,D$26,E479&lt;E$28,D$27,E479&lt;E$29,D$28,E479&lt;E$30,D$29,E479&lt;E$31,D$30,E479&lt;E$32,D$31,E479&lt;E$33,D$32,E479&lt;E$34,D$33,E479&lt;E$35,D$34,E479&gt;=E$35,D$35)</f>
        <v/>
      </c>
      <c r="E479" s="38" t="n">
        <v>429</v>
      </c>
      <c r="F479" s="31">
        <f>E479/52</f>
        <v/>
      </c>
      <c r="G479" s="39">
        <f>D479/1000000*52</f>
        <v/>
      </c>
      <c r="H479" s="33">
        <f>G479/$P$4+($C$22/$P$4)</f>
        <v/>
      </c>
      <c r="I479" s="36">
        <f>_xlfn.IFS(K479&lt;K$24,0,K479&lt;K$26,I$24,K479&lt;K$28,I$26,K479&lt;K$30,I$28,K479&lt;K$32,I$30,K479&lt;K$34,I$32,K479&lt;K$36,I$34,K479&lt;K$38,I$36,K479&lt;K$40,I$38,K479&lt;K$42,I$40,K479&lt;K$44,I$42,K479&lt;K$46,I$44,K479&gt;=K$46,I$46)</f>
        <v/>
      </c>
      <c r="J479" s="37">
        <f>_xlfn.IFS(K479&lt;K$24,0,K479&lt;K$25,J$24,K479&lt;K$26,J$25,K479&lt;K$27,J$26,K479&lt;K$28,J$27,K479&lt;K$29,J$28,K479&lt;K$30,J$29,K479&lt;K$31,J$30,K479&lt;K$32,J$31,K479&lt;K$33,J$32,K479&lt;K$34,J$33,K479&lt;K$35,J$34,K479&lt;K$36,J$35,K479&lt;K$37,J$36,K479&lt;K$38,J$37,K479&lt;K$39,J$38,K479&lt;K$40,J$39,K479&lt;K$41,J$40,K479&lt;K$42,J$41,K479&lt;K$43,J$42,K479&lt;K$44,J$43,K479&lt;K$45,J$44,K479&lt;K$46,J$45,K479&lt;K$47,J$46,K479&gt;=K$47,J$47)</f>
        <v/>
      </c>
      <c r="K479" s="38" t="n">
        <v>429</v>
      </c>
      <c r="L479" s="31">
        <f>K479/52</f>
        <v/>
      </c>
      <c r="M479" s="39">
        <f>J479/1000000*52</f>
        <v/>
      </c>
      <c r="N479" s="33">
        <f>M479/$P$4+($I$22/$P$4)</f>
        <v/>
      </c>
      <c r="U479">
        <f>F478</f>
        <v/>
      </c>
      <c r="V479">
        <f>H478</f>
        <v/>
      </c>
      <c r="W479">
        <f>N478</f>
        <v/>
      </c>
    </row>
    <row r="480" ht="15.75" customHeight="1" s="40">
      <c r="C480" s="36">
        <f>_xlfn.IFS(E480&lt;E$24,0,E480&lt;E$26,C$24,E480&lt;E$28,C$26,E480&lt;E$30,C$28,E480&lt;E$32,C$30,E480&lt;E$34,C$32,E480&gt;=E$34,C$34)</f>
        <v/>
      </c>
      <c r="D480" s="37">
        <f>_xlfn.IFS(E480&lt;E$24,0,E480&lt;E$25,D$24,E480&lt;E$26,D$25,E480&lt;E$27,D$26,E480&lt;E$28,D$27,E480&lt;E$29,D$28,E480&lt;E$30,D$29,E480&lt;E$31,D$30,E480&lt;E$32,D$31,E480&lt;E$33,D$32,E480&lt;E$34,D$33,E480&lt;E$35,D$34,E480&gt;=E$35,D$35)</f>
        <v/>
      </c>
      <c r="E480" s="38" t="n">
        <v>430</v>
      </c>
      <c r="F480" s="31">
        <f>E480/52</f>
        <v/>
      </c>
      <c r="G480" s="39">
        <f>D480/1000000*52</f>
        <v/>
      </c>
      <c r="H480" s="33">
        <f>G480/$P$4+($C$22/$P$4)</f>
        <v/>
      </c>
      <c r="I480" s="36">
        <f>_xlfn.IFS(K480&lt;K$24,0,K480&lt;K$26,I$24,K480&lt;K$28,I$26,K480&lt;K$30,I$28,K480&lt;K$32,I$30,K480&lt;K$34,I$32,K480&lt;K$36,I$34,K480&lt;K$38,I$36,K480&lt;K$40,I$38,K480&lt;K$42,I$40,K480&lt;K$44,I$42,K480&lt;K$46,I$44,K480&gt;=K$46,I$46)</f>
        <v/>
      </c>
      <c r="J480" s="37">
        <f>_xlfn.IFS(K480&lt;K$24,0,K480&lt;K$25,J$24,K480&lt;K$26,J$25,K480&lt;K$27,J$26,K480&lt;K$28,J$27,K480&lt;K$29,J$28,K480&lt;K$30,J$29,K480&lt;K$31,J$30,K480&lt;K$32,J$31,K480&lt;K$33,J$32,K480&lt;K$34,J$33,K480&lt;K$35,J$34,K480&lt;K$36,J$35,K480&lt;K$37,J$36,K480&lt;K$38,J$37,K480&lt;K$39,J$38,K480&lt;K$40,J$39,K480&lt;K$41,J$40,K480&lt;K$42,J$41,K480&lt;K$43,J$42,K480&lt;K$44,J$43,K480&lt;K$45,J$44,K480&lt;K$46,J$45,K480&lt;K$47,J$46,K480&gt;=K$47,J$47)</f>
        <v/>
      </c>
      <c r="K480" s="38" t="n">
        <v>430</v>
      </c>
      <c r="L480" s="31">
        <f>K480/52</f>
        <v/>
      </c>
      <c r="M480" s="39">
        <f>J480/1000000*52</f>
        <v/>
      </c>
      <c r="N480" s="33">
        <f>M480/$P$4+($I$22/$P$4)</f>
        <v/>
      </c>
      <c r="U480">
        <f>F479</f>
        <v/>
      </c>
      <c r="V480">
        <f>H479</f>
        <v/>
      </c>
      <c r="W480">
        <f>N479</f>
        <v/>
      </c>
    </row>
    <row r="481" ht="15.75" customHeight="1" s="40">
      <c r="C481" s="36">
        <f>_xlfn.IFS(E481&lt;E$24,0,E481&lt;E$26,C$24,E481&lt;E$28,C$26,E481&lt;E$30,C$28,E481&lt;E$32,C$30,E481&lt;E$34,C$32,E481&gt;=E$34,C$34)</f>
        <v/>
      </c>
      <c r="D481" s="37">
        <f>_xlfn.IFS(E481&lt;E$24,0,E481&lt;E$25,D$24,E481&lt;E$26,D$25,E481&lt;E$27,D$26,E481&lt;E$28,D$27,E481&lt;E$29,D$28,E481&lt;E$30,D$29,E481&lt;E$31,D$30,E481&lt;E$32,D$31,E481&lt;E$33,D$32,E481&lt;E$34,D$33,E481&lt;E$35,D$34,E481&gt;=E$35,D$35)</f>
        <v/>
      </c>
      <c r="E481" s="38" t="n">
        <v>431</v>
      </c>
      <c r="F481" s="31">
        <f>E481/52</f>
        <v/>
      </c>
      <c r="G481" s="39">
        <f>D481/1000000*52</f>
        <v/>
      </c>
      <c r="H481" s="33">
        <f>G481/$P$4+($C$22/$P$4)</f>
        <v/>
      </c>
      <c r="I481" s="36">
        <f>_xlfn.IFS(K481&lt;K$24,0,K481&lt;K$26,I$24,K481&lt;K$28,I$26,K481&lt;K$30,I$28,K481&lt;K$32,I$30,K481&lt;K$34,I$32,K481&lt;K$36,I$34,K481&lt;K$38,I$36,K481&lt;K$40,I$38,K481&lt;K$42,I$40,K481&lt;K$44,I$42,K481&lt;K$46,I$44,K481&gt;=K$46,I$46)</f>
        <v/>
      </c>
      <c r="J481" s="37">
        <f>_xlfn.IFS(K481&lt;K$24,0,K481&lt;K$25,J$24,K481&lt;K$26,J$25,K481&lt;K$27,J$26,K481&lt;K$28,J$27,K481&lt;K$29,J$28,K481&lt;K$30,J$29,K481&lt;K$31,J$30,K481&lt;K$32,J$31,K481&lt;K$33,J$32,K481&lt;K$34,J$33,K481&lt;K$35,J$34,K481&lt;K$36,J$35,K481&lt;K$37,J$36,K481&lt;K$38,J$37,K481&lt;K$39,J$38,K481&lt;K$40,J$39,K481&lt;K$41,J$40,K481&lt;K$42,J$41,K481&lt;K$43,J$42,K481&lt;K$44,J$43,K481&lt;K$45,J$44,K481&lt;K$46,J$45,K481&lt;K$47,J$46,K481&gt;=K$47,J$47)</f>
        <v/>
      </c>
      <c r="K481" s="38" t="n">
        <v>431</v>
      </c>
      <c r="L481" s="31">
        <f>K481/52</f>
        <v/>
      </c>
      <c r="M481" s="39">
        <f>J481/1000000*52</f>
        <v/>
      </c>
      <c r="N481" s="33">
        <f>M481/$P$4+($I$22/$P$4)</f>
        <v/>
      </c>
      <c r="U481">
        <f>F480</f>
        <v/>
      </c>
      <c r="V481">
        <f>H480</f>
        <v/>
      </c>
      <c r="W481">
        <f>N480</f>
        <v/>
      </c>
    </row>
    <row r="482" ht="15.75" customHeight="1" s="40">
      <c r="C482" s="36">
        <f>_xlfn.IFS(E482&lt;E$24,0,E482&lt;E$26,C$24,E482&lt;E$28,C$26,E482&lt;E$30,C$28,E482&lt;E$32,C$30,E482&lt;E$34,C$32,E482&gt;=E$34,C$34)</f>
        <v/>
      </c>
      <c r="D482" s="37">
        <f>_xlfn.IFS(E482&lt;E$24,0,E482&lt;E$25,D$24,E482&lt;E$26,D$25,E482&lt;E$27,D$26,E482&lt;E$28,D$27,E482&lt;E$29,D$28,E482&lt;E$30,D$29,E482&lt;E$31,D$30,E482&lt;E$32,D$31,E482&lt;E$33,D$32,E482&lt;E$34,D$33,E482&lt;E$35,D$34,E482&gt;=E$35,D$35)</f>
        <v/>
      </c>
      <c r="E482" s="38" t="n">
        <v>432</v>
      </c>
      <c r="F482" s="31">
        <f>E482/52</f>
        <v/>
      </c>
      <c r="G482" s="39">
        <f>D482/1000000*52</f>
        <v/>
      </c>
      <c r="H482" s="33">
        <f>G482/$P$4+($C$22/$P$4)</f>
        <v/>
      </c>
      <c r="I482" s="36">
        <f>_xlfn.IFS(K482&lt;K$24,0,K482&lt;K$26,I$24,K482&lt;K$28,I$26,K482&lt;K$30,I$28,K482&lt;K$32,I$30,K482&lt;K$34,I$32,K482&lt;K$36,I$34,K482&lt;K$38,I$36,K482&lt;K$40,I$38,K482&lt;K$42,I$40,K482&lt;K$44,I$42,K482&lt;K$46,I$44,K482&gt;=K$46,I$46)</f>
        <v/>
      </c>
      <c r="J482" s="37">
        <f>_xlfn.IFS(K482&lt;K$24,0,K482&lt;K$25,J$24,K482&lt;K$26,J$25,K482&lt;K$27,J$26,K482&lt;K$28,J$27,K482&lt;K$29,J$28,K482&lt;K$30,J$29,K482&lt;K$31,J$30,K482&lt;K$32,J$31,K482&lt;K$33,J$32,K482&lt;K$34,J$33,K482&lt;K$35,J$34,K482&lt;K$36,J$35,K482&lt;K$37,J$36,K482&lt;K$38,J$37,K482&lt;K$39,J$38,K482&lt;K$40,J$39,K482&lt;K$41,J$40,K482&lt;K$42,J$41,K482&lt;K$43,J$42,K482&lt;K$44,J$43,K482&lt;K$45,J$44,K482&lt;K$46,J$45,K482&lt;K$47,J$46,K482&gt;=K$47,J$47)</f>
        <v/>
      </c>
      <c r="K482" s="38" t="n">
        <v>432</v>
      </c>
      <c r="L482" s="31">
        <f>K482/52</f>
        <v/>
      </c>
      <c r="M482" s="39">
        <f>J482/1000000*52</f>
        <v/>
      </c>
      <c r="N482" s="33">
        <f>M482/$P$4+($I$22/$P$4)</f>
        <v/>
      </c>
      <c r="U482">
        <f>F481</f>
        <v/>
      </c>
      <c r="V482">
        <f>H481</f>
        <v/>
      </c>
      <c r="W482">
        <f>N481</f>
        <v/>
      </c>
    </row>
    <row r="483" ht="15.75" customHeight="1" s="40">
      <c r="C483" s="36">
        <f>_xlfn.IFS(E483&lt;E$24,0,E483&lt;E$26,C$24,E483&lt;E$28,C$26,E483&lt;E$30,C$28,E483&lt;E$32,C$30,E483&lt;E$34,C$32,E483&gt;=E$34,C$34)</f>
        <v/>
      </c>
      <c r="D483" s="37">
        <f>_xlfn.IFS(E483&lt;E$24,0,E483&lt;E$25,D$24,E483&lt;E$26,D$25,E483&lt;E$27,D$26,E483&lt;E$28,D$27,E483&lt;E$29,D$28,E483&lt;E$30,D$29,E483&lt;E$31,D$30,E483&lt;E$32,D$31,E483&lt;E$33,D$32,E483&lt;E$34,D$33,E483&lt;E$35,D$34,E483&gt;=E$35,D$35)</f>
        <v/>
      </c>
      <c r="E483" s="38" t="n">
        <v>433</v>
      </c>
      <c r="F483" s="31">
        <f>E483/52</f>
        <v/>
      </c>
      <c r="G483" s="39">
        <f>D483/1000000*52</f>
        <v/>
      </c>
      <c r="H483" s="33">
        <f>G483/$P$4+($C$22/$P$4)</f>
        <v/>
      </c>
      <c r="I483" s="36">
        <f>_xlfn.IFS(K483&lt;K$24,0,K483&lt;K$26,I$24,K483&lt;K$28,I$26,K483&lt;K$30,I$28,K483&lt;K$32,I$30,K483&lt;K$34,I$32,K483&lt;K$36,I$34,K483&lt;K$38,I$36,K483&lt;K$40,I$38,K483&lt;K$42,I$40,K483&lt;K$44,I$42,K483&lt;K$46,I$44,K483&gt;=K$46,I$46)</f>
        <v/>
      </c>
      <c r="J483" s="37">
        <f>_xlfn.IFS(K483&lt;K$24,0,K483&lt;K$25,J$24,K483&lt;K$26,J$25,K483&lt;K$27,J$26,K483&lt;K$28,J$27,K483&lt;K$29,J$28,K483&lt;K$30,J$29,K483&lt;K$31,J$30,K483&lt;K$32,J$31,K483&lt;K$33,J$32,K483&lt;K$34,J$33,K483&lt;K$35,J$34,K483&lt;K$36,J$35,K483&lt;K$37,J$36,K483&lt;K$38,J$37,K483&lt;K$39,J$38,K483&lt;K$40,J$39,K483&lt;K$41,J$40,K483&lt;K$42,J$41,K483&lt;K$43,J$42,K483&lt;K$44,J$43,K483&lt;K$45,J$44,K483&lt;K$46,J$45,K483&lt;K$47,J$46,K483&gt;=K$47,J$47)</f>
        <v/>
      </c>
      <c r="K483" s="38" t="n">
        <v>433</v>
      </c>
      <c r="L483" s="31">
        <f>K483/52</f>
        <v/>
      </c>
      <c r="M483" s="39">
        <f>J483/1000000*52</f>
        <v/>
      </c>
      <c r="N483" s="33">
        <f>M483/$P$4+($I$22/$P$4)</f>
        <v/>
      </c>
      <c r="U483">
        <f>F482</f>
        <v/>
      </c>
      <c r="V483">
        <f>H482</f>
        <v/>
      </c>
      <c r="W483">
        <f>N482</f>
        <v/>
      </c>
    </row>
    <row r="484" ht="15.75" customHeight="1" s="40">
      <c r="C484" s="36">
        <f>_xlfn.IFS(E484&lt;E$24,0,E484&lt;E$26,C$24,E484&lt;E$28,C$26,E484&lt;E$30,C$28,E484&lt;E$32,C$30,E484&lt;E$34,C$32,E484&gt;=E$34,C$34)</f>
        <v/>
      </c>
      <c r="D484" s="37">
        <f>_xlfn.IFS(E484&lt;E$24,0,E484&lt;E$25,D$24,E484&lt;E$26,D$25,E484&lt;E$27,D$26,E484&lt;E$28,D$27,E484&lt;E$29,D$28,E484&lt;E$30,D$29,E484&lt;E$31,D$30,E484&lt;E$32,D$31,E484&lt;E$33,D$32,E484&lt;E$34,D$33,E484&lt;E$35,D$34,E484&gt;=E$35,D$35)</f>
        <v/>
      </c>
      <c r="E484" s="38" t="n">
        <v>434</v>
      </c>
      <c r="F484" s="31">
        <f>E484/52</f>
        <v/>
      </c>
      <c r="G484" s="39">
        <f>D484/1000000*52</f>
        <v/>
      </c>
      <c r="H484" s="33">
        <f>G484/$P$4+($C$22/$P$4)</f>
        <v/>
      </c>
      <c r="I484" s="36">
        <f>_xlfn.IFS(K484&lt;K$24,0,K484&lt;K$26,I$24,K484&lt;K$28,I$26,K484&lt;K$30,I$28,K484&lt;K$32,I$30,K484&lt;K$34,I$32,K484&lt;K$36,I$34,K484&lt;K$38,I$36,K484&lt;K$40,I$38,K484&lt;K$42,I$40,K484&lt;K$44,I$42,K484&lt;K$46,I$44,K484&gt;=K$46,I$46)</f>
        <v/>
      </c>
      <c r="J484" s="37">
        <f>_xlfn.IFS(K484&lt;K$24,0,K484&lt;K$25,J$24,K484&lt;K$26,J$25,K484&lt;K$27,J$26,K484&lt;K$28,J$27,K484&lt;K$29,J$28,K484&lt;K$30,J$29,K484&lt;K$31,J$30,K484&lt;K$32,J$31,K484&lt;K$33,J$32,K484&lt;K$34,J$33,K484&lt;K$35,J$34,K484&lt;K$36,J$35,K484&lt;K$37,J$36,K484&lt;K$38,J$37,K484&lt;K$39,J$38,K484&lt;K$40,J$39,K484&lt;K$41,J$40,K484&lt;K$42,J$41,K484&lt;K$43,J$42,K484&lt;K$44,J$43,K484&lt;K$45,J$44,K484&lt;K$46,J$45,K484&lt;K$47,J$46,K484&gt;=K$47,J$47)</f>
        <v/>
      </c>
      <c r="K484" s="38" t="n">
        <v>434</v>
      </c>
      <c r="L484" s="31">
        <f>K484/52</f>
        <v/>
      </c>
      <c r="M484" s="39">
        <f>J484/1000000*52</f>
        <v/>
      </c>
      <c r="N484" s="33">
        <f>M484/$P$4+($I$22/$P$4)</f>
        <v/>
      </c>
      <c r="U484">
        <f>F483</f>
        <v/>
      </c>
      <c r="V484">
        <f>H483</f>
        <v/>
      </c>
      <c r="W484">
        <f>N483</f>
        <v/>
      </c>
    </row>
    <row r="485" ht="15.75" customHeight="1" s="40">
      <c r="C485" s="36">
        <f>_xlfn.IFS(E485&lt;E$24,0,E485&lt;E$26,C$24,E485&lt;E$28,C$26,E485&lt;E$30,C$28,E485&lt;E$32,C$30,E485&lt;E$34,C$32,E485&gt;=E$34,C$34)</f>
        <v/>
      </c>
      <c r="D485" s="37">
        <f>_xlfn.IFS(E485&lt;E$24,0,E485&lt;E$25,D$24,E485&lt;E$26,D$25,E485&lt;E$27,D$26,E485&lt;E$28,D$27,E485&lt;E$29,D$28,E485&lt;E$30,D$29,E485&lt;E$31,D$30,E485&lt;E$32,D$31,E485&lt;E$33,D$32,E485&lt;E$34,D$33,E485&lt;E$35,D$34,E485&gt;=E$35,D$35)</f>
        <v/>
      </c>
      <c r="E485" s="38" t="n">
        <v>435</v>
      </c>
      <c r="F485" s="31">
        <f>E485/52</f>
        <v/>
      </c>
      <c r="G485" s="39">
        <f>D485/1000000*52</f>
        <v/>
      </c>
      <c r="H485" s="33">
        <f>G485/$P$4+($C$22/$P$4)</f>
        <v/>
      </c>
      <c r="I485" s="36">
        <f>_xlfn.IFS(K485&lt;K$24,0,K485&lt;K$26,I$24,K485&lt;K$28,I$26,K485&lt;K$30,I$28,K485&lt;K$32,I$30,K485&lt;K$34,I$32,K485&lt;K$36,I$34,K485&lt;K$38,I$36,K485&lt;K$40,I$38,K485&lt;K$42,I$40,K485&lt;K$44,I$42,K485&lt;K$46,I$44,K485&gt;=K$46,I$46)</f>
        <v/>
      </c>
      <c r="J485" s="37">
        <f>_xlfn.IFS(K485&lt;K$24,0,K485&lt;K$25,J$24,K485&lt;K$26,J$25,K485&lt;K$27,J$26,K485&lt;K$28,J$27,K485&lt;K$29,J$28,K485&lt;K$30,J$29,K485&lt;K$31,J$30,K485&lt;K$32,J$31,K485&lt;K$33,J$32,K485&lt;K$34,J$33,K485&lt;K$35,J$34,K485&lt;K$36,J$35,K485&lt;K$37,J$36,K485&lt;K$38,J$37,K485&lt;K$39,J$38,K485&lt;K$40,J$39,K485&lt;K$41,J$40,K485&lt;K$42,J$41,K485&lt;K$43,J$42,K485&lt;K$44,J$43,K485&lt;K$45,J$44,K485&lt;K$46,J$45,K485&lt;K$47,J$46,K485&gt;=K$47,J$47)</f>
        <v/>
      </c>
      <c r="K485" s="38" t="n">
        <v>435</v>
      </c>
      <c r="L485" s="31">
        <f>K485/52</f>
        <v/>
      </c>
      <c r="M485" s="39">
        <f>J485/1000000*52</f>
        <v/>
      </c>
      <c r="N485" s="33">
        <f>M485/$P$4+($I$22/$P$4)</f>
        <v/>
      </c>
      <c r="U485">
        <f>F484</f>
        <v/>
      </c>
      <c r="V485">
        <f>H484</f>
        <v/>
      </c>
      <c r="W485">
        <f>N484</f>
        <v/>
      </c>
    </row>
    <row r="486" ht="15.75" customHeight="1" s="40">
      <c r="C486" s="36">
        <f>_xlfn.IFS(E486&lt;E$24,0,E486&lt;E$26,C$24,E486&lt;E$28,C$26,E486&lt;E$30,C$28,E486&lt;E$32,C$30,E486&lt;E$34,C$32,E486&gt;=E$34,C$34)</f>
        <v/>
      </c>
      <c r="D486" s="37">
        <f>_xlfn.IFS(E486&lt;E$24,0,E486&lt;E$25,D$24,E486&lt;E$26,D$25,E486&lt;E$27,D$26,E486&lt;E$28,D$27,E486&lt;E$29,D$28,E486&lt;E$30,D$29,E486&lt;E$31,D$30,E486&lt;E$32,D$31,E486&lt;E$33,D$32,E486&lt;E$34,D$33,E486&lt;E$35,D$34,E486&gt;=E$35,D$35)</f>
        <v/>
      </c>
      <c r="E486" s="38" t="n">
        <v>436</v>
      </c>
      <c r="F486" s="31">
        <f>E486/52</f>
        <v/>
      </c>
      <c r="G486" s="39">
        <f>D486/1000000*52</f>
        <v/>
      </c>
      <c r="H486" s="33">
        <f>G486/$P$4+($C$22/$P$4)</f>
        <v/>
      </c>
      <c r="I486" s="36">
        <f>_xlfn.IFS(K486&lt;K$24,0,K486&lt;K$26,I$24,K486&lt;K$28,I$26,K486&lt;K$30,I$28,K486&lt;K$32,I$30,K486&lt;K$34,I$32,K486&lt;K$36,I$34,K486&lt;K$38,I$36,K486&lt;K$40,I$38,K486&lt;K$42,I$40,K486&lt;K$44,I$42,K486&lt;K$46,I$44,K486&gt;=K$46,I$46)</f>
        <v/>
      </c>
      <c r="J486" s="37">
        <f>_xlfn.IFS(K486&lt;K$24,0,K486&lt;K$25,J$24,K486&lt;K$26,J$25,K486&lt;K$27,J$26,K486&lt;K$28,J$27,K486&lt;K$29,J$28,K486&lt;K$30,J$29,K486&lt;K$31,J$30,K486&lt;K$32,J$31,K486&lt;K$33,J$32,K486&lt;K$34,J$33,K486&lt;K$35,J$34,K486&lt;K$36,J$35,K486&lt;K$37,J$36,K486&lt;K$38,J$37,K486&lt;K$39,J$38,K486&lt;K$40,J$39,K486&lt;K$41,J$40,K486&lt;K$42,J$41,K486&lt;K$43,J$42,K486&lt;K$44,J$43,K486&lt;K$45,J$44,K486&lt;K$46,J$45,K486&lt;K$47,J$46,K486&gt;=K$47,J$47)</f>
        <v/>
      </c>
      <c r="K486" s="38" t="n">
        <v>436</v>
      </c>
      <c r="L486" s="31">
        <f>K486/52</f>
        <v/>
      </c>
      <c r="M486" s="39">
        <f>J486/1000000*52</f>
        <v/>
      </c>
      <c r="N486" s="33">
        <f>M486/$P$4+($I$22/$P$4)</f>
        <v/>
      </c>
      <c r="U486">
        <f>F485</f>
        <v/>
      </c>
      <c r="V486">
        <f>H485</f>
        <v/>
      </c>
      <c r="W486">
        <f>N485</f>
        <v/>
      </c>
    </row>
    <row r="487" ht="15.75" customHeight="1" s="40">
      <c r="C487" s="36">
        <f>_xlfn.IFS(E487&lt;E$24,0,E487&lt;E$26,C$24,E487&lt;E$28,C$26,E487&lt;E$30,C$28,E487&lt;E$32,C$30,E487&lt;E$34,C$32,E487&gt;=E$34,C$34)</f>
        <v/>
      </c>
      <c r="D487" s="37">
        <f>_xlfn.IFS(E487&lt;E$24,0,E487&lt;E$25,D$24,E487&lt;E$26,D$25,E487&lt;E$27,D$26,E487&lt;E$28,D$27,E487&lt;E$29,D$28,E487&lt;E$30,D$29,E487&lt;E$31,D$30,E487&lt;E$32,D$31,E487&lt;E$33,D$32,E487&lt;E$34,D$33,E487&lt;E$35,D$34,E487&gt;=E$35,D$35)</f>
        <v/>
      </c>
      <c r="E487" s="38" t="n">
        <v>437</v>
      </c>
      <c r="F487" s="31">
        <f>E487/52</f>
        <v/>
      </c>
      <c r="G487" s="39">
        <f>D487/1000000*52</f>
        <v/>
      </c>
      <c r="H487" s="33">
        <f>G487/$P$4+($C$22/$P$4)</f>
        <v/>
      </c>
      <c r="I487" s="36">
        <f>_xlfn.IFS(K487&lt;K$24,0,K487&lt;K$26,I$24,K487&lt;K$28,I$26,K487&lt;K$30,I$28,K487&lt;K$32,I$30,K487&lt;K$34,I$32,K487&lt;K$36,I$34,K487&lt;K$38,I$36,K487&lt;K$40,I$38,K487&lt;K$42,I$40,K487&lt;K$44,I$42,K487&lt;K$46,I$44,K487&gt;=K$46,I$46)</f>
        <v/>
      </c>
      <c r="J487" s="37">
        <f>_xlfn.IFS(K487&lt;K$24,0,K487&lt;K$25,J$24,K487&lt;K$26,J$25,K487&lt;K$27,J$26,K487&lt;K$28,J$27,K487&lt;K$29,J$28,K487&lt;K$30,J$29,K487&lt;K$31,J$30,K487&lt;K$32,J$31,K487&lt;K$33,J$32,K487&lt;K$34,J$33,K487&lt;K$35,J$34,K487&lt;K$36,J$35,K487&lt;K$37,J$36,K487&lt;K$38,J$37,K487&lt;K$39,J$38,K487&lt;K$40,J$39,K487&lt;K$41,J$40,K487&lt;K$42,J$41,K487&lt;K$43,J$42,K487&lt;K$44,J$43,K487&lt;K$45,J$44,K487&lt;K$46,J$45,K487&lt;K$47,J$46,K487&gt;=K$47,J$47)</f>
        <v/>
      </c>
      <c r="K487" s="38" t="n">
        <v>437</v>
      </c>
      <c r="L487" s="31">
        <f>K487/52</f>
        <v/>
      </c>
      <c r="M487" s="39">
        <f>J487/1000000*52</f>
        <v/>
      </c>
      <c r="N487" s="33">
        <f>M487/$P$4+($I$22/$P$4)</f>
        <v/>
      </c>
      <c r="U487">
        <f>F486</f>
        <v/>
      </c>
      <c r="V487">
        <f>H486</f>
        <v/>
      </c>
      <c r="W487">
        <f>N486</f>
        <v/>
      </c>
    </row>
    <row r="488" ht="15.75" customHeight="1" s="40">
      <c r="C488" s="36">
        <f>_xlfn.IFS(E488&lt;E$24,0,E488&lt;E$26,C$24,E488&lt;E$28,C$26,E488&lt;E$30,C$28,E488&lt;E$32,C$30,E488&lt;E$34,C$32,E488&gt;=E$34,C$34)</f>
        <v/>
      </c>
      <c r="D488" s="37">
        <f>_xlfn.IFS(E488&lt;E$24,0,E488&lt;E$25,D$24,E488&lt;E$26,D$25,E488&lt;E$27,D$26,E488&lt;E$28,D$27,E488&lt;E$29,D$28,E488&lt;E$30,D$29,E488&lt;E$31,D$30,E488&lt;E$32,D$31,E488&lt;E$33,D$32,E488&lt;E$34,D$33,E488&lt;E$35,D$34,E488&gt;=E$35,D$35)</f>
        <v/>
      </c>
      <c r="E488" s="38" t="n">
        <v>438</v>
      </c>
      <c r="F488" s="31">
        <f>E488/52</f>
        <v/>
      </c>
      <c r="G488" s="39">
        <f>D488/1000000*52</f>
        <v/>
      </c>
      <c r="H488" s="33">
        <f>G488/$P$4+($C$22/$P$4)</f>
        <v/>
      </c>
      <c r="I488" s="36">
        <f>_xlfn.IFS(K488&lt;K$24,0,K488&lt;K$26,I$24,K488&lt;K$28,I$26,K488&lt;K$30,I$28,K488&lt;K$32,I$30,K488&lt;K$34,I$32,K488&lt;K$36,I$34,K488&lt;K$38,I$36,K488&lt;K$40,I$38,K488&lt;K$42,I$40,K488&lt;K$44,I$42,K488&lt;K$46,I$44,K488&gt;=K$46,I$46)</f>
        <v/>
      </c>
      <c r="J488" s="37">
        <f>_xlfn.IFS(K488&lt;K$24,0,K488&lt;K$25,J$24,K488&lt;K$26,J$25,K488&lt;K$27,J$26,K488&lt;K$28,J$27,K488&lt;K$29,J$28,K488&lt;K$30,J$29,K488&lt;K$31,J$30,K488&lt;K$32,J$31,K488&lt;K$33,J$32,K488&lt;K$34,J$33,K488&lt;K$35,J$34,K488&lt;K$36,J$35,K488&lt;K$37,J$36,K488&lt;K$38,J$37,K488&lt;K$39,J$38,K488&lt;K$40,J$39,K488&lt;K$41,J$40,K488&lt;K$42,J$41,K488&lt;K$43,J$42,K488&lt;K$44,J$43,K488&lt;K$45,J$44,K488&lt;K$46,J$45,K488&lt;K$47,J$46,K488&gt;=K$47,J$47)</f>
        <v/>
      </c>
      <c r="K488" s="38" t="n">
        <v>438</v>
      </c>
      <c r="L488" s="31">
        <f>K488/52</f>
        <v/>
      </c>
      <c r="M488" s="39">
        <f>J488/1000000*52</f>
        <v/>
      </c>
      <c r="N488" s="33">
        <f>M488/$P$4+($I$22/$P$4)</f>
        <v/>
      </c>
      <c r="U488">
        <f>F487</f>
        <v/>
      </c>
      <c r="V488">
        <f>H487</f>
        <v/>
      </c>
      <c r="W488">
        <f>N487</f>
        <v/>
      </c>
    </row>
    <row r="489" ht="15.75" customHeight="1" s="40">
      <c r="C489" s="36">
        <f>_xlfn.IFS(E489&lt;E$24,0,E489&lt;E$26,C$24,E489&lt;E$28,C$26,E489&lt;E$30,C$28,E489&lt;E$32,C$30,E489&lt;E$34,C$32,E489&gt;=E$34,C$34)</f>
        <v/>
      </c>
      <c r="D489" s="37">
        <f>_xlfn.IFS(E489&lt;E$24,0,E489&lt;E$25,D$24,E489&lt;E$26,D$25,E489&lt;E$27,D$26,E489&lt;E$28,D$27,E489&lt;E$29,D$28,E489&lt;E$30,D$29,E489&lt;E$31,D$30,E489&lt;E$32,D$31,E489&lt;E$33,D$32,E489&lt;E$34,D$33,E489&lt;E$35,D$34,E489&gt;=E$35,D$35)</f>
        <v/>
      </c>
      <c r="E489" s="38" t="n">
        <v>439</v>
      </c>
      <c r="F489" s="31">
        <f>E489/52</f>
        <v/>
      </c>
      <c r="G489" s="39">
        <f>D489/1000000*52</f>
        <v/>
      </c>
      <c r="H489" s="33">
        <f>G489/$P$4+($C$22/$P$4)</f>
        <v/>
      </c>
      <c r="I489" s="36">
        <f>_xlfn.IFS(K489&lt;K$24,0,K489&lt;K$26,I$24,K489&lt;K$28,I$26,K489&lt;K$30,I$28,K489&lt;K$32,I$30,K489&lt;K$34,I$32,K489&lt;K$36,I$34,K489&lt;K$38,I$36,K489&lt;K$40,I$38,K489&lt;K$42,I$40,K489&lt;K$44,I$42,K489&lt;K$46,I$44,K489&gt;=K$46,I$46)</f>
        <v/>
      </c>
      <c r="J489" s="37">
        <f>_xlfn.IFS(K489&lt;K$24,0,K489&lt;K$25,J$24,K489&lt;K$26,J$25,K489&lt;K$27,J$26,K489&lt;K$28,J$27,K489&lt;K$29,J$28,K489&lt;K$30,J$29,K489&lt;K$31,J$30,K489&lt;K$32,J$31,K489&lt;K$33,J$32,K489&lt;K$34,J$33,K489&lt;K$35,J$34,K489&lt;K$36,J$35,K489&lt;K$37,J$36,K489&lt;K$38,J$37,K489&lt;K$39,J$38,K489&lt;K$40,J$39,K489&lt;K$41,J$40,K489&lt;K$42,J$41,K489&lt;K$43,J$42,K489&lt;K$44,J$43,K489&lt;K$45,J$44,K489&lt;K$46,J$45,K489&lt;K$47,J$46,K489&gt;=K$47,J$47)</f>
        <v/>
      </c>
      <c r="K489" s="38" t="n">
        <v>439</v>
      </c>
      <c r="L489" s="31">
        <f>K489/52</f>
        <v/>
      </c>
      <c r="M489" s="39">
        <f>J489/1000000*52</f>
        <v/>
      </c>
      <c r="N489" s="33">
        <f>M489/$P$4+($I$22/$P$4)</f>
        <v/>
      </c>
      <c r="U489">
        <f>F488</f>
        <v/>
      </c>
      <c r="V489">
        <f>H488</f>
        <v/>
      </c>
      <c r="W489">
        <f>N488</f>
        <v/>
      </c>
    </row>
    <row r="490" ht="15.75" customHeight="1" s="40">
      <c r="C490" s="36">
        <f>_xlfn.IFS(E490&lt;E$24,0,E490&lt;E$26,C$24,E490&lt;E$28,C$26,E490&lt;E$30,C$28,E490&lt;E$32,C$30,E490&lt;E$34,C$32,E490&gt;=E$34,C$34)</f>
        <v/>
      </c>
      <c r="D490" s="37">
        <f>_xlfn.IFS(E490&lt;E$24,0,E490&lt;E$25,D$24,E490&lt;E$26,D$25,E490&lt;E$27,D$26,E490&lt;E$28,D$27,E490&lt;E$29,D$28,E490&lt;E$30,D$29,E490&lt;E$31,D$30,E490&lt;E$32,D$31,E490&lt;E$33,D$32,E490&lt;E$34,D$33,E490&lt;E$35,D$34,E490&gt;=E$35,D$35)</f>
        <v/>
      </c>
      <c r="E490" s="38" t="n">
        <v>440</v>
      </c>
      <c r="F490" s="31">
        <f>E490/52</f>
        <v/>
      </c>
      <c r="G490" s="39">
        <f>D490/1000000*52</f>
        <v/>
      </c>
      <c r="H490" s="33">
        <f>G490/$P$4+($C$22/$P$4)</f>
        <v/>
      </c>
      <c r="I490" s="36">
        <f>_xlfn.IFS(K490&lt;K$24,0,K490&lt;K$26,I$24,K490&lt;K$28,I$26,K490&lt;K$30,I$28,K490&lt;K$32,I$30,K490&lt;K$34,I$32,K490&lt;K$36,I$34,K490&lt;K$38,I$36,K490&lt;K$40,I$38,K490&lt;K$42,I$40,K490&lt;K$44,I$42,K490&lt;K$46,I$44,K490&gt;=K$46,I$46)</f>
        <v/>
      </c>
      <c r="J490" s="37">
        <f>_xlfn.IFS(K490&lt;K$24,0,K490&lt;K$25,J$24,K490&lt;K$26,J$25,K490&lt;K$27,J$26,K490&lt;K$28,J$27,K490&lt;K$29,J$28,K490&lt;K$30,J$29,K490&lt;K$31,J$30,K490&lt;K$32,J$31,K490&lt;K$33,J$32,K490&lt;K$34,J$33,K490&lt;K$35,J$34,K490&lt;K$36,J$35,K490&lt;K$37,J$36,K490&lt;K$38,J$37,K490&lt;K$39,J$38,K490&lt;K$40,J$39,K490&lt;K$41,J$40,K490&lt;K$42,J$41,K490&lt;K$43,J$42,K490&lt;K$44,J$43,K490&lt;K$45,J$44,K490&lt;K$46,J$45,K490&lt;K$47,J$46,K490&gt;=K$47,J$47)</f>
        <v/>
      </c>
      <c r="K490" s="38" t="n">
        <v>440</v>
      </c>
      <c r="L490" s="31">
        <f>K490/52</f>
        <v/>
      </c>
      <c r="M490" s="39">
        <f>J490/1000000*52</f>
        <v/>
      </c>
      <c r="N490" s="33">
        <f>M490/$P$4+($I$22/$P$4)</f>
        <v/>
      </c>
      <c r="U490">
        <f>F489</f>
        <v/>
      </c>
      <c r="V490">
        <f>H489</f>
        <v/>
      </c>
      <c r="W490">
        <f>N489</f>
        <v/>
      </c>
    </row>
    <row r="491" ht="15.75" customHeight="1" s="40">
      <c r="C491" s="36">
        <f>_xlfn.IFS(E491&lt;E$24,0,E491&lt;E$26,C$24,E491&lt;E$28,C$26,E491&lt;E$30,C$28,E491&lt;E$32,C$30,E491&lt;E$34,C$32,E491&gt;=E$34,C$34)</f>
        <v/>
      </c>
      <c r="D491" s="37">
        <f>_xlfn.IFS(E491&lt;E$24,0,E491&lt;E$25,D$24,E491&lt;E$26,D$25,E491&lt;E$27,D$26,E491&lt;E$28,D$27,E491&lt;E$29,D$28,E491&lt;E$30,D$29,E491&lt;E$31,D$30,E491&lt;E$32,D$31,E491&lt;E$33,D$32,E491&lt;E$34,D$33,E491&lt;E$35,D$34,E491&gt;=E$35,D$35)</f>
        <v/>
      </c>
      <c r="E491" s="38" t="n">
        <v>441</v>
      </c>
      <c r="F491" s="31">
        <f>E491/52</f>
        <v/>
      </c>
      <c r="G491" s="39">
        <f>D491/1000000*52</f>
        <v/>
      </c>
      <c r="H491" s="33">
        <f>G491/$P$4+($C$22/$P$4)</f>
        <v/>
      </c>
      <c r="I491" s="36">
        <f>_xlfn.IFS(K491&lt;K$24,0,K491&lt;K$26,I$24,K491&lt;K$28,I$26,K491&lt;K$30,I$28,K491&lt;K$32,I$30,K491&lt;K$34,I$32,K491&lt;K$36,I$34,K491&lt;K$38,I$36,K491&lt;K$40,I$38,K491&lt;K$42,I$40,K491&lt;K$44,I$42,K491&lt;K$46,I$44,K491&gt;=K$46,I$46)</f>
        <v/>
      </c>
      <c r="J491" s="37">
        <f>_xlfn.IFS(K491&lt;K$24,0,K491&lt;K$25,J$24,K491&lt;K$26,J$25,K491&lt;K$27,J$26,K491&lt;K$28,J$27,K491&lt;K$29,J$28,K491&lt;K$30,J$29,K491&lt;K$31,J$30,K491&lt;K$32,J$31,K491&lt;K$33,J$32,K491&lt;K$34,J$33,K491&lt;K$35,J$34,K491&lt;K$36,J$35,K491&lt;K$37,J$36,K491&lt;K$38,J$37,K491&lt;K$39,J$38,K491&lt;K$40,J$39,K491&lt;K$41,J$40,K491&lt;K$42,J$41,K491&lt;K$43,J$42,K491&lt;K$44,J$43,K491&lt;K$45,J$44,K491&lt;K$46,J$45,K491&lt;K$47,J$46,K491&gt;=K$47,J$47)</f>
        <v/>
      </c>
      <c r="K491" s="38" t="n">
        <v>441</v>
      </c>
      <c r="L491" s="31">
        <f>K491/52</f>
        <v/>
      </c>
      <c r="M491" s="39">
        <f>J491/1000000*52</f>
        <v/>
      </c>
      <c r="N491" s="33">
        <f>M491/$P$4+($I$22/$P$4)</f>
        <v/>
      </c>
      <c r="U491">
        <f>F490</f>
        <v/>
      </c>
      <c r="V491">
        <f>H490</f>
        <v/>
      </c>
      <c r="W491">
        <f>N490</f>
        <v/>
      </c>
    </row>
    <row r="492" ht="15.75" customHeight="1" s="40">
      <c r="C492" s="36">
        <f>_xlfn.IFS(E492&lt;E$24,0,E492&lt;E$26,C$24,E492&lt;E$28,C$26,E492&lt;E$30,C$28,E492&lt;E$32,C$30,E492&lt;E$34,C$32,E492&gt;=E$34,C$34)</f>
        <v/>
      </c>
      <c r="D492" s="37">
        <f>_xlfn.IFS(E492&lt;E$24,0,E492&lt;E$25,D$24,E492&lt;E$26,D$25,E492&lt;E$27,D$26,E492&lt;E$28,D$27,E492&lt;E$29,D$28,E492&lt;E$30,D$29,E492&lt;E$31,D$30,E492&lt;E$32,D$31,E492&lt;E$33,D$32,E492&lt;E$34,D$33,E492&lt;E$35,D$34,E492&gt;=E$35,D$35)</f>
        <v/>
      </c>
      <c r="E492" s="38" t="n">
        <v>442</v>
      </c>
      <c r="F492" s="31">
        <f>E492/52</f>
        <v/>
      </c>
      <c r="G492" s="39">
        <f>D492/1000000*52</f>
        <v/>
      </c>
      <c r="H492" s="33">
        <f>G492/$P$4+($C$22/$P$4)</f>
        <v/>
      </c>
      <c r="I492" s="36">
        <f>_xlfn.IFS(K492&lt;K$24,0,K492&lt;K$26,I$24,K492&lt;K$28,I$26,K492&lt;K$30,I$28,K492&lt;K$32,I$30,K492&lt;K$34,I$32,K492&lt;K$36,I$34,K492&lt;K$38,I$36,K492&lt;K$40,I$38,K492&lt;K$42,I$40,K492&lt;K$44,I$42,K492&lt;K$46,I$44,K492&gt;=K$46,I$46)</f>
        <v/>
      </c>
      <c r="J492" s="37">
        <f>_xlfn.IFS(K492&lt;K$24,0,K492&lt;K$25,J$24,K492&lt;K$26,J$25,K492&lt;K$27,J$26,K492&lt;K$28,J$27,K492&lt;K$29,J$28,K492&lt;K$30,J$29,K492&lt;K$31,J$30,K492&lt;K$32,J$31,K492&lt;K$33,J$32,K492&lt;K$34,J$33,K492&lt;K$35,J$34,K492&lt;K$36,J$35,K492&lt;K$37,J$36,K492&lt;K$38,J$37,K492&lt;K$39,J$38,K492&lt;K$40,J$39,K492&lt;K$41,J$40,K492&lt;K$42,J$41,K492&lt;K$43,J$42,K492&lt;K$44,J$43,K492&lt;K$45,J$44,K492&lt;K$46,J$45,K492&lt;K$47,J$46,K492&gt;=K$47,J$47)</f>
        <v/>
      </c>
      <c r="K492" s="38" t="n">
        <v>442</v>
      </c>
      <c r="L492" s="31">
        <f>K492/52</f>
        <v/>
      </c>
      <c r="M492" s="39">
        <f>J492/1000000*52</f>
        <v/>
      </c>
      <c r="N492" s="33">
        <f>M492/$P$4+($I$22/$P$4)</f>
        <v/>
      </c>
      <c r="U492">
        <f>F491</f>
        <v/>
      </c>
      <c r="V492">
        <f>H491</f>
        <v/>
      </c>
      <c r="W492">
        <f>N491</f>
        <v/>
      </c>
    </row>
    <row r="493" ht="15.75" customHeight="1" s="40">
      <c r="C493" s="36">
        <f>_xlfn.IFS(E493&lt;E$24,0,E493&lt;E$26,C$24,E493&lt;E$28,C$26,E493&lt;E$30,C$28,E493&lt;E$32,C$30,E493&lt;E$34,C$32,E493&gt;=E$34,C$34)</f>
        <v/>
      </c>
      <c r="D493" s="37">
        <f>_xlfn.IFS(E493&lt;E$24,0,E493&lt;E$25,D$24,E493&lt;E$26,D$25,E493&lt;E$27,D$26,E493&lt;E$28,D$27,E493&lt;E$29,D$28,E493&lt;E$30,D$29,E493&lt;E$31,D$30,E493&lt;E$32,D$31,E493&lt;E$33,D$32,E493&lt;E$34,D$33,E493&lt;E$35,D$34,E493&gt;=E$35,D$35)</f>
        <v/>
      </c>
      <c r="E493" s="38" t="n">
        <v>443</v>
      </c>
      <c r="F493" s="31">
        <f>E493/52</f>
        <v/>
      </c>
      <c r="G493" s="39">
        <f>D493/1000000*52</f>
        <v/>
      </c>
      <c r="H493" s="33">
        <f>G493/$P$4+($C$22/$P$4)</f>
        <v/>
      </c>
      <c r="I493" s="36">
        <f>_xlfn.IFS(K493&lt;K$24,0,K493&lt;K$26,I$24,K493&lt;K$28,I$26,K493&lt;K$30,I$28,K493&lt;K$32,I$30,K493&lt;K$34,I$32,K493&lt;K$36,I$34,K493&lt;K$38,I$36,K493&lt;K$40,I$38,K493&lt;K$42,I$40,K493&lt;K$44,I$42,K493&lt;K$46,I$44,K493&gt;=K$46,I$46)</f>
        <v/>
      </c>
      <c r="J493" s="37">
        <f>_xlfn.IFS(K493&lt;K$24,0,K493&lt;K$25,J$24,K493&lt;K$26,J$25,K493&lt;K$27,J$26,K493&lt;K$28,J$27,K493&lt;K$29,J$28,K493&lt;K$30,J$29,K493&lt;K$31,J$30,K493&lt;K$32,J$31,K493&lt;K$33,J$32,K493&lt;K$34,J$33,K493&lt;K$35,J$34,K493&lt;K$36,J$35,K493&lt;K$37,J$36,K493&lt;K$38,J$37,K493&lt;K$39,J$38,K493&lt;K$40,J$39,K493&lt;K$41,J$40,K493&lt;K$42,J$41,K493&lt;K$43,J$42,K493&lt;K$44,J$43,K493&lt;K$45,J$44,K493&lt;K$46,J$45,K493&lt;K$47,J$46,K493&gt;=K$47,J$47)</f>
        <v/>
      </c>
      <c r="K493" s="38" t="n">
        <v>443</v>
      </c>
      <c r="L493" s="31">
        <f>K493/52</f>
        <v/>
      </c>
      <c r="M493" s="39">
        <f>J493/1000000*52</f>
        <v/>
      </c>
      <c r="N493" s="33">
        <f>M493/$P$4+($I$22/$P$4)</f>
        <v/>
      </c>
      <c r="U493">
        <f>F492</f>
        <v/>
      </c>
      <c r="V493">
        <f>H492</f>
        <v/>
      </c>
      <c r="W493">
        <f>N492</f>
        <v/>
      </c>
    </row>
    <row r="494" ht="15.75" customHeight="1" s="40">
      <c r="C494" s="36">
        <f>_xlfn.IFS(E494&lt;E$24,0,E494&lt;E$26,C$24,E494&lt;E$28,C$26,E494&lt;E$30,C$28,E494&lt;E$32,C$30,E494&lt;E$34,C$32,E494&gt;=E$34,C$34)</f>
        <v/>
      </c>
      <c r="D494" s="37">
        <f>_xlfn.IFS(E494&lt;E$24,0,E494&lt;E$25,D$24,E494&lt;E$26,D$25,E494&lt;E$27,D$26,E494&lt;E$28,D$27,E494&lt;E$29,D$28,E494&lt;E$30,D$29,E494&lt;E$31,D$30,E494&lt;E$32,D$31,E494&lt;E$33,D$32,E494&lt;E$34,D$33,E494&lt;E$35,D$34,E494&gt;=E$35,D$35)</f>
        <v/>
      </c>
      <c r="E494" s="38" t="n">
        <v>444</v>
      </c>
      <c r="F494" s="31">
        <f>E494/52</f>
        <v/>
      </c>
      <c r="G494" s="39">
        <f>D494/1000000*52</f>
        <v/>
      </c>
      <c r="H494" s="33">
        <f>G494/$P$4+($C$22/$P$4)</f>
        <v/>
      </c>
      <c r="I494" s="36">
        <f>_xlfn.IFS(K494&lt;K$24,0,K494&lt;K$26,I$24,K494&lt;K$28,I$26,K494&lt;K$30,I$28,K494&lt;K$32,I$30,K494&lt;K$34,I$32,K494&lt;K$36,I$34,K494&lt;K$38,I$36,K494&lt;K$40,I$38,K494&lt;K$42,I$40,K494&lt;K$44,I$42,K494&lt;K$46,I$44,K494&gt;=K$46,I$46)</f>
        <v/>
      </c>
      <c r="J494" s="37">
        <f>_xlfn.IFS(K494&lt;K$24,0,K494&lt;K$25,J$24,K494&lt;K$26,J$25,K494&lt;K$27,J$26,K494&lt;K$28,J$27,K494&lt;K$29,J$28,K494&lt;K$30,J$29,K494&lt;K$31,J$30,K494&lt;K$32,J$31,K494&lt;K$33,J$32,K494&lt;K$34,J$33,K494&lt;K$35,J$34,K494&lt;K$36,J$35,K494&lt;K$37,J$36,K494&lt;K$38,J$37,K494&lt;K$39,J$38,K494&lt;K$40,J$39,K494&lt;K$41,J$40,K494&lt;K$42,J$41,K494&lt;K$43,J$42,K494&lt;K$44,J$43,K494&lt;K$45,J$44,K494&lt;K$46,J$45,K494&lt;K$47,J$46,K494&gt;=K$47,J$47)</f>
        <v/>
      </c>
      <c r="K494" s="38" t="n">
        <v>444</v>
      </c>
      <c r="L494" s="31">
        <f>K494/52</f>
        <v/>
      </c>
      <c r="M494" s="39">
        <f>J494/1000000*52</f>
        <v/>
      </c>
      <c r="N494" s="33">
        <f>M494/$P$4+($I$22/$P$4)</f>
        <v/>
      </c>
      <c r="U494">
        <f>F493</f>
        <v/>
      </c>
      <c r="V494">
        <f>H493</f>
        <v/>
      </c>
      <c r="W494">
        <f>N493</f>
        <v/>
      </c>
    </row>
    <row r="495" ht="15.75" customHeight="1" s="40">
      <c r="C495" s="36">
        <f>_xlfn.IFS(E495&lt;E$24,0,E495&lt;E$26,C$24,E495&lt;E$28,C$26,E495&lt;E$30,C$28,E495&lt;E$32,C$30,E495&lt;E$34,C$32,E495&gt;=E$34,C$34)</f>
        <v/>
      </c>
      <c r="D495" s="37">
        <f>_xlfn.IFS(E495&lt;E$24,0,E495&lt;E$25,D$24,E495&lt;E$26,D$25,E495&lt;E$27,D$26,E495&lt;E$28,D$27,E495&lt;E$29,D$28,E495&lt;E$30,D$29,E495&lt;E$31,D$30,E495&lt;E$32,D$31,E495&lt;E$33,D$32,E495&lt;E$34,D$33,E495&lt;E$35,D$34,E495&gt;=E$35,D$35)</f>
        <v/>
      </c>
      <c r="E495" s="38" t="n">
        <v>445</v>
      </c>
      <c r="F495" s="31">
        <f>E495/52</f>
        <v/>
      </c>
      <c r="G495" s="39">
        <f>D495/1000000*52</f>
        <v/>
      </c>
      <c r="H495" s="33">
        <f>G495/$P$4+($C$22/$P$4)</f>
        <v/>
      </c>
      <c r="I495" s="36">
        <f>_xlfn.IFS(K495&lt;K$24,0,K495&lt;K$26,I$24,K495&lt;K$28,I$26,K495&lt;K$30,I$28,K495&lt;K$32,I$30,K495&lt;K$34,I$32,K495&lt;K$36,I$34,K495&lt;K$38,I$36,K495&lt;K$40,I$38,K495&lt;K$42,I$40,K495&lt;K$44,I$42,K495&lt;K$46,I$44,K495&gt;=K$46,I$46)</f>
        <v/>
      </c>
      <c r="J495" s="37">
        <f>_xlfn.IFS(K495&lt;K$24,0,K495&lt;K$25,J$24,K495&lt;K$26,J$25,K495&lt;K$27,J$26,K495&lt;K$28,J$27,K495&lt;K$29,J$28,K495&lt;K$30,J$29,K495&lt;K$31,J$30,K495&lt;K$32,J$31,K495&lt;K$33,J$32,K495&lt;K$34,J$33,K495&lt;K$35,J$34,K495&lt;K$36,J$35,K495&lt;K$37,J$36,K495&lt;K$38,J$37,K495&lt;K$39,J$38,K495&lt;K$40,J$39,K495&lt;K$41,J$40,K495&lt;K$42,J$41,K495&lt;K$43,J$42,K495&lt;K$44,J$43,K495&lt;K$45,J$44,K495&lt;K$46,J$45,K495&lt;K$47,J$46,K495&gt;=K$47,J$47)</f>
        <v/>
      </c>
      <c r="K495" s="38" t="n">
        <v>445</v>
      </c>
      <c r="L495" s="31">
        <f>K495/52</f>
        <v/>
      </c>
      <c r="M495" s="39">
        <f>J495/1000000*52</f>
        <v/>
      </c>
      <c r="N495" s="33">
        <f>M495/$P$4+($I$22/$P$4)</f>
        <v/>
      </c>
      <c r="U495">
        <f>F494</f>
        <v/>
      </c>
      <c r="V495">
        <f>H494</f>
        <v/>
      </c>
      <c r="W495">
        <f>N494</f>
        <v/>
      </c>
    </row>
    <row r="496" ht="15.75" customHeight="1" s="40">
      <c r="C496" s="36">
        <f>_xlfn.IFS(E496&lt;E$24,0,E496&lt;E$26,C$24,E496&lt;E$28,C$26,E496&lt;E$30,C$28,E496&lt;E$32,C$30,E496&lt;E$34,C$32,E496&gt;=E$34,C$34)</f>
        <v/>
      </c>
      <c r="D496" s="37">
        <f>_xlfn.IFS(E496&lt;E$24,0,E496&lt;E$25,D$24,E496&lt;E$26,D$25,E496&lt;E$27,D$26,E496&lt;E$28,D$27,E496&lt;E$29,D$28,E496&lt;E$30,D$29,E496&lt;E$31,D$30,E496&lt;E$32,D$31,E496&lt;E$33,D$32,E496&lt;E$34,D$33,E496&lt;E$35,D$34,E496&gt;=E$35,D$35)</f>
        <v/>
      </c>
      <c r="E496" s="38" t="n">
        <v>446</v>
      </c>
      <c r="F496" s="31">
        <f>E496/52</f>
        <v/>
      </c>
      <c r="G496" s="39">
        <f>D496/1000000*52</f>
        <v/>
      </c>
      <c r="H496" s="33">
        <f>G496/$P$4+($C$22/$P$4)</f>
        <v/>
      </c>
      <c r="I496" s="36">
        <f>_xlfn.IFS(K496&lt;K$24,0,K496&lt;K$26,I$24,K496&lt;K$28,I$26,K496&lt;K$30,I$28,K496&lt;K$32,I$30,K496&lt;K$34,I$32,K496&lt;K$36,I$34,K496&lt;K$38,I$36,K496&lt;K$40,I$38,K496&lt;K$42,I$40,K496&lt;K$44,I$42,K496&lt;K$46,I$44,K496&gt;=K$46,I$46)</f>
        <v/>
      </c>
      <c r="J496" s="37">
        <f>_xlfn.IFS(K496&lt;K$24,0,K496&lt;K$25,J$24,K496&lt;K$26,J$25,K496&lt;K$27,J$26,K496&lt;K$28,J$27,K496&lt;K$29,J$28,K496&lt;K$30,J$29,K496&lt;K$31,J$30,K496&lt;K$32,J$31,K496&lt;K$33,J$32,K496&lt;K$34,J$33,K496&lt;K$35,J$34,K496&lt;K$36,J$35,K496&lt;K$37,J$36,K496&lt;K$38,J$37,K496&lt;K$39,J$38,K496&lt;K$40,J$39,K496&lt;K$41,J$40,K496&lt;K$42,J$41,K496&lt;K$43,J$42,K496&lt;K$44,J$43,K496&lt;K$45,J$44,K496&lt;K$46,J$45,K496&lt;K$47,J$46,K496&gt;=K$47,J$47)</f>
        <v/>
      </c>
      <c r="K496" s="38" t="n">
        <v>446</v>
      </c>
      <c r="L496" s="31">
        <f>K496/52</f>
        <v/>
      </c>
      <c r="M496" s="39">
        <f>J496/1000000*52</f>
        <v/>
      </c>
      <c r="N496" s="33">
        <f>M496/$P$4+($I$22/$P$4)</f>
        <v/>
      </c>
      <c r="U496">
        <f>F495</f>
        <v/>
      </c>
      <c r="V496">
        <f>H495</f>
        <v/>
      </c>
      <c r="W496">
        <f>N495</f>
        <v/>
      </c>
    </row>
    <row r="497" ht="15.75" customHeight="1" s="40">
      <c r="C497" s="36">
        <f>_xlfn.IFS(E497&lt;E$24,0,E497&lt;E$26,C$24,E497&lt;E$28,C$26,E497&lt;E$30,C$28,E497&lt;E$32,C$30,E497&lt;E$34,C$32,E497&gt;=E$34,C$34)</f>
        <v/>
      </c>
      <c r="D497" s="37">
        <f>_xlfn.IFS(E497&lt;E$24,0,E497&lt;E$25,D$24,E497&lt;E$26,D$25,E497&lt;E$27,D$26,E497&lt;E$28,D$27,E497&lt;E$29,D$28,E497&lt;E$30,D$29,E497&lt;E$31,D$30,E497&lt;E$32,D$31,E497&lt;E$33,D$32,E497&lt;E$34,D$33,E497&lt;E$35,D$34,E497&gt;=E$35,D$35)</f>
        <v/>
      </c>
      <c r="E497" s="38" t="n">
        <v>447</v>
      </c>
      <c r="F497" s="31">
        <f>E497/52</f>
        <v/>
      </c>
      <c r="G497" s="39">
        <f>D497/1000000*52</f>
        <v/>
      </c>
      <c r="H497" s="33">
        <f>G497/$P$4+($C$22/$P$4)</f>
        <v/>
      </c>
      <c r="I497" s="36">
        <f>_xlfn.IFS(K497&lt;K$24,0,K497&lt;K$26,I$24,K497&lt;K$28,I$26,K497&lt;K$30,I$28,K497&lt;K$32,I$30,K497&lt;K$34,I$32,K497&lt;K$36,I$34,K497&lt;K$38,I$36,K497&lt;K$40,I$38,K497&lt;K$42,I$40,K497&lt;K$44,I$42,K497&lt;K$46,I$44,K497&gt;=K$46,I$46)</f>
        <v/>
      </c>
      <c r="J497" s="37">
        <f>_xlfn.IFS(K497&lt;K$24,0,K497&lt;K$25,J$24,K497&lt;K$26,J$25,K497&lt;K$27,J$26,K497&lt;K$28,J$27,K497&lt;K$29,J$28,K497&lt;K$30,J$29,K497&lt;K$31,J$30,K497&lt;K$32,J$31,K497&lt;K$33,J$32,K497&lt;K$34,J$33,K497&lt;K$35,J$34,K497&lt;K$36,J$35,K497&lt;K$37,J$36,K497&lt;K$38,J$37,K497&lt;K$39,J$38,K497&lt;K$40,J$39,K497&lt;K$41,J$40,K497&lt;K$42,J$41,K497&lt;K$43,J$42,K497&lt;K$44,J$43,K497&lt;K$45,J$44,K497&lt;K$46,J$45,K497&lt;K$47,J$46,K497&gt;=K$47,J$47)</f>
        <v/>
      </c>
      <c r="K497" s="38" t="n">
        <v>447</v>
      </c>
      <c r="L497" s="31">
        <f>K497/52</f>
        <v/>
      </c>
      <c r="M497" s="39">
        <f>J497/1000000*52</f>
        <v/>
      </c>
      <c r="N497" s="33">
        <f>M497/$P$4+($I$22/$P$4)</f>
        <v/>
      </c>
      <c r="U497">
        <f>F496</f>
        <v/>
      </c>
      <c r="V497">
        <f>H496</f>
        <v/>
      </c>
      <c r="W497">
        <f>N496</f>
        <v/>
      </c>
    </row>
    <row r="498" ht="15.75" customHeight="1" s="40">
      <c r="C498" s="36">
        <f>_xlfn.IFS(E498&lt;E$24,0,E498&lt;E$26,C$24,E498&lt;E$28,C$26,E498&lt;E$30,C$28,E498&lt;E$32,C$30,E498&lt;E$34,C$32,E498&gt;=E$34,C$34)</f>
        <v/>
      </c>
      <c r="D498" s="37">
        <f>_xlfn.IFS(E498&lt;E$24,0,E498&lt;E$25,D$24,E498&lt;E$26,D$25,E498&lt;E$27,D$26,E498&lt;E$28,D$27,E498&lt;E$29,D$28,E498&lt;E$30,D$29,E498&lt;E$31,D$30,E498&lt;E$32,D$31,E498&lt;E$33,D$32,E498&lt;E$34,D$33,E498&lt;E$35,D$34,E498&gt;=E$35,D$35)</f>
        <v/>
      </c>
      <c r="E498" s="38" t="n">
        <v>448</v>
      </c>
      <c r="F498" s="31">
        <f>E498/52</f>
        <v/>
      </c>
      <c r="G498" s="39">
        <f>D498/1000000*52</f>
        <v/>
      </c>
      <c r="H498" s="33">
        <f>G498/$P$4+($C$22/$P$4)</f>
        <v/>
      </c>
      <c r="I498" s="36">
        <f>_xlfn.IFS(K498&lt;K$24,0,K498&lt;K$26,I$24,K498&lt;K$28,I$26,K498&lt;K$30,I$28,K498&lt;K$32,I$30,K498&lt;K$34,I$32,K498&lt;K$36,I$34,K498&lt;K$38,I$36,K498&lt;K$40,I$38,K498&lt;K$42,I$40,K498&lt;K$44,I$42,K498&lt;K$46,I$44,K498&gt;=K$46,I$46)</f>
        <v/>
      </c>
      <c r="J498" s="37">
        <f>_xlfn.IFS(K498&lt;K$24,0,K498&lt;K$25,J$24,K498&lt;K$26,J$25,K498&lt;K$27,J$26,K498&lt;K$28,J$27,K498&lt;K$29,J$28,K498&lt;K$30,J$29,K498&lt;K$31,J$30,K498&lt;K$32,J$31,K498&lt;K$33,J$32,K498&lt;K$34,J$33,K498&lt;K$35,J$34,K498&lt;K$36,J$35,K498&lt;K$37,J$36,K498&lt;K$38,J$37,K498&lt;K$39,J$38,K498&lt;K$40,J$39,K498&lt;K$41,J$40,K498&lt;K$42,J$41,K498&lt;K$43,J$42,K498&lt;K$44,J$43,K498&lt;K$45,J$44,K498&lt;K$46,J$45,K498&lt;K$47,J$46,K498&gt;=K$47,J$47)</f>
        <v/>
      </c>
      <c r="K498" s="38" t="n">
        <v>448</v>
      </c>
      <c r="L498" s="31">
        <f>K498/52</f>
        <v/>
      </c>
      <c r="M498" s="39">
        <f>J498/1000000*52</f>
        <v/>
      </c>
      <c r="N498" s="33">
        <f>M498/$P$4+($I$22/$P$4)</f>
        <v/>
      </c>
      <c r="U498">
        <f>F497</f>
        <v/>
      </c>
      <c r="V498">
        <f>H497</f>
        <v/>
      </c>
      <c r="W498">
        <f>N497</f>
        <v/>
      </c>
    </row>
    <row r="499" ht="15.75" customHeight="1" s="40">
      <c r="C499" s="36">
        <f>_xlfn.IFS(E499&lt;E$24,0,E499&lt;E$26,C$24,E499&lt;E$28,C$26,E499&lt;E$30,C$28,E499&lt;E$32,C$30,E499&lt;E$34,C$32,E499&gt;=E$34,C$34)</f>
        <v/>
      </c>
      <c r="D499" s="37">
        <f>_xlfn.IFS(E499&lt;E$24,0,E499&lt;E$25,D$24,E499&lt;E$26,D$25,E499&lt;E$27,D$26,E499&lt;E$28,D$27,E499&lt;E$29,D$28,E499&lt;E$30,D$29,E499&lt;E$31,D$30,E499&lt;E$32,D$31,E499&lt;E$33,D$32,E499&lt;E$34,D$33,E499&lt;E$35,D$34,E499&gt;=E$35,D$35)</f>
        <v/>
      </c>
      <c r="E499" s="38" t="n">
        <v>449</v>
      </c>
      <c r="F499" s="31">
        <f>E499/52</f>
        <v/>
      </c>
      <c r="G499" s="39">
        <f>D499/1000000*52</f>
        <v/>
      </c>
      <c r="H499" s="33">
        <f>G499/$P$4+($C$22/$P$4)</f>
        <v/>
      </c>
      <c r="I499" s="36">
        <f>_xlfn.IFS(K499&lt;K$24,0,K499&lt;K$26,I$24,K499&lt;K$28,I$26,K499&lt;K$30,I$28,K499&lt;K$32,I$30,K499&lt;K$34,I$32,K499&lt;K$36,I$34,K499&lt;K$38,I$36,K499&lt;K$40,I$38,K499&lt;K$42,I$40,K499&lt;K$44,I$42,K499&lt;K$46,I$44,K499&gt;=K$46,I$46)</f>
        <v/>
      </c>
      <c r="J499" s="37">
        <f>_xlfn.IFS(K499&lt;K$24,0,K499&lt;K$25,J$24,K499&lt;K$26,J$25,K499&lt;K$27,J$26,K499&lt;K$28,J$27,K499&lt;K$29,J$28,K499&lt;K$30,J$29,K499&lt;K$31,J$30,K499&lt;K$32,J$31,K499&lt;K$33,J$32,K499&lt;K$34,J$33,K499&lt;K$35,J$34,K499&lt;K$36,J$35,K499&lt;K$37,J$36,K499&lt;K$38,J$37,K499&lt;K$39,J$38,K499&lt;K$40,J$39,K499&lt;K$41,J$40,K499&lt;K$42,J$41,K499&lt;K$43,J$42,K499&lt;K$44,J$43,K499&lt;K$45,J$44,K499&lt;K$46,J$45,K499&lt;K$47,J$46,K499&gt;=K$47,J$47)</f>
        <v/>
      </c>
      <c r="K499" s="38" t="n">
        <v>449</v>
      </c>
      <c r="L499" s="31">
        <f>K499/52</f>
        <v/>
      </c>
      <c r="M499" s="39">
        <f>J499/1000000*52</f>
        <v/>
      </c>
      <c r="N499" s="33">
        <f>M499/$P$4+($I$22/$P$4)</f>
        <v/>
      </c>
      <c r="U499">
        <f>F498</f>
        <v/>
      </c>
      <c r="V499">
        <f>H498</f>
        <v/>
      </c>
      <c r="W499">
        <f>N498</f>
        <v/>
      </c>
    </row>
    <row r="500" ht="15.75" customHeight="1" s="40">
      <c r="C500" s="36">
        <f>_xlfn.IFS(E500&lt;E$24,0,E500&lt;E$26,C$24,E500&lt;E$28,C$26,E500&lt;E$30,C$28,E500&lt;E$32,C$30,E500&lt;E$34,C$32,E500&gt;=E$34,C$34)</f>
        <v/>
      </c>
      <c r="D500" s="37">
        <f>_xlfn.IFS(E500&lt;E$24,0,E500&lt;E$25,D$24,E500&lt;E$26,D$25,E500&lt;E$27,D$26,E500&lt;E$28,D$27,E500&lt;E$29,D$28,E500&lt;E$30,D$29,E500&lt;E$31,D$30,E500&lt;E$32,D$31,E500&lt;E$33,D$32,E500&lt;E$34,D$33,E500&lt;E$35,D$34,E500&gt;=E$35,D$35)</f>
        <v/>
      </c>
      <c r="E500" s="38" t="n">
        <v>450</v>
      </c>
      <c r="F500" s="31">
        <f>E500/52</f>
        <v/>
      </c>
      <c r="G500" s="39">
        <f>D500/1000000*52</f>
        <v/>
      </c>
      <c r="H500" s="33">
        <f>G500/$P$4+($C$22/$P$4)</f>
        <v/>
      </c>
      <c r="I500" s="36">
        <f>_xlfn.IFS(K500&lt;K$24,0,K500&lt;K$26,I$24,K500&lt;K$28,I$26,K500&lt;K$30,I$28,K500&lt;K$32,I$30,K500&lt;K$34,I$32,K500&lt;K$36,I$34,K500&lt;K$38,I$36,K500&lt;K$40,I$38,K500&lt;K$42,I$40,K500&lt;K$44,I$42,K500&lt;K$46,I$44,K500&gt;=K$46,I$46)</f>
        <v/>
      </c>
      <c r="J500" s="37">
        <f>_xlfn.IFS(K500&lt;K$24,0,K500&lt;K$25,J$24,K500&lt;K$26,J$25,K500&lt;K$27,J$26,K500&lt;K$28,J$27,K500&lt;K$29,J$28,K500&lt;K$30,J$29,K500&lt;K$31,J$30,K500&lt;K$32,J$31,K500&lt;K$33,J$32,K500&lt;K$34,J$33,K500&lt;K$35,J$34,K500&lt;K$36,J$35,K500&lt;K$37,J$36,K500&lt;K$38,J$37,K500&lt;K$39,J$38,K500&lt;K$40,J$39,K500&lt;K$41,J$40,K500&lt;K$42,J$41,K500&lt;K$43,J$42,K500&lt;K$44,J$43,K500&lt;K$45,J$44,K500&lt;K$46,J$45,K500&lt;K$47,J$46,K500&gt;=K$47,J$47)</f>
        <v/>
      </c>
      <c r="K500" s="38" t="n">
        <v>450</v>
      </c>
      <c r="L500" s="31">
        <f>K500/52</f>
        <v/>
      </c>
      <c r="M500" s="39">
        <f>J500/1000000*52</f>
        <v/>
      </c>
      <c r="N500" s="33">
        <f>M500/$P$4+($I$22/$P$4)</f>
        <v/>
      </c>
      <c r="U500">
        <f>F499</f>
        <v/>
      </c>
      <c r="V500">
        <f>H499</f>
        <v/>
      </c>
      <c r="W500">
        <f>N499</f>
        <v/>
      </c>
    </row>
    <row r="501" ht="15.75" customHeight="1" s="40">
      <c r="C501" s="36">
        <f>_xlfn.IFS(E501&lt;E$24,0,E501&lt;E$26,C$24,E501&lt;E$28,C$26,E501&lt;E$30,C$28,E501&lt;E$32,C$30,E501&lt;E$34,C$32,E501&gt;=E$34,C$34)</f>
        <v/>
      </c>
      <c r="D501" s="37">
        <f>_xlfn.IFS(E501&lt;E$24,0,E501&lt;E$25,D$24,E501&lt;E$26,D$25,E501&lt;E$27,D$26,E501&lt;E$28,D$27,E501&lt;E$29,D$28,E501&lt;E$30,D$29,E501&lt;E$31,D$30,E501&lt;E$32,D$31,E501&lt;E$33,D$32,E501&lt;E$34,D$33,E501&lt;E$35,D$34,E501&gt;=E$35,D$35)</f>
        <v/>
      </c>
      <c r="E501" s="38" t="n">
        <v>451</v>
      </c>
      <c r="F501" s="31">
        <f>E501/52</f>
        <v/>
      </c>
      <c r="G501" s="39">
        <f>D501/1000000*52</f>
        <v/>
      </c>
      <c r="H501" s="33">
        <f>G501/$P$4+($C$22/$P$4)</f>
        <v/>
      </c>
      <c r="I501" s="36">
        <f>_xlfn.IFS(K501&lt;K$24,0,K501&lt;K$26,I$24,K501&lt;K$28,I$26,K501&lt;K$30,I$28,K501&lt;K$32,I$30,K501&lt;K$34,I$32,K501&lt;K$36,I$34,K501&lt;K$38,I$36,K501&lt;K$40,I$38,K501&lt;K$42,I$40,K501&lt;K$44,I$42,K501&lt;K$46,I$44,K501&gt;=K$46,I$46)</f>
        <v/>
      </c>
      <c r="J501" s="37">
        <f>_xlfn.IFS(K501&lt;K$24,0,K501&lt;K$25,J$24,K501&lt;K$26,J$25,K501&lt;K$27,J$26,K501&lt;K$28,J$27,K501&lt;K$29,J$28,K501&lt;K$30,J$29,K501&lt;K$31,J$30,K501&lt;K$32,J$31,K501&lt;K$33,J$32,K501&lt;K$34,J$33,K501&lt;K$35,J$34,K501&lt;K$36,J$35,K501&lt;K$37,J$36,K501&lt;K$38,J$37,K501&lt;K$39,J$38,K501&lt;K$40,J$39,K501&lt;K$41,J$40,K501&lt;K$42,J$41,K501&lt;K$43,J$42,K501&lt;K$44,J$43,K501&lt;K$45,J$44,K501&lt;K$46,J$45,K501&lt;K$47,J$46,K501&gt;=K$47,J$47)</f>
        <v/>
      </c>
      <c r="K501" s="38" t="n">
        <v>451</v>
      </c>
      <c r="L501" s="31">
        <f>K501/52</f>
        <v/>
      </c>
      <c r="M501" s="39">
        <f>J501/1000000*52</f>
        <v/>
      </c>
      <c r="N501" s="33">
        <f>M501/$P$4+($I$22/$P$4)</f>
        <v/>
      </c>
      <c r="U501">
        <f>F500</f>
        <v/>
      </c>
      <c r="V501">
        <f>H500</f>
        <v/>
      </c>
      <c r="W501">
        <f>N500</f>
        <v/>
      </c>
    </row>
    <row r="502" ht="15.75" customHeight="1" s="40">
      <c r="C502" s="36">
        <f>_xlfn.IFS(E502&lt;E$24,0,E502&lt;E$26,C$24,E502&lt;E$28,C$26,E502&lt;E$30,C$28,E502&lt;E$32,C$30,E502&lt;E$34,C$32,E502&gt;=E$34,C$34)</f>
        <v/>
      </c>
      <c r="D502" s="37">
        <f>_xlfn.IFS(E502&lt;E$24,0,E502&lt;E$25,D$24,E502&lt;E$26,D$25,E502&lt;E$27,D$26,E502&lt;E$28,D$27,E502&lt;E$29,D$28,E502&lt;E$30,D$29,E502&lt;E$31,D$30,E502&lt;E$32,D$31,E502&lt;E$33,D$32,E502&lt;E$34,D$33,E502&lt;E$35,D$34,E502&gt;=E$35,D$35)</f>
        <v/>
      </c>
      <c r="E502" s="38" t="n">
        <v>452</v>
      </c>
      <c r="F502" s="31">
        <f>E502/52</f>
        <v/>
      </c>
      <c r="G502" s="39">
        <f>D502/1000000*52</f>
        <v/>
      </c>
      <c r="H502" s="33">
        <f>G502/$P$4+($C$22/$P$4)</f>
        <v/>
      </c>
      <c r="I502" s="36">
        <f>_xlfn.IFS(K502&lt;K$24,0,K502&lt;K$26,I$24,K502&lt;K$28,I$26,K502&lt;K$30,I$28,K502&lt;K$32,I$30,K502&lt;K$34,I$32,K502&lt;K$36,I$34,K502&lt;K$38,I$36,K502&lt;K$40,I$38,K502&lt;K$42,I$40,K502&lt;K$44,I$42,K502&lt;K$46,I$44,K502&gt;=K$46,I$46)</f>
        <v/>
      </c>
      <c r="J502" s="37">
        <f>_xlfn.IFS(K502&lt;K$24,0,K502&lt;K$25,J$24,K502&lt;K$26,J$25,K502&lt;K$27,J$26,K502&lt;K$28,J$27,K502&lt;K$29,J$28,K502&lt;K$30,J$29,K502&lt;K$31,J$30,K502&lt;K$32,J$31,K502&lt;K$33,J$32,K502&lt;K$34,J$33,K502&lt;K$35,J$34,K502&lt;K$36,J$35,K502&lt;K$37,J$36,K502&lt;K$38,J$37,K502&lt;K$39,J$38,K502&lt;K$40,J$39,K502&lt;K$41,J$40,K502&lt;K$42,J$41,K502&lt;K$43,J$42,K502&lt;K$44,J$43,K502&lt;K$45,J$44,K502&lt;K$46,J$45,K502&lt;K$47,J$46,K502&gt;=K$47,J$47)</f>
        <v/>
      </c>
      <c r="K502" s="38" t="n">
        <v>452</v>
      </c>
      <c r="L502" s="31">
        <f>K502/52</f>
        <v/>
      </c>
      <c r="M502" s="39">
        <f>J502/1000000*52</f>
        <v/>
      </c>
      <c r="N502" s="33">
        <f>M502/$P$4+($I$22/$P$4)</f>
        <v/>
      </c>
      <c r="U502">
        <f>F501</f>
        <v/>
      </c>
      <c r="V502">
        <f>H501</f>
        <v/>
      </c>
      <c r="W502">
        <f>N501</f>
        <v/>
      </c>
    </row>
    <row r="503" ht="15.75" customHeight="1" s="40">
      <c r="C503" s="36">
        <f>_xlfn.IFS(E503&lt;E$24,0,E503&lt;E$26,C$24,E503&lt;E$28,C$26,E503&lt;E$30,C$28,E503&lt;E$32,C$30,E503&lt;E$34,C$32,E503&gt;=E$34,C$34)</f>
        <v/>
      </c>
      <c r="D503" s="37">
        <f>_xlfn.IFS(E503&lt;E$24,0,E503&lt;E$25,D$24,E503&lt;E$26,D$25,E503&lt;E$27,D$26,E503&lt;E$28,D$27,E503&lt;E$29,D$28,E503&lt;E$30,D$29,E503&lt;E$31,D$30,E503&lt;E$32,D$31,E503&lt;E$33,D$32,E503&lt;E$34,D$33,E503&lt;E$35,D$34,E503&gt;=E$35,D$35)</f>
        <v/>
      </c>
      <c r="E503" s="38" t="n">
        <v>453</v>
      </c>
      <c r="F503" s="31">
        <f>E503/52</f>
        <v/>
      </c>
      <c r="G503" s="39">
        <f>D503/1000000*52</f>
        <v/>
      </c>
      <c r="H503" s="33">
        <f>G503/$P$4+($C$22/$P$4)</f>
        <v/>
      </c>
      <c r="I503" s="36">
        <f>_xlfn.IFS(K503&lt;K$24,0,K503&lt;K$26,I$24,K503&lt;K$28,I$26,K503&lt;K$30,I$28,K503&lt;K$32,I$30,K503&lt;K$34,I$32,K503&lt;K$36,I$34,K503&lt;K$38,I$36,K503&lt;K$40,I$38,K503&lt;K$42,I$40,K503&lt;K$44,I$42,K503&lt;K$46,I$44,K503&gt;=K$46,I$46)</f>
        <v/>
      </c>
      <c r="J503" s="37">
        <f>_xlfn.IFS(K503&lt;K$24,0,K503&lt;K$25,J$24,K503&lt;K$26,J$25,K503&lt;K$27,J$26,K503&lt;K$28,J$27,K503&lt;K$29,J$28,K503&lt;K$30,J$29,K503&lt;K$31,J$30,K503&lt;K$32,J$31,K503&lt;K$33,J$32,K503&lt;K$34,J$33,K503&lt;K$35,J$34,K503&lt;K$36,J$35,K503&lt;K$37,J$36,K503&lt;K$38,J$37,K503&lt;K$39,J$38,K503&lt;K$40,J$39,K503&lt;K$41,J$40,K503&lt;K$42,J$41,K503&lt;K$43,J$42,K503&lt;K$44,J$43,K503&lt;K$45,J$44,K503&lt;K$46,J$45,K503&lt;K$47,J$46,K503&gt;=K$47,J$47)</f>
        <v/>
      </c>
      <c r="K503" s="38" t="n">
        <v>453</v>
      </c>
      <c r="L503" s="31">
        <f>K503/52</f>
        <v/>
      </c>
      <c r="M503" s="39">
        <f>J503/1000000*52</f>
        <v/>
      </c>
      <c r="N503" s="33">
        <f>M503/$P$4+($I$22/$P$4)</f>
        <v/>
      </c>
      <c r="U503">
        <f>F502</f>
        <v/>
      </c>
      <c r="V503">
        <f>H502</f>
        <v/>
      </c>
      <c r="W503">
        <f>N502</f>
        <v/>
      </c>
    </row>
    <row r="504" ht="15.75" customHeight="1" s="40">
      <c r="C504" s="36">
        <f>_xlfn.IFS(E504&lt;E$24,0,E504&lt;E$26,C$24,E504&lt;E$28,C$26,E504&lt;E$30,C$28,E504&lt;E$32,C$30,E504&lt;E$34,C$32,E504&gt;=E$34,C$34)</f>
        <v/>
      </c>
      <c r="D504" s="37">
        <f>_xlfn.IFS(E504&lt;E$24,0,E504&lt;E$25,D$24,E504&lt;E$26,D$25,E504&lt;E$27,D$26,E504&lt;E$28,D$27,E504&lt;E$29,D$28,E504&lt;E$30,D$29,E504&lt;E$31,D$30,E504&lt;E$32,D$31,E504&lt;E$33,D$32,E504&lt;E$34,D$33,E504&lt;E$35,D$34,E504&gt;=E$35,D$35)</f>
        <v/>
      </c>
      <c r="E504" s="38" t="n">
        <v>454</v>
      </c>
      <c r="F504" s="31">
        <f>E504/52</f>
        <v/>
      </c>
      <c r="G504" s="39">
        <f>D504/1000000*52</f>
        <v/>
      </c>
      <c r="H504" s="33">
        <f>G504/$P$4+($C$22/$P$4)</f>
        <v/>
      </c>
      <c r="I504" s="36">
        <f>_xlfn.IFS(K504&lt;K$24,0,K504&lt;K$26,I$24,K504&lt;K$28,I$26,K504&lt;K$30,I$28,K504&lt;K$32,I$30,K504&lt;K$34,I$32,K504&lt;K$36,I$34,K504&lt;K$38,I$36,K504&lt;K$40,I$38,K504&lt;K$42,I$40,K504&lt;K$44,I$42,K504&lt;K$46,I$44,K504&gt;=K$46,I$46)</f>
        <v/>
      </c>
      <c r="J504" s="37">
        <f>_xlfn.IFS(K504&lt;K$24,0,K504&lt;K$25,J$24,K504&lt;K$26,J$25,K504&lt;K$27,J$26,K504&lt;K$28,J$27,K504&lt;K$29,J$28,K504&lt;K$30,J$29,K504&lt;K$31,J$30,K504&lt;K$32,J$31,K504&lt;K$33,J$32,K504&lt;K$34,J$33,K504&lt;K$35,J$34,K504&lt;K$36,J$35,K504&lt;K$37,J$36,K504&lt;K$38,J$37,K504&lt;K$39,J$38,K504&lt;K$40,J$39,K504&lt;K$41,J$40,K504&lt;K$42,J$41,K504&lt;K$43,J$42,K504&lt;K$44,J$43,K504&lt;K$45,J$44,K504&lt;K$46,J$45,K504&lt;K$47,J$46,K504&gt;=K$47,J$47)</f>
        <v/>
      </c>
      <c r="K504" s="38" t="n">
        <v>454</v>
      </c>
      <c r="L504" s="31">
        <f>K504/52</f>
        <v/>
      </c>
      <c r="M504" s="39">
        <f>J504/1000000*52</f>
        <v/>
      </c>
      <c r="N504" s="33">
        <f>M504/$P$4+($I$22/$P$4)</f>
        <v/>
      </c>
      <c r="U504">
        <f>F503</f>
        <v/>
      </c>
      <c r="V504">
        <f>H503</f>
        <v/>
      </c>
      <c r="W504">
        <f>N503</f>
        <v/>
      </c>
    </row>
    <row r="505" ht="15.75" customHeight="1" s="40">
      <c r="C505" s="36">
        <f>_xlfn.IFS(E505&lt;E$24,0,E505&lt;E$26,C$24,E505&lt;E$28,C$26,E505&lt;E$30,C$28,E505&lt;E$32,C$30,E505&lt;E$34,C$32,E505&gt;=E$34,C$34)</f>
        <v/>
      </c>
      <c r="D505" s="37">
        <f>_xlfn.IFS(E505&lt;E$24,0,E505&lt;E$25,D$24,E505&lt;E$26,D$25,E505&lt;E$27,D$26,E505&lt;E$28,D$27,E505&lt;E$29,D$28,E505&lt;E$30,D$29,E505&lt;E$31,D$30,E505&lt;E$32,D$31,E505&lt;E$33,D$32,E505&lt;E$34,D$33,E505&lt;E$35,D$34,E505&gt;=E$35,D$35)</f>
        <v/>
      </c>
      <c r="E505" s="38" t="n">
        <v>455</v>
      </c>
      <c r="F505" s="31">
        <f>E505/52</f>
        <v/>
      </c>
      <c r="G505" s="39">
        <f>D505/1000000*52</f>
        <v/>
      </c>
      <c r="H505" s="33">
        <f>G505/$P$4+($C$22/$P$4)</f>
        <v/>
      </c>
      <c r="I505" s="36">
        <f>_xlfn.IFS(K505&lt;K$24,0,K505&lt;K$26,I$24,K505&lt;K$28,I$26,K505&lt;K$30,I$28,K505&lt;K$32,I$30,K505&lt;K$34,I$32,K505&lt;K$36,I$34,K505&lt;K$38,I$36,K505&lt;K$40,I$38,K505&lt;K$42,I$40,K505&lt;K$44,I$42,K505&lt;K$46,I$44,K505&gt;=K$46,I$46)</f>
        <v/>
      </c>
      <c r="J505" s="37">
        <f>_xlfn.IFS(K505&lt;K$24,0,K505&lt;K$25,J$24,K505&lt;K$26,J$25,K505&lt;K$27,J$26,K505&lt;K$28,J$27,K505&lt;K$29,J$28,K505&lt;K$30,J$29,K505&lt;K$31,J$30,K505&lt;K$32,J$31,K505&lt;K$33,J$32,K505&lt;K$34,J$33,K505&lt;K$35,J$34,K505&lt;K$36,J$35,K505&lt;K$37,J$36,K505&lt;K$38,J$37,K505&lt;K$39,J$38,K505&lt;K$40,J$39,K505&lt;K$41,J$40,K505&lt;K$42,J$41,K505&lt;K$43,J$42,K505&lt;K$44,J$43,K505&lt;K$45,J$44,K505&lt;K$46,J$45,K505&lt;K$47,J$46,K505&gt;=K$47,J$47)</f>
        <v/>
      </c>
      <c r="K505" s="38" t="n">
        <v>455</v>
      </c>
      <c r="L505" s="31">
        <f>K505/52</f>
        <v/>
      </c>
      <c r="M505" s="39">
        <f>J505/1000000*52</f>
        <v/>
      </c>
      <c r="N505" s="33">
        <f>M505/$P$4+($I$22/$P$4)</f>
        <v/>
      </c>
      <c r="U505">
        <f>F504</f>
        <v/>
      </c>
      <c r="V505">
        <f>H504</f>
        <v/>
      </c>
      <c r="W505">
        <f>N504</f>
        <v/>
      </c>
    </row>
    <row r="506" ht="15.75" customHeight="1" s="40">
      <c r="C506" s="36">
        <f>_xlfn.IFS(E506&lt;E$24,0,E506&lt;E$26,C$24,E506&lt;E$28,C$26,E506&lt;E$30,C$28,E506&lt;E$32,C$30,E506&lt;E$34,C$32,E506&gt;=E$34,C$34)</f>
        <v/>
      </c>
      <c r="D506" s="37">
        <f>_xlfn.IFS(E506&lt;E$24,0,E506&lt;E$25,D$24,E506&lt;E$26,D$25,E506&lt;E$27,D$26,E506&lt;E$28,D$27,E506&lt;E$29,D$28,E506&lt;E$30,D$29,E506&lt;E$31,D$30,E506&lt;E$32,D$31,E506&lt;E$33,D$32,E506&lt;E$34,D$33,E506&lt;E$35,D$34,E506&gt;=E$35,D$35)</f>
        <v/>
      </c>
      <c r="E506" s="38" t="n">
        <v>456</v>
      </c>
      <c r="F506" s="31">
        <f>E506/52</f>
        <v/>
      </c>
      <c r="G506" s="39">
        <f>D506/1000000*52</f>
        <v/>
      </c>
      <c r="H506" s="33">
        <f>G506/$P$4+($C$22/$P$4)</f>
        <v/>
      </c>
      <c r="I506" s="36">
        <f>_xlfn.IFS(K506&lt;K$24,0,K506&lt;K$26,I$24,K506&lt;K$28,I$26,K506&lt;K$30,I$28,K506&lt;K$32,I$30,K506&lt;K$34,I$32,K506&lt;K$36,I$34,K506&lt;K$38,I$36,K506&lt;K$40,I$38,K506&lt;K$42,I$40,K506&lt;K$44,I$42,K506&lt;K$46,I$44,K506&gt;=K$46,I$46)</f>
        <v/>
      </c>
      <c r="J506" s="37">
        <f>_xlfn.IFS(K506&lt;K$24,0,K506&lt;K$25,J$24,K506&lt;K$26,J$25,K506&lt;K$27,J$26,K506&lt;K$28,J$27,K506&lt;K$29,J$28,K506&lt;K$30,J$29,K506&lt;K$31,J$30,K506&lt;K$32,J$31,K506&lt;K$33,J$32,K506&lt;K$34,J$33,K506&lt;K$35,J$34,K506&lt;K$36,J$35,K506&lt;K$37,J$36,K506&lt;K$38,J$37,K506&lt;K$39,J$38,K506&lt;K$40,J$39,K506&lt;K$41,J$40,K506&lt;K$42,J$41,K506&lt;K$43,J$42,K506&lt;K$44,J$43,K506&lt;K$45,J$44,K506&lt;K$46,J$45,K506&lt;K$47,J$46,K506&gt;=K$47,J$47)</f>
        <v/>
      </c>
      <c r="K506" s="38" t="n">
        <v>456</v>
      </c>
      <c r="L506" s="31">
        <f>K506/52</f>
        <v/>
      </c>
      <c r="M506" s="39">
        <f>J506/1000000*52</f>
        <v/>
      </c>
      <c r="N506" s="33">
        <f>M506/$P$4+($I$22/$P$4)</f>
        <v/>
      </c>
      <c r="U506">
        <f>F505</f>
        <v/>
      </c>
      <c r="V506">
        <f>H505</f>
        <v/>
      </c>
      <c r="W506">
        <f>N505</f>
        <v/>
      </c>
    </row>
    <row r="507" ht="15.75" customHeight="1" s="40">
      <c r="C507" s="36">
        <f>_xlfn.IFS(E507&lt;E$24,0,E507&lt;E$26,C$24,E507&lt;E$28,C$26,E507&lt;E$30,C$28,E507&lt;E$32,C$30,E507&lt;E$34,C$32,E507&gt;=E$34,C$34)</f>
        <v/>
      </c>
      <c r="D507" s="37">
        <f>_xlfn.IFS(E507&lt;E$24,0,E507&lt;E$25,D$24,E507&lt;E$26,D$25,E507&lt;E$27,D$26,E507&lt;E$28,D$27,E507&lt;E$29,D$28,E507&lt;E$30,D$29,E507&lt;E$31,D$30,E507&lt;E$32,D$31,E507&lt;E$33,D$32,E507&lt;E$34,D$33,E507&lt;E$35,D$34,E507&gt;=E$35,D$35)</f>
        <v/>
      </c>
      <c r="E507" s="38" t="n">
        <v>457</v>
      </c>
      <c r="F507" s="31">
        <f>E507/52</f>
        <v/>
      </c>
      <c r="G507" s="39">
        <f>D507/1000000*52</f>
        <v/>
      </c>
      <c r="H507" s="33">
        <f>G507/$P$4+($C$22/$P$4)</f>
        <v/>
      </c>
      <c r="I507" s="36">
        <f>_xlfn.IFS(K507&lt;K$24,0,K507&lt;K$26,I$24,K507&lt;K$28,I$26,K507&lt;K$30,I$28,K507&lt;K$32,I$30,K507&lt;K$34,I$32,K507&lt;K$36,I$34,K507&lt;K$38,I$36,K507&lt;K$40,I$38,K507&lt;K$42,I$40,K507&lt;K$44,I$42,K507&lt;K$46,I$44,K507&gt;=K$46,I$46)</f>
        <v/>
      </c>
      <c r="J507" s="37">
        <f>_xlfn.IFS(K507&lt;K$24,0,K507&lt;K$25,J$24,K507&lt;K$26,J$25,K507&lt;K$27,J$26,K507&lt;K$28,J$27,K507&lt;K$29,J$28,K507&lt;K$30,J$29,K507&lt;K$31,J$30,K507&lt;K$32,J$31,K507&lt;K$33,J$32,K507&lt;K$34,J$33,K507&lt;K$35,J$34,K507&lt;K$36,J$35,K507&lt;K$37,J$36,K507&lt;K$38,J$37,K507&lt;K$39,J$38,K507&lt;K$40,J$39,K507&lt;K$41,J$40,K507&lt;K$42,J$41,K507&lt;K$43,J$42,K507&lt;K$44,J$43,K507&lt;K$45,J$44,K507&lt;K$46,J$45,K507&lt;K$47,J$46,K507&gt;=K$47,J$47)</f>
        <v/>
      </c>
      <c r="K507" s="38" t="n">
        <v>457</v>
      </c>
      <c r="L507" s="31">
        <f>K507/52</f>
        <v/>
      </c>
      <c r="M507" s="39">
        <f>J507/1000000*52</f>
        <v/>
      </c>
      <c r="N507" s="33">
        <f>M507/$P$4+($I$22/$P$4)</f>
        <v/>
      </c>
      <c r="U507">
        <f>F506</f>
        <v/>
      </c>
      <c r="V507">
        <f>H506</f>
        <v/>
      </c>
      <c r="W507">
        <f>N506</f>
        <v/>
      </c>
    </row>
    <row r="508" ht="15.75" customHeight="1" s="40">
      <c r="C508" s="36">
        <f>_xlfn.IFS(E508&lt;E$24,0,E508&lt;E$26,C$24,E508&lt;E$28,C$26,E508&lt;E$30,C$28,E508&lt;E$32,C$30,E508&lt;E$34,C$32,E508&gt;=E$34,C$34)</f>
        <v/>
      </c>
      <c r="D508" s="37">
        <f>_xlfn.IFS(E508&lt;E$24,0,E508&lt;E$25,D$24,E508&lt;E$26,D$25,E508&lt;E$27,D$26,E508&lt;E$28,D$27,E508&lt;E$29,D$28,E508&lt;E$30,D$29,E508&lt;E$31,D$30,E508&lt;E$32,D$31,E508&lt;E$33,D$32,E508&lt;E$34,D$33,E508&lt;E$35,D$34,E508&gt;=E$35,D$35)</f>
        <v/>
      </c>
      <c r="E508" s="38" t="n">
        <v>458</v>
      </c>
      <c r="F508" s="31">
        <f>E508/52</f>
        <v/>
      </c>
      <c r="G508" s="39">
        <f>D508/1000000*52</f>
        <v/>
      </c>
      <c r="H508" s="33">
        <f>G508/$P$4+($C$22/$P$4)</f>
        <v/>
      </c>
      <c r="I508" s="36">
        <f>_xlfn.IFS(K508&lt;K$24,0,K508&lt;K$26,I$24,K508&lt;K$28,I$26,K508&lt;K$30,I$28,K508&lt;K$32,I$30,K508&lt;K$34,I$32,K508&lt;K$36,I$34,K508&lt;K$38,I$36,K508&lt;K$40,I$38,K508&lt;K$42,I$40,K508&lt;K$44,I$42,K508&lt;K$46,I$44,K508&gt;=K$46,I$46)</f>
        <v/>
      </c>
      <c r="J508" s="37">
        <f>_xlfn.IFS(K508&lt;K$24,0,K508&lt;K$25,J$24,K508&lt;K$26,J$25,K508&lt;K$27,J$26,K508&lt;K$28,J$27,K508&lt;K$29,J$28,K508&lt;K$30,J$29,K508&lt;K$31,J$30,K508&lt;K$32,J$31,K508&lt;K$33,J$32,K508&lt;K$34,J$33,K508&lt;K$35,J$34,K508&lt;K$36,J$35,K508&lt;K$37,J$36,K508&lt;K$38,J$37,K508&lt;K$39,J$38,K508&lt;K$40,J$39,K508&lt;K$41,J$40,K508&lt;K$42,J$41,K508&lt;K$43,J$42,K508&lt;K$44,J$43,K508&lt;K$45,J$44,K508&lt;K$46,J$45,K508&lt;K$47,J$46,K508&gt;=K$47,J$47)</f>
        <v/>
      </c>
      <c r="K508" s="38" t="n">
        <v>458</v>
      </c>
      <c r="L508" s="31">
        <f>K508/52</f>
        <v/>
      </c>
      <c r="M508" s="39">
        <f>J508/1000000*52</f>
        <v/>
      </c>
      <c r="N508" s="33">
        <f>M508/$P$4+($I$22/$P$4)</f>
        <v/>
      </c>
      <c r="U508">
        <f>F507</f>
        <v/>
      </c>
      <c r="V508">
        <f>H507</f>
        <v/>
      </c>
      <c r="W508">
        <f>N507</f>
        <v/>
      </c>
    </row>
    <row r="509" ht="15.75" customHeight="1" s="40">
      <c r="C509" s="36">
        <f>_xlfn.IFS(E509&lt;E$24,0,E509&lt;E$26,C$24,E509&lt;E$28,C$26,E509&lt;E$30,C$28,E509&lt;E$32,C$30,E509&lt;E$34,C$32,E509&gt;=E$34,C$34)</f>
        <v/>
      </c>
      <c r="D509" s="37">
        <f>_xlfn.IFS(E509&lt;E$24,0,E509&lt;E$25,D$24,E509&lt;E$26,D$25,E509&lt;E$27,D$26,E509&lt;E$28,D$27,E509&lt;E$29,D$28,E509&lt;E$30,D$29,E509&lt;E$31,D$30,E509&lt;E$32,D$31,E509&lt;E$33,D$32,E509&lt;E$34,D$33,E509&lt;E$35,D$34,E509&gt;=E$35,D$35)</f>
        <v/>
      </c>
      <c r="E509" s="38" t="n">
        <v>459</v>
      </c>
      <c r="F509" s="31">
        <f>E509/52</f>
        <v/>
      </c>
      <c r="G509" s="39">
        <f>D509/1000000*52</f>
        <v/>
      </c>
      <c r="H509" s="33">
        <f>G509/$P$4+($C$22/$P$4)</f>
        <v/>
      </c>
      <c r="I509" s="36">
        <f>_xlfn.IFS(K509&lt;K$24,0,K509&lt;K$26,I$24,K509&lt;K$28,I$26,K509&lt;K$30,I$28,K509&lt;K$32,I$30,K509&lt;K$34,I$32,K509&lt;K$36,I$34,K509&lt;K$38,I$36,K509&lt;K$40,I$38,K509&lt;K$42,I$40,K509&lt;K$44,I$42,K509&lt;K$46,I$44,K509&gt;=K$46,I$46)</f>
        <v/>
      </c>
      <c r="J509" s="37">
        <f>_xlfn.IFS(K509&lt;K$24,0,K509&lt;K$25,J$24,K509&lt;K$26,J$25,K509&lt;K$27,J$26,K509&lt;K$28,J$27,K509&lt;K$29,J$28,K509&lt;K$30,J$29,K509&lt;K$31,J$30,K509&lt;K$32,J$31,K509&lt;K$33,J$32,K509&lt;K$34,J$33,K509&lt;K$35,J$34,K509&lt;K$36,J$35,K509&lt;K$37,J$36,K509&lt;K$38,J$37,K509&lt;K$39,J$38,K509&lt;K$40,J$39,K509&lt;K$41,J$40,K509&lt;K$42,J$41,K509&lt;K$43,J$42,K509&lt;K$44,J$43,K509&lt;K$45,J$44,K509&lt;K$46,J$45,K509&lt;K$47,J$46,K509&gt;=K$47,J$47)</f>
        <v/>
      </c>
      <c r="K509" s="38" t="n">
        <v>459</v>
      </c>
      <c r="L509" s="31">
        <f>K509/52</f>
        <v/>
      </c>
      <c r="M509" s="39">
        <f>J509/1000000*52</f>
        <v/>
      </c>
      <c r="N509" s="33">
        <f>M509/$P$4+($I$22/$P$4)</f>
        <v/>
      </c>
      <c r="U509">
        <f>F508</f>
        <v/>
      </c>
      <c r="V509">
        <f>H508</f>
        <v/>
      </c>
      <c r="W509">
        <f>N508</f>
        <v/>
      </c>
    </row>
    <row r="510" ht="15.75" customHeight="1" s="40">
      <c r="C510" s="36">
        <f>_xlfn.IFS(E510&lt;E$24,0,E510&lt;E$26,C$24,E510&lt;E$28,C$26,E510&lt;E$30,C$28,E510&lt;E$32,C$30,E510&lt;E$34,C$32,E510&gt;=E$34,C$34)</f>
        <v/>
      </c>
      <c r="D510" s="37">
        <f>_xlfn.IFS(E510&lt;E$24,0,E510&lt;E$25,D$24,E510&lt;E$26,D$25,E510&lt;E$27,D$26,E510&lt;E$28,D$27,E510&lt;E$29,D$28,E510&lt;E$30,D$29,E510&lt;E$31,D$30,E510&lt;E$32,D$31,E510&lt;E$33,D$32,E510&lt;E$34,D$33,E510&lt;E$35,D$34,E510&gt;=E$35,D$35)</f>
        <v/>
      </c>
      <c r="E510" s="38" t="n">
        <v>460</v>
      </c>
      <c r="F510" s="31">
        <f>E510/52</f>
        <v/>
      </c>
      <c r="G510" s="39">
        <f>D510/1000000*52</f>
        <v/>
      </c>
      <c r="H510" s="33">
        <f>G510/$P$4+($C$22/$P$4)</f>
        <v/>
      </c>
      <c r="I510" s="36">
        <f>_xlfn.IFS(K510&lt;K$24,0,K510&lt;K$26,I$24,K510&lt;K$28,I$26,K510&lt;K$30,I$28,K510&lt;K$32,I$30,K510&lt;K$34,I$32,K510&lt;K$36,I$34,K510&lt;K$38,I$36,K510&lt;K$40,I$38,K510&lt;K$42,I$40,K510&lt;K$44,I$42,K510&lt;K$46,I$44,K510&gt;=K$46,I$46)</f>
        <v/>
      </c>
      <c r="J510" s="37">
        <f>_xlfn.IFS(K510&lt;K$24,0,K510&lt;K$25,J$24,K510&lt;K$26,J$25,K510&lt;K$27,J$26,K510&lt;K$28,J$27,K510&lt;K$29,J$28,K510&lt;K$30,J$29,K510&lt;K$31,J$30,K510&lt;K$32,J$31,K510&lt;K$33,J$32,K510&lt;K$34,J$33,K510&lt;K$35,J$34,K510&lt;K$36,J$35,K510&lt;K$37,J$36,K510&lt;K$38,J$37,K510&lt;K$39,J$38,K510&lt;K$40,J$39,K510&lt;K$41,J$40,K510&lt;K$42,J$41,K510&lt;K$43,J$42,K510&lt;K$44,J$43,K510&lt;K$45,J$44,K510&lt;K$46,J$45,K510&lt;K$47,J$46,K510&gt;=K$47,J$47)</f>
        <v/>
      </c>
      <c r="K510" s="38" t="n">
        <v>460</v>
      </c>
      <c r="L510" s="31">
        <f>K510/52</f>
        <v/>
      </c>
      <c r="M510" s="39">
        <f>J510/1000000*52</f>
        <v/>
      </c>
      <c r="N510" s="33">
        <f>M510/$P$4+($I$22/$P$4)</f>
        <v/>
      </c>
      <c r="U510">
        <f>F509</f>
        <v/>
      </c>
      <c r="V510">
        <f>H509</f>
        <v/>
      </c>
      <c r="W510">
        <f>N509</f>
        <v/>
      </c>
    </row>
    <row r="511" ht="15.75" customHeight="1" s="40">
      <c r="C511" s="36">
        <f>_xlfn.IFS(E511&lt;E$24,0,E511&lt;E$26,C$24,E511&lt;E$28,C$26,E511&lt;E$30,C$28,E511&lt;E$32,C$30,E511&lt;E$34,C$32,E511&gt;=E$34,C$34)</f>
        <v/>
      </c>
      <c r="D511" s="37">
        <f>_xlfn.IFS(E511&lt;E$24,0,E511&lt;E$25,D$24,E511&lt;E$26,D$25,E511&lt;E$27,D$26,E511&lt;E$28,D$27,E511&lt;E$29,D$28,E511&lt;E$30,D$29,E511&lt;E$31,D$30,E511&lt;E$32,D$31,E511&lt;E$33,D$32,E511&lt;E$34,D$33,E511&lt;E$35,D$34,E511&gt;=E$35,D$35)</f>
        <v/>
      </c>
      <c r="E511" s="38" t="n">
        <v>461</v>
      </c>
      <c r="F511" s="31">
        <f>E511/52</f>
        <v/>
      </c>
      <c r="G511" s="39">
        <f>D511/1000000*52</f>
        <v/>
      </c>
      <c r="H511" s="33">
        <f>G511/$P$4+($C$22/$P$4)</f>
        <v/>
      </c>
      <c r="I511" s="36">
        <f>_xlfn.IFS(K511&lt;K$24,0,K511&lt;K$26,I$24,K511&lt;K$28,I$26,K511&lt;K$30,I$28,K511&lt;K$32,I$30,K511&lt;K$34,I$32,K511&lt;K$36,I$34,K511&lt;K$38,I$36,K511&lt;K$40,I$38,K511&lt;K$42,I$40,K511&lt;K$44,I$42,K511&lt;K$46,I$44,K511&gt;=K$46,I$46)</f>
        <v/>
      </c>
      <c r="J511" s="37">
        <f>_xlfn.IFS(K511&lt;K$24,0,K511&lt;K$25,J$24,K511&lt;K$26,J$25,K511&lt;K$27,J$26,K511&lt;K$28,J$27,K511&lt;K$29,J$28,K511&lt;K$30,J$29,K511&lt;K$31,J$30,K511&lt;K$32,J$31,K511&lt;K$33,J$32,K511&lt;K$34,J$33,K511&lt;K$35,J$34,K511&lt;K$36,J$35,K511&lt;K$37,J$36,K511&lt;K$38,J$37,K511&lt;K$39,J$38,K511&lt;K$40,J$39,K511&lt;K$41,J$40,K511&lt;K$42,J$41,K511&lt;K$43,J$42,K511&lt;K$44,J$43,K511&lt;K$45,J$44,K511&lt;K$46,J$45,K511&lt;K$47,J$46,K511&gt;=K$47,J$47)</f>
        <v/>
      </c>
      <c r="K511" s="38" t="n">
        <v>461</v>
      </c>
      <c r="L511" s="31">
        <f>K511/52</f>
        <v/>
      </c>
      <c r="M511" s="39">
        <f>J511/1000000*52</f>
        <v/>
      </c>
      <c r="N511" s="33">
        <f>M511/$P$4+($I$22/$P$4)</f>
        <v/>
      </c>
      <c r="U511">
        <f>F510</f>
        <v/>
      </c>
      <c r="V511">
        <f>H510</f>
        <v/>
      </c>
      <c r="W511">
        <f>N510</f>
        <v/>
      </c>
    </row>
    <row r="512" ht="15.75" customHeight="1" s="40">
      <c r="C512" s="36">
        <f>_xlfn.IFS(E512&lt;E$24,0,E512&lt;E$26,C$24,E512&lt;E$28,C$26,E512&lt;E$30,C$28,E512&lt;E$32,C$30,E512&lt;E$34,C$32,E512&gt;=E$34,C$34)</f>
        <v/>
      </c>
      <c r="D512" s="37">
        <f>_xlfn.IFS(E512&lt;E$24,0,E512&lt;E$25,D$24,E512&lt;E$26,D$25,E512&lt;E$27,D$26,E512&lt;E$28,D$27,E512&lt;E$29,D$28,E512&lt;E$30,D$29,E512&lt;E$31,D$30,E512&lt;E$32,D$31,E512&lt;E$33,D$32,E512&lt;E$34,D$33,E512&lt;E$35,D$34,E512&gt;=E$35,D$35)</f>
        <v/>
      </c>
      <c r="E512" s="38" t="n">
        <v>462</v>
      </c>
      <c r="F512" s="31">
        <f>E512/52</f>
        <v/>
      </c>
      <c r="G512" s="39">
        <f>D512/1000000*52</f>
        <v/>
      </c>
      <c r="H512" s="33">
        <f>G512/$P$4+($C$22/$P$4)</f>
        <v/>
      </c>
      <c r="I512" s="36">
        <f>_xlfn.IFS(K512&lt;K$24,0,K512&lt;K$26,I$24,K512&lt;K$28,I$26,K512&lt;K$30,I$28,K512&lt;K$32,I$30,K512&lt;K$34,I$32,K512&lt;K$36,I$34,K512&lt;K$38,I$36,K512&lt;K$40,I$38,K512&lt;K$42,I$40,K512&lt;K$44,I$42,K512&lt;K$46,I$44,K512&gt;=K$46,I$46)</f>
        <v/>
      </c>
      <c r="J512" s="37">
        <f>_xlfn.IFS(K512&lt;K$24,0,K512&lt;K$25,J$24,K512&lt;K$26,J$25,K512&lt;K$27,J$26,K512&lt;K$28,J$27,K512&lt;K$29,J$28,K512&lt;K$30,J$29,K512&lt;K$31,J$30,K512&lt;K$32,J$31,K512&lt;K$33,J$32,K512&lt;K$34,J$33,K512&lt;K$35,J$34,K512&lt;K$36,J$35,K512&lt;K$37,J$36,K512&lt;K$38,J$37,K512&lt;K$39,J$38,K512&lt;K$40,J$39,K512&lt;K$41,J$40,K512&lt;K$42,J$41,K512&lt;K$43,J$42,K512&lt;K$44,J$43,K512&lt;K$45,J$44,K512&lt;K$46,J$45,K512&lt;K$47,J$46,K512&gt;=K$47,J$47)</f>
        <v/>
      </c>
      <c r="K512" s="38" t="n">
        <v>462</v>
      </c>
      <c r="L512" s="31">
        <f>K512/52</f>
        <v/>
      </c>
      <c r="M512" s="39">
        <f>J512/1000000*52</f>
        <v/>
      </c>
      <c r="N512" s="33">
        <f>M512/$P$4+($I$22/$P$4)</f>
        <v/>
      </c>
      <c r="U512">
        <f>F511</f>
        <v/>
      </c>
      <c r="V512">
        <f>H511</f>
        <v/>
      </c>
      <c r="W512">
        <f>N511</f>
        <v/>
      </c>
    </row>
    <row r="513" ht="15.75" customHeight="1" s="40">
      <c r="C513" s="36">
        <f>_xlfn.IFS(E513&lt;E$24,0,E513&lt;E$26,C$24,E513&lt;E$28,C$26,E513&lt;E$30,C$28,E513&lt;E$32,C$30,E513&lt;E$34,C$32,E513&gt;=E$34,C$34)</f>
        <v/>
      </c>
      <c r="D513" s="37">
        <f>_xlfn.IFS(E513&lt;E$24,0,E513&lt;E$25,D$24,E513&lt;E$26,D$25,E513&lt;E$27,D$26,E513&lt;E$28,D$27,E513&lt;E$29,D$28,E513&lt;E$30,D$29,E513&lt;E$31,D$30,E513&lt;E$32,D$31,E513&lt;E$33,D$32,E513&lt;E$34,D$33,E513&lt;E$35,D$34,E513&gt;=E$35,D$35)</f>
        <v/>
      </c>
      <c r="E513" s="38" t="n">
        <v>463</v>
      </c>
      <c r="F513" s="31">
        <f>E513/52</f>
        <v/>
      </c>
      <c r="G513" s="39">
        <f>D513/1000000*52</f>
        <v/>
      </c>
      <c r="H513" s="33">
        <f>G513/$P$4+($C$22/$P$4)</f>
        <v/>
      </c>
      <c r="I513" s="36">
        <f>_xlfn.IFS(K513&lt;K$24,0,K513&lt;K$26,I$24,K513&lt;K$28,I$26,K513&lt;K$30,I$28,K513&lt;K$32,I$30,K513&lt;K$34,I$32,K513&lt;K$36,I$34,K513&lt;K$38,I$36,K513&lt;K$40,I$38,K513&lt;K$42,I$40,K513&lt;K$44,I$42,K513&lt;K$46,I$44,K513&gt;=K$46,I$46)</f>
        <v/>
      </c>
      <c r="J513" s="37">
        <f>_xlfn.IFS(K513&lt;K$24,0,K513&lt;K$25,J$24,K513&lt;K$26,J$25,K513&lt;K$27,J$26,K513&lt;K$28,J$27,K513&lt;K$29,J$28,K513&lt;K$30,J$29,K513&lt;K$31,J$30,K513&lt;K$32,J$31,K513&lt;K$33,J$32,K513&lt;K$34,J$33,K513&lt;K$35,J$34,K513&lt;K$36,J$35,K513&lt;K$37,J$36,K513&lt;K$38,J$37,K513&lt;K$39,J$38,K513&lt;K$40,J$39,K513&lt;K$41,J$40,K513&lt;K$42,J$41,K513&lt;K$43,J$42,K513&lt;K$44,J$43,K513&lt;K$45,J$44,K513&lt;K$46,J$45,K513&lt;K$47,J$46,K513&gt;=K$47,J$47)</f>
        <v/>
      </c>
      <c r="K513" s="38" t="n">
        <v>463</v>
      </c>
      <c r="L513" s="31">
        <f>K513/52</f>
        <v/>
      </c>
      <c r="M513" s="39">
        <f>J513/1000000*52</f>
        <v/>
      </c>
      <c r="N513" s="33">
        <f>M513/$P$4+($I$22/$P$4)</f>
        <v/>
      </c>
      <c r="U513">
        <f>F512</f>
        <v/>
      </c>
      <c r="V513">
        <f>H512</f>
        <v/>
      </c>
      <c r="W513">
        <f>N512</f>
        <v/>
      </c>
    </row>
    <row r="514" ht="15.75" customHeight="1" s="40">
      <c r="C514" s="36">
        <f>_xlfn.IFS(E514&lt;E$24,0,E514&lt;E$26,C$24,E514&lt;E$28,C$26,E514&lt;E$30,C$28,E514&lt;E$32,C$30,E514&lt;E$34,C$32,E514&gt;=E$34,C$34)</f>
        <v/>
      </c>
      <c r="D514" s="37">
        <f>_xlfn.IFS(E514&lt;E$24,0,E514&lt;E$25,D$24,E514&lt;E$26,D$25,E514&lt;E$27,D$26,E514&lt;E$28,D$27,E514&lt;E$29,D$28,E514&lt;E$30,D$29,E514&lt;E$31,D$30,E514&lt;E$32,D$31,E514&lt;E$33,D$32,E514&lt;E$34,D$33,E514&lt;E$35,D$34,E514&gt;=E$35,D$35)</f>
        <v/>
      </c>
      <c r="E514" s="38" t="n">
        <v>464</v>
      </c>
      <c r="F514" s="31">
        <f>E514/52</f>
        <v/>
      </c>
      <c r="G514" s="39">
        <f>D514/1000000*52</f>
        <v/>
      </c>
      <c r="H514" s="33">
        <f>G514/$P$4+($C$22/$P$4)</f>
        <v/>
      </c>
      <c r="I514" s="36">
        <f>_xlfn.IFS(K514&lt;K$24,0,K514&lt;K$26,I$24,K514&lt;K$28,I$26,K514&lt;K$30,I$28,K514&lt;K$32,I$30,K514&lt;K$34,I$32,K514&lt;K$36,I$34,K514&lt;K$38,I$36,K514&lt;K$40,I$38,K514&lt;K$42,I$40,K514&lt;K$44,I$42,K514&lt;K$46,I$44,K514&gt;=K$46,I$46)</f>
        <v/>
      </c>
      <c r="J514" s="37">
        <f>_xlfn.IFS(K514&lt;K$24,0,K514&lt;K$25,J$24,K514&lt;K$26,J$25,K514&lt;K$27,J$26,K514&lt;K$28,J$27,K514&lt;K$29,J$28,K514&lt;K$30,J$29,K514&lt;K$31,J$30,K514&lt;K$32,J$31,K514&lt;K$33,J$32,K514&lt;K$34,J$33,K514&lt;K$35,J$34,K514&lt;K$36,J$35,K514&lt;K$37,J$36,K514&lt;K$38,J$37,K514&lt;K$39,J$38,K514&lt;K$40,J$39,K514&lt;K$41,J$40,K514&lt;K$42,J$41,K514&lt;K$43,J$42,K514&lt;K$44,J$43,K514&lt;K$45,J$44,K514&lt;K$46,J$45,K514&lt;K$47,J$46,K514&gt;=K$47,J$47)</f>
        <v/>
      </c>
      <c r="K514" s="38" t="n">
        <v>464</v>
      </c>
      <c r="L514" s="31">
        <f>K514/52</f>
        <v/>
      </c>
      <c r="M514" s="39">
        <f>J514/1000000*52</f>
        <v/>
      </c>
      <c r="N514" s="33">
        <f>M514/$P$4+($I$22/$P$4)</f>
        <v/>
      </c>
      <c r="U514">
        <f>F513</f>
        <v/>
      </c>
      <c r="V514">
        <f>H513</f>
        <v/>
      </c>
      <c r="W514">
        <f>N513</f>
        <v/>
      </c>
    </row>
    <row r="515" ht="15.75" customHeight="1" s="40">
      <c r="C515" s="36">
        <f>_xlfn.IFS(E515&lt;E$24,0,E515&lt;E$26,C$24,E515&lt;E$28,C$26,E515&lt;E$30,C$28,E515&lt;E$32,C$30,E515&lt;E$34,C$32,E515&gt;=E$34,C$34)</f>
        <v/>
      </c>
      <c r="D515" s="37">
        <f>_xlfn.IFS(E515&lt;E$24,0,E515&lt;E$25,D$24,E515&lt;E$26,D$25,E515&lt;E$27,D$26,E515&lt;E$28,D$27,E515&lt;E$29,D$28,E515&lt;E$30,D$29,E515&lt;E$31,D$30,E515&lt;E$32,D$31,E515&lt;E$33,D$32,E515&lt;E$34,D$33,E515&lt;E$35,D$34,E515&gt;=E$35,D$35)</f>
        <v/>
      </c>
      <c r="E515" s="38" t="n">
        <v>465</v>
      </c>
      <c r="F515" s="31">
        <f>E515/52</f>
        <v/>
      </c>
      <c r="G515" s="39">
        <f>D515/1000000*52</f>
        <v/>
      </c>
      <c r="H515" s="33">
        <f>G515/$P$4+($C$22/$P$4)</f>
        <v/>
      </c>
      <c r="I515" s="36">
        <f>_xlfn.IFS(K515&lt;K$24,0,K515&lt;K$26,I$24,K515&lt;K$28,I$26,K515&lt;K$30,I$28,K515&lt;K$32,I$30,K515&lt;K$34,I$32,K515&lt;K$36,I$34,K515&lt;K$38,I$36,K515&lt;K$40,I$38,K515&lt;K$42,I$40,K515&lt;K$44,I$42,K515&lt;K$46,I$44,K515&gt;=K$46,I$46)</f>
        <v/>
      </c>
      <c r="J515" s="37">
        <f>_xlfn.IFS(K515&lt;K$24,0,K515&lt;K$25,J$24,K515&lt;K$26,J$25,K515&lt;K$27,J$26,K515&lt;K$28,J$27,K515&lt;K$29,J$28,K515&lt;K$30,J$29,K515&lt;K$31,J$30,K515&lt;K$32,J$31,K515&lt;K$33,J$32,K515&lt;K$34,J$33,K515&lt;K$35,J$34,K515&lt;K$36,J$35,K515&lt;K$37,J$36,K515&lt;K$38,J$37,K515&lt;K$39,J$38,K515&lt;K$40,J$39,K515&lt;K$41,J$40,K515&lt;K$42,J$41,K515&lt;K$43,J$42,K515&lt;K$44,J$43,K515&lt;K$45,J$44,K515&lt;K$46,J$45,K515&lt;K$47,J$46,K515&gt;=K$47,J$47)</f>
        <v/>
      </c>
      <c r="K515" s="38" t="n">
        <v>465</v>
      </c>
      <c r="L515" s="31">
        <f>K515/52</f>
        <v/>
      </c>
      <c r="M515" s="39">
        <f>J515/1000000*52</f>
        <v/>
      </c>
      <c r="N515" s="33">
        <f>M515/$P$4+($I$22/$P$4)</f>
        <v/>
      </c>
      <c r="U515">
        <f>F514</f>
        <v/>
      </c>
      <c r="V515">
        <f>H514</f>
        <v/>
      </c>
      <c r="W515">
        <f>N514</f>
        <v/>
      </c>
    </row>
    <row r="516" ht="15.75" customHeight="1" s="40">
      <c r="C516" s="36">
        <f>_xlfn.IFS(E516&lt;E$24,0,E516&lt;E$26,C$24,E516&lt;E$28,C$26,E516&lt;E$30,C$28,E516&lt;E$32,C$30,E516&lt;E$34,C$32,E516&gt;=E$34,C$34)</f>
        <v/>
      </c>
      <c r="D516" s="37">
        <f>_xlfn.IFS(E516&lt;E$24,0,E516&lt;E$25,D$24,E516&lt;E$26,D$25,E516&lt;E$27,D$26,E516&lt;E$28,D$27,E516&lt;E$29,D$28,E516&lt;E$30,D$29,E516&lt;E$31,D$30,E516&lt;E$32,D$31,E516&lt;E$33,D$32,E516&lt;E$34,D$33,E516&lt;E$35,D$34,E516&gt;=E$35,D$35)</f>
        <v/>
      </c>
      <c r="E516" s="38" t="n">
        <v>466</v>
      </c>
      <c r="F516" s="31">
        <f>E516/52</f>
        <v/>
      </c>
      <c r="G516" s="39">
        <f>D516/1000000*52</f>
        <v/>
      </c>
      <c r="H516" s="33">
        <f>G516/$P$4+($C$22/$P$4)</f>
        <v/>
      </c>
      <c r="I516" s="36">
        <f>_xlfn.IFS(K516&lt;K$24,0,K516&lt;K$26,I$24,K516&lt;K$28,I$26,K516&lt;K$30,I$28,K516&lt;K$32,I$30,K516&lt;K$34,I$32,K516&lt;K$36,I$34,K516&lt;K$38,I$36,K516&lt;K$40,I$38,K516&lt;K$42,I$40,K516&lt;K$44,I$42,K516&lt;K$46,I$44,K516&gt;=K$46,I$46)</f>
        <v/>
      </c>
      <c r="J516" s="37">
        <f>_xlfn.IFS(K516&lt;K$24,0,K516&lt;K$25,J$24,K516&lt;K$26,J$25,K516&lt;K$27,J$26,K516&lt;K$28,J$27,K516&lt;K$29,J$28,K516&lt;K$30,J$29,K516&lt;K$31,J$30,K516&lt;K$32,J$31,K516&lt;K$33,J$32,K516&lt;K$34,J$33,K516&lt;K$35,J$34,K516&lt;K$36,J$35,K516&lt;K$37,J$36,K516&lt;K$38,J$37,K516&lt;K$39,J$38,K516&lt;K$40,J$39,K516&lt;K$41,J$40,K516&lt;K$42,J$41,K516&lt;K$43,J$42,K516&lt;K$44,J$43,K516&lt;K$45,J$44,K516&lt;K$46,J$45,K516&lt;K$47,J$46,K516&gt;=K$47,J$47)</f>
        <v/>
      </c>
      <c r="K516" s="38" t="n">
        <v>466</v>
      </c>
      <c r="L516" s="31">
        <f>K516/52</f>
        <v/>
      </c>
      <c r="M516" s="39">
        <f>J516/1000000*52</f>
        <v/>
      </c>
      <c r="N516" s="33">
        <f>M516/$P$4+($I$22/$P$4)</f>
        <v/>
      </c>
      <c r="U516">
        <f>F515</f>
        <v/>
      </c>
      <c r="V516">
        <f>H515</f>
        <v/>
      </c>
      <c r="W516">
        <f>N515</f>
        <v/>
      </c>
    </row>
    <row r="517" ht="15.75" customHeight="1" s="40">
      <c r="C517" s="36">
        <f>_xlfn.IFS(E517&lt;E$24,0,E517&lt;E$26,C$24,E517&lt;E$28,C$26,E517&lt;E$30,C$28,E517&lt;E$32,C$30,E517&lt;E$34,C$32,E517&gt;=E$34,C$34)</f>
        <v/>
      </c>
      <c r="D517" s="37">
        <f>_xlfn.IFS(E517&lt;E$24,0,E517&lt;E$25,D$24,E517&lt;E$26,D$25,E517&lt;E$27,D$26,E517&lt;E$28,D$27,E517&lt;E$29,D$28,E517&lt;E$30,D$29,E517&lt;E$31,D$30,E517&lt;E$32,D$31,E517&lt;E$33,D$32,E517&lt;E$34,D$33,E517&lt;E$35,D$34,E517&gt;=E$35,D$35)</f>
        <v/>
      </c>
      <c r="E517" s="38" t="n">
        <v>467</v>
      </c>
      <c r="F517" s="31">
        <f>E517/52</f>
        <v/>
      </c>
      <c r="G517" s="39">
        <f>D517/1000000*52</f>
        <v/>
      </c>
      <c r="H517" s="33">
        <f>G517/$P$4+($C$22/$P$4)</f>
        <v/>
      </c>
      <c r="I517" s="36">
        <f>_xlfn.IFS(K517&lt;K$24,0,K517&lt;K$26,I$24,K517&lt;K$28,I$26,K517&lt;K$30,I$28,K517&lt;K$32,I$30,K517&lt;K$34,I$32,K517&lt;K$36,I$34,K517&lt;K$38,I$36,K517&lt;K$40,I$38,K517&lt;K$42,I$40,K517&lt;K$44,I$42,K517&lt;K$46,I$44,K517&gt;=K$46,I$46)</f>
        <v/>
      </c>
      <c r="J517" s="37">
        <f>_xlfn.IFS(K517&lt;K$24,0,K517&lt;K$25,J$24,K517&lt;K$26,J$25,K517&lt;K$27,J$26,K517&lt;K$28,J$27,K517&lt;K$29,J$28,K517&lt;K$30,J$29,K517&lt;K$31,J$30,K517&lt;K$32,J$31,K517&lt;K$33,J$32,K517&lt;K$34,J$33,K517&lt;K$35,J$34,K517&lt;K$36,J$35,K517&lt;K$37,J$36,K517&lt;K$38,J$37,K517&lt;K$39,J$38,K517&lt;K$40,J$39,K517&lt;K$41,J$40,K517&lt;K$42,J$41,K517&lt;K$43,J$42,K517&lt;K$44,J$43,K517&lt;K$45,J$44,K517&lt;K$46,J$45,K517&lt;K$47,J$46,K517&gt;=K$47,J$47)</f>
        <v/>
      </c>
      <c r="K517" s="38" t="n">
        <v>467</v>
      </c>
      <c r="L517" s="31">
        <f>K517/52</f>
        <v/>
      </c>
      <c r="M517" s="39">
        <f>J517/1000000*52</f>
        <v/>
      </c>
      <c r="N517" s="33">
        <f>M517/$P$4+($I$22/$P$4)</f>
        <v/>
      </c>
      <c r="U517">
        <f>F516</f>
        <v/>
      </c>
      <c r="V517">
        <f>H516</f>
        <v/>
      </c>
      <c r="W517">
        <f>N516</f>
        <v/>
      </c>
    </row>
    <row r="518" ht="15.75" customHeight="1" s="40">
      <c r="C518" s="36">
        <f>_xlfn.IFS(E518&lt;E$24,0,E518&lt;E$26,C$24,E518&lt;E$28,C$26,E518&lt;E$30,C$28,E518&lt;E$32,C$30,E518&lt;E$34,C$32,E518&gt;=E$34,C$34)</f>
        <v/>
      </c>
      <c r="D518" s="37">
        <f>_xlfn.IFS(E518&lt;E$24,0,E518&lt;E$25,D$24,E518&lt;E$26,D$25,E518&lt;E$27,D$26,E518&lt;E$28,D$27,E518&lt;E$29,D$28,E518&lt;E$30,D$29,E518&lt;E$31,D$30,E518&lt;E$32,D$31,E518&lt;E$33,D$32,E518&lt;E$34,D$33,E518&lt;E$35,D$34,E518&gt;=E$35,D$35)</f>
        <v/>
      </c>
      <c r="E518" s="38" t="n">
        <v>468</v>
      </c>
      <c r="F518" s="31">
        <f>E518/52</f>
        <v/>
      </c>
      <c r="G518" s="39">
        <f>D518/1000000*52</f>
        <v/>
      </c>
      <c r="H518" s="33">
        <f>G518/$P$4+($C$22/$P$4)</f>
        <v/>
      </c>
      <c r="I518" s="36">
        <f>_xlfn.IFS(K518&lt;K$24,0,K518&lt;K$26,I$24,K518&lt;K$28,I$26,K518&lt;K$30,I$28,K518&lt;K$32,I$30,K518&lt;K$34,I$32,K518&lt;K$36,I$34,K518&lt;K$38,I$36,K518&lt;K$40,I$38,K518&lt;K$42,I$40,K518&lt;K$44,I$42,K518&lt;K$46,I$44,K518&gt;=K$46,I$46)</f>
        <v/>
      </c>
      <c r="J518" s="37">
        <f>_xlfn.IFS(K518&lt;K$24,0,K518&lt;K$25,J$24,K518&lt;K$26,J$25,K518&lt;K$27,J$26,K518&lt;K$28,J$27,K518&lt;K$29,J$28,K518&lt;K$30,J$29,K518&lt;K$31,J$30,K518&lt;K$32,J$31,K518&lt;K$33,J$32,K518&lt;K$34,J$33,K518&lt;K$35,J$34,K518&lt;K$36,J$35,K518&lt;K$37,J$36,K518&lt;K$38,J$37,K518&lt;K$39,J$38,K518&lt;K$40,J$39,K518&lt;K$41,J$40,K518&lt;K$42,J$41,K518&lt;K$43,J$42,K518&lt;K$44,J$43,K518&lt;K$45,J$44,K518&lt;K$46,J$45,K518&lt;K$47,J$46,K518&gt;=K$47,J$47)</f>
        <v/>
      </c>
      <c r="K518" s="38" t="n">
        <v>468</v>
      </c>
      <c r="L518" s="31">
        <f>K518/52</f>
        <v/>
      </c>
      <c r="M518" s="39">
        <f>J518/1000000*52</f>
        <v/>
      </c>
      <c r="N518" s="33">
        <f>M518/$P$4+($I$22/$P$4)</f>
        <v/>
      </c>
      <c r="U518">
        <f>F517</f>
        <v/>
      </c>
      <c r="V518">
        <f>H517</f>
        <v/>
      </c>
      <c r="W518">
        <f>N517</f>
        <v/>
      </c>
    </row>
    <row r="519" ht="15.75" customHeight="1" s="40">
      <c r="C519" s="36">
        <f>_xlfn.IFS(E519&lt;E$24,0,E519&lt;E$26,C$24,E519&lt;E$28,C$26,E519&lt;E$30,C$28,E519&lt;E$32,C$30,E519&lt;E$34,C$32,E519&gt;=E$34,C$34)</f>
        <v/>
      </c>
      <c r="D519" s="37">
        <f>_xlfn.IFS(E519&lt;E$24,0,E519&lt;E$25,D$24,E519&lt;E$26,D$25,E519&lt;E$27,D$26,E519&lt;E$28,D$27,E519&lt;E$29,D$28,E519&lt;E$30,D$29,E519&lt;E$31,D$30,E519&lt;E$32,D$31,E519&lt;E$33,D$32,E519&lt;E$34,D$33,E519&lt;E$35,D$34,E519&gt;=E$35,D$35)</f>
        <v/>
      </c>
      <c r="E519" s="38" t="n">
        <v>469</v>
      </c>
      <c r="F519" s="31">
        <f>E519/52</f>
        <v/>
      </c>
      <c r="G519" s="39">
        <f>D519/1000000*52</f>
        <v/>
      </c>
      <c r="H519" s="33">
        <f>G519/$P$4+($C$22/$P$4)</f>
        <v/>
      </c>
      <c r="I519" s="36">
        <f>_xlfn.IFS(K519&lt;K$24,0,K519&lt;K$26,I$24,K519&lt;K$28,I$26,K519&lt;K$30,I$28,K519&lt;K$32,I$30,K519&lt;K$34,I$32,K519&lt;K$36,I$34,K519&lt;K$38,I$36,K519&lt;K$40,I$38,K519&lt;K$42,I$40,K519&lt;K$44,I$42,K519&lt;K$46,I$44,K519&gt;=K$46,I$46)</f>
        <v/>
      </c>
      <c r="J519" s="37">
        <f>_xlfn.IFS(K519&lt;K$24,0,K519&lt;K$25,J$24,K519&lt;K$26,J$25,K519&lt;K$27,J$26,K519&lt;K$28,J$27,K519&lt;K$29,J$28,K519&lt;K$30,J$29,K519&lt;K$31,J$30,K519&lt;K$32,J$31,K519&lt;K$33,J$32,K519&lt;K$34,J$33,K519&lt;K$35,J$34,K519&lt;K$36,J$35,K519&lt;K$37,J$36,K519&lt;K$38,J$37,K519&lt;K$39,J$38,K519&lt;K$40,J$39,K519&lt;K$41,J$40,K519&lt;K$42,J$41,K519&lt;K$43,J$42,K519&lt;K$44,J$43,K519&lt;K$45,J$44,K519&lt;K$46,J$45,K519&lt;K$47,J$46,K519&gt;=K$47,J$47)</f>
        <v/>
      </c>
      <c r="K519" s="38" t="n">
        <v>469</v>
      </c>
      <c r="L519" s="31">
        <f>K519/52</f>
        <v/>
      </c>
      <c r="M519" s="39">
        <f>J519/1000000*52</f>
        <v/>
      </c>
      <c r="N519" s="33">
        <f>M519/$P$4+($I$22/$P$4)</f>
        <v/>
      </c>
      <c r="U519">
        <f>F518</f>
        <v/>
      </c>
      <c r="V519">
        <f>H518</f>
        <v/>
      </c>
      <c r="W519">
        <f>N518</f>
        <v/>
      </c>
    </row>
    <row r="520" ht="15.75" customHeight="1" s="40">
      <c r="C520" s="36">
        <f>_xlfn.IFS(E520&lt;E$24,0,E520&lt;E$26,C$24,E520&lt;E$28,C$26,E520&lt;E$30,C$28,E520&lt;E$32,C$30,E520&lt;E$34,C$32,E520&gt;=E$34,C$34)</f>
        <v/>
      </c>
      <c r="D520" s="37">
        <f>_xlfn.IFS(E520&lt;E$24,0,E520&lt;E$25,D$24,E520&lt;E$26,D$25,E520&lt;E$27,D$26,E520&lt;E$28,D$27,E520&lt;E$29,D$28,E520&lt;E$30,D$29,E520&lt;E$31,D$30,E520&lt;E$32,D$31,E520&lt;E$33,D$32,E520&lt;E$34,D$33,E520&lt;E$35,D$34,E520&gt;=E$35,D$35)</f>
        <v/>
      </c>
      <c r="E520" s="38" t="n">
        <v>470</v>
      </c>
      <c r="F520" s="31">
        <f>E520/52</f>
        <v/>
      </c>
      <c r="G520" s="39">
        <f>D520/1000000*52</f>
        <v/>
      </c>
      <c r="H520" s="33">
        <f>G520/$P$4+($C$22/$P$4)</f>
        <v/>
      </c>
      <c r="I520" s="36">
        <f>_xlfn.IFS(K520&lt;K$24,0,K520&lt;K$26,I$24,K520&lt;K$28,I$26,K520&lt;K$30,I$28,K520&lt;K$32,I$30,K520&lt;K$34,I$32,K520&lt;K$36,I$34,K520&lt;K$38,I$36,K520&lt;K$40,I$38,K520&lt;K$42,I$40,K520&lt;K$44,I$42,K520&lt;K$46,I$44,K520&gt;=K$46,I$46)</f>
        <v/>
      </c>
      <c r="J520" s="37">
        <f>_xlfn.IFS(K520&lt;K$24,0,K520&lt;K$25,J$24,K520&lt;K$26,J$25,K520&lt;K$27,J$26,K520&lt;K$28,J$27,K520&lt;K$29,J$28,K520&lt;K$30,J$29,K520&lt;K$31,J$30,K520&lt;K$32,J$31,K520&lt;K$33,J$32,K520&lt;K$34,J$33,K520&lt;K$35,J$34,K520&lt;K$36,J$35,K520&lt;K$37,J$36,K520&lt;K$38,J$37,K520&lt;K$39,J$38,K520&lt;K$40,J$39,K520&lt;K$41,J$40,K520&lt;K$42,J$41,K520&lt;K$43,J$42,K520&lt;K$44,J$43,K520&lt;K$45,J$44,K520&lt;K$46,J$45,K520&lt;K$47,J$46,K520&gt;=K$47,J$47)</f>
        <v/>
      </c>
      <c r="K520" s="38" t="n">
        <v>470</v>
      </c>
      <c r="L520" s="31">
        <f>K520/52</f>
        <v/>
      </c>
      <c r="M520" s="39">
        <f>J520/1000000*52</f>
        <v/>
      </c>
      <c r="N520" s="33">
        <f>M520/$P$4+($I$22/$P$4)</f>
        <v/>
      </c>
      <c r="U520">
        <f>F519</f>
        <v/>
      </c>
      <c r="V520">
        <f>H519</f>
        <v/>
      </c>
      <c r="W520">
        <f>N519</f>
        <v/>
      </c>
    </row>
    <row r="521" ht="15.75" customHeight="1" s="40">
      <c r="C521" s="36">
        <f>_xlfn.IFS(E521&lt;E$24,0,E521&lt;E$26,C$24,E521&lt;E$28,C$26,E521&lt;E$30,C$28,E521&lt;E$32,C$30,E521&lt;E$34,C$32,E521&gt;=E$34,C$34)</f>
        <v/>
      </c>
      <c r="D521" s="37">
        <f>_xlfn.IFS(E521&lt;E$24,0,E521&lt;E$25,D$24,E521&lt;E$26,D$25,E521&lt;E$27,D$26,E521&lt;E$28,D$27,E521&lt;E$29,D$28,E521&lt;E$30,D$29,E521&lt;E$31,D$30,E521&lt;E$32,D$31,E521&lt;E$33,D$32,E521&lt;E$34,D$33,E521&lt;E$35,D$34,E521&gt;=E$35,D$35)</f>
        <v/>
      </c>
      <c r="E521" s="38" t="n">
        <v>471</v>
      </c>
      <c r="F521" s="31">
        <f>E521/52</f>
        <v/>
      </c>
      <c r="G521" s="39">
        <f>D521/1000000*52</f>
        <v/>
      </c>
      <c r="H521" s="33">
        <f>G521/$P$4+($C$22/$P$4)</f>
        <v/>
      </c>
      <c r="I521" s="36">
        <f>_xlfn.IFS(K521&lt;K$24,0,K521&lt;K$26,I$24,K521&lt;K$28,I$26,K521&lt;K$30,I$28,K521&lt;K$32,I$30,K521&lt;K$34,I$32,K521&lt;K$36,I$34,K521&lt;K$38,I$36,K521&lt;K$40,I$38,K521&lt;K$42,I$40,K521&lt;K$44,I$42,K521&lt;K$46,I$44,K521&gt;=K$46,I$46)</f>
        <v/>
      </c>
      <c r="J521" s="37">
        <f>_xlfn.IFS(K521&lt;K$24,0,K521&lt;K$25,J$24,K521&lt;K$26,J$25,K521&lt;K$27,J$26,K521&lt;K$28,J$27,K521&lt;K$29,J$28,K521&lt;K$30,J$29,K521&lt;K$31,J$30,K521&lt;K$32,J$31,K521&lt;K$33,J$32,K521&lt;K$34,J$33,K521&lt;K$35,J$34,K521&lt;K$36,J$35,K521&lt;K$37,J$36,K521&lt;K$38,J$37,K521&lt;K$39,J$38,K521&lt;K$40,J$39,K521&lt;K$41,J$40,K521&lt;K$42,J$41,K521&lt;K$43,J$42,K521&lt;K$44,J$43,K521&lt;K$45,J$44,K521&lt;K$46,J$45,K521&lt;K$47,J$46,K521&gt;=K$47,J$47)</f>
        <v/>
      </c>
      <c r="K521" s="38" t="n">
        <v>471</v>
      </c>
      <c r="L521" s="31">
        <f>K521/52</f>
        <v/>
      </c>
      <c r="M521" s="39">
        <f>J521/1000000*52</f>
        <v/>
      </c>
      <c r="N521" s="33">
        <f>M521/$P$4+($I$22/$P$4)</f>
        <v/>
      </c>
      <c r="U521">
        <f>F520</f>
        <v/>
      </c>
      <c r="V521">
        <f>H520</f>
        <v/>
      </c>
      <c r="W521">
        <f>N520</f>
        <v/>
      </c>
    </row>
    <row r="522" ht="15.75" customHeight="1" s="40">
      <c r="C522" s="36">
        <f>_xlfn.IFS(E522&lt;E$24,0,E522&lt;E$26,C$24,E522&lt;E$28,C$26,E522&lt;E$30,C$28,E522&lt;E$32,C$30,E522&lt;E$34,C$32,E522&gt;=E$34,C$34)</f>
        <v/>
      </c>
      <c r="D522" s="37">
        <f>_xlfn.IFS(E522&lt;E$24,0,E522&lt;E$25,D$24,E522&lt;E$26,D$25,E522&lt;E$27,D$26,E522&lt;E$28,D$27,E522&lt;E$29,D$28,E522&lt;E$30,D$29,E522&lt;E$31,D$30,E522&lt;E$32,D$31,E522&lt;E$33,D$32,E522&lt;E$34,D$33,E522&lt;E$35,D$34,E522&gt;=E$35,D$35)</f>
        <v/>
      </c>
      <c r="E522" s="38" t="n">
        <v>472</v>
      </c>
      <c r="F522" s="31">
        <f>E522/52</f>
        <v/>
      </c>
      <c r="G522" s="39">
        <f>D522/1000000*52</f>
        <v/>
      </c>
      <c r="H522" s="33">
        <f>G522/$P$4+($C$22/$P$4)</f>
        <v/>
      </c>
      <c r="I522" s="36">
        <f>_xlfn.IFS(K522&lt;K$24,0,K522&lt;K$26,I$24,K522&lt;K$28,I$26,K522&lt;K$30,I$28,K522&lt;K$32,I$30,K522&lt;K$34,I$32,K522&lt;K$36,I$34,K522&lt;K$38,I$36,K522&lt;K$40,I$38,K522&lt;K$42,I$40,K522&lt;K$44,I$42,K522&lt;K$46,I$44,K522&gt;=K$46,I$46)</f>
        <v/>
      </c>
      <c r="J522" s="37">
        <f>_xlfn.IFS(K522&lt;K$24,0,K522&lt;K$25,J$24,K522&lt;K$26,J$25,K522&lt;K$27,J$26,K522&lt;K$28,J$27,K522&lt;K$29,J$28,K522&lt;K$30,J$29,K522&lt;K$31,J$30,K522&lt;K$32,J$31,K522&lt;K$33,J$32,K522&lt;K$34,J$33,K522&lt;K$35,J$34,K522&lt;K$36,J$35,K522&lt;K$37,J$36,K522&lt;K$38,J$37,K522&lt;K$39,J$38,K522&lt;K$40,J$39,K522&lt;K$41,J$40,K522&lt;K$42,J$41,K522&lt;K$43,J$42,K522&lt;K$44,J$43,K522&lt;K$45,J$44,K522&lt;K$46,J$45,K522&lt;K$47,J$46,K522&gt;=K$47,J$47)</f>
        <v/>
      </c>
      <c r="K522" s="38" t="n">
        <v>472</v>
      </c>
      <c r="L522" s="31">
        <f>K522/52</f>
        <v/>
      </c>
      <c r="M522" s="39">
        <f>J522/1000000*52</f>
        <v/>
      </c>
      <c r="N522" s="33">
        <f>M522/$P$4+($I$22/$P$4)</f>
        <v/>
      </c>
      <c r="U522">
        <f>F521</f>
        <v/>
      </c>
      <c r="V522">
        <f>H521</f>
        <v/>
      </c>
      <c r="W522">
        <f>N521</f>
        <v/>
      </c>
    </row>
    <row r="523" ht="15.75" customHeight="1" s="40">
      <c r="C523" s="36">
        <f>_xlfn.IFS(E523&lt;E$24,0,E523&lt;E$26,C$24,E523&lt;E$28,C$26,E523&lt;E$30,C$28,E523&lt;E$32,C$30,E523&lt;E$34,C$32,E523&gt;=E$34,C$34)</f>
        <v/>
      </c>
      <c r="D523" s="37">
        <f>_xlfn.IFS(E523&lt;E$24,0,E523&lt;E$25,D$24,E523&lt;E$26,D$25,E523&lt;E$27,D$26,E523&lt;E$28,D$27,E523&lt;E$29,D$28,E523&lt;E$30,D$29,E523&lt;E$31,D$30,E523&lt;E$32,D$31,E523&lt;E$33,D$32,E523&lt;E$34,D$33,E523&lt;E$35,D$34,E523&gt;=E$35,D$35)</f>
        <v/>
      </c>
      <c r="E523" s="38" t="n">
        <v>473</v>
      </c>
      <c r="F523" s="31">
        <f>E523/52</f>
        <v/>
      </c>
      <c r="G523" s="39">
        <f>D523/1000000*52</f>
        <v/>
      </c>
      <c r="H523" s="33">
        <f>G523/$P$4+($C$22/$P$4)</f>
        <v/>
      </c>
      <c r="I523" s="36">
        <f>_xlfn.IFS(K523&lt;K$24,0,K523&lt;K$26,I$24,K523&lt;K$28,I$26,K523&lt;K$30,I$28,K523&lt;K$32,I$30,K523&lt;K$34,I$32,K523&lt;K$36,I$34,K523&lt;K$38,I$36,K523&lt;K$40,I$38,K523&lt;K$42,I$40,K523&lt;K$44,I$42,K523&lt;K$46,I$44,K523&gt;=K$46,I$46)</f>
        <v/>
      </c>
      <c r="J523" s="37">
        <f>_xlfn.IFS(K523&lt;K$24,0,K523&lt;K$25,J$24,K523&lt;K$26,J$25,K523&lt;K$27,J$26,K523&lt;K$28,J$27,K523&lt;K$29,J$28,K523&lt;K$30,J$29,K523&lt;K$31,J$30,K523&lt;K$32,J$31,K523&lt;K$33,J$32,K523&lt;K$34,J$33,K523&lt;K$35,J$34,K523&lt;K$36,J$35,K523&lt;K$37,J$36,K523&lt;K$38,J$37,K523&lt;K$39,J$38,K523&lt;K$40,J$39,K523&lt;K$41,J$40,K523&lt;K$42,J$41,K523&lt;K$43,J$42,K523&lt;K$44,J$43,K523&lt;K$45,J$44,K523&lt;K$46,J$45,K523&lt;K$47,J$46,K523&gt;=K$47,J$47)</f>
        <v/>
      </c>
      <c r="K523" s="38" t="n">
        <v>473</v>
      </c>
      <c r="L523" s="31">
        <f>K523/52</f>
        <v/>
      </c>
      <c r="M523" s="39">
        <f>J523/1000000*52</f>
        <v/>
      </c>
      <c r="N523" s="33">
        <f>M523/$P$4+($I$22/$P$4)</f>
        <v/>
      </c>
      <c r="U523">
        <f>F522</f>
        <v/>
      </c>
      <c r="V523">
        <f>H522</f>
        <v/>
      </c>
      <c r="W523">
        <f>N522</f>
        <v/>
      </c>
    </row>
    <row r="524" ht="15.75" customHeight="1" s="40">
      <c r="C524" s="36">
        <f>_xlfn.IFS(E524&lt;E$24,0,E524&lt;E$26,C$24,E524&lt;E$28,C$26,E524&lt;E$30,C$28,E524&lt;E$32,C$30,E524&lt;E$34,C$32,E524&gt;=E$34,C$34)</f>
        <v/>
      </c>
      <c r="D524" s="37">
        <f>_xlfn.IFS(E524&lt;E$24,0,E524&lt;E$25,D$24,E524&lt;E$26,D$25,E524&lt;E$27,D$26,E524&lt;E$28,D$27,E524&lt;E$29,D$28,E524&lt;E$30,D$29,E524&lt;E$31,D$30,E524&lt;E$32,D$31,E524&lt;E$33,D$32,E524&lt;E$34,D$33,E524&lt;E$35,D$34,E524&gt;=E$35,D$35)</f>
        <v/>
      </c>
      <c r="E524" s="38" t="n">
        <v>474</v>
      </c>
      <c r="F524" s="31">
        <f>E524/52</f>
        <v/>
      </c>
      <c r="G524" s="39">
        <f>D524/1000000*52</f>
        <v/>
      </c>
      <c r="H524" s="33">
        <f>G524/$P$4+($C$22/$P$4)</f>
        <v/>
      </c>
      <c r="I524" s="36">
        <f>_xlfn.IFS(K524&lt;K$24,0,K524&lt;K$26,I$24,K524&lt;K$28,I$26,K524&lt;K$30,I$28,K524&lt;K$32,I$30,K524&lt;K$34,I$32,K524&lt;K$36,I$34,K524&lt;K$38,I$36,K524&lt;K$40,I$38,K524&lt;K$42,I$40,K524&lt;K$44,I$42,K524&lt;K$46,I$44,K524&gt;=K$46,I$46)</f>
        <v/>
      </c>
      <c r="J524" s="37">
        <f>_xlfn.IFS(K524&lt;K$24,0,K524&lt;K$25,J$24,K524&lt;K$26,J$25,K524&lt;K$27,J$26,K524&lt;K$28,J$27,K524&lt;K$29,J$28,K524&lt;K$30,J$29,K524&lt;K$31,J$30,K524&lt;K$32,J$31,K524&lt;K$33,J$32,K524&lt;K$34,J$33,K524&lt;K$35,J$34,K524&lt;K$36,J$35,K524&lt;K$37,J$36,K524&lt;K$38,J$37,K524&lt;K$39,J$38,K524&lt;K$40,J$39,K524&lt;K$41,J$40,K524&lt;K$42,J$41,K524&lt;K$43,J$42,K524&lt;K$44,J$43,K524&lt;K$45,J$44,K524&lt;K$46,J$45,K524&lt;K$47,J$46,K524&gt;=K$47,J$47)</f>
        <v/>
      </c>
      <c r="K524" s="38" t="n">
        <v>474</v>
      </c>
      <c r="L524" s="31">
        <f>K524/52</f>
        <v/>
      </c>
      <c r="M524" s="39">
        <f>J524/1000000*52</f>
        <v/>
      </c>
      <c r="N524" s="33">
        <f>M524/$P$4+($I$22/$P$4)</f>
        <v/>
      </c>
      <c r="U524">
        <f>F523</f>
        <v/>
      </c>
      <c r="V524">
        <f>H523</f>
        <v/>
      </c>
      <c r="W524">
        <f>N523</f>
        <v/>
      </c>
    </row>
    <row r="525" ht="15.75" customHeight="1" s="40">
      <c r="C525" s="36">
        <f>_xlfn.IFS(E525&lt;E$24,0,E525&lt;E$26,C$24,E525&lt;E$28,C$26,E525&lt;E$30,C$28,E525&lt;E$32,C$30,E525&lt;E$34,C$32,E525&gt;=E$34,C$34)</f>
        <v/>
      </c>
      <c r="D525" s="37">
        <f>_xlfn.IFS(E525&lt;E$24,0,E525&lt;E$25,D$24,E525&lt;E$26,D$25,E525&lt;E$27,D$26,E525&lt;E$28,D$27,E525&lt;E$29,D$28,E525&lt;E$30,D$29,E525&lt;E$31,D$30,E525&lt;E$32,D$31,E525&lt;E$33,D$32,E525&lt;E$34,D$33,E525&lt;E$35,D$34,E525&gt;=E$35,D$35)</f>
        <v/>
      </c>
      <c r="E525" s="38" t="n">
        <v>475</v>
      </c>
      <c r="F525" s="31">
        <f>E525/52</f>
        <v/>
      </c>
      <c r="G525" s="39">
        <f>D525/1000000*52</f>
        <v/>
      </c>
      <c r="H525" s="33">
        <f>G525/$P$4+($C$22/$P$4)</f>
        <v/>
      </c>
      <c r="I525" s="36">
        <f>_xlfn.IFS(K525&lt;K$24,0,K525&lt;K$26,I$24,K525&lt;K$28,I$26,K525&lt;K$30,I$28,K525&lt;K$32,I$30,K525&lt;K$34,I$32,K525&lt;K$36,I$34,K525&lt;K$38,I$36,K525&lt;K$40,I$38,K525&lt;K$42,I$40,K525&lt;K$44,I$42,K525&lt;K$46,I$44,K525&gt;=K$46,I$46)</f>
        <v/>
      </c>
      <c r="J525" s="37">
        <f>_xlfn.IFS(K525&lt;K$24,0,K525&lt;K$25,J$24,K525&lt;K$26,J$25,K525&lt;K$27,J$26,K525&lt;K$28,J$27,K525&lt;K$29,J$28,K525&lt;K$30,J$29,K525&lt;K$31,J$30,K525&lt;K$32,J$31,K525&lt;K$33,J$32,K525&lt;K$34,J$33,K525&lt;K$35,J$34,K525&lt;K$36,J$35,K525&lt;K$37,J$36,K525&lt;K$38,J$37,K525&lt;K$39,J$38,K525&lt;K$40,J$39,K525&lt;K$41,J$40,K525&lt;K$42,J$41,K525&lt;K$43,J$42,K525&lt;K$44,J$43,K525&lt;K$45,J$44,K525&lt;K$46,J$45,K525&lt;K$47,J$46,K525&gt;=K$47,J$47)</f>
        <v/>
      </c>
      <c r="K525" s="38" t="n">
        <v>475</v>
      </c>
      <c r="L525" s="31">
        <f>K525/52</f>
        <v/>
      </c>
      <c r="M525" s="39">
        <f>J525/1000000*52</f>
        <v/>
      </c>
      <c r="N525" s="33">
        <f>M525/$P$4+($I$22/$P$4)</f>
        <v/>
      </c>
      <c r="U525">
        <f>F524</f>
        <v/>
      </c>
      <c r="V525">
        <f>H524</f>
        <v/>
      </c>
      <c r="W525">
        <f>N524</f>
        <v/>
      </c>
    </row>
    <row r="526" ht="15.75" customHeight="1" s="40">
      <c r="C526" s="36">
        <f>_xlfn.IFS(E526&lt;E$24,0,E526&lt;E$26,C$24,E526&lt;E$28,C$26,E526&lt;E$30,C$28,E526&lt;E$32,C$30,E526&lt;E$34,C$32,E526&gt;=E$34,C$34)</f>
        <v/>
      </c>
      <c r="D526" s="37">
        <f>_xlfn.IFS(E526&lt;E$24,0,E526&lt;E$25,D$24,E526&lt;E$26,D$25,E526&lt;E$27,D$26,E526&lt;E$28,D$27,E526&lt;E$29,D$28,E526&lt;E$30,D$29,E526&lt;E$31,D$30,E526&lt;E$32,D$31,E526&lt;E$33,D$32,E526&lt;E$34,D$33,E526&lt;E$35,D$34,E526&gt;=E$35,D$35)</f>
        <v/>
      </c>
      <c r="E526" s="38" t="n">
        <v>476</v>
      </c>
      <c r="F526" s="31">
        <f>E526/52</f>
        <v/>
      </c>
      <c r="G526" s="39">
        <f>D526/1000000*52</f>
        <v/>
      </c>
      <c r="H526" s="33">
        <f>G526/$P$4+($C$22/$P$4)</f>
        <v/>
      </c>
      <c r="I526" s="36">
        <f>_xlfn.IFS(K526&lt;K$24,0,K526&lt;K$26,I$24,K526&lt;K$28,I$26,K526&lt;K$30,I$28,K526&lt;K$32,I$30,K526&lt;K$34,I$32,K526&lt;K$36,I$34,K526&lt;K$38,I$36,K526&lt;K$40,I$38,K526&lt;K$42,I$40,K526&lt;K$44,I$42,K526&lt;K$46,I$44,K526&gt;=K$46,I$46)</f>
        <v/>
      </c>
      <c r="J526" s="37">
        <f>_xlfn.IFS(K526&lt;K$24,0,K526&lt;K$25,J$24,K526&lt;K$26,J$25,K526&lt;K$27,J$26,K526&lt;K$28,J$27,K526&lt;K$29,J$28,K526&lt;K$30,J$29,K526&lt;K$31,J$30,K526&lt;K$32,J$31,K526&lt;K$33,J$32,K526&lt;K$34,J$33,K526&lt;K$35,J$34,K526&lt;K$36,J$35,K526&lt;K$37,J$36,K526&lt;K$38,J$37,K526&lt;K$39,J$38,K526&lt;K$40,J$39,K526&lt;K$41,J$40,K526&lt;K$42,J$41,K526&lt;K$43,J$42,K526&lt;K$44,J$43,K526&lt;K$45,J$44,K526&lt;K$46,J$45,K526&lt;K$47,J$46,K526&gt;=K$47,J$47)</f>
        <v/>
      </c>
      <c r="K526" s="38" t="n">
        <v>476</v>
      </c>
      <c r="L526" s="31">
        <f>K526/52</f>
        <v/>
      </c>
      <c r="M526" s="39">
        <f>J526/1000000*52</f>
        <v/>
      </c>
      <c r="N526" s="33">
        <f>M526/$P$4+($I$22/$P$4)</f>
        <v/>
      </c>
      <c r="U526">
        <f>F525</f>
        <v/>
      </c>
      <c r="V526">
        <f>H525</f>
        <v/>
      </c>
      <c r="W526">
        <f>N525</f>
        <v/>
      </c>
    </row>
    <row r="527" ht="15.75" customHeight="1" s="40">
      <c r="C527" s="36">
        <f>_xlfn.IFS(E527&lt;E$24,0,E527&lt;E$26,C$24,E527&lt;E$28,C$26,E527&lt;E$30,C$28,E527&lt;E$32,C$30,E527&lt;E$34,C$32,E527&gt;=E$34,C$34)</f>
        <v/>
      </c>
      <c r="D527" s="37">
        <f>_xlfn.IFS(E527&lt;E$24,0,E527&lt;E$25,D$24,E527&lt;E$26,D$25,E527&lt;E$27,D$26,E527&lt;E$28,D$27,E527&lt;E$29,D$28,E527&lt;E$30,D$29,E527&lt;E$31,D$30,E527&lt;E$32,D$31,E527&lt;E$33,D$32,E527&lt;E$34,D$33,E527&lt;E$35,D$34,E527&gt;=E$35,D$35)</f>
        <v/>
      </c>
      <c r="E527" s="38" t="n">
        <v>477</v>
      </c>
      <c r="F527" s="31">
        <f>E527/52</f>
        <v/>
      </c>
      <c r="G527" s="39">
        <f>D527/1000000*52</f>
        <v/>
      </c>
      <c r="H527" s="33">
        <f>G527/$P$4+($C$22/$P$4)</f>
        <v/>
      </c>
      <c r="I527" s="36">
        <f>_xlfn.IFS(K527&lt;K$24,0,K527&lt;K$26,I$24,K527&lt;K$28,I$26,K527&lt;K$30,I$28,K527&lt;K$32,I$30,K527&lt;K$34,I$32,K527&lt;K$36,I$34,K527&lt;K$38,I$36,K527&lt;K$40,I$38,K527&lt;K$42,I$40,K527&lt;K$44,I$42,K527&lt;K$46,I$44,K527&gt;=K$46,I$46)</f>
        <v/>
      </c>
      <c r="J527" s="37">
        <f>_xlfn.IFS(K527&lt;K$24,0,K527&lt;K$25,J$24,K527&lt;K$26,J$25,K527&lt;K$27,J$26,K527&lt;K$28,J$27,K527&lt;K$29,J$28,K527&lt;K$30,J$29,K527&lt;K$31,J$30,K527&lt;K$32,J$31,K527&lt;K$33,J$32,K527&lt;K$34,J$33,K527&lt;K$35,J$34,K527&lt;K$36,J$35,K527&lt;K$37,J$36,K527&lt;K$38,J$37,K527&lt;K$39,J$38,K527&lt;K$40,J$39,K527&lt;K$41,J$40,K527&lt;K$42,J$41,K527&lt;K$43,J$42,K527&lt;K$44,J$43,K527&lt;K$45,J$44,K527&lt;K$46,J$45,K527&lt;K$47,J$46,K527&gt;=K$47,J$47)</f>
        <v/>
      </c>
      <c r="K527" s="38" t="n">
        <v>477</v>
      </c>
      <c r="L527" s="31">
        <f>K527/52</f>
        <v/>
      </c>
      <c r="M527" s="39">
        <f>J527/1000000*52</f>
        <v/>
      </c>
      <c r="N527" s="33">
        <f>M527/$P$4+($I$22/$P$4)</f>
        <v/>
      </c>
      <c r="U527">
        <f>F526</f>
        <v/>
      </c>
      <c r="V527">
        <f>H526</f>
        <v/>
      </c>
      <c r="W527">
        <f>N526</f>
        <v/>
      </c>
    </row>
    <row r="528" ht="15.75" customHeight="1" s="40">
      <c r="C528" s="36">
        <f>_xlfn.IFS(E528&lt;E$24,0,E528&lt;E$26,C$24,E528&lt;E$28,C$26,E528&lt;E$30,C$28,E528&lt;E$32,C$30,E528&lt;E$34,C$32,E528&gt;=E$34,C$34)</f>
        <v/>
      </c>
      <c r="D528" s="37">
        <f>_xlfn.IFS(E528&lt;E$24,0,E528&lt;E$25,D$24,E528&lt;E$26,D$25,E528&lt;E$27,D$26,E528&lt;E$28,D$27,E528&lt;E$29,D$28,E528&lt;E$30,D$29,E528&lt;E$31,D$30,E528&lt;E$32,D$31,E528&lt;E$33,D$32,E528&lt;E$34,D$33,E528&lt;E$35,D$34,E528&gt;=E$35,D$35)</f>
        <v/>
      </c>
      <c r="E528" s="38" t="n">
        <v>478</v>
      </c>
      <c r="F528" s="31">
        <f>E528/52</f>
        <v/>
      </c>
      <c r="G528" s="39">
        <f>D528/1000000*52</f>
        <v/>
      </c>
      <c r="H528" s="33">
        <f>G528/$P$4+($C$22/$P$4)</f>
        <v/>
      </c>
      <c r="I528" s="36">
        <f>_xlfn.IFS(K528&lt;K$24,0,K528&lt;K$26,I$24,K528&lt;K$28,I$26,K528&lt;K$30,I$28,K528&lt;K$32,I$30,K528&lt;K$34,I$32,K528&lt;K$36,I$34,K528&lt;K$38,I$36,K528&lt;K$40,I$38,K528&lt;K$42,I$40,K528&lt;K$44,I$42,K528&lt;K$46,I$44,K528&gt;=K$46,I$46)</f>
        <v/>
      </c>
      <c r="J528" s="37">
        <f>_xlfn.IFS(K528&lt;K$24,0,K528&lt;K$25,J$24,K528&lt;K$26,J$25,K528&lt;K$27,J$26,K528&lt;K$28,J$27,K528&lt;K$29,J$28,K528&lt;K$30,J$29,K528&lt;K$31,J$30,K528&lt;K$32,J$31,K528&lt;K$33,J$32,K528&lt;K$34,J$33,K528&lt;K$35,J$34,K528&lt;K$36,J$35,K528&lt;K$37,J$36,K528&lt;K$38,J$37,K528&lt;K$39,J$38,K528&lt;K$40,J$39,K528&lt;K$41,J$40,K528&lt;K$42,J$41,K528&lt;K$43,J$42,K528&lt;K$44,J$43,K528&lt;K$45,J$44,K528&lt;K$46,J$45,K528&lt;K$47,J$46,K528&gt;=K$47,J$47)</f>
        <v/>
      </c>
      <c r="K528" s="38" t="n">
        <v>478</v>
      </c>
      <c r="L528" s="31">
        <f>K528/52</f>
        <v/>
      </c>
      <c r="M528" s="39">
        <f>J528/1000000*52</f>
        <v/>
      </c>
      <c r="N528" s="33">
        <f>M528/$P$4+($I$22/$P$4)</f>
        <v/>
      </c>
      <c r="U528">
        <f>F527</f>
        <v/>
      </c>
      <c r="V528">
        <f>H527</f>
        <v/>
      </c>
      <c r="W528">
        <f>N527</f>
        <v/>
      </c>
    </row>
    <row r="529" ht="15.75" customHeight="1" s="40">
      <c r="C529" s="36">
        <f>_xlfn.IFS(E529&lt;E$24,0,E529&lt;E$26,C$24,E529&lt;E$28,C$26,E529&lt;E$30,C$28,E529&lt;E$32,C$30,E529&lt;E$34,C$32,E529&gt;=E$34,C$34)</f>
        <v/>
      </c>
      <c r="D529" s="37">
        <f>_xlfn.IFS(E529&lt;E$24,0,E529&lt;E$25,D$24,E529&lt;E$26,D$25,E529&lt;E$27,D$26,E529&lt;E$28,D$27,E529&lt;E$29,D$28,E529&lt;E$30,D$29,E529&lt;E$31,D$30,E529&lt;E$32,D$31,E529&lt;E$33,D$32,E529&lt;E$34,D$33,E529&lt;E$35,D$34,E529&gt;=E$35,D$35)</f>
        <v/>
      </c>
      <c r="E529" s="38" t="n">
        <v>479</v>
      </c>
      <c r="F529" s="31">
        <f>E529/52</f>
        <v/>
      </c>
      <c r="G529" s="39">
        <f>D529/1000000*52</f>
        <v/>
      </c>
      <c r="H529" s="33">
        <f>G529/$P$4+($C$22/$P$4)</f>
        <v/>
      </c>
      <c r="I529" s="36">
        <f>_xlfn.IFS(K529&lt;K$24,0,K529&lt;K$26,I$24,K529&lt;K$28,I$26,K529&lt;K$30,I$28,K529&lt;K$32,I$30,K529&lt;K$34,I$32,K529&lt;K$36,I$34,K529&lt;K$38,I$36,K529&lt;K$40,I$38,K529&lt;K$42,I$40,K529&lt;K$44,I$42,K529&lt;K$46,I$44,K529&gt;=K$46,I$46)</f>
        <v/>
      </c>
      <c r="J529" s="37">
        <f>_xlfn.IFS(K529&lt;K$24,0,K529&lt;K$25,J$24,K529&lt;K$26,J$25,K529&lt;K$27,J$26,K529&lt;K$28,J$27,K529&lt;K$29,J$28,K529&lt;K$30,J$29,K529&lt;K$31,J$30,K529&lt;K$32,J$31,K529&lt;K$33,J$32,K529&lt;K$34,J$33,K529&lt;K$35,J$34,K529&lt;K$36,J$35,K529&lt;K$37,J$36,K529&lt;K$38,J$37,K529&lt;K$39,J$38,K529&lt;K$40,J$39,K529&lt;K$41,J$40,K529&lt;K$42,J$41,K529&lt;K$43,J$42,K529&lt;K$44,J$43,K529&lt;K$45,J$44,K529&lt;K$46,J$45,K529&lt;K$47,J$46,K529&gt;=K$47,J$47)</f>
        <v/>
      </c>
      <c r="K529" s="38" t="n">
        <v>479</v>
      </c>
      <c r="L529" s="31">
        <f>K529/52</f>
        <v/>
      </c>
      <c r="M529" s="39">
        <f>J529/1000000*52</f>
        <v/>
      </c>
      <c r="N529" s="33">
        <f>M529/$P$4+($I$22/$P$4)</f>
        <v/>
      </c>
      <c r="U529">
        <f>F528</f>
        <v/>
      </c>
      <c r="V529">
        <f>H528</f>
        <v/>
      </c>
      <c r="W529">
        <f>N528</f>
        <v/>
      </c>
    </row>
    <row r="530" ht="15.75" customHeight="1" s="40">
      <c r="C530" s="36">
        <f>_xlfn.IFS(E530&lt;E$24,0,E530&lt;E$26,C$24,E530&lt;E$28,C$26,E530&lt;E$30,C$28,E530&lt;E$32,C$30,E530&lt;E$34,C$32,E530&gt;=E$34,C$34)</f>
        <v/>
      </c>
      <c r="D530" s="37">
        <f>_xlfn.IFS(E530&lt;E$24,0,E530&lt;E$25,D$24,E530&lt;E$26,D$25,E530&lt;E$27,D$26,E530&lt;E$28,D$27,E530&lt;E$29,D$28,E530&lt;E$30,D$29,E530&lt;E$31,D$30,E530&lt;E$32,D$31,E530&lt;E$33,D$32,E530&lt;E$34,D$33,E530&lt;E$35,D$34,E530&gt;=E$35,D$35)</f>
        <v/>
      </c>
      <c r="E530" s="38" t="n">
        <v>480</v>
      </c>
      <c r="F530" s="31">
        <f>E530/52</f>
        <v/>
      </c>
      <c r="G530" s="39">
        <f>D530/1000000*52</f>
        <v/>
      </c>
      <c r="H530" s="33">
        <f>G530/$P$4+($C$22/$P$4)</f>
        <v/>
      </c>
      <c r="I530" s="36">
        <f>_xlfn.IFS(K530&lt;K$24,0,K530&lt;K$26,I$24,K530&lt;K$28,I$26,K530&lt;K$30,I$28,K530&lt;K$32,I$30,K530&lt;K$34,I$32,K530&lt;K$36,I$34,K530&lt;K$38,I$36,K530&lt;K$40,I$38,K530&lt;K$42,I$40,K530&lt;K$44,I$42,K530&lt;K$46,I$44,K530&gt;=K$46,I$46)</f>
        <v/>
      </c>
      <c r="J530" s="37">
        <f>_xlfn.IFS(K530&lt;K$24,0,K530&lt;K$25,J$24,K530&lt;K$26,J$25,K530&lt;K$27,J$26,K530&lt;K$28,J$27,K530&lt;K$29,J$28,K530&lt;K$30,J$29,K530&lt;K$31,J$30,K530&lt;K$32,J$31,K530&lt;K$33,J$32,K530&lt;K$34,J$33,K530&lt;K$35,J$34,K530&lt;K$36,J$35,K530&lt;K$37,J$36,K530&lt;K$38,J$37,K530&lt;K$39,J$38,K530&lt;K$40,J$39,K530&lt;K$41,J$40,K530&lt;K$42,J$41,K530&lt;K$43,J$42,K530&lt;K$44,J$43,K530&lt;K$45,J$44,K530&lt;K$46,J$45,K530&lt;K$47,J$46,K530&gt;=K$47,J$47)</f>
        <v/>
      </c>
      <c r="K530" s="38" t="n">
        <v>480</v>
      </c>
      <c r="L530" s="31">
        <f>K530/52</f>
        <v/>
      </c>
      <c r="M530" s="39">
        <f>J530/1000000*52</f>
        <v/>
      </c>
      <c r="N530" s="33">
        <f>M530/$P$4+($I$22/$P$4)</f>
        <v/>
      </c>
      <c r="U530">
        <f>F529</f>
        <v/>
      </c>
      <c r="V530">
        <f>H529</f>
        <v/>
      </c>
      <c r="W530">
        <f>N529</f>
        <v/>
      </c>
    </row>
    <row r="531" ht="15.75" customHeight="1" s="40">
      <c r="C531" s="36">
        <f>_xlfn.IFS(E531&lt;E$24,0,E531&lt;E$26,C$24,E531&lt;E$28,C$26,E531&lt;E$30,C$28,E531&lt;E$32,C$30,E531&lt;E$34,C$32,E531&gt;=E$34,C$34)</f>
        <v/>
      </c>
      <c r="D531" s="37">
        <f>_xlfn.IFS(E531&lt;E$24,0,E531&lt;E$25,D$24,E531&lt;E$26,D$25,E531&lt;E$27,D$26,E531&lt;E$28,D$27,E531&lt;E$29,D$28,E531&lt;E$30,D$29,E531&lt;E$31,D$30,E531&lt;E$32,D$31,E531&lt;E$33,D$32,E531&lt;E$34,D$33,E531&lt;E$35,D$34,E531&gt;=E$35,D$35)</f>
        <v/>
      </c>
      <c r="E531" s="38" t="n">
        <v>481</v>
      </c>
      <c r="F531" s="31">
        <f>E531/52</f>
        <v/>
      </c>
      <c r="G531" s="39">
        <f>D531/1000000*52</f>
        <v/>
      </c>
      <c r="H531" s="33">
        <f>G531/$P$4+($C$22/$P$4)</f>
        <v/>
      </c>
      <c r="I531" s="36">
        <f>_xlfn.IFS(K531&lt;K$24,0,K531&lt;K$26,I$24,K531&lt;K$28,I$26,K531&lt;K$30,I$28,K531&lt;K$32,I$30,K531&lt;K$34,I$32,K531&lt;K$36,I$34,K531&lt;K$38,I$36,K531&lt;K$40,I$38,K531&lt;K$42,I$40,K531&lt;K$44,I$42,K531&lt;K$46,I$44,K531&gt;=K$46,I$46)</f>
        <v/>
      </c>
      <c r="J531" s="37">
        <f>_xlfn.IFS(K531&lt;K$24,0,K531&lt;K$25,J$24,K531&lt;K$26,J$25,K531&lt;K$27,J$26,K531&lt;K$28,J$27,K531&lt;K$29,J$28,K531&lt;K$30,J$29,K531&lt;K$31,J$30,K531&lt;K$32,J$31,K531&lt;K$33,J$32,K531&lt;K$34,J$33,K531&lt;K$35,J$34,K531&lt;K$36,J$35,K531&lt;K$37,J$36,K531&lt;K$38,J$37,K531&lt;K$39,J$38,K531&lt;K$40,J$39,K531&lt;K$41,J$40,K531&lt;K$42,J$41,K531&lt;K$43,J$42,K531&lt;K$44,J$43,K531&lt;K$45,J$44,K531&lt;K$46,J$45,K531&lt;K$47,J$46,K531&gt;=K$47,J$47)</f>
        <v/>
      </c>
      <c r="K531" s="38" t="n">
        <v>481</v>
      </c>
      <c r="L531" s="31">
        <f>K531/52</f>
        <v/>
      </c>
      <c r="M531" s="39">
        <f>J531/1000000*52</f>
        <v/>
      </c>
      <c r="N531" s="33">
        <f>M531/$P$4+($I$22/$P$4)</f>
        <v/>
      </c>
      <c r="U531">
        <f>F530</f>
        <v/>
      </c>
      <c r="V531">
        <f>H530</f>
        <v/>
      </c>
      <c r="W531">
        <f>N530</f>
        <v/>
      </c>
    </row>
    <row r="532" ht="15.75" customHeight="1" s="40">
      <c r="C532" s="36">
        <f>_xlfn.IFS(E532&lt;E$24,0,E532&lt;E$26,C$24,E532&lt;E$28,C$26,E532&lt;E$30,C$28,E532&lt;E$32,C$30,E532&lt;E$34,C$32,E532&gt;=E$34,C$34)</f>
        <v/>
      </c>
      <c r="D532" s="37">
        <f>_xlfn.IFS(E532&lt;E$24,0,E532&lt;E$25,D$24,E532&lt;E$26,D$25,E532&lt;E$27,D$26,E532&lt;E$28,D$27,E532&lt;E$29,D$28,E532&lt;E$30,D$29,E532&lt;E$31,D$30,E532&lt;E$32,D$31,E532&lt;E$33,D$32,E532&lt;E$34,D$33,E532&lt;E$35,D$34,E532&gt;=E$35,D$35)</f>
        <v/>
      </c>
      <c r="E532" s="38" t="n">
        <v>482</v>
      </c>
      <c r="F532" s="31">
        <f>E532/52</f>
        <v/>
      </c>
      <c r="G532" s="39">
        <f>D532/1000000*52</f>
        <v/>
      </c>
      <c r="H532" s="33">
        <f>G532/$P$4+($C$22/$P$4)</f>
        <v/>
      </c>
      <c r="I532" s="36">
        <f>_xlfn.IFS(K532&lt;K$24,0,K532&lt;K$26,I$24,K532&lt;K$28,I$26,K532&lt;K$30,I$28,K532&lt;K$32,I$30,K532&lt;K$34,I$32,K532&lt;K$36,I$34,K532&lt;K$38,I$36,K532&lt;K$40,I$38,K532&lt;K$42,I$40,K532&lt;K$44,I$42,K532&lt;K$46,I$44,K532&gt;=K$46,I$46)</f>
        <v/>
      </c>
      <c r="J532" s="37">
        <f>_xlfn.IFS(K532&lt;K$24,0,K532&lt;K$25,J$24,K532&lt;K$26,J$25,K532&lt;K$27,J$26,K532&lt;K$28,J$27,K532&lt;K$29,J$28,K532&lt;K$30,J$29,K532&lt;K$31,J$30,K532&lt;K$32,J$31,K532&lt;K$33,J$32,K532&lt;K$34,J$33,K532&lt;K$35,J$34,K532&lt;K$36,J$35,K532&lt;K$37,J$36,K532&lt;K$38,J$37,K532&lt;K$39,J$38,K532&lt;K$40,J$39,K532&lt;K$41,J$40,K532&lt;K$42,J$41,K532&lt;K$43,J$42,K532&lt;K$44,J$43,K532&lt;K$45,J$44,K532&lt;K$46,J$45,K532&lt;K$47,J$46,K532&gt;=K$47,J$47)</f>
        <v/>
      </c>
      <c r="K532" s="38" t="n">
        <v>482</v>
      </c>
      <c r="L532" s="31">
        <f>K532/52</f>
        <v/>
      </c>
      <c r="M532" s="39">
        <f>J532/1000000*52</f>
        <v/>
      </c>
      <c r="N532" s="33">
        <f>M532/$P$4+($I$22/$P$4)</f>
        <v/>
      </c>
      <c r="U532">
        <f>F531</f>
        <v/>
      </c>
      <c r="V532">
        <f>H531</f>
        <v/>
      </c>
      <c r="W532">
        <f>N531</f>
        <v/>
      </c>
    </row>
    <row r="533" ht="15.75" customHeight="1" s="40">
      <c r="C533" s="36">
        <f>_xlfn.IFS(E533&lt;E$24,0,E533&lt;E$26,C$24,E533&lt;E$28,C$26,E533&lt;E$30,C$28,E533&lt;E$32,C$30,E533&lt;E$34,C$32,E533&gt;=E$34,C$34)</f>
        <v/>
      </c>
      <c r="D533" s="37">
        <f>_xlfn.IFS(E533&lt;E$24,0,E533&lt;E$25,D$24,E533&lt;E$26,D$25,E533&lt;E$27,D$26,E533&lt;E$28,D$27,E533&lt;E$29,D$28,E533&lt;E$30,D$29,E533&lt;E$31,D$30,E533&lt;E$32,D$31,E533&lt;E$33,D$32,E533&lt;E$34,D$33,E533&lt;E$35,D$34,E533&gt;=E$35,D$35)</f>
        <v/>
      </c>
      <c r="E533" s="38" t="n">
        <v>483</v>
      </c>
      <c r="F533" s="31">
        <f>E533/52</f>
        <v/>
      </c>
      <c r="G533" s="39">
        <f>D533/1000000*52</f>
        <v/>
      </c>
      <c r="H533" s="33">
        <f>G533/$P$4+($C$22/$P$4)</f>
        <v/>
      </c>
      <c r="I533" s="36">
        <f>_xlfn.IFS(K533&lt;K$24,0,K533&lt;K$26,I$24,K533&lt;K$28,I$26,K533&lt;K$30,I$28,K533&lt;K$32,I$30,K533&lt;K$34,I$32,K533&lt;K$36,I$34,K533&lt;K$38,I$36,K533&lt;K$40,I$38,K533&lt;K$42,I$40,K533&lt;K$44,I$42,K533&lt;K$46,I$44,K533&gt;=K$46,I$46)</f>
        <v/>
      </c>
      <c r="J533" s="37">
        <f>_xlfn.IFS(K533&lt;K$24,0,K533&lt;K$25,J$24,K533&lt;K$26,J$25,K533&lt;K$27,J$26,K533&lt;K$28,J$27,K533&lt;K$29,J$28,K533&lt;K$30,J$29,K533&lt;K$31,J$30,K533&lt;K$32,J$31,K533&lt;K$33,J$32,K533&lt;K$34,J$33,K533&lt;K$35,J$34,K533&lt;K$36,J$35,K533&lt;K$37,J$36,K533&lt;K$38,J$37,K533&lt;K$39,J$38,K533&lt;K$40,J$39,K533&lt;K$41,J$40,K533&lt;K$42,J$41,K533&lt;K$43,J$42,K533&lt;K$44,J$43,K533&lt;K$45,J$44,K533&lt;K$46,J$45,K533&lt;K$47,J$46,K533&gt;=K$47,J$47)</f>
        <v/>
      </c>
      <c r="K533" s="38" t="n">
        <v>483</v>
      </c>
      <c r="L533" s="31">
        <f>K533/52</f>
        <v/>
      </c>
      <c r="M533" s="39">
        <f>J533/1000000*52</f>
        <v/>
      </c>
      <c r="N533" s="33">
        <f>M533/$P$4+($I$22/$P$4)</f>
        <v/>
      </c>
      <c r="U533">
        <f>F532</f>
        <v/>
      </c>
      <c r="V533">
        <f>H532</f>
        <v/>
      </c>
      <c r="W533">
        <f>N532</f>
        <v/>
      </c>
    </row>
    <row r="534" ht="15.75" customHeight="1" s="40">
      <c r="C534" s="36">
        <f>_xlfn.IFS(E534&lt;E$24,0,E534&lt;E$26,C$24,E534&lt;E$28,C$26,E534&lt;E$30,C$28,E534&lt;E$32,C$30,E534&lt;E$34,C$32,E534&gt;=E$34,C$34)</f>
        <v/>
      </c>
      <c r="D534" s="37">
        <f>_xlfn.IFS(E534&lt;E$24,0,E534&lt;E$25,D$24,E534&lt;E$26,D$25,E534&lt;E$27,D$26,E534&lt;E$28,D$27,E534&lt;E$29,D$28,E534&lt;E$30,D$29,E534&lt;E$31,D$30,E534&lt;E$32,D$31,E534&lt;E$33,D$32,E534&lt;E$34,D$33,E534&lt;E$35,D$34,E534&gt;=E$35,D$35)</f>
        <v/>
      </c>
      <c r="E534" s="38" t="n">
        <v>484</v>
      </c>
      <c r="F534" s="31">
        <f>E534/52</f>
        <v/>
      </c>
      <c r="G534" s="39">
        <f>D534/1000000*52</f>
        <v/>
      </c>
      <c r="H534" s="33">
        <f>G534/$P$4+($C$22/$P$4)</f>
        <v/>
      </c>
      <c r="I534" s="36">
        <f>_xlfn.IFS(K534&lt;K$24,0,K534&lt;K$26,I$24,K534&lt;K$28,I$26,K534&lt;K$30,I$28,K534&lt;K$32,I$30,K534&lt;K$34,I$32,K534&lt;K$36,I$34,K534&lt;K$38,I$36,K534&lt;K$40,I$38,K534&lt;K$42,I$40,K534&lt;K$44,I$42,K534&lt;K$46,I$44,K534&gt;=K$46,I$46)</f>
        <v/>
      </c>
      <c r="J534" s="37">
        <f>_xlfn.IFS(K534&lt;K$24,0,K534&lt;K$25,J$24,K534&lt;K$26,J$25,K534&lt;K$27,J$26,K534&lt;K$28,J$27,K534&lt;K$29,J$28,K534&lt;K$30,J$29,K534&lt;K$31,J$30,K534&lt;K$32,J$31,K534&lt;K$33,J$32,K534&lt;K$34,J$33,K534&lt;K$35,J$34,K534&lt;K$36,J$35,K534&lt;K$37,J$36,K534&lt;K$38,J$37,K534&lt;K$39,J$38,K534&lt;K$40,J$39,K534&lt;K$41,J$40,K534&lt;K$42,J$41,K534&lt;K$43,J$42,K534&lt;K$44,J$43,K534&lt;K$45,J$44,K534&lt;K$46,J$45,K534&lt;K$47,J$46,K534&gt;=K$47,J$47)</f>
        <v/>
      </c>
      <c r="K534" s="38" t="n">
        <v>484</v>
      </c>
      <c r="L534" s="31">
        <f>K534/52</f>
        <v/>
      </c>
      <c r="M534" s="39">
        <f>J534/1000000*52</f>
        <v/>
      </c>
      <c r="N534" s="33">
        <f>M534/$P$4+($I$22/$P$4)</f>
        <v/>
      </c>
      <c r="U534">
        <f>F533</f>
        <v/>
      </c>
      <c r="V534">
        <f>H533</f>
        <v/>
      </c>
      <c r="W534">
        <f>N533</f>
        <v/>
      </c>
    </row>
    <row r="535" ht="15.75" customHeight="1" s="40">
      <c r="C535" s="36">
        <f>_xlfn.IFS(E535&lt;E$24,0,E535&lt;E$26,C$24,E535&lt;E$28,C$26,E535&lt;E$30,C$28,E535&lt;E$32,C$30,E535&lt;E$34,C$32,E535&gt;=E$34,C$34)</f>
        <v/>
      </c>
      <c r="D535" s="37">
        <f>_xlfn.IFS(E535&lt;E$24,0,E535&lt;E$25,D$24,E535&lt;E$26,D$25,E535&lt;E$27,D$26,E535&lt;E$28,D$27,E535&lt;E$29,D$28,E535&lt;E$30,D$29,E535&lt;E$31,D$30,E535&lt;E$32,D$31,E535&lt;E$33,D$32,E535&lt;E$34,D$33,E535&lt;E$35,D$34,E535&gt;=E$35,D$35)</f>
        <v/>
      </c>
      <c r="E535" s="38" t="n">
        <v>485</v>
      </c>
      <c r="F535" s="31">
        <f>E535/52</f>
        <v/>
      </c>
      <c r="G535" s="39">
        <f>D535/1000000*52</f>
        <v/>
      </c>
      <c r="H535" s="33">
        <f>G535/$P$4+($C$22/$P$4)</f>
        <v/>
      </c>
      <c r="I535" s="36">
        <f>_xlfn.IFS(K535&lt;K$24,0,K535&lt;K$26,I$24,K535&lt;K$28,I$26,K535&lt;K$30,I$28,K535&lt;K$32,I$30,K535&lt;K$34,I$32,K535&lt;K$36,I$34,K535&lt;K$38,I$36,K535&lt;K$40,I$38,K535&lt;K$42,I$40,K535&lt;K$44,I$42,K535&lt;K$46,I$44,K535&gt;=K$46,I$46)</f>
        <v/>
      </c>
      <c r="J535" s="37">
        <f>_xlfn.IFS(K535&lt;K$24,0,K535&lt;K$25,J$24,K535&lt;K$26,J$25,K535&lt;K$27,J$26,K535&lt;K$28,J$27,K535&lt;K$29,J$28,K535&lt;K$30,J$29,K535&lt;K$31,J$30,K535&lt;K$32,J$31,K535&lt;K$33,J$32,K535&lt;K$34,J$33,K535&lt;K$35,J$34,K535&lt;K$36,J$35,K535&lt;K$37,J$36,K535&lt;K$38,J$37,K535&lt;K$39,J$38,K535&lt;K$40,J$39,K535&lt;K$41,J$40,K535&lt;K$42,J$41,K535&lt;K$43,J$42,K535&lt;K$44,J$43,K535&lt;K$45,J$44,K535&lt;K$46,J$45,K535&lt;K$47,J$46,K535&gt;=K$47,J$47)</f>
        <v/>
      </c>
      <c r="K535" s="38" t="n">
        <v>485</v>
      </c>
      <c r="L535" s="31">
        <f>K535/52</f>
        <v/>
      </c>
      <c r="M535" s="39">
        <f>J535/1000000*52</f>
        <v/>
      </c>
      <c r="N535" s="33">
        <f>M535/$P$4+($I$22/$P$4)</f>
        <v/>
      </c>
      <c r="U535">
        <f>F534</f>
        <v/>
      </c>
      <c r="V535">
        <f>H534</f>
        <v/>
      </c>
      <c r="W535">
        <f>N534</f>
        <v/>
      </c>
    </row>
    <row r="536" ht="15.75" customHeight="1" s="40">
      <c r="C536" s="36">
        <f>_xlfn.IFS(E536&lt;E$24,0,E536&lt;E$26,C$24,E536&lt;E$28,C$26,E536&lt;E$30,C$28,E536&lt;E$32,C$30,E536&lt;E$34,C$32,E536&gt;=E$34,C$34)</f>
        <v/>
      </c>
      <c r="D536" s="37">
        <f>_xlfn.IFS(E536&lt;E$24,0,E536&lt;E$25,D$24,E536&lt;E$26,D$25,E536&lt;E$27,D$26,E536&lt;E$28,D$27,E536&lt;E$29,D$28,E536&lt;E$30,D$29,E536&lt;E$31,D$30,E536&lt;E$32,D$31,E536&lt;E$33,D$32,E536&lt;E$34,D$33,E536&lt;E$35,D$34,E536&gt;=E$35,D$35)</f>
        <v/>
      </c>
      <c r="E536" s="38" t="n">
        <v>486</v>
      </c>
      <c r="F536" s="31">
        <f>E536/52</f>
        <v/>
      </c>
      <c r="G536" s="39">
        <f>D536/1000000*52</f>
        <v/>
      </c>
      <c r="H536" s="33">
        <f>G536/$P$4+($C$22/$P$4)</f>
        <v/>
      </c>
      <c r="I536" s="36">
        <f>_xlfn.IFS(K536&lt;K$24,0,K536&lt;K$26,I$24,K536&lt;K$28,I$26,K536&lt;K$30,I$28,K536&lt;K$32,I$30,K536&lt;K$34,I$32,K536&lt;K$36,I$34,K536&lt;K$38,I$36,K536&lt;K$40,I$38,K536&lt;K$42,I$40,K536&lt;K$44,I$42,K536&lt;K$46,I$44,K536&gt;=K$46,I$46)</f>
        <v/>
      </c>
      <c r="J536" s="37">
        <f>_xlfn.IFS(K536&lt;K$24,0,K536&lt;K$25,J$24,K536&lt;K$26,J$25,K536&lt;K$27,J$26,K536&lt;K$28,J$27,K536&lt;K$29,J$28,K536&lt;K$30,J$29,K536&lt;K$31,J$30,K536&lt;K$32,J$31,K536&lt;K$33,J$32,K536&lt;K$34,J$33,K536&lt;K$35,J$34,K536&lt;K$36,J$35,K536&lt;K$37,J$36,K536&lt;K$38,J$37,K536&lt;K$39,J$38,K536&lt;K$40,J$39,K536&lt;K$41,J$40,K536&lt;K$42,J$41,K536&lt;K$43,J$42,K536&lt;K$44,J$43,K536&lt;K$45,J$44,K536&lt;K$46,J$45,K536&lt;K$47,J$46,K536&gt;=K$47,J$47)</f>
        <v/>
      </c>
      <c r="K536" s="38" t="n">
        <v>486</v>
      </c>
      <c r="L536" s="31">
        <f>K536/52</f>
        <v/>
      </c>
      <c r="M536" s="39">
        <f>J536/1000000*52</f>
        <v/>
      </c>
      <c r="N536" s="33">
        <f>M536/$P$4+($I$22/$P$4)</f>
        <v/>
      </c>
      <c r="U536">
        <f>F535</f>
        <v/>
      </c>
      <c r="V536">
        <f>H535</f>
        <v/>
      </c>
      <c r="W536">
        <f>N535</f>
        <v/>
      </c>
    </row>
    <row r="537" ht="15.75" customHeight="1" s="40">
      <c r="C537" s="36">
        <f>_xlfn.IFS(E537&lt;E$24,0,E537&lt;E$26,C$24,E537&lt;E$28,C$26,E537&lt;E$30,C$28,E537&lt;E$32,C$30,E537&lt;E$34,C$32,E537&gt;=E$34,C$34)</f>
        <v/>
      </c>
      <c r="D537" s="37">
        <f>_xlfn.IFS(E537&lt;E$24,0,E537&lt;E$25,D$24,E537&lt;E$26,D$25,E537&lt;E$27,D$26,E537&lt;E$28,D$27,E537&lt;E$29,D$28,E537&lt;E$30,D$29,E537&lt;E$31,D$30,E537&lt;E$32,D$31,E537&lt;E$33,D$32,E537&lt;E$34,D$33,E537&lt;E$35,D$34,E537&gt;=E$35,D$35)</f>
        <v/>
      </c>
      <c r="E537" s="38" t="n">
        <v>487</v>
      </c>
      <c r="F537" s="31">
        <f>E537/52</f>
        <v/>
      </c>
      <c r="G537" s="39">
        <f>D537/1000000*52</f>
        <v/>
      </c>
      <c r="H537" s="33">
        <f>G537/$P$4+($C$22/$P$4)</f>
        <v/>
      </c>
      <c r="I537" s="36">
        <f>_xlfn.IFS(K537&lt;K$24,0,K537&lt;K$26,I$24,K537&lt;K$28,I$26,K537&lt;K$30,I$28,K537&lt;K$32,I$30,K537&lt;K$34,I$32,K537&lt;K$36,I$34,K537&lt;K$38,I$36,K537&lt;K$40,I$38,K537&lt;K$42,I$40,K537&lt;K$44,I$42,K537&lt;K$46,I$44,K537&gt;=K$46,I$46)</f>
        <v/>
      </c>
      <c r="J537" s="37">
        <f>_xlfn.IFS(K537&lt;K$24,0,K537&lt;K$25,J$24,K537&lt;K$26,J$25,K537&lt;K$27,J$26,K537&lt;K$28,J$27,K537&lt;K$29,J$28,K537&lt;K$30,J$29,K537&lt;K$31,J$30,K537&lt;K$32,J$31,K537&lt;K$33,J$32,K537&lt;K$34,J$33,K537&lt;K$35,J$34,K537&lt;K$36,J$35,K537&lt;K$37,J$36,K537&lt;K$38,J$37,K537&lt;K$39,J$38,K537&lt;K$40,J$39,K537&lt;K$41,J$40,K537&lt;K$42,J$41,K537&lt;K$43,J$42,K537&lt;K$44,J$43,K537&lt;K$45,J$44,K537&lt;K$46,J$45,K537&lt;K$47,J$46,K537&gt;=K$47,J$47)</f>
        <v/>
      </c>
      <c r="K537" s="38" t="n">
        <v>487</v>
      </c>
      <c r="L537" s="31">
        <f>K537/52</f>
        <v/>
      </c>
      <c r="M537" s="39">
        <f>J537/1000000*52</f>
        <v/>
      </c>
      <c r="N537" s="33">
        <f>M537/$P$4+($I$22/$P$4)</f>
        <v/>
      </c>
      <c r="U537">
        <f>F536</f>
        <v/>
      </c>
      <c r="V537">
        <f>H536</f>
        <v/>
      </c>
      <c r="W537">
        <f>N536</f>
        <v/>
      </c>
    </row>
    <row r="538" ht="15.75" customHeight="1" s="40">
      <c r="C538" s="36">
        <f>_xlfn.IFS(E538&lt;E$24,0,E538&lt;E$26,C$24,E538&lt;E$28,C$26,E538&lt;E$30,C$28,E538&lt;E$32,C$30,E538&lt;E$34,C$32,E538&gt;=E$34,C$34)</f>
        <v/>
      </c>
      <c r="D538" s="37">
        <f>_xlfn.IFS(E538&lt;E$24,0,E538&lt;E$25,D$24,E538&lt;E$26,D$25,E538&lt;E$27,D$26,E538&lt;E$28,D$27,E538&lt;E$29,D$28,E538&lt;E$30,D$29,E538&lt;E$31,D$30,E538&lt;E$32,D$31,E538&lt;E$33,D$32,E538&lt;E$34,D$33,E538&lt;E$35,D$34,E538&gt;=E$35,D$35)</f>
        <v/>
      </c>
      <c r="E538" s="38" t="n">
        <v>488</v>
      </c>
      <c r="F538" s="31">
        <f>E538/52</f>
        <v/>
      </c>
      <c r="G538" s="39">
        <f>D538/1000000*52</f>
        <v/>
      </c>
      <c r="H538" s="33">
        <f>G538/$P$4+($C$22/$P$4)</f>
        <v/>
      </c>
      <c r="I538" s="36">
        <f>_xlfn.IFS(K538&lt;K$24,0,K538&lt;K$26,I$24,K538&lt;K$28,I$26,K538&lt;K$30,I$28,K538&lt;K$32,I$30,K538&lt;K$34,I$32,K538&lt;K$36,I$34,K538&lt;K$38,I$36,K538&lt;K$40,I$38,K538&lt;K$42,I$40,K538&lt;K$44,I$42,K538&lt;K$46,I$44,K538&gt;=K$46,I$46)</f>
        <v/>
      </c>
      <c r="J538" s="37">
        <f>_xlfn.IFS(K538&lt;K$24,0,K538&lt;K$25,J$24,K538&lt;K$26,J$25,K538&lt;K$27,J$26,K538&lt;K$28,J$27,K538&lt;K$29,J$28,K538&lt;K$30,J$29,K538&lt;K$31,J$30,K538&lt;K$32,J$31,K538&lt;K$33,J$32,K538&lt;K$34,J$33,K538&lt;K$35,J$34,K538&lt;K$36,J$35,K538&lt;K$37,J$36,K538&lt;K$38,J$37,K538&lt;K$39,J$38,K538&lt;K$40,J$39,K538&lt;K$41,J$40,K538&lt;K$42,J$41,K538&lt;K$43,J$42,K538&lt;K$44,J$43,K538&lt;K$45,J$44,K538&lt;K$46,J$45,K538&lt;K$47,J$46,K538&gt;=K$47,J$47)</f>
        <v/>
      </c>
      <c r="K538" s="38" t="n">
        <v>488</v>
      </c>
      <c r="L538" s="31">
        <f>K538/52</f>
        <v/>
      </c>
      <c r="M538" s="39">
        <f>J538/1000000*52</f>
        <v/>
      </c>
      <c r="N538" s="33">
        <f>M538/$P$4+($I$22/$P$4)</f>
        <v/>
      </c>
      <c r="U538">
        <f>F537</f>
        <v/>
      </c>
      <c r="V538">
        <f>H537</f>
        <v/>
      </c>
      <c r="W538">
        <f>N537</f>
        <v/>
      </c>
    </row>
    <row r="539" ht="15.75" customHeight="1" s="40">
      <c r="C539" s="36">
        <f>_xlfn.IFS(E539&lt;E$24,0,E539&lt;E$26,C$24,E539&lt;E$28,C$26,E539&lt;E$30,C$28,E539&lt;E$32,C$30,E539&lt;E$34,C$32,E539&gt;=E$34,C$34)</f>
        <v/>
      </c>
      <c r="D539" s="37">
        <f>_xlfn.IFS(E539&lt;E$24,0,E539&lt;E$25,D$24,E539&lt;E$26,D$25,E539&lt;E$27,D$26,E539&lt;E$28,D$27,E539&lt;E$29,D$28,E539&lt;E$30,D$29,E539&lt;E$31,D$30,E539&lt;E$32,D$31,E539&lt;E$33,D$32,E539&lt;E$34,D$33,E539&lt;E$35,D$34,E539&gt;=E$35,D$35)</f>
        <v/>
      </c>
      <c r="E539" s="38" t="n">
        <v>489</v>
      </c>
      <c r="F539" s="31">
        <f>E539/52</f>
        <v/>
      </c>
      <c r="G539" s="39">
        <f>D539/1000000*52</f>
        <v/>
      </c>
      <c r="H539" s="33">
        <f>G539/$P$4+($C$22/$P$4)</f>
        <v/>
      </c>
      <c r="I539" s="36">
        <f>_xlfn.IFS(K539&lt;K$24,0,K539&lt;K$26,I$24,K539&lt;K$28,I$26,K539&lt;K$30,I$28,K539&lt;K$32,I$30,K539&lt;K$34,I$32,K539&lt;K$36,I$34,K539&lt;K$38,I$36,K539&lt;K$40,I$38,K539&lt;K$42,I$40,K539&lt;K$44,I$42,K539&lt;K$46,I$44,K539&gt;=K$46,I$46)</f>
        <v/>
      </c>
      <c r="J539" s="37">
        <f>_xlfn.IFS(K539&lt;K$24,0,K539&lt;K$25,J$24,K539&lt;K$26,J$25,K539&lt;K$27,J$26,K539&lt;K$28,J$27,K539&lt;K$29,J$28,K539&lt;K$30,J$29,K539&lt;K$31,J$30,K539&lt;K$32,J$31,K539&lt;K$33,J$32,K539&lt;K$34,J$33,K539&lt;K$35,J$34,K539&lt;K$36,J$35,K539&lt;K$37,J$36,K539&lt;K$38,J$37,K539&lt;K$39,J$38,K539&lt;K$40,J$39,K539&lt;K$41,J$40,K539&lt;K$42,J$41,K539&lt;K$43,J$42,K539&lt;K$44,J$43,K539&lt;K$45,J$44,K539&lt;K$46,J$45,K539&lt;K$47,J$46,K539&gt;=K$47,J$47)</f>
        <v/>
      </c>
      <c r="K539" s="38" t="n">
        <v>489</v>
      </c>
      <c r="L539" s="31">
        <f>K539/52</f>
        <v/>
      </c>
      <c r="M539" s="39">
        <f>J539/1000000*52</f>
        <v/>
      </c>
      <c r="N539" s="33">
        <f>M539/$P$4+($I$22/$P$4)</f>
        <v/>
      </c>
      <c r="U539">
        <f>F538</f>
        <v/>
      </c>
      <c r="V539">
        <f>H538</f>
        <v/>
      </c>
      <c r="W539">
        <f>N538</f>
        <v/>
      </c>
    </row>
    <row r="540" ht="15.75" customHeight="1" s="40">
      <c r="C540" s="36">
        <f>_xlfn.IFS(E540&lt;E$24,0,E540&lt;E$26,C$24,E540&lt;E$28,C$26,E540&lt;E$30,C$28,E540&lt;E$32,C$30,E540&lt;E$34,C$32,E540&gt;=E$34,C$34)</f>
        <v/>
      </c>
      <c r="D540" s="37">
        <f>_xlfn.IFS(E540&lt;E$24,0,E540&lt;E$25,D$24,E540&lt;E$26,D$25,E540&lt;E$27,D$26,E540&lt;E$28,D$27,E540&lt;E$29,D$28,E540&lt;E$30,D$29,E540&lt;E$31,D$30,E540&lt;E$32,D$31,E540&lt;E$33,D$32,E540&lt;E$34,D$33,E540&lt;E$35,D$34,E540&gt;=E$35,D$35)</f>
        <v/>
      </c>
      <c r="E540" s="38" t="n">
        <v>490</v>
      </c>
      <c r="F540" s="31">
        <f>E540/52</f>
        <v/>
      </c>
      <c r="G540" s="39">
        <f>D540/1000000*52</f>
        <v/>
      </c>
      <c r="H540" s="33">
        <f>G540/$P$4+($C$22/$P$4)</f>
        <v/>
      </c>
      <c r="I540" s="36">
        <f>_xlfn.IFS(K540&lt;K$24,0,K540&lt;K$26,I$24,K540&lt;K$28,I$26,K540&lt;K$30,I$28,K540&lt;K$32,I$30,K540&lt;K$34,I$32,K540&lt;K$36,I$34,K540&lt;K$38,I$36,K540&lt;K$40,I$38,K540&lt;K$42,I$40,K540&lt;K$44,I$42,K540&lt;K$46,I$44,K540&gt;=K$46,I$46)</f>
        <v/>
      </c>
      <c r="J540" s="37">
        <f>_xlfn.IFS(K540&lt;K$24,0,K540&lt;K$25,J$24,K540&lt;K$26,J$25,K540&lt;K$27,J$26,K540&lt;K$28,J$27,K540&lt;K$29,J$28,K540&lt;K$30,J$29,K540&lt;K$31,J$30,K540&lt;K$32,J$31,K540&lt;K$33,J$32,K540&lt;K$34,J$33,K540&lt;K$35,J$34,K540&lt;K$36,J$35,K540&lt;K$37,J$36,K540&lt;K$38,J$37,K540&lt;K$39,J$38,K540&lt;K$40,J$39,K540&lt;K$41,J$40,K540&lt;K$42,J$41,K540&lt;K$43,J$42,K540&lt;K$44,J$43,K540&lt;K$45,J$44,K540&lt;K$46,J$45,K540&lt;K$47,J$46,K540&gt;=K$47,J$47)</f>
        <v/>
      </c>
      <c r="K540" s="38" t="n">
        <v>490</v>
      </c>
      <c r="L540" s="31">
        <f>K540/52</f>
        <v/>
      </c>
      <c r="M540" s="39">
        <f>J540/1000000*52</f>
        <v/>
      </c>
      <c r="N540" s="33">
        <f>M540/$P$4+($I$22/$P$4)</f>
        <v/>
      </c>
      <c r="U540">
        <f>F539</f>
        <v/>
      </c>
      <c r="V540">
        <f>H539</f>
        <v/>
      </c>
      <c r="W540">
        <f>N539</f>
        <v/>
      </c>
    </row>
    <row r="541" ht="15.75" customHeight="1" s="40">
      <c r="H541" s="33" t="n"/>
      <c r="U541">
        <f>F540</f>
        <v/>
      </c>
      <c r="V541">
        <f>H540</f>
        <v/>
      </c>
      <c r="W541">
        <f>N540</f>
        <v/>
      </c>
    </row>
    <row r="542" ht="15.75" customHeight="1" s="40">
      <c r="H542" s="33" t="n"/>
    </row>
    <row r="543" ht="15.75" customHeight="1" s="40">
      <c r="H543" s="33" t="n"/>
    </row>
    <row r="544" ht="15.75" customHeight="1" s="40">
      <c r="H544" s="33" t="n"/>
    </row>
    <row r="545" ht="15.75" customHeight="1" s="40">
      <c r="H545" s="33" t="n"/>
    </row>
    <row r="546" ht="15.75" customHeight="1" s="40">
      <c r="H546" s="33" t="n"/>
    </row>
    <row r="547" ht="15.75" customHeight="1" s="40">
      <c r="H547" s="33" t="n"/>
    </row>
    <row r="548" ht="15.75" customHeight="1" s="40">
      <c r="H548" s="33" t="n"/>
    </row>
    <row r="549" ht="15.75" customHeight="1" s="40">
      <c r="H549" s="33" t="n"/>
    </row>
    <row r="550" ht="15.75" customHeight="1" s="40">
      <c r="H550" s="33" t="n"/>
    </row>
    <row r="551" ht="15.75" customHeight="1" s="40">
      <c r="H551" s="33" t="n"/>
    </row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mergeCells count="59">
    <mergeCell ref="I7:N7"/>
    <mergeCell ref="C10:H10"/>
    <mergeCell ref="C16:H16"/>
    <mergeCell ref="A15:B15"/>
    <mergeCell ref="C22:H22"/>
    <mergeCell ref="I22:N22"/>
    <mergeCell ref="C9:H9"/>
    <mergeCell ref="A11:B11"/>
    <mergeCell ref="I18:N18"/>
    <mergeCell ref="I3:N3"/>
    <mergeCell ref="C12:H12"/>
    <mergeCell ref="I12:N12"/>
    <mergeCell ref="C21:H21"/>
    <mergeCell ref="I21:N21"/>
    <mergeCell ref="C11:H11"/>
    <mergeCell ref="A16:B16"/>
    <mergeCell ref="C2:H2"/>
    <mergeCell ref="A7:B7"/>
    <mergeCell ref="I5:N5"/>
    <mergeCell ref="C1:G1"/>
    <mergeCell ref="I14:N14"/>
    <mergeCell ref="I17:N17"/>
    <mergeCell ref="C8:H8"/>
    <mergeCell ref="I8:N8"/>
    <mergeCell ref="C17:H17"/>
    <mergeCell ref="A18:B18"/>
    <mergeCell ref="I4:N4"/>
    <mergeCell ref="A3:B3"/>
    <mergeCell ref="I20:N20"/>
    <mergeCell ref="C7:H7"/>
    <mergeCell ref="A21:B21"/>
    <mergeCell ref="C19:H19"/>
    <mergeCell ref="I19:N19"/>
    <mergeCell ref="A2:B2"/>
    <mergeCell ref="I10:N10"/>
    <mergeCell ref="C13:H13"/>
    <mergeCell ref="I13:N13"/>
    <mergeCell ref="I9:N9"/>
    <mergeCell ref="A14:B14"/>
    <mergeCell ref="C18:H18"/>
    <mergeCell ref="A17:B17"/>
    <mergeCell ref="C3:H3"/>
    <mergeCell ref="I1:M1"/>
    <mergeCell ref="A8:B8"/>
    <mergeCell ref="C15:H15"/>
    <mergeCell ref="A4:B4"/>
    <mergeCell ref="I15:N15"/>
    <mergeCell ref="A20:B20"/>
    <mergeCell ref="I11:N11"/>
    <mergeCell ref="C14:H14"/>
    <mergeCell ref="I2:N2"/>
    <mergeCell ref="A19:B19"/>
    <mergeCell ref="C5:H5"/>
    <mergeCell ref="A10:B10"/>
    <mergeCell ref="A13:B13"/>
    <mergeCell ref="C4:H4"/>
    <mergeCell ref="C20:H20"/>
    <mergeCell ref="A9:B9"/>
    <mergeCell ref="I16:N16"/>
  </mergeCells>
  <hyperlinks>
    <hyperlink xmlns:r="http://schemas.openxmlformats.org/officeDocument/2006/relationships" ref="Q2" r:id="rId1"/>
    <hyperlink xmlns:r="http://schemas.openxmlformats.org/officeDocument/2006/relationships" ref="Q3" r:id="rId2"/>
  </hyperlinks>
  <pageMargins left="0.75" right="0.75" top="1" bottom="1" header="0.5" footer="0.5"/>
  <drawing xmlns:r="http://schemas.openxmlformats.org/officeDocument/2006/relationships" r:id="rId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H31"/>
  <sheetViews>
    <sheetView workbookViewId="0">
      <selection activeCell="A1" sqref="A1"/>
    </sheetView>
  </sheetViews>
  <sheetFormatPr baseColWidth="8" defaultColWidth="12.6328125" defaultRowHeight="15" customHeight="1"/>
  <cols>
    <col width="41.90625" customWidth="1" style="40" min="1" max="1"/>
    <col width="16.6328125" customWidth="1" style="40" min="2" max="2"/>
    <col width="17.90625" customWidth="1" style="40" min="3" max="3"/>
    <col width="12.6328125" customWidth="1" style="40" min="4" max="5"/>
    <col width="26.7265625" bestFit="1" customWidth="1" style="40" min="6" max="6"/>
  </cols>
  <sheetData>
    <row r="1" ht="15.75" customHeight="1" s="40">
      <c r="A1" s="53" t="inlineStr">
        <is>
          <t>K (Potash) CAPEX Calcs</t>
        </is>
      </c>
      <c r="B1" s="39" t="n"/>
      <c r="D1" s="1" t="n"/>
    </row>
    <row r="2" ht="15.75" customHeight="1" s="40">
      <c r="A2" s="3" t="inlineStr">
        <is>
          <t>Banio MOP PEA benchmark</t>
        </is>
      </c>
      <c r="B2" s="3" t="n"/>
    </row>
    <row r="3" ht="15.75" customHeight="1" s="40">
      <c r="A3" s="39" t="n"/>
      <c r="B3" s="39" t="n"/>
      <c r="C3" s="4" t="n"/>
      <c r="D3" s="39" t="n"/>
      <c r="F3" s="5" t="n"/>
    </row>
    <row r="4" ht="15.75" customHeight="1" s="40">
      <c r="A4" s="39" t="n"/>
      <c r="B4" s="39" t="n"/>
      <c r="C4" s="4" t="n"/>
      <c r="D4" s="39" t="n"/>
      <c r="F4" s="6" t="n"/>
    </row>
    <row r="5" ht="15.75" customHeight="1" s="40">
      <c r="A5" s="39" t="n"/>
      <c r="B5" s="39" t="n"/>
      <c r="C5" s="4" t="n"/>
      <c r="D5" s="39" t="inlineStr">
        <is>
          <t>Target Plant Size (tonneK/day)</t>
        </is>
      </c>
      <c r="F5" s="39">
        <f>B16</f>
        <v/>
      </c>
    </row>
    <row r="6" ht="15.75" customHeight="1" s="40">
      <c r="A6" s="39" t="n"/>
      <c r="B6" s="39" t="n"/>
      <c r="C6" s="4" t="n"/>
      <c r="D6" s="39" t="n"/>
      <c r="F6" s="7" t="n"/>
    </row>
    <row r="7" ht="15.75" customHeight="1" s="40">
      <c r="A7" s="39" t="n"/>
    </row>
    <row r="8" ht="15.75" customHeight="1" s="40"/>
    <row r="9" ht="15.75" customHeight="1" s="40">
      <c r="A9" s="1" t="n"/>
    </row>
    <row r="10" ht="15.75" customHeight="1" s="40"/>
    <row r="11" ht="15.75" customHeight="1" s="40">
      <c r="A11" s="8" t="n"/>
      <c r="B11" s="9" t="n"/>
      <c r="C11" s="10" t="n"/>
      <c r="F11" s="39" t="inlineStr">
        <is>
          <t>Fast construction cost factor</t>
        </is>
      </c>
      <c r="G11" s="39" t="n"/>
      <c r="H11" s="11" t="n">
        <v>1.47</v>
      </c>
    </row>
    <row r="12" ht="15.75" customHeight="1" s="40">
      <c r="A12" s="45" t="inlineStr">
        <is>
          <t>Reference capacity (t/yr MOP)</t>
        </is>
      </c>
      <c r="B12" s="39" t="n">
        <v>800000</v>
      </c>
      <c r="C12" s="13" t="n"/>
      <c r="F12" s="39" t="inlineStr">
        <is>
          <t>Fast construction speed factor</t>
        </is>
      </c>
      <c r="H12" s="14" t="n">
        <v>0.32</v>
      </c>
    </row>
    <row r="13" ht="15.75" customHeight="1" s="40">
      <c r="A13" s="45" t="inlineStr">
        <is>
          <t>Reference CAPEX (USD)</t>
        </is>
      </c>
      <c r="B13" s="39" t="n">
        <v>480000000</v>
      </c>
      <c r="C13" s="15" t="n"/>
    </row>
    <row r="14" ht="15.75" customHeight="1" s="40">
      <c r="A14" s="45" t="inlineStr">
        <is>
          <t>Target capacity (t/yr)</t>
        </is>
      </c>
      <c r="B14" s="16">
        <f>B16*365</f>
        <v/>
      </c>
      <c r="C14" s="15" t="n"/>
      <c r="F14" s="39" t="inlineStr">
        <is>
          <t>Fast construction (24/7) CAPEX</t>
        </is>
      </c>
      <c r="H14" s="7">
        <f>H11*B19</f>
        <v/>
      </c>
    </row>
    <row r="15" ht="15.75" customHeight="1" s="40">
      <c r="A15" s="45" t="inlineStr">
        <is>
          <t>Plant scale factor</t>
        </is>
      </c>
      <c r="B15" s="1">
        <f>B14/B12</f>
        <v/>
      </c>
      <c r="C15" s="15" t="n"/>
    </row>
    <row r="16" ht="15.75" customHeight="1" s="40">
      <c r="A16" s="45" t="inlineStr">
        <is>
          <t>Target Plant Size (tonnes/day)</t>
        </is>
      </c>
      <c r="B16" s="39" t="n">
        <v>2300</v>
      </c>
      <c r="C16" s="13" t="n"/>
    </row>
    <row r="17" ht="15.75" customHeight="1" s="40">
      <c r="A17" s="45" t="inlineStr">
        <is>
          <t>Cost-Capacity Exponent</t>
        </is>
      </c>
      <c r="B17" s="16" t="n">
        <v>0.7</v>
      </c>
      <c r="C17" s="13" t="n"/>
    </row>
    <row r="18" ht="15.75" customHeight="1" s="40">
      <c r="A18" s="17" t="n"/>
      <c r="B18" s="16" t="n"/>
      <c r="C18" s="13" t="n"/>
    </row>
    <row r="19" ht="15.75" customHeight="1" s="40">
      <c r="A19" s="45" t="inlineStr">
        <is>
          <t>Target Plant CAPEX (USD)</t>
        </is>
      </c>
      <c r="B19" s="18">
        <f>B13*(B14/B12)^B17</f>
        <v/>
      </c>
      <c r="C19" s="13" t="n"/>
      <c r="D19" s="39" t="inlineStr">
        <is>
          <t>&lt;-- Using this estimate</t>
        </is>
      </c>
    </row>
    <row r="20" ht="15.75" customHeight="1" s="40">
      <c r="A20" s="45" t="n"/>
      <c r="C20" s="13" t="n"/>
    </row>
    <row r="21" ht="15.75" customHeight="1" s="40">
      <c r="A21" s="19" t="inlineStr">
        <is>
          <t>Capital efficiency</t>
        </is>
      </c>
      <c r="B21" s="20">
        <f>B19/B16/365</f>
        <v/>
      </c>
      <c r="C21" s="21" t="inlineStr">
        <is>
          <t>$/tpa installed</t>
        </is>
      </c>
    </row>
    <row r="22" ht="15.75" customHeight="1" s="40"/>
    <row r="23" ht="15.75" customHeight="1" s="40">
      <c r="E23" s="22" t="n"/>
    </row>
    <row r="24" ht="15.75" customHeight="1" s="40">
      <c r="A24" s="1" t="n"/>
    </row>
    <row r="25" ht="15.75" customHeight="1" s="40">
      <c r="A25" s="39" t="n"/>
      <c r="B25" s="7" t="n"/>
      <c r="D25" s="22" t="n"/>
    </row>
    <row r="26" ht="15.75" customHeight="1" s="40">
      <c r="A26" s="39" t="n"/>
      <c r="B26" s="39" t="n"/>
    </row>
    <row r="27" ht="15.75" customHeight="1" s="40">
      <c r="A27" s="39" t="n"/>
      <c r="B27" s="39" t="n"/>
      <c r="D27" s="22" t="n"/>
    </row>
    <row r="28" ht="15.75" customHeight="1" s="40">
      <c r="A28" s="39" t="n"/>
      <c r="B28" s="16" t="n"/>
      <c r="D28" s="22" t="n"/>
    </row>
    <row r="29" ht="15.75" customHeight="1" s="40">
      <c r="A29" s="39" t="n"/>
      <c r="B29" s="7" t="n"/>
      <c r="D29" s="23" t="n"/>
    </row>
    <row r="30" ht="15.75" customHeight="1" s="40"/>
    <row r="31" ht="15.75" customHeight="1" s="40">
      <c r="E31" s="22" t="n"/>
    </row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hyperlinks>
    <hyperlink xmlns:r="http://schemas.openxmlformats.org/officeDocument/2006/relationships" ref="A1" r:id="rId1"/>
    <hyperlink xmlns:r="http://schemas.openxmlformats.org/officeDocument/2006/relationships" ref="D1" r:id="rId2"/>
    <hyperlink xmlns:r="http://schemas.openxmlformats.org/officeDocument/2006/relationships" ref="A9" r:id="rId3"/>
    <hyperlink xmlns:r="http://schemas.openxmlformats.org/officeDocument/2006/relationships" ref="A11" r:id="rId4"/>
    <hyperlink xmlns:r="http://schemas.openxmlformats.org/officeDocument/2006/relationships" ref="B15" display="https://www.exchange-rates.org/converter/eur-usd" r:id="rId5"/>
    <hyperlink xmlns:r="http://schemas.openxmlformats.org/officeDocument/2006/relationships" ref="A24" r:id="rId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W551"/>
  <sheetViews>
    <sheetView workbookViewId="0">
      <selection activeCell="A1" sqref="A1"/>
    </sheetView>
  </sheetViews>
  <sheetFormatPr baseColWidth="8" defaultColWidth="12.6328125" defaultRowHeight="15" customHeight="1"/>
  <cols>
    <col width="12.6328125" customWidth="1" style="40" min="1" max="1"/>
    <col width="25.36328125" customWidth="1" style="40" min="2" max="2"/>
    <col width="12.6328125" customWidth="1" style="40" min="3" max="6"/>
    <col width="19.7265625" customWidth="1" style="40" min="7" max="7"/>
  </cols>
  <sheetData>
    <row r="1" ht="15.75" customHeight="1" s="40">
      <c r="C1" s="39" t="inlineStr">
        <is>
          <t>K (POTASH) REGULAR CONSTRUCTION</t>
        </is>
      </c>
      <c r="H1" s="39" t="n"/>
      <c r="I1" s="39" t="inlineStr">
        <is>
          <t>K (POTASH) FAST CONSTRUCTION</t>
        </is>
      </c>
      <c r="N1" s="39" t="n"/>
      <c r="R1" s="22" t="inlineStr">
        <is>
          <t>fraction_functioning_after_disruption</t>
        </is>
      </c>
      <c r="U1" t="inlineStr">
        <is>
          <t>CODE-MATCHED (current model)</t>
        </is>
      </c>
    </row>
    <row r="2" ht="15.75" customHeight="1" s="40">
      <c r="A2" s="39" t="inlineStr">
        <is>
          <t>Annual World Construction Budget</t>
        </is>
      </c>
      <c r="C2" s="44" t="n">
        <v>41622939032.15606</v>
      </c>
      <c r="H2" s="42" t="n"/>
      <c r="I2" s="44" t="n">
        <v>41622939032.15606</v>
      </c>
      <c r="N2" s="42" t="n"/>
      <c r="P2" s="39" t="inlineStr">
        <is>
          <t>Sanity check:</t>
        </is>
      </c>
      <c r="Q2" s="1" t="inlineStr">
        <is>
          <t>the AEA’s datasets track 490 production plants in development, comprising a total of 438.1 million tons of low-emission and transitional ammonia capacity</t>
        </is>
      </c>
      <c r="U2" t="inlineStr">
        <is>
          <t>C16/I16 = 0.4; startup% = 0.5; budget = equal-pace default</t>
        </is>
      </c>
    </row>
    <row r="3" ht="15.75" customHeight="1" s="40">
      <c r="A3" s="39" t="inlineStr">
        <is>
          <t>Total Capital Investment Per Plant</t>
        </is>
      </c>
      <c r="C3" s="50">
        <f>'K CAPEX'!B19</f>
        <v/>
      </c>
      <c r="H3" s="42" t="n"/>
      <c r="I3" s="50">
        <f>'K CAPEX'!H14</f>
        <v/>
      </c>
      <c r="N3" s="42" t="n"/>
      <c r="P3" s="4">
        <f>P4*1000000/('K CAPEX'!B16*365.25)</f>
        <v/>
      </c>
      <c r="Q3" s="1" t="inlineStr">
        <is>
          <t>plants needed to make 240million metric tonnes per year assuming an average of 2000 metric tonnes/day plant capacity</t>
        </is>
      </c>
      <c r="U3" t="inlineStr">
        <is>
          <t>Multiple = (new Mt/yr + surviving Mt/yr) / current Mt/yr</t>
        </is>
      </c>
    </row>
    <row r="4" ht="15.75" customHeight="1" s="40">
      <c r="A4" s="39" t="inlineStr">
        <is>
          <t>Number of Plants Per Year</t>
        </is>
      </c>
      <c r="C4" s="41">
        <f>(C2/C3)*C16</f>
        <v/>
      </c>
      <c r="H4" s="42" t="n"/>
      <c r="I4" s="41">
        <f>(I2/I3)*I16</f>
        <v/>
      </c>
      <c r="N4" s="42" t="n"/>
      <c r="P4" s="39" t="n">
        <v>41.6</v>
      </c>
      <c r="Q4" s="39" t="inlineStr">
        <is>
          <t>Current K production in million metric tonnes</t>
        </is>
      </c>
      <c r="U4" t="inlineStr">
        <is>
          <t>Surviving Mt/yr in C22/I22</t>
        </is>
      </c>
    </row>
    <row r="5" ht="15.75" customHeight="1" s="40">
      <c r="A5" s="39" t="n"/>
      <c r="B5" s="39" t="n"/>
      <c r="C5" s="45" t="n"/>
      <c r="I5" s="46" t="n"/>
      <c r="N5" s="42" t="n"/>
      <c r="U5" t="inlineStr">
        <is>
          <t>Multiple chart uses U50:W (1.0 before t=0, then drops to 0.4)</t>
        </is>
      </c>
    </row>
    <row r="6" ht="15.75" customHeight="1" s="40">
      <c r="A6" s="39" t="inlineStr">
        <is>
          <t>Corrected CAPEX for construction time method</t>
        </is>
      </c>
      <c r="B6" s="39" t="n"/>
      <c r="C6" s="24" t="n"/>
      <c r="D6" s="4" t="n"/>
      <c r="E6" s="4" t="n"/>
      <c r="F6" s="4" t="n"/>
      <c r="G6" s="25">
        <f>C3*(1-9.1%-6.6%)</f>
        <v/>
      </c>
      <c r="H6" s="26" t="n"/>
      <c r="I6" s="24" t="n"/>
      <c r="J6" s="4" t="n"/>
      <c r="K6" s="4" t="n"/>
      <c r="L6" s="4" t="n"/>
      <c r="M6" s="25">
        <f>I3*(1-9.1%-6.6%)</f>
        <v/>
      </c>
      <c r="N6" s="25" t="n"/>
      <c r="U6" t="inlineStr">
        <is>
          <t>Production chart (G/M) = NEW factory Mt/yr only (starts at 0)</t>
        </is>
      </c>
    </row>
    <row r="7" ht="15.75" customHeight="1" s="40">
      <c r="A7" s="39" t="inlineStr">
        <is>
          <t>Weeks to Build at Facility Costs</t>
        </is>
      </c>
      <c r="C7" s="41">
        <f>10.774*LN(0.8*G6)-121.45</f>
        <v/>
      </c>
      <c r="H7" s="42" t="n"/>
      <c r="I7" s="41">
        <f>C7*'K CAPEX'!H12</f>
        <v/>
      </c>
      <c r="N7" s="42" t="n"/>
    </row>
    <row r="8" ht="15.75" customHeight="1" s="40">
      <c r="A8" s="39" t="inlineStr">
        <is>
          <t>Waves Per Year</t>
        </is>
      </c>
      <c r="C8" s="47">
        <f>52/C7</f>
        <v/>
      </c>
      <c r="H8" s="42" t="n"/>
      <c r="I8" s="47">
        <f>52/I7</f>
        <v/>
      </c>
      <c r="N8" s="42" t="n"/>
    </row>
    <row r="9" ht="15.75" customHeight="1" s="40">
      <c r="A9" s="39" t="inlineStr">
        <is>
          <t>Plants Per Wave</t>
        </is>
      </c>
      <c r="C9" s="49">
        <f>(C4/C8)</f>
        <v/>
      </c>
      <c r="H9" s="42" t="n"/>
      <c r="I9" s="49">
        <f>(I4/I8)</f>
        <v/>
      </c>
      <c r="N9" s="42" t="n"/>
    </row>
    <row r="10" ht="15.75" customHeight="1" s="40">
      <c r="A10" s="39" t="inlineStr">
        <is>
          <t>Plants Per Year</t>
        </is>
      </c>
      <c r="C10" s="41">
        <f>C9*C8</f>
        <v/>
      </c>
      <c r="H10" s="42" t="n"/>
      <c r="I10" s="41">
        <f>I9*I8</f>
        <v/>
      </c>
      <c r="N10" s="42" t="n"/>
    </row>
    <row r="11" ht="15.75" customHeight="1" s="40">
      <c r="A11" s="39" t="inlineStr">
        <is>
          <t>Plants Per Week</t>
        </is>
      </c>
      <c r="C11" s="41">
        <f>C10/52</f>
        <v/>
      </c>
      <c r="H11" s="42" t="n"/>
      <c r="I11" s="41">
        <f>I10/52</f>
        <v/>
      </c>
      <c r="N11" s="42" t="n"/>
    </row>
    <row r="12" ht="15.75" customHeight="1" s="40">
      <c r="B12" s="39" t="n"/>
      <c r="C12" s="45" t="n"/>
      <c r="I12" s="46" t="n"/>
      <c r="N12" s="42" t="n"/>
    </row>
    <row r="13" ht="15.75" customHeight="1" s="40">
      <c r="A13" s="39" t="inlineStr">
        <is>
          <t>Single Facility Scaled Production (tonnes/week)</t>
        </is>
      </c>
      <c r="C13" s="48">
        <f>'K CAPEX'!$F5*7</f>
        <v/>
      </c>
      <c r="H13" s="42" t="n"/>
      <c r="I13" s="48">
        <f>'K CAPEX'!$F5*7</f>
        <v/>
      </c>
      <c r="N13" s="42" t="n"/>
    </row>
    <row r="14" ht="15.75" customHeight="1" s="40">
      <c r="A14" s="39" t="inlineStr">
        <is>
          <t>Startup % of Fully Scaled Production (break in period)</t>
        </is>
      </c>
      <c r="C14" s="43" t="n">
        <v>0.5</v>
      </c>
      <c r="H14" s="42" t="n"/>
      <c r="I14" s="43" t="n">
        <v>0.5</v>
      </c>
      <c r="N14" s="42" t="n"/>
    </row>
    <row r="15" ht="15.75" customHeight="1" s="40">
      <c r="A15" s="39" t="inlineStr">
        <is>
          <t>Single Facility Startup Production (tonnes/week)</t>
        </is>
      </c>
      <c r="C15" s="41">
        <f>C13*C14</f>
        <v/>
      </c>
      <c r="H15" s="42" t="n"/>
      <c r="I15" s="41">
        <f>I13*I14</f>
        <v/>
      </c>
      <c r="N15" s="42" t="n"/>
    </row>
    <row r="16" ht="15.75" customHeight="1" s="40">
      <c r="A16" s="39" t="inlineStr">
        <is>
          <t>fraction_functioning_after_disruption (surviving existing + new build share)</t>
        </is>
      </c>
      <c r="C16" s="43" t="n">
        <v>0.4</v>
      </c>
      <c r="H16" s="42" t="n"/>
      <c r="I16" s="43" t="n">
        <v>0.4</v>
      </c>
      <c r="N16" s="42" t="n"/>
    </row>
    <row r="17" ht="15.75" customHeight="1" s="40">
      <c r="A17" s="39" t="inlineStr">
        <is>
          <t>Time to construct a wave (years)</t>
        </is>
      </c>
      <c r="C17" s="51">
        <f>C7/52</f>
        <v/>
      </c>
      <c r="H17" s="42" t="n"/>
      <c r="I17" s="51">
        <f>I7/52</f>
        <v/>
      </c>
      <c r="N17" s="42" t="n"/>
    </row>
    <row r="18" ht="15.75" customHeight="1" s="40">
      <c r="A18" s="39" t="inlineStr">
        <is>
          <t>Startup time (weeks)</t>
        </is>
      </c>
      <c r="C18" s="51">
        <f>C7/4</f>
        <v/>
      </c>
      <c r="H18" s="42" t="n"/>
      <c r="I18" s="51">
        <f>I7/4</f>
        <v/>
      </c>
      <c r="N18" s="42" t="n"/>
    </row>
    <row r="19" ht="15.75" customHeight="1" s="40">
      <c r="A19" s="39" t="inlineStr">
        <is>
          <t>Startup time (years)</t>
        </is>
      </c>
      <c r="C19" s="51">
        <f>C18/52</f>
        <v/>
      </c>
      <c r="H19" s="42" t="n"/>
      <c r="I19" s="51">
        <f>I18/52</f>
        <v/>
      </c>
      <c r="N19" s="42" t="n"/>
    </row>
    <row r="20" ht="15.75" customHeight="1" s="40">
      <c r="A20" s="39" t="inlineStr">
        <is>
          <t>Planning time (weeks)</t>
        </is>
      </c>
      <c r="C20" s="52" t="n">
        <v>4</v>
      </c>
      <c r="H20" s="42" t="n"/>
      <c r="I20" s="52" t="n">
        <v>4</v>
      </c>
      <c r="N20" s="42" t="n"/>
    </row>
    <row r="21" ht="15.75" customHeight="1" s="40">
      <c r="A21" s="39" t="inlineStr">
        <is>
          <t>Planning time (years)</t>
        </is>
      </c>
      <c r="C21" s="51">
        <f>C20/52</f>
        <v/>
      </c>
      <c r="H21" s="42" t="n"/>
      <c r="I21" s="51">
        <f>I20/52</f>
        <v/>
      </c>
      <c r="N21" s="42" t="n"/>
    </row>
    <row r="22" ht="15.75" customHeight="1" s="40">
      <c r="A22" s="39" t="inlineStr">
        <is>
          <t>Surviving Mt/yr (= fraction_functioning * current Mt/yr)</t>
        </is>
      </c>
      <c r="B22" s="39" t="n"/>
      <c r="C22" s="45">
        <f>C16*$P$4</f>
        <v/>
      </c>
      <c r="I22" s="45">
        <f>I16*$P$4</f>
        <v/>
      </c>
    </row>
    <row r="23" ht="15.75" customHeight="1" s="40">
      <c r="A23" s="27" t="inlineStr">
        <is>
          <t>Wave</t>
        </is>
      </c>
      <c r="B23" s="27" t="inlineStr">
        <is>
          <t>Production Level</t>
        </is>
      </c>
      <c r="C23" s="19" t="inlineStr">
        <is>
          <t>Plants</t>
        </is>
      </c>
      <c r="D23" s="27" t="inlineStr">
        <is>
          <t>tonnes/week</t>
        </is>
      </c>
      <c r="E23" s="27" t="inlineStr">
        <is>
          <t>Weeks</t>
        </is>
      </c>
      <c r="F23" s="28" t="inlineStr">
        <is>
          <t>Years</t>
        </is>
      </c>
      <c r="G23" s="39" t="inlineStr">
        <is>
          <t>Megatonnes/year</t>
        </is>
      </c>
      <c r="H23" s="21" t="inlineStr">
        <is>
          <t>Multiple of Current K Production</t>
        </is>
      </c>
      <c r="I23" s="19" t="inlineStr">
        <is>
          <t>Plants</t>
        </is>
      </c>
      <c r="J23" s="27" t="inlineStr">
        <is>
          <t>tonnes/week</t>
        </is>
      </c>
      <c r="K23" s="27" t="inlineStr">
        <is>
          <t>Weeks</t>
        </is>
      </c>
      <c r="L23" s="28" t="inlineStr">
        <is>
          <t>Years</t>
        </is>
      </c>
      <c r="M23" s="39" t="inlineStr">
        <is>
          <t>Megatonnes/year</t>
        </is>
      </c>
      <c r="N23" s="21" t="inlineStr">
        <is>
          <t>Multiple of Current K Production</t>
        </is>
      </c>
      <c r="S23" s="22" t="inlineStr">
        <is>
          <t>Required</t>
        </is>
      </c>
      <c r="T23" s="22" t="inlineStr">
        <is>
          <t>Current</t>
        </is>
      </c>
      <c r="U23" s="22" t="inlineStr">
        <is>
          <t>New</t>
        </is>
      </c>
    </row>
    <row r="24" ht="15.75" customHeight="1" s="40">
      <c r="A24" s="39" t="n">
        <v>1</v>
      </c>
      <c r="B24" s="39" t="inlineStr">
        <is>
          <t>startup production</t>
        </is>
      </c>
      <c r="C24" s="29">
        <f>C$9*$A24</f>
        <v/>
      </c>
      <c r="D24" s="30">
        <f>C15*C24</f>
        <v/>
      </c>
      <c r="E24" s="30">
        <f>F24*52</f>
        <v/>
      </c>
      <c r="F24" s="31">
        <f>C$17*$A24+C$21</f>
        <v/>
      </c>
      <c r="G24" s="32">
        <f>D24/1000000*52</f>
        <v/>
      </c>
      <c r="H24" s="33">
        <f>G24/$P$4+($C$22/$P$4)</f>
        <v/>
      </c>
      <c r="I24" s="29">
        <f>I$9*$A24</f>
        <v/>
      </c>
      <c r="J24" s="30">
        <f>I15*I24</f>
        <v/>
      </c>
      <c r="K24" s="30">
        <f>L24*52</f>
        <v/>
      </c>
      <c r="L24" s="31">
        <f>I$17*$A24+I$21</f>
        <v/>
      </c>
      <c r="M24" s="32">
        <f>J24/1000000*52</f>
        <v/>
      </c>
      <c r="N24" s="33">
        <f>M24/$P$4+($I$22/$P$4)</f>
        <v/>
      </c>
      <c r="R24" s="22" t="inlineStr">
        <is>
          <t>N</t>
        </is>
      </c>
      <c r="S24" s="22" t="n">
        <v>1000</v>
      </c>
      <c r="T24" s="22" t="n">
        <v>1000</v>
      </c>
      <c r="U24" s="22" t="n">
        <v>0</v>
      </c>
    </row>
    <row r="25" ht="15.75" customHeight="1" s="40">
      <c r="A25" s="39" t="n">
        <v>1</v>
      </c>
      <c r="B25" s="39" t="inlineStr">
        <is>
          <t>full production</t>
        </is>
      </c>
      <c r="C25" s="29">
        <f>C$9*$A25</f>
        <v/>
      </c>
      <c r="D25" s="30">
        <f>C25*C$13</f>
        <v/>
      </c>
      <c r="E25" s="30">
        <f>F25*52</f>
        <v/>
      </c>
      <c r="F25" s="31">
        <f>F24+C$19</f>
        <v/>
      </c>
      <c r="G25" s="4">
        <f>D25/1000000*52</f>
        <v/>
      </c>
      <c r="H25" s="33">
        <f>G25/$P$4+($C$22/$P$4)</f>
        <v/>
      </c>
      <c r="I25" s="29">
        <f>I$9*$A25</f>
        <v/>
      </c>
      <c r="J25" s="30">
        <f>I25*I$13</f>
        <v/>
      </c>
      <c r="K25" s="30">
        <f>L25*52</f>
        <v/>
      </c>
      <c r="L25" s="31">
        <f>L24+I$19</f>
        <v/>
      </c>
      <c r="M25" s="4">
        <f>J25/1000000*52</f>
        <v/>
      </c>
      <c r="N25" s="33">
        <f>M25/$P$4+($I$22/$P$4)</f>
        <v/>
      </c>
      <c r="R25" s="34" t="n">
        <v>0.7</v>
      </c>
      <c r="T25" s="22" t="n">
        <v>700</v>
      </c>
    </row>
    <row r="26" ht="15.75" customHeight="1" s="40">
      <c r="A26" s="39" t="n">
        <v>2</v>
      </c>
      <c r="B26" s="39" t="inlineStr">
        <is>
          <t>startup production</t>
        </is>
      </c>
      <c r="C26" s="29">
        <f>C$9*$A26</f>
        <v/>
      </c>
      <c r="D26" s="30">
        <f>D25+C$15*C$9</f>
        <v/>
      </c>
      <c r="E26" s="30">
        <f>F26*52</f>
        <v/>
      </c>
      <c r="F26" s="31">
        <f>C$17*$A26+C$21</f>
        <v/>
      </c>
      <c r="G26" s="4">
        <f>D26/1000000*52</f>
        <v/>
      </c>
      <c r="H26" s="33">
        <f>G26/$P$4+($C$22/$P$4)</f>
        <v/>
      </c>
      <c r="I26" s="29">
        <f>I$9*$A26</f>
        <v/>
      </c>
      <c r="J26" s="30">
        <f>J25+I$15*I$9</f>
        <v/>
      </c>
      <c r="K26" s="30">
        <f>L26*52</f>
        <v/>
      </c>
      <c r="L26" s="31">
        <f>I$17*$A26+I$21</f>
        <v/>
      </c>
      <c r="M26" s="4">
        <f>J26/1000000*52</f>
        <v/>
      </c>
      <c r="N26" s="33">
        <f>M26/$P$4+($I$22/$P$4)</f>
        <v/>
      </c>
    </row>
    <row r="27" ht="15.75" customHeight="1" s="40">
      <c r="A27" s="39" t="n">
        <v>2</v>
      </c>
      <c r="B27" s="39" t="inlineStr">
        <is>
          <t>full production</t>
        </is>
      </c>
      <c r="C27" s="29">
        <f>C$9*$A27</f>
        <v/>
      </c>
      <c r="D27" s="30">
        <f>C27*C$13</f>
        <v/>
      </c>
      <c r="E27" s="30">
        <f>F27*52</f>
        <v/>
      </c>
      <c r="F27" s="31">
        <f>F26+C$19</f>
        <v/>
      </c>
      <c r="G27" s="4">
        <f>D27/1000000*52</f>
        <v/>
      </c>
      <c r="H27" s="33">
        <f>G27/$P$4+($C$22/$P$4)</f>
        <v/>
      </c>
      <c r="I27" s="29">
        <f>I$9*$A27</f>
        <v/>
      </c>
      <c r="J27" s="30">
        <f>I27*I$13</f>
        <v/>
      </c>
      <c r="K27" s="30">
        <f>L27*52</f>
        <v/>
      </c>
      <c r="L27" s="31">
        <f>L26+I$19</f>
        <v/>
      </c>
      <c r="M27" s="4">
        <f>J27/1000000*52</f>
        <v/>
      </c>
      <c r="N27" s="33">
        <f>M27/$P$4+($I$22/$P$4)</f>
        <v/>
      </c>
    </row>
    <row r="28" ht="15.75" customHeight="1" s="40">
      <c r="A28" s="39" t="n">
        <v>3</v>
      </c>
      <c r="B28" s="39" t="inlineStr">
        <is>
          <t>startup production</t>
        </is>
      </c>
      <c r="C28" s="29">
        <f>C$9*$A28</f>
        <v/>
      </c>
      <c r="D28" s="30">
        <f>D27+C$15*C$9</f>
        <v/>
      </c>
      <c r="E28" s="30">
        <f>F28*52</f>
        <v/>
      </c>
      <c r="F28" s="31">
        <f>C$17*$A28+C$21</f>
        <v/>
      </c>
      <c r="G28" s="4">
        <f>D28/1000000*52</f>
        <v/>
      </c>
      <c r="H28" s="33">
        <f>G28/$P$4+($C$22/$P$4)</f>
        <v/>
      </c>
      <c r="I28" s="29">
        <f>I$9*$A28</f>
        <v/>
      </c>
      <c r="J28" s="30">
        <f>J27+I$15*I$9</f>
        <v/>
      </c>
      <c r="K28" s="30">
        <f>L28*52</f>
        <v/>
      </c>
      <c r="L28" s="31">
        <f>I$17*$A28+I$21</f>
        <v/>
      </c>
      <c r="M28" s="4">
        <f>J28/1000000*52</f>
        <v/>
      </c>
      <c r="N28" s="33">
        <f>M28/$P$4+($I$22/$P$4)</f>
        <v/>
      </c>
    </row>
    <row r="29" ht="15.75" customHeight="1" s="40">
      <c r="A29" s="39" t="n">
        <v>3</v>
      </c>
      <c r="B29" s="39" t="inlineStr">
        <is>
          <t>full production</t>
        </is>
      </c>
      <c r="C29" s="29">
        <f>C$9*$A29</f>
        <v/>
      </c>
      <c r="D29" s="30">
        <f>C29*C$13</f>
        <v/>
      </c>
      <c r="E29" s="30">
        <f>F29*52</f>
        <v/>
      </c>
      <c r="F29" s="31">
        <f>F28+C$19</f>
        <v/>
      </c>
      <c r="G29" s="4">
        <f>D29/1000000*52</f>
        <v/>
      </c>
      <c r="H29" s="33">
        <f>G29/$P$4+($C$22/$P$4)</f>
        <v/>
      </c>
      <c r="I29" s="29">
        <f>I$9*$A29</f>
        <v/>
      </c>
      <c r="J29" s="30">
        <f>I29*I$13</f>
        <v/>
      </c>
      <c r="K29" s="30">
        <f>L29*52</f>
        <v/>
      </c>
      <c r="L29" s="31">
        <f>L28+I$19</f>
        <v/>
      </c>
      <c r="M29" s="4">
        <f>J29/1000000*52</f>
        <v/>
      </c>
      <c r="N29" s="33">
        <f>M29/$P$4+($I$22/$P$4)</f>
        <v/>
      </c>
    </row>
    <row r="30" ht="15.75" customHeight="1" s="40">
      <c r="A30" s="39" t="n">
        <v>4</v>
      </c>
      <c r="B30" s="39" t="inlineStr">
        <is>
          <t>startup production</t>
        </is>
      </c>
      <c r="C30" s="29">
        <f>C$9*$A30</f>
        <v/>
      </c>
      <c r="D30" s="30">
        <f>D29+C$15*C$9</f>
        <v/>
      </c>
      <c r="E30" s="30">
        <f>F30*52</f>
        <v/>
      </c>
      <c r="F30" s="31">
        <f>C$17*$A30+C$21</f>
        <v/>
      </c>
      <c r="G30" s="4">
        <f>D30/1000000*52</f>
        <v/>
      </c>
      <c r="H30" s="33">
        <f>G30/$P$4+($C$22/$P$4)</f>
        <v/>
      </c>
      <c r="I30" s="29">
        <f>I$9*$A30</f>
        <v/>
      </c>
      <c r="J30" s="30">
        <f>J29+I$15*I$9</f>
        <v/>
      </c>
      <c r="K30" s="30">
        <f>L30*52</f>
        <v/>
      </c>
      <c r="L30" s="31">
        <f>I$17*$A30+I$21</f>
        <v/>
      </c>
      <c r="M30" s="4">
        <f>J30/1000000*52</f>
        <v/>
      </c>
      <c r="N30" s="33">
        <f>M30/$P$4+($I$22/$P$4)</f>
        <v/>
      </c>
    </row>
    <row r="31" ht="15.75" customHeight="1" s="40">
      <c r="A31" s="39" t="n">
        <v>4</v>
      </c>
      <c r="B31" s="39" t="inlineStr">
        <is>
          <t>full production</t>
        </is>
      </c>
      <c r="C31" s="29">
        <f>C$9*$A31</f>
        <v/>
      </c>
      <c r="D31" s="30">
        <f>C31*C$13</f>
        <v/>
      </c>
      <c r="E31" s="30">
        <f>F31*52</f>
        <v/>
      </c>
      <c r="F31" s="31">
        <f>F30+C$19</f>
        <v/>
      </c>
      <c r="G31" s="4">
        <f>D31/1000000*52</f>
        <v/>
      </c>
      <c r="H31" s="33">
        <f>G31/$P$4+($C$22/$P$4)</f>
        <v/>
      </c>
      <c r="I31" s="29">
        <f>I$9*$A31</f>
        <v/>
      </c>
      <c r="J31" s="30">
        <f>I31*I$13</f>
        <v/>
      </c>
      <c r="K31" s="30">
        <f>L31*52</f>
        <v/>
      </c>
      <c r="L31" s="31">
        <f>L30+I$19</f>
        <v/>
      </c>
      <c r="M31" s="4">
        <f>J31/1000000*52</f>
        <v/>
      </c>
      <c r="N31" s="33">
        <f>M31/$P$4+($I$22/$P$4)</f>
        <v/>
      </c>
    </row>
    <row r="32" ht="15.75" customHeight="1" s="40">
      <c r="A32" s="39" t="n">
        <v>5</v>
      </c>
      <c r="B32" s="39" t="inlineStr">
        <is>
          <t>startup production</t>
        </is>
      </c>
      <c r="C32" s="29">
        <f>C$9*$A32</f>
        <v/>
      </c>
      <c r="D32" s="30">
        <f>D31+C$15*C$9</f>
        <v/>
      </c>
      <c r="E32" s="30">
        <f>F32*52</f>
        <v/>
      </c>
      <c r="F32" s="31">
        <f>C$17*$A32+C$21</f>
        <v/>
      </c>
      <c r="G32" s="4">
        <f>D32/1000000*52</f>
        <v/>
      </c>
      <c r="H32" s="33">
        <f>G32/$P$4+($C$22/$P$4)</f>
        <v/>
      </c>
      <c r="I32" s="29">
        <f>I$9*$A32</f>
        <v/>
      </c>
      <c r="J32" s="30">
        <f>J31+I$15*I$9</f>
        <v/>
      </c>
      <c r="K32" s="30">
        <f>L32*52</f>
        <v/>
      </c>
      <c r="L32" s="31">
        <f>I$17*$A32+I$21</f>
        <v/>
      </c>
      <c r="M32" s="4">
        <f>J32/1000000*52</f>
        <v/>
      </c>
      <c r="N32" s="33">
        <f>M32/$P$4+($I$22/$P$4)</f>
        <v/>
      </c>
    </row>
    <row r="33" ht="15.75" customHeight="1" s="40">
      <c r="A33" s="39" t="n">
        <v>5</v>
      </c>
      <c r="B33" s="39" t="inlineStr">
        <is>
          <t>full production</t>
        </is>
      </c>
      <c r="C33" s="29">
        <f>C$9*$A33</f>
        <v/>
      </c>
      <c r="D33" s="30">
        <f>C33*C$13</f>
        <v/>
      </c>
      <c r="E33" s="30">
        <f>F33*52</f>
        <v/>
      </c>
      <c r="F33" s="31">
        <f>F32+C$19</f>
        <v/>
      </c>
      <c r="G33" s="4">
        <f>D33/1000000*52</f>
        <v/>
      </c>
      <c r="H33" s="33">
        <f>G33/$P$4+($C$22/$P$4)</f>
        <v/>
      </c>
      <c r="I33" s="29">
        <f>I$9*$A33</f>
        <v/>
      </c>
      <c r="J33" s="30">
        <f>I33*I$13</f>
        <v/>
      </c>
      <c r="K33" s="30">
        <f>L33*52</f>
        <v/>
      </c>
      <c r="L33" s="31">
        <f>L32+I$19</f>
        <v/>
      </c>
      <c r="M33" s="4">
        <f>J33/1000000*52</f>
        <v/>
      </c>
      <c r="N33" s="33">
        <f>M33/$P$4+($I$22/$P$4)</f>
        <v/>
      </c>
    </row>
    <row r="34" ht="15.75" customHeight="1" s="40">
      <c r="A34" s="39" t="n">
        <v>6</v>
      </c>
      <c r="B34" s="39" t="inlineStr">
        <is>
          <t>startup production</t>
        </is>
      </c>
      <c r="C34" s="29">
        <f>C$9*$A34</f>
        <v/>
      </c>
      <c r="D34" s="30">
        <f>D33+C$15*C$9</f>
        <v/>
      </c>
      <c r="E34" s="30">
        <f>F34*52</f>
        <v/>
      </c>
      <c r="F34" s="31">
        <f>C$17*$A34+C$21</f>
        <v/>
      </c>
      <c r="G34" s="4">
        <f>D34/1000000*52</f>
        <v/>
      </c>
      <c r="H34" s="33">
        <f>G34/$P$4+($C$22/$P$4)</f>
        <v/>
      </c>
      <c r="I34" s="29">
        <f>I$9*$A34</f>
        <v/>
      </c>
      <c r="J34" s="30">
        <f>J33+I$15*I$9</f>
        <v/>
      </c>
      <c r="K34" s="30">
        <f>L34*52</f>
        <v/>
      </c>
      <c r="L34" s="31">
        <f>I$17*$A34+I$21</f>
        <v/>
      </c>
      <c r="M34" s="4">
        <f>J34/1000000*52</f>
        <v/>
      </c>
      <c r="N34" s="33">
        <f>M34/$P$4+($I$22/$P$4)</f>
        <v/>
      </c>
    </row>
    <row r="35" ht="15.75" customHeight="1" s="40">
      <c r="A35" s="39" t="n">
        <v>6</v>
      </c>
      <c r="B35" s="39" t="inlineStr">
        <is>
          <t>full production</t>
        </is>
      </c>
      <c r="C35" s="29">
        <f>C$9*$A35</f>
        <v/>
      </c>
      <c r="D35" s="30">
        <f>C35*C$13</f>
        <v/>
      </c>
      <c r="E35" s="30">
        <f>F35*52</f>
        <v/>
      </c>
      <c r="F35" s="31">
        <f>F34+C$19</f>
        <v/>
      </c>
      <c r="G35" s="4">
        <f>D35/1000000*52</f>
        <v/>
      </c>
      <c r="H35" s="33">
        <f>G35/$P$4+($C$22/$P$4)</f>
        <v/>
      </c>
      <c r="I35" s="29">
        <f>I$9*$A35</f>
        <v/>
      </c>
      <c r="J35" s="30">
        <f>I35*I$13</f>
        <v/>
      </c>
      <c r="K35" s="30">
        <f>L35*52</f>
        <v/>
      </c>
      <c r="L35" s="31">
        <f>L34+I$19</f>
        <v/>
      </c>
      <c r="M35" s="4">
        <f>J35/1000000*52</f>
        <v/>
      </c>
      <c r="N35" s="33">
        <f>M35/$P$4+($I$22/$P$4)</f>
        <v/>
      </c>
    </row>
    <row r="36" ht="15.75" customHeight="1" s="40">
      <c r="A36" s="39" t="n">
        <v>7</v>
      </c>
      <c r="B36" s="39" t="inlineStr">
        <is>
          <t>startup production</t>
        </is>
      </c>
      <c r="C36" s="29">
        <f>C$9*$A36</f>
        <v/>
      </c>
      <c r="D36" s="30">
        <f>D35+C$15*C$9</f>
        <v/>
      </c>
      <c r="E36" s="30">
        <f>F36*52</f>
        <v/>
      </c>
      <c r="F36" s="31">
        <f>C$17*$A36+C$21</f>
        <v/>
      </c>
      <c r="G36" s="4">
        <f>D36/1000000*52</f>
        <v/>
      </c>
      <c r="H36" s="33">
        <f>G36/$P$4+($C$22/$P$4)</f>
        <v/>
      </c>
      <c r="I36" s="29">
        <f>I$9*$A36</f>
        <v/>
      </c>
      <c r="J36" s="30">
        <f>J35+I$15*I$9</f>
        <v/>
      </c>
      <c r="K36" s="30">
        <f>L36*52</f>
        <v/>
      </c>
      <c r="L36" s="31">
        <f>I$17*$A36+I$21</f>
        <v/>
      </c>
      <c r="M36" s="4">
        <f>J36/1000000*52</f>
        <v/>
      </c>
      <c r="N36" s="33">
        <f>M36/$P$4+($I$22/$P$4)</f>
        <v/>
      </c>
    </row>
    <row r="37" ht="15.75" customHeight="1" s="40">
      <c r="A37" s="39" t="n">
        <v>7</v>
      </c>
      <c r="B37" s="39" t="inlineStr">
        <is>
          <t>full production</t>
        </is>
      </c>
      <c r="C37" s="29">
        <f>C$9*$A37</f>
        <v/>
      </c>
      <c r="D37" s="30">
        <f>C37*C$13</f>
        <v/>
      </c>
      <c r="E37" s="30">
        <f>F37*52</f>
        <v/>
      </c>
      <c r="F37" s="31">
        <f>F36+C$19</f>
        <v/>
      </c>
      <c r="G37" s="4">
        <f>D37/1000000*52</f>
        <v/>
      </c>
      <c r="H37" s="33">
        <f>G37/$P$4+($C$22/$P$4)</f>
        <v/>
      </c>
      <c r="I37" s="29">
        <f>I$9*$A37</f>
        <v/>
      </c>
      <c r="J37" s="30">
        <f>I37*I$13</f>
        <v/>
      </c>
      <c r="K37" s="30">
        <f>L37*52</f>
        <v/>
      </c>
      <c r="L37" s="31">
        <f>L36+I$19</f>
        <v/>
      </c>
      <c r="M37" s="4">
        <f>J37/1000000*52</f>
        <v/>
      </c>
      <c r="N37" s="33">
        <f>M37/$P$4+($I$22/$P$4)</f>
        <v/>
      </c>
    </row>
    <row r="38" ht="15.75" customHeight="1" s="40">
      <c r="A38" s="39" t="n">
        <v>8</v>
      </c>
      <c r="B38" s="39" t="inlineStr">
        <is>
          <t>startup production</t>
        </is>
      </c>
      <c r="C38" s="29">
        <f>C$9*$A38</f>
        <v/>
      </c>
      <c r="D38" s="30">
        <f>D37+C$15*C$9</f>
        <v/>
      </c>
      <c r="E38" s="30">
        <f>F38*52</f>
        <v/>
      </c>
      <c r="F38" s="31">
        <f>C$17*$A38+C$21</f>
        <v/>
      </c>
      <c r="G38" s="4">
        <f>D38/1000000*52</f>
        <v/>
      </c>
      <c r="H38" s="33">
        <f>G38/$P$4+($C$22/$P$4)</f>
        <v/>
      </c>
      <c r="I38" s="29">
        <f>I$9*$A38</f>
        <v/>
      </c>
      <c r="J38" s="30">
        <f>J37+I$15*I$9</f>
        <v/>
      </c>
      <c r="K38" s="30">
        <f>L38*52</f>
        <v/>
      </c>
      <c r="L38" s="31">
        <f>I$17*$A38+I$21</f>
        <v/>
      </c>
      <c r="M38" s="4">
        <f>J38/1000000*52</f>
        <v/>
      </c>
      <c r="N38" s="33">
        <f>M38/$P$4+($I$22/$P$4)</f>
        <v/>
      </c>
    </row>
    <row r="39" ht="15.75" customHeight="1" s="40">
      <c r="A39" s="39" t="n">
        <v>8</v>
      </c>
      <c r="B39" s="39" t="inlineStr">
        <is>
          <t>full production</t>
        </is>
      </c>
      <c r="C39" s="29">
        <f>C$9*$A39</f>
        <v/>
      </c>
      <c r="D39" s="30">
        <f>C39*C$13</f>
        <v/>
      </c>
      <c r="E39" s="30">
        <f>F39*52</f>
        <v/>
      </c>
      <c r="F39" s="31">
        <f>F38+C$19</f>
        <v/>
      </c>
      <c r="G39" s="4">
        <f>D39/1000000*52</f>
        <v/>
      </c>
      <c r="H39" s="33">
        <f>G39/$P$4+($C$22/$P$4)</f>
        <v/>
      </c>
      <c r="I39" s="29">
        <f>I$9*$A39</f>
        <v/>
      </c>
      <c r="J39" s="30">
        <f>I39*I$13</f>
        <v/>
      </c>
      <c r="K39" s="30">
        <f>L39*52</f>
        <v/>
      </c>
      <c r="L39" s="31">
        <f>L38+I$19</f>
        <v/>
      </c>
      <c r="M39" s="4">
        <f>J39/1000000*52</f>
        <v/>
      </c>
      <c r="N39" s="33">
        <f>M39/$P$4+($I$22/$P$4)</f>
        <v/>
      </c>
    </row>
    <row r="40" ht="15.75" customHeight="1" s="40">
      <c r="A40" s="39" t="n">
        <v>9</v>
      </c>
      <c r="B40" s="39" t="inlineStr">
        <is>
          <t>startup production</t>
        </is>
      </c>
      <c r="C40" s="29">
        <f>C$9*$A40</f>
        <v/>
      </c>
      <c r="D40" s="30">
        <f>D39+C$15*C$9</f>
        <v/>
      </c>
      <c r="E40" s="30">
        <f>F40*52</f>
        <v/>
      </c>
      <c r="F40" s="31">
        <f>C$17*$A40+C$21</f>
        <v/>
      </c>
      <c r="G40" s="4">
        <f>D40/1000000*52</f>
        <v/>
      </c>
      <c r="H40" s="33">
        <f>G40/$P$4+($C$22/$P$4)</f>
        <v/>
      </c>
      <c r="I40" s="29">
        <f>I$9*$A40</f>
        <v/>
      </c>
      <c r="J40" s="30">
        <f>J39+I$15*I$9</f>
        <v/>
      </c>
      <c r="K40" s="30">
        <f>L40*52</f>
        <v/>
      </c>
      <c r="L40" s="31">
        <f>I$17*$A40+I$21</f>
        <v/>
      </c>
      <c r="M40" s="4">
        <f>J40/1000000*52</f>
        <v/>
      </c>
      <c r="N40" s="33">
        <f>M40/$P$4+($I$22/$P$4)</f>
        <v/>
      </c>
    </row>
    <row r="41" ht="15.75" customHeight="1" s="40">
      <c r="A41" s="39" t="n">
        <v>9</v>
      </c>
      <c r="B41" s="39" t="inlineStr">
        <is>
          <t>full production</t>
        </is>
      </c>
      <c r="C41" s="29">
        <f>C$9*$A41</f>
        <v/>
      </c>
      <c r="D41" s="30">
        <f>C41*C$13</f>
        <v/>
      </c>
      <c r="E41" s="30">
        <f>F41*52</f>
        <v/>
      </c>
      <c r="F41" s="31">
        <f>F40+C$19</f>
        <v/>
      </c>
      <c r="G41" s="4">
        <f>D41/1000000*52</f>
        <v/>
      </c>
      <c r="H41" s="33">
        <f>G41/$P$4+($C$22/$P$4)</f>
        <v/>
      </c>
      <c r="I41" s="29">
        <f>I$9*$A41</f>
        <v/>
      </c>
      <c r="J41" s="30">
        <f>I41*I$13</f>
        <v/>
      </c>
      <c r="K41" s="30">
        <f>L41*52</f>
        <v/>
      </c>
      <c r="L41" s="31">
        <f>L40+I$19</f>
        <v/>
      </c>
      <c r="M41" s="4">
        <f>J41/1000000*52</f>
        <v/>
      </c>
      <c r="N41" s="33">
        <f>M41/$P$4+($I$22/$P$4)</f>
        <v/>
      </c>
    </row>
    <row r="42" ht="15.75" customHeight="1" s="40">
      <c r="A42" s="39" t="n">
        <v>10</v>
      </c>
      <c r="B42" s="39" t="inlineStr">
        <is>
          <t>startup production</t>
        </is>
      </c>
      <c r="C42" s="29">
        <f>C$9*$A42</f>
        <v/>
      </c>
      <c r="D42" s="30">
        <f>D41+C$15*C$9</f>
        <v/>
      </c>
      <c r="E42" s="30">
        <f>F42*52</f>
        <v/>
      </c>
      <c r="F42" s="31">
        <f>C$17*$A42+C$21</f>
        <v/>
      </c>
      <c r="G42" s="4">
        <f>D42/1000000*52</f>
        <v/>
      </c>
      <c r="H42" s="33">
        <f>G42/$P$4+($C$22/$P$4)</f>
        <v/>
      </c>
      <c r="I42" s="29">
        <f>I$9*$A42</f>
        <v/>
      </c>
      <c r="J42" s="30">
        <f>J41+I$15*I$9</f>
        <v/>
      </c>
      <c r="K42" s="30">
        <f>L42*52</f>
        <v/>
      </c>
      <c r="L42" s="31">
        <f>I$17*$A42+I$21</f>
        <v/>
      </c>
      <c r="M42" s="4">
        <f>J42/1000000*52</f>
        <v/>
      </c>
      <c r="N42" s="33">
        <f>M42/$P$4+($I$22/$P$4)</f>
        <v/>
      </c>
    </row>
    <row r="43" ht="15.75" customHeight="1" s="40">
      <c r="A43" s="39" t="n">
        <v>10</v>
      </c>
      <c r="B43" s="39" t="inlineStr">
        <is>
          <t>full production</t>
        </is>
      </c>
      <c r="C43" s="29">
        <f>C$9*$A43</f>
        <v/>
      </c>
      <c r="D43" s="30">
        <f>C43*C$13</f>
        <v/>
      </c>
      <c r="E43" s="30">
        <f>F43*52</f>
        <v/>
      </c>
      <c r="F43" s="31">
        <f>F42+C$19</f>
        <v/>
      </c>
      <c r="G43" s="4">
        <f>D43/1000000*52</f>
        <v/>
      </c>
      <c r="H43" s="33">
        <f>G43/$P$4+($C$22/$P$4)</f>
        <v/>
      </c>
      <c r="I43" s="29">
        <f>I$9*$A43</f>
        <v/>
      </c>
      <c r="J43" s="30">
        <f>I43*I$13</f>
        <v/>
      </c>
      <c r="K43" s="30">
        <f>L43*52</f>
        <v/>
      </c>
      <c r="L43" s="31">
        <f>L42+I$19</f>
        <v/>
      </c>
      <c r="M43" s="4">
        <f>J43/1000000*52</f>
        <v/>
      </c>
      <c r="N43" s="33">
        <f>M43/$P$4+($I$22/$P$4)</f>
        <v/>
      </c>
    </row>
    <row r="44" ht="15.75" customHeight="1" s="40">
      <c r="A44" s="39" t="n">
        <v>11</v>
      </c>
      <c r="B44" s="39" t="inlineStr">
        <is>
          <t>startup production</t>
        </is>
      </c>
      <c r="C44" s="29">
        <f>C$9*$A44</f>
        <v/>
      </c>
      <c r="D44" s="30">
        <f>D43+C$15*C$9</f>
        <v/>
      </c>
      <c r="E44" s="30">
        <f>F44*52</f>
        <v/>
      </c>
      <c r="F44" s="31">
        <f>C$17*$A44+C$21</f>
        <v/>
      </c>
      <c r="G44" s="4">
        <f>D44/1000000*52</f>
        <v/>
      </c>
      <c r="H44" s="33">
        <f>G44/$P$4+($C$22/$P$4)</f>
        <v/>
      </c>
      <c r="I44" s="29">
        <f>I$9*$A44</f>
        <v/>
      </c>
      <c r="J44" s="30">
        <f>J43+I$15*I$9</f>
        <v/>
      </c>
      <c r="K44" s="30">
        <f>L44*52</f>
        <v/>
      </c>
      <c r="L44" s="31">
        <f>I$17*$A44+I$21</f>
        <v/>
      </c>
      <c r="M44" s="4">
        <f>J44/1000000*52</f>
        <v/>
      </c>
      <c r="N44" s="33">
        <f>M44/$P$4+($I$22/$P$4)</f>
        <v/>
      </c>
    </row>
    <row r="45" ht="15.75" customHeight="1" s="40">
      <c r="A45" s="39" t="n">
        <v>11</v>
      </c>
      <c r="B45" s="39" t="inlineStr">
        <is>
          <t>full production</t>
        </is>
      </c>
      <c r="C45" s="29">
        <f>C$9*$A45</f>
        <v/>
      </c>
      <c r="D45" s="30">
        <f>C45*C$13</f>
        <v/>
      </c>
      <c r="E45" s="30">
        <f>F45*52</f>
        <v/>
      </c>
      <c r="F45" s="31">
        <f>F44+C$19</f>
        <v/>
      </c>
      <c r="G45" s="4">
        <f>D45/1000000*52</f>
        <v/>
      </c>
      <c r="H45" s="33">
        <f>G45/$P$4+($C$22/$P$4)</f>
        <v/>
      </c>
      <c r="I45" s="29">
        <f>I$9*$A45</f>
        <v/>
      </c>
      <c r="J45" s="30">
        <f>I45*I$13</f>
        <v/>
      </c>
      <c r="K45" s="30">
        <f>L45*52</f>
        <v/>
      </c>
      <c r="L45" s="31">
        <f>L44+I$19</f>
        <v/>
      </c>
      <c r="M45" s="4">
        <f>J45/1000000*52</f>
        <v/>
      </c>
      <c r="N45" s="33">
        <f>M45/$P$4+($I$22/$P$4)</f>
        <v/>
      </c>
    </row>
    <row r="46" ht="15.75" customHeight="1" s="40">
      <c r="A46" s="39" t="n">
        <v>12</v>
      </c>
      <c r="B46" s="39" t="inlineStr">
        <is>
          <t>startup production</t>
        </is>
      </c>
      <c r="C46" s="29">
        <f>C$9*$A46</f>
        <v/>
      </c>
      <c r="D46" s="30">
        <f>D45+C$15*C$9</f>
        <v/>
      </c>
      <c r="E46" s="30">
        <f>F46*52</f>
        <v/>
      </c>
      <c r="F46" s="31">
        <f>C$17*$A46+C$21</f>
        <v/>
      </c>
      <c r="G46" s="4">
        <f>D46/1000000*52</f>
        <v/>
      </c>
      <c r="H46" s="33">
        <f>G46/$P$4+($C$22/$P$4)</f>
        <v/>
      </c>
      <c r="I46" s="29">
        <f>I$9*$A46</f>
        <v/>
      </c>
      <c r="J46" s="30">
        <f>J45+I$15*I$9</f>
        <v/>
      </c>
      <c r="K46" s="30">
        <f>L46*52</f>
        <v/>
      </c>
      <c r="L46" s="31">
        <f>I$17*$A46+I$21</f>
        <v/>
      </c>
      <c r="M46" s="4">
        <f>J46/1000000*52</f>
        <v/>
      </c>
      <c r="N46" s="33">
        <f>M46/$P$4+($I$22/$P$4)</f>
        <v/>
      </c>
    </row>
    <row r="47" ht="15.75" customHeight="1" s="40">
      <c r="A47" s="39" t="n">
        <v>12</v>
      </c>
      <c r="B47" s="39" t="inlineStr">
        <is>
          <t>full production</t>
        </is>
      </c>
      <c r="C47" s="29">
        <f>C$9*$A47</f>
        <v/>
      </c>
      <c r="D47" s="30">
        <f>C47*C$13</f>
        <v/>
      </c>
      <c r="E47" s="30">
        <f>F47*52</f>
        <v/>
      </c>
      <c r="F47" s="31">
        <f>F46+C$19</f>
        <v/>
      </c>
      <c r="G47" s="4">
        <f>D47/1000000*52</f>
        <v/>
      </c>
      <c r="H47" s="33">
        <f>G47/$P$4+($C$22/$P$4)</f>
        <v/>
      </c>
      <c r="I47" s="29">
        <f>I$9*$A47</f>
        <v/>
      </c>
      <c r="J47" s="30">
        <f>I47*I$13</f>
        <v/>
      </c>
      <c r="K47" s="30">
        <f>L47*52</f>
        <v/>
      </c>
      <c r="L47" s="31">
        <f>L46+I$19</f>
        <v/>
      </c>
      <c r="M47" s="4">
        <f>J47/1000000*52</f>
        <v/>
      </c>
      <c r="N47" s="33">
        <f>M47/$P$4+($I$22/$P$4)</f>
        <v/>
      </c>
    </row>
    <row r="48" ht="15.75" customHeight="1" s="40">
      <c r="C48" s="45" t="n"/>
      <c r="D48" s="39" t="n"/>
      <c r="E48" s="39" t="n"/>
      <c r="F48" s="35" t="n"/>
      <c r="G48" s="39" t="n"/>
      <c r="H48" s="39" t="n"/>
      <c r="I48" s="45" t="n"/>
      <c r="J48" s="39" t="n"/>
      <c r="K48" s="39" t="n"/>
      <c r="L48" s="35" t="n"/>
      <c r="M48" s="39" t="n"/>
      <c r="N48" s="39" t="n"/>
      <c r="U48" t="inlineStr">
        <is>
          <t>MULTIPLE CHART DATA (includes pre-disruption = 1)</t>
        </is>
      </c>
    </row>
    <row r="49" ht="15.75" customHeight="1" s="40">
      <c r="C49" s="45" t="inlineStr">
        <is>
          <t>Plants</t>
        </is>
      </c>
      <c r="D49" s="39" t="inlineStr">
        <is>
          <t>tonnes/week</t>
        </is>
      </c>
      <c r="E49" s="39" t="inlineStr">
        <is>
          <t>Weeks</t>
        </is>
      </c>
      <c r="F49" s="35" t="inlineStr">
        <is>
          <t>Years</t>
        </is>
      </c>
      <c r="G49" s="39" t="inlineStr">
        <is>
          <t>Regular Construction</t>
        </is>
      </c>
      <c r="H49" s="39" t="inlineStr">
        <is>
          <t>Regular Construction</t>
        </is>
      </c>
      <c r="I49" s="45" t="inlineStr">
        <is>
          <t>Plants</t>
        </is>
      </c>
      <c r="J49" s="39" t="inlineStr">
        <is>
          <t>tonnes/week</t>
        </is>
      </c>
      <c r="K49" s="39" t="inlineStr">
        <is>
          <t>Weeks</t>
        </is>
      </c>
      <c r="L49" s="35" t="inlineStr">
        <is>
          <t>Years</t>
        </is>
      </c>
      <c r="M49" s="39" t="inlineStr">
        <is>
          <t>Fast Construction</t>
        </is>
      </c>
      <c r="N49" s="39" t="inlineStr">
        <is>
          <t>Fast Construction</t>
        </is>
      </c>
      <c r="U49" t="inlineStr">
        <is>
          <t>Years</t>
        </is>
      </c>
      <c r="V49" t="inlineStr">
        <is>
          <t>Regular Construction</t>
        </is>
      </c>
      <c r="W49" t="inlineStr">
        <is>
          <t>Fast Construction</t>
        </is>
      </c>
    </row>
    <row r="50" ht="15.75" customHeight="1" s="40">
      <c r="C50" s="24" t="n"/>
      <c r="D50" s="4" t="n"/>
      <c r="E50" s="39" t="n"/>
      <c r="F50" s="35" t="n"/>
      <c r="G50" s="39" t="inlineStr">
        <is>
          <t>new megatonnes/year</t>
        </is>
      </c>
      <c r="H50" s="13" t="inlineStr">
        <is>
          <t>Multiple of Current K Production</t>
        </is>
      </c>
      <c r="I50" s="24" t="n"/>
      <c r="J50" s="4" t="n"/>
      <c r="K50" s="39" t="n"/>
      <c r="L50" s="35" t="n"/>
      <c r="M50" s="39" t="inlineStr">
        <is>
          <t>new megatonnes/year</t>
        </is>
      </c>
      <c r="N50" s="13" t="inlineStr">
        <is>
          <t>Multiple of Current K Production</t>
        </is>
      </c>
      <c r="U50" t="n">
        <v>-0.25</v>
      </c>
      <c r="V50" t="n">
        <v>1</v>
      </c>
      <c r="W50" t="n">
        <v>1</v>
      </c>
    </row>
    <row r="51" ht="15.75" customHeight="1" s="40">
      <c r="C51" s="36">
        <f>_xlfn.IFS(E51&lt;E$24,0,E51&lt;E$26,C$24,E51&lt;E$28,C$26,E51&lt;E$30,C$28,E51&lt;E$32,C$30,E51&lt;E$34,C$32,E51&gt;=E$34,C$34)</f>
        <v/>
      </c>
      <c r="D51" s="37">
        <f>_xlfn.IFS(E51&lt;E$24,0,E51&lt;E$25,D$24,E51&lt;E$26,D$25,E51&lt;E$27,D$26,E51&lt;E$28,D$27,E51&lt;E$29,D$28,E51&lt;E$30,D$29,E51&lt;E$31,D$30,E51&lt;E$32,D$31,E51&lt;E$33,D$32,E51&lt;E$34,D$33,E51&lt;E$35,D$34,E51&gt;=E$35,D$35)</f>
        <v/>
      </c>
      <c r="E51" s="38" t="n">
        <v>1</v>
      </c>
      <c r="F51" s="31" t="n">
        <v>0</v>
      </c>
      <c r="G51" s="39">
        <f>D51/1000000*52</f>
        <v/>
      </c>
      <c r="H51" s="33">
        <f>G51/$P$4+($C$22/$P$4)</f>
        <v/>
      </c>
      <c r="I51" s="36">
        <f>_xlfn.IFS(K51&lt;K$24,0,K51&lt;K$26,I$24,K51&lt;K$28,I$26,K51&lt;K$30,I$28,K51&lt;K$32,I$30,K51&lt;K$34,I$32,K51&lt;K$36,I$34,K51&lt;K$38,I$36,K51&lt;K$40,I$38,K51&lt;K$42,I$40,K51&lt;K$44,I$42,K51&lt;K$46,I$44,K51&gt;=K$46,I$46)</f>
        <v/>
      </c>
      <c r="J51" s="37">
        <f>_xlfn.IFS(K51&lt;K$24,0,K51&lt;K$25,J$24,K51&lt;K$26,J$25,K51&lt;K$27,J$26,K51&lt;K$28,J$27,K51&lt;K$29,J$28,K51&lt;K$30,J$29,K51&lt;K$31,J$30,K51&lt;K$32,J$31,K51&lt;K$33,J$32,K51&lt;K$34,J$33,K51&lt;K$35,J$34,K51&lt;K$36,J$35,K51&lt;K$37,J$36,K51&lt;K$38,J$37,K51&lt;K$39,J$38,K51&lt;K$40,J$39,K51&lt;K$41,J$40,K51&lt;K$42,J$41,K51&lt;K$43,J$42,K51&lt;K$44,J$43,K51&lt;K$45,J$44,K51&lt;K$46,J$45,K51&lt;K$47,J$46,K51&gt;=K$47,J$47)</f>
        <v/>
      </c>
      <c r="K51" s="38" t="n">
        <v>1</v>
      </c>
      <c r="L51" s="31" t="n">
        <v>0</v>
      </c>
      <c r="M51" s="39">
        <f>J51/1000000*52</f>
        <v/>
      </c>
      <c r="N51" s="33">
        <f>M51/$P$4+($I$22/$P$4)</f>
        <v/>
      </c>
      <c r="U51" t="n">
        <v>0</v>
      </c>
      <c r="V51" t="n">
        <v>1</v>
      </c>
      <c r="W51" t="n">
        <v>1</v>
      </c>
    </row>
    <row r="52" ht="15.75" customHeight="1" s="40">
      <c r="C52" s="36">
        <f>_xlfn.IFS(E52&lt;E$24,0,E52&lt;E$26,C$24,E52&lt;E$28,C$26,E52&lt;E$30,C$28,E52&lt;E$32,C$30,E52&lt;E$34,C$32,E52&gt;=E$34,C$34)</f>
        <v/>
      </c>
      <c r="D52" s="37">
        <f>_xlfn.IFS(E52&lt;E$24,0,E52&lt;E$25,D$24,E52&lt;E$26,D$25,E52&lt;E$27,D$26,E52&lt;E$28,D$27,E52&lt;E$29,D$28,E52&lt;E$30,D$29,E52&lt;E$31,D$30,E52&lt;E$32,D$31,E52&lt;E$33,D$32,E52&lt;E$34,D$33,E52&lt;E$35,D$34,E52&gt;=E$35,D$35)</f>
        <v/>
      </c>
      <c r="E52" s="38" t="n">
        <v>2</v>
      </c>
      <c r="F52" s="31">
        <f>E52/52</f>
        <v/>
      </c>
      <c r="G52" s="39">
        <f>D52/1000000*52</f>
        <v/>
      </c>
      <c r="H52" s="33">
        <f>G52/$P$4+($C$22/$P$4)</f>
        <v/>
      </c>
      <c r="I52" s="36">
        <f>_xlfn.IFS(K52&lt;K$24,0,K52&lt;K$26,I$24,K52&lt;K$28,I$26,K52&lt;K$30,I$28,K52&lt;K$32,I$30,K52&lt;K$34,I$32,K52&lt;K$36,I$34,K52&lt;K$38,I$36,K52&lt;K$40,I$38,K52&lt;K$42,I$40,K52&lt;K$44,I$42,K52&lt;K$46,I$44,K52&gt;=K$46,I$46)</f>
        <v/>
      </c>
      <c r="J52" s="37">
        <f>_xlfn.IFS(K52&lt;K$24,0,K52&lt;K$25,J$24,K52&lt;K$26,J$25,K52&lt;K$27,J$26,K52&lt;K$28,J$27,K52&lt;K$29,J$28,K52&lt;K$30,J$29,K52&lt;K$31,J$30,K52&lt;K$32,J$31,K52&lt;K$33,J$32,K52&lt;K$34,J$33,K52&lt;K$35,J$34,K52&lt;K$36,J$35,K52&lt;K$37,J$36,K52&lt;K$38,J$37,K52&lt;K$39,J$38,K52&lt;K$40,J$39,K52&lt;K$41,J$40,K52&lt;K$42,J$41,K52&lt;K$43,J$42,K52&lt;K$44,J$43,K52&lt;K$45,J$44,K52&lt;K$46,J$45,K52&lt;K$47,J$46,K52&gt;=K$47,J$47)</f>
        <v/>
      </c>
      <c r="K52" s="38" t="n">
        <v>2</v>
      </c>
      <c r="L52" s="31">
        <f>K52/52</f>
        <v/>
      </c>
      <c r="M52" s="39">
        <f>J52/1000000*52</f>
        <v/>
      </c>
      <c r="N52" s="33">
        <f>M52/$P$4+($I$22/$P$4)</f>
        <v/>
      </c>
      <c r="U52">
        <f>F51</f>
        <v/>
      </c>
      <c r="V52">
        <f>H51</f>
        <v/>
      </c>
      <c r="W52">
        <f>N51</f>
        <v/>
      </c>
    </row>
    <row r="53" ht="15.75" customHeight="1" s="40">
      <c r="C53" s="36">
        <f>_xlfn.IFS(E53&lt;E$24,0,E53&lt;E$26,C$24,E53&lt;E$28,C$26,E53&lt;E$30,C$28,E53&lt;E$32,C$30,E53&lt;E$34,C$32,E53&gt;=E$34,C$34)</f>
        <v/>
      </c>
      <c r="D53" s="37">
        <f>_xlfn.IFS(E53&lt;E$24,0,E53&lt;E$25,D$24,E53&lt;E$26,D$25,E53&lt;E$27,D$26,E53&lt;E$28,D$27,E53&lt;E$29,D$28,E53&lt;E$30,D$29,E53&lt;E$31,D$30,E53&lt;E$32,D$31,E53&lt;E$33,D$32,E53&lt;E$34,D$33,E53&lt;E$35,D$34,E53&gt;=E$35,D$35)</f>
        <v/>
      </c>
      <c r="E53" s="38" t="n">
        <v>3</v>
      </c>
      <c r="F53" s="31">
        <f>E53/52</f>
        <v/>
      </c>
      <c r="G53" s="39">
        <f>D53/1000000*52</f>
        <v/>
      </c>
      <c r="H53" s="33">
        <f>G53/$P$4+($C$22/$P$4)</f>
        <v/>
      </c>
      <c r="I53" s="36">
        <f>_xlfn.IFS(K53&lt;K$24,0,K53&lt;K$26,I$24,K53&lt;K$28,I$26,K53&lt;K$30,I$28,K53&lt;K$32,I$30,K53&lt;K$34,I$32,K53&lt;K$36,I$34,K53&lt;K$38,I$36,K53&lt;K$40,I$38,K53&lt;K$42,I$40,K53&lt;K$44,I$42,K53&lt;K$46,I$44,K53&gt;=K$46,I$46)</f>
        <v/>
      </c>
      <c r="J53" s="37">
        <f>_xlfn.IFS(K53&lt;K$24,0,K53&lt;K$25,J$24,K53&lt;K$26,J$25,K53&lt;K$27,J$26,K53&lt;K$28,J$27,K53&lt;K$29,J$28,K53&lt;K$30,J$29,K53&lt;K$31,J$30,K53&lt;K$32,J$31,K53&lt;K$33,J$32,K53&lt;K$34,J$33,K53&lt;K$35,J$34,K53&lt;K$36,J$35,K53&lt;K$37,J$36,K53&lt;K$38,J$37,K53&lt;K$39,J$38,K53&lt;K$40,J$39,K53&lt;K$41,J$40,K53&lt;K$42,J$41,K53&lt;K$43,J$42,K53&lt;K$44,J$43,K53&lt;K$45,J$44,K53&lt;K$46,J$45,K53&lt;K$47,J$46,K53&gt;=K$47,J$47)</f>
        <v/>
      </c>
      <c r="K53" s="38" t="n">
        <v>3</v>
      </c>
      <c r="L53" s="31">
        <f>K53/52</f>
        <v/>
      </c>
      <c r="M53" s="39">
        <f>J53/1000000*52</f>
        <v/>
      </c>
      <c r="N53" s="33">
        <f>M53/$P$4+($I$22/$P$4)</f>
        <v/>
      </c>
      <c r="U53">
        <f>F52</f>
        <v/>
      </c>
      <c r="V53">
        <f>H52</f>
        <v/>
      </c>
      <c r="W53">
        <f>N52</f>
        <v/>
      </c>
    </row>
    <row r="54" ht="15.75" customHeight="1" s="40">
      <c r="C54" s="36">
        <f>_xlfn.IFS(E54&lt;E$24,0,E54&lt;E$26,C$24,E54&lt;E$28,C$26,E54&lt;E$30,C$28,E54&lt;E$32,C$30,E54&lt;E$34,C$32,E54&gt;=E$34,C$34)</f>
        <v/>
      </c>
      <c r="D54" s="37">
        <f>_xlfn.IFS(E54&lt;E$24,0,E54&lt;E$25,D$24,E54&lt;E$26,D$25,E54&lt;E$27,D$26,E54&lt;E$28,D$27,E54&lt;E$29,D$28,E54&lt;E$30,D$29,E54&lt;E$31,D$30,E54&lt;E$32,D$31,E54&lt;E$33,D$32,E54&lt;E$34,D$33,E54&lt;E$35,D$34,E54&gt;=E$35,D$35)</f>
        <v/>
      </c>
      <c r="E54" s="38" t="n">
        <v>4</v>
      </c>
      <c r="F54" s="31">
        <f>E54/52</f>
        <v/>
      </c>
      <c r="G54" s="39">
        <f>D54/1000000*52</f>
        <v/>
      </c>
      <c r="H54" s="33">
        <f>G54/$P$4+($C$22/$P$4)</f>
        <v/>
      </c>
      <c r="I54" s="36">
        <f>_xlfn.IFS(K54&lt;K$24,0,K54&lt;K$26,I$24,K54&lt;K$28,I$26,K54&lt;K$30,I$28,K54&lt;K$32,I$30,K54&lt;K$34,I$32,K54&lt;K$36,I$34,K54&lt;K$38,I$36,K54&lt;K$40,I$38,K54&lt;K$42,I$40,K54&lt;K$44,I$42,K54&lt;K$46,I$44,K54&gt;=K$46,I$46)</f>
        <v/>
      </c>
      <c r="J54" s="37">
        <f>_xlfn.IFS(K54&lt;K$24,0,K54&lt;K$25,J$24,K54&lt;K$26,J$25,K54&lt;K$27,J$26,K54&lt;K$28,J$27,K54&lt;K$29,J$28,K54&lt;K$30,J$29,K54&lt;K$31,J$30,K54&lt;K$32,J$31,K54&lt;K$33,J$32,K54&lt;K$34,J$33,K54&lt;K$35,J$34,K54&lt;K$36,J$35,K54&lt;K$37,J$36,K54&lt;K$38,J$37,K54&lt;K$39,J$38,K54&lt;K$40,J$39,K54&lt;K$41,J$40,K54&lt;K$42,J$41,K54&lt;K$43,J$42,K54&lt;K$44,J$43,K54&lt;K$45,J$44,K54&lt;K$46,J$45,K54&lt;K$47,J$46,K54&gt;=K$47,J$47)</f>
        <v/>
      </c>
      <c r="K54" s="38" t="n">
        <v>4</v>
      </c>
      <c r="L54" s="31">
        <f>K54/52</f>
        <v/>
      </c>
      <c r="M54" s="39">
        <f>J54/1000000*52</f>
        <v/>
      </c>
      <c r="N54" s="33">
        <f>M54/$P$4+($I$22/$P$4)</f>
        <v/>
      </c>
      <c r="U54">
        <f>F53</f>
        <v/>
      </c>
      <c r="V54">
        <f>H53</f>
        <v/>
      </c>
      <c r="W54">
        <f>N53</f>
        <v/>
      </c>
    </row>
    <row r="55" ht="15.75" customHeight="1" s="40">
      <c r="C55" s="36">
        <f>_xlfn.IFS(E55&lt;E$24,0,E55&lt;E$26,C$24,E55&lt;E$28,C$26,E55&lt;E$30,C$28,E55&lt;E$32,C$30,E55&lt;E$34,C$32,E55&gt;=E$34,C$34)</f>
        <v/>
      </c>
      <c r="D55" s="37">
        <f>_xlfn.IFS(E55&lt;E$24,0,E55&lt;E$25,D$24,E55&lt;E$26,D$25,E55&lt;E$27,D$26,E55&lt;E$28,D$27,E55&lt;E$29,D$28,E55&lt;E$30,D$29,E55&lt;E$31,D$30,E55&lt;E$32,D$31,E55&lt;E$33,D$32,E55&lt;E$34,D$33,E55&lt;E$35,D$34,E55&gt;=E$35,D$35)</f>
        <v/>
      </c>
      <c r="E55" s="38" t="n">
        <v>5</v>
      </c>
      <c r="F55" s="31">
        <f>E55/52</f>
        <v/>
      </c>
      <c r="G55" s="39">
        <f>D55/1000000*52</f>
        <v/>
      </c>
      <c r="H55" s="33">
        <f>G55/$P$4+($C$22/$P$4)</f>
        <v/>
      </c>
      <c r="I55" s="36">
        <f>_xlfn.IFS(K55&lt;K$24,0,K55&lt;K$26,I$24,K55&lt;K$28,I$26,K55&lt;K$30,I$28,K55&lt;K$32,I$30,K55&lt;K$34,I$32,K55&lt;K$36,I$34,K55&lt;K$38,I$36,K55&lt;K$40,I$38,K55&lt;K$42,I$40,K55&lt;K$44,I$42,K55&lt;K$46,I$44,K55&gt;=K$46,I$46)</f>
        <v/>
      </c>
      <c r="J55" s="37">
        <f>_xlfn.IFS(K55&lt;K$24,0,K55&lt;K$25,J$24,K55&lt;K$26,J$25,K55&lt;K$27,J$26,K55&lt;K$28,J$27,K55&lt;K$29,J$28,K55&lt;K$30,J$29,K55&lt;K$31,J$30,K55&lt;K$32,J$31,K55&lt;K$33,J$32,K55&lt;K$34,J$33,K55&lt;K$35,J$34,K55&lt;K$36,J$35,K55&lt;K$37,J$36,K55&lt;K$38,J$37,K55&lt;K$39,J$38,K55&lt;K$40,J$39,K55&lt;K$41,J$40,K55&lt;K$42,J$41,K55&lt;K$43,J$42,K55&lt;K$44,J$43,K55&lt;K$45,J$44,K55&lt;K$46,J$45,K55&lt;K$47,J$46,K55&gt;=K$47,J$47)</f>
        <v/>
      </c>
      <c r="K55" s="38" t="n">
        <v>5</v>
      </c>
      <c r="L55" s="31">
        <f>K55/52</f>
        <v/>
      </c>
      <c r="M55" s="39">
        <f>J55/1000000*52</f>
        <v/>
      </c>
      <c r="N55" s="33">
        <f>M55/$P$4+($I$22/$P$4)</f>
        <v/>
      </c>
      <c r="U55">
        <f>F54</f>
        <v/>
      </c>
      <c r="V55">
        <f>H54</f>
        <v/>
      </c>
      <c r="W55">
        <f>N54</f>
        <v/>
      </c>
    </row>
    <row r="56" ht="15.75" customHeight="1" s="40">
      <c r="C56" s="36">
        <f>_xlfn.IFS(E56&lt;E$24,0,E56&lt;E$26,C$24,E56&lt;E$28,C$26,E56&lt;E$30,C$28,E56&lt;E$32,C$30,E56&lt;E$34,C$32,E56&gt;=E$34,C$34)</f>
        <v/>
      </c>
      <c r="D56" s="37">
        <f>_xlfn.IFS(E56&lt;E$24,0,E56&lt;E$25,D$24,E56&lt;E$26,D$25,E56&lt;E$27,D$26,E56&lt;E$28,D$27,E56&lt;E$29,D$28,E56&lt;E$30,D$29,E56&lt;E$31,D$30,E56&lt;E$32,D$31,E56&lt;E$33,D$32,E56&lt;E$34,D$33,E56&lt;E$35,D$34,E56&gt;=E$35,D$35)</f>
        <v/>
      </c>
      <c r="E56" s="38" t="n">
        <v>6</v>
      </c>
      <c r="F56" s="31">
        <f>E56/52</f>
        <v/>
      </c>
      <c r="G56" s="39">
        <f>D56/1000000*52</f>
        <v/>
      </c>
      <c r="H56" s="33">
        <f>G56/$P$4+($C$22/$P$4)</f>
        <v/>
      </c>
      <c r="I56" s="36">
        <f>_xlfn.IFS(K56&lt;K$24,0,K56&lt;K$26,I$24,K56&lt;K$28,I$26,K56&lt;K$30,I$28,K56&lt;K$32,I$30,K56&lt;K$34,I$32,K56&lt;K$36,I$34,K56&lt;K$38,I$36,K56&lt;K$40,I$38,K56&lt;K$42,I$40,K56&lt;K$44,I$42,K56&lt;K$46,I$44,K56&gt;=K$46,I$46)</f>
        <v/>
      </c>
      <c r="J56" s="37">
        <f>_xlfn.IFS(K56&lt;K$24,0,K56&lt;K$25,J$24,K56&lt;K$26,J$25,K56&lt;K$27,J$26,K56&lt;K$28,J$27,K56&lt;K$29,J$28,K56&lt;K$30,J$29,K56&lt;K$31,J$30,K56&lt;K$32,J$31,K56&lt;K$33,J$32,K56&lt;K$34,J$33,K56&lt;K$35,J$34,K56&lt;K$36,J$35,K56&lt;K$37,J$36,K56&lt;K$38,J$37,K56&lt;K$39,J$38,K56&lt;K$40,J$39,K56&lt;K$41,J$40,K56&lt;K$42,J$41,K56&lt;K$43,J$42,K56&lt;K$44,J$43,K56&lt;K$45,J$44,K56&lt;K$46,J$45,K56&lt;K$47,J$46,K56&gt;=K$47,J$47)</f>
        <v/>
      </c>
      <c r="K56" s="38" t="n">
        <v>6</v>
      </c>
      <c r="L56" s="31">
        <f>K56/52</f>
        <v/>
      </c>
      <c r="M56" s="39">
        <f>J56/1000000*52</f>
        <v/>
      </c>
      <c r="N56" s="33">
        <f>M56/$P$4+($I$22/$P$4)</f>
        <v/>
      </c>
      <c r="U56">
        <f>F55</f>
        <v/>
      </c>
      <c r="V56">
        <f>H55</f>
        <v/>
      </c>
      <c r="W56">
        <f>N55</f>
        <v/>
      </c>
    </row>
    <row r="57" ht="15.75" customHeight="1" s="40">
      <c r="C57" s="36">
        <f>_xlfn.IFS(E57&lt;E$24,0,E57&lt;E$26,C$24,E57&lt;E$28,C$26,E57&lt;E$30,C$28,E57&lt;E$32,C$30,E57&lt;E$34,C$32,E57&gt;=E$34,C$34)</f>
        <v/>
      </c>
      <c r="D57" s="37">
        <f>_xlfn.IFS(E57&lt;E$24,0,E57&lt;E$25,D$24,E57&lt;E$26,D$25,E57&lt;E$27,D$26,E57&lt;E$28,D$27,E57&lt;E$29,D$28,E57&lt;E$30,D$29,E57&lt;E$31,D$30,E57&lt;E$32,D$31,E57&lt;E$33,D$32,E57&lt;E$34,D$33,E57&lt;E$35,D$34,E57&gt;=E$35,D$35)</f>
        <v/>
      </c>
      <c r="E57" s="38" t="n">
        <v>7</v>
      </c>
      <c r="F57" s="31">
        <f>E57/52</f>
        <v/>
      </c>
      <c r="G57" s="39">
        <f>D57/1000000*52</f>
        <v/>
      </c>
      <c r="H57" s="33">
        <f>G57/$P$4+($C$22/$P$4)</f>
        <v/>
      </c>
      <c r="I57" s="36">
        <f>_xlfn.IFS(K57&lt;K$24,0,K57&lt;K$26,I$24,K57&lt;K$28,I$26,K57&lt;K$30,I$28,K57&lt;K$32,I$30,K57&lt;K$34,I$32,K57&lt;K$36,I$34,K57&lt;K$38,I$36,K57&lt;K$40,I$38,K57&lt;K$42,I$40,K57&lt;K$44,I$42,K57&lt;K$46,I$44,K57&gt;=K$46,I$46)</f>
        <v/>
      </c>
      <c r="J57" s="37">
        <f>_xlfn.IFS(K57&lt;K$24,0,K57&lt;K$25,J$24,K57&lt;K$26,J$25,K57&lt;K$27,J$26,K57&lt;K$28,J$27,K57&lt;K$29,J$28,K57&lt;K$30,J$29,K57&lt;K$31,J$30,K57&lt;K$32,J$31,K57&lt;K$33,J$32,K57&lt;K$34,J$33,K57&lt;K$35,J$34,K57&lt;K$36,J$35,K57&lt;K$37,J$36,K57&lt;K$38,J$37,K57&lt;K$39,J$38,K57&lt;K$40,J$39,K57&lt;K$41,J$40,K57&lt;K$42,J$41,K57&lt;K$43,J$42,K57&lt;K$44,J$43,K57&lt;K$45,J$44,K57&lt;K$46,J$45,K57&lt;K$47,J$46,K57&gt;=K$47,J$47)</f>
        <v/>
      </c>
      <c r="K57" s="38" t="n">
        <v>7</v>
      </c>
      <c r="L57" s="31">
        <f>K57/52</f>
        <v/>
      </c>
      <c r="M57" s="39">
        <f>J57/1000000*52</f>
        <v/>
      </c>
      <c r="N57" s="33">
        <f>M57/$P$4+($I$22/$P$4)</f>
        <v/>
      </c>
      <c r="U57">
        <f>F56</f>
        <v/>
      </c>
      <c r="V57">
        <f>H56</f>
        <v/>
      </c>
      <c r="W57">
        <f>N56</f>
        <v/>
      </c>
    </row>
    <row r="58" ht="15.75" customHeight="1" s="40">
      <c r="C58" s="36">
        <f>_xlfn.IFS(E58&lt;E$24,0,E58&lt;E$26,C$24,E58&lt;E$28,C$26,E58&lt;E$30,C$28,E58&lt;E$32,C$30,E58&lt;E$34,C$32,E58&gt;=E$34,C$34)</f>
        <v/>
      </c>
      <c r="D58" s="37">
        <f>_xlfn.IFS(E58&lt;E$24,0,E58&lt;E$25,D$24,E58&lt;E$26,D$25,E58&lt;E$27,D$26,E58&lt;E$28,D$27,E58&lt;E$29,D$28,E58&lt;E$30,D$29,E58&lt;E$31,D$30,E58&lt;E$32,D$31,E58&lt;E$33,D$32,E58&lt;E$34,D$33,E58&lt;E$35,D$34,E58&gt;=E$35,D$35)</f>
        <v/>
      </c>
      <c r="E58" s="38" t="n">
        <v>8</v>
      </c>
      <c r="F58" s="31">
        <f>E58/52</f>
        <v/>
      </c>
      <c r="G58" s="39">
        <f>D58/1000000*52</f>
        <v/>
      </c>
      <c r="H58" s="33">
        <f>G58/$P$4+($C$22/$P$4)</f>
        <v/>
      </c>
      <c r="I58" s="36">
        <f>_xlfn.IFS(K58&lt;K$24,0,K58&lt;K$26,I$24,K58&lt;K$28,I$26,K58&lt;K$30,I$28,K58&lt;K$32,I$30,K58&lt;K$34,I$32,K58&lt;K$36,I$34,K58&lt;K$38,I$36,K58&lt;K$40,I$38,K58&lt;K$42,I$40,K58&lt;K$44,I$42,K58&lt;K$46,I$44,K58&gt;=K$46,I$46)</f>
        <v/>
      </c>
      <c r="J58" s="37">
        <f>_xlfn.IFS(K58&lt;K$24,0,K58&lt;K$25,J$24,K58&lt;K$26,J$25,K58&lt;K$27,J$26,K58&lt;K$28,J$27,K58&lt;K$29,J$28,K58&lt;K$30,J$29,K58&lt;K$31,J$30,K58&lt;K$32,J$31,K58&lt;K$33,J$32,K58&lt;K$34,J$33,K58&lt;K$35,J$34,K58&lt;K$36,J$35,K58&lt;K$37,J$36,K58&lt;K$38,J$37,K58&lt;K$39,J$38,K58&lt;K$40,J$39,K58&lt;K$41,J$40,K58&lt;K$42,J$41,K58&lt;K$43,J$42,K58&lt;K$44,J$43,K58&lt;K$45,J$44,K58&lt;K$46,J$45,K58&lt;K$47,J$46,K58&gt;=K$47,J$47)</f>
        <v/>
      </c>
      <c r="K58" s="38" t="n">
        <v>8</v>
      </c>
      <c r="L58" s="31">
        <f>K58/52</f>
        <v/>
      </c>
      <c r="M58" s="39">
        <f>J58/1000000*52</f>
        <v/>
      </c>
      <c r="N58" s="33">
        <f>M58/$P$4+($I$22/$P$4)</f>
        <v/>
      </c>
      <c r="U58">
        <f>F57</f>
        <v/>
      </c>
      <c r="V58">
        <f>H57</f>
        <v/>
      </c>
      <c r="W58">
        <f>N57</f>
        <v/>
      </c>
    </row>
    <row r="59" ht="15.75" customHeight="1" s="40">
      <c r="C59" s="36">
        <f>_xlfn.IFS(E59&lt;E$24,0,E59&lt;E$26,C$24,E59&lt;E$28,C$26,E59&lt;E$30,C$28,E59&lt;E$32,C$30,E59&lt;E$34,C$32,E59&gt;=E$34,C$34)</f>
        <v/>
      </c>
      <c r="D59" s="37">
        <f>_xlfn.IFS(E59&lt;E$24,0,E59&lt;E$25,D$24,E59&lt;E$26,D$25,E59&lt;E$27,D$26,E59&lt;E$28,D$27,E59&lt;E$29,D$28,E59&lt;E$30,D$29,E59&lt;E$31,D$30,E59&lt;E$32,D$31,E59&lt;E$33,D$32,E59&lt;E$34,D$33,E59&lt;E$35,D$34,E59&gt;=E$35,D$35)</f>
        <v/>
      </c>
      <c r="E59" s="38" t="n">
        <v>9</v>
      </c>
      <c r="F59" s="31">
        <f>E59/52</f>
        <v/>
      </c>
      <c r="G59" s="39">
        <f>D59/1000000*52</f>
        <v/>
      </c>
      <c r="H59" s="33">
        <f>G59/$P$4+($C$22/$P$4)</f>
        <v/>
      </c>
      <c r="I59" s="36">
        <f>_xlfn.IFS(K59&lt;K$24,0,K59&lt;K$26,I$24,K59&lt;K$28,I$26,K59&lt;K$30,I$28,K59&lt;K$32,I$30,K59&lt;K$34,I$32,K59&lt;K$36,I$34,K59&lt;K$38,I$36,K59&lt;K$40,I$38,K59&lt;K$42,I$40,K59&lt;K$44,I$42,K59&lt;K$46,I$44,K59&gt;=K$46,I$46)</f>
        <v/>
      </c>
      <c r="J59" s="37">
        <f>_xlfn.IFS(K59&lt;K$24,0,K59&lt;K$25,J$24,K59&lt;K$26,J$25,K59&lt;K$27,J$26,K59&lt;K$28,J$27,K59&lt;K$29,J$28,K59&lt;K$30,J$29,K59&lt;K$31,J$30,K59&lt;K$32,J$31,K59&lt;K$33,J$32,K59&lt;K$34,J$33,K59&lt;K$35,J$34,K59&lt;K$36,J$35,K59&lt;K$37,J$36,K59&lt;K$38,J$37,K59&lt;K$39,J$38,K59&lt;K$40,J$39,K59&lt;K$41,J$40,K59&lt;K$42,J$41,K59&lt;K$43,J$42,K59&lt;K$44,J$43,K59&lt;K$45,J$44,K59&lt;K$46,J$45,K59&lt;K$47,J$46,K59&gt;=K$47,J$47)</f>
        <v/>
      </c>
      <c r="K59" s="38" t="n">
        <v>9</v>
      </c>
      <c r="L59" s="31">
        <f>K59/52</f>
        <v/>
      </c>
      <c r="M59" s="39">
        <f>J59/1000000*52</f>
        <v/>
      </c>
      <c r="N59" s="33">
        <f>M59/$P$4+($I$22/$P$4)</f>
        <v/>
      </c>
      <c r="U59">
        <f>F58</f>
        <v/>
      </c>
      <c r="V59">
        <f>H58</f>
        <v/>
      </c>
      <c r="W59">
        <f>N58</f>
        <v/>
      </c>
    </row>
    <row r="60" ht="15.75" customHeight="1" s="40">
      <c r="C60" s="36">
        <f>_xlfn.IFS(E60&lt;E$24,0,E60&lt;E$26,C$24,E60&lt;E$28,C$26,E60&lt;E$30,C$28,E60&lt;E$32,C$30,E60&lt;E$34,C$32,E60&gt;=E$34,C$34)</f>
        <v/>
      </c>
      <c r="D60" s="37">
        <f>_xlfn.IFS(E60&lt;E$24,0,E60&lt;E$25,D$24,E60&lt;E$26,D$25,E60&lt;E$27,D$26,E60&lt;E$28,D$27,E60&lt;E$29,D$28,E60&lt;E$30,D$29,E60&lt;E$31,D$30,E60&lt;E$32,D$31,E60&lt;E$33,D$32,E60&lt;E$34,D$33,E60&lt;E$35,D$34,E60&gt;=E$35,D$35)</f>
        <v/>
      </c>
      <c r="E60" s="38" t="n">
        <v>10</v>
      </c>
      <c r="F60" s="31">
        <f>E60/52</f>
        <v/>
      </c>
      <c r="G60" s="39">
        <f>D60/1000000*52</f>
        <v/>
      </c>
      <c r="H60" s="33">
        <f>G60/$P$4+($C$22/$P$4)</f>
        <v/>
      </c>
      <c r="I60" s="36">
        <f>_xlfn.IFS(K60&lt;K$24,0,K60&lt;K$26,I$24,K60&lt;K$28,I$26,K60&lt;K$30,I$28,K60&lt;K$32,I$30,K60&lt;K$34,I$32,K60&lt;K$36,I$34,K60&lt;K$38,I$36,K60&lt;K$40,I$38,K60&lt;K$42,I$40,K60&lt;K$44,I$42,K60&lt;K$46,I$44,K60&gt;=K$46,I$46)</f>
        <v/>
      </c>
      <c r="J60" s="37">
        <f>_xlfn.IFS(K60&lt;K$24,0,K60&lt;K$25,J$24,K60&lt;K$26,J$25,K60&lt;K$27,J$26,K60&lt;K$28,J$27,K60&lt;K$29,J$28,K60&lt;K$30,J$29,K60&lt;K$31,J$30,K60&lt;K$32,J$31,K60&lt;K$33,J$32,K60&lt;K$34,J$33,K60&lt;K$35,J$34,K60&lt;K$36,J$35,K60&lt;K$37,J$36,K60&lt;K$38,J$37,K60&lt;K$39,J$38,K60&lt;K$40,J$39,K60&lt;K$41,J$40,K60&lt;K$42,J$41,K60&lt;K$43,J$42,K60&lt;K$44,J$43,K60&lt;K$45,J$44,K60&lt;K$46,J$45,K60&lt;K$47,J$46,K60&gt;=K$47,J$47)</f>
        <v/>
      </c>
      <c r="K60" s="38" t="n">
        <v>10</v>
      </c>
      <c r="L60" s="31">
        <f>K60/52</f>
        <v/>
      </c>
      <c r="M60" s="39">
        <f>J60/1000000*52</f>
        <v/>
      </c>
      <c r="N60" s="33">
        <f>M60/$P$4+($I$22/$P$4)</f>
        <v/>
      </c>
      <c r="U60">
        <f>F59</f>
        <v/>
      </c>
      <c r="V60">
        <f>H59</f>
        <v/>
      </c>
      <c r="W60">
        <f>N59</f>
        <v/>
      </c>
    </row>
    <row r="61" ht="15.75" customHeight="1" s="40">
      <c r="C61" s="36">
        <f>_xlfn.IFS(E61&lt;E$24,0,E61&lt;E$26,C$24,E61&lt;E$28,C$26,E61&lt;E$30,C$28,E61&lt;E$32,C$30,E61&lt;E$34,C$32,E61&gt;=E$34,C$34)</f>
        <v/>
      </c>
      <c r="D61" s="37">
        <f>_xlfn.IFS(E61&lt;E$24,0,E61&lt;E$25,D$24,E61&lt;E$26,D$25,E61&lt;E$27,D$26,E61&lt;E$28,D$27,E61&lt;E$29,D$28,E61&lt;E$30,D$29,E61&lt;E$31,D$30,E61&lt;E$32,D$31,E61&lt;E$33,D$32,E61&lt;E$34,D$33,E61&lt;E$35,D$34,E61&gt;=E$35,D$35)</f>
        <v/>
      </c>
      <c r="E61" s="38" t="n">
        <v>11</v>
      </c>
      <c r="F61" s="31">
        <f>E61/52</f>
        <v/>
      </c>
      <c r="G61" s="39">
        <f>D61/1000000*52</f>
        <v/>
      </c>
      <c r="H61" s="33">
        <f>G61/$P$4+($C$22/$P$4)</f>
        <v/>
      </c>
      <c r="I61" s="36">
        <f>_xlfn.IFS(K61&lt;K$24,0,K61&lt;K$26,I$24,K61&lt;K$28,I$26,K61&lt;K$30,I$28,K61&lt;K$32,I$30,K61&lt;K$34,I$32,K61&lt;K$36,I$34,K61&lt;K$38,I$36,K61&lt;K$40,I$38,K61&lt;K$42,I$40,K61&lt;K$44,I$42,K61&lt;K$46,I$44,K61&gt;=K$46,I$46)</f>
        <v/>
      </c>
      <c r="J61" s="37">
        <f>_xlfn.IFS(K61&lt;K$24,0,K61&lt;K$25,J$24,K61&lt;K$26,J$25,K61&lt;K$27,J$26,K61&lt;K$28,J$27,K61&lt;K$29,J$28,K61&lt;K$30,J$29,K61&lt;K$31,J$30,K61&lt;K$32,J$31,K61&lt;K$33,J$32,K61&lt;K$34,J$33,K61&lt;K$35,J$34,K61&lt;K$36,J$35,K61&lt;K$37,J$36,K61&lt;K$38,J$37,K61&lt;K$39,J$38,K61&lt;K$40,J$39,K61&lt;K$41,J$40,K61&lt;K$42,J$41,K61&lt;K$43,J$42,K61&lt;K$44,J$43,K61&lt;K$45,J$44,K61&lt;K$46,J$45,K61&lt;K$47,J$46,K61&gt;=K$47,J$47)</f>
        <v/>
      </c>
      <c r="K61" s="38" t="n">
        <v>11</v>
      </c>
      <c r="L61" s="31">
        <f>K61/52</f>
        <v/>
      </c>
      <c r="M61" s="39">
        <f>J61/1000000*52</f>
        <v/>
      </c>
      <c r="N61" s="33">
        <f>M61/$P$4+($I$22/$P$4)</f>
        <v/>
      </c>
      <c r="U61">
        <f>F60</f>
        <v/>
      </c>
      <c r="V61">
        <f>H60</f>
        <v/>
      </c>
      <c r="W61">
        <f>N60</f>
        <v/>
      </c>
    </row>
    <row r="62" ht="15.75" customHeight="1" s="40">
      <c r="C62" s="36">
        <f>_xlfn.IFS(E62&lt;E$24,0,E62&lt;E$26,C$24,E62&lt;E$28,C$26,E62&lt;E$30,C$28,E62&lt;E$32,C$30,E62&lt;E$34,C$32,E62&gt;=E$34,C$34)</f>
        <v/>
      </c>
      <c r="D62" s="37">
        <f>_xlfn.IFS(E62&lt;E$24,0,E62&lt;E$25,D$24,E62&lt;E$26,D$25,E62&lt;E$27,D$26,E62&lt;E$28,D$27,E62&lt;E$29,D$28,E62&lt;E$30,D$29,E62&lt;E$31,D$30,E62&lt;E$32,D$31,E62&lt;E$33,D$32,E62&lt;E$34,D$33,E62&lt;E$35,D$34,E62&gt;=E$35,D$35)</f>
        <v/>
      </c>
      <c r="E62" s="38" t="n">
        <v>12</v>
      </c>
      <c r="F62" s="31">
        <f>E62/52</f>
        <v/>
      </c>
      <c r="G62" s="39">
        <f>D62/1000000*52</f>
        <v/>
      </c>
      <c r="H62" s="33">
        <f>G62/$P$4+($C$22/$P$4)</f>
        <v/>
      </c>
      <c r="I62" s="36">
        <f>_xlfn.IFS(K62&lt;K$24,0,K62&lt;K$26,I$24,K62&lt;K$28,I$26,K62&lt;K$30,I$28,K62&lt;K$32,I$30,K62&lt;K$34,I$32,K62&lt;K$36,I$34,K62&lt;K$38,I$36,K62&lt;K$40,I$38,K62&lt;K$42,I$40,K62&lt;K$44,I$42,K62&lt;K$46,I$44,K62&gt;=K$46,I$46)</f>
        <v/>
      </c>
      <c r="J62" s="37">
        <f>_xlfn.IFS(K62&lt;K$24,0,K62&lt;K$25,J$24,K62&lt;K$26,J$25,K62&lt;K$27,J$26,K62&lt;K$28,J$27,K62&lt;K$29,J$28,K62&lt;K$30,J$29,K62&lt;K$31,J$30,K62&lt;K$32,J$31,K62&lt;K$33,J$32,K62&lt;K$34,J$33,K62&lt;K$35,J$34,K62&lt;K$36,J$35,K62&lt;K$37,J$36,K62&lt;K$38,J$37,K62&lt;K$39,J$38,K62&lt;K$40,J$39,K62&lt;K$41,J$40,K62&lt;K$42,J$41,K62&lt;K$43,J$42,K62&lt;K$44,J$43,K62&lt;K$45,J$44,K62&lt;K$46,J$45,K62&lt;K$47,J$46,K62&gt;=K$47,J$47)</f>
        <v/>
      </c>
      <c r="K62" s="38" t="n">
        <v>12</v>
      </c>
      <c r="L62" s="31">
        <f>K62/52</f>
        <v/>
      </c>
      <c r="M62" s="39">
        <f>J62/1000000*52</f>
        <v/>
      </c>
      <c r="N62" s="33">
        <f>M62/$P$4+($I$22/$P$4)</f>
        <v/>
      </c>
      <c r="U62">
        <f>F61</f>
        <v/>
      </c>
      <c r="V62">
        <f>H61</f>
        <v/>
      </c>
      <c r="W62">
        <f>N61</f>
        <v/>
      </c>
    </row>
    <row r="63" ht="15.75" customHeight="1" s="40">
      <c r="C63" s="36">
        <f>_xlfn.IFS(E63&lt;E$24,0,E63&lt;E$26,C$24,E63&lt;E$28,C$26,E63&lt;E$30,C$28,E63&lt;E$32,C$30,E63&lt;E$34,C$32,E63&gt;=E$34,C$34)</f>
        <v/>
      </c>
      <c r="D63" s="37">
        <f>_xlfn.IFS(E63&lt;E$24,0,E63&lt;E$25,D$24,E63&lt;E$26,D$25,E63&lt;E$27,D$26,E63&lt;E$28,D$27,E63&lt;E$29,D$28,E63&lt;E$30,D$29,E63&lt;E$31,D$30,E63&lt;E$32,D$31,E63&lt;E$33,D$32,E63&lt;E$34,D$33,E63&lt;E$35,D$34,E63&gt;=E$35,D$35)</f>
        <v/>
      </c>
      <c r="E63" s="38" t="n">
        <v>13</v>
      </c>
      <c r="F63" s="31">
        <f>E63/52</f>
        <v/>
      </c>
      <c r="G63" s="39">
        <f>D63/1000000*52</f>
        <v/>
      </c>
      <c r="H63" s="33">
        <f>G63/$P$4+($C$22/$P$4)</f>
        <v/>
      </c>
      <c r="I63" s="36">
        <f>_xlfn.IFS(K63&lt;K$24,0,K63&lt;K$26,I$24,K63&lt;K$28,I$26,K63&lt;K$30,I$28,K63&lt;K$32,I$30,K63&lt;K$34,I$32,K63&lt;K$36,I$34,K63&lt;K$38,I$36,K63&lt;K$40,I$38,K63&lt;K$42,I$40,K63&lt;K$44,I$42,K63&lt;K$46,I$44,K63&gt;=K$46,I$46)</f>
        <v/>
      </c>
      <c r="J63" s="37">
        <f>_xlfn.IFS(K63&lt;K$24,0,K63&lt;K$25,J$24,K63&lt;K$26,J$25,K63&lt;K$27,J$26,K63&lt;K$28,J$27,K63&lt;K$29,J$28,K63&lt;K$30,J$29,K63&lt;K$31,J$30,K63&lt;K$32,J$31,K63&lt;K$33,J$32,K63&lt;K$34,J$33,K63&lt;K$35,J$34,K63&lt;K$36,J$35,K63&lt;K$37,J$36,K63&lt;K$38,J$37,K63&lt;K$39,J$38,K63&lt;K$40,J$39,K63&lt;K$41,J$40,K63&lt;K$42,J$41,K63&lt;K$43,J$42,K63&lt;K$44,J$43,K63&lt;K$45,J$44,K63&lt;K$46,J$45,K63&lt;K$47,J$46,K63&gt;=K$47,J$47)</f>
        <v/>
      </c>
      <c r="K63" s="38" t="n">
        <v>13</v>
      </c>
      <c r="L63" s="31">
        <f>K63/52</f>
        <v/>
      </c>
      <c r="M63" s="39">
        <f>J63/1000000*52</f>
        <v/>
      </c>
      <c r="N63" s="33">
        <f>M63/$P$4+($I$22/$P$4)</f>
        <v/>
      </c>
      <c r="U63">
        <f>F62</f>
        <v/>
      </c>
      <c r="V63">
        <f>H62</f>
        <v/>
      </c>
      <c r="W63">
        <f>N62</f>
        <v/>
      </c>
    </row>
    <row r="64" ht="15.75" customHeight="1" s="40">
      <c r="C64" s="36">
        <f>_xlfn.IFS(E64&lt;E$24,0,E64&lt;E$26,C$24,E64&lt;E$28,C$26,E64&lt;E$30,C$28,E64&lt;E$32,C$30,E64&lt;E$34,C$32,E64&gt;=E$34,C$34)</f>
        <v/>
      </c>
      <c r="D64" s="37">
        <f>_xlfn.IFS(E64&lt;E$24,0,E64&lt;E$25,D$24,E64&lt;E$26,D$25,E64&lt;E$27,D$26,E64&lt;E$28,D$27,E64&lt;E$29,D$28,E64&lt;E$30,D$29,E64&lt;E$31,D$30,E64&lt;E$32,D$31,E64&lt;E$33,D$32,E64&lt;E$34,D$33,E64&lt;E$35,D$34,E64&gt;=E$35,D$35)</f>
        <v/>
      </c>
      <c r="E64" s="38" t="n">
        <v>14</v>
      </c>
      <c r="F64" s="31">
        <f>E64/52</f>
        <v/>
      </c>
      <c r="G64" s="39">
        <f>D64/1000000*52</f>
        <v/>
      </c>
      <c r="H64" s="33">
        <f>G64/$P$4+($C$22/$P$4)</f>
        <v/>
      </c>
      <c r="I64" s="36">
        <f>_xlfn.IFS(K64&lt;K$24,0,K64&lt;K$26,I$24,K64&lt;K$28,I$26,K64&lt;K$30,I$28,K64&lt;K$32,I$30,K64&lt;K$34,I$32,K64&lt;K$36,I$34,K64&lt;K$38,I$36,K64&lt;K$40,I$38,K64&lt;K$42,I$40,K64&lt;K$44,I$42,K64&lt;K$46,I$44,K64&gt;=K$46,I$46)</f>
        <v/>
      </c>
      <c r="J64" s="37">
        <f>_xlfn.IFS(K64&lt;K$24,0,K64&lt;K$25,J$24,K64&lt;K$26,J$25,K64&lt;K$27,J$26,K64&lt;K$28,J$27,K64&lt;K$29,J$28,K64&lt;K$30,J$29,K64&lt;K$31,J$30,K64&lt;K$32,J$31,K64&lt;K$33,J$32,K64&lt;K$34,J$33,K64&lt;K$35,J$34,K64&lt;K$36,J$35,K64&lt;K$37,J$36,K64&lt;K$38,J$37,K64&lt;K$39,J$38,K64&lt;K$40,J$39,K64&lt;K$41,J$40,K64&lt;K$42,J$41,K64&lt;K$43,J$42,K64&lt;K$44,J$43,K64&lt;K$45,J$44,K64&lt;K$46,J$45,K64&lt;K$47,J$46,K64&gt;=K$47,J$47)</f>
        <v/>
      </c>
      <c r="K64" s="38" t="n">
        <v>14</v>
      </c>
      <c r="L64" s="31">
        <f>K64/52</f>
        <v/>
      </c>
      <c r="M64" s="39">
        <f>J64/1000000*52</f>
        <v/>
      </c>
      <c r="N64" s="33">
        <f>M64/$P$4+($I$22/$P$4)</f>
        <v/>
      </c>
      <c r="U64">
        <f>F63</f>
        <v/>
      </c>
      <c r="V64">
        <f>H63</f>
        <v/>
      </c>
      <c r="W64">
        <f>N63</f>
        <v/>
      </c>
    </row>
    <row r="65" ht="15.75" customHeight="1" s="40">
      <c r="C65" s="36">
        <f>_xlfn.IFS(E65&lt;E$24,0,E65&lt;E$26,C$24,E65&lt;E$28,C$26,E65&lt;E$30,C$28,E65&lt;E$32,C$30,E65&lt;E$34,C$32,E65&gt;=E$34,C$34)</f>
        <v/>
      </c>
      <c r="D65" s="37">
        <f>_xlfn.IFS(E65&lt;E$24,0,E65&lt;E$25,D$24,E65&lt;E$26,D$25,E65&lt;E$27,D$26,E65&lt;E$28,D$27,E65&lt;E$29,D$28,E65&lt;E$30,D$29,E65&lt;E$31,D$30,E65&lt;E$32,D$31,E65&lt;E$33,D$32,E65&lt;E$34,D$33,E65&lt;E$35,D$34,E65&gt;=E$35,D$35)</f>
        <v/>
      </c>
      <c r="E65" s="38" t="n">
        <v>15</v>
      </c>
      <c r="F65" s="31">
        <f>E65/52</f>
        <v/>
      </c>
      <c r="G65" s="39">
        <f>D65/1000000*52</f>
        <v/>
      </c>
      <c r="H65" s="33">
        <f>G65/$P$4+($C$22/$P$4)</f>
        <v/>
      </c>
      <c r="I65" s="36">
        <f>_xlfn.IFS(K65&lt;K$24,0,K65&lt;K$26,I$24,K65&lt;K$28,I$26,K65&lt;K$30,I$28,K65&lt;K$32,I$30,K65&lt;K$34,I$32,K65&lt;K$36,I$34,K65&lt;K$38,I$36,K65&lt;K$40,I$38,K65&lt;K$42,I$40,K65&lt;K$44,I$42,K65&lt;K$46,I$44,K65&gt;=K$46,I$46)</f>
        <v/>
      </c>
      <c r="J65" s="37">
        <f>_xlfn.IFS(K65&lt;K$24,0,K65&lt;K$25,J$24,K65&lt;K$26,J$25,K65&lt;K$27,J$26,K65&lt;K$28,J$27,K65&lt;K$29,J$28,K65&lt;K$30,J$29,K65&lt;K$31,J$30,K65&lt;K$32,J$31,K65&lt;K$33,J$32,K65&lt;K$34,J$33,K65&lt;K$35,J$34,K65&lt;K$36,J$35,K65&lt;K$37,J$36,K65&lt;K$38,J$37,K65&lt;K$39,J$38,K65&lt;K$40,J$39,K65&lt;K$41,J$40,K65&lt;K$42,J$41,K65&lt;K$43,J$42,K65&lt;K$44,J$43,K65&lt;K$45,J$44,K65&lt;K$46,J$45,K65&lt;K$47,J$46,K65&gt;=K$47,J$47)</f>
        <v/>
      </c>
      <c r="K65" s="38" t="n">
        <v>15</v>
      </c>
      <c r="L65" s="31">
        <f>K65/52</f>
        <v/>
      </c>
      <c r="M65" s="39">
        <f>J65/1000000*52</f>
        <v/>
      </c>
      <c r="N65" s="33">
        <f>M65/$P$4+($I$22/$P$4)</f>
        <v/>
      </c>
      <c r="U65">
        <f>F64</f>
        <v/>
      </c>
      <c r="V65">
        <f>H64</f>
        <v/>
      </c>
      <c r="W65">
        <f>N64</f>
        <v/>
      </c>
    </row>
    <row r="66" ht="15.75" customHeight="1" s="40">
      <c r="C66" s="36">
        <f>_xlfn.IFS(E66&lt;E$24,0,E66&lt;E$26,C$24,E66&lt;E$28,C$26,E66&lt;E$30,C$28,E66&lt;E$32,C$30,E66&lt;E$34,C$32,E66&gt;=E$34,C$34)</f>
        <v/>
      </c>
      <c r="D66" s="37">
        <f>_xlfn.IFS(E66&lt;E$24,0,E66&lt;E$25,D$24,E66&lt;E$26,D$25,E66&lt;E$27,D$26,E66&lt;E$28,D$27,E66&lt;E$29,D$28,E66&lt;E$30,D$29,E66&lt;E$31,D$30,E66&lt;E$32,D$31,E66&lt;E$33,D$32,E66&lt;E$34,D$33,E66&lt;E$35,D$34,E66&gt;=E$35,D$35)</f>
        <v/>
      </c>
      <c r="E66" s="38" t="n">
        <v>16</v>
      </c>
      <c r="F66" s="31">
        <f>E66/52</f>
        <v/>
      </c>
      <c r="G66" s="39">
        <f>D66/1000000*52</f>
        <v/>
      </c>
      <c r="H66" s="33">
        <f>G66/$P$4+($C$22/$P$4)</f>
        <v/>
      </c>
      <c r="I66" s="36">
        <f>_xlfn.IFS(K66&lt;K$24,0,K66&lt;K$26,I$24,K66&lt;K$28,I$26,K66&lt;K$30,I$28,K66&lt;K$32,I$30,K66&lt;K$34,I$32,K66&lt;K$36,I$34,K66&lt;K$38,I$36,K66&lt;K$40,I$38,K66&lt;K$42,I$40,K66&lt;K$44,I$42,K66&lt;K$46,I$44,K66&gt;=K$46,I$46)</f>
        <v/>
      </c>
      <c r="J66" s="37">
        <f>_xlfn.IFS(K66&lt;K$24,0,K66&lt;K$25,J$24,K66&lt;K$26,J$25,K66&lt;K$27,J$26,K66&lt;K$28,J$27,K66&lt;K$29,J$28,K66&lt;K$30,J$29,K66&lt;K$31,J$30,K66&lt;K$32,J$31,K66&lt;K$33,J$32,K66&lt;K$34,J$33,K66&lt;K$35,J$34,K66&lt;K$36,J$35,K66&lt;K$37,J$36,K66&lt;K$38,J$37,K66&lt;K$39,J$38,K66&lt;K$40,J$39,K66&lt;K$41,J$40,K66&lt;K$42,J$41,K66&lt;K$43,J$42,K66&lt;K$44,J$43,K66&lt;K$45,J$44,K66&lt;K$46,J$45,K66&lt;K$47,J$46,K66&gt;=K$47,J$47)</f>
        <v/>
      </c>
      <c r="K66" s="38" t="n">
        <v>16</v>
      </c>
      <c r="L66" s="31">
        <f>K66/52</f>
        <v/>
      </c>
      <c r="M66" s="39">
        <f>J66/1000000*52</f>
        <v/>
      </c>
      <c r="N66" s="33">
        <f>M66/$P$4+($I$22/$P$4)</f>
        <v/>
      </c>
      <c r="U66">
        <f>F65</f>
        <v/>
      </c>
      <c r="V66">
        <f>H65</f>
        <v/>
      </c>
      <c r="W66">
        <f>N65</f>
        <v/>
      </c>
    </row>
    <row r="67" ht="15.75" customHeight="1" s="40">
      <c r="C67" s="36">
        <f>_xlfn.IFS(E67&lt;E$24,0,E67&lt;E$26,C$24,E67&lt;E$28,C$26,E67&lt;E$30,C$28,E67&lt;E$32,C$30,E67&lt;E$34,C$32,E67&gt;=E$34,C$34)</f>
        <v/>
      </c>
      <c r="D67" s="37">
        <f>_xlfn.IFS(E67&lt;E$24,0,E67&lt;E$25,D$24,E67&lt;E$26,D$25,E67&lt;E$27,D$26,E67&lt;E$28,D$27,E67&lt;E$29,D$28,E67&lt;E$30,D$29,E67&lt;E$31,D$30,E67&lt;E$32,D$31,E67&lt;E$33,D$32,E67&lt;E$34,D$33,E67&lt;E$35,D$34,E67&gt;=E$35,D$35)</f>
        <v/>
      </c>
      <c r="E67" s="38" t="n">
        <v>17</v>
      </c>
      <c r="F67" s="31">
        <f>E67/52</f>
        <v/>
      </c>
      <c r="G67" s="39">
        <f>D67/1000000*52</f>
        <v/>
      </c>
      <c r="H67" s="33">
        <f>G67/$P$4+($C$22/$P$4)</f>
        <v/>
      </c>
      <c r="I67" s="36">
        <f>_xlfn.IFS(K67&lt;K$24,0,K67&lt;K$26,I$24,K67&lt;K$28,I$26,K67&lt;K$30,I$28,K67&lt;K$32,I$30,K67&lt;K$34,I$32,K67&lt;K$36,I$34,K67&lt;K$38,I$36,K67&lt;K$40,I$38,K67&lt;K$42,I$40,K67&lt;K$44,I$42,K67&lt;K$46,I$44,K67&gt;=K$46,I$46)</f>
        <v/>
      </c>
      <c r="J67" s="37">
        <f>_xlfn.IFS(K67&lt;K$24,0,K67&lt;K$25,J$24,K67&lt;K$26,J$25,K67&lt;K$27,J$26,K67&lt;K$28,J$27,K67&lt;K$29,J$28,K67&lt;K$30,J$29,K67&lt;K$31,J$30,K67&lt;K$32,J$31,K67&lt;K$33,J$32,K67&lt;K$34,J$33,K67&lt;K$35,J$34,K67&lt;K$36,J$35,K67&lt;K$37,J$36,K67&lt;K$38,J$37,K67&lt;K$39,J$38,K67&lt;K$40,J$39,K67&lt;K$41,J$40,K67&lt;K$42,J$41,K67&lt;K$43,J$42,K67&lt;K$44,J$43,K67&lt;K$45,J$44,K67&lt;K$46,J$45,K67&lt;K$47,J$46,K67&gt;=K$47,J$47)</f>
        <v/>
      </c>
      <c r="K67" s="38" t="n">
        <v>17</v>
      </c>
      <c r="L67" s="31">
        <f>K67/52</f>
        <v/>
      </c>
      <c r="M67" s="39">
        <f>J67/1000000*52</f>
        <v/>
      </c>
      <c r="N67" s="33">
        <f>M67/$P$4+($I$22/$P$4)</f>
        <v/>
      </c>
      <c r="U67">
        <f>F66</f>
        <v/>
      </c>
      <c r="V67">
        <f>H66</f>
        <v/>
      </c>
      <c r="W67">
        <f>N66</f>
        <v/>
      </c>
    </row>
    <row r="68" ht="15.75" customHeight="1" s="40">
      <c r="C68" s="36">
        <f>_xlfn.IFS(E68&lt;E$24,0,E68&lt;E$26,C$24,E68&lt;E$28,C$26,E68&lt;E$30,C$28,E68&lt;E$32,C$30,E68&lt;E$34,C$32,E68&gt;=E$34,C$34)</f>
        <v/>
      </c>
      <c r="D68" s="37">
        <f>_xlfn.IFS(E68&lt;E$24,0,E68&lt;E$25,D$24,E68&lt;E$26,D$25,E68&lt;E$27,D$26,E68&lt;E$28,D$27,E68&lt;E$29,D$28,E68&lt;E$30,D$29,E68&lt;E$31,D$30,E68&lt;E$32,D$31,E68&lt;E$33,D$32,E68&lt;E$34,D$33,E68&lt;E$35,D$34,E68&gt;=E$35,D$35)</f>
        <v/>
      </c>
      <c r="E68" s="38" t="n">
        <v>18</v>
      </c>
      <c r="F68" s="31">
        <f>E68/52</f>
        <v/>
      </c>
      <c r="G68" s="39">
        <f>D68/1000000*52</f>
        <v/>
      </c>
      <c r="H68" s="33">
        <f>G68/$P$4+($C$22/$P$4)</f>
        <v/>
      </c>
      <c r="I68" s="36">
        <f>_xlfn.IFS(K68&lt;K$24,0,K68&lt;K$26,I$24,K68&lt;K$28,I$26,K68&lt;K$30,I$28,K68&lt;K$32,I$30,K68&lt;K$34,I$32,K68&lt;K$36,I$34,K68&lt;K$38,I$36,K68&lt;K$40,I$38,K68&lt;K$42,I$40,K68&lt;K$44,I$42,K68&lt;K$46,I$44,K68&gt;=K$46,I$46)</f>
        <v/>
      </c>
      <c r="J68" s="37">
        <f>_xlfn.IFS(K68&lt;K$24,0,K68&lt;K$25,J$24,K68&lt;K$26,J$25,K68&lt;K$27,J$26,K68&lt;K$28,J$27,K68&lt;K$29,J$28,K68&lt;K$30,J$29,K68&lt;K$31,J$30,K68&lt;K$32,J$31,K68&lt;K$33,J$32,K68&lt;K$34,J$33,K68&lt;K$35,J$34,K68&lt;K$36,J$35,K68&lt;K$37,J$36,K68&lt;K$38,J$37,K68&lt;K$39,J$38,K68&lt;K$40,J$39,K68&lt;K$41,J$40,K68&lt;K$42,J$41,K68&lt;K$43,J$42,K68&lt;K$44,J$43,K68&lt;K$45,J$44,K68&lt;K$46,J$45,K68&lt;K$47,J$46,K68&gt;=K$47,J$47)</f>
        <v/>
      </c>
      <c r="K68" s="38" t="n">
        <v>18</v>
      </c>
      <c r="L68" s="31">
        <f>K68/52</f>
        <v/>
      </c>
      <c r="M68" s="39">
        <f>J68/1000000*52</f>
        <v/>
      </c>
      <c r="N68" s="33">
        <f>M68/$P$4+($I$22/$P$4)</f>
        <v/>
      </c>
      <c r="U68">
        <f>F67</f>
        <v/>
      </c>
      <c r="V68">
        <f>H67</f>
        <v/>
      </c>
      <c r="W68">
        <f>N67</f>
        <v/>
      </c>
    </row>
    <row r="69" ht="15.75" customHeight="1" s="40">
      <c r="C69" s="36">
        <f>_xlfn.IFS(E69&lt;E$24,0,E69&lt;E$26,C$24,E69&lt;E$28,C$26,E69&lt;E$30,C$28,E69&lt;E$32,C$30,E69&lt;E$34,C$32,E69&gt;=E$34,C$34)</f>
        <v/>
      </c>
      <c r="D69" s="37">
        <f>_xlfn.IFS(E69&lt;E$24,0,E69&lt;E$25,D$24,E69&lt;E$26,D$25,E69&lt;E$27,D$26,E69&lt;E$28,D$27,E69&lt;E$29,D$28,E69&lt;E$30,D$29,E69&lt;E$31,D$30,E69&lt;E$32,D$31,E69&lt;E$33,D$32,E69&lt;E$34,D$33,E69&lt;E$35,D$34,E69&gt;=E$35,D$35)</f>
        <v/>
      </c>
      <c r="E69" s="38" t="n">
        <v>19</v>
      </c>
      <c r="F69" s="31">
        <f>E69/52</f>
        <v/>
      </c>
      <c r="G69" s="39">
        <f>D69/1000000*52</f>
        <v/>
      </c>
      <c r="H69" s="33">
        <f>G69/$P$4+($C$22/$P$4)</f>
        <v/>
      </c>
      <c r="I69" s="36">
        <f>_xlfn.IFS(K69&lt;K$24,0,K69&lt;K$26,I$24,K69&lt;K$28,I$26,K69&lt;K$30,I$28,K69&lt;K$32,I$30,K69&lt;K$34,I$32,K69&lt;K$36,I$34,K69&lt;K$38,I$36,K69&lt;K$40,I$38,K69&lt;K$42,I$40,K69&lt;K$44,I$42,K69&lt;K$46,I$44,K69&gt;=K$46,I$46)</f>
        <v/>
      </c>
      <c r="J69" s="37">
        <f>_xlfn.IFS(K69&lt;K$24,0,K69&lt;K$25,J$24,K69&lt;K$26,J$25,K69&lt;K$27,J$26,K69&lt;K$28,J$27,K69&lt;K$29,J$28,K69&lt;K$30,J$29,K69&lt;K$31,J$30,K69&lt;K$32,J$31,K69&lt;K$33,J$32,K69&lt;K$34,J$33,K69&lt;K$35,J$34,K69&lt;K$36,J$35,K69&lt;K$37,J$36,K69&lt;K$38,J$37,K69&lt;K$39,J$38,K69&lt;K$40,J$39,K69&lt;K$41,J$40,K69&lt;K$42,J$41,K69&lt;K$43,J$42,K69&lt;K$44,J$43,K69&lt;K$45,J$44,K69&lt;K$46,J$45,K69&lt;K$47,J$46,K69&gt;=K$47,J$47)</f>
        <v/>
      </c>
      <c r="K69" s="38" t="n">
        <v>19</v>
      </c>
      <c r="L69" s="31">
        <f>K69/52</f>
        <v/>
      </c>
      <c r="M69" s="39">
        <f>J69/1000000*52</f>
        <v/>
      </c>
      <c r="N69" s="33">
        <f>M69/$P$4+($I$22/$P$4)</f>
        <v/>
      </c>
      <c r="U69">
        <f>F68</f>
        <v/>
      </c>
      <c r="V69">
        <f>H68</f>
        <v/>
      </c>
      <c r="W69">
        <f>N68</f>
        <v/>
      </c>
    </row>
    <row r="70" ht="15.75" customHeight="1" s="40">
      <c r="C70" s="36">
        <f>_xlfn.IFS(E70&lt;E$24,0,E70&lt;E$26,C$24,E70&lt;E$28,C$26,E70&lt;E$30,C$28,E70&lt;E$32,C$30,E70&lt;E$34,C$32,E70&gt;=E$34,C$34)</f>
        <v/>
      </c>
      <c r="D70" s="37">
        <f>_xlfn.IFS(E70&lt;E$24,0,E70&lt;E$25,D$24,E70&lt;E$26,D$25,E70&lt;E$27,D$26,E70&lt;E$28,D$27,E70&lt;E$29,D$28,E70&lt;E$30,D$29,E70&lt;E$31,D$30,E70&lt;E$32,D$31,E70&lt;E$33,D$32,E70&lt;E$34,D$33,E70&lt;E$35,D$34,E70&gt;=E$35,D$35)</f>
        <v/>
      </c>
      <c r="E70" s="38" t="n">
        <v>20</v>
      </c>
      <c r="F70" s="31">
        <f>E70/52</f>
        <v/>
      </c>
      <c r="G70" s="39">
        <f>D70/1000000*52</f>
        <v/>
      </c>
      <c r="H70" s="33">
        <f>G70/$P$4+($C$22/$P$4)</f>
        <v/>
      </c>
      <c r="I70" s="36">
        <f>_xlfn.IFS(K70&lt;K$24,0,K70&lt;K$26,I$24,K70&lt;K$28,I$26,K70&lt;K$30,I$28,K70&lt;K$32,I$30,K70&lt;K$34,I$32,K70&lt;K$36,I$34,K70&lt;K$38,I$36,K70&lt;K$40,I$38,K70&lt;K$42,I$40,K70&lt;K$44,I$42,K70&lt;K$46,I$44,K70&gt;=K$46,I$46)</f>
        <v/>
      </c>
      <c r="J70" s="37">
        <f>_xlfn.IFS(K70&lt;K$24,0,K70&lt;K$25,J$24,K70&lt;K$26,J$25,K70&lt;K$27,J$26,K70&lt;K$28,J$27,K70&lt;K$29,J$28,K70&lt;K$30,J$29,K70&lt;K$31,J$30,K70&lt;K$32,J$31,K70&lt;K$33,J$32,K70&lt;K$34,J$33,K70&lt;K$35,J$34,K70&lt;K$36,J$35,K70&lt;K$37,J$36,K70&lt;K$38,J$37,K70&lt;K$39,J$38,K70&lt;K$40,J$39,K70&lt;K$41,J$40,K70&lt;K$42,J$41,K70&lt;K$43,J$42,K70&lt;K$44,J$43,K70&lt;K$45,J$44,K70&lt;K$46,J$45,K70&lt;K$47,J$46,K70&gt;=K$47,J$47)</f>
        <v/>
      </c>
      <c r="K70" s="38" t="n">
        <v>20</v>
      </c>
      <c r="L70" s="31">
        <f>K70/52</f>
        <v/>
      </c>
      <c r="M70" s="39">
        <f>J70/1000000*52</f>
        <v/>
      </c>
      <c r="N70" s="33">
        <f>M70/$P$4+($I$22/$P$4)</f>
        <v/>
      </c>
      <c r="U70">
        <f>F69</f>
        <v/>
      </c>
      <c r="V70">
        <f>H69</f>
        <v/>
      </c>
      <c r="W70">
        <f>N69</f>
        <v/>
      </c>
    </row>
    <row r="71" ht="15.75" customHeight="1" s="40">
      <c r="C71" s="36">
        <f>_xlfn.IFS(E71&lt;E$24,0,E71&lt;E$26,C$24,E71&lt;E$28,C$26,E71&lt;E$30,C$28,E71&lt;E$32,C$30,E71&lt;E$34,C$32,E71&gt;=E$34,C$34)</f>
        <v/>
      </c>
      <c r="D71" s="37">
        <f>_xlfn.IFS(E71&lt;E$24,0,E71&lt;E$25,D$24,E71&lt;E$26,D$25,E71&lt;E$27,D$26,E71&lt;E$28,D$27,E71&lt;E$29,D$28,E71&lt;E$30,D$29,E71&lt;E$31,D$30,E71&lt;E$32,D$31,E71&lt;E$33,D$32,E71&lt;E$34,D$33,E71&lt;E$35,D$34,E71&gt;=E$35,D$35)</f>
        <v/>
      </c>
      <c r="E71" s="38" t="n">
        <v>21</v>
      </c>
      <c r="F71" s="31">
        <f>E71/52</f>
        <v/>
      </c>
      <c r="G71" s="39">
        <f>D71/1000000*52</f>
        <v/>
      </c>
      <c r="H71" s="33">
        <f>G71/$P$4+($C$22/$P$4)</f>
        <v/>
      </c>
      <c r="I71" s="36">
        <f>_xlfn.IFS(K71&lt;K$24,0,K71&lt;K$26,I$24,K71&lt;K$28,I$26,K71&lt;K$30,I$28,K71&lt;K$32,I$30,K71&lt;K$34,I$32,K71&lt;K$36,I$34,K71&lt;K$38,I$36,K71&lt;K$40,I$38,K71&lt;K$42,I$40,K71&lt;K$44,I$42,K71&lt;K$46,I$44,K71&gt;=K$46,I$46)</f>
        <v/>
      </c>
      <c r="J71" s="37">
        <f>_xlfn.IFS(K71&lt;K$24,0,K71&lt;K$25,J$24,K71&lt;K$26,J$25,K71&lt;K$27,J$26,K71&lt;K$28,J$27,K71&lt;K$29,J$28,K71&lt;K$30,J$29,K71&lt;K$31,J$30,K71&lt;K$32,J$31,K71&lt;K$33,J$32,K71&lt;K$34,J$33,K71&lt;K$35,J$34,K71&lt;K$36,J$35,K71&lt;K$37,J$36,K71&lt;K$38,J$37,K71&lt;K$39,J$38,K71&lt;K$40,J$39,K71&lt;K$41,J$40,K71&lt;K$42,J$41,K71&lt;K$43,J$42,K71&lt;K$44,J$43,K71&lt;K$45,J$44,K71&lt;K$46,J$45,K71&lt;K$47,J$46,K71&gt;=K$47,J$47)</f>
        <v/>
      </c>
      <c r="K71" s="38" t="n">
        <v>21</v>
      </c>
      <c r="L71" s="31">
        <f>K71/52</f>
        <v/>
      </c>
      <c r="M71" s="39">
        <f>J71/1000000*52</f>
        <v/>
      </c>
      <c r="N71" s="33">
        <f>M71/$P$4+($I$22/$P$4)</f>
        <v/>
      </c>
      <c r="U71">
        <f>F70</f>
        <v/>
      </c>
      <c r="V71">
        <f>H70</f>
        <v/>
      </c>
      <c r="W71">
        <f>N70</f>
        <v/>
      </c>
    </row>
    <row r="72" ht="15.75" customHeight="1" s="40">
      <c r="C72" s="36">
        <f>_xlfn.IFS(E72&lt;E$24,0,E72&lt;E$26,C$24,E72&lt;E$28,C$26,E72&lt;E$30,C$28,E72&lt;E$32,C$30,E72&lt;E$34,C$32,E72&gt;=E$34,C$34)</f>
        <v/>
      </c>
      <c r="D72" s="37">
        <f>_xlfn.IFS(E72&lt;E$24,0,E72&lt;E$25,D$24,E72&lt;E$26,D$25,E72&lt;E$27,D$26,E72&lt;E$28,D$27,E72&lt;E$29,D$28,E72&lt;E$30,D$29,E72&lt;E$31,D$30,E72&lt;E$32,D$31,E72&lt;E$33,D$32,E72&lt;E$34,D$33,E72&lt;E$35,D$34,E72&gt;=E$35,D$35)</f>
        <v/>
      </c>
      <c r="E72" s="38" t="n">
        <v>22</v>
      </c>
      <c r="F72" s="31">
        <f>E72/52</f>
        <v/>
      </c>
      <c r="G72" s="39">
        <f>D72/1000000*52</f>
        <v/>
      </c>
      <c r="H72" s="33">
        <f>G72/$P$4+($C$22/$P$4)</f>
        <v/>
      </c>
      <c r="I72" s="36">
        <f>_xlfn.IFS(K72&lt;K$24,0,K72&lt;K$26,I$24,K72&lt;K$28,I$26,K72&lt;K$30,I$28,K72&lt;K$32,I$30,K72&lt;K$34,I$32,K72&lt;K$36,I$34,K72&lt;K$38,I$36,K72&lt;K$40,I$38,K72&lt;K$42,I$40,K72&lt;K$44,I$42,K72&lt;K$46,I$44,K72&gt;=K$46,I$46)</f>
        <v/>
      </c>
      <c r="J72" s="37">
        <f>_xlfn.IFS(K72&lt;K$24,0,K72&lt;K$25,J$24,K72&lt;K$26,J$25,K72&lt;K$27,J$26,K72&lt;K$28,J$27,K72&lt;K$29,J$28,K72&lt;K$30,J$29,K72&lt;K$31,J$30,K72&lt;K$32,J$31,K72&lt;K$33,J$32,K72&lt;K$34,J$33,K72&lt;K$35,J$34,K72&lt;K$36,J$35,K72&lt;K$37,J$36,K72&lt;K$38,J$37,K72&lt;K$39,J$38,K72&lt;K$40,J$39,K72&lt;K$41,J$40,K72&lt;K$42,J$41,K72&lt;K$43,J$42,K72&lt;K$44,J$43,K72&lt;K$45,J$44,K72&lt;K$46,J$45,K72&lt;K$47,J$46,K72&gt;=K$47,J$47)</f>
        <v/>
      </c>
      <c r="K72" s="38" t="n">
        <v>22</v>
      </c>
      <c r="L72" s="31">
        <f>K72/52</f>
        <v/>
      </c>
      <c r="M72" s="39">
        <f>J72/1000000*52</f>
        <v/>
      </c>
      <c r="N72" s="33">
        <f>M72/$P$4+($I$22/$P$4)</f>
        <v/>
      </c>
      <c r="U72">
        <f>F71</f>
        <v/>
      </c>
      <c r="V72">
        <f>H71</f>
        <v/>
      </c>
      <c r="W72">
        <f>N71</f>
        <v/>
      </c>
    </row>
    <row r="73" ht="15.75" customHeight="1" s="40">
      <c r="C73" s="36">
        <f>_xlfn.IFS(E73&lt;E$24,0,E73&lt;E$26,C$24,E73&lt;E$28,C$26,E73&lt;E$30,C$28,E73&lt;E$32,C$30,E73&lt;E$34,C$32,E73&gt;=E$34,C$34)</f>
        <v/>
      </c>
      <c r="D73" s="37">
        <f>_xlfn.IFS(E73&lt;E$24,0,E73&lt;E$25,D$24,E73&lt;E$26,D$25,E73&lt;E$27,D$26,E73&lt;E$28,D$27,E73&lt;E$29,D$28,E73&lt;E$30,D$29,E73&lt;E$31,D$30,E73&lt;E$32,D$31,E73&lt;E$33,D$32,E73&lt;E$34,D$33,E73&lt;E$35,D$34,E73&gt;=E$35,D$35)</f>
        <v/>
      </c>
      <c r="E73" s="38" t="n">
        <v>23</v>
      </c>
      <c r="F73" s="31">
        <f>E73/52</f>
        <v/>
      </c>
      <c r="G73" s="39">
        <f>D73/1000000*52</f>
        <v/>
      </c>
      <c r="H73" s="33">
        <f>G73/$P$4+($C$22/$P$4)</f>
        <v/>
      </c>
      <c r="I73" s="36">
        <f>_xlfn.IFS(K73&lt;K$24,0,K73&lt;K$26,I$24,K73&lt;K$28,I$26,K73&lt;K$30,I$28,K73&lt;K$32,I$30,K73&lt;K$34,I$32,K73&lt;K$36,I$34,K73&lt;K$38,I$36,K73&lt;K$40,I$38,K73&lt;K$42,I$40,K73&lt;K$44,I$42,K73&lt;K$46,I$44,K73&gt;=K$46,I$46)</f>
        <v/>
      </c>
      <c r="J73" s="37">
        <f>_xlfn.IFS(K73&lt;K$24,0,K73&lt;K$25,J$24,K73&lt;K$26,J$25,K73&lt;K$27,J$26,K73&lt;K$28,J$27,K73&lt;K$29,J$28,K73&lt;K$30,J$29,K73&lt;K$31,J$30,K73&lt;K$32,J$31,K73&lt;K$33,J$32,K73&lt;K$34,J$33,K73&lt;K$35,J$34,K73&lt;K$36,J$35,K73&lt;K$37,J$36,K73&lt;K$38,J$37,K73&lt;K$39,J$38,K73&lt;K$40,J$39,K73&lt;K$41,J$40,K73&lt;K$42,J$41,K73&lt;K$43,J$42,K73&lt;K$44,J$43,K73&lt;K$45,J$44,K73&lt;K$46,J$45,K73&lt;K$47,J$46,K73&gt;=K$47,J$47)</f>
        <v/>
      </c>
      <c r="K73" s="38" t="n">
        <v>23</v>
      </c>
      <c r="L73" s="31">
        <f>K73/52</f>
        <v/>
      </c>
      <c r="M73" s="39">
        <f>J73/1000000*52</f>
        <v/>
      </c>
      <c r="N73" s="33">
        <f>M73/$P$4+($I$22/$P$4)</f>
        <v/>
      </c>
      <c r="U73">
        <f>F72</f>
        <v/>
      </c>
      <c r="V73">
        <f>H72</f>
        <v/>
      </c>
      <c r="W73">
        <f>N72</f>
        <v/>
      </c>
    </row>
    <row r="74" ht="15.75" customHeight="1" s="40">
      <c r="C74" s="36">
        <f>_xlfn.IFS(E74&lt;E$24,0,E74&lt;E$26,C$24,E74&lt;E$28,C$26,E74&lt;E$30,C$28,E74&lt;E$32,C$30,E74&lt;E$34,C$32,E74&gt;=E$34,C$34)</f>
        <v/>
      </c>
      <c r="D74" s="37">
        <f>_xlfn.IFS(E74&lt;E$24,0,E74&lt;E$25,D$24,E74&lt;E$26,D$25,E74&lt;E$27,D$26,E74&lt;E$28,D$27,E74&lt;E$29,D$28,E74&lt;E$30,D$29,E74&lt;E$31,D$30,E74&lt;E$32,D$31,E74&lt;E$33,D$32,E74&lt;E$34,D$33,E74&lt;E$35,D$34,E74&gt;=E$35,D$35)</f>
        <v/>
      </c>
      <c r="E74" s="38" t="n">
        <v>24</v>
      </c>
      <c r="F74" s="31">
        <f>E74/52</f>
        <v/>
      </c>
      <c r="G74" s="39">
        <f>D74/1000000*52</f>
        <v/>
      </c>
      <c r="H74" s="33">
        <f>G74/$P$4+($C$22/$P$4)</f>
        <v/>
      </c>
      <c r="I74" s="36">
        <f>_xlfn.IFS(K74&lt;K$24,0,K74&lt;K$26,I$24,K74&lt;K$28,I$26,K74&lt;K$30,I$28,K74&lt;K$32,I$30,K74&lt;K$34,I$32,K74&lt;K$36,I$34,K74&lt;K$38,I$36,K74&lt;K$40,I$38,K74&lt;K$42,I$40,K74&lt;K$44,I$42,K74&lt;K$46,I$44,K74&gt;=K$46,I$46)</f>
        <v/>
      </c>
      <c r="J74" s="37">
        <f>_xlfn.IFS(K74&lt;K$24,0,K74&lt;K$25,J$24,K74&lt;K$26,J$25,K74&lt;K$27,J$26,K74&lt;K$28,J$27,K74&lt;K$29,J$28,K74&lt;K$30,J$29,K74&lt;K$31,J$30,K74&lt;K$32,J$31,K74&lt;K$33,J$32,K74&lt;K$34,J$33,K74&lt;K$35,J$34,K74&lt;K$36,J$35,K74&lt;K$37,J$36,K74&lt;K$38,J$37,K74&lt;K$39,J$38,K74&lt;K$40,J$39,K74&lt;K$41,J$40,K74&lt;K$42,J$41,K74&lt;K$43,J$42,K74&lt;K$44,J$43,K74&lt;K$45,J$44,K74&lt;K$46,J$45,K74&lt;K$47,J$46,K74&gt;=K$47,J$47)</f>
        <v/>
      </c>
      <c r="K74" s="38" t="n">
        <v>24</v>
      </c>
      <c r="L74" s="31">
        <f>K74/52</f>
        <v/>
      </c>
      <c r="M74" s="39">
        <f>J74/1000000*52</f>
        <v/>
      </c>
      <c r="N74" s="33">
        <f>M74/$P$4+($I$22/$P$4)</f>
        <v/>
      </c>
      <c r="U74">
        <f>F73</f>
        <v/>
      </c>
      <c r="V74">
        <f>H73</f>
        <v/>
      </c>
      <c r="W74">
        <f>N73</f>
        <v/>
      </c>
    </row>
    <row r="75" ht="15.75" customHeight="1" s="40">
      <c r="C75" s="36">
        <f>_xlfn.IFS(E75&lt;E$24,0,E75&lt;E$26,C$24,E75&lt;E$28,C$26,E75&lt;E$30,C$28,E75&lt;E$32,C$30,E75&lt;E$34,C$32,E75&gt;=E$34,C$34)</f>
        <v/>
      </c>
      <c r="D75" s="37">
        <f>_xlfn.IFS(E75&lt;E$24,0,E75&lt;E$25,D$24,E75&lt;E$26,D$25,E75&lt;E$27,D$26,E75&lt;E$28,D$27,E75&lt;E$29,D$28,E75&lt;E$30,D$29,E75&lt;E$31,D$30,E75&lt;E$32,D$31,E75&lt;E$33,D$32,E75&lt;E$34,D$33,E75&lt;E$35,D$34,E75&gt;=E$35,D$35)</f>
        <v/>
      </c>
      <c r="E75" s="38" t="n">
        <v>25</v>
      </c>
      <c r="F75" s="31">
        <f>E75/52</f>
        <v/>
      </c>
      <c r="G75" s="39">
        <f>D75/1000000*52</f>
        <v/>
      </c>
      <c r="H75" s="33">
        <f>G75/$P$4+($C$22/$P$4)</f>
        <v/>
      </c>
      <c r="I75" s="36">
        <f>_xlfn.IFS(K75&lt;K$24,0,K75&lt;K$26,I$24,K75&lt;K$28,I$26,K75&lt;K$30,I$28,K75&lt;K$32,I$30,K75&lt;K$34,I$32,K75&lt;K$36,I$34,K75&lt;K$38,I$36,K75&lt;K$40,I$38,K75&lt;K$42,I$40,K75&lt;K$44,I$42,K75&lt;K$46,I$44,K75&gt;=K$46,I$46)</f>
        <v/>
      </c>
      <c r="J75" s="37">
        <f>_xlfn.IFS(K75&lt;K$24,0,K75&lt;K$25,J$24,K75&lt;K$26,J$25,K75&lt;K$27,J$26,K75&lt;K$28,J$27,K75&lt;K$29,J$28,K75&lt;K$30,J$29,K75&lt;K$31,J$30,K75&lt;K$32,J$31,K75&lt;K$33,J$32,K75&lt;K$34,J$33,K75&lt;K$35,J$34,K75&lt;K$36,J$35,K75&lt;K$37,J$36,K75&lt;K$38,J$37,K75&lt;K$39,J$38,K75&lt;K$40,J$39,K75&lt;K$41,J$40,K75&lt;K$42,J$41,K75&lt;K$43,J$42,K75&lt;K$44,J$43,K75&lt;K$45,J$44,K75&lt;K$46,J$45,K75&lt;K$47,J$46,K75&gt;=K$47,J$47)</f>
        <v/>
      </c>
      <c r="K75" s="38" t="n">
        <v>25</v>
      </c>
      <c r="L75" s="31">
        <f>K75/52</f>
        <v/>
      </c>
      <c r="M75" s="39">
        <f>J75/1000000*52</f>
        <v/>
      </c>
      <c r="N75" s="33">
        <f>M75/$P$4+($I$22/$P$4)</f>
        <v/>
      </c>
      <c r="U75">
        <f>F74</f>
        <v/>
      </c>
      <c r="V75">
        <f>H74</f>
        <v/>
      </c>
      <c r="W75">
        <f>N74</f>
        <v/>
      </c>
    </row>
    <row r="76" ht="15.75" customHeight="1" s="40">
      <c r="C76" s="36">
        <f>_xlfn.IFS(E76&lt;E$24,0,E76&lt;E$26,C$24,E76&lt;E$28,C$26,E76&lt;E$30,C$28,E76&lt;E$32,C$30,E76&lt;E$34,C$32,E76&gt;=E$34,C$34)</f>
        <v/>
      </c>
      <c r="D76" s="37">
        <f>_xlfn.IFS(E76&lt;E$24,0,E76&lt;E$25,D$24,E76&lt;E$26,D$25,E76&lt;E$27,D$26,E76&lt;E$28,D$27,E76&lt;E$29,D$28,E76&lt;E$30,D$29,E76&lt;E$31,D$30,E76&lt;E$32,D$31,E76&lt;E$33,D$32,E76&lt;E$34,D$33,E76&lt;E$35,D$34,E76&gt;=E$35,D$35)</f>
        <v/>
      </c>
      <c r="E76" s="38" t="n">
        <v>26</v>
      </c>
      <c r="F76" s="31">
        <f>E76/52</f>
        <v/>
      </c>
      <c r="G76" s="39">
        <f>D76/1000000*52</f>
        <v/>
      </c>
      <c r="H76" s="33">
        <f>G76/$P$4+($C$22/$P$4)</f>
        <v/>
      </c>
      <c r="I76" s="36">
        <f>_xlfn.IFS(K76&lt;K$24,0,K76&lt;K$26,I$24,K76&lt;K$28,I$26,K76&lt;K$30,I$28,K76&lt;K$32,I$30,K76&lt;K$34,I$32,K76&lt;K$36,I$34,K76&lt;K$38,I$36,K76&lt;K$40,I$38,K76&lt;K$42,I$40,K76&lt;K$44,I$42,K76&lt;K$46,I$44,K76&gt;=K$46,I$46)</f>
        <v/>
      </c>
      <c r="J76" s="37">
        <f>_xlfn.IFS(K76&lt;K$24,0,K76&lt;K$25,J$24,K76&lt;K$26,J$25,K76&lt;K$27,J$26,K76&lt;K$28,J$27,K76&lt;K$29,J$28,K76&lt;K$30,J$29,K76&lt;K$31,J$30,K76&lt;K$32,J$31,K76&lt;K$33,J$32,K76&lt;K$34,J$33,K76&lt;K$35,J$34,K76&lt;K$36,J$35,K76&lt;K$37,J$36,K76&lt;K$38,J$37,K76&lt;K$39,J$38,K76&lt;K$40,J$39,K76&lt;K$41,J$40,K76&lt;K$42,J$41,K76&lt;K$43,J$42,K76&lt;K$44,J$43,K76&lt;K$45,J$44,K76&lt;K$46,J$45,K76&lt;K$47,J$46,K76&gt;=K$47,J$47)</f>
        <v/>
      </c>
      <c r="K76" s="38" t="n">
        <v>26</v>
      </c>
      <c r="L76" s="31">
        <f>K76/52</f>
        <v/>
      </c>
      <c r="M76" s="39">
        <f>J76/1000000*52</f>
        <v/>
      </c>
      <c r="N76" s="33">
        <f>M76/$P$4+($I$22/$P$4)</f>
        <v/>
      </c>
      <c r="U76">
        <f>F75</f>
        <v/>
      </c>
      <c r="V76">
        <f>H75</f>
        <v/>
      </c>
      <c r="W76">
        <f>N75</f>
        <v/>
      </c>
    </row>
    <row r="77" ht="15.75" customHeight="1" s="40">
      <c r="C77" s="36">
        <f>_xlfn.IFS(E77&lt;E$24,0,E77&lt;E$26,C$24,E77&lt;E$28,C$26,E77&lt;E$30,C$28,E77&lt;E$32,C$30,E77&lt;E$34,C$32,E77&gt;=E$34,C$34)</f>
        <v/>
      </c>
      <c r="D77" s="37">
        <f>_xlfn.IFS(E77&lt;E$24,0,E77&lt;E$25,D$24,E77&lt;E$26,D$25,E77&lt;E$27,D$26,E77&lt;E$28,D$27,E77&lt;E$29,D$28,E77&lt;E$30,D$29,E77&lt;E$31,D$30,E77&lt;E$32,D$31,E77&lt;E$33,D$32,E77&lt;E$34,D$33,E77&lt;E$35,D$34,E77&gt;=E$35,D$35)</f>
        <v/>
      </c>
      <c r="E77" s="38" t="n">
        <v>27</v>
      </c>
      <c r="F77" s="31">
        <f>E77/52</f>
        <v/>
      </c>
      <c r="G77" s="39">
        <f>D77/1000000*52</f>
        <v/>
      </c>
      <c r="H77" s="33">
        <f>G77/$P$4+($C$22/$P$4)</f>
        <v/>
      </c>
      <c r="I77" s="36">
        <f>_xlfn.IFS(K77&lt;K$24,0,K77&lt;K$26,I$24,K77&lt;K$28,I$26,K77&lt;K$30,I$28,K77&lt;K$32,I$30,K77&lt;K$34,I$32,K77&lt;K$36,I$34,K77&lt;K$38,I$36,K77&lt;K$40,I$38,K77&lt;K$42,I$40,K77&lt;K$44,I$42,K77&lt;K$46,I$44,K77&gt;=K$46,I$46)</f>
        <v/>
      </c>
      <c r="J77" s="37">
        <f>_xlfn.IFS(K77&lt;K$24,0,K77&lt;K$25,J$24,K77&lt;K$26,J$25,K77&lt;K$27,J$26,K77&lt;K$28,J$27,K77&lt;K$29,J$28,K77&lt;K$30,J$29,K77&lt;K$31,J$30,K77&lt;K$32,J$31,K77&lt;K$33,J$32,K77&lt;K$34,J$33,K77&lt;K$35,J$34,K77&lt;K$36,J$35,K77&lt;K$37,J$36,K77&lt;K$38,J$37,K77&lt;K$39,J$38,K77&lt;K$40,J$39,K77&lt;K$41,J$40,K77&lt;K$42,J$41,K77&lt;K$43,J$42,K77&lt;K$44,J$43,K77&lt;K$45,J$44,K77&lt;K$46,J$45,K77&lt;K$47,J$46,K77&gt;=K$47,J$47)</f>
        <v/>
      </c>
      <c r="K77" s="38" t="n">
        <v>27</v>
      </c>
      <c r="L77" s="31">
        <f>K77/52</f>
        <v/>
      </c>
      <c r="M77" s="39">
        <f>J77/1000000*52</f>
        <v/>
      </c>
      <c r="N77" s="33">
        <f>M77/$P$4+($I$22/$P$4)</f>
        <v/>
      </c>
      <c r="U77">
        <f>F76</f>
        <v/>
      </c>
      <c r="V77">
        <f>H76</f>
        <v/>
      </c>
      <c r="W77">
        <f>N76</f>
        <v/>
      </c>
    </row>
    <row r="78" ht="15.75" customHeight="1" s="40">
      <c r="C78" s="36">
        <f>_xlfn.IFS(E78&lt;E$24,0,E78&lt;E$26,C$24,E78&lt;E$28,C$26,E78&lt;E$30,C$28,E78&lt;E$32,C$30,E78&lt;E$34,C$32,E78&gt;=E$34,C$34)</f>
        <v/>
      </c>
      <c r="D78" s="37">
        <f>_xlfn.IFS(E78&lt;E$24,0,E78&lt;E$25,D$24,E78&lt;E$26,D$25,E78&lt;E$27,D$26,E78&lt;E$28,D$27,E78&lt;E$29,D$28,E78&lt;E$30,D$29,E78&lt;E$31,D$30,E78&lt;E$32,D$31,E78&lt;E$33,D$32,E78&lt;E$34,D$33,E78&lt;E$35,D$34,E78&gt;=E$35,D$35)</f>
        <v/>
      </c>
      <c r="E78" s="38" t="n">
        <v>28</v>
      </c>
      <c r="F78" s="31">
        <f>E78/52</f>
        <v/>
      </c>
      <c r="G78" s="39">
        <f>D78/1000000*52</f>
        <v/>
      </c>
      <c r="H78" s="33">
        <f>G78/$P$4+($C$22/$P$4)</f>
        <v/>
      </c>
      <c r="I78" s="36">
        <f>_xlfn.IFS(K78&lt;K$24,0,K78&lt;K$26,I$24,K78&lt;K$28,I$26,K78&lt;K$30,I$28,K78&lt;K$32,I$30,K78&lt;K$34,I$32,K78&lt;K$36,I$34,K78&lt;K$38,I$36,K78&lt;K$40,I$38,K78&lt;K$42,I$40,K78&lt;K$44,I$42,K78&lt;K$46,I$44,K78&gt;=K$46,I$46)</f>
        <v/>
      </c>
      <c r="J78" s="37">
        <f>_xlfn.IFS(K78&lt;K$24,0,K78&lt;K$25,J$24,K78&lt;K$26,J$25,K78&lt;K$27,J$26,K78&lt;K$28,J$27,K78&lt;K$29,J$28,K78&lt;K$30,J$29,K78&lt;K$31,J$30,K78&lt;K$32,J$31,K78&lt;K$33,J$32,K78&lt;K$34,J$33,K78&lt;K$35,J$34,K78&lt;K$36,J$35,K78&lt;K$37,J$36,K78&lt;K$38,J$37,K78&lt;K$39,J$38,K78&lt;K$40,J$39,K78&lt;K$41,J$40,K78&lt;K$42,J$41,K78&lt;K$43,J$42,K78&lt;K$44,J$43,K78&lt;K$45,J$44,K78&lt;K$46,J$45,K78&lt;K$47,J$46,K78&gt;=K$47,J$47)</f>
        <v/>
      </c>
      <c r="K78" s="38" t="n">
        <v>28</v>
      </c>
      <c r="L78" s="31">
        <f>K78/52</f>
        <v/>
      </c>
      <c r="M78" s="39">
        <f>J78/1000000*52</f>
        <v/>
      </c>
      <c r="N78" s="33">
        <f>M78/$P$4+($I$22/$P$4)</f>
        <v/>
      </c>
      <c r="U78">
        <f>F77</f>
        <v/>
      </c>
      <c r="V78">
        <f>H77</f>
        <v/>
      </c>
      <c r="W78">
        <f>N77</f>
        <v/>
      </c>
    </row>
    <row r="79" ht="15.75" customHeight="1" s="40">
      <c r="C79" s="36">
        <f>_xlfn.IFS(E79&lt;E$24,0,E79&lt;E$26,C$24,E79&lt;E$28,C$26,E79&lt;E$30,C$28,E79&lt;E$32,C$30,E79&lt;E$34,C$32,E79&gt;=E$34,C$34)</f>
        <v/>
      </c>
      <c r="D79" s="37">
        <f>_xlfn.IFS(E79&lt;E$24,0,E79&lt;E$25,D$24,E79&lt;E$26,D$25,E79&lt;E$27,D$26,E79&lt;E$28,D$27,E79&lt;E$29,D$28,E79&lt;E$30,D$29,E79&lt;E$31,D$30,E79&lt;E$32,D$31,E79&lt;E$33,D$32,E79&lt;E$34,D$33,E79&lt;E$35,D$34,E79&gt;=E$35,D$35)</f>
        <v/>
      </c>
      <c r="E79" s="38" t="n">
        <v>29</v>
      </c>
      <c r="F79" s="31">
        <f>E79/52</f>
        <v/>
      </c>
      <c r="G79" s="39">
        <f>D79/1000000*52</f>
        <v/>
      </c>
      <c r="H79" s="33">
        <f>G79/$P$4+($C$22/$P$4)</f>
        <v/>
      </c>
      <c r="I79" s="36">
        <f>_xlfn.IFS(K79&lt;K$24,0,K79&lt;K$26,I$24,K79&lt;K$28,I$26,K79&lt;K$30,I$28,K79&lt;K$32,I$30,K79&lt;K$34,I$32,K79&lt;K$36,I$34,K79&lt;K$38,I$36,K79&lt;K$40,I$38,K79&lt;K$42,I$40,K79&lt;K$44,I$42,K79&lt;K$46,I$44,K79&gt;=K$46,I$46)</f>
        <v/>
      </c>
      <c r="J79" s="37">
        <f>_xlfn.IFS(K79&lt;K$24,0,K79&lt;K$25,J$24,K79&lt;K$26,J$25,K79&lt;K$27,J$26,K79&lt;K$28,J$27,K79&lt;K$29,J$28,K79&lt;K$30,J$29,K79&lt;K$31,J$30,K79&lt;K$32,J$31,K79&lt;K$33,J$32,K79&lt;K$34,J$33,K79&lt;K$35,J$34,K79&lt;K$36,J$35,K79&lt;K$37,J$36,K79&lt;K$38,J$37,K79&lt;K$39,J$38,K79&lt;K$40,J$39,K79&lt;K$41,J$40,K79&lt;K$42,J$41,K79&lt;K$43,J$42,K79&lt;K$44,J$43,K79&lt;K$45,J$44,K79&lt;K$46,J$45,K79&lt;K$47,J$46,K79&gt;=K$47,J$47)</f>
        <v/>
      </c>
      <c r="K79" s="38" t="n">
        <v>29</v>
      </c>
      <c r="L79" s="31">
        <f>K79/52</f>
        <v/>
      </c>
      <c r="M79" s="39">
        <f>J79/1000000*52</f>
        <v/>
      </c>
      <c r="N79" s="33">
        <f>M79/$P$4+($I$22/$P$4)</f>
        <v/>
      </c>
      <c r="U79">
        <f>F78</f>
        <v/>
      </c>
      <c r="V79">
        <f>H78</f>
        <v/>
      </c>
      <c r="W79">
        <f>N78</f>
        <v/>
      </c>
    </row>
    <row r="80" ht="15.75" customHeight="1" s="40">
      <c r="C80" s="36">
        <f>_xlfn.IFS(E80&lt;E$24,0,E80&lt;E$26,C$24,E80&lt;E$28,C$26,E80&lt;E$30,C$28,E80&lt;E$32,C$30,E80&lt;E$34,C$32,E80&gt;=E$34,C$34)</f>
        <v/>
      </c>
      <c r="D80" s="37">
        <f>_xlfn.IFS(E80&lt;E$24,0,E80&lt;E$25,D$24,E80&lt;E$26,D$25,E80&lt;E$27,D$26,E80&lt;E$28,D$27,E80&lt;E$29,D$28,E80&lt;E$30,D$29,E80&lt;E$31,D$30,E80&lt;E$32,D$31,E80&lt;E$33,D$32,E80&lt;E$34,D$33,E80&lt;E$35,D$34,E80&gt;=E$35,D$35)</f>
        <v/>
      </c>
      <c r="E80" s="38" t="n">
        <v>30</v>
      </c>
      <c r="F80" s="31">
        <f>E80/52</f>
        <v/>
      </c>
      <c r="G80" s="39">
        <f>D80/1000000*52</f>
        <v/>
      </c>
      <c r="H80" s="33">
        <f>G80/$P$4+($C$22/$P$4)</f>
        <v/>
      </c>
      <c r="I80" s="36">
        <f>_xlfn.IFS(K80&lt;K$24,0,K80&lt;K$26,I$24,K80&lt;K$28,I$26,K80&lt;K$30,I$28,K80&lt;K$32,I$30,K80&lt;K$34,I$32,K80&lt;K$36,I$34,K80&lt;K$38,I$36,K80&lt;K$40,I$38,K80&lt;K$42,I$40,K80&lt;K$44,I$42,K80&lt;K$46,I$44,K80&gt;=K$46,I$46)</f>
        <v/>
      </c>
      <c r="J80" s="37">
        <f>_xlfn.IFS(K80&lt;K$24,0,K80&lt;K$25,J$24,K80&lt;K$26,J$25,K80&lt;K$27,J$26,K80&lt;K$28,J$27,K80&lt;K$29,J$28,K80&lt;K$30,J$29,K80&lt;K$31,J$30,K80&lt;K$32,J$31,K80&lt;K$33,J$32,K80&lt;K$34,J$33,K80&lt;K$35,J$34,K80&lt;K$36,J$35,K80&lt;K$37,J$36,K80&lt;K$38,J$37,K80&lt;K$39,J$38,K80&lt;K$40,J$39,K80&lt;K$41,J$40,K80&lt;K$42,J$41,K80&lt;K$43,J$42,K80&lt;K$44,J$43,K80&lt;K$45,J$44,K80&lt;K$46,J$45,K80&lt;K$47,J$46,K80&gt;=K$47,J$47)</f>
        <v/>
      </c>
      <c r="K80" s="38" t="n">
        <v>30</v>
      </c>
      <c r="L80" s="31">
        <f>K80/52</f>
        <v/>
      </c>
      <c r="M80" s="39">
        <f>J80/1000000*52</f>
        <v/>
      </c>
      <c r="N80" s="33">
        <f>M80/$P$4+($I$22/$P$4)</f>
        <v/>
      </c>
      <c r="U80">
        <f>F79</f>
        <v/>
      </c>
      <c r="V80">
        <f>H79</f>
        <v/>
      </c>
      <c r="W80">
        <f>N79</f>
        <v/>
      </c>
    </row>
    <row r="81" ht="15.75" customHeight="1" s="40">
      <c r="C81" s="36">
        <f>_xlfn.IFS(E81&lt;E$24,0,E81&lt;E$26,C$24,E81&lt;E$28,C$26,E81&lt;E$30,C$28,E81&lt;E$32,C$30,E81&lt;E$34,C$32,E81&gt;=E$34,C$34)</f>
        <v/>
      </c>
      <c r="D81" s="37">
        <f>_xlfn.IFS(E81&lt;E$24,0,E81&lt;E$25,D$24,E81&lt;E$26,D$25,E81&lt;E$27,D$26,E81&lt;E$28,D$27,E81&lt;E$29,D$28,E81&lt;E$30,D$29,E81&lt;E$31,D$30,E81&lt;E$32,D$31,E81&lt;E$33,D$32,E81&lt;E$34,D$33,E81&lt;E$35,D$34,E81&gt;=E$35,D$35)</f>
        <v/>
      </c>
      <c r="E81" s="38" t="n">
        <v>31</v>
      </c>
      <c r="F81" s="31">
        <f>E81/52</f>
        <v/>
      </c>
      <c r="G81" s="39">
        <f>D81/1000000*52</f>
        <v/>
      </c>
      <c r="H81" s="33">
        <f>G81/$P$4+($C$22/$P$4)</f>
        <v/>
      </c>
      <c r="I81" s="36">
        <f>_xlfn.IFS(K81&lt;K$24,0,K81&lt;K$26,I$24,K81&lt;K$28,I$26,K81&lt;K$30,I$28,K81&lt;K$32,I$30,K81&lt;K$34,I$32,K81&lt;K$36,I$34,K81&lt;K$38,I$36,K81&lt;K$40,I$38,K81&lt;K$42,I$40,K81&lt;K$44,I$42,K81&lt;K$46,I$44,K81&gt;=K$46,I$46)</f>
        <v/>
      </c>
      <c r="J81" s="37">
        <f>_xlfn.IFS(K81&lt;K$24,0,K81&lt;K$25,J$24,K81&lt;K$26,J$25,K81&lt;K$27,J$26,K81&lt;K$28,J$27,K81&lt;K$29,J$28,K81&lt;K$30,J$29,K81&lt;K$31,J$30,K81&lt;K$32,J$31,K81&lt;K$33,J$32,K81&lt;K$34,J$33,K81&lt;K$35,J$34,K81&lt;K$36,J$35,K81&lt;K$37,J$36,K81&lt;K$38,J$37,K81&lt;K$39,J$38,K81&lt;K$40,J$39,K81&lt;K$41,J$40,K81&lt;K$42,J$41,K81&lt;K$43,J$42,K81&lt;K$44,J$43,K81&lt;K$45,J$44,K81&lt;K$46,J$45,K81&lt;K$47,J$46,K81&gt;=K$47,J$47)</f>
        <v/>
      </c>
      <c r="K81" s="38" t="n">
        <v>31</v>
      </c>
      <c r="L81" s="31">
        <f>K81/52</f>
        <v/>
      </c>
      <c r="M81" s="39">
        <f>J81/1000000*52</f>
        <v/>
      </c>
      <c r="N81" s="33">
        <f>M81/$P$4+($I$22/$P$4)</f>
        <v/>
      </c>
      <c r="U81">
        <f>F80</f>
        <v/>
      </c>
      <c r="V81">
        <f>H80</f>
        <v/>
      </c>
      <c r="W81">
        <f>N80</f>
        <v/>
      </c>
    </row>
    <row r="82" ht="15.75" customHeight="1" s="40">
      <c r="C82" s="36">
        <f>_xlfn.IFS(E82&lt;E$24,0,E82&lt;E$26,C$24,E82&lt;E$28,C$26,E82&lt;E$30,C$28,E82&lt;E$32,C$30,E82&lt;E$34,C$32,E82&gt;=E$34,C$34)</f>
        <v/>
      </c>
      <c r="D82" s="37">
        <f>_xlfn.IFS(E82&lt;E$24,0,E82&lt;E$25,D$24,E82&lt;E$26,D$25,E82&lt;E$27,D$26,E82&lt;E$28,D$27,E82&lt;E$29,D$28,E82&lt;E$30,D$29,E82&lt;E$31,D$30,E82&lt;E$32,D$31,E82&lt;E$33,D$32,E82&lt;E$34,D$33,E82&lt;E$35,D$34,E82&gt;=E$35,D$35)</f>
        <v/>
      </c>
      <c r="E82" s="38" t="n">
        <v>32</v>
      </c>
      <c r="F82" s="31">
        <f>E82/52</f>
        <v/>
      </c>
      <c r="G82" s="39">
        <f>D82/1000000*52</f>
        <v/>
      </c>
      <c r="H82" s="33">
        <f>G82/$P$4+($C$22/$P$4)</f>
        <v/>
      </c>
      <c r="I82" s="36">
        <f>_xlfn.IFS(K82&lt;K$24,0,K82&lt;K$26,I$24,K82&lt;K$28,I$26,K82&lt;K$30,I$28,K82&lt;K$32,I$30,K82&lt;K$34,I$32,K82&lt;K$36,I$34,K82&lt;K$38,I$36,K82&lt;K$40,I$38,K82&lt;K$42,I$40,K82&lt;K$44,I$42,K82&lt;K$46,I$44,K82&gt;=K$46,I$46)</f>
        <v/>
      </c>
      <c r="J82" s="37">
        <f>_xlfn.IFS(K82&lt;K$24,0,K82&lt;K$25,J$24,K82&lt;K$26,J$25,K82&lt;K$27,J$26,K82&lt;K$28,J$27,K82&lt;K$29,J$28,K82&lt;K$30,J$29,K82&lt;K$31,J$30,K82&lt;K$32,J$31,K82&lt;K$33,J$32,K82&lt;K$34,J$33,K82&lt;K$35,J$34,K82&lt;K$36,J$35,K82&lt;K$37,J$36,K82&lt;K$38,J$37,K82&lt;K$39,J$38,K82&lt;K$40,J$39,K82&lt;K$41,J$40,K82&lt;K$42,J$41,K82&lt;K$43,J$42,K82&lt;K$44,J$43,K82&lt;K$45,J$44,K82&lt;K$46,J$45,K82&lt;K$47,J$46,K82&gt;=K$47,J$47)</f>
        <v/>
      </c>
      <c r="K82" s="38" t="n">
        <v>32</v>
      </c>
      <c r="L82" s="31">
        <f>K82/52</f>
        <v/>
      </c>
      <c r="M82" s="39">
        <f>J82/1000000*52</f>
        <v/>
      </c>
      <c r="N82" s="33">
        <f>M82/$P$4+($I$22/$P$4)</f>
        <v/>
      </c>
      <c r="U82">
        <f>F81</f>
        <v/>
      </c>
      <c r="V82">
        <f>H81</f>
        <v/>
      </c>
      <c r="W82">
        <f>N81</f>
        <v/>
      </c>
    </row>
    <row r="83" ht="15.75" customHeight="1" s="40">
      <c r="C83" s="36">
        <f>_xlfn.IFS(E83&lt;E$24,0,E83&lt;E$26,C$24,E83&lt;E$28,C$26,E83&lt;E$30,C$28,E83&lt;E$32,C$30,E83&lt;E$34,C$32,E83&gt;=E$34,C$34)</f>
        <v/>
      </c>
      <c r="D83" s="37">
        <f>_xlfn.IFS(E83&lt;E$24,0,E83&lt;E$25,D$24,E83&lt;E$26,D$25,E83&lt;E$27,D$26,E83&lt;E$28,D$27,E83&lt;E$29,D$28,E83&lt;E$30,D$29,E83&lt;E$31,D$30,E83&lt;E$32,D$31,E83&lt;E$33,D$32,E83&lt;E$34,D$33,E83&lt;E$35,D$34,E83&gt;=E$35,D$35)</f>
        <v/>
      </c>
      <c r="E83" s="38" t="n">
        <v>33</v>
      </c>
      <c r="F83" s="31">
        <f>E83/52</f>
        <v/>
      </c>
      <c r="G83" s="39">
        <f>D83/1000000*52</f>
        <v/>
      </c>
      <c r="H83" s="33">
        <f>G83/$P$4+($C$22/$P$4)</f>
        <v/>
      </c>
      <c r="I83" s="36">
        <f>_xlfn.IFS(K83&lt;K$24,0,K83&lt;K$26,I$24,K83&lt;K$28,I$26,K83&lt;K$30,I$28,K83&lt;K$32,I$30,K83&lt;K$34,I$32,K83&lt;K$36,I$34,K83&lt;K$38,I$36,K83&lt;K$40,I$38,K83&lt;K$42,I$40,K83&lt;K$44,I$42,K83&lt;K$46,I$44,K83&gt;=K$46,I$46)</f>
        <v/>
      </c>
      <c r="J83" s="37">
        <f>_xlfn.IFS(K83&lt;K$24,0,K83&lt;K$25,J$24,K83&lt;K$26,J$25,K83&lt;K$27,J$26,K83&lt;K$28,J$27,K83&lt;K$29,J$28,K83&lt;K$30,J$29,K83&lt;K$31,J$30,K83&lt;K$32,J$31,K83&lt;K$33,J$32,K83&lt;K$34,J$33,K83&lt;K$35,J$34,K83&lt;K$36,J$35,K83&lt;K$37,J$36,K83&lt;K$38,J$37,K83&lt;K$39,J$38,K83&lt;K$40,J$39,K83&lt;K$41,J$40,K83&lt;K$42,J$41,K83&lt;K$43,J$42,K83&lt;K$44,J$43,K83&lt;K$45,J$44,K83&lt;K$46,J$45,K83&lt;K$47,J$46,K83&gt;=K$47,J$47)</f>
        <v/>
      </c>
      <c r="K83" s="38" t="n">
        <v>33</v>
      </c>
      <c r="L83" s="31">
        <f>K83/52</f>
        <v/>
      </c>
      <c r="M83" s="39">
        <f>J83/1000000*52</f>
        <v/>
      </c>
      <c r="N83" s="33">
        <f>M83/$P$4+($I$22/$P$4)</f>
        <v/>
      </c>
      <c r="U83">
        <f>F82</f>
        <v/>
      </c>
      <c r="V83">
        <f>H82</f>
        <v/>
      </c>
      <c r="W83">
        <f>N82</f>
        <v/>
      </c>
    </row>
    <row r="84" ht="15.75" customHeight="1" s="40">
      <c r="C84" s="36">
        <f>_xlfn.IFS(E84&lt;E$24,0,E84&lt;E$26,C$24,E84&lt;E$28,C$26,E84&lt;E$30,C$28,E84&lt;E$32,C$30,E84&lt;E$34,C$32,E84&gt;=E$34,C$34)</f>
        <v/>
      </c>
      <c r="D84" s="37">
        <f>_xlfn.IFS(E84&lt;E$24,0,E84&lt;E$25,D$24,E84&lt;E$26,D$25,E84&lt;E$27,D$26,E84&lt;E$28,D$27,E84&lt;E$29,D$28,E84&lt;E$30,D$29,E84&lt;E$31,D$30,E84&lt;E$32,D$31,E84&lt;E$33,D$32,E84&lt;E$34,D$33,E84&lt;E$35,D$34,E84&gt;=E$35,D$35)</f>
        <v/>
      </c>
      <c r="E84" s="38" t="n">
        <v>34</v>
      </c>
      <c r="F84" s="31">
        <f>E84/52</f>
        <v/>
      </c>
      <c r="G84" s="39">
        <f>D84/1000000*52</f>
        <v/>
      </c>
      <c r="H84" s="33">
        <f>G84/$P$4+($C$22/$P$4)</f>
        <v/>
      </c>
      <c r="I84" s="36">
        <f>_xlfn.IFS(K84&lt;K$24,0,K84&lt;K$26,I$24,K84&lt;K$28,I$26,K84&lt;K$30,I$28,K84&lt;K$32,I$30,K84&lt;K$34,I$32,K84&lt;K$36,I$34,K84&lt;K$38,I$36,K84&lt;K$40,I$38,K84&lt;K$42,I$40,K84&lt;K$44,I$42,K84&lt;K$46,I$44,K84&gt;=K$46,I$46)</f>
        <v/>
      </c>
      <c r="J84" s="37">
        <f>_xlfn.IFS(K84&lt;K$24,0,K84&lt;K$25,J$24,K84&lt;K$26,J$25,K84&lt;K$27,J$26,K84&lt;K$28,J$27,K84&lt;K$29,J$28,K84&lt;K$30,J$29,K84&lt;K$31,J$30,K84&lt;K$32,J$31,K84&lt;K$33,J$32,K84&lt;K$34,J$33,K84&lt;K$35,J$34,K84&lt;K$36,J$35,K84&lt;K$37,J$36,K84&lt;K$38,J$37,K84&lt;K$39,J$38,K84&lt;K$40,J$39,K84&lt;K$41,J$40,K84&lt;K$42,J$41,K84&lt;K$43,J$42,K84&lt;K$44,J$43,K84&lt;K$45,J$44,K84&lt;K$46,J$45,K84&lt;K$47,J$46,K84&gt;=K$47,J$47)</f>
        <v/>
      </c>
      <c r="K84" s="38" t="n">
        <v>34</v>
      </c>
      <c r="L84" s="31">
        <f>K84/52</f>
        <v/>
      </c>
      <c r="M84" s="39">
        <f>J84/1000000*52</f>
        <v/>
      </c>
      <c r="N84" s="33">
        <f>M84/$P$4+($I$22/$P$4)</f>
        <v/>
      </c>
      <c r="U84">
        <f>F83</f>
        <v/>
      </c>
      <c r="V84">
        <f>H83</f>
        <v/>
      </c>
      <c r="W84">
        <f>N83</f>
        <v/>
      </c>
    </row>
    <row r="85" ht="15.75" customHeight="1" s="40">
      <c r="C85" s="36">
        <f>_xlfn.IFS(E85&lt;E$24,0,E85&lt;E$26,C$24,E85&lt;E$28,C$26,E85&lt;E$30,C$28,E85&lt;E$32,C$30,E85&lt;E$34,C$32,E85&gt;=E$34,C$34)</f>
        <v/>
      </c>
      <c r="D85" s="37">
        <f>_xlfn.IFS(E85&lt;E$24,0,E85&lt;E$25,D$24,E85&lt;E$26,D$25,E85&lt;E$27,D$26,E85&lt;E$28,D$27,E85&lt;E$29,D$28,E85&lt;E$30,D$29,E85&lt;E$31,D$30,E85&lt;E$32,D$31,E85&lt;E$33,D$32,E85&lt;E$34,D$33,E85&lt;E$35,D$34,E85&gt;=E$35,D$35)</f>
        <v/>
      </c>
      <c r="E85" s="38" t="n">
        <v>35</v>
      </c>
      <c r="F85" s="31">
        <f>E85/52</f>
        <v/>
      </c>
      <c r="G85" s="39">
        <f>D85/1000000*52</f>
        <v/>
      </c>
      <c r="H85" s="33">
        <f>G85/$P$4+($C$22/$P$4)</f>
        <v/>
      </c>
      <c r="I85" s="36">
        <f>_xlfn.IFS(K85&lt;K$24,0,K85&lt;K$26,I$24,K85&lt;K$28,I$26,K85&lt;K$30,I$28,K85&lt;K$32,I$30,K85&lt;K$34,I$32,K85&lt;K$36,I$34,K85&lt;K$38,I$36,K85&lt;K$40,I$38,K85&lt;K$42,I$40,K85&lt;K$44,I$42,K85&lt;K$46,I$44,K85&gt;=K$46,I$46)</f>
        <v/>
      </c>
      <c r="J85" s="37">
        <f>_xlfn.IFS(K85&lt;K$24,0,K85&lt;K$25,J$24,K85&lt;K$26,J$25,K85&lt;K$27,J$26,K85&lt;K$28,J$27,K85&lt;K$29,J$28,K85&lt;K$30,J$29,K85&lt;K$31,J$30,K85&lt;K$32,J$31,K85&lt;K$33,J$32,K85&lt;K$34,J$33,K85&lt;K$35,J$34,K85&lt;K$36,J$35,K85&lt;K$37,J$36,K85&lt;K$38,J$37,K85&lt;K$39,J$38,K85&lt;K$40,J$39,K85&lt;K$41,J$40,K85&lt;K$42,J$41,K85&lt;K$43,J$42,K85&lt;K$44,J$43,K85&lt;K$45,J$44,K85&lt;K$46,J$45,K85&lt;K$47,J$46,K85&gt;=K$47,J$47)</f>
        <v/>
      </c>
      <c r="K85" s="38" t="n">
        <v>35</v>
      </c>
      <c r="L85" s="31">
        <f>K85/52</f>
        <v/>
      </c>
      <c r="M85" s="39">
        <f>J85/1000000*52</f>
        <v/>
      </c>
      <c r="N85" s="33">
        <f>M85/$P$4+($I$22/$P$4)</f>
        <v/>
      </c>
      <c r="U85">
        <f>F84</f>
        <v/>
      </c>
      <c r="V85">
        <f>H84</f>
        <v/>
      </c>
      <c r="W85">
        <f>N84</f>
        <v/>
      </c>
    </row>
    <row r="86" ht="15.75" customHeight="1" s="40">
      <c r="C86" s="36">
        <f>_xlfn.IFS(E86&lt;E$24,0,E86&lt;E$26,C$24,E86&lt;E$28,C$26,E86&lt;E$30,C$28,E86&lt;E$32,C$30,E86&lt;E$34,C$32,E86&gt;=E$34,C$34)</f>
        <v/>
      </c>
      <c r="D86" s="37">
        <f>_xlfn.IFS(E86&lt;E$24,0,E86&lt;E$25,D$24,E86&lt;E$26,D$25,E86&lt;E$27,D$26,E86&lt;E$28,D$27,E86&lt;E$29,D$28,E86&lt;E$30,D$29,E86&lt;E$31,D$30,E86&lt;E$32,D$31,E86&lt;E$33,D$32,E86&lt;E$34,D$33,E86&lt;E$35,D$34,E86&gt;=E$35,D$35)</f>
        <v/>
      </c>
      <c r="E86" s="38" t="n">
        <v>36</v>
      </c>
      <c r="F86" s="31">
        <f>E86/52</f>
        <v/>
      </c>
      <c r="G86" s="39">
        <f>D86/1000000*52</f>
        <v/>
      </c>
      <c r="H86" s="33">
        <f>G86/$P$4+($C$22/$P$4)</f>
        <v/>
      </c>
      <c r="I86" s="36">
        <f>_xlfn.IFS(K86&lt;K$24,0,K86&lt;K$26,I$24,K86&lt;K$28,I$26,K86&lt;K$30,I$28,K86&lt;K$32,I$30,K86&lt;K$34,I$32,K86&lt;K$36,I$34,K86&lt;K$38,I$36,K86&lt;K$40,I$38,K86&lt;K$42,I$40,K86&lt;K$44,I$42,K86&lt;K$46,I$44,K86&gt;=K$46,I$46)</f>
        <v/>
      </c>
      <c r="J86" s="37">
        <f>_xlfn.IFS(K86&lt;K$24,0,K86&lt;K$25,J$24,K86&lt;K$26,J$25,K86&lt;K$27,J$26,K86&lt;K$28,J$27,K86&lt;K$29,J$28,K86&lt;K$30,J$29,K86&lt;K$31,J$30,K86&lt;K$32,J$31,K86&lt;K$33,J$32,K86&lt;K$34,J$33,K86&lt;K$35,J$34,K86&lt;K$36,J$35,K86&lt;K$37,J$36,K86&lt;K$38,J$37,K86&lt;K$39,J$38,K86&lt;K$40,J$39,K86&lt;K$41,J$40,K86&lt;K$42,J$41,K86&lt;K$43,J$42,K86&lt;K$44,J$43,K86&lt;K$45,J$44,K86&lt;K$46,J$45,K86&lt;K$47,J$46,K86&gt;=K$47,J$47)</f>
        <v/>
      </c>
      <c r="K86" s="38" t="n">
        <v>36</v>
      </c>
      <c r="L86" s="31">
        <f>K86/52</f>
        <v/>
      </c>
      <c r="M86" s="39">
        <f>J86/1000000*52</f>
        <v/>
      </c>
      <c r="N86" s="33">
        <f>M86/$P$4+($I$22/$P$4)</f>
        <v/>
      </c>
      <c r="U86">
        <f>F85</f>
        <v/>
      </c>
      <c r="V86">
        <f>H85</f>
        <v/>
      </c>
      <c r="W86">
        <f>N85</f>
        <v/>
      </c>
    </row>
    <row r="87" ht="15.75" customHeight="1" s="40">
      <c r="C87" s="36">
        <f>_xlfn.IFS(E87&lt;E$24,0,E87&lt;E$26,C$24,E87&lt;E$28,C$26,E87&lt;E$30,C$28,E87&lt;E$32,C$30,E87&lt;E$34,C$32,E87&gt;=E$34,C$34)</f>
        <v/>
      </c>
      <c r="D87" s="37">
        <f>_xlfn.IFS(E87&lt;E$24,0,E87&lt;E$25,D$24,E87&lt;E$26,D$25,E87&lt;E$27,D$26,E87&lt;E$28,D$27,E87&lt;E$29,D$28,E87&lt;E$30,D$29,E87&lt;E$31,D$30,E87&lt;E$32,D$31,E87&lt;E$33,D$32,E87&lt;E$34,D$33,E87&lt;E$35,D$34,E87&gt;=E$35,D$35)</f>
        <v/>
      </c>
      <c r="E87" s="38" t="n">
        <v>37</v>
      </c>
      <c r="F87" s="31">
        <f>E87/52</f>
        <v/>
      </c>
      <c r="G87" s="39">
        <f>D87/1000000*52</f>
        <v/>
      </c>
      <c r="H87" s="33">
        <f>G87/$P$4+($C$22/$P$4)</f>
        <v/>
      </c>
      <c r="I87" s="36">
        <f>_xlfn.IFS(K87&lt;K$24,0,K87&lt;K$26,I$24,K87&lt;K$28,I$26,K87&lt;K$30,I$28,K87&lt;K$32,I$30,K87&lt;K$34,I$32,K87&lt;K$36,I$34,K87&lt;K$38,I$36,K87&lt;K$40,I$38,K87&lt;K$42,I$40,K87&lt;K$44,I$42,K87&lt;K$46,I$44,K87&gt;=K$46,I$46)</f>
        <v/>
      </c>
      <c r="J87" s="37">
        <f>_xlfn.IFS(K87&lt;K$24,0,K87&lt;K$25,J$24,K87&lt;K$26,J$25,K87&lt;K$27,J$26,K87&lt;K$28,J$27,K87&lt;K$29,J$28,K87&lt;K$30,J$29,K87&lt;K$31,J$30,K87&lt;K$32,J$31,K87&lt;K$33,J$32,K87&lt;K$34,J$33,K87&lt;K$35,J$34,K87&lt;K$36,J$35,K87&lt;K$37,J$36,K87&lt;K$38,J$37,K87&lt;K$39,J$38,K87&lt;K$40,J$39,K87&lt;K$41,J$40,K87&lt;K$42,J$41,K87&lt;K$43,J$42,K87&lt;K$44,J$43,K87&lt;K$45,J$44,K87&lt;K$46,J$45,K87&lt;K$47,J$46,K87&gt;=K$47,J$47)</f>
        <v/>
      </c>
      <c r="K87" s="38" t="n">
        <v>37</v>
      </c>
      <c r="L87" s="31">
        <f>K87/52</f>
        <v/>
      </c>
      <c r="M87" s="39">
        <f>J87/1000000*52</f>
        <v/>
      </c>
      <c r="N87" s="33">
        <f>M87/$P$4+($I$22/$P$4)</f>
        <v/>
      </c>
      <c r="U87">
        <f>F86</f>
        <v/>
      </c>
      <c r="V87">
        <f>H86</f>
        <v/>
      </c>
      <c r="W87">
        <f>N86</f>
        <v/>
      </c>
    </row>
    <row r="88" ht="15.75" customHeight="1" s="40">
      <c r="C88" s="36">
        <f>_xlfn.IFS(E88&lt;E$24,0,E88&lt;E$26,C$24,E88&lt;E$28,C$26,E88&lt;E$30,C$28,E88&lt;E$32,C$30,E88&lt;E$34,C$32,E88&gt;=E$34,C$34)</f>
        <v/>
      </c>
      <c r="D88" s="37">
        <f>_xlfn.IFS(E88&lt;E$24,0,E88&lt;E$25,D$24,E88&lt;E$26,D$25,E88&lt;E$27,D$26,E88&lt;E$28,D$27,E88&lt;E$29,D$28,E88&lt;E$30,D$29,E88&lt;E$31,D$30,E88&lt;E$32,D$31,E88&lt;E$33,D$32,E88&lt;E$34,D$33,E88&lt;E$35,D$34,E88&gt;=E$35,D$35)</f>
        <v/>
      </c>
      <c r="E88" s="38" t="n">
        <v>38</v>
      </c>
      <c r="F88" s="31">
        <f>E88/52</f>
        <v/>
      </c>
      <c r="G88" s="39">
        <f>D88/1000000*52</f>
        <v/>
      </c>
      <c r="H88" s="33">
        <f>G88/$P$4+($C$22/$P$4)</f>
        <v/>
      </c>
      <c r="I88" s="36">
        <f>_xlfn.IFS(K88&lt;K$24,0,K88&lt;K$26,I$24,K88&lt;K$28,I$26,K88&lt;K$30,I$28,K88&lt;K$32,I$30,K88&lt;K$34,I$32,K88&lt;K$36,I$34,K88&lt;K$38,I$36,K88&lt;K$40,I$38,K88&lt;K$42,I$40,K88&lt;K$44,I$42,K88&lt;K$46,I$44,K88&gt;=K$46,I$46)</f>
        <v/>
      </c>
      <c r="J88" s="37">
        <f>_xlfn.IFS(K88&lt;K$24,0,K88&lt;K$25,J$24,K88&lt;K$26,J$25,K88&lt;K$27,J$26,K88&lt;K$28,J$27,K88&lt;K$29,J$28,K88&lt;K$30,J$29,K88&lt;K$31,J$30,K88&lt;K$32,J$31,K88&lt;K$33,J$32,K88&lt;K$34,J$33,K88&lt;K$35,J$34,K88&lt;K$36,J$35,K88&lt;K$37,J$36,K88&lt;K$38,J$37,K88&lt;K$39,J$38,K88&lt;K$40,J$39,K88&lt;K$41,J$40,K88&lt;K$42,J$41,K88&lt;K$43,J$42,K88&lt;K$44,J$43,K88&lt;K$45,J$44,K88&lt;K$46,J$45,K88&lt;K$47,J$46,K88&gt;=K$47,J$47)</f>
        <v/>
      </c>
      <c r="K88" s="38" t="n">
        <v>38</v>
      </c>
      <c r="L88" s="31">
        <f>K88/52</f>
        <v/>
      </c>
      <c r="M88" s="39">
        <f>J88/1000000*52</f>
        <v/>
      </c>
      <c r="N88" s="33">
        <f>M88/$P$4+($I$22/$P$4)</f>
        <v/>
      </c>
      <c r="U88">
        <f>F87</f>
        <v/>
      </c>
      <c r="V88">
        <f>H87</f>
        <v/>
      </c>
      <c r="W88">
        <f>N87</f>
        <v/>
      </c>
    </row>
    <row r="89" ht="15.75" customHeight="1" s="40">
      <c r="C89" s="36">
        <f>_xlfn.IFS(E89&lt;E$24,0,E89&lt;E$26,C$24,E89&lt;E$28,C$26,E89&lt;E$30,C$28,E89&lt;E$32,C$30,E89&lt;E$34,C$32,E89&gt;=E$34,C$34)</f>
        <v/>
      </c>
      <c r="D89" s="37">
        <f>_xlfn.IFS(E89&lt;E$24,0,E89&lt;E$25,D$24,E89&lt;E$26,D$25,E89&lt;E$27,D$26,E89&lt;E$28,D$27,E89&lt;E$29,D$28,E89&lt;E$30,D$29,E89&lt;E$31,D$30,E89&lt;E$32,D$31,E89&lt;E$33,D$32,E89&lt;E$34,D$33,E89&lt;E$35,D$34,E89&gt;=E$35,D$35)</f>
        <v/>
      </c>
      <c r="E89" s="38" t="n">
        <v>39</v>
      </c>
      <c r="F89" s="31">
        <f>E89/52</f>
        <v/>
      </c>
      <c r="G89" s="39">
        <f>D89/1000000*52</f>
        <v/>
      </c>
      <c r="H89" s="33">
        <f>G89/$P$4+($C$22/$P$4)</f>
        <v/>
      </c>
      <c r="I89" s="36">
        <f>_xlfn.IFS(K89&lt;K$24,0,K89&lt;K$26,I$24,K89&lt;K$28,I$26,K89&lt;K$30,I$28,K89&lt;K$32,I$30,K89&lt;K$34,I$32,K89&lt;K$36,I$34,K89&lt;K$38,I$36,K89&lt;K$40,I$38,K89&lt;K$42,I$40,K89&lt;K$44,I$42,K89&lt;K$46,I$44,K89&gt;=K$46,I$46)</f>
        <v/>
      </c>
      <c r="J89" s="37">
        <f>_xlfn.IFS(K89&lt;K$24,0,K89&lt;K$25,J$24,K89&lt;K$26,J$25,K89&lt;K$27,J$26,K89&lt;K$28,J$27,K89&lt;K$29,J$28,K89&lt;K$30,J$29,K89&lt;K$31,J$30,K89&lt;K$32,J$31,K89&lt;K$33,J$32,K89&lt;K$34,J$33,K89&lt;K$35,J$34,K89&lt;K$36,J$35,K89&lt;K$37,J$36,K89&lt;K$38,J$37,K89&lt;K$39,J$38,K89&lt;K$40,J$39,K89&lt;K$41,J$40,K89&lt;K$42,J$41,K89&lt;K$43,J$42,K89&lt;K$44,J$43,K89&lt;K$45,J$44,K89&lt;K$46,J$45,K89&lt;K$47,J$46,K89&gt;=K$47,J$47)</f>
        <v/>
      </c>
      <c r="K89" s="38" t="n">
        <v>39</v>
      </c>
      <c r="L89" s="31">
        <f>K89/52</f>
        <v/>
      </c>
      <c r="M89" s="39">
        <f>J89/1000000*52</f>
        <v/>
      </c>
      <c r="N89" s="33">
        <f>M89/$P$4+($I$22/$P$4)</f>
        <v/>
      </c>
      <c r="U89">
        <f>F88</f>
        <v/>
      </c>
      <c r="V89">
        <f>H88</f>
        <v/>
      </c>
      <c r="W89">
        <f>N88</f>
        <v/>
      </c>
    </row>
    <row r="90" ht="15.75" customHeight="1" s="40">
      <c r="C90" s="36">
        <f>_xlfn.IFS(E90&lt;E$24,0,E90&lt;E$26,C$24,E90&lt;E$28,C$26,E90&lt;E$30,C$28,E90&lt;E$32,C$30,E90&lt;E$34,C$32,E90&gt;=E$34,C$34)</f>
        <v/>
      </c>
      <c r="D90" s="37">
        <f>_xlfn.IFS(E90&lt;E$24,0,E90&lt;E$25,D$24,E90&lt;E$26,D$25,E90&lt;E$27,D$26,E90&lt;E$28,D$27,E90&lt;E$29,D$28,E90&lt;E$30,D$29,E90&lt;E$31,D$30,E90&lt;E$32,D$31,E90&lt;E$33,D$32,E90&lt;E$34,D$33,E90&lt;E$35,D$34,E90&gt;=E$35,D$35)</f>
        <v/>
      </c>
      <c r="E90" s="38" t="n">
        <v>40</v>
      </c>
      <c r="F90" s="31">
        <f>E90/52</f>
        <v/>
      </c>
      <c r="G90" s="39">
        <f>D90/1000000*52</f>
        <v/>
      </c>
      <c r="H90" s="33">
        <f>G90/$P$4+($C$22/$P$4)</f>
        <v/>
      </c>
      <c r="I90" s="36">
        <f>_xlfn.IFS(K90&lt;K$24,0,K90&lt;K$26,I$24,K90&lt;K$28,I$26,K90&lt;K$30,I$28,K90&lt;K$32,I$30,K90&lt;K$34,I$32,K90&lt;K$36,I$34,K90&lt;K$38,I$36,K90&lt;K$40,I$38,K90&lt;K$42,I$40,K90&lt;K$44,I$42,K90&lt;K$46,I$44,K90&gt;=K$46,I$46)</f>
        <v/>
      </c>
      <c r="J90" s="37">
        <f>_xlfn.IFS(K90&lt;K$24,0,K90&lt;K$25,J$24,K90&lt;K$26,J$25,K90&lt;K$27,J$26,K90&lt;K$28,J$27,K90&lt;K$29,J$28,K90&lt;K$30,J$29,K90&lt;K$31,J$30,K90&lt;K$32,J$31,K90&lt;K$33,J$32,K90&lt;K$34,J$33,K90&lt;K$35,J$34,K90&lt;K$36,J$35,K90&lt;K$37,J$36,K90&lt;K$38,J$37,K90&lt;K$39,J$38,K90&lt;K$40,J$39,K90&lt;K$41,J$40,K90&lt;K$42,J$41,K90&lt;K$43,J$42,K90&lt;K$44,J$43,K90&lt;K$45,J$44,K90&lt;K$46,J$45,K90&lt;K$47,J$46,K90&gt;=K$47,J$47)</f>
        <v/>
      </c>
      <c r="K90" s="38" t="n">
        <v>40</v>
      </c>
      <c r="L90" s="31">
        <f>K90/52</f>
        <v/>
      </c>
      <c r="M90" s="39">
        <f>J90/1000000*52</f>
        <v/>
      </c>
      <c r="N90" s="33">
        <f>M90/$P$4+($I$22/$P$4)</f>
        <v/>
      </c>
      <c r="U90">
        <f>F89</f>
        <v/>
      </c>
      <c r="V90">
        <f>H89</f>
        <v/>
      </c>
      <c r="W90">
        <f>N89</f>
        <v/>
      </c>
    </row>
    <row r="91" ht="15.75" customHeight="1" s="40">
      <c r="C91" s="36">
        <f>_xlfn.IFS(E91&lt;E$24,0,E91&lt;E$26,C$24,E91&lt;E$28,C$26,E91&lt;E$30,C$28,E91&lt;E$32,C$30,E91&lt;E$34,C$32,E91&gt;=E$34,C$34)</f>
        <v/>
      </c>
      <c r="D91" s="37">
        <f>_xlfn.IFS(E91&lt;E$24,0,E91&lt;E$25,D$24,E91&lt;E$26,D$25,E91&lt;E$27,D$26,E91&lt;E$28,D$27,E91&lt;E$29,D$28,E91&lt;E$30,D$29,E91&lt;E$31,D$30,E91&lt;E$32,D$31,E91&lt;E$33,D$32,E91&lt;E$34,D$33,E91&lt;E$35,D$34,E91&gt;=E$35,D$35)</f>
        <v/>
      </c>
      <c r="E91" s="38" t="n">
        <v>41</v>
      </c>
      <c r="F91" s="31">
        <f>E91/52</f>
        <v/>
      </c>
      <c r="G91" s="39">
        <f>D91/1000000*52</f>
        <v/>
      </c>
      <c r="H91" s="33">
        <f>G91/$P$4+($C$22/$P$4)</f>
        <v/>
      </c>
      <c r="I91" s="36">
        <f>_xlfn.IFS(K91&lt;K$24,0,K91&lt;K$26,I$24,K91&lt;K$28,I$26,K91&lt;K$30,I$28,K91&lt;K$32,I$30,K91&lt;K$34,I$32,K91&lt;K$36,I$34,K91&lt;K$38,I$36,K91&lt;K$40,I$38,K91&lt;K$42,I$40,K91&lt;K$44,I$42,K91&lt;K$46,I$44,K91&gt;=K$46,I$46)</f>
        <v/>
      </c>
      <c r="J91" s="37">
        <f>_xlfn.IFS(K91&lt;K$24,0,K91&lt;K$25,J$24,K91&lt;K$26,J$25,K91&lt;K$27,J$26,K91&lt;K$28,J$27,K91&lt;K$29,J$28,K91&lt;K$30,J$29,K91&lt;K$31,J$30,K91&lt;K$32,J$31,K91&lt;K$33,J$32,K91&lt;K$34,J$33,K91&lt;K$35,J$34,K91&lt;K$36,J$35,K91&lt;K$37,J$36,K91&lt;K$38,J$37,K91&lt;K$39,J$38,K91&lt;K$40,J$39,K91&lt;K$41,J$40,K91&lt;K$42,J$41,K91&lt;K$43,J$42,K91&lt;K$44,J$43,K91&lt;K$45,J$44,K91&lt;K$46,J$45,K91&lt;K$47,J$46,K91&gt;=K$47,J$47)</f>
        <v/>
      </c>
      <c r="K91" s="38" t="n">
        <v>41</v>
      </c>
      <c r="L91" s="31">
        <f>K91/52</f>
        <v/>
      </c>
      <c r="M91" s="39">
        <f>J91/1000000*52</f>
        <v/>
      </c>
      <c r="N91" s="33">
        <f>M91/$P$4+($I$22/$P$4)</f>
        <v/>
      </c>
      <c r="U91">
        <f>F90</f>
        <v/>
      </c>
      <c r="V91">
        <f>H90</f>
        <v/>
      </c>
      <c r="W91">
        <f>N90</f>
        <v/>
      </c>
    </row>
    <row r="92" ht="15.75" customHeight="1" s="40">
      <c r="C92" s="36">
        <f>_xlfn.IFS(E92&lt;E$24,0,E92&lt;E$26,C$24,E92&lt;E$28,C$26,E92&lt;E$30,C$28,E92&lt;E$32,C$30,E92&lt;E$34,C$32,E92&gt;=E$34,C$34)</f>
        <v/>
      </c>
      <c r="D92" s="37">
        <f>_xlfn.IFS(E92&lt;E$24,0,E92&lt;E$25,D$24,E92&lt;E$26,D$25,E92&lt;E$27,D$26,E92&lt;E$28,D$27,E92&lt;E$29,D$28,E92&lt;E$30,D$29,E92&lt;E$31,D$30,E92&lt;E$32,D$31,E92&lt;E$33,D$32,E92&lt;E$34,D$33,E92&lt;E$35,D$34,E92&gt;=E$35,D$35)</f>
        <v/>
      </c>
      <c r="E92" s="38" t="n">
        <v>42</v>
      </c>
      <c r="F92" s="31">
        <f>E92/52</f>
        <v/>
      </c>
      <c r="G92" s="39">
        <f>D92/1000000*52</f>
        <v/>
      </c>
      <c r="H92" s="33">
        <f>G92/$P$4+($C$22/$P$4)</f>
        <v/>
      </c>
      <c r="I92" s="36">
        <f>_xlfn.IFS(K92&lt;K$24,0,K92&lt;K$26,I$24,K92&lt;K$28,I$26,K92&lt;K$30,I$28,K92&lt;K$32,I$30,K92&lt;K$34,I$32,K92&lt;K$36,I$34,K92&lt;K$38,I$36,K92&lt;K$40,I$38,K92&lt;K$42,I$40,K92&lt;K$44,I$42,K92&lt;K$46,I$44,K92&gt;=K$46,I$46)</f>
        <v/>
      </c>
      <c r="J92" s="37">
        <f>_xlfn.IFS(K92&lt;K$24,0,K92&lt;K$25,J$24,K92&lt;K$26,J$25,K92&lt;K$27,J$26,K92&lt;K$28,J$27,K92&lt;K$29,J$28,K92&lt;K$30,J$29,K92&lt;K$31,J$30,K92&lt;K$32,J$31,K92&lt;K$33,J$32,K92&lt;K$34,J$33,K92&lt;K$35,J$34,K92&lt;K$36,J$35,K92&lt;K$37,J$36,K92&lt;K$38,J$37,K92&lt;K$39,J$38,K92&lt;K$40,J$39,K92&lt;K$41,J$40,K92&lt;K$42,J$41,K92&lt;K$43,J$42,K92&lt;K$44,J$43,K92&lt;K$45,J$44,K92&lt;K$46,J$45,K92&lt;K$47,J$46,K92&gt;=K$47,J$47)</f>
        <v/>
      </c>
      <c r="K92" s="38" t="n">
        <v>42</v>
      </c>
      <c r="L92" s="31">
        <f>K92/52</f>
        <v/>
      </c>
      <c r="M92" s="39">
        <f>J92/1000000*52</f>
        <v/>
      </c>
      <c r="N92" s="33">
        <f>M92/$P$4+($I$22/$P$4)</f>
        <v/>
      </c>
      <c r="U92">
        <f>F91</f>
        <v/>
      </c>
      <c r="V92">
        <f>H91</f>
        <v/>
      </c>
      <c r="W92">
        <f>N91</f>
        <v/>
      </c>
    </row>
    <row r="93" ht="15.75" customHeight="1" s="40">
      <c r="C93" s="36">
        <f>_xlfn.IFS(E93&lt;E$24,0,E93&lt;E$26,C$24,E93&lt;E$28,C$26,E93&lt;E$30,C$28,E93&lt;E$32,C$30,E93&lt;E$34,C$32,E93&gt;=E$34,C$34)</f>
        <v/>
      </c>
      <c r="D93" s="37">
        <f>_xlfn.IFS(E93&lt;E$24,0,E93&lt;E$25,D$24,E93&lt;E$26,D$25,E93&lt;E$27,D$26,E93&lt;E$28,D$27,E93&lt;E$29,D$28,E93&lt;E$30,D$29,E93&lt;E$31,D$30,E93&lt;E$32,D$31,E93&lt;E$33,D$32,E93&lt;E$34,D$33,E93&lt;E$35,D$34,E93&gt;=E$35,D$35)</f>
        <v/>
      </c>
      <c r="E93" s="38" t="n">
        <v>43</v>
      </c>
      <c r="F93" s="31">
        <f>E93/52</f>
        <v/>
      </c>
      <c r="G93" s="39">
        <f>D93/1000000*52</f>
        <v/>
      </c>
      <c r="H93" s="33">
        <f>G93/$P$4+($C$22/$P$4)</f>
        <v/>
      </c>
      <c r="I93" s="36">
        <f>_xlfn.IFS(K93&lt;K$24,0,K93&lt;K$26,I$24,K93&lt;K$28,I$26,K93&lt;K$30,I$28,K93&lt;K$32,I$30,K93&lt;K$34,I$32,K93&lt;K$36,I$34,K93&lt;K$38,I$36,K93&lt;K$40,I$38,K93&lt;K$42,I$40,K93&lt;K$44,I$42,K93&lt;K$46,I$44,K93&gt;=K$46,I$46)</f>
        <v/>
      </c>
      <c r="J93" s="37">
        <f>_xlfn.IFS(K93&lt;K$24,0,K93&lt;K$25,J$24,K93&lt;K$26,J$25,K93&lt;K$27,J$26,K93&lt;K$28,J$27,K93&lt;K$29,J$28,K93&lt;K$30,J$29,K93&lt;K$31,J$30,K93&lt;K$32,J$31,K93&lt;K$33,J$32,K93&lt;K$34,J$33,K93&lt;K$35,J$34,K93&lt;K$36,J$35,K93&lt;K$37,J$36,K93&lt;K$38,J$37,K93&lt;K$39,J$38,K93&lt;K$40,J$39,K93&lt;K$41,J$40,K93&lt;K$42,J$41,K93&lt;K$43,J$42,K93&lt;K$44,J$43,K93&lt;K$45,J$44,K93&lt;K$46,J$45,K93&lt;K$47,J$46,K93&gt;=K$47,J$47)</f>
        <v/>
      </c>
      <c r="K93" s="38" t="n">
        <v>43</v>
      </c>
      <c r="L93" s="31">
        <f>K93/52</f>
        <v/>
      </c>
      <c r="M93" s="39">
        <f>J93/1000000*52</f>
        <v/>
      </c>
      <c r="N93" s="33">
        <f>M93/$P$4+($I$22/$P$4)</f>
        <v/>
      </c>
      <c r="U93">
        <f>F92</f>
        <v/>
      </c>
      <c r="V93">
        <f>H92</f>
        <v/>
      </c>
      <c r="W93">
        <f>N92</f>
        <v/>
      </c>
    </row>
    <row r="94" ht="15.75" customHeight="1" s="40">
      <c r="C94" s="36">
        <f>_xlfn.IFS(E94&lt;E$24,0,E94&lt;E$26,C$24,E94&lt;E$28,C$26,E94&lt;E$30,C$28,E94&lt;E$32,C$30,E94&lt;E$34,C$32,E94&gt;=E$34,C$34)</f>
        <v/>
      </c>
      <c r="D94" s="37">
        <f>_xlfn.IFS(E94&lt;E$24,0,E94&lt;E$25,D$24,E94&lt;E$26,D$25,E94&lt;E$27,D$26,E94&lt;E$28,D$27,E94&lt;E$29,D$28,E94&lt;E$30,D$29,E94&lt;E$31,D$30,E94&lt;E$32,D$31,E94&lt;E$33,D$32,E94&lt;E$34,D$33,E94&lt;E$35,D$34,E94&gt;=E$35,D$35)</f>
        <v/>
      </c>
      <c r="E94" s="38" t="n">
        <v>44</v>
      </c>
      <c r="F94" s="31">
        <f>E94/52</f>
        <v/>
      </c>
      <c r="G94" s="39">
        <f>D94/1000000*52</f>
        <v/>
      </c>
      <c r="H94" s="33">
        <f>G94/$P$4+($C$22/$P$4)</f>
        <v/>
      </c>
      <c r="I94" s="36">
        <f>_xlfn.IFS(K94&lt;K$24,0,K94&lt;K$26,I$24,K94&lt;K$28,I$26,K94&lt;K$30,I$28,K94&lt;K$32,I$30,K94&lt;K$34,I$32,K94&lt;K$36,I$34,K94&lt;K$38,I$36,K94&lt;K$40,I$38,K94&lt;K$42,I$40,K94&lt;K$44,I$42,K94&lt;K$46,I$44,K94&gt;=K$46,I$46)</f>
        <v/>
      </c>
      <c r="J94" s="37">
        <f>_xlfn.IFS(K94&lt;K$24,0,K94&lt;K$25,J$24,K94&lt;K$26,J$25,K94&lt;K$27,J$26,K94&lt;K$28,J$27,K94&lt;K$29,J$28,K94&lt;K$30,J$29,K94&lt;K$31,J$30,K94&lt;K$32,J$31,K94&lt;K$33,J$32,K94&lt;K$34,J$33,K94&lt;K$35,J$34,K94&lt;K$36,J$35,K94&lt;K$37,J$36,K94&lt;K$38,J$37,K94&lt;K$39,J$38,K94&lt;K$40,J$39,K94&lt;K$41,J$40,K94&lt;K$42,J$41,K94&lt;K$43,J$42,K94&lt;K$44,J$43,K94&lt;K$45,J$44,K94&lt;K$46,J$45,K94&lt;K$47,J$46,K94&gt;=K$47,J$47)</f>
        <v/>
      </c>
      <c r="K94" s="38" t="n">
        <v>44</v>
      </c>
      <c r="L94" s="31">
        <f>K94/52</f>
        <v/>
      </c>
      <c r="M94" s="39">
        <f>J94/1000000*52</f>
        <v/>
      </c>
      <c r="N94" s="33">
        <f>M94/$P$4+($I$22/$P$4)</f>
        <v/>
      </c>
      <c r="U94">
        <f>F93</f>
        <v/>
      </c>
      <c r="V94">
        <f>H93</f>
        <v/>
      </c>
      <c r="W94">
        <f>N93</f>
        <v/>
      </c>
    </row>
    <row r="95" ht="15.75" customHeight="1" s="40">
      <c r="C95" s="36">
        <f>_xlfn.IFS(E95&lt;E$24,0,E95&lt;E$26,C$24,E95&lt;E$28,C$26,E95&lt;E$30,C$28,E95&lt;E$32,C$30,E95&lt;E$34,C$32,E95&gt;=E$34,C$34)</f>
        <v/>
      </c>
      <c r="D95" s="37">
        <f>_xlfn.IFS(E95&lt;E$24,0,E95&lt;E$25,D$24,E95&lt;E$26,D$25,E95&lt;E$27,D$26,E95&lt;E$28,D$27,E95&lt;E$29,D$28,E95&lt;E$30,D$29,E95&lt;E$31,D$30,E95&lt;E$32,D$31,E95&lt;E$33,D$32,E95&lt;E$34,D$33,E95&lt;E$35,D$34,E95&gt;=E$35,D$35)</f>
        <v/>
      </c>
      <c r="E95" s="38" t="n">
        <v>45</v>
      </c>
      <c r="F95" s="31">
        <f>E95/52</f>
        <v/>
      </c>
      <c r="G95" s="39">
        <f>D95/1000000*52</f>
        <v/>
      </c>
      <c r="H95" s="33">
        <f>G95/$P$4+($C$22/$P$4)</f>
        <v/>
      </c>
      <c r="I95" s="36">
        <f>_xlfn.IFS(K95&lt;K$24,0,K95&lt;K$26,I$24,K95&lt;K$28,I$26,K95&lt;K$30,I$28,K95&lt;K$32,I$30,K95&lt;K$34,I$32,K95&lt;K$36,I$34,K95&lt;K$38,I$36,K95&lt;K$40,I$38,K95&lt;K$42,I$40,K95&lt;K$44,I$42,K95&lt;K$46,I$44,K95&gt;=K$46,I$46)</f>
        <v/>
      </c>
      <c r="J95" s="37">
        <f>_xlfn.IFS(K95&lt;K$24,0,K95&lt;K$25,J$24,K95&lt;K$26,J$25,K95&lt;K$27,J$26,K95&lt;K$28,J$27,K95&lt;K$29,J$28,K95&lt;K$30,J$29,K95&lt;K$31,J$30,K95&lt;K$32,J$31,K95&lt;K$33,J$32,K95&lt;K$34,J$33,K95&lt;K$35,J$34,K95&lt;K$36,J$35,K95&lt;K$37,J$36,K95&lt;K$38,J$37,K95&lt;K$39,J$38,K95&lt;K$40,J$39,K95&lt;K$41,J$40,K95&lt;K$42,J$41,K95&lt;K$43,J$42,K95&lt;K$44,J$43,K95&lt;K$45,J$44,K95&lt;K$46,J$45,K95&lt;K$47,J$46,K95&gt;=K$47,J$47)</f>
        <v/>
      </c>
      <c r="K95" s="38" t="n">
        <v>45</v>
      </c>
      <c r="L95" s="31">
        <f>K95/52</f>
        <v/>
      </c>
      <c r="M95" s="39">
        <f>J95/1000000*52</f>
        <v/>
      </c>
      <c r="N95" s="33">
        <f>M95/$P$4+($I$22/$P$4)</f>
        <v/>
      </c>
      <c r="U95">
        <f>F94</f>
        <v/>
      </c>
      <c r="V95">
        <f>H94</f>
        <v/>
      </c>
      <c r="W95">
        <f>N94</f>
        <v/>
      </c>
    </row>
    <row r="96" ht="15.75" customHeight="1" s="40">
      <c r="C96" s="36">
        <f>_xlfn.IFS(E96&lt;E$24,0,E96&lt;E$26,C$24,E96&lt;E$28,C$26,E96&lt;E$30,C$28,E96&lt;E$32,C$30,E96&lt;E$34,C$32,E96&gt;=E$34,C$34)</f>
        <v/>
      </c>
      <c r="D96" s="37">
        <f>_xlfn.IFS(E96&lt;E$24,0,E96&lt;E$25,D$24,E96&lt;E$26,D$25,E96&lt;E$27,D$26,E96&lt;E$28,D$27,E96&lt;E$29,D$28,E96&lt;E$30,D$29,E96&lt;E$31,D$30,E96&lt;E$32,D$31,E96&lt;E$33,D$32,E96&lt;E$34,D$33,E96&lt;E$35,D$34,E96&gt;=E$35,D$35)</f>
        <v/>
      </c>
      <c r="E96" s="38" t="n">
        <v>46</v>
      </c>
      <c r="F96" s="31">
        <f>E96/52</f>
        <v/>
      </c>
      <c r="G96" s="39">
        <f>D96/1000000*52</f>
        <v/>
      </c>
      <c r="H96" s="33">
        <f>G96/$P$4+($C$22/$P$4)</f>
        <v/>
      </c>
      <c r="I96" s="36">
        <f>_xlfn.IFS(K96&lt;K$24,0,K96&lt;K$26,I$24,K96&lt;K$28,I$26,K96&lt;K$30,I$28,K96&lt;K$32,I$30,K96&lt;K$34,I$32,K96&lt;K$36,I$34,K96&lt;K$38,I$36,K96&lt;K$40,I$38,K96&lt;K$42,I$40,K96&lt;K$44,I$42,K96&lt;K$46,I$44,K96&gt;=K$46,I$46)</f>
        <v/>
      </c>
      <c r="J96" s="37">
        <f>_xlfn.IFS(K96&lt;K$24,0,K96&lt;K$25,J$24,K96&lt;K$26,J$25,K96&lt;K$27,J$26,K96&lt;K$28,J$27,K96&lt;K$29,J$28,K96&lt;K$30,J$29,K96&lt;K$31,J$30,K96&lt;K$32,J$31,K96&lt;K$33,J$32,K96&lt;K$34,J$33,K96&lt;K$35,J$34,K96&lt;K$36,J$35,K96&lt;K$37,J$36,K96&lt;K$38,J$37,K96&lt;K$39,J$38,K96&lt;K$40,J$39,K96&lt;K$41,J$40,K96&lt;K$42,J$41,K96&lt;K$43,J$42,K96&lt;K$44,J$43,K96&lt;K$45,J$44,K96&lt;K$46,J$45,K96&lt;K$47,J$46,K96&gt;=K$47,J$47)</f>
        <v/>
      </c>
      <c r="K96" s="38" t="n">
        <v>46</v>
      </c>
      <c r="L96" s="31">
        <f>K96/52</f>
        <v/>
      </c>
      <c r="M96" s="39">
        <f>J96/1000000*52</f>
        <v/>
      </c>
      <c r="N96" s="33">
        <f>M96/$P$4+($I$22/$P$4)</f>
        <v/>
      </c>
      <c r="U96">
        <f>F95</f>
        <v/>
      </c>
      <c r="V96">
        <f>H95</f>
        <v/>
      </c>
      <c r="W96">
        <f>N95</f>
        <v/>
      </c>
    </row>
    <row r="97" ht="15.75" customHeight="1" s="40">
      <c r="C97" s="36">
        <f>_xlfn.IFS(E97&lt;E$24,0,E97&lt;E$26,C$24,E97&lt;E$28,C$26,E97&lt;E$30,C$28,E97&lt;E$32,C$30,E97&lt;E$34,C$32,E97&gt;=E$34,C$34)</f>
        <v/>
      </c>
      <c r="D97" s="37">
        <f>_xlfn.IFS(E97&lt;E$24,0,E97&lt;E$25,D$24,E97&lt;E$26,D$25,E97&lt;E$27,D$26,E97&lt;E$28,D$27,E97&lt;E$29,D$28,E97&lt;E$30,D$29,E97&lt;E$31,D$30,E97&lt;E$32,D$31,E97&lt;E$33,D$32,E97&lt;E$34,D$33,E97&lt;E$35,D$34,E97&gt;=E$35,D$35)</f>
        <v/>
      </c>
      <c r="E97" s="38" t="n">
        <v>47</v>
      </c>
      <c r="F97" s="31">
        <f>E97/52</f>
        <v/>
      </c>
      <c r="G97" s="39">
        <f>D97/1000000*52</f>
        <v/>
      </c>
      <c r="H97" s="33">
        <f>G97/$P$4+($C$22/$P$4)</f>
        <v/>
      </c>
      <c r="I97" s="36">
        <f>_xlfn.IFS(K97&lt;K$24,0,K97&lt;K$26,I$24,K97&lt;K$28,I$26,K97&lt;K$30,I$28,K97&lt;K$32,I$30,K97&lt;K$34,I$32,K97&lt;K$36,I$34,K97&lt;K$38,I$36,K97&lt;K$40,I$38,K97&lt;K$42,I$40,K97&lt;K$44,I$42,K97&lt;K$46,I$44,K97&gt;=K$46,I$46)</f>
        <v/>
      </c>
      <c r="J97" s="37">
        <f>_xlfn.IFS(K97&lt;K$24,0,K97&lt;K$25,J$24,K97&lt;K$26,J$25,K97&lt;K$27,J$26,K97&lt;K$28,J$27,K97&lt;K$29,J$28,K97&lt;K$30,J$29,K97&lt;K$31,J$30,K97&lt;K$32,J$31,K97&lt;K$33,J$32,K97&lt;K$34,J$33,K97&lt;K$35,J$34,K97&lt;K$36,J$35,K97&lt;K$37,J$36,K97&lt;K$38,J$37,K97&lt;K$39,J$38,K97&lt;K$40,J$39,K97&lt;K$41,J$40,K97&lt;K$42,J$41,K97&lt;K$43,J$42,K97&lt;K$44,J$43,K97&lt;K$45,J$44,K97&lt;K$46,J$45,K97&lt;K$47,J$46,K97&gt;=K$47,J$47)</f>
        <v/>
      </c>
      <c r="K97" s="38" t="n">
        <v>47</v>
      </c>
      <c r="L97" s="31">
        <f>K97/52</f>
        <v/>
      </c>
      <c r="M97" s="39">
        <f>J97/1000000*52</f>
        <v/>
      </c>
      <c r="N97" s="33">
        <f>M97/$P$4+($I$22/$P$4)</f>
        <v/>
      </c>
      <c r="U97">
        <f>F96</f>
        <v/>
      </c>
      <c r="V97">
        <f>H96</f>
        <v/>
      </c>
      <c r="W97">
        <f>N96</f>
        <v/>
      </c>
    </row>
    <row r="98" ht="15.75" customHeight="1" s="40">
      <c r="C98" s="36">
        <f>_xlfn.IFS(E98&lt;E$24,0,E98&lt;E$26,C$24,E98&lt;E$28,C$26,E98&lt;E$30,C$28,E98&lt;E$32,C$30,E98&lt;E$34,C$32,E98&gt;=E$34,C$34)</f>
        <v/>
      </c>
      <c r="D98" s="37">
        <f>_xlfn.IFS(E98&lt;E$24,0,E98&lt;E$25,D$24,E98&lt;E$26,D$25,E98&lt;E$27,D$26,E98&lt;E$28,D$27,E98&lt;E$29,D$28,E98&lt;E$30,D$29,E98&lt;E$31,D$30,E98&lt;E$32,D$31,E98&lt;E$33,D$32,E98&lt;E$34,D$33,E98&lt;E$35,D$34,E98&gt;=E$35,D$35)</f>
        <v/>
      </c>
      <c r="E98" s="38" t="n">
        <v>48</v>
      </c>
      <c r="F98" s="31">
        <f>E98/52</f>
        <v/>
      </c>
      <c r="G98" s="39">
        <f>D98/1000000*52</f>
        <v/>
      </c>
      <c r="H98" s="33">
        <f>G98/$P$4+($C$22/$P$4)</f>
        <v/>
      </c>
      <c r="I98" s="36">
        <f>_xlfn.IFS(K98&lt;K$24,0,K98&lt;K$26,I$24,K98&lt;K$28,I$26,K98&lt;K$30,I$28,K98&lt;K$32,I$30,K98&lt;K$34,I$32,K98&lt;K$36,I$34,K98&lt;K$38,I$36,K98&lt;K$40,I$38,K98&lt;K$42,I$40,K98&lt;K$44,I$42,K98&lt;K$46,I$44,K98&gt;=K$46,I$46)</f>
        <v/>
      </c>
      <c r="J98" s="37">
        <f>_xlfn.IFS(K98&lt;K$24,0,K98&lt;K$25,J$24,K98&lt;K$26,J$25,K98&lt;K$27,J$26,K98&lt;K$28,J$27,K98&lt;K$29,J$28,K98&lt;K$30,J$29,K98&lt;K$31,J$30,K98&lt;K$32,J$31,K98&lt;K$33,J$32,K98&lt;K$34,J$33,K98&lt;K$35,J$34,K98&lt;K$36,J$35,K98&lt;K$37,J$36,K98&lt;K$38,J$37,K98&lt;K$39,J$38,K98&lt;K$40,J$39,K98&lt;K$41,J$40,K98&lt;K$42,J$41,K98&lt;K$43,J$42,K98&lt;K$44,J$43,K98&lt;K$45,J$44,K98&lt;K$46,J$45,K98&lt;K$47,J$46,K98&gt;=K$47,J$47)</f>
        <v/>
      </c>
      <c r="K98" s="38" t="n">
        <v>48</v>
      </c>
      <c r="L98" s="31">
        <f>K98/52</f>
        <v/>
      </c>
      <c r="M98" s="39">
        <f>J98/1000000*52</f>
        <v/>
      </c>
      <c r="N98" s="33">
        <f>M98/$P$4+($I$22/$P$4)</f>
        <v/>
      </c>
      <c r="U98">
        <f>F97</f>
        <v/>
      </c>
      <c r="V98">
        <f>H97</f>
        <v/>
      </c>
      <c r="W98">
        <f>N97</f>
        <v/>
      </c>
    </row>
    <row r="99" ht="15.75" customHeight="1" s="40">
      <c r="C99" s="36">
        <f>_xlfn.IFS(E99&lt;E$24,0,E99&lt;E$26,C$24,E99&lt;E$28,C$26,E99&lt;E$30,C$28,E99&lt;E$32,C$30,E99&lt;E$34,C$32,E99&gt;=E$34,C$34)</f>
        <v/>
      </c>
      <c r="D99" s="37">
        <f>_xlfn.IFS(E99&lt;E$24,0,E99&lt;E$25,D$24,E99&lt;E$26,D$25,E99&lt;E$27,D$26,E99&lt;E$28,D$27,E99&lt;E$29,D$28,E99&lt;E$30,D$29,E99&lt;E$31,D$30,E99&lt;E$32,D$31,E99&lt;E$33,D$32,E99&lt;E$34,D$33,E99&lt;E$35,D$34,E99&gt;=E$35,D$35)</f>
        <v/>
      </c>
      <c r="E99" s="38" t="n">
        <v>49</v>
      </c>
      <c r="F99" s="31">
        <f>E99/52</f>
        <v/>
      </c>
      <c r="G99" s="39">
        <f>D99/1000000*52</f>
        <v/>
      </c>
      <c r="H99" s="33">
        <f>G99/$P$4+($C$22/$P$4)</f>
        <v/>
      </c>
      <c r="I99" s="36">
        <f>_xlfn.IFS(K99&lt;K$24,0,K99&lt;K$26,I$24,K99&lt;K$28,I$26,K99&lt;K$30,I$28,K99&lt;K$32,I$30,K99&lt;K$34,I$32,K99&lt;K$36,I$34,K99&lt;K$38,I$36,K99&lt;K$40,I$38,K99&lt;K$42,I$40,K99&lt;K$44,I$42,K99&lt;K$46,I$44,K99&gt;=K$46,I$46)</f>
        <v/>
      </c>
      <c r="J99" s="37">
        <f>_xlfn.IFS(K99&lt;K$24,0,K99&lt;K$25,J$24,K99&lt;K$26,J$25,K99&lt;K$27,J$26,K99&lt;K$28,J$27,K99&lt;K$29,J$28,K99&lt;K$30,J$29,K99&lt;K$31,J$30,K99&lt;K$32,J$31,K99&lt;K$33,J$32,K99&lt;K$34,J$33,K99&lt;K$35,J$34,K99&lt;K$36,J$35,K99&lt;K$37,J$36,K99&lt;K$38,J$37,K99&lt;K$39,J$38,K99&lt;K$40,J$39,K99&lt;K$41,J$40,K99&lt;K$42,J$41,K99&lt;K$43,J$42,K99&lt;K$44,J$43,K99&lt;K$45,J$44,K99&lt;K$46,J$45,K99&lt;K$47,J$46,K99&gt;=K$47,J$47)</f>
        <v/>
      </c>
      <c r="K99" s="38" t="n">
        <v>49</v>
      </c>
      <c r="L99" s="31">
        <f>K99/52</f>
        <v/>
      </c>
      <c r="M99" s="39">
        <f>J99/1000000*52</f>
        <v/>
      </c>
      <c r="N99" s="33">
        <f>M99/$P$4+($I$22/$P$4)</f>
        <v/>
      </c>
      <c r="U99">
        <f>F98</f>
        <v/>
      </c>
      <c r="V99">
        <f>H98</f>
        <v/>
      </c>
      <c r="W99">
        <f>N98</f>
        <v/>
      </c>
    </row>
    <row r="100" ht="15.75" customHeight="1" s="40">
      <c r="C100" s="36">
        <f>_xlfn.IFS(E100&lt;E$24,0,E100&lt;E$26,C$24,E100&lt;E$28,C$26,E100&lt;E$30,C$28,E100&lt;E$32,C$30,E100&lt;E$34,C$32,E100&gt;=E$34,C$34)</f>
        <v/>
      </c>
      <c r="D100" s="37">
        <f>_xlfn.IFS(E100&lt;E$24,0,E100&lt;E$25,D$24,E100&lt;E$26,D$25,E100&lt;E$27,D$26,E100&lt;E$28,D$27,E100&lt;E$29,D$28,E100&lt;E$30,D$29,E100&lt;E$31,D$30,E100&lt;E$32,D$31,E100&lt;E$33,D$32,E100&lt;E$34,D$33,E100&lt;E$35,D$34,E100&gt;=E$35,D$35)</f>
        <v/>
      </c>
      <c r="E100" s="38" t="n">
        <v>50</v>
      </c>
      <c r="F100" s="31">
        <f>E100/52</f>
        <v/>
      </c>
      <c r="G100" s="39">
        <f>D100/1000000*52</f>
        <v/>
      </c>
      <c r="H100" s="33">
        <f>G100/$P$4+($C$22/$P$4)</f>
        <v/>
      </c>
      <c r="I100" s="36">
        <f>_xlfn.IFS(K100&lt;K$24,0,K100&lt;K$26,I$24,K100&lt;K$28,I$26,K100&lt;K$30,I$28,K100&lt;K$32,I$30,K100&lt;K$34,I$32,K100&lt;K$36,I$34,K100&lt;K$38,I$36,K100&lt;K$40,I$38,K100&lt;K$42,I$40,K100&lt;K$44,I$42,K100&lt;K$46,I$44,K100&gt;=K$46,I$46)</f>
        <v/>
      </c>
      <c r="J100" s="37">
        <f>_xlfn.IFS(K100&lt;K$24,0,K100&lt;K$25,J$24,K100&lt;K$26,J$25,K100&lt;K$27,J$26,K100&lt;K$28,J$27,K100&lt;K$29,J$28,K100&lt;K$30,J$29,K100&lt;K$31,J$30,K100&lt;K$32,J$31,K100&lt;K$33,J$32,K100&lt;K$34,J$33,K100&lt;K$35,J$34,K100&lt;K$36,J$35,K100&lt;K$37,J$36,K100&lt;K$38,J$37,K100&lt;K$39,J$38,K100&lt;K$40,J$39,K100&lt;K$41,J$40,K100&lt;K$42,J$41,K100&lt;K$43,J$42,K100&lt;K$44,J$43,K100&lt;K$45,J$44,K100&lt;K$46,J$45,K100&lt;K$47,J$46,K100&gt;=K$47,J$47)</f>
        <v/>
      </c>
      <c r="K100" s="38" t="n">
        <v>50</v>
      </c>
      <c r="L100" s="31">
        <f>K100/52</f>
        <v/>
      </c>
      <c r="M100" s="39">
        <f>J100/1000000*52</f>
        <v/>
      </c>
      <c r="N100" s="33">
        <f>M100/$P$4+($I$22/$P$4)</f>
        <v/>
      </c>
      <c r="U100">
        <f>F99</f>
        <v/>
      </c>
      <c r="V100">
        <f>H99</f>
        <v/>
      </c>
      <c r="W100">
        <f>N99</f>
        <v/>
      </c>
    </row>
    <row r="101" ht="15.75" customHeight="1" s="40">
      <c r="C101" s="36">
        <f>_xlfn.IFS(E101&lt;E$24,0,E101&lt;E$26,C$24,E101&lt;E$28,C$26,E101&lt;E$30,C$28,E101&lt;E$32,C$30,E101&lt;E$34,C$32,E101&gt;=E$34,C$34)</f>
        <v/>
      </c>
      <c r="D101" s="37">
        <f>_xlfn.IFS(E101&lt;E$24,0,E101&lt;E$25,D$24,E101&lt;E$26,D$25,E101&lt;E$27,D$26,E101&lt;E$28,D$27,E101&lt;E$29,D$28,E101&lt;E$30,D$29,E101&lt;E$31,D$30,E101&lt;E$32,D$31,E101&lt;E$33,D$32,E101&lt;E$34,D$33,E101&lt;E$35,D$34,E101&gt;=E$35,D$35)</f>
        <v/>
      </c>
      <c r="E101" s="38" t="n">
        <v>51</v>
      </c>
      <c r="F101" s="31">
        <f>E101/52</f>
        <v/>
      </c>
      <c r="G101" s="39">
        <f>D101/1000000*52</f>
        <v/>
      </c>
      <c r="H101" s="33">
        <f>G101/$P$4+($C$22/$P$4)</f>
        <v/>
      </c>
      <c r="I101" s="36">
        <f>_xlfn.IFS(K101&lt;K$24,0,K101&lt;K$26,I$24,K101&lt;K$28,I$26,K101&lt;K$30,I$28,K101&lt;K$32,I$30,K101&lt;K$34,I$32,K101&lt;K$36,I$34,K101&lt;K$38,I$36,K101&lt;K$40,I$38,K101&lt;K$42,I$40,K101&lt;K$44,I$42,K101&lt;K$46,I$44,K101&gt;=K$46,I$46)</f>
        <v/>
      </c>
      <c r="J101" s="37">
        <f>_xlfn.IFS(K101&lt;K$24,0,K101&lt;K$25,J$24,K101&lt;K$26,J$25,K101&lt;K$27,J$26,K101&lt;K$28,J$27,K101&lt;K$29,J$28,K101&lt;K$30,J$29,K101&lt;K$31,J$30,K101&lt;K$32,J$31,K101&lt;K$33,J$32,K101&lt;K$34,J$33,K101&lt;K$35,J$34,K101&lt;K$36,J$35,K101&lt;K$37,J$36,K101&lt;K$38,J$37,K101&lt;K$39,J$38,K101&lt;K$40,J$39,K101&lt;K$41,J$40,K101&lt;K$42,J$41,K101&lt;K$43,J$42,K101&lt;K$44,J$43,K101&lt;K$45,J$44,K101&lt;K$46,J$45,K101&lt;K$47,J$46,K101&gt;=K$47,J$47)</f>
        <v/>
      </c>
      <c r="K101" s="38" t="n">
        <v>51</v>
      </c>
      <c r="L101" s="31">
        <f>K101/52</f>
        <v/>
      </c>
      <c r="M101" s="39">
        <f>J101/1000000*52</f>
        <v/>
      </c>
      <c r="N101" s="33">
        <f>M101/$P$4+($I$22/$P$4)</f>
        <v/>
      </c>
      <c r="U101">
        <f>F100</f>
        <v/>
      </c>
      <c r="V101">
        <f>H100</f>
        <v/>
      </c>
      <c r="W101">
        <f>N100</f>
        <v/>
      </c>
    </row>
    <row r="102" ht="15.75" customHeight="1" s="40">
      <c r="C102" s="36">
        <f>_xlfn.IFS(E102&lt;E$24,0,E102&lt;E$26,C$24,E102&lt;E$28,C$26,E102&lt;E$30,C$28,E102&lt;E$32,C$30,E102&lt;E$34,C$32,E102&gt;=E$34,C$34)</f>
        <v/>
      </c>
      <c r="D102" s="37">
        <f>_xlfn.IFS(E102&lt;E$24,0,E102&lt;E$25,D$24,E102&lt;E$26,D$25,E102&lt;E$27,D$26,E102&lt;E$28,D$27,E102&lt;E$29,D$28,E102&lt;E$30,D$29,E102&lt;E$31,D$30,E102&lt;E$32,D$31,E102&lt;E$33,D$32,E102&lt;E$34,D$33,E102&lt;E$35,D$34,E102&gt;=E$35,D$35)</f>
        <v/>
      </c>
      <c r="E102" s="38" t="n">
        <v>52</v>
      </c>
      <c r="F102" s="31">
        <f>E102/52</f>
        <v/>
      </c>
      <c r="G102" s="39">
        <f>D102/1000000*52</f>
        <v/>
      </c>
      <c r="H102" s="33">
        <f>G102/$P$4+($C$22/$P$4)</f>
        <v/>
      </c>
      <c r="I102" s="36">
        <f>_xlfn.IFS(K102&lt;K$24,0,K102&lt;K$26,I$24,K102&lt;K$28,I$26,K102&lt;K$30,I$28,K102&lt;K$32,I$30,K102&lt;K$34,I$32,K102&lt;K$36,I$34,K102&lt;K$38,I$36,K102&lt;K$40,I$38,K102&lt;K$42,I$40,K102&lt;K$44,I$42,K102&lt;K$46,I$44,K102&gt;=K$46,I$46)</f>
        <v/>
      </c>
      <c r="J102" s="37">
        <f>_xlfn.IFS(K102&lt;K$24,0,K102&lt;K$25,J$24,K102&lt;K$26,J$25,K102&lt;K$27,J$26,K102&lt;K$28,J$27,K102&lt;K$29,J$28,K102&lt;K$30,J$29,K102&lt;K$31,J$30,K102&lt;K$32,J$31,K102&lt;K$33,J$32,K102&lt;K$34,J$33,K102&lt;K$35,J$34,K102&lt;K$36,J$35,K102&lt;K$37,J$36,K102&lt;K$38,J$37,K102&lt;K$39,J$38,K102&lt;K$40,J$39,K102&lt;K$41,J$40,K102&lt;K$42,J$41,K102&lt;K$43,J$42,K102&lt;K$44,J$43,K102&lt;K$45,J$44,K102&lt;K$46,J$45,K102&lt;K$47,J$46,K102&gt;=K$47,J$47)</f>
        <v/>
      </c>
      <c r="K102" s="38" t="n">
        <v>52</v>
      </c>
      <c r="L102" s="31">
        <f>K102/52</f>
        <v/>
      </c>
      <c r="M102" s="39">
        <f>J102/1000000*52</f>
        <v/>
      </c>
      <c r="N102" s="33">
        <f>M102/$P$4+($I$22/$P$4)</f>
        <v/>
      </c>
      <c r="U102">
        <f>F101</f>
        <v/>
      </c>
      <c r="V102">
        <f>H101</f>
        <v/>
      </c>
      <c r="W102">
        <f>N101</f>
        <v/>
      </c>
    </row>
    <row r="103" ht="15.75" customHeight="1" s="40">
      <c r="C103" s="36">
        <f>_xlfn.IFS(E103&lt;E$24,0,E103&lt;E$26,C$24,E103&lt;E$28,C$26,E103&lt;E$30,C$28,E103&lt;E$32,C$30,E103&lt;E$34,C$32,E103&gt;=E$34,C$34)</f>
        <v/>
      </c>
      <c r="D103" s="37">
        <f>_xlfn.IFS(E103&lt;E$24,0,E103&lt;E$25,D$24,E103&lt;E$26,D$25,E103&lt;E$27,D$26,E103&lt;E$28,D$27,E103&lt;E$29,D$28,E103&lt;E$30,D$29,E103&lt;E$31,D$30,E103&lt;E$32,D$31,E103&lt;E$33,D$32,E103&lt;E$34,D$33,E103&lt;E$35,D$34,E103&gt;=E$35,D$35)</f>
        <v/>
      </c>
      <c r="E103" s="38" t="n">
        <v>53</v>
      </c>
      <c r="F103" s="31">
        <f>E103/52</f>
        <v/>
      </c>
      <c r="G103" s="39">
        <f>D103/1000000*52</f>
        <v/>
      </c>
      <c r="H103" s="33">
        <f>G103/$P$4+($C$22/$P$4)</f>
        <v/>
      </c>
      <c r="I103" s="36">
        <f>_xlfn.IFS(K103&lt;K$24,0,K103&lt;K$26,I$24,K103&lt;K$28,I$26,K103&lt;K$30,I$28,K103&lt;K$32,I$30,K103&lt;K$34,I$32,K103&lt;K$36,I$34,K103&lt;K$38,I$36,K103&lt;K$40,I$38,K103&lt;K$42,I$40,K103&lt;K$44,I$42,K103&lt;K$46,I$44,K103&gt;=K$46,I$46)</f>
        <v/>
      </c>
      <c r="J103" s="37">
        <f>_xlfn.IFS(K103&lt;K$24,0,K103&lt;K$25,J$24,K103&lt;K$26,J$25,K103&lt;K$27,J$26,K103&lt;K$28,J$27,K103&lt;K$29,J$28,K103&lt;K$30,J$29,K103&lt;K$31,J$30,K103&lt;K$32,J$31,K103&lt;K$33,J$32,K103&lt;K$34,J$33,K103&lt;K$35,J$34,K103&lt;K$36,J$35,K103&lt;K$37,J$36,K103&lt;K$38,J$37,K103&lt;K$39,J$38,K103&lt;K$40,J$39,K103&lt;K$41,J$40,K103&lt;K$42,J$41,K103&lt;K$43,J$42,K103&lt;K$44,J$43,K103&lt;K$45,J$44,K103&lt;K$46,J$45,K103&lt;K$47,J$46,K103&gt;=K$47,J$47)</f>
        <v/>
      </c>
      <c r="K103" s="38" t="n">
        <v>53</v>
      </c>
      <c r="L103" s="31">
        <f>K103/52</f>
        <v/>
      </c>
      <c r="M103" s="39">
        <f>J103/1000000*52</f>
        <v/>
      </c>
      <c r="N103" s="33">
        <f>M103/$P$4+($I$22/$P$4)</f>
        <v/>
      </c>
      <c r="U103">
        <f>F102</f>
        <v/>
      </c>
      <c r="V103">
        <f>H102</f>
        <v/>
      </c>
      <c r="W103">
        <f>N102</f>
        <v/>
      </c>
    </row>
    <row r="104" ht="15.75" customHeight="1" s="40">
      <c r="C104" s="36">
        <f>_xlfn.IFS(E104&lt;E$24,0,E104&lt;E$26,C$24,E104&lt;E$28,C$26,E104&lt;E$30,C$28,E104&lt;E$32,C$30,E104&lt;E$34,C$32,E104&gt;=E$34,C$34)</f>
        <v/>
      </c>
      <c r="D104" s="37">
        <f>_xlfn.IFS(E104&lt;E$24,0,E104&lt;E$25,D$24,E104&lt;E$26,D$25,E104&lt;E$27,D$26,E104&lt;E$28,D$27,E104&lt;E$29,D$28,E104&lt;E$30,D$29,E104&lt;E$31,D$30,E104&lt;E$32,D$31,E104&lt;E$33,D$32,E104&lt;E$34,D$33,E104&lt;E$35,D$34,E104&gt;=E$35,D$35)</f>
        <v/>
      </c>
      <c r="E104" s="38" t="n">
        <v>54</v>
      </c>
      <c r="F104" s="31">
        <f>E104/52</f>
        <v/>
      </c>
      <c r="G104" s="39">
        <f>D104/1000000*52</f>
        <v/>
      </c>
      <c r="H104" s="33">
        <f>G104/$P$4+($C$22/$P$4)</f>
        <v/>
      </c>
      <c r="I104" s="36">
        <f>_xlfn.IFS(K104&lt;K$24,0,K104&lt;K$26,I$24,K104&lt;K$28,I$26,K104&lt;K$30,I$28,K104&lt;K$32,I$30,K104&lt;K$34,I$32,K104&lt;K$36,I$34,K104&lt;K$38,I$36,K104&lt;K$40,I$38,K104&lt;K$42,I$40,K104&lt;K$44,I$42,K104&lt;K$46,I$44,K104&gt;=K$46,I$46)</f>
        <v/>
      </c>
      <c r="J104" s="37">
        <f>_xlfn.IFS(K104&lt;K$24,0,K104&lt;K$25,J$24,K104&lt;K$26,J$25,K104&lt;K$27,J$26,K104&lt;K$28,J$27,K104&lt;K$29,J$28,K104&lt;K$30,J$29,K104&lt;K$31,J$30,K104&lt;K$32,J$31,K104&lt;K$33,J$32,K104&lt;K$34,J$33,K104&lt;K$35,J$34,K104&lt;K$36,J$35,K104&lt;K$37,J$36,K104&lt;K$38,J$37,K104&lt;K$39,J$38,K104&lt;K$40,J$39,K104&lt;K$41,J$40,K104&lt;K$42,J$41,K104&lt;K$43,J$42,K104&lt;K$44,J$43,K104&lt;K$45,J$44,K104&lt;K$46,J$45,K104&lt;K$47,J$46,K104&gt;=K$47,J$47)</f>
        <v/>
      </c>
      <c r="K104" s="38" t="n">
        <v>54</v>
      </c>
      <c r="L104" s="31">
        <f>K104/52</f>
        <v/>
      </c>
      <c r="M104" s="39">
        <f>J104/1000000*52</f>
        <v/>
      </c>
      <c r="N104" s="33">
        <f>M104/$P$4+($I$22/$P$4)</f>
        <v/>
      </c>
      <c r="U104">
        <f>F103</f>
        <v/>
      </c>
      <c r="V104">
        <f>H103</f>
        <v/>
      </c>
      <c r="W104">
        <f>N103</f>
        <v/>
      </c>
    </row>
    <row r="105" ht="15.75" customHeight="1" s="40">
      <c r="C105" s="36">
        <f>_xlfn.IFS(E105&lt;E$24,0,E105&lt;E$26,C$24,E105&lt;E$28,C$26,E105&lt;E$30,C$28,E105&lt;E$32,C$30,E105&lt;E$34,C$32,E105&gt;=E$34,C$34)</f>
        <v/>
      </c>
      <c r="D105" s="37">
        <f>_xlfn.IFS(E105&lt;E$24,0,E105&lt;E$25,D$24,E105&lt;E$26,D$25,E105&lt;E$27,D$26,E105&lt;E$28,D$27,E105&lt;E$29,D$28,E105&lt;E$30,D$29,E105&lt;E$31,D$30,E105&lt;E$32,D$31,E105&lt;E$33,D$32,E105&lt;E$34,D$33,E105&lt;E$35,D$34,E105&gt;=E$35,D$35)</f>
        <v/>
      </c>
      <c r="E105" s="38" t="n">
        <v>55</v>
      </c>
      <c r="F105" s="31">
        <f>E105/52</f>
        <v/>
      </c>
      <c r="G105" s="39">
        <f>D105/1000000*52</f>
        <v/>
      </c>
      <c r="H105" s="33">
        <f>G105/$P$4+($C$22/$P$4)</f>
        <v/>
      </c>
      <c r="I105" s="36">
        <f>_xlfn.IFS(K105&lt;K$24,0,K105&lt;K$26,I$24,K105&lt;K$28,I$26,K105&lt;K$30,I$28,K105&lt;K$32,I$30,K105&lt;K$34,I$32,K105&lt;K$36,I$34,K105&lt;K$38,I$36,K105&lt;K$40,I$38,K105&lt;K$42,I$40,K105&lt;K$44,I$42,K105&lt;K$46,I$44,K105&gt;=K$46,I$46)</f>
        <v/>
      </c>
      <c r="J105" s="37">
        <f>_xlfn.IFS(K105&lt;K$24,0,K105&lt;K$25,J$24,K105&lt;K$26,J$25,K105&lt;K$27,J$26,K105&lt;K$28,J$27,K105&lt;K$29,J$28,K105&lt;K$30,J$29,K105&lt;K$31,J$30,K105&lt;K$32,J$31,K105&lt;K$33,J$32,K105&lt;K$34,J$33,K105&lt;K$35,J$34,K105&lt;K$36,J$35,K105&lt;K$37,J$36,K105&lt;K$38,J$37,K105&lt;K$39,J$38,K105&lt;K$40,J$39,K105&lt;K$41,J$40,K105&lt;K$42,J$41,K105&lt;K$43,J$42,K105&lt;K$44,J$43,K105&lt;K$45,J$44,K105&lt;K$46,J$45,K105&lt;K$47,J$46,K105&gt;=K$47,J$47)</f>
        <v/>
      </c>
      <c r="K105" s="38" t="n">
        <v>55</v>
      </c>
      <c r="L105" s="31">
        <f>K105/52</f>
        <v/>
      </c>
      <c r="M105" s="39">
        <f>J105/1000000*52</f>
        <v/>
      </c>
      <c r="N105" s="33">
        <f>M105/$P$4+($I$22/$P$4)</f>
        <v/>
      </c>
      <c r="U105">
        <f>F104</f>
        <v/>
      </c>
      <c r="V105">
        <f>H104</f>
        <v/>
      </c>
      <c r="W105">
        <f>N104</f>
        <v/>
      </c>
    </row>
    <row r="106" ht="15.75" customHeight="1" s="40">
      <c r="C106" s="36">
        <f>_xlfn.IFS(E106&lt;E$24,0,E106&lt;E$26,C$24,E106&lt;E$28,C$26,E106&lt;E$30,C$28,E106&lt;E$32,C$30,E106&lt;E$34,C$32,E106&gt;=E$34,C$34)</f>
        <v/>
      </c>
      <c r="D106" s="37">
        <f>_xlfn.IFS(E106&lt;E$24,0,E106&lt;E$25,D$24,E106&lt;E$26,D$25,E106&lt;E$27,D$26,E106&lt;E$28,D$27,E106&lt;E$29,D$28,E106&lt;E$30,D$29,E106&lt;E$31,D$30,E106&lt;E$32,D$31,E106&lt;E$33,D$32,E106&lt;E$34,D$33,E106&lt;E$35,D$34,E106&gt;=E$35,D$35)</f>
        <v/>
      </c>
      <c r="E106" s="38" t="n">
        <v>56</v>
      </c>
      <c r="F106" s="31">
        <f>E106/52</f>
        <v/>
      </c>
      <c r="G106" s="39">
        <f>D106/1000000*52</f>
        <v/>
      </c>
      <c r="H106" s="33">
        <f>G106/$P$4+($C$22/$P$4)</f>
        <v/>
      </c>
      <c r="I106" s="36">
        <f>_xlfn.IFS(K106&lt;K$24,0,K106&lt;K$26,I$24,K106&lt;K$28,I$26,K106&lt;K$30,I$28,K106&lt;K$32,I$30,K106&lt;K$34,I$32,K106&lt;K$36,I$34,K106&lt;K$38,I$36,K106&lt;K$40,I$38,K106&lt;K$42,I$40,K106&lt;K$44,I$42,K106&lt;K$46,I$44,K106&gt;=K$46,I$46)</f>
        <v/>
      </c>
      <c r="J106" s="37">
        <f>_xlfn.IFS(K106&lt;K$24,0,K106&lt;K$25,J$24,K106&lt;K$26,J$25,K106&lt;K$27,J$26,K106&lt;K$28,J$27,K106&lt;K$29,J$28,K106&lt;K$30,J$29,K106&lt;K$31,J$30,K106&lt;K$32,J$31,K106&lt;K$33,J$32,K106&lt;K$34,J$33,K106&lt;K$35,J$34,K106&lt;K$36,J$35,K106&lt;K$37,J$36,K106&lt;K$38,J$37,K106&lt;K$39,J$38,K106&lt;K$40,J$39,K106&lt;K$41,J$40,K106&lt;K$42,J$41,K106&lt;K$43,J$42,K106&lt;K$44,J$43,K106&lt;K$45,J$44,K106&lt;K$46,J$45,K106&lt;K$47,J$46,K106&gt;=K$47,J$47)</f>
        <v/>
      </c>
      <c r="K106" s="38" t="n">
        <v>56</v>
      </c>
      <c r="L106" s="31">
        <f>K106/52</f>
        <v/>
      </c>
      <c r="M106" s="39">
        <f>J106/1000000*52</f>
        <v/>
      </c>
      <c r="N106" s="33">
        <f>M106/$P$4+($I$22/$P$4)</f>
        <v/>
      </c>
      <c r="U106">
        <f>F105</f>
        <v/>
      </c>
      <c r="V106">
        <f>H105</f>
        <v/>
      </c>
      <c r="W106">
        <f>N105</f>
        <v/>
      </c>
    </row>
    <row r="107" ht="15.75" customHeight="1" s="40">
      <c r="C107" s="36">
        <f>_xlfn.IFS(E107&lt;E$24,0,E107&lt;E$26,C$24,E107&lt;E$28,C$26,E107&lt;E$30,C$28,E107&lt;E$32,C$30,E107&lt;E$34,C$32,E107&gt;=E$34,C$34)</f>
        <v/>
      </c>
      <c r="D107" s="37">
        <f>_xlfn.IFS(E107&lt;E$24,0,E107&lt;E$25,D$24,E107&lt;E$26,D$25,E107&lt;E$27,D$26,E107&lt;E$28,D$27,E107&lt;E$29,D$28,E107&lt;E$30,D$29,E107&lt;E$31,D$30,E107&lt;E$32,D$31,E107&lt;E$33,D$32,E107&lt;E$34,D$33,E107&lt;E$35,D$34,E107&gt;=E$35,D$35)</f>
        <v/>
      </c>
      <c r="E107" s="38" t="n">
        <v>57</v>
      </c>
      <c r="F107" s="31">
        <f>E107/52</f>
        <v/>
      </c>
      <c r="G107" s="39">
        <f>D107/1000000*52</f>
        <v/>
      </c>
      <c r="H107" s="33">
        <f>G107/$P$4+($C$22/$P$4)</f>
        <v/>
      </c>
      <c r="I107" s="36">
        <f>_xlfn.IFS(K107&lt;K$24,0,K107&lt;K$26,I$24,K107&lt;K$28,I$26,K107&lt;K$30,I$28,K107&lt;K$32,I$30,K107&lt;K$34,I$32,K107&lt;K$36,I$34,K107&lt;K$38,I$36,K107&lt;K$40,I$38,K107&lt;K$42,I$40,K107&lt;K$44,I$42,K107&lt;K$46,I$44,K107&gt;=K$46,I$46)</f>
        <v/>
      </c>
      <c r="J107" s="37">
        <f>_xlfn.IFS(K107&lt;K$24,0,K107&lt;K$25,J$24,K107&lt;K$26,J$25,K107&lt;K$27,J$26,K107&lt;K$28,J$27,K107&lt;K$29,J$28,K107&lt;K$30,J$29,K107&lt;K$31,J$30,K107&lt;K$32,J$31,K107&lt;K$33,J$32,K107&lt;K$34,J$33,K107&lt;K$35,J$34,K107&lt;K$36,J$35,K107&lt;K$37,J$36,K107&lt;K$38,J$37,K107&lt;K$39,J$38,K107&lt;K$40,J$39,K107&lt;K$41,J$40,K107&lt;K$42,J$41,K107&lt;K$43,J$42,K107&lt;K$44,J$43,K107&lt;K$45,J$44,K107&lt;K$46,J$45,K107&lt;K$47,J$46,K107&gt;=K$47,J$47)</f>
        <v/>
      </c>
      <c r="K107" s="38" t="n">
        <v>57</v>
      </c>
      <c r="L107" s="31">
        <f>K107/52</f>
        <v/>
      </c>
      <c r="M107" s="39">
        <f>J107/1000000*52</f>
        <v/>
      </c>
      <c r="N107" s="33">
        <f>M107/$P$4+($I$22/$P$4)</f>
        <v/>
      </c>
      <c r="U107">
        <f>F106</f>
        <v/>
      </c>
      <c r="V107">
        <f>H106</f>
        <v/>
      </c>
      <c r="W107">
        <f>N106</f>
        <v/>
      </c>
    </row>
    <row r="108" ht="15.75" customHeight="1" s="40">
      <c r="C108" s="36">
        <f>_xlfn.IFS(E108&lt;E$24,0,E108&lt;E$26,C$24,E108&lt;E$28,C$26,E108&lt;E$30,C$28,E108&lt;E$32,C$30,E108&lt;E$34,C$32,E108&gt;=E$34,C$34)</f>
        <v/>
      </c>
      <c r="D108" s="37">
        <f>_xlfn.IFS(E108&lt;E$24,0,E108&lt;E$25,D$24,E108&lt;E$26,D$25,E108&lt;E$27,D$26,E108&lt;E$28,D$27,E108&lt;E$29,D$28,E108&lt;E$30,D$29,E108&lt;E$31,D$30,E108&lt;E$32,D$31,E108&lt;E$33,D$32,E108&lt;E$34,D$33,E108&lt;E$35,D$34,E108&gt;=E$35,D$35)</f>
        <v/>
      </c>
      <c r="E108" s="38" t="n">
        <v>58</v>
      </c>
      <c r="F108" s="31">
        <f>E108/52</f>
        <v/>
      </c>
      <c r="G108" s="39">
        <f>D108/1000000*52</f>
        <v/>
      </c>
      <c r="H108" s="33">
        <f>G108/$P$4+($C$22/$P$4)</f>
        <v/>
      </c>
      <c r="I108" s="36">
        <f>_xlfn.IFS(K108&lt;K$24,0,K108&lt;K$26,I$24,K108&lt;K$28,I$26,K108&lt;K$30,I$28,K108&lt;K$32,I$30,K108&lt;K$34,I$32,K108&lt;K$36,I$34,K108&lt;K$38,I$36,K108&lt;K$40,I$38,K108&lt;K$42,I$40,K108&lt;K$44,I$42,K108&lt;K$46,I$44,K108&gt;=K$46,I$46)</f>
        <v/>
      </c>
      <c r="J108" s="37">
        <f>_xlfn.IFS(K108&lt;K$24,0,K108&lt;K$25,J$24,K108&lt;K$26,J$25,K108&lt;K$27,J$26,K108&lt;K$28,J$27,K108&lt;K$29,J$28,K108&lt;K$30,J$29,K108&lt;K$31,J$30,K108&lt;K$32,J$31,K108&lt;K$33,J$32,K108&lt;K$34,J$33,K108&lt;K$35,J$34,K108&lt;K$36,J$35,K108&lt;K$37,J$36,K108&lt;K$38,J$37,K108&lt;K$39,J$38,K108&lt;K$40,J$39,K108&lt;K$41,J$40,K108&lt;K$42,J$41,K108&lt;K$43,J$42,K108&lt;K$44,J$43,K108&lt;K$45,J$44,K108&lt;K$46,J$45,K108&lt;K$47,J$46,K108&gt;=K$47,J$47)</f>
        <v/>
      </c>
      <c r="K108" s="38" t="n">
        <v>58</v>
      </c>
      <c r="L108" s="31">
        <f>K108/52</f>
        <v/>
      </c>
      <c r="M108" s="39">
        <f>J108/1000000*52</f>
        <v/>
      </c>
      <c r="N108" s="33">
        <f>M108/$P$4+($I$22/$P$4)</f>
        <v/>
      </c>
      <c r="U108">
        <f>F107</f>
        <v/>
      </c>
      <c r="V108">
        <f>H107</f>
        <v/>
      </c>
      <c r="W108">
        <f>N107</f>
        <v/>
      </c>
    </row>
    <row r="109" ht="15.75" customHeight="1" s="40">
      <c r="C109" s="36">
        <f>_xlfn.IFS(E109&lt;E$24,0,E109&lt;E$26,C$24,E109&lt;E$28,C$26,E109&lt;E$30,C$28,E109&lt;E$32,C$30,E109&lt;E$34,C$32,E109&gt;=E$34,C$34)</f>
        <v/>
      </c>
      <c r="D109" s="37">
        <f>_xlfn.IFS(E109&lt;E$24,0,E109&lt;E$25,D$24,E109&lt;E$26,D$25,E109&lt;E$27,D$26,E109&lt;E$28,D$27,E109&lt;E$29,D$28,E109&lt;E$30,D$29,E109&lt;E$31,D$30,E109&lt;E$32,D$31,E109&lt;E$33,D$32,E109&lt;E$34,D$33,E109&lt;E$35,D$34,E109&gt;=E$35,D$35)</f>
        <v/>
      </c>
      <c r="E109" s="38" t="n">
        <v>59</v>
      </c>
      <c r="F109" s="31">
        <f>E109/52</f>
        <v/>
      </c>
      <c r="G109" s="39">
        <f>D109/1000000*52</f>
        <v/>
      </c>
      <c r="H109" s="33">
        <f>G109/$P$4+($C$22/$P$4)</f>
        <v/>
      </c>
      <c r="I109" s="36">
        <f>_xlfn.IFS(K109&lt;K$24,0,K109&lt;K$26,I$24,K109&lt;K$28,I$26,K109&lt;K$30,I$28,K109&lt;K$32,I$30,K109&lt;K$34,I$32,K109&lt;K$36,I$34,K109&lt;K$38,I$36,K109&lt;K$40,I$38,K109&lt;K$42,I$40,K109&lt;K$44,I$42,K109&lt;K$46,I$44,K109&gt;=K$46,I$46)</f>
        <v/>
      </c>
      <c r="J109" s="37">
        <f>_xlfn.IFS(K109&lt;K$24,0,K109&lt;K$25,J$24,K109&lt;K$26,J$25,K109&lt;K$27,J$26,K109&lt;K$28,J$27,K109&lt;K$29,J$28,K109&lt;K$30,J$29,K109&lt;K$31,J$30,K109&lt;K$32,J$31,K109&lt;K$33,J$32,K109&lt;K$34,J$33,K109&lt;K$35,J$34,K109&lt;K$36,J$35,K109&lt;K$37,J$36,K109&lt;K$38,J$37,K109&lt;K$39,J$38,K109&lt;K$40,J$39,K109&lt;K$41,J$40,K109&lt;K$42,J$41,K109&lt;K$43,J$42,K109&lt;K$44,J$43,K109&lt;K$45,J$44,K109&lt;K$46,J$45,K109&lt;K$47,J$46,K109&gt;=K$47,J$47)</f>
        <v/>
      </c>
      <c r="K109" s="38" t="n">
        <v>59</v>
      </c>
      <c r="L109" s="31">
        <f>K109/52</f>
        <v/>
      </c>
      <c r="M109" s="39">
        <f>J109/1000000*52</f>
        <v/>
      </c>
      <c r="N109" s="33">
        <f>M109/$P$4+($I$22/$P$4)</f>
        <v/>
      </c>
      <c r="U109">
        <f>F108</f>
        <v/>
      </c>
      <c r="V109">
        <f>H108</f>
        <v/>
      </c>
      <c r="W109">
        <f>N108</f>
        <v/>
      </c>
    </row>
    <row r="110" ht="15.75" customHeight="1" s="40">
      <c r="C110" s="36">
        <f>_xlfn.IFS(E110&lt;E$24,0,E110&lt;E$26,C$24,E110&lt;E$28,C$26,E110&lt;E$30,C$28,E110&lt;E$32,C$30,E110&lt;E$34,C$32,E110&gt;=E$34,C$34)</f>
        <v/>
      </c>
      <c r="D110" s="37">
        <f>_xlfn.IFS(E110&lt;E$24,0,E110&lt;E$25,D$24,E110&lt;E$26,D$25,E110&lt;E$27,D$26,E110&lt;E$28,D$27,E110&lt;E$29,D$28,E110&lt;E$30,D$29,E110&lt;E$31,D$30,E110&lt;E$32,D$31,E110&lt;E$33,D$32,E110&lt;E$34,D$33,E110&lt;E$35,D$34,E110&gt;=E$35,D$35)</f>
        <v/>
      </c>
      <c r="E110" s="38" t="n">
        <v>60</v>
      </c>
      <c r="F110" s="31">
        <f>E110/52</f>
        <v/>
      </c>
      <c r="G110" s="39">
        <f>D110/1000000*52</f>
        <v/>
      </c>
      <c r="H110" s="33">
        <f>G110/$P$4+($C$22/$P$4)</f>
        <v/>
      </c>
      <c r="I110" s="36">
        <f>_xlfn.IFS(K110&lt;K$24,0,K110&lt;K$26,I$24,K110&lt;K$28,I$26,K110&lt;K$30,I$28,K110&lt;K$32,I$30,K110&lt;K$34,I$32,K110&lt;K$36,I$34,K110&lt;K$38,I$36,K110&lt;K$40,I$38,K110&lt;K$42,I$40,K110&lt;K$44,I$42,K110&lt;K$46,I$44,K110&gt;=K$46,I$46)</f>
        <v/>
      </c>
      <c r="J110" s="37">
        <f>_xlfn.IFS(K110&lt;K$24,0,K110&lt;K$25,J$24,K110&lt;K$26,J$25,K110&lt;K$27,J$26,K110&lt;K$28,J$27,K110&lt;K$29,J$28,K110&lt;K$30,J$29,K110&lt;K$31,J$30,K110&lt;K$32,J$31,K110&lt;K$33,J$32,K110&lt;K$34,J$33,K110&lt;K$35,J$34,K110&lt;K$36,J$35,K110&lt;K$37,J$36,K110&lt;K$38,J$37,K110&lt;K$39,J$38,K110&lt;K$40,J$39,K110&lt;K$41,J$40,K110&lt;K$42,J$41,K110&lt;K$43,J$42,K110&lt;K$44,J$43,K110&lt;K$45,J$44,K110&lt;K$46,J$45,K110&lt;K$47,J$46,K110&gt;=K$47,J$47)</f>
        <v/>
      </c>
      <c r="K110" s="38" t="n">
        <v>60</v>
      </c>
      <c r="L110" s="31">
        <f>K110/52</f>
        <v/>
      </c>
      <c r="M110" s="39">
        <f>J110/1000000*52</f>
        <v/>
      </c>
      <c r="N110" s="33">
        <f>M110/$P$4+($I$22/$P$4)</f>
        <v/>
      </c>
      <c r="U110">
        <f>F109</f>
        <v/>
      </c>
      <c r="V110">
        <f>H109</f>
        <v/>
      </c>
      <c r="W110">
        <f>N109</f>
        <v/>
      </c>
    </row>
    <row r="111" ht="15.75" customHeight="1" s="40">
      <c r="C111" s="36">
        <f>_xlfn.IFS(E111&lt;E$24,0,E111&lt;E$26,C$24,E111&lt;E$28,C$26,E111&lt;E$30,C$28,E111&lt;E$32,C$30,E111&lt;E$34,C$32,E111&gt;=E$34,C$34)</f>
        <v/>
      </c>
      <c r="D111" s="37">
        <f>_xlfn.IFS(E111&lt;E$24,0,E111&lt;E$25,D$24,E111&lt;E$26,D$25,E111&lt;E$27,D$26,E111&lt;E$28,D$27,E111&lt;E$29,D$28,E111&lt;E$30,D$29,E111&lt;E$31,D$30,E111&lt;E$32,D$31,E111&lt;E$33,D$32,E111&lt;E$34,D$33,E111&lt;E$35,D$34,E111&gt;=E$35,D$35)</f>
        <v/>
      </c>
      <c r="E111" s="38" t="n">
        <v>61</v>
      </c>
      <c r="F111" s="31">
        <f>E111/52</f>
        <v/>
      </c>
      <c r="G111" s="39">
        <f>D111/1000000*52</f>
        <v/>
      </c>
      <c r="H111" s="33">
        <f>G111/$P$4+($C$22/$P$4)</f>
        <v/>
      </c>
      <c r="I111" s="36">
        <f>_xlfn.IFS(K111&lt;K$24,0,K111&lt;K$26,I$24,K111&lt;K$28,I$26,K111&lt;K$30,I$28,K111&lt;K$32,I$30,K111&lt;K$34,I$32,K111&lt;K$36,I$34,K111&lt;K$38,I$36,K111&lt;K$40,I$38,K111&lt;K$42,I$40,K111&lt;K$44,I$42,K111&lt;K$46,I$44,K111&gt;=K$46,I$46)</f>
        <v/>
      </c>
      <c r="J111" s="37">
        <f>_xlfn.IFS(K111&lt;K$24,0,K111&lt;K$25,J$24,K111&lt;K$26,J$25,K111&lt;K$27,J$26,K111&lt;K$28,J$27,K111&lt;K$29,J$28,K111&lt;K$30,J$29,K111&lt;K$31,J$30,K111&lt;K$32,J$31,K111&lt;K$33,J$32,K111&lt;K$34,J$33,K111&lt;K$35,J$34,K111&lt;K$36,J$35,K111&lt;K$37,J$36,K111&lt;K$38,J$37,K111&lt;K$39,J$38,K111&lt;K$40,J$39,K111&lt;K$41,J$40,K111&lt;K$42,J$41,K111&lt;K$43,J$42,K111&lt;K$44,J$43,K111&lt;K$45,J$44,K111&lt;K$46,J$45,K111&lt;K$47,J$46,K111&gt;=K$47,J$47)</f>
        <v/>
      </c>
      <c r="K111" s="38" t="n">
        <v>61</v>
      </c>
      <c r="L111" s="31">
        <f>K111/52</f>
        <v/>
      </c>
      <c r="M111" s="39">
        <f>J111/1000000*52</f>
        <v/>
      </c>
      <c r="N111" s="33">
        <f>M111/$P$4+($I$22/$P$4)</f>
        <v/>
      </c>
      <c r="U111">
        <f>F110</f>
        <v/>
      </c>
      <c r="V111">
        <f>H110</f>
        <v/>
      </c>
      <c r="W111">
        <f>N110</f>
        <v/>
      </c>
    </row>
    <row r="112" ht="15.75" customHeight="1" s="40">
      <c r="C112" s="36">
        <f>_xlfn.IFS(E112&lt;E$24,0,E112&lt;E$26,C$24,E112&lt;E$28,C$26,E112&lt;E$30,C$28,E112&lt;E$32,C$30,E112&lt;E$34,C$32,E112&gt;=E$34,C$34)</f>
        <v/>
      </c>
      <c r="D112" s="37">
        <f>_xlfn.IFS(E112&lt;E$24,0,E112&lt;E$25,D$24,E112&lt;E$26,D$25,E112&lt;E$27,D$26,E112&lt;E$28,D$27,E112&lt;E$29,D$28,E112&lt;E$30,D$29,E112&lt;E$31,D$30,E112&lt;E$32,D$31,E112&lt;E$33,D$32,E112&lt;E$34,D$33,E112&lt;E$35,D$34,E112&gt;=E$35,D$35)</f>
        <v/>
      </c>
      <c r="E112" s="38" t="n">
        <v>62</v>
      </c>
      <c r="F112" s="31">
        <f>E112/52</f>
        <v/>
      </c>
      <c r="G112" s="39">
        <f>D112/1000000*52</f>
        <v/>
      </c>
      <c r="H112" s="33">
        <f>G112/$P$4+($C$22/$P$4)</f>
        <v/>
      </c>
      <c r="I112" s="36">
        <f>_xlfn.IFS(K112&lt;K$24,0,K112&lt;K$26,I$24,K112&lt;K$28,I$26,K112&lt;K$30,I$28,K112&lt;K$32,I$30,K112&lt;K$34,I$32,K112&lt;K$36,I$34,K112&lt;K$38,I$36,K112&lt;K$40,I$38,K112&lt;K$42,I$40,K112&lt;K$44,I$42,K112&lt;K$46,I$44,K112&gt;=K$46,I$46)</f>
        <v/>
      </c>
      <c r="J112" s="37">
        <f>_xlfn.IFS(K112&lt;K$24,0,K112&lt;K$25,J$24,K112&lt;K$26,J$25,K112&lt;K$27,J$26,K112&lt;K$28,J$27,K112&lt;K$29,J$28,K112&lt;K$30,J$29,K112&lt;K$31,J$30,K112&lt;K$32,J$31,K112&lt;K$33,J$32,K112&lt;K$34,J$33,K112&lt;K$35,J$34,K112&lt;K$36,J$35,K112&lt;K$37,J$36,K112&lt;K$38,J$37,K112&lt;K$39,J$38,K112&lt;K$40,J$39,K112&lt;K$41,J$40,K112&lt;K$42,J$41,K112&lt;K$43,J$42,K112&lt;K$44,J$43,K112&lt;K$45,J$44,K112&lt;K$46,J$45,K112&lt;K$47,J$46,K112&gt;=K$47,J$47)</f>
        <v/>
      </c>
      <c r="K112" s="38" t="n">
        <v>62</v>
      </c>
      <c r="L112" s="31">
        <f>K112/52</f>
        <v/>
      </c>
      <c r="M112" s="39">
        <f>J112/1000000*52</f>
        <v/>
      </c>
      <c r="N112" s="33">
        <f>M112/$P$4+($I$22/$P$4)</f>
        <v/>
      </c>
      <c r="U112">
        <f>F111</f>
        <v/>
      </c>
      <c r="V112">
        <f>H111</f>
        <v/>
      </c>
      <c r="W112">
        <f>N111</f>
        <v/>
      </c>
    </row>
    <row r="113" ht="15.75" customHeight="1" s="40">
      <c r="C113" s="36">
        <f>_xlfn.IFS(E113&lt;E$24,0,E113&lt;E$26,C$24,E113&lt;E$28,C$26,E113&lt;E$30,C$28,E113&lt;E$32,C$30,E113&lt;E$34,C$32,E113&gt;=E$34,C$34)</f>
        <v/>
      </c>
      <c r="D113" s="37">
        <f>_xlfn.IFS(E113&lt;E$24,0,E113&lt;E$25,D$24,E113&lt;E$26,D$25,E113&lt;E$27,D$26,E113&lt;E$28,D$27,E113&lt;E$29,D$28,E113&lt;E$30,D$29,E113&lt;E$31,D$30,E113&lt;E$32,D$31,E113&lt;E$33,D$32,E113&lt;E$34,D$33,E113&lt;E$35,D$34,E113&gt;=E$35,D$35)</f>
        <v/>
      </c>
      <c r="E113" s="38" t="n">
        <v>63</v>
      </c>
      <c r="F113" s="31">
        <f>E113/52</f>
        <v/>
      </c>
      <c r="G113" s="39">
        <f>D113/1000000*52</f>
        <v/>
      </c>
      <c r="H113" s="33">
        <f>G113/$P$4+($C$22/$P$4)</f>
        <v/>
      </c>
      <c r="I113" s="36">
        <f>_xlfn.IFS(K113&lt;K$24,0,K113&lt;K$26,I$24,K113&lt;K$28,I$26,K113&lt;K$30,I$28,K113&lt;K$32,I$30,K113&lt;K$34,I$32,K113&lt;K$36,I$34,K113&lt;K$38,I$36,K113&lt;K$40,I$38,K113&lt;K$42,I$40,K113&lt;K$44,I$42,K113&lt;K$46,I$44,K113&gt;=K$46,I$46)</f>
        <v/>
      </c>
      <c r="J113" s="37">
        <f>_xlfn.IFS(K113&lt;K$24,0,K113&lt;K$25,J$24,K113&lt;K$26,J$25,K113&lt;K$27,J$26,K113&lt;K$28,J$27,K113&lt;K$29,J$28,K113&lt;K$30,J$29,K113&lt;K$31,J$30,K113&lt;K$32,J$31,K113&lt;K$33,J$32,K113&lt;K$34,J$33,K113&lt;K$35,J$34,K113&lt;K$36,J$35,K113&lt;K$37,J$36,K113&lt;K$38,J$37,K113&lt;K$39,J$38,K113&lt;K$40,J$39,K113&lt;K$41,J$40,K113&lt;K$42,J$41,K113&lt;K$43,J$42,K113&lt;K$44,J$43,K113&lt;K$45,J$44,K113&lt;K$46,J$45,K113&lt;K$47,J$46,K113&gt;=K$47,J$47)</f>
        <v/>
      </c>
      <c r="K113" s="38" t="n">
        <v>63</v>
      </c>
      <c r="L113" s="31">
        <f>K113/52</f>
        <v/>
      </c>
      <c r="M113" s="39">
        <f>J113/1000000*52</f>
        <v/>
      </c>
      <c r="N113" s="33">
        <f>M113/$P$4+($I$22/$P$4)</f>
        <v/>
      </c>
      <c r="U113">
        <f>F112</f>
        <v/>
      </c>
      <c r="V113">
        <f>H112</f>
        <v/>
      </c>
      <c r="W113">
        <f>N112</f>
        <v/>
      </c>
    </row>
    <row r="114" ht="15.75" customHeight="1" s="40">
      <c r="C114" s="36">
        <f>_xlfn.IFS(E114&lt;E$24,0,E114&lt;E$26,C$24,E114&lt;E$28,C$26,E114&lt;E$30,C$28,E114&lt;E$32,C$30,E114&lt;E$34,C$32,E114&gt;=E$34,C$34)</f>
        <v/>
      </c>
      <c r="D114" s="37">
        <f>_xlfn.IFS(E114&lt;E$24,0,E114&lt;E$25,D$24,E114&lt;E$26,D$25,E114&lt;E$27,D$26,E114&lt;E$28,D$27,E114&lt;E$29,D$28,E114&lt;E$30,D$29,E114&lt;E$31,D$30,E114&lt;E$32,D$31,E114&lt;E$33,D$32,E114&lt;E$34,D$33,E114&lt;E$35,D$34,E114&gt;=E$35,D$35)</f>
        <v/>
      </c>
      <c r="E114" s="38" t="n">
        <v>64</v>
      </c>
      <c r="F114" s="31">
        <f>E114/52</f>
        <v/>
      </c>
      <c r="G114" s="39">
        <f>D114/1000000*52</f>
        <v/>
      </c>
      <c r="H114" s="33">
        <f>G114/$P$4+($C$22/$P$4)</f>
        <v/>
      </c>
      <c r="I114" s="36">
        <f>_xlfn.IFS(K114&lt;K$24,0,K114&lt;K$26,I$24,K114&lt;K$28,I$26,K114&lt;K$30,I$28,K114&lt;K$32,I$30,K114&lt;K$34,I$32,K114&lt;K$36,I$34,K114&lt;K$38,I$36,K114&lt;K$40,I$38,K114&lt;K$42,I$40,K114&lt;K$44,I$42,K114&lt;K$46,I$44,K114&gt;=K$46,I$46)</f>
        <v/>
      </c>
      <c r="J114" s="37">
        <f>_xlfn.IFS(K114&lt;K$24,0,K114&lt;K$25,J$24,K114&lt;K$26,J$25,K114&lt;K$27,J$26,K114&lt;K$28,J$27,K114&lt;K$29,J$28,K114&lt;K$30,J$29,K114&lt;K$31,J$30,K114&lt;K$32,J$31,K114&lt;K$33,J$32,K114&lt;K$34,J$33,K114&lt;K$35,J$34,K114&lt;K$36,J$35,K114&lt;K$37,J$36,K114&lt;K$38,J$37,K114&lt;K$39,J$38,K114&lt;K$40,J$39,K114&lt;K$41,J$40,K114&lt;K$42,J$41,K114&lt;K$43,J$42,K114&lt;K$44,J$43,K114&lt;K$45,J$44,K114&lt;K$46,J$45,K114&lt;K$47,J$46,K114&gt;=K$47,J$47)</f>
        <v/>
      </c>
      <c r="K114" s="38" t="n">
        <v>64</v>
      </c>
      <c r="L114" s="31">
        <f>K114/52</f>
        <v/>
      </c>
      <c r="M114" s="39">
        <f>J114/1000000*52</f>
        <v/>
      </c>
      <c r="N114" s="33">
        <f>M114/$P$4+($I$22/$P$4)</f>
        <v/>
      </c>
      <c r="U114">
        <f>F113</f>
        <v/>
      </c>
      <c r="V114">
        <f>H113</f>
        <v/>
      </c>
      <c r="W114">
        <f>N113</f>
        <v/>
      </c>
    </row>
    <row r="115" ht="15.75" customHeight="1" s="40">
      <c r="C115" s="36">
        <f>_xlfn.IFS(E115&lt;E$24,0,E115&lt;E$26,C$24,E115&lt;E$28,C$26,E115&lt;E$30,C$28,E115&lt;E$32,C$30,E115&lt;E$34,C$32,E115&gt;=E$34,C$34)</f>
        <v/>
      </c>
      <c r="D115" s="37">
        <f>_xlfn.IFS(E115&lt;E$24,0,E115&lt;E$25,D$24,E115&lt;E$26,D$25,E115&lt;E$27,D$26,E115&lt;E$28,D$27,E115&lt;E$29,D$28,E115&lt;E$30,D$29,E115&lt;E$31,D$30,E115&lt;E$32,D$31,E115&lt;E$33,D$32,E115&lt;E$34,D$33,E115&lt;E$35,D$34,E115&gt;=E$35,D$35)</f>
        <v/>
      </c>
      <c r="E115" s="38" t="n">
        <v>65</v>
      </c>
      <c r="F115" s="31">
        <f>E115/52</f>
        <v/>
      </c>
      <c r="G115" s="39">
        <f>D115/1000000*52</f>
        <v/>
      </c>
      <c r="H115" s="33">
        <f>G115/$P$4+($C$22/$P$4)</f>
        <v/>
      </c>
      <c r="I115" s="36">
        <f>_xlfn.IFS(K115&lt;K$24,0,K115&lt;K$26,I$24,K115&lt;K$28,I$26,K115&lt;K$30,I$28,K115&lt;K$32,I$30,K115&lt;K$34,I$32,K115&lt;K$36,I$34,K115&lt;K$38,I$36,K115&lt;K$40,I$38,K115&lt;K$42,I$40,K115&lt;K$44,I$42,K115&lt;K$46,I$44,K115&gt;=K$46,I$46)</f>
        <v/>
      </c>
      <c r="J115" s="37">
        <f>_xlfn.IFS(K115&lt;K$24,0,K115&lt;K$25,J$24,K115&lt;K$26,J$25,K115&lt;K$27,J$26,K115&lt;K$28,J$27,K115&lt;K$29,J$28,K115&lt;K$30,J$29,K115&lt;K$31,J$30,K115&lt;K$32,J$31,K115&lt;K$33,J$32,K115&lt;K$34,J$33,K115&lt;K$35,J$34,K115&lt;K$36,J$35,K115&lt;K$37,J$36,K115&lt;K$38,J$37,K115&lt;K$39,J$38,K115&lt;K$40,J$39,K115&lt;K$41,J$40,K115&lt;K$42,J$41,K115&lt;K$43,J$42,K115&lt;K$44,J$43,K115&lt;K$45,J$44,K115&lt;K$46,J$45,K115&lt;K$47,J$46,K115&gt;=K$47,J$47)</f>
        <v/>
      </c>
      <c r="K115" s="38" t="n">
        <v>65</v>
      </c>
      <c r="L115" s="31">
        <f>K115/52</f>
        <v/>
      </c>
      <c r="M115" s="39">
        <f>J115/1000000*52</f>
        <v/>
      </c>
      <c r="N115" s="33">
        <f>M115/$P$4+($I$22/$P$4)</f>
        <v/>
      </c>
      <c r="U115">
        <f>F114</f>
        <v/>
      </c>
      <c r="V115">
        <f>H114</f>
        <v/>
      </c>
      <c r="W115">
        <f>N114</f>
        <v/>
      </c>
    </row>
    <row r="116" ht="15.75" customHeight="1" s="40">
      <c r="C116" s="36">
        <f>_xlfn.IFS(E116&lt;E$24,0,E116&lt;E$26,C$24,E116&lt;E$28,C$26,E116&lt;E$30,C$28,E116&lt;E$32,C$30,E116&lt;E$34,C$32,E116&gt;=E$34,C$34)</f>
        <v/>
      </c>
      <c r="D116" s="37">
        <f>_xlfn.IFS(E116&lt;E$24,0,E116&lt;E$25,D$24,E116&lt;E$26,D$25,E116&lt;E$27,D$26,E116&lt;E$28,D$27,E116&lt;E$29,D$28,E116&lt;E$30,D$29,E116&lt;E$31,D$30,E116&lt;E$32,D$31,E116&lt;E$33,D$32,E116&lt;E$34,D$33,E116&lt;E$35,D$34,E116&gt;=E$35,D$35)</f>
        <v/>
      </c>
      <c r="E116" s="38" t="n">
        <v>66</v>
      </c>
      <c r="F116" s="31">
        <f>E116/52</f>
        <v/>
      </c>
      <c r="G116" s="39">
        <f>D116/1000000*52</f>
        <v/>
      </c>
      <c r="H116" s="33">
        <f>G116/$P$4+($C$22/$P$4)</f>
        <v/>
      </c>
      <c r="I116" s="36">
        <f>_xlfn.IFS(K116&lt;K$24,0,K116&lt;K$26,I$24,K116&lt;K$28,I$26,K116&lt;K$30,I$28,K116&lt;K$32,I$30,K116&lt;K$34,I$32,K116&lt;K$36,I$34,K116&lt;K$38,I$36,K116&lt;K$40,I$38,K116&lt;K$42,I$40,K116&lt;K$44,I$42,K116&lt;K$46,I$44,K116&gt;=K$46,I$46)</f>
        <v/>
      </c>
      <c r="J116" s="37">
        <f>_xlfn.IFS(K116&lt;K$24,0,K116&lt;K$25,J$24,K116&lt;K$26,J$25,K116&lt;K$27,J$26,K116&lt;K$28,J$27,K116&lt;K$29,J$28,K116&lt;K$30,J$29,K116&lt;K$31,J$30,K116&lt;K$32,J$31,K116&lt;K$33,J$32,K116&lt;K$34,J$33,K116&lt;K$35,J$34,K116&lt;K$36,J$35,K116&lt;K$37,J$36,K116&lt;K$38,J$37,K116&lt;K$39,J$38,K116&lt;K$40,J$39,K116&lt;K$41,J$40,K116&lt;K$42,J$41,K116&lt;K$43,J$42,K116&lt;K$44,J$43,K116&lt;K$45,J$44,K116&lt;K$46,J$45,K116&lt;K$47,J$46,K116&gt;=K$47,J$47)</f>
        <v/>
      </c>
      <c r="K116" s="38" t="n">
        <v>66</v>
      </c>
      <c r="L116" s="31">
        <f>K116/52</f>
        <v/>
      </c>
      <c r="M116" s="39">
        <f>J116/1000000*52</f>
        <v/>
      </c>
      <c r="N116" s="33">
        <f>M116/$P$4+($I$22/$P$4)</f>
        <v/>
      </c>
      <c r="U116">
        <f>F115</f>
        <v/>
      </c>
      <c r="V116">
        <f>H115</f>
        <v/>
      </c>
      <c r="W116">
        <f>N115</f>
        <v/>
      </c>
    </row>
    <row r="117" ht="15.75" customHeight="1" s="40">
      <c r="C117" s="36">
        <f>_xlfn.IFS(E117&lt;E$24,0,E117&lt;E$26,C$24,E117&lt;E$28,C$26,E117&lt;E$30,C$28,E117&lt;E$32,C$30,E117&lt;E$34,C$32,E117&gt;=E$34,C$34)</f>
        <v/>
      </c>
      <c r="D117" s="37">
        <f>_xlfn.IFS(E117&lt;E$24,0,E117&lt;E$25,D$24,E117&lt;E$26,D$25,E117&lt;E$27,D$26,E117&lt;E$28,D$27,E117&lt;E$29,D$28,E117&lt;E$30,D$29,E117&lt;E$31,D$30,E117&lt;E$32,D$31,E117&lt;E$33,D$32,E117&lt;E$34,D$33,E117&lt;E$35,D$34,E117&gt;=E$35,D$35)</f>
        <v/>
      </c>
      <c r="E117" s="38" t="n">
        <v>67</v>
      </c>
      <c r="F117" s="31">
        <f>E117/52</f>
        <v/>
      </c>
      <c r="G117" s="39">
        <f>D117/1000000*52</f>
        <v/>
      </c>
      <c r="H117" s="33">
        <f>G117/$P$4+($C$22/$P$4)</f>
        <v/>
      </c>
      <c r="I117" s="36">
        <f>_xlfn.IFS(K117&lt;K$24,0,K117&lt;K$26,I$24,K117&lt;K$28,I$26,K117&lt;K$30,I$28,K117&lt;K$32,I$30,K117&lt;K$34,I$32,K117&lt;K$36,I$34,K117&lt;K$38,I$36,K117&lt;K$40,I$38,K117&lt;K$42,I$40,K117&lt;K$44,I$42,K117&lt;K$46,I$44,K117&gt;=K$46,I$46)</f>
        <v/>
      </c>
      <c r="J117" s="37">
        <f>_xlfn.IFS(K117&lt;K$24,0,K117&lt;K$25,J$24,K117&lt;K$26,J$25,K117&lt;K$27,J$26,K117&lt;K$28,J$27,K117&lt;K$29,J$28,K117&lt;K$30,J$29,K117&lt;K$31,J$30,K117&lt;K$32,J$31,K117&lt;K$33,J$32,K117&lt;K$34,J$33,K117&lt;K$35,J$34,K117&lt;K$36,J$35,K117&lt;K$37,J$36,K117&lt;K$38,J$37,K117&lt;K$39,J$38,K117&lt;K$40,J$39,K117&lt;K$41,J$40,K117&lt;K$42,J$41,K117&lt;K$43,J$42,K117&lt;K$44,J$43,K117&lt;K$45,J$44,K117&lt;K$46,J$45,K117&lt;K$47,J$46,K117&gt;=K$47,J$47)</f>
        <v/>
      </c>
      <c r="K117" s="38" t="n">
        <v>67</v>
      </c>
      <c r="L117" s="31">
        <f>K117/52</f>
        <v/>
      </c>
      <c r="M117" s="39">
        <f>J117/1000000*52</f>
        <v/>
      </c>
      <c r="N117" s="33">
        <f>M117/$P$4+($I$22/$P$4)</f>
        <v/>
      </c>
      <c r="U117">
        <f>F116</f>
        <v/>
      </c>
      <c r="V117">
        <f>H116</f>
        <v/>
      </c>
      <c r="W117">
        <f>N116</f>
        <v/>
      </c>
    </row>
    <row r="118" ht="15.75" customHeight="1" s="40">
      <c r="C118" s="36">
        <f>_xlfn.IFS(E118&lt;E$24,0,E118&lt;E$26,C$24,E118&lt;E$28,C$26,E118&lt;E$30,C$28,E118&lt;E$32,C$30,E118&lt;E$34,C$32,E118&gt;=E$34,C$34)</f>
        <v/>
      </c>
      <c r="D118" s="37">
        <f>_xlfn.IFS(E118&lt;E$24,0,E118&lt;E$25,D$24,E118&lt;E$26,D$25,E118&lt;E$27,D$26,E118&lt;E$28,D$27,E118&lt;E$29,D$28,E118&lt;E$30,D$29,E118&lt;E$31,D$30,E118&lt;E$32,D$31,E118&lt;E$33,D$32,E118&lt;E$34,D$33,E118&lt;E$35,D$34,E118&gt;=E$35,D$35)</f>
        <v/>
      </c>
      <c r="E118" s="38" t="n">
        <v>68</v>
      </c>
      <c r="F118" s="31">
        <f>E118/52</f>
        <v/>
      </c>
      <c r="G118" s="39">
        <f>D118/1000000*52</f>
        <v/>
      </c>
      <c r="H118" s="33">
        <f>G118/$P$4+($C$22/$P$4)</f>
        <v/>
      </c>
      <c r="I118" s="36">
        <f>_xlfn.IFS(K118&lt;K$24,0,K118&lt;K$26,I$24,K118&lt;K$28,I$26,K118&lt;K$30,I$28,K118&lt;K$32,I$30,K118&lt;K$34,I$32,K118&lt;K$36,I$34,K118&lt;K$38,I$36,K118&lt;K$40,I$38,K118&lt;K$42,I$40,K118&lt;K$44,I$42,K118&lt;K$46,I$44,K118&gt;=K$46,I$46)</f>
        <v/>
      </c>
      <c r="J118" s="37">
        <f>_xlfn.IFS(K118&lt;K$24,0,K118&lt;K$25,J$24,K118&lt;K$26,J$25,K118&lt;K$27,J$26,K118&lt;K$28,J$27,K118&lt;K$29,J$28,K118&lt;K$30,J$29,K118&lt;K$31,J$30,K118&lt;K$32,J$31,K118&lt;K$33,J$32,K118&lt;K$34,J$33,K118&lt;K$35,J$34,K118&lt;K$36,J$35,K118&lt;K$37,J$36,K118&lt;K$38,J$37,K118&lt;K$39,J$38,K118&lt;K$40,J$39,K118&lt;K$41,J$40,K118&lt;K$42,J$41,K118&lt;K$43,J$42,K118&lt;K$44,J$43,K118&lt;K$45,J$44,K118&lt;K$46,J$45,K118&lt;K$47,J$46,K118&gt;=K$47,J$47)</f>
        <v/>
      </c>
      <c r="K118" s="38" t="n">
        <v>68</v>
      </c>
      <c r="L118" s="31">
        <f>K118/52</f>
        <v/>
      </c>
      <c r="M118" s="39">
        <f>J118/1000000*52</f>
        <v/>
      </c>
      <c r="N118" s="33">
        <f>M118/$P$4+($I$22/$P$4)</f>
        <v/>
      </c>
      <c r="U118">
        <f>F117</f>
        <v/>
      </c>
      <c r="V118">
        <f>H117</f>
        <v/>
      </c>
      <c r="W118">
        <f>N117</f>
        <v/>
      </c>
    </row>
    <row r="119" ht="15.75" customHeight="1" s="40">
      <c r="C119" s="36">
        <f>_xlfn.IFS(E119&lt;E$24,0,E119&lt;E$26,C$24,E119&lt;E$28,C$26,E119&lt;E$30,C$28,E119&lt;E$32,C$30,E119&lt;E$34,C$32,E119&gt;=E$34,C$34)</f>
        <v/>
      </c>
      <c r="D119" s="37">
        <f>_xlfn.IFS(E119&lt;E$24,0,E119&lt;E$25,D$24,E119&lt;E$26,D$25,E119&lt;E$27,D$26,E119&lt;E$28,D$27,E119&lt;E$29,D$28,E119&lt;E$30,D$29,E119&lt;E$31,D$30,E119&lt;E$32,D$31,E119&lt;E$33,D$32,E119&lt;E$34,D$33,E119&lt;E$35,D$34,E119&gt;=E$35,D$35)</f>
        <v/>
      </c>
      <c r="E119" s="38" t="n">
        <v>69</v>
      </c>
      <c r="F119" s="31">
        <f>E119/52</f>
        <v/>
      </c>
      <c r="G119" s="39">
        <f>D119/1000000*52</f>
        <v/>
      </c>
      <c r="H119" s="33">
        <f>G119/$P$4+($C$22/$P$4)</f>
        <v/>
      </c>
      <c r="I119" s="36">
        <f>_xlfn.IFS(K119&lt;K$24,0,K119&lt;K$26,I$24,K119&lt;K$28,I$26,K119&lt;K$30,I$28,K119&lt;K$32,I$30,K119&lt;K$34,I$32,K119&lt;K$36,I$34,K119&lt;K$38,I$36,K119&lt;K$40,I$38,K119&lt;K$42,I$40,K119&lt;K$44,I$42,K119&lt;K$46,I$44,K119&gt;=K$46,I$46)</f>
        <v/>
      </c>
      <c r="J119" s="37">
        <f>_xlfn.IFS(K119&lt;K$24,0,K119&lt;K$25,J$24,K119&lt;K$26,J$25,K119&lt;K$27,J$26,K119&lt;K$28,J$27,K119&lt;K$29,J$28,K119&lt;K$30,J$29,K119&lt;K$31,J$30,K119&lt;K$32,J$31,K119&lt;K$33,J$32,K119&lt;K$34,J$33,K119&lt;K$35,J$34,K119&lt;K$36,J$35,K119&lt;K$37,J$36,K119&lt;K$38,J$37,K119&lt;K$39,J$38,K119&lt;K$40,J$39,K119&lt;K$41,J$40,K119&lt;K$42,J$41,K119&lt;K$43,J$42,K119&lt;K$44,J$43,K119&lt;K$45,J$44,K119&lt;K$46,J$45,K119&lt;K$47,J$46,K119&gt;=K$47,J$47)</f>
        <v/>
      </c>
      <c r="K119" s="38" t="n">
        <v>69</v>
      </c>
      <c r="L119" s="31">
        <f>K119/52</f>
        <v/>
      </c>
      <c r="M119" s="39">
        <f>J119/1000000*52</f>
        <v/>
      </c>
      <c r="N119" s="33">
        <f>M119/$P$4+($I$22/$P$4)</f>
        <v/>
      </c>
      <c r="U119">
        <f>F118</f>
        <v/>
      </c>
      <c r="V119">
        <f>H118</f>
        <v/>
      </c>
      <c r="W119">
        <f>N118</f>
        <v/>
      </c>
    </row>
    <row r="120" ht="15.75" customHeight="1" s="40">
      <c r="C120" s="36">
        <f>_xlfn.IFS(E120&lt;E$24,0,E120&lt;E$26,C$24,E120&lt;E$28,C$26,E120&lt;E$30,C$28,E120&lt;E$32,C$30,E120&lt;E$34,C$32,E120&gt;=E$34,C$34)</f>
        <v/>
      </c>
      <c r="D120" s="37">
        <f>_xlfn.IFS(E120&lt;E$24,0,E120&lt;E$25,D$24,E120&lt;E$26,D$25,E120&lt;E$27,D$26,E120&lt;E$28,D$27,E120&lt;E$29,D$28,E120&lt;E$30,D$29,E120&lt;E$31,D$30,E120&lt;E$32,D$31,E120&lt;E$33,D$32,E120&lt;E$34,D$33,E120&lt;E$35,D$34,E120&gt;=E$35,D$35)</f>
        <v/>
      </c>
      <c r="E120" s="38" t="n">
        <v>70</v>
      </c>
      <c r="F120" s="31">
        <f>E120/52</f>
        <v/>
      </c>
      <c r="G120" s="39">
        <f>D120/1000000*52</f>
        <v/>
      </c>
      <c r="H120" s="33">
        <f>G120/$P$4+($C$22/$P$4)</f>
        <v/>
      </c>
      <c r="I120" s="36">
        <f>_xlfn.IFS(K120&lt;K$24,0,K120&lt;K$26,I$24,K120&lt;K$28,I$26,K120&lt;K$30,I$28,K120&lt;K$32,I$30,K120&lt;K$34,I$32,K120&lt;K$36,I$34,K120&lt;K$38,I$36,K120&lt;K$40,I$38,K120&lt;K$42,I$40,K120&lt;K$44,I$42,K120&lt;K$46,I$44,K120&gt;=K$46,I$46)</f>
        <v/>
      </c>
      <c r="J120" s="37">
        <f>_xlfn.IFS(K120&lt;K$24,0,K120&lt;K$25,J$24,K120&lt;K$26,J$25,K120&lt;K$27,J$26,K120&lt;K$28,J$27,K120&lt;K$29,J$28,K120&lt;K$30,J$29,K120&lt;K$31,J$30,K120&lt;K$32,J$31,K120&lt;K$33,J$32,K120&lt;K$34,J$33,K120&lt;K$35,J$34,K120&lt;K$36,J$35,K120&lt;K$37,J$36,K120&lt;K$38,J$37,K120&lt;K$39,J$38,K120&lt;K$40,J$39,K120&lt;K$41,J$40,K120&lt;K$42,J$41,K120&lt;K$43,J$42,K120&lt;K$44,J$43,K120&lt;K$45,J$44,K120&lt;K$46,J$45,K120&lt;K$47,J$46,K120&gt;=K$47,J$47)</f>
        <v/>
      </c>
      <c r="K120" s="38" t="n">
        <v>70</v>
      </c>
      <c r="L120" s="31">
        <f>K120/52</f>
        <v/>
      </c>
      <c r="M120" s="39">
        <f>J120/1000000*52</f>
        <v/>
      </c>
      <c r="N120" s="33">
        <f>M120/$P$4+($I$22/$P$4)</f>
        <v/>
      </c>
      <c r="U120">
        <f>F119</f>
        <v/>
      </c>
      <c r="V120">
        <f>H119</f>
        <v/>
      </c>
      <c r="W120">
        <f>N119</f>
        <v/>
      </c>
    </row>
    <row r="121" ht="15.75" customHeight="1" s="40">
      <c r="C121" s="36">
        <f>_xlfn.IFS(E121&lt;E$24,0,E121&lt;E$26,C$24,E121&lt;E$28,C$26,E121&lt;E$30,C$28,E121&lt;E$32,C$30,E121&lt;E$34,C$32,E121&gt;=E$34,C$34)</f>
        <v/>
      </c>
      <c r="D121" s="37">
        <f>_xlfn.IFS(E121&lt;E$24,0,E121&lt;E$25,D$24,E121&lt;E$26,D$25,E121&lt;E$27,D$26,E121&lt;E$28,D$27,E121&lt;E$29,D$28,E121&lt;E$30,D$29,E121&lt;E$31,D$30,E121&lt;E$32,D$31,E121&lt;E$33,D$32,E121&lt;E$34,D$33,E121&lt;E$35,D$34,E121&gt;=E$35,D$35)</f>
        <v/>
      </c>
      <c r="E121" s="38" t="n">
        <v>71</v>
      </c>
      <c r="F121" s="31">
        <f>E121/52</f>
        <v/>
      </c>
      <c r="G121" s="39">
        <f>D121/1000000*52</f>
        <v/>
      </c>
      <c r="H121" s="33">
        <f>G121/$P$4+($C$22/$P$4)</f>
        <v/>
      </c>
      <c r="I121" s="36">
        <f>_xlfn.IFS(K121&lt;K$24,0,K121&lt;K$26,I$24,K121&lt;K$28,I$26,K121&lt;K$30,I$28,K121&lt;K$32,I$30,K121&lt;K$34,I$32,K121&lt;K$36,I$34,K121&lt;K$38,I$36,K121&lt;K$40,I$38,K121&lt;K$42,I$40,K121&lt;K$44,I$42,K121&lt;K$46,I$44,K121&gt;=K$46,I$46)</f>
        <v/>
      </c>
      <c r="J121" s="37">
        <f>_xlfn.IFS(K121&lt;K$24,0,K121&lt;K$25,J$24,K121&lt;K$26,J$25,K121&lt;K$27,J$26,K121&lt;K$28,J$27,K121&lt;K$29,J$28,K121&lt;K$30,J$29,K121&lt;K$31,J$30,K121&lt;K$32,J$31,K121&lt;K$33,J$32,K121&lt;K$34,J$33,K121&lt;K$35,J$34,K121&lt;K$36,J$35,K121&lt;K$37,J$36,K121&lt;K$38,J$37,K121&lt;K$39,J$38,K121&lt;K$40,J$39,K121&lt;K$41,J$40,K121&lt;K$42,J$41,K121&lt;K$43,J$42,K121&lt;K$44,J$43,K121&lt;K$45,J$44,K121&lt;K$46,J$45,K121&lt;K$47,J$46,K121&gt;=K$47,J$47)</f>
        <v/>
      </c>
      <c r="K121" s="38" t="n">
        <v>71</v>
      </c>
      <c r="L121" s="31">
        <f>K121/52</f>
        <v/>
      </c>
      <c r="M121" s="39">
        <f>J121/1000000*52</f>
        <v/>
      </c>
      <c r="N121" s="33">
        <f>M121/$P$4+($I$22/$P$4)</f>
        <v/>
      </c>
      <c r="U121">
        <f>F120</f>
        <v/>
      </c>
      <c r="V121">
        <f>H120</f>
        <v/>
      </c>
      <c r="W121">
        <f>N120</f>
        <v/>
      </c>
    </row>
    <row r="122" ht="15.75" customHeight="1" s="40">
      <c r="C122" s="36">
        <f>_xlfn.IFS(E122&lt;E$24,0,E122&lt;E$26,C$24,E122&lt;E$28,C$26,E122&lt;E$30,C$28,E122&lt;E$32,C$30,E122&lt;E$34,C$32,E122&gt;=E$34,C$34)</f>
        <v/>
      </c>
      <c r="D122" s="37">
        <f>_xlfn.IFS(E122&lt;E$24,0,E122&lt;E$25,D$24,E122&lt;E$26,D$25,E122&lt;E$27,D$26,E122&lt;E$28,D$27,E122&lt;E$29,D$28,E122&lt;E$30,D$29,E122&lt;E$31,D$30,E122&lt;E$32,D$31,E122&lt;E$33,D$32,E122&lt;E$34,D$33,E122&lt;E$35,D$34,E122&gt;=E$35,D$35)</f>
        <v/>
      </c>
      <c r="E122" s="38" t="n">
        <v>72</v>
      </c>
      <c r="F122" s="31">
        <f>E122/52</f>
        <v/>
      </c>
      <c r="G122" s="39">
        <f>D122/1000000*52</f>
        <v/>
      </c>
      <c r="H122" s="33">
        <f>G122/$P$4+($C$22/$P$4)</f>
        <v/>
      </c>
      <c r="I122" s="36">
        <f>_xlfn.IFS(K122&lt;K$24,0,K122&lt;K$26,I$24,K122&lt;K$28,I$26,K122&lt;K$30,I$28,K122&lt;K$32,I$30,K122&lt;K$34,I$32,K122&lt;K$36,I$34,K122&lt;K$38,I$36,K122&lt;K$40,I$38,K122&lt;K$42,I$40,K122&lt;K$44,I$42,K122&lt;K$46,I$44,K122&gt;=K$46,I$46)</f>
        <v/>
      </c>
      <c r="J122" s="37">
        <f>_xlfn.IFS(K122&lt;K$24,0,K122&lt;K$25,J$24,K122&lt;K$26,J$25,K122&lt;K$27,J$26,K122&lt;K$28,J$27,K122&lt;K$29,J$28,K122&lt;K$30,J$29,K122&lt;K$31,J$30,K122&lt;K$32,J$31,K122&lt;K$33,J$32,K122&lt;K$34,J$33,K122&lt;K$35,J$34,K122&lt;K$36,J$35,K122&lt;K$37,J$36,K122&lt;K$38,J$37,K122&lt;K$39,J$38,K122&lt;K$40,J$39,K122&lt;K$41,J$40,K122&lt;K$42,J$41,K122&lt;K$43,J$42,K122&lt;K$44,J$43,K122&lt;K$45,J$44,K122&lt;K$46,J$45,K122&lt;K$47,J$46,K122&gt;=K$47,J$47)</f>
        <v/>
      </c>
      <c r="K122" s="38" t="n">
        <v>72</v>
      </c>
      <c r="L122" s="31">
        <f>K122/52</f>
        <v/>
      </c>
      <c r="M122" s="39">
        <f>J122/1000000*52</f>
        <v/>
      </c>
      <c r="N122" s="33">
        <f>M122/$P$4+($I$22/$P$4)</f>
        <v/>
      </c>
      <c r="U122">
        <f>F121</f>
        <v/>
      </c>
      <c r="V122">
        <f>H121</f>
        <v/>
      </c>
      <c r="W122">
        <f>N121</f>
        <v/>
      </c>
    </row>
    <row r="123" ht="15.75" customHeight="1" s="40">
      <c r="C123" s="36">
        <f>_xlfn.IFS(E123&lt;E$24,0,E123&lt;E$26,C$24,E123&lt;E$28,C$26,E123&lt;E$30,C$28,E123&lt;E$32,C$30,E123&lt;E$34,C$32,E123&gt;=E$34,C$34)</f>
        <v/>
      </c>
      <c r="D123" s="37">
        <f>_xlfn.IFS(E123&lt;E$24,0,E123&lt;E$25,D$24,E123&lt;E$26,D$25,E123&lt;E$27,D$26,E123&lt;E$28,D$27,E123&lt;E$29,D$28,E123&lt;E$30,D$29,E123&lt;E$31,D$30,E123&lt;E$32,D$31,E123&lt;E$33,D$32,E123&lt;E$34,D$33,E123&lt;E$35,D$34,E123&gt;=E$35,D$35)</f>
        <v/>
      </c>
      <c r="E123" s="38" t="n">
        <v>73</v>
      </c>
      <c r="F123" s="31">
        <f>E123/52</f>
        <v/>
      </c>
      <c r="G123" s="39">
        <f>D123/1000000*52</f>
        <v/>
      </c>
      <c r="H123" s="33">
        <f>G123/$P$4+($C$22/$P$4)</f>
        <v/>
      </c>
      <c r="I123" s="36">
        <f>_xlfn.IFS(K123&lt;K$24,0,K123&lt;K$26,I$24,K123&lt;K$28,I$26,K123&lt;K$30,I$28,K123&lt;K$32,I$30,K123&lt;K$34,I$32,K123&lt;K$36,I$34,K123&lt;K$38,I$36,K123&lt;K$40,I$38,K123&lt;K$42,I$40,K123&lt;K$44,I$42,K123&lt;K$46,I$44,K123&gt;=K$46,I$46)</f>
        <v/>
      </c>
      <c r="J123" s="37">
        <f>_xlfn.IFS(K123&lt;K$24,0,K123&lt;K$25,J$24,K123&lt;K$26,J$25,K123&lt;K$27,J$26,K123&lt;K$28,J$27,K123&lt;K$29,J$28,K123&lt;K$30,J$29,K123&lt;K$31,J$30,K123&lt;K$32,J$31,K123&lt;K$33,J$32,K123&lt;K$34,J$33,K123&lt;K$35,J$34,K123&lt;K$36,J$35,K123&lt;K$37,J$36,K123&lt;K$38,J$37,K123&lt;K$39,J$38,K123&lt;K$40,J$39,K123&lt;K$41,J$40,K123&lt;K$42,J$41,K123&lt;K$43,J$42,K123&lt;K$44,J$43,K123&lt;K$45,J$44,K123&lt;K$46,J$45,K123&lt;K$47,J$46,K123&gt;=K$47,J$47)</f>
        <v/>
      </c>
      <c r="K123" s="38" t="n">
        <v>73</v>
      </c>
      <c r="L123" s="31">
        <f>K123/52</f>
        <v/>
      </c>
      <c r="M123" s="39">
        <f>J123/1000000*52</f>
        <v/>
      </c>
      <c r="N123" s="33">
        <f>M123/$P$4+($I$22/$P$4)</f>
        <v/>
      </c>
      <c r="U123">
        <f>F122</f>
        <v/>
      </c>
      <c r="V123">
        <f>H122</f>
        <v/>
      </c>
      <c r="W123">
        <f>N122</f>
        <v/>
      </c>
    </row>
    <row r="124" ht="15.75" customHeight="1" s="40">
      <c r="C124" s="36">
        <f>_xlfn.IFS(E124&lt;E$24,0,E124&lt;E$26,C$24,E124&lt;E$28,C$26,E124&lt;E$30,C$28,E124&lt;E$32,C$30,E124&lt;E$34,C$32,E124&gt;=E$34,C$34)</f>
        <v/>
      </c>
      <c r="D124" s="37">
        <f>_xlfn.IFS(E124&lt;E$24,0,E124&lt;E$25,D$24,E124&lt;E$26,D$25,E124&lt;E$27,D$26,E124&lt;E$28,D$27,E124&lt;E$29,D$28,E124&lt;E$30,D$29,E124&lt;E$31,D$30,E124&lt;E$32,D$31,E124&lt;E$33,D$32,E124&lt;E$34,D$33,E124&lt;E$35,D$34,E124&gt;=E$35,D$35)</f>
        <v/>
      </c>
      <c r="E124" s="38" t="n">
        <v>74</v>
      </c>
      <c r="F124" s="31">
        <f>E124/52</f>
        <v/>
      </c>
      <c r="G124" s="39">
        <f>D124/1000000*52</f>
        <v/>
      </c>
      <c r="H124" s="33">
        <f>G124/$P$4+($C$22/$P$4)</f>
        <v/>
      </c>
      <c r="I124" s="36">
        <f>_xlfn.IFS(K124&lt;K$24,0,K124&lt;K$26,I$24,K124&lt;K$28,I$26,K124&lt;K$30,I$28,K124&lt;K$32,I$30,K124&lt;K$34,I$32,K124&lt;K$36,I$34,K124&lt;K$38,I$36,K124&lt;K$40,I$38,K124&lt;K$42,I$40,K124&lt;K$44,I$42,K124&lt;K$46,I$44,K124&gt;=K$46,I$46)</f>
        <v/>
      </c>
      <c r="J124" s="37">
        <f>_xlfn.IFS(K124&lt;K$24,0,K124&lt;K$25,J$24,K124&lt;K$26,J$25,K124&lt;K$27,J$26,K124&lt;K$28,J$27,K124&lt;K$29,J$28,K124&lt;K$30,J$29,K124&lt;K$31,J$30,K124&lt;K$32,J$31,K124&lt;K$33,J$32,K124&lt;K$34,J$33,K124&lt;K$35,J$34,K124&lt;K$36,J$35,K124&lt;K$37,J$36,K124&lt;K$38,J$37,K124&lt;K$39,J$38,K124&lt;K$40,J$39,K124&lt;K$41,J$40,K124&lt;K$42,J$41,K124&lt;K$43,J$42,K124&lt;K$44,J$43,K124&lt;K$45,J$44,K124&lt;K$46,J$45,K124&lt;K$47,J$46,K124&gt;=K$47,J$47)</f>
        <v/>
      </c>
      <c r="K124" s="38" t="n">
        <v>74</v>
      </c>
      <c r="L124" s="31">
        <f>K124/52</f>
        <v/>
      </c>
      <c r="M124" s="39">
        <f>J124/1000000*52</f>
        <v/>
      </c>
      <c r="N124" s="33">
        <f>M124/$P$4+($I$22/$P$4)</f>
        <v/>
      </c>
      <c r="U124">
        <f>F123</f>
        <v/>
      </c>
      <c r="V124">
        <f>H123</f>
        <v/>
      </c>
      <c r="W124">
        <f>N123</f>
        <v/>
      </c>
    </row>
    <row r="125" ht="15.75" customHeight="1" s="40">
      <c r="C125" s="36">
        <f>_xlfn.IFS(E125&lt;E$24,0,E125&lt;E$26,C$24,E125&lt;E$28,C$26,E125&lt;E$30,C$28,E125&lt;E$32,C$30,E125&lt;E$34,C$32,E125&gt;=E$34,C$34)</f>
        <v/>
      </c>
      <c r="D125" s="37">
        <f>_xlfn.IFS(E125&lt;E$24,0,E125&lt;E$25,D$24,E125&lt;E$26,D$25,E125&lt;E$27,D$26,E125&lt;E$28,D$27,E125&lt;E$29,D$28,E125&lt;E$30,D$29,E125&lt;E$31,D$30,E125&lt;E$32,D$31,E125&lt;E$33,D$32,E125&lt;E$34,D$33,E125&lt;E$35,D$34,E125&gt;=E$35,D$35)</f>
        <v/>
      </c>
      <c r="E125" s="38" t="n">
        <v>75</v>
      </c>
      <c r="F125" s="31">
        <f>E125/52</f>
        <v/>
      </c>
      <c r="G125" s="39">
        <f>D125/1000000*52</f>
        <v/>
      </c>
      <c r="H125" s="33">
        <f>G125/$P$4+($C$22/$P$4)</f>
        <v/>
      </c>
      <c r="I125" s="36">
        <f>_xlfn.IFS(K125&lt;K$24,0,K125&lt;K$26,I$24,K125&lt;K$28,I$26,K125&lt;K$30,I$28,K125&lt;K$32,I$30,K125&lt;K$34,I$32,K125&lt;K$36,I$34,K125&lt;K$38,I$36,K125&lt;K$40,I$38,K125&lt;K$42,I$40,K125&lt;K$44,I$42,K125&lt;K$46,I$44,K125&gt;=K$46,I$46)</f>
        <v/>
      </c>
      <c r="J125" s="37">
        <f>_xlfn.IFS(K125&lt;K$24,0,K125&lt;K$25,J$24,K125&lt;K$26,J$25,K125&lt;K$27,J$26,K125&lt;K$28,J$27,K125&lt;K$29,J$28,K125&lt;K$30,J$29,K125&lt;K$31,J$30,K125&lt;K$32,J$31,K125&lt;K$33,J$32,K125&lt;K$34,J$33,K125&lt;K$35,J$34,K125&lt;K$36,J$35,K125&lt;K$37,J$36,K125&lt;K$38,J$37,K125&lt;K$39,J$38,K125&lt;K$40,J$39,K125&lt;K$41,J$40,K125&lt;K$42,J$41,K125&lt;K$43,J$42,K125&lt;K$44,J$43,K125&lt;K$45,J$44,K125&lt;K$46,J$45,K125&lt;K$47,J$46,K125&gt;=K$47,J$47)</f>
        <v/>
      </c>
      <c r="K125" s="38" t="n">
        <v>75</v>
      </c>
      <c r="L125" s="31">
        <f>K125/52</f>
        <v/>
      </c>
      <c r="M125" s="39">
        <f>J125/1000000*52</f>
        <v/>
      </c>
      <c r="N125" s="33">
        <f>M125/$P$4+($I$22/$P$4)</f>
        <v/>
      </c>
      <c r="U125">
        <f>F124</f>
        <v/>
      </c>
      <c r="V125">
        <f>H124</f>
        <v/>
      </c>
      <c r="W125">
        <f>N124</f>
        <v/>
      </c>
    </row>
    <row r="126" ht="15.75" customHeight="1" s="40">
      <c r="C126" s="36">
        <f>_xlfn.IFS(E126&lt;E$24,0,E126&lt;E$26,C$24,E126&lt;E$28,C$26,E126&lt;E$30,C$28,E126&lt;E$32,C$30,E126&lt;E$34,C$32,E126&gt;=E$34,C$34)</f>
        <v/>
      </c>
      <c r="D126" s="37">
        <f>_xlfn.IFS(E126&lt;E$24,0,E126&lt;E$25,D$24,E126&lt;E$26,D$25,E126&lt;E$27,D$26,E126&lt;E$28,D$27,E126&lt;E$29,D$28,E126&lt;E$30,D$29,E126&lt;E$31,D$30,E126&lt;E$32,D$31,E126&lt;E$33,D$32,E126&lt;E$34,D$33,E126&lt;E$35,D$34,E126&gt;=E$35,D$35)</f>
        <v/>
      </c>
      <c r="E126" s="38" t="n">
        <v>76</v>
      </c>
      <c r="F126" s="31">
        <f>E126/52</f>
        <v/>
      </c>
      <c r="G126" s="39">
        <f>D126/1000000*52</f>
        <v/>
      </c>
      <c r="H126" s="33">
        <f>G126/$P$4+($C$22/$P$4)</f>
        <v/>
      </c>
      <c r="I126" s="36">
        <f>_xlfn.IFS(K126&lt;K$24,0,K126&lt;K$26,I$24,K126&lt;K$28,I$26,K126&lt;K$30,I$28,K126&lt;K$32,I$30,K126&lt;K$34,I$32,K126&lt;K$36,I$34,K126&lt;K$38,I$36,K126&lt;K$40,I$38,K126&lt;K$42,I$40,K126&lt;K$44,I$42,K126&lt;K$46,I$44,K126&gt;=K$46,I$46)</f>
        <v/>
      </c>
      <c r="J126" s="37">
        <f>_xlfn.IFS(K126&lt;K$24,0,K126&lt;K$25,J$24,K126&lt;K$26,J$25,K126&lt;K$27,J$26,K126&lt;K$28,J$27,K126&lt;K$29,J$28,K126&lt;K$30,J$29,K126&lt;K$31,J$30,K126&lt;K$32,J$31,K126&lt;K$33,J$32,K126&lt;K$34,J$33,K126&lt;K$35,J$34,K126&lt;K$36,J$35,K126&lt;K$37,J$36,K126&lt;K$38,J$37,K126&lt;K$39,J$38,K126&lt;K$40,J$39,K126&lt;K$41,J$40,K126&lt;K$42,J$41,K126&lt;K$43,J$42,K126&lt;K$44,J$43,K126&lt;K$45,J$44,K126&lt;K$46,J$45,K126&lt;K$47,J$46,K126&gt;=K$47,J$47)</f>
        <v/>
      </c>
      <c r="K126" s="38" t="n">
        <v>76</v>
      </c>
      <c r="L126" s="31">
        <f>K126/52</f>
        <v/>
      </c>
      <c r="M126" s="39">
        <f>J126/1000000*52</f>
        <v/>
      </c>
      <c r="N126" s="33">
        <f>M126/$P$4+($I$22/$P$4)</f>
        <v/>
      </c>
      <c r="U126">
        <f>F125</f>
        <v/>
      </c>
      <c r="V126">
        <f>H125</f>
        <v/>
      </c>
      <c r="W126">
        <f>N125</f>
        <v/>
      </c>
    </row>
    <row r="127" ht="15.75" customHeight="1" s="40">
      <c r="C127" s="36">
        <f>_xlfn.IFS(E127&lt;E$24,0,E127&lt;E$26,C$24,E127&lt;E$28,C$26,E127&lt;E$30,C$28,E127&lt;E$32,C$30,E127&lt;E$34,C$32,E127&gt;=E$34,C$34)</f>
        <v/>
      </c>
      <c r="D127" s="37">
        <f>_xlfn.IFS(E127&lt;E$24,0,E127&lt;E$25,D$24,E127&lt;E$26,D$25,E127&lt;E$27,D$26,E127&lt;E$28,D$27,E127&lt;E$29,D$28,E127&lt;E$30,D$29,E127&lt;E$31,D$30,E127&lt;E$32,D$31,E127&lt;E$33,D$32,E127&lt;E$34,D$33,E127&lt;E$35,D$34,E127&gt;=E$35,D$35)</f>
        <v/>
      </c>
      <c r="E127" s="38" t="n">
        <v>77</v>
      </c>
      <c r="F127" s="31">
        <f>E127/52</f>
        <v/>
      </c>
      <c r="G127" s="39">
        <f>D127/1000000*52</f>
        <v/>
      </c>
      <c r="H127" s="33">
        <f>G127/$P$4+($C$22/$P$4)</f>
        <v/>
      </c>
      <c r="I127" s="36">
        <f>_xlfn.IFS(K127&lt;K$24,0,K127&lt;K$26,I$24,K127&lt;K$28,I$26,K127&lt;K$30,I$28,K127&lt;K$32,I$30,K127&lt;K$34,I$32,K127&lt;K$36,I$34,K127&lt;K$38,I$36,K127&lt;K$40,I$38,K127&lt;K$42,I$40,K127&lt;K$44,I$42,K127&lt;K$46,I$44,K127&gt;=K$46,I$46)</f>
        <v/>
      </c>
      <c r="J127" s="37">
        <f>_xlfn.IFS(K127&lt;K$24,0,K127&lt;K$25,J$24,K127&lt;K$26,J$25,K127&lt;K$27,J$26,K127&lt;K$28,J$27,K127&lt;K$29,J$28,K127&lt;K$30,J$29,K127&lt;K$31,J$30,K127&lt;K$32,J$31,K127&lt;K$33,J$32,K127&lt;K$34,J$33,K127&lt;K$35,J$34,K127&lt;K$36,J$35,K127&lt;K$37,J$36,K127&lt;K$38,J$37,K127&lt;K$39,J$38,K127&lt;K$40,J$39,K127&lt;K$41,J$40,K127&lt;K$42,J$41,K127&lt;K$43,J$42,K127&lt;K$44,J$43,K127&lt;K$45,J$44,K127&lt;K$46,J$45,K127&lt;K$47,J$46,K127&gt;=K$47,J$47)</f>
        <v/>
      </c>
      <c r="K127" s="38" t="n">
        <v>77</v>
      </c>
      <c r="L127" s="31">
        <f>K127/52</f>
        <v/>
      </c>
      <c r="M127" s="39">
        <f>J127/1000000*52</f>
        <v/>
      </c>
      <c r="N127" s="33">
        <f>M127/$P$4+($I$22/$P$4)</f>
        <v/>
      </c>
      <c r="U127">
        <f>F126</f>
        <v/>
      </c>
      <c r="V127">
        <f>H126</f>
        <v/>
      </c>
      <c r="W127">
        <f>N126</f>
        <v/>
      </c>
    </row>
    <row r="128" ht="15.75" customHeight="1" s="40">
      <c r="C128" s="36">
        <f>_xlfn.IFS(E128&lt;E$24,0,E128&lt;E$26,C$24,E128&lt;E$28,C$26,E128&lt;E$30,C$28,E128&lt;E$32,C$30,E128&lt;E$34,C$32,E128&gt;=E$34,C$34)</f>
        <v/>
      </c>
      <c r="D128" s="37">
        <f>_xlfn.IFS(E128&lt;E$24,0,E128&lt;E$25,D$24,E128&lt;E$26,D$25,E128&lt;E$27,D$26,E128&lt;E$28,D$27,E128&lt;E$29,D$28,E128&lt;E$30,D$29,E128&lt;E$31,D$30,E128&lt;E$32,D$31,E128&lt;E$33,D$32,E128&lt;E$34,D$33,E128&lt;E$35,D$34,E128&gt;=E$35,D$35)</f>
        <v/>
      </c>
      <c r="E128" s="38" t="n">
        <v>78</v>
      </c>
      <c r="F128" s="31">
        <f>E128/52</f>
        <v/>
      </c>
      <c r="G128" s="39">
        <f>D128/1000000*52</f>
        <v/>
      </c>
      <c r="H128" s="33">
        <f>G128/$P$4+($C$22/$P$4)</f>
        <v/>
      </c>
      <c r="I128" s="36">
        <f>_xlfn.IFS(K128&lt;K$24,0,K128&lt;K$26,I$24,K128&lt;K$28,I$26,K128&lt;K$30,I$28,K128&lt;K$32,I$30,K128&lt;K$34,I$32,K128&lt;K$36,I$34,K128&lt;K$38,I$36,K128&lt;K$40,I$38,K128&lt;K$42,I$40,K128&lt;K$44,I$42,K128&lt;K$46,I$44,K128&gt;=K$46,I$46)</f>
        <v/>
      </c>
      <c r="J128" s="37">
        <f>_xlfn.IFS(K128&lt;K$24,0,K128&lt;K$25,J$24,K128&lt;K$26,J$25,K128&lt;K$27,J$26,K128&lt;K$28,J$27,K128&lt;K$29,J$28,K128&lt;K$30,J$29,K128&lt;K$31,J$30,K128&lt;K$32,J$31,K128&lt;K$33,J$32,K128&lt;K$34,J$33,K128&lt;K$35,J$34,K128&lt;K$36,J$35,K128&lt;K$37,J$36,K128&lt;K$38,J$37,K128&lt;K$39,J$38,K128&lt;K$40,J$39,K128&lt;K$41,J$40,K128&lt;K$42,J$41,K128&lt;K$43,J$42,K128&lt;K$44,J$43,K128&lt;K$45,J$44,K128&lt;K$46,J$45,K128&lt;K$47,J$46,K128&gt;=K$47,J$47)</f>
        <v/>
      </c>
      <c r="K128" s="38" t="n">
        <v>78</v>
      </c>
      <c r="L128" s="31">
        <f>K128/52</f>
        <v/>
      </c>
      <c r="M128" s="39">
        <f>J128/1000000*52</f>
        <v/>
      </c>
      <c r="N128" s="33">
        <f>M128/$P$4+($I$22/$P$4)</f>
        <v/>
      </c>
      <c r="U128">
        <f>F127</f>
        <v/>
      </c>
      <c r="V128">
        <f>H127</f>
        <v/>
      </c>
      <c r="W128">
        <f>N127</f>
        <v/>
      </c>
    </row>
    <row r="129" ht="15.75" customHeight="1" s="40">
      <c r="C129" s="36">
        <f>_xlfn.IFS(E129&lt;E$24,0,E129&lt;E$26,C$24,E129&lt;E$28,C$26,E129&lt;E$30,C$28,E129&lt;E$32,C$30,E129&lt;E$34,C$32,E129&gt;=E$34,C$34)</f>
        <v/>
      </c>
      <c r="D129" s="37">
        <f>_xlfn.IFS(E129&lt;E$24,0,E129&lt;E$25,D$24,E129&lt;E$26,D$25,E129&lt;E$27,D$26,E129&lt;E$28,D$27,E129&lt;E$29,D$28,E129&lt;E$30,D$29,E129&lt;E$31,D$30,E129&lt;E$32,D$31,E129&lt;E$33,D$32,E129&lt;E$34,D$33,E129&lt;E$35,D$34,E129&gt;=E$35,D$35)</f>
        <v/>
      </c>
      <c r="E129" s="38" t="n">
        <v>79</v>
      </c>
      <c r="F129" s="31">
        <f>E129/52</f>
        <v/>
      </c>
      <c r="G129" s="39">
        <f>D129/1000000*52</f>
        <v/>
      </c>
      <c r="H129" s="33">
        <f>G129/$P$4+($C$22/$P$4)</f>
        <v/>
      </c>
      <c r="I129" s="36">
        <f>_xlfn.IFS(K129&lt;K$24,0,K129&lt;K$26,I$24,K129&lt;K$28,I$26,K129&lt;K$30,I$28,K129&lt;K$32,I$30,K129&lt;K$34,I$32,K129&lt;K$36,I$34,K129&lt;K$38,I$36,K129&lt;K$40,I$38,K129&lt;K$42,I$40,K129&lt;K$44,I$42,K129&lt;K$46,I$44,K129&gt;=K$46,I$46)</f>
        <v/>
      </c>
      <c r="J129" s="37">
        <f>_xlfn.IFS(K129&lt;K$24,0,K129&lt;K$25,J$24,K129&lt;K$26,J$25,K129&lt;K$27,J$26,K129&lt;K$28,J$27,K129&lt;K$29,J$28,K129&lt;K$30,J$29,K129&lt;K$31,J$30,K129&lt;K$32,J$31,K129&lt;K$33,J$32,K129&lt;K$34,J$33,K129&lt;K$35,J$34,K129&lt;K$36,J$35,K129&lt;K$37,J$36,K129&lt;K$38,J$37,K129&lt;K$39,J$38,K129&lt;K$40,J$39,K129&lt;K$41,J$40,K129&lt;K$42,J$41,K129&lt;K$43,J$42,K129&lt;K$44,J$43,K129&lt;K$45,J$44,K129&lt;K$46,J$45,K129&lt;K$47,J$46,K129&gt;=K$47,J$47)</f>
        <v/>
      </c>
      <c r="K129" s="38" t="n">
        <v>79</v>
      </c>
      <c r="L129" s="31">
        <f>K129/52</f>
        <v/>
      </c>
      <c r="M129" s="39">
        <f>J129/1000000*52</f>
        <v/>
      </c>
      <c r="N129" s="33">
        <f>M129/$P$4+($I$22/$P$4)</f>
        <v/>
      </c>
      <c r="U129">
        <f>F128</f>
        <v/>
      </c>
      <c r="V129">
        <f>H128</f>
        <v/>
      </c>
      <c r="W129">
        <f>N128</f>
        <v/>
      </c>
    </row>
    <row r="130" ht="15.75" customHeight="1" s="40">
      <c r="C130" s="36">
        <f>_xlfn.IFS(E130&lt;E$24,0,E130&lt;E$26,C$24,E130&lt;E$28,C$26,E130&lt;E$30,C$28,E130&lt;E$32,C$30,E130&lt;E$34,C$32,E130&gt;=E$34,C$34)</f>
        <v/>
      </c>
      <c r="D130" s="37">
        <f>_xlfn.IFS(E130&lt;E$24,0,E130&lt;E$25,D$24,E130&lt;E$26,D$25,E130&lt;E$27,D$26,E130&lt;E$28,D$27,E130&lt;E$29,D$28,E130&lt;E$30,D$29,E130&lt;E$31,D$30,E130&lt;E$32,D$31,E130&lt;E$33,D$32,E130&lt;E$34,D$33,E130&lt;E$35,D$34,E130&gt;=E$35,D$35)</f>
        <v/>
      </c>
      <c r="E130" s="38" t="n">
        <v>80</v>
      </c>
      <c r="F130" s="31">
        <f>E130/52</f>
        <v/>
      </c>
      <c r="G130" s="39">
        <f>D130/1000000*52</f>
        <v/>
      </c>
      <c r="H130" s="33">
        <f>G130/$P$4+($C$22/$P$4)</f>
        <v/>
      </c>
      <c r="I130" s="36">
        <f>_xlfn.IFS(K130&lt;K$24,0,K130&lt;K$26,I$24,K130&lt;K$28,I$26,K130&lt;K$30,I$28,K130&lt;K$32,I$30,K130&lt;K$34,I$32,K130&lt;K$36,I$34,K130&lt;K$38,I$36,K130&lt;K$40,I$38,K130&lt;K$42,I$40,K130&lt;K$44,I$42,K130&lt;K$46,I$44,K130&gt;=K$46,I$46)</f>
        <v/>
      </c>
      <c r="J130" s="37">
        <f>_xlfn.IFS(K130&lt;K$24,0,K130&lt;K$25,J$24,K130&lt;K$26,J$25,K130&lt;K$27,J$26,K130&lt;K$28,J$27,K130&lt;K$29,J$28,K130&lt;K$30,J$29,K130&lt;K$31,J$30,K130&lt;K$32,J$31,K130&lt;K$33,J$32,K130&lt;K$34,J$33,K130&lt;K$35,J$34,K130&lt;K$36,J$35,K130&lt;K$37,J$36,K130&lt;K$38,J$37,K130&lt;K$39,J$38,K130&lt;K$40,J$39,K130&lt;K$41,J$40,K130&lt;K$42,J$41,K130&lt;K$43,J$42,K130&lt;K$44,J$43,K130&lt;K$45,J$44,K130&lt;K$46,J$45,K130&lt;K$47,J$46,K130&gt;=K$47,J$47)</f>
        <v/>
      </c>
      <c r="K130" s="38" t="n">
        <v>80</v>
      </c>
      <c r="L130" s="31">
        <f>K130/52</f>
        <v/>
      </c>
      <c r="M130" s="39">
        <f>J130/1000000*52</f>
        <v/>
      </c>
      <c r="N130" s="33">
        <f>M130/$P$4+($I$22/$P$4)</f>
        <v/>
      </c>
      <c r="U130">
        <f>F129</f>
        <v/>
      </c>
      <c r="V130">
        <f>H129</f>
        <v/>
      </c>
      <c r="W130">
        <f>N129</f>
        <v/>
      </c>
    </row>
    <row r="131" ht="15.75" customHeight="1" s="40">
      <c r="C131" s="36">
        <f>_xlfn.IFS(E131&lt;E$24,0,E131&lt;E$26,C$24,E131&lt;E$28,C$26,E131&lt;E$30,C$28,E131&lt;E$32,C$30,E131&lt;E$34,C$32,E131&gt;=E$34,C$34)</f>
        <v/>
      </c>
      <c r="D131" s="37">
        <f>_xlfn.IFS(E131&lt;E$24,0,E131&lt;E$25,D$24,E131&lt;E$26,D$25,E131&lt;E$27,D$26,E131&lt;E$28,D$27,E131&lt;E$29,D$28,E131&lt;E$30,D$29,E131&lt;E$31,D$30,E131&lt;E$32,D$31,E131&lt;E$33,D$32,E131&lt;E$34,D$33,E131&lt;E$35,D$34,E131&gt;=E$35,D$35)</f>
        <v/>
      </c>
      <c r="E131" s="38" t="n">
        <v>81</v>
      </c>
      <c r="F131" s="31">
        <f>E131/52</f>
        <v/>
      </c>
      <c r="G131" s="39">
        <f>D131/1000000*52</f>
        <v/>
      </c>
      <c r="H131" s="33">
        <f>G131/$P$4+($C$22/$P$4)</f>
        <v/>
      </c>
      <c r="I131" s="36">
        <f>_xlfn.IFS(K131&lt;K$24,0,K131&lt;K$26,I$24,K131&lt;K$28,I$26,K131&lt;K$30,I$28,K131&lt;K$32,I$30,K131&lt;K$34,I$32,K131&lt;K$36,I$34,K131&lt;K$38,I$36,K131&lt;K$40,I$38,K131&lt;K$42,I$40,K131&lt;K$44,I$42,K131&lt;K$46,I$44,K131&gt;=K$46,I$46)</f>
        <v/>
      </c>
      <c r="J131" s="37">
        <f>_xlfn.IFS(K131&lt;K$24,0,K131&lt;K$25,J$24,K131&lt;K$26,J$25,K131&lt;K$27,J$26,K131&lt;K$28,J$27,K131&lt;K$29,J$28,K131&lt;K$30,J$29,K131&lt;K$31,J$30,K131&lt;K$32,J$31,K131&lt;K$33,J$32,K131&lt;K$34,J$33,K131&lt;K$35,J$34,K131&lt;K$36,J$35,K131&lt;K$37,J$36,K131&lt;K$38,J$37,K131&lt;K$39,J$38,K131&lt;K$40,J$39,K131&lt;K$41,J$40,K131&lt;K$42,J$41,K131&lt;K$43,J$42,K131&lt;K$44,J$43,K131&lt;K$45,J$44,K131&lt;K$46,J$45,K131&lt;K$47,J$46,K131&gt;=K$47,J$47)</f>
        <v/>
      </c>
      <c r="K131" s="38" t="n">
        <v>81</v>
      </c>
      <c r="L131" s="31">
        <f>K131/52</f>
        <v/>
      </c>
      <c r="M131" s="39">
        <f>J131/1000000*52</f>
        <v/>
      </c>
      <c r="N131" s="33">
        <f>M131/$P$4+($I$22/$P$4)</f>
        <v/>
      </c>
      <c r="U131">
        <f>F130</f>
        <v/>
      </c>
      <c r="V131">
        <f>H130</f>
        <v/>
      </c>
      <c r="W131">
        <f>N130</f>
        <v/>
      </c>
    </row>
    <row r="132" ht="15.75" customHeight="1" s="40">
      <c r="C132" s="36">
        <f>_xlfn.IFS(E132&lt;E$24,0,E132&lt;E$26,C$24,E132&lt;E$28,C$26,E132&lt;E$30,C$28,E132&lt;E$32,C$30,E132&lt;E$34,C$32,E132&gt;=E$34,C$34)</f>
        <v/>
      </c>
      <c r="D132" s="37">
        <f>_xlfn.IFS(E132&lt;E$24,0,E132&lt;E$25,D$24,E132&lt;E$26,D$25,E132&lt;E$27,D$26,E132&lt;E$28,D$27,E132&lt;E$29,D$28,E132&lt;E$30,D$29,E132&lt;E$31,D$30,E132&lt;E$32,D$31,E132&lt;E$33,D$32,E132&lt;E$34,D$33,E132&lt;E$35,D$34,E132&gt;=E$35,D$35)</f>
        <v/>
      </c>
      <c r="E132" s="38" t="n">
        <v>82</v>
      </c>
      <c r="F132" s="31">
        <f>E132/52</f>
        <v/>
      </c>
      <c r="G132" s="39">
        <f>D132/1000000*52</f>
        <v/>
      </c>
      <c r="H132" s="33">
        <f>G132/$P$4+($C$22/$P$4)</f>
        <v/>
      </c>
      <c r="I132" s="36">
        <f>_xlfn.IFS(K132&lt;K$24,0,K132&lt;K$26,I$24,K132&lt;K$28,I$26,K132&lt;K$30,I$28,K132&lt;K$32,I$30,K132&lt;K$34,I$32,K132&lt;K$36,I$34,K132&lt;K$38,I$36,K132&lt;K$40,I$38,K132&lt;K$42,I$40,K132&lt;K$44,I$42,K132&lt;K$46,I$44,K132&gt;=K$46,I$46)</f>
        <v/>
      </c>
      <c r="J132" s="37">
        <f>_xlfn.IFS(K132&lt;K$24,0,K132&lt;K$25,J$24,K132&lt;K$26,J$25,K132&lt;K$27,J$26,K132&lt;K$28,J$27,K132&lt;K$29,J$28,K132&lt;K$30,J$29,K132&lt;K$31,J$30,K132&lt;K$32,J$31,K132&lt;K$33,J$32,K132&lt;K$34,J$33,K132&lt;K$35,J$34,K132&lt;K$36,J$35,K132&lt;K$37,J$36,K132&lt;K$38,J$37,K132&lt;K$39,J$38,K132&lt;K$40,J$39,K132&lt;K$41,J$40,K132&lt;K$42,J$41,K132&lt;K$43,J$42,K132&lt;K$44,J$43,K132&lt;K$45,J$44,K132&lt;K$46,J$45,K132&lt;K$47,J$46,K132&gt;=K$47,J$47)</f>
        <v/>
      </c>
      <c r="K132" s="38" t="n">
        <v>82</v>
      </c>
      <c r="L132" s="31">
        <f>K132/52</f>
        <v/>
      </c>
      <c r="M132" s="39">
        <f>J132/1000000*52</f>
        <v/>
      </c>
      <c r="N132" s="33">
        <f>M132/$P$4+($I$22/$P$4)</f>
        <v/>
      </c>
      <c r="U132">
        <f>F131</f>
        <v/>
      </c>
      <c r="V132">
        <f>H131</f>
        <v/>
      </c>
      <c r="W132">
        <f>N131</f>
        <v/>
      </c>
    </row>
    <row r="133" ht="15.75" customHeight="1" s="40">
      <c r="C133" s="36">
        <f>_xlfn.IFS(E133&lt;E$24,0,E133&lt;E$26,C$24,E133&lt;E$28,C$26,E133&lt;E$30,C$28,E133&lt;E$32,C$30,E133&lt;E$34,C$32,E133&gt;=E$34,C$34)</f>
        <v/>
      </c>
      <c r="D133" s="37">
        <f>_xlfn.IFS(E133&lt;E$24,0,E133&lt;E$25,D$24,E133&lt;E$26,D$25,E133&lt;E$27,D$26,E133&lt;E$28,D$27,E133&lt;E$29,D$28,E133&lt;E$30,D$29,E133&lt;E$31,D$30,E133&lt;E$32,D$31,E133&lt;E$33,D$32,E133&lt;E$34,D$33,E133&lt;E$35,D$34,E133&gt;=E$35,D$35)</f>
        <v/>
      </c>
      <c r="E133" s="38" t="n">
        <v>83</v>
      </c>
      <c r="F133" s="31">
        <f>E133/52</f>
        <v/>
      </c>
      <c r="G133" s="39">
        <f>D133/1000000*52</f>
        <v/>
      </c>
      <c r="H133" s="33">
        <f>G133/$P$4+($C$22/$P$4)</f>
        <v/>
      </c>
      <c r="I133" s="36">
        <f>_xlfn.IFS(K133&lt;K$24,0,K133&lt;K$26,I$24,K133&lt;K$28,I$26,K133&lt;K$30,I$28,K133&lt;K$32,I$30,K133&lt;K$34,I$32,K133&lt;K$36,I$34,K133&lt;K$38,I$36,K133&lt;K$40,I$38,K133&lt;K$42,I$40,K133&lt;K$44,I$42,K133&lt;K$46,I$44,K133&gt;=K$46,I$46)</f>
        <v/>
      </c>
      <c r="J133" s="37">
        <f>_xlfn.IFS(K133&lt;K$24,0,K133&lt;K$25,J$24,K133&lt;K$26,J$25,K133&lt;K$27,J$26,K133&lt;K$28,J$27,K133&lt;K$29,J$28,K133&lt;K$30,J$29,K133&lt;K$31,J$30,K133&lt;K$32,J$31,K133&lt;K$33,J$32,K133&lt;K$34,J$33,K133&lt;K$35,J$34,K133&lt;K$36,J$35,K133&lt;K$37,J$36,K133&lt;K$38,J$37,K133&lt;K$39,J$38,K133&lt;K$40,J$39,K133&lt;K$41,J$40,K133&lt;K$42,J$41,K133&lt;K$43,J$42,K133&lt;K$44,J$43,K133&lt;K$45,J$44,K133&lt;K$46,J$45,K133&lt;K$47,J$46,K133&gt;=K$47,J$47)</f>
        <v/>
      </c>
      <c r="K133" s="38" t="n">
        <v>83</v>
      </c>
      <c r="L133" s="31">
        <f>K133/52</f>
        <v/>
      </c>
      <c r="M133" s="39">
        <f>J133/1000000*52</f>
        <v/>
      </c>
      <c r="N133" s="33">
        <f>M133/$P$4+($I$22/$P$4)</f>
        <v/>
      </c>
      <c r="U133">
        <f>F132</f>
        <v/>
      </c>
      <c r="V133">
        <f>H132</f>
        <v/>
      </c>
      <c r="W133">
        <f>N132</f>
        <v/>
      </c>
    </row>
    <row r="134" ht="15.75" customHeight="1" s="40">
      <c r="C134" s="36">
        <f>_xlfn.IFS(E134&lt;E$24,0,E134&lt;E$26,C$24,E134&lt;E$28,C$26,E134&lt;E$30,C$28,E134&lt;E$32,C$30,E134&lt;E$34,C$32,E134&gt;=E$34,C$34)</f>
        <v/>
      </c>
      <c r="D134" s="37">
        <f>_xlfn.IFS(E134&lt;E$24,0,E134&lt;E$25,D$24,E134&lt;E$26,D$25,E134&lt;E$27,D$26,E134&lt;E$28,D$27,E134&lt;E$29,D$28,E134&lt;E$30,D$29,E134&lt;E$31,D$30,E134&lt;E$32,D$31,E134&lt;E$33,D$32,E134&lt;E$34,D$33,E134&lt;E$35,D$34,E134&gt;=E$35,D$35)</f>
        <v/>
      </c>
      <c r="E134" s="38" t="n">
        <v>84</v>
      </c>
      <c r="F134" s="31">
        <f>E134/52</f>
        <v/>
      </c>
      <c r="G134" s="39">
        <f>D134/1000000*52</f>
        <v/>
      </c>
      <c r="H134" s="33">
        <f>G134/$P$4+($C$22/$P$4)</f>
        <v/>
      </c>
      <c r="I134" s="36">
        <f>_xlfn.IFS(K134&lt;K$24,0,K134&lt;K$26,I$24,K134&lt;K$28,I$26,K134&lt;K$30,I$28,K134&lt;K$32,I$30,K134&lt;K$34,I$32,K134&lt;K$36,I$34,K134&lt;K$38,I$36,K134&lt;K$40,I$38,K134&lt;K$42,I$40,K134&lt;K$44,I$42,K134&lt;K$46,I$44,K134&gt;=K$46,I$46)</f>
        <v/>
      </c>
      <c r="J134" s="37">
        <f>_xlfn.IFS(K134&lt;K$24,0,K134&lt;K$25,J$24,K134&lt;K$26,J$25,K134&lt;K$27,J$26,K134&lt;K$28,J$27,K134&lt;K$29,J$28,K134&lt;K$30,J$29,K134&lt;K$31,J$30,K134&lt;K$32,J$31,K134&lt;K$33,J$32,K134&lt;K$34,J$33,K134&lt;K$35,J$34,K134&lt;K$36,J$35,K134&lt;K$37,J$36,K134&lt;K$38,J$37,K134&lt;K$39,J$38,K134&lt;K$40,J$39,K134&lt;K$41,J$40,K134&lt;K$42,J$41,K134&lt;K$43,J$42,K134&lt;K$44,J$43,K134&lt;K$45,J$44,K134&lt;K$46,J$45,K134&lt;K$47,J$46,K134&gt;=K$47,J$47)</f>
        <v/>
      </c>
      <c r="K134" s="38" t="n">
        <v>84</v>
      </c>
      <c r="L134" s="31">
        <f>K134/52</f>
        <v/>
      </c>
      <c r="M134" s="39">
        <f>J134/1000000*52</f>
        <v/>
      </c>
      <c r="N134" s="33">
        <f>M134/$P$4+($I$22/$P$4)</f>
        <v/>
      </c>
      <c r="U134">
        <f>F133</f>
        <v/>
      </c>
      <c r="V134">
        <f>H133</f>
        <v/>
      </c>
      <c r="W134">
        <f>N133</f>
        <v/>
      </c>
    </row>
    <row r="135" ht="15.75" customHeight="1" s="40">
      <c r="C135" s="36">
        <f>_xlfn.IFS(E135&lt;E$24,0,E135&lt;E$26,C$24,E135&lt;E$28,C$26,E135&lt;E$30,C$28,E135&lt;E$32,C$30,E135&lt;E$34,C$32,E135&gt;=E$34,C$34)</f>
        <v/>
      </c>
      <c r="D135" s="37">
        <f>_xlfn.IFS(E135&lt;E$24,0,E135&lt;E$25,D$24,E135&lt;E$26,D$25,E135&lt;E$27,D$26,E135&lt;E$28,D$27,E135&lt;E$29,D$28,E135&lt;E$30,D$29,E135&lt;E$31,D$30,E135&lt;E$32,D$31,E135&lt;E$33,D$32,E135&lt;E$34,D$33,E135&lt;E$35,D$34,E135&gt;=E$35,D$35)</f>
        <v/>
      </c>
      <c r="E135" s="38" t="n">
        <v>85</v>
      </c>
      <c r="F135" s="31">
        <f>E135/52</f>
        <v/>
      </c>
      <c r="G135" s="39">
        <f>D135/1000000*52</f>
        <v/>
      </c>
      <c r="H135" s="33">
        <f>G135/$P$4+($C$22/$P$4)</f>
        <v/>
      </c>
      <c r="I135" s="36">
        <f>_xlfn.IFS(K135&lt;K$24,0,K135&lt;K$26,I$24,K135&lt;K$28,I$26,K135&lt;K$30,I$28,K135&lt;K$32,I$30,K135&lt;K$34,I$32,K135&lt;K$36,I$34,K135&lt;K$38,I$36,K135&lt;K$40,I$38,K135&lt;K$42,I$40,K135&lt;K$44,I$42,K135&lt;K$46,I$44,K135&gt;=K$46,I$46)</f>
        <v/>
      </c>
      <c r="J135" s="37">
        <f>_xlfn.IFS(K135&lt;K$24,0,K135&lt;K$25,J$24,K135&lt;K$26,J$25,K135&lt;K$27,J$26,K135&lt;K$28,J$27,K135&lt;K$29,J$28,K135&lt;K$30,J$29,K135&lt;K$31,J$30,K135&lt;K$32,J$31,K135&lt;K$33,J$32,K135&lt;K$34,J$33,K135&lt;K$35,J$34,K135&lt;K$36,J$35,K135&lt;K$37,J$36,K135&lt;K$38,J$37,K135&lt;K$39,J$38,K135&lt;K$40,J$39,K135&lt;K$41,J$40,K135&lt;K$42,J$41,K135&lt;K$43,J$42,K135&lt;K$44,J$43,K135&lt;K$45,J$44,K135&lt;K$46,J$45,K135&lt;K$47,J$46,K135&gt;=K$47,J$47)</f>
        <v/>
      </c>
      <c r="K135" s="38" t="n">
        <v>85</v>
      </c>
      <c r="L135" s="31">
        <f>K135/52</f>
        <v/>
      </c>
      <c r="M135" s="39">
        <f>J135/1000000*52</f>
        <v/>
      </c>
      <c r="N135" s="33">
        <f>M135/$P$4+($I$22/$P$4)</f>
        <v/>
      </c>
      <c r="U135">
        <f>F134</f>
        <v/>
      </c>
      <c r="V135">
        <f>H134</f>
        <v/>
      </c>
      <c r="W135">
        <f>N134</f>
        <v/>
      </c>
    </row>
    <row r="136" ht="15.75" customHeight="1" s="40">
      <c r="C136" s="36">
        <f>_xlfn.IFS(E136&lt;E$24,0,E136&lt;E$26,C$24,E136&lt;E$28,C$26,E136&lt;E$30,C$28,E136&lt;E$32,C$30,E136&lt;E$34,C$32,E136&gt;=E$34,C$34)</f>
        <v/>
      </c>
      <c r="D136" s="37">
        <f>_xlfn.IFS(E136&lt;E$24,0,E136&lt;E$25,D$24,E136&lt;E$26,D$25,E136&lt;E$27,D$26,E136&lt;E$28,D$27,E136&lt;E$29,D$28,E136&lt;E$30,D$29,E136&lt;E$31,D$30,E136&lt;E$32,D$31,E136&lt;E$33,D$32,E136&lt;E$34,D$33,E136&lt;E$35,D$34,E136&gt;=E$35,D$35)</f>
        <v/>
      </c>
      <c r="E136" s="38" t="n">
        <v>86</v>
      </c>
      <c r="F136" s="31">
        <f>E136/52</f>
        <v/>
      </c>
      <c r="G136" s="39">
        <f>D136/1000000*52</f>
        <v/>
      </c>
      <c r="H136" s="33">
        <f>G136/$P$4+($C$22/$P$4)</f>
        <v/>
      </c>
      <c r="I136" s="36">
        <f>_xlfn.IFS(K136&lt;K$24,0,K136&lt;K$26,I$24,K136&lt;K$28,I$26,K136&lt;K$30,I$28,K136&lt;K$32,I$30,K136&lt;K$34,I$32,K136&lt;K$36,I$34,K136&lt;K$38,I$36,K136&lt;K$40,I$38,K136&lt;K$42,I$40,K136&lt;K$44,I$42,K136&lt;K$46,I$44,K136&gt;=K$46,I$46)</f>
        <v/>
      </c>
      <c r="J136" s="37">
        <f>_xlfn.IFS(K136&lt;K$24,0,K136&lt;K$25,J$24,K136&lt;K$26,J$25,K136&lt;K$27,J$26,K136&lt;K$28,J$27,K136&lt;K$29,J$28,K136&lt;K$30,J$29,K136&lt;K$31,J$30,K136&lt;K$32,J$31,K136&lt;K$33,J$32,K136&lt;K$34,J$33,K136&lt;K$35,J$34,K136&lt;K$36,J$35,K136&lt;K$37,J$36,K136&lt;K$38,J$37,K136&lt;K$39,J$38,K136&lt;K$40,J$39,K136&lt;K$41,J$40,K136&lt;K$42,J$41,K136&lt;K$43,J$42,K136&lt;K$44,J$43,K136&lt;K$45,J$44,K136&lt;K$46,J$45,K136&lt;K$47,J$46,K136&gt;=K$47,J$47)</f>
        <v/>
      </c>
      <c r="K136" s="38" t="n">
        <v>86</v>
      </c>
      <c r="L136" s="31">
        <f>K136/52</f>
        <v/>
      </c>
      <c r="M136" s="39">
        <f>J136/1000000*52</f>
        <v/>
      </c>
      <c r="N136" s="33">
        <f>M136/$P$4+($I$22/$P$4)</f>
        <v/>
      </c>
      <c r="U136">
        <f>F135</f>
        <v/>
      </c>
      <c r="V136">
        <f>H135</f>
        <v/>
      </c>
      <c r="W136">
        <f>N135</f>
        <v/>
      </c>
    </row>
    <row r="137" ht="15.75" customHeight="1" s="40">
      <c r="C137" s="36">
        <f>_xlfn.IFS(E137&lt;E$24,0,E137&lt;E$26,C$24,E137&lt;E$28,C$26,E137&lt;E$30,C$28,E137&lt;E$32,C$30,E137&lt;E$34,C$32,E137&gt;=E$34,C$34)</f>
        <v/>
      </c>
      <c r="D137" s="37">
        <f>_xlfn.IFS(E137&lt;E$24,0,E137&lt;E$25,D$24,E137&lt;E$26,D$25,E137&lt;E$27,D$26,E137&lt;E$28,D$27,E137&lt;E$29,D$28,E137&lt;E$30,D$29,E137&lt;E$31,D$30,E137&lt;E$32,D$31,E137&lt;E$33,D$32,E137&lt;E$34,D$33,E137&lt;E$35,D$34,E137&gt;=E$35,D$35)</f>
        <v/>
      </c>
      <c r="E137" s="38" t="n">
        <v>87</v>
      </c>
      <c r="F137" s="31">
        <f>E137/52</f>
        <v/>
      </c>
      <c r="G137" s="39">
        <f>D137/1000000*52</f>
        <v/>
      </c>
      <c r="H137" s="33">
        <f>G137/$P$4+($C$22/$P$4)</f>
        <v/>
      </c>
      <c r="I137" s="36">
        <f>_xlfn.IFS(K137&lt;K$24,0,K137&lt;K$26,I$24,K137&lt;K$28,I$26,K137&lt;K$30,I$28,K137&lt;K$32,I$30,K137&lt;K$34,I$32,K137&lt;K$36,I$34,K137&lt;K$38,I$36,K137&lt;K$40,I$38,K137&lt;K$42,I$40,K137&lt;K$44,I$42,K137&lt;K$46,I$44,K137&gt;=K$46,I$46)</f>
        <v/>
      </c>
      <c r="J137" s="37">
        <f>_xlfn.IFS(K137&lt;K$24,0,K137&lt;K$25,J$24,K137&lt;K$26,J$25,K137&lt;K$27,J$26,K137&lt;K$28,J$27,K137&lt;K$29,J$28,K137&lt;K$30,J$29,K137&lt;K$31,J$30,K137&lt;K$32,J$31,K137&lt;K$33,J$32,K137&lt;K$34,J$33,K137&lt;K$35,J$34,K137&lt;K$36,J$35,K137&lt;K$37,J$36,K137&lt;K$38,J$37,K137&lt;K$39,J$38,K137&lt;K$40,J$39,K137&lt;K$41,J$40,K137&lt;K$42,J$41,K137&lt;K$43,J$42,K137&lt;K$44,J$43,K137&lt;K$45,J$44,K137&lt;K$46,J$45,K137&lt;K$47,J$46,K137&gt;=K$47,J$47)</f>
        <v/>
      </c>
      <c r="K137" s="38" t="n">
        <v>87</v>
      </c>
      <c r="L137" s="31">
        <f>K137/52</f>
        <v/>
      </c>
      <c r="M137" s="39">
        <f>J137/1000000*52</f>
        <v/>
      </c>
      <c r="N137" s="33">
        <f>M137/$P$4+($I$22/$P$4)</f>
        <v/>
      </c>
      <c r="U137">
        <f>F136</f>
        <v/>
      </c>
      <c r="V137">
        <f>H136</f>
        <v/>
      </c>
      <c r="W137">
        <f>N136</f>
        <v/>
      </c>
    </row>
    <row r="138" ht="15.75" customHeight="1" s="40">
      <c r="C138" s="36">
        <f>_xlfn.IFS(E138&lt;E$24,0,E138&lt;E$26,C$24,E138&lt;E$28,C$26,E138&lt;E$30,C$28,E138&lt;E$32,C$30,E138&lt;E$34,C$32,E138&gt;=E$34,C$34)</f>
        <v/>
      </c>
      <c r="D138" s="37">
        <f>_xlfn.IFS(E138&lt;E$24,0,E138&lt;E$25,D$24,E138&lt;E$26,D$25,E138&lt;E$27,D$26,E138&lt;E$28,D$27,E138&lt;E$29,D$28,E138&lt;E$30,D$29,E138&lt;E$31,D$30,E138&lt;E$32,D$31,E138&lt;E$33,D$32,E138&lt;E$34,D$33,E138&lt;E$35,D$34,E138&gt;=E$35,D$35)</f>
        <v/>
      </c>
      <c r="E138" s="38" t="n">
        <v>88</v>
      </c>
      <c r="F138" s="31">
        <f>E138/52</f>
        <v/>
      </c>
      <c r="G138" s="39">
        <f>D138/1000000*52</f>
        <v/>
      </c>
      <c r="H138" s="33">
        <f>G138/$P$4+($C$22/$P$4)</f>
        <v/>
      </c>
      <c r="I138" s="36">
        <f>_xlfn.IFS(K138&lt;K$24,0,K138&lt;K$26,I$24,K138&lt;K$28,I$26,K138&lt;K$30,I$28,K138&lt;K$32,I$30,K138&lt;K$34,I$32,K138&lt;K$36,I$34,K138&lt;K$38,I$36,K138&lt;K$40,I$38,K138&lt;K$42,I$40,K138&lt;K$44,I$42,K138&lt;K$46,I$44,K138&gt;=K$46,I$46)</f>
        <v/>
      </c>
      <c r="J138" s="37">
        <f>_xlfn.IFS(K138&lt;K$24,0,K138&lt;K$25,J$24,K138&lt;K$26,J$25,K138&lt;K$27,J$26,K138&lt;K$28,J$27,K138&lt;K$29,J$28,K138&lt;K$30,J$29,K138&lt;K$31,J$30,K138&lt;K$32,J$31,K138&lt;K$33,J$32,K138&lt;K$34,J$33,K138&lt;K$35,J$34,K138&lt;K$36,J$35,K138&lt;K$37,J$36,K138&lt;K$38,J$37,K138&lt;K$39,J$38,K138&lt;K$40,J$39,K138&lt;K$41,J$40,K138&lt;K$42,J$41,K138&lt;K$43,J$42,K138&lt;K$44,J$43,K138&lt;K$45,J$44,K138&lt;K$46,J$45,K138&lt;K$47,J$46,K138&gt;=K$47,J$47)</f>
        <v/>
      </c>
      <c r="K138" s="38" t="n">
        <v>88</v>
      </c>
      <c r="L138" s="31">
        <f>K138/52</f>
        <v/>
      </c>
      <c r="M138" s="39">
        <f>J138/1000000*52</f>
        <v/>
      </c>
      <c r="N138" s="33">
        <f>M138/$P$4+($I$22/$P$4)</f>
        <v/>
      </c>
      <c r="U138">
        <f>F137</f>
        <v/>
      </c>
      <c r="V138">
        <f>H137</f>
        <v/>
      </c>
      <c r="W138">
        <f>N137</f>
        <v/>
      </c>
    </row>
    <row r="139" ht="15.75" customHeight="1" s="40">
      <c r="C139" s="36">
        <f>_xlfn.IFS(E139&lt;E$24,0,E139&lt;E$26,C$24,E139&lt;E$28,C$26,E139&lt;E$30,C$28,E139&lt;E$32,C$30,E139&lt;E$34,C$32,E139&gt;=E$34,C$34)</f>
        <v/>
      </c>
      <c r="D139" s="37">
        <f>_xlfn.IFS(E139&lt;E$24,0,E139&lt;E$25,D$24,E139&lt;E$26,D$25,E139&lt;E$27,D$26,E139&lt;E$28,D$27,E139&lt;E$29,D$28,E139&lt;E$30,D$29,E139&lt;E$31,D$30,E139&lt;E$32,D$31,E139&lt;E$33,D$32,E139&lt;E$34,D$33,E139&lt;E$35,D$34,E139&gt;=E$35,D$35)</f>
        <v/>
      </c>
      <c r="E139" s="38" t="n">
        <v>89</v>
      </c>
      <c r="F139" s="31">
        <f>E139/52</f>
        <v/>
      </c>
      <c r="G139" s="39">
        <f>D139/1000000*52</f>
        <v/>
      </c>
      <c r="H139" s="33">
        <f>G139/$P$4+($C$22/$P$4)</f>
        <v/>
      </c>
      <c r="I139" s="36">
        <f>_xlfn.IFS(K139&lt;K$24,0,K139&lt;K$26,I$24,K139&lt;K$28,I$26,K139&lt;K$30,I$28,K139&lt;K$32,I$30,K139&lt;K$34,I$32,K139&lt;K$36,I$34,K139&lt;K$38,I$36,K139&lt;K$40,I$38,K139&lt;K$42,I$40,K139&lt;K$44,I$42,K139&lt;K$46,I$44,K139&gt;=K$46,I$46)</f>
        <v/>
      </c>
      <c r="J139" s="37">
        <f>_xlfn.IFS(K139&lt;K$24,0,K139&lt;K$25,J$24,K139&lt;K$26,J$25,K139&lt;K$27,J$26,K139&lt;K$28,J$27,K139&lt;K$29,J$28,K139&lt;K$30,J$29,K139&lt;K$31,J$30,K139&lt;K$32,J$31,K139&lt;K$33,J$32,K139&lt;K$34,J$33,K139&lt;K$35,J$34,K139&lt;K$36,J$35,K139&lt;K$37,J$36,K139&lt;K$38,J$37,K139&lt;K$39,J$38,K139&lt;K$40,J$39,K139&lt;K$41,J$40,K139&lt;K$42,J$41,K139&lt;K$43,J$42,K139&lt;K$44,J$43,K139&lt;K$45,J$44,K139&lt;K$46,J$45,K139&lt;K$47,J$46,K139&gt;=K$47,J$47)</f>
        <v/>
      </c>
      <c r="K139" s="38" t="n">
        <v>89</v>
      </c>
      <c r="L139" s="31">
        <f>K139/52</f>
        <v/>
      </c>
      <c r="M139" s="39">
        <f>J139/1000000*52</f>
        <v/>
      </c>
      <c r="N139" s="33">
        <f>M139/$P$4+($I$22/$P$4)</f>
        <v/>
      </c>
      <c r="U139">
        <f>F138</f>
        <v/>
      </c>
      <c r="V139">
        <f>H138</f>
        <v/>
      </c>
      <c r="W139">
        <f>N138</f>
        <v/>
      </c>
    </row>
    <row r="140" ht="15.75" customHeight="1" s="40">
      <c r="C140" s="36">
        <f>_xlfn.IFS(E140&lt;E$24,0,E140&lt;E$26,C$24,E140&lt;E$28,C$26,E140&lt;E$30,C$28,E140&lt;E$32,C$30,E140&lt;E$34,C$32,E140&gt;=E$34,C$34)</f>
        <v/>
      </c>
      <c r="D140" s="37">
        <f>_xlfn.IFS(E140&lt;E$24,0,E140&lt;E$25,D$24,E140&lt;E$26,D$25,E140&lt;E$27,D$26,E140&lt;E$28,D$27,E140&lt;E$29,D$28,E140&lt;E$30,D$29,E140&lt;E$31,D$30,E140&lt;E$32,D$31,E140&lt;E$33,D$32,E140&lt;E$34,D$33,E140&lt;E$35,D$34,E140&gt;=E$35,D$35)</f>
        <v/>
      </c>
      <c r="E140" s="38" t="n">
        <v>90</v>
      </c>
      <c r="F140" s="31">
        <f>E140/52</f>
        <v/>
      </c>
      <c r="G140" s="39">
        <f>D140/1000000*52</f>
        <v/>
      </c>
      <c r="H140" s="33">
        <f>G140/$P$4+($C$22/$P$4)</f>
        <v/>
      </c>
      <c r="I140" s="36">
        <f>_xlfn.IFS(K140&lt;K$24,0,K140&lt;K$26,I$24,K140&lt;K$28,I$26,K140&lt;K$30,I$28,K140&lt;K$32,I$30,K140&lt;K$34,I$32,K140&lt;K$36,I$34,K140&lt;K$38,I$36,K140&lt;K$40,I$38,K140&lt;K$42,I$40,K140&lt;K$44,I$42,K140&lt;K$46,I$44,K140&gt;=K$46,I$46)</f>
        <v/>
      </c>
      <c r="J140" s="37">
        <f>_xlfn.IFS(K140&lt;K$24,0,K140&lt;K$25,J$24,K140&lt;K$26,J$25,K140&lt;K$27,J$26,K140&lt;K$28,J$27,K140&lt;K$29,J$28,K140&lt;K$30,J$29,K140&lt;K$31,J$30,K140&lt;K$32,J$31,K140&lt;K$33,J$32,K140&lt;K$34,J$33,K140&lt;K$35,J$34,K140&lt;K$36,J$35,K140&lt;K$37,J$36,K140&lt;K$38,J$37,K140&lt;K$39,J$38,K140&lt;K$40,J$39,K140&lt;K$41,J$40,K140&lt;K$42,J$41,K140&lt;K$43,J$42,K140&lt;K$44,J$43,K140&lt;K$45,J$44,K140&lt;K$46,J$45,K140&lt;K$47,J$46,K140&gt;=K$47,J$47)</f>
        <v/>
      </c>
      <c r="K140" s="38" t="n">
        <v>90</v>
      </c>
      <c r="L140" s="31">
        <f>K140/52</f>
        <v/>
      </c>
      <c r="M140" s="39">
        <f>J140/1000000*52</f>
        <v/>
      </c>
      <c r="N140" s="33">
        <f>M140/$P$4+($I$22/$P$4)</f>
        <v/>
      </c>
      <c r="U140">
        <f>F139</f>
        <v/>
      </c>
      <c r="V140">
        <f>H139</f>
        <v/>
      </c>
      <c r="W140">
        <f>N139</f>
        <v/>
      </c>
    </row>
    <row r="141" ht="15.75" customHeight="1" s="40">
      <c r="C141" s="36">
        <f>_xlfn.IFS(E141&lt;E$24,0,E141&lt;E$26,C$24,E141&lt;E$28,C$26,E141&lt;E$30,C$28,E141&lt;E$32,C$30,E141&lt;E$34,C$32,E141&gt;=E$34,C$34)</f>
        <v/>
      </c>
      <c r="D141" s="37">
        <f>_xlfn.IFS(E141&lt;E$24,0,E141&lt;E$25,D$24,E141&lt;E$26,D$25,E141&lt;E$27,D$26,E141&lt;E$28,D$27,E141&lt;E$29,D$28,E141&lt;E$30,D$29,E141&lt;E$31,D$30,E141&lt;E$32,D$31,E141&lt;E$33,D$32,E141&lt;E$34,D$33,E141&lt;E$35,D$34,E141&gt;=E$35,D$35)</f>
        <v/>
      </c>
      <c r="E141" s="38" t="n">
        <v>91</v>
      </c>
      <c r="F141" s="31">
        <f>E141/52</f>
        <v/>
      </c>
      <c r="G141" s="39">
        <f>D141/1000000*52</f>
        <v/>
      </c>
      <c r="H141" s="33">
        <f>G141/$P$4+($C$22/$P$4)</f>
        <v/>
      </c>
      <c r="I141" s="36">
        <f>_xlfn.IFS(K141&lt;K$24,0,K141&lt;K$26,I$24,K141&lt;K$28,I$26,K141&lt;K$30,I$28,K141&lt;K$32,I$30,K141&lt;K$34,I$32,K141&lt;K$36,I$34,K141&lt;K$38,I$36,K141&lt;K$40,I$38,K141&lt;K$42,I$40,K141&lt;K$44,I$42,K141&lt;K$46,I$44,K141&gt;=K$46,I$46)</f>
        <v/>
      </c>
      <c r="J141" s="37">
        <f>_xlfn.IFS(K141&lt;K$24,0,K141&lt;K$25,J$24,K141&lt;K$26,J$25,K141&lt;K$27,J$26,K141&lt;K$28,J$27,K141&lt;K$29,J$28,K141&lt;K$30,J$29,K141&lt;K$31,J$30,K141&lt;K$32,J$31,K141&lt;K$33,J$32,K141&lt;K$34,J$33,K141&lt;K$35,J$34,K141&lt;K$36,J$35,K141&lt;K$37,J$36,K141&lt;K$38,J$37,K141&lt;K$39,J$38,K141&lt;K$40,J$39,K141&lt;K$41,J$40,K141&lt;K$42,J$41,K141&lt;K$43,J$42,K141&lt;K$44,J$43,K141&lt;K$45,J$44,K141&lt;K$46,J$45,K141&lt;K$47,J$46,K141&gt;=K$47,J$47)</f>
        <v/>
      </c>
      <c r="K141" s="38" t="n">
        <v>91</v>
      </c>
      <c r="L141" s="31">
        <f>K141/52</f>
        <v/>
      </c>
      <c r="M141" s="39">
        <f>J141/1000000*52</f>
        <v/>
      </c>
      <c r="N141" s="33">
        <f>M141/$P$4+($I$22/$P$4)</f>
        <v/>
      </c>
      <c r="U141">
        <f>F140</f>
        <v/>
      </c>
      <c r="V141">
        <f>H140</f>
        <v/>
      </c>
      <c r="W141">
        <f>N140</f>
        <v/>
      </c>
    </row>
    <row r="142" ht="15.75" customHeight="1" s="40">
      <c r="C142" s="36">
        <f>_xlfn.IFS(E142&lt;E$24,0,E142&lt;E$26,C$24,E142&lt;E$28,C$26,E142&lt;E$30,C$28,E142&lt;E$32,C$30,E142&lt;E$34,C$32,E142&gt;=E$34,C$34)</f>
        <v/>
      </c>
      <c r="D142" s="37">
        <f>_xlfn.IFS(E142&lt;E$24,0,E142&lt;E$25,D$24,E142&lt;E$26,D$25,E142&lt;E$27,D$26,E142&lt;E$28,D$27,E142&lt;E$29,D$28,E142&lt;E$30,D$29,E142&lt;E$31,D$30,E142&lt;E$32,D$31,E142&lt;E$33,D$32,E142&lt;E$34,D$33,E142&lt;E$35,D$34,E142&gt;=E$35,D$35)</f>
        <v/>
      </c>
      <c r="E142" s="38" t="n">
        <v>92</v>
      </c>
      <c r="F142" s="31">
        <f>E142/52</f>
        <v/>
      </c>
      <c r="G142" s="39">
        <f>D142/1000000*52</f>
        <v/>
      </c>
      <c r="H142" s="33">
        <f>G142/$P$4+($C$22/$P$4)</f>
        <v/>
      </c>
      <c r="I142" s="36">
        <f>_xlfn.IFS(K142&lt;K$24,0,K142&lt;K$26,I$24,K142&lt;K$28,I$26,K142&lt;K$30,I$28,K142&lt;K$32,I$30,K142&lt;K$34,I$32,K142&lt;K$36,I$34,K142&lt;K$38,I$36,K142&lt;K$40,I$38,K142&lt;K$42,I$40,K142&lt;K$44,I$42,K142&lt;K$46,I$44,K142&gt;=K$46,I$46)</f>
        <v/>
      </c>
      <c r="J142" s="37">
        <f>_xlfn.IFS(K142&lt;K$24,0,K142&lt;K$25,J$24,K142&lt;K$26,J$25,K142&lt;K$27,J$26,K142&lt;K$28,J$27,K142&lt;K$29,J$28,K142&lt;K$30,J$29,K142&lt;K$31,J$30,K142&lt;K$32,J$31,K142&lt;K$33,J$32,K142&lt;K$34,J$33,K142&lt;K$35,J$34,K142&lt;K$36,J$35,K142&lt;K$37,J$36,K142&lt;K$38,J$37,K142&lt;K$39,J$38,K142&lt;K$40,J$39,K142&lt;K$41,J$40,K142&lt;K$42,J$41,K142&lt;K$43,J$42,K142&lt;K$44,J$43,K142&lt;K$45,J$44,K142&lt;K$46,J$45,K142&lt;K$47,J$46,K142&gt;=K$47,J$47)</f>
        <v/>
      </c>
      <c r="K142" s="38" t="n">
        <v>92</v>
      </c>
      <c r="L142" s="31">
        <f>K142/52</f>
        <v/>
      </c>
      <c r="M142" s="39">
        <f>J142/1000000*52</f>
        <v/>
      </c>
      <c r="N142" s="33">
        <f>M142/$P$4+($I$22/$P$4)</f>
        <v/>
      </c>
      <c r="U142">
        <f>F141</f>
        <v/>
      </c>
      <c r="V142">
        <f>H141</f>
        <v/>
      </c>
      <c r="W142">
        <f>N141</f>
        <v/>
      </c>
    </row>
    <row r="143" ht="15.75" customHeight="1" s="40">
      <c r="C143" s="36">
        <f>_xlfn.IFS(E143&lt;E$24,0,E143&lt;E$26,C$24,E143&lt;E$28,C$26,E143&lt;E$30,C$28,E143&lt;E$32,C$30,E143&lt;E$34,C$32,E143&gt;=E$34,C$34)</f>
        <v/>
      </c>
      <c r="D143" s="37">
        <f>_xlfn.IFS(E143&lt;E$24,0,E143&lt;E$25,D$24,E143&lt;E$26,D$25,E143&lt;E$27,D$26,E143&lt;E$28,D$27,E143&lt;E$29,D$28,E143&lt;E$30,D$29,E143&lt;E$31,D$30,E143&lt;E$32,D$31,E143&lt;E$33,D$32,E143&lt;E$34,D$33,E143&lt;E$35,D$34,E143&gt;=E$35,D$35)</f>
        <v/>
      </c>
      <c r="E143" s="38" t="n">
        <v>93</v>
      </c>
      <c r="F143" s="31">
        <f>E143/52</f>
        <v/>
      </c>
      <c r="G143" s="39">
        <f>D143/1000000*52</f>
        <v/>
      </c>
      <c r="H143" s="33">
        <f>G143/$P$4+($C$22/$P$4)</f>
        <v/>
      </c>
      <c r="I143" s="36">
        <f>_xlfn.IFS(K143&lt;K$24,0,K143&lt;K$26,I$24,K143&lt;K$28,I$26,K143&lt;K$30,I$28,K143&lt;K$32,I$30,K143&lt;K$34,I$32,K143&lt;K$36,I$34,K143&lt;K$38,I$36,K143&lt;K$40,I$38,K143&lt;K$42,I$40,K143&lt;K$44,I$42,K143&lt;K$46,I$44,K143&gt;=K$46,I$46)</f>
        <v/>
      </c>
      <c r="J143" s="37">
        <f>_xlfn.IFS(K143&lt;K$24,0,K143&lt;K$25,J$24,K143&lt;K$26,J$25,K143&lt;K$27,J$26,K143&lt;K$28,J$27,K143&lt;K$29,J$28,K143&lt;K$30,J$29,K143&lt;K$31,J$30,K143&lt;K$32,J$31,K143&lt;K$33,J$32,K143&lt;K$34,J$33,K143&lt;K$35,J$34,K143&lt;K$36,J$35,K143&lt;K$37,J$36,K143&lt;K$38,J$37,K143&lt;K$39,J$38,K143&lt;K$40,J$39,K143&lt;K$41,J$40,K143&lt;K$42,J$41,K143&lt;K$43,J$42,K143&lt;K$44,J$43,K143&lt;K$45,J$44,K143&lt;K$46,J$45,K143&lt;K$47,J$46,K143&gt;=K$47,J$47)</f>
        <v/>
      </c>
      <c r="K143" s="38" t="n">
        <v>93</v>
      </c>
      <c r="L143" s="31">
        <f>K143/52</f>
        <v/>
      </c>
      <c r="M143" s="39">
        <f>J143/1000000*52</f>
        <v/>
      </c>
      <c r="N143" s="33">
        <f>M143/$P$4+($I$22/$P$4)</f>
        <v/>
      </c>
      <c r="U143">
        <f>F142</f>
        <v/>
      </c>
      <c r="V143">
        <f>H142</f>
        <v/>
      </c>
      <c r="W143">
        <f>N142</f>
        <v/>
      </c>
    </row>
    <row r="144" ht="15.75" customHeight="1" s="40">
      <c r="C144" s="36">
        <f>_xlfn.IFS(E144&lt;E$24,0,E144&lt;E$26,C$24,E144&lt;E$28,C$26,E144&lt;E$30,C$28,E144&lt;E$32,C$30,E144&lt;E$34,C$32,E144&gt;=E$34,C$34)</f>
        <v/>
      </c>
      <c r="D144" s="37">
        <f>_xlfn.IFS(E144&lt;E$24,0,E144&lt;E$25,D$24,E144&lt;E$26,D$25,E144&lt;E$27,D$26,E144&lt;E$28,D$27,E144&lt;E$29,D$28,E144&lt;E$30,D$29,E144&lt;E$31,D$30,E144&lt;E$32,D$31,E144&lt;E$33,D$32,E144&lt;E$34,D$33,E144&lt;E$35,D$34,E144&gt;=E$35,D$35)</f>
        <v/>
      </c>
      <c r="E144" s="38" t="n">
        <v>94</v>
      </c>
      <c r="F144" s="31">
        <f>E144/52</f>
        <v/>
      </c>
      <c r="G144" s="39">
        <f>D144/1000000*52</f>
        <v/>
      </c>
      <c r="H144" s="33">
        <f>G144/$P$4+($C$22/$P$4)</f>
        <v/>
      </c>
      <c r="I144" s="36">
        <f>_xlfn.IFS(K144&lt;K$24,0,K144&lt;K$26,I$24,K144&lt;K$28,I$26,K144&lt;K$30,I$28,K144&lt;K$32,I$30,K144&lt;K$34,I$32,K144&lt;K$36,I$34,K144&lt;K$38,I$36,K144&lt;K$40,I$38,K144&lt;K$42,I$40,K144&lt;K$44,I$42,K144&lt;K$46,I$44,K144&gt;=K$46,I$46)</f>
        <v/>
      </c>
      <c r="J144" s="37">
        <f>_xlfn.IFS(K144&lt;K$24,0,K144&lt;K$25,J$24,K144&lt;K$26,J$25,K144&lt;K$27,J$26,K144&lt;K$28,J$27,K144&lt;K$29,J$28,K144&lt;K$30,J$29,K144&lt;K$31,J$30,K144&lt;K$32,J$31,K144&lt;K$33,J$32,K144&lt;K$34,J$33,K144&lt;K$35,J$34,K144&lt;K$36,J$35,K144&lt;K$37,J$36,K144&lt;K$38,J$37,K144&lt;K$39,J$38,K144&lt;K$40,J$39,K144&lt;K$41,J$40,K144&lt;K$42,J$41,K144&lt;K$43,J$42,K144&lt;K$44,J$43,K144&lt;K$45,J$44,K144&lt;K$46,J$45,K144&lt;K$47,J$46,K144&gt;=K$47,J$47)</f>
        <v/>
      </c>
      <c r="K144" s="38" t="n">
        <v>94</v>
      </c>
      <c r="L144" s="31">
        <f>K144/52</f>
        <v/>
      </c>
      <c r="M144" s="39">
        <f>J144/1000000*52</f>
        <v/>
      </c>
      <c r="N144" s="33">
        <f>M144/$P$4+($I$22/$P$4)</f>
        <v/>
      </c>
      <c r="U144">
        <f>F143</f>
        <v/>
      </c>
      <c r="V144">
        <f>H143</f>
        <v/>
      </c>
      <c r="W144">
        <f>N143</f>
        <v/>
      </c>
    </row>
    <row r="145" ht="15.75" customHeight="1" s="40">
      <c r="C145" s="36">
        <f>_xlfn.IFS(E145&lt;E$24,0,E145&lt;E$26,C$24,E145&lt;E$28,C$26,E145&lt;E$30,C$28,E145&lt;E$32,C$30,E145&lt;E$34,C$32,E145&gt;=E$34,C$34)</f>
        <v/>
      </c>
      <c r="D145" s="37">
        <f>_xlfn.IFS(E145&lt;E$24,0,E145&lt;E$25,D$24,E145&lt;E$26,D$25,E145&lt;E$27,D$26,E145&lt;E$28,D$27,E145&lt;E$29,D$28,E145&lt;E$30,D$29,E145&lt;E$31,D$30,E145&lt;E$32,D$31,E145&lt;E$33,D$32,E145&lt;E$34,D$33,E145&lt;E$35,D$34,E145&gt;=E$35,D$35)</f>
        <v/>
      </c>
      <c r="E145" s="38" t="n">
        <v>95</v>
      </c>
      <c r="F145" s="31">
        <f>E145/52</f>
        <v/>
      </c>
      <c r="G145" s="39">
        <f>D145/1000000*52</f>
        <v/>
      </c>
      <c r="H145" s="33">
        <f>G145/$P$4+($C$22/$P$4)</f>
        <v/>
      </c>
      <c r="I145" s="36">
        <f>_xlfn.IFS(K145&lt;K$24,0,K145&lt;K$26,I$24,K145&lt;K$28,I$26,K145&lt;K$30,I$28,K145&lt;K$32,I$30,K145&lt;K$34,I$32,K145&lt;K$36,I$34,K145&lt;K$38,I$36,K145&lt;K$40,I$38,K145&lt;K$42,I$40,K145&lt;K$44,I$42,K145&lt;K$46,I$44,K145&gt;=K$46,I$46)</f>
        <v/>
      </c>
      <c r="J145" s="37">
        <f>_xlfn.IFS(K145&lt;K$24,0,K145&lt;K$25,J$24,K145&lt;K$26,J$25,K145&lt;K$27,J$26,K145&lt;K$28,J$27,K145&lt;K$29,J$28,K145&lt;K$30,J$29,K145&lt;K$31,J$30,K145&lt;K$32,J$31,K145&lt;K$33,J$32,K145&lt;K$34,J$33,K145&lt;K$35,J$34,K145&lt;K$36,J$35,K145&lt;K$37,J$36,K145&lt;K$38,J$37,K145&lt;K$39,J$38,K145&lt;K$40,J$39,K145&lt;K$41,J$40,K145&lt;K$42,J$41,K145&lt;K$43,J$42,K145&lt;K$44,J$43,K145&lt;K$45,J$44,K145&lt;K$46,J$45,K145&lt;K$47,J$46,K145&gt;=K$47,J$47)</f>
        <v/>
      </c>
      <c r="K145" s="38" t="n">
        <v>95</v>
      </c>
      <c r="L145" s="31">
        <f>K145/52</f>
        <v/>
      </c>
      <c r="M145" s="39">
        <f>J145/1000000*52</f>
        <v/>
      </c>
      <c r="N145" s="33">
        <f>M145/$P$4+($I$22/$P$4)</f>
        <v/>
      </c>
      <c r="U145">
        <f>F144</f>
        <v/>
      </c>
      <c r="V145">
        <f>H144</f>
        <v/>
      </c>
      <c r="W145">
        <f>N144</f>
        <v/>
      </c>
    </row>
    <row r="146" ht="15.75" customHeight="1" s="40">
      <c r="C146" s="36">
        <f>_xlfn.IFS(E146&lt;E$24,0,E146&lt;E$26,C$24,E146&lt;E$28,C$26,E146&lt;E$30,C$28,E146&lt;E$32,C$30,E146&lt;E$34,C$32,E146&gt;=E$34,C$34)</f>
        <v/>
      </c>
      <c r="D146" s="37">
        <f>_xlfn.IFS(E146&lt;E$24,0,E146&lt;E$25,D$24,E146&lt;E$26,D$25,E146&lt;E$27,D$26,E146&lt;E$28,D$27,E146&lt;E$29,D$28,E146&lt;E$30,D$29,E146&lt;E$31,D$30,E146&lt;E$32,D$31,E146&lt;E$33,D$32,E146&lt;E$34,D$33,E146&lt;E$35,D$34,E146&gt;=E$35,D$35)</f>
        <v/>
      </c>
      <c r="E146" s="38" t="n">
        <v>96</v>
      </c>
      <c r="F146" s="31">
        <f>E146/52</f>
        <v/>
      </c>
      <c r="G146" s="39">
        <f>D146/1000000*52</f>
        <v/>
      </c>
      <c r="H146" s="33">
        <f>G146/$P$4+($C$22/$P$4)</f>
        <v/>
      </c>
      <c r="I146" s="36">
        <f>_xlfn.IFS(K146&lt;K$24,0,K146&lt;K$26,I$24,K146&lt;K$28,I$26,K146&lt;K$30,I$28,K146&lt;K$32,I$30,K146&lt;K$34,I$32,K146&lt;K$36,I$34,K146&lt;K$38,I$36,K146&lt;K$40,I$38,K146&lt;K$42,I$40,K146&lt;K$44,I$42,K146&lt;K$46,I$44,K146&gt;=K$46,I$46)</f>
        <v/>
      </c>
      <c r="J146" s="37">
        <f>_xlfn.IFS(K146&lt;K$24,0,K146&lt;K$25,J$24,K146&lt;K$26,J$25,K146&lt;K$27,J$26,K146&lt;K$28,J$27,K146&lt;K$29,J$28,K146&lt;K$30,J$29,K146&lt;K$31,J$30,K146&lt;K$32,J$31,K146&lt;K$33,J$32,K146&lt;K$34,J$33,K146&lt;K$35,J$34,K146&lt;K$36,J$35,K146&lt;K$37,J$36,K146&lt;K$38,J$37,K146&lt;K$39,J$38,K146&lt;K$40,J$39,K146&lt;K$41,J$40,K146&lt;K$42,J$41,K146&lt;K$43,J$42,K146&lt;K$44,J$43,K146&lt;K$45,J$44,K146&lt;K$46,J$45,K146&lt;K$47,J$46,K146&gt;=K$47,J$47)</f>
        <v/>
      </c>
      <c r="K146" s="38" t="n">
        <v>96</v>
      </c>
      <c r="L146" s="31">
        <f>K146/52</f>
        <v/>
      </c>
      <c r="M146" s="39">
        <f>J146/1000000*52</f>
        <v/>
      </c>
      <c r="N146" s="33">
        <f>M146/$P$4+($I$22/$P$4)</f>
        <v/>
      </c>
      <c r="U146">
        <f>F145</f>
        <v/>
      </c>
      <c r="V146">
        <f>H145</f>
        <v/>
      </c>
      <c r="W146">
        <f>N145</f>
        <v/>
      </c>
    </row>
    <row r="147" ht="15.75" customHeight="1" s="40">
      <c r="C147" s="36">
        <f>_xlfn.IFS(E147&lt;E$24,0,E147&lt;E$26,C$24,E147&lt;E$28,C$26,E147&lt;E$30,C$28,E147&lt;E$32,C$30,E147&lt;E$34,C$32,E147&gt;=E$34,C$34)</f>
        <v/>
      </c>
      <c r="D147" s="37">
        <f>_xlfn.IFS(E147&lt;E$24,0,E147&lt;E$25,D$24,E147&lt;E$26,D$25,E147&lt;E$27,D$26,E147&lt;E$28,D$27,E147&lt;E$29,D$28,E147&lt;E$30,D$29,E147&lt;E$31,D$30,E147&lt;E$32,D$31,E147&lt;E$33,D$32,E147&lt;E$34,D$33,E147&lt;E$35,D$34,E147&gt;=E$35,D$35)</f>
        <v/>
      </c>
      <c r="E147" s="38" t="n">
        <v>97</v>
      </c>
      <c r="F147" s="31">
        <f>E147/52</f>
        <v/>
      </c>
      <c r="G147" s="39">
        <f>D147/1000000*52</f>
        <v/>
      </c>
      <c r="H147" s="33">
        <f>G147/$P$4+($C$22/$P$4)</f>
        <v/>
      </c>
      <c r="I147" s="36">
        <f>_xlfn.IFS(K147&lt;K$24,0,K147&lt;K$26,I$24,K147&lt;K$28,I$26,K147&lt;K$30,I$28,K147&lt;K$32,I$30,K147&lt;K$34,I$32,K147&lt;K$36,I$34,K147&lt;K$38,I$36,K147&lt;K$40,I$38,K147&lt;K$42,I$40,K147&lt;K$44,I$42,K147&lt;K$46,I$44,K147&gt;=K$46,I$46)</f>
        <v/>
      </c>
      <c r="J147" s="37">
        <f>_xlfn.IFS(K147&lt;K$24,0,K147&lt;K$25,J$24,K147&lt;K$26,J$25,K147&lt;K$27,J$26,K147&lt;K$28,J$27,K147&lt;K$29,J$28,K147&lt;K$30,J$29,K147&lt;K$31,J$30,K147&lt;K$32,J$31,K147&lt;K$33,J$32,K147&lt;K$34,J$33,K147&lt;K$35,J$34,K147&lt;K$36,J$35,K147&lt;K$37,J$36,K147&lt;K$38,J$37,K147&lt;K$39,J$38,K147&lt;K$40,J$39,K147&lt;K$41,J$40,K147&lt;K$42,J$41,K147&lt;K$43,J$42,K147&lt;K$44,J$43,K147&lt;K$45,J$44,K147&lt;K$46,J$45,K147&lt;K$47,J$46,K147&gt;=K$47,J$47)</f>
        <v/>
      </c>
      <c r="K147" s="38" t="n">
        <v>97</v>
      </c>
      <c r="L147" s="31">
        <f>K147/52</f>
        <v/>
      </c>
      <c r="M147" s="39">
        <f>J147/1000000*52</f>
        <v/>
      </c>
      <c r="N147" s="33">
        <f>M147/$P$4+($I$22/$P$4)</f>
        <v/>
      </c>
      <c r="U147">
        <f>F146</f>
        <v/>
      </c>
      <c r="V147">
        <f>H146</f>
        <v/>
      </c>
      <c r="W147">
        <f>N146</f>
        <v/>
      </c>
    </row>
    <row r="148" ht="15.75" customHeight="1" s="40">
      <c r="C148" s="36">
        <f>_xlfn.IFS(E148&lt;E$24,0,E148&lt;E$26,C$24,E148&lt;E$28,C$26,E148&lt;E$30,C$28,E148&lt;E$32,C$30,E148&lt;E$34,C$32,E148&gt;=E$34,C$34)</f>
        <v/>
      </c>
      <c r="D148" s="37">
        <f>_xlfn.IFS(E148&lt;E$24,0,E148&lt;E$25,D$24,E148&lt;E$26,D$25,E148&lt;E$27,D$26,E148&lt;E$28,D$27,E148&lt;E$29,D$28,E148&lt;E$30,D$29,E148&lt;E$31,D$30,E148&lt;E$32,D$31,E148&lt;E$33,D$32,E148&lt;E$34,D$33,E148&lt;E$35,D$34,E148&gt;=E$35,D$35)</f>
        <v/>
      </c>
      <c r="E148" s="38" t="n">
        <v>98</v>
      </c>
      <c r="F148" s="31">
        <f>E148/52</f>
        <v/>
      </c>
      <c r="G148" s="39">
        <f>D148/1000000*52</f>
        <v/>
      </c>
      <c r="H148" s="33">
        <f>G148/$P$4+($C$22/$P$4)</f>
        <v/>
      </c>
      <c r="I148" s="36">
        <f>_xlfn.IFS(K148&lt;K$24,0,K148&lt;K$26,I$24,K148&lt;K$28,I$26,K148&lt;K$30,I$28,K148&lt;K$32,I$30,K148&lt;K$34,I$32,K148&lt;K$36,I$34,K148&lt;K$38,I$36,K148&lt;K$40,I$38,K148&lt;K$42,I$40,K148&lt;K$44,I$42,K148&lt;K$46,I$44,K148&gt;=K$46,I$46)</f>
        <v/>
      </c>
      <c r="J148" s="37">
        <f>_xlfn.IFS(K148&lt;K$24,0,K148&lt;K$25,J$24,K148&lt;K$26,J$25,K148&lt;K$27,J$26,K148&lt;K$28,J$27,K148&lt;K$29,J$28,K148&lt;K$30,J$29,K148&lt;K$31,J$30,K148&lt;K$32,J$31,K148&lt;K$33,J$32,K148&lt;K$34,J$33,K148&lt;K$35,J$34,K148&lt;K$36,J$35,K148&lt;K$37,J$36,K148&lt;K$38,J$37,K148&lt;K$39,J$38,K148&lt;K$40,J$39,K148&lt;K$41,J$40,K148&lt;K$42,J$41,K148&lt;K$43,J$42,K148&lt;K$44,J$43,K148&lt;K$45,J$44,K148&lt;K$46,J$45,K148&lt;K$47,J$46,K148&gt;=K$47,J$47)</f>
        <v/>
      </c>
      <c r="K148" s="38" t="n">
        <v>98</v>
      </c>
      <c r="L148" s="31">
        <f>K148/52</f>
        <v/>
      </c>
      <c r="M148" s="39">
        <f>J148/1000000*52</f>
        <v/>
      </c>
      <c r="N148" s="33">
        <f>M148/$P$4+($I$22/$P$4)</f>
        <v/>
      </c>
      <c r="U148">
        <f>F147</f>
        <v/>
      </c>
      <c r="V148">
        <f>H147</f>
        <v/>
      </c>
      <c r="W148">
        <f>N147</f>
        <v/>
      </c>
    </row>
    <row r="149" ht="15.75" customHeight="1" s="40">
      <c r="C149" s="36">
        <f>_xlfn.IFS(E149&lt;E$24,0,E149&lt;E$26,C$24,E149&lt;E$28,C$26,E149&lt;E$30,C$28,E149&lt;E$32,C$30,E149&lt;E$34,C$32,E149&gt;=E$34,C$34)</f>
        <v/>
      </c>
      <c r="D149" s="37">
        <f>_xlfn.IFS(E149&lt;E$24,0,E149&lt;E$25,D$24,E149&lt;E$26,D$25,E149&lt;E$27,D$26,E149&lt;E$28,D$27,E149&lt;E$29,D$28,E149&lt;E$30,D$29,E149&lt;E$31,D$30,E149&lt;E$32,D$31,E149&lt;E$33,D$32,E149&lt;E$34,D$33,E149&lt;E$35,D$34,E149&gt;=E$35,D$35)</f>
        <v/>
      </c>
      <c r="E149" s="38" t="n">
        <v>99</v>
      </c>
      <c r="F149" s="31">
        <f>E149/52</f>
        <v/>
      </c>
      <c r="G149" s="39">
        <f>D149/1000000*52</f>
        <v/>
      </c>
      <c r="H149" s="33">
        <f>G149/$P$4+($C$22/$P$4)</f>
        <v/>
      </c>
      <c r="I149" s="36">
        <f>_xlfn.IFS(K149&lt;K$24,0,K149&lt;K$26,I$24,K149&lt;K$28,I$26,K149&lt;K$30,I$28,K149&lt;K$32,I$30,K149&lt;K$34,I$32,K149&lt;K$36,I$34,K149&lt;K$38,I$36,K149&lt;K$40,I$38,K149&lt;K$42,I$40,K149&lt;K$44,I$42,K149&lt;K$46,I$44,K149&gt;=K$46,I$46)</f>
        <v/>
      </c>
      <c r="J149" s="37">
        <f>_xlfn.IFS(K149&lt;K$24,0,K149&lt;K$25,J$24,K149&lt;K$26,J$25,K149&lt;K$27,J$26,K149&lt;K$28,J$27,K149&lt;K$29,J$28,K149&lt;K$30,J$29,K149&lt;K$31,J$30,K149&lt;K$32,J$31,K149&lt;K$33,J$32,K149&lt;K$34,J$33,K149&lt;K$35,J$34,K149&lt;K$36,J$35,K149&lt;K$37,J$36,K149&lt;K$38,J$37,K149&lt;K$39,J$38,K149&lt;K$40,J$39,K149&lt;K$41,J$40,K149&lt;K$42,J$41,K149&lt;K$43,J$42,K149&lt;K$44,J$43,K149&lt;K$45,J$44,K149&lt;K$46,J$45,K149&lt;K$47,J$46,K149&gt;=K$47,J$47)</f>
        <v/>
      </c>
      <c r="K149" s="38" t="n">
        <v>99</v>
      </c>
      <c r="L149" s="31">
        <f>K149/52</f>
        <v/>
      </c>
      <c r="M149" s="39">
        <f>J149/1000000*52</f>
        <v/>
      </c>
      <c r="N149" s="33">
        <f>M149/$P$4+($I$22/$P$4)</f>
        <v/>
      </c>
      <c r="U149">
        <f>F148</f>
        <v/>
      </c>
      <c r="V149">
        <f>H148</f>
        <v/>
      </c>
      <c r="W149">
        <f>N148</f>
        <v/>
      </c>
    </row>
    <row r="150" ht="15.75" customHeight="1" s="40">
      <c r="C150" s="36">
        <f>_xlfn.IFS(E150&lt;E$24,0,E150&lt;E$26,C$24,E150&lt;E$28,C$26,E150&lt;E$30,C$28,E150&lt;E$32,C$30,E150&lt;E$34,C$32,E150&gt;=E$34,C$34)</f>
        <v/>
      </c>
      <c r="D150" s="37">
        <f>_xlfn.IFS(E150&lt;E$24,0,E150&lt;E$25,D$24,E150&lt;E$26,D$25,E150&lt;E$27,D$26,E150&lt;E$28,D$27,E150&lt;E$29,D$28,E150&lt;E$30,D$29,E150&lt;E$31,D$30,E150&lt;E$32,D$31,E150&lt;E$33,D$32,E150&lt;E$34,D$33,E150&lt;E$35,D$34,E150&gt;=E$35,D$35)</f>
        <v/>
      </c>
      <c r="E150" s="38" t="n">
        <v>100</v>
      </c>
      <c r="F150" s="31">
        <f>E150/52</f>
        <v/>
      </c>
      <c r="G150" s="39">
        <f>D150/1000000*52</f>
        <v/>
      </c>
      <c r="H150" s="33">
        <f>G150/$P$4+($C$22/$P$4)</f>
        <v/>
      </c>
      <c r="I150" s="36">
        <f>_xlfn.IFS(K150&lt;K$24,0,K150&lt;K$26,I$24,K150&lt;K$28,I$26,K150&lt;K$30,I$28,K150&lt;K$32,I$30,K150&lt;K$34,I$32,K150&lt;K$36,I$34,K150&lt;K$38,I$36,K150&lt;K$40,I$38,K150&lt;K$42,I$40,K150&lt;K$44,I$42,K150&lt;K$46,I$44,K150&gt;=K$46,I$46)</f>
        <v/>
      </c>
      <c r="J150" s="37">
        <f>_xlfn.IFS(K150&lt;K$24,0,K150&lt;K$25,J$24,K150&lt;K$26,J$25,K150&lt;K$27,J$26,K150&lt;K$28,J$27,K150&lt;K$29,J$28,K150&lt;K$30,J$29,K150&lt;K$31,J$30,K150&lt;K$32,J$31,K150&lt;K$33,J$32,K150&lt;K$34,J$33,K150&lt;K$35,J$34,K150&lt;K$36,J$35,K150&lt;K$37,J$36,K150&lt;K$38,J$37,K150&lt;K$39,J$38,K150&lt;K$40,J$39,K150&lt;K$41,J$40,K150&lt;K$42,J$41,K150&lt;K$43,J$42,K150&lt;K$44,J$43,K150&lt;K$45,J$44,K150&lt;K$46,J$45,K150&lt;K$47,J$46,K150&gt;=K$47,J$47)</f>
        <v/>
      </c>
      <c r="K150" s="38" t="n">
        <v>100</v>
      </c>
      <c r="L150" s="31">
        <f>K150/52</f>
        <v/>
      </c>
      <c r="M150" s="39">
        <f>J150/1000000*52</f>
        <v/>
      </c>
      <c r="N150" s="33">
        <f>M150/$P$4+($I$22/$P$4)</f>
        <v/>
      </c>
      <c r="U150">
        <f>F149</f>
        <v/>
      </c>
      <c r="V150">
        <f>H149</f>
        <v/>
      </c>
      <c r="W150">
        <f>N149</f>
        <v/>
      </c>
    </row>
    <row r="151" ht="15.75" customHeight="1" s="40">
      <c r="C151" s="36">
        <f>_xlfn.IFS(E151&lt;E$24,0,E151&lt;E$26,C$24,E151&lt;E$28,C$26,E151&lt;E$30,C$28,E151&lt;E$32,C$30,E151&lt;E$34,C$32,E151&gt;=E$34,C$34)</f>
        <v/>
      </c>
      <c r="D151" s="37">
        <f>_xlfn.IFS(E151&lt;E$24,0,E151&lt;E$25,D$24,E151&lt;E$26,D$25,E151&lt;E$27,D$26,E151&lt;E$28,D$27,E151&lt;E$29,D$28,E151&lt;E$30,D$29,E151&lt;E$31,D$30,E151&lt;E$32,D$31,E151&lt;E$33,D$32,E151&lt;E$34,D$33,E151&lt;E$35,D$34,E151&gt;=E$35,D$35)</f>
        <v/>
      </c>
      <c r="E151" s="38" t="n">
        <v>101</v>
      </c>
      <c r="F151" s="31">
        <f>E151/52</f>
        <v/>
      </c>
      <c r="G151" s="39">
        <f>D151/1000000*52</f>
        <v/>
      </c>
      <c r="H151" s="33">
        <f>G151/$P$4+($C$22/$P$4)</f>
        <v/>
      </c>
      <c r="I151" s="36">
        <f>_xlfn.IFS(K151&lt;K$24,0,K151&lt;K$26,I$24,K151&lt;K$28,I$26,K151&lt;K$30,I$28,K151&lt;K$32,I$30,K151&lt;K$34,I$32,K151&lt;K$36,I$34,K151&lt;K$38,I$36,K151&lt;K$40,I$38,K151&lt;K$42,I$40,K151&lt;K$44,I$42,K151&lt;K$46,I$44,K151&gt;=K$46,I$46)</f>
        <v/>
      </c>
      <c r="J151" s="37">
        <f>_xlfn.IFS(K151&lt;K$24,0,K151&lt;K$25,J$24,K151&lt;K$26,J$25,K151&lt;K$27,J$26,K151&lt;K$28,J$27,K151&lt;K$29,J$28,K151&lt;K$30,J$29,K151&lt;K$31,J$30,K151&lt;K$32,J$31,K151&lt;K$33,J$32,K151&lt;K$34,J$33,K151&lt;K$35,J$34,K151&lt;K$36,J$35,K151&lt;K$37,J$36,K151&lt;K$38,J$37,K151&lt;K$39,J$38,K151&lt;K$40,J$39,K151&lt;K$41,J$40,K151&lt;K$42,J$41,K151&lt;K$43,J$42,K151&lt;K$44,J$43,K151&lt;K$45,J$44,K151&lt;K$46,J$45,K151&lt;K$47,J$46,K151&gt;=K$47,J$47)</f>
        <v/>
      </c>
      <c r="K151" s="38" t="n">
        <v>101</v>
      </c>
      <c r="L151" s="31">
        <f>K151/52</f>
        <v/>
      </c>
      <c r="M151" s="39">
        <f>J151/1000000*52</f>
        <v/>
      </c>
      <c r="N151" s="33">
        <f>M151/$P$4+($I$22/$P$4)</f>
        <v/>
      </c>
      <c r="U151">
        <f>F150</f>
        <v/>
      </c>
      <c r="V151">
        <f>H150</f>
        <v/>
      </c>
      <c r="W151">
        <f>N150</f>
        <v/>
      </c>
    </row>
    <row r="152" ht="15.75" customHeight="1" s="40">
      <c r="C152" s="36">
        <f>_xlfn.IFS(E152&lt;E$24,0,E152&lt;E$26,C$24,E152&lt;E$28,C$26,E152&lt;E$30,C$28,E152&lt;E$32,C$30,E152&lt;E$34,C$32,E152&gt;=E$34,C$34)</f>
        <v/>
      </c>
      <c r="D152" s="37">
        <f>_xlfn.IFS(E152&lt;E$24,0,E152&lt;E$25,D$24,E152&lt;E$26,D$25,E152&lt;E$27,D$26,E152&lt;E$28,D$27,E152&lt;E$29,D$28,E152&lt;E$30,D$29,E152&lt;E$31,D$30,E152&lt;E$32,D$31,E152&lt;E$33,D$32,E152&lt;E$34,D$33,E152&lt;E$35,D$34,E152&gt;=E$35,D$35)</f>
        <v/>
      </c>
      <c r="E152" s="38" t="n">
        <v>102</v>
      </c>
      <c r="F152" s="31">
        <f>E152/52</f>
        <v/>
      </c>
      <c r="G152" s="39">
        <f>D152/1000000*52</f>
        <v/>
      </c>
      <c r="H152" s="33">
        <f>G152/$P$4+($C$22/$P$4)</f>
        <v/>
      </c>
      <c r="I152" s="36">
        <f>_xlfn.IFS(K152&lt;K$24,0,K152&lt;K$26,I$24,K152&lt;K$28,I$26,K152&lt;K$30,I$28,K152&lt;K$32,I$30,K152&lt;K$34,I$32,K152&lt;K$36,I$34,K152&lt;K$38,I$36,K152&lt;K$40,I$38,K152&lt;K$42,I$40,K152&lt;K$44,I$42,K152&lt;K$46,I$44,K152&gt;=K$46,I$46)</f>
        <v/>
      </c>
      <c r="J152" s="37">
        <f>_xlfn.IFS(K152&lt;K$24,0,K152&lt;K$25,J$24,K152&lt;K$26,J$25,K152&lt;K$27,J$26,K152&lt;K$28,J$27,K152&lt;K$29,J$28,K152&lt;K$30,J$29,K152&lt;K$31,J$30,K152&lt;K$32,J$31,K152&lt;K$33,J$32,K152&lt;K$34,J$33,K152&lt;K$35,J$34,K152&lt;K$36,J$35,K152&lt;K$37,J$36,K152&lt;K$38,J$37,K152&lt;K$39,J$38,K152&lt;K$40,J$39,K152&lt;K$41,J$40,K152&lt;K$42,J$41,K152&lt;K$43,J$42,K152&lt;K$44,J$43,K152&lt;K$45,J$44,K152&lt;K$46,J$45,K152&lt;K$47,J$46,K152&gt;=K$47,J$47)</f>
        <v/>
      </c>
      <c r="K152" s="38" t="n">
        <v>102</v>
      </c>
      <c r="L152" s="31">
        <f>K152/52</f>
        <v/>
      </c>
      <c r="M152" s="39">
        <f>J152/1000000*52</f>
        <v/>
      </c>
      <c r="N152" s="33">
        <f>M152/$P$4+($I$22/$P$4)</f>
        <v/>
      </c>
      <c r="U152">
        <f>F151</f>
        <v/>
      </c>
      <c r="V152">
        <f>H151</f>
        <v/>
      </c>
      <c r="W152">
        <f>N151</f>
        <v/>
      </c>
    </row>
    <row r="153" ht="15.75" customHeight="1" s="40">
      <c r="C153" s="36">
        <f>_xlfn.IFS(E153&lt;E$24,0,E153&lt;E$26,C$24,E153&lt;E$28,C$26,E153&lt;E$30,C$28,E153&lt;E$32,C$30,E153&lt;E$34,C$32,E153&gt;=E$34,C$34)</f>
        <v/>
      </c>
      <c r="D153" s="37">
        <f>_xlfn.IFS(E153&lt;E$24,0,E153&lt;E$25,D$24,E153&lt;E$26,D$25,E153&lt;E$27,D$26,E153&lt;E$28,D$27,E153&lt;E$29,D$28,E153&lt;E$30,D$29,E153&lt;E$31,D$30,E153&lt;E$32,D$31,E153&lt;E$33,D$32,E153&lt;E$34,D$33,E153&lt;E$35,D$34,E153&gt;=E$35,D$35)</f>
        <v/>
      </c>
      <c r="E153" s="38" t="n">
        <v>103</v>
      </c>
      <c r="F153" s="31">
        <f>E153/52</f>
        <v/>
      </c>
      <c r="G153" s="39">
        <f>D153/1000000*52</f>
        <v/>
      </c>
      <c r="H153" s="33">
        <f>G153/$P$4+($C$22/$P$4)</f>
        <v/>
      </c>
      <c r="I153" s="36">
        <f>_xlfn.IFS(K153&lt;K$24,0,K153&lt;K$26,I$24,K153&lt;K$28,I$26,K153&lt;K$30,I$28,K153&lt;K$32,I$30,K153&lt;K$34,I$32,K153&lt;K$36,I$34,K153&lt;K$38,I$36,K153&lt;K$40,I$38,K153&lt;K$42,I$40,K153&lt;K$44,I$42,K153&lt;K$46,I$44,K153&gt;=K$46,I$46)</f>
        <v/>
      </c>
      <c r="J153" s="37">
        <f>_xlfn.IFS(K153&lt;K$24,0,K153&lt;K$25,J$24,K153&lt;K$26,J$25,K153&lt;K$27,J$26,K153&lt;K$28,J$27,K153&lt;K$29,J$28,K153&lt;K$30,J$29,K153&lt;K$31,J$30,K153&lt;K$32,J$31,K153&lt;K$33,J$32,K153&lt;K$34,J$33,K153&lt;K$35,J$34,K153&lt;K$36,J$35,K153&lt;K$37,J$36,K153&lt;K$38,J$37,K153&lt;K$39,J$38,K153&lt;K$40,J$39,K153&lt;K$41,J$40,K153&lt;K$42,J$41,K153&lt;K$43,J$42,K153&lt;K$44,J$43,K153&lt;K$45,J$44,K153&lt;K$46,J$45,K153&lt;K$47,J$46,K153&gt;=K$47,J$47)</f>
        <v/>
      </c>
      <c r="K153" s="38" t="n">
        <v>103</v>
      </c>
      <c r="L153" s="31">
        <f>K153/52</f>
        <v/>
      </c>
      <c r="M153" s="39">
        <f>J153/1000000*52</f>
        <v/>
      </c>
      <c r="N153" s="33">
        <f>M153/$P$4+($I$22/$P$4)</f>
        <v/>
      </c>
      <c r="U153">
        <f>F152</f>
        <v/>
      </c>
      <c r="V153">
        <f>H152</f>
        <v/>
      </c>
      <c r="W153">
        <f>N152</f>
        <v/>
      </c>
    </row>
    <row r="154" ht="15.75" customHeight="1" s="40">
      <c r="C154" s="36">
        <f>_xlfn.IFS(E154&lt;E$24,0,E154&lt;E$26,C$24,E154&lt;E$28,C$26,E154&lt;E$30,C$28,E154&lt;E$32,C$30,E154&lt;E$34,C$32,E154&gt;=E$34,C$34)</f>
        <v/>
      </c>
      <c r="D154" s="37">
        <f>_xlfn.IFS(E154&lt;E$24,0,E154&lt;E$25,D$24,E154&lt;E$26,D$25,E154&lt;E$27,D$26,E154&lt;E$28,D$27,E154&lt;E$29,D$28,E154&lt;E$30,D$29,E154&lt;E$31,D$30,E154&lt;E$32,D$31,E154&lt;E$33,D$32,E154&lt;E$34,D$33,E154&lt;E$35,D$34,E154&gt;=E$35,D$35)</f>
        <v/>
      </c>
      <c r="E154" s="38" t="n">
        <v>104</v>
      </c>
      <c r="F154" s="31">
        <f>E154/52</f>
        <v/>
      </c>
      <c r="G154" s="39">
        <f>D154/1000000*52</f>
        <v/>
      </c>
      <c r="H154" s="33">
        <f>G154/$P$4+($C$22/$P$4)</f>
        <v/>
      </c>
      <c r="I154" s="36">
        <f>_xlfn.IFS(K154&lt;K$24,0,K154&lt;K$26,I$24,K154&lt;K$28,I$26,K154&lt;K$30,I$28,K154&lt;K$32,I$30,K154&lt;K$34,I$32,K154&lt;K$36,I$34,K154&lt;K$38,I$36,K154&lt;K$40,I$38,K154&lt;K$42,I$40,K154&lt;K$44,I$42,K154&lt;K$46,I$44,K154&gt;=K$46,I$46)</f>
        <v/>
      </c>
      <c r="J154" s="37">
        <f>_xlfn.IFS(K154&lt;K$24,0,K154&lt;K$25,J$24,K154&lt;K$26,J$25,K154&lt;K$27,J$26,K154&lt;K$28,J$27,K154&lt;K$29,J$28,K154&lt;K$30,J$29,K154&lt;K$31,J$30,K154&lt;K$32,J$31,K154&lt;K$33,J$32,K154&lt;K$34,J$33,K154&lt;K$35,J$34,K154&lt;K$36,J$35,K154&lt;K$37,J$36,K154&lt;K$38,J$37,K154&lt;K$39,J$38,K154&lt;K$40,J$39,K154&lt;K$41,J$40,K154&lt;K$42,J$41,K154&lt;K$43,J$42,K154&lt;K$44,J$43,K154&lt;K$45,J$44,K154&lt;K$46,J$45,K154&lt;K$47,J$46,K154&gt;=K$47,J$47)</f>
        <v/>
      </c>
      <c r="K154" s="38" t="n">
        <v>104</v>
      </c>
      <c r="L154" s="31">
        <f>K154/52</f>
        <v/>
      </c>
      <c r="M154" s="39">
        <f>J154/1000000*52</f>
        <v/>
      </c>
      <c r="N154" s="33">
        <f>M154/$P$4+($I$22/$P$4)</f>
        <v/>
      </c>
      <c r="U154">
        <f>F153</f>
        <v/>
      </c>
      <c r="V154">
        <f>H153</f>
        <v/>
      </c>
      <c r="W154">
        <f>N153</f>
        <v/>
      </c>
    </row>
    <row r="155" ht="15.75" customHeight="1" s="40">
      <c r="C155" s="36">
        <f>_xlfn.IFS(E155&lt;E$24,0,E155&lt;E$26,C$24,E155&lt;E$28,C$26,E155&lt;E$30,C$28,E155&lt;E$32,C$30,E155&lt;E$34,C$32,E155&gt;=E$34,C$34)</f>
        <v/>
      </c>
      <c r="D155" s="37">
        <f>_xlfn.IFS(E155&lt;E$24,0,E155&lt;E$25,D$24,E155&lt;E$26,D$25,E155&lt;E$27,D$26,E155&lt;E$28,D$27,E155&lt;E$29,D$28,E155&lt;E$30,D$29,E155&lt;E$31,D$30,E155&lt;E$32,D$31,E155&lt;E$33,D$32,E155&lt;E$34,D$33,E155&lt;E$35,D$34,E155&gt;=E$35,D$35)</f>
        <v/>
      </c>
      <c r="E155" s="38" t="n">
        <v>105</v>
      </c>
      <c r="F155" s="31">
        <f>E155/52</f>
        <v/>
      </c>
      <c r="G155" s="39">
        <f>D155/1000000*52</f>
        <v/>
      </c>
      <c r="H155" s="33">
        <f>G155/$P$4+($C$22/$P$4)</f>
        <v/>
      </c>
      <c r="I155" s="36">
        <f>_xlfn.IFS(K155&lt;K$24,0,K155&lt;K$26,I$24,K155&lt;K$28,I$26,K155&lt;K$30,I$28,K155&lt;K$32,I$30,K155&lt;K$34,I$32,K155&lt;K$36,I$34,K155&lt;K$38,I$36,K155&lt;K$40,I$38,K155&lt;K$42,I$40,K155&lt;K$44,I$42,K155&lt;K$46,I$44,K155&gt;=K$46,I$46)</f>
        <v/>
      </c>
      <c r="J155" s="37">
        <f>_xlfn.IFS(K155&lt;K$24,0,K155&lt;K$25,J$24,K155&lt;K$26,J$25,K155&lt;K$27,J$26,K155&lt;K$28,J$27,K155&lt;K$29,J$28,K155&lt;K$30,J$29,K155&lt;K$31,J$30,K155&lt;K$32,J$31,K155&lt;K$33,J$32,K155&lt;K$34,J$33,K155&lt;K$35,J$34,K155&lt;K$36,J$35,K155&lt;K$37,J$36,K155&lt;K$38,J$37,K155&lt;K$39,J$38,K155&lt;K$40,J$39,K155&lt;K$41,J$40,K155&lt;K$42,J$41,K155&lt;K$43,J$42,K155&lt;K$44,J$43,K155&lt;K$45,J$44,K155&lt;K$46,J$45,K155&lt;K$47,J$46,K155&gt;=K$47,J$47)</f>
        <v/>
      </c>
      <c r="K155" s="38" t="n">
        <v>105</v>
      </c>
      <c r="L155" s="31">
        <f>K155/52</f>
        <v/>
      </c>
      <c r="M155" s="39">
        <f>J155/1000000*52</f>
        <v/>
      </c>
      <c r="N155" s="33">
        <f>M155/$P$4+($I$22/$P$4)</f>
        <v/>
      </c>
      <c r="U155">
        <f>F154</f>
        <v/>
      </c>
      <c r="V155">
        <f>H154</f>
        <v/>
      </c>
      <c r="W155">
        <f>N154</f>
        <v/>
      </c>
    </row>
    <row r="156" ht="15.75" customHeight="1" s="40">
      <c r="C156" s="36">
        <f>_xlfn.IFS(E156&lt;E$24,0,E156&lt;E$26,C$24,E156&lt;E$28,C$26,E156&lt;E$30,C$28,E156&lt;E$32,C$30,E156&lt;E$34,C$32,E156&gt;=E$34,C$34)</f>
        <v/>
      </c>
      <c r="D156" s="37">
        <f>_xlfn.IFS(E156&lt;E$24,0,E156&lt;E$25,D$24,E156&lt;E$26,D$25,E156&lt;E$27,D$26,E156&lt;E$28,D$27,E156&lt;E$29,D$28,E156&lt;E$30,D$29,E156&lt;E$31,D$30,E156&lt;E$32,D$31,E156&lt;E$33,D$32,E156&lt;E$34,D$33,E156&lt;E$35,D$34,E156&gt;=E$35,D$35)</f>
        <v/>
      </c>
      <c r="E156" s="38" t="n">
        <v>106</v>
      </c>
      <c r="F156" s="31">
        <f>E156/52</f>
        <v/>
      </c>
      <c r="G156" s="39">
        <f>D156/1000000*52</f>
        <v/>
      </c>
      <c r="H156" s="33">
        <f>G156/$P$4+($C$22/$P$4)</f>
        <v/>
      </c>
      <c r="I156" s="36">
        <f>_xlfn.IFS(K156&lt;K$24,0,K156&lt;K$26,I$24,K156&lt;K$28,I$26,K156&lt;K$30,I$28,K156&lt;K$32,I$30,K156&lt;K$34,I$32,K156&lt;K$36,I$34,K156&lt;K$38,I$36,K156&lt;K$40,I$38,K156&lt;K$42,I$40,K156&lt;K$44,I$42,K156&lt;K$46,I$44,K156&gt;=K$46,I$46)</f>
        <v/>
      </c>
      <c r="J156" s="37">
        <f>_xlfn.IFS(K156&lt;K$24,0,K156&lt;K$25,J$24,K156&lt;K$26,J$25,K156&lt;K$27,J$26,K156&lt;K$28,J$27,K156&lt;K$29,J$28,K156&lt;K$30,J$29,K156&lt;K$31,J$30,K156&lt;K$32,J$31,K156&lt;K$33,J$32,K156&lt;K$34,J$33,K156&lt;K$35,J$34,K156&lt;K$36,J$35,K156&lt;K$37,J$36,K156&lt;K$38,J$37,K156&lt;K$39,J$38,K156&lt;K$40,J$39,K156&lt;K$41,J$40,K156&lt;K$42,J$41,K156&lt;K$43,J$42,K156&lt;K$44,J$43,K156&lt;K$45,J$44,K156&lt;K$46,J$45,K156&lt;K$47,J$46,K156&gt;=K$47,J$47)</f>
        <v/>
      </c>
      <c r="K156" s="38" t="n">
        <v>106</v>
      </c>
      <c r="L156" s="31">
        <f>K156/52</f>
        <v/>
      </c>
      <c r="M156" s="39">
        <f>J156/1000000*52</f>
        <v/>
      </c>
      <c r="N156" s="33">
        <f>M156/$P$4+($I$22/$P$4)</f>
        <v/>
      </c>
      <c r="U156">
        <f>F155</f>
        <v/>
      </c>
      <c r="V156">
        <f>H155</f>
        <v/>
      </c>
      <c r="W156">
        <f>N155</f>
        <v/>
      </c>
    </row>
    <row r="157" ht="15.75" customHeight="1" s="40">
      <c r="C157" s="36">
        <f>_xlfn.IFS(E157&lt;E$24,0,E157&lt;E$26,C$24,E157&lt;E$28,C$26,E157&lt;E$30,C$28,E157&lt;E$32,C$30,E157&lt;E$34,C$32,E157&gt;=E$34,C$34)</f>
        <v/>
      </c>
      <c r="D157" s="37">
        <f>_xlfn.IFS(E157&lt;E$24,0,E157&lt;E$25,D$24,E157&lt;E$26,D$25,E157&lt;E$27,D$26,E157&lt;E$28,D$27,E157&lt;E$29,D$28,E157&lt;E$30,D$29,E157&lt;E$31,D$30,E157&lt;E$32,D$31,E157&lt;E$33,D$32,E157&lt;E$34,D$33,E157&lt;E$35,D$34,E157&gt;=E$35,D$35)</f>
        <v/>
      </c>
      <c r="E157" s="38" t="n">
        <v>107</v>
      </c>
      <c r="F157" s="31">
        <f>E157/52</f>
        <v/>
      </c>
      <c r="G157" s="39">
        <f>D157/1000000*52</f>
        <v/>
      </c>
      <c r="H157" s="33">
        <f>G157/$P$4+($C$22/$P$4)</f>
        <v/>
      </c>
      <c r="I157" s="36">
        <f>_xlfn.IFS(K157&lt;K$24,0,K157&lt;K$26,I$24,K157&lt;K$28,I$26,K157&lt;K$30,I$28,K157&lt;K$32,I$30,K157&lt;K$34,I$32,K157&lt;K$36,I$34,K157&lt;K$38,I$36,K157&lt;K$40,I$38,K157&lt;K$42,I$40,K157&lt;K$44,I$42,K157&lt;K$46,I$44,K157&gt;=K$46,I$46)</f>
        <v/>
      </c>
      <c r="J157" s="37">
        <f>_xlfn.IFS(K157&lt;K$24,0,K157&lt;K$25,J$24,K157&lt;K$26,J$25,K157&lt;K$27,J$26,K157&lt;K$28,J$27,K157&lt;K$29,J$28,K157&lt;K$30,J$29,K157&lt;K$31,J$30,K157&lt;K$32,J$31,K157&lt;K$33,J$32,K157&lt;K$34,J$33,K157&lt;K$35,J$34,K157&lt;K$36,J$35,K157&lt;K$37,J$36,K157&lt;K$38,J$37,K157&lt;K$39,J$38,K157&lt;K$40,J$39,K157&lt;K$41,J$40,K157&lt;K$42,J$41,K157&lt;K$43,J$42,K157&lt;K$44,J$43,K157&lt;K$45,J$44,K157&lt;K$46,J$45,K157&lt;K$47,J$46,K157&gt;=K$47,J$47)</f>
        <v/>
      </c>
      <c r="K157" s="38" t="n">
        <v>107</v>
      </c>
      <c r="L157" s="31">
        <f>K157/52</f>
        <v/>
      </c>
      <c r="M157" s="39">
        <f>J157/1000000*52</f>
        <v/>
      </c>
      <c r="N157" s="33">
        <f>M157/$P$4+($I$22/$P$4)</f>
        <v/>
      </c>
      <c r="U157">
        <f>F156</f>
        <v/>
      </c>
      <c r="V157">
        <f>H156</f>
        <v/>
      </c>
      <c r="W157">
        <f>N156</f>
        <v/>
      </c>
    </row>
    <row r="158" ht="15.75" customHeight="1" s="40">
      <c r="C158" s="36">
        <f>_xlfn.IFS(E158&lt;E$24,0,E158&lt;E$26,C$24,E158&lt;E$28,C$26,E158&lt;E$30,C$28,E158&lt;E$32,C$30,E158&lt;E$34,C$32,E158&gt;=E$34,C$34)</f>
        <v/>
      </c>
      <c r="D158" s="37">
        <f>_xlfn.IFS(E158&lt;E$24,0,E158&lt;E$25,D$24,E158&lt;E$26,D$25,E158&lt;E$27,D$26,E158&lt;E$28,D$27,E158&lt;E$29,D$28,E158&lt;E$30,D$29,E158&lt;E$31,D$30,E158&lt;E$32,D$31,E158&lt;E$33,D$32,E158&lt;E$34,D$33,E158&lt;E$35,D$34,E158&gt;=E$35,D$35)</f>
        <v/>
      </c>
      <c r="E158" s="38" t="n">
        <v>108</v>
      </c>
      <c r="F158" s="31">
        <f>E158/52</f>
        <v/>
      </c>
      <c r="G158" s="39">
        <f>D158/1000000*52</f>
        <v/>
      </c>
      <c r="H158" s="33">
        <f>G158/$P$4+($C$22/$P$4)</f>
        <v/>
      </c>
      <c r="I158" s="36">
        <f>_xlfn.IFS(K158&lt;K$24,0,K158&lt;K$26,I$24,K158&lt;K$28,I$26,K158&lt;K$30,I$28,K158&lt;K$32,I$30,K158&lt;K$34,I$32,K158&lt;K$36,I$34,K158&lt;K$38,I$36,K158&lt;K$40,I$38,K158&lt;K$42,I$40,K158&lt;K$44,I$42,K158&lt;K$46,I$44,K158&gt;=K$46,I$46)</f>
        <v/>
      </c>
      <c r="J158" s="37">
        <f>_xlfn.IFS(K158&lt;K$24,0,K158&lt;K$25,J$24,K158&lt;K$26,J$25,K158&lt;K$27,J$26,K158&lt;K$28,J$27,K158&lt;K$29,J$28,K158&lt;K$30,J$29,K158&lt;K$31,J$30,K158&lt;K$32,J$31,K158&lt;K$33,J$32,K158&lt;K$34,J$33,K158&lt;K$35,J$34,K158&lt;K$36,J$35,K158&lt;K$37,J$36,K158&lt;K$38,J$37,K158&lt;K$39,J$38,K158&lt;K$40,J$39,K158&lt;K$41,J$40,K158&lt;K$42,J$41,K158&lt;K$43,J$42,K158&lt;K$44,J$43,K158&lt;K$45,J$44,K158&lt;K$46,J$45,K158&lt;K$47,J$46,K158&gt;=K$47,J$47)</f>
        <v/>
      </c>
      <c r="K158" s="38" t="n">
        <v>108</v>
      </c>
      <c r="L158" s="31">
        <f>K158/52</f>
        <v/>
      </c>
      <c r="M158" s="39">
        <f>J158/1000000*52</f>
        <v/>
      </c>
      <c r="N158" s="33">
        <f>M158/$P$4+($I$22/$P$4)</f>
        <v/>
      </c>
      <c r="U158">
        <f>F157</f>
        <v/>
      </c>
      <c r="V158">
        <f>H157</f>
        <v/>
      </c>
      <c r="W158">
        <f>N157</f>
        <v/>
      </c>
    </row>
    <row r="159" ht="15.75" customHeight="1" s="40">
      <c r="C159" s="36">
        <f>_xlfn.IFS(E159&lt;E$24,0,E159&lt;E$26,C$24,E159&lt;E$28,C$26,E159&lt;E$30,C$28,E159&lt;E$32,C$30,E159&lt;E$34,C$32,E159&gt;=E$34,C$34)</f>
        <v/>
      </c>
      <c r="D159" s="37">
        <f>_xlfn.IFS(E159&lt;E$24,0,E159&lt;E$25,D$24,E159&lt;E$26,D$25,E159&lt;E$27,D$26,E159&lt;E$28,D$27,E159&lt;E$29,D$28,E159&lt;E$30,D$29,E159&lt;E$31,D$30,E159&lt;E$32,D$31,E159&lt;E$33,D$32,E159&lt;E$34,D$33,E159&lt;E$35,D$34,E159&gt;=E$35,D$35)</f>
        <v/>
      </c>
      <c r="E159" s="38" t="n">
        <v>109</v>
      </c>
      <c r="F159" s="31">
        <f>E159/52</f>
        <v/>
      </c>
      <c r="G159" s="39">
        <f>D159/1000000*52</f>
        <v/>
      </c>
      <c r="H159" s="33">
        <f>G159/$P$4+($C$22/$P$4)</f>
        <v/>
      </c>
      <c r="I159" s="36">
        <f>_xlfn.IFS(K159&lt;K$24,0,K159&lt;K$26,I$24,K159&lt;K$28,I$26,K159&lt;K$30,I$28,K159&lt;K$32,I$30,K159&lt;K$34,I$32,K159&lt;K$36,I$34,K159&lt;K$38,I$36,K159&lt;K$40,I$38,K159&lt;K$42,I$40,K159&lt;K$44,I$42,K159&lt;K$46,I$44,K159&gt;=K$46,I$46)</f>
        <v/>
      </c>
      <c r="J159" s="37">
        <f>_xlfn.IFS(K159&lt;K$24,0,K159&lt;K$25,J$24,K159&lt;K$26,J$25,K159&lt;K$27,J$26,K159&lt;K$28,J$27,K159&lt;K$29,J$28,K159&lt;K$30,J$29,K159&lt;K$31,J$30,K159&lt;K$32,J$31,K159&lt;K$33,J$32,K159&lt;K$34,J$33,K159&lt;K$35,J$34,K159&lt;K$36,J$35,K159&lt;K$37,J$36,K159&lt;K$38,J$37,K159&lt;K$39,J$38,K159&lt;K$40,J$39,K159&lt;K$41,J$40,K159&lt;K$42,J$41,K159&lt;K$43,J$42,K159&lt;K$44,J$43,K159&lt;K$45,J$44,K159&lt;K$46,J$45,K159&lt;K$47,J$46,K159&gt;=K$47,J$47)</f>
        <v/>
      </c>
      <c r="K159" s="38" t="n">
        <v>109</v>
      </c>
      <c r="L159" s="31">
        <f>K159/52</f>
        <v/>
      </c>
      <c r="M159" s="39">
        <f>J159/1000000*52</f>
        <v/>
      </c>
      <c r="N159" s="33">
        <f>M159/$P$4+($I$22/$P$4)</f>
        <v/>
      </c>
      <c r="U159">
        <f>F158</f>
        <v/>
      </c>
      <c r="V159">
        <f>H158</f>
        <v/>
      </c>
      <c r="W159">
        <f>N158</f>
        <v/>
      </c>
    </row>
    <row r="160" ht="15.75" customHeight="1" s="40">
      <c r="C160" s="36">
        <f>_xlfn.IFS(E160&lt;E$24,0,E160&lt;E$26,C$24,E160&lt;E$28,C$26,E160&lt;E$30,C$28,E160&lt;E$32,C$30,E160&lt;E$34,C$32,E160&gt;=E$34,C$34)</f>
        <v/>
      </c>
      <c r="D160" s="37">
        <f>_xlfn.IFS(E160&lt;E$24,0,E160&lt;E$25,D$24,E160&lt;E$26,D$25,E160&lt;E$27,D$26,E160&lt;E$28,D$27,E160&lt;E$29,D$28,E160&lt;E$30,D$29,E160&lt;E$31,D$30,E160&lt;E$32,D$31,E160&lt;E$33,D$32,E160&lt;E$34,D$33,E160&lt;E$35,D$34,E160&gt;=E$35,D$35)</f>
        <v/>
      </c>
      <c r="E160" s="38" t="n">
        <v>110</v>
      </c>
      <c r="F160" s="31">
        <f>E160/52</f>
        <v/>
      </c>
      <c r="G160" s="39">
        <f>D160/1000000*52</f>
        <v/>
      </c>
      <c r="H160" s="33">
        <f>G160/$P$4+($C$22/$P$4)</f>
        <v/>
      </c>
      <c r="I160" s="36">
        <f>_xlfn.IFS(K160&lt;K$24,0,K160&lt;K$26,I$24,K160&lt;K$28,I$26,K160&lt;K$30,I$28,K160&lt;K$32,I$30,K160&lt;K$34,I$32,K160&lt;K$36,I$34,K160&lt;K$38,I$36,K160&lt;K$40,I$38,K160&lt;K$42,I$40,K160&lt;K$44,I$42,K160&lt;K$46,I$44,K160&gt;=K$46,I$46)</f>
        <v/>
      </c>
      <c r="J160" s="37">
        <f>_xlfn.IFS(K160&lt;K$24,0,K160&lt;K$25,J$24,K160&lt;K$26,J$25,K160&lt;K$27,J$26,K160&lt;K$28,J$27,K160&lt;K$29,J$28,K160&lt;K$30,J$29,K160&lt;K$31,J$30,K160&lt;K$32,J$31,K160&lt;K$33,J$32,K160&lt;K$34,J$33,K160&lt;K$35,J$34,K160&lt;K$36,J$35,K160&lt;K$37,J$36,K160&lt;K$38,J$37,K160&lt;K$39,J$38,K160&lt;K$40,J$39,K160&lt;K$41,J$40,K160&lt;K$42,J$41,K160&lt;K$43,J$42,K160&lt;K$44,J$43,K160&lt;K$45,J$44,K160&lt;K$46,J$45,K160&lt;K$47,J$46,K160&gt;=K$47,J$47)</f>
        <v/>
      </c>
      <c r="K160" s="38" t="n">
        <v>110</v>
      </c>
      <c r="L160" s="31">
        <f>K160/52</f>
        <v/>
      </c>
      <c r="M160" s="39">
        <f>J160/1000000*52</f>
        <v/>
      </c>
      <c r="N160" s="33">
        <f>M160/$P$4+($I$22/$P$4)</f>
        <v/>
      </c>
      <c r="U160">
        <f>F159</f>
        <v/>
      </c>
      <c r="V160">
        <f>H159</f>
        <v/>
      </c>
      <c r="W160">
        <f>N159</f>
        <v/>
      </c>
    </row>
    <row r="161" ht="15.75" customHeight="1" s="40">
      <c r="C161" s="36">
        <f>_xlfn.IFS(E161&lt;E$24,0,E161&lt;E$26,C$24,E161&lt;E$28,C$26,E161&lt;E$30,C$28,E161&lt;E$32,C$30,E161&lt;E$34,C$32,E161&gt;=E$34,C$34)</f>
        <v/>
      </c>
      <c r="D161" s="37">
        <f>_xlfn.IFS(E161&lt;E$24,0,E161&lt;E$25,D$24,E161&lt;E$26,D$25,E161&lt;E$27,D$26,E161&lt;E$28,D$27,E161&lt;E$29,D$28,E161&lt;E$30,D$29,E161&lt;E$31,D$30,E161&lt;E$32,D$31,E161&lt;E$33,D$32,E161&lt;E$34,D$33,E161&lt;E$35,D$34,E161&gt;=E$35,D$35)</f>
        <v/>
      </c>
      <c r="E161" s="38" t="n">
        <v>111</v>
      </c>
      <c r="F161" s="31">
        <f>E161/52</f>
        <v/>
      </c>
      <c r="G161" s="39">
        <f>D161/1000000*52</f>
        <v/>
      </c>
      <c r="H161" s="33">
        <f>G161/$P$4+($C$22/$P$4)</f>
        <v/>
      </c>
      <c r="I161" s="36">
        <f>_xlfn.IFS(K161&lt;K$24,0,K161&lt;K$26,I$24,K161&lt;K$28,I$26,K161&lt;K$30,I$28,K161&lt;K$32,I$30,K161&lt;K$34,I$32,K161&lt;K$36,I$34,K161&lt;K$38,I$36,K161&lt;K$40,I$38,K161&lt;K$42,I$40,K161&lt;K$44,I$42,K161&lt;K$46,I$44,K161&gt;=K$46,I$46)</f>
        <v/>
      </c>
      <c r="J161" s="37">
        <f>_xlfn.IFS(K161&lt;K$24,0,K161&lt;K$25,J$24,K161&lt;K$26,J$25,K161&lt;K$27,J$26,K161&lt;K$28,J$27,K161&lt;K$29,J$28,K161&lt;K$30,J$29,K161&lt;K$31,J$30,K161&lt;K$32,J$31,K161&lt;K$33,J$32,K161&lt;K$34,J$33,K161&lt;K$35,J$34,K161&lt;K$36,J$35,K161&lt;K$37,J$36,K161&lt;K$38,J$37,K161&lt;K$39,J$38,K161&lt;K$40,J$39,K161&lt;K$41,J$40,K161&lt;K$42,J$41,K161&lt;K$43,J$42,K161&lt;K$44,J$43,K161&lt;K$45,J$44,K161&lt;K$46,J$45,K161&lt;K$47,J$46,K161&gt;=K$47,J$47)</f>
        <v/>
      </c>
      <c r="K161" s="38" t="n">
        <v>111</v>
      </c>
      <c r="L161" s="31">
        <f>K161/52</f>
        <v/>
      </c>
      <c r="M161" s="39">
        <f>J161/1000000*52</f>
        <v/>
      </c>
      <c r="N161" s="33">
        <f>M161/$P$4+($I$22/$P$4)</f>
        <v/>
      </c>
      <c r="U161">
        <f>F160</f>
        <v/>
      </c>
      <c r="V161">
        <f>H160</f>
        <v/>
      </c>
      <c r="W161">
        <f>N160</f>
        <v/>
      </c>
    </row>
    <row r="162" ht="15.75" customHeight="1" s="40">
      <c r="C162" s="36">
        <f>_xlfn.IFS(E162&lt;E$24,0,E162&lt;E$26,C$24,E162&lt;E$28,C$26,E162&lt;E$30,C$28,E162&lt;E$32,C$30,E162&lt;E$34,C$32,E162&gt;=E$34,C$34)</f>
        <v/>
      </c>
      <c r="D162" s="37">
        <f>_xlfn.IFS(E162&lt;E$24,0,E162&lt;E$25,D$24,E162&lt;E$26,D$25,E162&lt;E$27,D$26,E162&lt;E$28,D$27,E162&lt;E$29,D$28,E162&lt;E$30,D$29,E162&lt;E$31,D$30,E162&lt;E$32,D$31,E162&lt;E$33,D$32,E162&lt;E$34,D$33,E162&lt;E$35,D$34,E162&gt;=E$35,D$35)</f>
        <v/>
      </c>
      <c r="E162" s="38" t="n">
        <v>112</v>
      </c>
      <c r="F162" s="31">
        <f>E162/52</f>
        <v/>
      </c>
      <c r="G162" s="39">
        <f>D162/1000000*52</f>
        <v/>
      </c>
      <c r="H162" s="33">
        <f>G162/$P$4+($C$22/$P$4)</f>
        <v/>
      </c>
      <c r="I162" s="36">
        <f>_xlfn.IFS(K162&lt;K$24,0,K162&lt;K$26,I$24,K162&lt;K$28,I$26,K162&lt;K$30,I$28,K162&lt;K$32,I$30,K162&lt;K$34,I$32,K162&lt;K$36,I$34,K162&lt;K$38,I$36,K162&lt;K$40,I$38,K162&lt;K$42,I$40,K162&lt;K$44,I$42,K162&lt;K$46,I$44,K162&gt;=K$46,I$46)</f>
        <v/>
      </c>
      <c r="J162" s="37">
        <f>_xlfn.IFS(K162&lt;K$24,0,K162&lt;K$25,J$24,K162&lt;K$26,J$25,K162&lt;K$27,J$26,K162&lt;K$28,J$27,K162&lt;K$29,J$28,K162&lt;K$30,J$29,K162&lt;K$31,J$30,K162&lt;K$32,J$31,K162&lt;K$33,J$32,K162&lt;K$34,J$33,K162&lt;K$35,J$34,K162&lt;K$36,J$35,K162&lt;K$37,J$36,K162&lt;K$38,J$37,K162&lt;K$39,J$38,K162&lt;K$40,J$39,K162&lt;K$41,J$40,K162&lt;K$42,J$41,K162&lt;K$43,J$42,K162&lt;K$44,J$43,K162&lt;K$45,J$44,K162&lt;K$46,J$45,K162&lt;K$47,J$46,K162&gt;=K$47,J$47)</f>
        <v/>
      </c>
      <c r="K162" s="38" t="n">
        <v>112</v>
      </c>
      <c r="L162" s="31">
        <f>K162/52</f>
        <v/>
      </c>
      <c r="M162" s="39">
        <f>J162/1000000*52</f>
        <v/>
      </c>
      <c r="N162" s="33">
        <f>M162/$P$4+($I$22/$P$4)</f>
        <v/>
      </c>
      <c r="U162">
        <f>F161</f>
        <v/>
      </c>
      <c r="V162">
        <f>H161</f>
        <v/>
      </c>
      <c r="W162">
        <f>N161</f>
        <v/>
      </c>
    </row>
    <row r="163" ht="15.75" customHeight="1" s="40">
      <c r="C163" s="36">
        <f>_xlfn.IFS(E163&lt;E$24,0,E163&lt;E$26,C$24,E163&lt;E$28,C$26,E163&lt;E$30,C$28,E163&lt;E$32,C$30,E163&lt;E$34,C$32,E163&gt;=E$34,C$34)</f>
        <v/>
      </c>
      <c r="D163" s="37">
        <f>_xlfn.IFS(E163&lt;E$24,0,E163&lt;E$25,D$24,E163&lt;E$26,D$25,E163&lt;E$27,D$26,E163&lt;E$28,D$27,E163&lt;E$29,D$28,E163&lt;E$30,D$29,E163&lt;E$31,D$30,E163&lt;E$32,D$31,E163&lt;E$33,D$32,E163&lt;E$34,D$33,E163&lt;E$35,D$34,E163&gt;=E$35,D$35)</f>
        <v/>
      </c>
      <c r="E163" s="38" t="n">
        <v>113</v>
      </c>
      <c r="F163" s="31">
        <f>E163/52</f>
        <v/>
      </c>
      <c r="G163" s="39">
        <f>D163/1000000*52</f>
        <v/>
      </c>
      <c r="H163" s="33">
        <f>G163/$P$4+($C$22/$P$4)</f>
        <v/>
      </c>
      <c r="I163" s="36">
        <f>_xlfn.IFS(K163&lt;K$24,0,K163&lt;K$26,I$24,K163&lt;K$28,I$26,K163&lt;K$30,I$28,K163&lt;K$32,I$30,K163&lt;K$34,I$32,K163&lt;K$36,I$34,K163&lt;K$38,I$36,K163&lt;K$40,I$38,K163&lt;K$42,I$40,K163&lt;K$44,I$42,K163&lt;K$46,I$44,K163&gt;=K$46,I$46)</f>
        <v/>
      </c>
      <c r="J163" s="37">
        <f>_xlfn.IFS(K163&lt;K$24,0,K163&lt;K$25,J$24,K163&lt;K$26,J$25,K163&lt;K$27,J$26,K163&lt;K$28,J$27,K163&lt;K$29,J$28,K163&lt;K$30,J$29,K163&lt;K$31,J$30,K163&lt;K$32,J$31,K163&lt;K$33,J$32,K163&lt;K$34,J$33,K163&lt;K$35,J$34,K163&lt;K$36,J$35,K163&lt;K$37,J$36,K163&lt;K$38,J$37,K163&lt;K$39,J$38,K163&lt;K$40,J$39,K163&lt;K$41,J$40,K163&lt;K$42,J$41,K163&lt;K$43,J$42,K163&lt;K$44,J$43,K163&lt;K$45,J$44,K163&lt;K$46,J$45,K163&lt;K$47,J$46,K163&gt;=K$47,J$47)</f>
        <v/>
      </c>
      <c r="K163" s="38" t="n">
        <v>113</v>
      </c>
      <c r="L163" s="31">
        <f>K163/52</f>
        <v/>
      </c>
      <c r="M163" s="39">
        <f>J163/1000000*52</f>
        <v/>
      </c>
      <c r="N163" s="33">
        <f>M163/$P$4+($I$22/$P$4)</f>
        <v/>
      </c>
      <c r="U163">
        <f>F162</f>
        <v/>
      </c>
      <c r="V163">
        <f>H162</f>
        <v/>
      </c>
      <c r="W163">
        <f>N162</f>
        <v/>
      </c>
    </row>
    <row r="164" ht="15.75" customHeight="1" s="40">
      <c r="C164" s="36">
        <f>_xlfn.IFS(E164&lt;E$24,0,E164&lt;E$26,C$24,E164&lt;E$28,C$26,E164&lt;E$30,C$28,E164&lt;E$32,C$30,E164&lt;E$34,C$32,E164&gt;=E$34,C$34)</f>
        <v/>
      </c>
      <c r="D164" s="37">
        <f>_xlfn.IFS(E164&lt;E$24,0,E164&lt;E$25,D$24,E164&lt;E$26,D$25,E164&lt;E$27,D$26,E164&lt;E$28,D$27,E164&lt;E$29,D$28,E164&lt;E$30,D$29,E164&lt;E$31,D$30,E164&lt;E$32,D$31,E164&lt;E$33,D$32,E164&lt;E$34,D$33,E164&lt;E$35,D$34,E164&gt;=E$35,D$35)</f>
        <v/>
      </c>
      <c r="E164" s="38" t="n">
        <v>114</v>
      </c>
      <c r="F164" s="31">
        <f>E164/52</f>
        <v/>
      </c>
      <c r="G164" s="39">
        <f>D164/1000000*52</f>
        <v/>
      </c>
      <c r="H164" s="33">
        <f>G164/$P$4+($C$22/$P$4)</f>
        <v/>
      </c>
      <c r="I164" s="36">
        <f>_xlfn.IFS(K164&lt;K$24,0,K164&lt;K$26,I$24,K164&lt;K$28,I$26,K164&lt;K$30,I$28,K164&lt;K$32,I$30,K164&lt;K$34,I$32,K164&lt;K$36,I$34,K164&lt;K$38,I$36,K164&lt;K$40,I$38,K164&lt;K$42,I$40,K164&lt;K$44,I$42,K164&lt;K$46,I$44,K164&gt;=K$46,I$46)</f>
        <v/>
      </c>
      <c r="J164" s="37">
        <f>_xlfn.IFS(K164&lt;K$24,0,K164&lt;K$25,J$24,K164&lt;K$26,J$25,K164&lt;K$27,J$26,K164&lt;K$28,J$27,K164&lt;K$29,J$28,K164&lt;K$30,J$29,K164&lt;K$31,J$30,K164&lt;K$32,J$31,K164&lt;K$33,J$32,K164&lt;K$34,J$33,K164&lt;K$35,J$34,K164&lt;K$36,J$35,K164&lt;K$37,J$36,K164&lt;K$38,J$37,K164&lt;K$39,J$38,K164&lt;K$40,J$39,K164&lt;K$41,J$40,K164&lt;K$42,J$41,K164&lt;K$43,J$42,K164&lt;K$44,J$43,K164&lt;K$45,J$44,K164&lt;K$46,J$45,K164&lt;K$47,J$46,K164&gt;=K$47,J$47)</f>
        <v/>
      </c>
      <c r="K164" s="38" t="n">
        <v>114</v>
      </c>
      <c r="L164" s="31">
        <f>K164/52</f>
        <v/>
      </c>
      <c r="M164" s="39">
        <f>J164/1000000*52</f>
        <v/>
      </c>
      <c r="N164" s="33">
        <f>M164/$P$4+($I$22/$P$4)</f>
        <v/>
      </c>
      <c r="U164">
        <f>F163</f>
        <v/>
      </c>
      <c r="V164">
        <f>H163</f>
        <v/>
      </c>
      <c r="W164">
        <f>N163</f>
        <v/>
      </c>
    </row>
    <row r="165" ht="15.75" customHeight="1" s="40">
      <c r="C165" s="36">
        <f>_xlfn.IFS(E165&lt;E$24,0,E165&lt;E$26,C$24,E165&lt;E$28,C$26,E165&lt;E$30,C$28,E165&lt;E$32,C$30,E165&lt;E$34,C$32,E165&gt;=E$34,C$34)</f>
        <v/>
      </c>
      <c r="D165" s="37">
        <f>_xlfn.IFS(E165&lt;E$24,0,E165&lt;E$25,D$24,E165&lt;E$26,D$25,E165&lt;E$27,D$26,E165&lt;E$28,D$27,E165&lt;E$29,D$28,E165&lt;E$30,D$29,E165&lt;E$31,D$30,E165&lt;E$32,D$31,E165&lt;E$33,D$32,E165&lt;E$34,D$33,E165&lt;E$35,D$34,E165&gt;=E$35,D$35)</f>
        <v/>
      </c>
      <c r="E165" s="38" t="n">
        <v>115</v>
      </c>
      <c r="F165" s="31">
        <f>E165/52</f>
        <v/>
      </c>
      <c r="G165" s="39">
        <f>D165/1000000*52</f>
        <v/>
      </c>
      <c r="H165" s="33">
        <f>G165/$P$4+($C$22/$P$4)</f>
        <v/>
      </c>
      <c r="I165" s="36">
        <f>_xlfn.IFS(K165&lt;K$24,0,K165&lt;K$26,I$24,K165&lt;K$28,I$26,K165&lt;K$30,I$28,K165&lt;K$32,I$30,K165&lt;K$34,I$32,K165&lt;K$36,I$34,K165&lt;K$38,I$36,K165&lt;K$40,I$38,K165&lt;K$42,I$40,K165&lt;K$44,I$42,K165&lt;K$46,I$44,K165&gt;=K$46,I$46)</f>
        <v/>
      </c>
      <c r="J165" s="37">
        <f>_xlfn.IFS(K165&lt;K$24,0,K165&lt;K$25,J$24,K165&lt;K$26,J$25,K165&lt;K$27,J$26,K165&lt;K$28,J$27,K165&lt;K$29,J$28,K165&lt;K$30,J$29,K165&lt;K$31,J$30,K165&lt;K$32,J$31,K165&lt;K$33,J$32,K165&lt;K$34,J$33,K165&lt;K$35,J$34,K165&lt;K$36,J$35,K165&lt;K$37,J$36,K165&lt;K$38,J$37,K165&lt;K$39,J$38,K165&lt;K$40,J$39,K165&lt;K$41,J$40,K165&lt;K$42,J$41,K165&lt;K$43,J$42,K165&lt;K$44,J$43,K165&lt;K$45,J$44,K165&lt;K$46,J$45,K165&lt;K$47,J$46,K165&gt;=K$47,J$47)</f>
        <v/>
      </c>
      <c r="K165" s="38" t="n">
        <v>115</v>
      </c>
      <c r="L165" s="31">
        <f>K165/52</f>
        <v/>
      </c>
      <c r="M165" s="39">
        <f>J165/1000000*52</f>
        <v/>
      </c>
      <c r="N165" s="33">
        <f>M165/$P$4+($I$22/$P$4)</f>
        <v/>
      </c>
      <c r="U165">
        <f>F164</f>
        <v/>
      </c>
      <c r="V165">
        <f>H164</f>
        <v/>
      </c>
      <c r="W165">
        <f>N164</f>
        <v/>
      </c>
    </row>
    <row r="166" ht="15.75" customHeight="1" s="40">
      <c r="C166" s="36">
        <f>_xlfn.IFS(E166&lt;E$24,0,E166&lt;E$26,C$24,E166&lt;E$28,C$26,E166&lt;E$30,C$28,E166&lt;E$32,C$30,E166&lt;E$34,C$32,E166&gt;=E$34,C$34)</f>
        <v/>
      </c>
      <c r="D166" s="37">
        <f>_xlfn.IFS(E166&lt;E$24,0,E166&lt;E$25,D$24,E166&lt;E$26,D$25,E166&lt;E$27,D$26,E166&lt;E$28,D$27,E166&lt;E$29,D$28,E166&lt;E$30,D$29,E166&lt;E$31,D$30,E166&lt;E$32,D$31,E166&lt;E$33,D$32,E166&lt;E$34,D$33,E166&lt;E$35,D$34,E166&gt;=E$35,D$35)</f>
        <v/>
      </c>
      <c r="E166" s="38" t="n">
        <v>116</v>
      </c>
      <c r="F166" s="31">
        <f>E166/52</f>
        <v/>
      </c>
      <c r="G166" s="39">
        <f>D166/1000000*52</f>
        <v/>
      </c>
      <c r="H166" s="33">
        <f>G166/$P$4+($C$22/$P$4)</f>
        <v/>
      </c>
      <c r="I166" s="36">
        <f>_xlfn.IFS(K166&lt;K$24,0,K166&lt;K$26,I$24,K166&lt;K$28,I$26,K166&lt;K$30,I$28,K166&lt;K$32,I$30,K166&lt;K$34,I$32,K166&lt;K$36,I$34,K166&lt;K$38,I$36,K166&lt;K$40,I$38,K166&lt;K$42,I$40,K166&lt;K$44,I$42,K166&lt;K$46,I$44,K166&gt;=K$46,I$46)</f>
        <v/>
      </c>
      <c r="J166" s="37">
        <f>_xlfn.IFS(K166&lt;K$24,0,K166&lt;K$25,J$24,K166&lt;K$26,J$25,K166&lt;K$27,J$26,K166&lt;K$28,J$27,K166&lt;K$29,J$28,K166&lt;K$30,J$29,K166&lt;K$31,J$30,K166&lt;K$32,J$31,K166&lt;K$33,J$32,K166&lt;K$34,J$33,K166&lt;K$35,J$34,K166&lt;K$36,J$35,K166&lt;K$37,J$36,K166&lt;K$38,J$37,K166&lt;K$39,J$38,K166&lt;K$40,J$39,K166&lt;K$41,J$40,K166&lt;K$42,J$41,K166&lt;K$43,J$42,K166&lt;K$44,J$43,K166&lt;K$45,J$44,K166&lt;K$46,J$45,K166&lt;K$47,J$46,K166&gt;=K$47,J$47)</f>
        <v/>
      </c>
      <c r="K166" s="38" t="n">
        <v>116</v>
      </c>
      <c r="L166" s="31">
        <f>K166/52</f>
        <v/>
      </c>
      <c r="M166" s="39">
        <f>J166/1000000*52</f>
        <v/>
      </c>
      <c r="N166" s="33">
        <f>M166/$P$4+($I$22/$P$4)</f>
        <v/>
      </c>
      <c r="U166">
        <f>F165</f>
        <v/>
      </c>
      <c r="V166">
        <f>H165</f>
        <v/>
      </c>
      <c r="W166">
        <f>N165</f>
        <v/>
      </c>
    </row>
    <row r="167" ht="15.75" customHeight="1" s="40">
      <c r="C167" s="36">
        <f>_xlfn.IFS(E167&lt;E$24,0,E167&lt;E$26,C$24,E167&lt;E$28,C$26,E167&lt;E$30,C$28,E167&lt;E$32,C$30,E167&lt;E$34,C$32,E167&gt;=E$34,C$34)</f>
        <v/>
      </c>
      <c r="D167" s="37">
        <f>_xlfn.IFS(E167&lt;E$24,0,E167&lt;E$25,D$24,E167&lt;E$26,D$25,E167&lt;E$27,D$26,E167&lt;E$28,D$27,E167&lt;E$29,D$28,E167&lt;E$30,D$29,E167&lt;E$31,D$30,E167&lt;E$32,D$31,E167&lt;E$33,D$32,E167&lt;E$34,D$33,E167&lt;E$35,D$34,E167&gt;=E$35,D$35)</f>
        <v/>
      </c>
      <c r="E167" s="38" t="n">
        <v>117</v>
      </c>
      <c r="F167" s="31">
        <f>E167/52</f>
        <v/>
      </c>
      <c r="G167" s="39">
        <f>D167/1000000*52</f>
        <v/>
      </c>
      <c r="H167" s="33">
        <f>G167/$P$4+($C$22/$P$4)</f>
        <v/>
      </c>
      <c r="I167" s="36">
        <f>_xlfn.IFS(K167&lt;K$24,0,K167&lt;K$26,I$24,K167&lt;K$28,I$26,K167&lt;K$30,I$28,K167&lt;K$32,I$30,K167&lt;K$34,I$32,K167&lt;K$36,I$34,K167&lt;K$38,I$36,K167&lt;K$40,I$38,K167&lt;K$42,I$40,K167&lt;K$44,I$42,K167&lt;K$46,I$44,K167&gt;=K$46,I$46)</f>
        <v/>
      </c>
      <c r="J167" s="37">
        <f>_xlfn.IFS(K167&lt;K$24,0,K167&lt;K$25,J$24,K167&lt;K$26,J$25,K167&lt;K$27,J$26,K167&lt;K$28,J$27,K167&lt;K$29,J$28,K167&lt;K$30,J$29,K167&lt;K$31,J$30,K167&lt;K$32,J$31,K167&lt;K$33,J$32,K167&lt;K$34,J$33,K167&lt;K$35,J$34,K167&lt;K$36,J$35,K167&lt;K$37,J$36,K167&lt;K$38,J$37,K167&lt;K$39,J$38,K167&lt;K$40,J$39,K167&lt;K$41,J$40,K167&lt;K$42,J$41,K167&lt;K$43,J$42,K167&lt;K$44,J$43,K167&lt;K$45,J$44,K167&lt;K$46,J$45,K167&lt;K$47,J$46,K167&gt;=K$47,J$47)</f>
        <v/>
      </c>
      <c r="K167" s="38" t="n">
        <v>117</v>
      </c>
      <c r="L167" s="31">
        <f>K167/52</f>
        <v/>
      </c>
      <c r="M167" s="39">
        <f>J167/1000000*52</f>
        <v/>
      </c>
      <c r="N167" s="33">
        <f>M167/$P$4+($I$22/$P$4)</f>
        <v/>
      </c>
      <c r="U167">
        <f>F166</f>
        <v/>
      </c>
      <c r="V167">
        <f>H166</f>
        <v/>
      </c>
      <c r="W167">
        <f>N166</f>
        <v/>
      </c>
    </row>
    <row r="168" ht="15.75" customHeight="1" s="40">
      <c r="C168" s="36">
        <f>_xlfn.IFS(E168&lt;E$24,0,E168&lt;E$26,C$24,E168&lt;E$28,C$26,E168&lt;E$30,C$28,E168&lt;E$32,C$30,E168&lt;E$34,C$32,E168&gt;=E$34,C$34)</f>
        <v/>
      </c>
      <c r="D168" s="37">
        <f>_xlfn.IFS(E168&lt;E$24,0,E168&lt;E$25,D$24,E168&lt;E$26,D$25,E168&lt;E$27,D$26,E168&lt;E$28,D$27,E168&lt;E$29,D$28,E168&lt;E$30,D$29,E168&lt;E$31,D$30,E168&lt;E$32,D$31,E168&lt;E$33,D$32,E168&lt;E$34,D$33,E168&lt;E$35,D$34,E168&gt;=E$35,D$35)</f>
        <v/>
      </c>
      <c r="E168" s="38" t="n">
        <v>118</v>
      </c>
      <c r="F168" s="31">
        <f>E168/52</f>
        <v/>
      </c>
      <c r="G168" s="39">
        <f>D168/1000000*52</f>
        <v/>
      </c>
      <c r="H168" s="33">
        <f>G168/$P$4+($C$22/$P$4)</f>
        <v/>
      </c>
      <c r="I168" s="36">
        <f>_xlfn.IFS(K168&lt;K$24,0,K168&lt;K$26,I$24,K168&lt;K$28,I$26,K168&lt;K$30,I$28,K168&lt;K$32,I$30,K168&lt;K$34,I$32,K168&lt;K$36,I$34,K168&lt;K$38,I$36,K168&lt;K$40,I$38,K168&lt;K$42,I$40,K168&lt;K$44,I$42,K168&lt;K$46,I$44,K168&gt;=K$46,I$46)</f>
        <v/>
      </c>
      <c r="J168" s="37">
        <f>_xlfn.IFS(K168&lt;K$24,0,K168&lt;K$25,J$24,K168&lt;K$26,J$25,K168&lt;K$27,J$26,K168&lt;K$28,J$27,K168&lt;K$29,J$28,K168&lt;K$30,J$29,K168&lt;K$31,J$30,K168&lt;K$32,J$31,K168&lt;K$33,J$32,K168&lt;K$34,J$33,K168&lt;K$35,J$34,K168&lt;K$36,J$35,K168&lt;K$37,J$36,K168&lt;K$38,J$37,K168&lt;K$39,J$38,K168&lt;K$40,J$39,K168&lt;K$41,J$40,K168&lt;K$42,J$41,K168&lt;K$43,J$42,K168&lt;K$44,J$43,K168&lt;K$45,J$44,K168&lt;K$46,J$45,K168&lt;K$47,J$46,K168&gt;=K$47,J$47)</f>
        <v/>
      </c>
      <c r="K168" s="38" t="n">
        <v>118</v>
      </c>
      <c r="L168" s="31">
        <f>K168/52</f>
        <v/>
      </c>
      <c r="M168" s="39">
        <f>J168/1000000*52</f>
        <v/>
      </c>
      <c r="N168" s="33">
        <f>M168/$P$4+($I$22/$P$4)</f>
        <v/>
      </c>
      <c r="U168">
        <f>F167</f>
        <v/>
      </c>
      <c r="V168">
        <f>H167</f>
        <v/>
      </c>
      <c r="W168">
        <f>N167</f>
        <v/>
      </c>
    </row>
    <row r="169" ht="15.75" customHeight="1" s="40">
      <c r="C169" s="36">
        <f>_xlfn.IFS(E169&lt;E$24,0,E169&lt;E$26,C$24,E169&lt;E$28,C$26,E169&lt;E$30,C$28,E169&lt;E$32,C$30,E169&lt;E$34,C$32,E169&gt;=E$34,C$34)</f>
        <v/>
      </c>
      <c r="D169" s="37">
        <f>_xlfn.IFS(E169&lt;E$24,0,E169&lt;E$25,D$24,E169&lt;E$26,D$25,E169&lt;E$27,D$26,E169&lt;E$28,D$27,E169&lt;E$29,D$28,E169&lt;E$30,D$29,E169&lt;E$31,D$30,E169&lt;E$32,D$31,E169&lt;E$33,D$32,E169&lt;E$34,D$33,E169&lt;E$35,D$34,E169&gt;=E$35,D$35)</f>
        <v/>
      </c>
      <c r="E169" s="38" t="n">
        <v>119</v>
      </c>
      <c r="F169" s="31">
        <f>E169/52</f>
        <v/>
      </c>
      <c r="G169" s="39">
        <f>D169/1000000*52</f>
        <v/>
      </c>
      <c r="H169" s="33">
        <f>G169/$P$4+($C$22/$P$4)</f>
        <v/>
      </c>
      <c r="I169" s="36">
        <f>_xlfn.IFS(K169&lt;K$24,0,K169&lt;K$26,I$24,K169&lt;K$28,I$26,K169&lt;K$30,I$28,K169&lt;K$32,I$30,K169&lt;K$34,I$32,K169&lt;K$36,I$34,K169&lt;K$38,I$36,K169&lt;K$40,I$38,K169&lt;K$42,I$40,K169&lt;K$44,I$42,K169&lt;K$46,I$44,K169&gt;=K$46,I$46)</f>
        <v/>
      </c>
      <c r="J169" s="37">
        <f>_xlfn.IFS(K169&lt;K$24,0,K169&lt;K$25,J$24,K169&lt;K$26,J$25,K169&lt;K$27,J$26,K169&lt;K$28,J$27,K169&lt;K$29,J$28,K169&lt;K$30,J$29,K169&lt;K$31,J$30,K169&lt;K$32,J$31,K169&lt;K$33,J$32,K169&lt;K$34,J$33,K169&lt;K$35,J$34,K169&lt;K$36,J$35,K169&lt;K$37,J$36,K169&lt;K$38,J$37,K169&lt;K$39,J$38,K169&lt;K$40,J$39,K169&lt;K$41,J$40,K169&lt;K$42,J$41,K169&lt;K$43,J$42,K169&lt;K$44,J$43,K169&lt;K$45,J$44,K169&lt;K$46,J$45,K169&lt;K$47,J$46,K169&gt;=K$47,J$47)</f>
        <v/>
      </c>
      <c r="K169" s="38" t="n">
        <v>119</v>
      </c>
      <c r="L169" s="31">
        <f>K169/52</f>
        <v/>
      </c>
      <c r="M169" s="39">
        <f>J169/1000000*52</f>
        <v/>
      </c>
      <c r="N169" s="33">
        <f>M169/$P$4+($I$22/$P$4)</f>
        <v/>
      </c>
      <c r="U169">
        <f>F168</f>
        <v/>
      </c>
      <c r="V169">
        <f>H168</f>
        <v/>
      </c>
      <c r="W169">
        <f>N168</f>
        <v/>
      </c>
    </row>
    <row r="170" ht="15.75" customHeight="1" s="40">
      <c r="C170" s="36">
        <f>_xlfn.IFS(E170&lt;E$24,0,E170&lt;E$26,C$24,E170&lt;E$28,C$26,E170&lt;E$30,C$28,E170&lt;E$32,C$30,E170&lt;E$34,C$32,E170&gt;=E$34,C$34)</f>
        <v/>
      </c>
      <c r="D170" s="37">
        <f>_xlfn.IFS(E170&lt;E$24,0,E170&lt;E$25,D$24,E170&lt;E$26,D$25,E170&lt;E$27,D$26,E170&lt;E$28,D$27,E170&lt;E$29,D$28,E170&lt;E$30,D$29,E170&lt;E$31,D$30,E170&lt;E$32,D$31,E170&lt;E$33,D$32,E170&lt;E$34,D$33,E170&lt;E$35,D$34,E170&gt;=E$35,D$35)</f>
        <v/>
      </c>
      <c r="E170" s="38" t="n">
        <v>120</v>
      </c>
      <c r="F170" s="31">
        <f>E170/52</f>
        <v/>
      </c>
      <c r="G170" s="39">
        <f>D170/1000000*52</f>
        <v/>
      </c>
      <c r="H170" s="33">
        <f>G170/$P$4+($C$22/$P$4)</f>
        <v/>
      </c>
      <c r="I170" s="36">
        <f>_xlfn.IFS(K170&lt;K$24,0,K170&lt;K$26,I$24,K170&lt;K$28,I$26,K170&lt;K$30,I$28,K170&lt;K$32,I$30,K170&lt;K$34,I$32,K170&lt;K$36,I$34,K170&lt;K$38,I$36,K170&lt;K$40,I$38,K170&lt;K$42,I$40,K170&lt;K$44,I$42,K170&lt;K$46,I$44,K170&gt;=K$46,I$46)</f>
        <v/>
      </c>
      <c r="J170" s="37">
        <f>_xlfn.IFS(K170&lt;K$24,0,K170&lt;K$25,J$24,K170&lt;K$26,J$25,K170&lt;K$27,J$26,K170&lt;K$28,J$27,K170&lt;K$29,J$28,K170&lt;K$30,J$29,K170&lt;K$31,J$30,K170&lt;K$32,J$31,K170&lt;K$33,J$32,K170&lt;K$34,J$33,K170&lt;K$35,J$34,K170&lt;K$36,J$35,K170&lt;K$37,J$36,K170&lt;K$38,J$37,K170&lt;K$39,J$38,K170&lt;K$40,J$39,K170&lt;K$41,J$40,K170&lt;K$42,J$41,K170&lt;K$43,J$42,K170&lt;K$44,J$43,K170&lt;K$45,J$44,K170&lt;K$46,J$45,K170&lt;K$47,J$46,K170&gt;=K$47,J$47)</f>
        <v/>
      </c>
      <c r="K170" s="38" t="n">
        <v>120</v>
      </c>
      <c r="L170" s="31">
        <f>K170/52</f>
        <v/>
      </c>
      <c r="M170" s="39">
        <f>J170/1000000*52</f>
        <v/>
      </c>
      <c r="N170" s="33">
        <f>M170/$P$4+($I$22/$P$4)</f>
        <v/>
      </c>
      <c r="U170">
        <f>F169</f>
        <v/>
      </c>
      <c r="V170">
        <f>H169</f>
        <v/>
      </c>
      <c r="W170">
        <f>N169</f>
        <v/>
      </c>
    </row>
    <row r="171" ht="15.75" customHeight="1" s="40">
      <c r="C171" s="36">
        <f>_xlfn.IFS(E171&lt;E$24,0,E171&lt;E$26,C$24,E171&lt;E$28,C$26,E171&lt;E$30,C$28,E171&lt;E$32,C$30,E171&lt;E$34,C$32,E171&gt;=E$34,C$34)</f>
        <v/>
      </c>
      <c r="D171" s="37">
        <f>_xlfn.IFS(E171&lt;E$24,0,E171&lt;E$25,D$24,E171&lt;E$26,D$25,E171&lt;E$27,D$26,E171&lt;E$28,D$27,E171&lt;E$29,D$28,E171&lt;E$30,D$29,E171&lt;E$31,D$30,E171&lt;E$32,D$31,E171&lt;E$33,D$32,E171&lt;E$34,D$33,E171&lt;E$35,D$34,E171&gt;=E$35,D$35)</f>
        <v/>
      </c>
      <c r="E171" s="38" t="n">
        <v>121</v>
      </c>
      <c r="F171" s="31">
        <f>E171/52</f>
        <v/>
      </c>
      <c r="G171" s="39">
        <f>D171/1000000*52</f>
        <v/>
      </c>
      <c r="H171" s="33">
        <f>G171/$P$4+($C$22/$P$4)</f>
        <v/>
      </c>
      <c r="I171" s="36">
        <f>_xlfn.IFS(K171&lt;K$24,0,K171&lt;K$26,I$24,K171&lt;K$28,I$26,K171&lt;K$30,I$28,K171&lt;K$32,I$30,K171&lt;K$34,I$32,K171&lt;K$36,I$34,K171&lt;K$38,I$36,K171&lt;K$40,I$38,K171&lt;K$42,I$40,K171&lt;K$44,I$42,K171&lt;K$46,I$44,K171&gt;=K$46,I$46)</f>
        <v/>
      </c>
      <c r="J171" s="37">
        <f>_xlfn.IFS(K171&lt;K$24,0,K171&lt;K$25,J$24,K171&lt;K$26,J$25,K171&lt;K$27,J$26,K171&lt;K$28,J$27,K171&lt;K$29,J$28,K171&lt;K$30,J$29,K171&lt;K$31,J$30,K171&lt;K$32,J$31,K171&lt;K$33,J$32,K171&lt;K$34,J$33,K171&lt;K$35,J$34,K171&lt;K$36,J$35,K171&lt;K$37,J$36,K171&lt;K$38,J$37,K171&lt;K$39,J$38,K171&lt;K$40,J$39,K171&lt;K$41,J$40,K171&lt;K$42,J$41,K171&lt;K$43,J$42,K171&lt;K$44,J$43,K171&lt;K$45,J$44,K171&lt;K$46,J$45,K171&lt;K$47,J$46,K171&gt;=K$47,J$47)</f>
        <v/>
      </c>
      <c r="K171" s="38" t="n">
        <v>121</v>
      </c>
      <c r="L171" s="31">
        <f>K171/52</f>
        <v/>
      </c>
      <c r="M171" s="39">
        <f>J171/1000000*52</f>
        <v/>
      </c>
      <c r="N171" s="33">
        <f>M171/$P$4+($I$22/$P$4)</f>
        <v/>
      </c>
      <c r="U171">
        <f>F170</f>
        <v/>
      </c>
      <c r="V171">
        <f>H170</f>
        <v/>
      </c>
      <c r="W171">
        <f>N170</f>
        <v/>
      </c>
    </row>
    <row r="172" ht="15.75" customHeight="1" s="40">
      <c r="C172" s="36">
        <f>_xlfn.IFS(E172&lt;E$24,0,E172&lt;E$26,C$24,E172&lt;E$28,C$26,E172&lt;E$30,C$28,E172&lt;E$32,C$30,E172&lt;E$34,C$32,E172&gt;=E$34,C$34)</f>
        <v/>
      </c>
      <c r="D172" s="37">
        <f>_xlfn.IFS(E172&lt;E$24,0,E172&lt;E$25,D$24,E172&lt;E$26,D$25,E172&lt;E$27,D$26,E172&lt;E$28,D$27,E172&lt;E$29,D$28,E172&lt;E$30,D$29,E172&lt;E$31,D$30,E172&lt;E$32,D$31,E172&lt;E$33,D$32,E172&lt;E$34,D$33,E172&lt;E$35,D$34,E172&gt;=E$35,D$35)</f>
        <v/>
      </c>
      <c r="E172" s="38" t="n">
        <v>122</v>
      </c>
      <c r="F172" s="31">
        <f>E172/52</f>
        <v/>
      </c>
      <c r="G172" s="39">
        <f>D172/1000000*52</f>
        <v/>
      </c>
      <c r="H172" s="33">
        <f>G172/$P$4+($C$22/$P$4)</f>
        <v/>
      </c>
      <c r="I172" s="36">
        <f>_xlfn.IFS(K172&lt;K$24,0,K172&lt;K$26,I$24,K172&lt;K$28,I$26,K172&lt;K$30,I$28,K172&lt;K$32,I$30,K172&lt;K$34,I$32,K172&lt;K$36,I$34,K172&lt;K$38,I$36,K172&lt;K$40,I$38,K172&lt;K$42,I$40,K172&lt;K$44,I$42,K172&lt;K$46,I$44,K172&gt;=K$46,I$46)</f>
        <v/>
      </c>
      <c r="J172" s="37">
        <f>_xlfn.IFS(K172&lt;K$24,0,K172&lt;K$25,J$24,K172&lt;K$26,J$25,K172&lt;K$27,J$26,K172&lt;K$28,J$27,K172&lt;K$29,J$28,K172&lt;K$30,J$29,K172&lt;K$31,J$30,K172&lt;K$32,J$31,K172&lt;K$33,J$32,K172&lt;K$34,J$33,K172&lt;K$35,J$34,K172&lt;K$36,J$35,K172&lt;K$37,J$36,K172&lt;K$38,J$37,K172&lt;K$39,J$38,K172&lt;K$40,J$39,K172&lt;K$41,J$40,K172&lt;K$42,J$41,K172&lt;K$43,J$42,K172&lt;K$44,J$43,K172&lt;K$45,J$44,K172&lt;K$46,J$45,K172&lt;K$47,J$46,K172&gt;=K$47,J$47)</f>
        <v/>
      </c>
      <c r="K172" s="38" t="n">
        <v>122</v>
      </c>
      <c r="L172" s="31">
        <f>K172/52</f>
        <v/>
      </c>
      <c r="M172" s="39">
        <f>J172/1000000*52</f>
        <v/>
      </c>
      <c r="N172" s="33">
        <f>M172/$P$4+($I$22/$P$4)</f>
        <v/>
      </c>
      <c r="U172">
        <f>F171</f>
        <v/>
      </c>
      <c r="V172">
        <f>H171</f>
        <v/>
      </c>
      <c r="W172">
        <f>N171</f>
        <v/>
      </c>
    </row>
    <row r="173" ht="15.75" customHeight="1" s="40">
      <c r="C173" s="36">
        <f>_xlfn.IFS(E173&lt;E$24,0,E173&lt;E$26,C$24,E173&lt;E$28,C$26,E173&lt;E$30,C$28,E173&lt;E$32,C$30,E173&lt;E$34,C$32,E173&gt;=E$34,C$34)</f>
        <v/>
      </c>
      <c r="D173" s="37">
        <f>_xlfn.IFS(E173&lt;E$24,0,E173&lt;E$25,D$24,E173&lt;E$26,D$25,E173&lt;E$27,D$26,E173&lt;E$28,D$27,E173&lt;E$29,D$28,E173&lt;E$30,D$29,E173&lt;E$31,D$30,E173&lt;E$32,D$31,E173&lt;E$33,D$32,E173&lt;E$34,D$33,E173&lt;E$35,D$34,E173&gt;=E$35,D$35)</f>
        <v/>
      </c>
      <c r="E173" s="38" t="n">
        <v>123</v>
      </c>
      <c r="F173" s="31">
        <f>E173/52</f>
        <v/>
      </c>
      <c r="G173" s="39">
        <f>D173/1000000*52</f>
        <v/>
      </c>
      <c r="H173" s="33">
        <f>G173/$P$4+($C$22/$P$4)</f>
        <v/>
      </c>
      <c r="I173" s="36">
        <f>_xlfn.IFS(K173&lt;K$24,0,K173&lt;K$26,I$24,K173&lt;K$28,I$26,K173&lt;K$30,I$28,K173&lt;K$32,I$30,K173&lt;K$34,I$32,K173&lt;K$36,I$34,K173&lt;K$38,I$36,K173&lt;K$40,I$38,K173&lt;K$42,I$40,K173&lt;K$44,I$42,K173&lt;K$46,I$44,K173&gt;=K$46,I$46)</f>
        <v/>
      </c>
      <c r="J173" s="37">
        <f>_xlfn.IFS(K173&lt;K$24,0,K173&lt;K$25,J$24,K173&lt;K$26,J$25,K173&lt;K$27,J$26,K173&lt;K$28,J$27,K173&lt;K$29,J$28,K173&lt;K$30,J$29,K173&lt;K$31,J$30,K173&lt;K$32,J$31,K173&lt;K$33,J$32,K173&lt;K$34,J$33,K173&lt;K$35,J$34,K173&lt;K$36,J$35,K173&lt;K$37,J$36,K173&lt;K$38,J$37,K173&lt;K$39,J$38,K173&lt;K$40,J$39,K173&lt;K$41,J$40,K173&lt;K$42,J$41,K173&lt;K$43,J$42,K173&lt;K$44,J$43,K173&lt;K$45,J$44,K173&lt;K$46,J$45,K173&lt;K$47,J$46,K173&gt;=K$47,J$47)</f>
        <v/>
      </c>
      <c r="K173" s="38" t="n">
        <v>123</v>
      </c>
      <c r="L173" s="31">
        <f>K173/52</f>
        <v/>
      </c>
      <c r="M173" s="39">
        <f>J173/1000000*52</f>
        <v/>
      </c>
      <c r="N173" s="33">
        <f>M173/$P$4+($I$22/$P$4)</f>
        <v/>
      </c>
      <c r="U173">
        <f>F172</f>
        <v/>
      </c>
      <c r="V173">
        <f>H172</f>
        <v/>
      </c>
      <c r="W173">
        <f>N172</f>
        <v/>
      </c>
    </row>
    <row r="174" ht="15.75" customHeight="1" s="40">
      <c r="C174" s="36">
        <f>_xlfn.IFS(E174&lt;E$24,0,E174&lt;E$26,C$24,E174&lt;E$28,C$26,E174&lt;E$30,C$28,E174&lt;E$32,C$30,E174&lt;E$34,C$32,E174&gt;=E$34,C$34)</f>
        <v/>
      </c>
      <c r="D174" s="37">
        <f>_xlfn.IFS(E174&lt;E$24,0,E174&lt;E$25,D$24,E174&lt;E$26,D$25,E174&lt;E$27,D$26,E174&lt;E$28,D$27,E174&lt;E$29,D$28,E174&lt;E$30,D$29,E174&lt;E$31,D$30,E174&lt;E$32,D$31,E174&lt;E$33,D$32,E174&lt;E$34,D$33,E174&lt;E$35,D$34,E174&gt;=E$35,D$35)</f>
        <v/>
      </c>
      <c r="E174" s="38" t="n">
        <v>124</v>
      </c>
      <c r="F174" s="31">
        <f>E174/52</f>
        <v/>
      </c>
      <c r="G174" s="39">
        <f>D174/1000000*52</f>
        <v/>
      </c>
      <c r="H174" s="33">
        <f>G174/$P$4+($C$22/$P$4)</f>
        <v/>
      </c>
      <c r="I174" s="36">
        <f>_xlfn.IFS(K174&lt;K$24,0,K174&lt;K$26,I$24,K174&lt;K$28,I$26,K174&lt;K$30,I$28,K174&lt;K$32,I$30,K174&lt;K$34,I$32,K174&lt;K$36,I$34,K174&lt;K$38,I$36,K174&lt;K$40,I$38,K174&lt;K$42,I$40,K174&lt;K$44,I$42,K174&lt;K$46,I$44,K174&gt;=K$46,I$46)</f>
        <v/>
      </c>
      <c r="J174" s="37">
        <f>_xlfn.IFS(K174&lt;K$24,0,K174&lt;K$25,J$24,K174&lt;K$26,J$25,K174&lt;K$27,J$26,K174&lt;K$28,J$27,K174&lt;K$29,J$28,K174&lt;K$30,J$29,K174&lt;K$31,J$30,K174&lt;K$32,J$31,K174&lt;K$33,J$32,K174&lt;K$34,J$33,K174&lt;K$35,J$34,K174&lt;K$36,J$35,K174&lt;K$37,J$36,K174&lt;K$38,J$37,K174&lt;K$39,J$38,K174&lt;K$40,J$39,K174&lt;K$41,J$40,K174&lt;K$42,J$41,K174&lt;K$43,J$42,K174&lt;K$44,J$43,K174&lt;K$45,J$44,K174&lt;K$46,J$45,K174&lt;K$47,J$46,K174&gt;=K$47,J$47)</f>
        <v/>
      </c>
      <c r="K174" s="38" t="n">
        <v>124</v>
      </c>
      <c r="L174" s="31">
        <f>K174/52</f>
        <v/>
      </c>
      <c r="M174" s="39">
        <f>J174/1000000*52</f>
        <v/>
      </c>
      <c r="N174" s="33">
        <f>M174/$P$4+($I$22/$P$4)</f>
        <v/>
      </c>
      <c r="U174">
        <f>F173</f>
        <v/>
      </c>
      <c r="V174">
        <f>H173</f>
        <v/>
      </c>
      <c r="W174">
        <f>N173</f>
        <v/>
      </c>
    </row>
    <row r="175" ht="15.75" customHeight="1" s="40">
      <c r="C175" s="36">
        <f>_xlfn.IFS(E175&lt;E$24,0,E175&lt;E$26,C$24,E175&lt;E$28,C$26,E175&lt;E$30,C$28,E175&lt;E$32,C$30,E175&lt;E$34,C$32,E175&gt;=E$34,C$34)</f>
        <v/>
      </c>
      <c r="D175" s="37">
        <f>_xlfn.IFS(E175&lt;E$24,0,E175&lt;E$25,D$24,E175&lt;E$26,D$25,E175&lt;E$27,D$26,E175&lt;E$28,D$27,E175&lt;E$29,D$28,E175&lt;E$30,D$29,E175&lt;E$31,D$30,E175&lt;E$32,D$31,E175&lt;E$33,D$32,E175&lt;E$34,D$33,E175&lt;E$35,D$34,E175&gt;=E$35,D$35)</f>
        <v/>
      </c>
      <c r="E175" s="38" t="n">
        <v>125</v>
      </c>
      <c r="F175" s="31">
        <f>E175/52</f>
        <v/>
      </c>
      <c r="G175" s="39">
        <f>D175/1000000*52</f>
        <v/>
      </c>
      <c r="H175" s="33">
        <f>G175/$P$4+($C$22/$P$4)</f>
        <v/>
      </c>
      <c r="I175" s="36">
        <f>_xlfn.IFS(K175&lt;K$24,0,K175&lt;K$26,I$24,K175&lt;K$28,I$26,K175&lt;K$30,I$28,K175&lt;K$32,I$30,K175&lt;K$34,I$32,K175&lt;K$36,I$34,K175&lt;K$38,I$36,K175&lt;K$40,I$38,K175&lt;K$42,I$40,K175&lt;K$44,I$42,K175&lt;K$46,I$44,K175&gt;=K$46,I$46)</f>
        <v/>
      </c>
      <c r="J175" s="37">
        <f>_xlfn.IFS(K175&lt;K$24,0,K175&lt;K$25,J$24,K175&lt;K$26,J$25,K175&lt;K$27,J$26,K175&lt;K$28,J$27,K175&lt;K$29,J$28,K175&lt;K$30,J$29,K175&lt;K$31,J$30,K175&lt;K$32,J$31,K175&lt;K$33,J$32,K175&lt;K$34,J$33,K175&lt;K$35,J$34,K175&lt;K$36,J$35,K175&lt;K$37,J$36,K175&lt;K$38,J$37,K175&lt;K$39,J$38,K175&lt;K$40,J$39,K175&lt;K$41,J$40,K175&lt;K$42,J$41,K175&lt;K$43,J$42,K175&lt;K$44,J$43,K175&lt;K$45,J$44,K175&lt;K$46,J$45,K175&lt;K$47,J$46,K175&gt;=K$47,J$47)</f>
        <v/>
      </c>
      <c r="K175" s="38" t="n">
        <v>125</v>
      </c>
      <c r="L175" s="31">
        <f>K175/52</f>
        <v/>
      </c>
      <c r="M175" s="39">
        <f>J175/1000000*52</f>
        <v/>
      </c>
      <c r="N175" s="33">
        <f>M175/$P$4+($I$22/$P$4)</f>
        <v/>
      </c>
      <c r="U175">
        <f>F174</f>
        <v/>
      </c>
      <c r="V175">
        <f>H174</f>
        <v/>
      </c>
      <c r="W175">
        <f>N174</f>
        <v/>
      </c>
    </row>
    <row r="176" ht="15.75" customHeight="1" s="40">
      <c r="C176" s="36">
        <f>_xlfn.IFS(E176&lt;E$24,0,E176&lt;E$26,C$24,E176&lt;E$28,C$26,E176&lt;E$30,C$28,E176&lt;E$32,C$30,E176&lt;E$34,C$32,E176&gt;=E$34,C$34)</f>
        <v/>
      </c>
      <c r="D176" s="37">
        <f>_xlfn.IFS(E176&lt;E$24,0,E176&lt;E$25,D$24,E176&lt;E$26,D$25,E176&lt;E$27,D$26,E176&lt;E$28,D$27,E176&lt;E$29,D$28,E176&lt;E$30,D$29,E176&lt;E$31,D$30,E176&lt;E$32,D$31,E176&lt;E$33,D$32,E176&lt;E$34,D$33,E176&lt;E$35,D$34,E176&gt;=E$35,D$35)</f>
        <v/>
      </c>
      <c r="E176" s="38" t="n">
        <v>126</v>
      </c>
      <c r="F176" s="31">
        <f>E176/52</f>
        <v/>
      </c>
      <c r="G176" s="39">
        <f>D176/1000000*52</f>
        <v/>
      </c>
      <c r="H176" s="33">
        <f>G176/$P$4+($C$22/$P$4)</f>
        <v/>
      </c>
      <c r="I176" s="36">
        <f>_xlfn.IFS(K176&lt;K$24,0,K176&lt;K$26,I$24,K176&lt;K$28,I$26,K176&lt;K$30,I$28,K176&lt;K$32,I$30,K176&lt;K$34,I$32,K176&lt;K$36,I$34,K176&lt;K$38,I$36,K176&lt;K$40,I$38,K176&lt;K$42,I$40,K176&lt;K$44,I$42,K176&lt;K$46,I$44,K176&gt;=K$46,I$46)</f>
        <v/>
      </c>
      <c r="J176" s="37">
        <f>_xlfn.IFS(K176&lt;K$24,0,K176&lt;K$25,J$24,K176&lt;K$26,J$25,K176&lt;K$27,J$26,K176&lt;K$28,J$27,K176&lt;K$29,J$28,K176&lt;K$30,J$29,K176&lt;K$31,J$30,K176&lt;K$32,J$31,K176&lt;K$33,J$32,K176&lt;K$34,J$33,K176&lt;K$35,J$34,K176&lt;K$36,J$35,K176&lt;K$37,J$36,K176&lt;K$38,J$37,K176&lt;K$39,J$38,K176&lt;K$40,J$39,K176&lt;K$41,J$40,K176&lt;K$42,J$41,K176&lt;K$43,J$42,K176&lt;K$44,J$43,K176&lt;K$45,J$44,K176&lt;K$46,J$45,K176&lt;K$47,J$46,K176&gt;=K$47,J$47)</f>
        <v/>
      </c>
      <c r="K176" s="38" t="n">
        <v>126</v>
      </c>
      <c r="L176" s="31">
        <f>K176/52</f>
        <v/>
      </c>
      <c r="M176" s="39">
        <f>J176/1000000*52</f>
        <v/>
      </c>
      <c r="N176" s="33">
        <f>M176/$P$4+($I$22/$P$4)</f>
        <v/>
      </c>
      <c r="U176">
        <f>F175</f>
        <v/>
      </c>
      <c r="V176">
        <f>H175</f>
        <v/>
      </c>
      <c r="W176">
        <f>N175</f>
        <v/>
      </c>
    </row>
    <row r="177" ht="15.75" customHeight="1" s="40">
      <c r="C177" s="36">
        <f>_xlfn.IFS(E177&lt;E$24,0,E177&lt;E$26,C$24,E177&lt;E$28,C$26,E177&lt;E$30,C$28,E177&lt;E$32,C$30,E177&lt;E$34,C$32,E177&gt;=E$34,C$34)</f>
        <v/>
      </c>
      <c r="D177" s="37">
        <f>_xlfn.IFS(E177&lt;E$24,0,E177&lt;E$25,D$24,E177&lt;E$26,D$25,E177&lt;E$27,D$26,E177&lt;E$28,D$27,E177&lt;E$29,D$28,E177&lt;E$30,D$29,E177&lt;E$31,D$30,E177&lt;E$32,D$31,E177&lt;E$33,D$32,E177&lt;E$34,D$33,E177&lt;E$35,D$34,E177&gt;=E$35,D$35)</f>
        <v/>
      </c>
      <c r="E177" s="38" t="n">
        <v>127</v>
      </c>
      <c r="F177" s="31">
        <f>E177/52</f>
        <v/>
      </c>
      <c r="G177" s="39">
        <f>D177/1000000*52</f>
        <v/>
      </c>
      <c r="H177" s="33">
        <f>G177/$P$4+($C$22/$P$4)</f>
        <v/>
      </c>
      <c r="I177" s="36">
        <f>_xlfn.IFS(K177&lt;K$24,0,K177&lt;K$26,I$24,K177&lt;K$28,I$26,K177&lt;K$30,I$28,K177&lt;K$32,I$30,K177&lt;K$34,I$32,K177&lt;K$36,I$34,K177&lt;K$38,I$36,K177&lt;K$40,I$38,K177&lt;K$42,I$40,K177&lt;K$44,I$42,K177&lt;K$46,I$44,K177&gt;=K$46,I$46)</f>
        <v/>
      </c>
      <c r="J177" s="37">
        <f>_xlfn.IFS(K177&lt;K$24,0,K177&lt;K$25,J$24,K177&lt;K$26,J$25,K177&lt;K$27,J$26,K177&lt;K$28,J$27,K177&lt;K$29,J$28,K177&lt;K$30,J$29,K177&lt;K$31,J$30,K177&lt;K$32,J$31,K177&lt;K$33,J$32,K177&lt;K$34,J$33,K177&lt;K$35,J$34,K177&lt;K$36,J$35,K177&lt;K$37,J$36,K177&lt;K$38,J$37,K177&lt;K$39,J$38,K177&lt;K$40,J$39,K177&lt;K$41,J$40,K177&lt;K$42,J$41,K177&lt;K$43,J$42,K177&lt;K$44,J$43,K177&lt;K$45,J$44,K177&lt;K$46,J$45,K177&lt;K$47,J$46,K177&gt;=K$47,J$47)</f>
        <v/>
      </c>
      <c r="K177" s="38" t="n">
        <v>127</v>
      </c>
      <c r="L177" s="31">
        <f>K177/52</f>
        <v/>
      </c>
      <c r="M177" s="39">
        <f>J177/1000000*52</f>
        <v/>
      </c>
      <c r="N177" s="33">
        <f>M177/$P$4+($I$22/$P$4)</f>
        <v/>
      </c>
      <c r="U177">
        <f>F176</f>
        <v/>
      </c>
      <c r="V177">
        <f>H176</f>
        <v/>
      </c>
      <c r="W177">
        <f>N176</f>
        <v/>
      </c>
    </row>
    <row r="178" ht="15.75" customHeight="1" s="40">
      <c r="C178" s="36">
        <f>_xlfn.IFS(E178&lt;E$24,0,E178&lt;E$26,C$24,E178&lt;E$28,C$26,E178&lt;E$30,C$28,E178&lt;E$32,C$30,E178&lt;E$34,C$32,E178&gt;=E$34,C$34)</f>
        <v/>
      </c>
      <c r="D178" s="37">
        <f>_xlfn.IFS(E178&lt;E$24,0,E178&lt;E$25,D$24,E178&lt;E$26,D$25,E178&lt;E$27,D$26,E178&lt;E$28,D$27,E178&lt;E$29,D$28,E178&lt;E$30,D$29,E178&lt;E$31,D$30,E178&lt;E$32,D$31,E178&lt;E$33,D$32,E178&lt;E$34,D$33,E178&lt;E$35,D$34,E178&gt;=E$35,D$35)</f>
        <v/>
      </c>
      <c r="E178" s="38" t="n">
        <v>128</v>
      </c>
      <c r="F178" s="31">
        <f>E178/52</f>
        <v/>
      </c>
      <c r="G178" s="39">
        <f>D178/1000000*52</f>
        <v/>
      </c>
      <c r="H178" s="33">
        <f>G178/$P$4+($C$22/$P$4)</f>
        <v/>
      </c>
      <c r="I178" s="36">
        <f>_xlfn.IFS(K178&lt;K$24,0,K178&lt;K$26,I$24,K178&lt;K$28,I$26,K178&lt;K$30,I$28,K178&lt;K$32,I$30,K178&lt;K$34,I$32,K178&lt;K$36,I$34,K178&lt;K$38,I$36,K178&lt;K$40,I$38,K178&lt;K$42,I$40,K178&lt;K$44,I$42,K178&lt;K$46,I$44,K178&gt;=K$46,I$46)</f>
        <v/>
      </c>
      <c r="J178" s="37">
        <f>_xlfn.IFS(K178&lt;K$24,0,K178&lt;K$25,J$24,K178&lt;K$26,J$25,K178&lt;K$27,J$26,K178&lt;K$28,J$27,K178&lt;K$29,J$28,K178&lt;K$30,J$29,K178&lt;K$31,J$30,K178&lt;K$32,J$31,K178&lt;K$33,J$32,K178&lt;K$34,J$33,K178&lt;K$35,J$34,K178&lt;K$36,J$35,K178&lt;K$37,J$36,K178&lt;K$38,J$37,K178&lt;K$39,J$38,K178&lt;K$40,J$39,K178&lt;K$41,J$40,K178&lt;K$42,J$41,K178&lt;K$43,J$42,K178&lt;K$44,J$43,K178&lt;K$45,J$44,K178&lt;K$46,J$45,K178&lt;K$47,J$46,K178&gt;=K$47,J$47)</f>
        <v/>
      </c>
      <c r="K178" s="38" t="n">
        <v>128</v>
      </c>
      <c r="L178" s="31">
        <f>K178/52</f>
        <v/>
      </c>
      <c r="M178" s="39">
        <f>J178/1000000*52</f>
        <v/>
      </c>
      <c r="N178" s="33">
        <f>M178/$P$4+($I$22/$P$4)</f>
        <v/>
      </c>
      <c r="U178">
        <f>F177</f>
        <v/>
      </c>
      <c r="V178">
        <f>H177</f>
        <v/>
      </c>
      <c r="W178">
        <f>N177</f>
        <v/>
      </c>
    </row>
    <row r="179" ht="15.75" customHeight="1" s="40">
      <c r="C179" s="36">
        <f>_xlfn.IFS(E179&lt;E$24,0,E179&lt;E$26,C$24,E179&lt;E$28,C$26,E179&lt;E$30,C$28,E179&lt;E$32,C$30,E179&lt;E$34,C$32,E179&gt;=E$34,C$34)</f>
        <v/>
      </c>
      <c r="D179" s="37">
        <f>_xlfn.IFS(E179&lt;E$24,0,E179&lt;E$25,D$24,E179&lt;E$26,D$25,E179&lt;E$27,D$26,E179&lt;E$28,D$27,E179&lt;E$29,D$28,E179&lt;E$30,D$29,E179&lt;E$31,D$30,E179&lt;E$32,D$31,E179&lt;E$33,D$32,E179&lt;E$34,D$33,E179&lt;E$35,D$34,E179&gt;=E$35,D$35)</f>
        <v/>
      </c>
      <c r="E179" s="38" t="n">
        <v>129</v>
      </c>
      <c r="F179" s="31">
        <f>E179/52</f>
        <v/>
      </c>
      <c r="G179" s="39">
        <f>D179/1000000*52</f>
        <v/>
      </c>
      <c r="H179" s="33">
        <f>G179/$P$4+($C$22/$P$4)</f>
        <v/>
      </c>
      <c r="I179" s="36">
        <f>_xlfn.IFS(K179&lt;K$24,0,K179&lt;K$26,I$24,K179&lt;K$28,I$26,K179&lt;K$30,I$28,K179&lt;K$32,I$30,K179&lt;K$34,I$32,K179&lt;K$36,I$34,K179&lt;K$38,I$36,K179&lt;K$40,I$38,K179&lt;K$42,I$40,K179&lt;K$44,I$42,K179&lt;K$46,I$44,K179&gt;=K$46,I$46)</f>
        <v/>
      </c>
      <c r="J179" s="37">
        <f>_xlfn.IFS(K179&lt;K$24,0,K179&lt;K$25,J$24,K179&lt;K$26,J$25,K179&lt;K$27,J$26,K179&lt;K$28,J$27,K179&lt;K$29,J$28,K179&lt;K$30,J$29,K179&lt;K$31,J$30,K179&lt;K$32,J$31,K179&lt;K$33,J$32,K179&lt;K$34,J$33,K179&lt;K$35,J$34,K179&lt;K$36,J$35,K179&lt;K$37,J$36,K179&lt;K$38,J$37,K179&lt;K$39,J$38,K179&lt;K$40,J$39,K179&lt;K$41,J$40,K179&lt;K$42,J$41,K179&lt;K$43,J$42,K179&lt;K$44,J$43,K179&lt;K$45,J$44,K179&lt;K$46,J$45,K179&lt;K$47,J$46,K179&gt;=K$47,J$47)</f>
        <v/>
      </c>
      <c r="K179" s="38" t="n">
        <v>129</v>
      </c>
      <c r="L179" s="31">
        <f>K179/52</f>
        <v/>
      </c>
      <c r="M179" s="39">
        <f>J179/1000000*52</f>
        <v/>
      </c>
      <c r="N179" s="33">
        <f>M179/$P$4+($I$22/$P$4)</f>
        <v/>
      </c>
      <c r="U179">
        <f>F178</f>
        <v/>
      </c>
      <c r="V179">
        <f>H178</f>
        <v/>
      </c>
      <c r="W179">
        <f>N178</f>
        <v/>
      </c>
    </row>
    <row r="180" ht="15.75" customHeight="1" s="40">
      <c r="C180" s="36">
        <f>_xlfn.IFS(E180&lt;E$24,0,E180&lt;E$26,C$24,E180&lt;E$28,C$26,E180&lt;E$30,C$28,E180&lt;E$32,C$30,E180&lt;E$34,C$32,E180&gt;=E$34,C$34)</f>
        <v/>
      </c>
      <c r="D180" s="37">
        <f>_xlfn.IFS(E180&lt;E$24,0,E180&lt;E$25,D$24,E180&lt;E$26,D$25,E180&lt;E$27,D$26,E180&lt;E$28,D$27,E180&lt;E$29,D$28,E180&lt;E$30,D$29,E180&lt;E$31,D$30,E180&lt;E$32,D$31,E180&lt;E$33,D$32,E180&lt;E$34,D$33,E180&lt;E$35,D$34,E180&gt;=E$35,D$35)</f>
        <v/>
      </c>
      <c r="E180" s="38" t="n">
        <v>130</v>
      </c>
      <c r="F180" s="31">
        <f>E180/52</f>
        <v/>
      </c>
      <c r="G180" s="39">
        <f>D180/1000000*52</f>
        <v/>
      </c>
      <c r="H180" s="33">
        <f>G180/$P$4+($C$22/$P$4)</f>
        <v/>
      </c>
      <c r="I180" s="36">
        <f>_xlfn.IFS(K180&lt;K$24,0,K180&lt;K$26,I$24,K180&lt;K$28,I$26,K180&lt;K$30,I$28,K180&lt;K$32,I$30,K180&lt;K$34,I$32,K180&lt;K$36,I$34,K180&lt;K$38,I$36,K180&lt;K$40,I$38,K180&lt;K$42,I$40,K180&lt;K$44,I$42,K180&lt;K$46,I$44,K180&gt;=K$46,I$46)</f>
        <v/>
      </c>
      <c r="J180" s="37">
        <f>_xlfn.IFS(K180&lt;K$24,0,K180&lt;K$25,J$24,K180&lt;K$26,J$25,K180&lt;K$27,J$26,K180&lt;K$28,J$27,K180&lt;K$29,J$28,K180&lt;K$30,J$29,K180&lt;K$31,J$30,K180&lt;K$32,J$31,K180&lt;K$33,J$32,K180&lt;K$34,J$33,K180&lt;K$35,J$34,K180&lt;K$36,J$35,K180&lt;K$37,J$36,K180&lt;K$38,J$37,K180&lt;K$39,J$38,K180&lt;K$40,J$39,K180&lt;K$41,J$40,K180&lt;K$42,J$41,K180&lt;K$43,J$42,K180&lt;K$44,J$43,K180&lt;K$45,J$44,K180&lt;K$46,J$45,K180&lt;K$47,J$46,K180&gt;=K$47,J$47)</f>
        <v/>
      </c>
      <c r="K180" s="38" t="n">
        <v>130</v>
      </c>
      <c r="L180" s="31">
        <f>K180/52</f>
        <v/>
      </c>
      <c r="M180" s="39">
        <f>J180/1000000*52</f>
        <v/>
      </c>
      <c r="N180" s="33">
        <f>M180/$P$4+($I$22/$P$4)</f>
        <v/>
      </c>
      <c r="U180">
        <f>F179</f>
        <v/>
      </c>
      <c r="V180">
        <f>H179</f>
        <v/>
      </c>
      <c r="W180">
        <f>N179</f>
        <v/>
      </c>
    </row>
    <row r="181" ht="15.75" customHeight="1" s="40">
      <c r="C181" s="36">
        <f>_xlfn.IFS(E181&lt;E$24,0,E181&lt;E$26,C$24,E181&lt;E$28,C$26,E181&lt;E$30,C$28,E181&lt;E$32,C$30,E181&lt;E$34,C$32,E181&gt;=E$34,C$34)</f>
        <v/>
      </c>
      <c r="D181" s="37">
        <f>_xlfn.IFS(E181&lt;E$24,0,E181&lt;E$25,D$24,E181&lt;E$26,D$25,E181&lt;E$27,D$26,E181&lt;E$28,D$27,E181&lt;E$29,D$28,E181&lt;E$30,D$29,E181&lt;E$31,D$30,E181&lt;E$32,D$31,E181&lt;E$33,D$32,E181&lt;E$34,D$33,E181&lt;E$35,D$34,E181&gt;=E$35,D$35)</f>
        <v/>
      </c>
      <c r="E181" s="38" t="n">
        <v>131</v>
      </c>
      <c r="F181" s="31">
        <f>E181/52</f>
        <v/>
      </c>
      <c r="G181" s="39">
        <f>D181/1000000*52</f>
        <v/>
      </c>
      <c r="H181" s="33">
        <f>G181/$P$4+($C$22/$P$4)</f>
        <v/>
      </c>
      <c r="I181" s="36">
        <f>_xlfn.IFS(K181&lt;K$24,0,K181&lt;K$26,I$24,K181&lt;K$28,I$26,K181&lt;K$30,I$28,K181&lt;K$32,I$30,K181&lt;K$34,I$32,K181&lt;K$36,I$34,K181&lt;K$38,I$36,K181&lt;K$40,I$38,K181&lt;K$42,I$40,K181&lt;K$44,I$42,K181&lt;K$46,I$44,K181&gt;=K$46,I$46)</f>
        <v/>
      </c>
      <c r="J181" s="37">
        <f>_xlfn.IFS(K181&lt;K$24,0,K181&lt;K$25,J$24,K181&lt;K$26,J$25,K181&lt;K$27,J$26,K181&lt;K$28,J$27,K181&lt;K$29,J$28,K181&lt;K$30,J$29,K181&lt;K$31,J$30,K181&lt;K$32,J$31,K181&lt;K$33,J$32,K181&lt;K$34,J$33,K181&lt;K$35,J$34,K181&lt;K$36,J$35,K181&lt;K$37,J$36,K181&lt;K$38,J$37,K181&lt;K$39,J$38,K181&lt;K$40,J$39,K181&lt;K$41,J$40,K181&lt;K$42,J$41,K181&lt;K$43,J$42,K181&lt;K$44,J$43,K181&lt;K$45,J$44,K181&lt;K$46,J$45,K181&lt;K$47,J$46,K181&gt;=K$47,J$47)</f>
        <v/>
      </c>
      <c r="K181" s="38" t="n">
        <v>131</v>
      </c>
      <c r="L181" s="31">
        <f>K181/52</f>
        <v/>
      </c>
      <c r="M181" s="39">
        <f>J181/1000000*52</f>
        <v/>
      </c>
      <c r="N181" s="33">
        <f>M181/$P$4+($I$22/$P$4)</f>
        <v/>
      </c>
      <c r="U181">
        <f>F180</f>
        <v/>
      </c>
      <c r="V181">
        <f>H180</f>
        <v/>
      </c>
      <c r="W181">
        <f>N180</f>
        <v/>
      </c>
    </row>
    <row r="182" ht="15.75" customHeight="1" s="40">
      <c r="C182" s="36">
        <f>_xlfn.IFS(E182&lt;E$24,0,E182&lt;E$26,C$24,E182&lt;E$28,C$26,E182&lt;E$30,C$28,E182&lt;E$32,C$30,E182&lt;E$34,C$32,E182&gt;=E$34,C$34)</f>
        <v/>
      </c>
      <c r="D182" s="37">
        <f>_xlfn.IFS(E182&lt;E$24,0,E182&lt;E$25,D$24,E182&lt;E$26,D$25,E182&lt;E$27,D$26,E182&lt;E$28,D$27,E182&lt;E$29,D$28,E182&lt;E$30,D$29,E182&lt;E$31,D$30,E182&lt;E$32,D$31,E182&lt;E$33,D$32,E182&lt;E$34,D$33,E182&lt;E$35,D$34,E182&gt;=E$35,D$35)</f>
        <v/>
      </c>
      <c r="E182" s="38" t="n">
        <v>132</v>
      </c>
      <c r="F182" s="31">
        <f>E182/52</f>
        <v/>
      </c>
      <c r="G182" s="39">
        <f>D182/1000000*52</f>
        <v/>
      </c>
      <c r="H182" s="33">
        <f>G182/$P$4+($C$22/$P$4)</f>
        <v/>
      </c>
      <c r="I182" s="36">
        <f>_xlfn.IFS(K182&lt;K$24,0,K182&lt;K$26,I$24,K182&lt;K$28,I$26,K182&lt;K$30,I$28,K182&lt;K$32,I$30,K182&lt;K$34,I$32,K182&lt;K$36,I$34,K182&lt;K$38,I$36,K182&lt;K$40,I$38,K182&lt;K$42,I$40,K182&lt;K$44,I$42,K182&lt;K$46,I$44,K182&gt;=K$46,I$46)</f>
        <v/>
      </c>
      <c r="J182" s="37">
        <f>_xlfn.IFS(K182&lt;K$24,0,K182&lt;K$25,J$24,K182&lt;K$26,J$25,K182&lt;K$27,J$26,K182&lt;K$28,J$27,K182&lt;K$29,J$28,K182&lt;K$30,J$29,K182&lt;K$31,J$30,K182&lt;K$32,J$31,K182&lt;K$33,J$32,K182&lt;K$34,J$33,K182&lt;K$35,J$34,K182&lt;K$36,J$35,K182&lt;K$37,J$36,K182&lt;K$38,J$37,K182&lt;K$39,J$38,K182&lt;K$40,J$39,K182&lt;K$41,J$40,K182&lt;K$42,J$41,K182&lt;K$43,J$42,K182&lt;K$44,J$43,K182&lt;K$45,J$44,K182&lt;K$46,J$45,K182&lt;K$47,J$46,K182&gt;=K$47,J$47)</f>
        <v/>
      </c>
      <c r="K182" s="38" t="n">
        <v>132</v>
      </c>
      <c r="L182" s="31">
        <f>K182/52</f>
        <v/>
      </c>
      <c r="M182" s="39">
        <f>J182/1000000*52</f>
        <v/>
      </c>
      <c r="N182" s="33">
        <f>M182/$P$4+($I$22/$P$4)</f>
        <v/>
      </c>
      <c r="U182">
        <f>F181</f>
        <v/>
      </c>
      <c r="V182">
        <f>H181</f>
        <v/>
      </c>
      <c r="W182">
        <f>N181</f>
        <v/>
      </c>
    </row>
    <row r="183" ht="15.75" customHeight="1" s="40">
      <c r="C183" s="36">
        <f>_xlfn.IFS(E183&lt;E$24,0,E183&lt;E$26,C$24,E183&lt;E$28,C$26,E183&lt;E$30,C$28,E183&lt;E$32,C$30,E183&lt;E$34,C$32,E183&gt;=E$34,C$34)</f>
        <v/>
      </c>
      <c r="D183" s="37">
        <f>_xlfn.IFS(E183&lt;E$24,0,E183&lt;E$25,D$24,E183&lt;E$26,D$25,E183&lt;E$27,D$26,E183&lt;E$28,D$27,E183&lt;E$29,D$28,E183&lt;E$30,D$29,E183&lt;E$31,D$30,E183&lt;E$32,D$31,E183&lt;E$33,D$32,E183&lt;E$34,D$33,E183&lt;E$35,D$34,E183&gt;=E$35,D$35)</f>
        <v/>
      </c>
      <c r="E183" s="38" t="n">
        <v>133</v>
      </c>
      <c r="F183" s="31">
        <f>E183/52</f>
        <v/>
      </c>
      <c r="G183" s="39">
        <f>D183/1000000*52</f>
        <v/>
      </c>
      <c r="H183" s="33">
        <f>G183/$P$4+($C$22/$P$4)</f>
        <v/>
      </c>
      <c r="I183" s="36">
        <f>_xlfn.IFS(K183&lt;K$24,0,K183&lt;K$26,I$24,K183&lt;K$28,I$26,K183&lt;K$30,I$28,K183&lt;K$32,I$30,K183&lt;K$34,I$32,K183&lt;K$36,I$34,K183&lt;K$38,I$36,K183&lt;K$40,I$38,K183&lt;K$42,I$40,K183&lt;K$44,I$42,K183&lt;K$46,I$44,K183&gt;=K$46,I$46)</f>
        <v/>
      </c>
      <c r="J183" s="37">
        <f>_xlfn.IFS(K183&lt;K$24,0,K183&lt;K$25,J$24,K183&lt;K$26,J$25,K183&lt;K$27,J$26,K183&lt;K$28,J$27,K183&lt;K$29,J$28,K183&lt;K$30,J$29,K183&lt;K$31,J$30,K183&lt;K$32,J$31,K183&lt;K$33,J$32,K183&lt;K$34,J$33,K183&lt;K$35,J$34,K183&lt;K$36,J$35,K183&lt;K$37,J$36,K183&lt;K$38,J$37,K183&lt;K$39,J$38,K183&lt;K$40,J$39,K183&lt;K$41,J$40,K183&lt;K$42,J$41,K183&lt;K$43,J$42,K183&lt;K$44,J$43,K183&lt;K$45,J$44,K183&lt;K$46,J$45,K183&lt;K$47,J$46,K183&gt;=K$47,J$47)</f>
        <v/>
      </c>
      <c r="K183" s="38" t="n">
        <v>133</v>
      </c>
      <c r="L183" s="31">
        <f>K183/52</f>
        <v/>
      </c>
      <c r="M183" s="39">
        <f>J183/1000000*52</f>
        <v/>
      </c>
      <c r="N183" s="33">
        <f>M183/$P$4+($I$22/$P$4)</f>
        <v/>
      </c>
      <c r="U183">
        <f>F182</f>
        <v/>
      </c>
      <c r="V183">
        <f>H182</f>
        <v/>
      </c>
      <c r="W183">
        <f>N182</f>
        <v/>
      </c>
    </row>
    <row r="184" ht="15.75" customHeight="1" s="40">
      <c r="C184" s="36">
        <f>_xlfn.IFS(E184&lt;E$24,0,E184&lt;E$26,C$24,E184&lt;E$28,C$26,E184&lt;E$30,C$28,E184&lt;E$32,C$30,E184&lt;E$34,C$32,E184&gt;=E$34,C$34)</f>
        <v/>
      </c>
      <c r="D184" s="37">
        <f>_xlfn.IFS(E184&lt;E$24,0,E184&lt;E$25,D$24,E184&lt;E$26,D$25,E184&lt;E$27,D$26,E184&lt;E$28,D$27,E184&lt;E$29,D$28,E184&lt;E$30,D$29,E184&lt;E$31,D$30,E184&lt;E$32,D$31,E184&lt;E$33,D$32,E184&lt;E$34,D$33,E184&lt;E$35,D$34,E184&gt;=E$35,D$35)</f>
        <v/>
      </c>
      <c r="E184" s="38" t="n">
        <v>134</v>
      </c>
      <c r="F184" s="31">
        <f>E184/52</f>
        <v/>
      </c>
      <c r="G184" s="39">
        <f>D184/1000000*52</f>
        <v/>
      </c>
      <c r="H184" s="33">
        <f>G184/$P$4+($C$22/$P$4)</f>
        <v/>
      </c>
      <c r="I184" s="36">
        <f>_xlfn.IFS(K184&lt;K$24,0,K184&lt;K$26,I$24,K184&lt;K$28,I$26,K184&lt;K$30,I$28,K184&lt;K$32,I$30,K184&lt;K$34,I$32,K184&lt;K$36,I$34,K184&lt;K$38,I$36,K184&lt;K$40,I$38,K184&lt;K$42,I$40,K184&lt;K$44,I$42,K184&lt;K$46,I$44,K184&gt;=K$46,I$46)</f>
        <v/>
      </c>
      <c r="J184" s="37">
        <f>_xlfn.IFS(K184&lt;K$24,0,K184&lt;K$25,J$24,K184&lt;K$26,J$25,K184&lt;K$27,J$26,K184&lt;K$28,J$27,K184&lt;K$29,J$28,K184&lt;K$30,J$29,K184&lt;K$31,J$30,K184&lt;K$32,J$31,K184&lt;K$33,J$32,K184&lt;K$34,J$33,K184&lt;K$35,J$34,K184&lt;K$36,J$35,K184&lt;K$37,J$36,K184&lt;K$38,J$37,K184&lt;K$39,J$38,K184&lt;K$40,J$39,K184&lt;K$41,J$40,K184&lt;K$42,J$41,K184&lt;K$43,J$42,K184&lt;K$44,J$43,K184&lt;K$45,J$44,K184&lt;K$46,J$45,K184&lt;K$47,J$46,K184&gt;=K$47,J$47)</f>
        <v/>
      </c>
      <c r="K184" s="38" t="n">
        <v>134</v>
      </c>
      <c r="L184" s="31">
        <f>K184/52</f>
        <v/>
      </c>
      <c r="M184" s="39">
        <f>J184/1000000*52</f>
        <v/>
      </c>
      <c r="N184" s="33">
        <f>M184/$P$4+($I$22/$P$4)</f>
        <v/>
      </c>
      <c r="U184">
        <f>F183</f>
        <v/>
      </c>
      <c r="V184">
        <f>H183</f>
        <v/>
      </c>
      <c r="W184">
        <f>N183</f>
        <v/>
      </c>
    </row>
    <row r="185" ht="15.75" customHeight="1" s="40">
      <c r="C185" s="36">
        <f>_xlfn.IFS(E185&lt;E$24,0,E185&lt;E$26,C$24,E185&lt;E$28,C$26,E185&lt;E$30,C$28,E185&lt;E$32,C$30,E185&lt;E$34,C$32,E185&gt;=E$34,C$34)</f>
        <v/>
      </c>
      <c r="D185" s="37">
        <f>_xlfn.IFS(E185&lt;E$24,0,E185&lt;E$25,D$24,E185&lt;E$26,D$25,E185&lt;E$27,D$26,E185&lt;E$28,D$27,E185&lt;E$29,D$28,E185&lt;E$30,D$29,E185&lt;E$31,D$30,E185&lt;E$32,D$31,E185&lt;E$33,D$32,E185&lt;E$34,D$33,E185&lt;E$35,D$34,E185&gt;=E$35,D$35)</f>
        <v/>
      </c>
      <c r="E185" s="38" t="n">
        <v>135</v>
      </c>
      <c r="F185" s="31">
        <f>E185/52</f>
        <v/>
      </c>
      <c r="G185" s="39">
        <f>D185/1000000*52</f>
        <v/>
      </c>
      <c r="H185" s="33">
        <f>G185/$P$4+($C$22/$P$4)</f>
        <v/>
      </c>
      <c r="I185" s="36">
        <f>_xlfn.IFS(K185&lt;K$24,0,K185&lt;K$26,I$24,K185&lt;K$28,I$26,K185&lt;K$30,I$28,K185&lt;K$32,I$30,K185&lt;K$34,I$32,K185&lt;K$36,I$34,K185&lt;K$38,I$36,K185&lt;K$40,I$38,K185&lt;K$42,I$40,K185&lt;K$44,I$42,K185&lt;K$46,I$44,K185&gt;=K$46,I$46)</f>
        <v/>
      </c>
      <c r="J185" s="37">
        <f>_xlfn.IFS(K185&lt;K$24,0,K185&lt;K$25,J$24,K185&lt;K$26,J$25,K185&lt;K$27,J$26,K185&lt;K$28,J$27,K185&lt;K$29,J$28,K185&lt;K$30,J$29,K185&lt;K$31,J$30,K185&lt;K$32,J$31,K185&lt;K$33,J$32,K185&lt;K$34,J$33,K185&lt;K$35,J$34,K185&lt;K$36,J$35,K185&lt;K$37,J$36,K185&lt;K$38,J$37,K185&lt;K$39,J$38,K185&lt;K$40,J$39,K185&lt;K$41,J$40,K185&lt;K$42,J$41,K185&lt;K$43,J$42,K185&lt;K$44,J$43,K185&lt;K$45,J$44,K185&lt;K$46,J$45,K185&lt;K$47,J$46,K185&gt;=K$47,J$47)</f>
        <v/>
      </c>
      <c r="K185" s="38" t="n">
        <v>135</v>
      </c>
      <c r="L185" s="31">
        <f>K185/52</f>
        <v/>
      </c>
      <c r="M185" s="39">
        <f>J185/1000000*52</f>
        <v/>
      </c>
      <c r="N185" s="33">
        <f>M185/$P$4+($I$22/$P$4)</f>
        <v/>
      </c>
      <c r="U185">
        <f>F184</f>
        <v/>
      </c>
      <c r="V185">
        <f>H184</f>
        <v/>
      </c>
      <c r="W185">
        <f>N184</f>
        <v/>
      </c>
    </row>
    <row r="186" ht="15.75" customHeight="1" s="40">
      <c r="C186" s="36">
        <f>_xlfn.IFS(E186&lt;E$24,0,E186&lt;E$26,C$24,E186&lt;E$28,C$26,E186&lt;E$30,C$28,E186&lt;E$32,C$30,E186&lt;E$34,C$32,E186&gt;=E$34,C$34)</f>
        <v/>
      </c>
      <c r="D186" s="37">
        <f>_xlfn.IFS(E186&lt;E$24,0,E186&lt;E$25,D$24,E186&lt;E$26,D$25,E186&lt;E$27,D$26,E186&lt;E$28,D$27,E186&lt;E$29,D$28,E186&lt;E$30,D$29,E186&lt;E$31,D$30,E186&lt;E$32,D$31,E186&lt;E$33,D$32,E186&lt;E$34,D$33,E186&lt;E$35,D$34,E186&gt;=E$35,D$35)</f>
        <v/>
      </c>
      <c r="E186" s="38" t="n">
        <v>136</v>
      </c>
      <c r="F186" s="31">
        <f>E186/52</f>
        <v/>
      </c>
      <c r="G186" s="39">
        <f>D186/1000000*52</f>
        <v/>
      </c>
      <c r="H186" s="33">
        <f>G186/$P$4+($C$22/$P$4)</f>
        <v/>
      </c>
      <c r="I186" s="36">
        <f>_xlfn.IFS(K186&lt;K$24,0,K186&lt;K$26,I$24,K186&lt;K$28,I$26,K186&lt;K$30,I$28,K186&lt;K$32,I$30,K186&lt;K$34,I$32,K186&lt;K$36,I$34,K186&lt;K$38,I$36,K186&lt;K$40,I$38,K186&lt;K$42,I$40,K186&lt;K$44,I$42,K186&lt;K$46,I$44,K186&gt;=K$46,I$46)</f>
        <v/>
      </c>
      <c r="J186" s="37">
        <f>_xlfn.IFS(K186&lt;K$24,0,K186&lt;K$25,J$24,K186&lt;K$26,J$25,K186&lt;K$27,J$26,K186&lt;K$28,J$27,K186&lt;K$29,J$28,K186&lt;K$30,J$29,K186&lt;K$31,J$30,K186&lt;K$32,J$31,K186&lt;K$33,J$32,K186&lt;K$34,J$33,K186&lt;K$35,J$34,K186&lt;K$36,J$35,K186&lt;K$37,J$36,K186&lt;K$38,J$37,K186&lt;K$39,J$38,K186&lt;K$40,J$39,K186&lt;K$41,J$40,K186&lt;K$42,J$41,K186&lt;K$43,J$42,K186&lt;K$44,J$43,K186&lt;K$45,J$44,K186&lt;K$46,J$45,K186&lt;K$47,J$46,K186&gt;=K$47,J$47)</f>
        <v/>
      </c>
      <c r="K186" s="38" t="n">
        <v>136</v>
      </c>
      <c r="L186" s="31">
        <f>K186/52</f>
        <v/>
      </c>
      <c r="M186" s="39">
        <f>J186/1000000*52</f>
        <v/>
      </c>
      <c r="N186" s="33">
        <f>M186/$P$4+($I$22/$P$4)</f>
        <v/>
      </c>
      <c r="U186">
        <f>F185</f>
        <v/>
      </c>
      <c r="V186">
        <f>H185</f>
        <v/>
      </c>
      <c r="W186">
        <f>N185</f>
        <v/>
      </c>
    </row>
    <row r="187" ht="15.75" customHeight="1" s="40">
      <c r="C187" s="36">
        <f>_xlfn.IFS(E187&lt;E$24,0,E187&lt;E$26,C$24,E187&lt;E$28,C$26,E187&lt;E$30,C$28,E187&lt;E$32,C$30,E187&lt;E$34,C$32,E187&gt;=E$34,C$34)</f>
        <v/>
      </c>
      <c r="D187" s="37">
        <f>_xlfn.IFS(E187&lt;E$24,0,E187&lt;E$25,D$24,E187&lt;E$26,D$25,E187&lt;E$27,D$26,E187&lt;E$28,D$27,E187&lt;E$29,D$28,E187&lt;E$30,D$29,E187&lt;E$31,D$30,E187&lt;E$32,D$31,E187&lt;E$33,D$32,E187&lt;E$34,D$33,E187&lt;E$35,D$34,E187&gt;=E$35,D$35)</f>
        <v/>
      </c>
      <c r="E187" s="38" t="n">
        <v>137</v>
      </c>
      <c r="F187" s="31">
        <f>E187/52</f>
        <v/>
      </c>
      <c r="G187" s="39">
        <f>D187/1000000*52</f>
        <v/>
      </c>
      <c r="H187" s="33">
        <f>G187/$P$4+($C$22/$P$4)</f>
        <v/>
      </c>
      <c r="I187" s="36">
        <f>_xlfn.IFS(K187&lt;K$24,0,K187&lt;K$26,I$24,K187&lt;K$28,I$26,K187&lt;K$30,I$28,K187&lt;K$32,I$30,K187&lt;K$34,I$32,K187&lt;K$36,I$34,K187&lt;K$38,I$36,K187&lt;K$40,I$38,K187&lt;K$42,I$40,K187&lt;K$44,I$42,K187&lt;K$46,I$44,K187&gt;=K$46,I$46)</f>
        <v/>
      </c>
      <c r="J187" s="37">
        <f>_xlfn.IFS(K187&lt;K$24,0,K187&lt;K$25,J$24,K187&lt;K$26,J$25,K187&lt;K$27,J$26,K187&lt;K$28,J$27,K187&lt;K$29,J$28,K187&lt;K$30,J$29,K187&lt;K$31,J$30,K187&lt;K$32,J$31,K187&lt;K$33,J$32,K187&lt;K$34,J$33,K187&lt;K$35,J$34,K187&lt;K$36,J$35,K187&lt;K$37,J$36,K187&lt;K$38,J$37,K187&lt;K$39,J$38,K187&lt;K$40,J$39,K187&lt;K$41,J$40,K187&lt;K$42,J$41,K187&lt;K$43,J$42,K187&lt;K$44,J$43,K187&lt;K$45,J$44,K187&lt;K$46,J$45,K187&lt;K$47,J$46,K187&gt;=K$47,J$47)</f>
        <v/>
      </c>
      <c r="K187" s="38" t="n">
        <v>137</v>
      </c>
      <c r="L187" s="31">
        <f>K187/52</f>
        <v/>
      </c>
      <c r="M187" s="39">
        <f>J187/1000000*52</f>
        <v/>
      </c>
      <c r="N187" s="33">
        <f>M187/$P$4+($I$22/$P$4)</f>
        <v/>
      </c>
      <c r="U187">
        <f>F186</f>
        <v/>
      </c>
      <c r="V187">
        <f>H186</f>
        <v/>
      </c>
      <c r="W187">
        <f>N186</f>
        <v/>
      </c>
    </row>
    <row r="188" ht="15.75" customHeight="1" s="40">
      <c r="C188" s="36">
        <f>_xlfn.IFS(E188&lt;E$24,0,E188&lt;E$26,C$24,E188&lt;E$28,C$26,E188&lt;E$30,C$28,E188&lt;E$32,C$30,E188&lt;E$34,C$32,E188&gt;=E$34,C$34)</f>
        <v/>
      </c>
      <c r="D188" s="37">
        <f>_xlfn.IFS(E188&lt;E$24,0,E188&lt;E$25,D$24,E188&lt;E$26,D$25,E188&lt;E$27,D$26,E188&lt;E$28,D$27,E188&lt;E$29,D$28,E188&lt;E$30,D$29,E188&lt;E$31,D$30,E188&lt;E$32,D$31,E188&lt;E$33,D$32,E188&lt;E$34,D$33,E188&lt;E$35,D$34,E188&gt;=E$35,D$35)</f>
        <v/>
      </c>
      <c r="E188" s="38" t="n">
        <v>138</v>
      </c>
      <c r="F188" s="31">
        <f>E188/52</f>
        <v/>
      </c>
      <c r="G188" s="39">
        <f>D188/1000000*52</f>
        <v/>
      </c>
      <c r="H188" s="33">
        <f>G188/$P$4+($C$22/$P$4)</f>
        <v/>
      </c>
      <c r="I188" s="36">
        <f>_xlfn.IFS(K188&lt;K$24,0,K188&lt;K$26,I$24,K188&lt;K$28,I$26,K188&lt;K$30,I$28,K188&lt;K$32,I$30,K188&lt;K$34,I$32,K188&lt;K$36,I$34,K188&lt;K$38,I$36,K188&lt;K$40,I$38,K188&lt;K$42,I$40,K188&lt;K$44,I$42,K188&lt;K$46,I$44,K188&gt;=K$46,I$46)</f>
        <v/>
      </c>
      <c r="J188" s="37">
        <f>_xlfn.IFS(K188&lt;K$24,0,K188&lt;K$25,J$24,K188&lt;K$26,J$25,K188&lt;K$27,J$26,K188&lt;K$28,J$27,K188&lt;K$29,J$28,K188&lt;K$30,J$29,K188&lt;K$31,J$30,K188&lt;K$32,J$31,K188&lt;K$33,J$32,K188&lt;K$34,J$33,K188&lt;K$35,J$34,K188&lt;K$36,J$35,K188&lt;K$37,J$36,K188&lt;K$38,J$37,K188&lt;K$39,J$38,K188&lt;K$40,J$39,K188&lt;K$41,J$40,K188&lt;K$42,J$41,K188&lt;K$43,J$42,K188&lt;K$44,J$43,K188&lt;K$45,J$44,K188&lt;K$46,J$45,K188&lt;K$47,J$46,K188&gt;=K$47,J$47)</f>
        <v/>
      </c>
      <c r="K188" s="38" t="n">
        <v>138</v>
      </c>
      <c r="L188" s="31">
        <f>K188/52</f>
        <v/>
      </c>
      <c r="M188" s="39">
        <f>J188/1000000*52</f>
        <v/>
      </c>
      <c r="N188" s="33">
        <f>M188/$P$4+($I$22/$P$4)</f>
        <v/>
      </c>
      <c r="U188">
        <f>F187</f>
        <v/>
      </c>
      <c r="V188">
        <f>H187</f>
        <v/>
      </c>
      <c r="W188">
        <f>N187</f>
        <v/>
      </c>
    </row>
    <row r="189" ht="15.75" customHeight="1" s="40">
      <c r="C189" s="36">
        <f>_xlfn.IFS(E189&lt;E$24,0,E189&lt;E$26,C$24,E189&lt;E$28,C$26,E189&lt;E$30,C$28,E189&lt;E$32,C$30,E189&lt;E$34,C$32,E189&gt;=E$34,C$34)</f>
        <v/>
      </c>
      <c r="D189" s="37">
        <f>_xlfn.IFS(E189&lt;E$24,0,E189&lt;E$25,D$24,E189&lt;E$26,D$25,E189&lt;E$27,D$26,E189&lt;E$28,D$27,E189&lt;E$29,D$28,E189&lt;E$30,D$29,E189&lt;E$31,D$30,E189&lt;E$32,D$31,E189&lt;E$33,D$32,E189&lt;E$34,D$33,E189&lt;E$35,D$34,E189&gt;=E$35,D$35)</f>
        <v/>
      </c>
      <c r="E189" s="38" t="n">
        <v>139</v>
      </c>
      <c r="F189" s="31">
        <f>E189/52</f>
        <v/>
      </c>
      <c r="G189" s="39">
        <f>D189/1000000*52</f>
        <v/>
      </c>
      <c r="H189" s="33">
        <f>G189/$P$4+($C$22/$P$4)</f>
        <v/>
      </c>
      <c r="I189" s="36">
        <f>_xlfn.IFS(K189&lt;K$24,0,K189&lt;K$26,I$24,K189&lt;K$28,I$26,K189&lt;K$30,I$28,K189&lt;K$32,I$30,K189&lt;K$34,I$32,K189&lt;K$36,I$34,K189&lt;K$38,I$36,K189&lt;K$40,I$38,K189&lt;K$42,I$40,K189&lt;K$44,I$42,K189&lt;K$46,I$44,K189&gt;=K$46,I$46)</f>
        <v/>
      </c>
      <c r="J189" s="37">
        <f>_xlfn.IFS(K189&lt;K$24,0,K189&lt;K$25,J$24,K189&lt;K$26,J$25,K189&lt;K$27,J$26,K189&lt;K$28,J$27,K189&lt;K$29,J$28,K189&lt;K$30,J$29,K189&lt;K$31,J$30,K189&lt;K$32,J$31,K189&lt;K$33,J$32,K189&lt;K$34,J$33,K189&lt;K$35,J$34,K189&lt;K$36,J$35,K189&lt;K$37,J$36,K189&lt;K$38,J$37,K189&lt;K$39,J$38,K189&lt;K$40,J$39,K189&lt;K$41,J$40,K189&lt;K$42,J$41,K189&lt;K$43,J$42,K189&lt;K$44,J$43,K189&lt;K$45,J$44,K189&lt;K$46,J$45,K189&lt;K$47,J$46,K189&gt;=K$47,J$47)</f>
        <v/>
      </c>
      <c r="K189" s="38" t="n">
        <v>139</v>
      </c>
      <c r="L189" s="31">
        <f>K189/52</f>
        <v/>
      </c>
      <c r="M189" s="39">
        <f>J189/1000000*52</f>
        <v/>
      </c>
      <c r="N189" s="33">
        <f>M189/$P$4+($I$22/$P$4)</f>
        <v/>
      </c>
      <c r="U189">
        <f>F188</f>
        <v/>
      </c>
      <c r="V189">
        <f>H188</f>
        <v/>
      </c>
      <c r="W189">
        <f>N188</f>
        <v/>
      </c>
    </row>
    <row r="190" ht="15.75" customHeight="1" s="40">
      <c r="C190" s="36">
        <f>_xlfn.IFS(E190&lt;E$24,0,E190&lt;E$26,C$24,E190&lt;E$28,C$26,E190&lt;E$30,C$28,E190&lt;E$32,C$30,E190&lt;E$34,C$32,E190&gt;=E$34,C$34)</f>
        <v/>
      </c>
      <c r="D190" s="37">
        <f>_xlfn.IFS(E190&lt;E$24,0,E190&lt;E$25,D$24,E190&lt;E$26,D$25,E190&lt;E$27,D$26,E190&lt;E$28,D$27,E190&lt;E$29,D$28,E190&lt;E$30,D$29,E190&lt;E$31,D$30,E190&lt;E$32,D$31,E190&lt;E$33,D$32,E190&lt;E$34,D$33,E190&lt;E$35,D$34,E190&gt;=E$35,D$35)</f>
        <v/>
      </c>
      <c r="E190" s="38" t="n">
        <v>140</v>
      </c>
      <c r="F190" s="31">
        <f>E190/52</f>
        <v/>
      </c>
      <c r="G190" s="39">
        <f>D190/1000000*52</f>
        <v/>
      </c>
      <c r="H190" s="33">
        <f>G190/$P$4+($C$22/$P$4)</f>
        <v/>
      </c>
      <c r="I190" s="36">
        <f>_xlfn.IFS(K190&lt;K$24,0,K190&lt;K$26,I$24,K190&lt;K$28,I$26,K190&lt;K$30,I$28,K190&lt;K$32,I$30,K190&lt;K$34,I$32,K190&lt;K$36,I$34,K190&lt;K$38,I$36,K190&lt;K$40,I$38,K190&lt;K$42,I$40,K190&lt;K$44,I$42,K190&lt;K$46,I$44,K190&gt;=K$46,I$46)</f>
        <v/>
      </c>
      <c r="J190" s="37">
        <f>_xlfn.IFS(K190&lt;K$24,0,K190&lt;K$25,J$24,K190&lt;K$26,J$25,K190&lt;K$27,J$26,K190&lt;K$28,J$27,K190&lt;K$29,J$28,K190&lt;K$30,J$29,K190&lt;K$31,J$30,K190&lt;K$32,J$31,K190&lt;K$33,J$32,K190&lt;K$34,J$33,K190&lt;K$35,J$34,K190&lt;K$36,J$35,K190&lt;K$37,J$36,K190&lt;K$38,J$37,K190&lt;K$39,J$38,K190&lt;K$40,J$39,K190&lt;K$41,J$40,K190&lt;K$42,J$41,K190&lt;K$43,J$42,K190&lt;K$44,J$43,K190&lt;K$45,J$44,K190&lt;K$46,J$45,K190&lt;K$47,J$46,K190&gt;=K$47,J$47)</f>
        <v/>
      </c>
      <c r="K190" s="38" t="n">
        <v>140</v>
      </c>
      <c r="L190" s="31">
        <f>K190/52</f>
        <v/>
      </c>
      <c r="M190" s="39">
        <f>J190/1000000*52</f>
        <v/>
      </c>
      <c r="N190" s="33">
        <f>M190/$P$4+($I$22/$P$4)</f>
        <v/>
      </c>
      <c r="U190">
        <f>F189</f>
        <v/>
      </c>
      <c r="V190">
        <f>H189</f>
        <v/>
      </c>
      <c r="W190">
        <f>N189</f>
        <v/>
      </c>
    </row>
    <row r="191" ht="15.75" customHeight="1" s="40">
      <c r="C191" s="36">
        <f>_xlfn.IFS(E191&lt;E$24,0,E191&lt;E$26,C$24,E191&lt;E$28,C$26,E191&lt;E$30,C$28,E191&lt;E$32,C$30,E191&lt;E$34,C$32,E191&gt;=E$34,C$34)</f>
        <v/>
      </c>
      <c r="D191" s="37">
        <f>_xlfn.IFS(E191&lt;E$24,0,E191&lt;E$25,D$24,E191&lt;E$26,D$25,E191&lt;E$27,D$26,E191&lt;E$28,D$27,E191&lt;E$29,D$28,E191&lt;E$30,D$29,E191&lt;E$31,D$30,E191&lt;E$32,D$31,E191&lt;E$33,D$32,E191&lt;E$34,D$33,E191&lt;E$35,D$34,E191&gt;=E$35,D$35)</f>
        <v/>
      </c>
      <c r="E191" s="38" t="n">
        <v>141</v>
      </c>
      <c r="F191" s="31">
        <f>E191/52</f>
        <v/>
      </c>
      <c r="G191" s="39">
        <f>D191/1000000*52</f>
        <v/>
      </c>
      <c r="H191" s="33">
        <f>G191/$P$4+($C$22/$P$4)</f>
        <v/>
      </c>
      <c r="I191" s="36">
        <f>_xlfn.IFS(K191&lt;K$24,0,K191&lt;K$26,I$24,K191&lt;K$28,I$26,K191&lt;K$30,I$28,K191&lt;K$32,I$30,K191&lt;K$34,I$32,K191&lt;K$36,I$34,K191&lt;K$38,I$36,K191&lt;K$40,I$38,K191&lt;K$42,I$40,K191&lt;K$44,I$42,K191&lt;K$46,I$44,K191&gt;=K$46,I$46)</f>
        <v/>
      </c>
      <c r="J191" s="37">
        <f>_xlfn.IFS(K191&lt;K$24,0,K191&lt;K$25,J$24,K191&lt;K$26,J$25,K191&lt;K$27,J$26,K191&lt;K$28,J$27,K191&lt;K$29,J$28,K191&lt;K$30,J$29,K191&lt;K$31,J$30,K191&lt;K$32,J$31,K191&lt;K$33,J$32,K191&lt;K$34,J$33,K191&lt;K$35,J$34,K191&lt;K$36,J$35,K191&lt;K$37,J$36,K191&lt;K$38,J$37,K191&lt;K$39,J$38,K191&lt;K$40,J$39,K191&lt;K$41,J$40,K191&lt;K$42,J$41,K191&lt;K$43,J$42,K191&lt;K$44,J$43,K191&lt;K$45,J$44,K191&lt;K$46,J$45,K191&lt;K$47,J$46,K191&gt;=K$47,J$47)</f>
        <v/>
      </c>
      <c r="K191" s="38" t="n">
        <v>141</v>
      </c>
      <c r="L191" s="31">
        <f>K191/52</f>
        <v/>
      </c>
      <c r="M191" s="39">
        <f>J191/1000000*52</f>
        <v/>
      </c>
      <c r="N191" s="33">
        <f>M191/$P$4+($I$22/$P$4)</f>
        <v/>
      </c>
      <c r="U191">
        <f>F190</f>
        <v/>
      </c>
      <c r="V191">
        <f>H190</f>
        <v/>
      </c>
      <c r="W191">
        <f>N190</f>
        <v/>
      </c>
    </row>
    <row r="192" ht="15.75" customHeight="1" s="40">
      <c r="C192" s="36">
        <f>_xlfn.IFS(E192&lt;E$24,0,E192&lt;E$26,C$24,E192&lt;E$28,C$26,E192&lt;E$30,C$28,E192&lt;E$32,C$30,E192&lt;E$34,C$32,E192&gt;=E$34,C$34)</f>
        <v/>
      </c>
      <c r="D192" s="37">
        <f>_xlfn.IFS(E192&lt;E$24,0,E192&lt;E$25,D$24,E192&lt;E$26,D$25,E192&lt;E$27,D$26,E192&lt;E$28,D$27,E192&lt;E$29,D$28,E192&lt;E$30,D$29,E192&lt;E$31,D$30,E192&lt;E$32,D$31,E192&lt;E$33,D$32,E192&lt;E$34,D$33,E192&lt;E$35,D$34,E192&gt;=E$35,D$35)</f>
        <v/>
      </c>
      <c r="E192" s="38" t="n">
        <v>142</v>
      </c>
      <c r="F192" s="31">
        <f>E192/52</f>
        <v/>
      </c>
      <c r="G192" s="39">
        <f>D192/1000000*52</f>
        <v/>
      </c>
      <c r="H192" s="33">
        <f>G192/$P$4+($C$22/$P$4)</f>
        <v/>
      </c>
      <c r="I192" s="36">
        <f>_xlfn.IFS(K192&lt;K$24,0,K192&lt;K$26,I$24,K192&lt;K$28,I$26,K192&lt;K$30,I$28,K192&lt;K$32,I$30,K192&lt;K$34,I$32,K192&lt;K$36,I$34,K192&lt;K$38,I$36,K192&lt;K$40,I$38,K192&lt;K$42,I$40,K192&lt;K$44,I$42,K192&lt;K$46,I$44,K192&gt;=K$46,I$46)</f>
        <v/>
      </c>
      <c r="J192" s="37">
        <f>_xlfn.IFS(K192&lt;K$24,0,K192&lt;K$25,J$24,K192&lt;K$26,J$25,K192&lt;K$27,J$26,K192&lt;K$28,J$27,K192&lt;K$29,J$28,K192&lt;K$30,J$29,K192&lt;K$31,J$30,K192&lt;K$32,J$31,K192&lt;K$33,J$32,K192&lt;K$34,J$33,K192&lt;K$35,J$34,K192&lt;K$36,J$35,K192&lt;K$37,J$36,K192&lt;K$38,J$37,K192&lt;K$39,J$38,K192&lt;K$40,J$39,K192&lt;K$41,J$40,K192&lt;K$42,J$41,K192&lt;K$43,J$42,K192&lt;K$44,J$43,K192&lt;K$45,J$44,K192&lt;K$46,J$45,K192&lt;K$47,J$46,K192&gt;=K$47,J$47)</f>
        <v/>
      </c>
      <c r="K192" s="38" t="n">
        <v>142</v>
      </c>
      <c r="L192" s="31">
        <f>K192/52</f>
        <v/>
      </c>
      <c r="M192" s="39">
        <f>J192/1000000*52</f>
        <v/>
      </c>
      <c r="N192" s="33">
        <f>M192/$P$4+($I$22/$P$4)</f>
        <v/>
      </c>
      <c r="U192">
        <f>F191</f>
        <v/>
      </c>
      <c r="V192">
        <f>H191</f>
        <v/>
      </c>
      <c r="W192">
        <f>N191</f>
        <v/>
      </c>
    </row>
    <row r="193" ht="15.75" customHeight="1" s="40">
      <c r="C193" s="36">
        <f>_xlfn.IFS(E193&lt;E$24,0,E193&lt;E$26,C$24,E193&lt;E$28,C$26,E193&lt;E$30,C$28,E193&lt;E$32,C$30,E193&lt;E$34,C$32,E193&gt;=E$34,C$34)</f>
        <v/>
      </c>
      <c r="D193" s="37">
        <f>_xlfn.IFS(E193&lt;E$24,0,E193&lt;E$25,D$24,E193&lt;E$26,D$25,E193&lt;E$27,D$26,E193&lt;E$28,D$27,E193&lt;E$29,D$28,E193&lt;E$30,D$29,E193&lt;E$31,D$30,E193&lt;E$32,D$31,E193&lt;E$33,D$32,E193&lt;E$34,D$33,E193&lt;E$35,D$34,E193&gt;=E$35,D$35)</f>
        <v/>
      </c>
      <c r="E193" s="38" t="n">
        <v>143</v>
      </c>
      <c r="F193" s="31">
        <f>E193/52</f>
        <v/>
      </c>
      <c r="G193" s="39">
        <f>D193/1000000*52</f>
        <v/>
      </c>
      <c r="H193" s="33">
        <f>G193/$P$4+($C$22/$P$4)</f>
        <v/>
      </c>
      <c r="I193" s="36">
        <f>_xlfn.IFS(K193&lt;K$24,0,K193&lt;K$26,I$24,K193&lt;K$28,I$26,K193&lt;K$30,I$28,K193&lt;K$32,I$30,K193&lt;K$34,I$32,K193&lt;K$36,I$34,K193&lt;K$38,I$36,K193&lt;K$40,I$38,K193&lt;K$42,I$40,K193&lt;K$44,I$42,K193&lt;K$46,I$44,K193&gt;=K$46,I$46)</f>
        <v/>
      </c>
      <c r="J193" s="37">
        <f>_xlfn.IFS(K193&lt;K$24,0,K193&lt;K$25,J$24,K193&lt;K$26,J$25,K193&lt;K$27,J$26,K193&lt;K$28,J$27,K193&lt;K$29,J$28,K193&lt;K$30,J$29,K193&lt;K$31,J$30,K193&lt;K$32,J$31,K193&lt;K$33,J$32,K193&lt;K$34,J$33,K193&lt;K$35,J$34,K193&lt;K$36,J$35,K193&lt;K$37,J$36,K193&lt;K$38,J$37,K193&lt;K$39,J$38,K193&lt;K$40,J$39,K193&lt;K$41,J$40,K193&lt;K$42,J$41,K193&lt;K$43,J$42,K193&lt;K$44,J$43,K193&lt;K$45,J$44,K193&lt;K$46,J$45,K193&lt;K$47,J$46,K193&gt;=K$47,J$47)</f>
        <v/>
      </c>
      <c r="K193" s="38" t="n">
        <v>143</v>
      </c>
      <c r="L193" s="31">
        <f>K193/52</f>
        <v/>
      </c>
      <c r="M193" s="39">
        <f>J193/1000000*52</f>
        <v/>
      </c>
      <c r="N193" s="33">
        <f>M193/$P$4+($I$22/$P$4)</f>
        <v/>
      </c>
      <c r="U193">
        <f>F192</f>
        <v/>
      </c>
      <c r="V193">
        <f>H192</f>
        <v/>
      </c>
      <c r="W193">
        <f>N192</f>
        <v/>
      </c>
    </row>
    <row r="194" ht="15.75" customHeight="1" s="40">
      <c r="C194" s="36">
        <f>_xlfn.IFS(E194&lt;E$24,0,E194&lt;E$26,C$24,E194&lt;E$28,C$26,E194&lt;E$30,C$28,E194&lt;E$32,C$30,E194&lt;E$34,C$32,E194&gt;=E$34,C$34)</f>
        <v/>
      </c>
      <c r="D194" s="37">
        <f>_xlfn.IFS(E194&lt;E$24,0,E194&lt;E$25,D$24,E194&lt;E$26,D$25,E194&lt;E$27,D$26,E194&lt;E$28,D$27,E194&lt;E$29,D$28,E194&lt;E$30,D$29,E194&lt;E$31,D$30,E194&lt;E$32,D$31,E194&lt;E$33,D$32,E194&lt;E$34,D$33,E194&lt;E$35,D$34,E194&gt;=E$35,D$35)</f>
        <v/>
      </c>
      <c r="E194" s="38" t="n">
        <v>144</v>
      </c>
      <c r="F194" s="31">
        <f>E194/52</f>
        <v/>
      </c>
      <c r="G194" s="39">
        <f>D194/1000000*52</f>
        <v/>
      </c>
      <c r="H194" s="33">
        <f>G194/$P$4+($C$22/$P$4)</f>
        <v/>
      </c>
      <c r="I194" s="36">
        <f>_xlfn.IFS(K194&lt;K$24,0,K194&lt;K$26,I$24,K194&lt;K$28,I$26,K194&lt;K$30,I$28,K194&lt;K$32,I$30,K194&lt;K$34,I$32,K194&lt;K$36,I$34,K194&lt;K$38,I$36,K194&lt;K$40,I$38,K194&lt;K$42,I$40,K194&lt;K$44,I$42,K194&lt;K$46,I$44,K194&gt;=K$46,I$46)</f>
        <v/>
      </c>
      <c r="J194" s="37">
        <f>_xlfn.IFS(K194&lt;K$24,0,K194&lt;K$25,J$24,K194&lt;K$26,J$25,K194&lt;K$27,J$26,K194&lt;K$28,J$27,K194&lt;K$29,J$28,K194&lt;K$30,J$29,K194&lt;K$31,J$30,K194&lt;K$32,J$31,K194&lt;K$33,J$32,K194&lt;K$34,J$33,K194&lt;K$35,J$34,K194&lt;K$36,J$35,K194&lt;K$37,J$36,K194&lt;K$38,J$37,K194&lt;K$39,J$38,K194&lt;K$40,J$39,K194&lt;K$41,J$40,K194&lt;K$42,J$41,K194&lt;K$43,J$42,K194&lt;K$44,J$43,K194&lt;K$45,J$44,K194&lt;K$46,J$45,K194&lt;K$47,J$46,K194&gt;=K$47,J$47)</f>
        <v/>
      </c>
      <c r="K194" s="38" t="n">
        <v>144</v>
      </c>
      <c r="L194" s="31">
        <f>K194/52</f>
        <v/>
      </c>
      <c r="M194" s="39">
        <f>J194/1000000*52</f>
        <v/>
      </c>
      <c r="N194" s="33">
        <f>M194/$P$4+($I$22/$P$4)</f>
        <v/>
      </c>
      <c r="U194">
        <f>F193</f>
        <v/>
      </c>
      <c r="V194">
        <f>H193</f>
        <v/>
      </c>
      <c r="W194">
        <f>N193</f>
        <v/>
      </c>
    </row>
    <row r="195" ht="15.75" customHeight="1" s="40">
      <c r="C195" s="36">
        <f>_xlfn.IFS(E195&lt;E$24,0,E195&lt;E$26,C$24,E195&lt;E$28,C$26,E195&lt;E$30,C$28,E195&lt;E$32,C$30,E195&lt;E$34,C$32,E195&gt;=E$34,C$34)</f>
        <v/>
      </c>
      <c r="D195" s="37">
        <f>_xlfn.IFS(E195&lt;E$24,0,E195&lt;E$25,D$24,E195&lt;E$26,D$25,E195&lt;E$27,D$26,E195&lt;E$28,D$27,E195&lt;E$29,D$28,E195&lt;E$30,D$29,E195&lt;E$31,D$30,E195&lt;E$32,D$31,E195&lt;E$33,D$32,E195&lt;E$34,D$33,E195&lt;E$35,D$34,E195&gt;=E$35,D$35)</f>
        <v/>
      </c>
      <c r="E195" s="38" t="n">
        <v>145</v>
      </c>
      <c r="F195" s="31">
        <f>E195/52</f>
        <v/>
      </c>
      <c r="G195" s="39">
        <f>D195/1000000*52</f>
        <v/>
      </c>
      <c r="H195" s="33">
        <f>G195/$P$4+($C$22/$P$4)</f>
        <v/>
      </c>
      <c r="I195" s="36">
        <f>_xlfn.IFS(K195&lt;K$24,0,K195&lt;K$26,I$24,K195&lt;K$28,I$26,K195&lt;K$30,I$28,K195&lt;K$32,I$30,K195&lt;K$34,I$32,K195&lt;K$36,I$34,K195&lt;K$38,I$36,K195&lt;K$40,I$38,K195&lt;K$42,I$40,K195&lt;K$44,I$42,K195&lt;K$46,I$44,K195&gt;=K$46,I$46)</f>
        <v/>
      </c>
      <c r="J195" s="37">
        <f>_xlfn.IFS(K195&lt;K$24,0,K195&lt;K$25,J$24,K195&lt;K$26,J$25,K195&lt;K$27,J$26,K195&lt;K$28,J$27,K195&lt;K$29,J$28,K195&lt;K$30,J$29,K195&lt;K$31,J$30,K195&lt;K$32,J$31,K195&lt;K$33,J$32,K195&lt;K$34,J$33,K195&lt;K$35,J$34,K195&lt;K$36,J$35,K195&lt;K$37,J$36,K195&lt;K$38,J$37,K195&lt;K$39,J$38,K195&lt;K$40,J$39,K195&lt;K$41,J$40,K195&lt;K$42,J$41,K195&lt;K$43,J$42,K195&lt;K$44,J$43,K195&lt;K$45,J$44,K195&lt;K$46,J$45,K195&lt;K$47,J$46,K195&gt;=K$47,J$47)</f>
        <v/>
      </c>
      <c r="K195" s="38" t="n">
        <v>145</v>
      </c>
      <c r="L195" s="31">
        <f>K195/52</f>
        <v/>
      </c>
      <c r="M195" s="39">
        <f>J195/1000000*52</f>
        <v/>
      </c>
      <c r="N195" s="33">
        <f>M195/$P$4+($I$22/$P$4)</f>
        <v/>
      </c>
      <c r="U195">
        <f>F194</f>
        <v/>
      </c>
      <c r="V195">
        <f>H194</f>
        <v/>
      </c>
      <c r="W195">
        <f>N194</f>
        <v/>
      </c>
    </row>
    <row r="196" ht="15.75" customHeight="1" s="40">
      <c r="C196" s="36">
        <f>_xlfn.IFS(E196&lt;E$24,0,E196&lt;E$26,C$24,E196&lt;E$28,C$26,E196&lt;E$30,C$28,E196&lt;E$32,C$30,E196&lt;E$34,C$32,E196&gt;=E$34,C$34)</f>
        <v/>
      </c>
      <c r="D196" s="37">
        <f>_xlfn.IFS(E196&lt;E$24,0,E196&lt;E$25,D$24,E196&lt;E$26,D$25,E196&lt;E$27,D$26,E196&lt;E$28,D$27,E196&lt;E$29,D$28,E196&lt;E$30,D$29,E196&lt;E$31,D$30,E196&lt;E$32,D$31,E196&lt;E$33,D$32,E196&lt;E$34,D$33,E196&lt;E$35,D$34,E196&gt;=E$35,D$35)</f>
        <v/>
      </c>
      <c r="E196" s="38" t="n">
        <v>146</v>
      </c>
      <c r="F196" s="31">
        <f>E196/52</f>
        <v/>
      </c>
      <c r="G196" s="39">
        <f>D196/1000000*52</f>
        <v/>
      </c>
      <c r="H196" s="33">
        <f>G196/$P$4+($C$22/$P$4)</f>
        <v/>
      </c>
      <c r="I196" s="36">
        <f>_xlfn.IFS(K196&lt;K$24,0,K196&lt;K$26,I$24,K196&lt;K$28,I$26,K196&lt;K$30,I$28,K196&lt;K$32,I$30,K196&lt;K$34,I$32,K196&lt;K$36,I$34,K196&lt;K$38,I$36,K196&lt;K$40,I$38,K196&lt;K$42,I$40,K196&lt;K$44,I$42,K196&lt;K$46,I$44,K196&gt;=K$46,I$46)</f>
        <v/>
      </c>
      <c r="J196" s="37">
        <f>_xlfn.IFS(K196&lt;K$24,0,K196&lt;K$25,J$24,K196&lt;K$26,J$25,K196&lt;K$27,J$26,K196&lt;K$28,J$27,K196&lt;K$29,J$28,K196&lt;K$30,J$29,K196&lt;K$31,J$30,K196&lt;K$32,J$31,K196&lt;K$33,J$32,K196&lt;K$34,J$33,K196&lt;K$35,J$34,K196&lt;K$36,J$35,K196&lt;K$37,J$36,K196&lt;K$38,J$37,K196&lt;K$39,J$38,K196&lt;K$40,J$39,K196&lt;K$41,J$40,K196&lt;K$42,J$41,K196&lt;K$43,J$42,K196&lt;K$44,J$43,K196&lt;K$45,J$44,K196&lt;K$46,J$45,K196&lt;K$47,J$46,K196&gt;=K$47,J$47)</f>
        <v/>
      </c>
      <c r="K196" s="38" t="n">
        <v>146</v>
      </c>
      <c r="L196" s="31">
        <f>K196/52</f>
        <v/>
      </c>
      <c r="M196" s="39">
        <f>J196/1000000*52</f>
        <v/>
      </c>
      <c r="N196" s="33">
        <f>M196/$P$4+($I$22/$P$4)</f>
        <v/>
      </c>
      <c r="U196">
        <f>F195</f>
        <v/>
      </c>
      <c r="V196">
        <f>H195</f>
        <v/>
      </c>
      <c r="W196">
        <f>N195</f>
        <v/>
      </c>
    </row>
    <row r="197" ht="15.75" customHeight="1" s="40">
      <c r="C197" s="36">
        <f>_xlfn.IFS(E197&lt;E$24,0,E197&lt;E$26,C$24,E197&lt;E$28,C$26,E197&lt;E$30,C$28,E197&lt;E$32,C$30,E197&lt;E$34,C$32,E197&gt;=E$34,C$34)</f>
        <v/>
      </c>
      <c r="D197" s="37">
        <f>_xlfn.IFS(E197&lt;E$24,0,E197&lt;E$25,D$24,E197&lt;E$26,D$25,E197&lt;E$27,D$26,E197&lt;E$28,D$27,E197&lt;E$29,D$28,E197&lt;E$30,D$29,E197&lt;E$31,D$30,E197&lt;E$32,D$31,E197&lt;E$33,D$32,E197&lt;E$34,D$33,E197&lt;E$35,D$34,E197&gt;=E$35,D$35)</f>
        <v/>
      </c>
      <c r="E197" s="38" t="n">
        <v>147</v>
      </c>
      <c r="F197" s="31">
        <f>E197/52</f>
        <v/>
      </c>
      <c r="G197" s="39">
        <f>D197/1000000*52</f>
        <v/>
      </c>
      <c r="H197" s="33">
        <f>G197/$P$4+($C$22/$P$4)</f>
        <v/>
      </c>
      <c r="I197" s="36">
        <f>_xlfn.IFS(K197&lt;K$24,0,K197&lt;K$26,I$24,K197&lt;K$28,I$26,K197&lt;K$30,I$28,K197&lt;K$32,I$30,K197&lt;K$34,I$32,K197&lt;K$36,I$34,K197&lt;K$38,I$36,K197&lt;K$40,I$38,K197&lt;K$42,I$40,K197&lt;K$44,I$42,K197&lt;K$46,I$44,K197&gt;=K$46,I$46)</f>
        <v/>
      </c>
      <c r="J197" s="37">
        <f>_xlfn.IFS(K197&lt;K$24,0,K197&lt;K$25,J$24,K197&lt;K$26,J$25,K197&lt;K$27,J$26,K197&lt;K$28,J$27,K197&lt;K$29,J$28,K197&lt;K$30,J$29,K197&lt;K$31,J$30,K197&lt;K$32,J$31,K197&lt;K$33,J$32,K197&lt;K$34,J$33,K197&lt;K$35,J$34,K197&lt;K$36,J$35,K197&lt;K$37,J$36,K197&lt;K$38,J$37,K197&lt;K$39,J$38,K197&lt;K$40,J$39,K197&lt;K$41,J$40,K197&lt;K$42,J$41,K197&lt;K$43,J$42,K197&lt;K$44,J$43,K197&lt;K$45,J$44,K197&lt;K$46,J$45,K197&lt;K$47,J$46,K197&gt;=K$47,J$47)</f>
        <v/>
      </c>
      <c r="K197" s="38" t="n">
        <v>147</v>
      </c>
      <c r="L197" s="31">
        <f>K197/52</f>
        <v/>
      </c>
      <c r="M197" s="39">
        <f>J197/1000000*52</f>
        <v/>
      </c>
      <c r="N197" s="33">
        <f>M197/$P$4+($I$22/$P$4)</f>
        <v/>
      </c>
      <c r="U197">
        <f>F196</f>
        <v/>
      </c>
      <c r="V197">
        <f>H196</f>
        <v/>
      </c>
      <c r="W197">
        <f>N196</f>
        <v/>
      </c>
    </row>
    <row r="198" ht="15.75" customHeight="1" s="40">
      <c r="C198" s="36">
        <f>_xlfn.IFS(E198&lt;E$24,0,E198&lt;E$26,C$24,E198&lt;E$28,C$26,E198&lt;E$30,C$28,E198&lt;E$32,C$30,E198&lt;E$34,C$32,E198&gt;=E$34,C$34)</f>
        <v/>
      </c>
      <c r="D198" s="37">
        <f>_xlfn.IFS(E198&lt;E$24,0,E198&lt;E$25,D$24,E198&lt;E$26,D$25,E198&lt;E$27,D$26,E198&lt;E$28,D$27,E198&lt;E$29,D$28,E198&lt;E$30,D$29,E198&lt;E$31,D$30,E198&lt;E$32,D$31,E198&lt;E$33,D$32,E198&lt;E$34,D$33,E198&lt;E$35,D$34,E198&gt;=E$35,D$35)</f>
        <v/>
      </c>
      <c r="E198" s="38" t="n">
        <v>148</v>
      </c>
      <c r="F198" s="31">
        <f>E198/52</f>
        <v/>
      </c>
      <c r="G198" s="39">
        <f>D198/1000000*52</f>
        <v/>
      </c>
      <c r="H198" s="33">
        <f>G198/$P$4+($C$22/$P$4)</f>
        <v/>
      </c>
      <c r="I198" s="36">
        <f>_xlfn.IFS(K198&lt;K$24,0,K198&lt;K$26,I$24,K198&lt;K$28,I$26,K198&lt;K$30,I$28,K198&lt;K$32,I$30,K198&lt;K$34,I$32,K198&lt;K$36,I$34,K198&lt;K$38,I$36,K198&lt;K$40,I$38,K198&lt;K$42,I$40,K198&lt;K$44,I$42,K198&lt;K$46,I$44,K198&gt;=K$46,I$46)</f>
        <v/>
      </c>
      <c r="J198" s="37">
        <f>_xlfn.IFS(K198&lt;K$24,0,K198&lt;K$25,J$24,K198&lt;K$26,J$25,K198&lt;K$27,J$26,K198&lt;K$28,J$27,K198&lt;K$29,J$28,K198&lt;K$30,J$29,K198&lt;K$31,J$30,K198&lt;K$32,J$31,K198&lt;K$33,J$32,K198&lt;K$34,J$33,K198&lt;K$35,J$34,K198&lt;K$36,J$35,K198&lt;K$37,J$36,K198&lt;K$38,J$37,K198&lt;K$39,J$38,K198&lt;K$40,J$39,K198&lt;K$41,J$40,K198&lt;K$42,J$41,K198&lt;K$43,J$42,K198&lt;K$44,J$43,K198&lt;K$45,J$44,K198&lt;K$46,J$45,K198&lt;K$47,J$46,K198&gt;=K$47,J$47)</f>
        <v/>
      </c>
      <c r="K198" s="38" t="n">
        <v>148</v>
      </c>
      <c r="L198" s="31">
        <f>K198/52</f>
        <v/>
      </c>
      <c r="M198" s="39">
        <f>J198/1000000*52</f>
        <v/>
      </c>
      <c r="N198" s="33">
        <f>M198/$P$4+($I$22/$P$4)</f>
        <v/>
      </c>
      <c r="U198">
        <f>F197</f>
        <v/>
      </c>
      <c r="V198">
        <f>H197</f>
        <v/>
      </c>
      <c r="W198">
        <f>N197</f>
        <v/>
      </c>
    </row>
    <row r="199" ht="15.75" customHeight="1" s="40">
      <c r="C199" s="36">
        <f>_xlfn.IFS(E199&lt;E$24,0,E199&lt;E$26,C$24,E199&lt;E$28,C$26,E199&lt;E$30,C$28,E199&lt;E$32,C$30,E199&lt;E$34,C$32,E199&gt;=E$34,C$34)</f>
        <v/>
      </c>
      <c r="D199" s="37">
        <f>_xlfn.IFS(E199&lt;E$24,0,E199&lt;E$25,D$24,E199&lt;E$26,D$25,E199&lt;E$27,D$26,E199&lt;E$28,D$27,E199&lt;E$29,D$28,E199&lt;E$30,D$29,E199&lt;E$31,D$30,E199&lt;E$32,D$31,E199&lt;E$33,D$32,E199&lt;E$34,D$33,E199&lt;E$35,D$34,E199&gt;=E$35,D$35)</f>
        <v/>
      </c>
      <c r="E199" s="38" t="n">
        <v>149</v>
      </c>
      <c r="F199" s="31">
        <f>E199/52</f>
        <v/>
      </c>
      <c r="G199" s="39">
        <f>D199/1000000*52</f>
        <v/>
      </c>
      <c r="H199" s="33">
        <f>G199/$P$4+($C$22/$P$4)</f>
        <v/>
      </c>
      <c r="I199" s="36">
        <f>_xlfn.IFS(K199&lt;K$24,0,K199&lt;K$26,I$24,K199&lt;K$28,I$26,K199&lt;K$30,I$28,K199&lt;K$32,I$30,K199&lt;K$34,I$32,K199&lt;K$36,I$34,K199&lt;K$38,I$36,K199&lt;K$40,I$38,K199&lt;K$42,I$40,K199&lt;K$44,I$42,K199&lt;K$46,I$44,K199&gt;=K$46,I$46)</f>
        <v/>
      </c>
      <c r="J199" s="37">
        <f>_xlfn.IFS(K199&lt;K$24,0,K199&lt;K$25,J$24,K199&lt;K$26,J$25,K199&lt;K$27,J$26,K199&lt;K$28,J$27,K199&lt;K$29,J$28,K199&lt;K$30,J$29,K199&lt;K$31,J$30,K199&lt;K$32,J$31,K199&lt;K$33,J$32,K199&lt;K$34,J$33,K199&lt;K$35,J$34,K199&lt;K$36,J$35,K199&lt;K$37,J$36,K199&lt;K$38,J$37,K199&lt;K$39,J$38,K199&lt;K$40,J$39,K199&lt;K$41,J$40,K199&lt;K$42,J$41,K199&lt;K$43,J$42,K199&lt;K$44,J$43,K199&lt;K$45,J$44,K199&lt;K$46,J$45,K199&lt;K$47,J$46,K199&gt;=K$47,J$47)</f>
        <v/>
      </c>
      <c r="K199" s="38" t="n">
        <v>149</v>
      </c>
      <c r="L199" s="31">
        <f>K199/52</f>
        <v/>
      </c>
      <c r="M199" s="39">
        <f>J199/1000000*52</f>
        <v/>
      </c>
      <c r="N199" s="33">
        <f>M199/$P$4+($I$22/$P$4)</f>
        <v/>
      </c>
      <c r="U199">
        <f>F198</f>
        <v/>
      </c>
      <c r="V199">
        <f>H198</f>
        <v/>
      </c>
      <c r="W199">
        <f>N198</f>
        <v/>
      </c>
    </row>
    <row r="200" ht="15.75" customHeight="1" s="40">
      <c r="C200" s="36">
        <f>_xlfn.IFS(E200&lt;E$24,0,E200&lt;E$26,C$24,E200&lt;E$28,C$26,E200&lt;E$30,C$28,E200&lt;E$32,C$30,E200&lt;E$34,C$32,E200&gt;=E$34,C$34)</f>
        <v/>
      </c>
      <c r="D200" s="37">
        <f>_xlfn.IFS(E200&lt;E$24,0,E200&lt;E$25,D$24,E200&lt;E$26,D$25,E200&lt;E$27,D$26,E200&lt;E$28,D$27,E200&lt;E$29,D$28,E200&lt;E$30,D$29,E200&lt;E$31,D$30,E200&lt;E$32,D$31,E200&lt;E$33,D$32,E200&lt;E$34,D$33,E200&lt;E$35,D$34,E200&gt;=E$35,D$35)</f>
        <v/>
      </c>
      <c r="E200" s="38" t="n">
        <v>150</v>
      </c>
      <c r="F200" s="31">
        <f>E200/52</f>
        <v/>
      </c>
      <c r="G200" s="39">
        <f>D200/1000000*52</f>
        <v/>
      </c>
      <c r="H200" s="33">
        <f>G200/$P$4+($C$22/$P$4)</f>
        <v/>
      </c>
      <c r="I200" s="36">
        <f>_xlfn.IFS(K200&lt;K$24,0,K200&lt;K$26,I$24,K200&lt;K$28,I$26,K200&lt;K$30,I$28,K200&lt;K$32,I$30,K200&lt;K$34,I$32,K200&lt;K$36,I$34,K200&lt;K$38,I$36,K200&lt;K$40,I$38,K200&lt;K$42,I$40,K200&lt;K$44,I$42,K200&lt;K$46,I$44,K200&gt;=K$46,I$46)</f>
        <v/>
      </c>
      <c r="J200" s="37">
        <f>_xlfn.IFS(K200&lt;K$24,0,K200&lt;K$25,J$24,K200&lt;K$26,J$25,K200&lt;K$27,J$26,K200&lt;K$28,J$27,K200&lt;K$29,J$28,K200&lt;K$30,J$29,K200&lt;K$31,J$30,K200&lt;K$32,J$31,K200&lt;K$33,J$32,K200&lt;K$34,J$33,K200&lt;K$35,J$34,K200&lt;K$36,J$35,K200&lt;K$37,J$36,K200&lt;K$38,J$37,K200&lt;K$39,J$38,K200&lt;K$40,J$39,K200&lt;K$41,J$40,K200&lt;K$42,J$41,K200&lt;K$43,J$42,K200&lt;K$44,J$43,K200&lt;K$45,J$44,K200&lt;K$46,J$45,K200&lt;K$47,J$46,K200&gt;=K$47,J$47)</f>
        <v/>
      </c>
      <c r="K200" s="38" t="n">
        <v>150</v>
      </c>
      <c r="L200" s="31">
        <f>K200/52</f>
        <v/>
      </c>
      <c r="M200" s="39">
        <f>J200/1000000*52</f>
        <v/>
      </c>
      <c r="N200" s="33">
        <f>M200/$P$4+($I$22/$P$4)</f>
        <v/>
      </c>
      <c r="U200">
        <f>F199</f>
        <v/>
      </c>
      <c r="V200">
        <f>H199</f>
        <v/>
      </c>
      <c r="W200">
        <f>N199</f>
        <v/>
      </c>
    </row>
    <row r="201" ht="15.75" customHeight="1" s="40">
      <c r="C201" s="36">
        <f>_xlfn.IFS(E201&lt;E$24,0,E201&lt;E$26,C$24,E201&lt;E$28,C$26,E201&lt;E$30,C$28,E201&lt;E$32,C$30,E201&lt;E$34,C$32,E201&gt;=E$34,C$34)</f>
        <v/>
      </c>
      <c r="D201" s="37">
        <f>_xlfn.IFS(E201&lt;E$24,0,E201&lt;E$25,D$24,E201&lt;E$26,D$25,E201&lt;E$27,D$26,E201&lt;E$28,D$27,E201&lt;E$29,D$28,E201&lt;E$30,D$29,E201&lt;E$31,D$30,E201&lt;E$32,D$31,E201&lt;E$33,D$32,E201&lt;E$34,D$33,E201&lt;E$35,D$34,E201&gt;=E$35,D$35)</f>
        <v/>
      </c>
      <c r="E201" s="38" t="n">
        <v>151</v>
      </c>
      <c r="F201" s="31">
        <f>E201/52</f>
        <v/>
      </c>
      <c r="G201" s="39">
        <f>D201/1000000*52</f>
        <v/>
      </c>
      <c r="H201" s="33">
        <f>G201/$P$4+($C$22/$P$4)</f>
        <v/>
      </c>
      <c r="I201" s="36">
        <f>_xlfn.IFS(K201&lt;K$24,0,K201&lt;K$26,I$24,K201&lt;K$28,I$26,K201&lt;K$30,I$28,K201&lt;K$32,I$30,K201&lt;K$34,I$32,K201&lt;K$36,I$34,K201&lt;K$38,I$36,K201&lt;K$40,I$38,K201&lt;K$42,I$40,K201&lt;K$44,I$42,K201&lt;K$46,I$44,K201&gt;=K$46,I$46)</f>
        <v/>
      </c>
      <c r="J201" s="37">
        <f>_xlfn.IFS(K201&lt;K$24,0,K201&lt;K$25,J$24,K201&lt;K$26,J$25,K201&lt;K$27,J$26,K201&lt;K$28,J$27,K201&lt;K$29,J$28,K201&lt;K$30,J$29,K201&lt;K$31,J$30,K201&lt;K$32,J$31,K201&lt;K$33,J$32,K201&lt;K$34,J$33,K201&lt;K$35,J$34,K201&lt;K$36,J$35,K201&lt;K$37,J$36,K201&lt;K$38,J$37,K201&lt;K$39,J$38,K201&lt;K$40,J$39,K201&lt;K$41,J$40,K201&lt;K$42,J$41,K201&lt;K$43,J$42,K201&lt;K$44,J$43,K201&lt;K$45,J$44,K201&lt;K$46,J$45,K201&lt;K$47,J$46,K201&gt;=K$47,J$47)</f>
        <v/>
      </c>
      <c r="K201" s="38" t="n">
        <v>151</v>
      </c>
      <c r="L201" s="31">
        <f>K201/52</f>
        <v/>
      </c>
      <c r="M201" s="39">
        <f>J201/1000000*52</f>
        <v/>
      </c>
      <c r="N201" s="33">
        <f>M201/$P$4+($I$22/$P$4)</f>
        <v/>
      </c>
      <c r="U201">
        <f>F200</f>
        <v/>
      </c>
      <c r="V201">
        <f>H200</f>
        <v/>
      </c>
      <c r="W201">
        <f>N200</f>
        <v/>
      </c>
    </row>
    <row r="202" ht="15.75" customHeight="1" s="40">
      <c r="C202" s="36">
        <f>_xlfn.IFS(E202&lt;E$24,0,E202&lt;E$26,C$24,E202&lt;E$28,C$26,E202&lt;E$30,C$28,E202&lt;E$32,C$30,E202&lt;E$34,C$32,E202&gt;=E$34,C$34)</f>
        <v/>
      </c>
      <c r="D202" s="37">
        <f>_xlfn.IFS(E202&lt;E$24,0,E202&lt;E$25,D$24,E202&lt;E$26,D$25,E202&lt;E$27,D$26,E202&lt;E$28,D$27,E202&lt;E$29,D$28,E202&lt;E$30,D$29,E202&lt;E$31,D$30,E202&lt;E$32,D$31,E202&lt;E$33,D$32,E202&lt;E$34,D$33,E202&lt;E$35,D$34,E202&gt;=E$35,D$35)</f>
        <v/>
      </c>
      <c r="E202" s="38" t="n">
        <v>152</v>
      </c>
      <c r="F202" s="31">
        <f>E202/52</f>
        <v/>
      </c>
      <c r="G202" s="39">
        <f>D202/1000000*52</f>
        <v/>
      </c>
      <c r="H202" s="33">
        <f>G202/$P$4+($C$22/$P$4)</f>
        <v/>
      </c>
      <c r="I202" s="36">
        <f>_xlfn.IFS(K202&lt;K$24,0,K202&lt;K$26,I$24,K202&lt;K$28,I$26,K202&lt;K$30,I$28,K202&lt;K$32,I$30,K202&lt;K$34,I$32,K202&lt;K$36,I$34,K202&lt;K$38,I$36,K202&lt;K$40,I$38,K202&lt;K$42,I$40,K202&lt;K$44,I$42,K202&lt;K$46,I$44,K202&gt;=K$46,I$46)</f>
        <v/>
      </c>
      <c r="J202" s="37">
        <f>_xlfn.IFS(K202&lt;K$24,0,K202&lt;K$25,J$24,K202&lt;K$26,J$25,K202&lt;K$27,J$26,K202&lt;K$28,J$27,K202&lt;K$29,J$28,K202&lt;K$30,J$29,K202&lt;K$31,J$30,K202&lt;K$32,J$31,K202&lt;K$33,J$32,K202&lt;K$34,J$33,K202&lt;K$35,J$34,K202&lt;K$36,J$35,K202&lt;K$37,J$36,K202&lt;K$38,J$37,K202&lt;K$39,J$38,K202&lt;K$40,J$39,K202&lt;K$41,J$40,K202&lt;K$42,J$41,K202&lt;K$43,J$42,K202&lt;K$44,J$43,K202&lt;K$45,J$44,K202&lt;K$46,J$45,K202&lt;K$47,J$46,K202&gt;=K$47,J$47)</f>
        <v/>
      </c>
      <c r="K202" s="38" t="n">
        <v>152</v>
      </c>
      <c r="L202" s="31">
        <f>K202/52</f>
        <v/>
      </c>
      <c r="M202" s="39">
        <f>J202/1000000*52</f>
        <v/>
      </c>
      <c r="N202" s="33">
        <f>M202/$P$4+($I$22/$P$4)</f>
        <v/>
      </c>
      <c r="U202">
        <f>F201</f>
        <v/>
      </c>
      <c r="V202">
        <f>H201</f>
        <v/>
      </c>
      <c r="W202">
        <f>N201</f>
        <v/>
      </c>
    </row>
    <row r="203" ht="15.75" customHeight="1" s="40">
      <c r="C203" s="36">
        <f>_xlfn.IFS(E203&lt;E$24,0,E203&lt;E$26,C$24,E203&lt;E$28,C$26,E203&lt;E$30,C$28,E203&lt;E$32,C$30,E203&lt;E$34,C$32,E203&gt;=E$34,C$34)</f>
        <v/>
      </c>
      <c r="D203" s="37">
        <f>_xlfn.IFS(E203&lt;E$24,0,E203&lt;E$25,D$24,E203&lt;E$26,D$25,E203&lt;E$27,D$26,E203&lt;E$28,D$27,E203&lt;E$29,D$28,E203&lt;E$30,D$29,E203&lt;E$31,D$30,E203&lt;E$32,D$31,E203&lt;E$33,D$32,E203&lt;E$34,D$33,E203&lt;E$35,D$34,E203&gt;=E$35,D$35)</f>
        <v/>
      </c>
      <c r="E203" s="38" t="n">
        <v>153</v>
      </c>
      <c r="F203" s="31">
        <f>E203/52</f>
        <v/>
      </c>
      <c r="G203" s="39">
        <f>D203/1000000*52</f>
        <v/>
      </c>
      <c r="H203" s="33">
        <f>G203/$P$4+($C$22/$P$4)</f>
        <v/>
      </c>
      <c r="I203" s="36">
        <f>_xlfn.IFS(K203&lt;K$24,0,K203&lt;K$26,I$24,K203&lt;K$28,I$26,K203&lt;K$30,I$28,K203&lt;K$32,I$30,K203&lt;K$34,I$32,K203&lt;K$36,I$34,K203&lt;K$38,I$36,K203&lt;K$40,I$38,K203&lt;K$42,I$40,K203&lt;K$44,I$42,K203&lt;K$46,I$44,K203&gt;=K$46,I$46)</f>
        <v/>
      </c>
      <c r="J203" s="37">
        <f>_xlfn.IFS(K203&lt;K$24,0,K203&lt;K$25,J$24,K203&lt;K$26,J$25,K203&lt;K$27,J$26,K203&lt;K$28,J$27,K203&lt;K$29,J$28,K203&lt;K$30,J$29,K203&lt;K$31,J$30,K203&lt;K$32,J$31,K203&lt;K$33,J$32,K203&lt;K$34,J$33,K203&lt;K$35,J$34,K203&lt;K$36,J$35,K203&lt;K$37,J$36,K203&lt;K$38,J$37,K203&lt;K$39,J$38,K203&lt;K$40,J$39,K203&lt;K$41,J$40,K203&lt;K$42,J$41,K203&lt;K$43,J$42,K203&lt;K$44,J$43,K203&lt;K$45,J$44,K203&lt;K$46,J$45,K203&lt;K$47,J$46,K203&gt;=K$47,J$47)</f>
        <v/>
      </c>
      <c r="K203" s="38" t="n">
        <v>153</v>
      </c>
      <c r="L203" s="31">
        <f>K203/52</f>
        <v/>
      </c>
      <c r="M203" s="39">
        <f>J203/1000000*52</f>
        <v/>
      </c>
      <c r="N203" s="33">
        <f>M203/$P$4+($I$22/$P$4)</f>
        <v/>
      </c>
      <c r="U203">
        <f>F202</f>
        <v/>
      </c>
      <c r="V203">
        <f>H202</f>
        <v/>
      </c>
      <c r="W203">
        <f>N202</f>
        <v/>
      </c>
    </row>
    <row r="204" ht="15.75" customHeight="1" s="40">
      <c r="C204" s="36">
        <f>_xlfn.IFS(E204&lt;E$24,0,E204&lt;E$26,C$24,E204&lt;E$28,C$26,E204&lt;E$30,C$28,E204&lt;E$32,C$30,E204&lt;E$34,C$32,E204&gt;=E$34,C$34)</f>
        <v/>
      </c>
      <c r="D204" s="37">
        <f>_xlfn.IFS(E204&lt;E$24,0,E204&lt;E$25,D$24,E204&lt;E$26,D$25,E204&lt;E$27,D$26,E204&lt;E$28,D$27,E204&lt;E$29,D$28,E204&lt;E$30,D$29,E204&lt;E$31,D$30,E204&lt;E$32,D$31,E204&lt;E$33,D$32,E204&lt;E$34,D$33,E204&lt;E$35,D$34,E204&gt;=E$35,D$35)</f>
        <v/>
      </c>
      <c r="E204" s="38" t="n">
        <v>154</v>
      </c>
      <c r="F204" s="31">
        <f>E204/52</f>
        <v/>
      </c>
      <c r="G204" s="39">
        <f>D204/1000000*52</f>
        <v/>
      </c>
      <c r="H204" s="33">
        <f>G204/$P$4+($C$22/$P$4)</f>
        <v/>
      </c>
      <c r="I204" s="36">
        <f>_xlfn.IFS(K204&lt;K$24,0,K204&lt;K$26,I$24,K204&lt;K$28,I$26,K204&lt;K$30,I$28,K204&lt;K$32,I$30,K204&lt;K$34,I$32,K204&lt;K$36,I$34,K204&lt;K$38,I$36,K204&lt;K$40,I$38,K204&lt;K$42,I$40,K204&lt;K$44,I$42,K204&lt;K$46,I$44,K204&gt;=K$46,I$46)</f>
        <v/>
      </c>
      <c r="J204" s="37">
        <f>_xlfn.IFS(K204&lt;K$24,0,K204&lt;K$25,J$24,K204&lt;K$26,J$25,K204&lt;K$27,J$26,K204&lt;K$28,J$27,K204&lt;K$29,J$28,K204&lt;K$30,J$29,K204&lt;K$31,J$30,K204&lt;K$32,J$31,K204&lt;K$33,J$32,K204&lt;K$34,J$33,K204&lt;K$35,J$34,K204&lt;K$36,J$35,K204&lt;K$37,J$36,K204&lt;K$38,J$37,K204&lt;K$39,J$38,K204&lt;K$40,J$39,K204&lt;K$41,J$40,K204&lt;K$42,J$41,K204&lt;K$43,J$42,K204&lt;K$44,J$43,K204&lt;K$45,J$44,K204&lt;K$46,J$45,K204&lt;K$47,J$46,K204&gt;=K$47,J$47)</f>
        <v/>
      </c>
      <c r="K204" s="38" t="n">
        <v>154</v>
      </c>
      <c r="L204" s="31">
        <f>K204/52</f>
        <v/>
      </c>
      <c r="M204" s="39">
        <f>J204/1000000*52</f>
        <v/>
      </c>
      <c r="N204" s="33">
        <f>M204/$P$4+($I$22/$P$4)</f>
        <v/>
      </c>
      <c r="U204">
        <f>F203</f>
        <v/>
      </c>
      <c r="V204">
        <f>H203</f>
        <v/>
      </c>
      <c r="W204">
        <f>N203</f>
        <v/>
      </c>
    </row>
    <row r="205" ht="15.75" customHeight="1" s="40">
      <c r="C205" s="36">
        <f>_xlfn.IFS(E205&lt;E$24,0,E205&lt;E$26,C$24,E205&lt;E$28,C$26,E205&lt;E$30,C$28,E205&lt;E$32,C$30,E205&lt;E$34,C$32,E205&gt;=E$34,C$34)</f>
        <v/>
      </c>
      <c r="D205" s="37">
        <f>_xlfn.IFS(E205&lt;E$24,0,E205&lt;E$25,D$24,E205&lt;E$26,D$25,E205&lt;E$27,D$26,E205&lt;E$28,D$27,E205&lt;E$29,D$28,E205&lt;E$30,D$29,E205&lt;E$31,D$30,E205&lt;E$32,D$31,E205&lt;E$33,D$32,E205&lt;E$34,D$33,E205&lt;E$35,D$34,E205&gt;=E$35,D$35)</f>
        <v/>
      </c>
      <c r="E205" s="38" t="n">
        <v>155</v>
      </c>
      <c r="F205" s="31">
        <f>E205/52</f>
        <v/>
      </c>
      <c r="G205" s="39">
        <f>D205/1000000*52</f>
        <v/>
      </c>
      <c r="H205" s="33">
        <f>G205/$P$4+($C$22/$P$4)</f>
        <v/>
      </c>
      <c r="I205" s="36">
        <f>_xlfn.IFS(K205&lt;K$24,0,K205&lt;K$26,I$24,K205&lt;K$28,I$26,K205&lt;K$30,I$28,K205&lt;K$32,I$30,K205&lt;K$34,I$32,K205&lt;K$36,I$34,K205&lt;K$38,I$36,K205&lt;K$40,I$38,K205&lt;K$42,I$40,K205&lt;K$44,I$42,K205&lt;K$46,I$44,K205&gt;=K$46,I$46)</f>
        <v/>
      </c>
      <c r="J205" s="37">
        <f>_xlfn.IFS(K205&lt;K$24,0,K205&lt;K$25,J$24,K205&lt;K$26,J$25,K205&lt;K$27,J$26,K205&lt;K$28,J$27,K205&lt;K$29,J$28,K205&lt;K$30,J$29,K205&lt;K$31,J$30,K205&lt;K$32,J$31,K205&lt;K$33,J$32,K205&lt;K$34,J$33,K205&lt;K$35,J$34,K205&lt;K$36,J$35,K205&lt;K$37,J$36,K205&lt;K$38,J$37,K205&lt;K$39,J$38,K205&lt;K$40,J$39,K205&lt;K$41,J$40,K205&lt;K$42,J$41,K205&lt;K$43,J$42,K205&lt;K$44,J$43,K205&lt;K$45,J$44,K205&lt;K$46,J$45,K205&lt;K$47,J$46,K205&gt;=K$47,J$47)</f>
        <v/>
      </c>
      <c r="K205" s="38" t="n">
        <v>155</v>
      </c>
      <c r="L205" s="31">
        <f>K205/52</f>
        <v/>
      </c>
      <c r="M205" s="39">
        <f>J205/1000000*52</f>
        <v/>
      </c>
      <c r="N205" s="33">
        <f>M205/$P$4+($I$22/$P$4)</f>
        <v/>
      </c>
      <c r="U205">
        <f>F204</f>
        <v/>
      </c>
      <c r="V205">
        <f>H204</f>
        <v/>
      </c>
      <c r="W205">
        <f>N204</f>
        <v/>
      </c>
    </row>
    <row r="206" ht="15.75" customHeight="1" s="40">
      <c r="C206" s="36">
        <f>_xlfn.IFS(E206&lt;E$24,0,E206&lt;E$26,C$24,E206&lt;E$28,C$26,E206&lt;E$30,C$28,E206&lt;E$32,C$30,E206&lt;E$34,C$32,E206&gt;=E$34,C$34)</f>
        <v/>
      </c>
      <c r="D206" s="37">
        <f>_xlfn.IFS(E206&lt;E$24,0,E206&lt;E$25,D$24,E206&lt;E$26,D$25,E206&lt;E$27,D$26,E206&lt;E$28,D$27,E206&lt;E$29,D$28,E206&lt;E$30,D$29,E206&lt;E$31,D$30,E206&lt;E$32,D$31,E206&lt;E$33,D$32,E206&lt;E$34,D$33,E206&lt;E$35,D$34,E206&gt;=E$35,D$35)</f>
        <v/>
      </c>
      <c r="E206" s="38" t="n">
        <v>156</v>
      </c>
      <c r="F206" s="31">
        <f>E206/52</f>
        <v/>
      </c>
      <c r="G206" s="39">
        <f>D206/1000000*52</f>
        <v/>
      </c>
      <c r="H206" s="33">
        <f>G206/$P$4+($C$22/$P$4)</f>
        <v/>
      </c>
      <c r="I206" s="36">
        <f>_xlfn.IFS(K206&lt;K$24,0,K206&lt;K$26,I$24,K206&lt;K$28,I$26,K206&lt;K$30,I$28,K206&lt;K$32,I$30,K206&lt;K$34,I$32,K206&lt;K$36,I$34,K206&lt;K$38,I$36,K206&lt;K$40,I$38,K206&lt;K$42,I$40,K206&lt;K$44,I$42,K206&lt;K$46,I$44,K206&gt;=K$46,I$46)</f>
        <v/>
      </c>
      <c r="J206" s="37">
        <f>_xlfn.IFS(K206&lt;K$24,0,K206&lt;K$25,J$24,K206&lt;K$26,J$25,K206&lt;K$27,J$26,K206&lt;K$28,J$27,K206&lt;K$29,J$28,K206&lt;K$30,J$29,K206&lt;K$31,J$30,K206&lt;K$32,J$31,K206&lt;K$33,J$32,K206&lt;K$34,J$33,K206&lt;K$35,J$34,K206&lt;K$36,J$35,K206&lt;K$37,J$36,K206&lt;K$38,J$37,K206&lt;K$39,J$38,K206&lt;K$40,J$39,K206&lt;K$41,J$40,K206&lt;K$42,J$41,K206&lt;K$43,J$42,K206&lt;K$44,J$43,K206&lt;K$45,J$44,K206&lt;K$46,J$45,K206&lt;K$47,J$46,K206&gt;=K$47,J$47)</f>
        <v/>
      </c>
      <c r="K206" s="38" t="n">
        <v>156</v>
      </c>
      <c r="L206" s="31">
        <f>K206/52</f>
        <v/>
      </c>
      <c r="M206" s="39">
        <f>J206/1000000*52</f>
        <v/>
      </c>
      <c r="N206" s="33">
        <f>M206/$P$4+($I$22/$P$4)</f>
        <v/>
      </c>
      <c r="U206">
        <f>F205</f>
        <v/>
      </c>
      <c r="V206">
        <f>H205</f>
        <v/>
      </c>
      <c r="W206">
        <f>N205</f>
        <v/>
      </c>
    </row>
    <row r="207" ht="15.75" customHeight="1" s="40">
      <c r="C207" s="36">
        <f>_xlfn.IFS(E207&lt;E$24,0,E207&lt;E$26,C$24,E207&lt;E$28,C$26,E207&lt;E$30,C$28,E207&lt;E$32,C$30,E207&lt;E$34,C$32,E207&gt;=E$34,C$34)</f>
        <v/>
      </c>
      <c r="D207" s="37">
        <f>_xlfn.IFS(E207&lt;E$24,0,E207&lt;E$25,D$24,E207&lt;E$26,D$25,E207&lt;E$27,D$26,E207&lt;E$28,D$27,E207&lt;E$29,D$28,E207&lt;E$30,D$29,E207&lt;E$31,D$30,E207&lt;E$32,D$31,E207&lt;E$33,D$32,E207&lt;E$34,D$33,E207&lt;E$35,D$34,E207&gt;=E$35,D$35)</f>
        <v/>
      </c>
      <c r="E207" s="38" t="n">
        <v>157</v>
      </c>
      <c r="F207" s="31">
        <f>E207/52</f>
        <v/>
      </c>
      <c r="G207" s="39">
        <f>D207/1000000*52</f>
        <v/>
      </c>
      <c r="H207" s="33">
        <f>G207/$P$4+($C$22/$P$4)</f>
        <v/>
      </c>
      <c r="I207" s="36">
        <f>_xlfn.IFS(K207&lt;K$24,0,K207&lt;K$26,I$24,K207&lt;K$28,I$26,K207&lt;K$30,I$28,K207&lt;K$32,I$30,K207&lt;K$34,I$32,K207&lt;K$36,I$34,K207&lt;K$38,I$36,K207&lt;K$40,I$38,K207&lt;K$42,I$40,K207&lt;K$44,I$42,K207&lt;K$46,I$44,K207&gt;=K$46,I$46)</f>
        <v/>
      </c>
      <c r="J207" s="37">
        <f>_xlfn.IFS(K207&lt;K$24,0,K207&lt;K$25,J$24,K207&lt;K$26,J$25,K207&lt;K$27,J$26,K207&lt;K$28,J$27,K207&lt;K$29,J$28,K207&lt;K$30,J$29,K207&lt;K$31,J$30,K207&lt;K$32,J$31,K207&lt;K$33,J$32,K207&lt;K$34,J$33,K207&lt;K$35,J$34,K207&lt;K$36,J$35,K207&lt;K$37,J$36,K207&lt;K$38,J$37,K207&lt;K$39,J$38,K207&lt;K$40,J$39,K207&lt;K$41,J$40,K207&lt;K$42,J$41,K207&lt;K$43,J$42,K207&lt;K$44,J$43,K207&lt;K$45,J$44,K207&lt;K$46,J$45,K207&lt;K$47,J$46,K207&gt;=K$47,J$47)</f>
        <v/>
      </c>
      <c r="K207" s="38" t="n">
        <v>157</v>
      </c>
      <c r="L207" s="31">
        <f>K207/52</f>
        <v/>
      </c>
      <c r="M207" s="39">
        <f>J207/1000000*52</f>
        <v/>
      </c>
      <c r="N207" s="33">
        <f>M207/$P$4+($I$22/$P$4)</f>
        <v/>
      </c>
      <c r="U207">
        <f>F206</f>
        <v/>
      </c>
      <c r="V207">
        <f>H206</f>
        <v/>
      </c>
      <c r="W207">
        <f>N206</f>
        <v/>
      </c>
    </row>
    <row r="208" ht="15.75" customHeight="1" s="40">
      <c r="C208" s="36">
        <f>_xlfn.IFS(E208&lt;E$24,0,E208&lt;E$26,C$24,E208&lt;E$28,C$26,E208&lt;E$30,C$28,E208&lt;E$32,C$30,E208&lt;E$34,C$32,E208&gt;=E$34,C$34)</f>
        <v/>
      </c>
      <c r="D208" s="37">
        <f>_xlfn.IFS(E208&lt;E$24,0,E208&lt;E$25,D$24,E208&lt;E$26,D$25,E208&lt;E$27,D$26,E208&lt;E$28,D$27,E208&lt;E$29,D$28,E208&lt;E$30,D$29,E208&lt;E$31,D$30,E208&lt;E$32,D$31,E208&lt;E$33,D$32,E208&lt;E$34,D$33,E208&lt;E$35,D$34,E208&gt;=E$35,D$35)</f>
        <v/>
      </c>
      <c r="E208" s="38" t="n">
        <v>158</v>
      </c>
      <c r="F208" s="31">
        <f>E208/52</f>
        <v/>
      </c>
      <c r="G208" s="39">
        <f>D208/1000000*52</f>
        <v/>
      </c>
      <c r="H208" s="33">
        <f>G208/$P$4+($C$22/$P$4)</f>
        <v/>
      </c>
      <c r="I208" s="36">
        <f>_xlfn.IFS(K208&lt;K$24,0,K208&lt;K$26,I$24,K208&lt;K$28,I$26,K208&lt;K$30,I$28,K208&lt;K$32,I$30,K208&lt;K$34,I$32,K208&lt;K$36,I$34,K208&lt;K$38,I$36,K208&lt;K$40,I$38,K208&lt;K$42,I$40,K208&lt;K$44,I$42,K208&lt;K$46,I$44,K208&gt;=K$46,I$46)</f>
        <v/>
      </c>
      <c r="J208" s="37">
        <f>_xlfn.IFS(K208&lt;K$24,0,K208&lt;K$25,J$24,K208&lt;K$26,J$25,K208&lt;K$27,J$26,K208&lt;K$28,J$27,K208&lt;K$29,J$28,K208&lt;K$30,J$29,K208&lt;K$31,J$30,K208&lt;K$32,J$31,K208&lt;K$33,J$32,K208&lt;K$34,J$33,K208&lt;K$35,J$34,K208&lt;K$36,J$35,K208&lt;K$37,J$36,K208&lt;K$38,J$37,K208&lt;K$39,J$38,K208&lt;K$40,J$39,K208&lt;K$41,J$40,K208&lt;K$42,J$41,K208&lt;K$43,J$42,K208&lt;K$44,J$43,K208&lt;K$45,J$44,K208&lt;K$46,J$45,K208&lt;K$47,J$46,K208&gt;=K$47,J$47)</f>
        <v/>
      </c>
      <c r="K208" s="38" t="n">
        <v>158</v>
      </c>
      <c r="L208" s="31">
        <f>K208/52</f>
        <v/>
      </c>
      <c r="M208" s="39">
        <f>J208/1000000*52</f>
        <v/>
      </c>
      <c r="N208" s="33">
        <f>M208/$P$4+($I$22/$P$4)</f>
        <v/>
      </c>
      <c r="U208">
        <f>F207</f>
        <v/>
      </c>
      <c r="V208">
        <f>H207</f>
        <v/>
      </c>
      <c r="W208">
        <f>N207</f>
        <v/>
      </c>
    </row>
    <row r="209" ht="15.75" customHeight="1" s="40">
      <c r="C209" s="36">
        <f>_xlfn.IFS(E209&lt;E$24,0,E209&lt;E$26,C$24,E209&lt;E$28,C$26,E209&lt;E$30,C$28,E209&lt;E$32,C$30,E209&lt;E$34,C$32,E209&gt;=E$34,C$34)</f>
        <v/>
      </c>
      <c r="D209" s="37">
        <f>_xlfn.IFS(E209&lt;E$24,0,E209&lt;E$25,D$24,E209&lt;E$26,D$25,E209&lt;E$27,D$26,E209&lt;E$28,D$27,E209&lt;E$29,D$28,E209&lt;E$30,D$29,E209&lt;E$31,D$30,E209&lt;E$32,D$31,E209&lt;E$33,D$32,E209&lt;E$34,D$33,E209&lt;E$35,D$34,E209&gt;=E$35,D$35)</f>
        <v/>
      </c>
      <c r="E209" s="38" t="n">
        <v>159</v>
      </c>
      <c r="F209" s="31">
        <f>E209/52</f>
        <v/>
      </c>
      <c r="G209" s="39">
        <f>D209/1000000*52</f>
        <v/>
      </c>
      <c r="H209" s="33">
        <f>G209/$P$4+($C$22/$P$4)</f>
        <v/>
      </c>
      <c r="I209" s="36">
        <f>_xlfn.IFS(K209&lt;K$24,0,K209&lt;K$26,I$24,K209&lt;K$28,I$26,K209&lt;K$30,I$28,K209&lt;K$32,I$30,K209&lt;K$34,I$32,K209&lt;K$36,I$34,K209&lt;K$38,I$36,K209&lt;K$40,I$38,K209&lt;K$42,I$40,K209&lt;K$44,I$42,K209&lt;K$46,I$44,K209&gt;=K$46,I$46)</f>
        <v/>
      </c>
      <c r="J209" s="37">
        <f>_xlfn.IFS(K209&lt;K$24,0,K209&lt;K$25,J$24,K209&lt;K$26,J$25,K209&lt;K$27,J$26,K209&lt;K$28,J$27,K209&lt;K$29,J$28,K209&lt;K$30,J$29,K209&lt;K$31,J$30,K209&lt;K$32,J$31,K209&lt;K$33,J$32,K209&lt;K$34,J$33,K209&lt;K$35,J$34,K209&lt;K$36,J$35,K209&lt;K$37,J$36,K209&lt;K$38,J$37,K209&lt;K$39,J$38,K209&lt;K$40,J$39,K209&lt;K$41,J$40,K209&lt;K$42,J$41,K209&lt;K$43,J$42,K209&lt;K$44,J$43,K209&lt;K$45,J$44,K209&lt;K$46,J$45,K209&lt;K$47,J$46,K209&gt;=K$47,J$47)</f>
        <v/>
      </c>
      <c r="K209" s="38" t="n">
        <v>159</v>
      </c>
      <c r="L209" s="31">
        <f>K209/52</f>
        <v/>
      </c>
      <c r="M209" s="39">
        <f>J209/1000000*52</f>
        <v/>
      </c>
      <c r="N209" s="33">
        <f>M209/$P$4+($I$22/$P$4)</f>
        <v/>
      </c>
      <c r="U209">
        <f>F208</f>
        <v/>
      </c>
      <c r="V209">
        <f>H208</f>
        <v/>
      </c>
      <c r="W209">
        <f>N208</f>
        <v/>
      </c>
    </row>
    <row r="210" ht="15.75" customHeight="1" s="40">
      <c r="C210" s="36">
        <f>_xlfn.IFS(E210&lt;E$24,0,E210&lt;E$26,C$24,E210&lt;E$28,C$26,E210&lt;E$30,C$28,E210&lt;E$32,C$30,E210&lt;E$34,C$32,E210&gt;=E$34,C$34)</f>
        <v/>
      </c>
      <c r="D210" s="37">
        <f>_xlfn.IFS(E210&lt;E$24,0,E210&lt;E$25,D$24,E210&lt;E$26,D$25,E210&lt;E$27,D$26,E210&lt;E$28,D$27,E210&lt;E$29,D$28,E210&lt;E$30,D$29,E210&lt;E$31,D$30,E210&lt;E$32,D$31,E210&lt;E$33,D$32,E210&lt;E$34,D$33,E210&lt;E$35,D$34,E210&gt;=E$35,D$35)</f>
        <v/>
      </c>
      <c r="E210" s="38" t="n">
        <v>160</v>
      </c>
      <c r="F210" s="31">
        <f>E210/52</f>
        <v/>
      </c>
      <c r="G210" s="39">
        <f>D210/1000000*52</f>
        <v/>
      </c>
      <c r="H210" s="33">
        <f>G210/$P$4+($C$22/$P$4)</f>
        <v/>
      </c>
      <c r="I210" s="36">
        <f>_xlfn.IFS(K210&lt;K$24,0,K210&lt;K$26,I$24,K210&lt;K$28,I$26,K210&lt;K$30,I$28,K210&lt;K$32,I$30,K210&lt;K$34,I$32,K210&lt;K$36,I$34,K210&lt;K$38,I$36,K210&lt;K$40,I$38,K210&lt;K$42,I$40,K210&lt;K$44,I$42,K210&lt;K$46,I$44,K210&gt;=K$46,I$46)</f>
        <v/>
      </c>
      <c r="J210" s="37">
        <f>_xlfn.IFS(K210&lt;K$24,0,K210&lt;K$25,J$24,K210&lt;K$26,J$25,K210&lt;K$27,J$26,K210&lt;K$28,J$27,K210&lt;K$29,J$28,K210&lt;K$30,J$29,K210&lt;K$31,J$30,K210&lt;K$32,J$31,K210&lt;K$33,J$32,K210&lt;K$34,J$33,K210&lt;K$35,J$34,K210&lt;K$36,J$35,K210&lt;K$37,J$36,K210&lt;K$38,J$37,K210&lt;K$39,J$38,K210&lt;K$40,J$39,K210&lt;K$41,J$40,K210&lt;K$42,J$41,K210&lt;K$43,J$42,K210&lt;K$44,J$43,K210&lt;K$45,J$44,K210&lt;K$46,J$45,K210&lt;K$47,J$46,K210&gt;=K$47,J$47)</f>
        <v/>
      </c>
      <c r="K210" s="38" t="n">
        <v>160</v>
      </c>
      <c r="L210" s="31">
        <f>K210/52</f>
        <v/>
      </c>
      <c r="M210" s="39">
        <f>J210/1000000*52</f>
        <v/>
      </c>
      <c r="N210" s="33">
        <f>M210/$P$4+($I$22/$P$4)</f>
        <v/>
      </c>
      <c r="U210">
        <f>F209</f>
        <v/>
      </c>
      <c r="V210">
        <f>H209</f>
        <v/>
      </c>
      <c r="W210">
        <f>N209</f>
        <v/>
      </c>
    </row>
    <row r="211" ht="15.75" customHeight="1" s="40">
      <c r="C211" s="36">
        <f>_xlfn.IFS(E211&lt;E$24,0,E211&lt;E$26,C$24,E211&lt;E$28,C$26,E211&lt;E$30,C$28,E211&lt;E$32,C$30,E211&lt;E$34,C$32,E211&gt;=E$34,C$34)</f>
        <v/>
      </c>
      <c r="D211" s="37">
        <f>_xlfn.IFS(E211&lt;E$24,0,E211&lt;E$25,D$24,E211&lt;E$26,D$25,E211&lt;E$27,D$26,E211&lt;E$28,D$27,E211&lt;E$29,D$28,E211&lt;E$30,D$29,E211&lt;E$31,D$30,E211&lt;E$32,D$31,E211&lt;E$33,D$32,E211&lt;E$34,D$33,E211&lt;E$35,D$34,E211&gt;=E$35,D$35)</f>
        <v/>
      </c>
      <c r="E211" s="38" t="n">
        <v>161</v>
      </c>
      <c r="F211" s="31">
        <f>E211/52</f>
        <v/>
      </c>
      <c r="G211" s="39">
        <f>D211/1000000*52</f>
        <v/>
      </c>
      <c r="H211" s="33">
        <f>G211/$P$4+($C$22/$P$4)</f>
        <v/>
      </c>
      <c r="I211" s="36">
        <f>_xlfn.IFS(K211&lt;K$24,0,K211&lt;K$26,I$24,K211&lt;K$28,I$26,K211&lt;K$30,I$28,K211&lt;K$32,I$30,K211&lt;K$34,I$32,K211&lt;K$36,I$34,K211&lt;K$38,I$36,K211&lt;K$40,I$38,K211&lt;K$42,I$40,K211&lt;K$44,I$42,K211&lt;K$46,I$44,K211&gt;=K$46,I$46)</f>
        <v/>
      </c>
      <c r="J211" s="37">
        <f>_xlfn.IFS(K211&lt;K$24,0,K211&lt;K$25,J$24,K211&lt;K$26,J$25,K211&lt;K$27,J$26,K211&lt;K$28,J$27,K211&lt;K$29,J$28,K211&lt;K$30,J$29,K211&lt;K$31,J$30,K211&lt;K$32,J$31,K211&lt;K$33,J$32,K211&lt;K$34,J$33,K211&lt;K$35,J$34,K211&lt;K$36,J$35,K211&lt;K$37,J$36,K211&lt;K$38,J$37,K211&lt;K$39,J$38,K211&lt;K$40,J$39,K211&lt;K$41,J$40,K211&lt;K$42,J$41,K211&lt;K$43,J$42,K211&lt;K$44,J$43,K211&lt;K$45,J$44,K211&lt;K$46,J$45,K211&lt;K$47,J$46,K211&gt;=K$47,J$47)</f>
        <v/>
      </c>
      <c r="K211" s="38" t="n">
        <v>161</v>
      </c>
      <c r="L211" s="31">
        <f>K211/52</f>
        <v/>
      </c>
      <c r="M211" s="39">
        <f>J211/1000000*52</f>
        <v/>
      </c>
      <c r="N211" s="33">
        <f>M211/$P$4+($I$22/$P$4)</f>
        <v/>
      </c>
      <c r="U211">
        <f>F210</f>
        <v/>
      </c>
      <c r="V211">
        <f>H210</f>
        <v/>
      </c>
      <c r="W211">
        <f>N210</f>
        <v/>
      </c>
    </row>
    <row r="212" ht="15.75" customHeight="1" s="40">
      <c r="C212" s="36">
        <f>_xlfn.IFS(E212&lt;E$24,0,E212&lt;E$26,C$24,E212&lt;E$28,C$26,E212&lt;E$30,C$28,E212&lt;E$32,C$30,E212&lt;E$34,C$32,E212&gt;=E$34,C$34)</f>
        <v/>
      </c>
      <c r="D212" s="37">
        <f>_xlfn.IFS(E212&lt;E$24,0,E212&lt;E$25,D$24,E212&lt;E$26,D$25,E212&lt;E$27,D$26,E212&lt;E$28,D$27,E212&lt;E$29,D$28,E212&lt;E$30,D$29,E212&lt;E$31,D$30,E212&lt;E$32,D$31,E212&lt;E$33,D$32,E212&lt;E$34,D$33,E212&lt;E$35,D$34,E212&gt;=E$35,D$35)</f>
        <v/>
      </c>
      <c r="E212" s="38" t="n">
        <v>162</v>
      </c>
      <c r="F212" s="31">
        <f>E212/52</f>
        <v/>
      </c>
      <c r="G212" s="39">
        <f>D212/1000000*52</f>
        <v/>
      </c>
      <c r="H212" s="33">
        <f>G212/$P$4+($C$22/$P$4)</f>
        <v/>
      </c>
      <c r="I212" s="36">
        <f>_xlfn.IFS(K212&lt;K$24,0,K212&lt;K$26,I$24,K212&lt;K$28,I$26,K212&lt;K$30,I$28,K212&lt;K$32,I$30,K212&lt;K$34,I$32,K212&lt;K$36,I$34,K212&lt;K$38,I$36,K212&lt;K$40,I$38,K212&lt;K$42,I$40,K212&lt;K$44,I$42,K212&lt;K$46,I$44,K212&gt;=K$46,I$46)</f>
        <v/>
      </c>
      <c r="J212" s="37">
        <f>_xlfn.IFS(K212&lt;K$24,0,K212&lt;K$25,J$24,K212&lt;K$26,J$25,K212&lt;K$27,J$26,K212&lt;K$28,J$27,K212&lt;K$29,J$28,K212&lt;K$30,J$29,K212&lt;K$31,J$30,K212&lt;K$32,J$31,K212&lt;K$33,J$32,K212&lt;K$34,J$33,K212&lt;K$35,J$34,K212&lt;K$36,J$35,K212&lt;K$37,J$36,K212&lt;K$38,J$37,K212&lt;K$39,J$38,K212&lt;K$40,J$39,K212&lt;K$41,J$40,K212&lt;K$42,J$41,K212&lt;K$43,J$42,K212&lt;K$44,J$43,K212&lt;K$45,J$44,K212&lt;K$46,J$45,K212&lt;K$47,J$46,K212&gt;=K$47,J$47)</f>
        <v/>
      </c>
      <c r="K212" s="38" t="n">
        <v>162</v>
      </c>
      <c r="L212" s="31">
        <f>K212/52</f>
        <v/>
      </c>
      <c r="M212" s="39">
        <f>J212/1000000*52</f>
        <v/>
      </c>
      <c r="N212" s="33">
        <f>M212/$P$4+($I$22/$P$4)</f>
        <v/>
      </c>
      <c r="U212">
        <f>F211</f>
        <v/>
      </c>
      <c r="V212">
        <f>H211</f>
        <v/>
      </c>
      <c r="W212">
        <f>N211</f>
        <v/>
      </c>
    </row>
    <row r="213" ht="15.75" customHeight="1" s="40">
      <c r="C213" s="36">
        <f>_xlfn.IFS(E213&lt;E$24,0,E213&lt;E$26,C$24,E213&lt;E$28,C$26,E213&lt;E$30,C$28,E213&lt;E$32,C$30,E213&lt;E$34,C$32,E213&gt;=E$34,C$34)</f>
        <v/>
      </c>
      <c r="D213" s="37">
        <f>_xlfn.IFS(E213&lt;E$24,0,E213&lt;E$25,D$24,E213&lt;E$26,D$25,E213&lt;E$27,D$26,E213&lt;E$28,D$27,E213&lt;E$29,D$28,E213&lt;E$30,D$29,E213&lt;E$31,D$30,E213&lt;E$32,D$31,E213&lt;E$33,D$32,E213&lt;E$34,D$33,E213&lt;E$35,D$34,E213&gt;=E$35,D$35)</f>
        <v/>
      </c>
      <c r="E213" s="38" t="n">
        <v>163</v>
      </c>
      <c r="F213" s="31">
        <f>E213/52</f>
        <v/>
      </c>
      <c r="G213" s="39">
        <f>D213/1000000*52</f>
        <v/>
      </c>
      <c r="H213" s="33">
        <f>G213/$P$4+($C$22/$P$4)</f>
        <v/>
      </c>
      <c r="I213" s="36">
        <f>_xlfn.IFS(K213&lt;K$24,0,K213&lt;K$26,I$24,K213&lt;K$28,I$26,K213&lt;K$30,I$28,K213&lt;K$32,I$30,K213&lt;K$34,I$32,K213&lt;K$36,I$34,K213&lt;K$38,I$36,K213&lt;K$40,I$38,K213&lt;K$42,I$40,K213&lt;K$44,I$42,K213&lt;K$46,I$44,K213&gt;=K$46,I$46)</f>
        <v/>
      </c>
      <c r="J213" s="37">
        <f>_xlfn.IFS(K213&lt;K$24,0,K213&lt;K$25,J$24,K213&lt;K$26,J$25,K213&lt;K$27,J$26,K213&lt;K$28,J$27,K213&lt;K$29,J$28,K213&lt;K$30,J$29,K213&lt;K$31,J$30,K213&lt;K$32,J$31,K213&lt;K$33,J$32,K213&lt;K$34,J$33,K213&lt;K$35,J$34,K213&lt;K$36,J$35,K213&lt;K$37,J$36,K213&lt;K$38,J$37,K213&lt;K$39,J$38,K213&lt;K$40,J$39,K213&lt;K$41,J$40,K213&lt;K$42,J$41,K213&lt;K$43,J$42,K213&lt;K$44,J$43,K213&lt;K$45,J$44,K213&lt;K$46,J$45,K213&lt;K$47,J$46,K213&gt;=K$47,J$47)</f>
        <v/>
      </c>
      <c r="K213" s="38" t="n">
        <v>163</v>
      </c>
      <c r="L213" s="31">
        <f>K213/52</f>
        <v/>
      </c>
      <c r="M213" s="39">
        <f>J213/1000000*52</f>
        <v/>
      </c>
      <c r="N213" s="33">
        <f>M213/$P$4+($I$22/$P$4)</f>
        <v/>
      </c>
      <c r="U213">
        <f>F212</f>
        <v/>
      </c>
      <c r="V213">
        <f>H212</f>
        <v/>
      </c>
      <c r="W213">
        <f>N212</f>
        <v/>
      </c>
    </row>
    <row r="214" ht="15.75" customHeight="1" s="40">
      <c r="C214" s="36">
        <f>_xlfn.IFS(E214&lt;E$24,0,E214&lt;E$26,C$24,E214&lt;E$28,C$26,E214&lt;E$30,C$28,E214&lt;E$32,C$30,E214&lt;E$34,C$32,E214&gt;=E$34,C$34)</f>
        <v/>
      </c>
      <c r="D214" s="37">
        <f>_xlfn.IFS(E214&lt;E$24,0,E214&lt;E$25,D$24,E214&lt;E$26,D$25,E214&lt;E$27,D$26,E214&lt;E$28,D$27,E214&lt;E$29,D$28,E214&lt;E$30,D$29,E214&lt;E$31,D$30,E214&lt;E$32,D$31,E214&lt;E$33,D$32,E214&lt;E$34,D$33,E214&lt;E$35,D$34,E214&gt;=E$35,D$35)</f>
        <v/>
      </c>
      <c r="E214" s="38" t="n">
        <v>164</v>
      </c>
      <c r="F214" s="31">
        <f>E214/52</f>
        <v/>
      </c>
      <c r="G214" s="39">
        <f>D214/1000000*52</f>
        <v/>
      </c>
      <c r="H214" s="33">
        <f>G214/$P$4+($C$22/$P$4)</f>
        <v/>
      </c>
      <c r="I214" s="36">
        <f>_xlfn.IFS(K214&lt;K$24,0,K214&lt;K$26,I$24,K214&lt;K$28,I$26,K214&lt;K$30,I$28,K214&lt;K$32,I$30,K214&lt;K$34,I$32,K214&lt;K$36,I$34,K214&lt;K$38,I$36,K214&lt;K$40,I$38,K214&lt;K$42,I$40,K214&lt;K$44,I$42,K214&lt;K$46,I$44,K214&gt;=K$46,I$46)</f>
        <v/>
      </c>
      <c r="J214" s="37">
        <f>_xlfn.IFS(K214&lt;K$24,0,K214&lt;K$25,J$24,K214&lt;K$26,J$25,K214&lt;K$27,J$26,K214&lt;K$28,J$27,K214&lt;K$29,J$28,K214&lt;K$30,J$29,K214&lt;K$31,J$30,K214&lt;K$32,J$31,K214&lt;K$33,J$32,K214&lt;K$34,J$33,K214&lt;K$35,J$34,K214&lt;K$36,J$35,K214&lt;K$37,J$36,K214&lt;K$38,J$37,K214&lt;K$39,J$38,K214&lt;K$40,J$39,K214&lt;K$41,J$40,K214&lt;K$42,J$41,K214&lt;K$43,J$42,K214&lt;K$44,J$43,K214&lt;K$45,J$44,K214&lt;K$46,J$45,K214&lt;K$47,J$46,K214&gt;=K$47,J$47)</f>
        <v/>
      </c>
      <c r="K214" s="38" t="n">
        <v>164</v>
      </c>
      <c r="L214" s="31">
        <f>K214/52</f>
        <v/>
      </c>
      <c r="M214" s="39">
        <f>J214/1000000*52</f>
        <v/>
      </c>
      <c r="N214" s="33">
        <f>M214/$P$4+($I$22/$P$4)</f>
        <v/>
      </c>
      <c r="U214">
        <f>F213</f>
        <v/>
      </c>
      <c r="V214">
        <f>H213</f>
        <v/>
      </c>
      <c r="W214">
        <f>N213</f>
        <v/>
      </c>
    </row>
    <row r="215" ht="15.75" customHeight="1" s="40">
      <c r="C215" s="36">
        <f>_xlfn.IFS(E215&lt;E$24,0,E215&lt;E$26,C$24,E215&lt;E$28,C$26,E215&lt;E$30,C$28,E215&lt;E$32,C$30,E215&lt;E$34,C$32,E215&gt;=E$34,C$34)</f>
        <v/>
      </c>
      <c r="D215" s="37">
        <f>_xlfn.IFS(E215&lt;E$24,0,E215&lt;E$25,D$24,E215&lt;E$26,D$25,E215&lt;E$27,D$26,E215&lt;E$28,D$27,E215&lt;E$29,D$28,E215&lt;E$30,D$29,E215&lt;E$31,D$30,E215&lt;E$32,D$31,E215&lt;E$33,D$32,E215&lt;E$34,D$33,E215&lt;E$35,D$34,E215&gt;=E$35,D$35)</f>
        <v/>
      </c>
      <c r="E215" s="38" t="n">
        <v>165</v>
      </c>
      <c r="F215" s="31">
        <f>E215/52</f>
        <v/>
      </c>
      <c r="G215" s="39">
        <f>D215/1000000*52</f>
        <v/>
      </c>
      <c r="H215" s="33">
        <f>G215/$P$4+($C$22/$P$4)</f>
        <v/>
      </c>
      <c r="I215" s="36">
        <f>_xlfn.IFS(K215&lt;K$24,0,K215&lt;K$26,I$24,K215&lt;K$28,I$26,K215&lt;K$30,I$28,K215&lt;K$32,I$30,K215&lt;K$34,I$32,K215&lt;K$36,I$34,K215&lt;K$38,I$36,K215&lt;K$40,I$38,K215&lt;K$42,I$40,K215&lt;K$44,I$42,K215&lt;K$46,I$44,K215&gt;=K$46,I$46)</f>
        <v/>
      </c>
      <c r="J215" s="37">
        <f>_xlfn.IFS(K215&lt;K$24,0,K215&lt;K$25,J$24,K215&lt;K$26,J$25,K215&lt;K$27,J$26,K215&lt;K$28,J$27,K215&lt;K$29,J$28,K215&lt;K$30,J$29,K215&lt;K$31,J$30,K215&lt;K$32,J$31,K215&lt;K$33,J$32,K215&lt;K$34,J$33,K215&lt;K$35,J$34,K215&lt;K$36,J$35,K215&lt;K$37,J$36,K215&lt;K$38,J$37,K215&lt;K$39,J$38,K215&lt;K$40,J$39,K215&lt;K$41,J$40,K215&lt;K$42,J$41,K215&lt;K$43,J$42,K215&lt;K$44,J$43,K215&lt;K$45,J$44,K215&lt;K$46,J$45,K215&lt;K$47,J$46,K215&gt;=K$47,J$47)</f>
        <v/>
      </c>
      <c r="K215" s="38" t="n">
        <v>165</v>
      </c>
      <c r="L215" s="31">
        <f>K215/52</f>
        <v/>
      </c>
      <c r="M215" s="39">
        <f>J215/1000000*52</f>
        <v/>
      </c>
      <c r="N215" s="33">
        <f>M215/$P$4+($I$22/$P$4)</f>
        <v/>
      </c>
      <c r="U215">
        <f>F214</f>
        <v/>
      </c>
      <c r="V215">
        <f>H214</f>
        <v/>
      </c>
      <c r="W215">
        <f>N214</f>
        <v/>
      </c>
    </row>
    <row r="216" ht="15.75" customHeight="1" s="40">
      <c r="C216" s="36">
        <f>_xlfn.IFS(E216&lt;E$24,0,E216&lt;E$26,C$24,E216&lt;E$28,C$26,E216&lt;E$30,C$28,E216&lt;E$32,C$30,E216&lt;E$34,C$32,E216&gt;=E$34,C$34)</f>
        <v/>
      </c>
      <c r="D216" s="37">
        <f>_xlfn.IFS(E216&lt;E$24,0,E216&lt;E$25,D$24,E216&lt;E$26,D$25,E216&lt;E$27,D$26,E216&lt;E$28,D$27,E216&lt;E$29,D$28,E216&lt;E$30,D$29,E216&lt;E$31,D$30,E216&lt;E$32,D$31,E216&lt;E$33,D$32,E216&lt;E$34,D$33,E216&lt;E$35,D$34,E216&gt;=E$35,D$35)</f>
        <v/>
      </c>
      <c r="E216" s="38" t="n">
        <v>166</v>
      </c>
      <c r="F216" s="31">
        <f>E216/52</f>
        <v/>
      </c>
      <c r="G216" s="39">
        <f>D216/1000000*52</f>
        <v/>
      </c>
      <c r="H216" s="33">
        <f>G216/$P$4+($C$22/$P$4)</f>
        <v/>
      </c>
      <c r="I216" s="36">
        <f>_xlfn.IFS(K216&lt;K$24,0,K216&lt;K$26,I$24,K216&lt;K$28,I$26,K216&lt;K$30,I$28,K216&lt;K$32,I$30,K216&lt;K$34,I$32,K216&lt;K$36,I$34,K216&lt;K$38,I$36,K216&lt;K$40,I$38,K216&lt;K$42,I$40,K216&lt;K$44,I$42,K216&lt;K$46,I$44,K216&gt;=K$46,I$46)</f>
        <v/>
      </c>
      <c r="J216" s="37">
        <f>_xlfn.IFS(K216&lt;K$24,0,K216&lt;K$25,J$24,K216&lt;K$26,J$25,K216&lt;K$27,J$26,K216&lt;K$28,J$27,K216&lt;K$29,J$28,K216&lt;K$30,J$29,K216&lt;K$31,J$30,K216&lt;K$32,J$31,K216&lt;K$33,J$32,K216&lt;K$34,J$33,K216&lt;K$35,J$34,K216&lt;K$36,J$35,K216&lt;K$37,J$36,K216&lt;K$38,J$37,K216&lt;K$39,J$38,K216&lt;K$40,J$39,K216&lt;K$41,J$40,K216&lt;K$42,J$41,K216&lt;K$43,J$42,K216&lt;K$44,J$43,K216&lt;K$45,J$44,K216&lt;K$46,J$45,K216&lt;K$47,J$46,K216&gt;=K$47,J$47)</f>
        <v/>
      </c>
      <c r="K216" s="38" t="n">
        <v>166</v>
      </c>
      <c r="L216" s="31">
        <f>K216/52</f>
        <v/>
      </c>
      <c r="M216" s="39">
        <f>J216/1000000*52</f>
        <v/>
      </c>
      <c r="N216" s="33">
        <f>M216/$P$4+($I$22/$P$4)</f>
        <v/>
      </c>
      <c r="U216">
        <f>F215</f>
        <v/>
      </c>
      <c r="V216">
        <f>H215</f>
        <v/>
      </c>
      <c r="W216">
        <f>N215</f>
        <v/>
      </c>
    </row>
    <row r="217" ht="15.75" customHeight="1" s="40">
      <c r="C217" s="36">
        <f>_xlfn.IFS(E217&lt;E$24,0,E217&lt;E$26,C$24,E217&lt;E$28,C$26,E217&lt;E$30,C$28,E217&lt;E$32,C$30,E217&lt;E$34,C$32,E217&gt;=E$34,C$34)</f>
        <v/>
      </c>
      <c r="D217" s="37">
        <f>_xlfn.IFS(E217&lt;E$24,0,E217&lt;E$25,D$24,E217&lt;E$26,D$25,E217&lt;E$27,D$26,E217&lt;E$28,D$27,E217&lt;E$29,D$28,E217&lt;E$30,D$29,E217&lt;E$31,D$30,E217&lt;E$32,D$31,E217&lt;E$33,D$32,E217&lt;E$34,D$33,E217&lt;E$35,D$34,E217&gt;=E$35,D$35)</f>
        <v/>
      </c>
      <c r="E217" s="38" t="n">
        <v>167</v>
      </c>
      <c r="F217" s="31">
        <f>E217/52</f>
        <v/>
      </c>
      <c r="G217" s="39">
        <f>D217/1000000*52</f>
        <v/>
      </c>
      <c r="H217" s="33">
        <f>G217/$P$4+($C$22/$P$4)</f>
        <v/>
      </c>
      <c r="I217" s="36">
        <f>_xlfn.IFS(K217&lt;K$24,0,K217&lt;K$26,I$24,K217&lt;K$28,I$26,K217&lt;K$30,I$28,K217&lt;K$32,I$30,K217&lt;K$34,I$32,K217&lt;K$36,I$34,K217&lt;K$38,I$36,K217&lt;K$40,I$38,K217&lt;K$42,I$40,K217&lt;K$44,I$42,K217&lt;K$46,I$44,K217&gt;=K$46,I$46)</f>
        <v/>
      </c>
      <c r="J217" s="37">
        <f>_xlfn.IFS(K217&lt;K$24,0,K217&lt;K$25,J$24,K217&lt;K$26,J$25,K217&lt;K$27,J$26,K217&lt;K$28,J$27,K217&lt;K$29,J$28,K217&lt;K$30,J$29,K217&lt;K$31,J$30,K217&lt;K$32,J$31,K217&lt;K$33,J$32,K217&lt;K$34,J$33,K217&lt;K$35,J$34,K217&lt;K$36,J$35,K217&lt;K$37,J$36,K217&lt;K$38,J$37,K217&lt;K$39,J$38,K217&lt;K$40,J$39,K217&lt;K$41,J$40,K217&lt;K$42,J$41,K217&lt;K$43,J$42,K217&lt;K$44,J$43,K217&lt;K$45,J$44,K217&lt;K$46,J$45,K217&lt;K$47,J$46,K217&gt;=K$47,J$47)</f>
        <v/>
      </c>
      <c r="K217" s="38" t="n">
        <v>167</v>
      </c>
      <c r="L217" s="31">
        <f>K217/52</f>
        <v/>
      </c>
      <c r="M217" s="39">
        <f>J217/1000000*52</f>
        <v/>
      </c>
      <c r="N217" s="33">
        <f>M217/$P$4+($I$22/$P$4)</f>
        <v/>
      </c>
      <c r="U217">
        <f>F216</f>
        <v/>
      </c>
      <c r="V217">
        <f>H216</f>
        <v/>
      </c>
      <c r="W217">
        <f>N216</f>
        <v/>
      </c>
    </row>
    <row r="218" ht="15.75" customHeight="1" s="40">
      <c r="C218" s="36">
        <f>_xlfn.IFS(E218&lt;E$24,0,E218&lt;E$26,C$24,E218&lt;E$28,C$26,E218&lt;E$30,C$28,E218&lt;E$32,C$30,E218&lt;E$34,C$32,E218&gt;=E$34,C$34)</f>
        <v/>
      </c>
      <c r="D218" s="37">
        <f>_xlfn.IFS(E218&lt;E$24,0,E218&lt;E$25,D$24,E218&lt;E$26,D$25,E218&lt;E$27,D$26,E218&lt;E$28,D$27,E218&lt;E$29,D$28,E218&lt;E$30,D$29,E218&lt;E$31,D$30,E218&lt;E$32,D$31,E218&lt;E$33,D$32,E218&lt;E$34,D$33,E218&lt;E$35,D$34,E218&gt;=E$35,D$35)</f>
        <v/>
      </c>
      <c r="E218" s="38" t="n">
        <v>168</v>
      </c>
      <c r="F218" s="31">
        <f>E218/52</f>
        <v/>
      </c>
      <c r="G218" s="39">
        <f>D218/1000000*52</f>
        <v/>
      </c>
      <c r="H218" s="33">
        <f>G218/$P$4+($C$22/$P$4)</f>
        <v/>
      </c>
      <c r="I218" s="36">
        <f>_xlfn.IFS(K218&lt;K$24,0,K218&lt;K$26,I$24,K218&lt;K$28,I$26,K218&lt;K$30,I$28,K218&lt;K$32,I$30,K218&lt;K$34,I$32,K218&lt;K$36,I$34,K218&lt;K$38,I$36,K218&lt;K$40,I$38,K218&lt;K$42,I$40,K218&lt;K$44,I$42,K218&lt;K$46,I$44,K218&gt;=K$46,I$46)</f>
        <v/>
      </c>
      <c r="J218" s="37">
        <f>_xlfn.IFS(K218&lt;K$24,0,K218&lt;K$25,J$24,K218&lt;K$26,J$25,K218&lt;K$27,J$26,K218&lt;K$28,J$27,K218&lt;K$29,J$28,K218&lt;K$30,J$29,K218&lt;K$31,J$30,K218&lt;K$32,J$31,K218&lt;K$33,J$32,K218&lt;K$34,J$33,K218&lt;K$35,J$34,K218&lt;K$36,J$35,K218&lt;K$37,J$36,K218&lt;K$38,J$37,K218&lt;K$39,J$38,K218&lt;K$40,J$39,K218&lt;K$41,J$40,K218&lt;K$42,J$41,K218&lt;K$43,J$42,K218&lt;K$44,J$43,K218&lt;K$45,J$44,K218&lt;K$46,J$45,K218&lt;K$47,J$46,K218&gt;=K$47,J$47)</f>
        <v/>
      </c>
      <c r="K218" s="38" t="n">
        <v>168</v>
      </c>
      <c r="L218" s="31">
        <f>K218/52</f>
        <v/>
      </c>
      <c r="M218" s="39">
        <f>J218/1000000*52</f>
        <v/>
      </c>
      <c r="N218" s="33">
        <f>M218/$P$4+($I$22/$P$4)</f>
        <v/>
      </c>
      <c r="U218">
        <f>F217</f>
        <v/>
      </c>
      <c r="V218">
        <f>H217</f>
        <v/>
      </c>
      <c r="W218">
        <f>N217</f>
        <v/>
      </c>
    </row>
    <row r="219" ht="15.75" customHeight="1" s="40">
      <c r="C219" s="36">
        <f>_xlfn.IFS(E219&lt;E$24,0,E219&lt;E$26,C$24,E219&lt;E$28,C$26,E219&lt;E$30,C$28,E219&lt;E$32,C$30,E219&lt;E$34,C$32,E219&gt;=E$34,C$34)</f>
        <v/>
      </c>
      <c r="D219" s="37">
        <f>_xlfn.IFS(E219&lt;E$24,0,E219&lt;E$25,D$24,E219&lt;E$26,D$25,E219&lt;E$27,D$26,E219&lt;E$28,D$27,E219&lt;E$29,D$28,E219&lt;E$30,D$29,E219&lt;E$31,D$30,E219&lt;E$32,D$31,E219&lt;E$33,D$32,E219&lt;E$34,D$33,E219&lt;E$35,D$34,E219&gt;=E$35,D$35)</f>
        <v/>
      </c>
      <c r="E219" s="38" t="n">
        <v>169</v>
      </c>
      <c r="F219" s="31">
        <f>E219/52</f>
        <v/>
      </c>
      <c r="G219" s="39">
        <f>D219/1000000*52</f>
        <v/>
      </c>
      <c r="H219" s="33">
        <f>G219/$P$4+($C$22/$P$4)</f>
        <v/>
      </c>
      <c r="I219" s="36">
        <f>_xlfn.IFS(K219&lt;K$24,0,K219&lt;K$26,I$24,K219&lt;K$28,I$26,K219&lt;K$30,I$28,K219&lt;K$32,I$30,K219&lt;K$34,I$32,K219&lt;K$36,I$34,K219&lt;K$38,I$36,K219&lt;K$40,I$38,K219&lt;K$42,I$40,K219&lt;K$44,I$42,K219&lt;K$46,I$44,K219&gt;=K$46,I$46)</f>
        <v/>
      </c>
      <c r="J219" s="37">
        <f>_xlfn.IFS(K219&lt;K$24,0,K219&lt;K$25,J$24,K219&lt;K$26,J$25,K219&lt;K$27,J$26,K219&lt;K$28,J$27,K219&lt;K$29,J$28,K219&lt;K$30,J$29,K219&lt;K$31,J$30,K219&lt;K$32,J$31,K219&lt;K$33,J$32,K219&lt;K$34,J$33,K219&lt;K$35,J$34,K219&lt;K$36,J$35,K219&lt;K$37,J$36,K219&lt;K$38,J$37,K219&lt;K$39,J$38,K219&lt;K$40,J$39,K219&lt;K$41,J$40,K219&lt;K$42,J$41,K219&lt;K$43,J$42,K219&lt;K$44,J$43,K219&lt;K$45,J$44,K219&lt;K$46,J$45,K219&lt;K$47,J$46,K219&gt;=K$47,J$47)</f>
        <v/>
      </c>
      <c r="K219" s="38" t="n">
        <v>169</v>
      </c>
      <c r="L219" s="31">
        <f>K219/52</f>
        <v/>
      </c>
      <c r="M219" s="39">
        <f>J219/1000000*52</f>
        <v/>
      </c>
      <c r="N219" s="33">
        <f>M219/$P$4+($I$22/$P$4)</f>
        <v/>
      </c>
      <c r="U219">
        <f>F218</f>
        <v/>
      </c>
      <c r="V219">
        <f>H218</f>
        <v/>
      </c>
      <c r="W219">
        <f>N218</f>
        <v/>
      </c>
    </row>
    <row r="220" ht="15.75" customHeight="1" s="40">
      <c r="C220" s="36">
        <f>_xlfn.IFS(E220&lt;E$24,0,E220&lt;E$26,C$24,E220&lt;E$28,C$26,E220&lt;E$30,C$28,E220&lt;E$32,C$30,E220&lt;E$34,C$32,E220&gt;=E$34,C$34)</f>
        <v/>
      </c>
      <c r="D220" s="37">
        <f>_xlfn.IFS(E220&lt;E$24,0,E220&lt;E$25,D$24,E220&lt;E$26,D$25,E220&lt;E$27,D$26,E220&lt;E$28,D$27,E220&lt;E$29,D$28,E220&lt;E$30,D$29,E220&lt;E$31,D$30,E220&lt;E$32,D$31,E220&lt;E$33,D$32,E220&lt;E$34,D$33,E220&lt;E$35,D$34,E220&gt;=E$35,D$35)</f>
        <v/>
      </c>
      <c r="E220" s="38" t="n">
        <v>170</v>
      </c>
      <c r="F220" s="31">
        <f>E220/52</f>
        <v/>
      </c>
      <c r="G220" s="39">
        <f>D220/1000000*52</f>
        <v/>
      </c>
      <c r="H220" s="33">
        <f>G220/$P$4+($C$22/$P$4)</f>
        <v/>
      </c>
      <c r="I220" s="36">
        <f>_xlfn.IFS(K220&lt;K$24,0,K220&lt;K$26,I$24,K220&lt;K$28,I$26,K220&lt;K$30,I$28,K220&lt;K$32,I$30,K220&lt;K$34,I$32,K220&lt;K$36,I$34,K220&lt;K$38,I$36,K220&lt;K$40,I$38,K220&lt;K$42,I$40,K220&lt;K$44,I$42,K220&lt;K$46,I$44,K220&gt;=K$46,I$46)</f>
        <v/>
      </c>
      <c r="J220" s="37">
        <f>_xlfn.IFS(K220&lt;K$24,0,K220&lt;K$25,J$24,K220&lt;K$26,J$25,K220&lt;K$27,J$26,K220&lt;K$28,J$27,K220&lt;K$29,J$28,K220&lt;K$30,J$29,K220&lt;K$31,J$30,K220&lt;K$32,J$31,K220&lt;K$33,J$32,K220&lt;K$34,J$33,K220&lt;K$35,J$34,K220&lt;K$36,J$35,K220&lt;K$37,J$36,K220&lt;K$38,J$37,K220&lt;K$39,J$38,K220&lt;K$40,J$39,K220&lt;K$41,J$40,K220&lt;K$42,J$41,K220&lt;K$43,J$42,K220&lt;K$44,J$43,K220&lt;K$45,J$44,K220&lt;K$46,J$45,K220&lt;K$47,J$46,K220&gt;=K$47,J$47)</f>
        <v/>
      </c>
      <c r="K220" s="38" t="n">
        <v>170</v>
      </c>
      <c r="L220" s="31">
        <f>K220/52</f>
        <v/>
      </c>
      <c r="M220" s="39">
        <f>J220/1000000*52</f>
        <v/>
      </c>
      <c r="N220" s="33">
        <f>M220/$P$4+($I$22/$P$4)</f>
        <v/>
      </c>
      <c r="U220">
        <f>F219</f>
        <v/>
      </c>
      <c r="V220">
        <f>H219</f>
        <v/>
      </c>
      <c r="W220">
        <f>N219</f>
        <v/>
      </c>
    </row>
    <row r="221" ht="15.75" customHeight="1" s="40">
      <c r="C221" s="36">
        <f>_xlfn.IFS(E221&lt;E$24,0,E221&lt;E$26,C$24,E221&lt;E$28,C$26,E221&lt;E$30,C$28,E221&lt;E$32,C$30,E221&lt;E$34,C$32,E221&gt;=E$34,C$34)</f>
        <v/>
      </c>
      <c r="D221" s="37">
        <f>_xlfn.IFS(E221&lt;E$24,0,E221&lt;E$25,D$24,E221&lt;E$26,D$25,E221&lt;E$27,D$26,E221&lt;E$28,D$27,E221&lt;E$29,D$28,E221&lt;E$30,D$29,E221&lt;E$31,D$30,E221&lt;E$32,D$31,E221&lt;E$33,D$32,E221&lt;E$34,D$33,E221&lt;E$35,D$34,E221&gt;=E$35,D$35)</f>
        <v/>
      </c>
      <c r="E221" s="38" t="n">
        <v>171</v>
      </c>
      <c r="F221" s="31">
        <f>E221/52</f>
        <v/>
      </c>
      <c r="G221" s="39">
        <f>D221/1000000*52</f>
        <v/>
      </c>
      <c r="H221" s="33">
        <f>G221/$P$4+($C$22/$P$4)</f>
        <v/>
      </c>
      <c r="I221" s="36">
        <f>_xlfn.IFS(K221&lt;K$24,0,K221&lt;K$26,I$24,K221&lt;K$28,I$26,K221&lt;K$30,I$28,K221&lt;K$32,I$30,K221&lt;K$34,I$32,K221&lt;K$36,I$34,K221&lt;K$38,I$36,K221&lt;K$40,I$38,K221&lt;K$42,I$40,K221&lt;K$44,I$42,K221&lt;K$46,I$44,K221&gt;=K$46,I$46)</f>
        <v/>
      </c>
      <c r="J221" s="37">
        <f>_xlfn.IFS(K221&lt;K$24,0,K221&lt;K$25,J$24,K221&lt;K$26,J$25,K221&lt;K$27,J$26,K221&lt;K$28,J$27,K221&lt;K$29,J$28,K221&lt;K$30,J$29,K221&lt;K$31,J$30,K221&lt;K$32,J$31,K221&lt;K$33,J$32,K221&lt;K$34,J$33,K221&lt;K$35,J$34,K221&lt;K$36,J$35,K221&lt;K$37,J$36,K221&lt;K$38,J$37,K221&lt;K$39,J$38,K221&lt;K$40,J$39,K221&lt;K$41,J$40,K221&lt;K$42,J$41,K221&lt;K$43,J$42,K221&lt;K$44,J$43,K221&lt;K$45,J$44,K221&lt;K$46,J$45,K221&lt;K$47,J$46,K221&gt;=K$47,J$47)</f>
        <v/>
      </c>
      <c r="K221" s="38" t="n">
        <v>171</v>
      </c>
      <c r="L221" s="31">
        <f>K221/52</f>
        <v/>
      </c>
      <c r="M221" s="39">
        <f>J221/1000000*52</f>
        <v/>
      </c>
      <c r="N221" s="33">
        <f>M221/$P$4+($I$22/$P$4)</f>
        <v/>
      </c>
      <c r="U221">
        <f>F220</f>
        <v/>
      </c>
      <c r="V221">
        <f>H220</f>
        <v/>
      </c>
      <c r="W221">
        <f>N220</f>
        <v/>
      </c>
    </row>
    <row r="222" ht="15.75" customHeight="1" s="40">
      <c r="C222" s="36">
        <f>_xlfn.IFS(E222&lt;E$24,0,E222&lt;E$26,C$24,E222&lt;E$28,C$26,E222&lt;E$30,C$28,E222&lt;E$32,C$30,E222&lt;E$34,C$32,E222&gt;=E$34,C$34)</f>
        <v/>
      </c>
      <c r="D222" s="37">
        <f>_xlfn.IFS(E222&lt;E$24,0,E222&lt;E$25,D$24,E222&lt;E$26,D$25,E222&lt;E$27,D$26,E222&lt;E$28,D$27,E222&lt;E$29,D$28,E222&lt;E$30,D$29,E222&lt;E$31,D$30,E222&lt;E$32,D$31,E222&lt;E$33,D$32,E222&lt;E$34,D$33,E222&lt;E$35,D$34,E222&gt;=E$35,D$35)</f>
        <v/>
      </c>
      <c r="E222" s="38" t="n">
        <v>172</v>
      </c>
      <c r="F222" s="31">
        <f>E222/52</f>
        <v/>
      </c>
      <c r="G222" s="39">
        <f>D222/1000000*52</f>
        <v/>
      </c>
      <c r="H222" s="33">
        <f>G222/$P$4+($C$22/$P$4)</f>
        <v/>
      </c>
      <c r="I222" s="36">
        <f>_xlfn.IFS(K222&lt;K$24,0,K222&lt;K$26,I$24,K222&lt;K$28,I$26,K222&lt;K$30,I$28,K222&lt;K$32,I$30,K222&lt;K$34,I$32,K222&lt;K$36,I$34,K222&lt;K$38,I$36,K222&lt;K$40,I$38,K222&lt;K$42,I$40,K222&lt;K$44,I$42,K222&lt;K$46,I$44,K222&gt;=K$46,I$46)</f>
        <v/>
      </c>
      <c r="J222" s="37">
        <f>_xlfn.IFS(K222&lt;K$24,0,K222&lt;K$25,J$24,K222&lt;K$26,J$25,K222&lt;K$27,J$26,K222&lt;K$28,J$27,K222&lt;K$29,J$28,K222&lt;K$30,J$29,K222&lt;K$31,J$30,K222&lt;K$32,J$31,K222&lt;K$33,J$32,K222&lt;K$34,J$33,K222&lt;K$35,J$34,K222&lt;K$36,J$35,K222&lt;K$37,J$36,K222&lt;K$38,J$37,K222&lt;K$39,J$38,K222&lt;K$40,J$39,K222&lt;K$41,J$40,K222&lt;K$42,J$41,K222&lt;K$43,J$42,K222&lt;K$44,J$43,K222&lt;K$45,J$44,K222&lt;K$46,J$45,K222&lt;K$47,J$46,K222&gt;=K$47,J$47)</f>
        <v/>
      </c>
      <c r="K222" s="38" t="n">
        <v>172</v>
      </c>
      <c r="L222" s="31">
        <f>K222/52</f>
        <v/>
      </c>
      <c r="M222" s="39">
        <f>J222/1000000*52</f>
        <v/>
      </c>
      <c r="N222" s="33">
        <f>M222/$P$4+($I$22/$P$4)</f>
        <v/>
      </c>
      <c r="U222">
        <f>F221</f>
        <v/>
      </c>
      <c r="V222">
        <f>H221</f>
        <v/>
      </c>
      <c r="W222">
        <f>N221</f>
        <v/>
      </c>
    </row>
    <row r="223" ht="15.75" customHeight="1" s="40">
      <c r="C223" s="36">
        <f>_xlfn.IFS(E223&lt;E$24,0,E223&lt;E$26,C$24,E223&lt;E$28,C$26,E223&lt;E$30,C$28,E223&lt;E$32,C$30,E223&lt;E$34,C$32,E223&gt;=E$34,C$34)</f>
        <v/>
      </c>
      <c r="D223" s="37">
        <f>_xlfn.IFS(E223&lt;E$24,0,E223&lt;E$25,D$24,E223&lt;E$26,D$25,E223&lt;E$27,D$26,E223&lt;E$28,D$27,E223&lt;E$29,D$28,E223&lt;E$30,D$29,E223&lt;E$31,D$30,E223&lt;E$32,D$31,E223&lt;E$33,D$32,E223&lt;E$34,D$33,E223&lt;E$35,D$34,E223&gt;=E$35,D$35)</f>
        <v/>
      </c>
      <c r="E223" s="38" t="n">
        <v>173</v>
      </c>
      <c r="F223" s="31">
        <f>E223/52</f>
        <v/>
      </c>
      <c r="G223" s="39">
        <f>D223/1000000*52</f>
        <v/>
      </c>
      <c r="H223" s="33">
        <f>G223/$P$4+($C$22/$P$4)</f>
        <v/>
      </c>
      <c r="I223" s="36">
        <f>_xlfn.IFS(K223&lt;K$24,0,K223&lt;K$26,I$24,K223&lt;K$28,I$26,K223&lt;K$30,I$28,K223&lt;K$32,I$30,K223&lt;K$34,I$32,K223&lt;K$36,I$34,K223&lt;K$38,I$36,K223&lt;K$40,I$38,K223&lt;K$42,I$40,K223&lt;K$44,I$42,K223&lt;K$46,I$44,K223&gt;=K$46,I$46)</f>
        <v/>
      </c>
      <c r="J223" s="37">
        <f>_xlfn.IFS(K223&lt;K$24,0,K223&lt;K$25,J$24,K223&lt;K$26,J$25,K223&lt;K$27,J$26,K223&lt;K$28,J$27,K223&lt;K$29,J$28,K223&lt;K$30,J$29,K223&lt;K$31,J$30,K223&lt;K$32,J$31,K223&lt;K$33,J$32,K223&lt;K$34,J$33,K223&lt;K$35,J$34,K223&lt;K$36,J$35,K223&lt;K$37,J$36,K223&lt;K$38,J$37,K223&lt;K$39,J$38,K223&lt;K$40,J$39,K223&lt;K$41,J$40,K223&lt;K$42,J$41,K223&lt;K$43,J$42,K223&lt;K$44,J$43,K223&lt;K$45,J$44,K223&lt;K$46,J$45,K223&lt;K$47,J$46,K223&gt;=K$47,J$47)</f>
        <v/>
      </c>
      <c r="K223" s="38" t="n">
        <v>173</v>
      </c>
      <c r="L223" s="31">
        <f>K223/52</f>
        <v/>
      </c>
      <c r="M223" s="39">
        <f>J223/1000000*52</f>
        <v/>
      </c>
      <c r="N223" s="33">
        <f>M223/$P$4+($I$22/$P$4)</f>
        <v/>
      </c>
      <c r="U223">
        <f>F222</f>
        <v/>
      </c>
      <c r="V223">
        <f>H222</f>
        <v/>
      </c>
      <c r="W223">
        <f>N222</f>
        <v/>
      </c>
    </row>
    <row r="224" ht="15.75" customHeight="1" s="40">
      <c r="C224" s="36">
        <f>_xlfn.IFS(E224&lt;E$24,0,E224&lt;E$26,C$24,E224&lt;E$28,C$26,E224&lt;E$30,C$28,E224&lt;E$32,C$30,E224&lt;E$34,C$32,E224&gt;=E$34,C$34)</f>
        <v/>
      </c>
      <c r="D224" s="37">
        <f>_xlfn.IFS(E224&lt;E$24,0,E224&lt;E$25,D$24,E224&lt;E$26,D$25,E224&lt;E$27,D$26,E224&lt;E$28,D$27,E224&lt;E$29,D$28,E224&lt;E$30,D$29,E224&lt;E$31,D$30,E224&lt;E$32,D$31,E224&lt;E$33,D$32,E224&lt;E$34,D$33,E224&lt;E$35,D$34,E224&gt;=E$35,D$35)</f>
        <v/>
      </c>
      <c r="E224" s="38" t="n">
        <v>174</v>
      </c>
      <c r="F224" s="31">
        <f>E224/52</f>
        <v/>
      </c>
      <c r="G224" s="39">
        <f>D224/1000000*52</f>
        <v/>
      </c>
      <c r="H224" s="33">
        <f>G224/$P$4+($C$22/$P$4)</f>
        <v/>
      </c>
      <c r="I224" s="36">
        <f>_xlfn.IFS(K224&lt;K$24,0,K224&lt;K$26,I$24,K224&lt;K$28,I$26,K224&lt;K$30,I$28,K224&lt;K$32,I$30,K224&lt;K$34,I$32,K224&lt;K$36,I$34,K224&lt;K$38,I$36,K224&lt;K$40,I$38,K224&lt;K$42,I$40,K224&lt;K$44,I$42,K224&lt;K$46,I$44,K224&gt;=K$46,I$46)</f>
        <v/>
      </c>
      <c r="J224" s="37">
        <f>_xlfn.IFS(K224&lt;K$24,0,K224&lt;K$25,J$24,K224&lt;K$26,J$25,K224&lt;K$27,J$26,K224&lt;K$28,J$27,K224&lt;K$29,J$28,K224&lt;K$30,J$29,K224&lt;K$31,J$30,K224&lt;K$32,J$31,K224&lt;K$33,J$32,K224&lt;K$34,J$33,K224&lt;K$35,J$34,K224&lt;K$36,J$35,K224&lt;K$37,J$36,K224&lt;K$38,J$37,K224&lt;K$39,J$38,K224&lt;K$40,J$39,K224&lt;K$41,J$40,K224&lt;K$42,J$41,K224&lt;K$43,J$42,K224&lt;K$44,J$43,K224&lt;K$45,J$44,K224&lt;K$46,J$45,K224&lt;K$47,J$46,K224&gt;=K$47,J$47)</f>
        <v/>
      </c>
      <c r="K224" s="38" t="n">
        <v>174</v>
      </c>
      <c r="L224" s="31">
        <f>K224/52</f>
        <v/>
      </c>
      <c r="M224" s="39">
        <f>J224/1000000*52</f>
        <v/>
      </c>
      <c r="N224" s="33">
        <f>M224/$P$4+($I$22/$P$4)</f>
        <v/>
      </c>
      <c r="U224">
        <f>F223</f>
        <v/>
      </c>
      <c r="V224">
        <f>H223</f>
        <v/>
      </c>
      <c r="W224">
        <f>N223</f>
        <v/>
      </c>
    </row>
    <row r="225" ht="15.75" customHeight="1" s="40">
      <c r="C225" s="36">
        <f>_xlfn.IFS(E225&lt;E$24,0,E225&lt;E$26,C$24,E225&lt;E$28,C$26,E225&lt;E$30,C$28,E225&lt;E$32,C$30,E225&lt;E$34,C$32,E225&gt;=E$34,C$34)</f>
        <v/>
      </c>
      <c r="D225" s="37">
        <f>_xlfn.IFS(E225&lt;E$24,0,E225&lt;E$25,D$24,E225&lt;E$26,D$25,E225&lt;E$27,D$26,E225&lt;E$28,D$27,E225&lt;E$29,D$28,E225&lt;E$30,D$29,E225&lt;E$31,D$30,E225&lt;E$32,D$31,E225&lt;E$33,D$32,E225&lt;E$34,D$33,E225&lt;E$35,D$34,E225&gt;=E$35,D$35)</f>
        <v/>
      </c>
      <c r="E225" s="38" t="n">
        <v>175</v>
      </c>
      <c r="F225" s="31">
        <f>E225/52</f>
        <v/>
      </c>
      <c r="G225" s="39">
        <f>D225/1000000*52</f>
        <v/>
      </c>
      <c r="H225" s="33">
        <f>G225/$P$4+($C$22/$P$4)</f>
        <v/>
      </c>
      <c r="I225" s="36">
        <f>_xlfn.IFS(K225&lt;K$24,0,K225&lt;K$26,I$24,K225&lt;K$28,I$26,K225&lt;K$30,I$28,K225&lt;K$32,I$30,K225&lt;K$34,I$32,K225&lt;K$36,I$34,K225&lt;K$38,I$36,K225&lt;K$40,I$38,K225&lt;K$42,I$40,K225&lt;K$44,I$42,K225&lt;K$46,I$44,K225&gt;=K$46,I$46)</f>
        <v/>
      </c>
      <c r="J225" s="37">
        <f>_xlfn.IFS(K225&lt;K$24,0,K225&lt;K$25,J$24,K225&lt;K$26,J$25,K225&lt;K$27,J$26,K225&lt;K$28,J$27,K225&lt;K$29,J$28,K225&lt;K$30,J$29,K225&lt;K$31,J$30,K225&lt;K$32,J$31,K225&lt;K$33,J$32,K225&lt;K$34,J$33,K225&lt;K$35,J$34,K225&lt;K$36,J$35,K225&lt;K$37,J$36,K225&lt;K$38,J$37,K225&lt;K$39,J$38,K225&lt;K$40,J$39,K225&lt;K$41,J$40,K225&lt;K$42,J$41,K225&lt;K$43,J$42,K225&lt;K$44,J$43,K225&lt;K$45,J$44,K225&lt;K$46,J$45,K225&lt;K$47,J$46,K225&gt;=K$47,J$47)</f>
        <v/>
      </c>
      <c r="K225" s="38" t="n">
        <v>175</v>
      </c>
      <c r="L225" s="31">
        <f>K225/52</f>
        <v/>
      </c>
      <c r="M225" s="39">
        <f>J225/1000000*52</f>
        <v/>
      </c>
      <c r="N225" s="33">
        <f>M225/$P$4+($I$22/$P$4)</f>
        <v/>
      </c>
      <c r="U225">
        <f>F224</f>
        <v/>
      </c>
      <c r="V225">
        <f>H224</f>
        <v/>
      </c>
      <c r="W225">
        <f>N224</f>
        <v/>
      </c>
    </row>
    <row r="226" ht="15.75" customHeight="1" s="40">
      <c r="C226" s="36">
        <f>_xlfn.IFS(E226&lt;E$24,0,E226&lt;E$26,C$24,E226&lt;E$28,C$26,E226&lt;E$30,C$28,E226&lt;E$32,C$30,E226&lt;E$34,C$32,E226&gt;=E$34,C$34)</f>
        <v/>
      </c>
      <c r="D226" s="37">
        <f>_xlfn.IFS(E226&lt;E$24,0,E226&lt;E$25,D$24,E226&lt;E$26,D$25,E226&lt;E$27,D$26,E226&lt;E$28,D$27,E226&lt;E$29,D$28,E226&lt;E$30,D$29,E226&lt;E$31,D$30,E226&lt;E$32,D$31,E226&lt;E$33,D$32,E226&lt;E$34,D$33,E226&lt;E$35,D$34,E226&gt;=E$35,D$35)</f>
        <v/>
      </c>
      <c r="E226" s="38" t="n">
        <v>176</v>
      </c>
      <c r="F226" s="31">
        <f>E226/52</f>
        <v/>
      </c>
      <c r="G226" s="39">
        <f>D226/1000000*52</f>
        <v/>
      </c>
      <c r="H226" s="33">
        <f>G226/$P$4+($C$22/$P$4)</f>
        <v/>
      </c>
      <c r="I226" s="36">
        <f>_xlfn.IFS(K226&lt;K$24,0,K226&lt;K$26,I$24,K226&lt;K$28,I$26,K226&lt;K$30,I$28,K226&lt;K$32,I$30,K226&lt;K$34,I$32,K226&lt;K$36,I$34,K226&lt;K$38,I$36,K226&lt;K$40,I$38,K226&lt;K$42,I$40,K226&lt;K$44,I$42,K226&lt;K$46,I$44,K226&gt;=K$46,I$46)</f>
        <v/>
      </c>
      <c r="J226" s="37">
        <f>_xlfn.IFS(K226&lt;K$24,0,K226&lt;K$25,J$24,K226&lt;K$26,J$25,K226&lt;K$27,J$26,K226&lt;K$28,J$27,K226&lt;K$29,J$28,K226&lt;K$30,J$29,K226&lt;K$31,J$30,K226&lt;K$32,J$31,K226&lt;K$33,J$32,K226&lt;K$34,J$33,K226&lt;K$35,J$34,K226&lt;K$36,J$35,K226&lt;K$37,J$36,K226&lt;K$38,J$37,K226&lt;K$39,J$38,K226&lt;K$40,J$39,K226&lt;K$41,J$40,K226&lt;K$42,J$41,K226&lt;K$43,J$42,K226&lt;K$44,J$43,K226&lt;K$45,J$44,K226&lt;K$46,J$45,K226&lt;K$47,J$46,K226&gt;=K$47,J$47)</f>
        <v/>
      </c>
      <c r="K226" s="38" t="n">
        <v>176</v>
      </c>
      <c r="L226" s="31">
        <f>K226/52</f>
        <v/>
      </c>
      <c r="M226" s="39">
        <f>J226/1000000*52</f>
        <v/>
      </c>
      <c r="N226" s="33">
        <f>M226/$P$4+($I$22/$P$4)</f>
        <v/>
      </c>
      <c r="U226">
        <f>F225</f>
        <v/>
      </c>
      <c r="V226">
        <f>H225</f>
        <v/>
      </c>
      <c r="W226">
        <f>N225</f>
        <v/>
      </c>
    </row>
    <row r="227" ht="15.75" customHeight="1" s="40">
      <c r="C227" s="36">
        <f>_xlfn.IFS(E227&lt;E$24,0,E227&lt;E$26,C$24,E227&lt;E$28,C$26,E227&lt;E$30,C$28,E227&lt;E$32,C$30,E227&lt;E$34,C$32,E227&gt;=E$34,C$34)</f>
        <v/>
      </c>
      <c r="D227" s="37">
        <f>_xlfn.IFS(E227&lt;E$24,0,E227&lt;E$25,D$24,E227&lt;E$26,D$25,E227&lt;E$27,D$26,E227&lt;E$28,D$27,E227&lt;E$29,D$28,E227&lt;E$30,D$29,E227&lt;E$31,D$30,E227&lt;E$32,D$31,E227&lt;E$33,D$32,E227&lt;E$34,D$33,E227&lt;E$35,D$34,E227&gt;=E$35,D$35)</f>
        <v/>
      </c>
      <c r="E227" s="38" t="n">
        <v>177</v>
      </c>
      <c r="F227" s="31">
        <f>E227/52</f>
        <v/>
      </c>
      <c r="G227" s="39">
        <f>D227/1000000*52</f>
        <v/>
      </c>
      <c r="H227" s="33">
        <f>G227/$P$4+($C$22/$P$4)</f>
        <v/>
      </c>
      <c r="I227" s="36">
        <f>_xlfn.IFS(K227&lt;K$24,0,K227&lt;K$26,I$24,K227&lt;K$28,I$26,K227&lt;K$30,I$28,K227&lt;K$32,I$30,K227&lt;K$34,I$32,K227&lt;K$36,I$34,K227&lt;K$38,I$36,K227&lt;K$40,I$38,K227&lt;K$42,I$40,K227&lt;K$44,I$42,K227&lt;K$46,I$44,K227&gt;=K$46,I$46)</f>
        <v/>
      </c>
      <c r="J227" s="37">
        <f>_xlfn.IFS(K227&lt;K$24,0,K227&lt;K$25,J$24,K227&lt;K$26,J$25,K227&lt;K$27,J$26,K227&lt;K$28,J$27,K227&lt;K$29,J$28,K227&lt;K$30,J$29,K227&lt;K$31,J$30,K227&lt;K$32,J$31,K227&lt;K$33,J$32,K227&lt;K$34,J$33,K227&lt;K$35,J$34,K227&lt;K$36,J$35,K227&lt;K$37,J$36,K227&lt;K$38,J$37,K227&lt;K$39,J$38,K227&lt;K$40,J$39,K227&lt;K$41,J$40,K227&lt;K$42,J$41,K227&lt;K$43,J$42,K227&lt;K$44,J$43,K227&lt;K$45,J$44,K227&lt;K$46,J$45,K227&lt;K$47,J$46,K227&gt;=K$47,J$47)</f>
        <v/>
      </c>
      <c r="K227" s="38" t="n">
        <v>177</v>
      </c>
      <c r="L227" s="31">
        <f>K227/52</f>
        <v/>
      </c>
      <c r="M227" s="39">
        <f>J227/1000000*52</f>
        <v/>
      </c>
      <c r="N227" s="33">
        <f>M227/$P$4+($I$22/$P$4)</f>
        <v/>
      </c>
      <c r="U227">
        <f>F226</f>
        <v/>
      </c>
      <c r="V227">
        <f>H226</f>
        <v/>
      </c>
      <c r="W227">
        <f>N226</f>
        <v/>
      </c>
    </row>
    <row r="228" ht="15.75" customHeight="1" s="40">
      <c r="C228" s="36">
        <f>_xlfn.IFS(E228&lt;E$24,0,E228&lt;E$26,C$24,E228&lt;E$28,C$26,E228&lt;E$30,C$28,E228&lt;E$32,C$30,E228&lt;E$34,C$32,E228&gt;=E$34,C$34)</f>
        <v/>
      </c>
      <c r="D228" s="37">
        <f>_xlfn.IFS(E228&lt;E$24,0,E228&lt;E$25,D$24,E228&lt;E$26,D$25,E228&lt;E$27,D$26,E228&lt;E$28,D$27,E228&lt;E$29,D$28,E228&lt;E$30,D$29,E228&lt;E$31,D$30,E228&lt;E$32,D$31,E228&lt;E$33,D$32,E228&lt;E$34,D$33,E228&lt;E$35,D$34,E228&gt;=E$35,D$35)</f>
        <v/>
      </c>
      <c r="E228" s="38" t="n">
        <v>178</v>
      </c>
      <c r="F228" s="31">
        <f>E228/52</f>
        <v/>
      </c>
      <c r="G228" s="39">
        <f>D228/1000000*52</f>
        <v/>
      </c>
      <c r="H228" s="33">
        <f>G228/$P$4+($C$22/$P$4)</f>
        <v/>
      </c>
      <c r="I228" s="36">
        <f>_xlfn.IFS(K228&lt;K$24,0,K228&lt;K$26,I$24,K228&lt;K$28,I$26,K228&lt;K$30,I$28,K228&lt;K$32,I$30,K228&lt;K$34,I$32,K228&lt;K$36,I$34,K228&lt;K$38,I$36,K228&lt;K$40,I$38,K228&lt;K$42,I$40,K228&lt;K$44,I$42,K228&lt;K$46,I$44,K228&gt;=K$46,I$46)</f>
        <v/>
      </c>
      <c r="J228" s="37">
        <f>_xlfn.IFS(K228&lt;K$24,0,K228&lt;K$25,J$24,K228&lt;K$26,J$25,K228&lt;K$27,J$26,K228&lt;K$28,J$27,K228&lt;K$29,J$28,K228&lt;K$30,J$29,K228&lt;K$31,J$30,K228&lt;K$32,J$31,K228&lt;K$33,J$32,K228&lt;K$34,J$33,K228&lt;K$35,J$34,K228&lt;K$36,J$35,K228&lt;K$37,J$36,K228&lt;K$38,J$37,K228&lt;K$39,J$38,K228&lt;K$40,J$39,K228&lt;K$41,J$40,K228&lt;K$42,J$41,K228&lt;K$43,J$42,K228&lt;K$44,J$43,K228&lt;K$45,J$44,K228&lt;K$46,J$45,K228&lt;K$47,J$46,K228&gt;=K$47,J$47)</f>
        <v/>
      </c>
      <c r="K228" s="38" t="n">
        <v>178</v>
      </c>
      <c r="L228" s="31">
        <f>K228/52</f>
        <v/>
      </c>
      <c r="M228" s="39">
        <f>J228/1000000*52</f>
        <v/>
      </c>
      <c r="N228" s="33">
        <f>M228/$P$4+($I$22/$P$4)</f>
        <v/>
      </c>
      <c r="U228">
        <f>F227</f>
        <v/>
      </c>
      <c r="V228">
        <f>H227</f>
        <v/>
      </c>
      <c r="W228">
        <f>N227</f>
        <v/>
      </c>
    </row>
    <row r="229" ht="15.75" customHeight="1" s="40">
      <c r="C229" s="36">
        <f>_xlfn.IFS(E229&lt;E$24,0,E229&lt;E$26,C$24,E229&lt;E$28,C$26,E229&lt;E$30,C$28,E229&lt;E$32,C$30,E229&lt;E$34,C$32,E229&gt;=E$34,C$34)</f>
        <v/>
      </c>
      <c r="D229" s="37">
        <f>_xlfn.IFS(E229&lt;E$24,0,E229&lt;E$25,D$24,E229&lt;E$26,D$25,E229&lt;E$27,D$26,E229&lt;E$28,D$27,E229&lt;E$29,D$28,E229&lt;E$30,D$29,E229&lt;E$31,D$30,E229&lt;E$32,D$31,E229&lt;E$33,D$32,E229&lt;E$34,D$33,E229&lt;E$35,D$34,E229&gt;=E$35,D$35)</f>
        <v/>
      </c>
      <c r="E229" s="38" t="n">
        <v>179</v>
      </c>
      <c r="F229" s="31">
        <f>E229/52</f>
        <v/>
      </c>
      <c r="G229" s="39">
        <f>D229/1000000*52</f>
        <v/>
      </c>
      <c r="H229" s="33">
        <f>G229/$P$4+($C$22/$P$4)</f>
        <v/>
      </c>
      <c r="I229" s="36">
        <f>_xlfn.IFS(K229&lt;K$24,0,K229&lt;K$26,I$24,K229&lt;K$28,I$26,K229&lt;K$30,I$28,K229&lt;K$32,I$30,K229&lt;K$34,I$32,K229&lt;K$36,I$34,K229&lt;K$38,I$36,K229&lt;K$40,I$38,K229&lt;K$42,I$40,K229&lt;K$44,I$42,K229&lt;K$46,I$44,K229&gt;=K$46,I$46)</f>
        <v/>
      </c>
      <c r="J229" s="37">
        <f>_xlfn.IFS(K229&lt;K$24,0,K229&lt;K$25,J$24,K229&lt;K$26,J$25,K229&lt;K$27,J$26,K229&lt;K$28,J$27,K229&lt;K$29,J$28,K229&lt;K$30,J$29,K229&lt;K$31,J$30,K229&lt;K$32,J$31,K229&lt;K$33,J$32,K229&lt;K$34,J$33,K229&lt;K$35,J$34,K229&lt;K$36,J$35,K229&lt;K$37,J$36,K229&lt;K$38,J$37,K229&lt;K$39,J$38,K229&lt;K$40,J$39,K229&lt;K$41,J$40,K229&lt;K$42,J$41,K229&lt;K$43,J$42,K229&lt;K$44,J$43,K229&lt;K$45,J$44,K229&lt;K$46,J$45,K229&lt;K$47,J$46,K229&gt;=K$47,J$47)</f>
        <v/>
      </c>
      <c r="K229" s="38" t="n">
        <v>179</v>
      </c>
      <c r="L229" s="31">
        <f>K229/52</f>
        <v/>
      </c>
      <c r="M229" s="39">
        <f>J229/1000000*52</f>
        <v/>
      </c>
      <c r="N229" s="33">
        <f>M229/$P$4+($I$22/$P$4)</f>
        <v/>
      </c>
      <c r="U229">
        <f>F228</f>
        <v/>
      </c>
      <c r="V229">
        <f>H228</f>
        <v/>
      </c>
      <c r="W229">
        <f>N228</f>
        <v/>
      </c>
    </row>
    <row r="230" ht="15.75" customHeight="1" s="40">
      <c r="C230" s="36">
        <f>_xlfn.IFS(E230&lt;E$24,0,E230&lt;E$26,C$24,E230&lt;E$28,C$26,E230&lt;E$30,C$28,E230&lt;E$32,C$30,E230&lt;E$34,C$32,E230&gt;=E$34,C$34)</f>
        <v/>
      </c>
      <c r="D230" s="37">
        <f>_xlfn.IFS(E230&lt;E$24,0,E230&lt;E$25,D$24,E230&lt;E$26,D$25,E230&lt;E$27,D$26,E230&lt;E$28,D$27,E230&lt;E$29,D$28,E230&lt;E$30,D$29,E230&lt;E$31,D$30,E230&lt;E$32,D$31,E230&lt;E$33,D$32,E230&lt;E$34,D$33,E230&lt;E$35,D$34,E230&gt;=E$35,D$35)</f>
        <v/>
      </c>
      <c r="E230" s="38" t="n">
        <v>180</v>
      </c>
      <c r="F230" s="31">
        <f>E230/52</f>
        <v/>
      </c>
      <c r="G230" s="39">
        <f>D230/1000000*52</f>
        <v/>
      </c>
      <c r="H230" s="33">
        <f>G230/$P$4+($C$22/$P$4)</f>
        <v/>
      </c>
      <c r="I230" s="36">
        <f>_xlfn.IFS(K230&lt;K$24,0,K230&lt;K$26,I$24,K230&lt;K$28,I$26,K230&lt;K$30,I$28,K230&lt;K$32,I$30,K230&lt;K$34,I$32,K230&lt;K$36,I$34,K230&lt;K$38,I$36,K230&lt;K$40,I$38,K230&lt;K$42,I$40,K230&lt;K$44,I$42,K230&lt;K$46,I$44,K230&gt;=K$46,I$46)</f>
        <v/>
      </c>
      <c r="J230" s="37">
        <f>_xlfn.IFS(K230&lt;K$24,0,K230&lt;K$25,J$24,K230&lt;K$26,J$25,K230&lt;K$27,J$26,K230&lt;K$28,J$27,K230&lt;K$29,J$28,K230&lt;K$30,J$29,K230&lt;K$31,J$30,K230&lt;K$32,J$31,K230&lt;K$33,J$32,K230&lt;K$34,J$33,K230&lt;K$35,J$34,K230&lt;K$36,J$35,K230&lt;K$37,J$36,K230&lt;K$38,J$37,K230&lt;K$39,J$38,K230&lt;K$40,J$39,K230&lt;K$41,J$40,K230&lt;K$42,J$41,K230&lt;K$43,J$42,K230&lt;K$44,J$43,K230&lt;K$45,J$44,K230&lt;K$46,J$45,K230&lt;K$47,J$46,K230&gt;=K$47,J$47)</f>
        <v/>
      </c>
      <c r="K230" s="38" t="n">
        <v>180</v>
      </c>
      <c r="L230" s="31">
        <f>K230/52</f>
        <v/>
      </c>
      <c r="M230" s="39">
        <f>J230/1000000*52</f>
        <v/>
      </c>
      <c r="N230" s="33">
        <f>M230/$P$4+($I$22/$P$4)</f>
        <v/>
      </c>
      <c r="U230">
        <f>F229</f>
        <v/>
      </c>
      <c r="V230">
        <f>H229</f>
        <v/>
      </c>
      <c r="W230">
        <f>N229</f>
        <v/>
      </c>
    </row>
    <row r="231" ht="15.75" customHeight="1" s="40">
      <c r="C231" s="36">
        <f>_xlfn.IFS(E231&lt;E$24,0,E231&lt;E$26,C$24,E231&lt;E$28,C$26,E231&lt;E$30,C$28,E231&lt;E$32,C$30,E231&lt;E$34,C$32,E231&gt;=E$34,C$34)</f>
        <v/>
      </c>
      <c r="D231" s="37">
        <f>_xlfn.IFS(E231&lt;E$24,0,E231&lt;E$25,D$24,E231&lt;E$26,D$25,E231&lt;E$27,D$26,E231&lt;E$28,D$27,E231&lt;E$29,D$28,E231&lt;E$30,D$29,E231&lt;E$31,D$30,E231&lt;E$32,D$31,E231&lt;E$33,D$32,E231&lt;E$34,D$33,E231&lt;E$35,D$34,E231&gt;=E$35,D$35)</f>
        <v/>
      </c>
      <c r="E231" s="38" t="n">
        <v>181</v>
      </c>
      <c r="F231" s="31">
        <f>E231/52</f>
        <v/>
      </c>
      <c r="G231" s="39">
        <f>D231/1000000*52</f>
        <v/>
      </c>
      <c r="H231" s="33">
        <f>G231/$P$4+($C$22/$P$4)</f>
        <v/>
      </c>
      <c r="I231" s="36">
        <f>_xlfn.IFS(K231&lt;K$24,0,K231&lt;K$26,I$24,K231&lt;K$28,I$26,K231&lt;K$30,I$28,K231&lt;K$32,I$30,K231&lt;K$34,I$32,K231&lt;K$36,I$34,K231&lt;K$38,I$36,K231&lt;K$40,I$38,K231&lt;K$42,I$40,K231&lt;K$44,I$42,K231&lt;K$46,I$44,K231&gt;=K$46,I$46)</f>
        <v/>
      </c>
      <c r="J231" s="37">
        <f>_xlfn.IFS(K231&lt;K$24,0,K231&lt;K$25,J$24,K231&lt;K$26,J$25,K231&lt;K$27,J$26,K231&lt;K$28,J$27,K231&lt;K$29,J$28,K231&lt;K$30,J$29,K231&lt;K$31,J$30,K231&lt;K$32,J$31,K231&lt;K$33,J$32,K231&lt;K$34,J$33,K231&lt;K$35,J$34,K231&lt;K$36,J$35,K231&lt;K$37,J$36,K231&lt;K$38,J$37,K231&lt;K$39,J$38,K231&lt;K$40,J$39,K231&lt;K$41,J$40,K231&lt;K$42,J$41,K231&lt;K$43,J$42,K231&lt;K$44,J$43,K231&lt;K$45,J$44,K231&lt;K$46,J$45,K231&lt;K$47,J$46,K231&gt;=K$47,J$47)</f>
        <v/>
      </c>
      <c r="K231" s="38" t="n">
        <v>181</v>
      </c>
      <c r="L231" s="31">
        <f>K231/52</f>
        <v/>
      </c>
      <c r="M231" s="39">
        <f>J231/1000000*52</f>
        <v/>
      </c>
      <c r="N231" s="33">
        <f>M231/$P$4+($I$22/$P$4)</f>
        <v/>
      </c>
      <c r="U231">
        <f>F230</f>
        <v/>
      </c>
      <c r="V231">
        <f>H230</f>
        <v/>
      </c>
      <c r="W231">
        <f>N230</f>
        <v/>
      </c>
    </row>
    <row r="232" ht="15.75" customHeight="1" s="40">
      <c r="C232" s="36">
        <f>_xlfn.IFS(E232&lt;E$24,0,E232&lt;E$26,C$24,E232&lt;E$28,C$26,E232&lt;E$30,C$28,E232&lt;E$32,C$30,E232&lt;E$34,C$32,E232&gt;=E$34,C$34)</f>
        <v/>
      </c>
      <c r="D232" s="37">
        <f>_xlfn.IFS(E232&lt;E$24,0,E232&lt;E$25,D$24,E232&lt;E$26,D$25,E232&lt;E$27,D$26,E232&lt;E$28,D$27,E232&lt;E$29,D$28,E232&lt;E$30,D$29,E232&lt;E$31,D$30,E232&lt;E$32,D$31,E232&lt;E$33,D$32,E232&lt;E$34,D$33,E232&lt;E$35,D$34,E232&gt;=E$35,D$35)</f>
        <v/>
      </c>
      <c r="E232" s="38" t="n">
        <v>182</v>
      </c>
      <c r="F232" s="31">
        <f>E232/52</f>
        <v/>
      </c>
      <c r="G232" s="39">
        <f>D232/1000000*52</f>
        <v/>
      </c>
      <c r="H232" s="33">
        <f>G232/$P$4+($C$22/$P$4)</f>
        <v/>
      </c>
      <c r="I232" s="36">
        <f>_xlfn.IFS(K232&lt;K$24,0,K232&lt;K$26,I$24,K232&lt;K$28,I$26,K232&lt;K$30,I$28,K232&lt;K$32,I$30,K232&lt;K$34,I$32,K232&lt;K$36,I$34,K232&lt;K$38,I$36,K232&lt;K$40,I$38,K232&lt;K$42,I$40,K232&lt;K$44,I$42,K232&lt;K$46,I$44,K232&gt;=K$46,I$46)</f>
        <v/>
      </c>
      <c r="J232" s="37">
        <f>_xlfn.IFS(K232&lt;K$24,0,K232&lt;K$25,J$24,K232&lt;K$26,J$25,K232&lt;K$27,J$26,K232&lt;K$28,J$27,K232&lt;K$29,J$28,K232&lt;K$30,J$29,K232&lt;K$31,J$30,K232&lt;K$32,J$31,K232&lt;K$33,J$32,K232&lt;K$34,J$33,K232&lt;K$35,J$34,K232&lt;K$36,J$35,K232&lt;K$37,J$36,K232&lt;K$38,J$37,K232&lt;K$39,J$38,K232&lt;K$40,J$39,K232&lt;K$41,J$40,K232&lt;K$42,J$41,K232&lt;K$43,J$42,K232&lt;K$44,J$43,K232&lt;K$45,J$44,K232&lt;K$46,J$45,K232&lt;K$47,J$46,K232&gt;=K$47,J$47)</f>
        <v/>
      </c>
      <c r="K232" s="38" t="n">
        <v>182</v>
      </c>
      <c r="L232" s="31">
        <f>K232/52</f>
        <v/>
      </c>
      <c r="M232" s="39">
        <f>J232/1000000*52</f>
        <v/>
      </c>
      <c r="N232" s="33">
        <f>M232/$P$4+($I$22/$P$4)</f>
        <v/>
      </c>
      <c r="U232">
        <f>F231</f>
        <v/>
      </c>
      <c r="V232">
        <f>H231</f>
        <v/>
      </c>
      <c r="W232">
        <f>N231</f>
        <v/>
      </c>
    </row>
    <row r="233" ht="15.75" customHeight="1" s="40">
      <c r="C233" s="36">
        <f>_xlfn.IFS(E233&lt;E$24,0,E233&lt;E$26,C$24,E233&lt;E$28,C$26,E233&lt;E$30,C$28,E233&lt;E$32,C$30,E233&lt;E$34,C$32,E233&gt;=E$34,C$34)</f>
        <v/>
      </c>
      <c r="D233" s="37">
        <f>_xlfn.IFS(E233&lt;E$24,0,E233&lt;E$25,D$24,E233&lt;E$26,D$25,E233&lt;E$27,D$26,E233&lt;E$28,D$27,E233&lt;E$29,D$28,E233&lt;E$30,D$29,E233&lt;E$31,D$30,E233&lt;E$32,D$31,E233&lt;E$33,D$32,E233&lt;E$34,D$33,E233&lt;E$35,D$34,E233&gt;=E$35,D$35)</f>
        <v/>
      </c>
      <c r="E233" s="38" t="n">
        <v>183</v>
      </c>
      <c r="F233" s="31">
        <f>E233/52</f>
        <v/>
      </c>
      <c r="G233" s="39">
        <f>D233/1000000*52</f>
        <v/>
      </c>
      <c r="H233" s="33">
        <f>G233/$P$4+($C$22/$P$4)</f>
        <v/>
      </c>
      <c r="I233" s="36">
        <f>_xlfn.IFS(K233&lt;K$24,0,K233&lt;K$26,I$24,K233&lt;K$28,I$26,K233&lt;K$30,I$28,K233&lt;K$32,I$30,K233&lt;K$34,I$32,K233&lt;K$36,I$34,K233&lt;K$38,I$36,K233&lt;K$40,I$38,K233&lt;K$42,I$40,K233&lt;K$44,I$42,K233&lt;K$46,I$44,K233&gt;=K$46,I$46)</f>
        <v/>
      </c>
      <c r="J233" s="37">
        <f>_xlfn.IFS(K233&lt;K$24,0,K233&lt;K$25,J$24,K233&lt;K$26,J$25,K233&lt;K$27,J$26,K233&lt;K$28,J$27,K233&lt;K$29,J$28,K233&lt;K$30,J$29,K233&lt;K$31,J$30,K233&lt;K$32,J$31,K233&lt;K$33,J$32,K233&lt;K$34,J$33,K233&lt;K$35,J$34,K233&lt;K$36,J$35,K233&lt;K$37,J$36,K233&lt;K$38,J$37,K233&lt;K$39,J$38,K233&lt;K$40,J$39,K233&lt;K$41,J$40,K233&lt;K$42,J$41,K233&lt;K$43,J$42,K233&lt;K$44,J$43,K233&lt;K$45,J$44,K233&lt;K$46,J$45,K233&lt;K$47,J$46,K233&gt;=K$47,J$47)</f>
        <v/>
      </c>
      <c r="K233" s="38" t="n">
        <v>183</v>
      </c>
      <c r="L233" s="31">
        <f>K233/52</f>
        <v/>
      </c>
      <c r="M233" s="39">
        <f>J233/1000000*52</f>
        <v/>
      </c>
      <c r="N233" s="33">
        <f>M233/$P$4+($I$22/$P$4)</f>
        <v/>
      </c>
      <c r="U233">
        <f>F232</f>
        <v/>
      </c>
      <c r="V233">
        <f>H232</f>
        <v/>
      </c>
      <c r="W233">
        <f>N232</f>
        <v/>
      </c>
    </row>
    <row r="234" ht="15.75" customHeight="1" s="40">
      <c r="C234" s="36">
        <f>_xlfn.IFS(E234&lt;E$24,0,E234&lt;E$26,C$24,E234&lt;E$28,C$26,E234&lt;E$30,C$28,E234&lt;E$32,C$30,E234&lt;E$34,C$32,E234&gt;=E$34,C$34)</f>
        <v/>
      </c>
      <c r="D234" s="37">
        <f>_xlfn.IFS(E234&lt;E$24,0,E234&lt;E$25,D$24,E234&lt;E$26,D$25,E234&lt;E$27,D$26,E234&lt;E$28,D$27,E234&lt;E$29,D$28,E234&lt;E$30,D$29,E234&lt;E$31,D$30,E234&lt;E$32,D$31,E234&lt;E$33,D$32,E234&lt;E$34,D$33,E234&lt;E$35,D$34,E234&gt;=E$35,D$35)</f>
        <v/>
      </c>
      <c r="E234" s="38" t="n">
        <v>184</v>
      </c>
      <c r="F234" s="31">
        <f>E234/52</f>
        <v/>
      </c>
      <c r="G234" s="39">
        <f>D234/1000000*52</f>
        <v/>
      </c>
      <c r="H234" s="33">
        <f>G234/$P$4+($C$22/$P$4)</f>
        <v/>
      </c>
      <c r="I234" s="36">
        <f>_xlfn.IFS(K234&lt;K$24,0,K234&lt;K$26,I$24,K234&lt;K$28,I$26,K234&lt;K$30,I$28,K234&lt;K$32,I$30,K234&lt;K$34,I$32,K234&lt;K$36,I$34,K234&lt;K$38,I$36,K234&lt;K$40,I$38,K234&lt;K$42,I$40,K234&lt;K$44,I$42,K234&lt;K$46,I$44,K234&gt;=K$46,I$46)</f>
        <v/>
      </c>
      <c r="J234" s="37">
        <f>_xlfn.IFS(K234&lt;K$24,0,K234&lt;K$25,J$24,K234&lt;K$26,J$25,K234&lt;K$27,J$26,K234&lt;K$28,J$27,K234&lt;K$29,J$28,K234&lt;K$30,J$29,K234&lt;K$31,J$30,K234&lt;K$32,J$31,K234&lt;K$33,J$32,K234&lt;K$34,J$33,K234&lt;K$35,J$34,K234&lt;K$36,J$35,K234&lt;K$37,J$36,K234&lt;K$38,J$37,K234&lt;K$39,J$38,K234&lt;K$40,J$39,K234&lt;K$41,J$40,K234&lt;K$42,J$41,K234&lt;K$43,J$42,K234&lt;K$44,J$43,K234&lt;K$45,J$44,K234&lt;K$46,J$45,K234&lt;K$47,J$46,K234&gt;=K$47,J$47)</f>
        <v/>
      </c>
      <c r="K234" s="38" t="n">
        <v>184</v>
      </c>
      <c r="L234" s="31">
        <f>K234/52</f>
        <v/>
      </c>
      <c r="M234" s="39">
        <f>J234/1000000*52</f>
        <v/>
      </c>
      <c r="N234" s="33">
        <f>M234/$P$4+($I$22/$P$4)</f>
        <v/>
      </c>
      <c r="U234">
        <f>F233</f>
        <v/>
      </c>
      <c r="V234">
        <f>H233</f>
        <v/>
      </c>
      <c r="W234">
        <f>N233</f>
        <v/>
      </c>
    </row>
    <row r="235" ht="15.75" customHeight="1" s="40">
      <c r="C235" s="36">
        <f>_xlfn.IFS(E235&lt;E$24,0,E235&lt;E$26,C$24,E235&lt;E$28,C$26,E235&lt;E$30,C$28,E235&lt;E$32,C$30,E235&lt;E$34,C$32,E235&gt;=E$34,C$34)</f>
        <v/>
      </c>
      <c r="D235" s="37">
        <f>_xlfn.IFS(E235&lt;E$24,0,E235&lt;E$25,D$24,E235&lt;E$26,D$25,E235&lt;E$27,D$26,E235&lt;E$28,D$27,E235&lt;E$29,D$28,E235&lt;E$30,D$29,E235&lt;E$31,D$30,E235&lt;E$32,D$31,E235&lt;E$33,D$32,E235&lt;E$34,D$33,E235&lt;E$35,D$34,E235&gt;=E$35,D$35)</f>
        <v/>
      </c>
      <c r="E235" s="38" t="n">
        <v>185</v>
      </c>
      <c r="F235" s="31">
        <f>E235/52</f>
        <v/>
      </c>
      <c r="G235" s="39">
        <f>D235/1000000*52</f>
        <v/>
      </c>
      <c r="H235" s="33">
        <f>G235/$P$4+($C$22/$P$4)</f>
        <v/>
      </c>
      <c r="I235" s="36">
        <f>_xlfn.IFS(K235&lt;K$24,0,K235&lt;K$26,I$24,K235&lt;K$28,I$26,K235&lt;K$30,I$28,K235&lt;K$32,I$30,K235&lt;K$34,I$32,K235&lt;K$36,I$34,K235&lt;K$38,I$36,K235&lt;K$40,I$38,K235&lt;K$42,I$40,K235&lt;K$44,I$42,K235&lt;K$46,I$44,K235&gt;=K$46,I$46)</f>
        <v/>
      </c>
      <c r="J235" s="37">
        <f>_xlfn.IFS(K235&lt;K$24,0,K235&lt;K$25,J$24,K235&lt;K$26,J$25,K235&lt;K$27,J$26,K235&lt;K$28,J$27,K235&lt;K$29,J$28,K235&lt;K$30,J$29,K235&lt;K$31,J$30,K235&lt;K$32,J$31,K235&lt;K$33,J$32,K235&lt;K$34,J$33,K235&lt;K$35,J$34,K235&lt;K$36,J$35,K235&lt;K$37,J$36,K235&lt;K$38,J$37,K235&lt;K$39,J$38,K235&lt;K$40,J$39,K235&lt;K$41,J$40,K235&lt;K$42,J$41,K235&lt;K$43,J$42,K235&lt;K$44,J$43,K235&lt;K$45,J$44,K235&lt;K$46,J$45,K235&lt;K$47,J$46,K235&gt;=K$47,J$47)</f>
        <v/>
      </c>
      <c r="K235" s="38" t="n">
        <v>185</v>
      </c>
      <c r="L235" s="31">
        <f>K235/52</f>
        <v/>
      </c>
      <c r="M235" s="39">
        <f>J235/1000000*52</f>
        <v/>
      </c>
      <c r="N235" s="33">
        <f>M235/$P$4+($I$22/$P$4)</f>
        <v/>
      </c>
      <c r="U235">
        <f>F234</f>
        <v/>
      </c>
      <c r="V235">
        <f>H234</f>
        <v/>
      </c>
      <c r="W235">
        <f>N234</f>
        <v/>
      </c>
    </row>
    <row r="236" ht="15.75" customHeight="1" s="40">
      <c r="C236" s="36">
        <f>_xlfn.IFS(E236&lt;E$24,0,E236&lt;E$26,C$24,E236&lt;E$28,C$26,E236&lt;E$30,C$28,E236&lt;E$32,C$30,E236&lt;E$34,C$32,E236&gt;=E$34,C$34)</f>
        <v/>
      </c>
      <c r="D236" s="37">
        <f>_xlfn.IFS(E236&lt;E$24,0,E236&lt;E$25,D$24,E236&lt;E$26,D$25,E236&lt;E$27,D$26,E236&lt;E$28,D$27,E236&lt;E$29,D$28,E236&lt;E$30,D$29,E236&lt;E$31,D$30,E236&lt;E$32,D$31,E236&lt;E$33,D$32,E236&lt;E$34,D$33,E236&lt;E$35,D$34,E236&gt;=E$35,D$35)</f>
        <v/>
      </c>
      <c r="E236" s="38" t="n">
        <v>186</v>
      </c>
      <c r="F236" s="31">
        <f>E236/52</f>
        <v/>
      </c>
      <c r="G236" s="39">
        <f>D236/1000000*52</f>
        <v/>
      </c>
      <c r="H236" s="33">
        <f>G236/$P$4+($C$22/$P$4)</f>
        <v/>
      </c>
      <c r="I236" s="36">
        <f>_xlfn.IFS(K236&lt;K$24,0,K236&lt;K$26,I$24,K236&lt;K$28,I$26,K236&lt;K$30,I$28,K236&lt;K$32,I$30,K236&lt;K$34,I$32,K236&lt;K$36,I$34,K236&lt;K$38,I$36,K236&lt;K$40,I$38,K236&lt;K$42,I$40,K236&lt;K$44,I$42,K236&lt;K$46,I$44,K236&gt;=K$46,I$46)</f>
        <v/>
      </c>
      <c r="J236" s="37">
        <f>_xlfn.IFS(K236&lt;K$24,0,K236&lt;K$25,J$24,K236&lt;K$26,J$25,K236&lt;K$27,J$26,K236&lt;K$28,J$27,K236&lt;K$29,J$28,K236&lt;K$30,J$29,K236&lt;K$31,J$30,K236&lt;K$32,J$31,K236&lt;K$33,J$32,K236&lt;K$34,J$33,K236&lt;K$35,J$34,K236&lt;K$36,J$35,K236&lt;K$37,J$36,K236&lt;K$38,J$37,K236&lt;K$39,J$38,K236&lt;K$40,J$39,K236&lt;K$41,J$40,K236&lt;K$42,J$41,K236&lt;K$43,J$42,K236&lt;K$44,J$43,K236&lt;K$45,J$44,K236&lt;K$46,J$45,K236&lt;K$47,J$46,K236&gt;=K$47,J$47)</f>
        <v/>
      </c>
      <c r="K236" s="38" t="n">
        <v>186</v>
      </c>
      <c r="L236" s="31">
        <f>K236/52</f>
        <v/>
      </c>
      <c r="M236" s="39">
        <f>J236/1000000*52</f>
        <v/>
      </c>
      <c r="N236" s="33">
        <f>M236/$P$4+($I$22/$P$4)</f>
        <v/>
      </c>
      <c r="U236">
        <f>F235</f>
        <v/>
      </c>
      <c r="V236">
        <f>H235</f>
        <v/>
      </c>
      <c r="W236">
        <f>N235</f>
        <v/>
      </c>
    </row>
    <row r="237" ht="15.75" customHeight="1" s="40">
      <c r="C237" s="36">
        <f>_xlfn.IFS(E237&lt;E$24,0,E237&lt;E$26,C$24,E237&lt;E$28,C$26,E237&lt;E$30,C$28,E237&lt;E$32,C$30,E237&lt;E$34,C$32,E237&gt;=E$34,C$34)</f>
        <v/>
      </c>
      <c r="D237" s="37">
        <f>_xlfn.IFS(E237&lt;E$24,0,E237&lt;E$25,D$24,E237&lt;E$26,D$25,E237&lt;E$27,D$26,E237&lt;E$28,D$27,E237&lt;E$29,D$28,E237&lt;E$30,D$29,E237&lt;E$31,D$30,E237&lt;E$32,D$31,E237&lt;E$33,D$32,E237&lt;E$34,D$33,E237&lt;E$35,D$34,E237&gt;=E$35,D$35)</f>
        <v/>
      </c>
      <c r="E237" s="38" t="n">
        <v>187</v>
      </c>
      <c r="F237" s="31">
        <f>E237/52</f>
        <v/>
      </c>
      <c r="G237" s="39">
        <f>D237/1000000*52</f>
        <v/>
      </c>
      <c r="H237" s="33">
        <f>G237/$P$4+($C$22/$P$4)</f>
        <v/>
      </c>
      <c r="I237" s="36">
        <f>_xlfn.IFS(K237&lt;K$24,0,K237&lt;K$26,I$24,K237&lt;K$28,I$26,K237&lt;K$30,I$28,K237&lt;K$32,I$30,K237&lt;K$34,I$32,K237&lt;K$36,I$34,K237&lt;K$38,I$36,K237&lt;K$40,I$38,K237&lt;K$42,I$40,K237&lt;K$44,I$42,K237&lt;K$46,I$44,K237&gt;=K$46,I$46)</f>
        <v/>
      </c>
      <c r="J237" s="37">
        <f>_xlfn.IFS(K237&lt;K$24,0,K237&lt;K$25,J$24,K237&lt;K$26,J$25,K237&lt;K$27,J$26,K237&lt;K$28,J$27,K237&lt;K$29,J$28,K237&lt;K$30,J$29,K237&lt;K$31,J$30,K237&lt;K$32,J$31,K237&lt;K$33,J$32,K237&lt;K$34,J$33,K237&lt;K$35,J$34,K237&lt;K$36,J$35,K237&lt;K$37,J$36,K237&lt;K$38,J$37,K237&lt;K$39,J$38,K237&lt;K$40,J$39,K237&lt;K$41,J$40,K237&lt;K$42,J$41,K237&lt;K$43,J$42,K237&lt;K$44,J$43,K237&lt;K$45,J$44,K237&lt;K$46,J$45,K237&lt;K$47,J$46,K237&gt;=K$47,J$47)</f>
        <v/>
      </c>
      <c r="K237" s="38" t="n">
        <v>187</v>
      </c>
      <c r="L237" s="31">
        <f>K237/52</f>
        <v/>
      </c>
      <c r="M237" s="39">
        <f>J237/1000000*52</f>
        <v/>
      </c>
      <c r="N237" s="33">
        <f>M237/$P$4+($I$22/$P$4)</f>
        <v/>
      </c>
      <c r="U237">
        <f>F236</f>
        <v/>
      </c>
      <c r="V237">
        <f>H236</f>
        <v/>
      </c>
      <c r="W237">
        <f>N236</f>
        <v/>
      </c>
    </row>
    <row r="238" ht="15.75" customHeight="1" s="40">
      <c r="C238" s="36">
        <f>_xlfn.IFS(E238&lt;E$24,0,E238&lt;E$26,C$24,E238&lt;E$28,C$26,E238&lt;E$30,C$28,E238&lt;E$32,C$30,E238&lt;E$34,C$32,E238&gt;=E$34,C$34)</f>
        <v/>
      </c>
      <c r="D238" s="37">
        <f>_xlfn.IFS(E238&lt;E$24,0,E238&lt;E$25,D$24,E238&lt;E$26,D$25,E238&lt;E$27,D$26,E238&lt;E$28,D$27,E238&lt;E$29,D$28,E238&lt;E$30,D$29,E238&lt;E$31,D$30,E238&lt;E$32,D$31,E238&lt;E$33,D$32,E238&lt;E$34,D$33,E238&lt;E$35,D$34,E238&gt;=E$35,D$35)</f>
        <v/>
      </c>
      <c r="E238" s="38" t="n">
        <v>188</v>
      </c>
      <c r="F238" s="31">
        <f>E238/52</f>
        <v/>
      </c>
      <c r="G238" s="39">
        <f>D238/1000000*52</f>
        <v/>
      </c>
      <c r="H238" s="33">
        <f>G238/$P$4+($C$22/$P$4)</f>
        <v/>
      </c>
      <c r="I238" s="36">
        <f>_xlfn.IFS(K238&lt;K$24,0,K238&lt;K$26,I$24,K238&lt;K$28,I$26,K238&lt;K$30,I$28,K238&lt;K$32,I$30,K238&lt;K$34,I$32,K238&lt;K$36,I$34,K238&lt;K$38,I$36,K238&lt;K$40,I$38,K238&lt;K$42,I$40,K238&lt;K$44,I$42,K238&lt;K$46,I$44,K238&gt;=K$46,I$46)</f>
        <v/>
      </c>
      <c r="J238" s="37">
        <f>_xlfn.IFS(K238&lt;K$24,0,K238&lt;K$25,J$24,K238&lt;K$26,J$25,K238&lt;K$27,J$26,K238&lt;K$28,J$27,K238&lt;K$29,J$28,K238&lt;K$30,J$29,K238&lt;K$31,J$30,K238&lt;K$32,J$31,K238&lt;K$33,J$32,K238&lt;K$34,J$33,K238&lt;K$35,J$34,K238&lt;K$36,J$35,K238&lt;K$37,J$36,K238&lt;K$38,J$37,K238&lt;K$39,J$38,K238&lt;K$40,J$39,K238&lt;K$41,J$40,K238&lt;K$42,J$41,K238&lt;K$43,J$42,K238&lt;K$44,J$43,K238&lt;K$45,J$44,K238&lt;K$46,J$45,K238&lt;K$47,J$46,K238&gt;=K$47,J$47)</f>
        <v/>
      </c>
      <c r="K238" s="38" t="n">
        <v>188</v>
      </c>
      <c r="L238" s="31">
        <f>K238/52</f>
        <v/>
      </c>
      <c r="M238" s="39">
        <f>J238/1000000*52</f>
        <v/>
      </c>
      <c r="N238" s="33">
        <f>M238/$P$4+($I$22/$P$4)</f>
        <v/>
      </c>
      <c r="U238">
        <f>F237</f>
        <v/>
      </c>
      <c r="V238">
        <f>H237</f>
        <v/>
      </c>
      <c r="W238">
        <f>N237</f>
        <v/>
      </c>
    </row>
    <row r="239" ht="15.75" customHeight="1" s="40">
      <c r="C239" s="36">
        <f>_xlfn.IFS(E239&lt;E$24,0,E239&lt;E$26,C$24,E239&lt;E$28,C$26,E239&lt;E$30,C$28,E239&lt;E$32,C$30,E239&lt;E$34,C$32,E239&gt;=E$34,C$34)</f>
        <v/>
      </c>
      <c r="D239" s="37">
        <f>_xlfn.IFS(E239&lt;E$24,0,E239&lt;E$25,D$24,E239&lt;E$26,D$25,E239&lt;E$27,D$26,E239&lt;E$28,D$27,E239&lt;E$29,D$28,E239&lt;E$30,D$29,E239&lt;E$31,D$30,E239&lt;E$32,D$31,E239&lt;E$33,D$32,E239&lt;E$34,D$33,E239&lt;E$35,D$34,E239&gt;=E$35,D$35)</f>
        <v/>
      </c>
      <c r="E239" s="38" t="n">
        <v>189</v>
      </c>
      <c r="F239" s="31">
        <f>E239/52</f>
        <v/>
      </c>
      <c r="G239" s="39">
        <f>D239/1000000*52</f>
        <v/>
      </c>
      <c r="H239" s="33">
        <f>G239/$P$4+($C$22/$P$4)</f>
        <v/>
      </c>
      <c r="I239" s="36">
        <f>_xlfn.IFS(K239&lt;K$24,0,K239&lt;K$26,I$24,K239&lt;K$28,I$26,K239&lt;K$30,I$28,K239&lt;K$32,I$30,K239&lt;K$34,I$32,K239&lt;K$36,I$34,K239&lt;K$38,I$36,K239&lt;K$40,I$38,K239&lt;K$42,I$40,K239&lt;K$44,I$42,K239&lt;K$46,I$44,K239&gt;=K$46,I$46)</f>
        <v/>
      </c>
      <c r="J239" s="37">
        <f>_xlfn.IFS(K239&lt;K$24,0,K239&lt;K$25,J$24,K239&lt;K$26,J$25,K239&lt;K$27,J$26,K239&lt;K$28,J$27,K239&lt;K$29,J$28,K239&lt;K$30,J$29,K239&lt;K$31,J$30,K239&lt;K$32,J$31,K239&lt;K$33,J$32,K239&lt;K$34,J$33,K239&lt;K$35,J$34,K239&lt;K$36,J$35,K239&lt;K$37,J$36,K239&lt;K$38,J$37,K239&lt;K$39,J$38,K239&lt;K$40,J$39,K239&lt;K$41,J$40,K239&lt;K$42,J$41,K239&lt;K$43,J$42,K239&lt;K$44,J$43,K239&lt;K$45,J$44,K239&lt;K$46,J$45,K239&lt;K$47,J$46,K239&gt;=K$47,J$47)</f>
        <v/>
      </c>
      <c r="K239" s="38" t="n">
        <v>189</v>
      </c>
      <c r="L239" s="31">
        <f>K239/52</f>
        <v/>
      </c>
      <c r="M239" s="39">
        <f>J239/1000000*52</f>
        <v/>
      </c>
      <c r="N239" s="33">
        <f>M239/$P$4+($I$22/$P$4)</f>
        <v/>
      </c>
      <c r="U239">
        <f>F238</f>
        <v/>
      </c>
      <c r="V239">
        <f>H238</f>
        <v/>
      </c>
      <c r="W239">
        <f>N238</f>
        <v/>
      </c>
    </row>
    <row r="240" ht="15.75" customHeight="1" s="40">
      <c r="C240" s="36">
        <f>_xlfn.IFS(E240&lt;E$24,0,E240&lt;E$26,C$24,E240&lt;E$28,C$26,E240&lt;E$30,C$28,E240&lt;E$32,C$30,E240&lt;E$34,C$32,E240&gt;=E$34,C$34)</f>
        <v/>
      </c>
      <c r="D240" s="37">
        <f>_xlfn.IFS(E240&lt;E$24,0,E240&lt;E$25,D$24,E240&lt;E$26,D$25,E240&lt;E$27,D$26,E240&lt;E$28,D$27,E240&lt;E$29,D$28,E240&lt;E$30,D$29,E240&lt;E$31,D$30,E240&lt;E$32,D$31,E240&lt;E$33,D$32,E240&lt;E$34,D$33,E240&lt;E$35,D$34,E240&gt;=E$35,D$35)</f>
        <v/>
      </c>
      <c r="E240" s="38" t="n">
        <v>190</v>
      </c>
      <c r="F240" s="31">
        <f>E240/52</f>
        <v/>
      </c>
      <c r="G240" s="39">
        <f>D240/1000000*52</f>
        <v/>
      </c>
      <c r="H240" s="33">
        <f>G240/$P$4+($C$22/$P$4)</f>
        <v/>
      </c>
      <c r="I240" s="36">
        <f>_xlfn.IFS(K240&lt;K$24,0,K240&lt;K$26,I$24,K240&lt;K$28,I$26,K240&lt;K$30,I$28,K240&lt;K$32,I$30,K240&lt;K$34,I$32,K240&lt;K$36,I$34,K240&lt;K$38,I$36,K240&lt;K$40,I$38,K240&lt;K$42,I$40,K240&lt;K$44,I$42,K240&lt;K$46,I$44,K240&gt;=K$46,I$46)</f>
        <v/>
      </c>
      <c r="J240" s="37">
        <f>_xlfn.IFS(K240&lt;K$24,0,K240&lt;K$25,J$24,K240&lt;K$26,J$25,K240&lt;K$27,J$26,K240&lt;K$28,J$27,K240&lt;K$29,J$28,K240&lt;K$30,J$29,K240&lt;K$31,J$30,K240&lt;K$32,J$31,K240&lt;K$33,J$32,K240&lt;K$34,J$33,K240&lt;K$35,J$34,K240&lt;K$36,J$35,K240&lt;K$37,J$36,K240&lt;K$38,J$37,K240&lt;K$39,J$38,K240&lt;K$40,J$39,K240&lt;K$41,J$40,K240&lt;K$42,J$41,K240&lt;K$43,J$42,K240&lt;K$44,J$43,K240&lt;K$45,J$44,K240&lt;K$46,J$45,K240&lt;K$47,J$46,K240&gt;=K$47,J$47)</f>
        <v/>
      </c>
      <c r="K240" s="38" t="n">
        <v>190</v>
      </c>
      <c r="L240" s="31">
        <f>K240/52</f>
        <v/>
      </c>
      <c r="M240" s="39">
        <f>J240/1000000*52</f>
        <v/>
      </c>
      <c r="N240" s="33">
        <f>M240/$P$4+($I$22/$P$4)</f>
        <v/>
      </c>
      <c r="U240">
        <f>F239</f>
        <v/>
      </c>
      <c r="V240">
        <f>H239</f>
        <v/>
      </c>
      <c r="W240">
        <f>N239</f>
        <v/>
      </c>
    </row>
    <row r="241" ht="15.75" customHeight="1" s="40">
      <c r="C241" s="36">
        <f>_xlfn.IFS(E241&lt;E$24,0,E241&lt;E$26,C$24,E241&lt;E$28,C$26,E241&lt;E$30,C$28,E241&lt;E$32,C$30,E241&lt;E$34,C$32,E241&gt;=E$34,C$34)</f>
        <v/>
      </c>
      <c r="D241" s="37">
        <f>_xlfn.IFS(E241&lt;E$24,0,E241&lt;E$25,D$24,E241&lt;E$26,D$25,E241&lt;E$27,D$26,E241&lt;E$28,D$27,E241&lt;E$29,D$28,E241&lt;E$30,D$29,E241&lt;E$31,D$30,E241&lt;E$32,D$31,E241&lt;E$33,D$32,E241&lt;E$34,D$33,E241&lt;E$35,D$34,E241&gt;=E$35,D$35)</f>
        <v/>
      </c>
      <c r="E241" s="38" t="n">
        <v>191</v>
      </c>
      <c r="F241" s="31">
        <f>E241/52</f>
        <v/>
      </c>
      <c r="G241" s="39">
        <f>D241/1000000*52</f>
        <v/>
      </c>
      <c r="H241" s="33">
        <f>G241/$P$4+($C$22/$P$4)</f>
        <v/>
      </c>
      <c r="I241" s="36">
        <f>_xlfn.IFS(K241&lt;K$24,0,K241&lt;K$26,I$24,K241&lt;K$28,I$26,K241&lt;K$30,I$28,K241&lt;K$32,I$30,K241&lt;K$34,I$32,K241&lt;K$36,I$34,K241&lt;K$38,I$36,K241&lt;K$40,I$38,K241&lt;K$42,I$40,K241&lt;K$44,I$42,K241&lt;K$46,I$44,K241&gt;=K$46,I$46)</f>
        <v/>
      </c>
      <c r="J241" s="37">
        <f>_xlfn.IFS(K241&lt;K$24,0,K241&lt;K$25,J$24,K241&lt;K$26,J$25,K241&lt;K$27,J$26,K241&lt;K$28,J$27,K241&lt;K$29,J$28,K241&lt;K$30,J$29,K241&lt;K$31,J$30,K241&lt;K$32,J$31,K241&lt;K$33,J$32,K241&lt;K$34,J$33,K241&lt;K$35,J$34,K241&lt;K$36,J$35,K241&lt;K$37,J$36,K241&lt;K$38,J$37,K241&lt;K$39,J$38,K241&lt;K$40,J$39,K241&lt;K$41,J$40,K241&lt;K$42,J$41,K241&lt;K$43,J$42,K241&lt;K$44,J$43,K241&lt;K$45,J$44,K241&lt;K$46,J$45,K241&lt;K$47,J$46,K241&gt;=K$47,J$47)</f>
        <v/>
      </c>
      <c r="K241" s="38" t="n">
        <v>191</v>
      </c>
      <c r="L241" s="31">
        <f>K241/52</f>
        <v/>
      </c>
      <c r="M241" s="39">
        <f>J241/1000000*52</f>
        <v/>
      </c>
      <c r="N241" s="33">
        <f>M241/$P$4+($I$22/$P$4)</f>
        <v/>
      </c>
      <c r="U241">
        <f>F240</f>
        <v/>
      </c>
      <c r="V241">
        <f>H240</f>
        <v/>
      </c>
      <c r="W241">
        <f>N240</f>
        <v/>
      </c>
    </row>
    <row r="242" ht="15.75" customHeight="1" s="40">
      <c r="C242" s="36">
        <f>_xlfn.IFS(E242&lt;E$24,0,E242&lt;E$26,C$24,E242&lt;E$28,C$26,E242&lt;E$30,C$28,E242&lt;E$32,C$30,E242&lt;E$34,C$32,E242&gt;=E$34,C$34)</f>
        <v/>
      </c>
      <c r="D242" s="37">
        <f>_xlfn.IFS(E242&lt;E$24,0,E242&lt;E$25,D$24,E242&lt;E$26,D$25,E242&lt;E$27,D$26,E242&lt;E$28,D$27,E242&lt;E$29,D$28,E242&lt;E$30,D$29,E242&lt;E$31,D$30,E242&lt;E$32,D$31,E242&lt;E$33,D$32,E242&lt;E$34,D$33,E242&lt;E$35,D$34,E242&gt;=E$35,D$35)</f>
        <v/>
      </c>
      <c r="E242" s="38" t="n">
        <v>192</v>
      </c>
      <c r="F242" s="31">
        <f>E242/52</f>
        <v/>
      </c>
      <c r="G242" s="39">
        <f>D242/1000000*52</f>
        <v/>
      </c>
      <c r="H242" s="33">
        <f>G242/$P$4+($C$22/$P$4)</f>
        <v/>
      </c>
      <c r="I242" s="36">
        <f>_xlfn.IFS(K242&lt;K$24,0,K242&lt;K$26,I$24,K242&lt;K$28,I$26,K242&lt;K$30,I$28,K242&lt;K$32,I$30,K242&lt;K$34,I$32,K242&lt;K$36,I$34,K242&lt;K$38,I$36,K242&lt;K$40,I$38,K242&lt;K$42,I$40,K242&lt;K$44,I$42,K242&lt;K$46,I$44,K242&gt;=K$46,I$46)</f>
        <v/>
      </c>
      <c r="J242" s="37">
        <f>_xlfn.IFS(K242&lt;K$24,0,K242&lt;K$25,J$24,K242&lt;K$26,J$25,K242&lt;K$27,J$26,K242&lt;K$28,J$27,K242&lt;K$29,J$28,K242&lt;K$30,J$29,K242&lt;K$31,J$30,K242&lt;K$32,J$31,K242&lt;K$33,J$32,K242&lt;K$34,J$33,K242&lt;K$35,J$34,K242&lt;K$36,J$35,K242&lt;K$37,J$36,K242&lt;K$38,J$37,K242&lt;K$39,J$38,K242&lt;K$40,J$39,K242&lt;K$41,J$40,K242&lt;K$42,J$41,K242&lt;K$43,J$42,K242&lt;K$44,J$43,K242&lt;K$45,J$44,K242&lt;K$46,J$45,K242&lt;K$47,J$46,K242&gt;=K$47,J$47)</f>
        <v/>
      </c>
      <c r="K242" s="38" t="n">
        <v>192</v>
      </c>
      <c r="L242" s="31">
        <f>K242/52</f>
        <v/>
      </c>
      <c r="M242" s="39">
        <f>J242/1000000*52</f>
        <v/>
      </c>
      <c r="N242" s="33">
        <f>M242/$P$4+($I$22/$P$4)</f>
        <v/>
      </c>
      <c r="U242">
        <f>F241</f>
        <v/>
      </c>
      <c r="V242">
        <f>H241</f>
        <v/>
      </c>
      <c r="W242">
        <f>N241</f>
        <v/>
      </c>
    </row>
    <row r="243" ht="15.75" customHeight="1" s="40">
      <c r="C243" s="36">
        <f>_xlfn.IFS(E243&lt;E$24,0,E243&lt;E$26,C$24,E243&lt;E$28,C$26,E243&lt;E$30,C$28,E243&lt;E$32,C$30,E243&lt;E$34,C$32,E243&gt;=E$34,C$34)</f>
        <v/>
      </c>
      <c r="D243" s="37">
        <f>_xlfn.IFS(E243&lt;E$24,0,E243&lt;E$25,D$24,E243&lt;E$26,D$25,E243&lt;E$27,D$26,E243&lt;E$28,D$27,E243&lt;E$29,D$28,E243&lt;E$30,D$29,E243&lt;E$31,D$30,E243&lt;E$32,D$31,E243&lt;E$33,D$32,E243&lt;E$34,D$33,E243&lt;E$35,D$34,E243&gt;=E$35,D$35)</f>
        <v/>
      </c>
      <c r="E243" s="38" t="n">
        <v>193</v>
      </c>
      <c r="F243" s="31">
        <f>E243/52</f>
        <v/>
      </c>
      <c r="G243" s="39">
        <f>D243/1000000*52</f>
        <v/>
      </c>
      <c r="H243" s="33">
        <f>G243/$P$4+($C$22/$P$4)</f>
        <v/>
      </c>
      <c r="I243" s="36">
        <f>_xlfn.IFS(K243&lt;K$24,0,K243&lt;K$26,I$24,K243&lt;K$28,I$26,K243&lt;K$30,I$28,K243&lt;K$32,I$30,K243&lt;K$34,I$32,K243&lt;K$36,I$34,K243&lt;K$38,I$36,K243&lt;K$40,I$38,K243&lt;K$42,I$40,K243&lt;K$44,I$42,K243&lt;K$46,I$44,K243&gt;=K$46,I$46)</f>
        <v/>
      </c>
      <c r="J243" s="37">
        <f>_xlfn.IFS(K243&lt;K$24,0,K243&lt;K$25,J$24,K243&lt;K$26,J$25,K243&lt;K$27,J$26,K243&lt;K$28,J$27,K243&lt;K$29,J$28,K243&lt;K$30,J$29,K243&lt;K$31,J$30,K243&lt;K$32,J$31,K243&lt;K$33,J$32,K243&lt;K$34,J$33,K243&lt;K$35,J$34,K243&lt;K$36,J$35,K243&lt;K$37,J$36,K243&lt;K$38,J$37,K243&lt;K$39,J$38,K243&lt;K$40,J$39,K243&lt;K$41,J$40,K243&lt;K$42,J$41,K243&lt;K$43,J$42,K243&lt;K$44,J$43,K243&lt;K$45,J$44,K243&lt;K$46,J$45,K243&lt;K$47,J$46,K243&gt;=K$47,J$47)</f>
        <v/>
      </c>
      <c r="K243" s="38" t="n">
        <v>193</v>
      </c>
      <c r="L243" s="31">
        <f>K243/52</f>
        <v/>
      </c>
      <c r="M243" s="39">
        <f>J243/1000000*52</f>
        <v/>
      </c>
      <c r="N243" s="33">
        <f>M243/$P$4+($I$22/$P$4)</f>
        <v/>
      </c>
      <c r="U243">
        <f>F242</f>
        <v/>
      </c>
      <c r="V243">
        <f>H242</f>
        <v/>
      </c>
      <c r="W243">
        <f>N242</f>
        <v/>
      </c>
    </row>
    <row r="244" ht="15.75" customHeight="1" s="40">
      <c r="C244" s="36">
        <f>_xlfn.IFS(E244&lt;E$24,0,E244&lt;E$26,C$24,E244&lt;E$28,C$26,E244&lt;E$30,C$28,E244&lt;E$32,C$30,E244&lt;E$34,C$32,E244&gt;=E$34,C$34)</f>
        <v/>
      </c>
      <c r="D244" s="37">
        <f>_xlfn.IFS(E244&lt;E$24,0,E244&lt;E$25,D$24,E244&lt;E$26,D$25,E244&lt;E$27,D$26,E244&lt;E$28,D$27,E244&lt;E$29,D$28,E244&lt;E$30,D$29,E244&lt;E$31,D$30,E244&lt;E$32,D$31,E244&lt;E$33,D$32,E244&lt;E$34,D$33,E244&lt;E$35,D$34,E244&gt;=E$35,D$35)</f>
        <v/>
      </c>
      <c r="E244" s="38" t="n">
        <v>194</v>
      </c>
      <c r="F244" s="31">
        <f>E244/52</f>
        <v/>
      </c>
      <c r="G244" s="39">
        <f>D244/1000000*52</f>
        <v/>
      </c>
      <c r="H244" s="33">
        <f>G244/$P$4+($C$22/$P$4)</f>
        <v/>
      </c>
      <c r="I244" s="36">
        <f>_xlfn.IFS(K244&lt;K$24,0,K244&lt;K$26,I$24,K244&lt;K$28,I$26,K244&lt;K$30,I$28,K244&lt;K$32,I$30,K244&lt;K$34,I$32,K244&lt;K$36,I$34,K244&lt;K$38,I$36,K244&lt;K$40,I$38,K244&lt;K$42,I$40,K244&lt;K$44,I$42,K244&lt;K$46,I$44,K244&gt;=K$46,I$46)</f>
        <v/>
      </c>
      <c r="J244" s="37">
        <f>_xlfn.IFS(K244&lt;K$24,0,K244&lt;K$25,J$24,K244&lt;K$26,J$25,K244&lt;K$27,J$26,K244&lt;K$28,J$27,K244&lt;K$29,J$28,K244&lt;K$30,J$29,K244&lt;K$31,J$30,K244&lt;K$32,J$31,K244&lt;K$33,J$32,K244&lt;K$34,J$33,K244&lt;K$35,J$34,K244&lt;K$36,J$35,K244&lt;K$37,J$36,K244&lt;K$38,J$37,K244&lt;K$39,J$38,K244&lt;K$40,J$39,K244&lt;K$41,J$40,K244&lt;K$42,J$41,K244&lt;K$43,J$42,K244&lt;K$44,J$43,K244&lt;K$45,J$44,K244&lt;K$46,J$45,K244&lt;K$47,J$46,K244&gt;=K$47,J$47)</f>
        <v/>
      </c>
      <c r="K244" s="38" t="n">
        <v>194</v>
      </c>
      <c r="L244" s="31">
        <f>K244/52</f>
        <v/>
      </c>
      <c r="M244" s="39">
        <f>J244/1000000*52</f>
        <v/>
      </c>
      <c r="N244" s="33">
        <f>M244/$P$4+($I$22/$P$4)</f>
        <v/>
      </c>
      <c r="U244">
        <f>F243</f>
        <v/>
      </c>
      <c r="V244">
        <f>H243</f>
        <v/>
      </c>
      <c r="W244">
        <f>N243</f>
        <v/>
      </c>
    </row>
    <row r="245" ht="15.75" customHeight="1" s="40">
      <c r="C245" s="36">
        <f>_xlfn.IFS(E245&lt;E$24,0,E245&lt;E$26,C$24,E245&lt;E$28,C$26,E245&lt;E$30,C$28,E245&lt;E$32,C$30,E245&lt;E$34,C$32,E245&gt;=E$34,C$34)</f>
        <v/>
      </c>
      <c r="D245" s="37">
        <f>_xlfn.IFS(E245&lt;E$24,0,E245&lt;E$25,D$24,E245&lt;E$26,D$25,E245&lt;E$27,D$26,E245&lt;E$28,D$27,E245&lt;E$29,D$28,E245&lt;E$30,D$29,E245&lt;E$31,D$30,E245&lt;E$32,D$31,E245&lt;E$33,D$32,E245&lt;E$34,D$33,E245&lt;E$35,D$34,E245&gt;=E$35,D$35)</f>
        <v/>
      </c>
      <c r="E245" s="38" t="n">
        <v>195</v>
      </c>
      <c r="F245" s="31">
        <f>E245/52</f>
        <v/>
      </c>
      <c r="G245" s="39">
        <f>D245/1000000*52</f>
        <v/>
      </c>
      <c r="H245" s="33">
        <f>G245/$P$4+($C$22/$P$4)</f>
        <v/>
      </c>
      <c r="I245" s="36">
        <f>_xlfn.IFS(K245&lt;K$24,0,K245&lt;K$26,I$24,K245&lt;K$28,I$26,K245&lt;K$30,I$28,K245&lt;K$32,I$30,K245&lt;K$34,I$32,K245&lt;K$36,I$34,K245&lt;K$38,I$36,K245&lt;K$40,I$38,K245&lt;K$42,I$40,K245&lt;K$44,I$42,K245&lt;K$46,I$44,K245&gt;=K$46,I$46)</f>
        <v/>
      </c>
      <c r="J245" s="37">
        <f>_xlfn.IFS(K245&lt;K$24,0,K245&lt;K$25,J$24,K245&lt;K$26,J$25,K245&lt;K$27,J$26,K245&lt;K$28,J$27,K245&lt;K$29,J$28,K245&lt;K$30,J$29,K245&lt;K$31,J$30,K245&lt;K$32,J$31,K245&lt;K$33,J$32,K245&lt;K$34,J$33,K245&lt;K$35,J$34,K245&lt;K$36,J$35,K245&lt;K$37,J$36,K245&lt;K$38,J$37,K245&lt;K$39,J$38,K245&lt;K$40,J$39,K245&lt;K$41,J$40,K245&lt;K$42,J$41,K245&lt;K$43,J$42,K245&lt;K$44,J$43,K245&lt;K$45,J$44,K245&lt;K$46,J$45,K245&lt;K$47,J$46,K245&gt;=K$47,J$47)</f>
        <v/>
      </c>
      <c r="K245" s="38" t="n">
        <v>195</v>
      </c>
      <c r="L245" s="31">
        <f>K245/52</f>
        <v/>
      </c>
      <c r="M245" s="39">
        <f>J245/1000000*52</f>
        <v/>
      </c>
      <c r="N245" s="33">
        <f>M245/$P$4+($I$22/$P$4)</f>
        <v/>
      </c>
      <c r="U245">
        <f>F244</f>
        <v/>
      </c>
      <c r="V245">
        <f>H244</f>
        <v/>
      </c>
      <c r="W245">
        <f>N244</f>
        <v/>
      </c>
    </row>
    <row r="246" ht="15.75" customHeight="1" s="40">
      <c r="C246" s="36">
        <f>_xlfn.IFS(E246&lt;E$24,0,E246&lt;E$26,C$24,E246&lt;E$28,C$26,E246&lt;E$30,C$28,E246&lt;E$32,C$30,E246&lt;E$34,C$32,E246&gt;=E$34,C$34)</f>
        <v/>
      </c>
      <c r="D246" s="37">
        <f>_xlfn.IFS(E246&lt;E$24,0,E246&lt;E$25,D$24,E246&lt;E$26,D$25,E246&lt;E$27,D$26,E246&lt;E$28,D$27,E246&lt;E$29,D$28,E246&lt;E$30,D$29,E246&lt;E$31,D$30,E246&lt;E$32,D$31,E246&lt;E$33,D$32,E246&lt;E$34,D$33,E246&lt;E$35,D$34,E246&gt;=E$35,D$35)</f>
        <v/>
      </c>
      <c r="E246" s="38" t="n">
        <v>196</v>
      </c>
      <c r="F246" s="31">
        <f>E246/52</f>
        <v/>
      </c>
      <c r="G246" s="39">
        <f>D246/1000000*52</f>
        <v/>
      </c>
      <c r="H246" s="33">
        <f>G246/$P$4+($C$22/$P$4)</f>
        <v/>
      </c>
      <c r="I246" s="36">
        <f>_xlfn.IFS(K246&lt;K$24,0,K246&lt;K$26,I$24,K246&lt;K$28,I$26,K246&lt;K$30,I$28,K246&lt;K$32,I$30,K246&lt;K$34,I$32,K246&lt;K$36,I$34,K246&lt;K$38,I$36,K246&lt;K$40,I$38,K246&lt;K$42,I$40,K246&lt;K$44,I$42,K246&lt;K$46,I$44,K246&gt;=K$46,I$46)</f>
        <v/>
      </c>
      <c r="J246" s="37">
        <f>_xlfn.IFS(K246&lt;K$24,0,K246&lt;K$25,J$24,K246&lt;K$26,J$25,K246&lt;K$27,J$26,K246&lt;K$28,J$27,K246&lt;K$29,J$28,K246&lt;K$30,J$29,K246&lt;K$31,J$30,K246&lt;K$32,J$31,K246&lt;K$33,J$32,K246&lt;K$34,J$33,K246&lt;K$35,J$34,K246&lt;K$36,J$35,K246&lt;K$37,J$36,K246&lt;K$38,J$37,K246&lt;K$39,J$38,K246&lt;K$40,J$39,K246&lt;K$41,J$40,K246&lt;K$42,J$41,K246&lt;K$43,J$42,K246&lt;K$44,J$43,K246&lt;K$45,J$44,K246&lt;K$46,J$45,K246&lt;K$47,J$46,K246&gt;=K$47,J$47)</f>
        <v/>
      </c>
      <c r="K246" s="38" t="n">
        <v>196</v>
      </c>
      <c r="L246" s="31">
        <f>K246/52</f>
        <v/>
      </c>
      <c r="M246" s="39">
        <f>J246/1000000*52</f>
        <v/>
      </c>
      <c r="N246" s="33">
        <f>M246/$P$4+($I$22/$P$4)</f>
        <v/>
      </c>
      <c r="U246">
        <f>F245</f>
        <v/>
      </c>
      <c r="V246">
        <f>H245</f>
        <v/>
      </c>
      <c r="W246">
        <f>N245</f>
        <v/>
      </c>
    </row>
    <row r="247" ht="15.75" customHeight="1" s="40">
      <c r="C247" s="36">
        <f>_xlfn.IFS(E247&lt;E$24,0,E247&lt;E$26,C$24,E247&lt;E$28,C$26,E247&lt;E$30,C$28,E247&lt;E$32,C$30,E247&lt;E$34,C$32,E247&gt;=E$34,C$34)</f>
        <v/>
      </c>
      <c r="D247" s="37">
        <f>_xlfn.IFS(E247&lt;E$24,0,E247&lt;E$25,D$24,E247&lt;E$26,D$25,E247&lt;E$27,D$26,E247&lt;E$28,D$27,E247&lt;E$29,D$28,E247&lt;E$30,D$29,E247&lt;E$31,D$30,E247&lt;E$32,D$31,E247&lt;E$33,D$32,E247&lt;E$34,D$33,E247&lt;E$35,D$34,E247&gt;=E$35,D$35)</f>
        <v/>
      </c>
      <c r="E247" s="38" t="n">
        <v>197</v>
      </c>
      <c r="F247" s="31">
        <f>E247/52</f>
        <v/>
      </c>
      <c r="G247" s="39">
        <f>D247/1000000*52</f>
        <v/>
      </c>
      <c r="H247" s="33">
        <f>G247/$P$4+($C$22/$P$4)</f>
        <v/>
      </c>
      <c r="I247" s="36">
        <f>_xlfn.IFS(K247&lt;K$24,0,K247&lt;K$26,I$24,K247&lt;K$28,I$26,K247&lt;K$30,I$28,K247&lt;K$32,I$30,K247&lt;K$34,I$32,K247&lt;K$36,I$34,K247&lt;K$38,I$36,K247&lt;K$40,I$38,K247&lt;K$42,I$40,K247&lt;K$44,I$42,K247&lt;K$46,I$44,K247&gt;=K$46,I$46)</f>
        <v/>
      </c>
      <c r="J247" s="37">
        <f>_xlfn.IFS(K247&lt;K$24,0,K247&lt;K$25,J$24,K247&lt;K$26,J$25,K247&lt;K$27,J$26,K247&lt;K$28,J$27,K247&lt;K$29,J$28,K247&lt;K$30,J$29,K247&lt;K$31,J$30,K247&lt;K$32,J$31,K247&lt;K$33,J$32,K247&lt;K$34,J$33,K247&lt;K$35,J$34,K247&lt;K$36,J$35,K247&lt;K$37,J$36,K247&lt;K$38,J$37,K247&lt;K$39,J$38,K247&lt;K$40,J$39,K247&lt;K$41,J$40,K247&lt;K$42,J$41,K247&lt;K$43,J$42,K247&lt;K$44,J$43,K247&lt;K$45,J$44,K247&lt;K$46,J$45,K247&lt;K$47,J$46,K247&gt;=K$47,J$47)</f>
        <v/>
      </c>
      <c r="K247" s="38" t="n">
        <v>197</v>
      </c>
      <c r="L247" s="31">
        <f>K247/52</f>
        <v/>
      </c>
      <c r="M247" s="39">
        <f>J247/1000000*52</f>
        <v/>
      </c>
      <c r="N247" s="33">
        <f>M247/$P$4+($I$22/$P$4)</f>
        <v/>
      </c>
      <c r="U247">
        <f>F246</f>
        <v/>
      </c>
      <c r="V247">
        <f>H246</f>
        <v/>
      </c>
      <c r="W247">
        <f>N246</f>
        <v/>
      </c>
    </row>
    <row r="248" ht="15.75" customHeight="1" s="40">
      <c r="C248" s="36">
        <f>_xlfn.IFS(E248&lt;E$24,0,E248&lt;E$26,C$24,E248&lt;E$28,C$26,E248&lt;E$30,C$28,E248&lt;E$32,C$30,E248&lt;E$34,C$32,E248&gt;=E$34,C$34)</f>
        <v/>
      </c>
      <c r="D248" s="37">
        <f>_xlfn.IFS(E248&lt;E$24,0,E248&lt;E$25,D$24,E248&lt;E$26,D$25,E248&lt;E$27,D$26,E248&lt;E$28,D$27,E248&lt;E$29,D$28,E248&lt;E$30,D$29,E248&lt;E$31,D$30,E248&lt;E$32,D$31,E248&lt;E$33,D$32,E248&lt;E$34,D$33,E248&lt;E$35,D$34,E248&gt;=E$35,D$35)</f>
        <v/>
      </c>
      <c r="E248" s="38" t="n">
        <v>198</v>
      </c>
      <c r="F248" s="31">
        <f>E248/52</f>
        <v/>
      </c>
      <c r="G248" s="39">
        <f>D248/1000000*52</f>
        <v/>
      </c>
      <c r="H248" s="33">
        <f>G248/$P$4+($C$22/$P$4)</f>
        <v/>
      </c>
      <c r="I248" s="36">
        <f>_xlfn.IFS(K248&lt;K$24,0,K248&lt;K$26,I$24,K248&lt;K$28,I$26,K248&lt;K$30,I$28,K248&lt;K$32,I$30,K248&lt;K$34,I$32,K248&lt;K$36,I$34,K248&lt;K$38,I$36,K248&lt;K$40,I$38,K248&lt;K$42,I$40,K248&lt;K$44,I$42,K248&lt;K$46,I$44,K248&gt;=K$46,I$46)</f>
        <v/>
      </c>
      <c r="J248" s="37">
        <f>_xlfn.IFS(K248&lt;K$24,0,K248&lt;K$25,J$24,K248&lt;K$26,J$25,K248&lt;K$27,J$26,K248&lt;K$28,J$27,K248&lt;K$29,J$28,K248&lt;K$30,J$29,K248&lt;K$31,J$30,K248&lt;K$32,J$31,K248&lt;K$33,J$32,K248&lt;K$34,J$33,K248&lt;K$35,J$34,K248&lt;K$36,J$35,K248&lt;K$37,J$36,K248&lt;K$38,J$37,K248&lt;K$39,J$38,K248&lt;K$40,J$39,K248&lt;K$41,J$40,K248&lt;K$42,J$41,K248&lt;K$43,J$42,K248&lt;K$44,J$43,K248&lt;K$45,J$44,K248&lt;K$46,J$45,K248&lt;K$47,J$46,K248&gt;=K$47,J$47)</f>
        <v/>
      </c>
      <c r="K248" s="38" t="n">
        <v>198</v>
      </c>
      <c r="L248" s="31">
        <f>K248/52</f>
        <v/>
      </c>
      <c r="M248" s="39">
        <f>J248/1000000*52</f>
        <v/>
      </c>
      <c r="N248" s="33">
        <f>M248/$P$4+($I$22/$P$4)</f>
        <v/>
      </c>
      <c r="U248">
        <f>F247</f>
        <v/>
      </c>
      <c r="V248">
        <f>H247</f>
        <v/>
      </c>
      <c r="W248">
        <f>N247</f>
        <v/>
      </c>
    </row>
    <row r="249" ht="15.75" customHeight="1" s="40">
      <c r="C249" s="36">
        <f>_xlfn.IFS(E249&lt;E$24,0,E249&lt;E$26,C$24,E249&lt;E$28,C$26,E249&lt;E$30,C$28,E249&lt;E$32,C$30,E249&lt;E$34,C$32,E249&gt;=E$34,C$34)</f>
        <v/>
      </c>
      <c r="D249" s="37">
        <f>_xlfn.IFS(E249&lt;E$24,0,E249&lt;E$25,D$24,E249&lt;E$26,D$25,E249&lt;E$27,D$26,E249&lt;E$28,D$27,E249&lt;E$29,D$28,E249&lt;E$30,D$29,E249&lt;E$31,D$30,E249&lt;E$32,D$31,E249&lt;E$33,D$32,E249&lt;E$34,D$33,E249&lt;E$35,D$34,E249&gt;=E$35,D$35)</f>
        <v/>
      </c>
      <c r="E249" s="38" t="n">
        <v>199</v>
      </c>
      <c r="F249" s="31">
        <f>E249/52</f>
        <v/>
      </c>
      <c r="G249" s="39">
        <f>D249/1000000*52</f>
        <v/>
      </c>
      <c r="H249" s="33">
        <f>G249/$P$4+($C$22/$P$4)</f>
        <v/>
      </c>
      <c r="I249" s="36">
        <f>_xlfn.IFS(K249&lt;K$24,0,K249&lt;K$26,I$24,K249&lt;K$28,I$26,K249&lt;K$30,I$28,K249&lt;K$32,I$30,K249&lt;K$34,I$32,K249&lt;K$36,I$34,K249&lt;K$38,I$36,K249&lt;K$40,I$38,K249&lt;K$42,I$40,K249&lt;K$44,I$42,K249&lt;K$46,I$44,K249&gt;=K$46,I$46)</f>
        <v/>
      </c>
      <c r="J249" s="37">
        <f>_xlfn.IFS(K249&lt;K$24,0,K249&lt;K$25,J$24,K249&lt;K$26,J$25,K249&lt;K$27,J$26,K249&lt;K$28,J$27,K249&lt;K$29,J$28,K249&lt;K$30,J$29,K249&lt;K$31,J$30,K249&lt;K$32,J$31,K249&lt;K$33,J$32,K249&lt;K$34,J$33,K249&lt;K$35,J$34,K249&lt;K$36,J$35,K249&lt;K$37,J$36,K249&lt;K$38,J$37,K249&lt;K$39,J$38,K249&lt;K$40,J$39,K249&lt;K$41,J$40,K249&lt;K$42,J$41,K249&lt;K$43,J$42,K249&lt;K$44,J$43,K249&lt;K$45,J$44,K249&lt;K$46,J$45,K249&lt;K$47,J$46,K249&gt;=K$47,J$47)</f>
        <v/>
      </c>
      <c r="K249" s="38" t="n">
        <v>199</v>
      </c>
      <c r="L249" s="31">
        <f>K249/52</f>
        <v/>
      </c>
      <c r="M249" s="39">
        <f>J249/1000000*52</f>
        <v/>
      </c>
      <c r="N249" s="33">
        <f>M249/$P$4+($I$22/$P$4)</f>
        <v/>
      </c>
      <c r="U249">
        <f>F248</f>
        <v/>
      </c>
      <c r="V249">
        <f>H248</f>
        <v/>
      </c>
      <c r="W249">
        <f>N248</f>
        <v/>
      </c>
    </row>
    <row r="250" ht="15.75" customHeight="1" s="40">
      <c r="C250" s="36">
        <f>_xlfn.IFS(E250&lt;E$24,0,E250&lt;E$26,C$24,E250&lt;E$28,C$26,E250&lt;E$30,C$28,E250&lt;E$32,C$30,E250&lt;E$34,C$32,E250&gt;=E$34,C$34)</f>
        <v/>
      </c>
      <c r="D250" s="37">
        <f>_xlfn.IFS(E250&lt;E$24,0,E250&lt;E$25,D$24,E250&lt;E$26,D$25,E250&lt;E$27,D$26,E250&lt;E$28,D$27,E250&lt;E$29,D$28,E250&lt;E$30,D$29,E250&lt;E$31,D$30,E250&lt;E$32,D$31,E250&lt;E$33,D$32,E250&lt;E$34,D$33,E250&lt;E$35,D$34,E250&gt;=E$35,D$35)</f>
        <v/>
      </c>
      <c r="E250" s="38" t="n">
        <v>200</v>
      </c>
      <c r="F250" s="31">
        <f>E250/52</f>
        <v/>
      </c>
      <c r="G250" s="39">
        <f>D250/1000000*52</f>
        <v/>
      </c>
      <c r="H250" s="33">
        <f>G250/$P$4+($C$22/$P$4)</f>
        <v/>
      </c>
      <c r="I250" s="36">
        <f>_xlfn.IFS(K250&lt;K$24,0,K250&lt;K$26,I$24,K250&lt;K$28,I$26,K250&lt;K$30,I$28,K250&lt;K$32,I$30,K250&lt;K$34,I$32,K250&lt;K$36,I$34,K250&lt;K$38,I$36,K250&lt;K$40,I$38,K250&lt;K$42,I$40,K250&lt;K$44,I$42,K250&lt;K$46,I$44,K250&gt;=K$46,I$46)</f>
        <v/>
      </c>
      <c r="J250" s="37">
        <f>_xlfn.IFS(K250&lt;K$24,0,K250&lt;K$25,J$24,K250&lt;K$26,J$25,K250&lt;K$27,J$26,K250&lt;K$28,J$27,K250&lt;K$29,J$28,K250&lt;K$30,J$29,K250&lt;K$31,J$30,K250&lt;K$32,J$31,K250&lt;K$33,J$32,K250&lt;K$34,J$33,K250&lt;K$35,J$34,K250&lt;K$36,J$35,K250&lt;K$37,J$36,K250&lt;K$38,J$37,K250&lt;K$39,J$38,K250&lt;K$40,J$39,K250&lt;K$41,J$40,K250&lt;K$42,J$41,K250&lt;K$43,J$42,K250&lt;K$44,J$43,K250&lt;K$45,J$44,K250&lt;K$46,J$45,K250&lt;K$47,J$46,K250&gt;=K$47,J$47)</f>
        <v/>
      </c>
      <c r="K250" s="38" t="n">
        <v>200</v>
      </c>
      <c r="L250" s="31">
        <f>K250/52</f>
        <v/>
      </c>
      <c r="M250" s="39">
        <f>J250/1000000*52</f>
        <v/>
      </c>
      <c r="N250" s="33">
        <f>M250/$P$4+($I$22/$P$4)</f>
        <v/>
      </c>
      <c r="U250">
        <f>F249</f>
        <v/>
      </c>
      <c r="V250">
        <f>H249</f>
        <v/>
      </c>
      <c r="W250">
        <f>N249</f>
        <v/>
      </c>
    </row>
    <row r="251" ht="15.75" customHeight="1" s="40">
      <c r="C251" s="36">
        <f>_xlfn.IFS(E251&lt;E$24,0,E251&lt;E$26,C$24,E251&lt;E$28,C$26,E251&lt;E$30,C$28,E251&lt;E$32,C$30,E251&lt;E$34,C$32,E251&gt;=E$34,C$34)</f>
        <v/>
      </c>
      <c r="D251" s="37">
        <f>_xlfn.IFS(E251&lt;E$24,0,E251&lt;E$25,D$24,E251&lt;E$26,D$25,E251&lt;E$27,D$26,E251&lt;E$28,D$27,E251&lt;E$29,D$28,E251&lt;E$30,D$29,E251&lt;E$31,D$30,E251&lt;E$32,D$31,E251&lt;E$33,D$32,E251&lt;E$34,D$33,E251&lt;E$35,D$34,E251&gt;=E$35,D$35)</f>
        <v/>
      </c>
      <c r="E251" s="38" t="n">
        <v>201</v>
      </c>
      <c r="F251" s="31">
        <f>E251/52</f>
        <v/>
      </c>
      <c r="G251" s="39">
        <f>D251/1000000*52</f>
        <v/>
      </c>
      <c r="H251" s="33">
        <f>G251/$P$4+($C$22/$P$4)</f>
        <v/>
      </c>
      <c r="I251" s="36">
        <f>_xlfn.IFS(K251&lt;K$24,0,K251&lt;K$26,I$24,K251&lt;K$28,I$26,K251&lt;K$30,I$28,K251&lt;K$32,I$30,K251&lt;K$34,I$32,K251&lt;K$36,I$34,K251&lt;K$38,I$36,K251&lt;K$40,I$38,K251&lt;K$42,I$40,K251&lt;K$44,I$42,K251&lt;K$46,I$44,K251&gt;=K$46,I$46)</f>
        <v/>
      </c>
      <c r="J251" s="37">
        <f>_xlfn.IFS(K251&lt;K$24,0,K251&lt;K$25,J$24,K251&lt;K$26,J$25,K251&lt;K$27,J$26,K251&lt;K$28,J$27,K251&lt;K$29,J$28,K251&lt;K$30,J$29,K251&lt;K$31,J$30,K251&lt;K$32,J$31,K251&lt;K$33,J$32,K251&lt;K$34,J$33,K251&lt;K$35,J$34,K251&lt;K$36,J$35,K251&lt;K$37,J$36,K251&lt;K$38,J$37,K251&lt;K$39,J$38,K251&lt;K$40,J$39,K251&lt;K$41,J$40,K251&lt;K$42,J$41,K251&lt;K$43,J$42,K251&lt;K$44,J$43,K251&lt;K$45,J$44,K251&lt;K$46,J$45,K251&lt;K$47,J$46,K251&gt;=K$47,J$47)</f>
        <v/>
      </c>
      <c r="K251" s="38" t="n">
        <v>201</v>
      </c>
      <c r="L251" s="31">
        <f>K251/52</f>
        <v/>
      </c>
      <c r="M251" s="39">
        <f>J251/1000000*52</f>
        <v/>
      </c>
      <c r="N251" s="33">
        <f>M251/$P$4+($I$22/$P$4)</f>
        <v/>
      </c>
      <c r="U251">
        <f>F250</f>
        <v/>
      </c>
      <c r="V251">
        <f>H250</f>
        <v/>
      </c>
      <c r="W251">
        <f>N250</f>
        <v/>
      </c>
    </row>
    <row r="252" ht="15.75" customHeight="1" s="40">
      <c r="C252" s="36">
        <f>_xlfn.IFS(E252&lt;E$24,0,E252&lt;E$26,C$24,E252&lt;E$28,C$26,E252&lt;E$30,C$28,E252&lt;E$32,C$30,E252&lt;E$34,C$32,E252&gt;=E$34,C$34)</f>
        <v/>
      </c>
      <c r="D252" s="37">
        <f>_xlfn.IFS(E252&lt;E$24,0,E252&lt;E$25,D$24,E252&lt;E$26,D$25,E252&lt;E$27,D$26,E252&lt;E$28,D$27,E252&lt;E$29,D$28,E252&lt;E$30,D$29,E252&lt;E$31,D$30,E252&lt;E$32,D$31,E252&lt;E$33,D$32,E252&lt;E$34,D$33,E252&lt;E$35,D$34,E252&gt;=E$35,D$35)</f>
        <v/>
      </c>
      <c r="E252" s="38" t="n">
        <v>202</v>
      </c>
      <c r="F252" s="31">
        <f>E252/52</f>
        <v/>
      </c>
      <c r="G252" s="39">
        <f>D252/1000000*52</f>
        <v/>
      </c>
      <c r="H252" s="33">
        <f>G252/$P$4+($C$22/$P$4)</f>
        <v/>
      </c>
      <c r="I252" s="36">
        <f>_xlfn.IFS(K252&lt;K$24,0,K252&lt;K$26,I$24,K252&lt;K$28,I$26,K252&lt;K$30,I$28,K252&lt;K$32,I$30,K252&lt;K$34,I$32,K252&lt;K$36,I$34,K252&lt;K$38,I$36,K252&lt;K$40,I$38,K252&lt;K$42,I$40,K252&lt;K$44,I$42,K252&lt;K$46,I$44,K252&gt;=K$46,I$46)</f>
        <v/>
      </c>
      <c r="J252" s="37">
        <f>_xlfn.IFS(K252&lt;K$24,0,K252&lt;K$25,J$24,K252&lt;K$26,J$25,K252&lt;K$27,J$26,K252&lt;K$28,J$27,K252&lt;K$29,J$28,K252&lt;K$30,J$29,K252&lt;K$31,J$30,K252&lt;K$32,J$31,K252&lt;K$33,J$32,K252&lt;K$34,J$33,K252&lt;K$35,J$34,K252&lt;K$36,J$35,K252&lt;K$37,J$36,K252&lt;K$38,J$37,K252&lt;K$39,J$38,K252&lt;K$40,J$39,K252&lt;K$41,J$40,K252&lt;K$42,J$41,K252&lt;K$43,J$42,K252&lt;K$44,J$43,K252&lt;K$45,J$44,K252&lt;K$46,J$45,K252&lt;K$47,J$46,K252&gt;=K$47,J$47)</f>
        <v/>
      </c>
      <c r="K252" s="38" t="n">
        <v>202</v>
      </c>
      <c r="L252" s="31">
        <f>K252/52</f>
        <v/>
      </c>
      <c r="M252" s="39">
        <f>J252/1000000*52</f>
        <v/>
      </c>
      <c r="N252" s="33">
        <f>M252/$P$4+($I$22/$P$4)</f>
        <v/>
      </c>
      <c r="U252">
        <f>F251</f>
        <v/>
      </c>
      <c r="V252">
        <f>H251</f>
        <v/>
      </c>
      <c r="W252">
        <f>N251</f>
        <v/>
      </c>
    </row>
    <row r="253" ht="15.75" customHeight="1" s="40">
      <c r="C253" s="36">
        <f>_xlfn.IFS(E253&lt;E$24,0,E253&lt;E$26,C$24,E253&lt;E$28,C$26,E253&lt;E$30,C$28,E253&lt;E$32,C$30,E253&lt;E$34,C$32,E253&gt;=E$34,C$34)</f>
        <v/>
      </c>
      <c r="D253" s="37">
        <f>_xlfn.IFS(E253&lt;E$24,0,E253&lt;E$25,D$24,E253&lt;E$26,D$25,E253&lt;E$27,D$26,E253&lt;E$28,D$27,E253&lt;E$29,D$28,E253&lt;E$30,D$29,E253&lt;E$31,D$30,E253&lt;E$32,D$31,E253&lt;E$33,D$32,E253&lt;E$34,D$33,E253&lt;E$35,D$34,E253&gt;=E$35,D$35)</f>
        <v/>
      </c>
      <c r="E253" s="38" t="n">
        <v>203</v>
      </c>
      <c r="F253" s="31">
        <f>E253/52</f>
        <v/>
      </c>
      <c r="G253" s="39">
        <f>D253/1000000*52</f>
        <v/>
      </c>
      <c r="H253" s="33">
        <f>G253/$P$4+($C$22/$P$4)</f>
        <v/>
      </c>
      <c r="I253" s="36">
        <f>_xlfn.IFS(K253&lt;K$24,0,K253&lt;K$26,I$24,K253&lt;K$28,I$26,K253&lt;K$30,I$28,K253&lt;K$32,I$30,K253&lt;K$34,I$32,K253&lt;K$36,I$34,K253&lt;K$38,I$36,K253&lt;K$40,I$38,K253&lt;K$42,I$40,K253&lt;K$44,I$42,K253&lt;K$46,I$44,K253&gt;=K$46,I$46)</f>
        <v/>
      </c>
      <c r="J253" s="37">
        <f>_xlfn.IFS(K253&lt;K$24,0,K253&lt;K$25,J$24,K253&lt;K$26,J$25,K253&lt;K$27,J$26,K253&lt;K$28,J$27,K253&lt;K$29,J$28,K253&lt;K$30,J$29,K253&lt;K$31,J$30,K253&lt;K$32,J$31,K253&lt;K$33,J$32,K253&lt;K$34,J$33,K253&lt;K$35,J$34,K253&lt;K$36,J$35,K253&lt;K$37,J$36,K253&lt;K$38,J$37,K253&lt;K$39,J$38,K253&lt;K$40,J$39,K253&lt;K$41,J$40,K253&lt;K$42,J$41,K253&lt;K$43,J$42,K253&lt;K$44,J$43,K253&lt;K$45,J$44,K253&lt;K$46,J$45,K253&lt;K$47,J$46,K253&gt;=K$47,J$47)</f>
        <v/>
      </c>
      <c r="K253" s="38" t="n">
        <v>203</v>
      </c>
      <c r="L253" s="31">
        <f>K253/52</f>
        <v/>
      </c>
      <c r="M253" s="39">
        <f>J253/1000000*52</f>
        <v/>
      </c>
      <c r="N253" s="33">
        <f>M253/$P$4+($I$22/$P$4)</f>
        <v/>
      </c>
      <c r="U253">
        <f>F252</f>
        <v/>
      </c>
      <c r="V253">
        <f>H252</f>
        <v/>
      </c>
      <c r="W253">
        <f>N252</f>
        <v/>
      </c>
    </row>
    <row r="254" ht="15.75" customHeight="1" s="40">
      <c r="C254" s="36">
        <f>_xlfn.IFS(E254&lt;E$24,0,E254&lt;E$26,C$24,E254&lt;E$28,C$26,E254&lt;E$30,C$28,E254&lt;E$32,C$30,E254&lt;E$34,C$32,E254&gt;=E$34,C$34)</f>
        <v/>
      </c>
      <c r="D254" s="37">
        <f>_xlfn.IFS(E254&lt;E$24,0,E254&lt;E$25,D$24,E254&lt;E$26,D$25,E254&lt;E$27,D$26,E254&lt;E$28,D$27,E254&lt;E$29,D$28,E254&lt;E$30,D$29,E254&lt;E$31,D$30,E254&lt;E$32,D$31,E254&lt;E$33,D$32,E254&lt;E$34,D$33,E254&lt;E$35,D$34,E254&gt;=E$35,D$35)</f>
        <v/>
      </c>
      <c r="E254" s="38" t="n">
        <v>204</v>
      </c>
      <c r="F254" s="31">
        <f>E254/52</f>
        <v/>
      </c>
      <c r="G254" s="39">
        <f>D254/1000000*52</f>
        <v/>
      </c>
      <c r="H254" s="33">
        <f>G254/$P$4+($C$22/$P$4)</f>
        <v/>
      </c>
      <c r="I254" s="36">
        <f>_xlfn.IFS(K254&lt;K$24,0,K254&lt;K$26,I$24,K254&lt;K$28,I$26,K254&lt;K$30,I$28,K254&lt;K$32,I$30,K254&lt;K$34,I$32,K254&lt;K$36,I$34,K254&lt;K$38,I$36,K254&lt;K$40,I$38,K254&lt;K$42,I$40,K254&lt;K$44,I$42,K254&lt;K$46,I$44,K254&gt;=K$46,I$46)</f>
        <v/>
      </c>
      <c r="J254" s="37">
        <f>_xlfn.IFS(K254&lt;K$24,0,K254&lt;K$25,J$24,K254&lt;K$26,J$25,K254&lt;K$27,J$26,K254&lt;K$28,J$27,K254&lt;K$29,J$28,K254&lt;K$30,J$29,K254&lt;K$31,J$30,K254&lt;K$32,J$31,K254&lt;K$33,J$32,K254&lt;K$34,J$33,K254&lt;K$35,J$34,K254&lt;K$36,J$35,K254&lt;K$37,J$36,K254&lt;K$38,J$37,K254&lt;K$39,J$38,K254&lt;K$40,J$39,K254&lt;K$41,J$40,K254&lt;K$42,J$41,K254&lt;K$43,J$42,K254&lt;K$44,J$43,K254&lt;K$45,J$44,K254&lt;K$46,J$45,K254&lt;K$47,J$46,K254&gt;=K$47,J$47)</f>
        <v/>
      </c>
      <c r="K254" s="38" t="n">
        <v>204</v>
      </c>
      <c r="L254" s="31">
        <f>K254/52</f>
        <v/>
      </c>
      <c r="M254" s="39">
        <f>J254/1000000*52</f>
        <v/>
      </c>
      <c r="N254" s="33">
        <f>M254/$P$4+($I$22/$P$4)</f>
        <v/>
      </c>
      <c r="U254">
        <f>F253</f>
        <v/>
      </c>
      <c r="V254">
        <f>H253</f>
        <v/>
      </c>
      <c r="W254">
        <f>N253</f>
        <v/>
      </c>
    </row>
    <row r="255" ht="15.75" customHeight="1" s="40">
      <c r="C255" s="36">
        <f>_xlfn.IFS(E255&lt;E$24,0,E255&lt;E$26,C$24,E255&lt;E$28,C$26,E255&lt;E$30,C$28,E255&lt;E$32,C$30,E255&lt;E$34,C$32,E255&gt;=E$34,C$34)</f>
        <v/>
      </c>
      <c r="D255" s="37">
        <f>_xlfn.IFS(E255&lt;E$24,0,E255&lt;E$25,D$24,E255&lt;E$26,D$25,E255&lt;E$27,D$26,E255&lt;E$28,D$27,E255&lt;E$29,D$28,E255&lt;E$30,D$29,E255&lt;E$31,D$30,E255&lt;E$32,D$31,E255&lt;E$33,D$32,E255&lt;E$34,D$33,E255&lt;E$35,D$34,E255&gt;=E$35,D$35)</f>
        <v/>
      </c>
      <c r="E255" s="38" t="n">
        <v>205</v>
      </c>
      <c r="F255" s="31">
        <f>E255/52</f>
        <v/>
      </c>
      <c r="G255" s="39">
        <f>D255/1000000*52</f>
        <v/>
      </c>
      <c r="H255" s="33">
        <f>G255/$P$4+($C$22/$P$4)</f>
        <v/>
      </c>
      <c r="I255" s="36">
        <f>_xlfn.IFS(K255&lt;K$24,0,K255&lt;K$26,I$24,K255&lt;K$28,I$26,K255&lt;K$30,I$28,K255&lt;K$32,I$30,K255&lt;K$34,I$32,K255&lt;K$36,I$34,K255&lt;K$38,I$36,K255&lt;K$40,I$38,K255&lt;K$42,I$40,K255&lt;K$44,I$42,K255&lt;K$46,I$44,K255&gt;=K$46,I$46)</f>
        <v/>
      </c>
      <c r="J255" s="37">
        <f>_xlfn.IFS(K255&lt;K$24,0,K255&lt;K$25,J$24,K255&lt;K$26,J$25,K255&lt;K$27,J$26,K255&lt;K$28,J$27,K255&lt;K$29,J$28,K255&lt;K$30,J$29,K255&lt;K$31,J$30,K255&lt;K$32,J$31,K255&lt;K$33,J$32,K255&lt;K$34,J$33,K255&lt;K$35,J$34,K255&lt;K$36,J$35,K255&lt;K$37,J$36,K255&lt;K$38,J$37,K255&lt;K$39,J$38,K255&lt;K$40,J$39,K255&lt;K$41,J$40,K255&lt;K$42,J$41,K255&lt;K$43,J$42,K255&lt;K$44,J$43,K255&lt;K$45,J$44,K255&lt;K$46,J$45,K255&lt;K$47,J$46,K255&gt;=K$47,J$47)</f>
        <v/>
      </c>
      <c r="K255" s="38" t="n">
        <v>205</v>
      </c>
      <c r="L255" s="31">
        <f>K255/52</f>
        <v/>
      </c>
      <c r="M255" s="39">
        <f>J255/1000000*52</f>
        <v/>
      </c>
      <c r="N255" s="33">
        <f>M255/$P$4+($I$22/$P$4)</f>
        <v/>
      </c>
      <c r="U255">
        <f>F254</f>
        <v/>
      </c>
      <c r="V255">
        <f>H254</f>
        <v/>
      </c>
      <c r="W255">
        <f>N254</f>
        <v/>
      </c>
    </row>
    <row r="256" ht="15.75" customHeight="1" s="40">
      <c r="C256" s="36">
        <f>_xlfn.IFS(E256&lt;E$24,0,E256&lt;E$26,C$24,E256&lt;E$28,C$26,E256&lt;E$30,C$28,E256&lt;E$32,C$30,E256&lt;E$34,C$32,E256&gt;=E$34,C$34)</f>
        <v/>
      </c>
      <c r="D256" s="37">
        <f>_xlfn.IFS(E256&lt;E$24,0,E256&lt;E$25,D$24,E256&lt;E$26,D$25,E256&lt;E$27,D$26,E256&lt;E$28,D$27,E256&lt;E$29,D$28,E256&lt;E$30,D$29,E256&lt;E$31,D$30,E256&lt;E$32,D$31,E256&lt;E$33,D$32,E256&lt;E$34,D$33,E256&lt;E$35,D$34,E256&gt;=E$35,D$35)</f>
        <v/>
      </c>
      <c r="E256" s="38" t="n">
        <v>206</v>
      </c>
      <c r="F256" s="31">
        <f>E256/52</f>
        <v/>
      </c>
      <c r="G256" s="39">
        <f>D256/1000000*52</f>
        <v/>
      </c>
      <c r="H256" s="33">
        <f>G256/$P$4+($C$22/$P$4)</f>
        <v/>
      </c>
      <c r="I256" s="36">
        <f>_xlfn.IFS(K256&lt;K$24,0,K256&lt;K$26,I$24,K256&lt;K$28,I$26,K256&lt;K$30,I$28,K256&lt;K$32,I$30,K256&lt;K$34,I$32,K256&lt;K$36,I$34,K256&lt;K$38,I$36,K256&lt;K$40,I$38,K256&lt;K$42,I$40,K256&lt;K$44,I$42,K256&lt;K$46,I$44,K256&gt;=K$46,I$46)</f>
        <v/>
      </c>
      <c r="J256" s="37">
        <f>_xlfn.IFS(K256&lt;K$24,0,K256&lt;K$25,J$24,K256&lt;K$26,J$25,K256&lt;K$27,J$26,K256&lt;K$28,J$27,K256&lt;K$29,J$28,K256&lt;K$30,J$29,K256&lt;K$31,J$30,K256&lt;K$32,J$31,K256&lt;K$33,J$32,K256&lt;K$34,J$33,K256&lt;K$35,J$34,K256&lt;K$36,J$35,K256&lt;K$37,J$36,K256&lt;K$38,J$37,K256&lt;K$39,J$38,K256&lt;K$40,J$39,K256&lt;K$41,J$40,K256&lt;K$42,J$41,K256&lt;K$43,J$42,K256&lt;K$44,J$43,K256&lt;K$45,J$44,K256&lt;K$46,J$45,K256&lt;K$47,J$46,K256&gt;=K$47,J$47)</f>
        <v/>
      </c>
      <c r="K256" s="38" t="n">
        <v>206</v>
      </c>
      <c r="L256" s="31">
        <f>K256/52</f>
        <v/>
      </c>
      <c r="M256" s="39">
        <f>J256/1000000*52</f>
        <v/>
      </c>
      <c r="N256" s="33">
        <f>M256/$P$4+($I$22/$P$4)</f>
        <v/>
      </c>
      <c r="U256">
        <f>F255</f>
        <v/>
      </c>
      <c r="V256">
        <f>H255</f>
        <v/>
      </c>
      <c r="W256">
        <f>N255</f>
        <v/>
      </c>
    </row>
    <row r="257" ht="15.75" customHeight="1" s="40">
      <c r="C257" s="36">
        <f>_xlfn.IFS(E257&lt;E$24,0,E257&lt;E$26,C$24,E257&lt;E$28,C$26,E257&lt;E$30,C$28,E257&lt;E$32,C$30,E257&lt;E$34,C$32,E257&gt;=E$34,C$34)</f>
        <v/>
      </c>
      <c r="D257" s="37">
        <f>_xlfn.IFS(E257&lt;E$24,0,E257&lt;E$25,D$24,E257&lt;E$26,D$25,E257&lt;E$27,D$26,E257&lt;E$28,D$27,E257&lt;E$29,D$28,E257&lt;E$30,D$29,E257&lt;E$31,D$30,E257&lt;E$32,D$31,E257&lt;E$33,D$32,E257&lt;E$34,D$33,E257&lt;E$35,D$34,E257&gt;=E$35,D$35)</f>
        <v/>
      </c>
      <c r="E257" s="38" t="n">
        <v>207</v>
      </c>
      <c r="F257" s="31">
        <f>E257/52</f>
        <v/>
      </c>
      <c r="G257" s="39">
        <f>D257/1000000*52</f>
        <v/>
      </c>
      <c r="H257" s="33">
        <f>G257/$P$4+($C$22/$P$4)</f>
        <v/>
      </c>
      <c r="I257" s="36">
        <f>_xlfn.IFS(K257&lt;K$24,0,K257&lt;K$26,I$24,K257&lt;K$28,I$26,K257&lt;K$30,I$28,K257&lt;K$32,I$30,K257&lt;K$34,I$32,K257&lt;K$36,I$34,K257&lt;K$38,I$36,K257&lt;K$40,I$38,K257&lt;K$42,I$40,K257&lt;K$44,I$42,K257&lt;K$46,I$44,K257&gt;=K$46,I$46)</f>
        <v/>
      </c>
      <c r="J257" s="37">
        <f>_xlfn.IFS(K257&lt;K$24,0,K257&lt;K$25,J$24,K257&lt;K$26,J$25,K257&lt;K$27,J$26,K257&lt;K$28,J$27,K257&lt;K$29,J$28,K257&lt;K$30,J$29,K257&lt;K$31,J$30,K257&lt;K$32,J$31,K257&lt;K$33,J$32,K257&lt;K$34,J$33,K257&lt;K$35,J$34,K257&lt;K$36,J$35,K257&lt;K$37,J$36,K257&lt;K$38,J$37,K257&lt;K$39,J$38,K257&lt;K$40,J$39,K257&lt;K$41,J$40,K257&lt;K$42,J$41,K257&lt;K$43,J$42,K257&lt;K$44,J$43,K257&lt;K$45,J$44,K257&lt;K$46,J$45,K257&lt;K$47,J$46,K257&gt;=K$47,J$47)</f>
        <v/>
      </c>
      <c r="K257" s="38" t="n">
        <v>207</v>
      </c>
      <c r="L257" s="31">
        <f>K257/52</f>
        <v/>
      </c>
      <c r="M257" s="39">
        <f>J257/1000000*52</f>
        <v/>
      </c>
      <c r="N257" s="33">
        <f>M257/$P$4+($I$22/$P$4)</f>
        <v/>
      </c>
      <c r="U257">
        <f>F256</f>
        <v/>
      </c>
      <c r="V257">
        <f>H256</f>
        <v/>
      </c>
      <c r="W257">
        <f>N256</f>
        <v/>
      </c>
    </row>
    <row r="258" ht="15.75" customHeight="1" s="40">
      <c r="C258" s="36">
        <f>_xlfn.IFS(E258&lt;E$24,0,E258&lt;E$26,C$24,E258&lt;E$28,C$26,E258&lt;E$30,C$28,E258&lt;E$32,C$30,E258&lt;E$34,C$32,E258&gt;=E$34,C$34)</f>
        <v/>
      </c>
      <c r="D258" s="37">
        <f>_xlfn.IFS(E258&lt;E$24,0,E258&lt;E$25,D$24,E258&lt;E$26,D$25,E258&lt;E$27,D$26,E258&lt;E$28,D$27,E258&lt;E$29,D$28,E258&lt;E$30,D$29,E258&lt;E$31,D$30,E258&lt;E$32,D$31,E258&lt;E$33,D$32,E258&lt;E$34,D$33,E258&lt;E$35,D$34,E258&gt;=E$35,D$35)</f>
        <v/>
      </c>
      <c r="E258" s="38" t="n">
        <v>208</v>
      </c>
      <c r="F258" s="31">
        <f>E258/52</f>
        <v/>
      </c>
      <c r="G258" s="39">
        <f>D258/1000000*52</f>
        <v/>
      </c>
      <c r="H258" s="33">
        <f>G258/$P$4+($C$22/$P$4)</f>
        <v/>
      </c>
      <c r="I258" s="36">
        <f>_xlfn.IFS(K258&lt;K$24,0,K258&lt;K$26,I$24,K258&lt;K$28,I$26,K258&lt;K$30,I$28,K258&lt;K$32,I$30,K258&lt;K$34,I$32,K258&lt;K$36,I$34,K258&lt;K$38,I$36,K258&lt;K$40,I$38,K258&lt;K$42,I$40,K258&lt;K$44,I$42,K258&lt;K$46,I$44,K258&gt;=K$46,I$46)</f>
        <v/>
      </c>
      <c r="J258" s="37">
        <f>_xlfn.IFS(K258&lt;K$24,0,K258&lt;K$25,J$24,K258&lt;K$26,J$25,K258&lt;K$27,J$26,K258&lt;K$28,J$27,K258&lt;K$29,J$28,K258&lt;K$30,J$29,K258&lt;K$31,J$30,K258&lt;K$32,J$31,K258&lt;K$33,J$32,K258&lt;K$34,J$33,K258&lt;K$35,J$34,K258&lt;K$36,J$35,K258&lt;K$37,J$36,K258&lt;K$38,J$37,K258&lt;K$39,J$38,K258&lt;K$40,J$39,K258&lt;K$41,J$40,K258&lt;K$42,J$41,K258&lt;K$43,J$42,K258&lt;K$44,J$43,K258&lt;K$45,J$44,K258&lt;K$46,J$45,K258&lt;K$47,J$46,K258&gt;=K$47,J$47)</f>
        <v/>
      </c>
      <c r="K258" s="38" t="n">
        <v>208</v>
      </c>
      <c r="L258" s="31">
        <f>K258/52</f>
        <v/>
      </c>
      <c r="M258" s="39">
        <f>J258/1000000*52</f>
        <v/>
      </c>
      <c r="N258" s="33">
        <f>M258/$P$4+($I$22/$P$4)</f>
        <v/>
      </c>
      <c r="U258">
        <f>F257</f>
        <v/>
      </c>
      <c r="V258">
        <f>H257</f>
        <v/>
      </c>
      <c r="W258">
        <f>N257</f>
        <v/>
      </c>
    </row>
    <row r="259" ht="15.75" customHeight="1" s="40">
      <c r="C259" s="36">
        <f>_xlfn.IFS(E259&lt;E$24,0,E259&lt;E$26,C$24,E259&lt;E$28,C$26,E259&lt;E$30,C$28,E259&lt;E$32,C$30,E259&lt;E$34,C$32,E259&gt;=E$34,C$34)</f>
        <v/>
      </c>
      <c r="D259" s="37">
        <f>_xlfn.IFS(E259&lt;E$24,0,E259&lt;E$25,D$24,E259&lt;E$26,D$25,E259&lt;E$27,D$26,E259&lt;E$28,D$27,E259&lt;E$29,D$28,E259&lt;E$30,D$29,E259&lt;E$31,D$30,E259&lt;E$32,D$31,E259&lt;E$33,D$32,E259&lt;E$34,D$33,E259&lt;E$35,D$34,E259&gt;=E$35,D$35)</f>
        <v/>
      </c>
      <c r="E259" s="38" t="n">
        <v>209</v>
      </c>
      <c r="F259" s="31">
        <f>E259/52</f>
        <v/>
      </c>
      <c r="G259" s="39">
        <f>D259/1000000*52</f>
        <v/>
      </c>
      <c r="H259" s="33">
        <f>G259/$P$4+($C$22/$P$4)</f>
        <v/>
      </c>
      <c r="I259" s="36">
        <f>_xlfn.IFS(K259&lt;K$24,0,K259&lt;K$26,I$24,K259&lt;K$28,I$26,K259&lt;K$30,I$28,K259&lt;K$32,I$30,K259&lt;K$34,I$32,K259&lt;K$36,I$34,K259&lt;K$38,I$36,K259&lt;K$40,I$38,K259&lt;K$42,I$40,K259&lt;K$44,I$42,K259&lt;K$46,I$44,K259&gt;=K$46,I$46)</f>
        <v/>
      </c>
      <c r="J259" s="37">
        <f>_xlfn.IFS(K259&lt;K$24,0,K259&lt;K$25,J$24,K259&lt;K$26,J$25,K259&lt;K$27,J$26,K259&lt;K$28,J$27,K259&lt;K$29,J$28,K259&lt;K$30,J$29,K259&lt;K$31,J$30,K259&lt;K$32,J$31,K259&lt;K$33,J$32,K259&lt;K$34,J$33,K259&lt;K$35,J$34,K259&lt;K$36,J$35,K259&lt;K$37,J$36,K259&lt;K$38,J$37,K259&lt;K$39,J$38,K259&lt;K$40,J$39,K259&lt;K$41,J$40,K259&lt;K$42,J$41,K259&lt;K$43,J$42,K259&lt;K$44,J$43,K259&lt;K$45,J$44,K259&lt;K$46,J$45,K259&lt;K$47,J$46,K259&gt;=K$47,J$47)</f>
        <v/>
      </c>
      <c r="K259" s="38" t="n">
        <v>209</v>
      </c>
      <c r="L259" s="31">
        <f>K259/52</f>
        <v/>
      </c>
      <c r="M259" s="39">
        <f>J259/1000000*52</f>
        <v/>
      </c>
      <c r="N259" s="33">
        <f>M259/$P$4+($I$22/$P$4)</f>
        <v/>
      </c>
      <c r="U259">
        <f>F258</f>
        <v/>
      </c>
      <c r="V259">
        <f>H258</f>
        <v/>
      </c>
      <c r="W259">
        <f>N258</f>
        <v/>
      </c>
    </row>
    <row r="260" ht="15.75" customHeight="1" s="40">
      <c r="C260" s="36">
        <f>_xlfn.IFS(E260&lt;E$24,0,E260&lt;E$26,C$24,E260&lt;E$28,C$26,E260&lt;E$30,C$28,E260&lt;E$32,C$30,E260&lt;E$34,C$32,E260&gt;=E$34,C$34)</f>
        <v/>
      </c>
      <c r="D260" s="37">
        <f>_xlfn.IFS(E260&lt;E$24,0,E260&lt;E$25,D$24,E260&lt;E$26,D$25,E260&lt;E$27,D$26,E260&lt;E$28,D$27,E260&lt;E$29,D$28,E260&lt;E$30,D$29,E260&lt;E$31,D$30,E260&lt;E$32,D$31,E260&lt;E$33,D$32,E260&lt;E$34,D$33,E260&lt;E$35,D$34,E260&gt;=E$35,D$35)</f>
        <v/>
      </c>
      <c r="E260" s="38" t="n">
        <v>210</v>
      </c>
      <c r="F260" s="31">
        <f>E260/52</f>
        <v/>
      </c>
      <c r="G260" s="39">
        <f>D260/1000000*52</f>
        <v/>
      </c>
      <c r="H260" s="33">
        <f>G260/$P$4+($C$22/$P$4)</f>
        <v/>
      </c>
      <c r="I260" s="36">
        <f>_xlfn.IFS(K260&lt;K$24,0,K260&lt;K$26,I$24,K260&lt;K$28,I$26,K260&lt;K$30,I$28,K260&lt;K$32,I$30,K260&lt;K$34,I$32,K260&lt;K$36,I$34,K260&lt;K$38,I$36,K260&lt;K$40,I$38,K260&lt;K$42,I$40,K260&lt;K$44,I$42,K260&lt;K$46,I$44,K260&gt;=K$46,I$46)</f>
        <v/>
      </c>
      <c r="J260" s="37">
        <f>_xlfn.IFS(K260&lt;K$24,0,K260&lt;K$25,J$24,K260&lt;K$26,J$25,K260&lt;K$27,J$26,K260&lt;K$28,J$27,K260&lt;K$29,J$28,K260&lt;K$30,J$29,K260&lt;K$31,J$30,K260&lt;K$32,J$31,K260&lt;K$33,J$32,K260&lt;K$34,J$33,K260&lt;K$35,J$34,K260&lt;K$36,J$35,K260&lt;K$37,J$36,K260&lt;K$38,J$37,K260&lt;K$39,J$38,K260&lt;K$40,J$39,K260&lt;K$41,J$40,K260&lt;K$42,J$41,K260&lt;K$43,J$42,K260&lt;K$44,J$43,K260&lt;K$45,J$44,K260&lt;K$46,J$45,K260&lt;K$47,J$46,K260&gt;=K$47,J$47)</f>
        <v/>
      </c>
      <c r="K260" s="38" t="n">
        <v>210</v>
      </c>
      <c r="L260" s="31">
        <f>K260/52</f>
        <v/>
      </c>
      <c r="M260" s="39">
        <f>J260/1000000*52</f>
        <v/>
      </c>
      <c r="N260" s="33">
        <f>M260/$P$4+($I$22/$P$4)</f>
        <v/>
      </c>
      <c r="U260">
        <f>F259</f>
        <v/>
      </c>
      <c r="V260">
        <f>H259</f>
        <v/>
      </c>
      <c r="W260">
        <f>N259</f>
        <v/>
      </c>
    </row>
    <row r="261" ht="15.75" customHeight="1" s="40">
      <c r="C261" s="36">
        <f>_xlfn.IFS(E261&lt;E$24,0,E261&lt;E$26,C$24,E261&lt;E$28,C$26,E261&lt;E$30,C$28,E261&lt;E$32,C$30,E261&lt;E$34,C$32,E261&gt;=E$34,C$34)</f>
        <v/>
      </c>
      <c r="D261" s="37">
        <f>_xlfn.IFS(E261&lt;E$24,0,E261&lt;E$25,D$24,E261&lt;E$26,D$25,E261&lt;E$27,D$26,E261&lt;E$28,D$27,E261&lt;E$29,D$28,E261&lt;E$30,D$29,E261&lt;E$31,D$30,E261&lt;E$32,D$31,E261&lt;E$33,D$32,E261&lt;E$34,D$33,E261&lt;E$35,D$34,E261&gt;=E$35,D$35)</f>
        <v/>
      </c>
      <c r="E261" s="38" t="n">
        <v>211</v>
      </c>
      <c r="F261" s="31">
        <f>E261/52</f>
        <v/>
      </c>
      <c r="G261" s="39">
        <f>D261/1000000*52</f>
        <v/>
      </c>
      <c r="H261" s="33">
        <f>G261/$P$4+($C$22/$P$4)</f>
        <v/>
      </c>
      <c r="I261" s="36">
        <f>_xlfn.IFS(K261&lt;K$24,0,K261&lt;K$26,I$24,K261&lt;K$28,I$26,K261&lt;K$30,I$28,K261&lt;K$32,I$30,K261&lt;K$34,I$32,K261&lt;K$36,I$34,K261&lt;K$38,I$36,K261&lt;K$40,I$38,K261&lt;K$42,I$40,K261&lt;K$44,I$42,K261&lt;K$46,I$44,K261&gt;=K$46,I$46)</f>
        <v/>
      </c>
      <c r="J261" s="37">
        <f>_xlfn.IFS(K261&lt;K$24,0,K261&lt;K$25,J$24,K261&lt;K$26,J$25,K261&lt;K$27,J$26,K261&lt;K$28,J$27,K261&lt;K$29,J$28,K261&lt;K$30,J$29,K261&lt;K$31,J$30,K261&lt;K$32,J$31,K261&lt;K$33,J$32,K261&lt;K$34,J$33,K261&lt;K$35,J$34,K261&lt;K$36,J$35,K261&lt;K$37,J$36,K261&lt;K$38,J$37,K261&lt;K$39,J$38,K261&lt;K$40,J$39,K261&lt;K$41,J$40,K261&lt;K$42,J$41,K261&lt;K$43,J$42,K261&lt;K$44,J$43,K261&lt;K$45,J$44,K261&lt;K$46,J$45,K261&lt;K$47,J$46,K261&gt;=K$47,J$47)</f>
        <v/>
      </c>
      <c r="K261" s="38" t="n">
        <v>211</v>
      </c>
      <c r="L261" s="31">
        <f>K261/52</f>
        <v/>
      </c>
      <c r="M261" s="39">
        <f>J261/1000000*52</f>
        <v/>
      </c>
      <c r="N261" s="33">
        <f>M261/$P$4+($I$22/$P$4)</f>
        <v/>
      </c>
      <c r="U261">
        <f>F260</f>
        <v/>
      </c>
      <c r="V261">
        <f>H260</f>
        <v/>
      </c>
      <c r="W261">
        <f>N260</f>
        <v/>
      </c>
    </row>
    <row r="262" ht="15.75" customHeight="1" s="40">
      <c r="C262" s="36">
        <f>_xlfn.IFS(E262&lt;E$24,0,E262&lt;E$26,C$24,E262&lt;E$28,C$26,E262&lt;E$30,C$28,E262&lt;E$32,C$30,E262&lt;E$34,C$32,E262&gt;=E$34,C$34)</f>
        <v/>
      </c>
      <c r="D262" s="37">
        <f>_xlfn.IFS(E262&lt;E$24,0,E262&lt;E$25,D$24,E262&lt;E$26,D$25,E262&lt;E$27,D$26,E262&lt;E$28,D$27,E262&lt;E$29,D$28,E262&lt;E$30,D$29,E262&lt;E$31,D$30,E262&lt;E$32,D$31,E262&lt;E$33,D$32,E262&lt;E$34,D$33,E262&lt;E$35,D$34,E262&gt;=E$35,D$35)</f>
        <v/>
      </c>
      <c r="E262" s="38" t="n">
        <v>212</v>
      </c>
      <c r="F262" s="31">
        <f>E262/52</f>
        <v/>
      </c>
      <c r="G262" s="39">
        <f>D262/1000000*52</f>
        <v/>
      </c>
      <c r="H262" s="33">
        <f>G262/$P$4+($C$22/$P$4)</f>
        <v/>
      </c>
      <c r="I262" s="36">
        <f>_xlfn.IFS(K262&lt;K$24,0,K262&lt;K$26,I$24,K262&lt;K$28,I$26,K262&lt;K$30,I$28,K262&lt;K$32,I$30,K262&lt;K$34,I$32,K262&lt;K$36,I$34,K262&lt;K$38,I$36,K262&lt;K$40,I$38,K262&lt;K$42,I$40,K262&lt;K$44,I$42,K262&lt;K$46,I$44,K262&gt;=K$46,I$46)</f>
        <v/>
      </c>
      <c r="J262" s="37">
        <f>_xlfn.IFS(K262&lt;K$24,0,K262&lt;K$25,J$24,K262&lt;K$26,J$25,K262&lt;K$27,J$26,K262&lt;K$28,J$27,K262&lt;K$29,J$28,K262&lt;K$30,J$29,K262&lt;K$31,J$30,K262&lt;K$32,J$31,K262&lt;K$33,J$32,K262&lt;K$34,J$33,K262&lt;K$35,J$34,K262&lt;K$36,J$35,K262&lt;K$37,J$36,K262&lt;K$38,J$37,K262&lt;K$39,J$38,K262&lt;K$40,J$39,K262&lt;K$41,J$40,K262&lt;K$42,J$41,K262&lt;K$43,J$42,K262&lt;K$44,J$43,K262&lt;K$45,J$44,K262&lt;K$46,J$45,K262&lt;K$47,J$46,K262&gt;=K$47,J$47)</f>
        <v/>
      </c>
      <c r="K262" s="38" t="n">
        <v>212</v>
      </c>
      <c r="L262" s="31">
        <f>K262/52</f>
        <v/>
      </c>
      <c r="M262" s="39">
        <f>J262/1000000*52</f>
        <v/>
      </c>
      <c r="N262" s="33">
        <f>M262/$P$4+($I$22/$P$4)</f>
        <v/>
      </c>
      <c r="U262">
        <f>F261</f>
        <v/>
      </c>
      <c r="V262">
        <f>H261</f>
        <v/>
      </c>
      <c r="W262">
        <f>N261</f>
        <v/>
      </c>
    </row>
    <row r="263" ht="15.75" customHeight="1" s="40">
      <c r="C263" s="36">
        <f>_xlfn.IFS(E263&lt;E$24,0,E263&lt;E$26,C$24,E263&lt;E$28,C$26,E263&lt;E$30,C$28,E263&lt;E$32,C$30,E263&lt;E$34,C$32,E263&gt;=E$34,C$34)</f>
        <v/>
      </c>
      <c r="D263" s="37">
        <f>_xlfn.IFS(E263&lt;E$24,0,E263&lt;E$25,D$24,E263&lt;E$26,D$25,E263&lt;E$27,D$26,E263&lt;E$28,D$27,E263&lt;E$29,D$28,E263&lt;E$30,D$29,E263&lt;E$31,D$30,E263&lt;E$32,D$31,E263&lt;E$33,D$32,E263&lt;E$34,D$33,E263&lt;E$35,D$34,E263&gt;=E$35,D$35)</f>
        <v/>
      </c>
      <c r="E263" s="38" t="n">
        <v>213</v>
      </c>
      <c r="F263" s="31">
        <f>E263/52</f>
        <v/>
      </c>
      <c r="G263" s="39">
        <f>D263/1000000*52</f>
        <v/>
      </c>
      <c r="H263" s="33">
        <f>G263/$P$4+($C$22/$P$4)</f>
        <v/>
      </c>
      <c r="I263" s="36">
        <f>_xlfn.IFS(K263&lt;K$24,0,K263&lt;K$26,I$24,K263&lt;K$28,I$26,K263&lt;K$30,I$28,K263&lt;K$32,I$30,K263&lt;K$34,I$32,K263&lt;K$36,I$34,K263&lt;K$38,I$36,K263&lt;K$40,I$38,K263&lt;K$42,I$40,K263&lt;K$44,I$42,K263&lt;K$46,I$44,K263&gt;=K$46,I$46)</f>
        <v/>
      </c>
      <c r="J263" s="37">
        <f>_xlfn.IFS(K263&lt;K$24,0,K263&lt;K$25,J$24,K263&lt;K$26,J$25,K263&lt;K$27,J$26,K263&lt;K$28,J$27,K263&lt;K$29,J$28,K263&lt;K$30,J$29,K263&lt;K$31,J$30,K263&lt;K$32,J$31,K263&lt;K$33,J$32,K263&lt;K$34,J$33,K263&lt;K$35,J$34,K263&lt;K$36,J$35,K263&lt;K$37,J$36,K263&lt;K$38,J$37,K263&lt;K$39,J$38,K263&lt;K$40,J$39,K263&lt;K$41,J$40,K263&lt;K$42,J$41,K263&lt;K$43,J$42,K263&lt;K$44,J$43,K263&lt;K$45,J$44,K263&lt;K$46,J$45,K263&lt;K$47,J$46,K263&gt;=K$47,J$47)</f>
        <v/>
      </c>
      <c r="K263" s="38" t="n">
        <v>213</v>
      </c>
      <c r="L263" s="31">
        <f>K263/52</f>
        <v/>
      </c>
      <c r="M263" s="39">
        <f>J263/1000000*52</f>
        <v/>
      </c>
      <c r="N263" s="33">
        <f>M263/$P$4+($I$22/$P$4)</f>
        <v/>
      </c>
      <c r="U263">
        <f>F262</f>
        <v/>
      </c>
      <c r="V263">
        <f>H262</f>
        <v/>
      </c>
      <c r="W263">
        <f>N262</f>
        <v/>
      </c>
    </row>
    <row r="264" ht="15.75" customHeight="1" s="40">
      <c r="C264" s="36">
        <f>_xlfn.IFS(E264&lt;E$24,0,E264&lt;E$26,C$24,E264&lt;E$28,C$26,E264&lt;E$30,C$28,E264&lt;E$32,C$30,E264&lt;E$34,C$32,E264&gt;=E$34,C$34)</f>
        <v/>
      </c>
      <c r="D264" s="37">
        <f>_xlfn.IFS(E264&lt;E$24,0,E264&lt;E$25,D$24,E264&lt;E$26,D$25,E264&lt;E$27,D$26,E264&lt;E$28,D$27,E264&lt;E$29,D$28,E264&lt;E$30,D$29,E264&lt;E$31,D$30,E264&lt;E$32,D$31,E264&lt;E$33,D$32,E264&lt;E$34,D$33,E264&lt;E$35,D$34,E264&gt;=E$35,D$35)</f>
        <v/>
      </c>
      <c r="E264" s="38" t="n">
        <v>214</v>
      </c>
      <c r="F264" s="31">
        <f>E264/52</f>
        <v/>
      </c>
      <c r="G264" s="39">
        <f>D264/1000000*52</f>
        <v/>
      </c>
      <c r="H264" s="33">
        <f>G264/$P$4+($C$22/$P$4)</f>
        <v/>
      </c>
      <c r="I264" s="36">
        <f>_xlfn.IFS(K264&lt;K$24,0,K264&lt;K$26,I$24,K264&lt;K$28,I$26,K264&lt;K$30,I$28,K264&lt;K$32,I$30,K264&lt;K$34,I$32,K264&lt;K$36,I$34,K264&lt;K$38,I$36,K264&lt;K$40,I$38,K264&lt;K$42,I$40,K264&lt;K$44,I$42,K264&lt;K$46,I$44,K264&gt;=K$46,I$46)</f>
        <v/>
      </c>
      <c r="J264" s="37">
        <f>_xlfn.IFS(K264&lt;K$24,0,K264&lt;K$25,J$24,K264&lt;K$26,J$25,K264&lt;K$27,J$26,K264&lt;K$28,J$27,K264&lt;K$29,J$28,K264&lt;K$30,J$29,K264&lt;K$31,J$30,K264&lt;K$32,J$31,K264&lt;K$33,J$32,K264&lt;K$34,J$33,K264&lt;K$35,J$34,K264&lt;K$36,J$35,K264&lt;K$37,J$36,K264&lt;K$38,J$37,K264&lt;K$39,J$38,K264&lt;K$40,J$39,K264&lt;K$41,J$40,K264&lt;K$42,J$41,K264&lt;K$43,J$42,K264&lt;K$44,J$43,K264&lt;K$45,J$44,K264&lt;K$46,J$45,K264&lt;K$47,J$46,K264&gt;=K$47,J$47)</f>
        <v/>
      </c>
      <c r="K264" s="38" t="n">
        <v>214</v>
      </c>
      <c r="L264" s="31">
        <f>K264/52</f>
        <v/>
      </c>
      <c r="M264" s="39">
        <f>J264/1000000*52</f>
        <v/>
      </c>
      <c r="N264" s="33">
        <f>M264/$P$4+($I$22/$P$4)</f>
        <v/>
      </c>
      <c r="U264">
        <f>F263</f>
        <v/>
      </c>
      <c r="V264">
        <f>H263</f>
        <v/>
      </c>
      <c r="W264">
        <f>N263</f>
        <v/>
      </c>
    </row>
    <row r="265" ht="15.75" customHeight="1" s="40">
      <c r="C265" s="36">
        <f>_xlfn.IFS(E265&lt;E$24,0,E265&lt;E$26,C$24,E265&lt;E$28,C$26,E265&lt;E$30,C$28,E265&lt;E$32,C$30,E265&lt;E$34,C$32,E265&gt;=E$34,C$34)</f>
        <v/>
      </c>
      <c r="D265" s="37">
        <f>_xlfn.IFS(E265&lt;E$24,0,E265&lt;E$25,D$24,E265&lt;E$26,D$25,E265&lt;E$27,D$26,E265&lt;E$28,D$27,E265&lt;E$29,D$28,E265&lt;E$30,D$29,E265&lt;E$31,D$30,E265&lt;E$32,D$31,E265&lt;E$33,D$32,E265&lt;E$34,D$33,E265&lt;E$35,D$34,E265&gt;=E$35,D$35)</f>
        <v/>
      </c>
      <c r="E265" s="38" t="n">
        <v>215</v>
      </c>
      <c r="F265" s="31">
        <f>E265/52</f>
        <v/>
      </c>
      <c r="G265" s="39">
        <f>D265/1000000*52</f>
        <v/>
      </c>
      <c r="H265" s="33">
        <f>G265/$P$4+($C$22/$P$4)</f>
        <v/>
      </c>
      <c r="I265" s="36">
        <f>_xlfn.IFS(K265&lt;K$24,0,K265&lt;K$26,I$24,K265&lt;K$28,I$26,K265&lt;K$30,I$28,K265&lt;K$32,I$30,K265&lt;K$34,I$32,K265&lt;K$36,I$34,K265&lt;K$38,I$36,K265&lt;K$40,I$38,K265&lt;K$42,I$40,K265&lt;K$44,I$42,K265&lt;K$46,I$44,K265&gt;=K$46,I$46)</f>
        <v/>
      </c>
      <c r="J265" s="37">
        <f>_xlfn.IFS(K265&lt;K$24,0,K265&lt;K$25,J$24,K265&lt;K$26,J$25,K265&lt;K$27,J$26,K265&lt;K$28,J$27,K265&lt;K$29,J$28,K265&lt;K$30,J$29,K265&lt;K$31,J$30,K265&lt;K$32,J$31,K265&lt;K$33,J$32,K265&lt;K$34,J$33,K265&lt;K$35,J$34,K265&lt;K$36,J$35,K265&lt;K$37,J$36,K265&lt;K$38,J$37,K265&lt;K$39,J$38,K265&lt;K$40,J$39,K265&lt;K$41,J$40,K265&lt;K$42,J$41,K265&lt;K$43,J$42,K265&lt;K$44,J$43,K265&lt;K$45,J$44,K265&lt;K$46,J$45,K265&lt;K$47,J$46,K265&gt;=K$47,J$47)</f>
        <v/>
      </c>
      <c r="K265" s="38" t="n">
        <v>215</v>
      </c>
      <c r="L265" s="31">
        <f>K265/52</f>
        <v/>
      </c>
      <c r="M265" s="39">
        <f>J265/1000000*52</f>
        <v/>
      </c>
      <c r="N265" s="33">
        <f>M265/$P$4+($I$22/$P$4)</f>
        <v/>
      </c>
      <c r="U265">
        <f>F264</f>
        <v/>
      </c>
      <c r="V265">
        <f>H264</f>
        <v/>
      </c>
      <c r="W265">
        <f>N264</f>
        <v/>
      </c>
    </row>
    <row r="266" ht="15.75" customHeight="1" s="40">
      <c r="C266" s="36">
        <f>_xlfn.IFS(E266&lt;E$24,0,E266&lt;E$26,C$24,E266&lt;E$28,C$26,E266&lt;E$30,C$28,E266&lt;E$32,C$30,E266&lt;E$34,C$32,E266&gt;=E$34,C$34)</f>
        <v/>
      </c>
      <c r="D266" s="37">
        <f>_xlfn.IFS(E266&lt;E$24,0,E266&lt;E$25,D$24,E266&lt;E$26,D$25,E266&lt;E$27,D$26,E266&lt;E$28,D$27,E266&lt;E$29,D$28,E266&lt;E$30,D$29,E266&lt;E$31,D$30,E266&lt;E$32,D$31,E266&lt;E$33,D$32,E266&lt;E$34,D$33,E266&lt;E$35,D$34,E266&gt;=E$35,D$35)</f>
        <v/>
      </c>
      <c r="E266" s="38" t="n">
        <v>216</v>
      </c>
      <c r="F266" s="31">
        <f>E266/52</f>
        <v/>
      </c>
      <c r="G266" s="39">
        <f>D266/1000000*52</f>
        <v/>
      </c>
      <c r="H266" s="33">
        <f>G266/$P$4+($C$22/$P$4)</f>
        <v/>
      </c>
      <c r="I266" s="36">
        <f>_xlfn.IFS(K266&lt;K$24,0,K266&lt;K$26,I$24,K266&lt;K$28,I$26,K266&lt;K$30,I$28,K266&lt;K$32,I$30,K266&lt;K$34,I$32,K266&lt;K$36,I$34,K266&lt;K$38,I$36,K266&lt;K$40,I$38,K266&lt;K$42,I$40,K266&lt;K$44,I$42,K266&lt;K$46,I$44,K266&gt;=K$46,I$46)</f>
        <v/>
      </c>
      <c r="J266" s="37">
        <f>_xlfn.IFS(K266&lt;K$24,0,K266&lt;K$25,J$24,K266&lt;K$26,J$25,K266&lt;K$27,J$26,K266&lt;K$28,J$27,K266&lt;K$29,J$28,K266&lt;K$30,J$29,K266&lt;K$31,J$30,K266&lt;K$32,J$31,K266&lt;K$33,J$32,K266&lt;K$34,J$33,K266&lt;K$35,J$34,K266&lt;K$36,J$35,K266&lt;K$37,J$36,K266&lt;K$38,J$37,K266&lt;K$39,J$38,K266&lt;K$40,J$39,K266&lt;K$41,J$40,K266&lt;K$42,J$41,K266&lt;K$43,J$42,K266&lt;K$44,J$43,K266&lt;K$45,J$44,K266&lt;K$46,J$45,K266&lt;K$47,J$46,K266&gt;=K$47,J$47)</f>
        <v/>
      </c>
      <c r="K266" s="38" t="n">
        <v>216</v>
      </c>
      <c r="L266" s="31">
        <f>K266/52</f>
        <v/>
      </c>
      <c r="M266" s="39">
        <f>J266/1000000*52</f>
        <v/>
      </c>
      <c r="N266" s="33">
        <f>M266/$P$4+($I$22/$P$4)</f>
        <v/>
      </c>
      <c r="U266">
        <f>F265</f>
        <v/>
      </c>
      <c r="V266">
        <f>H265</f>
        <v/>
      </c>
      <c r="W266">
        <f>N265</f>
        <v/>
      </c>
    </row>
    <row r="267" ht="15.75" customHeight="1" s="40">
      <c r="C267" s="36">
        <f>_xlfn.IFS(E267&lt;E$24,0,E267&lt;E$26,C$24,E267&lt;E$28,C$26,E267&lt;E$30,C$28,E267&lt;E$32,C$30,E267&lt;E$34,C$32,E267&gt;=E$34,C$34)</f>
        <v/>
      </c>
      <c r="D267" s="37">
        <f>_xlfn.IFS(E267&lt;E$24,0,E267&lt;E$25,D$24,E267&lt;E$26,D$25,E267&lt;E$27,D$26,E267&lt;E$28,D$27,E267&lt;E$29,D$28,E267&lt;E$30,D$29,E267&lt;E$31,D$30,E267&lt;E$32,D$31,E267&lt;E$33,D$32,E267&lt;E$34,D$33,E267&lt;E$35,D$34,E267&gt;=E$35,D$35)</f>
        <v/>
      </c>
      <c r="E267" s="38" t="n">
        <v>217</v>
      </c>
      <c r="F267" s="31">
        <f>E267/52</f>
        <v/>
      </c>
      <c r="G267" s="39">
        <f>D267/1000000*52</f>
        <v/>
      </c>
      <c r="H267" s="33">
        <f>G267/$P$4+($C$22/$P$4)</f>
        <v/>
      </c>
      <c r="I267" s="36">
        <f>_xlfn.IFS(K267&lt;K$24,0,K267&lt;K$26,I$24,K267&lt;K$28,I$26,K267&lt;K$30,I$28,K267&lt;K$32,I$30,K267&lt;K$34,I$32,K267&lt;K$36,I$34,K267&lt;K$38,I$36,K267&lt;K$40,I$38,K267&lt;K$42,I$40,K267&lt;K$44,I$42,K267&lt;K$46,I$44,K267&gt;=K$46,I$46)</f>
        <v/>
      </c>
      <c r="J267" s="37">
        <f>_xlfn.IFS(K267&lt;K$24,0,K267&lt;K$25,J$24,K267&lt;K$26,J$25,K267&lt;K$27,J$26,K267&lt;K$28,J$27,K267&lt;K$29,J$28,K267&lt;K$30,J$29,K267&lt;K$31,J$30,K267&lt;K$32,J$31,K267&lt;K$33,J$32,K267&lt;K$34,J$33,K267&lt;K$35,J$34,K267&lt;K$36,J$35,K267&lt;K$37,J$36,K267&lt;K$38,J$37,K267&lt;K$39,J$38,K267&lt;K$40,J$39,K267&lt;K$41,J$40,K267&lt;K$42,J$41,K267&lt;K$43,J$42,K267&lt;K$44,J$43,K267&lt;K$45,J$44,K267&lt;K$46,J$45,K267&lt;K$47,J$46,K267&gt;=K$47,J$47)</f>
        <v/>
      </c>
      <c r="K267" s="38" t="n">
        <v>217</v>
      </c>
      <c r="L267" s="31">
        <f>K267/52</f>
        <v/>
      </c>
      <c r="M267" s="39">
        <f>J267/1000000*52</f>
        <v/>
      </c>
      <c r="N267" s="33">
        <f>M267/$P$4+($I$22/$P$4)</f>
        <v/>
      </c>
      <c r="U267">
        <f>F266</f>
        <v/>
      </c>
      <c r="V267">
        <f>H266</f>
        <v/>
      </c>
      <c r="W267">
        <f>N266</f>
        <v/>
      </c>
    </row>
    <row r="268" ht="15.75" customHeight="1" s="40">
      <c r="C268" s="36">
        <f>_xlfn.IFS(E268&lt;E$24,0,E268&lt;E$26,C$24,E268&lt;E$28,C$26,E268&lt;E$30,C$28,E268&lt;E$32,C$30,E268&lt;E$34,C$32,E268&gt;=E$34,C$34)</f>
        <v/>
      </c>
      <c r="D268" s="37">
        <f>_xlfn.IFS(E268&lt;E$24,0,E268&lt;E$25,D$24,E268&lt;E$26,D$25,E268&lt;E$27,D$26,E268&lt;E$28,D$27,E268&lt;E$29,D$28,E268&lt;E$30,D$29,E268&lt;E$31,D$30,E268&lt;E$32,D$31,E268&lt;E$33,D$32,E268&lt;E$34,D$33,E268&lt;E$35,D$34,E268&gt;=E$35,D$35)</f>
        <v/>
      </c>
      <c r="E268" s="38" t="n">
        <v>218</v>
      </c>
      <c r="F268" s="31">
        <f>E268/52</f>
        <v/>
      </c>
      <c r="G268" s="39">
        <f>D268/1000000*52</f>
        <v/>
      </c>
      <c r="H268" s="33">
        <f>G268/$P$4+($C$22/$P$4)</f>
        <v/>
      </c>
      <c r="I268" s="36">
        <f>_xlfn.IFS(K268&lt;K$24,0,K268&lt;K$26,I$24,K268&lt;K$28,I$26,K268&lt;K$30,I$28,K268&lt;K$32,I$30,K268&lt;K$34,I$32,K268&lt;K$36,I$34,K268&lt;K$38,I$36,K268&lt;K$40,I$38,K268&lt;K$42,I$40,K268&lt;K$44,I$42,K268&lt;K$46,I$44,K268&gt;=K$46,I$46)</f>
        <v/>
      </c>
      <c r="J268" s="37">
        <f>_xlfn.IFS(K268&lt;K$24,0,K268&lt;K$25,J$24,K268&lt;K$26,J$25,K268&lt;K$27,J$26,K268&lt;K$28,J$27,K268&lt;K$29,J$28,K268&lt;K$30,J$29,K268&lt;K$31,J$30,K268&lt;K$32,J$31,K268&lt;K$33,J$32,K268&lt;K$34,J$33,K268&lt;K$35,J$34,K268&lt;K$36,J$35,K268&lt;K$37,J$36,K268&lt;K$38,J$37,K268&lt;K$39,J$38,K268&lt;K$40,J$39,K268&lt;K$41,J$40,K268&lt;K$42,J$41,K268&lt;K$43,J$42,K268&lt;K$44,J$43,K268&lt;K$45,J$44,K268&lt;K$46,J$45,K268&lt;K$47,J$46,K268&gt;=K$47,J$47)</f>
        <v/>
      </c>
      <c r="K268" s="38" t="n">
        <v>218</v>
      </c>
      <c r="L268" s="31">
        <f>K268/52</f>
        <v/>
      </c>
      <c r="M268" s="39">
        <f>J268/1000000*52</f>
        <v/>
      </c>
      <c r="N268" s="33">
        <f>M268/$P$4+($I$22/$P$4)</f>
        <v/>
      </c>
      <c r="U268">
        <f>F267</f>
        <v/>
      </c>
      <c r="V268">
        <f>H267</f>
        <v/>
      </c>
      <c r="W268">
        <f>N267</f>
        <v/>
      </c>
    </row>
    <row r="269" ht="15.75" customHeight="1" s="40">
      <c r="C269" s="36">
        <f>_xlfn.IFS(E269&lt;E$24,0,E269&lt;E$26,C$24,E269&lt;E$28,C$26,E269&lt;E$30,C$28,E269&lt;E$32,C$30,E269&lt;E$34,C$32,E269&gt;=E$34,C$34)</f>
        <v/>
      </c>
      <c r="D269" s="37">
        <f>_xlfn.IFS(E269&lt;E$24,0,E269&lt;E$25,D$24,E269&lt;E$26,D$25,E269&lt;E$27,D$26,E269&lt;E$28,D$27,E269&lt;E$29,D$28,E269&lt;E$30,D$29,E269&lt;E$31,D$30,E269&lt;E$32,D$31,E269&lt;E$33,D$32,E269&lt;E$34,D$33,E269&lt;E$35,D$34,E269&gt;=E$35,D$35)</f>
        <v/>
      </c>
      <c r="E269" s="38" t="n">
        <v>219</v>
      </c>
      <c r="F269" s="31">
        <f>E269/52</f>
        <v/>
      </c>
      <c r="G269" s="39">
        <f>D269/1000000*52</f>
        <v/>
      </c>
      <c r="H269" s="33">
        <f>G269/$P$4+($C$22/$P$4)</f>
        <v/>
      </c>
      <c r="I269" s="36">
        <f>_xlfn.IFS(K269&lt;K$24,0,K269&lt;K$26,I$24,K269&lt;K$28,I$26,K269&lt;K$30,I$28,K269&lt;K$32,I$30,K269&lt;K$34,I$32,K269&lt;K$36,I$34,K269&lt;K$38,I$36,K269&lt;K$40,I$38,K269&lt;K$42,I$40,K269&lt;K$44,I$42,K269&lt;K$46,I$44,K269&gt;=K$46,I$46)</f>
        <v/>
      </c>
      <c r="J269" s="37">
        <f>_xlfn.IFS(K269&lt;K$24,0,K269&lt;K$25,J$24,K269&lt;K$26,J$25,K269&lt;K$27,J$26,K269&lt;K$28,J$27,K269&lt;K$29,J$28,K269&lt;K$30,J$29,K269&lt;K$31,J$30,K269&lt;K$32,J$31,K269&lt;K$33,J$32,K269&lt;K$34,J$33,K269&lt;K$35,J$34,K269&lt;K$36,J$35,K269&lt;K$37,J$36,K269&lt;K$38,J$37,K269&lt;K$39,J$38,K269&lt;K$40,J$39,K269&lt;K$41,J$40,K269&lt;K$42,J$41,K269&lt;K$43,J$42,K269&lt;K$44,J$43,K269&lt;K$45,J$44,K269&lt;K$46,J$45,K269&lt;K$47,J$46,K269&gt;=K$47,J$47)</f>
        <v/>
      </c>
      <c r="K269" s="38" t="n">
        <v>219</v>
      </c>
      <c r="L269" s="31">
        <f>K269/52</f>
        <v/>
      </c>
      <c r="M269" s="39">
        <f>J269/1000000*52</f>
        <v/>
      </c>
      <c r="N269" s="33">
        <f>M269/$P$4+($I$22/$P$4)</f>
        <v/>
      </c>
      <c r="U269">
        <f>F268</f>
        <v/>
      </c>
      <c r="V269">
        <f>H268</f>
        <v/>
      </c>
      <c r="W269">
        <f>N268</f>
        <v/>
      </c>
    </row>
    <row r="270" ht="15.75" customHeight="1" s="40">
      <c r="C270" s="36">
        <f>_xlfn.IFS(E270&lt;E$24,0,E270&lt;E$26,C$24,E270&lt;E$28,C$26,E270&lt;E$30,C$28,E270&lt;E$32,C$30,E270&lt;E$34,C$32,E270&gt;=E$34,C$34)</f>
        <v/>
      </c>
      <c r="D270" s="37">
        <f>_xlfn.IFS(E270&lt;E$24,0,E270&lt;E$25,D$24,E270&lt;E$26,D$25,E270&lt;E$27,D$26,E270&lt;E$28,D$27,E270&lt;E$29,D$28,E270&lt;E$30,D$29,E270&lt;E$31,D$30,E270&lt;E$32,D$31,E270&lt;E$33,D$32,E270&lt;E$34,D$33,E270&lt;E$35,D$34,E270&gt;=E$35,D$35)</f>
        <v/>
      </c>
      <c r="E270" s="38" t="n">
        <v>220</v>
      </c>
      <c r="F270" s="31">
        <f>E270/52</f>
        <v/>
      </c>
      <c r="G270" s="39">
        <f>D270/1000000*52</f>
        <v/>
      </c>
      <c r="H270" s="33">
        <f>G270/$P$4+($C$22/$P$4)</f>
        <v/>
      </c>
      <c r="I270" s="36">
        <f>_xlfn.IFS(K270&lt;K$24,0,K270&lt;K$26,I$24,K270&lt;K$28,I$26,K270&lt;K$30,I$28,K270&lt;K$32,I$30,K270&lt;K$34,I$32,K270&lt;K$36,I$34,K270&lt;K$38,I$36,K270&lt;K$40,I$38,K270&lt;K$42,I$40,K270&lt;K$44,I$42,K270&lt;K$46,I$44,K270&gt;=K$46,I$46)</f>
        <v/>
      </c>
      <c r="J270" s="37">
        <f>_xlfn.IFS(K270&lt;K$24,0,K270&lt;K$25,J$24,K270&lt;K$26,J$25,K270&lt;K$27,J$26,K270&lt;K$28,J$27,K270&lt;K$29,J$28,K270&lt;K$30,J$29,K270&lt;K$31,J$30,K270&lt;K$32,J$31,K270&lt;K$33,J$32,K270&lt;K$34,J$33,K270&lt;K$35,J$34,K270&lt;K$36,J$35,K270&lt;K$37,J$36,K270&lt;K$38,J$37,K270&lt;K$39,J$38,K270&lt;K$40,J$39,K270&lt;K$41,J$40,K270&lt;K$42,J$41,K270&lt;K$43,J$42,K270&lt;K$44,J$43,K270&lt;K$45,J$44,K270&lt;K$46,J$45,K270&lt;K$47,J$46,K270&gt;=K$47,J$47)</f>
        <v/>
      </c>
      <c r="K270" s="38" t="n">
        <v>220</v>
      </c>
      <c r="L270" s="31">
        <f>K270/52</f>
        <v/>
      </c>
      <c r="M270" s="39">
        <f>J270/1000000*52</f>
        <v/>
      </c>
      <c r="N270" s="33">
        <f>M270/$P$4+($I$22/$P$4)</f>
        <v/>
      </c>
      <c r="U270">
        <f>F269</f>
        <v/>
      </c>
      <c r="V270">
        <f>H269</f>
        <v/>
      </c>
      <c r="W270">
        <f>N269</f>
        <v/>
      </c>
    </row>
    <row r="271" ht="15.75" customHeight="1" s="40">
      <c r="C271" s="36">
        <f>_xlfn.IFS(E271&lt;E$24,0,E271&lt;E$26,C$24,E271&lt;E$28,C$26,E271&lt;E$30,C$28,E271&lt;E$32,C$30,E271&lt;E$34,C$32,E271&gt;=E$34,C$34)</f>
        <v/>
      </c>
      <c r="D271" s="37">
        <f>_xlfn.IFS(E271&lt;E$24,0,E271&lt;E$25,D$24,E271&lt;E$26,D$25,E271&lt;E$27,D$26,E271&lt;E$28,D$27,E271&lt;E$29,D$28,E271&lt;E$30,D$29,E271&lt;E$31,D$30,E271&lt;E$32,D$31,E271&lt;E$33,D$32,E271&lt;E$34,D$33,E271&lt;E$35,D$34,E271&gt;=E$35,D$35)</f>
        <v/>
      </c>
      <c r="E271" s="38" t="n">
        <v>221</v>
      </c>
      <c r="F271" s="31">
        <f>E271/52</f>
        <v/>
      </c>
      <c r="G271" s="39">
        <f>D271/1000000*52</f>
        <v/>
      </c>
      <c r="H271" s="33">
        <f>G271/$P$4+($C$22/$P$4)</f>
        <v/>
      </c>
      <c r="I271" s="36">
        <f>_xlfn.IFS(K271&lt;K$24,0,K271&lt;K$26,I$24,K271&lt;K$28,I$26,K271&lt;K$30,I$28,K271&lt;K$32,I$30,K271&lt;K$34,I$32,K271&lt;K$36,I$34,K271&lt;K$38,I$36,K271&lt;K$40,I$38,K271&lt;K$42,I$40,K271&lt;K$44,I$42,K271&lt;K$46,I$44,K271&gt;=K$46,I$46)</f>
        <v/>
      </c>
      <c r="J271" s="37">
        <f>_xlfn.IFS(K271&lt;K$24,0,K271&lt;K$25,J$24,K271&lt;K$26,J$25,K271&lt;K$27,J$26,K271&lt;K$28,J$27,K271&lt;K$29,J$28,K271&lt;K$30,J$29,K271&lt;K$31,J$30,K271&lt;K$32,J$31,K271&lt;K$33,J$32,K271&lt;K$34,J$33,K271&lt;K$35,J$34,K271&lt;K$36,J$35,K271&lt;K$37,J$36,K271&lt;K$38,J$37,K271&lt;K$39,J$38,K271&lt;K$40,J$39,K271&lt;K$41,J$40,K271&lt;K$42,J$41,K271&lt;K$43,J$42,K271&lt;K$44,J$43,K271&lt;K$45,J$44,K271&lt;K$46,J$45,K271&lt;K$47,J$46,K271&gt;=K$47,J$47)</f>
        <v/>
      </c>
      <c r="K271" s="38" t="n">
        <v>221</v>
      </c>
      <c r="L271" s="31">
        <f>K271/52</f>
        <v/>
      </c>
      <c r="M271" s="39">
        <f>J271/1000000*52</f>
        <v/>
      </c>
      <c r="N271" s="33">
        <f>M271/$P$4+($I$22/$P$4)</f>
        <v/>
      </c>
      <c r="U271">
        <f>F270</f>
        <v/>
      </c>
      <c r="V271">
        <f>H270</f>
        <v/>
      </c>
      <c r="W271">
        <f>N270</f>
        <v/>
      </c>
    </row>
    <row r="272" ht="15.75" customHeight="1" s="40">
      <c r="C272" s="36">
        <f>_xlfn.IFS(E272&lt;E$24,0,E272&lt;E$26,C$24,E272&lt;E$28,C$26,E272&lt;E$30,C$28,E272&lt;E$32,C$30,E272&lt;E$34,C$32,E272&gt;=E$34,C$34)</f>
        <v/>
      </c>
      <c r="D272" s="37">
        <f>_xlfn.IFS(E272&lt;E$24,0,E272&lt;E$25,D$24,E272&lt;E$26,D$25,E272&lt;E$27,D$26,E272&lt;E$28,D$27,E272&lt;E$29,D$28,E272&lt;E$30,D$29,E272&lt;E$31,D$30,E272&lt;E$32,D$31,E272&lt;E$33,D$32,E272&lt;E$34,D$33,E272&lt;E$35,D$34,E272&gt;=E$35,D$35)</f>
        <v/>
      </c>
      <c r="E272" s="38" t="n">
        <v>222</v>
      </c>
      <c r="F272" s="31">
        <f>E272/52</f>
        <v/>
      </c>
      <c r="G272" s="39">
        <f>D272/1000000*52</f>
        <v/>
      </c>
      <c r="H272" s="33">
        <f>G272/$P$4+($C$22/$P$4)</f>
        <v/>
      </c>
      <c r="I272" s="36">
        <f>_xlfn.IFS(K272&lt;K$24,0,K272&lt;K$26,I$24,K272&lt;K$28,I$26,K272&lt;K$30,I$28,K272&lt;K$32,I$30,K272&lt;K$34,I$32,K272&lt;K$36,I$34,K272&lt;K$38,I$36,K272&lt;K$40,I$38,K272&lt;K$42,I$40,K272&lt;K$44,I$42,K272&lt;K$46,I$44,K272&gt;=K$46,I$46)</f>
        <v/>
      </c>
      <c r="J272" s="37">
        <f>_xlfn.IFS(K272&lt;K$24,0,K272&lt;K$25,J$24,K272&lt;K$26,J$25,K272&lt;K$27,J$26,K272&lt;K$28,J$27,K272&lt;K$29,J$28,K272&lt;K$30,J$29,K272&lt;K$31,J$30,K272&lt;K$32,J$31,K272&lt;K$33,J$32,K272&lt;K$34,J$33,K272&lt;K$35,J$34,K272&lt;K$36,J$35,K272&lt;K$37,J$36,K272&lt;K$38,J$37,K272&lt;K$39,J$38,K272&lt;K$40,J$39,K272&lt;K$41,J$40,K272&lt;K$42,J$41,K272&lt;K$43,J$42,K272&lt;K$44,J$43,K272&lt;K$45,J$44,K272&lt;K$46,J$45,K272&lt;K$47,J$46,K272&gt;=K$47,J$47)</f>
        <v/>
      </c>
      <c r="K272" s="38" t="n">
        <v>222</v>
      </c>
      <c r="L272" s="31">
        <f>K272/52</f>
        <v/>
      </c>
      <c r="M272" s="39">
        <f>J272/1000000*52</f>
        <v/>
      </c>
      <c r="N272" s="33">
        <f>M272/$P$4+($I$22/$P$4)</f>
        <v/>
      </c>
      <c r="U272">
        <f>F271</f>
        <v/>
      </c>
      <c r="V272">
        <f>H271</f>
        <v/>
      </c>
      <c r="W272">
        <f>N271</f>
        <v/>
      </c>
    </row>
    <row r="273" ht="15.75" customHeight="1" s="40">
      <c r="C273" s="36">
        <f>_xlfn.IFS(E273&lt;E$24,0,E273&lt;E$26,C$24,E273&lt;E$28,C$26,E273&lt;E$30,C$28,E273&lt;E$32,C$30,E273&lt;E$34,C$32,E273&gt;=E$34,C$34)</f>
        <v/>
      </c>
      <c r="D273" s="37">
        <f>_xlfn.IFS(E273&lt;E$24,0,E273&lt;E$25,D$24,E273&lt;E$26,D$25,E273&lt;E$27,D$26,E273&lt;E$28,D$27,E273&lt;E$29,D$28,E273&lt;E$30,D$29,E273&lt;E$31,D$30,E273&lt;E$32,D$31,E273&lt;E$33,D$32,E273&lt;E$34,D$33,E273&lt;E$35,D$34,E273&gt;=E$35,D$35)</f>
        <v/>
      </c>
      <c r="E273" s="38" t="n">
        <v>223</v>
      </c>
      <c r="F273" s="31">
        <f>E273/52</f>
        <v/>
      </c>
      <c r="G273" s="39">
        <f>D273/1000000*52</f>
        <v/>
      </c>
      <c r="H273" s="33">
        <f>G273/$P$4+($C$22/$P$4)</f>
        <v/>
      </c>
      <c r="I273" s="36">
        <f>_xlfn.IFS(K273&lt;K$24,0,K273&lt;K$26,I$24,K273&lt;K$28,I$26,K273&lt;K$30,I$28,K273&lt;K$32,I$30,K273&lt;K$34,I$32,K273&lt;K$36,I$34,K273&lt;K$38,I$36,K273&lt;K$40,I$38,K273&lt;K$42,I$40,K273&lt;K$44,I$42,K273&lt;K$46,I$44,K273&gt;=K$46,I$46)</f>
        <v/>
      </c>
      <c r="J273" s="37">
        <f>_xlfn.IFS(K273&lt;K$24,0,K273&lt;K$25,J$24,K273&lt;K$26,J$25,K273&lt;K$27,J$26,K273&lt;K$28,J$27,K273&lt;K$29,J$28,K273&lt;K$30,J$29,K273&lt;K$31,J$30,K273&lt;K$32,J$31,K273&lt;K$33,J$32,K273&lt;K$34,J$33,K273&lt;K$35,J$34,K273&lt;K$36,J$35,K273&lt;K$37,J$36,K273&lt;K$38,J$37,K273&lt;K$39,J$38,K273&lt;K$40,J$39,K273&lt;K$41,J$40,K273&lt;K$42,J$41,K273&lt;K$43,J$42,K273&lt;K$44,J$43,K273&lt;K$45,J$44,K273&lt;K$46,J$45,K273&lt;K$47,J$46,K273&gt;=K$47,J$47)</f>
        <v/>
      </c>
      <c r="K273" s="38" t="n">
        <v>223</v>
      </c>
      <c r="L273" s="31">
        <f>K273/52</f>
        <v/>
      </c>
      <c r="M273" s="39">
        <f>J273/1000000*52</f>
        <v/>
      </c>
      <c r="N273" s="33">
        <f>M273/$P$4+($I$22/$P$4)</f>
        <v/>
      </c>
      <c r="U273">
        <f>F272</f>
        <v/>
      </c>
      <c r="V273">
        <f>H272</f>
        <v/>
      </c>
      <c r="W273">
        <f>N272</f>
        <v/>
      </c>
    </row>
    <row r="274" ht="15.75" customHeight="1" s="40">
      <c r="C274" s="36">
        <f>_xlfn.IFS(E274&lt;E$24,0,E274&lt;E$26,C$24,E274&lt;E$28,C$26,E274&lt;E$30,C$28,E274&lt;E$32,C$30,E274&lt;E$34,C$32,E274&gt;=E$34,C$34)</f>
        <v/>
      </c>
      <c r="D274" s="37">
        <f>_xlfn.IFS(E274&lt;E$24,0,E274&lt;E$25,D$24,E274&lt;E$26,D$25,E274&lt;E$27,D$26,E274&lt;E$28,D$27,E274&lt;E$29,D$28,E274&lt;E$30,D$29,E274&lt;E$31,D$30,E274&lt;E$32,D$31,E274&lt;E$33,D$32,E274&lt;E$34,D$33,E274&lt;E$35,D$34,E274&gt;=E$35,D$35)</f>
        <v/>
      </c>
      <c r="E274" s="38" t="n">
        <v>224</v>
      </c>
      <c r="F274" s="31">
        <f>E274/52</f>
        <v/>
      </c>
      <c r="G274" s="39">
        <f>D274/1000000*52</f>
        <v/>
      </c>
      <c r="H274" s="33">
        <f>G274/$P$4+($C$22/$P$4)</f>
        <v/>
      </c>
      <c r="I274" s="36">
        <f>_xlfn.IFS(K274&lt;K$24,0,K274&lt;K$26,I$24,K274&lt;K$28,I$26,K274&lt;K$30,I$28,K274&lt;K$32,I$30,K274&lt;K$34,I$32,K274&lt;K$36,I$34,K274&lt;K$38,I$36,K274&lt;K$40,I$38,K274&lt;K$42,I$40,K274&lt;K$44,I$42,K274&lt;K$46,I$44,K274&gt;=K$46,I$46)</f>
        <v/>
      </c>
      <c r="J274" s="37">
        <f>_xlfn.IFS(K274&lt;K$24,0,K274&lt;K$25,J$24,K274&lt;K$26,J$25,K274&lt;K$27,J$26,K274&lt;K$28,J$27,K274&lt;K$29,J$28,K274&lt;K$30,J$29,K274&lt;K$31,J$30,K274&lt;K$32,J$31,K274&lt;K$33,J$32,K274&lt;K$34,J$33,K274&lt;K$35,J$34,K274&lt;K$36,J$35,K274&lt;K$37,J$36,K274&lt;K$38,J$37,K274&lt;K$39,J$38,K274&lt;K$40,J$39,K274&lt;K$41,J$40,K274&lt;K$42,J$41,K274&lt;K$43,J$42,K274&lt;K$44,J$43,K274&lt;K$45,J$44,K274&lt;K$46,J$45,K274&lt;K$47,J$46,K274&gt;=K$47,J$47)</f>
        <v/>
      </c>
      <c r="K274" s="38" t="n">
        <v>224</v>
      </c>
      <c r="L274" s="31">
        <f>K274/52</f>
        <v/>
      </c>
      <c r="M274" s="39">
        <f>J274/1000000*52</f>
        <v/>
      </c>
      <c r="N274" s="33">
        <f>M274/$P$4+($I$22/$P$4)</f>
        <v/>
      </c>
      <c r="U274">
        <f>F273</f>
        <v/>
      </c>
      <c r="V274">
        <f>H273</f>
        <v/>
      </c>
      <c r="W274">
        <f>N273</f>
        <v/>
      </c>
    </row>
    <row r="275" ht="15.75" customHeight="1" s="40">
      <c r="C275" s="36">
        <f>_xlfn.IFS(E275&lt;E$24,0,E275&lt;E$26,C$24,E275&lt;E$28,C$26,E275&lt;E$30,C$28,E275&lt;E$32,C$30,E275&lt;E$34,C$32,E275&gt;=E$34,C$34)</f>
        <v/>
      </c>
      <c r="D275" s="37">
        <f>_xlfn.IFS(E275&lt;E$24,0,E275&lt;E$25,D$24,E275&lt;E$26,D$25,E275&lt;E$27,D$26,E275&lt;E$28,D$27,E275&lt;E$29,D$28,E275&lt;E$30,D$29,E275&lt;E$31,D$30,E275&lt;E$32,D$31,E275&lt;E$33,D$32,E275&lt;E$34,D$33,E275&lt;E$35,D$34,E275&gt;=E$35,D$35)</f>
        <v/>
      </c>
      <c r="E275" s="38" t="n">
        <v>225</v>
      </c>
      <c r="F275" s="31">
        <f>E275/52</f>
        <v/>
      </c>
      <c r="G275" s="39">
        <f>D275/1000000*52</f>
        <v/>
      </c>
      <c r="H275" s="33">
        <f>G275/$P$4+($C$22/$P$4)</f>
        <v/>
      </c>
      <c r="I275" s="36">
        <f>_xlfn.IFS(K275&lt;K$24,0,K275&lt;K$26,I$24,K275&lt;K$28,I$26,K275&lt;K$30,I$28,K275&lt;K$32,I$30,K275&lt;K$34,I$32,K275&lt;K$36,I$34,K275&lt;K$38,I$36,K275&lt;K$40,I$38,K275&lt;K$42,I$40,K275&lt;K$44,I$42,K275&lt;K$46,I$44,K275&gt;=K$46,I$46)</f>
        <v/>
      </c>
      <c r="J275" s="37">
        <f>_xlfn.IFS(K275&lt;K$24,0,K275&lt;K$25,J$24,K275&lt;K$26,J$25,K275&lt;K$27,J$26,K275&lt;K$28,J$27,K275&lt;K$29,J$28,K275&lt;K$30,J$29,K275&lt;K$31,J$30,K275&lt;K$32,J$31,K275&lt;K$33,J$32,K275&lt;K$34,J$33,K275&lt;K$35,J$34,K275&lt;K$36,J$35,K275&lt;K$37,J$36,K275&lt;K$38,J$37,K275&lt;K$39,J$38,K275&lt;K$40,J$39,K275&lt;K$41,J$40,K275&lt;K$42,J$41,K275&lt;K$43,J$42,K275&lt;K$44,J$43,K275&lt;K$45,J$44,K275&lt;K$46,J$45,K275&lt;K$47,J$46,K275&gt;=K$47,J$47)</f>
        <v/>
      </c>
      <c r="K275" s="38" t="n">
        <v>225</v>
      </c>
      <c r="L275" s="31">
        <f>K275/52</f>
        <v/>
      </c>
      <c r="M275" s="39">
        <f>J275/1000000*52</f>
        <v/>
      </c>
      <c r="N275" s="33">
        <f>M275/$P$4+($I$22/$P$4)</f>
        <v/>
      </c>
      <c r="U275">
        <f>F274</f>
        <v/>
      </c>
      <c r="V275">
        <f>H274</f>
        <v/>
      </c>
      <c r="W275">
        <f>N274</f>
        <v/>
      </c>
    </row>
    <row r="276" ht="15.75" customHeight="1" s="40">
      <c r="C276" s="36">
        <f>_xlfn.IFS(E276&lt;E$24,0,E276&lt;E$26,C$24,E276&lt;E$28,C$26,E276&lt;E$30,C$28,E276&lt;E$32,C$30,E276&lt;E$34,C$32,E276&gt;=E$34,C$34)</f>
        <v/>
      </c>
      <c r="D276" s="37">
        <f>_xlfn.IFS(E276&lt;E$24,0,E276&lt;E$25,D$24,E276&lt;E$26,D$25,E276&lt;E$27,D$26,E276&lt;E$28,D$27,E276&lt;E$29,D$28,E276&lt;E$30,D$29,E276&lt;E$31,D$30,E276&lt;E$32,D$31,E276&lt;E$33,D$32,E276&lt;E$34,D$33,E276&lt;E$35,D$34,E276&gt;=E$35,D$35)</f>
        <v/>
      </c>
      <c r="E276" s="38" t="n">
        <v>226</v>
      </c>
      <c r="F276" s="31">
        <f>E276/52</f>
        <v/>
      </c>
      <c r="G276" s="39">
        <f>D276/1000000*52</f>
        <v/>
      </c>
      <c r="H276" s="33">
        <f>G276/$P$4+($C$22/$P$4)</f>
        <v/>
      </c>
      <c r="I276" s="36">
        <f>_xlfn.IFS(K276&lt;K$24,0,K276&lt;K$26,I$24,K276&lt;K$28,I$26,K276&lt;K$30,I$28,K276&lt;K$32,I$30,K276&lt;K$34,I$32,K276&lt;K$36,I$34,K276&lt;K$38,I$36,K276&lt;K$40,I$38,K276&lt;K$42,I$40,K276&lt;K$44,I$42,K276&lt;K$46,I$44,K276&gt;=K$46,I$46)</f>
        <v/>
      </c>
      <c r="J276" s="37">
        <f>_xlfn.IFS(K276&lt;K$24,0,K276&lt;K$25,J$24,K276&lt;K$26,J$25,K276&lt;K$27,J$26,K276&lt;K$28,J$27,K276&lt;K$29,J$28,K276&lt;K$30,J$29,K276&lt;K$31,J$30,K276&lt;K$32,J$31,K276&lt;K$33,J$32,K276&lt;K$34,J$33,K276&lt;K$35,J$34,K276&lt;K$36,J$35,K276&lt;K$37,J$36,K276&lt;K$38,J$37,K276&lt;K$39,J$38,K276&lt;K$40,J$39,K276&lt;K$41,J$40,K276&lt;K$42,J$41,K276&lt;K$43,J$42,K276&lt;K$44,J$43,K276&lt;K$45,J$44,K276&lt;K$46,J$45,K276&lt;K$47,J$46,K276&gt;=K$47,J$47)</f>
        <v/>
      </c>
      <c r="K276" s="38" t="n">
        <v>226</v>
      </c>
      <c r="L276" s="31">
        <f>K276/52</f>
        <v/>
      </c>
      <c r="M276" s="39">
        <f>J276/1000000*52</f>
        <v/>
      </c>
      <c r="N276" s="33">
        <f>M276/$P$4+($I$22/$P$4)</f>
        <v/>
      </c>
      <c r="U276">
        <f>F275</f>
        <v/>
      </c>
      <c r="V276">
        <f>H275</f>
        <v/>
      </c>
      <c r="W276">
        <f>N275</f>
        <v/>
      </c>
    </row>
    <row r="277" ht="15.75" customHeight="1" s="40">
      <c r="C277" s="36">
        <f>_xlfn.IFS(E277&lt;E$24,0,E277&lt;E$26,C$24,E277&lt;E$28,C$26,E277&lt;E$30,C$28,E277&lt;E$32,C$30,E277&lt;E$34,C$32,E277&gt;=E$34,C$34)</f>
        <v/>
      </c>
      <c r="D277" s="37">
        <f>_xlfn.IFS(E277&lt;E$24,0,E277&lt;E$25,D$24,E277&lt;E$26,D$25,E277&lt;E$27,D$26,E277&lt;E$28,D$27,E277&lt;E$29,D$28,E277&lt;E$30,D$29,E277&lt;E$31,D$30,E277&lt;E$32,D$31,E277&lt;E$33,D$32,E277&lt;E$34,D$33,E277&lt;E$35,D$34,E277&gt;=E$35,D$35)</f>
        <v/>
      </c>
      <c r="E277" s="38" t="n">
        <v>227</v>
      </c>
      <c r="F277" s="31">
        <f>E277/52</f>
        <v/>
      </c>
      <c r="G277" s="39">
        <f>D277/1000000*52</f>
        <v/>
      </c>
      <c r="H277" s="33">
        <f>G277/$P$4+($C$22/$P$4)</f>
        <v/>
      </c>
      <c r="I277" s="36">
        <f>_xlfn.IFS(K277&lt;K$24,0,K277&lt;K$26,I$24,K277&lt;K$28,I$26,K277&lt;K$30,I$28,K277&lt;K$32,I$30,K277&lt;K$34,I$32,K277&lt;K$36,I$34,K277&lt;K$38,I$36,K277&lt;K$40,I$38,K277&lt;K$42,I$40,K277&lt;K$44,I$42,K277&lt;K$46,I$44,K277&gt;=K$46,I$46)</f>
        <v/>
      </c>
      <c r="J277" s="37">
        <f>_xlfn.IFS(K277&lt;K$24,0,K277&lt;K$25,J$24,K277&lt;K$26,J$25,K277&lt;K$27,J$26,K277&lt;K$28,J$27,K277&lt;K$29,J$28,K277&lt;K$30,J$29,K277&lt;K$31,J$30,K277&lt;K$32,J$31,K277&lt;K$33,J$32,K277&lt;K$34,J$33,K277&lt;K$35,J$34,K277&lt;K$36,J$35,K277&lt;K$37,J$36,K277&lt;K$38,J$37,K277&lt;K$39,J$38,K277&lt;K$40,J$39,K277&lt;K$41,J$40,K277&lt;K$42,J$41,K277&lt;K$43,J$42,K277&lt;K$44,J$43,K277&lt;K$45,J$44,K277&lt;K$46,J$45,K277&lt;K$47,J$46,K277&gt;=K$47,J$47)</f>
        <v/>
      </c>
      <c r="K277" s="38" t="n">
        <v>227</v>
      </c>
      <c r="L277" s="31">
        <f>K277/52</f>
        <v/>
      </c>
      <c r="M277" s="39">
        <f>J277/1000000*52</f>
        <v/>
      </c>
      <c r="N277" s="33">
        <f>M277/$P$4+($I$22/$P$4)</f>
        <v/>
      </c>
      <c r="U277">
        <f>F276</f>
        <v/>
      </c>
      <c r="V277">
        <f>H276</f>
        <v/>
      </c>
      <c r="W277">
        <f>N276</f>
        <v/>
      </c>
    </row>
    <row r="278" ht="15.75" customHeight="1" s="40">
      <c r="C278" s="36">
        <f>_xlfn.IFS(E278&lt;E$24,0,E278&lt;E$26,C$24,E278&lt;E$28,C$26,E278&lt;E$30,C$28,E278&lt;E$32,C$30,E278&lt;E$34,C$32,E278&gt;=E$34,C$34)</f>
        <v/>
      </c>
      <c r="D278" s="37">
        <f>_xlfn.IFS(E278&lt;E$24,0,E278&lt;E$25,D$24,E278&lt;E$26,D$25,E278&lt;E$27,D$26,E278&lt;E$28,D$27,E278&lt;E$29,D$28,E278&lt;E$30,D$29,E278&lt;E$31,D$30,E278&lt;E$32,D$31,E278&lt;E$33,D$32,E278&lt;E$34,D$33,E278&lt;E$35,D$34,E278&gt;=E$35,D$35)</f>
        <v/>
      </c>
      <c r="E278" s="38" t="n">
        <v>228</v>
      </c>
      <c r="F278" s="31">
        <f>E278/52</f>
        <v/>
      </c>
      <c r="G278" s="39">
        <f>D278/1000000*52</f>
        <v/>
      </c>
      <c r="H278" s="33">
        <f>G278/$P$4+($C$22/$P$4)</f>
        <v/>
      </c>
      <c r="I278" s="36">
        <f>_xlfn.IFS(K278&lt;K$24,0,K278&lt;K$26,I$24,K278&lt;K$28,I$26,K278&lt;K$30,I$28,K278&lt;K$32,I$30,K278&lt;K$34,I$32,K278&lt;K$36,I$34,K278&lt;K$38,I$36,K278&lt;K$40,I$38,K278&lt;K$42,I$40,K278&lt;K$44,I$42,K278&lt;K$46,I$44,K278&gt;=K$46,I$46)</f>
        <v/>
      </c>
      <c r="J278" s="37">
        <f>_xlfn.IFS(K278&lt;K$24,0,K278&lt;K$25,J$24,K278&lt;K$26,J$25,K278&lt;K$27,J$26,K278&lt;K$28,J$27,K278&lt;K$29,J$28,K278&lt;K$30,J$29,K278&lt;K$31,J$30,K278&lt;K$32,J$31,K278&lt;K$33,J$32,K278&lt;K$34,J$33,K278&lt;K$35,J$34,K278&lt;K$36,J$35,K278&lt;K$37,J$36,K278&lt;K$38,J$37,K278&lt;K$39,J$38,K278&lt;K$40,J$39,K278&lt;K$41,J$40,K278&lt;K$42,J$41,K278&lt;K$43,J$42,K278&lt;K$44,J$43,K278&lt;K$45,J$44,K278&lt;K$46,J$45,K278&lt;K$47,J$46,K278&gt;=K$47,J$47)</f>
        <v/>
      </c>
      <c r="K278" s="38" t="n">
        <v>228</v>
      </c>
      <c r="L278" s="31">
        <f>K278/52</f>
        <v/>
      </c>
      <c r="M278" s="39">
        <f>J278/1000000*52</f>
        <v/>
      </c>
      <c r="N278" s="33">
        <f>M278/$P$4+($I$22/$P$4)</f>
        <v/>
      </c>
      <c r="U278">
        <f>F277</f>
        <v/>
      </c>
      <c r="V278">
        <f>H277</f>
        <v/>
      </c>
      <c r="W278">
        <f>N277</f>
        <v/>
      </c>
    </row>
    <row r="279" ht="15.75" customHeight="1" s="40">
      <c r="C279" s="36">
        <f>_xlfn.IFS(E279&lt;E$24,0,E279&lt;E$26,C$24,E279&lt;E$28,C$26,E279&lt;E$30,C$28,E279&lt;E$32,C$30,E279&lt;E$34,C$32,E279&gt;=E$34,C$34)</f>
        <v/>
      </c>
      <c r="D279" s="37">
        <f>_xlfn.IFS(E279&lt;E$24,0,E279&lt;E$25,D$24,E279&lt;E$26,D$25,E279&lt;E$27,D$26,E279&lt;E$28,D$27,E279&lt;E$29,D$28,E279&lt;E$30,D$29,E279&lt;E$31,D$30,E279&lt;E$32,D$31,E279&lt;E$33,D$32,E279&lt;E$34,D$33,E279&lt;E$35,D$34,E279&gt;=E$35,D$35)</f>
        <v/>
      </c>
      <c r="E279" s="38" t="n">
        <v>229</v>
      </c>
      <c r="F279" s="31">
        <f>E279/52</f>
        <v/>
      </c>
      <c r="G279" s="39">
        <f>D279/1000000*52</f>
        <v/>
      </c>
      <c r="H279" s="33">
        <f>G279/$P$4+($C$22/$P$4)</f>
        <v/>
      </c>
      <c r="I279" s="36">
        <f>_xlfn.IFS(K279&lt;K$24,0,K279&lt;K$26,I$24,K279&lt;K$28,I$26,K279&lt;K$30,I$28,K279&lt;K$32,I$30,K279&lt;K$34,I$32,K279&lt;K$36,I$34,K279&lt;K$38,I$36,K279&lt;K$40,I$38,K279&lt;K$42,I$40,K279&lt;K$44,I$42,K279&lt;K$46,I$44,K279&gt;=K$46,I$46)</f>
        <v/>
      </c>
      <c r="J279" s="37">
        <f>_xlfn.IFS(K279&lt;K$24,0,K279&lt;K$25,J$24,K279&lt;K$26,J$25,K279&lt;K$27,J$26,K279&lt;K$28,J$27,K279&lt;K$29,J$28,K279&lt;K$30,J$29,K279&lt;K$31,J$30,K279&lt;K$32,J$31,K279&lt;K$33,J$32,K279&lt;K$34,J$33,K279&lt;K$35,J$34,K279&lt;K$36,J$35,K279&lt;K$37,J$36,K279&lt;K$38,J$37,K279&lt;K$39,J$38,K279&lt;K$40,J$39,K279&lt;K$41,J$40,K279&lt;K$42,J$41,K279&lt;K$43,J$42,K279&lt;K$44,J$43,K279&lt;K$45,J$44,K279&lt;K$46,J$45,K279&lt;K$47,J$46,K279&gt;=K$47,J$47)</f>
        <v/>
      </c>
      <c r="K279" s="38" t="n">
        <v>229</v>
      </c>
      <c r="L279" s="31">
        <f>K279/52</f>
        <v/>
      </c>
      <c r="M279" s="39">
        <f>J279/1000000*52</f>
        <v/>
      </c>
      <c r="N279" s="33">
        <f>M279/$P$4+($I$22/$P$4)</f>
        <v/>
      </c>
      <c r="U279">
        <f>F278</f>
        <v/>
      </c>
      <c r="V279">
        <f>H278</f>
        <v/>
      </c>
      <c r="W279">
        <f>N278</f>
        <v/>
      </c>
    </row>
    <row r="280" ht="15.75" customHeight="1" s="40">
      <c r="C280" s="36">
        <f>_xlfn.IFS(E280&lt;E$24,0,E280&lt;E$26,C$24,E280&lt;E$28,C$26,E280&lt;E$30,C$28,E280&lt;E$32,C$30,E280&lt;E$34,C$32,E280&gt;=E$34,C$34)</f>
        <v/>
      </c>
      <c r="D280" s="37">
        <f>_xlfn.IFS(E280&lt;E$24,0,E280&lt;E$25,D$24,E280&lt;E$26,D$25,E280&lt;E$27,D$26,E280&lt;E$28,D$27,E280&lt;E$29,D$28,E280&lt;E$30,D$29,E280&lt;E$31,D$30,E280&lt;E$32,D$31,E280&lt;E$33,D$32,E280&lt;E$34,D$33,E280&lt;E$35,D$34,E280&gt;=E$35,D$35)</f>
        <v/>
      </c>
      <c r="E280" s="38" t="n">
        <v>230</v>
      </c>
      <c r="F280" s="31">
        <f>E280/52</f>
        <v/>
      </c>
      <c r="G280" s="39">
        <f>D280/1000000*52</f>
        <v/>
      </c>
      <c r="H280" s="33">
        <f>G280/$P$4+($C$22/$P$4)</f>
        <v/>
      </c>
      <c r="I280" s="36">
        <f>_xlfn.IFS(K280&lt;K$24,0,K280&lt;K$26,I$24,K280&lt;K$28,I$26,K280&lt;K$30,I$28,K280&lt;K$32,I$30,K280&lt;K$34,I$32,K280&lt;K$36,I$34,K280&lt;K$38,I$36,K280&lt;K$40,I$38,K280&lt;K$42,I$40,K280&lt;K$44,I$42,K280&lt;K$46,I$44,K280&gt;=K$46,I$46)</f>
        <v/>
      </c>
      <c r="J280" s="37">
        <f>_xlfn.IFS(K280&lt;K$24,0,K280&lt;K$25,J$24,K280&lt;K$26,J$25,K280&lt;K$27,J$26,K280&lt;K$28,J$27,K280&lt;K$29,J$28,K280&lt;K$30,J$29,K280&lt;K$31,J$30,K280&lt;K$32,J$31,K280&lt;K$33,J$32,K280&lt;K$34,J$33,K280&lt;K$35,J$34,K280&lt;K$36,J$35,K280&lt;K$37,J$36,K280&lt;K$38,J$37,K280&lt;K$39,J$38,K280&lt;K$40,J$39,K280&lt;K$41,J$40,K280&lt;K$42,J$41,K280&lt;K$43,J$42,K280&lt;K$44,J$43,K280&lt;K$45,J$44,K280&lt;K$46,J$45,K280&lt;K$47,J$46,K280&gt;=K$47,J$47)</f>
        <v/>
      </c>
      <c r="K280" s="38" t="n">
        <v>230</v>
      </c>
      <c r="L280" s="31">
        <f>K280/52</f>
        <v/>
      </c>
      <c r="M280" s="39">
        <f>J280/1000000*52</f>
        <v/>
      </c>
      <c r="N280" s="33">
        <f>M280/$P$4+($I$22/$P$4)</f>
        <v/>
      </c>
      <c r="U280">
        <f>F279</f>
        <v/>
      </c>
      <c r="V280">
        <f>H279</f>
        <v/>
      </c>
      <c r="W280">
        <f>N279</f>
        <v/>
      </c>
    </row>
    <row r="281" ht="15.75" customHeight="1" s="40">
      <c r="C281" s="36">
        <f>_xlfn.IFS(E281&lt;E$24,0,E281&lt;E$26,C$24,E281&lt;E$28,C$26,E281&lt;E$30,C$28,E281&lt;E$32,C$30,E281&lt;E$34,C$32,E281&gt;=E$34,C$34)</f>
        <v/>
      </c>
      <c r="D281" s="37">
        <f>_xlfn.IFS(E281&lt;E$24,0,E281&lt;E$25,D$24,E281&lt;E$26,D$25,E281&lt;E$27,D$26,E281&lt;E$28,D$27,E281&lt;E$29,D$28,E281&lt;E$30,D$29,E281&lt;E$31,D$30,E281&lt;E$32,D$31,E281&lt;E$33,D$32,E281&lt;E$34,D$33,E281&lt;E$35,D$34,E281&gt;=E$35,D$35)</f>
        <v/>
      </c>
      <c r="E281" s="38" t="n">
        <v>231</v>
      </c>
      <c r="F281" s="31">
        <f>E281/52</f>
        <v/>
      </c>
      <c r="G281" s="39">
        <f>D281/1000000*52</f>
        <v/>
      </c>
      <c r="H281" s="33">
        <f>G281/$P$4+($C$22/$P$4)</f>
        <v/>
      </c>
      <c r="I281" s="36">
        <f>_xlfn.IFS(K281&lt;K$24,0,K281&lt;K$26,I$24,K281&lt;K$28,I$26,K281&lt;K$30,I$28,K281&lt;K$32,I$30,K281&lt;K$34,I$32,K281&lt;K$36,I$34,K281&lt;K$38,I$36,K281&lt;K$40,I$38,K281&lt;K$42,I$40,K281&lt;K$44,I$42,K281&lt;K$46,I$44,K281&gt;=K$46,I$46)</f>
        <v/>
      </c>
      <c r="J281" s="37">
        <f>_xlfn.IFS(K281&lt;K$24,0,K281&lt;K$25,J$24,K281&lt;K$26,J$25,K281&lt;K$27,J$26,K281&lt;K$28,J$27,K281&lt;K$29,J$28,K281&lt;K$30,J$29,K281&lt;K$31,J$30,K281&lt;K$32,J$31,K281&lt;K$33,J$32,K281&lt;K$34,J$33,K281&lt;K$35,J$34,K281&lt;K$36,J$35,K281&lt;K$37,J$36,K281&lt;K$38,J$37,K281&lt;K$39,J$38,K281&lt;K$40,J$39,K281&lt;K$41,J$40,K281&lt;K$42,J$41,K281&lt;K$43,J$42,K281&lt;K$44,J$43,K281&lt;K$45,J$44,K281&lt;K$46,J$45,K281&lt;K$47,J$46,K281&gt;=K$47,J$47)</f>
        <v/>
      </c>
      <c r="K281" s="38" t="n">
        <v>231</v>
      </c>
      <c r="L281" s="31">
        <f>K281/52</f>
        <v/>
      </c>
      <c r="M281" s="39">
        <f>J281/1000000*52</f>
        <v/>
      </c>
      <c r="N281" s="33">
        <f>M281/$P$4+($I$22/$P$4)</f>
        <v/>
      </c>
      <c r="U281">
        <f>F280</f>
        <v/>
      </c>
      <c r="V281">
        <f>H280</f>
        <v/>
      </c>
      <c r="W281">
        <f>N280</f>
        <v/>
      </c>
    </row>
    <row r="282" ht="15.75" customHeight="1" s="40">
      <c r="C282" s="36">
        <f>_xlfn.IFS(E282&lt;E$24,0,E282&lt;E$26,C$24,E282&lt;E$28,C$26,E282&lt;E$30,C$28,E282&lt;E$32,C$30,E282&lt;E$34,C$32,E282&gt;=E$34,C$34)</f>
        <v/>
      </c>
      <c r="D282" s="37">
        <f>_xlfn.IFS(E282&lt;E$24,0,E282&lt;E$25,D$24,E282&lt;E$26,D$25,E282&lt;E$27,D$26,E282&lt;E$28,D$27,E282&lt;E$29,D$28,E282&lt;E$30,D$29,E282&lt;E$31,D$30,E282&lt;E$32,D$31,E282&lt;E$33,D$32,E282&lt;E$34,D$33,E282&lt;E$35,D$34,E282&gt;=E$35,D$35)</f>
        <v/>
      </c>
      <c r="E282" s="38" t="n">
        <v>232</v>
      </c>
      <c r="F282" s="31">
        <f>E282/52</f>
        <v/>
      </c>
      <c r="G282" s="39">
        <f>D282/1000000*52</f>
        <v/>
      </c>
      <c r="H282" s="33">
        <f>G282/$P$4+($C$22/$P$4)</f>
        <v/>
      </c>
      <c r="I282" s="36">
        <f>_xlfn.IFS(K282&lt;K$24,0,K282&lt;K$26,I$24,K282&lt;K$28,I$26,K282&lt;K$30,I$28,K282&lt;K$32,I$30,K282&lt;K$34,I$32,K282&lt;K$36,I$34,K282&lt;K$38,I$36,K282&lt;K$40,I$38,K282&lt;K$42,I$40,K282&lt;K$44,I$42,K282&lt;K$46,I$44,K282&gt;=K$46,I$46)</f>
        <v/>
      </c>
      <c r="J282" s="37">
        <f>_xlfn.IFS(K282&lt;K$24,0,K282&lt;K$25,J$24,K282&lt;K$26,J$25,K282&lt;K$27,J$26,K282&lt;K$28,J$27,K282&lt;K$29,J$28,K282&lt;K$30,J$29,K282&lt;K$31,J$30,K282&lt;K$32,J$31,K282&lt;K$33,J$32,K282&lt;K$34,J$33,K282&lt;K$35,J$34,K282&lt;K$36,J$35,K282&lt;K$37,J$36,K282&lt;K$38,J$37,K282&lt;K$39,J$38,K282&lt;K$40,J$39,K282&lt;K$41,J$40,K282&lt;K$42,J$41,K282&lt;K$43,J$42,K282&lt;K$44,J$43,K282&lt;K$45,J$44,K282&lt;K$46,J$45,K282&lt;K$47,J$46,K282&gt;=K$47,J$47)</f>
        <v/>
      </c>
      <c r="K282" s="38" t="n">
        <v>232</v>
      </c>
      <c r="L282" s="31">
        <f>K282/52</f>
        <v/>
      </c>
      <c r="M282" s="39">
        <f>J282/1000000*52</f>
        <v/>
      </c>
      <c r="N282" s="33">
        <f>M282/$P$4+($I$22/$P$4)</f>
        <v/>
      </c>
      <c r="U282">
        <f>F281</f>
        <v/>
      </c>
      <c r="V282">
        <f>H281</f>
        <v/>
      </c>
      <c r="W282">
        <f>N281</f>
        <v/>
      </c>
    </row>
    <row r="283" ht="15.75" customHeight="1" s="40">
      <c r="C283" s="36">
        <f>_xlfn.IFS(E283&lt;E$24,0,E283&lt;E$26,C$24,E283&lt;E$28,C$26,E283&lt;E$30,C$28,E283&lt;E$32,C$30,E283&lt;E$34,C$32,E283&gt;=E$34,C$34)</f>
        <v/>
      </c>
      <c r="D283" s="37">
        <f>_xlfn.IFS(E283&lt;E$24,0,E283&lt;E$25,D$24,E283&lt;E$26,D$25,E283&lt;E$27,D$26,E283&lt;E$28,D$27,E283&lt;E$29,D$28,E283&lt;E$30,D$29,E283&lt;E$31,D$30,E283&lt;E$32,D$31,E283&lt;E$33,D$32,E283&lt;E$34,D$33,E283&lt;E$35,D$34,E283&gt;=E$35,D$35)</f>
        <v/>
      </c>
      <c r="E283" s="38" t="n">
        <v>233</v>
      </c>
      <c r="F283" s="31">
        <f>E283/52</f>
        <v/>
      </c>
      <c r="G283" s="39">
        <f>D283/1000000*52</f>
        <v/>
      </c>
      <c r="H283" s="33">
        <f>G283/$P$4+($C$22/$P$4)</f>
        <v/>
      </c>
      <c r="I283" s="36">
        <f>_xlfn.IFS(K283&lt;K$24,0,K283&lt;K$26,I$24,K283&lt;K$28,I$26,K283&lt;K$30,I$28,K283&lt;K$32,I$30,K283&lt;K$34,I$32,K283&lt;K$36,I$34,K283&lt;K$38,I$36,K283&lt;K$40,I$38,K283&lt;K$42,I$40,K283&lt;K$44,I$42,K283&lt;K$46,I$44,K283&gt;=K$46,I$46)</f>
        <v/>
      </c>
      <c r="J283" s="37">
        <f>_xlfn.IFS(K283&lt;K$24,0,K283&lt;K$25,J$24,K283&lt;K$26,J$25,K283&lt;K$27,J$26,K283&lt;K$28,J$27,K283&lt;K$29,J$28,K283&lt;K$30,J$29,K283&lt;K$31,J$30,K283&lt;K$32,J$31,K283&lt;K$33,J$32,K283&lt;K$34,J$33,K283&lt;K$35,J$34,K283&lt;K$36,J$35,K283&lt;K$37,J$36,K283&lt;K$38,J$37,K283&lt;K$39,J$38,K283&lt;K$40,J$39,K283&lt;K$41,J$40,K283&lt;K$42,J$41,K283&lt;K$43,J$42,K283&lt;K$44,J$43,K283&lt;K$45,J$44,K283&lt;K$46,J$45,K283&lt;K$47,J$46,K283&gt;=K$47,J$47)</f>
        <v/>
      </c>
      <c r="K283" s="38" t="n">
        <v>233</v>
      </c>
      <c r="L283" s="31">
        <f>K283/52</f>
        <v/>
      </c>
      <c r="M283" s="39">
        <f>J283/1000000*52</f>
        <v/>
      </c>
      <c r="N283" s="33">
        <f>M283/$P$4+($I$22/$P$4)</f>
        <v/>
      </c>
      <c r="U283">
        <f>F282</f>
        <v/>
      </c>
      <c r="V283">
        <f>H282</f>
        <v/>
      </c>
      <c r="W283">
        <f>N282</f>
        <v/>
      </c>
    </row>
    <row r="284" ht="15.75" customHeight="1" s="40">
      <c r="C284" s="36">
        <f>_xlfn.IFS(E284&lt;E$24,0,E284&lt;E$26,C$24,E284&lt;E$28,C$26,E284&lt;E$30,C$28,E284&lt;E$32,C$30,E284&lt;E$34,C$32,E284&gt;=E$34,C$34)</f>
        <v/>
      </c>
      <c r="D284" s="37">
        <f>_xlfn.IFS(E284&lt;E$24,0,E284&lt;E$25,D$24,E284&lt;E$26,D$25,E284&lt;E$27,D$26,E284&lt;E$28,D$27,E284&lt;E$29,D$28,E284&lt;E$30,D$29,E284&lt;E$31,D$30,E284&lt;E$32,D$31,E284&lt;E$33,D$32,E284&lt;E$34,D$33,E284&lt;E$35,D$34,E284&gt;=E$35,D$35)</f>
        <v/>
      </c>
      <c r="E284" s="38" t="n">
        <v>234</v>
      </c>
      <c r="F284" s="31">
        <f>E284/52</f>
        <v/>
      </c>
      <c r="G284" s="39">
        <f>D284/1000000*52</f>
        <v/>
      </c>
      <c r="H284" s="33">
        <f>G284/$P$4+($C$22/$P$4)</f>
        <v/>
      </c>
      <c r="I284" s="36">
        <f>_xlfn.IFS(K284&lt;K$24,0,K284&lt;K$26,I$24,K284&lt;K$28,I$26,K284&lt;K$30,I$28,K284&lt;K$32,I$30,K284&lt;K$34,I$32,K284&lt;K$36,I$34,K284&lt;K$38,I$36,K284&lt;K$40,I$38,K284&lt;K$42,I$40,K284&lt;K$44,I$42,K284&lt;K$46,I$44,K284&gt;=K$46,I$46)</f>
        <v/>
      </c>
      <c r="J284" s="37">
        <f>_xlfn.IFS(K284&lt;K$24,0,K284&lt;K$25,J$24,K284&lt;K$26,J$25,K284&lt;K$27,J$26,K284&lt;K$28,J$27,K284&lt;K$29,J$28,K284&lt;K$30,J$29,K284&lt;K$31,J$30,K284&lt;K$32,J$31,K284&lt;K$33,J$32,K284&lt;K$34,J$33,K284&lt;K$35,J$34,K284&lt;K$36,J$35,K284&lt;K$37,J$36,K284&lt;K$38,J$37,K284&lt;K$39,J$38,K284&lt;K$40,J$39,K284&lt;K$41,J$40,K284&lt;K$42,J$41,K284&lt;K$43,J$42,K284&lt;K$44,J$43,K284&lt;K$45,J$44,K284&lt;K$46,J$45,K284&lt;K$47,J$46,K284&gt;=K$47,J$47)</f>
        <v/>
      </c>
      <c r="K284" s="38" t="n">
        <v>234</v>
      </c>
      <c r="L284" s="31">
        <f>K284/52</f>
        <v/>
      </c>
      <c r="M284" s="39">
        <f>J284/1000000*52</f>
        <v/>
      </c>
      <c r="N284" s="33">
        <f>M284/$P$4+($I$22/$P$4)</f>
        <v/>
      </c>
      <c r="U284">
        <f>F283</f>
        <v/>
      </c>
      <c r="V284">
        <f>H283</f>
        <v/>
      </c>
      <c r="W284">
        <f>N283</f>
        <v/>
      </c>
    </row>
    <row r="285" ht="15.75" customHeight="1" s="40">
      <c r="C285" s="36">
        <f>_xlfn.IFS(E285&lt;E$24,0,E285&lt;E$26,C$24,E285&lt;E$28,C$26,E285&lt;E$30,C$28,E285&lt;E$32,C$30,E285&lt;E$34,C$32,E285&gt;=E$34,C$34)</f>
        <v/>
      </c>
      <c r="D285" s="37">
        <f>_xlfn.IFS(E285&lt;E$24,0,E285&lt;E$25,D$24,E285&lt;E$26,D$25,E285&lt;E$27,D$26,E285&lt;E$28,D$27,E285&lt;E$29,D$28,E285&lt;E$30,D$29,E285&lt;E$31,D$30,E285&lt;E$32,D$31,E285&lt;E$33,D$32,E285&lt;E$34,D$33,E285&lt;E$35,D$34,E285&gt;=E$35,D$35)</f>
        <v/>
      </c>
      <c r="E285" s="38" t="n">
        <v>235</v>
      </c>
      <c r="F285" s="31">
        <f>E285/52</f>
        <v/>
      </c>
      <c r="G285" s="39">
        <f>D285/1000000*52</f>
        <v/>
      </c>
      <c r="H285" s="33">
        <f>G285/$P$4+($C$22/$P$4)</f>
        <v/>
      </c>
      <c r="I285" s="36">
        <f>_xlfn.IFS(K285&lt;K$24,0,K285&lt;K$26,I$24,K285&lt;K$28,I$26,K285&lt;K$30,I$28,K285&lt;K$32,I$30,K285&lt;K$34,I$32,K285&lt;K$36,I$34,K285&lt;K$38,I$36,K285&lt;K$40,I$38,K285&lt;K$42,I$40,K285&lt;K$44,I$42,K285&lt;K$46,I$44,K285&gt;=K$46,I$46)</f>
        <v/>
      </c>
      <c r="J285" s="37">
        <f>_xlfn.IFS(K285&lt;K$24,0,K285&lt;K$25,J$24,K285&lt;K$26,J$25,K285&lt;K$27,J$26,K285&lt;K$28,J$27,K285&lt;K$29,J$28,K285&lt;K$30,J$29,K285&lt;K$31,J$30,K285&lt;K$32,J$31,K285&lt;K$33,J$32,K285&lt;K$34,J$33,K285&lt;K$35,J$34,K285&lt;K$36,J$35,K285&lt;K$37,J$36,K285&lt;K$38,J$37,K285&lt;K$39,J$38,K285&lt;K$40,J$39,K285&lt;K$41,J$40,K285&lt;K$42,J$41,K285&lt;K$43,J$42,K285&lt;K$44,J$43,K285&lt;K$45,J$44,K285&lt;K$46,J$45,K285&lt;K$47,J$46,K285&gt;=K$47,J$47)</f>
        <v/>
      </c>
      <c r="K285" s="38" t="n">
        <v>235</v>
      </c>
      <c r="L285" s="31">
        <f>K285/52</f>
        <v/>
      </c>
      <c r="M285" s="39">
        <f>J285/1000000*52</f>
        <v/>
      </c>
      <c r="N285" s="33">
        <f>M285/$P$4+($I$22/$P$4)</f>
        <v/>
      </c>
      <c r="U285">
        <f>F284</f>
        <v/>
      </c>
      <c r="V285">
        <f>H284</f>
        <v/>
      </c>
      <c r="W285">
        <f>N284</f>
        <v/>
      </c>
    </row>
    <row r="286" ht="15.75" customHeight="1" s="40">
      <c r="C286" s="36">
        <f>_xlfn.IFS(E286&lt;E$24,0,E286&lt;E$26,C$24,E286&lt;E$28,C$26,E286&lt;E$30,C$28,E286&lt;E$32,C$30,E286&lt;E$34,C$32,E286&gt;=E$34,C$34)</f>
        <v/>
      </c>
      <c r="D286" s="37">
        <f>_xlfn.IFS(E286&lt;E$24,0,E286&lt;E$25,D$24,E286&lt;E$26,D$25,E286&lt;E$27,D$26,E286&lt;E$28,D$27,E286&lt;E$29,D$28,E286&lt;E$30,D$29,E286&lt;E$31,D$30,E286&lt;E$32,D$31,E286&lt;E$33,D$32,E286&lt;E$34,D$33,E286&lt;E$35,D$34,E286&gt;=E$35,D$35)</f>
        <v/>
      </c>
      <c r="E286" s="38" t="n">
        <v>236</v>
      </c>
      <c r="F286" s="31">
        <f>E286/52</f>
        <v/>
      </c>
      <c r="G286" s="39">
        <f>D286/1000000*52</f>
        <v/>
      </c>
      <c r="H286" s="33">
        <f>G286/$P$4+($C$22/$P$4)</f>
        <v/>
      </c>
      <c r="I286" s="36">
        <f>_xlfn.IFS(K286&lt;K$24,0,K286&lt;K$26,I$24,K286&lt;K$28,I$26,K286&lt;K$30,I$28,K286&lt;K$32,I$30,K286&lt;K$34,I$32,K286&lt;K$36,I$34,K286&lt;K$38,I$36,K286&lt;K$40,I$38,K286&lt;K$42,I$40,K286&lt;K$44,I$42,K286&lt;K$46,I$44,K286&gt;=K$46,I$46)</f>
        <v/>
      </c>
      <c r="J286" s="37">
        <f>_xlfn.IFS(K286&lt;K$24,0,K286&lt;K$25,J$24,K286&lt;K$26,J$25,K286&lt;K$27,J$26,K286&lt;K$28,J$27,K286&lt;K$29,J$28,K286&lt;K$30,J$29,K286&lt;K$31,J$30,K286&lt;K$32,J$31,K286&lt;K$33,J$32,K286&lt;K$34,J$33,K286&lt;K$35,J$34,K286&lt;K$36,J$35,K286&lt;K$37,J$36,K286&lt;K$38,J$37,K286&lt;K$39,J$38,K286&lt;K$40,J$39,K286&lt;K$41,J$40,K286&lt;K$42,J$41,K286&lt;K$43,J$42,K286&lt;K$44,J$43,K286&lt;K$45,J$44,K286&lt;K$46,J$45,K286&lt;K$47,J$46,K286&gt;=K$47,J$47)</f>
        <v/>
      </c>
      <c r="K286" s="38" t="n">
        <v>236</v>
      </c>
      <c r="L286" s="31">
        <f>K286/52</f>
        <v/>
      </c>
      <c r="M286" s="39">
        <f>J286/1000000*52</f>
        <v/>
      </c>
      <c r="N286" s="33">
        <f>M286/$P$4+($I$22/$P$4)</f>
        <v/>
      </c>
      <c r="U286">
        <f>F285</f>
        <v/>
      </c>
      <c r="V286">
        <f>H285</f>
        <v/>
      </c>
      <c r="W286">
        <f>N285</f>
        <v/>
      </c>
    </row>
    <row r="287" ht="15.75" customHeight="1" s="40">
      <c r="C287" s="36">
        <f>_xlfn.IFS(E287&lt;E$24,0,E287&lt;E$26,C$24,E287&lt;E$28,C$26,E287&lt;E$30,C$28,E287&lt;E$32,C$30,E287&lt;E$34,C$32,E287&gt;=E$34,C$34)</f>
        <v/>
      </c>
      <c r="D287" s="37">
        <f>_xlfn.IFS(E287&lt;E$24,0,E287&lt;E$25,D$24,E287&lt;E$26,D$25,E287&lt;E$27,D$26,E287&lt;E$28,D$27,E287&lt;E$29,D$28,E287&lt;E$30,D$29,E287&lt;E$31,D$30,E287&lt;E$32,D$31,E287&lt;E$33,D$32,E287&lt;E$34,D$33,E287&lt;E$35,D$34,E287&gt;=E$35,D$35)</f>
        <v/>
      </c>
      <c r="E287" s="38" t="n">
        <v>237</v>
      </c>
      <c r="F287" s="31">
        <f>E287/52</f>
        <v/>
      </c>
      <c r="G287" s="39">
        <f>D287/1000000*52</f>
        <v/>
      </c>
      <c r="H287" s="33">
        <f>G287/$P$4+($C$22/$P$4)</f>
        <v/>
      </c>
      <c r="I287" s="36">
        <f>_xlfn.IFS(K287&lt;K$24,0,K287&lt;K$26,I$24,K287&lt;K$28,I$26,K287&lt;K$30,I$28,K287&lt;K$32,I$30,K287&lt;K$34,I$32,K287&lt;K$36,I$34,K287&lt;K$38,I$36,K287&lt;K$40,I$38,K287&lt;K$42,I$40,K287&lt;K$44,I$42,K287&lt;K$46,I$44,K287&gt;=K$46,I$46)</f>
        <v/>
      </c>
      <c r="J287" s="37">
        <f>_xlfn.IFS(K287&lt;K$24,0,K287&lt;K$25,J$24,K287&lt;K$26,J$25,K287&lt;K$27,J$26,K287&lt;K$28,J$27,K287&lt;K$29,J$28,K287&lt;K$30,J$29,K287&lt;K$31,J$30,K287&lt;K$32,J$31,K287&lt;K$33,J$32,K287&lt;K$34,J$33,K287&lt;K$35,J$34,K287&lt;K$36,J$35,K287&lt;K$37,J$36,K287&lt;K$38,J$37,K287&lt;K$39,J$38,K287&lt;K$40,J$39,K287&lt;K$41,J$40,K287&lt;K$42,J$41,K287&lt;K$43,J$42,K287&lt;K$44,J$43,K287&lt;K$45,J$44,K287&lt;K$46,J$45,K287&lt;K$47,J$46,K287&gt;=K$47,J$47)</f>
        <v/>
      </c>
      <c r="K287" s="38" t="n">
        <v>237</v>
      </c>
      <c r="L287" s="31">
        <f>K287/52</f>
        <v/>
      </c>
      <c r="M287" s="39">
        <f>J287/1000000*52</f>
        <v/>
      </c>
      <c r="N287" s="33">
        <f>M287/$P$4+($I$22/$P$4)</f>
        <v/>
      </c>
      <c r="U287">
        <f>F286</f>
        <v/>
      </c>
      <c r="V287">
        <f>H286</f>
        <v/>
      </c>
      <c r="W287">
        <f>N286</f>
        <v/>
      </c>
    </row>
    <row r="288" ht="15.75" customHeight="1" s="40">
      <c r="C288" s="36">
        <f>_xlfn.IFS(E288&lt;E$24,0,E288&lt;E$26,C$24,E288&lt;E$28,C$26,E288&lt;E$30,C$28,E288&lt;E$32,C$30,E288&lt;E$34,C$32,E288&gt;=E$34,C$34)</f>
        <v/>
      </c>
      <c r="D288" s="37">
        <f>_xlfn.IFS(E288&lt;E$24,0,E288&lt;E$25,D$24,E288&lt;E$26,D$25,E288&lt;E$27,D$26,E288&lt;E$28,D$27,E288&lt;E$29,D$28,E288&lt;E$30,D$29,E288&lt;E$31,D$30,E288&lt;E$32,D$31,E288&lt;E$33,D$32,E288&lt;E$34,D$33,E288&lt;E$35,D$34,E288&gt;=E$35,D$35)</f>
        <v/>
      </c>
      <c r="E288" s="38" t="n">
        <v>238</v>
      </c>
      <c r="F288" s="31">
        <f>E288/52</f>
        <v/>
      </c>
      <c r="G288" s="39">
        <f>D288/1000000*52</f>
        <v/>
      </c>
      <c r="H288" s="33">
        <f>G288/$P$4+($C$22/$P$4)</f>
        <v/>
      </c>
      <c r="I288" s="36">
        <f>_xlfn.IFS(K288&lt;K$24,0,K288&lt;K$26,I$24,K288&lt;K$28,I$26,K288&lt;K$30,I$28,K288&lt;K$32,I$30,K288&lt;K$34,I$32,K288&lt;K$36,I$34,K288&lt;K$38,I$36,K288&lt;K$40,I$38,K288&lt;K$42,I$40,K288&lt;K$44,I$42,K288&lt;K$46,I$44,K288&gt;=K$46,I$46)</f>
        <v/>
      </c>
      <c r="J288" s="37">
        <f>_xlfn.IFS(K288&lt;K$24,0,K288&lt;K$25,J$24,K288&lt;K$26,J$25,K288&lt;K$27,J$26,K288&lt;K$28,J$27,K288&lt;K$29,J$28,K288&lt;K$30,J$29,K288&lt;K$31,J$30,K288&lt;K$32,J$31,K288&lt;K$33,J$32,K288&lt;K$34,J$33,K288&lt;K$35,J$34,K288&lt;K$36,J$35,K288&lt;K$37,J$36,K288&lt;K$38,J$37,K288&lt;K$39,J$38,K288&lt;K$40,J$39,K288&lt;K$41,J$40,K288&lt;K$42,J$41,K288&lt;K$43,J$42,K288&lt;K$44,J$43,K288&lt;K$45,J$44,K288&lt;K$46,J$45,K288&lt;K$47,J$46,K288&gt;=K$47,J$47)</f>
        <v/>
      </c>
      <c r="K288" s="38" t="n">
        <v>238</v>
      </c>
      <c r="L288" s="31">
        <f>K288/52</f>
        <v/>
      </c>
      <c r="M288" s="39">
        <f>J288/1000000*52</f>
        <v/>
      </c>
      <c r="N288" s="33">
        <f>M288/$P$4+($I$22/$P$4)</f>
        <v/>
      </c>
      <c r="U288">
        <f>F287</f>
        <v/>
      </c>
      <c r="V288">
        <f>H287</f>
        <v/>
      </c>
      <c r="W288">
        <f>N287</f>
        <v/>
      </c>
    </row>
    <row r="289" ht="15.75" customHeight="1" s="40">
      <c r="C289" s="36">
        <f>_xlfn.IFS(E289&lt;E$24,0,E289&lt;E$26,C$24,E289&lt;E$28,C$26,E289&lt;E$30,C$28,E289&lt;E$32,C$30,E289&lt;E$34,C$32,E289&gt;=E$34,C$34)</f>
        <v/>
      </c>
      <c r="D289" s="37">
        <f>_xlfn.IFS(E289&lt;E$24,0,E289&lt;E$25,D$24,E289&lt;E$26,D$25,E289&lt;E$27,D$26,E289&lt;E$28,D$27,E289&lt;E$29,D$28,E289&lt;E$30,D$29,E289&lt;E$31,D$30,E289&lt;E$32,D$31,E289&lt;E$33,D$32,E289&lt;E$34,D$33,E289&lt;E$35,D$34,E289&gt;=E$35,D$35)</f>
        <v/>
      </c>
      <c r="E289" s="38" t="n">
        <v>239</v>
      </c>
      <c r="F289" s="31">
        <f>E289/52</f>
        <v/>
      </c>
      <c r="G289" s="39">
        <f>D289/1000000*52</f>
        <v/>
      </c>
      <c r="H289" s="33">
        <f>G289/$P$4+($C$22/$P$4)</f>
        <v/>
      </c>
      <c r="I289" s="36">
        <f>_xlfn.IFS(K289&lt;K$24,0,K289&lt;K$26,I$24,K289&lt;K$28,I$26,K289&lt;K$30,I$28,K289&lt;K$32,I$30,K289&lt;K$34,I$32,K289&lt;K$36,I$34,K289&lt;K$38,I$36,K289&lt;K$40,I$38,K289&lt;K$42,I$40,K289&lt;K$44,I$42,K289&lt;K$46,I$44,K289&gt;=K$46,I$46)</f>
        <v/>
      </c>
      <c r="J289" s="37">
        <f>_xlfn.IFS(K289&lt;K$24,0,K289&lt;K$25,J$24,K289&lt;K$26,J$25,K289&lt;K$27,J$26,K289&lt;K$28,J$27,K289&lt;K$29,J$28,K289&lt;K$30,J$29,K289&lt;K$31,J$30,K289&lt;K$32,J$31,K289&lt;K$33,J$32,K289&lt;K$34,J$33,K289&lt;K$35,J$34,K289&lt;K$36,J$35,K289&lt;K$37,J$36,K289&lt;K$38,J$37,K289&lt;K$39,J$38,K289&lt;K$40,J$39,K289&lt;K$41,J$40,K289&lt;K$42,J$41,K289&lt;K$43,J$42,K289&lt;K$44,J$43,K289&lt;K$45,J$44,K289&lt;K$46,J$45,K289&lt;K$47,J$46,K289&gt;=K$47,J$47)</f>
        <v/>
      </c>
      <c r="K289" s="38" t="n">
        <v>239</v>
      </c>
      <c r="L289" s="31">
        <f>K289/52</f>
        <v/>
      </c>
      <c r="M289" s="39">
        <f>J289/1000000*52</f>
        <v/>
      </c>
      <c r="N289" s="33">
        <f>M289/$P$4+($I$22/$P$4)</f>
        <v/>
      </c>
      <c r="U289">
        <f>F288</f>
        <v/>
      </c>
      <c r="V289">
        <f>H288</f>
        <v/>
      </c>
      <c r="W289">
        <f>N288</f>
        <v/>
      </c>
    </row>
    <row r="290" ht="15.75" customHeight="1" s="40">
      <c r="C290" s="36">
        <f>_xlfn.IFS(E290&lt;E$24,0,E290&lt;E$26,C$24,E290&lt;E$28,C$26,E290&lt;E$30,C$28,E290&lt;E$32,C$30,E290&lt;E$34,C$32,E290&gt;=E$34,C$34)</f>
        <v/>
      </c>
      <c r="D290" s="37">
        <f>_xlfn.IFS(E290&lt;E$24,0,E290&lt;E$25,D$24,E290&lt;E$26,D$25,E290&lt;E$27,D$26,E290&lt;E$28,D$27,E290&lt;E$29,D$28,E290&lt;E$30,D$29,E290&lt;E$31,D$30,E290&lt;E$32,D$31,E290&lt;E$33,D$32,E290&lt;E$34,D$33,E290&lt;E$35,D$34,E290&gt;=E$35,D$35)</f>
        <v/>
      </c>
      <c r="E290" s="38" t="n">
        <v>240</v>
      </c>
      <c r="F290" s="31">
        <f>E290/52</f>
        <v/>
      </c>
      <c r="G290" s="39">
        <f>D290/1000000*52</f>
        <v/>
      </c>
      <c r="H290" s="33">
        <f>G290/$P$4+($C$22/$P$4)</f>
        <v/>
      </c>
      <c r="I290" s="36">
        <f>_xlfn.IFS(K290&lt;K$24,0,K290&lt;K$26,I$24,K290&lt;K$28,I$26,K290&lt;K$30,I$28,K290&lt;K$32,I$30,K290&lt;K$34,I$32,K290&lt;K$36,I$34,K290&lt;K$38,I$36,K290&lt;K$40,I$38,K290&lt;K$42,I$40,K290&lt;K$44,I$42,K290&lt;K$46,I$44,K290&gt;=K$46,I$46)</f>
        <v/>
      </c>
      <c r="J290" s="37">
        <f>_xlfn.IFS(K290&lt;K$24,0,K290&lt;K$25,J$24,K290&lt;K$26,J$25,K290&lt;K$27,J$26,K290&lt;K$28,J$27,K290&lt;K$29,J$28,K290&lt;K$30,J$29,K290&lt;K$31,J$30,K290&lt;K$32,J$31,K290&lt;K$33,J$32,K290&lt;K$34,J$33,K290&lt;K$35,J$34,K290&lt;K$36,J$35,K290&lt;K$37,J$36,K290&lt;K$38,J$37,K290&lt;K$39,J$38,K290&lt;K$40,J$39,K290&lt;K$41,J$40,K290&lt;K$42,J$41,K290&lt;K$43,J$42,K290&lt;K$44,J$43,K290&lt;K$45,J$44,K290&lt;K$46,J$45,K290&lt;K$47,J$46,K290&gt;=K$47,J$47)</f>
        <v/>
      </c>
      <c r="K290" s="38" t="n">
        <v>240</v>
      </c>
      <c r="L290" s="31">
        <f>K290/52</f>
        <v/>
      </c>
      <c r="M290" s="39">
        <f>J290/1000000*52</f>
        <v/>
      </c>
      <c r="N290" s="33">
        <f>M290/$P$4+($I$22/$P$4)</f>
        <v/>
      </c>
      <c r="U290">
        <f>F289</f>
        <v/>
      </c>
      <c r="V290">
        <f>H289</f>
        <v/>
      </c>
      <c r="W290">
        <f>N289</f>
        <v/>
      </c>
    </row>
    <row r="291" ht="15.75" customHeight="1" s="40">
      <c r="C291" s="36">
        <f>_xlfn.IFS(E291&lt;E$24,0,E291&lt;E$26,C$24,E291&lt;E$28,C$26,E291&lt;E$30,C$28,E291&lt;E$32,C$30,E291&lt;E$34,C$32,E291&gt;=E$34,C$34)</f>
        <v/>
      </c>
      <c r="D291" s="37">
        <f>_xlfn.IFS(E291&lt;E$24,0,E291&lt;E$25,D$24,E291&lt;E$26,D$25,E291&lt;E$27,D$26,E291&lt;E$28,D$27,E291&lt;E$29,D$28,E291&lt;E$30,D$29,E291&lt;E$31,D$30,E291&lt;E$32,D$31,E291&lt;E$33,D$32,E291&lt;E$34,D$33,E291&lt;E$35,D$34,E291&gt;=E$35,D$35)</f>
        <v/>
      </c>
      <c r="E291" s="38" t="n">
        <v>241</v>
      </c>
      <c r="F291" s="31">
        <f>E291/52</f>
        <v/>
      </c>
      <c r="G291" s="39">
        <f>D291/1000000*52</f>
        <v/>
      </c>
      <c r="H291" s="33">
        <f>G291/$P$4+($C$22/$P$4)</f>
        <v/>
      </c>
      <c r="I291" s="36">
        <f>_xlfn.IFS(K291&lt;K$24,0,K291&lt;K$26,I$24,K291&lt;K$28,I$26,K291&lt;K$30,I$28,K291&lt;K$32,I$30,K291&lt;K$34,I$32,K291&lt;K$36,I$34,K291&lt;K$38,I$36,K291&lt;K$40,I$38,K291&lt;K$42,I$40,K291&lt;K$44,I$42,K291&lt;K$46,I$44,K291&gt;=K$46,I$46)</f>
        <v/>
      </c>
      <c r="J291" s="37">
        <f>_xlfn.IFS(K291&lt;K$24,0,K291&lt;K$25,J$24,K291&lt;K$26,J$25,K291&lt;K$27,J$26,K291&lt;K$28,J$27,K291&lt;K$29,J$28,K291&lt;K$30,J$29,K291&lt;K$31,J$30,K291&lt;K$32,J$31,K291&lt;K$33,J$32,K291&lt;K$34,J$33,K291&lt;K$35,J$34,K291&lt;K$36,J$35,K291&lt;K$37,J$36,K291&lt;K$38,J$37,K291&lt;K$39,J$38,K291&lt;K$40,J$39,K291&lt;K$41,J$40,K291&lt;K$42,J$41,K291&lt;K$43,J$42,K291&lt;K$44,J$43,K291&lt;K$45,J$44,K291&lt;K$46,J$45,K291&lt;K$47,J$46,K291&gt;=K$47,J$47)</f>
        <v/>
      </c>
      <c r="K291" s="38" t="n">
        <v>241</v>
      </c>
      <c r="L291" s="31">
        <f>K291/52</f>
        <v/>
      </c>
      <c r="M291" s="39">
        <f>J291/1000000*52</f>
        <v/>
      </c>
      <c r="N291" s="33">
        <f>M291/$P$4+($I$22/$P$4)</f>
        <v/>
      </c>
      <c r="U291">
        <f>F290</f>
        <v/>
      </c>
      <c r="V291">
        <f>H290</f>
        <v/>
      </c>
      <c r="W291">
        <f>N290</f>
        <v/>
      </c>
    </row>
    <row r="292" ht="15.75" customHeight="1" s="40">
      <c r="C292" s="36">
        <f>_xlfn.IFS(E292&lt;E$24,0,E292&lt;E$26,C$24,E292&lt;E$28,C$26,E292&lt;E$30,C$28,E292&lt;E$32,C$30,E292&lt;E$34,C$32,E292&gt;=E$34,C$34)</f>
        <v/>
      </c>
      <c r="D292" s="37">
        <f>_xlfn.IFS(E292&lt;E$24,0,E292&lt;E$25,D$24,E292&lt;E$26,D$25,E292&lt;E$27,D$26,E292&lt;E$28,D$27,E292&lt;E$29,D$28,E292&lt;E$30,D$29,E292&lt;E$31,D$30,E292&lt;E$32,D$31,E292&lt;E$33,D$32,E292&lt;E$34,D$33,E292&lt;E$35,D$34,E292&gt;=E$35,D$35)</f>
        <v/>
      </c>
      <c r="E292" s="38" t="n">
        <v>242</v>
      </c>
      <c r="F292" s="31">
        <f>E292/52</f>
        <v/>
      </c>
      <c r="G292" s="39">
        <f>D292/1000000*52</f>
        <v/>
      </c>
      <c r="H292" s="33">
        <f>G292/$P$4+($C$22/$P$4)</f>
        <v/>
      </c>
      <c r="I292" s="36">
        <f>_xlfn.IFS(K292&lt;K$24,0,K292&lt;K$26,I$24,K292&lt;K$28,I$26,K292&lt;K$30,I$28,K292&lt;K$32,I$30,K292&lt;K$34,I$32,K292&lt;K$36,I$34,K292&lt;K$38,I$36,K292&lt;K$40,I$38,K292&lt;K$42,I$40,K292&lt;K$44,I$42,K292&lt;K$46,I$44,K292&gt;=K$46,I$46)</f>
        <v/>
      </c>
      <c r="J292" s="37">
        <f>_xlfn.IFS(K292&lt;K$24,0,K292&lt;K$25,J$24,K292&lt;K$26,J$25,K292&lt;K$27,J$26,K292&lt;K$28,J$27,K292&lt;K$29,J$28,K292&lt;K$30,J$29,K292&lt;K$31,J$30,K292&lt;K$32,J$31,K292&lt;K$33,J$32,K292&lt;K$34,J$33,K292&lt;K$35,J$34,K292&lt;K$36,J$35,K292&lt;K$37,J$36,K292&lt;K$38,J$37,K292&lt;K$39,J$38,K292&lt;K$40,J$39,K292&lt;K$41,J$40,K292&lt;K$42,J$41,K292&lt;K$43,J$42,K292&lt;K$44,J$43,K292&lt;K$45,J$44,K292&lt;K$46,J$45,K292&lt;K$47,J$46,K292&gt;=K$47,J$47)</f>
        <v/>
      </c>
      <c r="K292" s="38" t="n">
        <v>242</v>
      </c>
      <c r="L292" s="31">
        <f>K292/52</f>
        <v/>
      </c>
      <c r="M292" s="39">
        <f>J292/1000000*52</f>
        <v/>
      </c>
      <c r="N292" s="33">
        <f>M292/$P$4+($I$22/$P$4)</f>
        <v/>
      </c>
      <c r="U292">
        <f>F291</f>
        <v/>
      </c>
      <c r="V292">
        <f>H291</f>
        <v/>
      </c>
      <c r="W292">
        <f>N291</f>
        <v/>
      </c>
    </row>
    <row r="293" ht="15.75" customHeight="1" s="40">
      <c r="C293" s="36">
        <f>_xlfn.IFS(E293&lt;E$24,0,E293&lt;E$26,C$24,E293&lt;E$28,C$26,E293&lt;E$30,C$28,E293&lt;E$32,C$30,E293&lt;E$34,C$32,E293&gt;=E$34,C$34)</f>
        <v/>
      </c>
      <c r="D293" s="37">
        <f>_xlfn.IFS(E293&lt;E$24,0,E293&lt;E$25,D$24,E293&lt;E$26,D$25,E293&lt;E$27,D$26,E293&lt;E$28,D$27,E293&lt;E$29,D$28,E293&lt;E$30,D$29,E293&lt;E$31,D$30,E293&lt;E$32,D$31,E293&lt;E$33,D$32,E293&lt;E$34,D$33,E293&lt;E$35,D$34,E293&gt;=E$35,D$35)</f>
        <v/>
      </c>
      <c r="E293" s="38" t="n">
        <v>243</v>
      </c>
      <c r="F293" s="31">
        <f>E293/52</f>
        <v/>
      </c>
      <c r="G293" s="39">
        <f>D293/1000000*52</f>
        <v/>
      </c>
      <c r="H293" s="33">
        <f>G293/$P$4+($C$22/$P$4)</f>
        <v/>
      </c>
      <c r="I293" s="36">
        <f>_xlfn.IFS(K293&lt;K$24,0,K293&lt;K$26,I$24,K293&lt;K$28,I$26,K293&lt;K$30,I$28,K293&lt;K$32,I$30,K293&lt;K$34,I$32,K293&lt;K$36,I$34,K293&lt;K$38,I$36,K293&lt;K$40,I$38,K293&lt;K$42,I$40,K293&lt;K$44,I$42,K293&lt;K$46,I$44,K293&gt;=K$46,I$46)</f>
        <v/>
      </c>
      <c r="J293" s="37">
        <f>_xlfn.IFS(K293&lt;K$24,0,K293&lt;K$25,J$24,K293&lt;K$26,J$25,K293&lt;K$27,J$26,K293&lt;K$28,J$27,K293&lt;K$29,J$28,K293&lt;K$30,J$29,K293&lt;K$31,J$30,K293&lt;K$32,J$31,K293&lt;K$33,J$32,K293&lt;K$34,J$33,K293&lt;K$35,J$34,K293&lt;K$36,J$35,K293&lt;K$37,J$36,K293&lt;K$38,J$37,K293&lt;K$39,J$38,K293&lt;K$40,J$39,K293&lt;K$41,J$40,K293&lt;K$42,J$41,K293&lt;K$43,J$42,K293&lt;K$44,J$43,K293&lt;K$45,J$44,K293&lt;K$46,J$45,K293&lt;K$47,J$46,K293&gt;=K$47,J$47)</f>
        <v/>
      </c>
      <c r="K293" s="38" t="n">
        <v>243</v>
      </c>
      <c r="L293" s="31">
        <f>K293/52</f>
        <v/>
      </c>
      <c r="M293" s="39">
        <f>J293/1000000*52</f>
        <v/>
      </c>
      <c r="N293" s="33">
        <f>M293/$P$4+($I$22/$P$4)</f>
        <v/>
      </c>
      <c r="U293">
        <f>F292</f>
        <v/>
      </c>
      <c r="V293">
        <f>H292</f>
        <v/>
      </c>
      <c r="W293">
        <f>N292</f>
        <v/>
      </c>
    </row>
    <row r="294" ht="15.75" customHeight="1" s="40">
      <c r="C294" s="36">
        <f>_xlfn.IFS(E294&lt;E$24,0,E294&lt;E$26,C$24,E294&lt;E$28,C$26,E294&lt;E$30,C$28,E294&lt;E$32,C$30,E294&lt;E$34,C$32,E294&gt;=E$34,C$34)</f>
        <v/>
      </c>
      <c r="D294" s="37">
        <f>_xlfn.IFS(E294&lt;E$24,0,E294&lt;E$25,D$24,E294&lt;E$26,D$25,E294&lt;E$27,D$26,E294&lt;E$28,D$27,E294&lt;E$29,D$28,E294&lt;E$30,D$29,E294&lt;E$31,D$30,E294&lt;E$32,D$31,E294&lt;E$33,D$32,E294&lt;E$34,D$33,E294&lt;E$35,D$34,E294&gt;=E$35,D$35)</f>
        <v/>
      </c>
      <c r="E294" s="38" t="n">
        <v>244</v>
      </c>
      <c r="F294" s="31">
        <f>E294/52</f>
        <v/>
      </c>
      <c r="G294" s="39">
        <f>D294/1000000*52</f>
        <v/>
      </c>
      <c r="H294" s="33">
        <f>G294/$P$4+($C$22/$P$4)</f>
        <v/>
      </c>
      <c r="I294" s="36">
        <f>_xlfn.IFS(K294&lt;K$24,0,K294&lt;K$26,I$24,K294&lt;K$28,I$26,K294&lt;K$30,I$28,K294&lt;K$32,I$30,K294&lt;K$34,I$32,K294&lt;K$36,I$34,K294&lt;K$38,I$36,K294&lt;K$40,I$38,K294&lt;K$42,I$40,K294&lt;K$44,I$42,K294&lt;K$46,I$44,K294&gt;=K$46,I$46)</f>
        <v/>
      </c>
      <c r="J294" s="37">
        <f>_xlfn.IFS(K294&lt;K$24,0,K294&lt;K$25,J$24,K294&lt;K$26,J$25,K294&lt;K$27,J$26,K294&lt;K$28,J$27,K294&lt;K$29,J$28,K294&lt;K$30,J$29,K294&lt;K$31,J$30,K294&lt;K$32,J$31,K294&lt;K$33,J$32,K294&lt;K$34,J$33,K294&lt;K$35,J$34,K294&lt;K$36,J$35,K294&lt;K$37,J$36,K294&lt;K$38,J$37,K294&lt;K$39,J$38,K294&lt;K$40,J$39,K294&lt;K$41,J$40,K294&lt;K$42,J$41,K294&lt;K$43,J$42,K294&lt;K$44,J$43,K294&lt;K$45,J$44,K294&lt;K$46,J$45,K294&lt;K$47,J$46,K294&gt;=K$47,J$47)</f>
        <v/>
      </c>
      <c r="K294" s="38" t="n">
        <v>244</v>
      </c>
      <c r="L294" s="31">
        <f>K294/52</f>
        <v/>
      </c>
      <c r="M294" s="39">
        <f>J294/1000000*52</f>
        <v/>
      </c>
      <c r="N294" s="33">
        <f>M294/$P$4+($I$22/$P$4)</f>
        <v/>
      </c>
      <c r="U294">
        <f>F293</f>
        <v/>
      </c>
      <c r="V294">
        <f>H293</f>
        <v/>
      </c>
      <c r="W294">
        <f>N293</f>
        <v/>
      </c>
    </row>
    <row r="295" ht="15.75" customHeight="1" s="40">
      <c r="C295" s="36">
        <f>_xlfn.IFS(E295&lt;E$24,0,E295&lt;E$26,C$24,E295&lt;E$28,C$26,E295&lt;E$30,C$28,E295&lt;E$32,C$30,E295&lt;E$34,C$32,E295&gt;=E$34,C$34)</f>
        <v/>
      </c>
      <c r="D295" s="37">
        <f>_xlfn.IFS(E295&lt;E$24,0,E295&lt;E$25,D$24,E295&lt;E$26,D$25,E295&lt;E$27,D$26,E295&lt;E$28,D$27,E295&lt;E$29,D$28,E295&lt;E$30,D$29,E295&lt;E$31,D$30,E295&lt;E$32,D$31,E295&lt;E$33,D$32,E295&lt;E$34,D$33,E295&lt;E$35,D$34,E295&gt;=E$35,D$35)</f>
        <v/>
      </c>
      <c r="E295" s="38" t="n">
        <v>245</v>
      </c>
      <c r="F295" s="31">
        <f>E295/52</f>
        <v/>
      </c>
      <c r="G295" s="39">
        <f>D295/1000000*52</f>
        <v/>
      </c>
      <c r="H295" s="33">
        <f>G295/$P$4+($C$22/$P$4)</f>
        <v/>
      </c>
      <c r="I295" s="36">
        <f>_xlfn.IFS(K295&lt;K$24,0,K295&lt;K$26,I$24,K295&lt;K$28,I$26,K295&lt;K$30,I$28,K295&lt;K$32,I$30,K295&lt;K$34,I$32,K295&lt;K$36,I$34,K295&lt;K$38,I$36,K295&lt;K$40,I$38,K295&lt;K$42,I$40,K295&lt;K$44,I$42,K295&lt;K$46,I$44,K295&gt;=K$46,I$46)</f>
        <v/>
      </c>
      <c r="J295" s="37">
        <f>_xlfn.IFS(K295&lt;K$24,0,K295&lt;K$25,J$24,K295&lt;K$26,J$25,K295&lt;K$27,J$26,K295&lt;K$28,J$27,K295&lt;K$29,J$28,K295&lt;K$30,J$29,K295&lt;K$31,J$30,K295&lt;K$32,J$31,K295&lt;K$33,J$32,K295&lt;K$34,J$33,K295&lt;K$35,J$34,K295&lt;K$36,J$35,K295&lt;K$37,J$36,K295&lt;K$38,J$37,K295&lt;K$39,J$38,K295&lt;K$40,J$39,K295&lt;K$41,J$40,K295&lt;K$42,J$41,K295&lt;K$43,J$42,K295&lt;K$44,J$43,K295&lt;K$45,J$44,K295&lt;K$46,J$45,K295&lt;K$47,J$46,K295&gt;=K$47,J$47)</f>
        <v/>
      </c>
      <c r="K295" s="38" t="n">
        <v>245</v>
      </c>
      <c r="L295" s="31">
        <f>K295/52</f>
        <v/>
      </c>
      <c r="M295" s="39">
        <f>J295/1000000*52</f>
        <v/>
      </c>
      <c r="N295" s="33">
        <f>M295/$P$4+($I$22/$P$4)</f>
        <v/>
      </c>
      <c r="U295">
        <f>F294</f>
        <v/>
      </c>
      <c r="V295">
        <f>H294</f>
        <v/>
      </c>
      <c r="W295">
        <f>N294</f>
        <v/>
      </c>
    </row>
    <row r="296" ht="15.75" customHeight="1" s="40">
      <c r="C296" s="36">
        <f>_xlfn.IFS(E296&lt;E$24,0,E296&lt;E$26,C$24,E296&lt;E$28,C$26,E296&lt;E$30,C$28,E296&lt;E$32,C$30,E296&lt;E$34,C$32,E296&gt;=E$34,C$34)</f>
        <v/>
      </c>
      <c r="D296" s="37">
        <f>_xlfn.IFS(E296&lt;E$24,0,E296&lt;E$25,D$24,E296&lt;E$26,D$25,E296&lt;E$27,D$26,E296&lt;E$28,D$27,E296&lt;E$29,D$28,E296&lt;E$30,D$29,E296&lt;E$31,D$30,E296&lt;E$32,D$31,E296&lt;E$33,D$32,E296&lt;E$34,D$33,E296&lt;E$35,D$34,E296&gt;=E$35,D$35)</f>
        <v/>
      </c>
      <c r="E296" s="38" t="n">
        <v>246</v>
      </c>
      <c r="F296" s="31">
        <f>E296/52</f>
        <v/>
      </c>
      <c r="G296" s="39">
        <f>D296/1000000*52</f>
        <v/>
      </c>
      <c r="H296" s="33">
        <f>G296/$P$4+($C$22/$P$4)</f>
        <v/>
      </c>
      <c r="I296" s="36">
        <f>_xlfn.IFS(K296&lt;K$24,0,K296&lt;K$26,I$24,K296&lt;K$28,I$26,K296&lt;K$30,I$28,K296&lt;K$32,I$30,K296&lt;K$34,I$32,K296&lt;K$36,I$34,K296&lt;K$38,I$36,K296&lt;K$40,I$38,K296&lt;K$42,I$40,K296&lt;K$44,I$42,K296&lt;K$46,I$44,K296&gt;=K$46,I$46)</f>
        <v/>
      </c>
      <c r="J296" s="37">
        <f>_xlfn.IFS(K296&lt;K$24,0,K296&lt;K$25,J$24,K296&lt;K$26,J$25,K296&lt;K$27,J$26,K296&lt;K$28,J$27,K296&lt;K$29,J$28,K296&lt;K$30,J$29,K296&lt;K$31,J$30,K296&lt;K$32,J$31,K296&lt;K$33,J$32,K296&lt;K$34,J$33,K296&lt;K$35,J$34,K296&lt;K$36,J$35,K296&lt;K$37,J$36,K296&lt;K$38,J$37,K296&lt;K$39,J$38,K296&lt;K$40,J$39,K296&lt;K$41,J$40,K296&lt;K$42,J$41,K296&lt;K$43,J$42,K296&lt;K$44,J$43,K296&lt;K$45,J$44,K296&lt;K$46,J$45,K296&lt;K$47,J$46,K296&gt;=K$47,J$47)</f>
        <v/>
      </c>
      <c r="K296" s="38" t="n">
        <v>246</v>
      </c>
      <c r="L296" s="31">
        <f>K296/52</f>
        <v/>
      </c>
      <c r="M296" s="39">
        <f>J296/1000000*52</f>
        <v/>
      </c>
      <c r="N296" s="33">
        <f>M296/$P$4+($I$22/$P$4)</f>
        <v/>
      </c>
      <c r="U296">
        <f>F295</f>
        <v/>
      </c>
      <c r="V296">
        <f>H295</f>
        <v/>
      </c>
      <c r="W296">
        <f>N295</f>
        <v/>
      </c>
    </row>
    <row r="297" ht="15.75" customHeight="1" s="40">
      <c r="C297" s="36">
        <f>_xlfn.IFS(E297&lt;E$24,0,E297&lt;E$26,C$24,E297&lt;E$28,C$26,E297&lt;E$30,C$28,E297&lt;E$32,C$30,E297&lt;E$34,C$32,E297&gt;=E$34,C$34)</f>
        <v/>
      </c>
      <c r="D297" s="37">
        <f>_xlfn.IFS(E297&lt;E$24,0,E297&lt;E$25,D$24,E297&lt;E$26,D$25,E297&lt;E$27,D$26,E297&lt;E$28,D$27,E297&lt;E$29,D$28,E297&lt;E$30,D$29,E297&lt;E$31,D$30,E297&lt;E$32,D$31,E297&lt;E$33,D$32,E297&lt;E$34,D$33,E297&lt;E$35,D$34,E297&gt;=E$35,D$35)</f>
        <v/>
      </c>
      <c r="E297" s="38" t="n">
        <v>247</v>
      </c>
      <c r="F297" s="31">
        <f>E297/52</f>
        <v/>
      </c>
      <c r="G297" s="39">
        <f>D297/1000000*52</f>
        <v/>
      </c>
      <c r="H297" s="33">
        <f>G297/$P$4+($C$22/$P$4)</f>
        <v/>
      </c>
      <c r="I297" s="36">
        <f>_xlfn.IFS(K297&lt;K$24,0,K297&lt;K$26,I$24,K297&lt;K$28,I$26,K297&lt;K$30,I$28,K297&lt;K$32,I$30,K297&lt;K$34,I$32,K297&lt;K$36,I$34,K297&lt;K$38,I$36,K297&lt;K$40,I$38,K297&lt;K$42,I$40,K297&lt;K$44,I$42,K297&lt;K$46,I$44,K297&gt;=K$46,I$46)</f>
        <v/>
      </c>
      <c r="J297" s="37">
        <f>_xlfn.IFS(K297&lt;K$24,0,K297&lt;K$25,J$24,K297&lt;K$26,J$25,K297&lt;K$27,J$26,K297&lt;K$28,J$27,K297&lt;K$29,J$28,K297&lt;K$30,J$29,K297&lt;K$31,J$30,K297&lt;K$32,J$31,K297&lt;K$33,J$32,K297&lt;K$34,J$33,K297&lt;K$35,J$34,K297&lt;K$36,J$35,K297&lt;K$37,J$36,K297&lt;K$38,J$37,K297&lt;K$39,J$38,K297&lt;K$40,J$39,K297&lt;K$41,J$40,K297&lt;K$42,J$41,K297&lt;K$43,J$42,K297&lt;K$44,J$43,K297&lt;K$45,J$44,K297&lt;K$46,J$45,K297&lt;K$47,J$46,K297&gt;=K$47,J$47)</f>
        <v/>
      </c>
      <c r="K297" s="38" t="n">
        <v>247</v>
      </c>
      <c r="L297" s="31">
        <f>K297/52</f>
        <v/>
      </c>
      <c r="M297" s="39">
        <f>J297/1000000*52</f>
        <v/>
      </c>
      <c r="N297" s="33">
        <f>M297/$P$4+($I$22/$P$4)</f>
        <v/>
      </c>
      <c r="U297">
        <f>F296</f>
        <v/>
      </c>
      <c r="V297">
        <f>H296</f>
        <v/>
      </c>
      <c r="W297">
        <f>N296</f>
        <v/>
      </c>
    </row>
    <row r="298" ht="15.75" customHeight="1" s="40">
      <c r="C298" s="36">
        <f>_xlfn.IFS(E298&lt;E$24,0,E298&lt;E$26,C$24,E298&lt;E$28,C$26,E298&lt;E$30,C$28,E298&lt;E$32,C$30,E298&lt;E$34,C$32,E298&gt;=E$34,C$34)</f>
        <v/>
      </c>
      <c r="D298" s="37">
        <f>_xlfn.IFS(E298&lt;E$24,0,E298&lt;E$25,D$24,E298&lt;E$26,D$25,E298&lt;E$27,D$26,E298&lt;E$28,D$27,E298&lt;E$29,D$28,E298&lt;E$30,D$29,E298&lt;E$31,D$30,E298&lt;E$32,D$31,E298&lt;E$33,D$32,E298&lt;E$34,D$33,E298&lt;E$35,D$34,E298&gt;=E$35,D$35)</f>
        <v/>
      </c>
      <c r="E298" s="38" t="n">
        <v>248</v>
      </c>
      <c r="F298" s="31">
        <f>E298/52</f>
        <v/>
      </c>
      <c r="G298" s="39">
        <f>D298/1000000*52</f>
        <v/>
      </c>
      <c r="H298" s="33">
        <f>G298/$P$4+($C$22/$P$4)</f>
        <v/>
      </c>
      <c r="I298" s="36">
        <f>_xlfn.IFS(K298&lt;K$24,0,K298&lt;K$26,I$24,K298&lt;K$28,I$26,K298&lt;K$30,I$28,K298&lt;K$32,I$30,K298&lt;K$34,I$32,K298&lt;K$36,I$34,K298&lt;K$38,I$36,K298&lt;K$40,I$38,K298&lt;K$42,I$40,K298&lt;K$44,I$42,K298&lt;K$46,I$44,K298&gt;=K$46,I$46)</f>
        <v/>
      </c>
      <c r="J298" s="37">
        <f>_xlfn.IFS(K298&lt;K$24,0,K298&lt;K$25,J$24,K298&lt;K$26,J$25,K298&lt;K$27,J$26,K298&lt;K$28,J$27,K298&lt;K$29,J$28,K298&lt;K$30,J$29,K298&lt;K$31,J$30,K298&lt;K$32,J$31,K298&lt;K$33,J$32,K298&lt;K$34,J$33,K298&lt;K$35,J$34,K298&lt;K$36,J$35,K298&lt;K$37,J$36,K298&lt;K$38,J$37,K298&lt;K$39,J$38,K298&lt;K$40,J$39,K298&lt;K$41,J$40,K298&lt;K$42,J$41,K298&lt;K$43,J$42,K298&lt;K$44,J$43,K298&lt;K$45,J$44,K298&lt;K$46,J$45,K298&lt;K$47,J$46,K298&gt;=K$47,J$47)</f>
        <v/>
      </c>
      <c r="K298" s="38" t="n">
        <v>248</v>
      </c>
      <c r="L298" s="31">
        <f>K298/52</f>
        <v/>
      </c>
      <c r="M298" s="39">
        <f>J298/1000000*52</f>
        <v/>
      </c>
      <c r="N298" s="33">
        <f>M298/$P$4+($I$22/$P$4)</f>
        <v/>
      </c>
      <c r="U298">
        <f>F297</f>
        <v/>
      </c>
      <c r="V298">
        <f>H297</f>
        <v/>
      </c>
      <c r="W298">
        <f>N297</f>
        <v/>
      </c>
    </row>
    <row r="299" ht="15.75" customHeight="1" s="40">
      <c r="C299" s="36">
        <f>_xlfn.IFS(E299&lt;E$24,0,E299&lt;E$26,C$24,E299&lt;E$28,C$26,E299&lt;E$30,C$28,E299&lt;E$32,C$30,E299&lt;E$34,C$32,E299&gt;=E$34,C$34)</f>
        <v/>
      </c>
      <c r="D299" s="37">
        <f>_xlfn.IFS(E299&lt;E$24,0,E299&lt;E$25,D$24,E299&lt;E$26,D$25,E299&lt;E$27,D$26,E299&lt;E$28,D$27,E299&lt;E$29,D$28,E299&lt;E$30,D$29,E299&lt;E$31,D$30,E299&lt;E$32,D$31,E299&lt;E$33,D$32,E299&lt;E$34,D$33,E299&lt;E$35,D$34,E299&gt;=E$35,D$35)</f>
        <v/>
      </c>
      <c r="E299" s="38" t="n">
        <v>249</v>
      </c>
      <c r="F299" s="31">
        <f>E299/52</f>
        <v/>
      </c>
      <c r="G299" s="39">
        <f>D299/1000000*52</f>
        <v/>
      </c>
      <c r="H299" s="33">
        <f>G299/$P$4+($C$22/$P$4)</f>
        <v/>
      </c>
      <c r="I299" s="36">
        <f>_xlfn.IFS(K299&lt;K$24,0,K299&lt;K$26,I$24,K299&lt;K$28,I$26,K299&lt;K$30,I$28,K299&lt;K$32,I$30,K299&lt;K$34,I$32,K299&lt;K$36,I$34,K299&lt;K$38,I$36,K299&lt;K$40,I$38,K299&lt;K$42,I$40,K299&lt;K$44,I$42,K299&lt;K$46,I$44,K299&gt;=K$46,I$46)</f>
        <v/>
      </c>
      <c r="J299" s="37">
        <f>_xlfn.IFS(K299&lt;K$24,0,K299&lt;K$25,J$24,K299&lt;K$26,J$25,K299&lt;K$27,J$26,K299&lt;K$28,J$27,K299&lt;K$29,J$28,K299&lt;K$30,J$29,K299&lt;K$31,J$30,K299&lt;K$32,J$31,K299&lt;K$33,J$32,K299&lt;K$34,J$33,K299&lt;K$35,J$34,K299&lt;K$36,J$35,K299&lt;K$37,J$36,K299&lt;K$38,J$37,K299&lt;K$39,J$38,K299&lt;K$40,J$39,K299&lt;K$41,J$40,K299&lt;K$42,J$41,K299&lt;K$43,J$42,K299&lt;K$44,J$43,K299&lt;K$45,J$44,K299&lt;K$46,J$45,K299&lt;K$47,J$46,K299&gt;=K$47,J$47)</f>
        <v/>
      </c>
      <c r="K299" s="38" t="n">
        <v>249</v>
      </c>
      <c r="L299" s="31">
        <f>K299/52</f>
        <v/>
      </c>
      <c r="M299" s="39">
        <f>J299/1000000*52</f>
        <v/>
      </c>
      <c r="N299" s="33">
        <f>M299/$P$4+($I$22/$P$4)</f>
        <v/>
      </c>
      <c r="U299">
        <f>F298</f>
        <v/>
      </c>
      <c r="V299">
        <f>H298</f>
        <v/>
      </c>
      <c r="W299">
        <f>N298</f>
        <v/>
      </c>
    </row>
    <row r="300" ht="15.75" customHeight="1" s="40">
      <c r="C300" s="36">
        <f>_xlfn.IFS(E300&lt;E$24,0,E300&lt;E$26,C$24,E300&lt;E$28,C$26,E300&lt;E$30,C$28,E300&lt;E$32,C$30,E300&lt;E$34,C$32,E300&gt;=E$34,C$34)</f>
        <v/>
      </c>
      <c r="D300" s="37">
        <f>_xlfn.IFS(E300&lt;E$24,0,E300&lt;E$25,D$24,E300&lt;E$26,D$25,E300&lt;E$27,D$26,E300&lt;E$28,D$27,E300&lt;E$29,D$28,E300&lt;E$30,D$29,E300&lt;E$31,D$30,E300&lt;E$32,D$31,E300&lt;E$33,D$32,E300&lt;E$34,D$33,E300&lt;E$35,D$34,E300&gt;=E$35,D$35)</f>
        <v/>
      </c>
      <c r="E300" s="38" t="n">
        <v>250</v>
      </c>
      <c r="F300" s="31">
        <f>E300/52</f>
        <v/>
      </c>
      <c r="G300" s="39">
        <f>D300/1000000*52</f>
        <v/>
      </c>
      <c r="H300" s="33">
        <f>G300/$P$4+($C$22/$P$4)</f>
        <v/>
      </c>
      <c r="I300" s="36">
        <f>_xlfn.IFS(K300&lt;K$24,0,K300&lt;K$26,I$24,K300&lt;K$28,I$26,K300&lt;K$30,I$28,K300&lt;K$32,I$30,K300&lt;K$34,I$32,K300&lt;K$36,I$34,K300&lt;K$38,I$36,K300&lt;K$40,I$38,K300&lt;K$42,I$40,K300&lt;K$44,I$42,K300&lt;K$46,I$44,K300&gt;=K$46,I$46)</f>
        <v/>
      </c>
      <c r="J300" s="37">
        <f>_xlfn.IFS(K300&lt;K$24,0,K300&lt;K$25,J$24,K300&lt;K$26,J$25,K300&lt;K$27,J$26,K300&lt;K$28,J$27,K300&lt;K$29,J$28,K300&lt;K$30,J$29,K300&lt;K$31,J$30,K300&lt;K$32,J$31,K300&lt;K$33,J$32,K300&lt;K$34,J$33,K300&lt;K$35,J$34,K300&lt;K$36,J$35,K300&lt;K$37,J$36,K300&lt;K$38,J$37,K300&lt;K$39,J$38,K300&lt;K$40,J$39,K300&lt;K$41,J$40,K300&lt;K$42,J$41,K300&lt;K$43,J$42,K300&lt;K$44,J$43,K300&lt;K$45,J$44,K300&lt;K$46,J$45,K300&lt;K$47,J$46,K300&gt;=K$47,J$47)</f>
        <v/>
      </c>
      <c r="K300" s="38" t="n">
        <v>250</v>
      </c>
      <c r="L300" s="31">
        <f>K300/52</f>
        <v/>
      </c>
      <c r="M300" s="39">
        <f>J300/1000000*52</f>
        <v/>
      </c>
      <c r="N300" s="33">
        <f>M300/$P$4+($I$22/$P$4)</f>
        <v/>
      </c>
      <c r="U300">
        <f>F299</f>
        <v/>
      </c>
      <c r="V300">
        <f>H299</f>
        <v/>
      </c>
      <c r="W300">
        <f>N299</f>
        <v/>
      </c>
    </row>
    <row r="301" ht="15.75" customHeight="1" s="40">
      <c r="C301" s="36">
        <f>_xlfn.IFS(E301&lt;E$24,0,E301&lt;E$26,C$24,E301&lt;E$28,C$26,E301&lt;E$30,C$28,E301&lt;E$32,C$30,E301&lt;E$34,C$32,E301&gt;=E$34,C$34)</f>
        <v/>
      </c>
      <c r="D301" s="37">
        <f>_xlfn.IFS(E301&lt;E$24,0,E301&lt;E$25,D$24,E301&lt;E$26,D$25,E301&lt;E$27,D$26,E301&lt;E$28,D$27,E301&lt;E$29,D$28,E301&lt;E$30,D$29,E301&lt;E$31,D$30,E301&lt;E$32,D$31,E301&lt;E$33,D$32,E301&lt;E$34,D$33,E301&lt;E$35,D$34,E301&gt;=E$35,D$35)</f>
        <v/>
      </c>
      <c r="E301" s="38" t="n">
        <v>251</v>
      </c>
      <c r="F301" s="31">
        <f>E301/52</f>
        <v/>
      </c>
      <c r="G301" s="39">
        <f>D301/1000000*52</f>
        <v/>
      </c>
      <c r="H301" s="33">
        <f>G301/$P$4+($C$22/$P$4)</f>
        <v/>
      </c>
      <c r="I301" s="36">
        <f>_xlfn.IFS(K301&lt;K$24,0,K301&lt;K$26,I$24,K301&lt;K$28,I$26,K301&lt;K$30,I$28,K301&lt;K$32,I$30,K301&lt;K$34,I$32,K301&lt;K$36,I$34,K301&lt;K$38,I$36,K301&lt;K$40,I$38,K301&lt;K$42,I$40,K301&lt;K$44,I$42,K301&lt;K$46,I$44,K301&gt;=K$46,I$46)</f>
        <v/>
      </c>
      <c r="J301" s="37">
        <f>_xlfn.IFS(K301&lt;K$24,0,K301&lt;K$25,J$24,K301&lt;K$26,J$25,K301&lt;K$27,J$26,K301&lt;K$28,J$27,K301&lt;K$29,J$28,K301&lt;K$30,J$29,K301&lt;K$31,J$30,K301&lt;K$32,J$31,K301&lt;K$33,J$32,K301&lt;K$34,J$33,K301&lt;K$35,J$34,K301&lt;K$36,J$35,K301&lt;K$37,J$36,K301&lt;K$38,J$37,K301&lt;K$39,J$38,K301&lt;K$40,J$39,K301&lt;K$41,J$40,K301&lt;K$42,J$41,K301&lt;K$43,J$42,K301&lt;K$44,J$43,K301&lt;K$45,J$44,K301&lt;K$46,J$45,K301&lt;K$47,J$46,K301&gt;=K$47,J$47)</f>
        <v/>
      </c>
      <c r="K301" s="38" t="n">
        <v>251</v>
      </c>
      <c r="L301" s="31">
        <f>K301/52</f>
        <v/>
      </c>
      <c r="M301" s="39">
        <f>J301/1000000*52</f>
        <v/>
      </c>
      <c r="N301" s="33">
        <f>M301/$P$4+($I$22/$P$4)</f>
        <v/>
      </c>
      <c r="U301">
        <f>F300</f>
        <v/>
      </c>
      <c r="V301">
        <f>H300</f>
        <v/>
      </c>
      <c r="W301">
        <f>N300</f>
        <v/>
      </c>
    </row>
    <row r="302" ht="15.75" customHeight="1" s="40">
      <c r="C302" s="36">
        <f>_xlfn.IFS(E302&lt;E$24,0,E302&lt;E$26,C$24,E302&lt;E$28,C$26,E302&lt;E$30,C$28,E302&lt;E$32,C$30,E302&lt;E$34,C$32,E302&gt;=E$34,C$34)</f>
        <v/>
      </c>
      <c r="D302" s="37">
        <f>_xlfn.IFS(E302&lt;E$24,0,E302&lt;E$25,D$24,E302&lt;E$26,D$25,E302&lt;E$27,D$26,E302&lt;E$28,D$27,E302&lt;E$29,D$28,E302&lt;E$30,D$29,E302&lt;E$31,D$30,E302&lt;E$32,D$31,E302&lt;E$33,D$32,E302&lt;E$34,D$33,E302&lt;E$35,D$34,E302&gt;=E$35,D$35)</f>
        <v/>
      </c>
      <c r="E302" s="38" t="n">
        <v>252</v>
      </c>
      <c r="F302" s="31">
        <f>E302/52</f>
        <v/>
      </c>
      <c r="G302" s="39">
        <f>D302/1000000*52</f>
        <v/>
      </c>
      <c r="H302" s="33">
        <f>G302/$P$4+($C$22/$P$4)</f>
        <v/>
      </c>
      <c r="I302" s="36">
        <f>_xlfn.IFS(K302&lt;K$24,0,K302&lt;K$26,I$24,K302&lt;K$28,I$26,K302&lt;K$30,I$28,K302&lt;K$32,I$30,K302&lt;K$34,I$32,K302&lt;K$36,I$34,K302&lt;K$38,I$36,K302&lt;K$40,I$38,K302&lt;K$42,I$40,K302&lt;K$44,I$42,K302&lt;K$46,I$44,K302&gt;=K$46,I$46)</f>
        <v/>
      </c>
      <c r="J302" s="37">
        <f>_xlfn.IFS(K302&lt;K$24,0,K302&lt;K$25,J$24,K302&lt;K$26,J$25,K302&lt;K$27,J$26,K302&lt;K$28,J$27,K302&lt;K$29,J$28,K302&lt;K$30,J$29,K302&lt;K$31,J$30,K302&lt;K$32,J$31,K302&lt;K$33,J$32,K302&lt;K$34,J$33,K302&lt;K$35,J$34,K302&lt;K$36,J$35,K302&lt;K$37,J$36,K302&lt;K$38,J$37,K302&lt;K$39,J$38,K302&lt;K$40,J$39,K302&lt;K$41,J$40,K302&lt;K$42,J$41,K302&lt;K$43,J$42,K302&lt;K$44,J$43,K302&lt;K$45,J$44,K302&lt;K$46,J$45,K302&lt;K$47,J$46,K302&gt;=K$47,J$47)</f>
        <v/>
      </c>
      <c r="K302" s="38" t="n">
        <v>252</v>
      </c>
      <c r="L302" s="31">
        <f>K302/52</f>
        <v/>
      </c>
      <c r="M302" s="39">
        <f>J302/1000000*52</f>
        <v/>
      </c>
      <c r="N302" s="33">
        <f>M302/$P$4+($I$22/$P$4)</f>
        <v/>
      </c>
      <c r="U302">
        <f>F301</f>
        <v/>
      </c>
      <c r="V302">
        <f>H301</f>
        <v/>
      </c>
      <c r="W302">
        <f>N301</f>
        <v/>
      </c>
    </row>
    <row r="303" ht="15.75" customHeight="1" s="40">
      <c r="C303" s="36">
        <f>_xlfn.IFS(E303&lt;E$24,0,E303&lt;E$26,C$24,E303&lt;E$28,C$26,E303&lt;E$30,C$28,E303&lt;E$32,C$30,E303&lt;E$34,C$32,E303&gt;=E$34,C$34)</f>
        <v/>
      </c>
      <c r="D303" s="37">
        <f>_xlfn.IFS(E303&lt;E$24,0,E303&lt;E$25,D$24,E303&lt;E$26,D$25,E303&lt;E$27,D$26,E303&lt;E$28,D$27,E303&lt;E$29,D$28,E303&lt;E$30,D$29,E303&lt;E$31,D$30,E303&lt;E$32,D$31,E303&lt;E$33,D$32,E303&lt;E$34,D$33,E303&lt;E$35,D$34,E303&gt;=E$35,D$35)</f>
        <v/>
      </c>
      <c r="E303" s="38" t="n">
        <v>253</v>
      </c>
      <c r="F303" s="31">
        <f>E303/52</f>
        <v/>
      </c>
      <c r="G303" s="39">
        <f>D303/1000000*52</f>
        <v/>
      </c>
      <c r="H303" s="33">
        <f>G303/$P$4+($C$22/$P$4)</f>
        <v/>
      </c>
      <c r="I303" s="36">
        <f>_xlfn.IFS(K303&lt;K$24,0,K303&lt;K$26,I$24,K303&lt;K$28,I$26,K303&lt;K$30,I$28,K303&lt;K$32,I$30,K303&lt;K$34,I$32,K303&lt;K$36,I$34,K303&lt;K$38,I$36,K303&lt;K$40,I$38,K303&lt;K$42,I$40,K303&lt;K$44,I$42,K303&lt;K$46,I$44,K303&gt;=K$46,I$46)</f>
        <v/>
      </c>
      <c r="J303" s="37">
        <f>_xlfn.IFS(K303&lt;K$24,0,K303&lt;K$25,J$24,K303&lt;K$26,J$25,K303&lt;K$27,J$26,K303&lt;K$28,J$27,K303&lt;K$29,J$28,K303&lt;K$30,J$29,K303&lt;K$31,J$30,K303&lt;K$32,J$31,K303&lt;K$33,J$32,K303&lt;K$34,J$33,K303&lt;K$35,J$34,K303&lt;K$36,J$35,K303&lt;K$37,J$36,K303&lt;K$38,J$37,K303&lt;K$39,J$38,K303&lt;K$40,J$39,K303&lt;K$41,J$40,K303&lt;K$42,J$41,K303&lt;K$43,J$42,K303&lt;K$44,J$43,K303&lt;K$45,J$44,K303&lt;K$46,J$45,K303&lt;K$47,J$46,K303&gt;=K$47,J$47)</f>
        <v/>
      </c>
      <c r="K303" s="38" t="n">
        <v>253</v>
      </c>
      <c r="L303" s="31">
        <f>K303/52</f>
        <v/>
      </c>
      <c r="M303" s="39">
        <f>J303/1000000*52</f>
        <v/>
      </c>
      <c r="N303" s="33">
        <f>M303/$P$4+($I$22/$P$4)</f>
        <v/>
      </c>
      <c r="U303">
        <f>F302</f>
        <v/>
      </c>
      <c r="V303">
        <f>H302</f>
        <v/>
      </c>
      <c r="W303">
        <f>N302</f>
        <v/>
      </c>
    </row>
    <row r="304" ht="15.75" customHeight="1" s="40">
      <c r="C304" s="36">
        <f>_xlfn.IFS(E304&lt;E$24,0,E304&lt;E$26,C$24,E304&lt;E$28,C$26,E304&lt;E$30,C$28,E304&lt;E$32,C$30,E304&lt;E$34,C$32,E304&gt;=E$34,C$34)</f>
        <v/>
      </c>
      <c r="D304" s="37">
        <f>_xlfn.IFS(E304&lt;E$24,0,E304&lt;E$25,D$24,E304&lt;E$26,D$25,E304&lt;E$27,D$26,E304&lt;E$28,D$27,E304&lt;E$29,D$28,E304&lt;E$30,D$29,E304&lt;E$31,D$30,E304&lt;E$32,D$31,E304&lt;E$33,D$32,E304&lt;E$34,D$33,E304&lt;E$35,D$34,E304&gt;=E$35,D$35)</f>
        <v/>
      </c>
      <c r="E304" s="38" t="n">
        <v>254</v>
      </c>
      <c r="F304" s="31">
        <f>E304/52</f>
        <v/>
      </c>
      <c r="G304" s="39">
        <f>D304/1000000*52</f>
        <v/>
      </c>
      <c r="H304" s="33">
        <f>G304/$P$4+($C$22/$P$4)</f>
        <v/>
      </c>
      <c r="I304" s="36">
        <f>_xlfn.IFS(K304&lt;K$24,0,K304&lt;K$26,I$24,K304&lt;K$28,I$26,K304&lt;K$30,I$28,K304&lt;K$32,I$30,K304&lt;K$34,I$32,K304&lt;K$36,I$34,K304&lt;K$38,I$36,K304&lt;K$40,I$38,K304&lt;K$42,I$40,K304&lt;K$44,I$42,K304&lt;K$46,I$44,K304&gt;=K$46,I$46)</f>
        <v/>
      </c>
      <c r="J304" s="37">
        <f>_xlfn.IFS(K304&lt;K$24,0,K304&lt;K$25,J$24,K304&lt;K$26,J$25,K304&lt;K$27,J$26,K304&lt;K$28,J$27,K304&lt;K$29,J$28,K304&lt;K$30,J$29,K304&lt;K$31,J$30,K304&lt;K$32,J$31,K304&lt;K$33,J$32,K304&lt;K$34,J$33,K304&lt;K$35,J$34,K304&lt;K$36,J$35,K304&lt;K$37,J$36,K304&lt;K$38,J$37,K304&lt;K$39,J$38,K304&lt;K$40,J$39,K304&lt;K$41,J$40,K304&lt;K$42,J$41,K304&lt;K$43,J$42,K304&lt;K$44,J$43,K304&lt;K$45,J$44,K304&lt;K$46,J$45,K304&lt;K$47,J$46,K304&gt;=K$47,J$47)</f>
        <v/>
      </c>
      <c r="K304" s="38" t="n">
        <v>254</v>
      </c>
      <c r="L304" s="31">
        <f>K304/52</f>
        <v/>
      </c>
      <c r="M304" s="39">
        <f>J304/1000000*52</f>
        <v/>
      </c>
      <c r="N304" s="33">
        <f>M304/$P$4+($I$22/$P$4)</f>
        <v/>
      </c>
      <c r="U304">
        <f>F303</f>
        <v/>
      </c>
      <c r="V304">
        <f>H303</f>
        <v/>
      </c>
      <c r="W304">
        <f>N303</f>
        <v/>
      </c>
    </row>
    <row r="305" ht="15.75" customHeight="1" s="40">
      <c r="C305" s="36">
        <f>_xlfn.IFS(E305&lt;E$24,0,E305&lt;E$26,C$24,E305&lt;E$28,C$26,E305&lt;E$30,C$28,E305&lt;E$32,C$30,E305&lt;E$34,C$32,E305&gt;=E$34,C$34)</f>
        <v/>
      </c>
      <c r="D305" s="37">
        <f>_xlfn.IFS(E305&lt;E$24,0,E305&lt;E$25,D$24,E305&lt;E$26,D$25,E305&lt;E$27,D$26,E305&lt;E$28,D$27,E305&lt;E$29,D$28,E305&lt;E$30,D$29,E305&lt;E$31,D$30,E305&lt;E$32,D$31,E305&lt;E$33,D$32,E305&lt;E$34,D$33,E305&lt;E$35,D$34,E305&gt;=E$35,D$35)</f>
        <v/>
      </c>
      <c r="E305" s="38" t="n">
        <v>255</v>
      </c>
      <c r="F305" s="31">
        <f>E305/52</f>
        <v/>
      </c>
      <c r="G305" s="39">
        <f>D305/1000000*52</f>
        <v/>
      </c>
      <c r="H305" s="33">
        <f>G305/$P$4+($C$22/$P$4)</f>
        <v/>
      </c>
      <c r="I305" s="36">
        <f>_xlfn.IFS(K305&lt;K$24,0,K305&lt;K$26,I$24,K305&lt;K$28,I$26,K305&lt;K$30,I$28,K305&lt;K$32,I$30,K305&lt;K$34,I$32,K305&lt;K$36,I$34,K305&lt;K$38,I$36,K305&lt;K$40,I$38,K305&lt;K$42,I$40,K305&lt;K$44,I$42,K305&lt;K$46,I$44,K305&gt;=K$46,I$46)</f>
        <v/>
      </c>
      <c r="J305" s="37">
        <f>_xlfn.IFS(K305&lt;K$24,0,K305&lt;K$25,J$24,K305&lt;K$26,J$25,K305&lt;K$27,J$26,K305&lt;K$28,J$27,K305&lt;K$29,J$28,K305&lt;K$30,J$29,K305&lt;K$31,J$30,K305&lt;K$32,J$31,K305&lt;K$33,J$32,K305&lt;K$34,J$33,K305&lt;K$35,J$34,K305&lt;K$36,J$35,K305&lt;K$37,J$36,K305&lt;K$38,J$37,K305&lt;K$39,J$38,K305&lt;K$40,J$39,K305&lt;K$41,J$40,K305&lt;K$42,J$41,K305&lt;K$43,J$42,K305&lt;K$44,J$43,K305&lt;K$45,J$44,K305&lt;K$46,J$45,K305&lt;K$47,J$46,K305&gt;=K$47,J$47)</f>
        <v/>
      </c>
      <c r="K305" s="38" t="n">
        <v>255</v>
      </c>
      <c r="L305" s="31">
        <f>K305/52</f>
        <v/>
      </c>
      <c r="M305" s="39">
        <f>J305/1000000*52</f>
        <v/>
      </c>
      <c r="N305" s="33">
        <f>M305/$P$4+($I$22/$P$4)</f>
        <v/>
      </c>
      <c r="U305">
        <f>F304</f>
        <v/>
      </c>
      <c r="V305">
        <f>H304</f>
        <v/>
      </c>
      <c r="W305">
        <f>N304</f>
        <v/>
      </c>
    </row>
    <row r="306" ht="15.75" customHeight="1" s="40">
      <c r="C306" s="36">
        <f>_xlfn.IFS(E306&lt;E$24,0,E306&lt;E$26,C$24,E306&lt;E$28,C$26,E306&lt;E$30,C$28,E306&lt;E$32,C$30,E306&lt;E$34,C$32,E306&gt;=E$34,C$34)</f>
        <v/>
      </c>
      <c r="D306" s="37">
        <f>_xlfn.IFS(E306&lt;E$24,0,E306&lt;E$25,D$24,E306&lt;E$26,D$25,E306&lt;E$27,D$26,E306&lt;E$28,D$27,E306&lt;E$29,D$28,E306&lt;E$30,D$29,E306&lt;E$31,D$30,E306&lt;E$32,D$31,E306&lt;E$33,D$32,E306&lt;E$34,D$33,E306&lt;E$35,D$34,E306&gt;=E$35,D$35)</f>
        <v/>
      </c>
      <c r="E306" s="38" t="n">
        <v>256</v>
      </c>
      <c r="F306" s="31">
        <f>E306/52</f>
        <v/>
      </c>
      <c r="G306" s="39">
        <f>D306/1000000*52</f>
        <v/>
      </c>
      <c r="H306" s="33">
        <f>G306/$P$4+($C$22/$P$4)</f>
        <v/>
      </c>
      <c r="I306" s="36">
        <f>_xlfn.IFS(K306&lt;K$24,0,K306&lt;K$26,I$24,K306&lt;K$28,I$26,K306&lt;K$30,I$28,K306&lt;K$32,I$30,K306&lt;K$34,I$32,K306&lt;K$36,I$34,K306&lt;K$38,I$36,K306&lt;K$40,I$38,K306&lt;K$42,I$40,K306&lt;K$44,I$42,K306&lt;K$46,I$44,K306&gt;=K$46,I$46)</f>
        <v/>
      </c>
      <c r="J306" s="37">
        <f>_xlfn.IFS(K306&lt;K$24,0,K306&lt;K$25,J$24,K306&lt;K$26,J$25,K306&lt;K$27,J$26,K306&lt;K$28,J$27,K306&lt;K$29,J$28,K306&lt;K$30,J$29,K306&lt;K$31,J$30,K306&lt;K$32,J$31,K306&lt;K$33,J$32,K306&lt;K$34,J$33,K306&lt;K$35,J$34,K306&lt;K$36,J$35,K306&lt;K$37,J$36,K306&lt;K$38,J$37,K306&lt;K$39,J$38,K306&lt;K$40,J$39,K306&lt;K$41,J$40,K306&lt;K$42,J$41,K306&lt;K$43,J$42,K306&lt;K$44,J$43,K306&lt;K$45,J$44,K306&lt;K$46,J$45,K306&lt;K$47,J$46,K306&gt;=K$47,J$47)</f>
        <v/>
      </c>
      <c r="K306" s="38" t="n">
        <v>256</v>
      </c>
      <c r="L306" s="31">
        <f>K306/52</f>
        <v/>
      </c>
      <c r="M306" s="39">
        <f>J306/1000000*52</f>
        <v/>
      </c>
      <c r="N306" s="33">
        <f>M306/$P$4+($I$22/$P$4)</f>
        <v/>
      </c>
      <c r="U306">
        <f>F305</f>
        <v/>
      </c>
      <c r="V306">
        <f>H305</f>
        <v/>
      </c>
      <c r="W306">
        <f>N305</f>
        <v/>
      </c>
    </row>
    <row r="307" ht="15.75" customHeight="1" s="40">
      <c r="C307" s="36">
        <f>_xlfn.IFS(E307&lt;E$24,0,E307&lt;E$26,C$24,E307&lt;E$28,C$26,E307&lt;E$30,C$28,E307&lt;E$32,C$30,E307&lt;E$34,C$32,E307&gt;=E$34,C$34)</f>
        <v/>
      </c>
      <c r="D307" s="37">
        <f>_xlfn.IFS(E307&lt;E$24,0,E307&lt;E$25,D$24,E307&lt;E$26,D$25,E307&lt;E$27,D$26,E307&lt;E$28,D$27,E307&lt;E$29,D$28,E307&lt;E$30,D$29,E307&lt;E$31,D$30,E307&lt;E$32,D$31,E307&lt;E$33,D$32,E307&lt;E$34,D$33,E307&lt;E$35,D$34,E307&gt;=E$35,D$35)</f>
        <v/>
      </c>
      <c r="E307" s="38" t="n">
        <v>257</v>
      </c>
      <c r="F307" s="31">
        <f>E307/52</f>
        <v/>
      </c>
      <c r="G307" s="39">
        <f>D307/1000000*52</f>
        <v/>
      </c>
      <c r="H307" s="33">
        <f>G307/$P$4+($C$22/$P$4)</f>
        <v/>
      </c>
      <c r="I307" s="36">
        <f>_xlfn.IFS(K307&lt;K$24,0,K307&lt;K$26,I$24,K307&lt;K$28,I$26,K307&lt;K$30,I$28,K307&lt;K$32,I$30,K307&lt;K$34,I$32,K307&lt;K$36,I$34,K307&lt;K$38,I$36,K307&lt;K$40,I$38,K307&lt;K$42,I$40,K307&lt;K$44,I$42,K307&lt;K$46,I$44,K307&gt;=K$46,I$46)</f>
        <v/>
      </c>
      <c r="J307" s="37">
        <f>_xlfn.IFS(K307&lt;K$24,0,K307&lt;K$25,J$24,K307&lt;K$26,J$25,K307&lt;K$27,J$26,K307&lt;K$28,J$27,K307&lt;K$29,J$28,K307&lt;K$30,J$29,K307&lt;K$31,J$30,K307&lt;K$32,J$31,K307&lt;K$33,J$32,K307&lt;K$34,J$33,K307&lt;K$35,J$34,K307&lt;K$36,J$35,K307&lt;K$37,J$36,K307&lt;K$38,J$37,K307&lt;K$39,J$38,K307&lt;K$40,J$39,K307&lt;K$41,J$40,K307&lt;K$42,J$41,K307&lt;K$43,J$42,K307&lt;K$44,J$43,K307&lt;K$45,J$44,K307&lt;K$46,J$45,K307&lt;K$47,J$46,K307&gt;=K$47,J$47)</f>
        <v/>
      </c>
      <c r="K307" s="38" t="n">
        <v>257</v>
      </c>
      <c r="L307" s="31">
        <f>K307/52</f>
        <v/>
      </c>
      <c r="M307" s="39">
        <f>J307/1000000*52</f>
        <v/>
      </c>
      <c r="N307" s="33">
        <f>M307/$P$4+($I$22/$P$4)</f>
        <v/>
      </c>
      <c r="U307">
        <f>F306</f>
        <v/>
      </c>
      <c r="V307">
        <f>H306</f>
        <v/>
      </c>
      <c r="W307">
        <f>N306</f>
        <v/>
      </c>
    </row>
    <row r="308" ht="15.75" customHeight="1" s="40">
      <c r="C308" s="36">
        <f>_xlfn.IFS(E308&lt;E$24,0,E308&lt;E$26,C$24,E308&lt;E$28,C$26,E308&lt;E$30,C$28,E308&lt;E$32,C$30,E308&lt;E$34,C$32,E308&gt;=E$34,C$34)</f>
        <v/>
      </c>
      <c r="D308" s="37">
        <f>_xlfn.IFS(E308&lt;E$24,0,E308&lt;E$25,D$24,E308&lt;E$26,D$25,E308&lt;E$27,D$26,E308&lt;E$28,D$27,E308&lt;E$29,D$28,E308&lt;E$30,D$29,E308&lt;E$31,D$30,E308&lt;E$32,D$31,E308&lt;E$33,D$32,E308&lt;E$34,D$33,E308&lt;E$35,D$34,E308&gt;=E$35,D$35)</f>
        <v/>
      </c>
      <c r="E308" s="38" t="n">
        <v>258</v>
      </c>
      <c r="F308" s="31">
        <f>E308/52</f>
        <v/>
      </c>
      <c r="G308" s="39">
        <f>D308/1000000*52</f>
        <v/>
      </c>
      <c r="H308" s="33">
        <f>G308/$P$4+($C$22/$P$4)</f>
        <v/>
      </c>
      <c r="I308" s="36">
        <f>_xlfn.IFS(K308&lt;K$24,0,K308&lt;K$26,I$24,K308&lt;K$28,I$26,K308&lt;K$30,I$28,K308&lt;K$32,I$30,K308&lt;K$34,I$32,K308&lt;K$36,I$34,K308&lt;K$38,I$36,K308&lt;K$40,I$38,K308&lt;K$42,I$40,K308&lt;K$44,I$42,K308&lt;K$46,I$44,K308&gt;=K$46,I$46)</f>
        <v/>
      </c>
      <c r="J308" s="37">
        <f>_xlfn.IFS(K308&lt;K$24,0,K308&lt;K$25,J$24,K308&lt;K$26,J$25,K308&lt;K$27,J$26,K308&lt;K$28,J$27,K308&lt;K$29,J$28,K308&lt;K$30,J$29,K308&lt;K$31,J$30,K308&lt;K$32,J$31,K308&lt;K$33,J$32,K308&lt;K$34,J$33,K308&lt;K$35,J$34,K308&lt;K$36,J$35,K308&lt;K$37,J$36,K308&lt;K$38,J$37,K308&lt;K$39,J$38,K308&lt;K$40,J$39,K308&lt;K$41,J$40,K308&lt;K$42,J$41,K308&lt;K$43,J$42,K308&lt;K$44,J$43,K308&lt;K$45,J$44,K308&lt;K$46,J$45,K308&lt;K$47,J$46,K308&gt;=K$47,J$47)</f>
        <v/>
      </c>
      <c r="K308" s="38" t="n">
        <v>258</v>
      </c>
      <c r="L308" s="31">
        <f>K308/52</f>
        <v/>
      </c>
      <c r="M308" s="39">
        <f>J308/1000000*52</f>
        <v/>
      </c>
      <c r="N308" s="33">
        <f>M308/$P$4+($I$22/$P$4)</f>
        <v/>
      </c>
      <c r="U308">
        <f>F307</f>
        <v/>
      </c>
      <c r="V308">
        <f>H307</f>
        <v/>
      </c>
      <c r="W308">
        <f>N307</f>
        <v/>
      </c>
    </row>
    <row r="309" ht="15.75" customHeight="1" s="40">
      <c r="C309" s="36">
        <f>_xlfn.IFS(E309&lt;E$24,0,E309&lt;E$26,C$24,E309&lt;E$28,C$26,E309&lt;E$30,C$28,E309&lt;E$32,C$30,E309&lt;E$34,C$32,E309&gt;=E$34,C$34)</f>
        <v/>
      </c>
      <c r="D309" s="37">
        <f>_xlfn.IFS(E309&lt;E$24,0,E309&lt;E$25,D$24,E309&lt;E$26,D$25,E309&lt;E$27,D$26,E309&lt;E$28,D$27,E309&lt;E$29,D$28,E309&lt;E$30,D$29,E309&lt;E$31,D$30,E309&lt;E$32,D$31,E309&lt;E$33,D$32,E309&lt;E$34,D$33,E309&lt;E$35,D$34,E309&gt;=E$35,D$35)</f>
        <v/>
      </c>
      <c r="E309" s="38" t="n">
        <v>259</v>
      </c>
      <c r="F309" s="31">
        <f>E309/52</f>
        <v/>
      </c>
      <c r="G309" s="39">
        <f>D309/1000000*52</f>
        <v/>
      </c>
      <c r="H309" s="33">
        <f>G309/$P$4+($C$22/$P$4)</f>
        <v/>
      </c>
      <c r="I309" s="36">
        <f>_xlfn.IFS(K309&lt;K$24,0,K309&lt;K$26,I$24,K309&lt;K$28,I$26,K309&lt;K$30,I$28,K309&lt;K$32,I$30,K309&lt;K$34,I$32,K309&lt;K$36,I$34,K309&lt;K$38,I$36,K309&lt;K$40,I$38,K309&lt;K$42,I$40,K309&lt;K$44,I$42,K309&lt;K$46,I$44,K309&gt;=K$46,I$46)</f>
        <v/>
      </c>
      <c r="J309" s="37">
        <f>_xlfn.IFS(K309&lt;K$24,0,K309&lt;K$25,J$24,K309&lt;K$26,J$25,K309&lt;K$27,J$26,K309&lt;K$28,J$27,K309&lt;K$29,J$28,K309&lt;K$30,J$29,K309&lt;K$31,J$30,K309&lt;K$32,J$31,K309&lt;K$33,J$32,K309&lt;K$34,J$33,K309&lt;K$35,J$34,K309&lt;K$36,J$35,K309&lt;K$37,J$36,K309&lt;K$38,J$37,K309&lt;K$39,J$38,K309&lt;K$40,J$39,K309&lt;K$41,J$40,K309&lt;K$42,J$41,K309&lt;K$43,J$42,K309&lt;K$44,J$43,K309&lt;K$45,J$44,K309&lt;K$46,J$45,K309&lt;K$47,J$46,K309&gt;=K$47,J$47)</f>
        <v/>
      </c>
      <c r="K309" s="38" t="n">
        <v>259</v>
      </c>
      <c r="L309" s="31">
        <f>K309/52</f>
        <v/>
      </c>
      <c r="M309" s="39">
        <f>J309/1000000*52</f>
        <v/>
      </c>
      <c r="N309" s="33">
        <f>M309/$P$4+($I$22/$P$4)</f>
        <v/>
      </c>
      <c r="U309">
        <f>F308</f>
        <v/>
      </c>
      <c r="V309">
        <f>H308</f>
        <v/>
      </c>
      <c r="W309">
        <f>N308</f>
        <v/>
      </c>
    </row>
    <row r="310" ht="15.75" customHeight="1" s="40">
      <c r="C310" s="36">
        <f>_xlfn.IFS(E310&lt;E$24,0,E310&lt;E$26,C$24,E310&lt;E$28,C$26,E310&lt;E$30,C$28,E310&lt;E$32,C$30,E310&lt;E$34,C$32,E310&gt;=E$34,C$34)</f>
        <v/>
      </c>
      <c r="D310" s="37">
        <f>_xlfn.IFS(E310&lt;E$24,0,E310&lt;E$25,D$24,E310&lt;E$26,D$25,E310&lt;E$27,D$26,E310&lt;E$28,D$27,E310&lt;E$29,D$28,E310&lt;E$30,D$29,E310&lt;E$31,D$30,E310&lt;E$32,D$31,E310&lt;E$33,D$32,E310&lt;E$34,D$33,E310&lt;E$35,D$34,E310&gt;=E$35,D$35)</f>
        <v/>
      </c>
      <c r="E310" s="38" t="n">
        <v>260</v>
      </c>
      <c r="F310" s="31">
        <f>E310/52</f>
        <v/>
      </c>
      <c r="G310" s="39">
        <f>D310/1000000*52</f>
        <v/>
      </c>
      <c r="H310" s="33">
        <f>G310/$P$4+($C$22/$P$4)</f>
        <v/>
      </c>
      <c r="I310" s="36">
        <f>_xlfn.IFS(K310&lt;K$24,0,K310&lt;K$26,I$24,K310&lt;K$28,I$26,K310&lt;K$30,I$28,K310&lt;K$32,I$30,K310&lt;K$34,I$32,K310&lt;K$36,I$34,K310&lt;K$38,I$36,K310&lt;K$40,I$38,K310&lt;K$42,I$40,K310&lt;K$44,I$42,K310&lt;K$46,I$44,K310&gt;=K$46,I$46)</f>
        <v/>
      </c>
      <c r="J310" s="37">
        <f>_xlfn.IFS(K310&lt;K$24,0,K310&lt;K$25,J$24,K310&lt;K$26,J$25,K310&lt;K$27,J$26,K310&lt;K$28,J$27,K310&lt;K$29,J$28,K310&lt;K$30,J$29,K310&lt;K$31,J$30,K310&lt;K$32,J$31,K310&lt;K$33,J$32,K310&lt;K$34,J$33,K310&lt;K$35,J$34,K310&lt;K$36,J$35,K310&lt;K$37,J$36,K310&lt;K$38,J$37,K310&lt;K$39,J$38,K310&lt;K$40,J$39,K310&lt;K$41,J$40,K310&lt;K$42,J$41,K310&lt;K$43,J$42,K310&lt;K$44,J$43,K310&lt;K$45,J$44,K310&lt;K$46,J$45,K310&lt;K$47,J$46,K310&gt;=K$47,J$47)</f>
        <v/>
      </c>
      <c r="K310" s="38" t="n">
        <v>260</v>
      </c>
      <c r="L310" s="31">
        <f>K310/52</f>
        <v/>
      </c>
      <c r="M310" s="39">
        <f>J310/1000000*52</f>
        <v/>
      </c>
      <c r="N310" s="33">
        <f>M310/$P$4+($I$22/$P$4)</f>
        <v/>
      </c>
      <c r="U310">
        <f>F309</f>
        <v/>
      </c>
      <c r="V310">
        <f>H309</f>
        <v/>
      </c>
      <c r="W310">
        <f>N309</f>
        <v/>
      </c>
    </row>
    <row r="311" ht="15.75" customHeight="1" s="40">
      <c r="C311" s="36">
        <f>_xlfn.IFS(E311&lt;E$24,0,E311&lt;E$26,C$24,E311&lt;E$28,C$26,E311&lt;E$30,C$28,E311&lt;E$32,C$30,E311&lt;E$34,C$32,E311&gt;=E$34,C$34)</f>
        <v/>
      </c>
      <c r="D311" s="37">
        <f>_xlfn.IFS(E311&lt;E$24,0,E311&lt;E$25,D$24,E311&lt;E$26,D$25,E311&lt;E$27,D$26,E311&lt;E$28,D$27,E311&lt;E$29,D$28,E311&lt;E$30,D$29,E311&lt;E$31,D$30,E311&lt;E$32,D$31,E311&lt;E$33,D$32,E311&lt;E$34,D$33,E311&lt;E$35,D$34,E311&gt;=E$35,D$35)</f>
        <v/>
      </c>
      <c r="E311" s="38" t="n">
        <v>261</v>
      </c>
      <c r="F311" s="31">
        <f>E311/52</f>
        <v/>
      </c>
      <c r="G311" s="39">
        <f>D311/1000000*52</f>
        <v/>
      </c>
      <c r="H311" s="33">
        <f>G311/$P$4+($C$22/$P$4)</f>
        <v/>
      </c>
      <c r="I311" s="36">
        <f>_xlfn.IFS(K311&lt;K$24,0,K311&lt;K$26,I$24,K311&lt;K$28,I$26,K311&lt;K$30,I$28,K311&lt;K$32,I$30,K311&lt;K$34,I$32,K311&lt;K$36,I$34,K311&lt;K$38,I$36,K311&lt;K$40,I$38,K311&lt;K$42,I$40,K311&lt;K$44,I$42,K311&lt;K$46,I$44,K311&gt;=K$46,I$46)</f>
        <v/>
      </c>
      <c r="J311" s="37">
        <f>_xlfn.IFS(K311&lt;K$24,0,K311&lt;K$25,J$24,K311&lt;K$26,J$25,K311&lt;K$27,J$26,K311&lt;K$28,J$27,K311&lt;K$29,J$28,K311&lt;K$30,J$29,K311&lt;K$31,J$30,K311&lt;K$32,J$31,K311&lt;K$33,J$32,K311&lt;K$34,J$33,K311&lt;K$35,J$34,K311&lt;K$36,J$35,K311&lt;K$37,J$36,K311&lt;K$38,J$37,K311&lt;K$39,J$38,K311&lt;K$40,J$39,K311&lt;K$41,J$40,K311&lt;K$42,J$41,K311&lt;K$43,J$42,K311&lt;K$44,J$43,K311&lt;K$45,J$44,K311&lt;K$46,J$45,K311&lt;K$47,J$46,K311&gt;=K$47,J$47)</f>
        <v/>
      </c>
      <c r="K311" s="38" t="n">
        <v>261</v>
      </c>
      <c r="L311" s="31">
        <f>K311/52</f>
        <v/>
      </c>
      <c r="M311" s="39">
        <f>J311/1000000*52</f>
        <v/>
      </c>
      <c r="N311" s="33">
        <f>M311/$P$4+($I$22/$P$4)</f>
        <v/>
      </c>
      <c r="U311">
        <f>F310</f>
        <v/>
      </c>
      <c r="V311">
        <f>H310</f>
        <v/>
      </c>
      <c r="W311">
        <f>N310</f>
        <v/>
      </c>
    </row>
    <row r="312" ht="15.75" customHeight="1" s="40">
      <c r="C312" s="36">
        <f>_xlfn.IFS(E312&lt;E$24,0,E312&lt;E$26,C$24,E312&lt;E$28,C$26,E312&lt;E$30,C$28,E312&lt;E$32,C$30,E312&lt;E$34,C$32,E312&gt;=E$34,C$34)</f>
        <v/>
      </c>
      <c r="D312" s="37">
        <f>_xlfn.IFS(E312&lt;E$24,0,E312&lt;E$25,D$24,E312&lt;E$26,D$25,E312&lt;E$27,D$26,E312&lt;E$28,D$27,E312&lt;E$29,D$28,E312&lt;E$30,D$29,E312&lt;E$31,D$30,E312&lt;E$32,D$31,E312&lt;E$33,D$32,E312&lt;E$34,D$33,E312&lt;E$35,D$34,E312&gt;=E$35,D$35)</f>
        <v/>
      </c>
      <c r="E312" s="38" t="n">
        <v>262</v>
      </c>
      <c r="F312" s="31">
        <f>E312/52</f>
        <v/>
      </c>
      <c r="G312" s="39">
        <f>D312/1000000*52</f>
        <v/>
      </c>
      <c r="H312" s="33">
        <f>G312/$P$4+($C$22/$P$4)</f>
        <v/>
      </c>
      <c r="I312" s="36">
        <f>_xlfn.IFS(K312&lt;K$24,0,K312&lt;K$26,I$24,K312&lt;K$28,I$26,K312&lt;K$30,I$28,K312&lt;K$32,I$30,K312&lt;K$34,I$32,K312&lt;K$36,I$34,K312&lt;K$38,I$36,K312&lt;K$40,I$38,K312&lt;K$42,I$40,K312&lt;K$44,I$42,K312&lt;K$46,I$44,K312&gt;=K$46,I$46)</f>
        <v/>
      </c>
      <c r="J312" s="37">
        <f>_xlfn.IFS(K312&lt;K$24,0,K312&lt;K$25,J$24,K312&lt;K$26,J$25,K312&lt;K$27,J$26,K312&lt;K$28,J$27,K312&lt;K$29,J$28,K312&lt;K$30,J$29,K312&lt;K$31,J$30,K312&lt;K$32,J$31,K312&lt;K$33,J$32,K312&lt;K$34,J$33,K312&lt;K$35,J$34,K312&lt;K$36,J$35,K312&lt;K$37,J$36,K312&lt;K$38,J$37,K312&lt;K$39,J$38,K312&lt;K$40,J$39,K312&lt;K$41,J$40,K312&lt;K$42,J$41,K312&lt;K$43,J$42,K312&lt;K$44,J$43,K312&lt;K$45,J$44,K312&lt;K$46,J$45,K312&lt;K$47,J$46,K312&gt;=K$47,J$47)</f>
        <v/>
      </c>
      <c r="K312" s="38" t="n">
        <v>262</v>
      </c>
      <c r="L312" s="31">
        <f>K312/52</f>
        <v/>
      </c>
      <c r="M312" s="39">
        <f>J312/1000000*52</f>
        <v/>
      </c>
      <c r="N312" s="33">
        <f>M312/$P$4+($I$22/$P$4)</f>
        <v/>
      </c>
      <c r="U312">
        <f>F311</f>
        <v/>
      </c>
      <c r="V312">
        <f>H311</f>
        <v/>
      </c>
      <c r="W312">
        <f>N311</f>
        <v/>
      </c>
    </row>
    <row r="313" ht="15.75" customHeight="1" s="40">
      <c r="C313" s="36">
        <f>_xlfn.IFS(E313&lt;E$24,0,E313&lt;E$26,C$24,E313&lt;E$28,C$26,E313&lt;E$30,C$28,E313&lt;E$32,C$30,E313&lt;E$34,C$32,E313&gt;=E$34,C$34)</f>
        <v/>
      </c>
      <c r="D313" s="37">
        <f>_xlfn.IFS(E313&lt;E$24,0,E313&lt;E$25,D$24,E313&lt;E$26,D$25,E313&lt;E$27,D$26,E313&lt;E$28,D$27,E313&lt;E$29,D$28,E313&lt;E$30,D$29,E313&lt;E$31,D$30,E313&lt;E$32,D$31,E313&lt;E$33,D$32,E313&lt;E$34,D$33,E313&lt;E$35,D$34,E313&gt;=E$35,D$35)</f>
        <v/>
      </c>
      <c r="E313" s="38" t="n">
        <v>263</v>
      </c>
      <c r="F313" s="31">
        <f>E313/52</f>
        <v/>
      </c>
      <c r="G313" s="39">
        <f>D313/1000000*52</f>
        <v/>
      </c>
      <c r="H313" s="33">
        <f>G313/$P$4+($C$22/$P$4)</f>
        <v/>
      </c>
      <c r="I313" s="36">
        <f>_xlfn.IFS(K313&lt;K$24,0,K313&lt;K$26,I$24,K313&lt;K$28,I$26,K313&lt;K$30,I$28,K313&lt;K$32,I$30,K313&lt;K$34,I$32,K313&lt;K$36,I$34,K313&lt;K$38,I$36,K313&lt;K$40,I$38,K313&lt;K$42,I$40,K313&lt;K$44,I$42,K313&lt;K$46,I$44,K313&gt;=K$46,I$46)</f>
        <v/>
      </c>
      <c r="J313" s="37">
        <f>_xlfn.IFS(K313&lt;K$24,0,K313&lt;K$25,J$24,K313&lt;K$26,J$25,K313&lt;K$27,J$26,K313&lt;K$28,J$27,K313&lt;K$29,J$28,K313&lt;K$30,J$29,K313&lt;K$31,J$30,K313&lt;K$32,J$31,K313&lt;K$33,J$32,K313&lt;K$34,J$33,K313&lt;K$35,J$34,K313&lt;K$36,J$35,K313&lt;K$37,J$36,K313&lt;K$38,J$37,K313&lt;K$39,J$38,K313&lt;K$40,J$39,K313&lt;K$41,J$40,K313&lt;K$42,J$41,K313&lt;K$43,J$42,K313&lt;K$44,J$43,K313&lt;K$45,J$44,K313&lt;K$46,J$45,K313&lt;K$47,J$46,K313&gt;=K$47,J$47)</f>
        <v/>
      </c>
      <c r="K313" s="38" t="n">
        <v>263</v>
      </c>
      <c r="L313" s="31">
        <f>K313/52</f>
        <v/>
      </c>
      <c r="M313" s="39">
        <f>J313/1000000*52</f>
        <v/>
      </c>
      <c r="N313" s="33">
        <f>M313/$P$4+($I$22/$P$4)</f>
        <v/>
      </c>
      <c r="U313">
        <f>F312</f>
        <v/>
      </c>
      <c r="V313">
        <f>H312</f>
        <v/>
      </c>
      <c r="W313">
        <f>N312</f>
        <v/>
      </c>
    </row>
    <row r="314" ht="15.75" customHeight="1" s="40">
      <c r="C314" s="36">
        <f>_xlfn.IFS(E314&lt;E$24,0,E314&lt;E$26,C$24,E314&lt;E$28,C$26,E314&lt;E$30,C$28,E314&lt;E$32,C$30,E314&lt;E$34,C$32,E314&gt;=E$34,C$34)</f>
        <v/>
      </c>
      <c r="D314" s="37">
        <f>_xlfn.IFS(E314&lt;E$24,0,E314&lt;E$25,D$24,E314&lt;E$26,D$25,E314&lt;E$27,D$26,E314&lt;E$28,D$27,E314&lt;E$29,D$28,E314&lt;E$30,D$29,E314&lt;E$31,D$30,E314&lt;E$32,D$31,E314&lt;E$33,D$32,E314&lt;E$34,D$33,E314&lt;E$35,D$34,E314&gt;=E$35,D$35)</f>
        <v/>
      </c>
      <c r="E314" s="38" t="n">
        <v>264</v>
      </c>
      <c r="F314" s="31">
        <f>E314/52</f>
        <v/>
      </c>
      <c r="G314" s="39">
        <f>D314/1000000*52</f>
        <v/>
      </c>
      <c r="H314" s="33">
        <f>G314/$P$4+($C$22/$P$4)</f>
        <v/>
      </c>
      <c r="I314" s="36">
        <f>_xlfn.IFS(K314&lt;K$24,0,K314&lt;K$26,I$24,K314&lt;K$28,I$26,K314&lt;K$30,I$28,K314&lt;K$32,I$30,K314&lt;K$34,I$32,K314&lt;K$36,I$34,K314&lt;K$38,I$36,K314&lt;K$40,I$38,K314&lt;K$42,I$40,K314&lt;K$44,I$42,K314&lt;K$46,I$44,K314&gt;=K$46,I$46)</f>
        <v/>
      </c>
      <c r="J314" s="37">
        <f>_xlfn.IFS(K314&lt;K$24,0,K314&lt;K$25,J$24,K314&lt;K$26,J$25,K314&lt;K$27,J$26,K314&lt;K$28,J$27,K314&lt;K$29,J$28,K314&lt;K$30,J$29,K314&lt;K$31,J$30,K314&lt;K$32,J$31,K314&lt;K$33,J$32,K314&lt;K$34,J$33,K314&lt;K$35,J$34,K314&lt;K$36,J$35,K314&lt;K$37,J$36,K314&lt;K$38,J$37,K314&lt;K$39,J$38,K314&lt;K$40,J$39,K314&lt;K$41,J$40,K314&lt;K$42,J$41,K314&lt;K$43,J$42,K314&lt;K$44,J$43,K314&lt;K$45,J$44,K314&lt;K$46,J$45,K314&lt;K$47,J$46,K314&gt;=K$47,J$47)</f>
        <v/>
      </c>
      <c r="K314" s="38" t="n">
        <v>264</v>
      </c>
      <c r="L314" s="31">
        <f>K314/52</f>
        <v/>
      </c>
      <c r="M314" s="39">
        <f>J314/1000000*52</f>
        <v/>
      </c>
      <c r="N314" s="33">
        <f>M314/$P$4+($I$22/$P$4)</f>
        <v/>
      </c>
      <c r="U314">
        <f>F313</f>
        <v/>
      </c>
      <c r="V314">
        <f>H313</f>
        <v/>
      </c>
      <c r="W314">
        <f>N313</f>
        <v/>
      </c>
    </row>
    <row r="315" ht="15.75" customHeight="1" s="40">
      <c r="C315" s="36">
        <f>_xlfn.IFS(E315&lt;E$24,0,E315&lt;E$26,C$24,E315&lt;E$28,C$26,E315&lt;E$30,C$28,E315&lt;E$32,C$30,E315&lt;E$34,C$32,E315&gt;=E$34,C$34)</f>
        <v/>
      </c>
      <c r="D315" s="37">
        <f>_xlfn.IFS(E315&lt;E$24,0,E315&lt;E$25,D$24,E315&lt;E$26,D$25,E315&lt;E$27,D$26,E315&lt;E$28,D$27,E315&lt;E$29,D$28,E315&lt;E$30,D$29,E315&lt;E$31,D$30,E315&lt;E$32,D$31,E315&lt;E$33,D$32,E315&lt;E$34,D$33,E315&lt;E$35,D$34,E315&gt;=E$35,D$35)</f>
        <v/>
      </c>
      <c r="E315" s="38" t="n">
        <v>265</v>
      </c>
      <c r="F315" s="31">
        <f>E315/52</f>
        <v/>
      </c>
      <c r="G315" s="39">
        <f>D315/1000000*52</f>
        <v/>
      </c>
      <c r="H315" s="33">
        <f>G315/$P$4+($C$22/$P$4)</f>
        <v/>
      </c>
      <c r="I315" s="36">
        <f>_xlfn.IFS(K315&lt;K$24,0,K315&lt;K$26,I$24,K315&lt;K$28,I$26,K315&lt;K$30,I$28,K315&lt;K$32,I$30,K315&lt;K$34,I$32,K315&lt;K$36,I$34,K315&lt;K$38,I$36,K315&lt;K$40,I$38,K315&lt;K$42,I$40,K315&lt;K$44,I$42,K315&lt;K$46,I$44,K315&gt;=K$46,I$46)</f>
        <v/>
      </c>
      <c r="J315" s="37">
        <f>_xlfn.IFS(K315&lt;K$24,0,K315&lt;K$25,J$24,K315&lt;K$26,J$25,K315&lt;K$27,J$26,K315&lt;K$28,J$27,K315&lt;K$29,J$28,K315&lt;K$30,J$29,K315&lt;K$31,J$30,K315&lt;K$32,J$31,K315&lt;K$33,J$32,K315&lt;K$34,J$33,K315&lt;K$35,J$34,K315&lt;K$36,J$35,K315&lt;K$37,J$36,K315&lt;K$38,J$37,K315&lt;K$39,J$38,K315&lt;K$40,J$39,K315&lt;K$41,J$40,K315&lt;K$42,J$41,K315&lt;K$43,J$42,K315&lt;K$44,J$43,K315&lt;K$45,J$44,K315&lt;K$46,J$45,K315&lt;K$47,J$46,K315&gt;=K$47,J$47)</f>
        <v/>
      </c>
      <c r="K315" s="38" t="n">
        <v>265</v>
      </c>
      <c r="L315" s="31">
        <f>K315/52</f>
        <v/>
      </c>
      <c r="M315" s="39">
        <f>J315/1000000*52</f>
        <v/>
      </c>
      <c r="N315" s="33">
        <f>M315/$P$4+($I$22/$P$4)</f>
        <v/>
      </c>
      <c r="U315">
        <f>F314</f>
        <v/>
      </c>
      <c r="V315">
        <f>H314</f>
        <v/>
      </c>
      <c r="W315">
        <f>N314</f>
        <v/>
      </c>
    </row>
    <row r="316" ht="15.75" customHeight="1" s="40">
      <c r="C316" s="36">
        <f>_xlfn.IFS(E316&lt;E$24,0,E316&lt;E$26,C$24,E316&lt;E$28,C$26,E316&lt;E$30,C$28,E316&lt;E$32,C$30,E316&lt;E$34,C$32,E316&gt;=E$34,C$34)</f>
        <v/>
      </c>
      <c r="D316" s="37">
        <f>_xlfn.IFS(E316&lt;E$24,0,E316&lt;E$25,D$24,E316&lt;E$26,D$25,E316&lt;E$27,D$26,E316&lt;E$28,D$27,E316&lt;E$29,D$28,E316&lt;E$30,D$29,E316&lt;E$31,D$30,E316&lt;E$32,D$31,E316&lt;E$33,D$32,E316&lt;E$34,D$33,E316&lt;E$35,D$34,E316&gt;=E$35,D$35)</f>
        <v/>
      </c>
      <c r="E316" s="38" t="n">
        <v>266</v>
      </c>
      <c r="F316" s="31">
        <f>E316/52</f>
        <v/>
      </c>
      <c r="G316" s="39">
        <f>D316/1000000*52</f>
        <v/>
      </c>
      <c r="H316" s="33">
        <f>G316/$P$4+($C$22/$P$4)</f>
        <v/>
      </c>
      <c r="I316" s="36">
        <f>_xlfn.IFS(K316&lt;K$24,0,K316&lt;K$26,I$24,K316&lt;K$28,I$26,K316&lt;K$30,I$28,K316&lt;K$32,I$30,K316&lt;K$34,I$32,K316&lt;K$36,I$34,K316&lt;K$38,I$36,K316&lt;K$40,I$38,K316&lt;K$42,I$40,K316&lt;K$44,I$42,K316&lt;K$46,I$44,K316&gt;=K$46,I$46)</f>
        <v/>
      </c>
      <c r="J316" s="37">
        <f>_xlfn.IFS(K316&lt;K$24,0,K316&lt;K$25,J$24,K316&lt;K$26,J$25,K316&lt;K$27,J$26,K316&lt;K$28,J$27,K316&lt;K$29,J$28,K316&lt;K$30,J$29,K316&lt;K$31,J$30,K316&lt;K$32,J$31,K316&lt;K$33,J$32,K316&lt;K$34,J$33,K316&lt;K$35,J$34,K316&lt;K$36,J$35,K316&lt;K$37,J$36,K316&lt;K$38,J$37,K316&lt;K$39,J$38,K316&lt;K$40,J$39,K316&lt;K$41,J$40,K316&lt;K$42,J$41,K316&lt;K$43,J$42,K316&lt;K$44,J$43,K316&lt;K$45,J$44,K316&lt;K$46,J$45,K316&lt;K$47,J$46,K316&gt;=K$47,J$47)</f>
        <v/>
      </c>
      <c r="K316" s="38" t="n">
        <v>266</v>
      </c>
      <c r="L316" s="31">
        <f>K316/52</f>
        <v/>
      </c>
      <c r="M316" s="39">
        <f>J316/1000000*52</f>
        <v/>
      </c>
      <c r="N316" s="33">
        <f>M316/$P$4+($I$22/$P$4)</f>
        <v/>
      </c>
      <c r="U316">
        <f>F315</f>
        <v/>
      </c>
      <c r="V316">
        <f>H315</f>
        <v/>
      </c>
      <c r="W316">
        <f>N315</f>
        <v/>
      </c>
    </row>
    <row r="317" ht="15.75" customHeight="1" s="40">
      <c r="C317" s="36">
        <f>_xlfn.IFS(E317&lt;E$24,0,E317&lt;E$26,C$24,E317&lt;E$28,C$26,E317&lt;E$30,C$28,E317&lt;E$32,C$30,E317&lt;E$34,C$32,E317&gt;=E$34,C$34)</f>
        <v/>
      </c>
      <c r="D317" s="37">
        <f>_xlfn.IFS(E317&lt;E$24,0,E317&lt;E$25,D$24,E317&lt;E$26,D$25,E317&lt;E$27,D$26,E317&lt;E$28,D$27,E317&lt;E$29,D$28,E317&lt;E$30,D$29,E317&lt;E$31,D$30,E317&lt;E$32,D$31,E317&lt;E$33,D$32,E317&lt;E$34,D$33,E317&lt;E$35,D$34,E317&gt;=E$35,D$35)</f>
        <v/>
      </c>
      <c r="E317" s="38" t="n">
        <v>267</v>
      </c>
      <c r="F317" s="31">
        <f>E317/52</f>
        <v/>
      </c>
      <c r="G317" s="39">
        <f>D317/1000000*52</f>
        <v/>
      </c>
      <c r="H317" s="33">
        <f>G317/$P$4+($C$22/$P$4)</f>
        <v/>
      </c>
      <c r="I317" s="36">
        <f>_xlfn.IFS(K317&lt;K$24,0,K317&lt;K$26,I$24,K317&lt;K$28,I$26,K317&lt;K$30,I$28,K317&lt;K$32,I$30,K317&lt;K$34,I$32,K317&lt;K$36,I$34,K317&lt;K$38,I$36,K317&lt;K$40,I$38,K317&lt;K$42,I$40,K317&lt;K$44,I$42,K317&lt;K$46,I$44,K317&gt;=K$46,I$46)</f>
        <v/>
      </c>
      <c r="J317" s="37">
        <f>_xlfn.IFS(K317&lt;K$24,0,K317&lt;K$25,J$24,K317&lt;K$26,J$25,K317&lt;K$27,J$26,K317&lt;K$28,J$27,K317&lt;K$29,J$28,K317&lt;K$30,J$29,K317&lt;K$31,J$30,K317&lt;K$32,J$31,K317&lt;K$33,J$32,K317&lt;K$34,J$33,K317&lt;K$35,J$34,K317&lt;K$36,J$35,K317&lt;K$37,J$36,K317&lt;K$38,J$37,K317&lt;K$39,J$38,K317&lt;K$40,J$39,K317&lt;K$41,J$40,K317&lt;K$42,J$41,K317&lt;K$43,J$42,K317&lt;K$44,J$43,K317&lt;K$45,J$44,K317&lt;K$46,J$45,K317&lt;K$47,J$46,K317&gt;=K$47,J$47)</f>
        <v/>
      </c>
      <c r="K317" s="38" t="n">
        <v>267</v>
      </c>
      <c r="L317" s="31">
        <f>K317/52</f>
        <v/>
      </c>
      <c r="M317" s="39">
        <f>J317/1000000*52</f>
        <v/>
      </c>
      <c r="N317" s="33">
        <f>M317/$P$4+($I$22/$P$4)</f>
        <v/>
      </c>
      <c r="U317">
        <f>F316</f>
        <v/>
      </c>
      <c r="V317">
        <f>H316</f>
        <v/>
      </c>
      <c r="W317">
        <f>N316</f>
        <v/>
      </c>
    </row>
    <row r="318" ht="15.75" customHeight="1" s="40">
      <c r="C318" s="36">
        <f>_xlfn.IFS(E318&lt;E$24,0,E318&lt;E$26,C$24,E318&lt;E$28,C$26,E318&lt;E$30,C$28,E318&lt;E$32,C$30,E318&lt;E$34,C$32,E318&gt;=E$34,C$34)</f>
        <v/>
      </c>
      <c r="D318" s="37">
        <f>_xlfn.IFS(E318&lt;E$24,0,E318&lt;E$25,D$24,E318&lt;E$26,D$25,E318&lt;E$27,D$26,E318&lt;E$28,D$27,E318&lt;E$29,D$28,E318&lt;E$30,D$29,E318&lt;E$31,D$30,E318&lt;E$32,D$31,E318&lt;E$33,D$32,E318&lt;E$34,D$33,E318&lt;E$35,D$34,E318&gt;=E$35,D$35)</f>
        <v/>
      </c>
      <c r="E318" s="38" t="n">
        <v>268</v>
      </c>
      <c r="F318" s="31">
        <f>E318/52</f>
        <v/>
      </c>
      <c r="G318" s="39">
        <f>D318/1000000*52</f>
        <v/>
      </c>
      <c r="H318" s="33">
        <f>G318/$P$4+($C$22/$P$4)</f>
        <v/>
      </c>
      <c r="I318" s="36">
        <f>_xlfn.IFS(K318&lt;K$24,0,K318&lt;K$26,I$24,K318&lt;K$28,I$26,K318&lt;K$30,I$28,K318&lt;K$32,I$30,K318&lt;K$34,I$32,K318&lt;K$36,I$34,K318&lt;K$38,I$36,K318&lt;K$40,I$38,K318&lt;K$42,I$40,K318&lt;K$44,I$42,K318&lt;K$46,I$44,K318&gt;=K$46,I$46)</f>
        <v/>
      </c>
      <c r="J318" s="37">
        <f>_xlfn.IFS(K318&lt;K$24,0,K318&lt;K$25,J$24,K318&lt;K$26,J$25,K318&lt;K$27,J$26,K318&lt;K$28,J$27,K318&lt;K$29,J$28,K318&lt;K$30,J$29,K318&lt;K$31,J$30,K318&lt;K$32,J$31,K318&lt;K$33,J$32,K318&lt;K$34,J$33,K318&lt;K$35,J$34,K318&lt;K$36,J$35,K318&lt;K$37,J$36,K318&lt;K$38,J$37,K318&lt;K$39,J$38,K318&lt;K$40,J$39,K318&lt;K$41,J$40,K318&lt;K$42,J$41,K318&lt;K$43,J$42,K318&lt;K$44,J$43,K318&lt;K$45,J$44,K318&lt;K$46,J$45,K318&lt;K$47,J$46,K318&gt;=K$47,J$47)</f>
        <v/>
      </c>
      <c r="K318" s="38" t="n">
        <v>268</v>
      </c>
      <c r="L318" s="31">
        <f>K318/52</f>
        <v/>
      </c>
      <c r="M318" s="39">
        <f>J318/1000000*52</f>
        <v/>
      </c>
      <c r="N318" s="33">
        <f>M318/$P$4+($I$22/$P$4)</f>
        <v/>
      </c>
      <c r="U318">
        <f>F317</f>
        <v/>
      </c>
      <c r="V318">
        <f>H317</f>
        <v/>
      </c>
      <c r="W318">
        <f>N317</f>
        <v/>
      </c>
    </row>
    <row r="319" ht="15.75" customHeight="1" s="40">
      <c r="C319" s="36">
        <f>_xlfn.IFS(E319&lt;E$24,0,E319&lt;E$26,C$24,E319&lt;E$28,C$26,E319&lt;E$30,C$28,E319&lt;E$32,C$30,E319&lt;E$34,C$32,E319&gt;=E$34,C$34)</f>
        <v/>
      </c>
      <c r="D319" s="37">
        <f>_xlfn.IFS(E319&lt;E$24,0,E319&lt;E$25,D$24,E319&lt;E$26,D$25,E319&lt;E$27,D$26,E319&lt;E$28,D$27,E319&lt;E$29,D$28,E319&lt;E$30,D$29,E319&lt;E$31,D$30,E319&lt;E$32,D$31,E319&lt;E$33,D$32,E319&lt;E$34,D$33,E319&lt;E$35,D$34,E319&gt;=E$35,D$35)</f>
        <v/>
      </c>
      <c r="E319" s="38" t="n">
        <v>269</v>
      </c>
      <c r="F319" s="31">
        <f>E319/52</f>
        <v/>
      </c>
      <c r="G319" s="39">
        <f>D319/1000000*52</f>
        <v/>
      </c>
      <c r="H319" s="33">
        <f>G319/$P$4+($C$22/$P$4)</f>
        <v/>
      </c>
      <c r="I319" s="36">
        <f>_xlfn.IFS(K319&lt;K$24,0,K319&lt;K$26,I$24,K319&lt;K$28,I$26,K319&lt;K$30,I$28,K319&lt;K$32,I$30,K319&lt;K$34,I$32,K319&lt;K$36,I$34,K319&lt;K$38,I$36,K319&lt;K$40,I$38,K319&lt;K$42,I$40,K319&lt;K$44,I$42,K319&lt;K$46,I$44,K319&gt;=K$46,I$46)</f>
        <v/>
      </c>
      <c r="J319" s="37">
        <f>_xlfn.IFS(K319&lt;K$24,0,K319&lt;K$25,J$24,K319&lt;K$26,J$25,K319&lt;K$27,J$26,K319&lt;K$28,J$27,K319&lt;K$29,J$28,K319&lt;K$30,J$29,K319&lt;K$31,J$30,K319&lt;K$32,J$31,K319&lt;K$33,J$32,K319&lt;K$34,J$33,K319&lt;K$35,J$34,K319&lt;K$36,J$35,K319&lt;K$37,J$36,K319&lt;K$38,J$37,K319&lt;K$39,J$38,K319&lt;K$40,J$39,K319&lt;K$41,J$40,K319&lt;K$42,J$41,K319&lt;K$43,J$42,K319&lt;K$44,J$43,K319&lt;K$45,J$44,K319&lt;K$46,J$45,K319&lt;K$47,J$46,K319&gt;=K$47,J$47)</f>
        <v/>
      </c>
      <c r="K319" s="38" t="n">
        <v>269</v>
      </c>
      <c r="L319" s="31">
        <f>K319/52</f>
        <v/>
      </c>
      <c r="M319" s="39">
        <f>J319/1000000*52</f>
        <v/>
      </c>
      <c r="N319" s="33">
        <f>M319/$P$4+($I$22/$P$4)</f>
        <v/>
      </c>
      <c r="U319">
        <f>F318</f>
        <v/>
      </c>
      <c r="V319">
        <f>H318</f>
        <v/>
      </c>
      <c r="W319">
        <f>N318</f>
        <v/>
      </c>
    </row>
    <row r="320" ht="15.75" customHeight="1" s="40">
      <c r="C320" s="36">
        <f>_xlfn.IFS(E320&lt;E$24,0,E320&lt;E$26,C$24,E320&lt;E$28,C$26,E320&lt;E$30,C$28,E320&lt;E$32,C$30,E320&lt;E$34,C$32,E320&gt;=E$34,C$34)</f>
        <v/>
      </c>
      <c r="D320" s="37">
        <f>_xlfn.IFS(E320&lt;E$24,0,E320&lt;E$25,D$24,E320&lt;E$26,D$25,E320&lt;E$27,D$26,E320&lt;E$28,D$27,E320&lt;E$29,D$28,E320&lt;E$30,D$29,E320&lt;E$31,D$30,E320&lt;E$32,D$31,E320&lt;E$33,D$32,E320&lt;E$34,D$33,E320&lt;E$35,D$34,E320&gt;=E$35,D$35)</f>
        <v/>
      </c>
      <c r="E320" s="38" t="n">
        <v>270</v>
      </c>
      <c r="F320" s="31">
        <f>E320/52</f>
        <v/>
      </c>
      <c r="G320" s="39">
        <f>D320/1000000*52</f>
        <v/>
      </c>
      <c r="H320" s="33">
        <f>G320/$P$4+($C$22/$P$4)</f>
        <v/>
      </c>
      <c r="I320" s="36">
        <f>_xlfn.IFS(K320&lt;K$24,0,K320&lt;K$26,I$24,K320&lt;K$28,I$26,K320&lt;K$30,I$28,K320&lt;K$32,I$30,K320&lt;K$34,I$32,K320&lt;K$36,I$34,K320&lt;K$38,I$36,K320&lt;K$40,I$38,K320&lt;K$42,I$40,K320&lt;K$44,I$42,K320&lt;K$46,I$44,K320&gt;=K$46,I$46)</f>
        <v/>
      </c>
      <c r="J320" s="37">
        <f>_xlfn.IFS(K320&lt;K$24,0,K320&lt;K$25,J$24,K320&lt;K$26,J$25,K320&lt;K$27,J$26,K320&lt;K$28,J$27,K320&lt;K$29,J$28,K320&lt;K$30,J$29,K320&lt;K$31,J$30,K320&lt;K$32,J$31,K320&lt;K$33,J$32,K320&lt;K$34,J$33,K320&lt;K$35,J$34,K320&lt;K$36,J$35,K320&lt;K$37,J$36,K320&lt;K$38,J$37,K320&lt;K$39,J$38,K320&lt;K$40,J$39,K320&lt;K$41,J$40,K320&lt;K$42,J$41,K320&lt;K$43,J$42,K320&lt;K$44,J$43,K320&lt;K$45,J$44,K320&lt;K$46,J$45,K320&lt;K$47,J$46,K320&gt;=K$47,J$47)</f>
        <v/>
      </c>
      <c r="K320" s="38" t="n">
        <v>270</v>
      </c>
      <c r="L320" s="31">
        <f>K320/52</f>
        <v/>
      </c>
      <c r="M320" s="39">
        <f>J320/1000000*52</f>
        <v/>
      </c>
      <c r="N320" s="33">
        <f>M320/$P$4+($I$22/$P$4)</f>
        <v/>
      </c>
      <c r="U320">
        <f>F319</f>
        <v/>
      </c>
      <c r="V320">
        <f>H319</f>
        <v/>
      </c>
      <c r="W320">
        <f>N319</f>
        <v/>
      </c>
    </row>
    <row r="321" ht="15.75" customHeight="1" s="40">
      <c r="C321" s="36">
        <f>_xlfn.IFS(E321&lt;E$24,0,E321&lt;E$26,C$24,E321&lt;E$28,C$26,E321&lt;E$30,C$28,E321&lt;E$32,C$30,E321&lt;E$34,C$32,E321&gt;=E$34,C$34)</f>
        <v/>
      </c>
      <c r="D321" s="37">
        <f>_xlfn.IFS(E321&lt;E$24,0,E321&lt;E$25,D$24,E321&lt;E$26,D$25,E321&lt;E$27,D$26,E321&lt;E$28,D$27,E321&lt;E$29,D$28,E321&lt;E$30,D$29,E321&lt;E$31,D$30,E321&lt;E$32,D$31,E321&lt;E$33,D$32,E321&lt;E$34,D$33,E321&lt;E$35,D$34,E321&gt;=E$35,D$35)</f>
        <v/>
      </c>
      <c r="E321" s="38" t="n">
        <v>271</v>
      </c>
      <c r="F321" s="31">
        <f>E321/52</f>
        <v/>
      </c>
      <c r="G321" s="39">
        <f>D321/1000000*52</f>
        <v/>
      </c>
      <c r="H321" s="33">
        <f>G321/$P$4+($C$22/$P$4)</f>
        <v/>
      </c>
      <c r="I321" s="36">
        <f>_xlfn.IFS(K321&lt;K$24,0,K321&lt;K$26,I$24,K321&lt;K$28,I$26,K321&lt;K$30,I$28,K321&lt;K$32,I$30,K321&lt;K$34,I$32,K321&lt;K$36,I$34,K321&lt;K$38,I$36,K321&lt;K$40,I$38,K321&lt;K$42,I$40,K321&lt;K$44,I$42,K321&lt;K$46,I$44,K321&gt;=K$46,I$46)</f>
        <v/>
      </c>
      <c r="J321" s="37">
        <f>_xlfn.IFS(K321&lt;K$24,0,K321&lt;K$25,J$24,K321&lt;K$26,J$25,K321&lt;K$27,J$26,K321&lt;K$28,J$27,K321&lt;K$29,J$28,K321&lt;K$30,J$29,K321&lt;K$31,J$30,K321&lt;K$32,J$31,K321&lt;K$33,J$32,K321&lt;K$34,J$33,K321&lt;K$35,J$34,K321&lt;K$36,J$35,K321&lt;K$37,J$36,K321&lt;K$38,J$37,K321&lt;K$39,J$38,K321&lt;K$40,J$39,K321&lt;K$41,J$40,K321&lt;K$42,J$41,K321&lt;K$43,J$42,K321&lt;K$44,J$43,K321&lt;K$45,J$44,K321&lt;K$46,J$45,K321&lt;K$47,J$46,K321&gt;=K$47,J$47)</f>
        <v/>
      </c>
      <c r="K321" s="38" t="n">
        <v>271</v>
      </c>
      <c r="L321" s="31">
        <f>K321/52</f>
        <v/>
      </c>
      <c r="M321" s="39">
        <f>J321/1000000*52</f>
        <v/>
      </c>
      <c r="N321" s="33">
        <f>M321/$P$4+($I$22/$P$4)</f>
        <v/>
      </c>
      <c r="U321">
        <f>F320</f>
        <v/>
      </c>
      <c r="V321">
        <f>H320</f>
        <v/>
      </c>
      <c r="W321">
        <f>N320</f>
        <v/>
      </c>
    </row>
    <row r="322" ht="15.75" customHeight="1" s="40">
      <c r="C322" s="36">
        <f>_xlfn.IFS(E322&lt;E$24,0,E322&lt;E$26,C$24,E322&lt;E$28,C$26,E322&lt;E$30,C$28,E322&lt;E$32,C$30,E322&lt;E$34,C$32,E322&gt;=E$34,C$34)</f>
        <v/>
      </c>
      <c r="D322" s="37">
        <f>_xlfn.IFS(E322&lt;E$24,0,E322&lt;E$25,D$24,E322&lt;E$26,D$25,E322&lt;E$27,D$26,E322&lt;E$28,D$27,E322&lt;E$29,D$28,E322&lt;E$30,D$29,E322&lt;E$31,D$30,E322&lt;E$32,D$31,E322&lt;E$33,D$32,E322&lt;E$34,D$33,E322&lt;E$35,D$34,E322&gt;=E$35,D$35)</f>
        <v/>
      </c>
      <c r="E322" s="38" t="n">
        <v>272</v>
      </c>
      <c r="F322" s="31">
        <f>E322/52</f>
        <v/>
      </c>
      <c r="G322" s="39">
        <f>D322/1000000*52</f>
        <v/>
      </c>
      <c r="H322" s="33">
        <f>G322/$P$4+($C$22/$P$4)</f>
        <v/>
      </c>
      <c r="I322" s="36">
        <f>_xlfn.IFS(K322&lt;K$24,0,K322&lt;K$26,I$24,K322&lt;K$28,I$26,K322&lt;K$30,I$28,K322&lt;K$32,I$30,K322&lt;K$34,I$32,K322&lt;K$36,I$34,K322&lt;K$38,I$36,K322&lt;K$40,I$38,K322&lt;K$42,I$40,K322&lt;K$44,I$42,K322&lt;K$46,I$44,K322&gt;=K$46,I$46)</f>
        <v/>
      </c>
      <c r="J322" s="37">
        <f>_xlfn.IFS(K322&lt;K$24,0,K322&lt;K$25,J$24,K322&lt;K$26,J$25,K322&lt;K$27,J$26,K322&lt;K$28,J$27,K322&lt;K$29,J$28,K322&lt;K$30,J$29,K322&lt;K$31,J$30,K322&lt;K$32,J$31,K322&lt;K$33,J$32,K322&lt;K$34,J$33,K322&lt;K$35,J$34,K322&lt;K$36,J$35,K322&lt;K$37,J$36,K322&lt;K$38,J$37,K322&lt;K$39,J$38,K322&lt;K$40,J$39,K322&lt;K$41,J$40,K322&lt;K$42,J$41,K322&lt;K$43,J$42,K322&lt;K$44,J$43,K322&lt;K$45,J$44,K322&lt;K$46,J$45,K322&lt;K$47,J$46,K322&gt;=K$47,J$47)</f>
        <v/>
      </c>
      <c r="K322" s="38" t="n">
        <v>272</v>
      </c>
      <c r="L322" s="31">
        <f>K322/52</f>
        <v/>
      </c>
      <c r="M322" s="39">
        <f>J322/1000000*52</f>
        <v/>
      </c>
      <c r="N322" s="33">
        <f>M322/$P$4+($I$22/$P$4)</f>
        <v/>
      </c>
      <c r="U322">
        <f>F321</f>
        <v/>
      </c>
      <c r="V322">
        <f>H321</f>
        <v/>
      </c>
      <c r="W322">
        <f>N321</f>
        <v/>
      </c>
    </row>
    <row r="323" ht="15.75" customHeight="1" s="40">
      <c r="C323" s="36">
        <f>_xlfn.IFS(E323&lt;E$24,0,E323&lt;E$26,C$24,E323&lt;E$28,C$26,E323&lt;E$30,C$28,E323&lt;E$32,C$30,E323&lt;E$34,C$32,E323&gt;=E$34,C$34)</f>
        <v/>
      </c>
      <c r="D323" s="37">
        <f>_xlfn.IFS(E323&lt;E$24,0,E323&lt;E$25,D$24,E323&lt;E$26,D$25,E323&lt;E$27,D$26,E323&lt;E$28,D$27,E323&lt;E$29,D$28,E323&lt;E$30,D$29,E323&lt;E$31,D$30,E323&lt;E$32,D$31,E323&lt;E$33,D$32,E323&lt;E$34,D$33,E323&lt;E$35,D$34,E323&gt;=E$35,D$35)</f>
        <v/>
      </c>
      <c r="E323" s="38" t="n">
        <v>273</v>
      </c>
      <c r="F323" s="31">
        <f>E323/52</f>
        <v/>
      </c>
      <c r="G323" s="39">
        <f>D323/1000000*52</f>
        <v/>
      </c>
      <c r="H323" s="33">
        <f>G323/$P$4+($C$22/$P$4)</f>
        <v/>
      </c>
      <c r="I323" s="36">
        <f>_xlfn.IFS(K323&lt;K$24,0,K323&lt;K$26,I$24,K323&lt;K$28,I$26,K323&lt;K$30,I$28,K323&lt;K$32,I$30,K323&lt;K$34,I$32,K323&lt;K$36,I$34,K323&lt;K$38,I$36,K323&lt;K$40,I$38,K323&lt;K$42,I$40,K323&lt;K$44,I$42,K323&lt;K$46,I$44,K323&gt;=K$46,I$46)</f>
        <v/>
      </c>
      <c r="J323" s="37">
        <f>_xlfn.IFS(K323&lt;K$24,0,K323&lt;K$25,J$24,K323&lt;K$26,J$25,K323&lt;K$27,J$26,K323&lt;K$28,J$27,K323&lt;K$29,J$28,K323&lt;K$30,J$29,K323&lt;K$31,J$30,K323&lt;K$32,J$31,K323&lt;K$33,J$32,K323&lt;K$34,J$33,K323&lt;K$35,J$34,K323&lt;K$36,J$35,K323&lt;K$37,J$36,K323&lt;K$38,J$37,K323&lt;K$39,J$38,K323&lt;K$40,J$39,K323&lt;K$41,J$40,K323&lt;K$42,J$41,K323&lt;K$43,J$42,K323&lt;K$44,J$43,K323&lt;K$45,J$44,K323&lt;K$46,J$45,K323&lt;K$47,J$46,K323&gt;=K$47,J$47)</f>
        <v/>
      </c>
      <c r="K323" s="38" t="n">
        <v>273</v>
      </c>
      <c r="L323" s="31">
        <f>K323/52</f>
        <v/>
      </c>
      <c r="M323" s="39">
        <f>J323/1000000*52</f>
        <v/>
      </c>
      <c r="N323" s="33">
        <f>M323/$P$4+($I$22/$P$4)</f>
        <v/>
      </c>
      <c r="U323">
        <f>F322</f>
        <v/>
      </c>
      <c r="V323">
        <f>H322</f>
        <v/>
      </c>
      <c r="W323">
        <f>N322</f>
        <v/>
      </c>
    </row>
    <row r="324" ht="15.75" customHeight="1" s="40">
      <c r="C324" s="36">
        <f>_xlfn.IFS(E324&lt;E$24,0,E324&lt;E$26,C$24,E324&lt;E$28,C$26,E324&lt;E$30,C$28,E324&lt;E$32,C$30,E324&lt;E$34,C$32,E324&gt;=E$34,C$34)</f>
        <v/>
      </c>
      <c r="D324" s="37">
        <f>_xlfn.IFS(E324&lt;E$24,0,E324&lt;E$25,D$24,E324&lt;E$26,D$25,E324&lt;E$27,D$26,E324&lt;E$28,D$27,E324&lt;E$29,D$28,E324&lt;E$30,D$29,E324&lt;E$31,D$30,E324&lt;E$32,D$31,E324&lt;E$33,D$32,E324&lt;E$34,D$33,E324&lt;E$35,D$34,E324&gt;=E$35,D$35)</f>
        <v/>
      </c>
      <c r="E324" s="38" t="n">
        <v>274</v>
      </c>
      <c r="F324" s="31">
        <f>E324/52</f>
        <v/>
      </c>
      <c r="G324" s="39">
        <f>D324/1000000*52</f>
        <v/>
      </c>
      <c r="H324" s="33">
        <f>G324/$P$4+($C$22/$P$4)</f>
        <v/>
      </c>
      <c r="I324" s="36">
        <f>_xlfn.IFS(K324&lt;K$24,0,K324&lt;K$26,I$24,K324&lt;K$28,I$26,K324&lt;K$30,I$28,K324&lt;K$32,I$30,K324&lt;K$34,I$32,K324&lt;K$36,I$34,K324&lt;K$38,I$36,K324&lt;K$40,I$38,K324&lt;K$42,I$40,K324&lt;K$44,I$42,K324&lt;K$46,I$44,K324&gt;=K$46,I$46)</f>
        <v/>
      </c>
      <c r="J324" s="37">
        <f>_xlfn.IFS(K324&lt;K$24,0,K324&lt;K$25,J$24,K324&lt;K$26,J$25,K324&lt;K$27,J$26,K324&lt;K$28,J$27,K324&lt;K$29,J$28,K324&lt;K$30,J$29,K324&lt;K$31,J$30,K324&lt;K$32,J$31,K324&lt;K$33,J$32,K324&lt;K$34,J$33,K324&lt;K$35,J$34,K324&lt;K$36,J$35,K324&lt;K$37,J$36,K324&lt;K$38,J$37,K324&lt;K$39,J$38,K324&lt;K$40,J$39,K324&lt;K$41,J$40,K324&lt;K$42,J$41,K324&lt;K$43,J$42,K324&lt;K$44,J$43,K324&lt;K$45,J$44,K324&lt;K$46,J$45,K324&lt;K$47,J$46,K324&gt;=K$47,J$47)</f>
        <v/>
      </c>
      <c r="K324" s="38" t="n">
        <v>274</v>
      </c>
      <c r="L324" s="31">
        <f>K324/52</f>
        <v/>
      </c>
      <c r="M324" s="39">
        <f>J324/1000000*52</f>
        <v/>
      </c>
      <c r="N324" s="33">
        <f>M324/$P$4+($I$22/$P$4)</f>
        <v/>
      </c>
      <c r="U324">
        <f>F323</f>
        <v/>
      </c>
      <c r="V324">
        <f>H323</f>
        <v/>
      </c>
      <c r="W324">
        <f>N323</f>
        <v/>
      </c>
    </row>
    <row r="325" ht="15.75" customHeight="1" s="40">
      <c r="C325" s="36">
        <f>_xlfn.IFS(E325&lt;E$24,0,E325&lt;E$26,C$24,E325&lt;E$28,C$26,E325&lt;E$30,C$28,E325&lt;E$32,C$30,E325&lt;E$34,C$32,E325&gt;=E$34,C$34)</f>
        <v/>
      </c>
      <c r="D325" s="37">
        <f>_xlfn.IFS(E325&lt;E$24,0,E325&lt;E$25,D$24,E325&lt;E$26,D$25,E325&lt;E$27,D$26,E325&lt;E$28,D$27,E325&lt;E$29,D$28,E325&lt;E$30,D$29,E325&lt;E$31,D$30,E325&lt;E$32,D$31,E325&lt;E$33,D$32,E325&lt;E$34,D$33,E325&lt;E$35,D$34,E325&gt;=E$35,D$35)</f>
        <v/>
      </c>
      <c r="E325" s="38" t="n">
        <v>275</v>
      </c>
      <c r="F325" s="31">
        <f>E325/52</f>
        <v/>
      </c>
      <c r="G325" s="39">
        <f>D325/1000000*52</f>
        <v/>
      </c>
      <c r="H325" s="33">
        <f>G325/$P$4+($C$22/$P$4)</f>
        <v/>
      </c>
      <c r="I325" s="36">
        <f>_xlfn.IFS(K325&lt;K$24,0,K325&lt;K$26,I$24,K325&lt;K$28,I$26,K325&lt;K$30,I$28,K325&lt;K$32,I$30,K325&lt;K$34,I$32,K325&lt;K$36,I$34,K325&lt;K$38,I$36,K325&lt;K$40,I$38,K325&lt;K$42,I$40,K325&lt;K$44,I$42,K325&lt;K$46,I$44,K325&gt;=K$46,I$46)</f>
        <v/>
      </c>
      <c r="J325" s="37">
        <f>_xlfn.IFS(K325&lt;K$24,0,K325&lt;K$25,J$24,K325&lt;K$26,J$25,K325&lt;K$27,J$26,K325&lt;K$28,J$27,K325&lt;K$29,J$28,K325&lt;K$30,J$29,K325&lt;K$31,J$30,K325&lt;K$32,J$31,K325&lt;K$33,J$32,K325&lt;K$34,J$33,K325&lt;K$35,J$34,K325&lt;K$36,J$35,K325&lt;K$37,J$36,K325&lt;K$38,J$37,K325&lt;K$39,J$38,K325&lt;K$40,J$39,K325&lt;K$41,J$40,K325&lt;K$42,J$41,K325&lt;K$43,J$42,K325&lt;K$44,J$43,K325&lt;K$45,J$44,K325&lt;K$46,J$45,K325&lt;K$47,J$46,K325&gt;=K$47,J$47)</f>
        <v/>
      </c>
      <c r="K325" s="38" t="n">
        <v>275</v>
      </c>
      <c r="L325" s="31">
        <f>K325/52</f>
        <v/>
      </c>
      <c r="M325" s="39">
        <f>J325/1000000*52</f>
        <v/>
      </c>
      <c r="N325" s="33">
        <f>M325/$P$4+($I$22/$P$4)</f>
        <v/>
      </c>
      <c r="U325">
        <f>F324</f>
        <v/>
      </c>
      <c r="V325">
        <f>H324</f>
        <v/>
      </c>
      <c r="W325">
        <f>N324</f>
        <v/>
      </c>
    </row>
    <row r="326" ht="15.75" customHeight="1" s="40">
      <c r="C326" s="36">
        <f>_xlfn.IFS(E326&lt;E$24,0,E326&lt;E$26,C$24,E326&lt;E$28,C$26,E326&lt;E$30,C$28,E326&lt;E$32,C$30,E326&lt;E$34,C$32,E326&gt;=E$34,C$34)</f>
        <v/>
      </c>
      <c r="D326" s="37">
        <f>_xlfn.IFS(E326&lt;E$24,0,E326&lt;E$25,D$24,E326&lt;E$26,D$25,E326&lt;E$27,D$26,E326&lt;E$28,D$27,E326&lt;E$29,D$28,E326&lt;E$30,D$29,E326&lt;E$31,D$30,E326&lt;E$32,D$31,E326&lt;E$33,D$32,E326&lt;E$34,D$33,E326&lt;E$35,D$34,E326&gt;=E$35,D$35)</f>
        <v/>
      </c>
      <c r="E326" s="38" t="n">
        <v>276</v>
      </c>
      <c r="F326" s="31">
        <f>E326/52</f>
        <v/>
      </c>
      <c r="G326" s="39">
        <f>D326/1000000*52</f>
        <v/>
      </c>
      <c r="H326" s="33">
        <f>G326/$P$4+($C$22/$P$4)</f>
        <v/>
      </c>
      <c r="I326" s="36">
        <f>_xlfn.IFS(K326&lt;K$24,0,K326&lt;K$26,I$24,K326&lt;K$28,I$26,K326&lt;K$30,I$28,K326&lt;K$32,I$30,K326&lt;K$34,I$32,K326&lt;K$36,I$34,K326&lt;K$38,I$36,K326&lt;K$40,I$38,K326&lt;K$42,I$40,K326&lt;K$44,I$42,K326&lt;K$46,I$44,K326&gt;=K$46,I$46)</f>
        <v/>
      </c>
      <c r="J326" s="37">
        <f>_xlfn.IFS(K326&lt;K$24,0,K326&lt;K$25,J$24,K326&lt;K$26,J$25,K326&lt;K$27,J$26,K326&lt;K$28,J$27,K326&lt;K$29,J$28,K326&lt;K$30,J$29,K326&lt;K$31,J$30,K326&lt;K$32,J$31,K326&lt;K$33,J$32,K326&lt;K$34,J$33,K326&lt;K$35,J$34,K326&lt;K$36,J$35,K326&lt;K$37,J$36,K326&lt;K$38,J$37,K326&lt;K$39,J$38,K326&lt;K$40,J$39,K326&lt;K$41,J$40,K326&lt;K$42,J$41,K326&lt;K$43,J$42,K326&lt;K$44,J$43,K326&lt;K$45,J$44,K326&lt;K$46,J$45,K326&lt;K$47,J$46,K326&gt;=K$47,J$47)</f>
        <v/>
      </c>
      <c r="K326" s="38" t="n">
        <v>276</v>
      </c>
      <c r="L326" s="31">
        <f>K326/52</f>
        <v/>
      </c>
      <c r="M326" s="39">
        <f>J326/1000000*52</f>
        <v/>
      </c>
      <c r="N326" s="33">
        <f>M326/$P$4+($I$22/$P$4)</f>
        <v/>
      </c>
      <c r="U326">
        <f>F325</f>
        <v/>
      </c>
      <c r="V326">
        <f>H325</f>
        <v/>
      </c>
      <c r="W326">
        <f>N325</f>
        <v/>
      </c>
    </row>
    <row r="327" ht="15.75" customHeight="1" s="40">
      <c r="C327" s="36">
        <f>_xlfn.IFS(E327&lt;E$24,0,E327&lt;E$26,C$24,E327&lt;E$28,C$26,E327&lt;E$30,C$28,E327&lt;E$32,C$30,E327&lt;E$34,C$32,E327&gt;=E$34,C$34)</f>
        <v/>
      </c>
      <c r="D327" s="37">
        <f>_xlfn.IFS(E327&lt;E$24,0,E327&lt;E$25,D$24,E327&lt;E$26,D$25,E327&lt;E$27,D$26,E327&lt;E$28,D$27,E327&lt;E$29,D$28,E327&lt;E$30,D$29,E327&lt;E$31,D$30,E327&lt;E$32,D$31,E327&lt;E$33,D$32,E327&lt;E$34,D$33,E327&lt;E$35,D$34,E327&gt;=E$35,D$35)</f>
        <v/>
      </c>
      <c r="E327" s="38" t="n">
        <v>277</v>
      </c>
      <c r="F327" s="31">
        <f>E327/52</f>
        <v/>
      </c>
      <c r="G327" s="39">
        <f>D327/1000000*52</f>
        <v/>
      </c>
      <c r="H327" s="33">
        <f>G327/$P$4+($C$22/$P$4)</f>
        <v/>
      </c>
      <c r="I327" s="36">
        <f>_xlfn.IFS(K327&lt;K$24,0,K327&lt;K$26,I$24,K327&lt;K$28,I$26,K327&lt;K$30,I$28,K327&lt;K$32,I$30,K327&lt;K$34,I$32,K327&lt;K$36,I$34,K327&lt;K$38,I$36,K327&lt;K$40,I$38,K327&lt;K$42,I$40,K327&lt;K$44,I$42,K327&lt;K$46,I$44,K327&gt;=K$46,I$46)</f>
        <v/>
      </c>
      <c r="J327" s="37">
        <f>_xlfn.IFS(K327&lt;K$24,0,K327&lt;K$25,J$24,K327&lt;K$26,J$25,K327&lt;K$27,J$26,K327&lt;K$28,J$27,K327&lt;K$29,J$28,K327&lt;K$30,J$29,K327&lt;K$31,J$30,K327&lt;K$32,J$31,K327&lt;K$33,J$32,K327&lt;K$34,J$33,K327&lt;K$35,J$34,K327&lt;K$36,J$35,K327&lt;K$37,J$36,K327&lt;K$38,J$37,K327&lt;K$39,J$38,K327&lt;K$40,J$39,K327&lt;K$41,J$40,K327&lt;K$42,J$41,K327&lt;K$43,J$42,K327&lt;K$44,J$43,K327&lt;K$45,J$44,K327&lt;K$46,J$45,K327&lt;K$47,J$46,K327&gt;=K$47,J$47)</f>
        <v/>
      </c>
      <c r="K327" s="38" t="n">
        <v>277</v>
      </c>
      <c r="L327" s="31">
        <f>K327/52</f>
        <v/>
      </c>
      <c r="M327" s="39">
        <f>J327/1000000*52</f>
        <v/>
      </c>
      <c r="N327" s="33">
        <f>M327/$P$4+($I$22/$P$4)</f>
        <v/>
      </c>
      <c r="U327">
        <f>F326</f>
        <v/>
      </c>
      <c r="V327">
        <f>H326</f>
        <v/>
      </c>
      <c r="W327">
        <f>N326</f>
        <v/>
      </c>
    </row>
    <row r="328" ht="15.75" customHeight="1" s="40">
      <c r="C328" s="36">
        <f>_xlfn.IFS(E328&lt;E$24,0,E328&lt;E$26,C$24,E328&lt;E$28,C$26,E328&lt;E$30,C$28,E328&lt;E$32,C$30,E328&lt;E$34,C$32,E328&gt;=E$34,C$34)</f>
        <v/>
      </c>
      <c r="D328" s="37">
        <f>_xlfn.IFS(E328&lt;E$24,0,E328&lt;E$25,D$24,E328&lt;E$26,D$25,E328&lt;E$27,D$26,E328&lt;E$28,D$27,E328&lt;E$29,D$28,E328&lt;E$30,D$29,E328&lt;E$31,D$30,E328&lt;E$32,D$31,E328&lt;E$33,D$32,E328&lt;E$34,D$33,E328&lt;E$35,D$34,E328&gt;=E$35,D$35)</f>
        <v/>
      </c>
      <c r="E328" s="38" t="n">
        <v>278</v>
      </c>
      <c r="F328" s="31">
        <f>E328/52</f>
        <v/>
      </c>
      <c r="G328" s="39">
        <f>D328/1000000*52</f>
        <v/>
      </c>
      <c r="H328" s="33">
        <f>G328/$P$4+($C$22/$P$4)</f>
        <v/>
      </c>
      <c r="I328" s="36">
        <f>_xlfn.IFS(K328&lt;K$24,0,K328&lt;K$26,I$24,K328&lt;K$28,I$26,K328&lt;K$30,I$28,K328&lt;K$32,I$30,K328&lt;K$34,I$32,K328&lt;K$36,I$34,K328&lt;K$38,I$36,K328&lt;K$40,I$38,K328&lt;K$42,I$40,K328&lt;K$44,I$42,K328&lt;K$46,I$44,K328&gt;=K$46,I$46)</f>
        <v/>
      </c>
      <c r="J328" s="37">
        <f>_xlfn.IFS(K328&lt;K$24,0,K328&lt;K$25,J$24,K328&lt;K$26,J$25,K328&lt;K$27,J$26,K328&lt;K$28,J$27,K328&lt;K$29,J$28,K328&lt;K$30,J$29,K328&lt;K$31,J$30,K328&lt;K$32,J$31,K328&lt;K$33,J$32,K328&lt;K$34,J$33,K328&lt;K$35,J$34,K328&lt;K$36,J$35,K328&lt;K$37,J$36,K328&lt;K$38,J$37,K328&lt;K$39,J$38,K328&lt;K$40,J$39,K328&lt;K$41,J$40,K328&lt;K$42,J$41,K328&lt;K$43,J$42,K328&lt;K$44,J$43,K328&lt;K$45,J$44,K328&lt;K$46,J$45,K328&lt;K$47,J$46,K328&gt;=K$47,J$47)</f>
        <v/>
      </c>
      <c r="K328" s="38" t="n">
        <v>278</v>
      </c>
      <c r="L328" s="31">
        <f>K328/52</f>
        <v/>
      </c>
      <c r="M328" s="39">
        <f>J328/1000000*52</f>
        <v/>
      </c>
      <c r="N328" s="33">
        <f>M328/$P$4+($I$22/$P$4)</f>
        <v/>
      </c>
      <c r="U328">
        <f>F327</f>
        <v/>
      </c>
      <c r="V328">
        <f>H327</f>
        <v/>
      </c>
      <c r="W328">
        <f>N327</f>
        <v/>
      </c>
    </row>
    <row r="329" ht="15.75" customHeight="1" s="40">
      <c r="C329" s="36">
        <f>_xlfn.IFS(E329&lt;E$24,0,E329&lt;E$26,C$24,E329&lt;E$28,C$26,E329&lt;E$30,C$28,E329&lt;E$32,C$30,E329&lt;E$34,C$32,E329&gt;=E$34,C$34)</f>
        <v/>
      </c>
      <c r="D329" s="37">
        <f>_xlfn.IFS(E329&lt;E$24,0,E329&lt;E$25,D$24,E329&lt;E$26,D$25,E329&lt;E$27,D$26,E329&lt;E$28,D$27,E329&lt;E$29,D$28,E329&lt;E$30,D$29,E329&lt;E$31,D$30,E329&lt;E$32,D$31,E329&lt;E$33,D$32,E329&lt;E$34,D$33,E329&lt;E$35,D$34,E329&gt;=E$35,D$35)</f>
        <v/>
      </c>
      <c r="E329" s="38" t="n">
        <v>279</v>
      </c>
      <c r="F329" s="31">
        <f>E329/52</f>
        <v/>
      </c>
      <c r="G329" s="39">
        <f>D329/1000000*52</f>
        <v/>
      </c>
      <c r="H329" s="33">
        <f>G329/$P$4+($C$22/$P$4)</f>
        <v/>
      </c>
      <c r="I329" s="36">
        <f>_xlfn.IFS(K329&lt;K$24,0,K329&lt;K$26,I$24,K329&lt;K$28,I$26,K329&lt;K$30,I$28,K329&lt;K$32,I$30,K329&lt;K$34,I$32,K329&lt;K$36,I$34,K329&lt;K$38,I$36,K329&lt;K$40,I$38,K329&lt;K$42,I$40,K329&lt;K$44,I$42,K329&lt;K$46,I$44,K329&gt;=K$46,I$46)</f>
        <v/>
      </c>
      <c r="J329" s="37">
        <f>_xlfn.IFS(K329&lt;K$24,0,K329&lt;K$25,J$24,K329&lt;K$26,J$25,K329&lt;K$27,J$26,K329&lt;K$28,J$27,K329&lt;K$29,J$28,K329&lt;K$30,J$29,K329&lt;K$31,J$30,K329&lt;K$32,J$31,K329&lt;K$33,J$32,K329&lt;K$34,J$33,K329&lt;K$35,J$34,K329&lt;K$36,J$35,K329&lt;K$37,J$36,K329&lt;K$38,J$37,K329&lt;K$39,J$38,K329&lt;K$40,J$39,K329&lt;K$41,J$40,K329&lt;K$42,J$41,K329&lt;K$43,J$42,K329&lt;K$44,J$43,K329&lt;K$45,J$44,K329&lt;K$46,J$45,K329&lt;K$47,J$46,K329&gt;=K$47,J$47)</f>
        <v/>
      </c>
      <c r="K329" s="38" t="n">
        <v>279</v>
      </c>
      <c r="L329" s="31">
        <f>K329/52</f>
        <v/>
      </c>
      <c r="M329" s="39">
        <f>J329/1000000*52</f>
        <v/>
      </c>
      <c r="N329" s="33">
        <f>M329/$P$4+($I$22/$P$4)</f>
        <v/>
      </c>
      <c r="U329">
        <f>F328</f>
        <v/>
      </c>
      <c r="V329">
        <f>H328</f>
        <v/>
      </c>
      <c r="W329">
        <f>N328</f>
        <v/>
      </c>
    </row>
    <row r="330" ht="15.75" customHeight="1" s="40">
      <c r="C330" s="36">
        <f>_xlfn.IFS(E330&lt;E$24,0,E330&lt;E$26,C$24,E330&lt;E$28,C$26,E330&lt;E$30,C$28,E330&lt;E$32,C$30,E330&lt;E$34,C$32,E330&gt;=E$34,C$34)</f>
        <v/>
      </c>
      <c r="D330" s="37">
        <f>_xlfn.IFS(E330&lt;E$24,0,E330&lt;E$25,D$24,E330&lt;E$26,D$25,E330&lt;E$27,D$26,E330&lt;E$28,D$27,E330&lt;E$29,D$28,E330&lt;E$30,D$29,E330&lt;E$31,D$30,E330&lt;E$32,D$31,E330&lt;E$33,D$32,E330&lt;E$34,D$33,E330&lt;E$35,D$34,E330&gt;=E$35,D$35)</f>
        <v/>
      </c>
      <c r="E330" s="38" t="n">
        <v>280</v>
      </c>
      <c r="F330" s="31">
        <f>E330/52</f>
        <v/>
      </c>
      <c r="G330" s="39">
        <f>D330/1000000*52</f>
        <v/>
      </c>
      <c r="H330" s="33">
        <f>G330/$P$4+($C$22/$P$4)</f>
        <v/>
      </c>
      <c r="I330" s="36">
        <f>_xlfn.IFS(K330&lt;K$24,0,K330&lt;K$26,I$24,K330&lt;K$28,I$26,K330&lt;K$30,I$28,K330&lt;K$32,I$30,K330&lt;K$34,I$32,K330&lt;K$36,I$34,K330&lt;K$38,I$36,K330&lt;K$40,I$38,K330&lt;K$42,I$40,K330&lt;K$44,I$42,K330&lt;K$46,I$44,K330&gt;=K$46,I$46)</f>
        <v/>
      </c>
      <c r="J330" s="37">
        <f>_xlfn.IFS(K330&lt;K$24,0,K330&lt;K$25,J$24,K330&lt;K$26,J$25,K330&lt;K$27,J$26,K330&lt;K$28,J$27,K330&lt;K$29,J$28,K330&lt;K$30,J$29,K330&lt;K$31,J$30,K330&lt;K$32,J$31,K330&lt;K$33,J$32,K330&lt;K$34,J$33,K330&lt;K$35,J$34,K330&lt;K$36,J$35,K330&lt;K$37,J$36,K330&lt;K$38,J$37,K330&lt;K$39,J$38,K330&lt;K$40,J$39,K330&lt;K$41,J$40,K330&lt;K$42,J$41,K330&lt;K$43,J$42,K330&lt;K$44,J$43,K330&lt;K$45,J$44,K330&lt;K$46,J$45,K330&lt;K$47,J$46,K330&gt;=K$47,J$47)</f>
        <v/>
      </c>
      <c r="K330" s="38" t="n">
        <v>280</v>
      </c>
      <c r="L330" s="31">
        <f>K330/52</f>
        <v/>
      </c>
      <c r="M330" s="39">
        <f>J330/1000000*52</f>
        <v/>
      </c>
      <c r="N330" s="33">
        <f>M330/$P$4+($I$22/$P$4)</f>
        <v/>
      </c>
      <c r="U330">
        <f>F329</f>
        <v/>
      </c>
      <c r="V330">
        <f>H329</f>
        <v/>
      </c>
      <c r="W330">
        <f>N329</f>
        <v/>
      </c>
    </row>
    <row r="331" ht="15.75" customHeight="1" s="40">
      <c r="C331" s="36">
        <f>_xlfn.IFS(E331&lt;E$24,0,E331&lt;E$26,C$24,E331&lt;E$28,C$26,E331&lt;E$30,C$28,E331&lt;E$32,C$30,E331&lt;E$34,C$32,E331&gt;=E$34,C$34)</f>
        <v/>
      </c>
      <c r="D331" s="37">
        <f>_xlfn.IFS(E331&lt;E$24,0,E331&lt;E$25,D$24,E331&lt;E$26,D$25,E331&lt;E$27,D$26,E331&lt;E$28,D$27,E331&lt;E$29,D$28,E331&lt;E$30,D$29,E331&lt;E$31,D$30,E331&lt;E$32,D$31,E331&lt;E$33,D$32,E331&lt;E$34,D$33,E331&lt;E$35,D$34,E331&gt;=E$35,D$35)</f>
        <v/>
      </c>
      <c r="E331" s="38" t="n">
        <v>281</v>
      </c>
      <c r="F331" s="31">
        <f>E331/52</f>
        <v/>
      </c>
      <c r="G331" s="39">
        <f>D331/1000000*52</f>
        <v/>
      </c>
      <c r="H331" s="33">
        <f>G331/$P$4+($C$22/$P$4)</f>
        <v/>
      </c>
      <c r="I331" s="36">
        <f>_xlfn.IFS(K331&lt;K$24,0,K331&lt;K$26,I$24,K331&lt;K$28,I$26,K331&lt;K$30,I$28,K331&lt;K$32,I$30,K331&lt;K$34,I$32,K331&lt;K$36,I$34,K331&lt;K$38,I$36,K331&lt;K$40,I$38,K331&lt;K$42,I$40,K331&lt;K$44,I$42,K331&lt;K$46,I$44,K331&gt;=K$46,I$46)</f>
        <v/>
      </c>
      <c r="J331" s="37">
        <f>_xlfn.IFS(K331&lt;K$24,0,K331&lt;K$25,J$24,K331&lt;K$26,J$25,K331&lt;K$27,J$26,K331&lt;K$28,J$27,K331&lt;K$29,J$28,K331&lt;K$30,J$29,K331&lt;K$31,J$30,K331&lt;K$32,J$31,K331&lt;K$33,J$32,K331&lt;K$34,J$33,K331&lt;K$35,J$34,K331&lt;K$36,J$35,K331&lt;K$37,J$36,K331&lt;K$38,J$37,K331&lt;K$39,J$38,K331&lt;K$40,J$39,K331&lt;K$41,J$40,K331&lt;K$42,J$41,K331&lt;K$43,J$42,K331&lt;K$44,J$43,K331&lt;K$45,J$44,K331&lt;K$46,J$45,K331&lt;K$47,J$46,K331&gt;=K$47,J$47)</f>
        <v/>
      </c>
      <c r="K331" s="38" t="n">
        <v>281</v>
      </c>
      <c r="L331" s="31">
        <f>K331/52</f>
        <v/>
      </c>
      <c r="M331" s="39">
        <f>J331/1000000*52</f>
        <v/>
      </c>
      <c r="N331" s="33">
        <f>M331/$P$4+($I$22/$P$4)</f>
        <v/>
      </c>
      <c r="U331">
        <f>F330</f>
        <v/>
      </c>
      <c r="V331">
        <f>H330</f>
        <v/>
      </c>
      <c r="W331">
        <f>N330</f>
        <v/>
      </c>
    </row>
    <row r="332" ht="15.75" customHeight="1" s="40">
      <c r="C332" s="36">
        <f>_xlfn.IFS(E332&lt;E$24,0,E332&lt;E$26,C$24,E332&lt;E$28,C$26,E332&lt;E$30,C$28,E332&lt;E$32,C$30,E332&lt;E$34,C$32,E332&gt;=E$34,C$34)</f>
        <v/>
      </c>
      <c r="D332" s="37">
        <f>_xlfn.IFS(E332&lt;E$24,0,E332&lt;E$25,D$24,E332&lt;E$26,D$25,E332&lt;E$27,D$26,E332&lt;E$28,D$27,E332&lt;E$29,D$28,E332&lt;E$30,D$29,E332&lt;E$31,D$30,E332&lt;E$32,D$31,E332&lt;E$33,D$32,E332&lt;E$34,D$33,E332&lt;E$35,D$34,E332&gt;=E$35,D$35)</f>
        <v/>
      </c>
      <c r="E332" s="38" t="n">
        <v>282</v>
      </c>
      <c r="F332" s="31">
        <f>E332/52</f>
        <v/>
      </c>
      <c r="G332" s="39">
        <f>D332/1000000*52</f>
        <v/>
      </c>
      <c r="H332" s="33">
        <f>G332/$P$4+($C$22/$P$4)</f>
        <v/>
      </c>
      <c r="I332" s="36">
        <f>_xlfn.IFS(K332&lt;K$24,0,K332&lt;K$26,I$24,K332&lt;K$28,I$26,K332&lt;K$30,I$28,K332&lt;K$32,I$30,K332&lt;K$34,I$32,K332&lt;K$36,I$34,K332&lt;K$38,I$36,K332&lt;K$40,I$38,K332&lt;K$42,I$40,K332&lt;K$44,I$42,K332&lt;K$46,I$44,K332&gt;=K$46,I$46)</f>
        <v/>
      </c>
      <c r="J332" s="37">
        <f>_xlfn.IFS(K332&lt;K$24,0,K332&lt;K$25,J$24,K332&lt;K$26,J$25,K332&lt;K$27,J$26,K332&lt;K$28,J$27,K332&lt;K$29,J$28,K332&lt;K$30,J$29,K332&lt;K$31,J$30,K332&lt;K$32,J$31,K332&lt;K$33,J$32,K332&lt;K$34,J$33,K332&lt;K$35,J$34,K332&lt;K$36,J$35,K332&lt;K$37,J$36,K332&lt;K$38,J$37,K332&lt;K$39,J$38,K332&lt;K$40,J$39,K332&lt;K$41,J$40,K332&lt;K$42,J$41,K332&lt;K$43,J$42,K332&lt;K$44,J$43,K332&lt;K$45,J$44,K332&lt;K$46,J$45,K332&lt;K$47,J$46,K332&gt;=K$47,J$47)</f>
        <v/>
      </c>
      <c r="K332" s="38" t="n">
        <v>282</v>
      </c>
      <c r="L332" s="31">
        <f>K332/52</f>
        <v/>
      </c>
      <c r="M332" s="39">
        <f>J332/1000000*52</f>
        <v/>
      </c>
      <c r="N332" s="33">
        <f>M332/$P$4+($I$22/$P$4)</f>
        <v/>
      </c>
      <c r="U332">
        <f>F331</f>
        <v/>
      </c>
      <c r="V332">
        <f>H331</f>
        <v/>
      </c>
      <c r="W332">
        <f>N331</f>
        <v/>
      </c>
    </row>
    <row r="333" ht="15.75" customHeight="1" s="40">
      <c r="C333" s="36">
        <f>_xlfn.IFS(E333&lt;E$24,0,E333&lt;E$26,C$24,E333&lt;E$28,C$26,E333&lt;E$30,C$28,E333&lt;E$32,C$30,E333&lt;E$34,C$32,E333&gt;=E$34,C$34)</f>
        <v/>
      </c>
      <c r="D333" s="37">
        <f>_xlfn.IFS(E333&lt;E$24,0,E333&lt;E$25,D$24,E333&lt;E$26,D$25,E333&lt;E$27,D$26,E333&lt;E$28,D$27,E333&lt;E$29,D$28,E333&lt;E$30,D$29,E333&lt;E$31,D$30,E333&lt;E$32,D$31,E333&lt;E$33,D$32,E333&lt;E$34,D$33,E333&lt;E$35,D$34,E333&gt;=E$35,D$35)</f>
        <v/>
      </c>
      <c r="E333" s="38" t="n">
        <v>283</v>
      </c>
      <c r="F333" s="31">
        <f>E333/52</f>
        <v/>
      </c>
      <c r="G333" s="39">
        <f>D333/1000000*52</f>
        <v/>
      </c>
      <c r="H333" s="33">
        <f>G333/$P$4+($C$22/$P$4)</f>
        <v/>
      </c>
      <c r="I333" s="36">
        <f>_xlfn.IFS(K333&lt;K$24,0,K333&lt;K$26,I$24,K333&lt;K$28,I$26,K333&lt;K$30,I$28,K333&lt;K$32,I$30,K333&lt;K$34,I$32,K333&lt;K$36,I$34,K333&lt;K$38,I$36,K333&lt;K$40,I$38,K333&lt;K$42,I$40,K333&lt;K$44,I$42,K333&lt;K$46,I$44,K333&gt;=K$46,I$46)</f>
        <v/>
      </c>
      <c r="J333" s="37">
        <f>_xlfn.IFS(K333&lt;K$24,0,K333&lt;K$25,J$24,K333&lt;K$26,J$25,K333&lt;K$27,J$26,K333&lt;K$28,J$27,K333&lt;K$29,J$28,K333&lt;K$30,J$29,K333&lt;K$31,J$30,K333&lt;K$32,J$31,K333&lt;K$33,J$32,K333&lt;K$34,J$33,K333&lt;K$35,J$34,K333&lt;K$36,J$35,K333&lt;K$37,J$36,K333&lt;K$38,J$37,K333&lt;K$39,J$38,K333&lt;K$40,J$39,K333&lt;K$41,J$40,K333&lt;K$42,J$41,K333&lt;K$43,J$42,K333&lt;K$44,J$43,K333&lt;K$45,J$44,K333&lt;K$46,J$45,K333&lt;K$47,J$46,K333&gt;=K$47,J$47)</f>
        <v/>
      </c>
      <c r="K333" s="38" t="n">
        <v>283</v>
      </c>
      <c r="L333" s="31">
        <f>K333/52</f>
        <v/>
      </c>
      <c r="M333" s="39">
        <f>J333/1000000*52</f>
        <v/>
      </c>
      <c r="N333" s="33">
        <f>M333/$P$4+($I$22/$P$4)</f>
        <v/>
      </c>
      <c r="U333">
        <f>F332</f>
        <v/>
      </c>
      <c r="V333">
        <f>H332</f>
        <v/>
      </c>
      <c r="W333">
        <f>N332</f>
        <v/>
      </c>
    </row>
    <row r="334" ht="15.75" customHeight="1" s="40">
      <c r="C334" s="36">
        <f>_xlfn.IFS(E334&lt;E$24,0,E334&lt;E$26,C$24,E334&lt;E$28,C$26,E334&lt;E$30,C$28,E334&lt;E$32,C$30,E334&lt;E$34,C$32,E334&gt;=E$34,C$34)</f>
        <v/>
      </c>
      <c r="D334" s="37">
        <f>_xlfn.IFS(E334&lt;E$24,0,E334&lt;E$25,D$24,E334&lt;E$26,D$25,E334&lt;E$27,D$26,E334&lt;E$28,D$27,E334&lt;E$29,D$28,E334&lt;E$30,D$29,E334&lt;E$31,D$30,E334&lt;E$32,D$31,E334&lt;E$33,D$32,E334&lt;E$34,D$33,E334&lt;E$35,D$34,E334&gt;=E$35,D$35)</f>
        <v/>
      </c>
      <c r="E334" s="38" t="n">
        <v>284</v>
      </c>
      <c r="F334" s="31">
        <f>E334/52</f>
        <v/>
      </c>
      <c r="G334" s="39">
        <f>D334/1000000*52</f>
        <v/>
      </c>
      <c r="H334" s="33">
        <f>G334/$P$4+($C$22/$P$4)</f>
        <v/>
      </c>
      <c r="I334" s="36">
        <f>_xlfn.IFS(K334&lt;K$24,0,K334&lt;K$26,I$24,K334&lt;K$28,I$26,K334&lt;K$30,I$28,K334&lt;K$32,I$30,K334&lt;K$34,I$32,K334&lt;K$36,I$34,K334&lt;K$38,I$36,K334&lt;K$40,I$38,K334&lt;K$42,I$40,K334&lt;K$44,I$42,K334&lt;K$46,I$44,K334&gt;=K$46,I$46)</f>
        <v/>
      </c>
      <c r="J334" s="37">
        <f>_xlfn.IFS(K334&lt;K$24,0,K334&lt;K$25,J$24,K334&lt;K$26,J$25,K334&lt;K$27,J$26,K334&lt;K$28,J$27,K334&lt;K$29,J$28,K334&lt;K$30,J$29,K334&lt;K$31,J$30,K334&lt;K$32,J$31,K334&lt;K$33,J$32,K334&lt;K$34,J$33,K334&lt;K$35,J$34,K334&lt;K$36,J$35,K334&lt;K$37,J$36,K334&lt;K$38,J$37,K334&lt;K$39,J$38,K334&lt;K$40,J$39,K334&lt;K$41,J$40,K334&lt;K$42,J$41,K334&lt;K$43,J$42,K334&lt;K$44,J$43,K334&lt;K$45,J$44,K334&lt;K$46,J$45,K334&lt;K$47,J$46,K334&gt;=K$47,J$47)</f>
        <v/>
      </c>
      <c r="K334" s="38" t="n">
        <v>284</v>
      </c>
      <c r="L334" s="31">
        <f>K334/52</f>
        <v/>
      </c>
      <c r="M334" s="39">
        <f>J334/1000000*52</f>
        <v/>
      </c>
      <c r="N334" s="33">
        <f>M334/$P$4+($I$22/$P$4)</f>
        <v/>
      </c>
      <c r="U334">
        <f>F333</f>
        <v/>
      </c>
      <c r="V334">
        <f>H333</f>
        <v/>
      </c>
      <c r="W334">
        <f>N333</f>
        <v/>
      </c>
    </row>
    <row r="335" ht="15.75" customHeight="1" s="40">
      <c r="C335" s="36">
        <f>_xlfn.IFS(E335&lt;E$24,0,E335&lt;E$26,C$24,E335&lt;E$28,C$26,E335&lt;E$30,C$28,E335&lt;E$32,C$30,E335&lt;E$34,C$32,E335&gt;=E$34,C$34)</f>
        <v/>
      </c>
      <c r="D335" s="37">
        <f>_xlfn.IFS(E335&lt;E$24,0,E335&lt;E$25,D$24,E335&lt;E$26,D$25,E335&lt;E$27,D$26,E335&lt;E$28,D$27,E335&lt;E$29,D$28,E335&lt;E$30,D$29,E335&lt;E$31,D$30,E335&lt;E$32,D$31,E335&lt;E$33,D$32,E335&lt;E$34,D$33,E335&lt;E$35,D$34,E335&gt;=E$35,D$35)</f>
        <v/>
      </c>
      <c r="E335" s="38" t="n">
        <v>285</v>
      </c>
      <c r="F335" s="31">
        <f>E335/52</f>
        <v/>
      </c>
      <c r="G335" s="39">
        <f>D335/1000000*52</f>
        <v/>
      </c>
      <c r="H335" s="33">
        <f>G335/$P$4+($C$22/$P$4)</f>
        <v/>
      </c>
      <c r="I335" s="36">
        <f>_xlfn.IFS(K335&lt;K$24,0,K335&lt;K$26,I$24,K335&lt;K$28,I$26,K335&lt;K$30,I$28,K335&lt;K$32,I$30,K335&lt;K$34,I$32,K335&lt;K$36,I$34,K335&lt;K$38,I$36,K335&lt;K$40,I$38,K335&lt;K$42,I$40,K335&lt;K$44,I$42,K335&lt;K$46,I$44,K335&gt;=K$46,I$46)</f>
        <v/>
      </c>
      <c r="J335" s="37">
        <f>_xlfn.IFS(K335&lt;K$24,0,K335&lt;K$25,J$24,K335&lt;K$26,J$25,K335&lt;K$27,J$26,K335&lt;K$28,J$27,K335&lt;K$29,J$28,K335&lt;K$30,J$29,K335&lt;K$31,J$30,K335&lt;K$32,J$31,K335&lt;K$33,J$32,K335&lt;K$34,J$33,K335&lt;K$35,J$34,K335&lt;K$36,J$35,K335&lt;K$37,J$36,K335&lt;K$38,J$37,K335&lt;K$39,J$38,K335&lt;K$40,J$39,K335&lt;K$41,J$40,K335&lt;K$42,J$41,K335&lt;K$43,J$42,K335&lt;K$44,J$43,K335&lt;K$45,J$44,K335&lt;K$46,J$45,K335&lt;K$47,J$46,K335&gt;=K$47,J$47)</f>
        <v/>
      </c>
      <c r="K335" s="38" t="n">
        <v>285</v>
      </c>
      <c r="L335" s="31">
        <f>K335/52</f>
        <v/>
      </c>
      <c r="M335" s="39">
        <f>J335/1000000*52</f>
        <v/>
      </c>
      <c r="N335" s="33">
        <f>M335/$P$4+($I$22/$P$4)</f>
        <v/>
      </c>
      <c r="U335">
        <f>F334</f>
        <v/>
      </c>
      <c r="V335">
        <f>H334</f>
        <v/>
      </c>
      <c r="W335">
        <f>N334</f>
        <v/>
      </c>
    </row>
    <row r="336" ht="15.75" customHeight="1" s="40">
      <c r="C336" s="36">
        <f>_xlfn.IFS(E336&lt;E$24,0,E336&lt;E$26,C$24,E336&lt;E$28,C$26,E336&lt;E$30,C$28,E336&lt;E$32,C$30,E336&lt;E$34,C$32,E336&gt;=E$34,C$34)</f>
        <v/>
      </c>
      <c r="D336" s="37">
        <f>_xlfn.IFS(E336&lt;E$24,0,E336&lt;E$25,D$24,E336&lt;E$26,D$25,E336&lt;E$27,D$26,E336&lt;E$28,D$27,E336&lt;E$29,D$28,E336&lt;E$30,D$29,E336&lt;E$31,D$30,E336&lt;E$32,D$31,E336&lt;E$33,D$32,E336&lt;E$34,D$33,E336&lt;E$35,D$34,E336&gt;=E$35,D$35)</f>
        <v/>
      </c>
      <c r="E336" s="38" t="n">
        <v>286</v>
      </c>
      <c r="F336" s="31">
        <f>E336/52</f>
        <v/>
      </c>
      <c r="G336" s="39">
        <f>D336/1000000*52</f>
        <v/>
      </c>
      <c r="H336" s="33">
        <f>G336/$P$4+($C$22/$P$4)</f>
        <v/>
      </c>
      <c r="I336" s="36">
        <f>_xlfn.IFS(K336&lt;K$24,0,K336&lt;K$26,I$24,K336&lt;K$28,I$26,K336&lt;K$30,I$28,K336&lt;K$32,I$30,K336&lt;K$34,I$32,K336&lt;K$36,I$34,K336&lt;K$38,I$36,K336&lt;K$40,I$38,K336&lt;K$42,I$40,K336&lt;K$44,I$42,K336&lt;K$46,I$44,K336&gt;=K$46,I$46)</f>
        <v/>
      </c>
      <c r="J336" s="37">
        <f>_xlfn.IFS(K336&lt;K$24,0,K336&lt;K$25,J$24,K336&lt;K$26,J$25,K336&lt;K$27,J$26,K336&lt;K$28,J$27,K336&lt;K$29,J$28,K336&lt;K$30,J$29,K336&lt;K$31,J$30,K336&lt;K$32,J$31,K336&lt;K$33,J$32,K336&lt;K$34,J$33,K336&lt;K$35,J$34,K336&lt;K$36,J$35,K336&lt;K$37,J$36,K336&lt;K$38,J$37,K336&lt;K$39,J$38,K336&lt;K$40,J$39,K336&lt;K$41,J$40,K336&lt;K$42,J$41,K336&lt;K$43,J$42,K336&lt;K$44,J$43,K336&lt;K$45,J$44,K336&lt;K$46,J$45,K336&lt;K$47,J$46,K336&gt;=K$47,J$47)</f>
        <v/>
      </c>
      <c r="K336" s="38" t="n">
        <v>286</v>
      </c>
      <c r="L336" s="31">
        <f>K336/52</f>
        <v/>
      </c>
      <c r="M336" s="39">
        <f>J336/1000000*52</f>
        <v/>
      </c>
      <c r="N336" s="33">
        <f>M336/$P$4+($I$22/$P$4)</f>
        <v/>
      </c>
      <c r="U336">
        <f>F335</f>
        <v/>
      </c>
      <c r="V336">
        <f>H335</f>
        <v/>
      </c>
      <c r="W336">
        <f>N335</f>
        <v/>
      </c>
    </row>
    <row r="337" ht="15.75" customHeight="1" s="40">
      <c r="C337" s="36">
        <f>_xlfn.IFS(E337&lt;E$24,0,E337&lt;E$26,C$24,E337&lt;E$28,C$26,E337&lt;E$30,C$28,E337&lt;E$32,C$30,E337&lt;E$34,C$32,E337&gt;=E$34,C$34)</f>
        <v/>
      </c>
      <c r="D337" s="37">
        <f>_xlfn.IFS(E337&lt;E$24,0,E337&lt;E$25,D$24,E337&lt;E$26,D$25,E337&lt;E$27,D$26,E337&lt;E$28,D$27,E337&lt;E$29,D$28,E337&lt;E$30,D$29,E337&lt;E$31,D$30,E337&lt;E$32,D$31,E337&lt;E$33,D$32,E337&lt;E$34,D$33,E337&lt;E$35,D$34,E337&gt;=E$35,D$35)</f>
        <v/>
      </c>
      <c r="E337" s="38" t="n">
        <v>287</v>
      </c>
      <c r="F337" s="31">
        <f>E337/52</f>
        <v/>
      </c>
      <c r="G337" s="39">
        <f>D337/1000000*52</f>
        <v/>
      </c>
      <c r="H337" s="33">
        <f>G337/$P$4+($C$22/$P$4)</f>
        <v/>
      </c>
      <c r="I337" s="36">
        <f>_xlfn.IFS(K337&lt;K$24,0,K337&lt;K$26,I$24,K337&lt;K$28,I$26,K337&lt;K$30,I$28,K337&lt;K$32,I$30,K337&lt;K$34,I$32,K337&lt;K$36,I$34,K337&lt;K$38,I$36,K337&lt;K$40,I$38,K337&lt;K$42,I$40,K337&lt;K$44,I$42,K337&lt;K$46,I$44,K337&gt;=K$46,I$46)</f>
        <v/>
      </c>
      <c r="J337" s="37">
        <f>_xlfn.IFS(K337&lt;K$24,0,K337&lt;K$25,J$24,K337&lt;K$26,J$25,K337&lt;K$27,J$26,K337&lt;K$28,J$27,K337&lt;K$29,J$28,K337&lt;K$30,J$29,K337&lt;K$31,J$30,K337&lt;K$32,J$31,K337&lt;K$33,J$32,K337&lt;K$34,J$33,K337&lt;K$35,J$34,K337&lt;K$36,J$35,K337&lt;K$37,J$36,K337&lt;K$38,J$37,K337&lt;K$39,J$38,K337&lt;K$40,J$39,K337&lt;K$41,J$40,K337&lt;K$42,J$41,K337&lt;K$43,J$42,K337&lt;K$44,J$43,K337&lt;K$45,J$44,K337&lt;K$46,J$45,K337&lt;K$47,J$46,K337&gt;=K$47,J$47)</f>
        <v/>
      </c>
      <c r="K337" s="38" t="n">
        <v>287</v>
      </c>
      <c r="L337" s="31">
        <f>K337/52</f>
        <v/>
      </c>
      <c r="M337" s="39">
        <f>J337/1000000*52</f>
        <v/>
      </c>
      <c r="N337" s="33">
        <f>M337/$P$4+($I$22/$P$4)</f>
        <v/>
      </c>
      <c r="U337">
        <f>F336</f>
        <v/>
      </c>
      <c r="V337">
        <f>H336</f>
        <v/>
      </c>
      <c r="W337">
        <f>N336</f>
        <v/>
      </c>
    </row>
    <row r="338" ht="15.75" customHeight="1" s="40">
      <c r="C338" s="36">
        <f>_xlfn.IFS(E338&lt;E$24,0,E338&lt;E$26,C$24,E338&lt;E$28,C$26,E338&lt;E$30,C$28,E338&lt;E$32,C$30,E338&lt;E$34,C$32,E338&gt;=E$34,C$34)</f>
        <v/>
      </c>
      <c r="D338" s="37">
        <f>_xlfn.IFS(E338&lt;E$24,0,E338&lt;E$25,D$24,E338&lt;E$26,D$25,E338&lt;E$27,D$26,E338&lt;E$28,D$27,E338&lt;E$29,D$28,E338&lt;E$30,D$29,E338&lt;E$31,D$30,E338&lt;E$32,D$31,E338&lt;E$33,D$32,E338&lt;E$34,D$33,E338&lt;E$35,D$34,E338&gt;=E$35,D$35)</f>
        <v/>
      </c>
      <c r="E338" s="38" t="n">
        <v>288</v>
      </c>
      <c r="F338" s="31">
        <f>E338/52</f>
        <v/>
      </c>
      <c r="G338" s="39">
        <f>D338/1000000*52</f>
        <v/>
      </c>
      <c r="H338" s="33">
        <f>G338/$P$4+($C$22/$P$4)</f>
        <v/>
      </c>
      <c r="I338" s="36">
        <f>_xlfn.IFS(K338&lt;K$24,0,K338&lt;K$26,I$24,K338&lt;K$28,I$26,K338&lt;K$30,I$28,K338&lt;K$32,I$30,K338&lt;K$34,I$32,K338&lt;K$36,I$34,K338&lt;K$38,I$36,K338&lt;K$40,I$38,K338&lt;K$42,I$40,K338&lt;K$44,I$42,K338&lt;K$46,I$44,K338&gt;=K$46,I$46)</f>
        <v/>
      </c>
      <c r="J338" s="37">
        <f>_xlfn.IFS(K338&lt;K$24,0,K338&lt;K$25,J$24,K338&lt;K$26,J$25,K338&lt;K$27,J$26,K338&lt;K$28,J$27,K338&lt;K$29,J$28,K338&lt;K$30,J$29,K338&lt;K$31,J$30,K338&lt;K$32,J$31,K338&lt;K$33,J$32,K338&lt;K$34,J$33,K338&lt;K$35,J$34,K338&lt;K$36,J$35,K338&lt;K$37,J$36,K338&lt;K$38,J$37,K338&lt;K$39,J$38,K338&lt;K$40,J$39,K338&lt;K$41,J$40,K338&lt;K$42,J$41,K338&lt;K$43,J$42,K338&lt;K$44,J$43,K338&lt;K$45,J$44,K338&lt;K$46,J$45,K338&lt;K$47,J$46,K338&gt;=K$47,J$47)</f>
        <v/>
      </c>
      <c r="K338" s="38" t="n">
        <v>288</v>
      </c>
      <c r="L338" s="31">
        <f>K338/52</f>
        <v/>
      </c>
      <c r="M338" s="39">
        <f>J338/1000000*52</f>
        <v/>
      </c>
      <c r="N338" s="33">
        <f>M338/$P$4+($I$22/$P$4)</f>
        <v/>
      </c>
      <c r="U338">
        <f>F337</f>
        <v/>
      </c>
      <c r="V338">
        <f>H337</f>
        <v/>
      </c>
      <c r="W338">
        <f>N337</f>
        <v/>
      </c>
    </row>
    <row r="339" ht="15.75" customHeight="1" s="40">
      <c r="C339" s="36">
        <f>_xlfn.IFS(E339&lt;E$24,0,E339&lt;E$26,C$24,E339&lt;E$28,C$26,E339&lt;E$30,C$28,E339&lt;E$32,C$30,E339&lt;E$34,C$32,E339&gt;=E$34,C$34)</f>
        <v/>
      </c>
      <c r="D339" s="37">
        <f>_xlfn.IFS(E339&lt;E$24,0,E339&lt;E$25,D$24,E339&lt;E$26,D$25,E339&lt;E$27,D$26,E339&lt;E$28,D$27,E339&lt;E$29,D$28,E339&lt;E$30,D$29,E339&lt;E$31,D$30,E339&lt;E$32,D$31,E339&lt;E$33,D$32,E339&lt;E$34,D$33,E339&lt;E$35,D$34,E339&gt;=E$35,D$35)</f>
        <v/>
      </c>
      <c r="E339" s="38" t="n">
        <v>289</v>
      </c>
      <c r="F339" s="31">
        <f>E339/52</f>
        <v/>
      </c>
      <c r="G339" s="39">
        <f>D339/1000000*52</f>
        <v/>
      </c>
      <c r="H339" s="33">
        <f>G339/$P$4+($C$22/$P$4)</f>
        <v/>
      </c>
      <c r="I339" s="36">
        <f>_xlfn.IFS(K339&lt;K$24,0,K339&lt;K$26,I$24,K339&lt;K$28,I$26,K339&lt;K$30,I$28,K339&lt;K$32,I$30,K339&lt;K$34,I$32,K339&lt;K$36,I$34,K339&lt;K$38,I$36,K339&lt;K$40,I$38,K339&lt;K$42,I$40,K339&lt;K$44,I$42,K339&lt;K$46,I$44,K339&gt;=K$46,I$46)</f>
        <v/>
      </c>
      <c r="J339" s="37">
        <f>_xlfn.IFS(K339&lt;K$24,0,K339&lt;K$25,J$24,K339&lt;K$26,J$25,K339&lt;K$27,J$26,K339&lt;K$28,J$27,K339&lt;K$29,J$28,K339&lt;K$30,J$29,K339&lt;K$31,J$30,K339&lt;K$32,J$31,K339&lt;K$33,J$32,K339&lt;K$34,J$33,K339&lt;K$35,J$34,K339&lt;K$36,J$35,K339&lt;K$37,J$36,K339&lt;K$38,J$37,K339&lt;K$39,J$38,K339&lt;K$40,J$39,K339&lt;K$41,J$40,K339&lt;K$42,J$41,K339&lt;K$43,J$42,K339&lt;K$44,J$43,K339&lt;K$45,J$44,K339&lt;K$46,J$45,K339&lt;K$47,J$46,K339&gt;=K$47,J$47)</f>
        <v/>
      </c>
      <c r="K339" s="38" t="n">
        <v>289</v>
      </c>
      <c r="L339" s="31">
        <f>K339/52</f>
        <v/>
      </c>
      <c r="M339" s="39">
        <f>J339/1000000*52</f>
        <v/>
      </c>
      <c r="N339" s="33">
        <f>M339/$P$4+($I$22/$P$4)</f>
        <v/>
      </c>
      <c r="U339">
        <f>F338</f>
        <v/>
      </c>
      <c r="V339">
        <f>H338</f>
        <v/>
      </c>
      <c r="W339">
        <f>N338</f>
        <v/>
      </c>
    </row>
    <row r="340" ht="15.75" customHeight="1" s="40">
      <c r="C340" s="36">
        <f>_xlfn.IFS(E340&lt;E$24,0,E340&lt;E$26,C$24,E340&lt;E$28,C$26,E340&lt;E$30,C$28,E340&lt;E$32,C$30,E340&lt;E$34,C$32,E340&gt;=E$34,C$34)</f>
        <v/>
      </c>
      <c r="D340" s="37">
        <f>_xlfn.IFS(E340&lt;E$24,0,E340&lt;E$25,D$24,E340&lt;E$26,D$25,E340&lt;E$27,D$26,E340&lt;E$28,D$27,E340&lt;E$29,D$28,E340&lt;E$30,D$29,E340&lt;E$31,D$30,E340&lt;E$32,D$31,E340&lt;E$33,D$32,E340&lt;E$34,D$33,E340&lt;E$35,D$34,E340&gt;=E$35,D$35)</f>
        <v/>
      </c>
      <c r="E340" s="38" t="n">
        <v>290</v>
      </c>
      <c r="F340" s="31">
        <f>E340/52</f>
        <v/>
      </c>
      <c r="G340" s="39">
        <f>D340/1000000*52</f>
        <v/>
      </c>
      <c r="H340" s="33">
        <f>G340/$P$4+($C$22/$P$4)</f>
        <v/>
      </c>
      <c r="I340" s="36">
        <f>_xlfn.IFS(K340&lt;K$24,0,K340&lt;K$26,I$24,K340&lt;K$28,I$26,K340&lt;K$30,I$28,K340&lt;K$32,I$30,K340&lt;K$34,I$32,K340&lt;K$36,I$34,K340&lt;K$38,I$36,K340&lt;K$40,I$38,K340&lt;K$42,I$40,K340&lt;K$44,I$42,K340&lt;K$46,I$44,K340&gt;=K$46,I$46)</f>
        <v/>
      </c>
      <c r="J340" s="37">
        <f>_xlfn.IFS(K340&lt;K$24,0,K340&lt;K$25,J$24,K340&lt;K$26,J$25,K340&lt;K$27,J$26,K340&lt;K$28,J$27,K340&lt;K$29,J$28,K340&lt;K$30,J$29,K340&lt;K$31,J$30,K340&lt;K$32,J$31,K340&lt;K$33,J$32,K340&lt;K$34,J$33,K340&lt;K$35,J$34,K340&lt;K$36,J$35,K340&lt;K$37,J$36,K340&lt;K$38,J$37,K340&lt;K$39,J$38,K340&lt;K$40,J$39,K340&lt;K$41,J$40,K340&lt;K$42,J$41,K340&lt;K$43,J$42,K340&lt;K$44,J$43,K340&lt;K$45,J$44,K340&lt;K$46,J$45,K340&lt;K$47,J$46,K340&gt;=K$47,J$47)</f>
        <v/>
      </c>
      <c r="K340" s="38" t="n">
        <v>290</v>
      </c>
      <c r="L340" s="31">
        <f>K340/52</f>
        <v/>
      </c>
      <c r="M340" s="39">
        <f>J340/1000000*52</f>
        <v/>
      </c>
      <c r="N340" s="33">
        <f>M340/$P$4+($I$22/$P$4)</f>
        <v/>
      </c>
      <c r="U340">
        <f>F339</f>
        <v/>
      </c>
      <c r="V340">
        <f>H339</f>
        <v/>
      </c>
      <c r="W340">
        <f>N339</f>
        <v/>
      </c>
    </row>
    <row r="341" ht="15.75" customHeight="1" s="40">
      <c r="C341" s="36">
        <f>_xlfn.IFS(E341&lt;E$24,0,E341&lt;E$26,C$24,E341&lt;E$28,C$26,E341&lt;E$30,C$28,E341&lt;E$32,C$30,E341&lt;E$34,C$32,E341&gt;=E$34,C$34)</f>
        <v/>
      </c>
      <c r="D341" s="37">
        <f>_xlfn.IFS(E341&lt;E$24,0,E341&lt;E$25,D$24,E341&lt;E$26,D$25,E341&lt;E$27,D$26,E341&lt;E$28,D$27,E341&lt;E$29,D$28,E341&lt;E$30,D$29,E341&lt;E$31,D$30,E341&lt;E$32,D$31,E341&lt;E$33,D$32,E341&lt;E$34,D$33,E341&lt;E$35,D$34,E341&gt;=E$35,D$35)</f>
        <v/>
      </c>
      <c r="E341" s="38" t="n">
        <v>291</v>
      </c>
      <c r="F341" s="31">
        <f>E341/52</f>
        <v/>
      </c>
      <c r="G341" s="39">
        <f>D341/1000000*52</f>
        <v/>
      </c>
      <c r="H341" s="33">
        <f>G341/$P$4+($C$22/$P$4)</f>
        <v/>
      </c>
      <c r="I341" s="36">
        <f>_xlfn.IFS(K341&lt;K$24,0,K341&lt;K$26,I$24,K341&lt;K$28,I$26,K341&lt;K$30,I$28,K341&lt;K$32,I$30,K341&lt;K$34,I$32,K341&lt;K$36,I$34,K341&lt;K$38,I$36,K341&lt;K$40,I$38,K341&lt;K$42,I$40,K341&lt;K$44,I$42,K341&lt;K$46,I$44,K341&gt;=K$46,I$46)</f>
        <v/>
      </c>
      <c r="J341" s="37">
        <f>_xlfn.IFS(K341&lt;K$24,0,K341&lt;K$25,J$24,K341&lt;K$26,J$25,K341&lt;K$27,J$26,K341&lt;K$28,J$27,K341&lt;K$29,J$28,K341&lt;K$30,J$29,K341&lt;K$31,J$30,K341&lt;K$32,J$31,K341&lt;K$33,J$32,K341&lt;K$34,J$33,K341&lt;K$35,J$34,K341&lt;K$36,J$35,K341&lt;K$37,J$36,K341&lt;K$38,J$37,K341&lt;K$39,J$38,K341&lt;K$40,J$39,K341&lt;K$41,J$40,K341&lt;K$42,J$41,K341&lt;K$43,J$42,K341&lt;K$44,J$43,K341&lt;K$45,J$44,K341&lt;K$46,J$45,K341&lt;K$47,J$46,K341&gt;=K$47,J$47)</f>
        <v/>
      </c>
      <c r="K341" s="38" t="n">
        <v>291</v>
      </c>
      <c r="L341" s="31">
        <f>K341/52</f>
        <v/>
      </c>
      <c r="M341" s="39">
        <f>J341/1000000*52</f>
        <v/>
      </c>
      <c r="N341" s="33">
        <f>M341/$P$4+($I$22/$P$4)</f>
        <v/>
      </c>
      <c r="U341">
        <f>F340</f>
        <v/>
      </c>
      <c r="V341">
        <f>H340</f>
        <v/>
      </c>
      <c r="W341">
        <f>N340</f>
        <v/>
      </c>
    </row>
    <row r="342" ht="15.75" customHeight="1" s="40">
      <c r="C342" s="36">
        <f>_xlfn.IFS(E342&lt;E$24,0,E342&lt;E$26,C$24,E342&lt;E$28,C$26,E342&lt;E$30,C$28,E342&lt;E$32,C$30,E342&lt;E$34,C$32,E342&gt;=E$34,C$34)</f>
        <v/>
      </c>
      <c r="D342" s="37">
        <f>_xlfn.IFS(E342&lt;E$24,0,E342&lt;E$25,D$24,E342&lt;E$26,D$25,E342&lt;E$27,D$26,E342&lt;E$28,D$27,E342&lt;E$29,D$28,E342&lt;E$30,D$29,E342&lt;E$31,D$30,E342&lt;E$32,D$31,E342&lt;E$33,D$32,E342&lt;E$34,D$33,E342&lt;E$35,D$34,E342&gt;=E$35,D$35)</f>
        <v/>
      </c>
      <c r="E342" s="38" t="n">
        <v>292</v>
      </c>
      <c r="F342" s="31">
        <f>E342/52</f>
        <v/>
      </c>
      <c r="G342" s="39">
        <f>D342/1000000*52</f>
        <v/>
      </c>
      <c r="H342" s="33">
        <f>G342/$P$4+($C$22/$P$4)</f>
        <v/>
      </c>
      <c r="I342" s="36">
        <f>_xlfn.IFS(K342&lt;K$24,0,K342&lt;K$26,I$24,K342&lt;K$28,I$26,K342&lt;K$30,I$28,K342&lt;K$32,I$30,K342&lt;K$34,I$32,K342&lt;K$36,I$34,K342&lt;K$38,I$36,K342&lt;K$40,I$38,K342&lt;K$42,I$40,K342&lt;K$44,I$42,K342&lt;K$46,I$44,K342&gt;=K$46,I$46)</f>
        <v/>
      </c>
      <c r="J342" s="37">
        <f>_xlfn.IFS(K342&lt;K$24,0,K342&lt;K$25,J$24,K342&lt;K$26,J$25,K342&lt;K$27,J$26,K342&lt;K$28,J$27,K342&lt;K$29,J$28,K342&lt;K$30,J$29,K342&lt;K$31,J$30,K342&lt;K$32,J$31,K342&lt;K$33,J$32,K342&lt;K$34,J$33,K342&lt;K$35,J$34,K342&lt;K$36,J$35,K342&lt;K$37,J$36,K342&lt;K$38,J$37,K342&lt;K$39,J$38,K342&lt;K$40,J$39,K342&lt;K$41,J$40,K342&lt;K$42,J$41,K342&lt;K$43,J$42,K342&lt;K$44,J$43,K342&lt;K$45,J$44,K342&lt;K$46,J$45,K342&lt;K$47,J$46,K342&gt;=K$47,J$47)</f>
        <v/>
      </c>
      <c r="K342" s="38" t="n">
        <v>292</v>
      </c>
      <c r="L342" s="31">
        <f>K342/52</f>
        <v/>
      </c>
      <c r="M342" s="39">
        <f>J342/1000000*52</f>
        <v/>
      </c>
      <c r="N342" s="33">
        <f>M342/$P$4+($I$22/$P$4)</f>
        <v/>
      </c>
      <c r="U342">
        <f>F341</f>
        <v/>
      </c>
      <c r="V342">
        <f>H341</f>
        <v/>
      </c>
      <c r="W342">
        <f>N341</f>
        <v/>
      </c>
    </row>
    <row r="343" ht="15.75" customHeight="1" s="40">
      <c r="C343" s="36">
        <f>_xlfn.IFS(E343&lt;E$24,0,E343&lt;E$26,C$24,E343&lt;E$28,C$26,E343&lt;E$30,C$28,E343&lt;E$32,C$30,E343&lt;E$34,C$32,E343&gt;=E$34,C$34)</f>
        <v/>
      </c>
      <c r="D343" s="37">
        <f>_xlfn.IFS(E343&lt;E$24,0,E343&lt;E$25,D$24,E343&lt;E$26,D$25,E343&lt;E$27,D$26,E343&lt;E$28,D$27,E343&lt;E$29,D$28,E343&lt;E$30,D$29,E343&lt;E$31,D$30,E343&lt;E$32,D$31,E343&lt;E$33,D$32,E343&lt;E$34,D$33,E343&lt;E$35,D$34,E343&gt;=E$35,D$35)</f>
        <v/>
      </c>
      <c r="E343" s="38" t="n">
        <v>293</v>
      </c>
      <c r="F343" s="31">
        <f>E343/52</f>
        <v/>
      </c>
      <c r="G343" s="39">
        <f>D343/1000000*52</f>
        <v/>
      </c>
      <c r="H343" s="33">
        <f>G343/$P$4+($C$22/$P$4)</f>
        <v/>
      </c>
      <c r="I343" s="36">
        <f>_xlfn.IFS(K343&lt;K$24,0,K343&lt;K$26,I$24,K343&lt;K$28,I$26,K343&lt;K$30,I$28,K343&lt;K$32,I$30,K343&lt;K$34,I$32,K343&lt;K$36,I$34,K343&lt;K$38,I$36,K343&lt;K$40,I$38,K343&lt;K$42,I$40,K343&lt;K$44,I$42,K343&lt;K$46,I$44,K343&gt;=K$46,I$46)</f>
        <v/>
      </c>
      <c r="J343" s="37">
        <f>_xlfn.IFS(K343&lt;K$24,0,K343&lt;K$25,J$24,K343&lt;K$26,J$25,K343&lt;K$27,J$26,K343&lt;K$28,J$27,K343&lt;K$29,J$28,K343&lt;K$30,J$29,K343&lt;K$31,J$30,K343&lt;K$32,J$31,K343&lt;K$33,J$32,K343&lt;K$34,J$33,K343&lt;K$35,J$34,K343&lt;K$36,J$35,K343&lt;K$37,J$36,K343&lt;K$38,J$37,K343&lt;K$39,J$38,K343&lt;K$40,J$39,K343&lt;K$41,J$40,K343&lt;K$42,J$41,K343&lt;K$43,J$42,K343&lt;K$44,J$43,K343&lt;K$45,J$44,K343&lt;K$46,J$45,K343&lt;K$47,J$46,K343&gt;=K$47,J$47)</f>
        <v/>
      </c>
      <c r="K343" s="38" t="n">
        <v>293</v>
      </c>
      <c r="L343" s="31">
        <f>K343/52</f>
        <v/>
      </c>
      <c r="M343" s="39">
        <f>J343/1000000*52</f>
        <v/>
      </c>
      <c r="N343" s="33">
        <f>M343/$P$4+($I$22/$P$4)</f>
        <v/>
      </c>
      <c r="U343">
        <f>F342</f>
        <v/>
      </c>
      <c r="V343">
        <f>H342</f>
        <v/>
      </c>
      <c r="W343">
        <f>N342</f>
        <v/>
      </c>
    </row>
    <row r="344" ht="15.75" customHeight="1" s="40">
      <c r="C344" s="36">
        <f>_xlfn.IFS(E344&lt;E$24,0,E344&lt;E$26,C$24,E344&lt;E$28,C$26,E344&lt;E$30,C$28,E344&lt;E$32,C$30,E344&lt;E$34,C$32,E344&gt;=E$34,C$34)</f>
        <v/>
      </c>
      <c r="D344" s="37">
        <f>_xlfn.IFS(E344&lt;E$24,0,E344&lt;E$25,D$24,E344&lt;E$26,D$25,E344&lt;E$27,D$26,E344&lt;E$28,D$27,E344&lt;E$29,D$28,E344&lt;E$30,D$29,E344&lt;E$31,D$30,E344&lt;E$32,D$31,E344&lt;E$33,D$32,E344&lt;E$34,D$33,E344&lt;E$35,D$34,E344&gt;=E$35,D$35)</f>
        <v/>
      </c>
      <c r="E344" s="38" t="n">
        <v>294</v>
      </c>
      <c r="F344" s="31">
        <f>E344/52</f>
        <v/>
      </c>
      <c r="G344" s="39">
        <f>D344/1000000*52</f>
        <v/>
      </c>
      <c r="H344" s="33">
        <f>G344/$P$4+($C$22/$P$4)</f>
        <v/>
      </c>
      <c r="I344" s="36">
        <f>_xlfn.IFS(K344&lt;K$24,0,K344&lt;K$26,I$24,K344&lt;K$28,I$26,K344&lt;K$30,I$28,K344&lt;K$32,I$30,K344&lt;K$34,I$32,K344&lt;K$36,I$34,K344&lt;K$38,I$36,K344&lt;K$40,I$38,K344&lt;K$42,I$40,K344&lt;K$44,I$42,K344&lt;K$46,I$44,K344&gt;=K$46,I$46)</f>
        <v/>
      </c>
      <c r="J344" s="37">
        <f>_xlfn.IFS(K344&lt;K$24,0,K344&lt;K$25,J$24,K344&lt;K$26,J$25,K344&lt;K$27,J$26,K344&lt;K$28,J$27,K344&lt;K$29,J$28,K344&lt;K$30,J$29,K344&lt;K$31,J$30,K344&lt;K$32,J$31,K344&lt;K$33,J$32,K344&lt;K$34,J$33,K344&lt;K$35,J$34,K344&lt;K$36,J$35,K344&lt;K$37,J$36,K344&lt;K$38,J$37,K344&lt;K$39,J$38,K344&lt;K$40,J$39,K344&lt;K$41,J$40,K344&lt;K$42,J$41,K344&lt;K$43,J$42,K344&lt;K$44,J$43,K344&lt;K$45,J$44,K344&lt;K$46,J$45,K344&lt;K$47,J$46,K344&gt;=K$47,J$47)</f>
        <v/>
      </c>
      <c r="K344" s="38" t="n">
        <v>294</v>
      </c>
      <c r="L344" s="31">
        <f>K344/52</f>
        <v/>
      </c>
      <c r="M344" s="39">
        <f>J344/1000000*52</f>
        <v/>
      </c>
      <c r="N344" s="33">
        <f>M344/$P$4+($I$22/$P$4)</f>
        <v/>
      </c>
      <c r="U344">
        <f>F343</f>
        <v/>
      </c>
      <c r="V344">
        <f>H343</f>
        <v/>
      </c>
      <c r="W344">
        <f>N343</f>
        <v/>
      </c>
    </row>
    <row r="345" ht="15.75" customHeight="1" s="40">
      <c r="C345" s="36">
        <f>_xlfn.IFS(E345&lt;E$24,0,E345&lt;E$26,C$24,E345&lt;E$28,C$26,E345&lt;E$30,C$28,E345&lt;E$32,C$30,E345&lt;E$34,C$32,E345&gt;=E$34,C$34)</f>
        <v/>
      </c>
      <c r="D345" s="37">
        <f>_xlfn.IFS(E345&lt;E$24,0,E345&lt;E$25,D$24,E345&lt;E$26,D$25,E345&lt;E$27,D$26,E345&lt;E$28,D$27,E345&lt;E$29,D$28,E345&lt;E$30,D$29,E345&lt;E$31,D$30,E345&lt;E$32,D$31,E345&lt;E$33,D$32,E345&lt;E$34,D$33,E345&lt;E$35,D$34,E345&gt;=E$35,D$35)</f>
        <v/>
      </c>
      <c r="E345" s="38" t="n">
        <v>295</v>
      </c>
      <c r="F345" s="31">
        <f>E345/52</f>
        <v/>
      </c>
      <c r="G345" s="39">
        <f>D345/1000000*52</f>
        <v/>
      </c>
      <c r="H345" s="33">
        <f>G345/$P$4+($C$22/$P$4)</f>
        <v/>
      </c>
      <c r="I345" s="36">
        <f>_xlfn.IFS(K345&lt;K$24,0,K345&lt;K$26,I$24,K345&lt;K$28,I$26,K345&lt;K$30,I$28,K345&lt;K$32,I$30,K345&lt;K$34,I$32,K345&lt;K$36,I$34,K345&lt;K$38,I$36,K345&lt;K$40,I$38,K345&lt;K$42,I$40,K345&lt;K$44,I$42,K345&lt;K$46,I$44,K345&gt;=K$46,I$46)</f>
        <v/>
      </c>
      <c r="J345" s="37">
        <f>_xlfn.IFS(K345&lt;K$24,0,K345&lt;K$25,J$24,K345&lt;K$26,J$25,K345&lt;K$27,J$26,K345&lt;K$28,J$27,K345&lt;K$29,J$28,K345&lt;K$30,J$29,K345&lt;K$31,J$30,K345&lt;K$32,J$31,K345&lt;K$33,J$32,K345&lt;K$34,J$33,K345&lt;K$35,J$34,K345&lt;K$36,J$35,K345&lt;K$37,J$36,K345&lt;K$38,J$37,K345&lt;K$39,J$38,K345&lt;K$40,J$39,K345&lt;K$41,J$40,K345&lt;K$42,J$41,K345&lt;K$43,J$42,K345&lt;K$44,J$43,K345&lt;K$45,J$44,K345&lt;K$46,J$45,K345&lt;K$47,J$46,K345&gt;=K$47,J$47)</f>
        <v/>
      </c>
      <c r="K345" s="38" t="n">
        <v>295</v>
      </c>
      <c r="L345" s="31">
        <f>K345/52</f>
        <v/>
      </c>
      <c r="M345" s="39">
        <f>J345/1000000*52</f>
        <v/>
      </c>
      <c r="N345" s="33">
        <f>M345/$P$4+($I$22/$P$4)</f>
        <v/>
      </c>
      <c r="U345">
        <f>F344</f>
        <v/>
      </c>
      <c r="V345">
        <f>H344</f>
        <v/>
      </c>
      <c r="W345">
        <f>N344</f>
        <v/>
      </c>
    </row>
    <row r="346" ht="15.75" customHeight="1" s="40">
      <c r="C346" s="36">
        <f>_xlfn.IFS(E346&lt;E$24,0,E346&lt;E$26,C$24,E346&lt;E$28,C$26,E346&lt;E$30,C$28,E346&lt;E$32,C$30,E346&lt;E$34,C$32,E346&gt;=E$34,C$34)</f>
        <v/>
      </c>
      <c r="D346" s="37">
        <f>_xlfn.IFS(E346&lt;E$24,0,E346&lt;E$25,D$24,E346&lt;E$26,D$25,E346&lt;E$27,D$26,E346&lt;E$28,D$27,E346&lt;E$29,D$28,E346&lt;E$30,D$29,E346&lt;E$31,D$30,E346&lt;E$32,D$31,E346&lt;E$33,D$32,E346&lt;E$34,D$33,E346&lt;E$35,D$34,E346&gt;=E$35,D$35)</f>
        <v/>
      </c>
      <c r="E346" s="38" t="n">
        <v>296</v>
      </c>
      <c r="F346" s="31">
        <f>E346/52</f>
        <v/>
      </c>
      <c r="G346" s="39">
        <f>D346/1000000*52</f>
        <v/>
      </c>
      <c r="H346" s="33">
        <f>G346/$P$4+($C$22/$P$4)</f>
        <v/>
      </c>
      <c r="I346" s="36">
        <f>_xlfn.IFS(K346&lt;K$24,0,K346&lt;K$26,I$24,K346&lt;K$28,I$26,K346&lt;K$30,I$28,K346&lt;K$32,I$30,K346&lt;K$34,I$32,K346&lt;K$36,I$34,K346&lt;K$38,I$36,K346&lt;K$40,I$38,K346&lt;K$42,I$40,K346&lt;K$44,I$42,K346&lt;K$46,I$44,K346&gt;=K$46,I$46)</f>
        <v/>
      </c>
      <c r="J346" s="37">
        <f>_xlfn.IFS(K346&lt;K$24,0,K346&lt;K$25,J$24,K346&lt;K$26,J$25,K346&lt;K$27,J$26,K346&lt;K$28,J$27,K346&lt;K$29,J$28,K346&lt;K$30,J$29,K346&lt;K$31,J$30,K346&lt;K$32,J$31,K346&lt;K$33,J$32,K346&lt;K$34,J$33,K346&lt;K$35,J$34,K346&lt;K$36,J$35,K346&lt;K$37,J$36,K346&lt;K$38,J$37,K346&lt;K$39,J$38,K346&lt;K$40,J$39,K346&lt;K$41,J$40,K346&lt;K$42,J$41,K346&lt;K$43,J$42,K346&lt;K$44,J$43,K346&lt;K$45,J$44,K346&lt;K$46,J$45,K346&lt;K$47,J$46,K346&gt;=K$47,J$47)</f>
        <v/>
      </c>
      <c r="K346" s="38" t="n">
        <v>296</v>
      </c>
      <c r="L346" s="31">
        <f>K346/52</f>
        <v/>
      </c>
      <c r="M346" s="39">
        <f>J346/1000000*52</f>
        <v/>
      </c>
      <c r="N346" s="33">
        <f>M346/$P$4+($I$22/$P$4)</f>
        <v/>
      </c>
      <c r="U346">
        <f>F345</f>
        <v/>
      </c>
      <c r="V346">
        <f>H345</f>
        <v/>
      </c>
      <c r="W346">
        <f>N345</f>
        <v/>
      </c>
    </row>
    <row r="347" ht="15.75" customHeight="1" s="40">
      <c r="C347" s="36">
        <f>_xlfn.IFS(E347&lt;E$24,0,E347&lt;E$26,C$24,E347&lt;E$28,C$26,E347&lt;E$30,C$28,E347&lt;E$32,C$30,E347&lt;E$34,C$32,E347&gt;=E$34,C$34)</f>
        <v/>
      </c>
      <c r="D347" s="37">
        <f>_xlfn.IFS(E347&lt;E$24,0,E347&lt;E$25,D$24,E347&lt;E$26,D$25,E347&lt;E$27,D$26,E347&lt;E$28,D$27,E347&lt;E$29,D$28,E347&lt;E$30,D$29,E347&lt;E$31,D$30,E347&lt;E$32,D$31,E347&lt;E$33,D$32,E347&lt;E$34,D$33,E347&lt;E$35,D$34,E347&gt;=E$35,D$35)</f>
        <v/>
      </c>
      <c r="E347" s="38" t="n">
        <v>297</v>
      </c>
      <c r="F347" s="31">
        <f>E347/52</f>
        <v/>
      </c>
      <c r="G347" s="39">
        <f>D347/1000000*52</f>
        <v/>
      </c>
      <c r="H347" s="33">
        <f>G347/$P$4+($C$22/$P$4)</f>
        <v/>
      </c>
      <c r="I347" s="36">
        <f>_xlfn.IFS(K347&lt;K$24,0,K347&lt;K$26,I$24,K347&lt;K$28,I$26,K347&lt;K$30,I$28,K347&lt;K$32,I$30,K347&lt;K$34,I$32,K347&lt;K$36,I$34,K347&lt;K$38,I$36,K347&lt;K$40,I$38,K347&lt;K$42,I$40,K347&lt;K$44,I$42,K347&lt;K$46,I$44,K347&gt;=K$46,I$46)</f>
        <v/>
      </c>
      <c r="J347" s="37">
        <f>_xlfn.IFS(K347&lt;K$24,0,K347&lt;K$25,J$24,K347&lt;K$26,J$25,K347&lt;K$27,J$26,K347&lt;K$28,J$27,K347&lt;K$29,J$28,K347&lt;K$30,J$29,K347&lt;K$31,J$30,K347&lt;K$32,J$31,K347&lt;K$33,J$32,K347&lt;K$34,J$33,K347&lt;K$35,J$34,K347&lt;K$36,J$35,K347&lt;K$37,J$36,K347&lt;K$38,J$37,K347&lt;K$39,J$38,K347&lt;K$40,J$39,K347&lt;K$41,J$40,K347&lt;K$42,J$41,K347&lt;K$43,J$42,K347&lt;K$44,J$43,K347&lt;K$45,J$44,K347&lt;K$46,J$45,K347&lt;K$47,J$46,K347&gt;=K$47,J$47)</f>
        <v/>
      </c>
      <c r="K347" s="38" t="n">
        <v>297</v>
      </c>
      <c r="L347" s="31">
        <f>K347/52</f>
        <v/>
      </c>
      <c r="M347" s="39">
        <f>J347/1000000*52</f>
        <v/>
      </c>
      <c r="N347" s="33">
        <f>M347/$P$4+($I$22/$P$4)</f>
        <v/>
      </c>
      <c r="U347">
        <f>F346</f>
        <v/>
      </c>
      <c r="V347">
        <f>H346</f>
        <v/>
      </c>
      <c r="W347">
        <f>N346</f>
        <v/>
      </c>
    </row>
    <row r="348" ht="15.75" customHeight="1" s="40">
      <c r="C348" s="36">
        <f>_xlfn.IFS(E348&lt;E$24,0,E348&lt;E$26,C$24,E348&lt;E$28,C$26,E348&lt;E$30,C$28,E348&lt;E$32,C$30,E348&lt;E$34,C$32,E348&gt;=E$34,C$34)</f>
        <v/>
      </c>
      <c r="D348" s="37">
        <f>_xlfn.IFS(E348&lt;E$24,0,E348&lt;E$25,D$24,E348&lt;E$26,D$25,E348&lt;E$27,D$26,E348&lt;E$28,D$27,E348&lt;E$29,D$28,E348&lt;E$30,D$29,E348&lt;E$31,D$30,E348&lt;E$32,D$31,E348&lt;E$33,D$32,E348&lt;E$34,D$33,E348&lt;E$35,D$34,E348&gt;=E$35,D$35)</f>
        <v/>
      </c>
      <c r="E348" s="38" t="n">
        <v>298</v>
      </c>
      <c r="F348" s="31">
        <f>E348/52</f>
        <v/>
      </c>
      <c r="G348" s="39">
        <f>D348/1000000*52</f>
        <v/>
      </c>
      <c r="H348" s="33">
        <f>G348/$P$4+($C$22/$P$4)</f>
        <v/>
      </c>
      <c r="I348" s="36">
        <f>_xlfn.IFS(K348&lt;K$24,0,K348&lt;K$26,I$24,K348&lt;K$28,I$26,K348&lt;K$30,I$28,K348&lt;K$32,I$30,K348&lt;K$34,I$32,K348&lt;K$36,I$34,K348&lt;K$38,I$36,K348&lt;K$40,I$38,K348&lt;K$42,I$40,K348&lt;K$44,I$42,K348&lt;K$46,I$44,K348&gt;=K$46,I$46)</f>
        <v/>
      </c>
      <c r="J348" s="37">
        <f>_xlfn.IFS(K348&lt;K$24,0,K348&lt;K$25,J$24,K348&lt;K$26,J$25,K348&lt;K$27,J$26,K348&lt;K$28,J$27,K348&lt;K$29,J$28,K348&lt;K$30,J$29,K348&lt;K$31,J$30,K348&lt;K$32,J$31,K348&lt;K$33,J$32,K348&lt;K$34,J$33,K348&lt;K$35,J$34,K348&lt;K$36,J$35,K348&lt;K$37,J$36,K348&lt;K$38,J$37,K348&lt;K$39,J$38,K348&lt;K$40,J$39,K348&lt;K$41,J$40,K348&lt;K$42,J$41,K348&lt;K$43,J$42,K348&lt;K$44,J$43,K348&lt;K$45,J$44,K348&lt;K$46,J$45,K348&lt;K$47,J$46,K348&gt;=K$47,J$47)</f>
        <v/>
      </c>
      <c r="K348" s="38" t="n">
        <v>298</v>
      </c>
      <c r="L348" s="31">
        <f>K348/52</f>
        <v/>
      </c>
      <c r="M348" s="39">
        <f>J348/1000000*52</f>
        <v/>
      </c>
      <c r="N348" s="33">
        <f>M348/$P$4+($I$22/$P$4)</f>
        <v/>
      </c>
      <c r="U348">
        <f>F347</f>
        <v/>
      </c>
      <c r="V348">
        <f>H347</f>
        <v/>
      </c>
      <c r="W348">
        <f>N347</f>
        <v/>
      </c>
    </row>
    <row r="349" ht="15.75" customHeight="1" s="40">
      <c r="C349" s="36">
        <f>_xlfn.IFS(E349&lt;E$24,0,E349&lt;E$26,C$24,E349&lt;E$28,C$26,E349&lt;E$30,C$28,E349&lt;E$32,C$30,E349&lt;E$34,C$32,E349&gt;=E$34,C$34)</f>
        <v/>
      </c>
      <c r="D349" s="37">
        <f>_xlfn.IFS(E349&lt;E$24,0,E349&lt;E$25,D$24,E349&lt;E$26,D$25,E349&lt;E$27,D$26,E349&lt;E$28,D$27,E349&lt;E$29,D$28,E349&lt;E$30,D$29,E349&lt;E$31,D$30,E349&lt;E$32,D$31,E349&lt;E$33,D$32,E349&lt;E$34,D$33,E349&lt;E$35,D$34,E349&gt;=E$35,D$35)</f>
        <v/>
      </c>
      <c r="E349" s="38" t="n">
        <v>299</v>
      </c>
      <c r="F349" s="31">
        <f>E349/52</f>
        <v/>
      </c>
      <c r="G349" s="39">
        <f>D349/1000000*52</f>
        <v/>
      </c>
      <c r="H349" s="33">
        <f>G349/$P$4+($C$22/$P$4)</f>
        <v/>
      </c>
      <c r="I349" s="36">
        <f>_xlfn.IFS(K349&lt;K$24,0,K349&lt;K$26,I$24,K349&lt;K$28,I$26,K349&lt;K$30,I$28,K349&lt;K$32,I$30,K349&lt;K$34,I$32,K349&lt;K$36,I$34,K349&lt;K$38,I$36,K349&lt;K$40,I$38,K349&lt;K$42,I$40,K349&lt;K$44,I$42,K349&lt;K$46,I$44,K349&gt;=K$46,I$46)</f>
        <v/>
      </c>
      <c r="J349" s="37">
        <f>_xlfn.IFS(K349&lt;K$24,0,K349&lt;K$25,J$24,K349&lt;K$26,J$25,K349&lt;K$27,J$26,K349&lt;K$28,J$27,K349&lt;K$29,J$28,K349&lt;K$30,J$29,K349&lt;K$31,J$30,K349&lt;K$32,J$31,K349&lt;K$33,J$32,K349&lt;K$34,J$33,K349&lt;K$35,J$34,K349&lt;K$36,J$35,K349&lt;K$37,J$36,K349&lt;K$38,J$37,K349&lt;K$39,J$38,K349&lt;K$40,J$39,K349&lt;K$41,J$40,K349&lt;K$42,J$41,K349&lt;K$43,J$42,K349&lt;K$44,J$43,K349&lt;K$45,J$44,K349&lt;K$46,J$45,K349&lt;K$47,J$46,K349&gt;=K$47,J$47)</f>
        <v/>
      </c>
      <c r="K349" s="38" t="n">
        <v>299</v>
      </c>
      <c r="L349" s="31">
        <f>K349/52</f>
        <v/>
      </c>
      <c r="M349" s="39">
        <f>J349/1000000*52</f>
        <v/>
      </c>
      <c r="N349" s="33">
        <f>M349/$P$4+($I$22/$P$4)</f>
        <v/>
      </c>
      <c r="U349">
        <f>F348</f>
        <v/>
      </c>
      <c r="V349">
        <f>H348</f>
        <v/>
      </c>
      <c r="W349">
        <f>N348</f>
        <v/>
      </c>
    </row>
    <row r="350" ht="15.75" customHeight="1" s="40">
      <c r="C350" s="36">
        <f>_xlfn.IFS(E350&lt;E$24,0,E350&lt;E$26,C$24,E350&lt;E$28,C$26,E350&lt;E$30,C$28,E350&lt;E$32,C$30,E350&lt;E$34,C$32,E350&gt;=E$34,C$34)</f>
        <v/>
      </c>
      <c r="D350" s="37">
        <f>_xlfn.IFS(E350&lt;E$24,0,E350&lt;E$25,D$24,E350&lt;E$26,D$25,E350&lt;E$27,D$26,E350&lt;E$28,D$27,E350&lt;E$29,D$28,E350&lt;E$30,D$29,E350&lt;E$31,D$30,E350&lt;E$32,D$31,E350&lt;E$33,D$32,E350&lt;E$34,D$33,E350&lt;E$35,D$34,E350&gt;=E$35,D$35)</f>
        <v/>
      </c>
      <c r="E350" s="38" t="n">
        <v>300</v>
      </c>
      <c r="F350" s="31">
        <f>E350/52</f>
        <v/>
      </c>
      <c r="G350" s="39">
        <f>D350/1000000*52</f>
        <v/>
      </c>
      <c r="H350" s="33">
        <f>G350/$P$4+($C$22/$P$4)</f>
        <v/>
      </c>
      <c r="I350" s="36">
        <f>_xlfn.IFS(K350&lt;K$24,0,K350&lt;K$26,I$24,K350&lt;K$28,I$26,K350&lt;K$30,I$28,K350&lt;K$32,I$30,K350&lt;K$34,I$32,K350&lt;K$36,I$34,K350&lt;K$38,I$36,K350&lt;K$40,I$38,K350&lt;K$42,I$40,K350&lt;K$44,I$42,K350&lt;K$46,I$44,K350&gt;=K$46,I$46)</f>
        <v/>
      </c>
      <c r="J350" s="37">
        <f>_xlfn.IFS(K350&lt;K$24,0,K350&lt;K$25,J$24,K350&lt;K$26,J$25,K350&lt;K$27,J$26,K350&lt;K$28,J$27,K350&lt;K$29,J$28,K350&lt;K$30,J$29,K350&lt;K$31,J$30,K350&lt;K$32,J$31,K350&lt;K$33,J$32,K350&lt;K$34,J$33,K350&lt;K$35,J$34,K350&lt;K$36,J$35,K350&lt;K$37,J$36,K350&lt;K$38,J$37,K350&lt;K$39,J$38,K350&lt;K$40,J$39,K350&lt;K$41,J$40,K350&lt;K$42,J$41,K350&lt;K$43,J$42,K350&lt;K$44,J$43,K350&lt;K$45,J$44,K350&lt;K$46,J$45,K350&lt;K$47,J$46,K350&gt;=K$47,J$47)</f>
        <v/>
      </c>
      <c r="K350" s="38" t="n">
        <v>300</v>
      </c>
      <c r="L350" s="31">
        <f>K350/52</f>
        <v/>
      </c>
      <c r="M350" s="39">
        <f>J350/1000000*52</f>
        <v/>
      </c>
      <c r="N350" s="33">
        <f>M350/$P$4+($I$22/$P$4)</f>
        <v/>
      </c>
      <c r="U350">
        <f>F349</f>
        <v/>
      </c>
      <c r="V350">
        <f>H349</f>
        <v/>
      </c>
      <c r="W350">
        <f>N349</f>
        <v/>
      </c>
    </row>
    <row r="351" ht="15.75" customHeight="1" s="40">
      <c r="C351" s="36">
        <f>_xlfn.IFS(E351&lt;E$24,0,E351&lt;E$26,C$24,E351&lt;E$28,C$26,E351&lt;E$30,C$28,E351&lt;E$32,C$30,E351&lt;E$34,C$32,E351&gt;=E$34,C$34)</f>
        <v/>
      </c>
      <c r="D351" s="37">
        <f>_xlfn.IFS(E351&lt;E$24,0,E351&lt;E$25,D$24,E351&lt;E$26,D$25,E351&lt;E$27,D$26,E351&lt;E$28,D$27,E351&lt;E$29,D$28,E351&lt;E$30,D$29,E351&lt;E$31,D$30,E351&lt;E$32,D$31,E351&lt;E$33,D$32,E351&lt;E$34,D$33,E351&lt;E$35,D$34,E351&gt;=E$35,D$35)</f>
        <v/>
      </c>
      <c r="E351" s="38" t="n">
        <v>301</v>
      </c>
      <c r="F351" s="31">
        <f>E351/52</f>
        <v/>
      </c>
      <c r="G351" s="39">
        <f>D351/1000000*52</f>
        <v/>
      </c>
      <c r="H351" s="33">
        <f>G351/$P$4+($C$22/$P$4)</f>
        <v/>
      </c>
      <c r="I351" s="36">
        <f>_xlfn.IFS(K351&lt;K$24,0,K351&lt;K$26,I$24,K351&lt;K$28,I$26,K351&lt;K$30,I$28,K351&lt;K$32,I$30,K351&lt;K$34,I$32,K351&lt;K$36,I$34,K351&lt;K$38,I$36,K351&lt;K$40,I$38,K351&lt;K$42,I$40,K351&lt;K$44,I$42,K351&lt;K$46,I$44,K351&gt;=K$46,I$46)</f>
        <v/>
      </c>
      <c r="J351" s="37">
        <f>_xlfn.IFS(K351&lt;K$24,0,K351&lt;K$25,J$24,K351&lt;K$26,J$25,K351&lt;K$27,J$26,K351&lt;K$28,J$27,K351&lt;K$29,J$28,K351&lt;K$30,J$29,K351&lt;K$31,J$30,K351&lt;K$32,J$31,K351&lt;K$33,J$32,K351&lt;K$34,J$33,K351&lt;K$35,J$34,K351&lt;K$36,J$35,K351&lt;K$37,J$36,K351&lt;K$38,J$37,K351&lt;K$39,J$38,K351&lt;K$40,J$39,K351&lt;K$41,J$40,K351&lt;K$42,J$41,K351&lt;K$43,J$42,K351&lt;K$44,J$43,K351&lt;K$45,J$44,K351&lt;K$46,J$45,K351&lt;K$47,J$46,K351&gt;=K$47,J$47)</f>
        <v/>
      </c>
      <c r="K351" s="38" t="n">
        <v>301</v>
      </c>
      <c r="L351" s="31">
        <f>K351/52</f>
        <v/>
      </c>
      <c r="M351" s="39">
        <f>J351/1000000*52</f>
        <v/>
      </c>
      <c r="N351" s="33">
        <f>M351/$P$4+($I$22/$P$4)</f>
        <v/>
      </c>
      <c r="U351">
        <f>F350</f>
        <v/>
      </c>
      <c r="V351">
        <f>H350</f>
        <v/>
      </c>
      <c r="W351">
        <f>N350</f>
        <v/>
      </c>
    </row>
    <row r="352" ht="15.75" customHeight="1" s="40">
      <c r="C352" s="36">
        <f>_xlfn.IFS(E352&lt;E$24,0,E352&lt;E$26,C$24,E352&lt;E$28,C$26,E352&lt;E$30,C$28,E352&lt;E$32,C$30,E352&lt;E$34,C$32,E352&gt;=E$34,C$34)</f>
        <v/>
      </c>
      <c r="D352" s="37">
        <f>_xlfn.IFS(E352&lt;E$24,0,E352&lt;E$25,D$24,E352&lt;E$26,D$25,E352&lt;E$27,D$26,E352&lt;E$28,D$27,E352&lt;E$29,D$28,E352&lt;E$30,D$29,E352&lt;E$31,D$30,E352&lt;E$32,D$31,E352&lt;E$33,D$32,E352&lt;E$34,D$33,E352&lt;E$35,D$34,E352&gt;=E$35,D$35)</f>
        <v/>
      </c>
      <c r="E352" s="38" t="n">
        <v>302</v>
      </c>
      <c r="F352" s="31">
        <f>E352/52</f>
        <v/>
      </c>
      <c r="G352" s="39">
        <f>D352/1000000*52</f>
        <v/>
      </c>
      <c r="H352" s="33">
        <f>G352/$P$4+($C$22/$P$4)</f>
        <v/>
      </c>
      <c r="I352" s="36">
        <f>_xlfn.IFS(K352&lt;K$24,0,K352&lt;K$26,I$24,K352&lt;K$28,I$26,K352&lt;K$30,I$28,K352&lt;K$32,I$30,K352&lt;K$34,I$32,K352&lt;K$36,I$34,K352&lt;K$38,I$36,K352&lt;K$40,I$38,K352&lt;K$42,I$40,K352&lt;K$44,I$42,K352&lt;K$46,I$44,K352&gt;=K$46,I$46)</f>
        <v/>
      </c>
      <c r="J352" s="37">
        <f>_xlfn.IFS(K352&lt;K$24,0,K352&lt;K$25,J$24,K352&lt;K$26,J$25,K352&lt;K$27,J$26,K352&lt;K$28,J$27,K352&lt;K$29,J$28,K352&lt;K$30,J$29,K352&lt;K$31,J$30,K352&lt;K$32,J$31,K352&lt;K$33,J$32,K352&lt;K$34,J$33,K352&lt;K$35,J$34,K352&lt;K$36,J$35,K352&lt;K$37,J$36,K352&lt;K$38,J$37,K352&lt;K$39,J$38,K352&lt;K$40,J$39,K352&lt;K$41,J$40,K352&lt;K$42,J$41,K352&lt;K$43,J$42,K352&lt;K$44,J$43,K352&lt;K$45,J$44,K352&lt;K$46,J$45,K352&lt;K$47,J$46,K352&gt;=K$47,J$47)</f>
        <v/>
      </c>
      <c r="K352" s="38" t="n">
        <v>302</v>
      </c>
      <c r="L352" s="31">
        <f>K352/52</f>
        <v/>
      </c>
      <c r="M352" s="39">
        <f>J352/1000000*52</f>
        <v/>
      </c>
      <c r="N352" s="33">
        <f>M352/$P$4+($I$22/$P$4)</f>
        <v/>
      </c>
      <c r="U352">
        <f>F351</f>
        <v/>
      </c>
      <c r="V352">
        <f>H351</f>
        <v/>
      </c>
      <c r="W352">
        <f>N351</f>
        <v/>
      </c>
    </row>
    <row r="353" ht="15.75" customHeight="1" s="40">
      <c r="C353" s="36">
        <f>_xlfn.IFS(E353&lt;E$24,0,E353&lt;E$26,C$24,E353&lt;E$28,C$26,E353&lt;E$30,C$28,E353&lt;E$32,C$30,E353&lt;E$34,C$32,E353&gt;=E$34,C$34)</f>
        <v/>
      </c>
      <c r="D353" s="37">
        <f>_xlfn.IFS(E353&lt;E$24,0,E353&lt;E$25,D$24,E353&lt;E$26,D$25,E353&lt;E$27,D$26,E353&lt;E$28,D$27,E353&lt;E$29,D$28,E353&lt;E$30,D$29,E353&lt;E$31,D$30,E353&lt;E$32,D$31,E353&lt;E$33,D$32,E353&lt;E$34,D$33,E353&lt;E$35,D$34,E353&gt;=E$35,D$35)</f>
        <v/>
      </c>
      <c r="E353" s="38" t="n">
        <v>303</v>
      </c>
      <c r="F353" s="31">
        <f>E353/52</f>
        <v/>
      </c>
      <c r="G353" s="39">
        <f>D353/1000000*52</f>
        <v/>
      </c>
      <c r="H353" s="33">
        <f>G353/$P$4+($C$22/$P$4)</f>
        <v/>
      </c>
      <c r="I353" s="36">
        <f>_xlfn.IFS(K353&lt;K$24,0,K353&lt;K$26,I$24,K353&lt;K$28,I$26,K353&lt;K$30,I$28,K353&lt;K$32,I$30,K353&lt;K$34,I$32,K353&lt;K$36,I$34,K353&lt;K$38,I$36,K353&lt;K$40,I$38,K353&lt;K$42,I$40,K353&lt;K$44,I$42,K353&lt;K$46,I$44,K353&gt;=K$46,I$46)</f>
        <v/>
      </c>
      <c r="J353" s="37">
        <f>_xlfn.IFS(K353&lt;K$24,0,K353&lt;K$25,J$24,K353&lt;K$26,J$25,K353&lt;K$27,J$26,K353&lt;K$28,J$27,K353&lt;K$29,J$28,K353&lt;K$30,J$29,K353&lt;K$31,J$30,K353&lt;K$32,J$31,K353&lt;K$33,J$32,K353&lt;K$34,J$33,K353&lt;K$35,J$34,K353&lt;K$36,J$35,K353&lt;K$37,J$36,K353&lt;K$38,J$37,K353&lt;K$39,J$38,K353&lt;K$40,J$39,K353&lt;K$41,J$40,K353&lt;K$42,J$41,K353&lt;K$43,J$42,K353&lt;K$44,J$43,K353&lt;K$45,J$44,K353&lt;K$46,J$45,K353&lt;K$47,J$46,K353&gt;=K$47,J$47)</f>
        <v/>
      </c>
      <c r="K353" s="38" t="n">
        <v>303</v>
      </c>
      <c r="L353" s="31">
        <f>K353/52</f>
        <v/>
      </c>
      <c r="M353" s="39">
        <f>J353/1000000*52</f>
        <v/>
      </c>
      <c r="N353" s="33">
        <f>M353/$P$4+($I$22/$P$4)</f>
        <v/>
      </c>
      <c r="U353">
        <f>F352</f>
        <v/>
      </c>
      <c r="V353">
        <f>H352</f>
        <v/>
      </c>
      <c r="W353">
        <f>N352</f>
        <v/>
      </c>
    </row>
    <row r="354" ht="15.75" customHeight="1" s="40">
      <c r="C354" s="36">
        <f>_xlfn.IFS(E354&lt;E$24,0,E354&lt;E$26,C$24,E354&lt;E$28,C$26,E354&lt;E$30,C$28,E354&lt;E$32,C$30,E354&lt;E$34,C$32,E354&gt;=E$34,C$34)</f>
        <v/>
      </c>
      <c r="D354" s="37">
        <f>_xlfn.IFS(E354&lt;E$24,0,E354&lt;E$25,D$24,E354&lt;E$26,D$25,E354&lt;E$27,D$26,E354&lt;E$28,D$27,E354&lt;E$29,D$28,E354&lt;E$30,D$29,E354&lt;E$31,D$30,E354&lt;E$32,D$31,E354&lt;E$33,D$32,E354&lt;E$34,D$33,E354&lt;E$35,D$34,E354&gt;=E$35,D$35)</f>
        <v/>
      </c>
      <c r="E354" s="38" t="n">
        <v>304</v>
      </c>
      <c r="F354" s="31">
        <f>E354/52</f>
        <v/>
      </c>
      <c r="G354" s="39">
        <f>D354/1000000*52</f>
        <v/>
      </c>
      <c r="H354" s="33">
        <f>G354/$P$4+($C$22/$P$4)</f>
        <v/>
      </c>
      <c r="I354" s="36">
        <f>_xlfn.IFS(K354&lt;K$24,0,K354&lt;K$26,I$24,K354&lt;K$28,I$26,K354&lt;K$30,I$28,K354&lt;K$32,I$30,K354&lt;K$34,I$32,K354&lt;K$36,I$34,K354&lt;K$38,I$36,K354&lt;K$40,I$38,K354&lt;K$42,I$40,K354&lt;K$44,I$42,K354&lt;K$46,I$44,K354&gt;=K$46,I$46)</f>
        <v/>
      </c>
      <c r="J354" s="37">
        <f>_xlfn.IFS(K354&lt;K$24,0,K354&lt;K$25,J$24,K354&lt;K$26,J$25,K354&lt;K$27,J$26,K354&lt;K$28,J$27,K354&lt;K$29,J$28,K354&lt;K$30,J$29,K354&lt;K$31,J$30,K354&lt;K$32,J$31,K354&lt;K$33,J$32,K354&lt;K$34,J$33,K354&lt;K$35,J$34,K354&lt;K$36,J$35,K354&lt;K$37,J$36,K354&lt;K$38,J$37,K354&lt;K$39,J$38,K354&lt;K$40,J$39,K354&lt;K$41,J$40,K354&lt;K$42,J$41,K354&lt;K$43,J$42,K354&lt;K$44,J$43,K354&lt;K$45,J$44,K354&lt;K$46,J$45,K354&lt;K$47,J$46,K354&gt;=K$47,J$47)</f>
        <v/>
      </c>
      <c r="K354" s="38" t="n">
        <v>304</v>
      </c>
      <c r="L354" s="31">
        <f>K354/52</f>
        <v/>
      </c>
      <c r="M354" s="39">
        <f>J354/1000000*52</f>
        <v/>
      </c>
      <c r="N354" s="33">
        <f>M354/$P$4+($I$22/$P$4)</f>
        <v/>
      </c>
      <c r="U354">
        <f>F353</f>
        <v/>
      </c>
      <c r="V354">
        <f>H353</f>
        <v/>
      </c>
      <c r="W354">
        <f>N353</f>
        <v/>
      </c>
    </row>
    <row r="355" ht="15.75" customHeight="1" s="40">
      <c r="C355" s="36">
        <f>_xlfn.IFS(E355&lt;E$24,0,E355&lt;E$26,C$24,E355&lt;E$28,C$26,E355&lt;E$30,C$28,E355&lt;E$32,C$30,E355&lt;E$34,C$32,E355&gt;=E$34,C$34)</f>
        <v/>
      </c>
      <c r="D355" s="37">
        <f>_xlfn.IFS(E355&lt;E$24,0,E355&lt;E$25,D$24,E355&lt;E$26,D$25,E355&lt;E$27,D$26,E355&lt;E$28,D$27,E355&lt;E$29,D$28,E355&lt;E$30,D$29,E355&lt;E$31,D$30,E355&lt;E$32,D$31,E355&lt;E$33,D$32,E355&lt;E$34,D$33,E355&lt;E$35,D$34,E355&gt;=E$35,D$35)</f>
        <v/>
      </c>
      <c r="E355" s="38" t="n">
        <v>305</v>
      </c>
      <c r="F355" s="31">
        <f>E355/52</f>
        <v/>
      </c>
      <c r="G355" s="39">
        <f>D355/1000000*52</f>
        <v/>
      </c>
      <c r="H355" s="33">
        <f>G355/$P$4+($C$22/$P$4)</f>
        <v/>
      </c>
      <c r="I355" s="36">
        <f>_xlfn.IFS(K355&lt;K$24,0,K355&lt;K$26,I$24,K355&lt;K$28,I$26,K355&lt;K$30,I$28,K355&lt;K$32,I$30,K355&lt;K$34,I$32,K355&lt;K$36,I$34,K355&lt;K$38,I$36,K355&lt;K$40,I$38,K355&lt;K$42,I$40,K355&lt;K$44,I$42,K355&lt;K$46,I$44,K355&gt;=K$46,I$46)</f>
        <v/>
      </c>
      <c r="J355" s="37">
        <f>_xlfn.IFS(K355&lt;K$24,0,K355&lt;K$25,J$24,K355&lt;K$26,J$25,K355&lt;K$27,J$26,K355&lt;K$28,J$27,K355&lt;K$29,J$28,K355&lt;K$30,J$29,K355&lt;K$31,J$30,K355&lt;K$32,J$31,K355&lt;K$33,J$32,K355&lt;K$34,J$33,K355&lt;K$35,J$34,K355&lt;K$36,J$35,K355&lt;K$37,J$36,K355&lt;K$38,J$37,K355&lt;K$39,J$38,K355&lt;K$40,J$39,K355&lt;K$41,J$40,K355&lt;K$42,J$41,K355&lt;K$43,J$42,K355&lt;K$44,J$43,K355&lt;K$45,J$44,K355&lt;K$46,J$45,K355&lt;K$47,J$46,K355&gt;=K$47,J$47)</f>
        <v/>
      </c>
      <c r="K355" s="38" t="n">
        <v>305</v>
      </c>
      <c r="L355" s="31">
        <f>K355/52</f>
        <v/>
      </c>
      <c r="M355" s="39">
        <f>J355/1000000*52</f>
        <v/>
      </c>
      <c r="N355" s="33">
        <f>M355/$P$4+($I$22/$P$4)</f>
        <v/>
      </c>
      <c r="U355">
        <f>F354</f>
        <v/>
      </c>
      <c r="V355">
        <f>H354</f>
        <v/>
      </c>
      <c r="W355">
        <f>N354</f>
        <v/>
      </c>
    </row>
    <row r="356" ht="15.75" customHeight="1" s="40">
      <c r="C356" s="36">
        <f>_xlfn.IFS(E356&lt;E$24,0,E356&lt;E$26,C$24,E356&lt;E$28,C$26,E356&lt;E$30,C$28,E356&lt;E$32,C$30,E356&lt;E$34,C$32,E356&gt;=E$34,C$34)</f>
        <v/>
      </c>
      <c r="D356" s="37">
        <f>_xlfn.IFS(E356&lt;E$24,0,E356&lt;E$25,D$24,E356&lt;E$26,D$25,E356&lt;E$27,D$26,E356&lt;E$28,D$27,E356&lt;E$29,D$28,E356&lt;E$30,D$29,E356&lt;E$31,D$30,E356&lt;E$32,D$31,E356&lt;E$33,D$32,E356&lt;E$34,D$33,E356&lt;E$35,D$34,E356&gt;=E$35,D$35)</f>
        <v/>
      </c>
      <c r="E356" s="38" t="n">
        <v>306</v>
      </c>
      <c r="F356" s="31">
        <f>E356/52</f>
        <v/>
      </c>
      <c r="G356" s="39">
        <f>D356/1000000*52</f>
        <v/>
      </c>
      <c r="H356" s="33">
        <f>G356/$P$4+($C$22/$P$4)</f>
        <v/>
      </c>
      <c r="I356" s="36">
        <f>_xlfn.IFS(K356&lt;K$24,0,K356&lt;K$26,I$24,K356&lt;K$28,I$26,K356&lt;K$30,I$28,K356&lt;K$32,I$30,K356&lt;K$34,I$32,K356&lt;K$36,I$34,K356&lt;K$38,I$36,K356&lt;K$40,I$38,K356&lt;K$42,I$40,K356&lt;K$44,I$42,K356&lt;K$46,I$44,K356&gt;=K$46,I$46)</f>
        <v/>
      </c>
      <c r="J356" s="37">
        <f>_xlfn.IFS(K356&lt;K$24,0,K356&lt;K$25,J$24,K356&lt;K$26,J$25,K356&lt;K$27,J$26,K356&lt;K$28,J$27,K356&lt;K$29,J$28,K356&lt;K$30,J$29,K356&lt;K$31,J$30,K356&lt;K$32,J$31,K356&lt;K$33,J$32,K356&lt;K$34,J$33,K356&lt;K$35,J$34,K356&lt;K$36,J$35,K356&lt;K$37,J$36,K356&lt;K$38,J$37,K356&lt;K$39,J$38,K356&lt;K$40,J$39,K356&lt;K$41,J$40,K356&lt;K$42,J$41,K356&lt;K$43,J$42,K356&lt;K$44,J$43,K356&lt;K$45,J$44,K356&lt;K$46,J$45,K356&lt;K$47,J$46,K356&gt;=K$47,J$47)</f>
        <v/>
      </c>
      <c r="K356" s="38" t="n">
        <v>306</v>
      </c>
      <c r="L356" s="31">
        <f>K356/52</f>
        <v/>
      </c>
      <c r="M356" s="39">
        <f>J356/1000000*52</f>
        <v/>
      </c>
      <c r="N356" s="33">
        <f>M356/$P$4+($I$22/$P$4)</f>
        <v/>
      </c>
      <c r="U356">
        <f>F355</f>
        <v/>
      </c>
      <c r="V356">
        <f>H355</f>
        <v/>
      </c>
      <c r="W356">
        <f>N355</f>
        <v/>
      </c>
    </row>
    <row r="357" ht="15.75" customHeight="1" s="40">
      <c r="C357" s="36">
        <f>_xlfn.IFS(E357&lt;E$24,0,E357&lt;E$26,C$24,E357&lt;E$28,C$26,E357&lt;E$30,C$28,E357&lt;E$32,C$30,E357&lt;E$34,C$32,E357&gt;=E$34,C$34)</f>
        <v/>
      </c>
      <c r="D357" s="37">
        <f>_xlfn.IFS(E357&lt;E$24,0,E357&lt;E$25,D$24,E357&lt;E$26,D$25,E357&lt;E$27,D$26,E357&lt;E$28,D$27,E357&lt;E$29,D$28,E357&lt;E$30,D$29,E357&lt;E$31,D$30,E357&lt;E$32,D$31,E357&lt;E$33,D$32,E357&lt;E$34,D$33,E357&lt;E$35,D$34,E357&gt;=E$35,D$35)</f>
        <v/>
      </c>
      <c r="E357" s="38" t="n">
        <v>307</v>
      </c>
      <c r="F357" s="31">
        <f>E357/52</f>
        <v/>
      </c>
      <c r="G357" s="39">
        <f>D357/1000000*52</f>
        <v/>
      </c>
      <c r="H357" s="33">
        <f>G357/$P$4+($C$22/$P$4)</f>
        <v/>
      </c>
      <c r="I357" s="36">
        <f>_xlfn.IFS(K357&lt;K$24,0,K357&lt;K$26,I$24,K357&lt;K$28,I$26,K357&lt;K$30,I$28,K357&lt;K$32,I$30,K357&lt;K$34,I$32,K357&lt;K$36,I$34,K357&lt;K$38,I$36,K357&lt;K$40,I$38,K357&lt;K$42,I$40,K357&lt;K$44,I$42,K357&lt;K$46,I$44,K357&gt;=K$46,I$46)</f>
        <v/>
      </c>
      <c r="J357" s="37">
        <f>_xlfn.IFS(K357&lt;K$24,0,K357&lt;K$25,J$24,K357&lt;K$26,J$25,K357&lt;K$27,J$26,K357&lt;K$28,J$27,K357&lt;K$29,J$28,K357&lt;K$30,J$29,K357&lt;K$31,J$30,K357&lt;K$32,J$31,K357&lt;K$33,J$32,K357&lt;K$34,J$33,K357&lt;K$35,J$34,K357&lt;K$36,J$35,K357&lt;K$37,J$36,K357&lt;K$38,J$37,K357&lt;K$39,J$38,K357&lt;K$40,J$39,K357&lt;K$41,J$40,K357&lt;K$42,J$41,K357&lt;K$43,J$42,K357&lt;K$44,J$43,K357&lt;K$45,J$44,K357&lt;K$46,J$45,K357&lt;K$47,J$46,K357&gt;=K$47,J$47)</f>
        <v/>
      </c>
      <c r="K357" s="38" t="n">
        <v>307</v>
      </c>
      <c r="L357" s="31">
        <f>K357/52</f>
        <v/>
      </c>
      <c r="M357" s="39">
        <f>J357/1000000*52</f>
        <v/>
      </c>
      <c r="N357" s="33">
        <f>M357/$P$4+($I$22/$P$4)</f>
        <v/>
      </c>
      <c r="U357">
        <f>F356</f>
        <v/>
      </c>
      <c r="V357">
        <f>H356</f>
        <v/>
      </c>
      <c r="W357">
        <f>N356</f>
        <v/>
      </c>
    </row>
    <row r="358" ht="15.75" customHeight="1" s="40">
      <c r="C358" s="36">
        <f>_xlfn.IFS(E358&lt;E$24,0,E358&lt;E$26,C$24,E358&lt;E$28,C$26,E358&lt;E$30,C$28,E358&lt;E$32,C$30,E358&lt;E$34,C$32,E358&gt;=E$34,C$34)</f>
        <v/>
      </c>
      <c r="D358" s="37">
        <f>_xlfn.IFS(E358&lt;E$24,0,E358&lt;E$25,D$24,E358&lt;E$26,D$25,E358&lt;E$27,D$26,E358&lt;E$28,D$27,E358&lt;E$29,D$28,E358&lt;E$30,D$29,E358&lt;E$31,D$30,E358&lt;E$32,D$31,E358&lt;E$33,D$32,E358&lt;E$34,D$33,E358&lt;E$35,D$34,E358&gt;=E$35,D$35)</f>
        <v/>
      </c>
      <c r="E358" s="38" t="n">
        <v>308</v>
      </c>
      <c r="F358" s="31">
        <f>E358/52</f>
        <v/>
      </c>
      <c r="G358" s="39">
        <f>D358/1000000*52</f>
        <v/>
      </c>
      <c r="H358" s="33">
        <f>G358/$P$4+($C$22/$P$4)</f>
        <v/>
      </c>
      <c r="I358" s="36">
        <f>_xlfn.IFS(K358&lt;K$24,0,K358&lt;K$26,I$24,K358&lt;K$28,I$26,K358&lt;K$30,I$28,K358&lt;K$32,I$30,K358&lt;K$34,I$32,K358&lt;K$36,I$34,K358&lt;K$38,I$36,K358&lt;K$40,I$38,K358&lt;K$42,I$40,K358&lt;K$44,I$42,K358&lt;K$46,I$44,K358&gt;=K$46,I$46)</f>
        <v/>
      </c>
      <c r="J358" s="37">
        <f>_xlfn.IFS(K358&lt;K$24,0,K358&lt;K$25,J$24,K358&lt;K$26,J$25,K358&lt;K$27,J$26,K358&lt;K$28,J$27,K358&lt;K$29,J$28,K358&lt;K$30,J$29,K358&lt;K$31,J$30,K358&lt;K$32,J$31,K358&lt;K$33,J$32,K358&lt;K$34,J$33,K358&lt;K$35,J$34,K358&lt;K$36,J$35,K358&lt;K$37,J$36,K358&lt;K$38,J$37,K358&lt;K$39,J$38,K358&lt;K$40,J$39,K358&lt;K$41,J$40,K358&lt;K$42,J$41,K358&lt;K$43,J$42,K358&lt;K$44,J$43,K358&lt;K$45,J$44,K358&lt;K$46,J$45,K358&lt;K$47,J$46,K358&gt;=K$47,J$47)</f>
        <v/>
      </c>
      <c r="K358" s="38" t="n">
        <v>308</v>
      </c>
      <c r="L358" s="31">
        <f>K358/52</f>
        <v/>
      </c>
      <c r="M358" s="39">
        <f>J358/1000000*52</f>
        <v/>
      </c>
      <c r="N358" s="33">
        <f>M358/$P$4+($I$22/$P$4)</f>
        <v/>
      </c>
      <c r="U358">
        <f>F357</f>
        <v/>
      </c>
      <c r="V358">
        <f>H357</f>
        <v/>
      </c>
      <c r="W358">
        <f>N357</f>
        <v/>
      </c>
    </row>
    <row r="359" ht="15.75" customHeight="1" s="40">
      <c r="C359" s="36">
        <f>_xlfn.IFS(E359&lt;E$24,0,E359&lt;E$26,C$24,E359&lt;E$28,C$26,E359&lt;E$30,C$28,E359&lt;E$32,C$30,E359&lt;E$34,C$32,E359&gt;=E$34,C$34)</f>
        <v/>
      </c>
      <c r="D359" s="37">
        <f>_xlfn.IFS(E359&lt;E$24,0,E359&lt;E$25,D$24,E359&lt;E$26,D$25,E359&lt;E$27,D$26,E359&lt;E$28,D$27,E359&lt;E$29,D$28,E359&lt;E$30,D$29,E359&lt;E$31,D$30,E359&lt;E$32,D$31,E359&lt;E$33,D$32,E359&lt;E$34,D$33,E359&lt;E$35,D$34,E359&gt;=E$35,D$35)</f>
        <v/>
      </c>
      <c r="E359" s="38" t="n">
        <v>309</v>
      </c>
      <c r="F359" s="31">
        <f>E359/52</f>
        <v/>
      </c>
      <c r="G359" s="39">
        <f>D359/1000000*52</f>
        <v/>
      </c>
      <c r="H359" s="33">
        <f>G359/$P$4+($C$22/$P$4)</f>
        <v/>
      </c>
      <c r="I359" s="36">
        <f>_xlfn.IFS(K359&lt;K$24,0,K359&lt;K$26,I$24,K359&lt;K$28,I$26,K359&lt;K$30,I$28,K359&lt;K$32,I$30,K359&lt;K$34,I$32,K359&lt;K$36,I$34,K359&lt;K$38,I$36,K359&lt;K$40,I$38,K359&lt;K$42,I$40,K359&lt;K$44,I$42,K359&lt;K$46,I$44,K359&gt;=K$46,I$46)</f>
        <v/>
      </c>
      <c r="J359" s="37">
        <f>_xlfn.IFS(K359&lt;K$24,0,K359&lt;K$25,J$24,K359&lt;K$26,J$25,K359&lt;K$27,J$26,K359&lt;K$28,J$27,K359&lt;K$29,J$28,K359&lt;K$30,J$29,K359&lt;K$31,J$30,K359&lt;K$32,J$31,K359&lt;K$33,J$32,K359&lt;K$34,J$33,K359&lt;K$35,J$34,K359&lt;K$36,J$35,K359&lt;K$37,J$36,K359&lt;K$38,J$37,K359&lt;K$39,J$38,K359&lt;K$40,J$39,K359&lt;K$41,J$40,K359&lt;K$42,J$41,K359&lt;K$43,J$42,K359&lt;K$44,J$43,K359&lt;K$45,J$44,K359&lt;K$46,J$45,K359&lt;K$47,J$46,K359&gt;=K$47,J$47)</f>
        <v/>
      </c>
      <c r="K359" s="38" t="n">
        <v>309</v>
      </c>
      <c r="L359" s="31">
        <f>K359/52</f>
        <v/>
      </c>
      <c r="M359" s="39">
        <f>J359/1000000*52</f>
        <v/>
      </c>
      <c r="N359" s="33">
        <f>M359/$P$4+($I$22/$P$4)</f>
        <v/>
      </c>
      <c r="U359">
        <f>F358</f>
        <v/>
      </c>
      <c r="V359">
        <f>H358</f>
        <v/>
      </c>
      <c r="W359">
        <f>N358</f>
        <v/>
      </c>
    </row>
    <row r="360" ht="15.75" customHeight="1" s="40">
      <c r="C360" s="36">
        <f>_xlfn.IFS(E360&lt;E$24,0,E360&lt;E$26,C$24,E360&lt;E$28,C$26,E360&lt;E$30,C$28,E360&lt;E$32,C$30,E360&lt;E$34,C$32,E360&gt;=E$34,C$34)</f>
        <v/>
      </c>
      <c r="D360" s="37">
        <f>_xlfn.IFS(E360&lt;E$24,0,E360&lt;E$25,D$24,E360&lt;E$26,D$25,E360&lt;E$27,D$26,E360&lt;E$28,D$27,E360&lt;E$29,D$28,E360&lt;E$30,D$29,E360&lt;E$31,D$30,E360&lt;E$32,D$31,E360&lt;E$33,D$32,E360&lt;E$34,D$33,E360&lt;E$35,D$34,E360&gt;=E$35,D$35)</f>
        <v/>
      </c>
      <c r="E360" s="38" t="n">
        <v>310</v>
      </c>
      <c r="F360" s="31">
        <f>E360/52</f>
        <v/>
      </c>
      <c r="G360" s="39">
        <f>D360/1000000*52</f>
        <v/>
      </c>
      <c r="H360" s="33">
        <f>G360/$P$4+($C$22/$P$4)</f>
        <v/>
      </c>
      <c r="I360" s="36">
        <f>_xlfn.IFS(K360&lt;K$24,0,K360&lt;K$26,I$24,K360&lt;K$28,I$26,K360&lt;K$30,I$28,K360&lt;K$32,I$30,K360&lt;K$34,I$32,K360&lt;K$36,I$34,K360&lt;K$38,I$36,K360&lt;K$40,I$38,K360&lt;K$42,I$40,K360&lt;K$44,I$42,K360&lt;K$46,I$44,K360&gt;=K$46,I$46)</f>
        <v/>
      </c>
      <c r="J360" s="37">
        <f>_xlfn.IFS(K360&lt;K$24,0,K360&lt;K$25,J$24,K360&lt;K$26,J$25,K360&lt;K$27,J$26,K360&lt;K$28,J$27,K360&lt;K$29,J$28,K360&lt;K$30,J$29,K360&lt;K$31,J$30,K360&lt;K$32,J$31,K360&lt;K$33,J$32,K360&lt;K$34,J$33,K360&lt;K$35,J$34,K360&lt;K$36,J$35,K360&lt;K$37,J$36,K360&lt;K$38,J$37,K360&lt;K$39,J$38,K360&lt;K$40,J$39,K360&lt;K$41,J$40,K360&lt;K$42,J$41,K360&lt;K$43,J$42,K360&lt;K$44,J$43,K360&lt;K$45,J$44,K360&lt;K$46,J$45,K360&lt;K$47,J$46,K360&gt;=K$47,J$47)</f>
        <v/>
      </c>
      <c r="K360" s="38" t="n">
        <v>310</v>
      </c>
      <c r="L360" s="31">
        <f>K360/52</f>
        <v/>
      </c>
      <c r="M360" s="39">
        <f>J360/1000000*52</f>
        <v/>
      </c>
      <c r="N360" s="33">
        <f>M360/$P$4+($I$22/$P$4)</f>
        <v/>
      </c>
      <c r="U360">
        <f>F359</f>
        <v/>
      </c>
      <c r="V360">
        <f>H359</f>
        <v/>
      </c>
      <c r="W360">
        <f>N359</f>
        <v/>
      </c>
    </row>
    <row r="361" ht="15.75" customHeight="1" s="40">
      <c r="C361" s="36">
        <f>_xlfn.IFS(E361&lt;E$24,0,E361&lt;E$26,C$24,E361&lt;E$28,C$26,E361&lt;E$30,C$28,E361&lt;E$32,C$30,E361&lt;E$34,C$32,E361&gt;=E$34,C$34)</f>
        <v/>
      </c>
      <c r="D361" s="37">
        <f>_xlfn.IFS(E361&lt;E$24,0,E361&lt;E$25,D$24,E361&lt;E$26,D$25,E361&lt;E$27,D$26,E361&lt;E$28,D$27,E361&lt;E$29,D$28,E361&lt;E$30,D$29,E361&lt;E$31,D$30,E361&lt;E$32,D$31,E361&lt;E$33,D$32,E361&lt;E$34,D$33,E361&lt;E$35,D$34,E361&gt;=E$35,D$35)</f>
        <v/>
      </c>
      <c r="E361" s="38" t="n">
        <v>311</v>
      </c>
      <c r="F361" s="31">
        <f>E361/52</f>
        <v/>
      </c>
      <c r="G361" s="39">
        <f>D361/1000000*52</f>
        <v/>
      </c>
      <c r="H361" s="33">
        <f>G361/$P$4+($C$22/$P$4)</f>
        <v/>
      </c>
      <c r="I361" s="36">
        <f>_xlfn.IFS(K361&lt;K$24,0,K361&lt;K$26,I$24,K361&lt;K$28,I$26,K361&lt;K$30,I$28,K361&lt;K$32,I$30,K361&lt;K$34,I$32,K361&lt;K$36,I$34,K361&lt;K$38,I$36,K361&lt;K$40,I$38,K361&lt;K$42,I$40,K361&lt;K$44,I$42,K361&lt;K$46,I$44,K361&gt;=K$46,I$46)</f>
        <v/>
      </c>
      <c r="J361" s="37">
        <f>_xlfn.IFS(K361&lt;K$24,0,K361&lt;K$25,J$24,K361&lt;K$26,J$25,K361&lt;K$27,J$26,K361&lt;K$28,J$27,K361&lt;K$29,J$28,K361&lt;K$30,J$29,K361&lt;K$31,J$30,K361&lt;K$32,J$31,K361&lt;K$33,J$32,K361&lt;K$34,J$33,K361&lt;K$35,J$34,K361&lt;K$36,J$35,K361&lt;K$37,J$36,K361&lt;K$38,J$37,K361&lt;K$39,J$38,K361&lt;K$40,J$39,K361&lt;K$41,J$40,K361&lt;K$42,J$41,K361&lt;K$43,J$42,K361&lt;K$44,J$43,K361&lt;K$45,J$44,K361&lt;K$46,J$45,K361&lt;K$47,J$46,K361&gt;=K$47,J$47)</f>
        <v/>
      </c>
      <c r="K361" s="38" t="n">
        <v>311</v>
      </c>
      <c r="L361" s="31">
        <f>K361/52</f>
        <v/>
      </c>
      <c r="M361" s="39">
        <f>J361/1000000*52</f>
        <v/>
      </c>
      <c r="N361" s="33">
        <f>M361/$P$4+($I$22/$P$4)</f>
        <v/>
      </c>
      <c r="U361">
        <f>F360</f>
        <v/>
      </c>
      <c r="V361">
        <f>H360</f>
        <v/>
      </c>
      <c r="W361">
        <f>N360</f>
        <v/>
      </c>
    </row>
    <row r="362" ht="15.75" customHeight="1" s="40">
      <c r="C362" s="36">
        <f>_xlfn.IFS(E362&lt;E$24,0,E362&lt;E$26,C$24,E362&lt;E$28,C$26,E362&lt;E$30,C$28,E362&lt;E$32,C$30,E362&lt;E$34,C$32,E362&gt;=E$34,C$34)</f>
        <v/>
      </c>
      <c r="D362" s="37">
        <f>_xlfn.IFS(E362&lt;E$24,0,E362&lt;E$25,D$24,E362&lt;E$26,D$25,E362&lt;E$27,D$26,E362&lt;E$28,D$27,E362&lt;E$29,D$28,E362&lt;E$30,D$29,E362&lt;E$31,D$30,E362&lt;E$32,D$31,E362&lt;E$33,D$32,E362&lt;E$34,D$33,E362&lt;E$35,D$34,E362&gt;=E$35,D$35)</f>
        <v/>
      </c>
      <c r="E362" s="38" t="n">
        <v>312</v>
      </c>
      <c r="F362" s="31">
        <f>E362/52</f>
        <v/>
      </c>
      <c r="G362" s="39">
        <f>D362/1000000*52</f>
        <v/>
      </c>
      <c r="H362" s="33">
        <f>G362/$P$4+($C$22/$P$4)</f>
        <v/>
      </c>
      <c r="I362" s="36">
        <f>_xlfn.IFS(K362&lt;K$24,0,K362&lt;K$26,I$24,K362&lt;K$28,I$26,K362&lt;K$30,I$28,K362&lt;K$32,I$30,K362&lt;K$34,I$32,K362&lt;K$36,I$34,K362&lt;K$38,I$36,K362&lt;K$40,I$38,K362&lt;K$42,I$40,K362&lt;K$44,I$42,K362&lt;K$46,I$44,K362&gt;=K$46,I$46)</f>
        <v/>
      </c>
      <c r="J362" s="37">
        <f>_xlfn.IFS(K362&lt;K$24,0,K362&lt;K$25,J$24,K362&lt;K$26,J$25,K362&lt;K$27,J$26,K362&lt;K$28,J$27,K362&lt;K$29,J$28,K362&lt;K$30,J$29,K362&lt;K$31,J$30,K362&lt;K$32,J$31,K362&lt;K$33,J$32,K362&lt;K$34,J$33,K362&lt;K$35,J$34,K362&lt;K$36,J$35,K362&lt;K$37,J$36,K362&lt;K$38,J$37,K362&lt;K$39,J$38,K362&lt;K$40,J$39,K362&lt;K$41,J$40,K362&lt;K$42,J$41,K362&lt;K$43,J$42,K362&lt;K$44,J$43,K362&lt;K$45,J$44,K362&lt;K$46,J$45,K362&lt;K$47,J$46,K362&gt;=K$47,J$47)</f>
        <v/>
      </c>
      <c r="K362" s="38" t="n">
        <v>312</v>
      </c>
      <c r="L362" s="31">
        <f>K362/52</f>
        <v/>
      </c>
      <c r="M362" s="39">
        <f>J362/1000000*52</f>
        <v/>
      </c>
      <c r="N362" s="33">
        <f>M362/$P$4+($I$22/$P$4)</f>
        <v/>
      </c>
      <c r="U362">
        <f>F361</f>
        <v/>
      </c>
      <c r="V362">
        <f>H361</f>
        <v/>
      </c>
      <c r="W362">
        <f>N361</f>
        <v/>
      </c>
    </row>
    <row r="363" ht="15.75" customHeight="1" s="40">
      <c r="C363" s="36">
        <f>_xlfn.IFS(E363&lt;E$24,0,E363&lt;E$26,C$24,E363&lt;E$28,C$26,E363&lt;E$30,C$28,E363&lt;E$32,C$30,E363&lt;E$34,C$32,E363&gt;=E$34,C$34)</f>
        <v/>
      </c>
      <c r="D363" s="37">
        <f>_xlfn.IFS(E363&lt;E$24,0,E363&lt;E$25,D$24,E363&lt;E$26,D$25,E363&lt;E$27,D$26,E363&lt;E$28,D$27,E363&lt;E$29,D$28,E363&lt;E$30,D$29,E363&lt;E$31,D$30,E363&lt;E$32,D$31,E363&lt;E$33,D$32,E363&lt;E$34,D$33,E363&lt;E$35,D$34,E363&gt;=E$35,D$35)</f>
        <v/>
      </c>
      <c r="E363" s="38" t="n">
        <v>313</v>
      </c>
      <c r="F363" s="31">
        <f>E363/52</f>
        <v/>
      </c>
      <c r="G363" s="39">
        <f>D363/1000000*52</f>
        <v/>
      </c>
      <c r="H363" s="33">
        <f>G363/$P$4+($C$22/$P$4)</f>
        <v/>
      </c>
      <c r="I363" s="36">
        <f>_xlfn.IFS(K363&lt;K$24,0,K363&lt;K$26,I$24,K363&lt;K$28,I$26,K363&lt;K$30,I$28,K363&lt;K$32,I$30,K363&lt;K$34,I$32,K363&lt;K$36,I$34,K363&lt;K$38,I$36,K363&lt;K$40,I$38,K363&lt;K$42,I$40,K363&lt;K$44,I$42,K363&lt;K$46,I$44,K363&gt;=K$46,I$46)</f>
        <v/>
      </c>
      <c r="J363" s="37">
        <f>_xlfn.IFS(K363&lt;K$24,0,K363&lt;K$25,J$24,K363&lt;K$26,J$25,K363&lt;K$27,J$26,K363&lt;K$28,J$27,K363&lt;K$29,J$28,K363&lt;K$30,J$29,K363&lt;K$31,J$30,K363&lt;K$32,J$31,K363&lt;K$33,J$32,K363&lt;K$34,J$33,K363&lt;K$35,J$34,K363&lt;K$36,J$35,K363&lt;K$37,J$36,K363&lt;K$38,J$37,K363&lt;K$39,J$38,K363&lt;K$40,J$39,K363&lt;K$41,J$40,K363&lt;K$42,J$41,K363&lt;K$43,J$42,K363&lt;K$44,J$43,K363&lt;K$45,J$44,K363&lt;K$46,J$45,K363&lt;K$47,J$46,K363&gt;=K$47,J$47)</f>
        <v/>
      </c>
      <c r="K363" s="38" t="n">
        <v>313</v>
      </c>
      <c r="L363" s="31">
        <f>K363/52</f>
        <v/>
      </c>
      <c r="M363" s="39">
        <f>J363/1000000*52</f>
        <v/>
      </c>
      <c r="N363" s="33">
        <f>M363/$P$4+($I$22/$P$4)</f>
        <v/>
      </c>
      <c r="U363">
        <f>F362</f>
        <v/>
      </c>
      <c r="V363">
        <f>H362</f>
        <v/>
      </c>
      <c r="W363">
        <f>N362</f>
        <v/>
      </c>
    </row>
    <row r="364" ht="15.75" customHeight="1" s="40">
      <c r="C364" s="36">
        <f>_xlfn.IFS(E364&lt;E$24,0,E364&lt;E$26,C$24,E364&lt;E$28,C$26,E364&lt;E$30,C$28,E364&lt;E$32,C$30,E364&lt;E$34,C$32,E364&gt;=E$34,C$34)</f>
        <v/>
      </c>
      <c r="D364" s="37">
        <f>_xlfn.IFS(E364&lt;E$24,0,E364&lt;E$25,D$24,E364&lt;E$26,D$25,E364&lt;E$27,D$26,E364&lt;E$28,D$27,E364&lt;E$29,D$28,E364&lt;E$30,D$29,E364&lt;E$31,D$30,E364&lt;E$32,D$31,E364&lt;E$33,D$32,E364&lt;E$34,D$33,E364&lt;E$35,D$34,E364&gt;=E$35,D$35)</f>
        <v/>
      </c>
      <c r="E364" s="38" t="n">
        <v>314</v>
      </c>
      <c r="F364" s="31">
        <f>E364/52</f>
        <v/>
      </c>
      <c r="G364" s="39">
        <f>D364/1000000*52</f>
        <v/>
      </c>
      <c r="H364" s="33">
        <f>G364/$P$4+($C$22/$P$4)</f>
        <v/>
      </c>
      <c r="I364" s="36">
        <f>_xlfn.IFS(K364&lt;K$24,0,K364&lt;K$26,I$24,K364&lt;K$28,I$26,K364&lt;K$30,I$28,K364&lt;K$32,I$30,K364&lt;K$34,I$32,K364&lt;K$36,I$34,K364&lt;K$38,I$36,K364&lt;K$40,I$38,K364&lt;K$42,I$40,K364&lt;K$44,I$42,K364&lt;K$46,I$44,K364&gt;=K$46,I$46)</f>
        <v/>
      </c>
      <c r="J364" s="37">
        <f>_xlfn.IFS(K364&lt;K$24,0,K364&lt;K$25,J$24,K364&lt;K$26,J$25,K364&lt;K$27,J$26,K364&lt;K$28,J$27,K364&lt;K$29,J$28,K364&lt;K$30,J$29,K364&lt;K$31,J$30,K364&lt;K$32,J$31,K364&lt;K$33,J$32,K364&lt;K$34,J$33,K364&lt;K$35,J$34,K364&lt;K$36,J$35,K364&lt;K$37,J$36,K364&lt;K$38,J$37,K364&lt;K$39,J$38,K364&lt;K$40,J$39,K364&lt;K$41,J$40,K364&lt;K$42,J$41,K364&lt;K$43,J$42,K364&lt;K$44,J$43,K364&lt;K$45,J$44,K364&lt;K$46,J$45,K364&lt;K$47,J$46,K364&gt;=K$47,J$47)</f>
        <v/>
      </c>
      <c r="K364" s="38" t="n">
        <v>314</v>
      </c>
      <c r="L364" s="31">
        <f>K364/52</f>
        <v/>
      </c>
      <c r="M364" s="39">
        <f>J364/1000000*52</f>
        <v/>
      </c>
      <c r="N364" s="33">
        <f>M364/$P$4+($I$22/$P$4)</f>
        <v/>
      </c>
      <c r="U364">
        <f>F363</f>
        <v/>
      </c>
      <c r="V364">
        <f>H363</f>
        <v/>
      </c>
      <c r="W364">
        <f>N363</f>
        <v/>
      </c>
    </row>
    <row r="365" ht="15.75" customHeight="1" s="40">
      <c r="C365" s="36">
        <f>_xlfn.IFS(E365&lt;E$24,0,E365&lt;E$26,C$24,E365&lt;E$28,C$26,E365&lt;E$30,C$28,E365&lt;E$32,C$30,E365&lt;E$34,C$32,E365&gt;=E$34,C$34)</f>
        <v/>
      </c>
      <c r="D365" s="37">
        <f>_xlfn.IFS(E365&lt;E$24,0,E365&lt;E$25,D$24,E365&lt;E$26,D$25,E365&lt;E$27,D$26,E365&lt;E$28,D$27,E365&lt;E$29,D$28,E365&lt;E$30,D$29,E365&lt;E$31,D$30,E365&lt;E$32,D$31,E365&lt;E$33,D$32,E365&lt;E$34,D$33,E365&lt;E$35,D$34,E365&gt;=E$35,D$35)</f>
        <v/>
      </c>
      <c r="E365" s="38" t="n">
        <v>315</v>
      </c>
      <c r="F365" s="31">
        <f>E365/52</f>
        <v/>
      </c>
      <c r="G365" s="39">
        <f>D365/1000000*52</f>
        <v/>
      </c>
      <c r="H365" s="33">
        <f>G365/$P$4+($C$22/$P$4)</f>
        <v/>
      </c>
      <c r="I365" s="36">
        <f>_xlfn.IFS(K365&lt;K$24,0,K365&lt;K$26,I$24,K365&lt;K$28,I$26,K365&lt;K$30,I$28,K365&lt;K$32,I$30,K365&lt;K$34,I$32,K365&lt;K$36,I$34,K365&lt;K$38,I$36,K365&lt;K$40,I$38,K365&lt;K$42,I$40,K365&lt;K$44,I$42,K365&lt;K$46,I$44,K365&gt;=K$46,I$46)</f>
        <v/>
      </c>
      <c r="J365" s="37">
        <f>_xlfn.IFS(K365&lt;K$24,0,K365&lt;K$25,J$24,K365&lt;K$26,J$25,K365&lt;K$27,J$26,K365&lt;K$28,J$27,K365&lt;K$29,J$28,K365&lt;K$30,J$29,K365&lt;K$31,J$30,K365&lt;K$32,J$31,K365&lt;K$33,J$32,K365&lt;K$34,J$33,K365&lt;K$35,J$34,K365&lt;K$36,J$35,K365&lt;K$37,J$36,K365&lt;K$38,J$37,K365&lt;K$39,J$38,K365&lt;K$40,J$39,K365&lt;K$41,J$40,K365&lt;K$42,J$41,K365&lt;K$43,J$42,K365&lt;K$44,J$43,K365&lt;K$45,J$44,K365&lt;K$46,J$45,K365&lt;K$47,J$46,K365&gt;=K$47,J$47)</f>
        <v/>
      </c>
      <c r="K365" s="38" t="n">
        <v>315</v>
      </c>
      <c r="L365" s="31">
        <f>K365/52</f>
        <v/>
      </c>
      <c r="M365" s="39">
        <f>J365/1000000*52</f>
        <v/>
      </c>
      <c r="N365" s="33">
        <f>M365/$P$4+($I$22/$P$4)</f>
        <v/>
      </c>
      <c r="U365">
        <f>F364</f>
        <v/>
      </c>
      <c r="V365">
        <f>H364</f>
        <v/>
      </c>
      <c r="W365">
        <f>N364</f>
        <v/>
      </c>
    </row>
    <row r="366" ht="15.75" customHeight="1" s="40">
      <c r="C366" s="36">
        <f>_xlfn.IFS(E366&lt;E$24,0,E366&lt;E$26,C$24,E366&lt;E$28,C$26,E366&lt;E$30,C$28,E366&lt;E$32,C$30,E366&lt;E$34,C$32,E366&gt;=E$34,C$34)</f>
        <v/>
      </c>
      <c r="D366" s="37">
        <f>_xlfn.IFS(E366&lt;E$24,0,E366&lt;E$25,D$24,E366&lt;E$26,D$25,E366&lt;E$27,D$26,E366&lt;E$28,D$27,E366&lt;E$29,D$28,E366&lt;E$30,D$29,E366&lt;E$31,D$30,E366&lt;E$32,D$31,E366&lt;E$33,D$32,E366&lt;E$34,D$33,E366&lt;E$35,D$34,E366&gt;=E$35,D$35)</f>
        <v/>
      </c>
      <c r="E366" s="38" t="n">
        <v>316</v>
      </c>
      <c r="F366" s="31">
        <f>E366/52</f>
        <v/>
      </c>
      <c r="G366" s="39">
        <f>D366/1000000*52</f>
        <v/>
      </c>
      <c r="H366" s="33">
        <f>G366/$P$4+($C$22/$P$4)</f>
        <v/>
      </c>
      <c r="I366" s="36">
        <f>_xlfn.IFS(K366&lt;K$24,0,K366&lt;K$26,I$24,K366&lt;K$28,I$26,K366&lt;K$30,I$28,K366&lt;K$32,I$30,K366&lt;K$34,I$32,K366&lt;K$36,I$34,K366&lt;K$38,I$36,K366&lt;K$40,I$38,K366&lt;K$42,I$40,K366&lt;K$44,I$42,K366&lt;K$46,I$44,K366&gt;=K$46,I$46)</f>
        <v/>
      </c>
      <c r="J366" s="37">
        <f>_xlfn.IFS(K366&lt;K$24,0,K366&lt;K$25,J$24,K366&lt;K$26,J$25,K366&lt;K$27,J$26,K366&lt;K$28,J$27,K366&lt;K$29,J$28,K366&lt;K$30,J$29,K366&lt;K$31,J$30,K366&lt;K$32,J$31,K366&lt;K$33,J$32,K366&lt;K$34,J$33,K366&lt;K$35,J$34,K366&lt;K$36,J$35,K366&lt;K$37,J$36,K366&lt;K$38,J$37,K366&lt;K$39,J$38,K366&lt;K$40,J$39,K366&lt;K$41,J$40,K366&lt;K$42,J$41,K366&lt;K$43,J$42,K366&lt;K$44,J$43,K366&lt;K$45,J$44,K366&lt;K$46,J$45,K366&lt;K$47,J$46,K366&gt;=K$47,J$47)</f>
        <v/>
      </c>
      <c r="K366" s="38" t="n">
        <v>316</v>
      </c>
      <c r="L366" s="31">
        <f>K366/52</f>
        <v/>
      </c>
      <c r="M366" s="39">
        <f>J366/1000000*52</f>
        <v/>
      </c>
      <c r="N366" s="33">
        <f>M366/$P$4+($I$22/$P$4)</f>
        <v/>
      </c>
      <c r="U366">
        <f>F365</f>
        <v/>
      </c>
      <c r="V366">
        <f>H365</f>
        <v/>
      </c>
      <c r="W366">
        <f>N365</f>
        <v/>
      </c>
    </row>
    <row r="367" ht="15.75" customHeight="1" s="40">
      <c r="C367" s="36">
        <f>_xlfn.IFS(E367&lt;E$24,0,E367&lt;E$26,C$24,E367&lt;E$28,C$26,E367&lt;E$30,C$28,E367&lt;E$32,C$30,E367&lt;E$34,C$32,E367&gt;=E$34,C$34)</f>
        <v/>
      </c>
      <c r="D367" s="37">
        <f>_xlfn.IFS(E367&lt;E$24,0,E367&lt;E$25,D$24,E367&lt;E$26,D$25,E367&lt;E$27,D$26,E367&lt;E$28,D$27,E367&lt;E$29,D$28,E367&lt;E$30,D$29,E367&lt;E$31,D$30,E367&lt;E$32,D$31,E367&lt;E$33,D$32,E367&lt;E$34,D$33,E367&lt;E$35,D$34,E367&gt;=E$35,D$35)</f>
        <v/>
      </c>
      <c r="E367" s="38" t="n">
        <v>317</v>
      </c>
      <c r="F367" s="31">
        <f>E367/52</f>
        <v/>
      </c>
      <c r="G367" s="39">
        <f>D367/1000000*52</f>
        <v/>
      </c>
      <c r="H367" s="33">
        <f>G367/$P$4+($C$22/$P$4)</f>
        <v/>
      </c>
      <c r="I367" s="36">
        <f>_xlfn.IFS(K367&lt;K$24,0,K367&lt;K$26,I$24,K367&lt;K$28,I$26,K367&lt;K$30,I$28,K367&lt;K$32,I$30,K367&lt;K$34,I$32,K367&lt;K$36,I$34,K367&lt;K$38,I$36,K367&lt;K$40,I$38,K367&lt;K$42,I$40,K367&lt;K$44,I$42,K367&lt;K$46,I$44,K367&gt;=K$46,I$46)</f>
        <v/>
      </c>
      <c r="J367" s="37">
        <f>_xlfn.IFS(K367&lt;K$24,0,K367&lt;K$25,J$24,K367&lt;K$26,J$25,K367&lt;K$27,J$26,K367&lt;K$28,J$27,K367&lt;K$29,J$28,K367&lt;K$30,J$29,K367&lt;K$31,J$30,K367&lt;K$32,J$31,K367&lt;K$33,J$32,K367&lt;K$34,J$33,K367&lt;K$35,J$34,K367&lt;K$36,J$35,K367&lt;K$37,J$36,K367&lt;K$38,J$37,K367&lt;K$39,J$38,K367&lt;K$40,J$39,K367&lt;K$41,J$40,K367&lt;K$42,J$41,K367&lt;K$43,J$42,K367&lt;K$44,J$43,K367&lt;K$45,J$44,K367&lt;K$46,J$45,K367&lt;K$47,J$46,K367&gt;=K$47,J$47)</f>
        <v/>
      </c>
      <c r="K367" s="38" t="n">
        <v>317</v>
      </c>
      <c r="L367" s="31">
        <f>K367/52</f>
        <v/>
      </c>
      <c r="M367" s="39">
        <f>J367/1000000*52</f>
        <v/>
      </c>
      <c r="N367" s="33">
        <f>M367/$P$4+($I$22/$P$4)</f>
        <v/>
      </c>
      <c r="U367">
        <f>F366</f>
        <v/>
      </c>
      <c r="V367">
        <f>H366</f>
        <v/>
      </c>
      <c r="W367">
        <f>N366</f>
        <v/>
      </c>
    </row>
    <row r="368" ht="15.75" customHeight="1" s="40">
      <c r="C368" s="36">
        <f>_xlfn.IFS(E368&lt;E$24,0,E368&lt;E$26,C$24,E368&lt;E$28,C$26,E368&lt;E$30,C$28,E368&lt;E$32,C$30,E368&lt;E$34,C$32,E368&gt;=E$34,C$34)</f>
        <v/>
      </c>
      <c r="D368" s="37">
        <f>_xlfn.IFS(E368&lt;E$24,0,E368&lt;E$25,D$24,E368&lt;E$26,D$25,E368&lt;E$27,D$26,E368&lt;E$28,D$27,E368&lt;E$29,D$28,E368&lt;E$30,D$29,E368&lt;E$31,D$30,E368&lt;E$32,D$31,E368&lt;E$33,D$32,E368&lt;E$34,D$33,E368&lt;E$35,D$34,E368&gt;=E$35,D$35)</f>
        <v/>
      </c>
      <c r="E368" s="38" t="n">
        <v>318</v>
      </c>
      <c r="F368" s="31">
        <f>E368/52</f>
        <v/>
      </c>
      <c r="G368" s="39">
        <f>D368/1000000*52</f>
        <v/>
      </c>
      <c r="H368" s="33">
        <f>G368/$P$4+($C$22/$P$4)</f>
        <v/>
      </c>
      <c r="I368" s="36">
        <f>_xlfn.IFS(K368&lt;K$24,0,K368&lt;K$26,I$24,K368&lt;K$28,I$26,K368&lt;K$30,I$28,K368&lt;K$32,I$30,K368&lt;K$34,I$32,K368&lt;K$36,I$34,K368&lt;K$38,I$36,K368&lt;K$40,I$38,K368&lt;K$42,I$40,K368&lt;K$44,I$42,K368&lt;K$46,I$44,K368&gt;=K$46,I$46)</f>
        <v/>
      </c>
      <c r="J368" s="37">
        <f>_xlfn.IFS(K368&lt;K$24,0,K368&lt;K$25,J$24,K368&lt;K$26,J$25,K368&lt;K$27,J$26,K368&lt;K$28,J$27,K368&lt;K$29,J$28,K368&lt;K$30,J$29,K368&lt;K$31,J$30,K368&lt;K$32,J$31,K368&lt;K$33,J$32,K368&lt;K$34,J$33,K368&lt;K$35,J$34,K368&lt;K$36,J$35,K368&lt;K$37,J$36,K368&lt;K$38,J$37,K368&lt;K$39,J$38,K368&lt;K$40,J$39,K368&lt;K$41,J$40,K368&lt;K$42,J$41,K368&lt;K$43,J$42,K368&lt;K$44,J$43,K368&lt;K$45,J$44,K368&lt;K$46,J$45,K368&lt;K$47,J$46,K368&gt;=K$47,J$47)</f>
        <v/>
      </c>
      <c r="K368" s="38" t="n">
        <v>318</v>
      </c>
      <c r="L368" s="31">
        <f>K368/52</f>
        <v/>
      </c>
      <c r="M368" s="39">
        <f>J368/1000000*52</f>
        <v/>
      </c>
      <c r="N368" s="33">
        <f>M368/$P$4+($I$22/$P$4)</f>
        <v/>
      </c>
      <c r="U368">
        <f>F367</f>
        <v/>
      </c>
      <c r="V368">
        <f>H367</f>
        <v/>
      </c>
      <c r="W368">
        <f>N367</f>
        <v/>
      </c>
    </row>
    <row r="369" ht="15.75" customHeight="1" s="40">
      <c r="C369" s="36">
        <f>_xlfn.IFS(E369&lt;E$24,0,E369&lt;E$26,C$24,E369&lt;E$28,C$26,E369&lt;E$30,C$28,E369&lt;E$32,C$30,E369&lt;E$34,C$32,E369&gt;=E$34,C$34)</f>
        <v/>
      </c>
      <c r="D369" s="37">
        <f>_xlfn.IFS(E369&lt;E$24,0,E369&lt;E$25,D$24,E369&lt;E$26,D$25,E369&lt;E$27,D$26,E369&lt;E$28,D$27,E369&lt;E$29,D$28,E369&lt;E$30,D$29,E369&lt;E$31,D$30,E369&lt;E$32,D$31,E369&lt;E$33,D$32,E369&lt;E$34,D$33,E369&lt;E$35,D$34,E369&gt;=E$35,D$35)</f>
        <v/>
      </c>
      <c r="E369" s="38" t="n">
        <v>319</v>
      </c>
      <c r="F369" s="31">
        <f>E369/52</f>
        <v/>
      </c>
      <c r="G369" s="39">
        <f>D369/1000000*52</f>
        <v/>
      </c>
      <c r="H369" s="33">
        <f>G369/$P$4+($C$22/$P$4)</f>
        <v/>
      </c>
      <c r="I369" s="36">
        <f>_xlfn.IFS(K369&lt;K$24,0,K369&lt;K$26,I$24,K369&lt;K$28,I$26,K369&lt;K$30,I$28,K369&lt;K$32,I$30,K369&lt;K$34,I$32,K369&lt;K$36,I$34,K369&lt;K$38,I$36,K369&lt;K$40,I$38,K369&lt;K$42,I$40,K369&lt;K$44,I$42,K369&lt;K$46,I$44,K369&gt;=K$46,I$46)</f>
        <v/>
      </c>
      <c r="J369" s="37">
        <f>_xlfn.IFS(K369&lt;K$24,0,K369&lt;K$25,J$24,K369&lt;K$26,J$25,K369&lt;K$27,J$26,K369&lt;K$28,J$27,K369&lt;K$29,J$28,K369&lt;K$30,J$29,K369&lt;K$31,J$30,K369&lt;K$32,J$31,K369&lt;K$33,J$32,K369&lt;K$34,J$33,K369&lt;K$35,J$34,K369&lt;K$36,J$35,K369&lt;K$37,J$36,K369&lt;K$38,J$37,K369&lt;K$39,J$38,K369&lt;K$40,J$39,K369&lt;K$41,J$40,K369&lt;K$42,J$41,K369&lt;K$43,J$42,K369&lt;K$44,J$43,K369&lt;K$45,J$44,K369&lt;K$46,J$45,K369&lt;K$47,J$46,K369&gt;=K$47,J$47)</f>
        <v/>
      </c>
      <c r="K369" s="38" t="n">
        <v>319</v>
      </c>
      <c r="L369" s="31">
        <f>K369/52</f>
        <v/>
      </c>
      <c r="M369" s="39">
        <f>J369/1000000*52</f>
        <v/>
      </c>
      <c r="N369" s="33">
        <f>M369/$P$4+($I$22/$P$4)</f>
        <v/>
      </c>
      <c r="U369">
        <f>F368</f>
        <v/>
      </c>
      <c r="V369">
        <f>H368</f>
        <v/>
      </c>
      <c r="W369">
        <f>N368</f>
        <v/>
      </c>
    </row>
    <row r="370" ht="15.75" customHeight="1" s="40">
      <c r="C370" s="36">
        <f>_xlfn.IFS(E370&lt;E$24,0,E370&lt;E$26,C$24,E370&lt;E$28,C$26,E370&lt;E$30,C$28,E370&lt;E$32,C$30,E370&lt;E$34,C$32,E370&gt;=E$34,C$34)</f>
        <v/>
      </c>
      <c r="D370" s="37">
        <f>_xlfn.IFS(E370&lt;E$24,0,E370&lt;E$25,D$24,E370&lt;E$26,D$25,E370&lt;E$27,D$26,E370&lt;E$28,D$27,E370&lt;E$29,D$28,E370&lt;E$30,D$29,E370&lt;E$31,D$30,E370&lt;E$32,D$31,E370&lt;E$33,D$32,E370&lt;E$34,D$33,E370&lt;E$35,D$34,E370&gt;=E$35,D$35)</f>
        <v/>
      </c>
      <c r="E370" s="38" t="n">
        <v>320</v>
      </c>
      <c r="F370" s="31">
        <f>E370/52</f>
        <v/>
      </c>
      <c r="G370" s="39">
        <f>D370/1000000*52</f>
        <v/>
      </c>
      <c r="H370" s="33">
        <f>G370/$P$4+($C$22/$P$4)</f>
        <v/>
      </c>
      <c r="I370" s="36">
        <f>_xlfn.IFS(K370&lt;K$24,0,K370&lt;K$26,I$24,K370&lt;K$28,I$26,K370&lt;K$30,I$28,K370&lt;K$32,I$30,K370&lt;K$34,I$32,K370&lt;K$36,I$34,K370&lt;K$38,I$36,K370&lt;K$40,I$38,K370&lt;K$42,I$40,K370&lt;K$44,I$42,K370&lt;K$46,I$44,K370&gt;=K$46,I$46)</f>
        <v/>
      </c>
      <c r="J370" s="37">
        <f>_xlfn.IFS(K370&lt;K$24,0,K370&lt;K$25,J$24,K370&lt;K$26,J$25,K370&lt;K$27,J$26,K370&lt;K$28,J$27,K370&lt;K$29,J$28,K370&lt;K$30,J$29,K370&lt;K$31,J$30,K370&lt;K$32,J$31,K370&lt;K$33,J$32,K370&lt;K$34,J$33,K370&lt;K$35,J$34,K370&lt;K$36,J$35,K370&lt;K$37,J$36,K370&lt;K$38,J$37,K370&lt;K$39,J$38,K370&lt;K$40,J$39,K370&lt;K$41,J$40,K370&lt;K$42,J$41,K370&lt;K$43,J$42,K370&lt;K$44,J$43,K370&lt;K$45,J$44,K370&lt;K$46,J$45,K370&lt;K$47,J$46,K370&gt;=K$47,J$47)</f>
        <v/>
      </c>
      <c r="K370" s="38" t="n">
        <v>320</v>
      </c>
      <c r="L370" s="31">
        <f>K370/52</f>
        <v/>
      </c>
      <c r="M370" s="39">
        <f>J370/1000000*52</f>
        <v/>
      </c>
      <c r="N370" s="33">
        <f>M370/$P$4+($I$22/$P$4)</f>
        <v/>
      </c>
      <c r="U370">
        <f>F369</f>
        <v/>
      </c>
      <c r="V370">
        <f>H369</f>
        <v/>
      </c>
      <c r="W370">
        <f>N369</f>
        <v/>
      </c>
    </row>
    <row r="371" ht="15.75" customHeight="1" s="40">
      <c r="C371" s="36">
        <f>_xlfn.IFS(E371&lt;E$24,0,E371&lt;E$26,C$24,E371&lt;E$28,C$26,E371&lt;E$30,C$28,E371&lt;E$32,C$30,E371&lt;E$34,C$32,E371&gt;=E$34,C$34)</f>
        <v/>
      </c>
      <c r="D371" s="37">
        <f>_xlfn.IFS(E371&lt;E$24,0,E371&lt;E$25,D$24,E371&lt;E$26,D$25,E371&lt;E$27,D$26,E371&lt;E$28,D$27,E371&lt;E$29,D$28,E371&lt;E$30,D$29,E371&lt;E$31,D$30,E371&lt;E$32,D$31,E371&lt;E$33,D$32,E371&lt;E$34,D$33,E371&lt;E$35,D$34,E371&gt;=E$35,D$35)</f>
        <v/>
      </c>
      <c r="E371" s="38" t="n">
        <v>321</v>
      </c>
      <c r="F371" s="31">
        <f>E371/52</f>
        <v/>
      </c>
      <c r="G371" s="39">
        <f>D371/1000000*52</f>
        <v/>
      </c>
      <c r="H371" s="33">
        <f>G371/$P$4+($C$22/$P$4)</f>
        <v/>
      </c>
      <c r="I371" s="36">
        <f>_xlfn.IFS(K371&lt;K$24,0,K371&lt;K$26,I$24,K371&lt;K$28,I$26,K371&lt;K$30,I$28,K371&lt;K$32,I$30,K371&lt;K$34,I$32,K371&lt;K$36,I$34,K371&lt;K$38,I$36,K371&lt;K$40,I$38,K371&lt;K$42,I$40,K371&lt;K$44,I$42,K371&lt;K$46,I$44,K371&gt;=K$46,I$46)</f>
        <v/>
      </c>
      <c r="J371" s="37">
        <f>_xlfn.IFS(K371&lt;K$24,0,K371&lt;K$25,J$24,K371&lt;K$26,J$25,K371&lt;K$27,J$26,K371&lt;K$28,J$27,K371&lt;K$29,J$28,K371&lt;K$30,J$29,K371&lt;K$31,J$30,K371&lt;K$32,J$31,K371&lt;K$33,J$32,K371&lt;K$34,J$33,K371&lt;K$35,J$34,K371&lt;K$36,J$35,K371&lt;K$37,J$36,K371&lt;K$38,J$37,K371&lt;K$39,J$38,K371&lt;K$40,J$39,K371&lt;K$41,J$40,K371&lt;K$42,J$41,K371&lt;K$43,J$42,K371&lt;K$44,J$43,K371&lt;K$45,J$44,K371&lt;K$46,J$45,K371&lt;K$47,J$46,K371&gt;=K$47,J$47)</f>
        <v/>
      </c>
      <c r="K371" s="38" t="n">
        <v>321</v>
      </c>
      <c r="L371" s="31">
        <f>K371/52</f>
        <v/>
      </c>
      <c r="M371" s="39">
        <f>J371/1000000*52</f>
        <v/>
      </c>
      <c r="N371" s="33">
        <f>M371/$P$4+($I$22/$P$4)</f>
        <v/>
      </c>
      <c r="U371">
        <f>F370</f>
        <v/>
      </c>
      <c r="V371">
        <f>H370</f>
        <v/>
      </c>
      <c r="W371">
        <f>N370</f>
        <v/>
      </c>
    </row>
    <row r="372" ht="15.75" customHeight="1" s="40">
      <c r="C372" s="36">
        <f>_xlfn.IFS(E372&lt;E$24,0,E372&lt;E$26,C$24,E372&lt;E$28,C$26,E372&lt;E$30,C$28,E372&lt;E$32,C$30,E372&lt;E$34,C$32,E372&gt;=E$34,C$34)</f>
        <v/>
      </c>
      <c r="D372" s="37">
        <f>_xlfn.IFS(E372&lt;E$24,0,E372&lt;E$25,D$24,E372&lt;E$26,D$25,E372&lt;E$27,D$26,E372&lt;E$28,D$27,E372&lt;E$29,D$28,E372&lt;E$30,D$29,E372&lt;E$31,D$30,E372&lt;E$32,D$31,E372&lt;E$33,D$32,E372&lt;E$34,D$33,E372&lt;E$35,D$34,E372&gt;=E$35,D$35)</f>
        <v/>
      </c>
      <c r="E372" s="38" t="n">
        <v>322</v>
      </c>
      <c r="F372" s="31">
        <f>E372/52</f>
        <v/>
      </c>
      <c r="G372" s="39">
        <f>D372/1000000*52</f>
        <v/>
      </c>
      <c r="H372" s="33">
        <f>G372/$P$4+($C$22/$P$4)</f>
        <v/>
      </c>
      <c r="I372" s="36">
        <f>_xlfn.IFS(K372&lt;K$24,0,K372&lt;K$26,I$24,K372&lt;K$28,I$26,K372&lt;K$30,I$28,K372&lt;K$32,I$30,K372&lt;K$34,I$32,K372&lt;K$36,I$34,K372&lt;K$38,I$36,K372&lt;K$40,I$38,K372&lt;K$42,I$40,K372&lt;K$44,I$42,K372&lt;K$46,I$44,K372&gt;=K$46,I$46)</f>
        <v/>
      </c>
      <c r="J372" s="37">
        <f>_xlfn.IFS(K372&lt;K$24,0,K372&lt;K$25,J$24,K372&lt;K$26,J$25,K372&lt;K$27,J$26,K372&lt;K$28,J$27,K372&lt;K$29,J$28,K372&lt;K$30,J$29,K372&lt;K$31,J$30,K372&lt;K$32,J$31,K372&lt;K$33,J$32,K372&lt;K$34,J$33,K372&lt;K$35,J$34,K372&lt;K$36,J$35,K372&lt;K$37,J$36,K372&lt;K$38,J$37,K372&lt;K$39,J$38,K372&lt;K$40,J$39,K372&lt;K$41,J$40,K372&lt;K$42,J$41,K372&lt;K$43,J$42,K372&lt;K$44,J$43,K372&lt;K$45,J$44,K372&lt;K$46,J$45,K372&lt;K$47,J$46,K372&gt;=K$47,J$47)</f>
        <v/>
      </c>
      <c r="K372" s="38" t="n">
        <v>322</v>
      </c>
      <c r="L372" s="31">
        <f>K372/52</f>
        <v/>
      </c>
      <c r="M372" s="39">
        <f>J372/1000000*52</f>
        <v/>
      </c>
      <c r="N372" s="33">
        <f>M372/$P$4+($I$22/$P$4)</f>
        <v/>
      </c>
      <c r="U372">
        <f>F371</f>
        <v/>
      </c>
      <c r="V372">
        <f>H371</f>
        <v/>
      </c>
      <c r="W372">
        <f>N371</f>
        <v/>
      </c>
    </row>
    <row r="373" ht="15.75" customHeight="1" s="40">
      <c r="C373" s="36">
        <f>_xlfn.IFS(E373&lt;E$24,0,E373&lt;E$26,C$24,E373&lt;E$28,C$26,E373&lt;E$30,C$28,E373&lt;E$32,C$30,E373&lt;E$34,C$32,E373&gt;=E$34,C$34)</f>
        <v/>
      </c>
      <c r="D373" s="37">
        <f>_xlfn.IFS(E373&lt;E$24,0,E373&lt;E$25,D$24,E373&lt;E$26,D$25,E373&lt;E$27,D$26,E373&lt;E$28,D$27,E373&lt;E$29,D$28,E373&lt;E$30,D$29,E373&lt;E$31,D$30,E373&lt;E$32,D$31,E373&lt;E$33,D$32,E373&lt;E$34,D$33,E373&lt;E$35,D$34,E373&gt;=E$35,D$35)</f>
        <v/>
      </c>
      <c r="E373" s="38" t="n">
        <v>323</v>
      </c>
      <c r="F373" s="31">
        <f>E373/52</f>
        <v/>
      </c>
      <c r="G373" s="39">
        <f>D373/1000000*52</f>
        <v/>
      </c>
      <c r="H373" s="33">
        <f>G373/$P$4+($C$22/$P$4)</f>
        <v/>
      </c>
      <c r="I373" s="36">
        <f>_xlfn.IFS(K373&lt;K$24,0,K373&lt;K$26,I$24,K373&lt;K$28,I$26,K373&lt;K$30,I$28,K373&lt;K$32,I$30,K373&lt;K$34,I$32,K373&lt;K$36,I$34,K373&lt;K$38,I$36,K373&lt;K$40,I$38,K373&lt;K$42,I$40,K373&lt;K$44,I$42,K373&lt;K$46,I$44,K373&gt;=K$46,I$46)</f>
        <v/>
      </c>
      <c r="J373" s="37">
        <f>_xlfn.IFS(K373&lt;K$24,0,K373&lt;K$25,J$24,K373&lt;K$26,J$25,K373&lt;K$27,J$26,K373&lt;K$28,J$27,K373&lt;K$29,J$28,K373&lt;K$30,J$29,K373&lt;K$31,J$30,K373&lt;K$32,J$31,K373&lt;K$33,J$32,K373&lt;K$34,J$33,K373&lt;K$35,J$34,K373&lt;K$36,J$35,K373&lt;K$37,J$36,K373&lt;K$38,J$37,K373&lt;K$39,J$38,K373&lt;K$40,J$39,K373&lt;K$41,J$40,K373&lt;K$42,J$41,K373&lt;K$43,J$42,K373&lt;K$44,J$43,K373&lt;K$45,J$44,K373&lt;K$46,J$45,K373&lt;K$47,J$46,K373&gt;=K$47,J$47)</f>
        <v/>
      </c>
      <c r="K373" s="38" t="n">
        <v>323</v>
      </c>
      <c r="L373" s="31">
        <f>K373/52</f>
        <v/>
      </c>
      <c r="M373" s="39">
        <f>J373/1000000*52</f>
        <v/>
      </c>
      <c r="N373" s="33">
        <f>M373/$P$4+($I$22/$P$4)</f>
        <v/>
      </c>
      <c r="U373">
        <f>F372</f>
        <v/>
      </c>
      <c r="V373">
        <f>H372</f>
        <v/>
      </c>
      <c r="W373">
        <f>N372</f>
        <v/>
      </c>
    </row>
    <row r="374" ht="15.75" customHeight="1" s="40">
      <c r="C374" s="36">
        <f>_xlfn.IFS(E374&lt;E$24,0,E374&lt;E$26,C$24,E374&lt;E$28,C$26,E374&lt;E$30,C$28,E374&lt;E$32,C$30,E374&lt;E$34,C$32,E374&gt;=E$34,C$34)</f>
        <v/>
      </c>
      <c r="D374" s="37">
        <f>_xlfn.IFS(E374&lt;E$24,0,E374&lt;E$25,D$24,E374&lt;E$26,D$25,E374&lt;E$27,D$26,E374&lt;E$28,D$27,E374&lt;E$29,D$28,E374&lt;E$30,D$29,E374&lt;E$31,D$30,E374&lt;E$32,D$31,E374&lt;E$33,D$32,E374&lt;E$34,D$33,E374&lt;E$35,D$34,E374&gt;=E$35,D$35)</f>
        <v/>
      </c>
      <c r="E374" s="38" t="n">
        <v>324</v>
      </c>
      <c r="F374" s="31">
        <f>E374/52</f>
        <v/>
      </c>
      <c r="G374" s="39">
        <f>D374/1000000*52</f>
        <v/>
      </c>
      <c r="H374" s="33">
        <f>G374/$P$4+($C$22/$P$4)</f>
        <v/>
      </c>
      <c r="I374" s="36">
        <f>_xlfn.IFS(K374&lt;K$24,0,K374&lt;K$26,I$24,K374&lt;K$28,I$26,K374&lt;K$30,I$28,K374&lt;K$32,I$30,K374&lt;K$34,I$32,K374&lt;K$36,I$34,K374&lt;K$38,I$36,K374&lt;K$40,I$38,K374&lt;K$42,I$40,K374&lt;K$44,I$42,K374&lt;K$46,I$44,K374&gt;=K$46,I$46)</f>
        <v/>
      </c>
      <c r="J374" s="37">
        <f>_xlfn.IFS(K374&lt;K$24,0,K374&lt;K$25,J$24,K374&lt;K$26,J$25,K374&lt;K$27,J$26,K374&lt;K$28,J$27,K374&lt;K$29,J$28,K374&lt;K$30,J$29,K374&lt;K$31,J$30,K374&lt;K$32,J$31,K374&lt;K$33,J$32,K374&lt;K$34,J$33,K374&lt;K$35,J$34,K374&lt;K$36,J$35,K374&lt;K$37,J$36,K374&lt;K$38,J$37,K374&lt;K$39,J$38,K374&lt;K$40,J$39,K374&lt;K$41,J$40,K374&lt;K$42,J$41,K374&lt;K$43,J$42,K374&lt;K$44,J$43,K374&lt;K$45,J$44,K374&lt;K$46,J$45,K374&lt;K$47,J$46,K374&gt;=K$47,J$47)</f>
        <v/>
      </c>
      <c r="K374" s="38" t="n">
        <v>324</v>
      </c>
      <c r="L374" s="31">
        <f>K374/52</f>
        <v/>
      </c>
      <c r="M374" s="39">
        <f>J374/1000000*52</f>
        <v/>
      </c>
      <c r="N374" s="33">
        <f>M374/$P$4+($I$22/$P$4)</f>
        <v/>
      </c>
      <c r="U374">
        <f>F373</f>
        <v/>
      </c>
      <c r="V374">
        <f>H373</f>
        <v/>
      </c>
      <c r="W374">
        <f>N373</f>
        <v/>
      </c>
    </row>
    <row r="375" ht="15.75" customHeight="1" s="40">
      <c r="C375" s="36">
        <f>_xlfn.IFS(E375&lt;E$24,0,E375&lt;E$26,C$24,E375&lt;E$28,C$26,E375&lt;E$30,C$28,E375&lt;E$32,C$30,E375&lt;E$34,C$32,E375&gt;=E$34,C$34)</f>
        <v/>
      </c>
      <c r="D375" s="37">
        <f>_xlfn.IFS(E375&lt;E$24,0,E375&lt;E$25,D$24,E375&lt;E$26,D$25,E375&lt;E$27,D$26,E375&lt;E$28,D$27,E375&lt;E$29,D$28,E375&lt;E$30,D$29,E375&lt;E$31,D$30,E375&lt;E$32,D$31,E375&lt;E$33,D$32,E375&lt;E$34,D$33,E375&lt;E$35,D$34,E375&gt;=E$35,D$35)</f>
        <v/>
      </c>
      <c r="E375" s="38" t="n">
        <v>325</v>
      </c>
      <c r="F375" s="31">
        <f>E375/52</f>
        <v/>
      </c>
      <c r="G375" s="39">
        <f>D375/1000000*52</f>
        <v/>
      </c>
      <c r="H375" s="33">
        <f>G375/$P$4+($C$22/$P$4)</f>
        <v/>
      </c>
      <c r="I375" s="36">
        <f>_xlfn.IFS(K375&lt;K$24,0,K375&lt;K$26,I$24,K375&lt;K$28,I$26,K375&lt;K$30,I$28,K375&lt;K$32,I$30,K375&lt;K$34,I$32,K375&lt;K$36,I$34,K375&lt;K$38,I$36,K375&lt;K$40,I$38,K375&lt;K$42,I$40,K375&lt;K$44,I$42,K375&lt;K$46,I$44,K375&gt;=K$46,I$46)</f>
        <v/>
      </c>
      <c r="J375" s="37">
        <f>_xlfn.IFS(K375&lt;K$24,0,K375&lt;K$25,J$24,K375&lt;K$26,J$25,K375&lt;K$27,J$26,K375&lt;K$28,J$27,K375&lt;K$29,J$28,K375&lt;K$30,J$29,K375&lt;K$31,J$30,K375&lt;K$32,J$31,K375&lt;K$33,J$32,K375&lt;K$34,J$33,K375&lt;K$35,J$34,K375&lt;K$36,J$35,K375&lt;K$37,J$36,K375&lt;K$38,J$37,K375&lt;K$39,J$38,K375&lt;K$40,J$39,K375&lt;K$41,J$40,K375&lt;K$42,J$41,K375&lt;K$43,J$42,K375&lt;K$44,J$43,K375&lt;K$45,J$44,K375&lt;K$46,J$45,K375&lt;K$47,J$46,K375&gt;=K$47,J$47)</f>
        <v/>
      </c>
      <c r="K375" s="38" t="n">
        <v>325</v>
      </c>
      <c r="L375" s="31">
        <f>K375/52</f>
        <v/>
      </c>
      <c r="M375" s="39">
        <f>J375/1000000*52</f>
        <v/>
      </c>
      <c r="N375" s="33">
        <f>M375/$P$4+($I$22/$P$4)</f>
        <v/>
      </c>
      <c r="U375">
        <f>F374</f>
        <v/>
      </c>
      <c r="V375">
        <f>H374</f>
        <v/>
      </c>
      <c r="W375">
        <f>N374</f>
        <v/>
      </c>
    </row>
    <row r="376" ht="15.75" customHeight="1" s="40">
      <c r="C376" s="36">
        <f>_xlfn.IFS(E376&lt;E$24,0,E376&lt;E$26,C$24,E376&lt;E$28,C$26,E376&lt;E$30,C$28,E376&lt;E$32,C$30,E376&lt;E$34,C$32,E376&gt;=E$34,C$34)</f>
        <v/>
      </c>
      <c r="D376" s="37">
        <f>_xlfn.IFS(E376&lt;E$24,0,E376&lt;E$25,D$24,E376&lt;E$26,D$25,E376&lt;E$27,D$26,E376&lt;E$28,D$27,E376&lt;E$29,D$28,E376&lt;E$30,D$29,E376&lt;E$31,D$30,E376&lt;E$32,D$31,E376&lt;E$33,D$32,E376&lt;E$34,D$33,E376&lt;E$35,D$34,E376&gt;=E$35,D$35)</f>
        <v/>
      </c>
      <c r="E376" s="38" t="n">
        <v>326</v>
      </c>
      <c r="F376" s="31">
        <f>E376/52</f>
        <v/>
      </c>
      <c r="G376" s="39">
        <f>D376/1000000*52</f>
        <v/>
      </c>
      <c r="H376" s="33">
        <f>G376/$P$4+($C$22/$P$4)</f>
        <v/>
      </c>
      <c r="I376" s="36">
        <f>_xlfn.IFS(K376&lt;K$24,0,K376&lt;K$26,I$24,K376&lt;K$28,I$26,K376&lt;K$30,I$28,K376&lt;K$32,I$30,K376&lt;K$34,I$32,K376&lt;K$36,I$34,K376&lt;K$38,I$36,K376&lt;K$40,I$38,K376&lt;K$42,I$40,K376&lt;K$44,I$42,K376&lt;K$46,I$44,K376&gt;=K$46,I$46)</f>
        <v/>
      </c>
      <c r="J376" s="37">
        <f>_xlfn.IFS(K376&lt;K$24,0,K376&lt;K$25,J$24,K376&lt;K$26,J$25,K376&lt;K$27,J$26,K376&lt;K$28,J$27,K376&lt;K$29,J$28,K376&lt;K$30,J$29,K376&lt;K$31,J$30,K376&lt;K$32,J$31,K376&lt;K$33,J$32,K376&lt;K$34,J$33,K376&lt;K$35,J$34,K376&lt;K$36,J$35,K376&lt;K$37,J$36,K376&lt;K$38,J$37,K376&lt;K$39,J$38,K376&lt;K$40,J$39,K376&lt;K$41,J$40,K376&lt;K$42,J$41,K376&lt;K$43,J$42,K376&lt;K$44,J$43,K376&lt;K$45,J$44,K376&lt;K$46,J$45,K376&lt;K$47,J$46,K376&gt;=K$47,J$47)</f>
        <v/>
      </c>
      <c r="K376" s="38" t="n">
        <v>326</v>
      </c>
      <c r="L376" s="31">
        <f>K376/52</f>
        <v/>
      </c>
      <c r="M376" s="39">
        <f>J376/1000000*52</f>
        <v/>
      </c>
      <c r="N376" s="33">
        <f>M376/$P$4+($I$22/$P$4)</f>
        <v/>
      </c>
      <c r="U376">
        <f>F375</f>
        <v/>
      </c>
      <c r="V376">
        <f>H375</f>
        <v/>
      </c>
      <c r="W376">
        <f>N375</f>
        <v/>
      </c>
    </row>
    <row r="377" ht="15.75" customHeight="1" s="40">
      <c r="C377" s="36">
        <f>_xlfn.IFS(E377&lt;E$24,0,E377&lt;E$26,C$24,E377&lt;E$28,C$26,E377&lt;E$30,C$28,E377&lt;E$32,C$30,E377&lt;E$34,C$32,E377&gt;=E$34,C$34)</f>
        <v/>
      </c>
      <c r="D377" s="37">
        <f>_xlfn.IFS(E377&lt;E$24,0,E377&lt;E$25,D$24,E377&lt;E$26,D$25,E377&lt;E$27,D$26,E377&lt;E$28,D$27,E377&lt;E$29,D$28,E377&lt;E$30,D$29,E377&lt;E$31,D$30,E377&lt;E$32,D$31,E377&lt;E$33,D$32,E377&lt;E$34,D$33,E377&lt;E$35,D$34,E377&gt;=E$35,D$35)</f>
        <v/>
      </c>
      <c r="E377" s="38" t="n">
        <v>327</v>
      </c>
      <c r="F377" s="31">
        <f>E377/52</f>
        <v/>
      </c>
      <c r="G377" s="39">
        <f>D377/1000000*52</f>
        <v/>
      </c>
      <c r="H377" s="33">
        <f>G377/$P$4+($C$22/$P$4)</f>
        <v/>
      </c>
      <c r="I377" s="36">
        <f>_xlfn.IFS(K377&lt;K$24,0,K377&lt;K$26,I$24,K377&lt;K$28,I$26,K377&lt;K$30,I$28,K377&lt;K$32,I$30,K377&lt;K$34,I$32,K377&lt;K$36,I$34,K377&lt;K$38,I$36,K377&lt;K$40,I$38,K377&lt;K$42,I$40,K377&lt;K$44,I$42,K377&lt;K$46,I$44,K377&gt;=K$46,I$46)</f>
        <v/>
      </c>
      <c r="J377" s="37">
        <f>_xlfn.IFS(K377&lt;K$24,0,K377&lt;K$25,J$24,K377&lt;K$26,J$25,K377&lt;K$27,J$26,K377&lt;K$28,J$27,K377&lt;K$29,J$28,K377&lt;K$30,J$29,K377&lt;K$31,J$30,K377&lt;K$32,J$31,K377&lt;K$33,J$32,K377&lt;K$34,J$33,K377&lt;K$35,J$34,K377&lt;K$36,J$35,K377&lt;K$37,J$36,K377&lt;K$38,J$37,K377&lt;K$39,J$38,K377&lt;K$40,J$39,K377&lt;K$41,J$40,K377&lt;K$42,J$41,K377&lt;K$43,J$42,K377&lt;K$44,J$43,K377&lt;K$45,J$44,K377&lt;K$46,J$45,K377&lt;K$47,J$46,K377&gt;=K$47,J$47)</f>
        <v/>
      </c>
      <c r="K377" s="38" t="n">
        <v>327</v>
      </c>
      <c r="L377" s="31">
        <f>K377/52</f>
        <v/>
      </c>
      <c r="M377" s="39">
        <f>J377/1000000*52</f>
        <v/>
      </c>
      <c r="N377" s="33">
        <f>M377/$P$4+($I$22/$P$4)</f>
        <v/>
      </c>
      <c r="U377">
        <f>F376</f>
        <v/>
      </c>
      <c r="V377">
        <f>H376</f>
        <v/>
      </c>
      <c r="W377">
        <f>N376</f>
        <v/>
      </c>
    </row>
    <row r="378" ht="15.75" customHeight="1" s="40">
      <c r="C378" s="36">
        <f>_xlfn.IFS(E378&lt;E$24,0,E378&lt;E$26,C$24,E378&lt;E$28,C$26,E378&lt;E$30,C$28,E378&lt;E$32,C$30,E378&lt;E$34,C$32,E378&gt;=E$34,C$34)</f>
        <v/>
      </c>
      <c r="D378" s="37">
        <f>_xlfn.IFS(E378&lt;E$24,0,E378&lt;E$25,D$24,E378&lt;E$26,D$25,E378&lt;E$27,D$26,E378&lt;E$28,D$27,E378&lt;E$29,D$28,E378&lt;E$30,D$29,E378&lt;E$31,D$30,E378&lt;E$32,D$31,E378&lt;E$33,D$32,E378&lt;E$34,D$33,E378&lt;E$35,D$34,E378&gt;=E$35,D$35)</f>
        <v/>
      </c>
      <c r="E378" s="38" t="n">
        <v>328</v>
      </c>
      <c r="F378" s="31">
        <f>E378/52</f>
        <v/>
      </c>
      <c r="G378" s="39">
        <f>D378/1000000*52</f>
        <v/>
      </c>
      <c r="H378" s="33">
        <f>G378/$P$4+($C$22/$P$4)</f>
        <v/>
      </c>
      <c r="I378" s="36">
        <f>_xlfn.IFS(K378&lt;K$24,0,K378&lt;K$26,I$24,K378&lt;K$28,I$26,K378&lt;K$30,I$28,K378&lt;K$32,I$30,K378&lt;K$34,I$32,K378&lt;K$36,I$34,K378&lt;K$38,I$36,K378&lt;K$40,I$38,K378&lt;K$42,I$40,K378&lt;K$44,I$42,K378&lt;K$46,I$44,K378&gt;=K$46,I$46)</f>
        <v/>
      </c>
      <c r="J378" s="37">
        <f>_xlfn.IFS(K378&lt;K$24,0,K378&lt;K$25,J$24,K378&lt;K$26,J$25,K378&lt;K$27,J$26,K378&lt;K$28,J$27,K378&lt;K$29,J$28,K378&lt;K$30,J$29,K378&lt;K$31,J$30,K378&lt;K$32,J$31,K378&lt;K$33,J$32,K378&lt;K$34,J$33,K378&lt;K$35,J$34,K378&lt;K$36,J$35,K378&lt;K$37,J$36,K378&lt;K$38,J$37,K378&lt;K$39,J$38,K378&lt;K$40,J$39,K378&lt;K$41,J$40,K378&lt;K$42,J$41,K378&lt;K$43,J$42,K378&lt;K$44,J$43,K378&lt;K$45,J$44,K378&lt;K$46,J$45,K378&lt;K$47,J$46,K378&gt;=K$47,J$47)</f>
        <v/>
      </c>
      <c r="K378" s="38" t="n">
        <v>328</v>
      </c>
      <c r="L378" s="31">
        <f>K378/52</f>
        <v/>
      </c>
      <c r="M378" s="39">
        <f>J378/1000000*52</f>
        <v/>
      </c>
      <c r="N378" s="33">
        <f>M378/$P$4+($I$22/$P$4)</f>
        <v/>
      </c>
      <c r="U378">
        <f>F377</f>
        <v/>
      </c>
      <c r="V378">
        <f>H377</f>
        <v/>
      </c>
      <c r="W378">
        <f>N377</f>
        <v/>
      </c>
    </row>
    <row r="379" ht="15.75" customHeight="1" s="40">
      <c r="C379" s="36">
        <f>_xlfn.IFS(E379&lt;E$24,0,E379&lt;E$26,C$24,E379&lt;E$28,C$26,E379&lt;E$30,C$28,E379&lt;E$32,C$30,E379&lt;E$34,C$32,E379&gt;=E$34,C$34)</f>
        <v/>
      </c>
      <c r="D379" s="37">
        <f>_xlfn.IFS(E379&lt;E$24,0,E379&lt;E$25,D$24,E379&lt;E$26,D$25,E379&lt;E$27,D$26,E379&lt;E$28,D$27,E379&lt;E$29,D$28,E379&lt;E$30,D$29,E379&lt;E$31,D$30,E379&lt;E$32,D$31,E379&lt;E$33,D$32,E379&lt;E$34,D$33,E379&lt;E$35,D$34,E379&gt;=E$35,D$35)</f>
        <v/>
      </c>
      <c r="E379" s="38" t="n">
        <v>329</v>
      </c>
      <c r="F379" s="31">
        <f>E379/52</f>
        <v/>
      </c>
      <c r="G379" s="39">
        <f>D379/1000000*52</f>
        <v/>
      </c>
      <c r="H379" s="33">
        <f>G379/$P$4+($C$22/$P$4)</f>
        <v/>
      </c>
      <c r="I379" s="36">
        <f>_xlfn.IFS(K379&lt;K$24,0,K379&lt;K$26,I$24,K379&lt;K$28,I$26,K379&lt;K$30,I$28,K379&lt;K$32,I$30,K379&lt;K$34,I$32,K379&lt;K$36,I$34,K379&lt;K$38,I$36,K379&lt;K$40,I$38,K379&lt;K$42,I$40,K379&lt;K$44,I$42,K379&lt;K$46,I$44,K379&gt;=K$46,I$46)</f>
        <v/>
      </c>
      <c r="J379" s="37">
        <f>_xlfn.IFS(K379&lt;K$24,0,K379&lt;K$25,J$24,K379&lt;K$26,J$25,K379&lt;K$27,J$26,K379&lt;K$28,J$27,K379&lt;K$29,J$28,K379&lt;K$30,J$29,K379&lt;K$31,J$30,K379&lt;K$32,J$31,K379&lt;K$33,J$32,K379&lt;K$34,J$33,K379&lt;K$35,J$34,K379&lt;K$36,J$35,K379&lt;K$37,J$36,K379&lt;K$38,J$37,K379&lt;K$39,J$38,K379&lt;K$40,J$39,K379&lt;K$41,J$40,K379&lt;K$42,J$41,K379&lt;K$43,J$42,K379&lt;K$44,J$43,K379&lt;K$45,J$44,K379&lt;K$46,J$45,K379&lt;K$47,J$46,K379&gt;=K$47,J$47)</f>
        <v/>
      </c>
      <c r="K379" s="38" t="n">
        <v>329</v>
      </c>
      <c r="L379" s="31">
        <f>K379/52</f>
        <v/>
      </c>
      <c r="M379" s="39">
        <f>J379/1000000*52</f>
        <v/>
      </c>
      <c r="N379" s="33">
        <f>M379/$P$4+($I$22/$P$4)</f>
        <v/>
      </c>
      <c r="U379">
        <f>F378</f>
        <v/>
      </c>
      <c r="V379">
        <f>H378</f>
        <v/>
      </c>
      <c r="W379">
        <f>N378</f>
        <v/>
      </c>
    </row>
    <row r="380" ht="15.75" customHeight="1" s="40">
      <c r="C380" s="36">
        <f>_xlfn.IFS(E380&lt;E$24,0,E380&lt;E$26,C$24,E380&lt;E$28,C$26,E380&lt;E$30,C$28,E380&lt;E$32,C$30,E380&lt;E$34,C$32,E380&gt;=E$34,C$34)</f>
        <v/>
      </c>
      <c r="D380" s="37">
        <f>_xlfn.IFS(E380&lt;E$24,0,E380&lt;E$25,D$24,E380&lt;E$26,D$25,E380&lt;E$27,D$26,E380&lt;E$28,D$27,E380&lt;E$29,D$28,E380&lt;E$30,D$29,E380&lt;E$31,D$30,E380&lt;E$32,D$31,E380&lt;E$33,D$32,E380&lt;E$34,D$33,E380&lt;E$35,D$34,E380&gt;=E$35,D$35)</f>
        <v/>
      </c>
      <c r="E380" s="38" t="n">
        <v>330</v>
      </c>
      <c r="F380" s="31">
        <f>E380/52</f>
        <v/>
      </c>
      <c r="G380" s="39">
        <f>D380/1000000*52</f>
        <v/>
      </c>
      <c r="H380" s="33">
        <f>G380/$P$4+($C$22/$P$4)</f>
        <v/>
      </c>
      <c r="I380" s="36">
        <f>_xlfn.IFS(K380&lt;K$24,0,K380&lt;K$26,I$24,K380&lt;K$28,I$26,K380&lt;K$30,I$28,K380&lt;K$32,I$30,K380&lt;K$34,I$32,K380&lt;K$36,I$34,K380&lt;K$38,I$36,K380&lt;K$40,I$38,K380&lt;K$42,I$40,K380&lt;K$44,I$42,K380&lt;K$46,I$44,K380&gt;=K$46,I$46)</f>
        <v/>
      </c>
      <c r="J380" s="37">
        <f>_xlfn.IFS(K380&lt;K$24,0,K380&lt;K$25,J$24,K380&lt;K$26,J$25,K380&lt;K$27,J$26,K380&lt;K$28,J$27,K380&lt;K$29,J$28,K380&lt;K$30,J$29,K380&lt;K$31,J$30,K380&lt;K$32,J$31,K380&lt;K$33,J$32,K380&lt;K$34,J$33,K380&lt;K$35,J$34,K380&lt;K$36,J$35,K380&lt;K$37,J$36,K380&lt;K$38,J$37,K380&lt;K$39,J$38,K380&lt;K$40,J$39,K380&lt;K$41,J$40,K380&lt;K$42,J$41,K380&lt;K$43,J$42,K380&lt;K$44,J$43,K380&lt;K$45,J$44,K380&lt;K$46,J$45,K380&lt;K$47,J$46,K380&gt;=K$47,J$47)</f>
        <v/>
      </c>
      <c r="K380" s="38" t="n">
        <v>330</v>
      </c>
      <c r="L380" s="31">
        <f>K380/52</f>
        <v/>
      </c>
      <c r="M380" s="39">
        <f>J380/1000000*52</f>
        <v/>
      </c>
      <c r="N380" s="33">
        <f>M380/$P$4+($I$22/$P$4)</f>
        <v/>
      </c>
      <c r="U380">
        <f>F379</f>
        <v/>
      </c>
      <c r="V380">
        <f>H379</f>
        <v/>
      </c>
      <c r="W380">
        <f>N379</f>
        <v/>
      </c>
    </row>
    <row r="381" ht="15.75" customHeight="1" s="40">
      <c r="C381" s="36">
        <f>_xlfn.IFS(E381&lt;E$24,0,E381&lt;E$26,C$24,E381&lt;E$28,C$26,E381&lt;E$30,C$28,E381&lt;E$32,C$30,E381&lt;E$34,C$32,E381&gt;=E$34,C$34)</f>
        <v/>
      </c>
      <c r="D381" s="37">
        <f>_xlfn.IFS(E381&lt;E$24,0,E381&lt;E$25,D$24,E381&lt;E$26,D$25,E381&lt;E$27,D$26,E381&lt;E$28,D$27,E381&lt;E$29,D$28,E381&lt;E$30,D$29,E381&lt;E$31,D$30,E381&lt;E$32,D$31,E381&lt;E$33,D$32,E381&lt;E$34,D$33,E381&lt;E$35,D$34,E381&gt;=E$35,D$35)</f>
        <v/>
      </c>
      <c r="E381" s="38" t="n">
        <v>331</v>
      </c>
      <c r="F381" s="31">
        <f>E381/52</f>
        <v/>
      </c>
      <c r="G381" s="39">
        <f>D381/1000000*52</f>
        <v/>
      </c>
      <c r="H381" s="33">
        <f>G381/$P$4+($C$22/$P$4)</f>
        <v/>
      </c>
      <c r="I381" s="36">
        <f>_xlfn.IFS(K381&lt;K$24,0,K381&lt;K$26,I$24,K381&lt;K$28,I$26,K381&lt;K$30,I$28,K381&lt;K$32,I$30,K381&lt;K$34,I$32,K381&lt;K$36,I$34,K381&lt;K$38,I$36,K381&lt;K$40,I$38,K381&lt;K$42,I$40,K381&lt;K$44,I$42,K381&lt;K$46,I$44,K381&gt;=K$46,I$46)</f>
        <v/>
      </c>
      <c r="J381" s="37">
        <f>_xlfn.IFS(K381&lt;K$24,0,K381&lt;K$25,J$24,K381&lt;K$26,J$25,K381&lt;K$27,J$26,K381&lt;K$28,J$27,K381&lt;K$29,J$28,K381&lt;K$30,J$29,K381&lt;K$31,J$30,K381&lt;K$32,J$31,K381&lt;K$33,J$32,K381&lt;K$34,J$33,K381&lt;K$35,J$34,K381&lt;K$36,J$35,K381&lt;K$37,J$36,K381&lt;K$38,J$37,K381&lt;K$39,J$38,K381&lt;K$40,J$39,K381&lt;K$41,J$40,K381&lt;K$42,J$41,K381&lt;K$43,J$42,K381&lt;K$44,J$43,K381&lt;K$45,J$44,K381&lt;K$46,J$45,K381&lt;K$47,J$46,K381&gt;=K$47,J$47)</f>
        <v/>
      </c>
      <c r="K381" s="38" t="n">
        <v>331</v>
      </c>
      <c r="L381" s="31">
        <f>K381/52</f>
        <v/>
      </c>
      <c r="M381" s="39">
        <f>J381/1000000*52</f>
        <v/>
      </c>
      <c r="N381" s="33">
        <f>M381/$P$4+($I$22/$P$4)</f>
        <v/>
      </c>
      <c r="U381">
        <f>F380</f>
        <v/>
      </c>
      <c r="V381">
        <f>H380</f>
        <v/>
      </c>
      <c r="W381">
        <f>N380</f>
        <v/>
      </c>
    </row>
    <row r="382" ht="15.75" customHeight="1" s="40">
      <c r="C382" s="36">
        <f>_xlfn.IFS(E382&lt;E$24,0,E382&lt;E$26,C$24,E382&lt;E$28,C$26,E382&lt;E$30,C$28,E382&lt;E$32,C$30,E382&lt;E$34,C$32,E382&gt;=E$34,C$34)</f>
        <v/>
      </c>
      <c r="D382" s="37">
        <f>_xlfn.IFS(E382&lt;E$24,0,E382&lt;E$25,D$24,E382&lt;E$26,D$25,E382&lt;E$27,D$26,E382&lt;E$28,D$27,E382&lt;E$29,D$28,E382&lt;E$30,D$29,E382&lt;E$31,D$30,E382&lt;E$32,D$31,E382&lt;E$33,D$32,E382&lt;E$34,D$33,E382&lt;E$35,D$34,E382&gt;=E$35,D$35)</f>
        <v/>
      </c>
      <c r="E382" s="38" t="n">
        <v>332</v>
      </c>
      <c r="F382" s="31">
        <f>E382/52</f>
        <v/>
      </c>
      <c r="G382" s="39">
        <f>D382/1000000*52</f>
        <v/>
      </c>
      <c r="H382" s="33">
        <f>G382/$P$4+($C$22/$P$4)</f>
        <v/>
      </c>
      <c r="I382" s="36">
        <f>_xlfn.IFS(K382&lt;K$24,0,K382&lt;K$26,I$24,K382&lt;K$28,I$26,K382&lt;K$30,I$28,K382&lt;K$32,I$30,K382&lt;K$34,I$32,K382&lt;K$36,I$34,K382&lt;K$38,I$36,K382&lt;K$40,I$38,K382&lt;K$42,I$40,K382&lt;K$44,I$42,K382&lt;K$46,I$44,K382&gt;=K$46,I$46)</f>
        <v/>
      </c>
      <c r="J382" s="37">
        <f>_xlfn.IFS(K382&lt;K$24,0,K382&lt;K$25,J$24,K382&lt;K$26,J$25,K382&lt;K$27,J$26,K382&lt;K$28,J$27,K382&lt;K$29,J$28,K382&lt;K$30,J$29,K382&lt;K$31,J$30,K382&lt;K$32,J$31,K382&lt;K$33,J$32,K382&lt;K$34,J$33,K382&lt;K$35,J$34,K382&lt;K$36,J$35,K382&lt;K$37,J$36,K382&lt;K$38,J$37,K382&lt;K$39,J$38,K382&lt;K$40,J$39,K382&lt;K$41,J$40,K382&lt;K$42,J$41,K382&lt;K$43,J$42,K382&lt;K$44,J$43,K382&lt;K$45,J$44,K382&lt;K$46,J$45,K382&lt;K$47,J$46,K382&gt;=K$47,J$47)</f>
        <v/>
      </c>
      <c r="K382" s="38" t="n">
        <v>332</v>
      </c>
      <c r="L382" s="31">
        <f>K382/52</f>
        <v/>
      </c>
      <c r="M382" s="39">
        <f>J382/1000000*52</f>
        <v/>
      </c>
      <c r="N382" s="33">
        <f>M382/$P$4+($I$22/$P$4)</f>
        <v/>
      </c>
      <c r="U382">
        <f>F381</f>
        <v/>
      </c>
      <c r="V382">
        <f>H381</f>
        <v/>
      </c>
      <c r="W382">
        <f>N381</f>
        <v/>
      </c>
    </row>
    <row r="383" ht="15.75" customHeight="1" s="40">
      <c r="C383" s="36">
        <f>_xlfn.IFS(E383&lt;E$24,0,E383&lt;E$26,C$24,E383&lt;E$28,C$26,E383&lt;E$30,C$28,E383&lt;E$32,C$30,E383&lt;E$34,C$32,E383&gt;=E$34,C$34)</f>
        <v/>
      </c>
      <c r="D383" s="37">
        <f>_xlfn.IFS(E383&lt;E$24,0,E383&lt;E$25,D$24,E383&lt;E$26,D$25,E383&lt;E$27,D$26,E383&lt;E$28,D$27,E383&lt;E$29,D$28,E383&lt;E$30,D$29,E383&lt;E$31,D$30,E383&lt;E$32,D$31,E383&lt;E$33,D$32,E383&lt;E$34,D$33,E383&lt;E$35,D$34,E383&gt;=E$35,D$35)</f>
        <v/>
      </c>
      <c r="E383" s="38" t="n">
        <v>333</v>
      </c>
      <c r="F383" s="31">
        <f>E383/52</f>
        <v/>
      </c>
      <c r="G383" s="39">
        <f>D383/1000000*52</f>
        <v/>
      </c>
      <c r="H383" s="33">
        <f>G383/$P$4+($C$22/$P$4)</f>
        <v/>
      </c>
      <c r="I383" s="36">
        <f>_xlfn.IFS(K383&lt;K$24,0,K383&lt;K$26,I$24,K383&lt;K$28,I$26,K383&lt;K$30,I$28,K383&lt;K$32,I$30,K383&lt;K$34,I$32,K383&lt;K$36,I$34,K383&lt;K$38,I$36,K383&lt;K$40,I$38,K383&lt;K$42,I$40,K383&lt;K$44,I$42,K383&lt;K$46,I$44,K383&gt;=K$46,I$46)</f>
        <v/>
      </c>
      <c r="J383" s="37">
        <f>_xlfn.IFS(K383&lt;K$24,0,K383&lt;K$25,J$24,K383&lt;K$26,J$25,K383&lt;K$27,J$26,K383&lt;K$28,J$27,K383&lt;K$29,J$28,K383&lt;K$30,J$29,K383&lt;K$31,J$30,K383&lt;K$32,J$31,K383&lt;K$33,J$32,K383&lt;K$34,J$33,K383&lt;K$35,J$34,K383&lt;K$36,J$35,K383&lt;K$37,J$36,K383&lt;K$38,J$37,K383&lt;K$39,J$38,K383&lt;K$40,J$39,K383&lt;K$41,J$40,K383&lt;K$42,J$41,K383&lt;K$43,J$42,K383&lt;K$44,J$43,K383&lt;K$45,J$44,K383&lt;K$46,J$45,K383&lt;K$47,J$46,K383&gt;=K$47,J$47)</f>
        <v/>
      </c>
      <c r="K383" s="38" t="n">
        <v>333</v>
      </c>
      <c r="L383" s="31">
        <f>K383/52</f>
        <v/>
      </c>
      <c r="M383" s="39">
        <f>J383/1000000*52</f>
        <v/>
      </c>
      <c r="N383" s="33">
        <f>M383/$P$4+($I$22/$P$4)</f>
        <v/>
      </c>
      <c r="U383">
        <f>F382</f>
        <v/>
      </c>
      <c r="V383">
        <f>H382</f>
        <v/>
      </c>
      <c r="W383">
        <f>N382</f>
        <v/>
      </c>
    </row>
    <row r="384" ht="15.75" customHeight="1" s="40">
      <c r="C384" s="36">
        <f>_xlfn.IFS(E384&lt;E$24,0,E384&lt;E$26,C$24,E384&lt;E$28,C$26,E384&lt;E$30,C$28,E384&lt;E$32,C$30,E384&lt;E$34,C$32,E384&gt;=E$34,C$34)</f>
        <v/>
      </c>
      <c r="D384" s="37">
        <f>_xlfn.IFS(E384&lt;E$24,0,E384&lt;E$25,D$24,E384&lt;E$26,D$25,E384&lt;E$27,D$26,E384&lt;E$28,D$27,E384&lt;E$29,D$28,E384&lt;E$30,D$29,E384&lt;E$31,D$30,E384&lt;E$32,D$31,E384&lt;E$33,D$32,E384&lt;E$34,D$33,E384&lt;E$35,D$34,E384&gt;=E$35,D$35)</f>
        <v/>
      </c>
      <c r="E384" s="38" t="n">
        <v>334</v>
      </c>
      <c r="F384" s="31">
        <f>E384/52</f>
        <v/>
      </c>
      <c r="G384" s="39">
        <f>D384/1000000*52</f>
        <v/>
      </c>
      <c r="H384" s="33">
        <f>G384/$P$4+($C$22/$P$4)</f>
        <v/>
      </c>
      <c r="I384" s="36">
        <f>_xlfn.IFS(K384&lt;K$24,0,K384&lt;K$26,I$24,K384&lt;K$28,I$26,K384&lt;K$30,I$28,K384&lt;K$32,I$30,K384&lt;K$34,I$32,K384&lt;K$36,I$34,K384&lt;K$38,I$36,K384&lt;K$40,I$38,K384&lt;K$42,I$40,K384&lt;K$44,I$42,K384&lt;K$46,I$44,K384&gt;=K$46,I$46)</f>
        <v/>
      </c>
      <c r="J384" s="37">
        <f>_xlfn.IFS(K384&lt;K$24,0,K384&lt;K$25,J$24,K384&lt;K$26,J$25,K384&lt;K$27,J$26,K384&lt;K$28,J$27,K384&lt;K$29,J$28,K384&lt;K$30,J$29,K384&lt;K$31,J$30,K384&lt;K$32,J$31,K384&lt;K$33,J$32,K384&lt;K$34,J$33,K384&lt;K$35,J$34,K384&lt;K$36,J$35,K384&lt;K$37,J$36,K384&lt;K$38,J$37,K384&lt;K$39,J$38,K384&lt;K$40,J$39,K384&lt;K$41,J$40,K384&lt;K$42,J$41,K384&lt;K$43,J$42,K384&lt;K$44,J$43,K384&lt;K$45,J$44,K384&lt;K$46,J$45,K384&lt;K$47,J$46,K384&gt;=K$47,J$47)</f>
        <v/>
      </c>
      <c r="K384" s="38" t="n">
        <v>334</v>
      </c>
      <c r="L384" s="31">
        <f>K384/52</f>
        <v/>
      </c>
      <c r="M384" s="39">
        <f>J384/1000000*52</f>
        <v/>
      </c>
      <c r="N384" s="33">
        <f>M384/$P$4+($I$22/$P$4)</f>
        <v/>
      </c>
      <c r="U384">
        <f>F383</f>
        <v/>
      </c>
      <c r="V384">
        <f>H383</f>
        <v/>
      </c>
      <c r="W384">
        <f>N383</f>
        <v/>
      </c>
    </row>
    <row r="385" ht="15.75" customHeight="1" s="40">
      <c r="C385" s="36">
        <f>_xlfn.IFS(E385&lt;E$24,0,E385&lt;E$26,C$24,E385&lt;E$28,C$26,E385&lt;E$30,C$28,E385&lt;E$32,C$30,E385&lt;E$34,C$32,E385&gt;=E$34,C$34)</f>
        <v/>
      </c>
      <c r="D385" s="37">
        <f>_xlfn.IFS(E385&lt;E$24,0,E385&lt;E$25,D$24,E385&lt;E$26,D$25,E385&lt;E$27,D$26,E385&lt;E$28,D$27,E385&lt;E$29,D$28,E385&lt;E$30,D$29,E385&lt;E$31,D$30,E385&lt;E$32,D$31,E385&lt;E$33,D$32,E385&lt;E$34,D$33,E385&lt;E$35,D$34,E385&gt;=E$35,D$35)</f>
        <v/>
      </c>
      <c r="E385" s="38" t="n">
        <v>335</v>
      </c>
      <c r="F385" s="31">
        <f>E385/52</f>
        <v/>
      </c>
      <c r="G385" s="39">
        <f>D385/1000000*52</f>
        <v/>
      </c>
      <c r="H385" s="33">
        <f>G385/$P$4+($C$22/$P$4)</f>
        <v/>
      </c>
      <c r="I385" s="36">
        <f>_xlfn.IFS(K385&lt;K$24,0,K385&lt;K$26,I$24,K385&lt;K$28,I$26,K385&lt;K$30,I$28,K385&lt;K$32,I$30,K385&lt;K$34,I$32,K385&lt;K$36,I$34,K385&lt;K$38,I$36,K385&lt;K$40,I$38,K385&lt;K$42,I$40,K385&lt;K$44,I$42,K385&lt;K$46,I$44,K385&gt;=K$46,I$46)</f>
        <v/>
      </c>
      <c r="J385" s="37">
        <f>_xlfn.IFS(K385&lt;K$24,0,K385&lt;K$25,J$24,K385&lt;K$26,J$25,K385&lt;K$27,J$26,K385&lt;K$28,J$27,K385&lt;K$29,J$28,K385&lt;K$30,J$29,K385&lt;K$31,J$30,K385&lt;K$32,J$31,K385&lt;K$33,J$32,K385&lt;K$34,J$33,K385&lt;K$35,J$34,K385&lt;K$36,J$35,K385&lt;K$37,J$36,K385&lt;K$38,J$37,K385&lt;K$39,J$38,K385&lt;K$40,J$39,K385&lt;K$41,J$40,K385&lt;K$42,J$41,K385&lt;K$43,J$42,K385&lt;K$44,J$43,K385&lt;K$45,J$44,K385&lt;K$46,J$45,K385&lt;K$47,J$46,K385&gt;=K$47,J$47)</f>
        <v/>
      </c>
      <c r="K385" s="38" t="n">
        <v>335</v>
      </c>
      <c r="L385" s="31">
        <f>K385/52</f>
        <v/>
      </c>
      <c r="M385" s="39">
        <f>J385/1000000*52</f>
        <v/>
      </c>
      <c r="N385" s="33">
        <f>M385/$P$4+($I$22/$P$4)</f>
        <v/>
      </c>
      <c r="U385">
        <f>F384</f>
        <v/>
      </c>
      <c r="V385">
        <f>H384</f>
        <v/>
      </c>
      <c r="W385">
        <f>N384</f>
        <v/>
      </c>
    </row>
    <row r="386" ht="15.75" customHeight="1" s="40">
      <c r="C386" s="36">
        <f>_xlfn.IFS(E386&lt;E$24,0,E386&lt;E$26,C$24,E386&lt;E$28,C$26,E386&lt;E$30,C$28,E386&lt;E$32,C$30,E386&lt;E$34,C$32,E386&gt;=E$34,C$34)</f>
        <v/>
      </c>
      <c r="D386" s="37">
        <f>_xlfn.IFS(E386&lt;E$24,0,E386&lt;E$25,D$24,E386&lt;E$26,D$25,E386&lt;E$27,D$26,E386&lt;E$28,D$27,E386&lt;E$29,D$28,E386&lt;E$30,D$29,E386&lt;E$31,D$30,E386&lt;E$32,D$31,E386&lt;E$33,D$32,E386&lt;E$34,D$33,E386&lt;E$35,D$34,E386&gt;=E$35,D$35)</f>
        <v/>
      </c>
      <c r="E386" s="38" t="n">
        <v>336</v>
      </c>
      <c r="F386" s="31">
        <f>E386/52</f>
        <v/>
      </c>
      <c r="G386" s="39">
        <f>D386/1000000*52</f>
        <v/>
      </c>
      <c r="H386" s="33">
        <f>G386/$P$4+($C$22/$P$4)</f>
        <v/>
      </c>
      <c r="I386" s="36">
        <f>_xlfn.IFS(K386&lt;K$24,0,K386&lt;K$26,I$24,K386&lt;K$28,I$26,K386&lt;K$30,I$28,K386&lt;K$32,I$30,K386&lt;K$34,I$32,K386&lt;K$36,I$34,K386&lt;K$38,I$36,K386&lt;K$40,I$38,K386&lt;K$42,I$40,K386&lt;K$44,I$42,K386&lt;K$46,I$44,K386&gt;=K$46,I$46)</f>
        <v/>
      </c>
      <c r="J386" s="37">
        <f>_xlfn.IFS(K386&lt;K$24,0,K386&lt;K$25,J$24,K386&lt;K$26,J$25,K386&lt;K$27,J$26,K386&lt;K$28,J$27,K386&lt;K$29,J$28,K386&lt;K$30,J$29,K386&lt;K$31,J$30,K386&lt;K$32,J$31,K386&lt;K$33,J$32,K386&lt;K$34,J$33,K386&lt;K$35,J$34,K386&lt;K$36,J$35,K386&lt;K$37,J$36,K386&lt;K$38,J$37,K386&lt;K$39,J$38,K386&lt;K$40,J$39,K386&lt;K$41,J$40,K386&lt;K$42,J$41,K386&lt;K$43,J$42,K386&lt;K$44,J$43,K386&lt;K$45,J$44,K386&lt;K$46,J$45,K386&lt;K$47,J$46,K386&gt;=K$47,J$47)</f>
        <v/>
      </c>
      <c r="K386" s="38" t="n">
        <v>336</v>
      </c>
      <c r="L386" s="31">
        <f>K386/52</f>
        <v/>
      </c>
      <c r="M386" s="39">
        <f>J386/1000000*52</f>
        <v/>
      </c>
      <c r="N386" s="33">
        <f>M386/$P$4+($I$22/$P$4)</f>
        <v/>
      </c>
      <c r="U386">
        <f>F385</f>
        <v/>
      </c>
      <c r="V386">
        <f>H385</f>
        <v/>
      </c>
      <c r="W386">
        <f>N385</f>
        <v/>
      </c>
    </row>
    <row r="387" ht="15.75" customHeight="1" s="40">
      <c r="C387" s="36">
        <f>_xlfn.IFS(E387&lt;E$24,0,E387&lt;E$26,C$24,E387&lt;E$28,C$26,E387&lt;E$30,C$28,E387&lt;E$32,C$30,E387&lt;E$34,C$32,E387&gt;=E$34,C$34)</f>
        <v/>
      </c>
      <c r="D387" s="37">
        <f>_xlfn.IFS(E387&lt;E$24,0,E387&lt;E$25,D$24,E387&lt;E$26,D$25,E387&lt;E$27,D$26,E387&lt;E$28,D$27,E387&lt;E$29,D$28,E387&lt;E$30,D$29,E387&lt;E$31,D$30,E387&lt;E$32,D$31,E387&lt;E$33,D$32,E387&lt;E$34,D$33,E387&lt;E$35,D$34,E387&gt;=E$35,D$35)</f>
        <v/>
      </c>
      <c r="E387" s="38" t="n">
        <v>337</v>
      </c>
      <c r="F387" s="31">
        <f>E387/52</f>
        <v/>
      </c>
      <c r="G387" s="39">
        <f>D387/1000000*52</f>
        <v/>
      </c>
      <c r="H387" s="33">
        <f>G387/$P$4+($C$22/$P$4)</f>
        <v/>
      </c>
      <c r="I387" s="36">
        <f>_xlfn.IFS(K387&lt;K$24,0,K387&lt;K$26,I$24,K387&lt;K$28,I$26,K387&lt;K$30,I$28,K387&lt;K$32,I$30,K387&lt;K$34,I$32,K387&lt;K$36,I$34,K387&lt;K$38,I$36,K387&lt;K$40,I$38,K387&lt;K$42,I$40,K387&lt;K$44,I$42,K387&lt;K$46,I$44,K387&gt;=K$46,I$46)</f>
        <v/>
      </c>
      <c r="J387" s="37">
        <f>_xlfn.IFS(K387&lt;K$24,0,K387&lt;K$25,J$24,K387&lt;K$26,J$25,K387&lt;K$27,J$26,K387&lt;K$28,J$27,K387&lt;K$29,J$28,K387&lt;K$30,J$29,K387&lt;K$31,J$30,K387&lt;K$32,J$31,K387&lt;K$33,J$32,K387&lt;K$34,J$33,K387&lt;K$35,J$34,K387&lt;K$36,J$35,K387&lt;K$37,J$36,K387&lt;K$38,J$37,K387&lt;K$39,J$38,K387&lt;K$40,J$39,K387&lt;K$41,J$40,K387&lt;K$42,J$41,K387&lt;K$43,J$42,K387&lt;K$44,J$43,K387&lt;K$45,J$44,K387&lt;K$46,J$45,K387&lt;K$47,J$46,K387&gt;=K$47,J$47)</f>
        <v/>
      </c>
      <c r="K387" s="38" t="n">
        <v>337</v>
      </c>
      <c r="L387" s="31">
        <f>K387/52</f>
        <v/>
      </c>
      <c r="M387" s="39">
        <f>J387/1000000*52</f>
        <v/>
      </c>
      <c r="N387" s="33">
        <f>M387/$P$4+($I$22/$P$4)</f>
        <v/>
      </c>
      <c r="U387">
        <f>F386</f>
        <v/>
      </c>
      <c r="V387">
        <f>H386</f>
        <v/>
      </c>
      <c r="W387">
        <f>N386</f>
        <v/>
      </c>
    </row>
    <row r="388" ht="15.75" customHeight="1" s="40">
      <c r="C388" s="36">
        <f>_xlfn.IFS(E388&lt;E$24,0,E388&lt;E$26,C$24,E388&lt;E$28,C$26,E388&lt;E$30,C$28,E388&lt;E$32,C$30,E388&lt;E$34,C$32,E388&gt;=E$34,C$34)</f>
        <v/>
      </c>
      <c r="D388" s="37">
        <f>_xlfn.IFS(E388&lt;E$24,0,E388&lt;E$25,D$24,E388&lt;E$26,D$25,E388&lt;E$27,D$26,E388&lt;E$28,D$27,E388&lt;E$29,D$28,E388&lt;E$30,D$29,E388&lt;E$31,D$30,E388&lt;E$32,D$31,E388&lt;E$33,D$32,E388&lt;E$34,D$33,E388&lt;E$35,D$34,E388&gt;=E$35,D$35)</f>
        <v/>
      </c>
      <c r="E388" s="38" t="n">
        <v>338</v>
      </c>
      <c r="F388" s="31">
        <f>E388/52</f>
        <v/>
      </c>
      <c r="G388" s="39">
        <f>D388/1000000*52</f>
        <v/>
      </c>
      <c r="H388" s="33">
        <f>G388/$P$4+($C$22/$P$4)</f>
        <v/>
      </c>
      <c r="I388" s="36">
        <f>_xlfn.IFS(K388&lt;K$24,0,K388&lt;K$26,I$24,K388&lt;K$28,I$26,K388&lt;K$30,I$28,K388&lt;K$32,I$30,K388&lt;K$34,I$32,K388&lt;K$36,I$34,K388&lt;K$38,I$36,K388&lt;K$40,I$38,K388&lt;K$42,I$40,K388&lt;K$44,I$42,K388&lt;K$46,I$44,K388&gt;=K$46,I$46)</f>
        <v/>
      </c>
      <c r="J388" s="37">
        <f>_xlfn.IFS(K388&lt;K$24,0,K388&lt;K$25,J$24,K388&lt;K$26,J$25,K388&lt;K$27,J$26,K388&lt;K$28,J$27,K388&lt;K$29,J$28,K388&lt;K$30,J$29,K388&lt;K$31,J$30,K388&lt;K$32,J$31,K388&lt;K$33,J$32,K388&lt;K$34,J$33,K388&lt;K$35,J$34,K388&lt;K$36,J$35,K388&lt;K$37,J$36,K388&lt;K$38,J$37,K388&lt;K$39,J$38,K388&lt;K$40,J$39,K388&lt;K$41,J$40,K388&lt;K$42,J$41,K388&lt;K$43,J$42,K388&lt;K$44,J$43,K388&lt;K$45,J$44,K388&lt;K$46,J$45,K388&lt;K$47,J$46,K388&gt;=K$47,J$47)</f>
        <v/>
      </c>
      <c r="K388" s="38" t="n">
        <v>338</v>
      </c>
      <c r="L388" s="31">
        <f>K388/52</f>
        <v/>
      </c>
      <c r="M388" s="39">
        <f>J388/1000000*52</f>
        <v/>
      </c>
      <c r="N388" s="33">
        <f>M388/$P$4+($I$22/$P$4)</f>
        <v/>
      </c>
      <c r="U388">
        <f>F387</f>
        <v/>
      </c>
      <c r="V388">
        <f>H387</f>
        <v/>
      </c>
      <c r="W388">
        <f>N387</f>
        <v/>
      </c>
    </row>
    <row r="389" ht="15.75" customHeight="1" s="40">
      <c r="C389" s="36">
        <f>_xlfn.IFS(E389&lt;E$24,0,E389&lt;E$26,C$24,E389&lt;E$28,C$26,E389&lt;E$30,C$28,E389&lt;E$32,C$30,E389&lt;E$34,C$32,E389&gt;=E$34,C$34)</f>
        <v/>
      </c>
      <c r="D389" s="37">
        <f>_xlfn.IFS(E389&lt;E$24,0,E389&lt;E$25,D$24,E389&lt;E$26,D$25,E389&lt;E$27,D$26,E389&lt;E$28,D$27,E389&lt;E$29,D$28,E389&lt;E$30,D$29,E389&lt;E$31,D$30,E389&lt;E$32,D$31,E389&lt;E$33,D$32,E389&lt;E$34,D$33,E389&lt;E$35,D$34,E389&gt;=E$35,D$35)</f>
        <v/>
      </c>
      <c r="E389" s="38" t="n">
        <v>339</v>
      </c>
      <c r="F389" s="31">
        <f>E389/52</f>
        <v/>
      </c>
      <c r="G389" s="39">
        <f>D389/1000000*52</f>
        <v/>
      </c>
      <c r="H389" s="33">
        <f>G389/$P$4+($C$22/$P$4)</f>
        <v/>
      </c>
      <c r="I389" s="36">
        <f>_xlfn.IFS(K389&lt;K$24,0,K389&lt;K$26,I$24,K389&lt;K$28,I$26,K389&lt;K$30,I$28,K389&lt;K$32,I$30,K389&lt;K$34,I$32,K389&lt;K$36,I$34,K389&lt;K$38,I$36,K389&lt;K$40,I$38,K389&lt;K$42,I$40,K389&lt;K$44,I$42,K389&lt;K$46,I$44,K389&gt;=K$46,I$46)</f>
        <v/>
      </c>
      <c r="J389" s="37">
        <f>_xlfn.IFS(K389&lt;K$24,0,K389&lt;K$25,J$24,K389&lt;K$26,J$25,K389&lt;K$27,J$26,K389&lt;K$28,J$27,K389&lt;K$29,J$28,K389&lt;K$30,J$29,K389&lt;K$31,J$30,K389&lt;K$32,J$31,K389&lt;K$33,J$32,K389&lt;K$34,J$33,K389&lt;K$35,J$34,K389&lt;K$36,J$35,K389&lt;K$37,J$36,K389&lt;K$38,J$37,K389&lt;K$39,J$38,K389&lt;K$40,J$39,K389&lt;K$41,J$40,K389&lt;K$42,J$41,K389&lt;K$43,J$42,K389&lt;K$44,J$43,K389&lt;K$45,J$44,K389&lt;K$46,J$45,K389&lt;K$47,J$46,K389&gt;=K$47,J$47)</f>
        <v/>
      </c>
      <c r="K389" s="38" t="n">
        <v>339</v>
      </c>
      <c r="L389" s="31">
        <f>K389/52</f>
        <v/>
      </c>
      <c r="M389" s="39">
        <f>J389/1000000*52</f>
        <v/>
      </c>
      <c r="N389" s="33">
        <f>M389/$P$4+($I$22/$P$4)</f>
        <v/>
      </c>
      <c r="U389">
        <f>F388</f>
        <v/>
      </c>
      <c r="V389">
        <f>H388</f>
        <v/>
      </c>
      <c r="W389">
        <f>N388</f>
        <v/>
      </c>
    </row>
    <row r="390" ht="15.75" customHeight="1" s="40">
      <c r="C390" s="36">
        <f>_xlfn.IFS(E390&lt;E$24,0,E390&lt;E$26,C$24,E390&lt;E$28,C$26,E390&lt;E$30,C$28,E390&lt;E$32,C$30,E390&lt;E$34,C$32,E390&gt;=E$34,C$34)</f>
        <v/>
      </c>
      <c r="D390" s="37">
        <f>_xlfn.IFS(E390&lt;E$24,0,E390&lt;E$25,D$24,E390&lt;E$26,D$25,E390&lt;E$27,D$26,E390&lt;E$28,D$27,E390&lt;E$29,D$28,E390&lt;E$30,D$29,E390&lt;E$31,D$30,E390&lt;E$32,D$31,E390&lt;E$33,D$32,E390&lt;E$34,D$33,E390&lt;E$35,D$34,E390&gt;=E$35,D$35)</f>
        <v/>
      </c>
      <c r="E390" s="38" t="n">
        <v>340</v>
      </c>
      <c r="F390" s="31">
        <f>E390/52</f>
        <v/>
      </c>
      <c r="G390" s="39">
        <f>D390/1000000*52</f>
        <v/>
      </c>
      <c r="H390" s="33">
        <f>G390/$P$4+($C$22/$P$4)</f>
        <v/>
      </c>
      <c r="I390" s="36">
        <f>_xlfn.IFS(K390&lt;K$24,0,K390&lt;K$26,I$24,K390&lt;K$28,I$26,K390&lt;K$30,I$28,K390&lt;K$32,I$30,K390&lt;K$34,I$32,K390&lt;K$36,I$34,K390&lt;K$38,I$36,K390&lt;K$40,I$38,K390&lt;K$42,I$40,K390&lt;K$44,I$42,K390&lt;K$46,I$44,K390&gt;=K$46,I$46)</f>
        <v/>
      </c>
      <c r="J390" s="37">
        <f>_xlfn.IFS(K390&lt;K$24,0,K390&lt;K$25,J$24,K390&lt;K$26,J$25,K390&lt;K$27,J$26,K390&lt;K$28,J$27,K390&lt;K$29,J$28,K390&lt;K$30,J$29,K390&lt;K$31,J$30,K390&lt;K$32,J$31,K390&lt;K$33,J$32,K390&lt;K$34,J$33,K390&lt;K$35,J$34,K390&lt;K$36,J$35,K390&lt;K$37,J$36,K390&lt;K$38,J$37,K390&lt;K$39,J$38,K390&lt;K$40,J$39,K390&lt;K$41,J$40,K390&lt;K$42,J$41,K390&lt;K$43,J$42,K390&lt;K$44,J$43,K390&lt;K$45,J$44,K390&lt;K$46,J$45,K390&lt;K$47,J$46,K390&gt;=K$47,J$47)</f>
        <v/>
      </c>
      <c r="K390" s="38" t="n">
        <v>340</v>
      </c>
      <c r="L390" s="31">
        <f>K390/52</f>
        <v/>
      </c>
      <c r="M390" s="39">
        <f>J390/1000000*52</f>
        <v/>
      </c>
      <c r="N390" s="33">
        <f>M390/$P$4+($I$22/$P$4)</f>
        <v/>
      </c>
      <c r="U390">
        <f>F389</f>
        <v/>
      </c>
      <c r="V390">
        <f>H389</f>
        <v/>
      </c>
      <c r="W390">
        <f>N389</f>
        <v/>
      </c>
    </row>
    <row r="391" ht="15.75" customHeight="1" s="40">
      <c r="C391" s="36">
        <f>_xlfn.IFS(E391&lt;E$24,0,E391&lt;E$26,C$24,E391&lt;E$28,C$26,E391&lt;E$30,C$28,E391&lt;E$32,C$30,E391&lt;E$34,C$32,E391&gt;=E$34,C$34)</f>
        <v/>
      </c>
      <c r="D391" s="37">
        <f>_xlfn.IFS(E391&lt;E$24,0,E391&lt;E$25,D$24,E391&lt;E$26,D$25,E391&lt;E$27,D$26,E391&lt;E$28,D$27,E391&lt;E$29,D$28,E391&lt;E$30,D$29,E391&lt;E$31,D$30,E391&lt;E$32,D$31,E391&lt;E$33,D$32,E391&lt;E$34,D$33,E391&lt;E$35,D$34,E391&gt;=E$35,D$35)</f>
        <v/>
      </c>
      <c r="E391" s="38" t="n">
        <v>341</v>
      </c>
      <c r="F391" s="31">
        <f>E391/52</f>
        <v/>
      </c>
      <c r="G391" s="39">
        <f>D391/1000000*52</f>
        <v/>
      </c>
      <c r="H391" s="33">
        <f>G391/$P$4+($C$22/$P$4)</f>
        <v/>
      </c>
      <c r="I391" s="36">
        <f>_xlfn.IFS(K391&lt;K$24,0,K391&lt;K$26,I$24,K391&lt;K$28,I$26,K391&lt;K$30,I$28,K391&lt;K$32,I$30,K391&lt;K$34,I$32,K391&lt;K$36,I$34,K391&lt;K$38,I$36,K391&lt;K$40,I$38,K391&lt;K$42,I$40,K391&lt;K$44,I$42,K391&lt;K$46,I$44,K391&gt;=K$46,I$46)</f>
        <v/>
      </c>
      <c r="J391" s="37">
        <f>_xlfn.IFS(K391&lt;K$24,0,K391&lt;K$25,J$24,K391&lt;K$26,J$25,K391&lt;K$27,J$26,K391&lt;K$28,J$27,K391&lt;K$29,J$28,K391&lt;K$30,J$29,K391&lt;K$31,J$30,K391&lt;K$32,J$31,K391&lt;K$33,J$32,K391&lt;K$34,J$33,K391&lt;K$35,J$34,K391&lt;K$36,J$35,K391&lt;K$37,J$36,K391&lt;K$38,J$37,K391&lt;K$39,J$38,K391&lt;K$40,J$39,K391&lt;K$41,J$40,K391&lt;K$42,J$41,K391&lt;K$43,J$42,K391&lt;K$44,J$43,K391&lt;K$45,J$44,K391&lt;K$46,J$45,K391&lt;K$47,J$46,K391&gt;=K$47,J$47)</f>
        <v/>
      </c>
      <c r="K391" s="38" t="n">
        <v>341</v>
      </c>
      <c r="L391" s="31">
        <f>K391/52</f>
        <v/>
      </c>
      <c r="M391" s="39">
        <f>J391/1000000*52</f>
        <v/>
      </c>
      <c r="N391" s="33">
        <f>M391/$P$4+($I$22/$P$4)</f>
        <v/>
      </c>
      <c r="U391">
        <f>F390</f>
        <v/>
      </c>
      <c r="V391">
        <f>H390</f>
        <v/>
      </c>
      <c r="W391">
        <f>N390</f>
        <v/>
      </c>
    </row>
    <row r="392" ht="15.75" customHeight="1" s="40">
      <c r="C392" s="36">
        <f>_xlfn.IFS(E392&lt;E$24,0,E392&lt;E$26,C$24,E392&lt;E$28,C$26,E392&lt;E$30,C$28,E392&lt;E$32,C$30,E392&lt;E$34,C$32,E392&gt;=E$34,C$34)</f>
        <v/>
      </c>
      <c r="D392" s="37">
        <f>_xlfn.IFS(E392&lt;E$24,0,E392&lt;E$25,D$24,E392&lt;E$26,D$25,E392&lt;E$27,D$26,E392&lt;E$28,D$27,E392&lt;E$29,D$28,E392&lt;E$30,D$29,E392&lt;E$31,D$30,E392&lt;E$32,D$31,E392&lt;E$33,D$32,E392&lt;E$34,D$33,E392&lt;E$35,D$34,E392&gt;=E$35,D$35)</f>
        <v/>
      </c>
      <c r="E392" s="38" t="n">
        <v>342</v>
      </c>
      <c r="F392" s="31">
        <f>E392/52</f>
        <v/>
      </c>
      <c r="G392" s="39">
        <f>D392/1000000*52</f>
        <v/>
      </c>
      <c r="H392" s="33">
        <f>G392/$P$4+($C$22/$P$4)</f>
        <v/>
      </c>
      <c r="I392" s="36">
        <f>_xlfn.IFS(K392&lt;K$24,0,K392&lt;K$26,I$24,K392&lt;K$28,I$26,K392&lt;K$30,I$28,K392&lt;K$32,I$30,K392&lt;K$34,I$32,K392&lt;K$36,I$34,K392&lt;K$38,I$36,K392&lt;K$40,I$38,K392&lt;K$42,I$40,K392&lt;K$44,I$42,K392&lt;K$46,I$44,K392&gt;=K$46,I$46)</f>
        <v/>
      </c>
      <c r="J392" s="37">
        <f>_xlfn.IFS(K392&lt;K$24,0,K392&lt;K$25,J$24,K392&lt;K$26,J$25,K392&lt;K$27,J$26,K392&lt;K$28,J$27,K392&lt;K$29,J$28,K392&lt;K$30,J$29,K392&lt;K$31,J$30,K392&lt;K$32,J$31,K392&lt;K$33,J$32,K392&lt;K$34,J$33,K392&lt;K$35,J$34,K392&lt;K$36,J$35,K392&lt;K$37,J$36,K392&lt;K$38,J$37,K392&lt;K$39,J$38,K392&lt;K$40,J$39,K392&lt;K$41,J$40,K392&lt;K$42,J$41,K392&lt;K$43,J$42,K392&lt;K$44,J$43,K392&lt;K$45,J$44,K392&lt;K$46,J$45,K392&lt;K$47,J$46,K392&gt;=K$47,J$47)</f>
        <v/>
      </c>
      <c r="K392" s="38" t="n">
        <v>342</v>
      </c>
      <c r="L392" s="31">
        <f>K392/52</f>
        <v/>
      </c>
      <c r="M392" s="39">
        <f>J392/1000000*52</f>
        <v/>
      </c>
      <c r="N392" s="33">
        <f>M392/$P$4+($I$22/$P$4)</f>
        <v/>
      </c>
      <c r="U392">
        <f>F391</f>
        <v/>
      </c>
      <c r="V392">
        <f>H391</f>
        <v/>
      </c>
      <c r="W392">
        <f>N391</f>
        <v/>
      </c>
    </row>
    <row r="393" ht="15.75" customHeight="1" s="40">
      <c r="C393" s="36">
        <f>_xlfn.IFS(E393&lt;E$24,0,E393&lt;E$26,C$24,E393&lt;E$28,C$26,E393&lt;E$30,C$28,E393&lt;E$32,C$30,E393&lt;E$34,C$32,E393&gt;=E$34,C$34)</f>
        <v/>
      </c>
      <c r="D393" s="37">
        <f>_xlfn.IFS(E393&lt;E$24,0,E393&lt;E$25,D$24,E393&lt;E$26,D$25,E393&lt;E$27,D$26,E393&lt;E$28,D$27,E393&lt;E$29,D$28,E393&lt;E$30,D$29,E393&lt;E$31,D$30,E393&lt;E$32,D$31,E393&lt;E$33,D$32,E393&lt;E$34,D$33,E393&lt;E$35,D$34,E393&gt;=E$35,D$35)</f>
        <v/>
      </c>
      <c r="E393" s="38" t="n">
        <v>343</v>
      </c>
      <c r="F393" s="31">
        <f>E393/52</f>
        <v/>
      </c>
      <c r="G393" s="39">
        <f>D393/1000000*52</f>
        <v/>
      </c>
      <c r="H393" s="33">
        <f>G393/$P$4+($C$22/$P$4)</f>
        <v/>
      </c>
      <c r="I393" s="36">
        <f>_xlfn.IFS(K393&lt;K$24,0,K393&lt;K$26,I$24,K393&lt;K$28,I$26,K393&lt;K$30,I$28,K393&lt;K$32,I$30,K393&lt;K$34,I$32,K393&lt;K$36,I$34,K393&lt;K$38,I$36,K393&lt;K$40,I$38,K393&lt;K$42,I$40,K393&lt;K$44,I$42,K393&lt;K$46,I$44,K393&gt;=K$46,I$46)</f>
        <v/>
      </c>
      <c r="J393" s="37">
        <f>_xlfn.IFS(K393&lt;K$24,0,K393&lt;K$25,J$24,K393&lt;K$26,J$25,K393&lt;K$27,J$26,K393&lt;K$28,J$27,K393&lt;K$29,J$28,K393&lt;K$30,J$29,K393&lt;K$31,J$30,K393&lt;K$32,J$31,K393&lt;K$33,J$32,K393&lt;K$34,J$33,K393&lt;K$35,J$34,K393&lt;K$36,J$35,K393&lt;K$37,J$36,K393&lt;K$38,J$37,K393&lt;K$39,J$38,K393&lt;K$40,J$39,K393&lt;K$41,J$40,K393&lt;K$42,J$41,K393&lt;K$43,J$42,K393&lt;K$44,J$43,K393&lt;K$45,J$44,K393&lt;K$46,J$45,K393&lt;K$47,J$46,K393&gt;=K$47,J$47)</f>
        <v/>
      </c>
      <c r="K393" s="38" t="n">
        <v>343</v>
      </c>
      <c r="L393" s="31">
        <f>K393/52</f>
        <v/>
      </c>
      <c r="M393" s="39">
        <f>J393/1000000*52</f>
        <v/>
      </c>
      <c r="N393" s="33">
        <f>M393/$P$4+($I$22/$P$4)</f>
        <v/>
      </c>
      <c r="U393">
        <f>F392</f>
        <v/>
      </c>
      <c r="V393">
        <f>H392</f>
        <v/>
      </c>
      <c r="W393">
        <f>N392</f>
        <v/>
      </c>
    </row>
    <row r="394" ht="15.75" customHeight="1" s="40">
      <c r="C394" s="36">
        <f>_xlfn.IFS(E394&lt;E$24,0,E394&lt;E$26,C$24,E394&lt;E$28,C$26,E394&lt;E$30,C$28,E394&lt;E$32,C$30,E394&lt;E$34,C$32,E394&gt;=E$34,C$34)</f>
        <v/>
      </c>
      <c r="D394" s="37">
        <f>_xlfn.IFS(E394&lt;E$24,0,E394&lt;E$25,D$24,E394&lt;E$26,D$25,E394&lt;E$27,D$26,E394&lt;E$28,D$27,E394&lt;E$29,D$28,E394&lt;E$30,D$29,E394&lt;E$31,D$30,E394&lt;E$32,D$31,E394&lt;E$33,D$32,E394&lt;E$34,D$33,E394&lt;E$35,D$34,E394&gt;=E$35,D$35)</f>
        <v/>
      </c>
      <c r="E394" s="38" t="n">
        <v>344</v>
      </c>
      <c r="F394" s="31">
        <f>E394/52</f>
        <v/>
      </c>
      <c r="G394" s="39">
        <f>D394/1000000*52</f>
        <v/>
      </c>
      <c r="H394" s="33">
        <f>G394/$P$4+($C$22/$P$4)</f>
        <v/>
      </c>
      <c r="I394" s="36">
        <f>_xlfn.IFS(K394&lt;K$24,0,K394&lt;K$26,I$24,K394&lt;K$28,I$26,K394&lt;K$30,I$28,K394&lt;K$32,I$30,K394&lt;K$34,I$32,K394&lt;K$36,I$34,K394&lt;K$38,I$36,K394&lt;K$40,I$38,K394&lt;K$42,I$40,K394&lt;K$44,I$42,K394&lt;K$46,I$44,K394&gt;=K$46,I$46)</f>
        <v/>
      </c>
      <c r="J394" s="37">
        <f>_xlfn.IFS(K394&lt;K$24,0,K394&lt;K$25,J$24,K394&lt;K$26,J$25,K394&lt;K$27,J$26,K394&lt;K$28,J$27,K394&lt;K$29,J$28,K394&lt;K$30,J$29,K394&lt;K$31,J$30,K394&lt;K$32,J$31,K394&lt;K$33,J$32,K394&lt;K$34,J$33,K394&lt;K$35,J$34,K394&lt;K$36,J$35,K394&lt;K$37,J$36,K394&lt;K$38,J$37,K394&lt;K$39,J$38,K394&lt;K$40,J$39,K394&lt;K$41,J$40,K394&lt;K$42,J$41,K394&lt;K$43,J$42,K394&lt;K$44,J$43,K394&lt;K$45,J$44,K394&lt;K$46,J$45,K394&lt;K$47,J$46,K394&gt;=K$47,J$47)</f>
        <v/>
      </c>
      <c r="K394" s="38" t="n">
        <v>344</v>
      </c>
      <c r="L394" s="31">
        <f>K394/52</f>
        <v/>
      </c>
      <c r="M394" s="39">
        <f>J394/1000000*52</f>
        <v/>
      </c>
      <c r="N394" s="33">
        <f>M394/$P$4+($I$22/$P$4)</f>
        <v/>
      </c>
      <c r="U394">
        <f>F393</f>
        <v/>
      </c>
      <c r="V394">
        <f>H393</f>
        <v/>
      </c>
      <c r="W394">
        <f>N393</f>
        <v/>
      </c>
    </row>
    <row r="395" ht="15.75" customHeight="1" s="40">
      <c r="C395" s="36">
        <f>_xlfn.IFS(E395&lt;E$24,0,E395&lt;E$26,C$24,E395&lt;E$28,C$26,E395&lt;E$30,C$28,E395&lt;E$32,C$30,E395&lt;E$34,C$32,E395&gt;=E$34,C$34)</f>
        <v/>
      </c>
      <c r="D395" s="37">
        <f>_xlfn.IFS(E395&lt;E$24,0,E395&lt;E$25,D$24,E395&lt;E$26,D$25,E395&lt;E$27,D$26,E395&lt;E$28,D$27,E395&lt;E$29,D$28,E395&lt;E$30,D$29,E395&lt;E$31,D$30,E395&lt;E$32,D$31,E395&lt;E$33,D$32,E395&lt;E$34,D$33,E395&lt;E$35,D$34,E395&gt;=E$35,D$35)</f>
        <v/>
      </c>
      <c r="E395" s="38" t="n">
        <v>345</v>
      </c>
      <c r="F395" s="31">
        <f>E395/52</f>
        <v/>
      </c>
      <c r="G395" s="39">
        <f>D395/1000000*52</f>
        <v/>
      </c>
      <c r="H395" s="33">
        <f>G395/$P$4+($C$22/$P$4)</f>
        <v/>
      </c>
      <c r="I395" s="36">
        <f>_xlfn.IFS(K395&lt;K$24,0,K395&lt;K$26,I$24,K395&lt;K$28,I$26,K395&lt;K$30,I$28,K395&lt;K$32,I$30,K395&lt;K$34,I$32,K395&lt;K$36,I$34,K395&lt;K$38,I$36,K395&lt;K$40,I$38,K395&lt;K$42,I$40,K395&lt;K$44,I$42,K395&lt;K$46,I$44,K395&gt;=K$46,I$46)</f>
        <v/>
      </c>
      <c r="J395" s="37">
        <f>_xlfn.IFS(K395&lt;K$24,0,K395&lt;K$25,J$24,K395&lt;K$26,J$25,K395&lt;K$27,J$26,K395&lt;K$28,J$27,K395&lt;K$29,J$28,K395&lt;K$30,J$29,K395&lt;K$31,J$30,K395&lt;K$32,J$31,K395&lt;K$33,J$32,K395&lt;K$34,J$33,K395&lt;K$35,J$34,K395&lt;K$36,J$35,K395&lt;K$37,J$36,K395&lt;K$38,J$37,K395&lt;K$39,J$38,K395&lt;K$40,J$39,K395&lt;K$41,J$40,K395&lt;K$42,J$41,K395&lt;K$43,J$42,K395&lt;K$44,J$43,K395&lt;K$45,J$44,K395&lt;K$46,J$45,K395&lt;K$47,J$46,K395&gt;=K$47,J$47)</f>
        <v/>
      </c>
      <c r="K395" s="38" t="n">
        <v>345</v>
      </c>
      <c r="L395" s="31">
        <f>K395/52</f>
        <v/>
      </c>
      <c r="M395" s="39">
        <f>J395/1000000*52</f>
        <v/>
      </c>
      <c r="N395" s="33">
        <f>M395/$P$4+($I$22/$P$4)</f>
        <v/>
      </c>
      <c r="U395">
        <f>F394</f>
        <v/>
      </c>
      <c r="V395">
        <f>H394</f>
        <v/>
      </c>
      <c r="W395">
        <f>N394</f>
        <v/>
      </c>
    </row>
    <row r="396" ht="15.75" customHeight="1" s="40">
      <c r="C396" s="36">
        <f>_xlfn.IFS(E396&lt;E$24,0,E396&lt;E$26,C$24,E396&lt;E$28,C$26,E396&lt;E$30,C$28,E396&lt;E$32,C$30,E396&lt;E$34,C$32,E396&gt;=E$34,C$34)</f>
        <v/>
      </c>
      <c r="D396" s="37">
        <f>_xlfn.IFS(E396&lt;E$24,0,E396&lt;E$25,D$24,E396&lt;E$26,D$25,E396&lt;E$27,D$26,E396&lt;E$28,D$27,E396&lt;E$29,D$28,E396&lt;E$30,D$29,E396&lt;E$31,D$30,E396&lt;E$32,D$31,E396&lt;E$33,D$32,E396&lt;E$34,D$33,E396&lt;E$35,D$34,E396&gt;=E$35,D$35)</f>
        <v/>
      </c>
      <c r="E396" s="38" t="n">
        <v>346</v>
      </c>
      <c r="F396" s="31">
        <f>E396/52</f>
        <v/>
      </c>
      <c r="G396" s="39">
        <f>D396/1000000*52</f>
        <v/>
      </c>
      <c r="H396" s="33">
        <f>G396/$P$4+($C$22/$P$4)</f>
        <v/>
      </c>
      <c r="I396" s="36">
        <f>_xlfn.IFS(K396&lt;K$24,0,K396&lt;K$26,I$24,K396&lt;K$28,I$26,K396&lt;K$30,I$28,K396&lt;K$32,I$30,K396&lt;K$34,I$32,K396&lt;K$36,I$34,K396&lt;K$38,I$36,K396&lt;K$40,I$38,K396&lt;K$42,I$40,K396&lt;K$44,I$42,K396&lt;K$46,I$44,K396&gt;=K$46,I$46)</f>
        <v/>
      </c>
      <c r="J396" s="37">
        <f>_xlfn.IFS(K396&lt;K$24,0,K396&lt;K$25,J$24,K396&lt;K$26,J$25,K396&lt;K$27,J$26,K396&lt;K$28,J$27,K396&lt;K$29,J$28,K396&lt;K$30,J$29,K396&lt;K$31,J$30,K396&lt;K$32,J$31,K396&lt;K$33,J$32,K396&lt;K$34,J$33,K396&lt;K$35,J$34,K396&lt;K$36,J$35,K396&lt;K$37,J$36,K396&lt;K$38,J$37,K396&lt;K$39,J$38,K396&lt;K$40,J$39,K396&lt;K$41,J$40,K396&lt;K$42,J$41,K396&lt;K$43,J$42,K396&lt;K$44,J$43,K396&lt;K$45,J$44,K396&lt;K$46,J$45,K396&lt;K$47,J$46,K396&gt;=K$47,J$47)</f>
        <v/>
      </c>
      <c r="K396" s="38" t="n">
        <v>346</v>
      </c>
      <c r="L396" s="31">
        <f>K396/52</f>
        <v/>
      </c>
      <c r="M396" s="39">
        <f>J396/1000000*52</f>
        <v/>
      </c>
      <c r="N396" s="33">
        <f>M396/$P$4+($I$22/$P$4)</f>
        <v/>
      </c>
      <c r="U396">
        <f>F395</f>
        <v/>
      </c>
      <c r="V396">
        <f>H395</f>
        <v/>
      </c>
      <c r="W396">
        <f>N395</f>
        <v/>
      </c>
    </row>
    <row r="397" ht="15.75" customHeight="1" s="40">
      <c r="C397" s="36">
        <f>_xlfn.IFS(E397&lt;E$24,0,E397&lt;E$26,C$24,E397&lt;E$28,C$26,E397&lt;E$30,C$28,E397&lt;E$32,C$30,E397&lt;E$34,C$32,E397&gt;=E$34,C$34)</f>
        <v/>
      </c>
      <c r="D397" s="37">
        <f>_xlfn.IFS(E397&lt;E$24,0,E397&lt;E$25,D$24,E397&lt;E$26,D$25,E397&lt;E$27,D$26,E397&lt;E$28,D$27,E397&lt;E$29,D$28,E397&lt;E$30,D$29,E397&lt;E$31,D$30,E397&lt;E$32,D$31,E397&lt;E$33,D$32,E397&lt;E$34,D$33,E397&lt;E$35,D$34,E397&gt;=E$35,D$35)</f>
        <v/>
      </c>
      <c r="E397" s="38" t="n">
        <v>347</v>
      </c>
      <c r="F397" s="31">
        <f>E397/52</f>
        <v/>
      </c>
      <c r="G397" s="39">
        <f>D397/1000000*52</f>
        <v/>
      </c>
      <c r="H397" s="33">
        <f>G397/$P$4+($C$22/$P$4)</f>
        <v/>
      </c>
      <c r="I397" s="36">
        <f>_xlfn.IFS(K397&lt;K$24,0,K397&lt;K$26,I$24,K397&lt;K$28,I$26,K397&lt;K$30,I$28,K397&lt;K$32,I$30,K397&lt;K$34,I$32,K397&lt;K$36,I$34,K397&lt;K$38,I$36,K397&lt;K$40,I$38,K397&lt;K$42,I$40,K397&lt;K$44,I$42,K397&lt;K$46,I$44,K397&gt;=K$46,I$46)</f>
        <v/>
      </c>
      <c r="J397" s="37">
        <f>_xlfn.IFS(K397&lt;K$24,0,K397&lt;K$25,J$24,K397&lt;K$26,J$25,K397&lt;K$27,J$26,K397&lt;K$28,J$27,K397&lt;K$29,J$28,K397&lt;K$30,J$29,K397&lt;K$31,J$30,K397&lt;K$32,J$31,K397&lt;K$33,J$32,K397&lt;K$34,J$33,K397&lt;K$35,J$34,K397&lt;K$36,J$35,K397&lt;K$37,J$36,K397&lt;K$38,J$37,K397&lt;K$39,J$38,K397&lt;K$40,J$39,K397&lt;K$41,J$40,K397&lt;K$42,J$41,K397&lt;K$43,J$42,K397&lt;K$44,J$43,K397&lt;K$45,J$44,K397&lt;K$46,J$45,K397&lt;K$47,J$46,K397&gt;=K$47,J$47)</f>
        <v/>
      </c>
      <c r="K397" s="38" t="n">
        <v>347</v>
      </c>
      <c r="L397" s="31">
        <f>K397/52</f>
        <v/>
      </c>
      <c r="M397" s="39">
        <f>J397/1000000*52</f>
        <v/>
      </c>
      <c r="N397" s="33">
        <f>M397/$P$4+($I$22/$P$4)</f>
        <v/>
      </c>
      <c r="U397">
        <f>F396</f>
        <v/>
      </c>
      <c r="V397">
        <f>H396</f>
        <v/>
      </c>
      <c r="W397">
        <f>N396</f>
        <v/>
      </c>
    </row>
    <row r="398" ht="15.75" customHeight="1" s="40">
      <c r="C398" s="36">
        <f>_xlfn.IFS(E398&lt;E$24,0,E398&lt;E$26,C$24,E398&lt;E$28,C$26,E398&lt;E$30,C$28,E398&lt;E$32,C$30,E398&lt;E$34,C$32,E398&gt;=E$34,C$34)</f>
        <v/>
      </c>
      <c r="D398" s="37">
        <f>_xlfn.IFS(E398&lt;E$24,0,E398&lt;E$25,D$24,E398&lt;E$26,D$25,E398&lt;E$27,D$26,E398&lt;E$28,D$27,E398&lt;E$29,D$28,E398&lt;E$30,D$29,E398&lt;E$31,D$30,E398&lt;E$32,D$31,E398&lt;E$33,D$32,E398&lt;E$34,D$33,E398&lt;E$35,D$34,E398&gt;=E$35,D$35)</f>
        <v/>
      </c>
      <c r="E398" s="38" t="n">
        <v>348</v>
      </c>
      <c r="F398" s="31">
        <f>E398/52</f>
        <v/>
      </c>
      <c r="G398" s="39">
        <f>D398/1000000*52</f>
        <v/>
      </c>
      <c r="H398" s="33">
        <f>G398/$P$4+($C$22/$P$4)</f>
        <v/>
      </c>
      <c r="I398" s="36">
        <f>_xlfn.IFS(K398&lt;K$24,0,K398&lt;K$26,I$24,K398&lt;K$28,I$26,K398&lt;K$30,I$28,K398&lt;K$32,I$30,K398&lt;K$34,I$32,K398&lt;K$36,I$34,K398&lt;K$38,I$36,K398&lt;K$40,I$38,K398&lt;K$42,I$40,K398&lt;K$44,I$42,K398&lt;K$46,I$44,K398&gt;=K$46,I$46)</f>
        <v/>
      </c>
      <c r="J398" s="37">
        <f>_xlfn.IFS(K398&lt;K$24,0,K398&lt;K$25,J$24,K398&lt;K$26,J$25,K398&lt;K$27,J$26,K398&lt;K$28,J$27,K398&lt;K$29,J$28,K398&lt;K$30,J$29,K398&lt;K$31,J$30,K398&lt;K$32,J$31,K398&lt;K$33,J$32,K398&lt;K$34,J$33,K398&lt;K$35,J$34,K398&lt;K$36,J$35,K398&lt;K$37,J$36,K398&lt;K$38,J$37,K398&lt;K$39,J$38,K398&lt;K$40,J$39,K398&lt;K$41,J$40,K398&lt;K$42,J$41,K398&lt;K$43,J$42,K398&lt;K$44,J$43,K398&lt;K$45,J$44,K398&lt;K$46,J$45,K398&lt;K$47,J$46,K398&gt;=K$47,J$47)</f>
        <v/>
      </c>
      <c r="K398" s="38" t="n">
        <v>348</v>
      </c>
      <c r="L398" s="31">
        <f>K398/52</f>
        <v/>
      </c>
      <c r="M398" s="39">
        <f>J398/1000000*52</f>
        <v/>
      </c>
      <c r="N398" s="33">
        <f>M398/$P$4+($I$22/$P$4)</f>
        <v/>
      </c>
      <c r="U398">
        <f>F397</f>
        <v/>
      </c>
      <c r="V398">
        <f>H397</f>
        <v/>
      </c>
      <c r="W398">
        <f>N397</f>
        <v/>
      </c>
    </row>
    <row r="399" ht="15.75" customHeight="1" s="40">
      <c r="C399" s="36">
        <f>_xlfn.IFS(E399&lt;E$24,0,E399&lt;E$26,C$24,E399&lt;E$28,C$26,E399&lt;E$30,C$28,E399&lt;E$32,C$30,E399&lt;E$34,C$32,E399&gt;=E$34,C$34)</f>
        <v/>
      </c>
      <c r="D399" s="37">
        <f>_xlfn.IFS(E399&lt;E$24,0,E399&lt;E$25,D$24,E399&lt;E$26,D$25,E399&lt;E$27,D$26,E399&lt;E$28,D$27,E399&lt;E$29,D$28,E399&lt;E$30,D$29,E399&lt;E$31,D$30,E399&lt;E$32,D$31,E399&lt;E$33,D$32,E399&lt;E$34,D$33,E399&lt;E$35,D$34,E399&gt;=E$35,D$35)</f>
        <v/>
      </c>
      <c r="E399" s="38" t="n">
        <v>349</v>
      </c>
      <c r="F399" s="31">
        <f>E399/52</f>
        <v/>
      </c>
      <c r="G399" s="39">
        <f>D399/1000000*52</f>
        <v/>
      </c>
      <c r="H399" s="33">
        <f>G399/$P$4+($C$22/$P$4)</f>
        <v/>
      </c>
      <c r="I399" s="36">
        <f>_xlfn.IFS(K399&lt;K$24,0,K399&lt;K$26,I$24,K399&lt;K$28,I$26,K399&lt;K$30,I$28,K399&lt;K$32,I$30,K399&lt;K$34,I$32,K399&lt;K$36,I$34,K399&lt;K$38,I$36,K399&lt;K$40,I$38,K399&lt;K$42,I$40,K399&lt;K$44,I$42,K399&lt;K$46,I$44,K399&gt;=K$46,I$46)</f>
        <v/>
      </c>
      <c r="J399" s="37">
        <f>_xlfn.IFS(K399&lt;K$24,0,K399&lt;K$25,J$24,K399&lt;K$26,J$25,K399&lt;K$27,J$26,K399&lt;K$28,J$27,K399&lt;K$29,J$28,K399&lt;K$30,J$29,K399&lt;K$31,J$30,K399&lt;K$32,J$31,K399&lt;K$33,J$32,K399&lt;K$34,J$33,K399&lt;K$35,J$34,K399&lt;K$36,J$35,K399&lt;K$37,J$36,K399&lt;K$38,J$37,K399&lt;K$39,J$38,K399&lt;K$40,J$39,K399&lt;K$41,J$40,K399&lt;K$42,J$41,K399&lt;K$43,J$42,K399&lt;K$44,J$43,K399&lt;K$45,J$44,K399&lt;K$46,J$45,K399&lt;K$47,J$46,K399&gt;=K$47,J$47)</f>
        <v/>
      </c>
      <c r="K399" s="38" t="n">
        <v>349</v>
      </c>
      <c r="L399" s="31">
        <f>K399/52</f>
        <v/>
      </c>
      <c r="M399" s="39">
        <f>J399/1000000*52</f>
        <v/>
      </c>
      <c r="N399" s="33">
        <f>M399/$P$4+($I$22/$P$4)</f>
        <v/>
      </c>
      <c r="U399">
        <f>F398</f>
        <v/>
      </c>
      <c r="V399">
        <f>H398</f>
        <v/>
      </c>
      <c r="W399">
        <f>N398</f>
        <v/>
      </c>
    </row>
    <row r="400" ht="15.75" customHeight="1" s="40">
      <c r="C400" s="36">
        <f>_xlfn.IFS(E400&lt;E$24,0,E400&lt;E$26,C$24,E400&lt;E$28,C$26,E400&lt;E$30,C$28,E400&lt;E$32,C$30,E400&lt;E$34,C$32,E400&gt;=E$34,C$34)</f>
        <v/>
      </c>
      <c r="D400" s="37">
        <f>_xlfn.IFS(E400&lt;E$24,0,E400&lt;E$25,D$24,E400&lt;E$26,D$25,E400&lt;E$27,D$26,E400&lt;E$28,D$27,E400&lt;E$29,D$28,E400&lt;E$30,D$29,E400&lt;E$31,D$30,E400&lt;E$32,D$31,E400&lt;E$33,D$32,E400&lt;E$34,D$33,E400&lt;E$35,D$34,E400&gt;=E$35,D$35)</f>
        <v/>
      </c>
      <c r="E400" s="38" t="n">
        <v>350</v>
      </c>
      <c r="F400" s="31">
        <f>E400/52</f>
        <v/>
      </c>
      <c r="G400" s="39">
        <f>D400/1000000*52</f>
        <v/>
      </c>
      <c r="H400" s="33">
        <f>G400/$P$4+($C$22/$P$4)</f>
        <v/>
      </c>
      <c r="I400" s="36">
        <f>_xlfn.IFS(K400&lt;K$24,0,K400&lt;K$26,I$24,K400&lt;K$28,I$26,K400&lt;K$30,I$28,K400&lt;K$32,I$30,K400&lt;K$34,I$32,K400&lt;K$36,I$34,K400&lt;K$38,I$36,K400&lt;K$40,I$38,K400&lt;K$42,I$40,K400&lt;K$44,I$42,K400&lt;K$46,I$44,K400&gt;=K$46,I$46)</f>
        <v/>
      </c>
      <c r="J400" s="37">
        <f>_xlfn.IFS(K400&lt;K$24,0,K400&lt;K$25,J$24,K400&lt;K$26,J$25,K400&lt;K$27,J$26,K400&lt;K$28,J$27,K400&lt;K$29,J$28,K400&lt;K$30,J$29,K400&lt;K$31,J$30,K400&lt;K$32,J$31,K400&lt;K$33,J$32,K400&lt;K$34,J$33,K400&lt;K$35,J$34,K400&lt;K$36,J$35,K400&lt;K$37,J$36,K400&lt;K$38,J$37,K400&lt;K$39,J$38,K400&lt;K$40,J$39,K400&lt;K$41,J$40,K400&lt;K$42,J$41,K400&lt;K$43,J$42,K400&lt;K$44,J$43,K400&lt;K$45,J$44,K400&lt;K$46,J$45,K400&lt;K$47,J$46,K400&gt;=K$47,J$47)</f>
        <v/>
      </c>
      <c r="K400" s="38" t="n">
        <v>350</v>
      </c>
      <c r="L400" s="31">
        <f>K400/52</f>
        <v/>
      </c>
      <c r="M400" s="39">
        <f>J400/1000000*52</f>
        <v/>
      </c>
      <c r="N400" s="33">
        <f>M400/$P$4+($I$22/$P$4)</f>
        <v/>
      </c>
      <c r="U400">
        <f>F399</f>
        <v/>
      </c>
      <c r="V400">
        <f>H399</f>
        <v/>
      </c>
      <c r="W400">
        <f>N399</f>
        <v/>
      </c>
    </row>
    <row r="401" ht="15.75" customHeight="1" s="40">
      <c r="C401" s="36">
        <f>_xlfn.IFS(E401&lt;E$24,0,E401&lt;E$26,C$24,E401&lt;E$28,C$26,E401&lt;E$30,C$28,E401&lt;E$32,C$30,E401&lt;E$34,C$32,E401&gt;=E$34,C$34)</f>
        <v/>
      </c>
      <c r="D401" s="37">
        <f>_xlfn.IFS(E401&lt;E$24,0,E401&lt;E$25,D$24,E401&lt;E$26,D$25,E401&lt;E$27,D$26,E401&lt;E$28,D$27,E401&lt;E$29,D$28,E401&lt;E$30,D$29,E401&lt;E$31,D$30,E401&lt;E$32,D$31,E401&lt;E$33,D$32,E401&lt;E$34,D$33,E401&lt;E$35,D$34,E401&gt;=E$35,D$35)</f>
        <v/>
      </c>
      <c r="E401" s="38" t="n">
        <v>351</v>
      </c>
      <c r="F401" s="31">
        <f>E401/52</f>
        <v/>
      </c>
      <c r="G401" s="39">
        <f>D401/1000000*52</f>
        <v/>
      </c>
      <c r="H401" s="33">
        <f>G401/$P$4+($C$22/$P$4)</f>
        <v/>
      </c>
      <c r="I401" s="36">
        <f>_xlfn.IFS(K401&lt;K$24,0,K401&lt;K$26,I$24,K401&lt;K$28,I$26,K401&lt;K$30,I$28,K401&lt;K$32,I$30,K401&lt;K$34,I$32,K401&lt;K$36,I$34,K401&lt;K$38,I$36,K401&lt;K$40,I$38,K401&lt;K$42,I$40,K401&lt;K$44,I$42,K401&lt;K$46,I$44,K401&gt;=K$46,I$46)</f>
        <v/>
      </c>
      <c r="J401" s="37">
        <f>_xlfn.IFS(K401&lt;K$24,0,K401&lt;K$25,J$24,K401&lt;K$26,J$25,K401&lt;K$27,J$26,K401&lt;K$28,J$27,K401&lt;K$29,J$28,K401&lt;K$30,J$29,K401&lt;K$31,J$30,K401&lt;K$32,J$31,K401&lt;K$33,J$32,K401&lt;K$34,J$33,K401&lt;K$35,J$34,K401&lt;K$36,J$35,K401&lt;K$37,J$36,K401&lt;K$38,J$37,K401&lt;K$39,J$38,K401&lt;K$40,J$39,K401&lt;K$41,J$40,K401&lt;K$42,J$41,K401&lt;K$43,J$42,K401&lt;K$44,J$43,K401&lt;K$45,J$44,K401&lt;K$46,J$45,K401&lt;K$47,J$46,K401&gt;=K$47,J$47)</f>
        <v/>
      </c>
      <c r="K401" s="38" t="n">
        <v>351</v>
      </c>
      <c r="L401" s="31">
        <f>K401/52</f>
        <v/>
      </c>
      <c r="M401" s="39">
        <f>J401/1000000*52</f>
        <v/>
      </c>
      <c r="N401" s="33">
        <f>M401/$P$4+($I$22/$P$4)</f>
        <v/>
      </c>
      <c r="U401">
        <f>F400</f>
        <v/>
      </c>
      <c r="V401">
        <f>H400</f>
        <v/>
      </c>
      <c r="W401">
        <f>N400</f>
        <v/>
      </c>
    </row>
    <row r="402" ht="15.75" customHeight="1" s="40">
      <c r="C402" s="36">
        <f>_xlfn.IFS(E402&lt;E$24,0,E402&lt;E$26,C$24,E402&lt;E$28,C$26,E402&lt;E$30,C$28,E402&lt;E$32,C$30,E402&lt;E$34,C$32,E402&gt;=E$34,C$34)</f>
        <v/>
      </c>
      <c r="D402" s="37">
        <f>_xlfn.IFS(E402&lt;E$24,0,E402&lt;E$25,D$24,E402&lt;E$26,D$25,E402&lt;E$27,D$26,E402&lt;E$28,D$27,E402&lt;E$29,D$28,E402&lt;E$30,D$29,E402&lt;E$31,D$30,E402&lt;E$32,D$31,E402&lt;E$33,D$32,E402&lt;E$34,D$33,E402&lt;E$35,D$34,E402&gt;=E$35,D$35)</f>
        <v/>
      </c>
      <c r="E402" s="38" t="n">
        <v>352</v>
      </c>
      <c r="F402" s="31">
        <f>E402/52</f>
        <v/>
      </c>
      <c r="G402" s="39">
        <f>D402/1000000*52</f>
        <v/>
      </c>
      <c r="H402" s="33">
        <f>G402/$P$4+($C$22/$P$4)</f>
        <v/>
      </c>
      <c r="I402" s="36">
        <f>_xlfn.IFS(K402&lt;K$24,0,K402&lt;K$26,I$24,K402&lt;K$28,I$26,K402&lt;K$30,I$28,K402&lt;K$32,I$30,K402&lt;K$34,I$32,K402&lt;K$36,I$34,K402&lt;K$38,I$36,K402&lt;K$40,I$38,K402&lt;K$42,I$40,K402&lt;K$44,I$42,K402&lt;K$46,I$44,K402&gt;=K$46,I$46)</f>
        <v/>
      </c>
      <c r="J402" s="37">
        <f>_xlfn.IFS(K402&lt;K$24,0,K402&lt;K$25,J$24,K402&lt;K$26,J$25,K402&lt;K$27,J$26,K402&lt;K$28,J$27,K402&lt;K$29,J$28,K402&lt;K$30,J$29,K402&lt;K$31,J$30,K402&lt;K$32,J$31,K402&lt;K$33,J$32,K402&lt;K$34,J$33,K402&lt;K$35,J$34,K402&lt;K$36,J$35,K402&lt;K$37,J$36,K402&lt;K$38,J$37,K402&lt;K$39,J$38,K402&lt;K$40,J$39,K402&lt;K$41,J$40,K402&lt;K$42,J$41,K402&lt;K$43,J$42,K402&lt;K$44,J$43,K402&lt;K$45,J$44,K402&lt;K$46,J$45,K402&lt;K$47,J$46,K402&gt;=K$47,J$47)</f>
        <v/>
      </c>
      <c r="K402" s="38" t="n">
        <v>352</v>
      </c>
      <c r="L402" s="31">
        <f>K402/52</f>
        <v/>
      </c>
      <c r="M402" s="39">
        <f>J402/1000000*52</f>
        <v/>
      </c>
      <c r="N402" s="33">
        <f>M402/$P$4+($I$22/$P$4)</f>
        <v/>
      </c>
      <c r="U402">
        <f>F401</f>
        <v/>
      </c>
      <c r="V402">
        <f>H401</f>
        <v/>
      </c>
      <c r="W402">
        <f>N401</f>
        <v/>
      </c>
    </row>
    <row r="403" ht="15.75" customHeight="1" s="40">
      <c r="C403" s="36">
        <f>_xlfn.IFS(E403&lt;E$24,0,E403&lt;E$26,C$24,E403&lt;E$28,C$26,E403&lt;E$30,C$28,E403&lt;E$32,C$30,E403&lt;E$34,C$32,E403&gt;=E$34,C$34)</f>
        <v/>
      </c>
      <c r="D403" s="37">
        <f>_xlfn.IFS(E403&lt;E$24,0,E403&lt;E$25,D$24,E403&lt;E$26,D$25,E403&lt;E$27,D$26,E403&lt;E$28,D$27,E403&lt;E$29,D$28,E403&lt;E$30,D$29,E403&lt;E$31,D$30,E403&lt;E$32,D$31,E403&lt;E$33,D$32,E403&lt;E$34,D$33,E403&lt;E$35,D$34,E403&gt;=E$35,D$35)</f>
        <v/>
      </c>
      <c r="E403" s="38" t="n">
        <v>353</v>
      </c>
      <c r="F403" s="31">
        <f>E403/52</f>
        <v/>
      </c>
      <c r="G403" s="39">
        <f>D403/1000000*52</f>
        <v/>
      </c>
      <c r="H403" s="33">
        <f>G403/$P$4+($C$22/$P$4)</f>
        <v/>
      </c>
      <c r="I403" s="36">
        <f>_xlfn.IFS(K403&lt;K$24,0,K403&lt;K$26,I$24,K403&lt;K$28,I$26,K403&lt;K$30,I$28,K403&lt;K$32,I$30,K403&lt;K$34,I$32,K403&lt;K$36,I$34,K403&lt;K$38,I$36,K403&lt;K$40,I$38,K403&lt;K$42,I$40,K403&lt;K$44,I$42,K403&lt;K$46,I$44,K403&gt;=K$46,I$46)</f>
        <v/>
      </c>
      <c r="J403" s="37">
        <f>_xlfn.IFS(K403&lt;K$24,0,K403&lt;K$25,J$24,K403&lt;K$26,J$25,K403&lt;K$27,J$26,K403&lt;K$28,J$27,K403&lt;K$29,J$28,K403&lt;K$30,J$29,K403&lt;K$31,J$30,K403&lt;K$32,J$31,K403&lt;K$33,J$32,K403&lt;K$34,J$33,K403&lt;K$35,J$34,K403&lt;K$36,J$35,K403&lt;K$37,J$36,K403&lt;K$38,J$37,K403&lt;K$39,J$38,K403&lt;K$40,J$39,K403&lt;K$41,J$40,K403&lt;K$42,J$41,K403&lt;K$43,J$42,K403&lt;K$44,J$43,K403&lt;K$45,J$44,K403&lt;K$46,J$45,K403&lt;K$47,J$46,K403&gt;=K$47,J$47)</f>
        <v/>
      </c>
      <c r="K403" s="38" t="n">
        <v>353</v>
      </c>
      <c r="L403" s="31">
        <f>K403/52</f>
        <v/>
      </c>
      <c r="M403" s="39">
        <f>J403/1000000*52</f>
        <v/>
      </c>
      <c r="N403" s="33">
        <f>M403/$P$4+($I$22/$P$4)</f>
        <v/>
      </c>
      <c r="U403">
        <f>F402</f>
        <v/>
      </c>
      <c r="V403">
        <f>H402</f>
        <v/>
      </c>
      <c r="W403">
        <f>N402</f>
        <v/>
      </c>
    </row>
    <row r="404" ht="15.75" customHeight="1" s="40">
      <c r="C404" s="36">
        <f>_xlfn.IFS(E404&lt;E$24,0,E404&lt;E$26,C$24,E404&lt;E$28,C$26,E404&lt;E$30,C$28,E404&lt;E$32,C$30,E404&lt;E$34,C$32,E404&gt;=E$34,C$34)</f>
        <v/>
      </c>
      <c r="D404" s="37">
        <f>_xlfn.IFS(E404&lt;E$24,0,E404&lt;E$25,D$24,E404&lt;E$26,D$25,E404&lt;E$27,D$26,E404&lt;E$28,D$27,E404&lt;E$29,D$28,E404&lt;E$30,D$29,E404&lt;E$31,D$30,E404&lt;E$32,D$31,E404&lt;E$33,D$32,E404&lt;E$34,D$33,E404&lt;E$35,D$34,E404&gt;=E$35,D$35)</f>
        <v/>
      </c>
      <c r="E404" s="38" t="n">
        <v>354</v>
      </c>
      <c r="F404" s="31">
        <f>E404/52</f>
        <v/>
      </c>
      <c r="G404" s="39">
        <f>D404/1000000*52</f>
        <v/>
      </c>
      <c r="H404" s="33">
        <f>G404/$P$4+($C$22/$P$4)</f>
        <v/>
      </c>
      <c r="I404" s="36">
        <f>_xlfn.IFS(K404&lt;K$24,0,K404&lt;K$26,I$24,K404&lt;K$28,I$26,K404&lt;K$30,I$28,K404&lt;K$32,I$30,K404&lt;K$34,I$32,K404&lt;K$36,I$34,K404&lt;K$38,I$36,K404&lt;K$40,I$38,K404&lt;K$42,I$40,K404&lt;K$44,I$42,K404&lt;K$46,I$44,K404&gt;=K$46,I$46)</f>
        <v/>
      </c>
      <c r="J404" s="37">
        <f>_xlfn.IFS(K404&lt;K$24,0,K404&lt;K$25,J$24,K404&lt;K$26,J$25,K404&lt;K$27,J$26,K404&lt;K$28,J$27,K404&lt;K$29,J$28,K404&lt;K$30,J$29,K404&lt;K$31,J$30,K404&lt;K$32,J$31,K404&lt;K$33,J$32,K404&lt;K$34,J$33,K404&lt;K$35,J$34,K404&lt;K$36,J$35,K404&lt;K$37,J$36,K404&lt;K$38,J$37,K404&lt;K$39,J$38,K404&lt;K$40,J$39,K404&lt;K$41,J$40,K404&lt;K$42,J$41,K404&lt;K$43,J$42,K404&lt;K$44,J$43,K404&lt;K$45,J$44,K404&lt;K$46,J$45,K404&lt;K$47,J$46,K404&gt;=K$47,J$47)</f>
        <v/>
      </c>
      <c r="K404" s="38" t="n">
        <v>354</v>
      </c>
      <c r="L404" s="31">
        <f>K404/52</f>
        <v/>
      </c>
      <c r="M404" s="39">
        <f>J404/1000000*52</f>
        <v/>
      </c>
      <c r="N404" s="33">
        <f>M404/$P$4+($I$22/$P$4)</f>
        <v/>
      </c>
      <c r="U404">
        <f>F403</f>
        <v/>
      </c>
      <c r="V404">
        <f>H403</f>
        <v/>
      </c>
      <c r="W404">
        <f>N403</f>
        <v/>
      </c>
    </row>
    <row r="405" ht="15.75" customHeight="1" s="40">
      <c r="C405" s="36">
        <f>_xlfn.IFS(E405&lt;E$24,0,E405&lt;E$26,C$24,E405&lt;E$28,C$26,E405&lt;E$30,C$28,E405&lt;E$32,C$30,E405&lt;E$34,C$32,E405&gt;=E$34,C$34)</f>
        <v/>
      </c>
      <c r="D405" s="37">
        <f>_xlfn.IFS(E405&lt;E$24,0,E405&lt;E$25,D$24,E405&lt;E$26,D$25,E405&lt;E$27,D$26,E405&lt;E$28,D$27,E405&lt;E$29,D$28,E405&lt;E$30,D$29,E405&lt;E$31,D$30,E405&lt;E$32,D$31,E405&lt;E$33,D$32,E405&lt;E$34,D$33,E405&lt;E$35,D$34,E405&gt;=E$35,D$35)</f>
        <v/>
      </c>
      <c r="E405" s="38" t="n">
        <v>355</v>
      </c>
      <c r="F405" s="31">
        <f>E405/52</f>
        <v/>
      </c>
      <c r="G405" s="39">
        <f>D405/1000000*52</f>
        <v/>
      </c>
      <c r="H405" s="33">
        <f>G405/$P$4+($C$22/$P$4)</f>
        <v/>
      </c>
      <c r="I405" s="36">
        <f>_xlfn.IFS(K405&lt;K$24,0,K405&lt;K$26,I$24,K405&lt;K$28,I$26,K405&lt;K$30,I$28,K405&lt;K$32,I$30,K405&lt;K$34,I$32,K405&lt;K$36,I$34,K405&lt;K$38,I$36,K405&lt;K$40,I$38,K405&lt;K$42,I$40,K405&lt;K$44,I$42,K405&lt;K$46,I$44,K405&gt;=K$46,I$46)</f>
        <v/>
      </c>
      <c r="J405" s="37">
        <f>_xlfn.IFS(K405&lt;K$24,0,K405&lt;K$25,J$24,K405&lt;K$26,J$25,K405&lt;K$27,J$26,K405&lt;K$28,J$27,K405&lt;K$29,J$28,K405&lt;K$30,J$29,K405&lt;K$31,J$30,K405&lt;K$32,J$31,K405&lt;K$33,J$32,K405&lt;K$34,J$33,K405&lt;K$35,J$34,K405&lt;K$36,J$35,K405&lt;K$37,J$36,K405&lt;K$38,J$37,K405&lt;K$39,J$38,K405&lt;K$40,J$39,K405&lt;K$41,J$40,K405&lt;K$42,J$41,K405&lt;K$43,J$42,K405&lt;K$44,J$43,K405&lt;K$45,J$44,K405&lt;K$46,J$45,K405&lt;K$47,J$46,K405&gt;=K$47,J$47)</f>
        <v/>
      </c>
      <c r="K405" s="38" t="n">
        <v>355</v>
      </c>
      <c r="L405" s="31">
        <f>K405/52</f>
        <v/>
      </c>
      <c r="M405" s="39">
        <f>J405/1000000*52</f>
        <v/>
      </c>
      <c r="N405" s="33">
        <f>M405/$P$4+($I$22/$P$4)</f>
        <v/>
      </c>
      <c r="U405">
        <f>F404</f>
        <v/>
      </c>
      <c r="V405">
        <f>H404</f>
        <v/>
      </c>
      <c r="W405">
        <f>N404</f>
        <v/>
      </c>
    </row>
    <row r="406" ht="15.75" customHeight="1" s="40">
      <c r="C406" s="36">
        <f>_xlfn.IFS(E406&lt;E$24,0,E406&lt;E$26,C$24,E406&lt;E$28,C$26,E406&lt;E$30,C$28,E406&lt;E$32,C$30,E406&lt;E$34,C$32,E406&gt;=E$34,C$34)</f>
        <v/>
      </c>
      <c r="D406" s="37">
        <f>_xlfn.IFS(E406&lt;E$24,0,E406&lt;E$25,D$24,E406&lt;E$26,D$25,E406&lt;E$27,D$26,E406&lt;E$28,D$27,E406&lt;E$29,D$28,E406&lt;E$30,D$29,E406&lt;E$31,D$30,E406&lt;E$32,D$31,E406&lt;E$33,D$32,E406&lt;E$34,D$33,E406&lt;E$35,D$34,E406&gt;=E$35,D$35)</f>
        <v/>
      </c>
      <c r="E406" s="38" t="n">
        <v>356</v>
      </c>
      <c r="F406" s="31">
        <f>E406/52</f>
        <v/>
      </c>
      <c r="G406" s="39">
        <f>D406/1000000*52</f>
        <v/>
      </c>
      <c r="H406" s="33">
        <f>G406/$P$4+($C$22/$P$4)</f>
        <v/>
      </c>
      <c r="I406" s="36">
        <f>_xlfn.IFS(K406&lt;K$24,0,K406&lt;K$26,I$24,K406&lt;K$28,I$26,K406&lt;K$30,I$28,K406&lt;K$32,I$30,K406&lt;K$34,I$32,K406&lt;K$36,I$34,K406&lt;K$38,I$36,K406&lt;K$40,I$38,K406&lt;K$42,I$40,K406&lt;K$44,I$42,K406&lt;K$46,I$44,K406&gt;=K$46,I$46)</f>
        <v/>
      </c>
      <c r="J406" s="37">
        <f>_xlfn.IFS(K406&lt;K$24,0,K406&lt;K$25,J$24,K406&lt;K$26,J$25,K406&lt;K$27,J$26,K406&lt;K$28,J$27,K406&lt;K$29,J$28,K406&lt;K$30,J$29,K406&lt;K$31,J$30,K406&lt;K$32,J$31,K406&lt;K$33,J$32,K406&lt;K$34,J$33,K406&lt;K$35,J$34,K406&lt;K$36,J$35,K406&lt;K$37,J$36,K406&lt;K$38,J$37,K406&lt;K$39,J$38,K406&lt;K$40,J$39,K406&lt;K$41,J$40,K406&lt;K$42,J$41,K406&lt;K$43,J$42,K406&lt;K$44,J$43,K406&lt;K$45,J$44,K406&lt;K$46,J$45,K406&lt;K$47,J$46,K406&gt;=K$47,J$47)</f>
        <v/>
      </c>
      <c r="K406" s="38" t="n">
        <v>356</v>
      </c>
      <c r="L406" s="31">
        <f>K406/52</f>
        <v/>
      </c>
      <c r="M406" s="39">
        <f>J406/1000000*52</f>
        <v/>
      </c>
      <c r="N406" s="33">
        <f>M406/$P$4+($I$22/$P$4)</f>
        <v/>
      </c>
      <c r="U406">
        <f>F405</f>
        <v/>
      </c>
      <c r="V406">
        <f>H405</f>
        <v/>
      </c>
      <c r="W406">
        <f>N405</f>
        <v/>
      </c>
    </row>
    <row r="407" ht="15.75" customHeight="1" s="40">
      <c r="C407" s="36">
        <f>_xlfn.IFS(E407&lt;E$24,0,E407&lt;E$26,C$24,E407&lt;E$28,C$26,E407&lt;E$30,C$28,E407&lt;E$32,C$30,E407&lt;E$34,C$32,E407&gt;=E$34,C$34)</f>
        <v/>
      </c>
      <c r="D407" s="37">
        <f>_xlfn.IFS(E407&lt;E$24,0,E407&lt;E$25,D$24,E407&lt;E$26,D$25,E407&lt;E$27,D$26,E407&lt;E$28,D$27,E407&lt;E$29,D$28,E407&lt;E$30,D$29,E407&lt;E$31,D$30,E407&lt;E$32,D$31,E407&lt;E$33,D$32,E407&lt;E$34,D$33,E407&lt;E$35,D$34,E407&gt;=E$35,D$35)</f>
        <v/>
      </c>
      <c r="E407" s="38" t="n">
        <v>357</v>
      </c>
      <c r="F407" s="31">
        <f>E407/52</f>
        <v/>
      </c>
      <c r="G407" s="39">
        <f>D407/1000000*52</f>
        <v/>
      </c>
      <c r="H407" s="33">
        <f>G407/$P$4+($C$22/$P$4)</f>
        <v/>
      </c>
      <c r="I407" s="36">
        <f>_xlfn.IFS(K407&lt;K$24,0,K407&lt;K$26,I$24,K407&lt;K$28,I$26,K407&lt;K$30,I$28,K407&lt;K$32,I$30,K407&lt;K$34,I$32,K407&lt;K$36,I$34,K407&lt;K$38,I$36,K407&lt;K$40,I$38,K407&lt;K$42,I$40,K407&lt;K$44,I$42,K407&lt;K$46,I$44,K407&gt;=K$46,I$46)</f>
        <v/>
      </c>
      <c r="J407" s="37">
        <f>_xlfn.IFS(K407&lt;K$24,0,K407&lt;K$25,J$24,K407&lt;K$26,J$25,K407&lt;K$27,J$26,K407&lt;K$28,J$27,K407&lt;K$29,J$28,K407&lt;K$30,J$29,K407&lt;K$31,J$30,K407&lt;K$32,J$31,K407&lt;K$33,J$32,K407&lt;K$34,J$33,K407&lt;K$35,J$34,K407&lt;K$36,J$35,K407&lt;K$37,J$36,K407&lt;K$38,J$37,K407&lt;K$39,J$38,K407&lt;K$40,J$39,K407&lt;K$41,J$40,K407&lt;K$42,J$41,K407&lt;K$43,J$42,K407&lt;K$44,J$43,K407&lt;K$45,J$44,K407&lt;K$46,J$45,K407&lt;K$47,J$46,K407&gt;=K$47,J$47)</f>
        <v/>
      </c>
      <c r="K407" s="38" t="n">
        <v>357</v>
      </c>
      <c r="L407" s="31">
        <f>K407/52</f>
        <v/>
      </c>
      <c r="M407" s="39">
        <f>J407/1000000*52</f>
        <v/>
      </c>
      <c r="N407" s="33">
        <f>M407/$P$4+($I$22/$P$4)</f>
        <v/>
      </c>
      <c r="U407">
        <f>F406</f>
        <v/>
      </c>
      <c r="V407">
        <f>H406</f>
        <v/>
      </c>
      <c r="W407">
        <f>N406</f>
        <v/>
      </c>
    </row>
    <row r="408" ht="15.75" customHeight="1" s="40">
      <c r="C408" s="36">
        <f>_xlfn.IFS(E408&lt;E$24,0,E408&lt;E$26,C$24,E408&lt;E$28,C$26,E408&lt;E$30,C$28,E408&lt;E$32,C$30,E408&lt;E$34,C$32,E408&gt;=E$34,C$34)</f>
        <v/>
      </c>
      <c r="D408" s="37">
        <f>_xlfn.IFS(E408&lt;E$24,0,E408&lt;E$25,D$24,E408&lt;E$26,D$25,E408&lt;E$27,D$26,E408&lt;E$28,D$27,E408&lt;E$29,D$28,E408&lt;E$30,D$29,E408&lt;E$31,D$30,E408&lt;E$32,D$31,E408&lt;E$33,D$32,E408&lt;E$34,D$33,E408&lt;E$35,D$34,E408&gt;=E$35,D$35)</f>
        <v/>
      </c>
      <c r="E408" s="38" t="n">
        <v>358</v>
      </c>
      <c r="F408" s="31">
        <f>E408/52</f>
        <v/>
      </c>
      <c r="G408" s="39">
        <f>D408/1000000*52</f>
        <v/>
      </c>
      <c r="H408" s="33">
        <f>G408/$P$4+($C$22/$P$4)</f>
        <v/>
      </c>
      <c r="I408" s="36">
        <f>_xlfn.IFS(K408&lt;K$24,0,K408&lt;K$26,I$24,K408&lt;K$28,I$26,K408&lt;K$30,I$28,K408&lt;K$32,I$30,K408&lt;K$34,I$32,K408&lt;K$36,I$34,K408&lt;K$38,I$36,K408&lt;K$40,I$38,K408&lt;K$42,I$40,K408&lt;K$44,I$42,K408&lt;K$46,I$44,K408&gt;=K$46,I$46)</f>
        <v/>
      </c>
      <c r="J408" s="37">
        <f>_xlfn.IFS(K408&lt;K$24,0,K408&lt;K$25,J$24,K408&lt;K$26,J$25,K408&lt;K$27,J$26,K408&lt;K$28,J$27,K408&lt;K$29,J$28,K408&lt;K$30,J$29,K408&lt;K$31,J$30,K408&lt;K$32,J$31,K408&lt;K$33,J$32,K408&lt;K$34,J$33,K408&lt;K$35,J$34,K408&lt;K$36,J$35,K408&lt;K$37,J$36,K408&lt;K$38,J$37,K408&lt;K$39,J$38,K408&lt;K$40,J$39,K408&lt;K$41,J$40,K408&lt;K$42,J$41,K408&lt;K$43,J$42,K408&lt;K$44,J$43,K408&lt;K$45,J$44,K408&lt;K$46,J$45,K408&lt;K$47,J$46,K408&gt;=K$47,J$47)</f>
        <v/>
      </c>
      <c r="K408" s="38" t="n">
        <v>358</v>
      </c>
      <c r="L408" s="31">
        <f>K408/52</f>
        <v/>
      </c>
      <c r="M408" s="39">
        <f>J408/1000000*52</f>
        <v/>
      </c>
      <c r="N408" s="33">
        <f>M408/$P$4+($I$22/$P$4)</f>
        <v/>
      </c>
      <c r="U408">
        <f>F407</f>
        <v/>
      </c>
      <c r="V408">
        <f>H407</f>
        <v/>
      </c>
      <c r="W408">
        <f>N407</f>
        <v/>
      </c>
    </row>
    <row r="409" ht="15.75" customHeight="1" s="40">
      <c r="C409" s="36">
        <f>_xlfn.IFS(E409&lt;E$24,0,E409&lt;E$26,C$24,E409&lt;E$28,C$26,E409&lt;E$30,C$28,E409&lt;E$32,C$30,E409&lt;E$34,C$32,E409&gt;=E$34,C$34)</f>
        <v/>
      </c>
      <c r="D409" s="37">
        <f>_xlfn.IFS(E409&lt;E$24,0,E409&lt;E$25,D$24,E409&lt;E$26,D$25,E409&lt;E$27,D$26,E409&lt;E$28,D$27,E409&lt;E$29,D$28,E409&lt;E$30,D$29,E409&lt;E$31,D$30,E409&lt;E$32,D$31,E409&lt;E$33,D$32,E409&lt;E$34,D$33,E409&lt;E$35,D$34,E409&gt;=E$35,D$35)</f>
        <v/>
      </c>
      <c r="E409" s="38" t="n">
        <v>359</v>
      </c>
      <c r="F409" s="31">
        <f>E409/52</f>
        <v/>
      </c>
      <c r="G409" s="39">
        <f>D409/1000000*52</f>
        <v/>
      </c>
      <c r="H409" s="33">
        <f>G409/$P$4+($C$22/$P$4)</f>
        <v/>
      </c>
      <c r="I409" s="36">
        <f>_xlfn.IFS(K409&lt;K$24,0,K409&lt;K$26,I$24,K409&lt;K$28,I$26,K409&lt;K$30,I$28,K409&lt;K$32,I$30,K409&lt;K$34,I$32,K409&lt;K$36,I$34,K409&lt;K$38,I$36,K409&lt;K$40,I$38,K409&lt;K$42,I$40,K409&lt;K$44,I$42,K409&lt;K$46,I$44,K409&gt;=K$46,I$46)</f>
        <v/>
      </c>
      <c r="J409" s="37">
        <f>_xlfn.IFS(K409&lt;K$24,0,K409&lt;K$25,J$24,K409&lt;K$26,J$25,K409&lt;K$27,J$26,K409&lt;K$28,J$27,K409&lt;K$29,J$28,K409&lt;K$30,J$29,K409&lt;K$31,J$30,K409&lt;K$32,J$31,K409&lt;K$33,J$32,K409&lt;K$34,J$33,K409&lt;K$35,J$34,K409&lt;K$36,J$35,K409&lt;K$37,J$36,K409&lt;K$38,J$37,K409&lt;K$39,J$38,K409&lt;K$40,J$39,K409&lt;K$41,J$40,K409&lt;K$42,J$41,K409&lt;K$43,J$42,K409&lt;K$44,J$43,K409&lt;K$45,J$44,K409&lt;K$46,J$45,K409&lt;K$47,J$46,K409&gt;=K$47,J$47)</f>
        <v/>
      </c>
      <c r="K409" s="38" t="n">
        <v>359</v>
      </c>
      <c r="L409" s="31">
        <f>K409/52</f>
        <v/>
      </c>
      <c r="M409" s="39">
        <f>J409/1000000*52</f>
        <v/>
      </c>
      <c r="N409" s="33">
        <f>M409/$P$4+($I$22/$P$4)</f>
        <v/>
      </c>
      <c r="U409">
        <f>F408</f>
        <v/>
      </c>
      <c r="V409">
        <f>H408</f>
        <v/>
      </c>
      <c r="W409">
        <f>N408</f>
        <v/>
      </c>
    </row>
    <row r="410" ht="15.75" customHeight="1" s="40">
      <c r="C410" s="36">
        <f>_xlfn.IFS(E410&lt;E$24,0,E410&lt;E$26,C$24,E410&lt;E$28,C$26,E410&lt;E$30,C$28,E410&lt;E$32,C$30,E410&lt;E$34,C$32,E410&gt;=E$34,C$34)</f>
        <v/>
      </c>
      <c r="D410" s="37">
        <f>_xlfn.IFS(E410&lt;E$24,0,E410&lt;E$25,D$24,E410&lt;E$26,D$25,E410&lt;E$27,D$26,E410&lt;E$28,D$27,E410&lt;E$29,D$28,E410&lt;E$30,D$29,E410&lt;E$31,D$30,E410&lt;E$32,D$31,E410&lt;E$33,D$32,E410&lt;E$34,D$33,E410&lt;E$35,D$34,E410&gt;=E$35,D$35)</f>
        <v/>
      </c>
      <c r="E410" s="38" t="n">
        <v>360</v>
      </c>
      <c r="F410" s="31">
        <f>E410/52</f>
        <v/>
      </c>
      <c r="G410" s="39">
        <f>D410/1000000*52</f>
        <v/>
      </c>
      <c r="H410" s="33">
        <f>G410/$P$4+($C$22/$P$4)</f>
        <v/>
      </c>
      <c r="I410" s="36">
        <f>_xlfn.IFS(K410&lt;K$24,0,K410&lt;K$26,I$24,K410&lt;K$28,I$26,K410&lt;K$30,I$28,K410&lt;K$32,I$30,K410&lt;K$34,I$32,K410&lt;K$36,I$34,K410&lt;K$38,I$36,K410&lt;K$40,I$38,K410&lt;K$42,I$40,K410&lt;K$44,I$42,K410&lt;K$46,I$44,K410&gt;=K$46,I$46)</f>
        <v/>
      </c>
      <c r="J410" s="37">
        <f>_xlfn.IFS(K410&lt;K$24,0,K410&lt;K$25,J$24,K410&lt;K$26,J$25,K410&lt;K$27,J$26,K410&lt;K$28,J$27,K410&lt;K$29,J$28,K410&lt;K$30,J$29,K410&lt;K$31,J$30,K410&lt;K$32,J$31,K410&lt;K$33,J$32,K410&lt;K$34,J$33,K410&lt;K$35,J$34,K410&lt;K$36,J$35,K410&lt;K$37,J$36,K410&lt;K$38,J$37,K410&lt;K$39,J$38,K410&lt;K$40,J$39,K410&lt;K$41,J$40,K410&lt;K$42,J$41,K410&lt;K$43,J$42,K410&lt;K$44,J$43,K410&lt;K$45,J$44,K410&lt;K$46,J$45,K410&lt;K$47,J$46,K410&gt;=K$47,J$47)</f>
        <v/>
      </c>
      <c r="K410" s="38" t="n">
        <v>360</v>
      </c>
      <c r="L410" s="31">
        <f>K410/52</f>
        <v/>
      </c>
      <c r="M410" s="39">
        <f>J410/1000000*52</f>
        <v/>
      </c>
      <c r="N410" s="33">
        <f>M410/$P$4+($I$22/$P$4)</f>
        <v/>
      </c>
      <c r="U410">
        <f>F409</f>
        <v/>
      </c>
      <c r="V410">
        <f>H409</f>
        <v/>
      </c>
      <c r="W410">
        <f>N409</f>
        <v/>
      </c>
    </row>
    <row r="411" ht="15.75" customHeight="1" s="40">
      <c r="C411" s="36">
        <f>_xlfn.IFS(E411&lt;E$24,0,E411&lt;E$26,C$24,E411&lt;E$28,C$26,E411&lt;E$30,C$28,E411&lt;E$32,C$30,E411&lt;E$34,C$32,E411&gt;=E$34,C$34)</f>
        <v/>
      </c>
      <c r="D411" s="37">
        <f>_xlfn.IFS(E411&lt;E$24,0,E411&lt;E$25,D$24,E411&lt;E$26,D$25,E411&lt;E$27,D$26,E411&lt;E$28,D$27,E411&lt;E$29,D$28,E411&lt;E$30,D$29,E411&lt;E$31,D$30,E411&lt;E$32,D$31,E411&lt;E$33,D$32,E411&lt;E$34,D$33,E411&lt;E$35,D$34,E411&gt;=E$35,D$35)</f>
        <v/>
      </c>
      <c r="E411" s="38" t="n">
        <v>361</v>
      </c>
      <c r="F411" s="31">
        <f>E411/52</f>
        <v/>
      </c>
      <c r="G411" s="39">
        <f>D411/1000000*52</f>
        <v/>
      </c>
      <c r="H411" s="33">
        <f>G411/$P$4+($C$22/$P$4)</f>
        <v/>
      </c>
      <c r="I411" s="36">
        <f>_xlfn.IFS(K411&lt;K$24,0,K411&lt;K$26,I$24,K411&lt;K$28,I$26,K411&lt;K$30,I$28,K411&lt;K$32,I$30,K411&lt;K$34,I$32,K411&lt;K$36,I$34,K411&lt;K$38,I$36,K411&lt;K$40,I$38,K411&lt;K$42,I$40,K411&lt;K$44,I$42,K411&lt;K$46,I$44,K411&gt;=K$46,I$46)</f>
        <v/>
      </c>
      <c r="J411" s="37">
        <f>_xlfn.IFS(K411&lt;K$24,0,K411&lt;K$25,J$24,K411&lt;K$26,J$25,K411&lt;K$27,J$26,K411&lt;K$28,J$27,K411&lt;K$29,J$28,K411&lt;K$30,J$29,K411&lt;K$31,J$30,K411&lt;K$32,J$31,K411&lt;K$33,J$32,K411&lt;K$34,J$33,K411&lt;K$35,J$34,K411&lt;K$36,J$35,K411&lt;K$37,J$36,K411&lt;K$38,J$37,K411&lt;K$39,J$38,K411&lt;K$40,J$39,K411&lt;K$41,J$40,K411&lt;K$42,J$41,K411&lt;K$43,J$42,K411&lt;K$44,J$43,K411&lt;K$45,J$44,K411&lt;K$46,J$45,K411&lt;K$47,J$46,K411&gt;=K$47,J$47)</f>
        <v/>
      </c>
      <c r="K411" s="38" t="n">
        <v>361</v>
      </c>
      <c r="L411" s="31">
        <f>K411/52</f>
        <v/>
      </c>
      <c r="M411" s="39">
        <f>J411/1000000*52</f>
        <v/>
      </c>
      <c r="N411" s="33">
        <f>M411/$P$4+($I$22/$P$4)</f>
        <v/>
      </c>
      <c r="U411">
        <f>F410</f>
        <v/>
      </c>
      <c r="V411">
        <f>H410</f>
        <v/>
      </c>
      <c r="W411">
        <f>N410</f>
        <v/>
      </c>
    </row>
    <row r="412" ht="15.75" customHeight="1" s="40">
      <c r="C412" s="36">
        <f>_xlfn.IFS(E412&lt;E$24,0,E412&lt;E$26,C$24,E412&lt;E$28,C$26,E412&lt;E$30,C$28,E412&lt;E$32,C$30,E412&lt;E$34,C$32,E412&gt;=E$34,C$34)</f>
        <v/>
      </c>
      <c r="D412" s="37">
        <f>_xlfn.IFS(E412&lt;E$24,0,E412&lt;E$25,D$24,E412&lt;E$26,D$25,E412&lt;E$27,D$26,E412&lt;E$28,D$27,E412&lt;E$29,D$28,E412&lt;E$30,D$29,E412&lt;E$31,D$30,E412&lt;E$32,D$31,E412&lt;E$33,D$32,E412&lt;E$34,D$33,E412&lt;E$35,D$34,E412&gt;=E$35,D$35)</f>
        <v/>
      </c>
      <c r="E412" s="38" t="n">
        <v>362</v>
      </c>
      <c r="F412" s="31">
        <f>E412/52</f>
        <v/>
      </c>
      <c r="G412" s="39">
        <f>D412/1000000*52</f>
        <v/>
      </c>
      <c r="H412" s="33">
        <f>G412/$P$4+($C$22/$P$4)</f>
        <v/>
      </c>
      <c r="I412" s="36">
        <f>_xlfn.IFS(K412&lt;K$24,0,K412&lt;K$26,I$24,K412&lt;K$28,I$26,K412&lt;K$30,I$28,K412&lt;K$32,I$30,K412&lt;K$34,I$32,K412&lt;K$36,I$34,K412&lt;K$38,I$36,K412&lt;K$40,I$38,K412&lt;K$42,I$40,K412&lt;K$44,I$42,K412&lt;K$46,I$44,K412&gt;=K$46,I$46)</f>
        <v/>
      </c>
      <c r="J412" s="37">
        <f>_xlfn.IFS(K412&lt;K$24,0,K412&lt;K$25,J$24,K412&lt;K$26,J$25,K412&lt;K$27,J$26,K412&lt;K$28,J$27,K412&lt;K$29,J$28,K412&lt;K$30,J$29,K412&lt;K$31,J$30,K412&lt;K$32,J$31,K412&lt;K$33,J$32,K412&lt;K$34,J$33,K412&lt;K$35,J$34,K412&lt;K$36,J$35,K412&lt;K$37,J$36,K412&lt;K$38,J$37,K412&lt;K$39,J$38,K412&lt;K$40,J$39,K412&lt;K$41,J$40,K412&lt;K$42,J$41,K412&lt;K$43,J$42,K412&lt;K$44,J$43,K412&lt;K$45,J$44,K412&lt;K$46,J$45,K412&lt;K$47,J$46,K412&gt;=K$47,J$47)</f>
        <v/>
      </c>
      <c r="K412" s="38" t="n">
        <v>362</v>
      </c>
      <c r="L412" s="31">
        <f>K412/52</f>
        <v/>
      </c>
      <c r="M412" s="39">
        <f>J412/1000000*52</f>
        <v/>
      </c>
      <c r="N412" s="33">
        <f>M412/$P$4+($I$22/$P$4)</f>
        <v/>
      </c>
      <c r="U412">
        <f>F411</f>
        <v/>
      </c>
      <c r="V412">
        <f>H411</f>
        <v/>
      </c>
      <c r="W412">
        <f>N411</f>
        <v/>
      </c>
    </row>
    <row r="413" ht="15.75" customHeight="1" s="40">
      <c r="C413" s="36">
        <f>_xlfn.IFS(E413&lt;E$24,0,E413&lt;E$26,C$24,E413&lt;E$28,C$26,E413&lt;E$30,C$28,E413&lt;E$32,C$30,E413&lt;E$34,C$32,E413&gt;=E$34,C$34)</f>
        <v/>
      </c>
      <c r="D413" s="37">
        <f>_xlfn.IFS(E413&lt;E$24,0,E413&lt;E$25,D$24,E413&lt;E$26,D$25,E413&lt;E$27,D$26,E413&lt;E$28,D$27,E413&lt;E$29,D$28,E413&lt;E$30,D$29,E413&lt;E$31,D$30,E413&lt;E$32,D$31,E413&lt;E$33,D$32,E413&lt;E$34,D$33,E413&lt;E$35,D$34,E413&gt;=E$35,D$35)</f>
        <v/>
      </c>
      <c r="E413" s="38" t="n">
        <v>363</v>
      </c>
      <c r="F413" s="31">
        <f>E413/52</f>
        <v/>
      </c>
      <c r="G413" s="39">
        <f>D413/1000000*52</f>
        <v/>
      </c>
      <c r="H413" s="33">
        <f>G413/$P$4+($C$22/$P$4)</f>
        <v/>
      </c>
      <c r="I413" s="36">
        <f>_xlfn.IFS(K413&lt;K$24,0,K413&lt;K$26,I$24,K413&lt;K$28,I$26,K413&lt;K$30,I$28,K413&lt;K$32,I$30,K413&lt;K$34,I$32,K413&lt;K$36,I$34,K413&lt;K$38,I$36,K413&lt;K$40,I$38,K413&lt;K$42,I$40,K413&lt;K$44,I$42,K413&lt;K$46,I$44,K413&gt;=K$46,I$46)</f>
        <v/>
      </c>
      <c r="J413" s="37">
        <f>_xlfn.IFS(K413&lt;K$24,0,K413&lt;K$25,J$24,K413&lt;K$26,J$25,K413&lt;K$27,J$26,K413&lt;K$28,J$27,K413&lt;K$29,J$28,K413&lt;K$30,J$29,K413&lt;K$31,J$30,K413&lt;K$32,J$31,K413&lt;K$33,J$32,K413&lt;K$34,J$33,K413&lt;K$35,J$34,K413&lt;K$36,J$35,K413&lt;K$37,J$36,K413&lt;K$38,J$37,K413&lt;K$39,J$38,K413&lt;K$40,J$39,K413&lt;K$41,J$40,K413&lt;K$42,J$41,K413&lt;K$43,J$42,K413&lt;K$44,J$43,K413&lt;K$45,J$44,K413&lt;K$46,J$45,K413&lt;K$47,J$46,K413&gt;=K$47,J$47)</f>
        <v/>
      </c>
      <c r="K413" s="38" t="n">
        <v>363</v>
      </c>
      <c r="L413" s="31">
        <f>K413/52</f>
        <v/>
      </c>
      <c r="M413" s="39">
        <f>J413/1000000*52</f>
        <v/>
      </c>
      <c r="N413" s="33">
        <f>M413/$P$4+($I$22/$P$4)</f>
        <v/>
      </c>
      <c r="U413">
        <f>F412</f>
        <v/>
      </c>
      <c r="V413">
        <f>H412</f>
        <v/>
      </c>
      <c r="W413">
        <f>N412</f>
        <v/>
      </c>
    </row>
    <row r="414" ht="15.75" customHeight="1" s="40">
      <c r="C414" s="36">
        <f>_xlfn.IFS(E414&lt;E$24,0,E414&lt;E$26,C$24,E414&lt;E$28,C$26,E414&lt;E$30,C$28,E414&lt;E$32,C$30,E414&lt;E$34,C$32,E414&gt;=E$34,C$34)</f>
        <v/>
      </c>
      <c r="D414" s="37">
        <f>_xlfn.IFS(E414&lt;E$24,0,E414&lt;E$25,D$24,E414&lt;E$26,D$25,E414&lt;E$27,D$26,E414&lt;E$28,D$27,E414&lt;E$29,D$28,E414&lt;E$30,D$29,E414&lt;E$31,D$30,E414&lt;E$32,D$31,E414&lt;E$33,D$32,E414&lt;E$34,D$33,E414&lt;E$35,D$34,E414&gt;=E$35,D$35)</f>
        <v/>
      </c>
      <c r="E414" s="38" t="n">
        <v>364</v>
      </c>
      <c r="F414" s="31">
        <f>E414/52</f>
        <v/>
      </c>
      <c r="G414" s="39">
        <f>D414/1000000*52</f>
        <v/>
      </c>
      <c r="H414" s="33">
        <f>G414/$P$4+($C$22/$P$4)</f>
        <v/>
      </c>
      <c r="I414" s="36">
        <f>_xlfn.IFS(K414&lt;K$24,0,K414&lt;K$26,I$24,K414&lt;K$28,I$26,K414&lt;K$30,I$28,K414&lt;K$32,I$30,K414&lt;K$34,I$32,K414&lt;K$36,I$34,K414&lt;K$38,I$36,K414&lt;K$40,I$38,K414&lt;K$42,I$40,K414&lt;K$44,I$42,K414&lt;K$46,I$44,K414&gt;=K$46,I$46)</f>
        <v/>
      </c>
      <c r="J414" s="37">
        <f>_xlfn.IFS(K414&lt;K$24,0,K414&lt;K$25,J$24,K414&lt;K$26,J$25,K414&lt;K$27,J$26,K414&lt;K$28,J$27,K414&lt;K$29,J$28,K414&lt;K$30,J$29,K414&lt;K$31,J$30,K414&lt;K$32,J$31,K414&lt;K$33,J$32,K414&lt;K$34,J$33,K414&lt;K$35,J$34,K414&lt;K$36,J$35,K414&lt;K$37,J$36,K414&lt;K$38,J$37,K414&lt;K$39,J$38,K414&lt;K$40,J$39,K414&lt;K$41,J$40,K414&lt;K$42,J$41,K414&lt;K$43,J$42,K414&lt;K$44,J$43,K414&lt;K$45,J$44,K414&lt;K$46,J$45,K414&lt;K$47,J$46,K414&gt;=K$47,J$47)</f>
        <v/>
      </c>
      <c r="K414" s="38" t="n">
        <v>364</v>
      </c>
      <c r="L414" s="31">
        <f>K414/52</f>
        <v/>
      </c>
      <c r="M414" s="39">
        <f>J414/1000000*52</f>
        <v/>
      </c>
      <c r="N414" s="33">
        <f>M414/$P$4+($I$22/$P$4)</f>
        <v/>
      </c>
      <c r="U414">
        <f>F413</f>
        <v/>
      </c>
      <c r="V414">
        <f>H413</f>
        <v/>
      </c>
      <c r="W414">
        <f>N413</f>
        <v/>
      </c>
    </row>
    <row r="415" ht="15.75" customHeight="1" s="40">
      <c r="C415" s="36">
        <f>_xlfn.IFS(E415&lt;E$24,0,E415&lt;E$26,C$24,E415&lt;E$28,C$26,E415&lt;E$30,C$28,E415&lt;E$32,C$30,E415&lt;E$34,C$32,E415&gt;=E$34,C$34)</f>
        <v/>
      </c>
      <c r="D415" s="37">
        <f>_xlfn.IFS(E415&lt;E$24,0,E415&lt;E$25,D$24,E415&lt;E$26,D$25,E415&lt;E$27,D$26,E415&lt;E$28,D$27,E415&lt;E$29,D$28,E415&lt;E$30,D$29,E415&lt;E$31,D$30,E415&lt;E$32,D$31,E415&lt;E$33,D$32,E415&lt;E$34,D$33,E415&lt;E$35,D$34,E415&gt;=E$35,D$35)</f>
        <v/>
      </c>
      <c r="E415" s="38" t="n">
        <v>365</v>
      </c>
      <c r="F415" s="31">
        <f>E415/52</f>
        <v/>
      </c>
      <c r="G415" s="39">
        <f>D415/1000000*52</f>
        <v/>
      </c>
      <c r="H415" s="33">
        <f>G415/$P$4+($C$22/$P$4)</f>
        <v/>
      </c>
      <c r="I415" s="36">
        <f>_xlfn.IFS(K415&lt;K$24,0,K415&lt;K$26,I$24,K415&lt;K$28,I$26,K415&lt;K$30,I$28,K415&lt;K$32,I$30,K415&lt;K$34,I$32,K415&lt;K$36,I$34,K415&lt;K$38,I$36,K415&lt;K$40,I$38,K415&lt;K$42,I$40,K415&lt;K$44,I$42,K415&lt;K$46,I$44,K415&gt;=K$46,I$46)</f>
        <v/>
      </c>
      <c r="J415" s="37">
        <f>_xlfn.IFS(K415&lt;K$24,0,K415&lt;K$25,J$24,K415&lt;K$26,J$25,K415&lt;K$27,J$26,K415&lt;K$28,J$27,K415&lt;K$29,J$28,K415&lt;K$30,J$29,K415&lt;K$31,J$30,K415&lt;K$32,J$31,K415&lt;K$33,J$32,K415&lt;K$34,J$33,K415&lt;K$35,J$34,K415&lt;K$36,J$35,K415&lt;K$37,J$36,K415&lt;K$38,J$37,K415&lt;K$39,J$38,K415&lt;K$40,J$39,K415&lt;K$41,J$40,K415&lt;K$42,J$41,K415&lt;K$43,J$42,K415&lt;K$44,J$43,K415&lt;K$45,J$44,K415&lt;K$46,J$45,K415&lt;K$47,J$46,K415&gt;=K$47,J$47)</f>
        <v/>
      </c>
      <c r="K415" s="38" t="n">
        <v>365</v>
      </c>
      <c r="L415" s="31">
        <f>K415/52</f>
        <v/>
      </c>
      <c r="M415" s="39">
        <f>J415/1000000*52</f>
        <v/>
      </c>
      <c r="N415" s="33">
        <f>M415/$P$4+($I$22/$P$4)</f>
        <v/>
      </c>
      <c r="U415">
        <f>F414</f>
        <v/>
      </c>
      <c r="V415">
        <f>H414</f>
        <v/>
      </c>
      <c r="W415">
        <f>N414</f>
        <v/>
      </c>
    </row>
    <row r="416" ht="15.75" customHeight="1" s="40">
      <c r="C416" s="36">
        <f>_xlfn.IFS(E416&lt;E$24,0,E416&lt;E$26,C$24,E416&lt;E$28,C$26,E416&lt;E$30,C$28,E416&lt;E$32,C$30,E416&lt;E$34,C$32,E416&gt;=E$34,C$34)</f>
        <v/>
      </c>
      <c r="D416" s="37">
        <f>_xlfn.IFS(E416&lt;E$24,0,E416&lt;E$25,D$24,E416&lt;E$26,D$25,E416&lt;E$27,D$26,E416&lt;E$28,D$27,E416&lt;E$29,D$28,E416&lt;E$30,D$29,E416&lt;E$31,D$30,E416&lt;E$32,D$31,E416&lt;E$33,D$32,E416&lt;E$34,D$33,E416&lt;E$35,D$34,E416&gt;=E$35,D$35)</f>
        <v/>
      </c>
      <c r="E416" s="38" t="n">
        <v>366</v>
      </c>
      <c r="F416" s="31">
        <f>E416/52</f>
        <v/>
      </c>
      <c r="G416" s="39">
        <f>D416/1000000*52</f>
        <v/>
      </c>
      <c r="H416" s="33">
        <f>G416/$P$4+($C$22/$P$4)</f>
        <v/>
      </c>
      <c r="I416" s="36">
        <f>_xlfn.IFS(K416&lt;K$24,0,K416&lt;K$26,I$24,K416&lt;K$28,I$26,K416&lt;K$30,I$28,K416&lt;K$32,I$30,K416&lt;K$34,I$32,K416&lt;K$36,I$34,K416&lt;K$38,I$36,K416&lt;K$40,I$38,K416&lt;K$42,I$40,K416&lt;K$44,I$42,K416&lt;K$46,I$44,K416&gt;=K$46,I$46)</f>
        <v/>
      </c>
      <c r="J416" s="37">
        <f>_xlfn.IFS(K416&lt;K$24,0,K416&lt;K$25,J$24,K416&lt;K$26,J$25,K416&lt;K$27,J$26,K416&lt;K$28,J$27,K416&lt;K$29,J$28,K416&lt;K$30,J$29,K416&lt;K$31,J$30,K416&lt;K$32,J$31,K416&lt;K$33,J$32,K416&lt;K$34,J$33,K416&lt;K$35,J$34,K416&lt;K$36,J$35,K416&lt;K$37,J$36,K416&lt;K$38,J$37,K416&lt;K$39,J$38,K416&lt;K$40,J$39,K416&lt;K$41,J$40,K416&lt;K$42,J$41,K416&lt;K$43,J$42,K416&lt;K$44,J$43,K416&lt;K$45,J$44,K416&lt;K$46,J$45,K416&lt;K$47,J$46,K416&gt;=K$47,J$47)</f>
        <v/>
      </c>
      <c r="K416" s="38" t="n">
        <v>366</v>
      </c>
      <c r="L416" s="31">
        <f>K416/52</f>
        <v/>
      </c>
      <c r="M416" s="39">
        <f>J416/1000000*52</f>
        <v/>
      </c>
      <c r="N416" s="33">
        <f>M416/$P$4+($I$22/$P$4)</f>
        <v/>
      </c>
      <c r="U416">
        <f>F415</f>
        <v/>
      </c>
      <c r="V416">
        <f>H415</f>
        <v/>
      </c>
      <c r="W416">
        <f>N415</f>
        <v/>
      </c>
    </row>
    <row r="417" ht="15.75" customHeight="1" s="40">
      <c r="C417" s="36">
        <f>_xlfn.IFS(E417&lt;E$24,0,E417&lt;E$26,C$24,E417&lt;E$28,C$26,E417&lt;E$30,C$28,E417&lt;E$32,C$30,E417&lt;E$34,C$32,E417&gt;=E$34,C$34)</f>
        <v/>
      </c>
      <c r="D417" s="37">
        <f>_xlfn.IFS(E417&lt;E$24,0,E417&lt;E$25,D$24,E417&lt;E$26,D$25,E417&lt;E$27,D$26,E417&lt;E$28,D$27,E417&lt;E$29,D$28,E417&lt;E$30,D$29,E417&lt;E$31,D$30,E417&lt;E$32,D$31,E417&lt;E$33,D$32,E417&lt;E$34,D$33,E417&lt;E$35,D$34,E417&gt;=E$35,D$35)</f>
        <v/>
      </c>
      <c r="E417" s="38" t="n">
        <v>367</v>
      </c>
      <c r="F417" s="31">
        <f>E417/52</f>
        <v/>
      </c>
      <c r="G417" s="39">
        <f>D417/1000000*52</f>
        <v/>
      </c>
      <c r="H417" s="33">
        <f>G417/$P$4+($C$22/$P$4)</f>
        <v/>
      </c>
      <c r="I417" s="36">
        <f>_xlfn.IFS(K417&lt;K$24,0,K417&lt;K$26,I$24,K417&lt;K$28,I$26,K417&lt;K$30,I$28,K417&lt;K$32,I$30,K417&lt;K$34,I$32,K417&lt;K$36,I$34,K417&lt;K$38,I$36,K417&lt;K$40,I$38,K417&lt;K$42,I$40,K417&lt;K$44,I$42,K417&lt;K$46,I$44,K417&gt;=K$46,I$46)</f>
        <v/>
      </c>
      <c r="J417" s="37">
        <f>_xlfn.IFS(K417&lt;K$24,0,K417&lt;K$25,J$24,K417&lt;K$26,J$25,K417&lt;K$27,J$26,K417&lt;K$28,J$27,K417&lt;K$29,J$28,K417&lt;K$30,J$29,K417&lt;K$31,J$30,K417&lt;K$32,J$31,K417&lt;K$33,J$32,K417&lt;K$34,J$33,K417&lt;K$35,J$34,K417&lt;K$36,J$35,K417&lt;K$37,J$36,K417&lt;K$38,J$37,K417&lt;K$39,J$38,K417&lt;K$40,J$39,K417&lt;K$41,J$40,K417&lt;K$42,J$41,K417&lt;K$43,J$42,K417&lt;K$44,J$43,K417&lt;K$45,J$44,K417&lt;K$46,J$45,K417&lt;K$47,J$46,K417&gt;=K$47,J$47)</f>
        <v/>
      </c>
      <c r="K417" s="38" t="n">
        <v>367</v>
      </c>
      <c r="L417" s="31">
        <f>K417/52</f>
        <v/>
      </c>
      <c r="M417" s="39">
        <f>J417/1000000*52</f>
        <v/>
      </c>
      <c r="N417" s="33">
        <f>M417/$P$4+($I$22/$P$4)</f>
        <v/>
      </c>
      <c r="U417">
        <f>F416</f>
        <v/>
      </c>
      <c r="V417">
        <f>H416</f>
        <v/>
      </c>
      <c r="W417">
        <f>N416</f>
        <v/>
      </c>
    </row>
    <row r="418" ht="15.75" customHeight="1" s="40">
      <c r="C418" s="36">
        <f>_xlfn.IFS(E418&lt;E$24,0,E418&lt;E$26,C$24,E418&lt;E$28,C$26,E418&lt;E$30,C$28,E418&lt;E$32,C$30,E418&lt;E$34,C$32,E418&gt;=E$34,C$34)</f>
        <v/>
      </c>
      <c r="D418" s="37">
        <f>_xlfn.IFS(E418&lt;E$24,0,E418&lt;E$25,D$24,E418&lt;E$26,D$25,E418&lt;E$27,D$26,E418&lt;E$28,D$27,E418&lt;E$29,D$28,E418&lt;E$30,D$29,E418&lt;E$31,D$30,E418&lt;E$32,D$31,E418&lt;E$33,D$32,E418&lt;E$34,D$33,E418&lt;E$35,D$34,E418&gt;=E$35,D$35)</f>
        <v/>
      </c>
      <c r="E418" s="38" t="n">
        <v>368</v>
      </c>
      <c r="F418" s="31">
        <f>E418/52</f>
        <v/>
      </c>
      <c r="G418" s="39">
        <f>D418/1000000*52</f>
        <v/>
      </c>
      <c r="H418" s="33">
        <f>G418/$P$4+($C$22/$P$4)</f>
        <v/>
      </c>
      <c r="I418" s="36">
        <f>_xlfn.IFS(K418&lt;K$24,0,K418&lt;K$26,I$24,K418&lt;K$28,I$26,K418&lt;K$30,I$28,K418&lt;K$32,I$30,K418&lt;K$34,I$32,K418&lt;K$36,I$34,K418&lt;K$38,I$36,K418&lt;K$40,I$38,K418&lt;K$42,I$40,K418&lt;K$44,I$42,K418&lt;K$46,I$44,K418&gt;=K$46,I$46)</f>
        <v/>
      </c>
      <c r="J418" s="37">
        <f>_xlfn.IFS(K418&lt;K$24,0,K418&lt;K$25,J$24,K418&lt;K$26,J$25,K418&lt;K$27,J$26,K418&lt;K$28,J$27,K418&lt;K$29,J$28,K418&lt;K$30,J$29,K418&lt;K$31,J$30,K418&lt;K$32,J$31,K418&lt;K$33,J$32,K418&lt;K$34,J$33,K418&lt;K$35,J$34,K418&lt;K$36,J$35,K418&lt;K$37,J$36,K418&lt;K$38,J$37,K418&lt;K$39,J$38,K418&lt;K$40,J$39,K418&lt;K$41,J$40,K418&lt;K$42,J$41,K418&lt;K$43,J$42,K418&lt;K$44,J$43,K418&lt;K$45,J$44,K418&lt;K$46,J$45,K418&lt;K$47,J$46,K418&gt;=K$47,J$47)</f>
        <v/>
      </c>
      <c r="K418" s="38" t="n">
        <v>368</v>
      </c>
      <c r="L418" s="31">
        <f>K418/52</f>
        <v/>
      </c>
      <c r="M418" s="39">
        <f>J418/1000000*52</f>
        <v/>
      </c>
      <c r="N418" s="33">
        <f>M418/$P$4+($I$22/$P$4)</f>
        <v/>
      </c>
      <c r="U418">
        <f>F417</f>
        <v/>
      </c>
      <c r="V418">
        <f>H417</f>
        <v/>
      </c>
      <c r="W418">
        <f>N417</f>
        <v/>
      </c>
    </row>
    <row r="419" ht="15.75" customHeight="1" s="40">
      <c r="C419" s="36">
        <f>_xlfn.IFS(E419&lt;E$24,0,E419&lt;E$26,C$24,E419&lt;E$28,C$26,E419&lt;E$30,C$28,E419&lt;E$32,C$30,E419&lt;E$34,C$32,E419&gt;=E$34,C$34)</f>
        <v/>
      </c>
      <c r="D419" s="37">
        <f>_xlfn.IFS(E419&lt;E$24,0,E419&lt;E$25,D$24,E419&lt;E$26,D$25,E419&lt;E$27,D$26,E419&lt;E$28,D$27,E419&lt;E$29,D$28,E419&lt;E$30,D$29,E419&lt;E$31,D$30,E419&lt;E$32,D$31,E419&lt;E$33,D$32,E419&lt;E$34,D$33,E419&lt;E$35,D$34,E419&gt;=E$35,D$35)</f>
        <v/>
      </c>
      <c r="E419" s="38" t="n">
        <v>369</v>
      </c>
      <c r="F419" s="31">
        <f>E419/52</f>
        <v/>
      </c>
      <c r="G419" s="39">
        <f>D419/1000000*52</f>
        <v/>
      </c>
      <c r="H419" s="33">
        <f>G419/$P$4+($C$22/$P$4)</f>
        <v/>
      </c>
      <c r="I419" s="36">
        <f>_xlfn.IFS(K419&lt;K$24,0,K419&lt;K$26,I$24,K419&lt;K$28,I$26,K419&lt;K$30,I$28,K419&lt;K$32,I$30,K419&lt;K$34,I$32,K419&lt;K$36,I$34,K419&lt;K$38,I$36,K419&lt;K$40,I$38,K419&lt;K$42,I$40,K419&lt;K$44,I$42,K419&lt;K$46,I$44,K419&gt;=K$46,I$46)</f>
        <v/>
      </c>
      <c r="J419" s="37">
        <f>_xlfn.IFS(K419&lt;K$24,0,K419&lt;K$25,J$24,K419&lt;K$26,J$25,K419&lt;K$27,J$26,K419&lt;K$28,J$27,K419&lt;K$29,J$28,K419&lt;K$30,J$29,K419&lt;K$31,J$30,K419&lt;K$32,J$31,K419&lt;K$33,J$32,K419&lt;K$34,J$33,K419&lt;K$35,J$34,K419&lt;K$36,J$35,K419&lt;K$37,J$36,K419&lt;K$38,J$37,K419&lt;K$39,J$38,K419&lt;K$40,J$39,K419&lt;K$41,J$40,K419&lt;K$42,J$41,K419&lt;K$43,J$42,K419&lt;K$44,J$43,K419&lt;K$45,J$44,K419&lt;K$46,J$45,K419&lt;K$47,J$46,K419&gt;=K$47,J$47)</f>
        <v/>
      </c>
      <c r="K419" s="38" t="n">
        <v>369</v>
      </c>
      <c r="L419" s="31">
        <f>K419/52</f>
        <v/>
      </c>
      <c r="M419" s="39">
        <f>J419/1000000*52</f>
        <v/>
      </c>
      <c r="N419" s="33">
        <f>M419/$P$4+($I$22/$P$4)</f>
        <v/>
      </c>
      <c r="U419">
        <f>F418</f>
        <v/>
      </c>
      <c r="V419">
        <f>H418</f>
        <v/>
      </c>
      <c r="W419">
        <f>N418</f>
        <v/>
      </c>
    </row>
    <row r="420" ht="15.75" customHeight="1" s="40">
      <c r="C420" s="36">
        <f>_xlfn.IFS(E420&lt;E$24,0,E420&lt;E$26,C$24,E420&lt;E$28,C$26,E420&lt;E$30,C$28,E420&lt;E$32,C$30,E420&lt;E$34,C$32,E420&gt;=E$34,C$34)</f>
        <v/>
      </c>
      <c r="D420" s="37">
        <f>_xlfn.IFS(E420&lt;E$24,0,E420&lt;E$25,D$24,E420&lt;E$26,D$25,E420&lt;E$27,D$26,E420&lt;E$28,D$27,E420&lt;E$29,D$28,E420&lt;E$30,D$29,E420&lt;E$31,D$30,E420&lt;E$32,D$31,E420&lt;E$33,D$32,E420&lt;E$34,D$33,E420&lt;E$35,D$34,E420&gt;=E$35,D$35)</f>
        <v/>
      </c>
      <c r="E420" s="38" t="n">
        <v>370</v>
      </c>
      <c r="F420" s="31">
        <f>E420/52</f>
        <v/>
      </c>
      <c r="G420" s="39">
        <f>D420/1000000*52</f>
        <v/>
      </c>
      <c r="H420" s="33">
        <f>G420/$P$4+($C$22/$P$4)</f>
        <v/>
      </c>
      <c r="I420" s="36">
        <f>_xlfn.IFS(K420&lt;K$24,0,K420&lt;K$26,I$24,K420&lt;K$28,I$26,K420&lt;K$30,I$28,K420&lt;K$32,I$30,K420&lt;K$34,I$32,K420&lt;K$36,I$34,K420&lt;K$38,I$36,K420&lt;K$40,I$38,K420&lt;K$42,I$40,K420&lt;K$44,I$42,K420&lt;K$46,I$44,K420&gt;=K$46,I$46)</f>
        <v/>
      </c>
      <c r="J420" s="37">
        <f>_xlfn.IFS(K420&lt;K$24,0,K420&lt;K$25,J$24,K420&lt;K$26,J$25,K420&lt;K$27,J$26,K420&lt;K$28,J$27,K420&lt;K$29,J$28,K420&lt;K$30,J$29,K420&lt;K$31,J$30,K420&lt;K$32,J$31,K420&lt;K$33,J$32,K420&lt;K$34,J$33,K420&lt;K$35,J$34,K420&lt;K$36,J$35,K420&lt;K$37,J$36,K420&lt;K$38,J$37,K420&lt;K$39,J$38,K420&lt;K$40,J$39,K420&lt;K$41,J$40,K420&lt;K$42,J$41,K420&lt;K$43,J$42,K420&lt;K$44,J$43,K420&lt;K$45,J$44,K420&lt;K$46,J$45,K420&lt;K$47,J$46,K420&gt;=K$47,J$47)</f>
        <v/>
      </c>
      <c r="K420" s="38" t="n">
        <v>370</v>
      </c>
      <c r="L420" s="31">
        <f>K420/52</f>
        <v/>
      </c>
      <c r="M420" s="39">
        <f>J420/1000000*52</f>
        <v/>
      </c>
      <c r="N420" s="33">
        <f>M420/$P$4+($I$22/$P$4)</f>
        <v/>
      </c>
      <c r="U420">
        <f>F419</f>
        <v/>
      </c>
      <c r="V420">
        <f>H419</f>
        <v/>
      </c>
      <c r="W420">
        <f>N419</f>
        <v/>
      </c>
    </row>
    <row r="421" ht="15.75" customHeight="1" s="40">
      <c r="C421" s="36">
        <f>_xlfn.IFS(E421&lt;E$24,0,E421&lt;E$26,C$24,E421&lt;E$28,C$26,E421&lt;E$30,C$28,E421&lt;E$32,C$30,E421&lt;E$34,C$32,E421&gt;=E$34,C$34)</f>
        <v/>
      </c>
      <c r="D421" s="37">
        <f>_xlfn.IFS(E421&lt;E$24,0,E421&lt;E$25,D$24,E421&lt;E$26,D$25,E421&lt;E$27,D$26,E421&lt;E$28,D$27,E421&lt;E$29,D$28,E421&lt;E$30,D$29,E421&lt;E$31,D$30,E421&lt;E$32,D$31,E421&lt;E$33,D$32,E421&lt;E$34,D$33,E421&lt;E$35,D$34,E421&gt;=E$35,D$35)</f>
        <v/>
      </c>
      <c r="E421" s="38" t="n">
        <v>371</v>
      </c>
      <c r="F421" s="31">
        <f>E421/52</f>
        <v/>
      </c>
      <c r="G421" s="39">
        <f>D421/1000000*52</f>
        <v/>
      </c>
      <c r="H421" s="33">
        <f>G421/$P$4+($C$22/$P$4)</f>
        <v/>
      </c>
      <c r="I421" s="36">
        <f>_xlfn.IFS(K421&lt;K$24,0,K421&lt;K$26,I$24,K421&lt;K$28,I$26,K421&lt;K$30,I$28,K421&lt;K$32,I$30,K421&lt;K$34,I$32,K421&lt;K$36,I$34,K421&lt;K$38,I$36,K421&lt;K$40,I$38,K421&lt;K$42,I$40,K421&lt;K$44,I$42,K421&lt;K$46,I$44,K421&gt;=K$46,I$46)</f>
        <v/>
      </c>
      <c r="J421" s="37">
        <f>_xlfn.IFS(K421&lt;K$24,0,K421&lt;K$25,J$24,K421&lt;K$26,J$25,K421&lt;K$27,J$26,K421&lt;K$28,J$27,K421&lt;K$29,J$28,K421&lt;K$30,J$29,K421&lt;K$31,J$30,K421&lt;K$32,J$31,K421&lt;K$33,J$32,K421&lt;K$34,J$33,K421&lt;K$35,J$34,K421&lt;K$36,J$35,K421&lt;K$37,J$36,K421&lt;K$38,J$37,K421&lt;K$39,J$38,K421&lt;K$40,J$39,K421&lt;K$41,J$40,K421&lt;K$42,J$41,K421&lt;K$43,J$42,K421&lt;K$44,J$43,K421&lt;K$45,J$44,K421&lt;K$46,J$45,K421&lt;K$47,J$46,K421&gt;=K$47,J$47)</f>
        <v/>
      </c>
      <c r="K421" s="38" t="n">
        <v>371</v>
      </c>
      <c r="L421" s="31">
        <f>K421/52</f>
        <v/>
      </c>
      <c r="M421" s="39">
        <f>J421/1000000*52</f>
        <v/>
      </c>
      <c r="N421" s="33">
        <f>M421/$P$4+($I$22/$P$4)</f>
        <v/>
      </c>
      <c r="U421">
        <f>F420</f>
        <v/>
      </c>
      <c r="V421">
        <f>H420</f>
        <v/>
      </c>
      <c r="W421">
        <f>N420</f>
        <v/>
      </c>
    </row>
    <row r="422" ht="15.75" customHeight="1" s="40">
      <c r="C422" s="36">
        <f>_xlfn.IFS(E422&lt;E$24,0,E422&lt;E$26,C$24,E422&lt;E$28,C$26,E422&lt;E$30,C$28,E422&lt;E$32,C$30,E422&lt;E$34,C$32,E422&gt;=E$34,C$34)</f>
        <v/>
      </c>
      <c r="D422" s="37">
        <f>_xlfn.IFS(E422&lt;E$24,0,E422&lt;E$25,D$24,E422&lt;E$26,D$25,E422&lt;E$27,D$26,E422&lt;E$28,D$27,E422&lt;E$29,D$28,E422&lt;E$30,D$29,E422&lt;E$31,D$30,E422&lt;E$32,D$31,E422&lt;E$33,D$32,E422&lt;E$34,D$33,E422&lt;E$35,D$34,E422&gt;=E$35,D$35)</f>
        <v/>
      </c>
      <c r="E422" s="38" t="n">
        <v>372</v>
      </c>
      <c r="F422" s="31">
        <f>E422/52</f>
        <v/>
      </c>
      <c r="G422" s="39">
        <f>D422/1000000*52</f>
        <v/>
      </c>
      <c r="H422" s="33">
        <f>G422/$P$4+($C$22/$P$4)</f>
        <v/>
      </c>
      <c r="I422" s="36">
        <f>_xlfn.IFS(K422&lt;K$24,0,K422&lt;K$26,I$24,K422&lt;K$28,I$26,K422&lt;K$30,I$28,K422&lt;K$32,I$30,K422&lt;K$34,I$32,K422&lt;K$36,I$34,K422&lt;K$38,I$36,K422&lt;K$40,I$38,K422&lt;K$42,I$40,K422&lt;K$44,I$42,K422&lt;K$46,I$44,K422&gt;=K$46,I$46)</f>
        <v/>
      </c>
      <c r="J422" s="37">
        <f>_xlfn.IFS(K422&lt;K$24,0,K422&lt;K$25,J$24,K422&lt;K$26,J$25,K422&lt;K$27,J$26,K422&lt;K$28,J$27,K422&lt;K$29,J$28,K422&lt;K$30,J$29,K422&lt;K$31,J$30,K422&lt;K$32,J$31,K422&lt;K$33,J$32,K422&lt;K$34,J$33,K422&lt;K$35,J$34,K422&lt;K$36,J$35,K422&lt;K$37,J$36,K422&lt;K$38,J$37,K422&lt;K$39,J$38,K422&lt;K$40,J$39,K422&lt;K$41,J$40,K422&lt;K$42,J$41,K422&lt;K$43,J$42,K422&lt;K$44,J$43,K422&lt;K$45,J$44,K422&lt;K$46,J$45,K422&lt;K$47,J$46,K422&gt;=K$47,J$47)</f>
        <v/>
      </c>
      <c r="K422" s="38" t="n">
        <v>372</v>
      </c>
      <c r="L422" s="31">
        <f>K422/52</f>
        <v/>
      </c>
      <c r="M422" s="39">
        <f>J422/1000000*52</f>
        <v/>
      </c>
      <c r="N422" s="33">
        <f>M422/$P$4+($I$22/$P$4)</f>
        <v/>
      </c>
      <c r="U422">
        <f>F421</f>
        <v/>
      </c>
      <c r="V422">
        <f>H421</f>
        <v/>
      </c>
      <c r="W422">
        <f>N421</f>
        <v/>
      </c>
    </row>
    <row r="423" ht="15.75" customHeight="1" s="40">
      <c r="C423" s="36">
        <f>_xlfn.IFS(E423&lt;E$24,0,E423&lt;E$26,C$24,E423&lt;E$28,C$26,E423&lt;E$30,C$28,E423&lt;E$32,C$30,E423&lt;E$34,C$32,E423&gt;=E$34,C$34)</f>
        <v/>
      </c>
      <c r="D423" s="37">
        <f>_xlfn.IFS(E423&lt;E$24,0,E423&lt;E$25,D$24,E423&lt;E$26,D$25,E423&lt;E$27,D$26,E423&lt;E$28,D$27,E423&lt;E$29,D$28,E423&lt;E$30,D$29,E423&lt;E$31,D$30,E423&lt;E$32,D$31,E423&lt;E$33,D$32,E423&lt;E$34,D$33,E423&lt;E$35,D$34,E423&gt;=E$35,D$35)</f>
        <v/>
      </c>
      <c r="E423" s="38" t="n">
        <v>373</v>
      </c>
      <c r="F423" s="31">
        <f>E423/52</f>
        <v/>
      </c>
      <c r="G423" s="39">
        <f>D423/1000000*52</f>
        <v/>
      </c>
      <c r="H423" s="33">
        <f>G423/$P$4+($C$22/$P$4)</f>
        <v/>
      </c>
      <c r="I423" s="36">
        <f>_xlfn.IFS(K423&lt;K$24,0,K423&lt;K$26,I$24,K423&lt;K$28,I$26,K423&lt;K$30,I$28,K423&lt;K$32,I$30,K423&lt;K$34,I$32,K423&lt;K$36,I$34,K423&lt;K$38,I$36,K423&lt;K$40,I$38,K423&lt;K$42,I$40,K423&lt;K$44,I$42,K423&lt;K$46,I$44,K423&gt;=K$46,I$46)</f>
        <v/>
      </c>
      <c r="J423" s="37">
        <f>_xlfn.IFS(K423&lt;K$24,0,K423&lt;K$25,J$24,K423&lt;K$26,J$25,K423&lt;K$27,J$26,K423&lt;K$28,J$27,K423&lt;K$29,J$28,K423&lt;K$30,J$29,K423&lt;K$31,J$30,K423&lt;K$32,J$31,K423&lt;K$33,J$32,K423&lt;K$34,J$33,K423&lt;K$35,J$34,K423&lt;K$36,J$35,K423&lt;K$37,J$36,K423&lt;K$38,J$37,K423&lt;K$39,J$38,K423&lt;K$40,J$39,K423&lt;K$41,J$40,K423&lt;K$42,J$41,K423&lt;K$43,J$42,K423&lt;K$44,J$43,K423&lt;K$45,J$44,K423&lt;K$46,J$45,K423&lt;K$47,J$46,K423&gt;=K$47,J$47)</f>
        <v/>
      </c>
      <c r="K423" s="38" t="n">
        <v>373</v>
      </c>
      <c r="L423" s="31">
        <f>K423/52</f>
        <v/>
      </c>
      <c r="M423" s="39">
        <f>J423/1000000*52</f>
        <v/>
      </c>
      <c r="N423" s="33">
        <f>M423/$P$4+($I$22/$P$4)</f>
        <v/>
      </c>
      <c r="U423">
        <f>F422</f>
        <v/>
      </c>
      <c r="V423">
        <f>H422</f>
        <v/>
      </c>
      <c r="W423">
        <f>N422</f>
        <v/>
      </c>
    </row>
    <row r="424" ht="15.75" customHeight="1" s="40">
      <c r="C424" s="36">
        <f>_xlfn.IFS(E424&lt;E$24,0,E424&lt;E$26,C$24,E424&lt;E$28,C$26,E424&lt;E$30,C$28,E424&lt;E$32,C$30,E424&lt;E$34,C$32,E424&gt;=E$34,C$34)</f>
        <v/>
      </c>
      <c r="D424" s="37">
        <f>_xlfn.IFS(E424&lt;E$24,0,E424&lt;E$25,D$24,E424&lt;E$26,D$25,E424&lt;E$27,D$26,E424&lt;E$28,D$27,E424&lt;E$29,D$28,E424&lt;E$30,D$29,E424&lt;E$31,D$30,E424&lt;E$32,D$31,E424&lt;E$33,D$32,E424&lt;E$34,D$33,E424&lt;E$35,D$34,E424&gt;=E$35,D$35)</f>
        <v/>
      </c>
      <c r="E424" s="38" t="n">
        <v>374</v>
      </c>
      <c r="F424" s="31">
        <f>E424/52</f>
        <v/>
      </c>
      <c r="G424" s="39">
        <f>D424/1000000*52</f>
        <v/>
      </c>
      <c r="H424" s="33">
        <f>G424/$P$4+($C$22/$P$4)</f>
        <v/>
      </c>
      <c r="I424" s="36">
        <f>_xlfn.IFS(K424&lt;K$24,0,K424&lt;K$26,I$24,K424&lt;K$28,I$26,K424&lt;K$30,I$28,K424&lt;K$32,I$30,K424&lt;K$34,I$32,K424&lt;K$36,I$34,K424&lt;K$38,I$36,K424&lt;K$40,I$38,K424&lt;K$42,I$40,K424&lt;K$44,I$42,K424&lt;K$46,I$44,K424&gt;=K$46,I$46)</f>
        <v/>
      </c>
      <c r="J424" s="37">
        <f>_xlfn.IFS(K424&lt;K$24,0,K424&lt;K$25,J$24,K424&lt;K$26,J$25,K424&lt;K$27,J$26,K424&lt;K$28,J$27,K424&lt;K$29,J$28,K424&lt;K$30,J$29,K424&lt;K$31,J$30,K424&lt;K$32,J$31,K424&lt;K$33,J$32,K424&lt;K$34,J$33,K424&lt;K$35,J$34,K424&lt;K$36,J$35,K424&lt;K$37,J$36,K424&lt;K$38,J$37,K424&lt;K$39,J$38,K424&lt;K$40,J$39,K424&lt;K$41,J$40,K424&lt;K$42,J$41,K424&lt;K$43,J$42,K424&lt;K$44,J$43,K424&lt;K$45,J$44,K424&lt;K$46,J$45,K424&lt;K$47,J$46,K424&gt;=K$47,J$47)</f>
        <v/>
      </c>
      <c r="K424" s="38" t="n">
        <v>374</v>
      </c>
      <c r="L424" s="31">
        <f>K424/52</f>
        <v/>
      </c>
      <c r="M424" s="39">
        <f>J424/1000000*52</f>
        <v/>
      </c>
      <c r="N424" s="33">
        <f>M424/$P$4+($I$22/$P$4)</f>
        <v/>
      </c>
      <c r="U424">
        <f>F423</f>
        <v/>
      </c>
      <c r="V424">
        <f>H423</f>
        <v/>
      </c>
      <c r="W424">
        <f>N423</f>
        <v/>
      </c>
    </row>
    <row r="425" ht="15.75" customHeight="1" s="40">
      <c r="C425" s="36">
        <f>_xlfn.IFS(E425&lt;E$24,0,E425&lt;E$26,C$24,E425&lt;E$28,C$26,E425&lt;E$30,C$28,E425&lt;E$32,C$30,E425&lt;E$34,C$32,E425&gt;=E$34,C$34)</f>
        <v/>
      </c>
      <c r="D425" s="37">
        <f>_xlfn.IFS(E425&lt;E$24,0,E425&lt;E$25,D$24,E425&lt;E$26,D$25,E425&lt;E$27,D$26,E425&lt;E$28,D$27,E425&lt;E$29,D$28,E425&lt;E$30,D$29,E425&lt;E$31,D$30,E425&lt;E$32,D$31,E425&lt;E$33,D$32,E425&lt;E$34,D$33,E425&lt;E$35,D$34,E425&gt;=E$35,D$35)</f>
        <v/>
      </c>
      <c r="E425" s="38" t="n">
        <v>375</v>
      </c>
      <c r="F425" s="31">
        <f>E425/52</f>
        <v/>
      </c>
      <c r="G425" s="39">
        <f>D425/1000000*52</f>
        <v/>
      </c>
      <c r="H425" s="33">
        <f>G425/$P$4+($C$22/$P$4)</f>
        <v/>
      </c>
      <c r="I425" s="36">
        <f>_xlfn.IFS(K425&lt;K$24,0,K425&lt;K$26,I$24,K425&lt;K$28,I$26,K425&lt;K$30,I$28,K425&lt;K$32,I$30,K425&lt;K$34,I$32,K425&lt;K$36,I$34,K425&lt;K$38,I$36,K425&lt;K$40,I$38,K425&lt;K$42,I$40,K425&lt;K$44,I$42,K425&lt;K$46,I$44,K425&gt;=K$46,I$46)</f>
        <v/>
      </c>
      <c r="J425" s="37">
        <f>_xlfn.IFS(K425&lt;K$24,0,K425&lt;K$25,J$24,K425&lt;K$26,J$25,K425&lt;K$27,J$26,K425&lt;K$28,J$27,K425&lt;K$29,J$28,K425&lt;K$30,J$29,K425&lt;K$31,J$30,K425&lt;K$32,J$31,K425&lt;K$33,J$32,K425&lt;K$34,J$33,K425&lt;K$35,J$34,K425&lt;K$36,J$35,K425&lt;K$37,J$36,K425&lt;K$38,J$37,K425&lt;K$39,J$38,K425&lt;K$40,J$39,K425&lt;K$41,J$40,K425&lt;K$42,J$41,K425&lt;K$43,J$42,K425&lt;K$44,J$43,K425&lt;K$45,J$44,K425&lt;K$46,J$45,K425&lt;K$47,J$46,K425&gt;=K$47,J$47)</f>
        <v/>
      </c>
      <c r="K425" s="38" t="n">
        <v>375</v>
      </c>
      <c r="L425" s="31">
        <f>K425/52</f>
        <v/>
      </c>
      <c r="M425" s="39">
        <f>J425/1000000*52</f>
        <v/>
      </c>
      <c r="N425" s="33">
        <f>M425/$P$4+($I$22/$P$4)</f>
        <v/>
      </c>
      <c r="U425">
        <f>F424</f>
        <v/>
      </c>
      <c r="V425">
        <f>H424</f>
        <v/>
      </c>
      <c r="W425">
        <f>N424</f>
        <v/>
      </c>
    </row>
    <row r="426" ht="15.75" customHeight="1" s="40">
      <c r="C426" s="36">
        <f>_xlfn.IFS(E426&lt;E$24,0,E426&lt;E$26,C$24,E426&lt;E$28,C$26,E426&lt;E$30,C$28,E426&lt;E$32,C$30,E426&lt;E$34,C$32,E426&gt;=E$34,C$34)</f>
        <v/>
      </c>
      <c r="D426" s="37">
        <f>_xlfn.IFS(E426&lt;E$24,0,E426&lt;E$25,D$24,E426&lt;E$26,D$25,E426&lt;E$27,D$26,E426&lt;E$28,D$27,E426&lt;E$29,D$28,E426&lt;E$30,D$29,E426&lt;E$31,D$30,E426&lt;E$32,D$31,E426&lt;E$33,D$32,E426&lt;E$34,D$33,E426&lt;E$35,D$34,E426&gt;=E$35,D$35)</f>
        <v/>
      </c>
      <c r="E426" s="38" t="n">
        <v>376</v>
      </c>
      <c r="F426" s="31">
        <f>E426/52</f>
        <v/>
      </c>
      <c r="G426" s="39">
        <f>D426/1000000*52</f>
        <v/>
      </c>
      <c r="H426" s="33">
        <f>G426/$P$4+($C$22/$P$4)</f>
        <v/>
      </c>
      <c r="I426" s="36">
        <f>_xlfn.IFS(K426&lt;K$24,0,K426&lt;K$26,I$24,K426&lt;K$28,I$26,K426&lt;K$30,I$28,K426&lt;K$32,I$30,K426&lt;K$34,I$32,K426&lt;K$36,I$34,K426&lt;K$38,I$36,K426&lt;K$40,I$38,K426&lt;K$42,I$40,K426&lt;K$44,I$42,K426&lt;K$46,I$44,K426&gt;=K$46,I$46)</f>
        <v/>
      </c>
      <c r="J426" s="37">
        <f>_xlfn.IFS(K426&lt;K$24,0,K426&lt;K$25,J$24,K426&lt;K$26,J$25,K426&lt;K$27,J$26,K426&lt;K$28,J$27,K426&lt;K$29,J$28,K426&lt;K$30,J$29,K426&lt;K$31,J$30,K426&lt;K$32,J$31,K426&lt;K$33,J$32,K426&lt;K$34,J$33,K426&lt;K$35,J$34,K426&lt;K$36,J$35,K426&lt;K$37,J$36,K426&lt;K$38,J$37,K426&lt;K$39,J$38,K426&lt;K$40,J$39,K426&lt;K$41,J$40,K426&lt;K$42,J$41,K426&lt;K$43,J$42,K426&lt;K$44,J$43,K426&lt;K$45,J$44,K426&lt;K$46,J$45,K426&lt;K$47,J$46,K426&gt;=K$47,J$47)</f>
        <v/>
      </c>
      <c r="K426" s="38" t="n">
        <v>376</v>
      </c>
      <c r="L426" s="31">
        <f>K426/52</f>
        <v/>
      </c>
      <c r="M426" s="39">
        <f>J426/1000000*52</f>
        <v/>
      </c>
      <c r="N426" s="33">
        <f>M426/$P$4+($I$22/$P$4)</f>
        <v/>
      </c>
      <c r="U426">
        <f>F425</f>
        <v/>
      </c>
      <c r="V426">
        <f>H425</f>
        <v/>
      </c>
      <c r="W426">
        <f>N425</f>
        <v/>
      </c>
    </row>
    <row r="427" ht="15.75" customHeight="1" s="40">
      <c r="C427" s="36">
        <f>_xlfn.IFS(E427&lt;E$24,0,E427&lt;E$26,C$24,E427&lt;E$28,C$26,E427&lt;E$30,C$28,E427&lt;E$32,C$30,E427&lt;E$34,C$32,E427&gt;=E$34,C$34)</f>
        <v/>
      </c>
      <c r="D427" s="37">
        <f>_xlfn.IFS(E427&lt;E$24,0,E427&lt;E$25,D$24,E427&lt;E$26,D$25,E427&lt;E$27,D$26,E427&lt;E$28,D$27,E427&lt;E$29,D$28,E427&lt;E$30,D$29,E427&lt;E$31,D$30,E427&lt;E$32,D$31,E427&lt;E$33,D$32,E427&lt;E$34,D$33,E427&lt;E$35,D$34,E427&gt;=E$35,D$35)</f>
        <v/>
      </c>
      <c r="E427" s="38" t="n">
        <v>377</v>
      </c>
      <c r="F427" s="31">
        <f>E427/52</f>
        <v/>
      </c>
      <c r="G427" s="39">
        <f>D427/1000000*52</f>
        <v/>
      </c>
      <c r="H427" s="33">
        <f>G427/$P$4+($C$22/$P$4)</f>
        <v/>
      </c>
      <c r="I427" s="36">
        <f>_xlfn.IFS(K427&lt;K$24,0,K427&lt;K$26,I$24,K427&lt;K$28,I$26,K427&lt;K$30,I$28,K427&lt;K$32,I$30,K427&lt;K$34,I$32,K427&lt;K$36,I$34,K427&lt;K$38,I$36,K427&lt;K$40,I$38,K427&lt;K$42,I$40,K427&lt;K$44,I$42,K427&lt;K$46,I$44,K427&gt;=K$46,I$46)</f>
        <v/>
      </c>
      <c r="J427" s="37">
        <f>_xlfn.IFS(K427&lt;K$24,0,K427&lt;K$25,J$24,K427&lt;K$26,J$25,K427&lt;K$27,J$26,K427&lt;K$28,J$27,K427&lt;K$29,J$28,K427&lt;K$30,J$29,K427&lt;K$31,J$30,K427&lt;K$32,J$31,K427&lt;K$33,J$32,K427&lt;K$34,J$33,K427&lt;K$35,J$34,K427&lt;K$36,J$35,K427&lt;K$37,J$36,K427&lt;K$38,J$37,K427&lt;K$39,J$38,K427&lt;K$40,J$39,K427&lt;K$41,J$40,K427&lt;K$42,J$41,K427&lt;K$43,J$42,K427&lt;K$44,J$43,K427&lt;K$45,J$44,K427&lt;K$46,J$45,K427&lt;K$47,J$46,K427&gt;=K$47,J$47)</f>
        <v/>
      </c>
      <c r="K427" s="38" t="n">
        <v>377</v>
      </c>
      <c r="L427" s="31">
        <f>K427/52</f>
        <v/>
      </c>
      <c r="M427" s="39">
        <f>J427/1000000*52</f>
        <v/>
      </c>
      <c r="N427" s="33">
        <f>M427/$P$4+($I$22/$P$4)</f>
        <v/>
      </c>
      <c r="U427">
        <f>F426</f>
        <v/>
      </c>
      <c r="V427">
        <f>H426</f>
        <v/>
      </c>
      <c r="W427">
        <f>N426</f>
        <v/>
      </c>
    </row>
    <row r="428" ht="15.75" customHeight="1" s="40">
      <c r="C428" s="36">
        <f>_xlfn.IFS(E428&lt;E$24,0,E428&lt;E$26,C$24,E428&lt;E$28,C$26,E428&lt;E$30,C$28,E428&lt;E$32,C$30,E428&lt;E$34,C$32,E428&gt;=E$34,C$34)</f>
        <v/>
      </c>
      <c r="D428" s="37">
        <f>_xlfn.IFS(E428&lt;E$24,0,E428&lt;E$25,D$24,E428&lt;E$26,D$25,E428&lt;E$27,D$26,E428&lt;E$28,D$27,E428&lt;E$29,D$28,E428&lt;E$30,D$29,E428&lt;E$31,D$30,E428&lt;E$32,D$31,E428&lt;E$33,D$32,E428&lt;E$34,D$33,E428&lt;E$35,D$34,E428&gt;=E$35,D$35)</f>
        <v/>
      </c>
      <c r="E428" s="38" t="n">
        <v>378</v>
      </c>
      <c r="F428" s="31">
        <f>E428/52</f>
        <v/>
      </c>
      <c r="G428" s="39">
        <f>D428/1000000*52</f>
        <v/>
      </c>
      <c r="H428" s="33">
        <f>G428/$P$4+($C$22/$P$4)</f>
        <v/>
      </c>
      <c r="I428" s="36">
        <f>_xlfn.IFS(K428&lt;K$24,0,K428&lt;K$26,I$24,K428&lt;K$28,I$26,K428&lt;K$30,I$28,K428&lt;K$32,I$30,K428&lt;K$34,I$32,K428&lt;K$36,I$34,K428&lt;K$38,I$36,K428&lt;K$40,I$38,K428&lt;K$42,I$40,K428&lt;K$44,I$42,K428&lt;K$46,I$44,K428&gt;=K$46,I$46)</f>
        <v/>
      </c>
      <c r="J428" s="37">
        <f>_xlfn.IFS(K428&lt;K$24,0,K428&lt;K$25,J$24,K428&lt;K$26,J$25,K428&lt;K$27,J$26,K428&lt;K$28,J$27,K428&lt;K$29,J$28,K428&lt;K$30,J$29,K428&lt;K$31,J$30,K428&lt;K$32,J$31,K428&lt;K$33,J$32,K428&lt;K$34,J$33,K428&lt;K$35,J$34,K428&lt;K$36,J$35,K428&lt;K$37,J$36,K428&lt;K$38,J$37,K428&lt;K$39,J$38,K428&lt;K$40,J$39,K428&lt;K$41,J$40,K428&lt;K$42,J$41,K428&lt;K$43,J$42,K428&lt;K$44,J$43,K428&lt;K$45,J$44,K428&lt;K$46,J$45,K428&lt;K$47,J$46,K428&gt;=K$47,J$47)</f>
        <v/>
      </c>
      <c r="K428" s="38" t="n">
        <v>378</v>
      </c>
      <c r="L428" s="31">
        <f>K428/52</f>
        <v/>
      </c>
      <c r="M428" s="39">
        <f>J428/1000000*52</f>
        <v/>
      </c>
      <c r="N428" s="33">
        <f>M428/$P$4+($I$22/$P$4)</f>
        <v/>
      </c>
      <c r="U428">
        <f>F427</f>
        <v/>
      </c>
      <c r="V428">
        <f>H427</f>
        <v/>
      </c>
      <c r="W428">
        <f>N427</f>
        <v/>
      </c>
    </row>
    <row r="429" ht="15.75" customHeight="1" s="40">
      <c r="C429" s="36">
        <f>_xlfn.IFS(E429&lt;E$24,0,E429&lt;E$26,C$24,E429&lt;E$28,C$26,E429&lt;E$30,C$28,E429&lt;E$32,C$30,E429&lt;E$34,C$32,E429&gt;=E$34,C$34)</f>
        <v/>
      </c>
      <c r="D429" s="37">
        <f>_xlfn.IFS(E429&lt;E$24,0,E429&lt;E$25,D$24,E429&lt;E$26,D$25,E429&lt;E$27,D$26,E429&lt;E$28,D$27,E429&lt;E$29,D$28,E429&lt;E$30,D$29,E429&lt;E$31,D$30,E429&lt;E$32,D$31,E429&lt;E$33,D$32,E429&lt;E$34,D$33,E429&lt;E$35,D$34,E429&gt;=E$35,D$35)</f>
        <v/>
      </c>
      <c r="E429" s="38" t="n">
        <v>379</v>
      </c>
      <c r="F429" s="31">
        <f>E429/52</f>
        <v/>
      </c>
      <c r="G429" s="39">
        <f>D429/1000000*52</f>
        <v/>
      </c>
      <c r="H429" s="33">
        <f>G429/$P$4+($C$22/$P$4)</f>
        <v/>
      </c>
      <c r="I429" s="36">
        <f>_xlfn.IFS(K429&lt;K$24,0,K429&lt;K$26,I$24,K429&lt;K$28,I$26,K429&lt;K$30,I$28,K429&lt;K$32,I$30,K429&lt;K$34,I$32,K429&lt;K$36,I$34,K429&lt;K$38,I$36,K429&lt;K$40,I$38,K429&lt;K$42,I$40,K429&lt;K$44,I$42,K429&lt;K$46,I$44,K429&gt;=K$46,I$46)</f>
        <v/>
      </c>
      <c r="J429" s="37">
        <f>_xlfn.IFS(K429&lt;K$24,0,K429&lt;K$25,J$24,K429&lt;K$26,J$25,K429&lt;K$27,J$26,K429&lt;K$28,J$27,K429&lt;K$29,J$28,K429&lt;K$30,J$29,K429&lt;K$31,J$30,K429&lt;K$32,J$31,K429&lt;K$33,J$32,K429&lt;K$34,J$33,K429&lt;K$35,J$34,K429&lt;K$36,J$35,K429&lt;K$37,J$36,K429&lt;K$38,J$37,K429&lt;K$39,J$38,K429&lt;K$40,J$39,K429&lt;K$41,J$40,K429&lt;K$42,J$41,K429&lt;K$43,J$42,K429&lt;K$44,J$43,K429&lt;K$45,J$44,K429&lt;K$46,J$45,K429&lt;K$47,J$46,K429&gt;=K$47,J$47)</f>
        <v/>
      </c>
      <c r="K429" s="38" t="n">
        <v>379</v>
      </c>
      <c r="L429" s="31">
        <f>K429/52</f>
        <v/>
      </c>
      <c r="M429" s="39">
        <f>J429/1000000*52</f>
        <v/>
      </c>
      <c r="N429" s="33">
        <f>M429/$P$4+($I$22/$P$4)</f>
        <v/>
      </c>
      <c r="U429">
        <f>F428</f>
        <v/>
      </c>
      <c r="V429">
        <f>H428</f>
        <v/>
      </c>
      <c r="W429">
        <f>N428</f>
        <v/>
      </c>
    </row>
    <row r="430" ht="15.75" customHeight="1" s="40">
      <c r="C430" s="36">
        <f>_xlfn.IFS(E430&lt;E$24,0,E430&lt;E$26,C$24,E430&lt;E$28,C$26,E430&lt;E$30,C$28,E430&lt;E$32,C$30,E430&lt;E$34,C$32,E430&gt;=E$34,C$34)</f>
        <v/>
      </c>
      <c r="D430" s="37">
        <f>_xlfn.IFS(E430&lt;E$24,0,E430&lt;E$25,D$24,E430&lt;E$26,D$25,E430&lt;E$27,D$26,E430&lt;E$28,D$27,E430&lt;E$29,D$28,E430&lt;E$30,D$29,E430&lt;E$31,D$30,E430&lt;E$32,D$31,E430&lt;E$33,D$32,E430&lt;E$34,D$33,E430&lt;E$35,D$34,E430&gt;=E$35,D$35)</f>
        <v/>
      </c>
      <c r="E430" s="38" t="n">
        <v>380</v>
      </c>
      <c r="F430" s="31">
        <f>E430/52</f>
        <v/>
      </c>
      <c r="G430" s="39">
        <f>D430/1000000*52</f>
        <v/>
      </c>
      <c r="H430" s="33">
        <f>G430/$P$4+($C$22/$P$4)</f>
        <v/>
      </c>
      <c r="I430" s="36">
        <f>_xlfn.IFS(K430&lt;K$24,0,K430&lt;K$26,I$24,K430&lt;K$28,I$26,K430&lt;K$30,I$28,K430&lt;K$32,I$30,K430&lt;K$34,I$32,K430&lt;K$36,I$34,K430&lt;K$38,I$36,K430&lt;K$40,I$38,K430&lt;K$42,I$40,K430&lt;K$44,I$42,K430&lt;K$46,I$44,K430&gt;=K$46,I$46)</f>
        <v/>
      </c>
      <c r="J430" s="37">
        <f>_xlfn.IFS(K430&lt;K$24,0,K430&lt;K$25,J$24,K430&lt;K$26,J$25,K430&lt;K$27,J$26,K430&lt;K$28,J$27,K430&lt;K$29,J$28,K430&lt;K$30,J$29,K430&lt;K$31,J$30,K430&lt;K$32,J$31,K430&lt;K$33,J$32,K430&lt;K$34,J$33,K430&lt;K$35,J$34,K430&lt;K$36,J$35,K430&lt;K$37,J$36,K430&lt;K$38,J$37,K430&lt;K$39,J$38,K430&lt;K$40,J$39,K430&lt;K$41,J$40,K430&lt;K$42,J$41,K430&lt;K$43,J$42,K430&lt;K$44,J$43,K430&lt;K$45,J$44,K430&lt;K$46,J$45,K430&lt;K$47,J$46,K430&gt;=K$47,J$47)</f>
        <v/>
      </c>
      <c r="K430" s="38" t="n">
        <v>380</v>
      </c>
      <c r="L430" s="31">
        <f>K430/52</f>
        <v/>
      </c>
      <c r="M430" s="39">
        <f>J430/1000000*52</f>
        <v/>
      </c>
      <c r="N430" s="33">
        <f>M430/$P$4+($I$22/$P$4)</f>
        <v/>
      </c>
      <c r="U430">
        <f>F429</f>
        <v/>
      </c>
      <c r="V430">
        <f>H429</f>
        <v/>
      </c>
      <c r="W430">
        <f>N429</f>
        <v/>
      </c>
    </row>
    <row r="431" ht="15.75" customHeight="1" s="40">
      <c r="C431" s="36">
        <f>_xlfn.IFS(E431&lt;E$24,0,E431&lt;E$26,C$24,E431&lt;E$28,C$26,E431&lt;E$30,C$28,E431&lt;E$32,C$30,E431&lt;E$34,C$32,E431&gt;=E$34,C$34)</f>
        <v/>
      </c>
      <c r="D431" s="37">
        <f>_xlfn.IFS(E431&lt;E$24,0,E431&lt;E$25,D$24,E431&lt;E$26,D$25,E431&lt;E$27,D$26,E431&lt;E$28,D$27,E431&lt;E$29,D$28,E431&lt;E$30,D$29,E431&lt;E$31,D$30,E431&lt;E$32,D$31,E431&lt;E$33,D$32,E431&lt;E$34,D$33,E431&lt;E$35,D$34,E431&gt;=E$35,D$35)</f>
        <v/>
      </c>
      <c r="E431" s="38" t="n">
        <v>381</v>
      </c>
      <c r="F431" s="31">
        <f>E431/52</f>
        <v/>
      </c>
      <c r="G431" s="39">
        <f>D431/1000000*52</f>
        <v/>
      </c>
      <c r="H431" s="33">
        <f>G431/$P$4+($C$22/$P$4)</f>
        <v/>
      </c>
      <c r="I431" s="36">
        <f>_xlfn.IFS(K431&lt;K$24,0,K431&lt;K$26,I$24,K431&lt;K$28,I$26,K431&lt;K$30,I$28,K431&lt;K$32,I$30,K431&lt;K$34,I$32,K431&lt;K$36,I$34,K431&lt;K$38,I$36,K431&lt;K$40,I$38,K431&lt;K$42,I$40,K431&lt;K$44,I$42,K431&lt;K$46,I$44,K431&gt;=K$46,I$46)</f>
        <v/>
      </c>
      <c r="J431" s="37">
        <f>_xlfn.IFS(K431&lt;K$24,0,K431&lt;K$25,J$24,K431&lt;K$26,J$25,K431&lt;K$27,J$26,K431&lt;K$28,J$27,K431&lt;K$29,J$28,K431&lt;K$30,J$29,K431&lt;K$31,J$30,K431&lt;K$32,J$31,K431&lt;K$33,J$32,K431&lt;K$34,J$33,K431&lt;K$35,J$34,K431&lt;K$36,J$35,K431&lt;K$37,J$36,K431&lt;K$38,J$37,K431&lt;K$39,J$38,K431&lt;K$40,J$39,K431&lt;K$41,J$40,K431&lt;K$42,J$41,K431&lt;K$43,J$42,K431&lt;K$44,J$43,K431&lt;K$45,J$44,K431&lt;K$46,J$45,K431&lt;K$47,J$46,K431&gt;=K$47,J$47)</f>
        <v/>
      </c>
      <c r="K431" s="38" t="n">
        <v>381</v>
      </c>
      <c r="L431" s="31">
        <f>K431/52</f>
        <v/>
      </c>
      <c r="M431" s="39">
        <f>J431/1000000*52</f>
        <v/>
      </c>
      <c r="N431" s="33">
        <f>M431/$P$4+($I$22/$P$4)</f>
        <v/>
      </c>
      <c r="U431">
        <f>F430</f>
        <v/>
      </c>
      <c r="V431">
        <f>H430</f>
        <v/>
      </c>
      <c r="W431">
        <f>N430</f>
        <v/>
      </c>
    </row>
    <row r="432" ht="15.75" customHeight="1" s="40">
      <c r="C432" s="36">
        <f>_xlfn.IFS(E432&lt;E$24,0,E432&lt;E$26,C$24,E432&lt;E$28,C$26,E432&lt;E$30,C$28,E432&lt;E$32,C$30,E432&lt;E$34,C$32,E432&gt;=E$34,C$34)</f>
        <v/>
      </c>
      <c r="D432" s="37">
        <f>_xlfn.IFS(E432&lt;E$24,0,E432&lt;E$25,D$24,E432&lt;E$26,D$25,E432&lt;E$27,D$26,E432&lt;E$28,D$27,E432&lt;E$29,D$28,E432&lt;E$30,D$29,E432&lt;E$31,D$30,E432&lt;E$32,D$31,E432&lt;E$33,D$32,E432&lt;E$34,D$33,E432&lt;E$35,D$34,E432&gt;=E$35,D$35)</f>
        <v/>
      </c>
      <c r="E432" s="38" t="n">
        <v>382</v>
      </c>
      <c r="F432" s="31">
        <f>E432/52</f>
        <v/>
      </c>
      <c r="G432" s="39">
        <f>D432/1000000*52</f>
        <v/>
      </c>
      <c r="H432" s="33">
        <f>G432/$P$4+($C$22/$P$4)</f>
        <v/>
      </c>
      <c r="I432" s="36">
        <f>_xlfn.IFS(K432&lt;K$24,0,K432&lt;K$26,I$24,K432&lt;K$28,I$26,K432&lt;K$30,I$28,K432&lt;K$32,I$30,K432&lt;K$34,I$32,K432&lt;K$36,I$34,K432&lt;K$38,I$36,K432&lt;K$40,I$38,K432&lt;K$42,I$40,K432&lt;K$44,I$42,K432&lt;K$46,I$44,K432&gt;=K$46,I$46)</f>
        <v/>
      </c>
      <c r="J432" s="37">
        <f>_xlfn.IFS(K432&lt;K$24,0,K432&lt;K$25,J$24,K432&lt;K$26,J$25,K432&lt;K$27,J$26,K432&lt;K$28,J$27,K432&lt;K$29,J$28,K432&lt;K$30,J$29,K432&lt;K$31,J$30,K432&lt;K$32,J$31,K432&lt;K$33,J$32,K432&lt;K$34,J$33,K432&lt;K$35,J$34,K432&lt;K$36,J$35,K432&lt;K$37,J$36,K432&lt;K$38,J$37,K432&lt;K$39,J$38,K432&lt;K$40,J$39,K432&lt;K$41,J$40,K432&lt;K$42,J$41,K432&lt;K$43,J$42,K432&lt;K$44,J$43,K432&lt;K$45,J$44,K432&lt;K$46,J$45,K432&lt;K$47,J$46,K432&gt;=K$47,J$47)</f>
        <v/>
      </c>
      <c r="K432" s="38" t="n">
        <v>382</v>
      </c>
      <c r="L432" s="31">
        <f>K432/52</f>
        <v/>
      </c>
      <c r="M432" s="39">
        <f>J432/1000000*52</f>
        <v/>
      </c>
      <c r="N432" s="33">
        <f>M432/$P$4+($I$22/$P$4)</f>
        <v/>
      </c>
      <c r="U432">
        <f>F431</f>
        <v/>
      </c>
      <c r="V432">
        <f>H431</f>
        <v/>
      </c>
      <c r="W432">
        <f>N431</f>
        <v/>
      </c>
    </row>
    <row r="433" ht="15.75" customHeight="1" s="40">
      <c r="C433" s="36">
        <f>_xlfn.IFS(E433&lt;E$24,0,E433&lt;E$26,C$24,E433&lt;E$28,C$26,E433&lt;E$30,C$28,E433&lt;E$32,C$30,E433&lt;E$34,C$32,E433&gt;=E$34,C$34)</f>
        <v/>
      </c>
      <c r="D433" s="37">
        <f>_xlfn.IFS(E433&lt;E$24,0,E433&lt;E$25,D$24,E433&lt;E$26,D$25,E433&lt;E$27,D$26,E433&lt;E$28,D$27,E433&lt;E$29,D$28,E433&lt;E$30,D$29,E433&lt;E$31,D$30,E433&lt;E$32,D$31,E433&lt;E$33,D$32,E433&lt;E$34,D$33,E433&lt;E$35,D$34,E433&gt;=E$35,D$35)</f>
        <v/>
      </c>
      <c r="E433" s="38" t="n">
        <v>383</v>
      </c>
      <c r="F433" s="31">
        <f>E433/52</f>
        <v/>
      </c>
      <c r="G433" s="39">
        <f>D433/1000000*52</f>
        <v/>
      </c>
      <c r="H433" s="33">
        <f>G433/$P$4+($C$22/$P$4)</f>
        <v/>
      </c>
      <c r="I433" s="36">
        <f>_xlfn.IFS(K433&lt;K$24,0,K433&lt;K$26,I$24,K433&lt;K$28,I$26,K433&lt;K$30,I$28,K433&lt;K$32,I$30,K433&lt;K$34,I$32,K433&lt;K$36,I$34,K433&lt;K$38,I$36,K433&lt;K$40,I$38,K433&lt;K$42,I$40,K433&lt;K$44,I$42,K433&lt;K$46,I$44,K433&gt;=K$46,I$46)</f>
        <v/>
      </c>
      <c r="J433" s="37">
        <f>_xlfn.IFS(K433&lt;K$24,0,K433&lt;K$25,J$24,K433&lt;K$26,J$25,K433&lt;K$27,J$26,K433&lt;K$28,J$27,K433&lt;K$29,J$28,K433&lt;K$30,J$29,K433&lt;K$31,J$30,K433&lt;K$32,J$31,K433&lt;K$33,J$32,K433&lt;K$34,J$33,K433&lt;K$35,J$34,K433&lt;K$36,J$35,K433&lt;K$37,J$36,K433&lt;K$38,J$37,K433&lt;K$39,J$38,K433&lt;K$40,J$39,K433&lt;K$41,J$40,K433&lt;K$42,J$41,K433&lt;K$43,J$42,K433&lt;K$44,J$43,K433&lt;K$45,J$44,K433&lt;K$46,J$45,K433&lt;K$47,J$46,K433&gt;=K$47,J$47)</f>
        <v/>
      </c>
      <c r="K433" s="38" t="n">
        <v>383</v>
      </c>
      <c r="L433" s="31">
        <f>K433/52</f>
        <v/>
      </c>
      <c r="M433" s="39">
        <f>J433/1000000*52</f>
        <v/>
      </c>
      <c r="N433" s="33">
        <f>M433/$P$4+($I$22/$P$4)</f>
        <v/>
      </c>
      <c r="U433">
        <f>F432</f>
        <v/>
      </c>
      <c r="V433">
        <f>H432</f>
        <v/>
      </c>
      <c r="W433">
        <f>N432</f>
        <v/>
      </c>
    </row>
    <row r="434" ht="15.75" customHeight="1" s="40">
      <c r="C434" s="36">
        <f>_xlfn.IFS(E434&lt;E$24,0,E434&lt;E$26,C$24,E434&lt;E$28,C$26,E434&lt;E$30,C$28,E434&lt;E$32,C$30,E434&lt;E$34,C$32,E434&gt;=E$34,C$34)</f>
        <v/>
      </c>
      <c r="D434" s="37">
        <f>_xlfn.IFS(E434&lt;E$24,0,E434&lt;E$25,D$24,E434&lt;E$26,D$25,E434&lt;E$27,D$26,E434&lt;E$28,D$27,E434&lt;E$29,D$28,E434&lt;E$30,D$29,E434&lt;E$31,D$30,E434&lt;E$32,D$31,E434&lt;E$33,D$32,E434&lt;E$34,D$33,E434&lt;E$35,D$34,E434&gt;=E$35,D$35)</f>
        <v/>
      </c>
      <c r="E434" s="38" t="n">
        <v>384</v>
      </c>
      <c r="F434" s="31">
        <f>E434/52</f>
        <v/>
      </c>
      <c r="G434" s="39">
        <f>D434/1000000*52</f>
        <v/>
      </c>
      <c r="H434" s="33">
        <f>G434/$P$4+($C$22/$P$4)</f>
        <v/>
      </c>
      <c r="I434" s="36">
        <f>_xlfn.IFS(K434&lt;K$24,0,K434&lt;K$26,I$24,K434&lt;K$28,I$26,K434&lt;K$30,I$28,K434&lt;K$32,I$30,K434&lt;K$34,I$32,K434&lt;K$36,I$34,K434&lt;K$38,I$36,K434&lt;K$40,I$38,K434&lt;K$42,I$40,K434&lt;K$44,I$42,K434&lt;K$46,I$44,K434&gt;=K$46,I$46)</f>
        <v/>
      </c>
      <c r="J434" s="37">
        <f>_xlfn.IFS(K434&lt;K$24,0,K434&lt;K$25,J$24,K434&lt;K$26,J$25,K434&lt;K$27,J$26,K434&lt;K$28,J$27,K434&lt;K$29,J$28,K434&lt;K$30,J$29,K434&lt;K$31,J$30,K434&lt;K$32,J$31,K434&lt;K$33,J$32,K434&lt;K$34,J$33,K434&lt;K$35,J$34,K434&lt;K$36,J$35,K434&lt;K$37,J$36,K434&lt;K$38,J$37,K434&lt;K$39,J$38,K434&lt;K$40,J$39,K434&lt;K$41,J$40,K434&lt;K$42,J$41,K434&lt;K$43,J$42,K434&lt;K$44,J$43,K434&lt;K$45,J$44,K434&lt;K$46,J$45,K434&lt;K$47,J$46,K434&gt;=K$47,J$47)</f>
        <v/>
      </c>
      <c r="K434" s="38" t="n">
        <v>384</v>
      </c>
      <c r="L434" s="31">
        <f>K434/52</f>
        <v/>
      </c>
      <c r="M434" s="39">
        <f>J434/1000000*52</f>
        <v/>
      </c>
      <c r="N434" s="33">
        <f>M434/$P$4+($I$22/$P$4)</f>
        <v/>
      </c>
      <c r="U434">
        <f>F433</f>
        <v/>
      </c>
      <c r="V434">
        <f>H433</f>
        <v/>
      </c>
      <c r="W434">
        <f>N433</f>
        <v/>
      </c>
    </row>
    <row r="435" ht="15.75" customHeight="1" s="40">
      <c r="C435" s="36">
        <f>_xlfn.IFS(E435&lt;E$24,0,E435&lt;E$26,C$24,E435&lt;E$28,C$26,E435&lt;E$30,C$28,E435&lt;E$32,C$30,E435&lt;E$34,C$32,E435&gt;=E$34,C$34)</f>
        <v/>
      </c>
      <c r="D435" s="37">
        <f>_xlfn.IFS(E435&lt;E$24,0,E435&lt;E$25,D$24,E435&lt;E$26,D$25,E435&lt;E$27,D$26,E435&lt;E$28,D$27,E435&lt;E$29,D$28,E435&lt;E$30,D$29,E435&lt;E$31,D$30,E435&lt;E$32,D$31,E435&lt;E$33,D$32,E435&lt;E$34,D$33,E435&lt;E$35,D$34,E435&gt;=E$35,D$35)</f>
        <v/>
      </c>
      <c r="E435" s="38" t="n">
        <v>385</v>
      </c>
      <c r="F435" s="31">
        <f>E435/52</f>
        <v/>
      </c>
      <c r="G435" s="39">
        <f>D435/1000000*52</f>
        <v/>
      </c>
      <c r="H435" s="33">
        <f>G435/$P$4+($C$22/$P$4)</f>
        <v/>
      </c>
      <c r="I435" s="36">
        <f>_xlfn.IFS(K435&lt;K$24,0,K435&lt;K$26,I$24,K435&lt;K$28,I$26,K435&lt;K$30,I$28,K435&lt;K$32,I$30,K435&lt;K$34,I$32,K435&lt;K$36,I$34,K435&lt;K$38,I$36,K435&lt;K$40,I$38,K435&lt;K$42,I$40,K435&lt;K$44,I$42,K435&lt;K$46,I$44,K435&gt;=K$46,I$46)</f>
        <v/>
      </c>
      <c r="J435" s="37">
        <f>_xlfn.IFS(K435&lt;K$24,0,K435&lt;K$25,J$24,K435&lt;K$26,J$25,K435&lt;K$27,J$26,K435&lt;K$28,J$27,K435&lt;K$29,J$28,K435&lt;K$30,J$29,K435&lt;K$31,J$30,K435&lt;K$32,J$31,K435&lt;K$33,J$32,K435&lt;K$34,J$33,K435&lt;K$35,J$34,K435&lt;K$36,J$35,K435&lt;K$37,J$36,K435&lt;K$38,J$37,K435&lt;K$39,J$38,K435&lt;K$40,J$39,K435&lt;K$41,J$40,K435&lt;K$42,J$41,K435&lt;K$43,J$42,K435&lt;K$44,J$43,K435&lt;K$45,J$44,K435&lt;K$46,J$45,K435&lt;K$47,J$46,K435&gt;=K$47,J$47)</f>
        <v/>
      </c>
      <c r="K435" s="38" t="n">
        <v>385</v>
      </c>
      <c r="L435" s="31">
        <f>K435/52</f>
        <v/>
      </c>
      <c r="M435" s="39">
        <f>J435/1000000*52</f>
        <v/>
      </c>
      <c r="N435" s="33">
        <f>M435/$P$4+($I$22/$P$4)</f>
        <v/>
      </c>
      <c r="U435">
        <f>F434</f>
        <v/>
      </c>
      <c r="V435">
        <f>H434</f>
        <v/>
      </c>
      <c r="W435">
        <f>N434</f>
        <v/>
      </c>
    </row>
    <row r="436" ht="15.75" customHeight="1" s="40">
      <c r="C436" s="36">
        <f>_xlfn.IFS(E436&lt;E$24,0,E436&lt;E$26,C$24,E436&lt;E$28,C$26,E436&lt;E$30,C$28,E436&lt;E$32,C$30,E436&lt;E$34,C$32,E436&gt;=E$34,C$34)</f>
        <v/>
      </c>
      <c r="D436" s="37">
        <f>_xlfn.IFS(E436&lt;E$24,0,E436&lt;E$25,D$24,E436&lt;E$26,D$25,E436&lt;E$27,D$26,E436&lt;E$28,D$27,E436&lt;E$29,D$28,E436&lt;E$30,D$29,E436&lt;E$31,D$30,E436&lt;E$32,D$31,E436&lt;E$33,D$32,E436&lt;E$34,D$33,E436&lt;E$35,D$34,E436&gt;=E$35,D$35)</f>
        <v/>
      </c>
      <c r="E436" s="38" t="n">
        <v>386</v>
      </c>
      <c r="F436" s="31">
        <f>E436/52</f>
        <v/>
      </c>
      <c r="G436" s="39">
        <f>D436/1000000*52</f>
        <v/>
      </c>
      <c r="H436" s="33">
        <f>G436/$P$4+($C$22/$P$4)</f>
        <v/>
      </c>
      <c r="I436" s="36">
        <f>_xlfn.IFS(K436&lt;K$24,0,K436&lt;K$26,I$24,K436&lt;K$28,I$26,K436&lt;K$30,I$28,K436&lt;K$32,I$30,K436&lt;K$34,I$32,K436&lt;K$36,I$34,K436&lt;K$38,I$36,K436&lt;K$40,I$38,K436&lt;K$42,I$40,K436&lt;K$44,I$42,K436&lt;K$46,I$44,K436&gt;=K$46,I$46)</f>
        <v/>
      </c>
      <c r="J436" s="37">
        <f>_xlfn.IFS(K436&lt;K$24,0,K436&lt;K$25,J$24,K436&lt;K$26,J$25,K436&lt;K$27,J$26,K436&lt;K$28,J$27,K436&lt;K$29,J$28,K436&lt;K$30,J$29,K436&lt;K$31,J$30,K436&lt;K$32,J$31,K436&lt;K$33,J$32,K436&lt;K$34,J$33,K436&lt;K$35,J$34,K436&lt;K$36,J$35,K436&lt;K$37,J$36,K436&lt;K$38,J$37,K436&lt;K$39,J$38,K436&lt;K$40,J$39,K436&lt;K$41,J$40,K436&lt;K$42,J$41,K436&lt;K$43,J$42,K436&lt;K$44,J$43,K436&lt;K$45,J$44,K436&lt;K$46,J$45,K436&lt;K$47,J$46,K436&gt;=K$47,J$47)</f>
        <v/>
      </c>
      <c r="K436" s="38" t="n">
        <v>386</v>
      </c>
      <c r="L436" s="31">
        <f>K436/52</f>
        <v/>
      </c>
      <c r="M436" s="39">
        <f>J436/1000000*52</f>
        <v/>
      </c>
      <c r="N436" s="33">
        <f>M436/$P$4+($I$22/$P$4)</f>
        <v/>
      </c>
      <c r="U436">
        <f>F435</f>
        <v/>
      </c>
      <c r="V436">
        <f>H435</f>
        <v/>
      </c>
      <c r="W436">
        <f>N435</f>
        <v/>
      </c>
    </row>
    <row r="437" ht="15.75" customHeight="1" s="40">
      <c r="C437" s="36">
        <f>_xlfn.IFS(E437&lt;E$24,0,E437&lt;E$26,C$24,E437&lt;E$28,C$26,E437&lt;E$30,C$28,E437&lt;E$32,C$30,E437&lt;E$34,C$32,E437&gt;=E$34,C$34)</f>
        <v/>
      </c>
      <c r="D437" s="37">
        <f>_xlfn.IFS(E437&lt;E$24,0,E437&lt;E$25,D$24,E437&lt;E$26,D$25,E437&lt;E$27,D$26,E437&lt;E$28,D$27,E437&lt;E$29,D$28,E437&lt;E$30,D$29,E437&lt;E$31,D$30,E437&lt;E$32,D$31,E437&lt;E$33,D$32,E437&lt;E$34,D$33,E437&lt;E$35,D$34,E437&gt;=E$35,D$35)</f>
        <v/>
      </c>
      <c r="E437" s="38" t="n">
        <v>387</v>
      </c>
      <c r="F437" s="31">
        <f>E437/52</f>
        <v/>
      </c>
      <c r="G437" s="39">
        <f>D437/1000000*52</f>
        <v/>
      </c>
      <c r="H437" s="33">
        <f>G437/$P$4+($C$22/$P$4)</f>
        <v/>
      </c>
      <c r="I437" s="36">
        <f>_xlfn.IFS(K437&lt;K$24,0,K437&lt;K$26,I$24,K437&lt;K$28,I$26,K437&lt;K$30,I$28,K437&lt;K$32,I$30,K437&lt;K$34,I$32,K437&lt;K$36,I$34,K437&lt;K$38,I$36,K437&lt;K$40,I$38,K437&lt;K$42,I$40,K437&lt;K$44,I$42,K437&lt;K$46,I$44,K437&gt;=K$46,I$46)</f>
        <v/>
      </c>
      <c r="J437" s="37">
        <f>_xlfn.IFS(K437&lt;K$24,0,K437&lt;K$25,J$24,K437&lt;K$26,J$25,K437&lt;K$27,J$26,K437&lt;K$28,J$27,K437&lt;K$29,J$28,K437&lt;K$30,J$29,K437&lt;K$31,J$30,K437&lt;K$32,J$31,K437&lt;K$33,J$32,K437&lt;K$34,J$33,K437&lt;K$35,J$34,K437&lt;K$36,J$35,K437&lt;K$37,J$36,K437&lt;K$38,J$37,K437&lt;K$39,J$38,K437&lt;K$40,J$39,K437&lt;K$41,J$40,K437&lt;K$42,J$41,K437&lt;K$43,J$42,K437&lt;K$44,J$43,K437&lt;K$45,J$44,K437&lt;K$46,J$45,K437&lt;K$47,J$46,K437&gt;=K$47,J$47)</f>
        <v/>
      </c>
      <c r="K437" s="38" t="n">
        <v>387</v>
      </c>
      <c r="L437" s="31">
        <f>K437/52</f>
        <v/>
      </c>
      <c r="M437" s="39">
        <f>J437/1000000*52</f>
        <v/>
      </c>
      <c r="N437" s="33">
        <f>M437/$P$4+($I$22/$P$4)</f>
        <v/>
      </c>
      <c r="U437">
        <f>F436</f>
        <v/>
      </c>
      <c r="V437">
        <f>H436</f>
        <v/>
      </c>
      <c r="W437">
        <f>N436</f>
        <v/>
      </c>
    </row>
    <row r="438" ht="15.75" customHeight="1" s="40">
      <c r="C438" s="36">
        <f>_xlfn.IFS(E438&lt;E$24,0,E438&lt;E$26,C$24,E438&lt;E$28,C$26,E438&lt;E$30,C$28,E438&lt;E$32,C$30,E438&lt;E$34,C$32,E438&gt;=E$34,C$34)</f>
        <v/>
      </c>
      <c r="D438" s="37">
        <f>_xlfn.IFS(E438&lt;E$24,0,E438&lt;E$25,D$24,E438&lt;E$26,D$25,E438&lt;E$27,D$26,E438&lt;E$28,D$27,E438&lt;E$29,D$28,E438&lt;E$30,D$29,E438&lt;E$31,D$30,E438&lt;E$32,D$31,E438&lt;E$33,D$32,E438&lt;E$34,D$33,E438&lt;E$35,D$34,E438&gt;=E$35,D$35)</f>
        <v/>
      </c>
      <c r="E438" s="38" t="n">
        <v>388</v>
      </c>
      <c r="F438" s="31">
        <f>E438/52</f>
        <v/>
      </c>
      <c r="G438" s="39">
        <f>D438/1000000*52</f>
        <v/>
      </c>
      <c r="H438" s="33">
        <f>G438/$P$4+($C$22/$P$4)</f>
        <v/>
      </c>
      <c r="I438" s="36">
        <f>_xlfn.IFS(K438&lt;K$24,0,K438&lt;K$26,I$24,K438&lt;K$28,I$26,K438&lt;K$30,I$28,K438&lt;K$32,I$30,K438&lt;K$34,I$32,K438&lt;K$36,I$34,K438&lt;K$38,I$36,K438&lt;K$40,I$38,K438&lt;K$42,I$40,K438&lt;K$44,I$42,K438&lt;K$46,I$44,K438&gt;=K$46,I$46)</f>
        <v/>
      </c>
      <c r="J438" s="37">
        <f>_xlfn.IFS(K438&lt;K$24,0,K438&lt;K$25,J$24,K438&lt;K$26,J$25,K438&lt;K$27,J$26,K438&lt;K$28,J$27,K438&lt;K$29,J$28,K438&lt;K$30,J$29,K438&lt;K$31,J$30,K438&lt;K$32,J$31,K438&lt;K$33,J$32,K438&lt;K$34,J$33,K438&lt;K$35,J$34,K438&lt;K$36,J$35,K438&lt;K$37,J$36,K438&lt;K$38,J$37,K438&lt;K$39,J$38,K438&lt;K$40,J$39,K438&lt;K$41,J$40,K438&lt;K$42,J$41,K438&lt;K$43,J$42,K438&lt;K$44,J$43,K438&lt;K$45,J$44,K438&lt;K$46,J$45,K438&lt;K$47,J$46,K438&gt;=K$47,J$47)</f>
        <v/>
      </c>
      <c r="K438" s="38" t="n">
        <v>388</v>
      </c>
      <c r="L438" s="31">
        <f>K438/52</f>
        <v/>
      </c>
      <c r="M438" s="39">
        <f>J438/1000000*52</f>
        <v/>
      </c>
      <c r="N438" s="33">
        <f>M438/$P$4+($I$22/$P$4)</f>
        <v/>
      </c>
      <c r="U438">
        <f>F437</f>
        <v/>
      </c>
      <c r="V438">
        <f>H437</f>
        <v/>
      </c>
      <c r="W438">
        <f>N437</f>
        <v/>
      </c>
    </row>
    <row r="439" ht="15.75" customHeight="1" s="40">
      <c r="C439" s="36">
        <f>_xlfn.IFS(E439&lt;E$24,0,E439&lt;E$26,C$24,E439&lt;E$28,C$26,E439&lt;E$30,C$28,E439&lt;E$32,C$30,E439&lt;E$34,C$32,E439&gt;=E$34,C$34)</f>
        <v/>
      </c>
      <c r="D439" s="37">
        <f>_xlfn.IFS(E439&lt;E$24,0,E439&lt;E$25,D$24,E439&lt;E$26,D$25,E439&lt;E$27,D$26,E439&lt;E$28,D$27,E439&lt;E$29,D$28,E439&lt;E$30,D$29,E439&lt;E$31,D$30,E439&lt;E$32,D$31,E439&lt;E$33,D$32,E439&lt;E$34,D$33,E439&lt;E$35,D$34,E439&gt;=E$35,D$35)</f>
        <v/>
      </c>
      <c r="E439" s="38" t="n">
        <v>389</v>
      </c>
      <c r="F439" s="31">
        <f>E439/52</f>
        <v/>
      </c>
      <c r="G439" s="39">
        <f>D439/1000000*52</f>
        <v/>
      </c>
      <c r="H439" s="33">
        <f>G439/$P$4+($C$22/$P$4)</f>
        <v/>
      </c>
      <c r="I439" s="36">
        <f>_xlfn.IFS(K439&lt;K$24,0,K439&lt;K$26,I$24,K439&lt;K$28,I$26,K439&lt;K$30,I$28,K439&lt;K$32,I$30,K439&lt;K$34,I$32,K439&lt;K$36,I$34,K439&lt;K$38,I$36,K439&lt;K$40,I$38,K439&lt;K$42,I$40,K439&lt;K$44,I$42,K439&lt;K$46,I$44,K439&gt;=K$46,I$46)</f>
        <v/>
      </c>
      <c r="J439" s="37">
        <f>_xlfn.IFS(K439&lt;K$24,0,K439&lt;K$25,J$24,K439&lt;K$26,J$25,K439&lt;K$27,J$26,K439&lt;K$28,J$27,K439&lt;K$29,J$28,K439&lt;K$30,J$29,K439&lt;K$31,J$30,K439&lt;K$32,J$31,K439&lt;K$33,J$32,K439&lt;K$34,J$33,K439&lt;K$35,J$34,K439&lt;K$36,J$35,K439&lt;K$37,J$36,K439&lt;K$38,J$37,K439&lt;K$39,J$38,K439&lt;K$40,J$39,K439&lt;K$41,J$40,K439&lt;K$42,J$41,K439&lt;K$43,J$42,K439&lt;K$44,J$43,K439&lt;K$45,J$44,K439&lt;K$46,J$45,K439&lt;K$47,J$46,K439&gt;=K$47,J$47)</f>
        <v/>
      </c>
      <c r="K439" s="38" t="n">
        <v>389</v>
      </c>
      <c r="L439" s="31">
        <f>K439/52</f>
        <v/>
      </c>
      <c r="M439" s="39">
        <f>J439/1000000*52</f>
        <v/>
      </c>
      <c r="N439" s="33">
        <f>M439/$P$4+($I$22/$P$4)</f>
        <v/>
      </c>
      <c r="U439">
        <f>F438</f>
        <v/>
      </c>
      <c r="V439">
        <f>H438</f>
        <v/>
      </c>
      <c r="W439">
        <f>N438</f>
        <v/>
      </c>
    </row>
    <row r="440" ht="15.75" customHeight="1" s="40">
      <c r="C440" s="36">
        <f>_xlfn.IFS(E440&lt;E$24,0,E440&lt;E$26,C$24,E440&lt;E$28,C$26,E440&lt;E$30,C$28,E440&lt;E$32,C$30,E440&lt;E$34,C$32,E440&gt;=E$34,C$34)</f>
        <v/>
      </c>
      <c r="D440" s="37">
        <f>_xlfn.IFS(E440&lt;E$24,0,E440&lt;E$25,D$24,E440&lt;E$26,D$25,E440&lt;E$27,D$26,E440&lt;E$28,D$27,E440&lt;E$29,D$28,E440&lt;E$30,D$29,E440&lt;E$31,D$30,E440&lt;E$32,D$31,E440&lt;E$33,D$32,E440&lt;E$34,D$33,E440&lt;E$35,D$34,E440&gt;=E$35,D$35)</f>
        <v/>
      </c>
      <c r="E440" s="38" t="n">
        <v>390</v>
      </c>
      <c r="F440" s="31">
        <f>E440/52</f>
        <v/>
      </c>
      <c r="G440" s="39">
        <f>D440/1000000*52</f>
        <v/>
      </c>
      <c r="H440" s="33">
        <f>G440/$P$4+($C$22/$P$4)</f>
        <v/>
      </c>
      <c r="I440" s="36">
        <f>_xlfn.IFS(K440&lt;K$24,0,K440&lt;K$26,I$24,K440&lt;K$28,I$26,K440&lt;K$30,I$28,K440&lt;K$32,I$30,K440&lt;K$34,I$32,K440&lt;K$36,I$34,K440&lt;K$38,I$36,K440&lt;K$40,I$38,K440&lt;K$42,I$40,K440&lt;K$44,I$42,K440&lt;K$46,I$44,K440&gt;=K$46,I$46)</f>
        <v/>
      </c>
      <c r="J440" s="37">
        <f>_xlfn.IFS(K440&lt;K$24,0,K440&lt;K$25,J$24,K440&lt;K$26,J$25,K440&lt;K$27,J$26,K440&lt;K$28,J$27,K440&lt;K$29,J$28,K440&lt;K$30,J$29,K440&lt;K$31,J$30,K440&lt;K$32,J$31,K440&lt;K$33,J$32,K440&lt;K$34,J$33,K440&lt;K$35,J$34,K440&lt;K$36,J$35,K440&lt;K$37,J$36,K440&lt;K$38,J$37,K440&lt;K$39,J$38,K440&lt;K$40,J$39,K440&lt;K$41,J$40,K440&lt;K$42,J$41,K440&lt;K$43,J$42,K440&lt;K$44,J$43,K440&lt;K$45,J$44,K440&lt;K$46,J$45,K440&lt;K$47,J$46,K440&gt;=K$47,J$47)</f>
        <v/>
      </c>
      <c r="K440" s="38" t="n">
        <v>390</v>
      </c>
      <c r="L440" s="31">
        <f>K440/52</f>
        <v/>
      </c>
      <c r="M440" s="39">
        <f>J440/1000000*52</f>
        <v/>
      </c>
      <c r="N440" s="33">
        <f>M440/$P$4+($I$22/$P$4)</f>
        <v/>
      </c>
      <c r="U440">
        <f>F439</f>
        <v/>
      </c>
      <c r="V440">
        <f>H439</f>
        <v/>
      </c>
      <c r="W440">
        <f>N439</f>
        <v/>
      </c>
    </row>
    <row r="441" ht="15.75" customHeight="1" s="40">
      <c r="C441" s="36">
        <f>_xlfn.IFS(E441&lt;E$24,0,E441&lt;E$26,C$24,E441&lt;E$28,C$26,E441&lt;E$30,C$28,E441&lt;E$32,C$30,E441&lt;E$34,C$32,E441&gt;=E$34,C$34)</f>
        <v/>
      </c>
      <c r="D441" s="37">
        <f>_xlfn.IFS(E441&lt;E$24,0,E441&lt;E$25,D$24,E441&lt;E$26,D$25,E441&lt;E$27,D$26,E441&lt;E$28,D$27,E441&lt;E$29,D$28,E441&lt;E$30,D$29,E441&lt;E$31,D$30,E441&lt;E$32,D$31,E441&lt;E$33,D$32,E441&lt;E$34,D$33,E441&lt;E$35,D$34,E441&gt;=E$35,D$35)</f>
        <v/>
      </c>
      <c r="E441" s="38" t="n">
        <v>391</v>
      </c>
      <c r="F441" s="31">
        <f>E441/52</f>
        <v/>
      </c>
      <c r="G441" s="39">
        <f>D441/1000000*52</f>
        <v/>
      </c>
      <c r="H441" s="33">
        <f>G441/$P$4+($C$22/$P$4)</f>
        <v/>
      </c>
      <c r="I441" s="36">
        <f>_xlfn.IFS(K441&lt;K$24,0,K441&lt;K$26,I$24,K441&lt;K$28,I$26,K441&lt;K$30,I$28,K441&lt;K$32,I$30,K441&lt;K$34,I$32,K441&lt;K$36,I$34,K441&lt;K$38,I$36,K441&lt;K$40,I$38,K441&lt;K$42,I$40,K441&lt;K$44,I$42,K441&lt;K$46,I$44,K441&gt;=K$46,I$46)</f>
        <v/>
      </c>
      <c r="J441" s="37">
        <f>_xlfn.IFS(K441&lt;K$24,0,K441&lt;K$25,J$24,K441&lt;K$26,J$25,K441&lt;K$27,J$26,K441&lt;K$28,J$27,K441&lt;K$29,J$28,K441&lt;K$30,J$29,K441&lt;K$31,J$30,K441&lt;K$32,J$31,K441&lt;K$33,J$32,K441&lt;K$34,J$33,K441&lt;K$35,J$34,K441&lt;K$36,J$35,K441&lt;K$37,J$36,K441&lt;K$38,J$37,K441&lt;K$39,J$38,K441&lt;K$40,J$39,K441&lt;K$41,J$40,K441&lt;K$42,J$41,K441&lt;K$43,J$42,K441&lt;K$44,J$43,K441&lt;K$45,J$44,K441&lt;K$46,J$45,K441&lt;K$47,J$46,K441&gt;=K$47,J$47)</f>
        <v/>
      </c>
      <c r="K441" s="38" t="n">
        <v>391</v>
      </c>
      <c r="L441" s="31">
        <f>K441/52</f>
        <v/>
      </c>
      <c r="M441" s="39">
        <f>J441/1000000*52</f>
        <v/>
      </c>
      <c r="N441" s="33">
        <f>M441/$P$4+($I$22/$P$4)</f>
        <v/>
      </c>
      <c r="U441">
        <f>F440</f>
        <v/>
      </c>
      <c r="V441">
        <f>H440</f>
        <v/>
      </c>
      <c r="W441">
        <f>N440</f>
        <v/>
      </c>
    </row>
    <row r="442" ht="15.75" customHeight="1" s="40">
      <c r="C442" s="36">
        <f>_xlfn.IFS(E442&lt;E$24,0,E442&lt;E$26,C$24,E442&lt;E$28,C$26,E442&lt;E$30,C$28,E442&lt;E$32,C$30,E442&lt;E$34,C$32,E442&gt;=E$34,C$34)</f>
        <v/>
      </c>
      <c r="D442" s="37">
        <f>_xlfn.IFS(E442&lt;E$24,0,E442&lt;E$25,D$24,E442&lt;E$26,D$25,E442&lt;E$27,D$26,E442&lt;E$28,D$27,E442&lt;E$29,D$28,E442&lt;E$30,D$29,E442&lt;E$31,D$30,E442&lt;E$32,D$31,E442&lt;E$33,D$32,E442&lt;E$34,D$33,E442&lt;E$35,D$34,E442&gt;=E$35,D$35)</f>
        <v/>
      </c>
      <c r="E442" s="38" t="n">
        <v>392</v>
      </c>
      <c r="F442" s="31">
        <f>E442/52</f>
        <v/>
      </c>
      <c r="G442" s="39">
        <f>D442/1000000*52</f>
        <v/>
      </c>
      <c r="H442" s="33">
        <f>G442/$P$4+($C$22/$P$4)</f>
        <v/>
      </c>
      <c r="I442" s="36">
        <f>_xlfn.IFS(K442&lt;K$24,0,K442&lt;K$26,I$24,K442&lt;K$28,I$26,K442&lt;K$30,I$28,K442&lt;K$32,I$30,K442&lt;K$34,I$32,K442&lt;K$36,I$34,K442&lt;K$38,I$36,K442&lt;K$40,I$38,K442&lt;K$42,I$40,K442&lt;K$44,I$42,K442&lt;K$46,I$44,K442&gt;=K$46,I$46)</f>
        <v/>
      </c>
      <c r="J442" s="37">
        <f>_xlfn.IFS(K442&lt;K$24,0,K442&lt;K$25,J$24,K442&lt;K$26,J$25,K442&lt;K$27,J$26,K442&lt;K$28,J$27,K442&lt;K$29,J$28,K442&lt;K$30,J$29,K442&lt;K$31,J$30,K442&lt;K$32,J$31,K442&lt;K$33,J$32,K442&lt;K$34,J$33,K442&lt;K$35,J$34,K442&lt;K$36,J$35,K442&lt;K$37,J$36,K442&lt;K$38,J$37,K442&lt;K$39,J$38,K442&lt;K$40,J$39,K442&lt;K$41,J$40,K442&lt;K$42,J$41,K442&lt;K$43,J$42,K442&lt;K$44,J$43,K442&lt;K$45,J$44,K442&lt;K$46,J$45,K442&lt;K$47,J$46,K442&gt;=K$47,J$47)</f>
        <v/>
      </c>
      <c r="K442" s="38" t="n">
        <v>392</v>
      </c>
      <c r="L442" s="31">
        <f>K442/52</f>
        <v/>
      </c>
      <c r="M442" s="39">
        <f>J442/1000000*52</f>
        <v/>
      </c>
      <c r="N442" s="33">
        <f>M442/$P$4+($I$22/$P$4)</f>
        <v/>
      </c>
      <c r="U442">
        <f>F441</f>
        <v/>
      </c>
      <c r="V442">
        <f>H441</f>
        <v/>
      </c>
      <c r="W442">
        <f>N441</f>
        <v/>
      </c>
    </row>
    <row r="443" ht="15.75" customHeight="1" s="40">
      <c r="C443" s="36">
        <f>_xlfn.IFS(E443&lt;E$24,0,E443&lt;E$26,C$24,E443&lt;E$28,C$26,E443&lt;E$30,C$28,E443&lt;E$32,C$30,E443&lt;E$34,C$32,E443&gt;=E$34,C$34)</f>
        <v/>
      </c>
      <c r="D443" s="37">
        <f>_xlfn.IFS(E443&lt;E$24,0,E443&lt;E$25,D$24,E443&lt;E$26,D$25,E443&lt;E$27,D$26,E443&lt;E$28,D$27,E443&lt;E$29,D$28,E443&lt;E$30,D$29,E443&lt;E$31,D$30,E443&lt;E$32,D$31,E443&lt;E$33,D$32,E443&lt;E$34,D$33,E443&lt;E$35,D$34,E443&gt;=E$35,D$35)</f>
        <v/>
      </c>
      <c r="E443" s="38" t="n">
        <v>393</v>
      </c>
      <c r="F443" s="31">
        <f>E443/52</f>
        <v/>
      </c>
      <c r="G443" s="39">
        <f>D443/1000000*52</f>
        <v/>
      </c>
      <c r="H443" s="33">
        <f>G443/$P$4+($C$22/$P$4)</f>
        <v/>
      </c>
      <c r="I443" s="36">
        <f>_xlfn.IFS(K443&lt;K$24,0,K443&lt;K$26,I$24,K443&lt;K$28,I$26,K443&lt;K$30,I$28,K443&lt;K$32,I$30,K443&lt;K$34,I$32,K443&lt;K$36,I$34,K443&lt;K$38,I$36,K443&lt;K$40,I$38,K443&lt;K$42,I$40,K443&lt;K$44,I$42,K443&lt;K$46,I$44,K443&gt;=K$46,I$46)</f>
        <v/>
      </c>
      <c r="J443" s="37">
        <f>_xlfn.IFS(K443&lt;K$24,0,K443&lt;K$25,J$24,K443&lt;K$26,J$25,K443&lt;K$27,J$26,K443&lt;K$28,J$27,K443&lt;K$29,J$28,K443&lt;K$30,J$29,K443&lt;K$31,J$30,K443&lt;K$32,J$31,K443&lt;K$33,J$32,K443&lt;K$34,J$33,K443&lt;K$35,J$34,K443&lt;K$36,J$35,K443&lt;K$37,J$36,K443&lt;K$38,J$37,K443&lt;K$39,J$38,K443&lt;K$40,J$39,K443&lt;K$41,J$40,K443&lt;K$42,J$41,K443&lt;K$43,J$42,K443&lt;K$44,J$43,K443&lt;K$45,J$44,K443&lt;K$46,J$45,K443&lt;K$47,J$46,K443&gt;=K$47,J$47)</f>
        <v/>
      </c>
      <c r="K443" s="38" t="n">
        <v>393</v>
      </c>
      <c r="L443" s="31">
        <f>K443/52</f>
        <v/>
      </c>
      <c r="M443" s="39">
        <f>J443/1000000*52</f>
        <v/>
      </c>
      <c r="N443" s="33">
        <f>M443/$P$4+($I$22/$P$4)</f>
        <v/>
      </c>
      <c r="U443">
        <f>F442</f>
        <v/>
      </c>
      <c r="V443">
        <f>H442</f>
        <v/>
      </c>
      <c r="W443">
        <f>N442</f>
        <v/>
      </c>
    </row>
    <row r="444" ht="15.75" customHeight="1" s="40">
      <c r="C444" s="36">
        <f>_xlfn.IFS(E444&lt;E$24,0,E444&lt;E$26,C$24,E444&lt;E$28,C$26,E444&lt;E$30,C$28,E444&lt;E$32,C$30,E444&lt;E$34,C$32,E444&gt;=E$34,C$34)</f>
        <v/>
      </c>
      <c r="D444" s="37">
        <f>_xlfn.IFS(E444&lt;E$24,0,E444&lt;E$25,D$24,E444&lt;E$26,D$25,E444&lt;E$27,D$26,E444&lt;E$28,D$27,E444&lt;E$29,D$28,E444&lt;E$30,D$29,E444&lt;E$31,D$30,E444&lt;E$32,D$31,E444&lt;E$33,D$32,E444&lt;E$34,D$33,E444&lt;E$35,D$34,E444&gt;=E$35,D$35)</f>
        <v/>
      </c>
      <c r="E444" s="38" t="n">
        <v>394</v>
      </c>
      <c r="F444" s="31">
        <f>E444/52</f>
        <v/>
      </c>
      <c r="G444" s="39">
        <f>D444/1000000*52</f>
        <v/>
      </c>
      <c r="H444" s="33">
        <f>G444/$P$4+($C$22/$P$4)</f>
        <v/>
      </c>
      <c r="I444" s="36">
        <f>_xlfn.IFS(K444&lt;K$24,0,K444&lt;K$26,I$24,K444&lt;K$28,I$26,K444&lt;K$30,I$28,K444&lt;K$32,I$30,K444&lt;K$34,I$32,K444&lt;K$36,I$34,K444&lt;K$38,I$36,K444&lt;K$40,I$38,K444&lt;K$42,I$40,K444&lt;K$44,I$42,K444&lt;K$46,I$44,K444&gt;=K$46,I$46)</f>
        <v/>
      </c>
      <c r="J444" s="37">
        <f>_xlfn.IFS(K444&lt;K$24,0,K444&lt;K$25,J$24,K444&lt;K$26,J$25,K444&lt;K$27,J$26,K444&lt;K$28,J$27,K444&lt;K$29,J$28,K444&lt;K$30,J$29,K444&lt;K$31,J$30,K444&lt;K$32,J$31,K444&lt;K$33,J$32,K444&lt;K$34,J$33,K444&lt;K$35,J$34,K444&lt;K$36,J$35,K444&lt;K$37,J$36,K444&lt;K$38,J$37,K444&lt;K$39,J$38,K444&lt;K$40,J$39,K444&lt;K$41,J$40,K444&lt;K$42,J$41,K444&lt;K$43,J$42,K444&lt;K$44,J$43,K444&lt;K$45,J$44,K444&lt;K$46,J$45,K444&lt;K$47,J$46,K444&gt;=K$47,J$47)</f>
        <v/>
      </c>
      <c r="K444" s="38" t="n">
        <v>394</v>
      </c>
      <c r="L444" s="31">
        <f>K444/52</f>
        <v/>
      </c>
      <c r="M444" s="39">
        <f>J444/1000000*52</f>
        <v/>
      </c>
      <c r="N444" s="33">
        <f>M444/$P$4+($I$22/$P$4)</f>
        <v/>
      </c>
      <c r="U444">
        <f>F443</f>
        <v/>
      </c>
      <c r="V444">
        <f>H443</f>
        <v/>
      </c>
      <c r="W444">
        <f>N443</f>
        <v/>
      </c>
    </row>
    <row r="445" ht="15.75" customHeight="1" s="40">
      <c r="C445" s="36">
        <f>_xlfn.IFS(E445&lt;E$24,0,E445&lt;E$26,C$24,E445&lt;E$28,C$26,E445&lt;E$30,C$28,E445&lt;E$32,C$30,E445&lt;E$34,C$32,E445&gt;=E$34,C$34)</f>
        <v/>
      </c>
      <c r="D445" s="37">
        <f>_xlfn.IFS(E445&lt;E$24,0,E445&lt;E$25,D$24,E445&lt;E$26,D$25,E445&lt;E$27,D$26,E445&lt;E$28,D$27,E445&lt;E$29,D$28,E445&lt;E$30,D$29,E445&lt;E$31,D$30,E445&lt;E$32,D$31,E445&lt;E$33,D$32,E445&lt;E$34,D$33,E445&lt;E$35,D$34,E445&gt;=E$35,D$35)</f>
        <v/>
      </c>
      <c r="E445" s="38" t="n">
        <v>395</v>
      </c>
      <c r="F445" s="31">
        <f>E445/52</f>
        <v/>
      </c>
      <c r="G445" s="39">
        <f>D445/1000000*52</f>
        <v/>
      </c>
      <c r="H445" s="33">
        <f>G445/$P$4+($C$22/$P$4)</f>
        <v/>
      </c>
      <c r="I445" s="36">
        <f>_xlfn.IFS(K445&lt;K$24,0,K445&lt;K$26,I$24,K445&lt;K$28,I$26,K445&lt;K$30,I$28,K445&lt;K$32,I$30,K445&lt;K$34,I$32,K445&lt;K$36,I$34,K445&lt;K$38,I$36,K445&lt;K$40,I$38,K445&lt;K$42,I$40,K445&lt;K$44,I$42,K445&lt;K$46,I$44,K445&gt;=K$46,I$46)</f>
        <v/>
      </c>
      <c r="J445" s="37">
        <f>_xlfn.IFS(K445&lt;K$24,0,K445&lt;K$25,J$24,K445&lt;K$26,J$25,K445&lt;K$27,J$26,K445&lt;K$28,J$27,K445&lt;K$29,J$28,K445&lt;K$30,J$29,K445&lt;K$31,J$30,K445&lt;K$32,J$31,K445&lt;K$33,J$32,K445&lt;K$34,J$33,K445&lt;K$35,J$34,K445&lt;K$36,J$35,K445&lt;K$37,J$36,K445&lt;K$38,J$37,K445&lt;K$39,J$38,K445&lt;K$40,J$39,K445&lt;K$41,J$40,K445&lt;K$42,J$41,K445&lt;K$43,J$42,K445&lt;K$44,J$43,K445&lt;K$45,J$44,K445&lt;K$46,J$45,K445&lt;K$47,J$46,K445&gt;=K$47,J$47)</f>
        <v/>
      </c>
      <c r="K445" s="38" t="n">
        <v>395</v>
      </c>
      <c r="L445" s="31">
        <f>K445/52</f>
        <v/>
      </c>
      <c r="M445" s="39">
        <f>J445/1000000*52</f>
        <v/>
      </c>
      <c r="N445" s="33">
        <f>M445/$P$4+($I$22/$P$4)</f>
        <v/>
      </c>
      <c r="U445">
        <f>F444</f>
        <v/>
      </c>
      <c r="V445">
        <f>H444</f>
        <v/>
      </c>
      <c r="W445">
        <f>N444</f>
        <v/>
      </c>
    </row>
    <row r="446" ht="15.75" customHeight="1" s="40">
      <c r="C446" s="36">
        <f>_xlfn.IFS(E446&lt;E$24,0,E446&lt;E$26,C$24,E446&lt;E$28,C$26,E446&lt;E$30,C$28,E446&lt;E$32,C$30,E446&lt;E$34,C$32,E446&gt;=E$34,C$34)</f>
        <v/>
      </c>
      <c r="D446" s="37">
        <f>_xlfn.IFS(E446&lt;E$24,0,E446&lt;E$25,D$24,E446&lt;E$26,D$25,E446&lt;E$27,D$26,E446&lt;E$28,D$27,E446&lt;E$29,D$28,E446&lt;E$30,D$29,E446&lt;E$31,D$30,E446&lt;E$32,D$31,E446&lt;E$33,D$32,E446&lt;E$34,D$33,E446&lt;E$35,D$34,E446&gt;=E$35,D$35)</f>
        <v/>
      </c>
      <c r="E446" s="38" t="n">
        <v>396</v>
      </c>
      <c r="F446" s="31">
        <f>E446/52</f>
        <v/>
      </c>
      <c r="G446" s="39">
        <f>D446/1000000*52</f>
        <v/>
      </c>
      <c r="H446" s="33">
        <f>G446/$P$4+($C$22/$P$4)</f>
        <v/>
      </c>
      <c r="I446" s="36">
        <f>_xlfn.IFS(K446&lt;K$24,0,K446&lt;K$26,I$24,K446&lt;K$28,I$26,K446&lt;K$30,I$28,K446&lt;K$32,I$30,K446&lt;K$34,I$32,K446&lt;K$36,I$34,K446&lt;K$38,I$36,K446&lt;K$40,I$38,K446&lt;K$42,I$40,K446&lt;K$44,I$42,K446&lt;K$46,I$44,K446&gt;=K$46,I$46)</f>
        <v/>
      </c>
      <c r="J446" s="37">
        <f>_xlfn.IFS(K446&lt;K$24,0,K446&lt;K$25,J$24,K446&lt;K$26,J$25,K446&lt;K$27,J$26,K446&lt;K$28,J$27,K446&lt;K$29,J$28,K446&lt;K$30,J$29,K446&lt;K$31,J$30,K446&lt;K$32,J$31,K446&lt;K$33,J$32,K446&lt;K$34,J$33,K446&lt;K$35,J$34,K446&lt;K$36,J$35,K446&lt;K$37,J$36,K446&lt;K$38,J$37,K446&lt;K$39,J$38,K446&lt;K$40,J$39,K446&lt;K$41,J$40,K446&lt;K$42,J$41,K446&lt;K$43,J$42,K446&lt;K$44,J$43,K446&lt;K$45,J$44,K446&lt;K$46,J$45,K446&lt;K$47,J$46,K446&gt;=K$47,J$47)</f>
        <v/>
      </c>
      <c r="K446" s="38" t="n">
        <v>396</v>
      </c>
      <c r="L446" s="31">
        <f>K446/52</f>
        <v/>
      </c>
      <c r="M446" s="39">
        <f>J446/1000000*52</f>
        <v/>
      </c>
      <c r="N446" s="33">
        <f>M446/$P$4+($I$22/$P$4)</f>
        <v/>
      </c>
      <c r="U446">
        <f>F445</f>
        <v/>
      </c>
      <c r="V446">
        <f>H445</f>
        <v/>
      </c>
      <c r="W446">
        <f>N445</f>
        <v/>
      </c>
    </row>
    <row r="447" ht="15.75" customHeight="1" s="40">
      <c r="C447" s="36">
        <f>_xlfn.IFS(E447&lt;E$24,0,E447&lt;E$26,C$24,E447&lt;E$28,C$26,E447&lt;E$30,C$28,E447&lt;E$32,C$30,E447&lt;E$34,C$32,E447&gt;=E$34,C$34)</f>
        <v/>
      </c>
      <c r="D447" s="37">
        <f>_xlfn.IFS(E447&lt;E$24,0,E447&lt;E$25,D$24,E447&lt;E$26,D$25,E447&lt;E$27,D$26,E447&lt;E$28,D$27,E447&lt;E$29,D$28,E447&lt;E$30,D$29,E447&lt;E$31,D$30,E447&lt;E$32,D$31,E447&lt;E$33,D$32,E447&lt;E$34,D$33,E447&lt;E$35,D$34,E447&gt;=E$35,D$35)</f>
        <v/>
      </c>
      <c r="E447" s="38" t="n">
        <v>397</v>
      </c>
      <c r="F447" s="31">
        <f>E447/52</f>
        <v/>
      </c>
      <c r="G447" s="39">
        <f>D447/1000000*52</f>
        <v/>
      </c>
      <c r="H447" s="33">
        <f>G447/$P$4+($C$22/$P$4)</f>
        <v/>
      </c>
      <c r="I447" s="36">
        <f>_xlfn.IFS(K447&lt;K$24,0,K447&lt;K$26,I$24,K447&lt;K$28,I$26,K447&lt;K$30,I$28,K447&lt;K$32,I$30,K447&lt;K$34,I$32,K447&lt;K$36,I$34,K447&lt;K$38,I$36,K447&lt;K$40,I$38,K447&lt;K$42,I$40,K447&lt;K$44,I$42,K447&lt;K$46,I$44,K447&gt;=K$46,I$46)</f>
        <v/>
      </c>
      <c r="J447" s="37">
        <f>_xlfn.IFS(K447&lt;K$24,0,K447&lt;K$25,J$24,K447&lt;K$26,J$25,K447&lt;K$27,J$26,K447&lt;K$28,J$27,K447&lt;K$29,J$28,K447&lt;K$30,J$29,K447&lt;K$31,J$30,K447&lt;K$32,J$31,K447&lt;K$33,J$32,K447&lt;K$34,J$33,K447&lt;K$35,J$34,K447&lt;K$36,J$35,K447&lt;K$37,J$36,K447&lt;K$38,J$37,K447&lt;K$39,J$38,K447&lt;K$40,J$39,K447&lt;K$41,J$40,K447&lt;K$42,J$41,K447&lt;K$43,J$42,K447&lt;K$44,J$43,K447&lt;K$45,J$44,K447&lt;K$46,J$45,K447&lt;K$47,J$46,K447&gt;=K$47,J$47)</f>
        <v/>
      </c>
      <c r="K447" s="38" t="n">
        <v>397</v>
      </c>
      <c r="L447" s="31">
        <f>K447/52</f>
        <v/>
      </c>
      <c r="M447" s="39">
        <f>J447/1000000*52</f>
        <v/>
      </c>
      <c r="N447" s="33">
        <f>M447/$P$4+($I$22/$P$4)</f>
        <v/>
      </c>
      <c r="U447">
        <f>F446</f>
        <v/>
      </c>
      <c r="V447">
        <f>H446</f>
        <v/>
      </c>
      <c r="W447">
        <f>N446</f>
        <v/>
      </c>
    </row>
    <row r="448" ht="15.75" customHeight="1" s="40">
      <c r="C448" s="36">
        <f>_xlfn.IFS(E448&lt;E$24,0,E448&lt;E$26,C$24,E448&lt;E$28,C$26,E448&lt;E$30,C$28,E448&lt;E$32,C$30,E448&lt;E$34,C$32,E448&gt;=E$34,C$34)</f>
        <v/>
      </c>
      <c r="D448" s="37">
        <f>_xlfn.IFS(E448&lt;E$24,0,E448&lt;E$25,D$24,E448&lt;E$26,D$25,E448&lt;E$27,D$26,E448&lt;E$28,D$27,E448&lt;E$29,D$28,E448&lt;E$30,D$29,E448&lt;E$31,D$30,E448&lt;E$32,D$31,E448&lt;E$33,D$32,E448&lt;E$34,D$33,E448&lt;E$35,D$34,E448&gt;=E$35,D$35)</f>
        <v/>
      </c>
      <c r="E448" s="38" t="n">
        <v>398</v>
      </c>
      <c r="F448" s="31">
        <f>E448/52</f>
        <v/>
      </c>
      <c r="G448" s="39">
        <f>D448/1000000*52</f>
        <v/>
      </c>
      <c r="H448" s="33">
        <f>G448/$P$4+($C$22/$P$4)</f>
        <v/>
      </c>
      <c r="I448" s="36">
        <f>_xlfn.IFS(K448&lt;K$24,0,K448&lt;K$26,I$24,K448&lt;K$28,I$26,K448&lt;K$30,I$28,K448&lt;K$32,I$30,K448&lt;K$34,I$32,K448&lt;K$36,I$34,K448&lt;K$38,I$36,K448&lt;K$40,I$38,K448&lt;K$42,I$40,K448&lt;K$44,I$42,K448&lt;K$46,I$44,K448&gt;=K$46,I$46)</f>
        <v/>
      </c>
      <c r="J448" s="37">
        <f>_xlfn.IFS(K448&lt;K$24,0,K448&lt;K$25,J$24,K448&lt;K$26,J$25,K448&lt;K$27,J$26,K448&lt;K$28,J$27,K448&lt;K$29,J$28,K448&lt;K$30,J$29,K448&lt;K$31,J$30,K448&lt;K$32,J$31,K448&lt;K$33,J$32,K448&lt;K$34,J$33,K448&lt;K$35,J$34,K448&lt;K$36,J$35,K448&lt;K$37,J$36,K448&lt;K$38,J$37,K448&lt;K$39,J$38,K448&lt;K$40,J$39,K448&lt;K$41,J$40,K448&lt;K$42,J$41,K448&lt;K$43,J$42,K448&lt;K$44,J$43,K448&lt;K$45,J$44,K448&lt;K$46,J$45,K448&lt;K$47,J$46,K448&gt;=K$47,J$47)</f>
        <v/>
      </c>
      <c r="K448" s="38" t="n">
        <v>398</v>
      </c>
      <c r="L448" s="31">
        <f>K448/52</f>
        <v/>
      </c>
      <c r="M448" s="39">
        <f>J448/1000000*52</f>
        <v/>
      </c>
      <c r="N448" s="33">
        <f>M448/$P$4+($I$22/$P$4)</f>
        <v/>
      </c>
      <c r="U448">
        <f>F447</f>
        <v/>
      </c>
      <c r="V448">
        <f>H447</f>
        <v/>
      </c>
      <c r="W448">
        <f>N447</f>
        <v/>
      </c>
    </row>
    <row r="449" ht="15.75" customHeight="1" s="40">
      <c r="C449" s="36">
        <f>_xlfn.IFS(E449&lt;E$24,0,E449&lt;E$26,C$24,E449&lt;E$28,C$26,E449&lt;E$30,C$28,E449&lt;E$32,C$30,E449&lt;E$34,C$32,E449&gt;=E$34,C$34)</f>
        <v/>
      </c>
      <c r="D449" s="37">
        <f>_xlfn.IFS(E449&lt;E$24,0,E449&lt;E$25,D$24,E449&lt;E$26,D$25,E449&lt;E$27,D$26,E449&lt;E$28,D$27,E449&lt;E$29,D$28,E449&lt;E$30,D$29,E449&lt;E$31,D$30,E449&lt;E$32,D$31,E449&lt;E$33,D$32,E449&lt;E$34,D$33,E449&lt;E$35,D$34,E449&gt;=E$35,D$35)</f>
        <v/>
      </c>
      <c r="E449" s="38" t="n">
        <v>399</v>
      </c>
      <c r="F449" s="31">
        <f>E449/52</f>
        <v/>
      </c>
      <c r="G449" s="39">
        <f>D449/1000000*52</f>
        <v/>
      </c>
      <c r="H449" s="33">
        <f>G449/$P$4+($C$22/$P$4)</f>
        <v/>
      </c>
      <c r="I449" s="36">
        <f>_xlfn.IFS(K449&lt;K$24,0,K449&lt;K$26,I$24,K449&lt;K$28,I$26,K449&lt;K$30,I$28,K449&lt;K$32,I$30,K449&lt;K$34,I$32,K449&lt;K$36,I$34,K449&lt;K$38,I$36,K449&lt;K$40,I$38,K449&lt;K$42,I$40,K449&lt;K$44,I$42,K449&lt;K$46,I$44,K449&gt;=K$46,I$46)</f>
        <v/>
      </c>
      <c r="J449" s="37">
        <f>_xlfn.IFS(K449&lt;K$24,0,K449&lt;K$25,J$24,K449&lt;K$26,J$25,K449&lt;K$27,J$26,K449&lt;K$28,J$27,K449&lt;K$29,J$28,K449&lt;K$30,J$29,K449&lt;K$31,J$30,K449&lt;K$32,J$31,K449&lt;K$33,J$32,K449&lt;K$34,J$33,K449&lt;K$35,J$34,K449&lt;K$36,J$35,K449&lt;K$37,J$36,K449&lt;K$38,J$37,K449&lt;K$39,J$38,K449&lt;K$40,J$39,K449&lt;K$41,J$40,K449&lt;K$42,J$41,K449&lt;K$43,J$42,K449&lt;K$44,J$43,K449&lt;K$45,J$44,K449&lt;K$46,J$45,K449&lt;K$47,J$46,K449&gt;=K$47,J$47)</f>
        <v/>
      </c>
      <c r="K449" s="38" t="n">
        <v>399</v>
      </c>
      <c r="L449" s="31">
        <f>K449/52</f>
        <v/>
      </c>
      <c r="M449" s="39">
        <f>J449/1000000*52</f>
        <v/>
      </c>
      <c r="N449" s="33">
        <f>M449/$P$4+($I$22/$P$4)</f>
        <v/>
      </c>
      <c r="U449">
        <f>F448</f>
        <v/>
      </c>
      <c r="V449">
        <f>H448</f>
        <v/>
      </c>
      <c r="W449">
        <f>N448</f>
        <v/>
      </c>
    </row>
    <row r="450" ht="15.75" customHeight="1" s="40">
      <c r="C450" s="36">
        <f>_xlfn.IFS(E450&lt;E$24,0,E450&lt;E$26,C$24,E450&lt;E$28,C$26,E450&lt;E$30,C$28,E450&lt;E$32,C$30,E450&lt;E$34,C$32,E450&gt;=E$34,C$34)</f>
        <v/>
      </c>
      <c r="D450" s="37">
        <f>_xlfn.IFS(E450&lt;E$24,0,E450&lt;E$25,D$24,E450&lt;E$26,D$25,E450&lt;E$27,D$26,E450&lt;E$28,D$27,E450&lt;E$29,D$28,E450&lt;E$30,D$29,E450&lt;E$31,D$30,E450&lt;E$32,D$31,E450&lt;E$33,D$32,E450&lt;E$34,D$33,E450&lt;E$35,D$34,E450&gt;=E$35,D$35)</f>
        <v/>
      </c>
      <c r="E450" s="38" t="n">
        <v>400</v>
      </c>
      <c r="F450" s="31">
        <f>E450/52</f>
        <v/>
      </c>
      <c r="G450" s="39">
        <f>D450/1000000*52</f>
        <v/>
      </c>
      <c r="H450" s="33">
        <f>G450/$P$4+($C$22/$P$4)</f>
        <v/>
      </c>
      <c r="I450" s="36">
        <f>_xlfn.IFS(K450&lt;K$24,0,K450&lt;K$26,I$24,K450&lt;K$28,I$26,K450&lt;K$30,I$28,K450&lt;K$32,I$30,K450&lt;K$34,I$32,K450&lt;K$36,I$34,K450&lt;K$38,I$36,K450&lt;K$40,I$38,K450&lt;K$42,I$40,K450&lt;K$44,I$42,K450&lt;K$46,I$44,K450&gt;=K$46,I$46)</f>
        <v/>
      </c>
      <c r="J450" s="37">
        <f>_xlfn.IFS(K450&lt;K$24,0,K450&lt;K$25,J$24,K450&lt;K$26,J$25,K450&lt;K$27,J$26,K450&lt;K$28,J$27,K450&lt;K$29,J$28,K450&lt;K$30,J$29,K450&lt;K$31,J$30,K450&lt;K$32,J$31,K450&lt;K$33,J$32,K450&lt;K$34,J$33,K450&lt;K$35,J$34,K450&lt;K$36,J$35,K450&lt;K$37,J$36,K450&lt;K$38,J$37,K450&lt;K$39,J$38,K450&lt;K$40,J$39,K450&lt;K$41,J$40,K450&lt;K$42,J$41,K450&lt;K$43,J$42,K450&lt;K$44,J$43,K450&lt;K$45,J$44,K450&lt;K$46,J$45,K450&lt;K$47,J$46,K450&gt;=K$47,J$47)</f>
        <v/>
      </c>
      <c r="K450" s="38" t="n">
        <v>400</v>
      </c>
      <c r="L450" s="31">
        <f>K450/52</f>
        <v/>
      </c>
      <c r="M450" s="39">
        <f>J450/1000000*52</f>
        <v/>
      </c>
      <c r="N450" s="33">
        <f>M450/$P$4+($I$22/$P$4)</f>
        <v/>
      </c>
      <c r="U450">
        <f>F449</f>
        <v/>
      </c>
      <c r="V450">
        <f>H449</f>
        <v/>
      </c>
      <c r="W450">
        <f>N449</f>
        <v/>
      </c>
    </row>
    <row r="451" ht="15.75" customHeight="1" s="40">
      <c r="C451" s="36">
        <f>_xlfn.IFS(E451&lt;E$24,0,E451&lt;E$26,C$24,E451&lt;E$28,C$26,E451&lt;E$30,C$28,E451&lt;E$32,C$30,E451&lt;E$34,C$32,E451&gt;=E$34,C$34)</f>
        <v/>
      </c>
      <c r="D451" s="37">
        <f>_xlfn.IFS(E451&lt;E$24,0,E451&lt;E$25,D$24,E451&lt;E$26,D$25,E451&lt;E$27,D$26,E451&lt;E$28,D$27,E451&lt;E$29,D$28,E451&lt;E$30,D$29,E451&lt;E$31,D$30,E451&lt;E$32,D$31,E451&lt;E$33,D$32,E451&lt;E$34,D$33,E451&lt;E$35,D$34,E451&gt;=E$35,D$35)</f>
        <v/>
      </c>
      <c r="E451" s="38" t="n">
        <v>401</v>
      </c>
      <c r="F451" s="31">
        <f>E451/52</f>
        <v/>
      </c>
      <c r="G451" s="39">
        <f>D451/1000000*52</f>
        <v/>
      </c>
      <c r="H451" s="33">
        <f>G451/$P$4+($C$22/$P$4)</f>
        <v/>
      </c>
      <c r="I451" s="36">
        <f>_xlfn.IFS(K451&lt;K$24,0,K451&lt;K$26,I$24,K451&lt;K$28,I$26,K451&lt;K$30,I$28,K451&lt;K$32,I$30,K451&lt;K$34,I$32,K451&lt;K$36,I$34,K451&lt;K$38,I$36,K451&lt;K$40,I$38,K451&lt;K$42,I$40,K451&lt;K$44,I$42,K451&lt;K$46,I$44,K451&gt;=K$46,I$46)</f>
        <v/>
      </c>
      <c r="J451" s="37">
        <f>_xlfn.IFS(K451&lt;K$24,0,K451&lt;K$25,J$24,K451&lt;K$26,J$25,K451&lt;K$27,J$26,K451&lt;K$28,J$27,K451&lt;K$29,J$28,K451&lt;K$30,J$29,K451&lt;K$31,J$30,K451&lt;K$32,J$31,K451&lt;K$33,J$32,K451&lt;K$34,J$33,K451&lt;K$35,J$34,K451&lt;K$36,J$35,K451&lt;K$37,J$36,K451&lt;K$38,J$37,K451&lt;K$39,J$38,K451&lt;K$40,J$39,K451&lt;K$41,J$40,K451&lt;K$42,J$41,K451&lt;K$43,J$42,K451&lt;K$44,J$43,K451&lt;K$45,J$44,K451&lt;K$46,J$45,K451&lt;K$47,J$46,K451&gt;=K$47,J$47)</f>
        <v/>
      </c>
      <c r="K451" s="38" t="n">
        <v>401</v>
      </c>
      <c r="L451" s="31">
        <f>K451/52</f>
        <v/>
      </c>
      <c r="M451" s="39">
        <f>J451/1000000*52</f>
        <v/>
      </c>
      <c r="N451" s="33">
        <f>M451/$P$4+($I$22/$P$4)</f>
        <v/>
      </c>
      <c r="U451">
        <f>F450</f>
        <v/>
      </c>
      <c r="V451">
        <f>H450</f>
        <v/>
      </c>
      <c r="W451">
        <f>N450</f>
        <v/>
      </c>
    </row>
    <row r="452" ht="15.75" customHeight="1" s="40">
      <c r="C452" s="36">
        <f>_xlfn.IFS(E452&lt;E$24,0,E452&lt;E$26,C$24,E452&lt;E$28,C$26,E452&lt;E$30,C$28,E452&lt;E$32,C$30,E452&lt;E$34,C$32,E452&gt;=E$34,C$34)</f>
        <v/>
      </c>
      <c r="D452" s="37">
        <f>_xlfn.IFS(E452&lt;E$24,0,E452&lt;E$25,D$24,E452&lt;E$26,D$25,E452&lt;E$27,D$26,E452&lt;E$28,D$27,E452&lt;E$29,D$28,E452&lt;E$30,D$29,E452&lt;E$31,D$30,E452&lt;E$32,D$31,E452&lt;E$33,D$32,E452&lt;E$34,D$33,E452&lt;E$35,D$34,E452&gt;=E$35,D$35)</f>
        <v/>
      </c>
      <c r="E452" s="38" t="n">
        <v>402</v>
      </c>
      <c r="F452" s="31">
        <f>E452/52</f>
        <v/>
      </c>
      <c r="G452" s="39">
        <f>D452/1000000*52</f>
        <v/>
      </c>
      <c r="H452" s="33">
        <f>G452/$P$4+($C$22/$P$4)</f>
        <v/>
      </c>
      <c r="I452" s="36">
        <f>_xlfn.IFS(K452&lt;K$24,0,K452&lt;K$26,I$24,K452&lt;K$28,I$26,K452&lt;K$30,I$28,K452&lt;K$32,I$30,K452&lt;K$34,I$32,K452&lt;K$36,I$34,K452&lt;K$38,I$36,K452&lt;K$40,I$38,K452&lt;K$42,I$40,K452&lt;K$44,I$42,K452&lt;K$46,I$44,K452&gt;=K$46,I$46)</f>
        <v/>
      </c>
      <c r="J452" s="37">
        <f>_xlfn.IFS(K452&lt;K$24,0,K452&lt;K$25,J$24,K452&lt;K$26,J$25,K452&lt;K$27,J$26,K452&lt;K$28,J$27,K452&lt;K$29,J$28,K452&lt;K$30,J$29,K452&lt;K$31,J$30,K452&lt;K$32,J$31,K452&lt;K$33,J$32,K452&lt;K$34,J$33,K452&lt;K$35,J$34,K452&lt;K$36,J$35,K452&lt;K$37,J$36,K452&lt;K$38,J$37,K452&lt;K$39,J$38,K452&lt;K$40,J$39,K452&lt;K$41,J$40,K452&lt;K$42,J$41,K452&lt;K$43,J$42,K452&lt;K$44,J$43,K452&lt;K$45,J$44,K452&lt;K$46,J$45,K452&lt;K$47,J$46,K452&gt;=K$47,J$47)</f>
        <v/>
      </c>
      <c r="K452" s="38" t="n">
        <v>402</v>
      </c>
      <c r="L452" s="31">
        <f>K452/52</f>
        <v/>
      </c>
      <c r="M452" s="39">
        <f>J452/1000000*52</f>
        <v/>
      </c>
      <c r="N452" s="33">
        <f>M452/$P$4+($I$22/$P$4)</f>
        <v/>
      </c>
      <c r="U452">
        <f>F451</f>
        <v/>
      </c>
      <c r="V452">
        <f>H451</f>
        <v/>
      </c>
      <c r="W452">
        <f>N451</f>
        <v/>
      </c>
    </row>
    <row r="453" ht="15.75" customHeight="1" s="40">
      <c r="C453" s="36">
        <f>_xlfn.IFS(E453&lt;E$24,0,E453&lt;E$26,C$24,E453&lt;E$28,C$26,E453&lt;E$30,C$28,E453&lt;E$32,C$30,E453&lt;E$34,C$32,E453&gt;=E$34,C$34)</f>
        <v/>
      </c>
      <c r="D453" s="37">
        <f>_xlfn.IFS(E453&lt;E$24,0,E453&lt;E$25,D$24,E453&lt;E$26,D$25,E453&lt;E$27,D$26,E453&lt;E$28,D$27,E453&lt;E$29,D$28,E453&lt;E$30,D$29,E453&lt;E$31,D$30,E453&lt;E$32,D$31,E453&lt;E$33,D$32,E453&lt;E$34,D$33,E453&lt;E$35,D$34,E453&gt;=E$35,D$35)</f>
        <v/>
      </c>
      <c r="E453" s="38" t="n">
        <v>403</v>
      </c>
      <c r="F453" s="31">
        <f>E453/52</f>
        <v/>
      </c>
      <c r="G453" s="39">
        <f>D453/1000000*52</f>
        <v/>
      </c>
      <c r="H453" s="33">
        <f>G453/$P$4+($C$22/$P$4)</f>
        <v/>
      </c>
      <c r="I453" s="36">
        <f>_xlfn.IFS(K453&lt;K$24,0,K453&lt;K$26,I$24,K453&lt;K$28,I$26,K453&lt;K$30,I$28,K453&lt;K$32,I$30,K453&lt;K$34,I$32,K453&lt;K$36,I$34,K453&lt;K$38,I$36,K453&lt;K$40,I$38,K453&lt;K$42,I$40,K453&lt;K$44,I$42,K453&lt;K$46,I$44,K453&gt;=K$46,I$46)</f>
        <v/>
      </c>
      <c r="J453" s="37">
        <f>_xlfn.IFS(K453&lt;K$24,0,K453&lt;K$25,J$24,K453&lt;K$26,J$25,K453&lt;K$27,J$26,K453&lt;K$28,J$27,K453&lt;K$29,J$28,K453&lt;K$30,J$29,K453&lt;K$31,J$30,K453&lt;K$32,J$31,K453&lt;K$33,J$32,K453&lt;K$34,J$33,K453&lt;K$35,J$34,K453&lt;K$36,J$35,K453&lt;K$37,J$36,K453&lt;K$38,J$37,K453&lt;K$39,J$38,K453&lt;K$40,J$39,K453&lt;K$41,J$40,K453&lt;K$42,J$41,K453&lt;K$43,J$42,K453&lt;K$44,J$43,K453&lt;K$45,J$44,K453&lt;K$46,J$45,K453&lt;K$47,J$46,K453&gt;=K$47,J$47)</f>
        <v/>
      </c>
      <c r="K453" s="38" t="n">
        <v>403</v>
      </c>
      <c r="L453" s="31">
        <f>K453/52</f>
        <v/>
      </c>
      <c r="M453" s="39">
        <f>J453/1000000*52</f>
        <v/>
      </c>
      <c r="N453" s="33">
        <f>M453/$P$4+($I$22/$P$4)</f>
        <v/>
      </c>
      <c r="U453">
        <f>F452</f>
        <v/>
      </c>
      <c r="V453">
        <f>H452</f>
        <v/>
      </c>
      <c r="W453">
        <f>N452</f>
        <v/>
      </c>
    </row>
    <row r="454" ht="15.75" customHeight="1" s="40">
      <c r="C454" s="36">
        <f>_xlfn.IFS(E454&lt;E$24,0,E454&lt;E$26,C$24,E454&lt;E$28,C$26,E454&lt;E$30,C$28,E454&lt;E$32,C$30,E454&lt;E$34,C$32,E454&gt;=E$34,C$34)</f>
        <v/>
      </c>
      <c r="D454" s="37">
        <f>_xlfn.IFS(E454&lt;E$24,0,E454&lt;E$25,D$24,E454&lt;E$26,D$25,E454&lt;E$27,D$26,E454&lt;E$28,D$27,E454&lt;E$29,D$28,E454&lt;E$30,D$29,E454&lt;E$31,D$30,E454&lt;E$32,D$31,E454&lt;E$33,D$32,E454&lt;E$34,D$33,E454&lt;E$35,D$34,E454&gt;=E$35,D$35)</f>
        <v/>
      </c>
      <c r="E454" s="38" t="n">
        <v>404</v>
      </c>
      <c r="F454" s="31">
        <f>E454/52</f>
        <v/>
      </c>
      <c r="G454" s="39">
        <f>D454/1000000*52</f>
        <v/>
      </c>
      <c r="H454" s="33">
        <f>G454/$P$4+($C$22/$P$4)</f>
        <v/>
      </c>
      <c r="I454" s="36">
        <f>_xlfn.IFS(K454&lt;K$24,0,K454&lt;K$26,I$24,K454&lt;K$28,I$26,K454&lt;K$30,I$28,K454&lt;K$32,I$30,K454&lt;K$34,I$32,K454&lt;K$36,I$34,K454&lt;K$38,I$36,K454&lt;K$40,I$38,K454&lt;K$42,I$40,K454&lt;K$44,I$42,K454&lt;K$46,I$44,K454&gt;=K$46,I$46)</f>
        <v/>
      </c>
      <c r="J454" s="37">
        <f>_xlfn.IFS(K454&lt;K$24,0,K454&lt;K$25,J$24,K454&lt;K$26,J$25,K454&lt;K$27,J$26,K454&lt;K$28,J$27,K454&lt;K$29,J$28,K454&lt;K$30,J$29,K454&lt;K$31,J$30,K454&lt;K$32,J$31,K454&lt;K$33,J$32,K454&lt;K$34,J$33,K454&lt;K$35,J$34,K454&lt;K$36,J$35,K454&lt;K$37,J$36,K454&lt;K$38,J$37,K454&lt;K$39,J$38,K454&lt;K$40,J$39,K454&lt;K$41,J$40,K454&lt;K$42,J$41,K454&lt;K$43,J$42,K454&lt;K$44,J$43,K454&lt;K$45,J$44,K454&lt;K$46,J$45,K454&lt;K$47,J$46,K454&gt;=K$47,J$47)</f>
        <v/>
      </c>
      <c r="K454" s="38" t="n">
        <v>404</v>
      </c>
      <c r="L454" s="31">
        <f>K454/52</f>
        <v/>
      </c>
      <c r="M454" s="39">
        <f>J454/1000000*52</f>
        <v/>
      </c>
      <c r="N454" s="33">
        <f>M454/$P$4+($I$22/$P$4)</f>
        <v/>
      </c>
      <c r="U454">
        <f>F453</f>
        <v/>
      </c>
      <c r="V454">
        <f>H453</f>
        <v/>
      </c>
      <c r="W454">
        <f>N453</f>
        <v/>
      </c>
    </row>
    <row r="455" ht="15.75" customHeight="1" s="40">
      <c r="C455" s="36">
        <f>_xlfn.IFS(E455&lt;E$24,0,E455&lt;E$26,C$24,E455&lt;E$28,C$26,E455&lt;E$30,C$28,E455&lt;E$32,C$30,E455&lt;E$34,C$32,E455&gt;=E$34,C$34)</f>
        <v/>
      </c>
      <c r="D455" s="37">
        <f>_xlfn.IFS(E455&lt;E$24,0,E455&lt;E$25,D$24,E455&lt;E$26,D$25,E455&lt;E$27,D$26,E455&lt;E$28,D$27,E455&lt;E$29,D$28,E455&lt;E$30,D$29,E455&lt;E$31,D$30,E455&lt;E$32,D$31,E455&lt;E$33,D$32,E455&lt;E$34,D$33,E455&lt;E$35,D$34,E455&gt;=E$35,D$35)</f>
        <v/>
      </c>
      <c r="E455" s="38" t="n">
        <v>405</v>
      </c>
      <c r="F455" s="31">
        <f>E455/52</f>
        <v/>
      </c>
      <c r="G455" s="39">
        <f>D455/1000000*52</f>
        <v/>
      </c>
      <c r="H455" s="33">
        <f>G455/$P$4+($C$22/$P$4)</f>
        <v/>
      </c>
      <c r="I455" s="36">
        <f>_xlfn.IFS(K455&lt;K$24,0,K455&lt;K$26,I$24,K455&lt;K$28,I$26,K455&lt;K$30,I$28,K455&lt;K$32,I$30,K455&lt;K$34,I$32,K455&lt;K$36,I$34,K455&lt;K$38,I$36,K455&lt;K$40,I$38,K455&lt;K$42,I$40,K455&lt;K$44,I$42,K455&lt;K$46,I$44,K455&gt;=K$46,I$46)</f>
        <v/>
      </c>
      <c r="J455" s="37">
        <f>_xlfn.IFS(K455&lt;K$24,0,K455&lt;K$25,J$24,K455&lt;K$26,J$25,K455&lt;K$27,J$26,K455&lt;K$28,J$27,K455&lt;K$29,J$28,K455&lt;K$30,J$29,K455&lt;K$31,J$30,K455&lt;K$32,J$31,K455&lt;K$33,J$32,K455&lt;K$34,J$33,K455&lt;K$35,J$34,K455&lt;K$36,J$35,K455&lt;K$37,J$36,K455&lt;K$38,J$37,K455&lt;K$39,J$38,K455&lt;K$40,J$39,K455&lt;K$41,J$40,K455&lt;K$42,J$41,K455&lt;K$43,J$42,K455&lt;K$44,J$43,K455&lt;K$45,J$44,K455&lt;K$46,J$45,K455&lt;K$47,J$46,K455&gt;=K$47,J$47)</f>
        <v/>
      </c>
      <c r="K455" s="38" t="n">
        <v>405</v>
      </c>
      <c r="L455" s="31">
        <f>K455/52</f>
        <v/>
      </c>
      <c r="M455" s="39">
        <f>J455/1000000*52</f>
        <v/>
      </c>
      <c r="N455" s="33">
        <f>M455/$P$4+($I$22/$P$4)</f>
        <v/>
      </c>
      <c r="U455">
        <f>F454</f>
        <v/>
      </c>
      <c r="V455">
        <f>H454</f>
        <v/>
      </c>
      <c r="W455">
        <f>N454</f>
        <v/>
      </c>
    </row>
    <row r="456" ht="15.75" customHeight="1" s="40">
      <c r="C456" s="36">
        <f>_xlfn.IFS(E456&lt;E$24,0,E456&lt;E$26,C$24,E456&lt;E$28,C$26,E456&lt;E$30,C$28,E456&lt;E$32,C$30,E456&lt;E$34,C$32,E456&gt;=E$34,C$34)</f>
        <v/>
      </c>
      <c r="D456" s="37">
        <f>_xlfn.IFS(E456&lt;E$24,0,E456&lt;E$25,D$24,E456&lt;E$26,D$25,E456&lt;E$27,D$26,E456&lt;E$28,D$27,E456&lt;E$29,D$28,E456&lt;E$30,D$29,E456&lt;E$31,D$30,E456&lt;E$32,D$31,E456&lt;E$33,D$32,E456&lt;E$34,D$33,E456&lt;E$35,D$34,E456&gt;=E$35,D$35)</f>
        <v/>
      </c>
      <c r="E456" s="38" t="n">
        <v>406</v>
      </c>
      <c r="F456" s="31">
        <f>E456/52</f>
        <v/>
      </c>
      <c r="G456" s="39">
        <f>D456/1000000*52</f>
        <v/>
      </c>
      <c r="H456" s="33">
        <f>G456/$P$4+($C$22/$P$4)</f>
        <v/>
      </c>
      <c r="I456" s="36">
        <f>_xlfn.IFS(K456&lt;K$24,0,K456&lt;K$26,I$24,K456&lt;K$28,I$26,K456&lt;K$30,I$28,K456&lt;K$32,I$30,K456&lt;K$34,I$32,K456&lt;K$36,I$34,K456&lt;K$38,I$36,K456&lt;K$40,I$38,K456&lt;K$42,I$40,K456&lt;K$44,I$42,K456&lt;K$46,I$44,K456&gt;=K$46,I$46)</f>
        <v/>
      </c>
      <c r="J456" s="37">
        <f>_xlfn.IFS(K456&lt;K$24,0,K456&lt;K$25,J$24,K456&lt;K$26,J$25,K456&lt;K$27,J$26,K456&lt;K$28,J$27,K456&lt;K$29,J$28,K456&lt;K$30,J$29,K456&lt;K$31,J$30,K456&lt;K$32,J$31,K456&lt;K$33,J$32,K456&lt;K$34,J$33,K456&lt;K$35,J$34,K456&lt;K$36,J$35,K456&lt;K$37,J$36,K456&lt;K$38,J$37,K456&lt;K$39,J$38,K456&lt;K$40,J$39,K456&lt;K$41,J$40,K456&lt;K$42,J$41,K456&lt;K$43,J$42,K456&lt;K$44,J$43,K456&lt;K$45,J$44,K456&lt;K$46,J$45,K456&lt;K$47,J$46,K456&gt;=K$47,J$47)</f>
        <v/>
      </c>
      <c r="K456" s="38" t="n">
        <v>406</v>
      </c>
      <c r="L456" s="31">
        <f>K456/52</f>
        <v/>
      </c>
      <c r="M456" s="39">
        <f>J456/1000000*52</f>
        <v/>
      </c>
      <c r="N456" s="33">
        <f>M456/$P$4+($I$22/$P$4)</f>
        <v/>
      </c>
      <c r="U456">
        <f>F455</f>
        <v/>
      </c>
      <c r="V456">
        <f>H455</f>
        <v/>
      </c>
      <c r="W456">
        <f>N455</f>
        <v/>
      </c>
    </row>
    <row r="457" ht="15.75" customHeight="1" s="40">
      <c r="C457" s="36">
        <f>_xlfn.IFS(E457&lt;E$24,0,E457&lt;E$26,C$24,E457&lt;E$28,C$26,E457&lt;E$30,C$28,E457&lt;E$32,C$30,E457&lt;E$34,C$32,E457&gt;=E$34,C$34)</f>
        <v/>
      </c>
      <c r="D457" s="37">
        <f>_xlfn.IFS(E457&lt;E$24,0,E457&lt;E$25,D$24,E457&lt;E$26,D$25,E457&lt;E$27,D$26,E457&lt;E$28,D$27,E457&lt;E$29,D$28,E457&lt;E$30,D$29,E457&lt;E$31,D$30,E457&lt;E$32,D$31,E457&lt;E$33,D$32,E457&lt;E$34,D$33,E457&lt;E$35,D$34,E457&gt;=E$35,D$35)</f>
        <v/>
      </c>
      <c r="E457" s="38" t="n">
        <v>407</v>
      </c>
      <c r="F457" s="31">
        <f>E457/52</f>
        <v/>
      </c>
      <c r="G457" s="39">
        <f>D457/1000000*52</f>
        <v/>
      </c>
      <c r="H457" s="33">
        <f>G457/$P$4+($C$22/$P$4)</f>
        <v/>
      </c>
      <c r="I457" s="36">
        <f>_xlfn.IFS(K457&lt;K$24,0,K457&lt;K$26,I$24,K457&lt;K$28,I$26,K457&lt;K$30,I$28,K457&lt;K$32,I$30,K457&lt;K$34,I$32,K457&lt;K$36,I$34,K457&lt;K$38,I$36,K457&lt;K$40,I$38,K457&lt;K$42,I$40,K457&lt;K$44,I$42,K457&lt;K$46,I$44,K457&gt;=K$46,I$46)</f>
        <v/>
      </c>
      <c r="J457" s="37">
        <f>_xlfn.IFS(K457&lt;K$24,0,K457&lt;K$25,J$24,K457&lt;K$26,J$25,K457&lt;K$27,J$26,K457&lt;K$28,J$27,K457&lt;K$29,J$28,K457&lt;K$30,J$29,K457&lt;K$31,J$30,K457&lt;K$32,J$31,K457&lt;K$33,J$32,K457&lt;K$34,J$33,K457&lt;K$35,J$34,K457&lt;K$36,J$35,K457&lt;K$37,J$36,K457&lt;K$38,J$37,K457&lt;K$39,J$38,K457&lt;K$40,J$39,K457&lt;K$41,J$40,K457&lt;K$42,J$41,K457&lt;K$43,J$42,K457&lt;K$44,J$43,K457&lt;K$45,J$44,K457&lt;K$46,J$45,K457&lt;K$47,J$46,K457&gt;=K$47,J$47)</f>
        <v/>
      </c>
      <c r="K457" s="38" t="n">
        <v>407</v>
      </c>
      <c r="L457" s="31">
        <f>K457/52</f>
        <v/>
      </c>
      <c r="M457" s="39">
        <f>J457/1000000*52</f>
        <v/>
      </c>
      <c r="N457" s="33">
        <f>M457/$P$4+($I$22/$P$4)</f>
        <v/>
      </c>
      <c r="U457">
        <f>F456</f>
        <v/>
      </c>
      <c r="V457">
        <f>H456</f>
        <v/>
      </c>
      <c r="W457">
        <f>N456</f>
        <v/>
      </c>
    </row>
    <row r="458" ht="15.75" customHeight="1" s="40">
      <c r="C458" s="36">
        <f>_xlfn.IFS(E458&lt;E$24,0,E458&lt;E$26,C$24,E458&lt;E$28,C$26,E458&lt;E$30,C$28,E458&lt;E$32,C$30,E458&lt;E$34,C$32,E458&gt;=E$34,C$34)</f>
        <v/>
      </c>
      <c r="D458" s="37">
        <f>_xlfn.IFS(E458&lt;E$24,0,E458&lt;E$25,D$24,E458&lt;E$26,D$25,E458&lt;E$27,D$26,E458&lt;E$28,D$27,E458&lt;E$29,D$28,E458&lt;E$30,D$29,E458&lt;E$31,D$30,E458&lt;E$32,D$31,E458&lt;E$33,D$32,E458&lt;E$34,D$33,E458&lt;E$35,D$34,E458&gt;=E$35,D$35)</f>
        <v/>
      </c>
      <c r="E458" s="38" t="n">
        <v>408</v>
      </c>
      <c r="F458" s="31">
        <f>E458/52</f>
        <v/>
      </c>
      <c r="G458" s="39">
        <f>D458/1000000*52</f>
        <v/>
      </c>
      <c r="H458" s="33">
        <f>G458/$P$4+($C$22/$P$4)</f>
        <v/>
      </c>
      <c r="I458" s="36">
        <f>_xlfn.IFS(K458&lt;K$24,0,K458&lt;K$26,I$24,K458&lt;K$28,I$26,K458&lt;K$30,I$28,K458&lt;K$32,I$30,K458&lt;K$34,I$32,K458&lt;K$36,I$34,K458&lt;K$38,I$36,K458&lt;K$40,I$38,K458&lt;K$42,I$40,K458&lt;K$44,I$42,K458&lt;K$46,I$44,K458&gt;=K$46,I$46)</f>
        <v/>
      </c>
      <c r="J458" s="37">
        <f>_xlfn.IFS(K458&lt;K$24,0,K458&lt;K$25,J$24,K458&lt;K$26,J$25,K458&lt;K$27,J$26,K458&lt;K$28,J$27,K458&lt;K$29,J$28,K458&lt;K$30,J$29,K458&lt;K$31,J$30,K458&lt;K$32,J$31,K458&lt;K$33,J$32,K458&lt;K$34,J$33,K458&lt;K$35,J$34,K458&lt;K$36,J$35,K458&lt;K$37,J$36,K458&lt;K$38,J$37,K458&lt;K$39,J$38,K458&lt;K$40,J$39,K458&lt;K$41,J$40,K458&lt;K$42,J$41,K458&lt;K$43,J$42,K458&lt;K$44,J$43,K458&lt;K$45,J$44,K458&lt;K$46,J$45,K458&lt;K$47,J$46,K458&gt;=K$47,J$47)</f>
        <v/>
      </c>
      <c r="K458" s="38" t="n">
        <v>408</v>
      </c>
      <c r="L458" s="31">
        <f>K458/52</f>
        <v/>
      </c>
      <c r="M458" s="39">
        <f>J458/1000000*52</f>
        <v/>
      </c>
      <c r="N458" s="33">
        <f>M458/$P$4+($I$22/$P$4)</f>
        <v/>
      </c>
      <c r="U458">
        <f>F457</f>
        <v/>
      </c>
      <c r="V458">
        <f>H457</f>
        <v/>
      </c>
      <c r="W458">
        <f>N457</f>
        <v/>
      </c>
    </row>
    <row r="459" ht="15.75" customHeight="1" s="40">
      <c r="C459" s="36">
        <f>_xlfn.IFS(E459&lt;E$24,0,E459&lt;E$26,C$24,E459&lt;E$28,C$26,E459&lt;E$30,C$28,E459&lt;E$32,C$30,E459&lt;E$34,C$32,E459&gt;=E$34,C$34)</f>
        <v/>
      </c>
      <c r="D459" s="37">
        <f>_xlfn.IFS(E459&lt;E$24,0,E459&lt;E$25,D$24,E459&lt;E$26,D$25,E459&lt;E$27,D$26,E459&lt;E$28,D$27,E459&lt;E$29,D$28,E459&lt;E$30,D$29,E459&lt;E$31,D$30,E459&lt;E$32,D$31,E459&lt;E$33,D$32,E459&lt;E$34,D$33,E459&lt;E$35,D$34,E459&gt;=E$35,D$35)</f>
        <v/>
      </c>
      <c r="E459" s="38" t="n">
        <v>409</v>
      </c>
      <c r="F459" s="31">
        <f>E459/52</f>
        <v/>
      </c>
      <c r="G459" s="39">
        <f>D459/1000000*52</f>
        <v/>
      </c>
      <c r="H459" s="33">
        <f>G459/$P$4+($C$22/$P$4)</f>
        <v/>
      </c>
      <c r="I459" s="36">
        <f>_xlfn.IFS(K459&lt;K$24,0,K459&lt;K$26,I$24,K459&lt;K$28,I$26,K459&lt;K$30,I$28,K459&lt;K$32,I$30,K459&lt;K$34,I$32,K459&lt;K$36,I$34,K459&lt;K$38,I$36,K459&lt;K$40,I$38,K459&lt;K$42,I$40,K459&lt;K$44,I$42,K459&lt;K$46,I$44,K459&gt;=K$46,I$46)</f>
        <v/>
      </c>
      <c r="J459" s="37">
        <f>_xlfn.IFS(K459&lt;K$24,0,K459&lt;K$25,J$24,K459&lt;K$26,J$25,K459&lt;K$27,J$26,K459&lt;K$28,J$27,K459&lt;K$29,J$28,K459&lt;K$30,J$29,K459&lt;K$31,J$30,K459&lt;K$32,J$31,K459&lt;K$33,J$32,K459&lt;K$34,J$33,K459&lt;K$35,J$34,K459&lt;K$36,J$35,K459&lt;K$37,J$36,K459&lt;K$38,J$37,K459&lt;K$39,J$38,K459&lt;K$40,J$39,K459&lt;K$41,J$40,K459&lt;K$42,J$41,K459&lt;K$43,J$42,K459&lt;K$44,J$43,K459&lt;K$45,J$44,K459&lt;K$46,J$45,K459&lt;K$47,J$46,K459&gt;=K$47,J$47)</f>
        <v/>
      </c>
      <c r="K459" s="38" t="n">
        <v>409</v>
      </c>
      <c r="L459" s="31">
        <f>K459/52</f>
        <v/>
      </c>
      <c r="M459" s="39">
        <f>J459/1000000*52</f>
        <v/>
      </c>
      <c r="N459" s="33">
        <f>M459/$P$4+($I$22/$P$4)</f>
        <v/>
      </c>
      <c r="U459">
        <f>F458</f>
        <v/>
      </c>
      <c r="V459">
        <f>H458</f>
        <v/>
      </c>
      <c r="W459">
        <f>N458</f>
        <v/>
      </c>
    </row>
    <row r="460" ht="15.75" customHeight="1" s="40">
      <c r="C460" s="36">
        <f>_xlfn.IFS(E460&lt;E$24,0,E460&lt;E$26,C$24,E460&lt;E$28,C$26,E460&lt;E$30,C$28,E460&lt;E$32,C$30,E460&lt;E$34,C$32,E460&gt;=E$34,C$34)</f>
        <v/>
      </c>
      <c r="D460" s="37">
        <f>_xlfn.IFS(E460&lt;E$24,0,E460&lt;E$25,D$24,E460&lt;E$26,D$25,E460&lt;E$27,D$26,E460&lt;E$28,D$27,E460&lt;E$29,D$28,E460&lt;E$30,D$29,E460&lt;E$31,D$30,E460&lt;E$32,D$31,E460&lt;E$33,D$32,E460&lt;E$34,D$33,E460&lt;E$35,D$34,E460&gt;=E$35,D$35)</f>
        <v/>
      </c>
      <c r="E460" s="38" t="n">
        <v>410</v>
      </c>
      <c r="F460" s="31">
        <f>E460/52</f>
        <v/>
      </c>
      <c r="G460" s="39">
        <f>D460/1000000*52</f>
        <v/>
      </c>
      <c r="H460" s="33">
        <f>G460/$P$4+($C$22/$P$4)</f>
        <v/>
      </c>
      <c r="I460" s="36">
        <f>_xlfn.IFS(K460&lt;K$24,0,K460&lt;K$26,I$24,K460&lt;K$28,I$26,K460&lt;K$30,I$28,K460&lt;K$32,I$30,K460&lt;K$34,I$32,K460&lt;K$36,I$34,K460&lt;K$38,I$36,K460&lt;K$40,I$38,K460&lt;K$42,I$40,K460&lt;K$44,I$42,K460&lt;K$46,I$44,K460&gt;=K$46,I$46)</f>
        <v/>
      </c>
      <c r="J460" s="37">
        <f>_xlfn.IFS(K460&lt;K$24,0,K460&lt;K$25,J$24,K460&lt;K$26,J$25,K460&lt;K$27,J$26,K460&lt;K$28,J$27,K460&lt;K$29,J$28,K460&lt;K$30,J$29,K460&lt;K$31,J$30,K460&lt;K$32,J$31,K460&lt;K$33,J$32,K460&lt;K$34,J$33,K460&lt;K$35,J$34,K460&lt;K$36,J$35,K460&lt;K$37,J$36,K460&lt;K$38,J$37,K460&lt;K$39,J$38,K460&lt;K$40,J$39,K460&lt;K$41,J$40,K460&lt;K$42,J$41,K460&lt;K$43,J$42,K460&lt;K$44,J$43,K460&lt;K$45,J$44,K460&lt;K$46,J$45,K460&lt;K$47,J$46,K460&gt;=K$47,J$47)</f>
        <v/>
      </c>
      <c r="K460" s="38" t="n">
        <v>410</v>
      </c>
      <c r="L460" s="31">
        <f>K460/52</f>
        <v/>
      </c>
      <c r="M460" s="39">
        <f>J460/1000000*52</f>
        <v/>
      </c>
      <c r="N460" s="33">
        <f>M460/$P$4+($I$22/$P$4)</f>
        <v/>
      </c>
      <c r="U460">
        <f>F459</f>
        <v/>
      </c>
      <c r="V460">
        <f>H459</f>
        <v/>
      </c>
      <c r="W460">
        <f>N459</f>
        <v/>
      </c>
    </row>
    <row r="461" ht="15.75" customHeight="1" s="40">
      <c r="C461" s="36">
        <f>_xlfn.IFS(E461&lt;E$24,0,E461&lt;E$26,C$24,E461&lt;E$28,C$26,E461&lt;E$30,C$28,E461&lt;E$32,C$30,E461&lt;E$34,C$32,E461&gt;=E$34,C$34)</f>
        <v/>
      </c>
      <c r="D461" s="37">
        <f>_xlfn.IFS(E461&lt;E$24,0,E461&lt;E$25,D$24,E461&lt;E$26,D$25,E461&lt;E$27,D$26,E461&lt;E$28,D$27,E461&lt;E$29,D$28,E461&lt;E$30,D$29,E461&lt;E$31,D$30,E461&lt;E$32,D$31,E461&lt;E$33,D$32,E461&lt;E$34,D$33,E461&lt;E$35,D$34,E461&gt;=E$35,D$35)</f>
        <v/>
      </c>
      <c r="E461" s="38" t="n">
        <v>411</v>
      </c>
      <c r="F461" s="31">
        <f>E461/52</f>
        <v/>
      </c>
      <c r="G461" s="39">
        <f>D461/1000000*52</f>
        <v/>
      </c>
      <c r="H461" s="33">
        <f>G461/$P$4+($C$22/$P$4)</f>
        <v/>
      </c>
      <c r="I461" s="36">
        <f>_xlfn.IFS(K461&lt;K$24,0,K461&lt;K$26,I$24,K461&lt;K$28,I$26,K461&lt;K$30,I$28,K461&lt;K$32,I$30,K461&lt;K$34,I$32,K461&lt;K$36,I$34,K461&lt;K$38,I$36,K461&lt;K$40,I$38,K461&lt;K$42,I$40,K461&lt;K$44,I$42,K461&lt;K$46,I$44,K461&gt;=K$46,I$46)</f>
        <v/>
      </c>
      <c r="J461" s="37">
        <f>_xlfn.IFS(K461&lt;K$24,0,K461&lt;K$25,J$24,K461&lt;K$26,J$25,K461&lt;K$27,J$26,K461&lt;K$28,J$27,K461&lt;K$29,J$28,K461&lt;K$30,J$29,K461&lt;K$31,J$30,K461&lt;K$32,J$31,K461&lt;K$33,J$32,K461&lt;K$34,J$33,K461&lt;K$35,J$34,K461&lt;K$36,J$35,K461&lt;K$37,J$36,K461&lt;K$38,J$37,K461&lt;K$39,J$38,K461&lt;K$40,J$39,K461&lt;K$41,J$40,K461&lt;K$42,J$41,K461&lt;K$43,J$42,K461&lt;K$44,J$43,K461&lt;K$45,J$44,K461&lt;K$46,J$45,K461&lt;K$47,J$46,K461&gt;=K$47,J$47)</f>
        <v/>
      </c>
      <c r="K461" s="38" t="n">
        <v>411</v>
      </c>
      <c r="L461" s="31">
        <f>K461/52</f>
        <v/>
      </c>
      <c r="M461" s="39">
        <f>J461/1000000*52</f>
        <v/>
      </c>
      <c r="N461" s="33">
        <f>M461/$P$4+($I$22/$P$4)</f>
        <v/>
      </c>
      <c r="U461">
        <f>F460</f>
        <v/>
      </c>
      <c r="V461">
        <f>H460</f>
        <v/>
      </c>
      <c r="W461">
        <f>N460</f>
        <v/>
      </c>
    </row>
    <row r="462" ht="15.75" customHeight="1" s="40">
      <c r="C462" s="36">
        <f>_xlfn.IFS(E462&lt;E$24,0,E462&lt;E$26,C$24,E462&lt;E$28,C$26,E462&lt;E$30,C$28,E462&lt;E$32,C$30,E462&lt;E$34,C$32,E462&gt;=E$34,C$34)</f>
        <v/>
      </c>
      <c r="D462" s="37">
        <f>_xlfn.IFS(E462&lt;E$24,0,E462&lt;E$25,D$24,E462&lt;E$26,D$25,E462&lt;E$27,D$26,E462&lt;E$28,D$27,E462&lt;E$29,D$28,E462&lt;E$30,D$29,E462&lt;E$31,D$30,E462&lt;E$32,D$31,E462&lt;E$33,D$32,E462&lt;E$34,D$33,E462&lt;E$35,D$34,E462&gt;=E$35,D$35)</f>
        <v/>
      </c>
      <c r="E462" s="38" t="n">
        <v>412</v>
      </c>
      <c r="F462" s="31">
        <f>E462/52</f>
        <v/>
      </c>
      <c r="G462" s="39">
        <f>D462/1000000*52</f>
        <v/>
      </c>
      <c r="H462" s="33">
        <f>G462/$P$4+($C$22/$P$4)</f>
        <v/>
      </c>
      <c r="I462" s="36">
        <f>_xlfn.IFS(K462&lt;K$24,0,K462&lt;K$26,I$24,K462&lt;K$28,I$26,K462&lt;K$30,I$28,K462&lt;K$32,I$30,K462&lt;K$34,I$32,K462&lt;K$36,I$34,K462&lt;K$38,I$36,K462&lt;K$40,I$38,K462&lt;K$42,I$40,K462&lt;K$44,I$42,K462&lt;K$46,I$44,K462&gt;=K$46,I$46)</f>
        <v/>
      </c>
      <c r="J462" s="37">
        <f>_xlfn.IFS(K462&lt;K$24,0,K462&lt;K$25,J$24,K462&lt;K$26,J$25,K462&lt;K$27,J$26,K462&lt;K$28,J$27,K462&lt;K$29,J$28,K462&lt;K$30,J$29,K462&lt;K$31,J$30,K462&lt;K$32,J$31,K462&lt;K$33,J$32,K462&lt;K$34,J$33,K462&lt;K$35,J$34,K462&lt;K$36,J$35,K462&lt;K$37,J$36,K462&lt;K$38,J$37,K462&lt;K$39,J$38,K462&lt;K$40,J$39,K462&lt;K$41,J$40,K462&lt;K$42,J$41,K462&lt;K$43,J$42,K462&lt;K$44,J$43,K462&lt;K$45,J$44,K462&lt;K$46,J$45,K462&lt;K$47,J$46,K462&gt;=K$47,J$47)</f>
        <v/>
      </c>
      <c r="K462" s="38" t="n">
        <v>412</v>
      </c>
      <c r="L462" s="31">
        <f>K462/52</f>
        <v/>
      </c>
      <c r="M462" s="39">
        <f>J462/1000000*52</f>
        <v/>
      </c>
      <c r="N462" s="33">
        <f>M462/$P$4+($I$22/$P$4)</f>
        <v/>
      </c>
      <c r="U462">
        <f>F461</f>
        <v/>
      </c>
      <c r="V462">
        <f>H461</f>
        <v/>
      </c>
      <c r="W462">
        <f>N461</f>
        <v/>
      </c>
    </row>
    <row r="463" ht="15.75" customHeight="1" s="40">
      <c r="C463" s="36">
        <f>_xlfn.IFS(E463&lt;E$24,0,E463&lt;E$26,C$24,E463&lt;E$28,C$26,E463&lt;E$30,C$28,E463&lt;E$32,C$30,E463&lt;E$34,C$32,E463&gt;=E$34,C$34)</f>
        <v/>
      </c>
      <c r="D463" s="37">
        <f>_xlfn.IFS(E463&lt;E$24,0,E463&lt;E$25,D$24,E463&lt;E$26,D$25,E463&lt;E$27,D$26,E463&lt;E$28,D$27,E463&lt;E$29,D$28,E463&lt;E$30,D$29,E463&lt;E$31,D$30,E463&lt;E$32,D$31,E463&lt;E$33,D$32,E463&lt;E$34,D$33,E463&lt;E$35,D$34,E463&gt;=E$35,D$35)</f>
        <v/>
      </c>
      <c r="E463" s="38" t="n">
        <v>413</v>
      </c>
      <c r="F463" s="31">
        <f>E463/52</f>
        <v/>
      </c>
      <c r="G463" s="39">
        <f>D463/1000000*52</f>
        <v/>
      </c>
      <c r="H463" s="33">
        <f>G463/$P$4+($C$22/$P$4)</f>
        <v/>
      </c>
      <c r="I463" s="36">
        <f>_xlfn.IFS(K463&lt;K$24,0,K463&lt;K$26,I$24,K463&lt;K$28,I$26,K463&lt;K$30,I$28,K463&lt;K$32,I$30,K463&lt;K$34,I$32,K463&lt;K$36,I$34,K463&lt;K$38,I$36,K463&lt;K$40,I$38,K463&lt;K$42,I$40,K463&lt;K$44,I$42,K463&lt;K$46,I$44,K463&gt;=K$46,I$46)</f>
        <v/>
      </c>
      <c r="J463" s="37">
        <f>_xlfn.IFS(K463&lt;K$24,0,K463&lt;K$25,J$24,K463&lt;K$26,J$25,K463&lt;K$27,J$26,K463&lt;K$28,J$27,K463&lt;K$29,J$28,K463&lt;K$30,J$29,K463&lt;K$31,J$30,K463&lt;K$32,J$31,K463&lt;K$33,J$32,K463&lt;K$34,J$33,K463&lt;K$35,J$34,K463&lt;K$36,J$35,K463&lt;K$37,J$36,K463&lt;K$38,J$37,K463&lt;K$39,J$38,K463&lt;K$40,J$39,K463&lt;K$41,J$40,K463&lt;K$42,J$41,K463&lt;K$43,J$42,K463&lt;K$44,J$43,K463&lt;K$45,J$44,K463&lt;K$46,J$45,K463&lt;K$47,J$46,K463&gt;=K$47,J$47)</f>
        <v/>
      </c>
      <c r="K463" s="38" t="n">
        <v>413</v>
      </c>
      <c r="L463" s="31">
        <f>K463/52</f>
        <v/>
      </c>
      <c r="M463" s="39">
        <f>J463/1000000*52</f>
        <v/>
      </c>
      <c r="N463" s="33">
        <f>M463/$P$4+($I$22/$P$4)</f>
        <v/>
      </c>
      <c r="U463">
        <f>F462</f>
        <v/>
      </c>
      <c r="V463">
        <f>H462</f>
        <v/>
      </c>
      <c r="W463">
        <f>N462</f>
        <v/>
      </c>
    </row>
    <row r="464" ht="15.75" customHeight="1" s="40">
      <c r="C464" s="36">
        <f>_xlfn.IFS(E464&lt;E$24,0,E464&lt;E$26,C$24,E464&lt;E$28,C$26,E464&lt;E$30,C$28,E464&lt;E$32,C$30,E464&lt;E$34,C$32,E464&gt;=E$34,C$34)</f>
        <v/>
      </c>
      <c r="D464" s="37">
        <f>_xlfn.IFS(E464&lt;E$24,0,E464&lt;E$25,D$24,E464&lt;E$26,D$25,E464&lt;E$27,D$26,E464&lt;E$28,D$27,E464&lt;E$29,D$28,E464&lt;E$30,D$29,E464&lt;E$31,D$30,E464&lt;E$32,D$31,E464&lt;E$33,D$32,E464&lt;E$34,D$33,E464&lt;E$35,D$34,E464&gt;=E$35,D$35)</f>
        <v/>
      </c>
      <c r="E464" s="38" t="n">
        <v>414</v>
      </c>
      <c r="F464" s="31">
        <f>E464/52</f>
        <v/>
      </c>
      <c r="G464" s="39">
        <f>D464/1000000*52</f>
        <v/>
      </c>
      <c r="H464" s="33">
        <f>G464/$P$4+($C$22/$P$4)</f>
        <v/>
      </c>
      <c r="I464" s="36">
        <f>_xlfn.IFS(K464&lt;K$24,0,K464&lt;K$26,I$24,K464&lt;K$28,I$26,K464&lt;K$30,I$28,K464&lt;K$32,I$30,K464&lt;K$34,I$32,K464&lt;K$36,I$34,K464&lt;K$38,I$36,K464&lt;K$40,I$38,K464&lt;K$42,I$40,K464&lt;K$44,I$42,K464&lt;K$46,I$44,K464&gt;=K$46,I$46)</f>
        <v/>
      </c>
      <c r="J464" s="37">
        <f>_xlfn.IFS(K464&lt;K$24,0,K464&lt;K$25,J$24,K464&lt;K$26,J$25,K464&lt;K$27,J$26,K464&lt;K$28,J$27,K464&lt;K$29,J$28,K464&lt;K$30,J$29,K464&lt;K$31,J$30,K464&lt;K$32,J$31,K464&lt;K$33,J$32,K464&lt;K$34,J$33,K464&lt;K$35,J$34,K464&lt;K$36,J$35,K464&lt;K$37,J$36,K464&lt;K$38,J$37,K464&lt;K$39,J$38,K464&lt;K$40,J$39,K464&lt;K$41,J$40,K464&lt;K$42,J$41,K464&lt;K$43,J$42,K464&lt;K$44,J$43,K464&lt;K$45,J$44,K464&lt;K$46,J$45,K464&lt;K$47,J$46,K464&gt;=K$47,J$47)</f>
        <v/>
      </c>
      <c r="K464" s="38" t="n">
        <v>414</v>
      </c>
      <c r="L464" s="31">
        <f>K464/52</f>
        <v/>
      </c>
      <c r="M464" s="39">
        <f>J464/1000000*52</f>
        <v/>
      </c>
      <c r="N464" s="33">
        <f>M464/$P$4+($I$22/$P$4)</f>
        <v/>
      </c>
      <c r="U464">
        <f>F463</f>
        <v/>
      </c>
      <c r="V464">
        <f>H463</f>
        <v/>
      </c>
      <c r="W464">
        <f>N463</f>
        <v/>
      </c>
    </row>
    <row r="465" ht="15.75" customHeight="1" s="40">
      <c r="C465" s="36">
        <f>_xlfn.IFS(E465&lt;E$24,0,E465&lt;E$26,C$24,E465&lt;E$28,C$26,E465&lt;E$30,C$28,E465&lt;E$32,C$30,E465&lt;E$34,C$32,E465&gt;=E$34,C$34)</f>
        <v/>
      </c>
      <c r="D465" s="37">
        <f>_xlfn.IFS(E465&lt;E$24,0,E465&lt;E$25,D$24,E465&lt;E$26,D$25,E465&lt;E$27,D$26,E465&lt;E$28,D$27,E465&lt;E$29,D$28,E465&lt;E$30,D$29,E465&lt;E$31,D$30,E465&lt;E$32,D$31,E465&lt;E$33,D$32,E465&lt;E$34,D$33,E465&lt;E$35,D$34,E465&gt;=E$35,D$35)</f>
        <v/>
      </c>
      <c r="E465" s="38" t="n">
        <v>415</v>
      </c>
      <c r="F465" s="31">
        <f>E465/52</f>
        <v/>
      </c>
      <c r="G465" s="39">
        <f>D465/1000000*52</f>
        <v/>
      </c>
      <c r="H465" s="33">
        <f>G465/$P$4+($C$22/$P$4)</f>
        <v/>
      </c>
      <c r="I465" s="36">
        <f>_xlfn.IFS(K465&lt;K$24,0,K465&lt;K$26,I$24,K465&lt;K$28,I$26,K465&lt;K$30,I$28,K465&lt;K$32,I$30,K465&lt;K$34,I$32,K465&lt;K$36,I$34,K465&lt;K$38,I$36,K465&lt;K$40,I$38,K465&lt;K$42,I$40,K465&lt;K$44,I$42,K465&lt;K$46,I$44,K465&gt;=K$46,I$46)</f>
        <v/>
      </c>
      <c r="J465" s="37">
        <f>_xlfn.IFS(K465&lt;K$24,0,K465&lt;K$25,J$24,K465&lt;K$26,J$25,K465&lt;K$27,J$26,K465&lt;K$28,J$27,K465&lt;K$29,J$28,K465&lt;K$30,J$29,K465&lt;K$31,J$30,K465&lt;K$32,J$31,K465&lt;K$33,J$32,K465&lt;K$34,J$33,K465&lt;K$35,J$34,K465&lt;K$36,J$35,K465&lt;K$37,J$36,K465&lt;K$38,J$37,K465&lt;K$39,J$38,K465&lt;K$40,J$39,K465&lt;K$41,J$40,K465&lt;K$42,J$41,K465&lt;K$43,J$42,K465&lt;K$44,J$43,K465&lt;K$45,J$44,K465&lt;K$46,J$45,K465&lt;K$47,J$46,K465&gt;=K$47,J$47)</f>
        <v/>
      </c>
      <c r="K465" s="38" t="n">
        <v>415</v>
      </c>
      <c r="L465" s="31">
        <f>K465/52</f>
        <v/>
      </c>
      <c r="M465" s="39">
        <f>J465/1000000*52</f>
        <v/>
      </c>
      <c r="N465" s="33">
        <f>M465/$P$4+($I$22/$P$4)</f>
        <v/>
      </c>
      <c r="U465">
        <f>F464</f>
        <v/>
      </c>
      <c r="V465">
        <f>H464</f>
        <v/>
      </c>
      <c r="W465">
        <f>N464</f>
        <v/>
      </c>
    </row>
    <row r="466" ht="15.75" customHeight="1" s="40">
      <c r="C466" s="36">
        <f>_xlfn.IFS(E466&lt;E$24,0,E466&lt;E$26,C$24,E466&lt;E$28,C$26,E466&lt;E$30,C$28,E466&lt;E$32,C$30,E466&lt;E$34,C$32,E466&gt;=E$34,C$34)</f>
        <v/>
      </c>
      <c r="D466" s="37">
        <f>_xlfn.IFS(E466&lt;E$24,0,E466&lt;E$25,D$24,E466&lt;E$26,D$25,E466&lt;E$27,D$26,E466&lt;E$28,D$27,E466&lt;E$29,D$28,E466&lt;E$30,D$29,E466&lt;E$31,D$30,E466&lt;E$32,D$31,E466&lt;E$33,D$32,E466&lt;E$34,D$33,E466&lt;E$35,D$34,E466&gt;=E$35,D$35)</f>
        <v/>
      </c>
      <c r="E466" s="38" t="n">
        <v>416</v>
      </c>
      <c r="F466" s="31">
        <f>E466/52</f>
        <v/>
      </c>
      <c r="G466" s="39">
        <f>D466/1000000*52</f>
        <v/>
      </c>
      <c r="H466" s="33">
        <f>G466/$P$4+($C$22/$P$4)</f>
        <v/>
      </c>
      <c r="I466" s="36">
        <f>_xlfn.IFS(K466&lt;K$24,0,K466&lt;K$26,I$24,K466&lt;K$28,I$26,K466&lt;K$30,I$28,K466&lt;K$32,I$30,K466&lt;K$34,I$32,K466&lt;K$36,I$34,K466&lt;K$38,I$36,K466&lt;K$40,I$38,K466&lt;K$42,I$40,K466&lt;K$44,I$42,K466&lt;K$46,I$44,K466&gt;=K$46,I$46)</f>
        <v/>
      </c>
      <c r="J466" s="37">
        <f>_xlfn.IFS(K466&lt;K$24,0,K466&lt;K$25,J$24,K466&lt;K$26,J$25,K466&lt;K$27,J$26,K466&lt;K$28,J$27,K466&lt;K$29,J$28,K466&lt;K$30,J$29,K466&lt;K$31,J$30,K466&lt;K$32,J$31,K466&lt;K$33,J$32,K466&lt;K$34,J$33,K466&lt;K$35,J$34,K466&lt;K$36,J$35,K466&lt;K$37,J$36,K466&lt;K$38,J$37,K466&lt;K$39,J$38,K466&lt;K$40,J$39,K466&lt;K$41,J$40,K466&lt;K$42,J$41,K466&lt;K$43,J$42,K466&lt;K$44,J$43,K466&lt;K$45,J$44,K466&lt;K$46,J$45,K466&lt;K$47,J$46,K466&gt;=K$47,J$47)</f>
        <v/>
      </c>
      <c r="K466" s="38" t="n">
        <v>416</v>
      </c>
      <c r="L466" s="31">
        <f>K466/52</f>
        <v/>
      </c>
      <c r="M466" s="39">
        <f>J466/1000000*52</f>
        <v/>
      </c>
      <c r="N466" s="33">
        <f>M466/$P$4+($I$22/$P$4)</f>
        <v/>
      </c>
      <c r="U466">
        <f>F465</f>
        <v/>
      </c>
      <c r="V466">
        <f>H465</f>
        <v/>
      </c>
      <c r="W466">
        <f>N465</f>
        <v/>
      </c>
    </row>
    <row r="467" ht="15.75" customHeight="1" s="40">
      <c r="C467" s="36">
        <f>_xlfn.IFS(E467&lt;E$24,0,E467&lt;E$26,C$24,E467&lt;E$28,C$26,E467&lt;E$30,C$28,E467&lt;E$32,C$30,E467&lt;E$34,C$32,E467&gt;=E$34,C$34)</f>
        <v/>
      </c>
      <c r="D467" s="37">
        <f>_xlfn.IFS(E467&lt;E$24,0,E467&lt;E$25,D$24,E467&lt;E$26,D$25,E467&lt;E$27,D$26,E467&lt;E$28,D$27,E467&lt;E$29,D$28,E467&lt;E$30,D$29,E467&lt;E$31,D$30,E467&lt;E$32,D$31,E467&lt;E$33,D$32,E467&lt;E$34,D$33,E467&lt;E$35,D$34,E467&gt;=E$35,D$35)</f>
        <v/>
      </c>
      <c r="E467" s="38" t="n">
        <v>417</v>
      </c>
      <c r="F467" s="31">
        <f>E467/52</f>
        <v/>
      </c>
      <c r="G467" s="39">
        <f>D467/1000000*52</f>
        <v/>
      </c>
      <c r="H467" s="33">
        <f>G467/$P$4+($C$22/$P$4)</f>
        <v/>
      </c>
      <c r="I467" s="36">
        <f>_xlfn.IFS(K467&lt;K$24,0,K467&lt;K$26,I$24,K467&lt;K$28,I$26,K467&lt;K$30,I$28,K467&lt;K$32,I$30,K467&lt;K$34,I$32,K467&lt;K$36,I$34,K467&lt;K$38,I$36,K467&lt;K$40,I$38,K467&lt;K$42,I$40,K467&lt;K$44,I$42,K467&lt;K$46,I$44,K467&gt;=K$46,I$46)</f>
        <v/>
      </c>
      <c r="J467" s="37">
        <f>_xlfn.IFS(K467&lt;K$24,0,K467&lt;K$25,J$24,K467&lt;K$26,J$25,K467&lt;K$27,J$26,K467&lt;K$28,J$27,K467&lt;K$29,J$28,K467&lt;K$30,J$29,K467&lt;K$31,J$30,K467&lt;K$32,J$31,K467&lt;K$33,J$32,K467&lt;K$34,J$33,K467&lt;K$35,J$34,K467&lt;K$36,J$35,K467&lt;K$37,J$36,K467&lt;K$38,J$37,K467&lt;K$39,J$38,K467&lt;K$40,J$39,K467&lt;K$41,J$40,K467&lt;K$42,J$41,K467&lt;K$43,J$42,K467&lt;K$44,J$43,K467&lt;K$45,J$44,K467&lt;K$46,J$45,K467&lt;K$47,J$46,K467&gt;=K$47,J$47)</f>
        <v/>
      </c>
      <c r="K467" s="38" t="n">
        <v>417</v>
      </c>
      <c r="L467" s="31">
        <f>K467/52</f>
        <v/>
      </c>
      <c r="M467" s="39">
        <f>J467/1000000*52</f>
        <v/>
      </c>
      <c r="N467" s="33">
        <f>M467/$P$4+($I$22/$P$4)</f>
        <v/>
      </c>
      <c r="U467">
        <f>F466</f>
        <v/>
      </c>
      <c r="V467">
        <f>H466</f>
        <v/>
      </c>
      <c r="W467">
        <f>N466</f>
        <v/>
      </c>
    </row>
    <row r="468" ht="15.75" customHeight="1" s="40">
      <c r="C468" s="36">
        <f>_xlfn.IFS(E468&lt;E$24,0,E468&lt;E$26,C$24,E468&lt;E$28,C$26,E468&lt;E$30,C$28,E468&lt;E$32,C$30,E468&lt;E$34,C$32,E468&gt;=E$34,C$34)</f>
        <v/>
      </c>
      <c r="D468" s="37">
        <f>_xlfn.IFS(E468&lt;E$24,0,E468&lt;E$25,D$24,E468&lt;E$26,D$25,E468&lt;E$27,D$26,E468&lt;E$28,D$27,E468&lt;E$29,D$28,E468&lt;E$30,D$29,E468&lt;E$31,D$30,E468&lt;E$32,D$31,E468&lt;E$33,D$32,E468&lt;E$34,D$33,E468&lt;E$35,D$34,E468&gt;=E$35,D$35)</f>
        <v/>
      </c>
      <c r="E468" s="38" t="n">
        <v>418</v>
      </c>
      <c r="F468" s="31">
        <f>E468/52</f>
        <v/>
      </c>
      <c r="G468" s="39">
        <f>D468/1000000*52</f>
        <v/>
      </c>
      <c r="H468" s="33">
        <f>G468/$P$4+($C$22/$P$4)</f>
        <v/>
      </c>
      <c r="I468" s="36">
        <f>_xlfn.IFS(K468&lt;K$24,0,K468&lt;K$26,I$24,K468&lt;K$28,I$26,K468&lt;K$30,I$28,K468&lt;K$32,I$30,K468&lt;K$34,I$32,K468&lt;K$36,I$34,K468&lt;K$38,I$36,K468&lt;K$40,I$38,K468&lt;K$42,I$40,K468&lt;K$44,I$42,K468&lt;K$46,I$44,K468&gt;=K$46,I$46)</f>
        <v/>
      </c>
      <c r="J468" s="37">
        <f>_xlfn.IFS(K468&lt;K$24,0,K468&lt;K$25,J$24,K468&lt;K$26,J$25,K468&lt;K$27,J$26,K468&lt;K$28,J$27,K468&lt;K$29,J$28,K468&lt;K$30,J$29,K468&lt;K$31,J$30,K468&lt;K$32,J$31,K468&lt;K$33,J$32,K468&lt;K$34,J$33,K468&lt;K$35,J$34,K468&lt;K$36,J$35,K468&lt;K$37,J$36,K468&lt;K$38,J$37,K468&lt;K$39,J$38,K468&lt;K$40,J$39,K468&lt;K$41,J$40,K468&lt;K$42,J$41,K468&lt;K$43,J$42,K468&lt;K$44,J$43,K468&lt;K$45,J$44,K468&lt;K$46,J$45,K468&lt;K$47,J$46,K468&gt;=K$47,J$47)</f>
        <v/>
      </c>
      <c r="K468" s="38" t="n">
        <v>418</v>
      </c>
      <c r="L468" s="31">
        <f>K468/52</f>
        <v/>
      </c>
      <c r="M468" s="39">
        <f>J468/1000000*52</f>
        <v/>
      </c>
      <c r="N468" s="33">
        <f>M468/$P$4+($I$22/$P$4)</f>
        <v/>
      </c>
      <c r="U468">
        <f>F467</f>
        <v/>
      </c>
      <c r="V468">
        <f>H467</f>
        <v/>
      </c>
      <c r="W468">
        <f>N467</f>
        <v/>
      </c>
    </row>
    <row r="469" ht="15.75" customHeight="1" s="40">
      <c r="C469" s="36">
        <f>_xlfn.IFS(E469&lt;E$24,0,E469&lt;E$26,C$24,E469&lt;E$28,C$26,E469&lt;E$30,C$28,E469&lt;E$32,C$30,E469&lt;E$34,C$32,E469&gt;=E$34,C$34)</f>
        <v/>
      </c>
      <c r="D469" s="37">
        <f>_xlfn.IFS(E469&lt;E$24,0,E469&lt;E$25,D$24,E469&lt;E$26,D$25,E469&lt;E$27,D$26,E469&lt;E$28,D$27,E469&lt;E$29,D$28,E469&lt;E$30,D$29,E469&lt;E$31,D$30,E469&lt;E$32,D$31,E469&lt;E$33,D$32,E469&lt;E$34,D$33,E469&lt;E$35,D$34,E469&gt;=E$35,D$35)</f>
        <v/>
      </c>
      <c r="E469" s="38" t="n">
        <v>419</v>
      </c>
      <c r="F469" s="31">
        <f>E469/52</f>
        <v/>
      </c>
      <c r="G469" s="39">
        <f>D469/1000000*52</f>
        <v/>
      </c>
      <c r="H469" s="33">
        <f>G469/$P$4+($C$22/$P$4)</f>
        <v/>
      </c>
      <c r="I469" s="36">
        <f>_xlfn.IFS(K469&lt;K$24,0,K469&lt;K$26,I$24,K469&lt;K$28,I$26,K469&lt;K$30,I$28,K469&lt;K$32,I$30,K469&lt;K$34,I$32,K469&lt;K$36,I$34,K469&lt;K$38,I$36,K469&lt;K$40,I$38,K469&lt;K$42,I$40,K469&lt;K$44,I$42,K469&lt;K$46,I$44,K469&gt;=K$46,I$46)</f>
        <v/>
      </c>
      <c r="J469" s="37">
        <f>_xlfn.IFS(K469&lt;K$24,0,K469&lt;K$25,J$24,K469&lt;K$26,J$25,K469&lt;K$27,J$26,K469&lt;K$28,J$27,K469&lt;K$29,J$28,K469&lt;K$30,J$29,K469&lt;K$31,J$30,K469&lt;K$32,J$31,K469&lt;K$33,J$32,K469&lt;K$34,J$33,K469&lt;K$35,J$34,K469&lt;K$36,J$35,K469&lt;K$37,J$36,K469&lt;K$38,J$37,K469&lt;K$39,J$38,K469&lt;K$40,J$39,K469&lt;K$41,J$40,K469&lt;K$42,J$41,K469&lt;K$43,J$42,K469&lt;K$44,J$43,K469&lt;K$45,J$44,K469&lt;K$46,J$45,K469&lt;K$47,J$46,K469&gt;=K$47,J$47)</f>
        <v/>
      </c>
      <c r="K469" s="38" t="n">
        <v>419</v>
      </c>
      <c r="L469" s="31">
        <f>K469/52</f>
        <v/>
      </c>
      <c r="M469" s="39">
        <f>J469/1000000*52</f>
        <v/>
      </c>
      <c r="N469" s="33">
        <f>M469/$P$4+($I$22/$P$4)</f>
        <v/>
      </c>
      <c r="U469">
        <f>F468</f>
        <v/>
      </c>
      <c r="V469">
        <f>H468</f>
        <v/>
      </c>
      <c r="W469">
        <f>N468</f>
        <v/>
      </c>
    </row>
    <row r="470" ht="15.75" customHeight="1" s="40">
      <c r="C470" s="36">
        <f>_xlfn.IFS(E470&lt;E$24,0,E470&lt;E$26,C$24,E470&lt;E$28,C$26,E470&lt;E$30,C$28,E470&lt;E$32,C$30,E470&lt;E$34,C$32,E470&gt;=E$34,C$34)</f>
        <v/>
      </c>
      <c r="D470" s="37">
        <f>_xlfn.IFS(E470&lt;E$24,0,E470&lt;E$25,D$24,E470&lt;E$26,D$25,E470&lt;E$27,D$26,E470&lt;E$28,D$27,E470&lt;E$29,D$28,E470&lt;E$30,D$29,E470&lt;E$31,D$30,E470&lt;E$32,D$31,E470&lt;E$33,D$32,E470&lt;E$34,D$33,E470&lt;E$35,D$34,E470&gt;=E$35,D$35)</f>
        <v/>
      </c>
      <c r="E470" s="38" t="n">
        <v>420</v>
      </c>
      <c r="F470" s="31">
        <f>E470/52</f>
        <v/>
      </c>
      <c r="G470" s="39">
        <f>D470/1000000*52</f>
        <v/>
      </c>
      <c r="H470" s="33">
        <f>G470/$P$4+($C$22/$P$4)</f>
        <v/>
      </c>
      <c r="I470" s="36">
        <f>_xlfn.IFS(K470&lt;K$24,0,K470&lt;K$26,I$24,K470&lt;K$28,I$26,K470&lt;K$30,I$28,K470&lt;K$32,I$30,K470&lt;K$34,I$32,K470&lt;K$36,I$34,K470&lt;K$38,I$36,K470&lt;K$40,I$38,K470&lt;K$42,I$40,K470&lt;K$44,I$42,K470&lt;K$46,I$44,K470&gt;=K$46,I$46)</f>
        <v/>
      </c>
      <c r="J470" s="37">
        <f>_xlfn.IFS(K470&lt;K$24,0,K470&lt;K$25,J$24,K470&lt;K$26,J$25,K470&lt;K$27,J$26,K470&lt;K$28,J$27,K470&lt;K$29,J$28,K470&lt;K$30,J$29,K470&lt;K$31,J$30,K470&lt;K$32,J$31,K470&lt;K$33,J$32,K470&lt;K$34,J$33,K470&lt;K$35,J$34,K470&lt;K$36,J$35,K470&lt;K$37,J$36,K470&lt;K$38,J$37,K470&lt;K$39,J$38,K470&lt;K$40,J$39,K470&lt;K$41,J$40,K470&lt;K$42,J$41,K470&lt;K$43,J$42,K470&lt;K$44,J$43,K470&lt;K$45,J$44,K470&lt;K$46,J$45,K470&lt;K$47,J$46,K470&gt;=K$47,J$47)</f>
        <v/>
      </c>
      <c r="K470" s="38" t="n">
        <v>420</v>
      </c>
      <c r="L470" s="31">
        <f>K470/52</f>
        <v/>
      </c>
      <c r="M470" s="39">
        <f>J470/1000000*52</f>
        <v/>
      </c>
      <c r="N470" s="33">
        <f>M470/$P$4+($I$22/$P$4)</f>
        <v/>
      </c>
      <c r="U470">
        <f>F469</f>
        <v/>
      </c>
      <c r="V470">
        <f>H469</f>
        <v/>
      </c>
      <c r="W470">
        <f>N469</f>
        <v/>
      </c>
    </row>
    <row r="471" ht="15.75" customHeight="1" s="40">
      <c r="C471" s="36">
        <f>_xlfn.IFS(E471&lt;E$24,0,E471&lt;E$26,C$24,E471&lt;E$28,C$26,E471&lt;E$30,C$28,E471&lt;E$32,C$30,E471&lt;E$34,C$32,E471&gt;=E$34,C$34)</f>
        <v/>
      </c>
      <c r="D471" s="37">
        <f>_xlfn.IFS(E471&lt;E$24,0,E471&lt;E$25,D$24,E471&lt;E$26,D$25,E471&lt;E$27,D$26,E471&lt;E$28,D$27,E471&lt;E$29,D$28,E471&lt;E$30,D$29,E471&lt;E$31,D$30,E471&lt;E$32,D$31,E471&lt;E$33,D$32,E471&lt;E$34,D$33,E471&lt;E$35,D$34,E471&gt;=E$35,D$35)</f>
        <v/>
      </c>
      <c r="E471" s="38" t="n">
        <v>421</v>
      </c>
      <c r="F471" s="31">
        <f>E471/52</f>
        <v/>
      </c>
      <c r="G471" s="39">
        <f>D471/1000000*52</f>
        <v/>
      </c>
      <c r="H471" s="33">
        <f>G471/$P$4+($C$22/$P$4)</f>
        <v/>
      </c>
      <c r="I471" s="36">
        <f>_xlfn.IFS(K471&lt;K$24,0,K471&lt;K$26,I$24,K471&lt;K$28,I$26,K471&lt;K$30,I$28,K471&lt;K$32,I$30,K471&lt;K$34,I$32,K471&lt;K$36,I$34,K471&lt;K$38,I$36,K471&lt;K$40,I$38,K471&lt;K$42,I$40,K471&lt;K$44,I$42,K471&lt;K$46,I$44,K471&gt;=K$46,I$46)</f>
        <v/>
      </c>
      <c r="J471" s="37">
        <f>_xlfn.IFS(K471&lt;K$24,0,K471&lt;K$25,J$24,K471&lt;K$26,J$25,K471&lt;K$27,J$26,K471&lt;K$28,J$27,K471&lt;K$29,J$28,K471&lt;K$30,J$29,K471&lt;K$31,J$30,K471&lt;K$32,J$31,K471&lt;K$33,J$32,K471&lt;K$34,J$33,K471&lt;K$35,J$34,K471&lt;K$36,J$35,K471&lt;K$37,J$36,K471&lt;K$38,J$37,K471&lt;K$39,J$38,K471&lt;K$40,J$39,K471&lt;K$41,J$40,K471&lt;K$42,J$41,K471&lt;K$43,J$42,K471&lt;K$44,J$43,K471&lt;K$45,J$44,K471&lt;K$46,J$45,K471&lt;K$47,J$46,K471&gt;=K$47,J$47)</f>
        <v/>
      </c>
      <c r="K471" s="38" t="n">
        <v>421</v>
      </c>
      <c r="L471" s="31">
        <f>K471/52</f>
        <v/>
      </c>
      <c r="M471" s="39">
        <f>J471/1000000*52</f>
        <v/>
      </c>
      <c r="N471" s="33">
        <f>M471/$P$4+($I$22/$P$4)</f>
        <v/>
      </c>
      <c r="U471">
        <f>F470</f>
        <v/>
      </c>
      <c r="V471">
        <f>H470</f>
        <v/>
      </c>
      <c r="W471">
        <f>N470</f>
        <v/>
      </c>
    </row>
    <row r="472" ht="15.75" customHeight="1" s="40">
      <c r="C472" s="36">
        <f>_xlfn.IFS(E472&lt;E$24,0,E472&lt;E$26,C$24,E472&lt;E$28,C$26,E472&lt;E$30,C$28,E472&lt;E$32,C$30,E472&lt;E$34,C$32,E472&gt;=E$34,C$34)</f>
        <v/>
      </c>
      <c r="D472" s="37">
        <f>_xlfn.IFS(E472&lt;E$24,0,E472&lt;E$25,D$24,E472&lt;E$26,D$25,E472&lt;E$27,D$26,E472&lt;E$28,D$27,E472&lt;E$29,D$28,E472&lt;E$30,D$29,E472&lt;E$31,D$30,E472&lt;E$32,D$31,E472&lt;E$33,D$32,E472&lt;E$34,D$33,E472&lt;E$35,D$34,E472&gt;=E$35,D$35)</f>
        <v/>
      </c>
      <c r="E472" s="38" t="n">
        <v>422</v>
      </c>
      <c r="F472" s="31">
        <f>E472/52</f>
        <v/>
      </c>
      <c r="G472" s="39">
        <f>D472/1000000*52</f>
        <v/>
      </c>
      <c r="H472" s="33">
        <f>G472/$P$4+($C$22/$P$4)</f>
        <v/>
      </c>
      <c r="I472" s="36">
        <f>_xlfn.IFS(K472&lt;K$24,0,K472&lt;K$26,I$24,K472&lt;K$28,I$26,K472&lt;K$30,I$28,K472&lt;K$32,I$30,K472&lt;K$34,I$32,K472&lt;K$36,I$34,K472&lt;K$38,I$36,K472&lt;K$40,I$38,K472&lt;K$42,I$40,K472&lt;K$44,I$42,K472&lt;K$46,I$44,K472&gt;=K$46,I$46)</f>
        <v/>
      </c>
      <c r="J472" s="37">
        <f>_xlfn.IFS(K472&lt;K$24,0,K472&lt;K$25,J$24,K472&lt;K$26,J$25,K472&lt;K$27,J$26,K472&lt;K$28,J$27,K472&lt;K$29,J$28,K472&lt;K$30,J$29,K472&lt;K$31,J$30,K472&lt;K$32,J$31,K472&lt;K$33,J$32,K472&lt;K$34,J$33,K472&lt;K$35,J$34,K472&lt;K$36,J$35,K472&lt;K$37,J$36,K472&lt;K$38,J$37,K472&lt;K$39,J$38,K472&lt;K$40,J$39,K472&lt;K$41,J$40,K472&lt;K$42,J$41,K472&lt;K$43,J$42,K472&lt;K$44,J$43,K472&lt;K$45,J$44,K472&lt;K$46,J$45,K472&lt;K$47,J$46,K472&gt;=K$47,J$47)</f>
        <v/>
      </c>
      <c r="K472" s="38" t="n">
        <v>422</v>
      </c>
      <c r="L472" s="31">
        <f>K472/52</f>
        <v/>
      </c>
      <c r="M472" s="39">
        <f>J472/1000000*52</f>
        <v/>
      </c>
      <c r="N472" s="33">
        <f>M472/$P$4+($I$22/$P$4)</f>
        <v/>
      </c>
      <c r="U472">
        <f>F471</f>
        <v/>
      </c>
      <c r="V472">
        <f>H471</f>
        <v/>
      </c>
      <c r="W472">
        <f>N471</f>
        <v/>
      </c>
    </row>
    <row r="473" ht="15.75" customHeight="1" s="40">
      <c r="C473" s="36">
        <f>_xlfn.IFS(E473&lt;E$24,0,E473&lt;E$26,C$24,E473&lt;E$28,C$26,E473&lt;E$30,C$28,E473&lt;E$32,C$30,E473&lt;E$34,C$32,E473&gt;=E$34,C$34)</f>
        <v/>
      </c>
      <c r="D473" s="37">
        <f>_xlfn.IFS(E473&lt;E$24,0,E473&lt;E$25,D$24,E473&lt;E$26,D$25,E473&lt;E$27,D$26,E473&lt;E$28,D$27,E473&lt;E$29,D$28,E473&lt;E$30,D$29,E473&lt;E$31,D$30,E473&lt;E$32,D$31,E473&lt;E$33,D$32,E473&lt;E$34,D$33,E473&lt;E$35,D$34,E473&gt;=E$35,D$35)</f>
        <v/>
      </c>
      <c r="E473" s="38" t="n">
        <v>423</v>
      </c>
      <c r="F473" s="31">
        <f>E473/52</f>
        <v/>
      </c>
      <c r="G473" s="39">
        <f>D473/1000000*52</f>
        <v/>
      </c>
      <c r="H473" s="33">
        <f>G473/$P$4+($C$22/$P$4)</f>
        <v/>
      </c>
      <c r="I473" s="36">
        <f>_xlfn.IFS(K473&lt;K$24,0,K473&lt;K$26,I$24,K473&lt;K$28,I$26,K473&lt;K$30,I$28,K473&lt;K$32,I$30,K473&lt;K$34,I$32,K473&lt;K$36,I$34,K473&lt;K$38,I$36,K473&lt;K$40,I$38,K473&lt;K$42,I$40,K473&lt;K$44,I$42,K473&lt;K$46,I$44,K473&gt;=K$46,I$46)</f>
        <v/>
      </c>
      <c r="J473" s="37">
        <f>_xlfn.IFS(K473&lt;K$24,0,K473&lt;K$25,J$24,K473&lt;K$26,J$25,K473&lt;K$27,J$26,K473&lt;K$28,J$27,K473&lt;K$29,J$28,K473&lt;K$30,J$29,K473&lt;K$31,J$30,K473&lt;K$32,J$31,K473&lt;K$33,J$32,K473&lt;K$34,J$33,K473&lt;K$35,J$34,K473&lt;K$36,J$35,K473&lt;K$37,J$36,K473&lt;K$38,J$37,K473&lt;K$39,J$38,K473&lt;K$40,J$39,K473&lt;K$41,J$40,K473&lt;K$42,J$41,K473&lt;K$43,J$42,K473&lt;K$44,J$43,K473&lt;K$45,J$44,K473&lt;K$46,J$45,K473&lt;K$47,J$46,K473&gt;=K$47,J$47)</f>
        <v/>
      </c>
      <c r="K473" s="38" t="n">
        <v>423</v>
      </c>
      <c r="L473" s="31">
        <f>K473/52</f>
        <v/>
      </c>
      <c r="M473" s="39">
        <f>J473/1000000*52</f>
        <v/>
      </c>
      <c r="N473" s="33">
        <f>M473/$P$4+($I$22/$P$4)</f>
        <v/>
      </c>
      <c r="U473">
        <f>F472</f>
        <v/>
      </c>
      <c r="V473">
        <f>H472</f>
        <v/>
      </c>
      <c r="W473">
        <f>N472</f>
        <v/>
      </c>
    </row>
    <row r="474" ht="15.75" customHeight="1" s="40">
      <c r="C474" s="36">
        <f>_xlfn.IFS(E474&lt;E$24,0,E474&lt;E$26,C$24,E474&lt;E$28,C$26,E474&lt;E$30,C$28,E474&lt;E$32,C$30,E474&lt;E$34,C$32,E474&gt;=E$34,C$34)</f>
        <v/>
      </c>
      <c r="D474" s="37">
        <f>_xlfn.IFS(E474&lt;E$24,0,E474&lt;E$25,D$24,E474&lt;E$26,D$25,E474&lt;E$27,D$26,E474&lt;E$28,D$27,E474&lt;E$29,D$28,E474&lt;E$30,D$29,E474&lt;E$31,D$30,E474&lt;E$32,D$31,E474&lt;E$33,D$32,E474&lt;E$34,D$33,E474&lt;E$35,D$34,E474&gt;=E$35,D$35)</f>
        <v/>
      </c>
      <c r="E474" s="38" t="n">
        <v>424</v>
      </c>
      <c r="F474" s="31">
        <f>E474/52</f>
        <v/>
      </c>
      <c r="G474" s="39">
        <f>D474/1000000*52</f>
        <v/>
      </c>
      <c r="H474" s="33">
        <f>G474/$P$4+($C$22/$P$4)</f>
        <v/>
      </c>
      <c r="I474" s="36">
        <f>_xlfn.IFS(K474&lt;K$24,0,K474&lt;K$26,I$24,K474&lt;K$28,I$26,K474&lt;K$30,I$28,K474&lt;K$32,I$30,K474&lt;K$34,I$32,K474&lt;K$36,I$34,K474&lt;K$38,I$36,K474&lt;K$40,I$38,K474&lt;K$42,I$40,K474&lt;K$44,I$42,K474&lt;K$46,I$44,K474&gt;=K$46,I$46)</f>
        <v/>
      </c>
      <c r="J474" s="37">
        <f>_xlfn.IFS(K474&lt;K$24,0,K474&lt;K$25,J$24,K474&lt;K$26,J$25,K474&lt;K$27,J$26,K474&lt;K$28,J$27,K474&lt;K$29,J$28,K474&lt;K$30,J$29,K474&lt;K$31,J$30,K474&lt;K$32,J$31,K474&lt;K$33,J$32,K474&lt;K$34,J$33,K474&lt;K$35,J$34,K474&lt;K$36,J$35,K474&lt;K$37,J$36,K474&lt;K$38,J$37,K474&lt;K$39,J$38,K474&lt;K$40,J$39,K474&lt;K$41,J$40,K474&lt;K$42,J$41,K474&lt;K$43,J$42,K474&lt;K$44,J$43,K474&lt;K$45,J$44,K474&lt;K$46,J$45,K474&lt;K$47,J$46,K474&gt;=K$47,J$47)</f>
        <v/>
      </c>
      <c r="K474" s="38" t="n">
        <v>424</v>
      </c>
      <c r="L474" s="31">
        <f>K474/52</f>
        <v/>
      </c>
      <c r="M474" s="39">
        <f>J474/1000000*52</f>
        <v/>
      </c>
      <c r="N474" s="33">
        <f>M474/$P$4+($I$22/$P$4)</f>
        <v/>
      </c>
      <c r="U474">
        <f>F473</f>
        <v/>
      </c>
      <c r="V474">
        <f>H473</f>
        <v/>
      </c>
      <c r="W474">
        <f>N473</f>
        <v/>
      </c>
    </row>
    <row r="475" ht="15.75" customHeight="1" s="40">
      <c r="C475" s="36">
        <f>_xlfn.IFS(E475&lt;E$24,0,E475&lt;E$26,C$24,E475&lt;E$28,C$26,E475&lt;E$30,C$28,E475&lt;E$32,C$30,E475&lt;E$34,C$32,E475&gt;=E$34,C$34)</f>
        <v/>
      </c>
      <c r="D475" s="37">
        <f>_xlfn.IFS(E475&lt;E$24,0,E475&lt;E$25,D$24,E475&lt;E$26,D$25,E475&lt;E$27,D$26,E475&lt;E$28,D$27,E475&lt;E$29,D$28,E475&lt;E$30,D$29,E475&lt;E$31,D$30,E475&lt;E$32,D$31,E475&lt;E$33,D$32,E475&lt;E$34,D$33,E475&lt;E$35,D$34,E475&gt;=E$35,D$35)</f>
        <v/>
      </c>
      <c r="E475" s="38" t="n">
        <v>425</v>
      </c>
      <c r="F475" s="31">
        <f>E475/52</f>
        <v/>
      </c>
      <c r="G475" s="39">
        <f>D475/1000000*52</f>
        <v/>
      </c>
      <c r="H475" s="33">
        <f>G475/$P$4+($C$22/$P$4)</f>
        <v/>
      </c>
      <c r="I475" s="36">
        <f>_xlfn.IFS(K475&lt;K$24,0,K475&lt;K$26,I$24,K475&lt;K$28,I$26,K475&lt;K$30,I$28,K475&lt;K$32,I$30,K475&lt;K$34,I$32,K475&lt;K$36,I$34,K475&lt;K$38,I$36,K475&lt;K$40,I$38,K475&lt;K$42,I$40,K475&lt;K$44,I$42,K475&lt;K$46,I$44,K475&gt;=K$46,I$46)</f>
        <v/>
      </c>
      <c r="J475" s="37">
        <f>_xlfn.IFS(K475&lt;K$24,0,K475&lt;K$25,J$24,K475&lt;K$26,J$25,K475&lt;K$27,J$26,K475&lt;K$28,J$27,K475&lt;K$29,J$28,K475&lt;K$30,J$29,K475&lt;K$31,J$30,K475&lt;K$32,J$31,K475&lt;K$33,J$32,K475&lt;K$34,J$33,K475&lt;K$35,J$34,K475&lt;K$36,J$35,K475&lt;K$37,J$36,K475&lt;K$38,J$37,K475&lt;K$39,J$38,K475&lt;K$40,J$39,K475&lt;K$41,J$40,K475&lt;K$42,J$41,K475&lt;K$43,J$42,K475&lt;K$44,J$43,K475&lt;K$45,J$44,K475&lt;K$46,J$45,K475&lt;K$47,J$46,K475&gt;=K$47,J$47)</f>
        <v/>
      </c>
      <c r="K475" s="38" t="n">
        <v>425</v>
      </c>
      <c r="L475" s="31">
        <f>K475/52</f>
        <v/>
      </c>
      <c r="M475" s="39">
        <f>J475/1000000*52</f>
        <v/>
      </c>
      <c r="N475" s="33">
        <f>M475/$P$4+($I$22/$P$4)</f>
        <v/>
      </c>
      <c r="U475">
        <f>F474</f>
        <v/>
      </c>
      <c r="V475">
        <f>H474</f>
        <v/>
      </c>
      <c r="W475">
        <f>N474</f>
        <v/>
      </c>
    </row>
    <row r="476" ht="15.75" customHeight="1" s="40">
      <c r="C476" s="36">
        <f>_xlfn.IFS(E476&lt;E$24,0,E476&lt;E$26,C$24,E476&lt;E$28,C$26,E476&lt;E$30,C$28,E476&lt;E$32,C$30,E476&lt;E$34,C$32,E476&gt;=E$34,C$34)</f>
        <v/>
      </c>
      <c r="D476" s="37">
        <f>_xlfn.IFS(E476&lt;E$24,0,E476&lt;E$25,D$24,E476&lt;E$26,D$25,E476&lt;E$27,D$26,E476&lt;E$28,D$27,E476&lt;E$29,D$28,E476&lt;E$30,D$29,E476&lt;E$31,D$30,E476&lt;E$32,D$31,E476&lt;E$33,D$32,E476&lt;E$34,D$33,E476&lt;E$35,D$34,E476&gt;=E$35,D$35)</f>
        <v/>
      </c>
      <c r="E476" s="38" t="n">
        <v>426</v>
      </c>
      <c r="F476" s="31">
        <f>E476/52</f>
        <v/>
      </c>
      <c r="G476" s="39">
        <f>D476/1000000*52</f>
        <v/>
      </c>
      <c r="H476" s="33">
        <f>G476/$P$4+($C$22/$P$4)</f>
        <v/>
      </c>
      <c r="I476" s="36">
        <f>_xlfn.IFS(K476&lt;K$24,0,K476&lt;K$26,I$24,K476&lt;K$28,I$26,K476&lt;K$30,I$28,K476&lt;K$32,I$30,K476&lt;K$34,I$32,K476&lt;K$36,I$34,K476&lt;K$38,I$36,K476&lt;K$40,I$38,K476&lt;K$42,I$40,K476&lt;K$44,I$42,K476&lt;K$46,I$44,K476&gt;=K$46,I$46)</f>
        <v/>
      </c>
      <c r="J476" s="37">
        <f>_xlfn.IFS(K476&lt;K$24,0,K476&lt;K$25,J$24,K476&lt;K$26,J$25,K476&lt;K$27,J$26,K476&lt;K$28,J$27,K476&lt;K$29,J$28,K476&lt;K$30,J$29,K476&lt;K$31,J$30,K476&lt;K$32,J$31,K476&lt;K$33,J$32,K476&lt;K$34,J$33,K476&lt;K$35,J$34,K476&lt;K$36,J$35,K476&lt;K$37,J$36,K476&lt;K$38,J$37,K476&lt;K$39,J$38,K476&lt;K$40,J$39,K476&lt;K$41,J$40,K476&lt;K$42,J$41,K476&lt;K$43,J$42,K476&lt;K$44,J$43,K476&lt;K$45,J$44,K476&lt;K$46,J$45,K476&lt;K$47,J$46,K476&gt;=K$47,J$47)</f>
        <v/>
      </c>
      <c r="K476" s="38" t="n">
        <v>426</v>
      </c>
      <c r="L476" s="31">
        <f>K476/52</f>
        <v/>
      </c>
      <c r="M476" s="39">
        <f>J476/1000000*52</f>
        <v/>
      </c>
      <c r="N476" s="33">
        <f>M476/$P$4+($I$22/$P$4)</f>
        <v/>
      </c>
      <c r="U476">
        <f>F475</f>
        <v/>
      </c>
      <c r="V476">
        <f>H475</f>
        <v/>
      </c>
      <c r="W476">
        <f>N475</f>
        <v/>
      </c>
    </row>
    <row r="477" ht="15.75" customHeight="1" s="40">
      <c r="C477" s="36">
        <f>_xlfn.IFS(E477&lt;E$24,0,E477&lt;E$26,C$24,E477&lt;E$28,C$26,E477&lt;E$30,C$28,E477&lt;E$32,C$30,E477&lt;E$34,C$32,E477&gt;=E$34,C$34)</f>
        <v/>
      </c>
      <c r="D477" s="37">
        <f>_xlfn.IFS(E477&lt;E$24,0,E477&lt;E$25,D$24,E477&lt;E$26,D$25,E477&lt;E$27,D$26,E477&lt;E$28,D$27,E477&lt;E$29,D$28,E477&lt;E$30,D$29,E477&lt;E$31,D$30,E477&lt;E$32,D$31,E477&lt;E$33,D$32,E477&lt;E$34,D$33,E477&lt;E$35,D$34,E477&gt;=E$35,D$35)</f>
        <v/>
      </c>
      <c r="E477" s="38" t="n">
        <v>427</v>
      </c>
      <c r="F477" s="31">
        <f>E477/52</f>
        <v/>
      </c>
      <c r="G477" s="39">
        <f>D477/1000000*52</f>
        <v/>
      </c>
      <c r="H477" s="33">
        <f>G477/$P$4+($C$22/$P$4)</f>
        <v/>
      </c>
      <c r="I477" s="36">
        <f>_xlfn.IFS(K477&lt;K$24,0,K477&lt;K$26,I$24,K477&lt;K$28,I$26,K477&lt;K$30,I$28,K477&lt;K$32,I$30,K477&lt;K$34,I$32,K477&lt;K$36,I$34,K477&lt;K$38,I$36,K477&lt;K$40,I$38,K477&lt;K$42,I$40,K477&lt;K$44,I$42,K477&lt;K$46,I$44,K477&gt;=K$46,I$46)</f>
        <v/>
      </c>
      <c r="J477" s="37">
        <f>_xlfn.IFS(K477&lt;K$24,0,K477&lt;K$25,J$24,K477&lt;K$26,J$25,K477&lt;K$27,J$26,K477&lt;K$28,J$27,K477&lt;K$29,J$28,K477&lt;K$30,J$29,K477&lt;K$31,J$30,K477&lt;K$32,J$31,K477&lt;K$33,J$32,K477&lt;K$34,J$33,K477&lt;K$35,J$34,K477&lt;K$36,J$35,K477&lt;K$37,J$36,K477&lt;K$38,J$37,K477&lt;K$39,J$38,K477&lt;K$40,J$39,K477&lt;K$41,J$40,K477&lt;K$42,J$41,K477&lt;K$43,J$42,K477&lt;K$44,J$43,K477&lt;K$45,J$44,K477&lt;K$46,J$45,K477&lt;K$47,J$46,K477&gt;=K$47,J$47)</f>
        <v/>
      </c>
      <c r="K477" s="38" t="n">
        <v>427</v>
      </c>
      <c r="L477" s="31">
        <f>K477/52</f>
        <v/>
      </c>
      <c r="M477" s="39">
        <f>J477/1000000*52</f>
        <v/>
      </c>
      <c r="N477" s="33">
        <f>M477/$P$4+($I$22/$P$4)</f>
        <v/>
      </c>
      <c r="U477">
        <f>F476</f>
        <v/>
      </c>
      <c r="V477">
        <f>H476</f>
        <v/>
      </c>
      <c r="W477">
        <f>N476</f>
        <v/>
      </c>
    </row>
    <row r="478" ht="15.75" customHeight="1" s="40">
      <c r="C478" s="36">
        <f>_xlfn.IFS(E478&lt;E$24,0,E478&lt;E$26,C$24,E478&lt;E$28,C$26,E478&lt;E$30,C$28,E478&lt;E$32,C$30,E478&lt;E$34,C$32,E478&gt;=E$34,C$34)</f>
        <v/>
      </c>
      <c r="D478" s="37">
        <f>_xlfn.IFS(E478&lt;E$24,0,E478&lt;E$25,D$24,E478&lt;E$26,D$25,E478&lt;E$27,D$26,E478&lt;E$28,D$27,E478&lt;E$29,D$28,E478&lt;E$30,D$29,E478&lt;E$31,D$30,E478&lt;E$32,D$31,E478&lt;E$33,D$32,E478&lt;E$34,D$33,E478&lt;E$35,D$34,E478&gt;=E$35,D$35)</f>
        <v/>
      </c>
      <c r="E478" s="38" t="n">
        <v>428</v>
      </c>
      <c r="F478" s="31">
        <f>E478/52</f>
        <v/>
      </c>
      <c r="G478" s="39">
        <f>D478/1000000*52</f>
        <v/>
      </c>
      <c r="H478" s="33">
        <f>G478/$P$4+($C$22/$P$4)</f>
        <v/>
      </c>
      <c r="I478" s="36">
        <f>_xlfn.IFS(K478&lt;K$24,0,K478&lt;K$26,I$24,K478&lt;K$28,I$26,K478&lt;K$30,I$28,K478&lt;K$32,I$30,K478&lt;K$34,I$32,K478&lt;K$36,I$34,K478&lt;K$38,I$36,K478&lt;K$40,I$38,K478&lt;K$42,I$40,K478&lt;K$44,I$42,K478&lt;K$46,I$44,K478&gt;=K$46,I$46)</f>
        <v/>
      </c>
      <c r="J478" s="37">
        <f>_xlfn.IFS(K478&lt;K$24,0,K478&lt;K$25,J$24,K478&lt;K$26,J$25,K478&lt;K$27,J$26,K478&lt;K$28,J$27,K478&lt;K$29,J$28,K478&lt;K$30,J$29,K478&lt;K$31,J$30,K478&lt;K$32,J$31,K478&lt;K$33,J$32,K478&lt;K$34,J$33,K478&lt;K$35,J$34,K478&lt;K$36,J$35,K478&lt;K$37,J$36,K478&lt;K$38,J$37,K478&lt;K$39,J$38,K478&lt;K$40,J$39,K478&lt;K$41,J$40,K478&lt;K$42,J$41,K478&lt;K$43,J$42,K478&lt;K$44,J$43,K478&lt;K$45,J$44,K478&lt;K$46,J$45,K478&lt;K$47,J$46,K478&gt;=K$47,J$47)</f>
        <v/>
      </c>
      <c r="K478" s="38" t="n">
        <v>428</v>
      </c>
      <c r="L478" s="31">
        <f>K478/52</f>
        <v/>
      </c>
      <c r="M478" s="39">
        <f>J478/1000000*52</f>
        <v/>
      </c>
      <c r="N478" s="33">
        <f>M478/$P$4+($I$22/$P$4)</f>
        <v/>
      </c>
      <c r="U478">
        <f>F477</f>
        <v/>
      </c>
      <c r="V478">
        <f>H477</f>
        <v/>
      </c>
      <c r="W478">
        <f>N477</f>
        <v/>
      </c>
    </row>
    <row r="479" ht="15.75" customHeight="1" s="40">
      <c r="C479" s="36">
        <f>_xlfn.IFS(E479&lt;E$24,0,E479&lt;E$26,C$24,E479&lt;E$28,C$26,E479&lt;E$30,C$28,E479&lt;E$32,C$30,E479&lt;E$34,C$32,E479&gt;=E$34,C$34)</f>
        <v/>
      </c>
      <c r="D479" s="37">
        <f>_xlfn.IFS(E479&lt;E$24,0,E479&lt;E$25,D$24,E479&lt;E$26,D$25,E479&lt;E$27,D$26,E479&lt;E$28,D$27,E479&lt;E$29,D$28,E479&lt;E$30,D$29,E479&lt;E$31,D$30,E479&lt;E$32,D$31,E479&lt;E$33,D$32,E479&lt;E$34,D$33,E479&lt;E$35,D$34,E479&gt;=E$35,D$35)</f>
        <v/>
      </c>
      <c r="E479" s="38" t="n">
        <v>429</v>
      </c>
      <c r="F479" s="31">
        <f>E479/52</f>
        <v/>
      </c>
      <c r="G479" s="39">
        <f>D479/1000000*52</f>
        <v/>
      </c>
      <c r="H479" s="33">
        <f>G479/$P$4+($C$22/$P$4)</f>
        <v/>
      </c>
      <c r="I479" s="36">
        <f>_xlfn.IFS(K479&lt;K$24,0,K479&lt;K$26,I$24,K479&lt;K$28,I$26,K479&lt;K$30,I$28,K479&lt;K$32,I$30,K479&lt;K$34,I$32,K479&lt;K$36,I$34,K479&lt;K$38,I$36,K479&lt;K$40,I$38,K479&lt;K$42,I$40,K479&lt;K$44,I$42,K479&lt;K$46,I$44,K479&gt;=K$46,I$46)</f>
        <v/>
      </c>
      <c r="J479" s="37">
        <f>_xlfn.IFS(K479&lt;K$24,0,K479&lt;K$25,J$24,K479&lt;K$26,J$25,K479&lt;K$27,J$26,K479&lt;K$28,J$27,K479&lt;K$29,J$28,K479&lt;K$30,J$29,K479&lt;K$31,J$30,K479&lt;K$32,J$31,K479&lt;K$33,J$32,K479&lt;K$34,J$33,K479&lt;K$35,J$34,K479&lt;K$36,J$35,K479&lt;K$37,J$36,K479&lt;K$38,J$37,K479&lt;K$39,J$38,K479&lt;K$40,J$39,K479&lt;K$41,J$40,K479&lt;K$42,J$41,K479&lt;K$43,J$42,K479&lt;K$44,J$43,K479&lt;K$45,J$44,K479&lt;K$46,J$45,K479&lt;K$47,J$46,K479&gt;=K$47,J$47)</f>
        <v/>
      </c>
      <c r="K479" s="38" t="n">
        <v>429</v>
      </c>
      <c r="L479" s="31">
        <f>K479/52</f>
        <v/>
      </c>
      <c r="M479" s="39">
        <f>J479/1000000*52</f>
        <v/>
      </c>
      <c r="N479" s="33">
        <f>M479/$P$4+($I$22/$P$4)</f>
        <v/>
      </c>
      <c r="U479">
        <f>F478</f>
        <v/>
      </c>
      <c r="V479">
        <f>H478</f>
        <v/>
      </c>
      <c r="W479">
        <f>N478</f>
        <v/>
      </c>
    </row>
    <row r="480" ht="15.75" customHeight="1" s="40">
      <c r="C480" s="36">
        <f>_xlfn.IFS(E480&lt;E$24,0,E480&lt;E$26,C$24,E480&lt;E$28,C$26,E480&lt;E$30,C$28,E480&lt;E$32,C$30,E480&lt;E$34,C$32,E480&gt;=E$34,C$34)</f>
        <v/>
      </c>
      <c r="D480" s="37">
        <f>_xlfn.IFS(E480&lt;E$24,0,E480&lt;E$25,D$24,E480&lt;E$26,D$25,E480&lt;E$27,D$26,E480&lt;E$28,D$27,E480&lt;E$29,D$28,E480&lt;E$30,D$29,E480&lt;E$31,D$30,E480&lt;E$32,D$31,E480&lt;E$33,D$32,E480&lt;E$34,D$33,E480&lt;E$35,D$34,E480&gt;=E$35,D$35)</f>
        <v/>
      </c>
      <c r="E480" s="38" t="n">
        <v>430</v>
      </c>
      <c r="F480" s="31">
        <f>E480/52</f>
        <v/>
      </c>
      <c r="G480" s="39">
        <f>D480/1000000*52</f>
        <v/>
      </c>
      <c r="H480" s="33">
        <f>G480/$P$4+($C$22/$P$4)</f>
        <v/>
      </c>
      <c r="I480" s="36">
        <f>_xlfn.IFS(K480&lt;K$24,0,K480&lt;K$26,I$24,K480&lt;K$28,I$26,K480&lt;K$30,I$28,K480&lt;K$32,I$30,K480&lt;K$34,I$32,K480&lt;K$36,I$34,K480&lt;K$38,I$36,K480&lt;K$40,I$38,K480&lt;K$42,I$40,K480&lt;K$44,I$42,K480&lt;K$46,I$44,K480&gt;=K$46,I$46)</f>
        <v/>
      </c>
      <c r="J480" s="37">
        <f>_xlfn.IFS(K480&lt;K$24,0,K480&lt;K$25,J$24,K480&lt;K$26,J$25,K480&lt;K$27,J$26,K480&lt;K$28,J$27,K480&lt;K$29,J$28,K480&lt;K$30,J$29,K480&lt;K$31,J$30,K480&lt;K$32,J$31,K480&lt;K$33,J$32,K480&lt;K$34,J$33,K480&lt;K$35,J$34,K480&lt;K$36,J$35,K480&lt;K$37,J$36,K480&lt;K$38,J$37,K480&lt;K$39,J$38,K480&lt;K$40,J$39,K480&lt;K$41,J$40,K480&lt;K$42,J$41,K480&lt;K$43,J$42,K480&lt;K$44,J$43,K480&lt;K$45,J$44,K480&lt;K$46,J$45,K480&lt;K$47,J$46,K480&gt;=K$47,J$47)</f>
        <v/>
      </c>
      <c r="K480" s="38" t="n">
        <v>430</v>
      </c>
      <c r="L480" s="31">
        <f>K480/52</f>
        <v/>
      </c>
      <c r="M480" s="39">
        <f>J480/1000000*52</f>
        <v/>
      </c>
      <c r="N480" s="33">
        <f>M480/$P$4+($I$22/$P$4)</f>
        <v/>
      </c>
      <c r="U480">
        <f>F479</f>
        <v/>
      </c>
      <c r="V480">
        <f>H479</f>
        <v/>
      </c>
      <c r="W480">
        <f>N479</f>
        <v/>
      </c>
    </row>
    <row r="481" ht="15.75" customHeight="1" s="40">
      <c r="C481" s="36">
        <f>_xlfn.IFS(E481&lt;E$24,0,E481&lt;E$26,C$24,E481&lt;E$28,C$26,E481&lt;E$30,C$28,E481&lt;E$32,C$30,E481&lt;E$34,C$32,E481&gt;=E$34,C$34)</f>
        <v/>
      </c>
      <c r="D481" s="37">
        <f>_xlfn.IFS(E481&lt;E$24,0,E481&lt;E$25,D$24,E481&lt;E$26,D$25,E481&lt;E$27,D$26,E481&lt;E$28,D$27,E481&lt;E$29,D$28,E481&lt;E$30,D$29,E481&lt;E$31,D$30,E481&lt;E$32,D$31,E481&lt;E$33,D$32,E481&lt;E$34,D$33,E481&lt;E$35,D$34,E481&gt;=E$35,D$35)</f>
        <v/>
      </c>
      <c r="E481" s="38" t="n">
        <v>431</v>
      </c>
      <c r="F481" s="31">
        <f>E481/52</f>
        <v/>
      </c>
      <c r="G481" s="39">
        <f>D481/1000000*52</f>
        <v/>
      </c>
      <c r="H481" s="33">
        <f>G481/$P$4+($C$22/$P$4)</f>
        <v/>
      </c>
      <c r="I481" s="36">
        <f>_xlfn.IFS(K481&lt;K$24,0,K481&lt;K$26,I$24,K481&lt;K$28,I$26,K481&lt;K$30,I$28,K481&lt;K$32,I$30,K481&lt;K$34,I$32,K481&lt;K$36,I$34,K481&lt;K$38,I$36,K481&lt;K$40,I$38,K481&lt;K$42,I$40,K481&lt;K$44,I$42,K481&lt;K$46,I$44,K481&gt;=K$46,I$46)</f>
        <v/>
      </c>
      <c r="J481" s="37">
        <f>_xlfn.IFS(K481&lt;K$24,0,K481&lt;K$25,J$24,K481&lt;K$26,J$25,K481&lt;K$27,J$26,K481&lt;K$28,J$27,K481&lt;K$29,J$28,K481&lt;K$30,J$29,K481&lt;K$31,J$30,K481&lt;K$32,J$31,K481&lt;K$33,J$32,K481&lt;K$34,J$33,K481&lt;K$35,J$34,K481&lt;K$36,J$35,K481&lt;K$37,J$36,K481&lt;K$38,J$37,K481&lt;K$39,J$38,K481&lt;K$40,J$39,K481&lt;K$41,J$40,K481&lt;K$42,J$41,K481&lt;K$43,J$42,K481&lt;K$44,J$43,K481&lt;K$45,J$44,K481&lt;K$46,J$45,K481&lt;K$47,J$46,K481&gt;=K$47,J$47)</f>
        <v/>
      </c>
      <c r="K481" s="38" t="n">
        <v>431</v>
      </c>
      <c r="L481" s="31">
        <f>K481/52</f>
        <v/>
      </c>
      <c r="M481" s="39">
        <f>J481/1000000*52</f>
        <v/>
      </c>
      <c r="N481" s="33">
        <f>M481/$P$4+($I$22/$P$4)</f>
        <v/>
      </c>
      <c r="U481">
        <f>F480</f>
        <v/>
      </c>
      <c r="V481">
        <f>H480</f>
        <v/>
      </c>
      <c r="W481">
        <f>N480</f>
        <v/>
      </c>
    </row>
    <row r="482" ht="15.75" customHeight="1" s="40">
      <c r="C482" s="36">
        <f>_xlfn.IFS(E482&lt;E$24,0,E482&lt;E$26,C$24,E482&lt;E$28,C$26,E482&lt;E$30,C$28,E482&lt;E$32,C$30,E482&lt;E$34,C$32,E482&gt;=E$34,C$34)</f>
        <v/>
      </c>
      <c r="D482" s="37">
        <f>_xlfn.IFS(E482&lt;E$24,0,E482&lt;E$25,D$24,E482&lt;E$26,D$25,E482&lt;E$27,D$26,E482&lt;E$28,D$27,E482&lt;E$29,D$28,E482&lt;E$30,D$29,E482&lt;E$31,D$30,E482&lt;E$32,D$31,E482&lt;E$33,D$32,E482&lt;E$34,D$33,E482&lt;E$35,D$34,E482&gt;=E$35,D$35)</f>
        <v/>
      </c>
      <c r="E482" s="38" t="n">
        <v>432</v>
      </c>
      <c r="F482" s="31">
        <f>E482/52</f>
        <v/>
      </c>
      <c r="G482" s="39">
        <f>D482/1000000*52</f>
        <v/>
      </c>
      <c r="H482" s="33">
        <f>G482/$P$4+($C$22/$P$4)</f>
        <v/>
      </c>
      <c r="I482" s="36">
        <f>_xlfn.IFS(K482&lt;K$24,0,K482&lt;K$26,I$24,K482&lt;K$28,I$26,K482&lt;K$30,I$28,K482&lt;K$32,I$30,K482&lt;K$34,I$32,K482&lt;K$36,I$34,K482&lt;K$38,I$36,K482&lt;K$40,I$38,K482&lt;K$42,I$40,K482&lt;K$44,I$42,K482&lt;K$46,I$44,K482&gt;=K$46,I$46)</f>
        <v/>
      </c>
      <c r="J482" s="37">
        <f>_xlfn.IFS(K482&lt;K$24,0,K482&lt;K$25,J$24,K482&lt;K$26,J$25,K482&lt;K$27,J$26,K482&lt;K$28,J$27,K482&lt;K$29,J$28,K482&lt;K$30,J$29,K482&lt;K$31,J$30,K482&lt;K$32,J$31,K482&lt;K$33,J$32,K482&lt;K$34,J$33,K482&lt;K$35,J$34,K482&lt;K$36,J$35,K482&lt;K$37,J$36,K482&lt;K$38,J$37,K482&lt;K$39,J$38,K482&lt;K$40,J$39,K482&lt;K$41,J$40,K482&lt;K$42,J$41,K482&lt;K$43,J$42,K482&lt;K$44,J$43,K482&lt;K$45,J$44,K482&lt;K$46,J$45,K482&lt;K$47,J$46,K482&gt;=K$47,J$47)</f>
        <v/>
      </c>
      <c r="K482" s="38" t="n">
        <v>432</v>
      </c>
      <c r="L482" s="31">
        <f>K482/52</f>
        <v/>
      </c>
      <c r="M482" s="39">
        <f>J482/1000000*52</f>
        <v/>
      </c>
      <c r="N482" s="33">
        <f>M482/$P$4+($I$22/$P$4)</f>
        <v/>
      </c>
      <c r="U482">
        <f>F481</f>
        <v/>
      </c>
      <c r="V482">
        <f>H481</f>
        <v/>
      </c>
      <c r="W482">
        <f>N481</f>
        <v/>
      </c>
    </row>
    <row r="483" ht="15.75" customHeight="1" s="40">
      <c r="C483" s="36">
        <f>_xlfn.IFS(E483&lt;E$24,0,E483&lt;E$26,C$24,E483&lt;E$28,C$26,E483&lt;E$30,C$28,E483&lt;E$32,C$30,E483&lt;E$34,C$32,E483&gt;=E$34,C$34)</f>
        <v/>
      </c>
      <c r="D483" s="37">
        <f>_xlfn.IFS(E483&lt;E$24,0,E483&lt;E$25,D$24,E483&lt;E$26,D$25,E483&lt;E$27,D$26,E483&lt;E$28,D$27,E483&lt;E$29,D$28,E483&lt;E$30,D$29,E483&lt;E$31,D$30,E483&lt;E$32,D$31,E483&lt;E$33,D$32,E483&lt;E$34,D$33,E483&lt;E$35,D$34,E483&gt;=E$35,D$35)</f>
        <v/>
      </c>
      <c r="E483" s="38" t="n">
        <v>433</v>
      </c>
      <c r="F483" s="31">
        <f>E483/52</f>
        <v/>
      </c>
      <c r="G483" s="39">
        <f>D483/1000000*52</f>
        <v/>
      </c>
      <c r="H483" s="33">
        <f>G483/$P$4+($C$22/$P$4)</f>
        <v/>
      </c>
      <c r="I483" s="36">
        <f>_xlfn.IFS(K483&lt;K$24,0,K483&lt;K$26,I$24,K483&lt;K$28,I$26,K483&lt;K$30,I$28,K483&lt;K$32,I$30,K483&lt;K$34,I$32,K483&lt;K$36,I$34,K483&lt;K$38,I$36,K483&lt;K$40,I$38,K483&lt;K$42,I$40,K483&lt;K$44,I$42,K483&lt;K$46,I$44,K483&gt;=K$46,I$46)</f>
        <v/>
      </c>
      <c r="J483" s="37">
        <f>_xlfn.IFS(K483&lt;K$24,0,K483&lt;K$25,J$24,K483&lt;K$26,J$25,K483&lt;K$27,J$26,K483&lt;K$28,J$27,K483&lt;K$29,J$28,K483&lt;K$30,J$29,K483&lt;K$31,J$30,K483&lt;K$32,J$31,K483&lt;K$33,J$32,K483&lt;K$34,J$33,K483&lt;K$35,J$34,K483&lt;K$36,J$35,K483&lt;K$37,J$36,K483&lt;K$38,J$37,K483&lt;K$39,J$38,K483&lt;K$40,J$39,K483&lt;K$41,J$40,K483&lt;K$42,J$41,K483&lt;K$43,J$42,K483&lt;K$44,J$43,K483&lt;K$45,J$44,K483&lt;K$46,J$45,K483&lt;K$47,J$46,K483&gt;=K$47,J$47)</f>
        <v/>
      </c>
      <c r="K483" s="38" t="n">
        <v>433</v>
      </c>
      <c r="L483" s="31">
        <f>K483/52</f>
        <v/>
      </c>
      <c r="M483" s="39">
        <f>J483/1000000*52</f>
        <v/>
      </c>
      <c r="N483" s="33">
        <f>M483/$P$4+($I$22/$P$4)</f>
        <v/>
      </c>
      <c r="U483">
        <f>F482</f>
        <v/>
      </c>
      <c r="V483">
        <f>H482</f>
        <v/>
      </c>
      <c r="W483">
        <f>N482</f>
        <v/>
      </c>
    </row>
    <row r="484" ht="15.75" customHeight="1" s="40">
      <c r="C484" s="36">
        <f>_xlfn.IFS(E484&lt;E$24,0,E484&lt;E$26,C$24,E484&lt;E$28,C$26,E484&lt;E$30,C$28,E484&lt;E$32,C$30,E484&lt;E$34,C$32,E484&gt;=E$34,C$34)</f>
        <v/>
      </c>
      <c r="D484" s="37">
        <f>_xlfn.IFS(E484&lt;E$24,0,E484&lt;E$25,D$24,E484&lt;E$26,D$25,E484&lt;E$27,D$26,E484&lt;E$28,D$27,E484&lt;E$29,D$28,E484&lt;E$30,D$29,E484&lt;E$31,D$30,E484&lt;E$32,D$31,E484&lt;E$33,D$32,E484&lt;E$34,D$33,E484&lt;E$35,D$34,E484&gt;=E$35,D$35)</f>
        <v/>
      </c>
      <c r="E484" s="38" t="n">
        <v>434</v>
      </c>
      <c r="F484" s="31">
        <f>E484/52</f>
        <v/>
      </c>
      <c r="G484" s="39">
        <f>D484/1000000*52</f>
        <v/>
      </c>
      <c r="H484" s="33">
        <f>G484/$P$4+($C$22/$P$4)</f>
        <v/>
      </c>
      <c r="I484" s="36">
        <f>_xlfn.IFS(K484&lt;K$24,0,K484&lt;K$26,I$24,K484&lt;K$28,I$26,K484&lt;K$30,I$28,K484&lt;K$32,I$30,K484&lt;K$34,I$32,K484&lt;K$36,I$34,K484&lt;K$38,I$36,K484&lt;K$40,I$38,K484&lt;K$42,I$40,K484&lt;K$44,I$42,K484&lt;K$46,I$44,K484&gt;=K$46,I$46)</f>
        <v/>
      </c>
      <c r="J484" s="37">
        <f>_xlfn.IFS(K484&lt;K$24,0,K484&lt;K$25,J$24,K484&lt;K$26,J$25,K484&lt;K$27,J$26,K484&lt;K$28,J$27,K484&lt;K$29,J$28,K484&lt;K$30,J$29,K484&lt;K$31,J$30,K484&lt;K$32,J$31,K484&lt;K$33,J$32,K484&lt;K$34,J$33,K484&lt;K$35,J$34,K484&lt;K$36,J$35,K484&lt;K$37,J$36,K484&lt;K$38,J$37,K484&lt;K$39,J$38,K484&lt;K$40,J$39,K484&lt;K$41,J$40,K484&lt;K$42,J$41,K484&lt;K$43,J$42,K484&lt;K$44,J$43,K484&lt;K$45,J$44,K484&lt;K$46,J$45,K484&lt;K$47,J$46,K484&gt;=K$47,J$47)</f>
        <v/>
      </c>
      <c r="K484" s="38" t="n">
        <v>434</v>
      </c>
      <c r="L484" s="31">
        <f>K484/52</f>
        <v/>
      </c>
      <c r="M484" s="39">
        <f>J484/1000000*52</f>
        <v/>
      </c>
      <c r="N484" s="33">
        <f>M484/$P$4+($I$22/$P$4)</f>
        <v/>
      </c>
      <c r="U484">
        <f>F483</f>
        <v/>
      </c>
      <c r="V484">
        <f>H483</f>
        <v/>
      </c>
      <c r="W484">
        <f>N483</f>
        <v/>
      </c>
    </row>
    <row r="485" ht="15.75" customHeight="1" s="40">
      <c r="C485" s="36">
        <f>_xlfn.IFS(E485&lt;E$24,0,E485&lt;E$26,C$24,E485&lt;E$28,C$26,E485&lt;E$30,C$28,E485&lt;E$32,C$30,E485&lt;E$34,C$32,E485&gt;=E$34,C$34)</f>
        <v/>
      </c>
      <c r="D485" s="37">
        <f>_xlfn.IFS(E485&lt;E$24,0,E485&lt;E$25,D$24,E485&lt;E$26,D$25,E485&lt;E$27,D$26,E485&lt;E$28,D$27,E485&lt;E$29,D$28,E485&lt;E$30,D$29,E485&lt;E$31,D$30,E485&lt;E$32,D$31,E485&lt;E$33,D$32,E485&lt;E$34,D$33,E485&lt;E$35,D$34,E485&gt;=E$35,D$35)</f>
        <v/>
      </c>
      <c r="E485" s="38" t="n">
        <v>435</v>
      </c>
      <c r="F485" s="31">
        <f>E485/52</f>
        <v/>
      </c>
      <c r="G485" s="39">
        <f>D485/1000000*52</f>
        <v/>
      </c>
      <c r="H485" s="33">
        <f>G485/$P$4+($C$22/$P$4)</f>
        <v/>
      </c>
      <c r="I485" s="36">
        <f>_xlfn.IFS(K485&lt;K$24,0,K485&lt;K$26,I$24,K485&lt;K$28,I$26,K485&lt;K$30,I$28,K485&lt;K$32,I$30,K485&lt;K$34,I$32,K485&lt;K$36,I$34,K485&lt;K$38,I$36,K485&lt;K$40,I$38,K485&lt;K$42,I$40,K485&lt;K$44,I$42,K485&lt;K$46,I$44,K485&gt;=K$46,I$46)</f>
        <v/>
      </c>
      <c r="J485" s="37">
        <f>_xlfn.IFS(K485&lt;K$24,0,K485&lt;K$25,J$24,K485&lt;K$26,J$25,K485&lt;K$27,J$26,K485&lt;K$28,J$27,K485&lt;K$29,J$28,K485&lt;K$30,J$29,K485&lt;K$31,J$30,K485&lt;K$32,J$31,K485&lt;K$33,J$32,K485&lt;K$34,J$33,K485&lt;K$35,J$34,K485&lt;K$36,J$35,K485&lt;K$37,J$36,K485&lt;K$38,J$37,K485&lt;K$39,J$38,K485&lt;K$40,J$39,K485&lt;K$41,J$40,K485&lt;K$42,J$41,K485&lt;K$43,J$42,K485&lt;K$44,J$43,K485&lt;K$45,J$44,K485&lt;K$46,J$45,K485&lt;K$47,J$46,K485&gt;=K$47,J$47)</f>
        <v/>
      </c>
      <c r="K485" s="38" t="n">
        <v>435</v>
      </c>
      <c r="L485" s="31">
        <f>K485/52</f>
        <v/>
      </c>
      <c r="M485" s="39">
        <f>J485/1000000*52</f>
        <v/>
      </c>
      <c r="N485" s="33">
        <f>M485/$P$4+($I$22/$P$4)</f>
        <v/>
      </c>
      <c r="U485">
        <f>F484</f>
        <v/>
      </c>
      <c r="V485">
        <f>H484</f>
        <v/>
      </c>
      <c r="W485">
        <f>N484</f>
        <v/>
      </c>
    </row>
    <row r="486" ht="15.75" customHeight="1" s="40">
      <c r="C486" s="36">
        <f>_xlfn.IFS(E486&lt;E$24,0,E486&lt;E$26,C$24,E486&lt;E$28,C$26,E486&lt;E$30,C$28,E486&lt;E$32,C$30,E486&lt;E$34,C$32,E486&gt;=E$34,C$34)</f>
        <v/>
      </c>
      <c r="D486" s="37">
        <f>_xlfn.IFS(E486&lt;E$24,0,E486&lt;E$25,D$24,E486&lt;E$26,D$25,E486&lt;E$27,D$26,E486&lt;E$28,D$27,E486&lt;E$29,D$28,E486&lt;E$30,D$29,E486&lt;E$31,D$30,E486&lt;E$32,D$31,E486&lt;E$33,D$32,E486&lt;E$34,D$33,E486&lt;E$35,D$34,E486&gt;=E$35,D$35)</f>
        <v/>
      </c>
      <c r="E486" s="38" t="n">
        <v>436</v>
      </c>
      <c r="F486" s="31">
        <f>E486/52</f>
        <v/>
      </c>
      <c r="G486" s="39">
        <f>D486/1000000*52</f>
        <v/>
      </c>
      <c r="H486" s="33">
        <f>G486/$P$4+($C$22/$P$4)</f>
        <v/>
      </c>
      <c r="I486" s="36">
        <f>_xlfn.IFS(K486&lt;K$24,0,K486&lt;K$26,I$24,K486&lt;K$28,I$26,K486&lt;K$30,I$28,K486&lt;K$32,I$30,K486&lt;K$34,I$32,K486&lt;K$36,I$34,K486&lt;K$38,I$36,K486&lt;K$40,I$38,K486&lt;K$42,I$40,K486&lt;K$44,I$42,K486&lt;K$46,I$44,K486&gt;=K$46,I$46)</f>
        <v/>
      </c>
      <c r="J486" s="37">
        <f>_xlfn.IFS(K486&lt;K$24,0,K486&lt;K$25,J$24,K486&lt;K$26,J$25,K486&lt;K$27,J$26,K486&lt;K$28,J$27,K486&lt;K$29,J$28,K486&lt;K$30,J$29,K486&lt;K$31,J$30,K486&lt;K$32,J$31,K486&lt;K$33,J$32,K486&lt;K$34,J$33,K486&lt;K$35,J$34,K486&lt;K$36,J$35,K486&lt;K$37,J$36,K486&lt;K$38,J$37,K486&lt;K$39,J$38,K486&lt;K$40,J$39,K486&lt;K$41,J$40,K486&lt;K$42,J$41,K486&lt;K$43,J$42,K486&lt;K$44,J$43,K486&lt;K$45,J$44,K486&lt;K$46,J$45,K486&lt;K$47,J$46,K486&gt;=K$47,J$47)</f>
        <v/>
      </c>
      <c r="K486" s="38" t="n">
        <v>436</v>
      </c>
      <c r="L486" s="31">
        <f>K486/52</f>
        <v/>
      </c>
      <c r="M486" s="39">
        <f>J486/1000000*52</f>
        <v/>
      </c>
      <c r="N486" s="33">
        <f>M486/$P$4+($I$22/$P$4)</f>
        <v/>
      </c>
      <c r="U486">
        <f>F485</f>
        <v/>
      </c>
      <c r="V486">
        <f>H485</f>
        <v/>
      </c>
      <c r="W486">
        <f>N485</f>
        <v/>
      </c>
    </row>
    <row r="487" ht="15.75" customHeight="1" s="40">
      <c r="C487" s="36">
        <f>_xlfn.IFS(E487&lt;E$24,0,E487&lt;E$26,C$24,E487&lt;E$28,C$26,E487&lt;E$30,C$28,E487&lt;E$32,C$30,E487&lt;E$34,C$32,E487&gt;=E$34,C$34)</f>
        <v/>
      </c>
      <c r="D487" s="37">
        <f>_xlfn.IFS(E487&lt;E$24,0,E487&lt;E$25,D$24,E487&lt;E$26,D$25,E487&lt;E$27,D$26,E487&lt;E$28,D$27,E487&lt;E$29,D$28,E487&lt;E$30,D$29,E487&lt;E$31,D$30,E487&lt;E$32,D$31,E487&lt;E$33,D$32,E487&lt;E$34,D$33,E487&lt;E$35,D$34,E487&gt;=E$35,D$35)</f>
        <v/>
      </c>
      <c r="E487" s="38" t="n">
        <v>437</v>
      </c>
      <c r="F487" s="31">
        <f>E487/52</f>
        <v/>
      </c>
      <c r="G487" s="39">
        <f>D487/1000000*52</f>
        <v/>
      </c>
      <c r="H487" s="33">
        <f>G487/$P$4+($C$22/$P$4)</f>
        <v/>
      </c>
      <c r="I487" s="36">
        <f>_xlfn.IFS(K487&lt;K$24,0,K487&lt;K$26,I$24,K487&lt;K$28,I$26,K487&lt;K$30,I$28,K487&lt;K$32,I$30,K487&lt;K$34,I$32,K487&lt;K$36,I$34,K487&lt;K$38,I$36,K487&lt;K$40,I$38,K487&lt;K$42,I$40,K487&lt;K$44,I$42,K487&lt;K$46,I$44,K487&gt;=K$46,I$46)</f>
        <v/>
      </c>
      <c r="J487" s="37">
        <f>_xlfn.IFS(K487&lt;K$24,0,K487&lt;K$25,J$24,K487&lt;K$26,J$25,K487&lt;K$27,J$26,K487&lt;K$28,J$27,K487&lt;K$29,J$28,K487&lt;K$30,J$29,K487&lt;K$31,J$30,K487&lt;K$32,J$31,K487&lt;K$33,J$32,K487&lt;K$34,J$33,K487&lt;K$35,J$34,K487&lt;K$36,J$35,K487&lt;K$37,J$36,K487&lt;K$38,J$37,K487&lt;K$39,J$38,K487&lt;K$40,J$39,K487&lt;K$41,J$40,K487&lt;K$42,J$41,K487&lt;K$43,J$42,K487&lt;K$44,J$43,K487&lt;K$45,J$44,K487&lt;K$46,J$45,K487&lt;K$47,J$46,K487&gt;=K$47,J$47)</f>
        <v/>
      </c>
      <c r="K487" s="38" t="n">
        <v>437</v>
      </c>
      <c r="L487" s="31">
        <f>K487/52</f>
        <v/>
      </c>
      <c r="M487" s="39">
        <f>J487/1000000*52</f>
        <v/>
      </c>
      <c r="N487" s="33">
        <f>M487/$P$4+($I$22/$P$4)</f>
        <v/>
      </c>
      <c r="U487">
        <f>F486</f>
        <v/>
      </c>
      <c r="V487">
        <f>H486</f>
        <v/>
      </c>
      <c r="W487">
        <f>N486</f>
        <v/>
      </c>
    </row>
    <row r="488" ht="15.75" customHeight="1" s="40">
      <c r="C488" s="36">
        <f>_xlfn.IFS(E488&lt;E$24,0,E488&lt;E$26,C$24,E488&lt;E$28,C$26,E488&lt;E$30,C$28,E488&lt;E$32,C$30,E488&lt;E$34,C$32,E488&gt;=E$34,C$34)</f>
        <v/>
      </c>
      <c r="D488" s="37">
        <f>_xlfn.IFS(E488&lt;E$24,0,E488&lt;E$25,D$24,E488&lt;E$26,D$25,E488&lt;E$27,D$26,E488&lt;E$28,D$27,E488&lt;E$29,D$28,E488&lt;E$30,D$29,E488&lt;E$31,D$30,E488&lt;E$32,D$31,E488&lt;E$33,D$32,E488&lt;E$34,D$33,E488&lt;E$35,D$34,E488&gt;=E$35,D$35)</f>
        <v/>
      </c>
      <c r="E488" s="38" t="n">
        <v>438</v>
      </c>
      <c r="F488" s="31">
        <f>E488/52</f>
        <v/>
      </c>
      <c r="G488" s="39">
        <f>D488/1000000*52</f>
        <v/>
      </c>
      <c r="H488" s="33">
        <f>G488/$P$4+($C$22/$P$4)</f>
        <v/>
      </c>
      <c r="I488" s="36">
        <f>_xlfn.IFS(K488&lt;K$24,0,K488&lt;K$26,I$24,K488&lt;K$28,I$26,K488&lt;K$30,I$28,K488&lt;K$32,I$30,K488&lt;K$34,I$32,K488&lt;K$36,I$34,K488&lt;K$38,I$36,K488&lt;K$40,I$38,K488&lt;K$42,I$40,K488&lt;K$44,I$42,K488&lt;K$46,I$44,K488&gt;=K$46,I$46)</f>
        <v/>
      </c>
      <c r="J488" s="37">
        <f>_xlfn.IFS(K488&lt;K$24,0,K488&lt;K$25,J$24,K488&lt;K$26,J$25,K488&lt;K$27,J$26,K488&lt;K$28,J$27,K488&lt;K$29,J$28,K488&lt;K$30,J$29,K488&lt;K$31,J$30,K488&lt;K$32,J$31,K488&lt;K$33,J$32,K488&lt;K$34,J$33,K488&lt;K$35,J$34,K488&lt;K$36,J$35,K488&lt;K$37,J$36,K488&lt;K$38,J$37,K488&lt;K$39,J$38,K488&lt;K$40,J$39,K488&lt;K$41,J$40,K488&lt;K$42,J$41,K488&lt;K$43,J$42,K488&lt;K$44,J$43,K488&lt;K$45,J$44,K488&lt;K$46,J$45,K488&lt;K$47,J$46,K488&gt;=K$47,J$47)</f>
        <v/>
      </c>
      <c r="K488" s="38" t="n">
        <v>438</v>
      </c>
      <c r="L488" s="31">
        <f>K488/52</f>
        <v/>
      </c>
      <c r="M488" s="39">
        <f>J488/1000000*52</f>
        <v/>
      </c>
      <c r="N488" s="33">
        <f>M488/$P$4+($I$22/$P$4)</f>
        <v/>
      </c>
      <c r="U488">
        <f>F487</f>
        <v/>
      </c>
      <c r="V488">
        <f>H487</f>
        <v/>
      </c>
      <c r="W488">
        <f>N487</f>
        <v/>
      </c>
    </row>
    <row r="489" ht="15.75" customHeight="1" s="40">
      <c r="C489" s="36">
        <f>_xlfn.IFS(E489&lt;E$24,0,E489&lt;E$26,C$24,E489&lt;E$28,C$26,E489&lt;E$30,C$28,E489&lt;E$32,C$30,E489&lt;E$34,C$32,E489&gt;=E$34,C$34)</f>
        <v/>
      </c>
      <c r="D489" s="37">
        <f>_xlfn.IFS(E489&lt;E$24,0,E489&lt;E$25,D$24,E489&lt;E$26,D$25,E489&lt;E$27,D$26,E489&lt;E$28,D$27,E489&lt;E$29,D$28,E489&lt;E$30,D$29,E489&lt;E$31,D$30,E489&lt;E$32,D$31,E489&lt;E$33,D$32,E489&lt;E$34,D$33,E489&lt;E$35,D$34,E489&gt;=E$35,D$35)</f>
        <v/>
      </c>
      <c r="E489" s="38" t="n">
        <v>439</v>
      </c>
      <c r="F489" s="31">
        <f>E489/52</f>
        <v/>
      </c>
      <c r="G489" s="39">
        <f>D489/1000000*52</f>
        <v/>
      </c>
      <c r="H489" s="33">
        <f>G489/$P$4+($C$22/$P$4)</f>
        <v/>
      </c>
      <c r="I489" s="36">
        <f>_xlfn.IFS(K489&lt;K$24,0,K489&lt;K$26,I$24,K489&lt;K$28,I$26,K489&lt;K$30,I$28,K489&lt;K$32,I$30,K489&lt;K$34,I$32,K489&lt;K$36,I$34,K489&lt;K$38,I$36,K489&lt;K$40,I$38,K489&lt;K$42,I$40,K489&lt;K$44,I$42,K489&lt;K$46,I$44,K489&gt;=K$46,I$46)</f>
        <v/>
      </c>
      <c r="J489" s="37">
        <f>_xlfn.IFS(K489&lt;K$24,0,K489&lt;K$25,J$24,K489&lt;K$26,J$25,K489&lt;K$27,J$26,K489&lt;K$28,J$27,K489&lt;K$29,J$28,K489&lt;K$30,J$29,K489&lt;K$31,J$30,K489&lt;K$32,J$31,K489&lt;K$33,J$32,K489&lt;K$34,J$33,K489&lt;K$35,J$34,K489&lt;K$36,J$35,K489&lt;K$37,J$36,K489&lt;K$38,J$37,K489&lt;K$39,J$38,K489&lt;K$40,J$39,K489&lt;K$41,J$40,K489&lt;K$42,J$41,K489&lt;K$43,J$42,K489&lt;K$44,J$43,K489&lt;K$45,J$44,K489&lt;K$46,J$45,K489&lt;K$47,J$46,K489&gt;=K$47,J$47)</f>
        <v/>
      </c>
      <c r="K489" s="38" t="n">
        <v>439</v>
      </c>
      <c r="L489" s="31">
        <f>K489/52</f>
        <v/>
      </c>
      <c r="M489" s="39">
        <f>J489/1000000*52</f>
        <v/>
      </c>
      <c r="N489" s="33">
        <f>M489/$P$4+($I$22/$P$4)</f>
        <v/>
      </c>
      <c r="U489">
        <f>F488</f>
        <v/>
      </c>
      <c r="V489">
        <f>H488</f>
        <v/>
      </c>
      <c r="W489">
        <f>N488</f>
        <v/>
      </c>
    </row>
    <row r="490" ht="15.75" customHeight="1" s="40">
      <c r="C490" s="36">
        <f>_xlfn.IFS(E490&lt;E$24,0,E490&lt;E$26,C$24,E490&lt;E$28,C$26,E490&lt;E$30,C$28,E490&lt;E$32,C$30,E490&lt;E$34,C$32,E490&gt;=E$34,C$34)</f>
        <v/>
      </c>
      <c r="D490" s="37">
        <f>_xlfn.IFS(E490&lt;E$24,0,E490&lt;E$25,D$24,E490&lt;E$26,D$25,E490&lt;E$27,D$26,E490&lt;E$28,D$27,E490&lt;E$29,D$28,E490&lt;E$30,D$29,E490&lt;E$31,D$30,E490&lt;E$32,D$31,E490&lt;E$33,D$32,E490&lt;E$34,D$33,E490&lt;E$35,D$34,E490&gt;=E$35,D$35)</f>
        <v/>
      </c>
      <c r="E490" s="38" t="n">
        <v>440</v>
      </c>
      <c r="F490" s="31">
        <f>E490/52</f>
        <v/>
      </c>
      <c r="G490" s="39">
        <f>D490/1000000*52</f>
        <v/>
      </c>
      <c r="H490" s="33">
        <f>G490/$P$4+($C$22/$P$4)</f>
        <v/>
      </c>
      <c r="I490" s="36">
        <f>_xlfn.IFS(K490&lt;K$24,0,K490&lt;K$26,I$24,K490&lt;K$28,I$26,K490&lt;K$30,I$28,K490&lt;K$32,I$30,K490&lt;K$34,I$32,K490&lt;K$36,I$34,K490&lt;K$38,I$36,K490&lt;K$40,I$38,K490&lt;K$42,I$40,K490&lt;K$44,I$42,K490&lt;K$46,I$44,K490&gt;=K$46,I$46)</f>
        <v/>
      </c>
      <c r="J490" s="37">
        <f>_xlfn.IFS(K490&lt;K$24,0,K490&lt;K$25,J$24,K490&lt;K$26,J$25,K490&lt;K$27,J$26,K490&lt;K$28,J$27,K490&lt;K$29,J$28,K490&lt;K$30,J$29,K490&lt;K$31,J$30,K490&lt;K$32,J$31,K490&lt;K$33,J$32,K490&lt;K$34,J$33,K490&lt;K$35,J$34,K490&lt;K$36,J$35,K490&lt;K$37,J$36,K490&lt;K$38,J$37,K490&lt;K$39,J$38,K490&lt;K$40,J$39,K490&lt;K$41,J$40,K490&lt;K$42,J$41,K490&lt;K$43,J$42,K490&lt;K$44,J$43,K490&lt;K$45,J$44,K490&lt;K$46,J$45,K490&lt;K$47,J$46,K490&gt;=K$47,J$47)</f>
        <v/>
      </c>
      <c r="K490" s="38" t="n">
        <v>440</v>
      </c>
      <c r="L490" s="31">
        <f>K490/52</f>
        <v/>
      </c>
      <c r="M490" s="39">
        <f>J490/1000000*52</f>
        <v/>
      </c>
      <c r="N490" s="33">
        <f>M490/$P$4+($I$22/$P$4)</f>
        <v/>
      </c>
      <c r="U490">
        <f>F489</f>
        <v/>
      </c>
      <c r="V490">
        <f>H489</f>
        <v/>
      </c>
      <c r="W490">
        <f>N489</f>
        <v/>
      </c>
    </row>
    <row r="491" ht="15.75" customHeight="1" s="40">
      <c r="C491" s="36">
        <f>_xlfn.IFS(E491&lt;E$24,0,E491&lt;E$26,C$24,E491&lt;E$28,C$26,E491&lt;E$30,C$28,E491&lt;E$32,C$30,E491&lt;E$34,C$32,E491&gt;=E$34,C$34)</f>
        <v/>
      </c>
      <c r="D491" s="37">
        <f>_xlfn.IFS(E491&lt;E$24,0,E491&lt;E$25,D$24,E491&lt;E$26,D$25,E491&lt;E$27,D$26,E491&lt;E$28,D$27,E491&lt;E$29,D$28,E491&lt;E$30,D$29,E491&lt;E$31,D$30,E491&lt;E$32,D$31,E491&lt;E$33,D$32,E491&lt;E$34,D$33,E491&lt;E$35,D$34,E491&gt;=E$35,D$35)</f>
        <v/>
      </c>
      <c r="E491" s="38" t="n">
        <v>441</v>
      </c>
      <c r="F491" s="31">
        <f>E491/52</f>
        <v/>
      </c>
      <c r="G491" s="39">
        <f>D491/1000000*52</f>
        <v/>
      </c>
      <c r="H491" s="33">
        <f>G491/$P$4+($C$22/$P$4)</f>
        <v/>
      </c>
      <c r="I491" s="36">
        <f>_xlfn.IFS(K491&lt;K$24,0,K491&lt;K$26,I$24,K491&lt;K$28,I$26,K491&lt;K$30,I$28,K491&lt;K$32,I$30,K491&lt;K$34,I$32,K491&lt;K$36,I$34,K491&lt;K$38,I$36,K491&lt;K$40,I$38,K491&lt;K$42,I$40,K491&lt;K$44,I$42,K491&lt;K$46,I$44,K491&gt;=K$46,I$46)</f>
        <v/>
      </c>
      <c r="J491" s="37">
        <f>_xlfn.IFS(K491&lt;K$24,0,K491&lt;K$25,J$24,K491&lt;K$26,J$25,K491&lt;K$27,J$26,K491&lt;K$28,J$27,K491&lt;K$29,J$28,K491&lt;K$30,J$29,K491&lt;K$31,J$30,K491&lt;K$32,J$31,K491&lt;K$33,J$32,K491&lt;K$34,J$33,K491&lt;K$35,J$34,K491&lt;K$36,J$35,K491&lt;K$37,J$36,K491&lt;K$38,J$37,K491&lt;K$39,J$38,K491&lt;K$40,J$39,K491&lt;K$41,J$40,K491&lt;K$42,J$41,K491&lt;K$43,J$42,K491&lt;K$44,J$43,K491&lt;K$45,J$44,K491&lt;K$46,J$45,K491&lt;K$47,J$46,K491&gt;=K$47,J$47)</f>
        <v/>
      </c>
      <c r="K491" s="38" t="n">
        <v>441</v>
      </c>
      <c r="L491" s="31">
        <f>K491/52</f>
        <v/>
      </c>
      <c r="M491" s="39">
        <f>J491/1000000*52</f>
        <v/>
      </c>
      <c r="N491" s="33">
        <f>M491/$P$4+($I$22/$P$4)</f>
        <v/>
      </c>
      <c r="U491">
        <f>F490</f>
        <v/>
      </c>
      <c r="V491">
        <f>H490</f>
        <v/>
      </c>
      <c r="W491">
        <f>N490</f>
        <v/>
      </c>
    </row>
    <row r="492" ht="15.75" customHeight="1" s="40">
      <c r="C492" s="36">
        <f>_xlfn.IFS(E492&lt;E$24,0,E492&lt;E$26,C$24,E492&lt;E$28,C$26,E492&lt;E$30,C$28,E492&lt;E$32,C$30,E492&lt;E$34,C$32,E492&gt;=E$34,C$34)</f>
        <v/>
      </c>
      <c r="D492" s="37">
        <f>_xlfn.IFS(E492&lt;E$24,0,E492&lt;E$25,D$24,E492&lt;E$26,D$25,E492&lt;E$27,D$26,E492&lt;E$28,D$27,E492&lt;E$29,D$28,E492&lt;E$30,D$29,E492&lt;E$31,D$30,E492&lt;E$32,D$31,E492&lt;E$33,D$32,E492&lt;E$34,D$33,E492&lt;E$35,D$34,E492&gt;=E$35,D$35)</f>
        <v/>
      </c>
      <c r="E492" s="38" t="n">
        <v>442</v>
      </c>
      <c r="F492" s="31">
        <f>E492/52</f>
        <v/>
      </c>
      <c r="G492" s="39">
        <f>D492/1000000*52</f>
        <v/>
      </c>
      <c r="H492" s="33">
        <f>G492/$P$4+($C$22/$P$4)</f>
        <v/>
      </c>
      <c r="I492" s="36">
        <f>_xlfn.IFS(K492&lt;K$24,0,K492&lt;K$26,I$24,K492&lt;K$28,I$26,K492&lt;K$30,I$28,K492&lt;K$32,I$30,K492&lt;K$34,I$32,K492&lt;K$36,I$34,K492&lt;K$38,I$36,K492&lt;K$40,I$38,K492&lt;K$42,I$40,K492&lt;K$44,I$42,K492&lt;K$46,I$44,K492&gt;=K$46,I$46)</f>
        <v/>
      </c>
      <c r="J492" s="37">
        <f>_xlfn.IFS(K492&lt;K$24,0,K492&lt;K$25,J$24,K492&lt;K$26,J$25,K492&lt;K$27,J$26,K492&lt;K$28,J$27,K492&lt;K$29,J$28,K492&lt;K$30,J$29,K492&lt;K$31,J$30,K492&lt;K$32,J$31,K492&lt;K$33,J$32,K492&lt;K$34,J$33,K492&lt;K$35,J$34,K492&lt;K$36,J$35,K492&lt;K$37,J$36,K492&lt;K$38,J$37,K492&lt;K$39,J$38,K492&lt;K$40,J$39,K492&lt;K$41,J$40,K492&lt;K$42,J$41,K492&lt;K$43,J$42,K492&lt;K$44,J$43,K492&lt;K$45,J$44,K492&lt;K$46,J$45,K492&lt;K$47,J$46,K492&gt;=K$47,J$47)</f>
        <v/>
      </c>
      <c r="K492" s="38" t="n">
        <v>442</v>
      </c>
      <c r="L492" s="31">
        <f>K492/52</f>
        <v/>
      </c>
      <c r="M492" s="39">
        <f>J492/1000000*52</f>
        <v/>
      </c>
      <c r="N492" s="33">
        <f>M492/$P$4+($I$22/$P$4)</f>
        <v/>
      </c>
      <c r="U492">
        <f>F491</f>
        <v/>
      </c>
      <c r="V492">
        <f>H491</f>
        <v/>
      </c>
      <c r="W492">
        <f>N491</f>
        <v/>
      </c>
    </row>
    <row r="493" ht="15.75" customHeight="1" s="40">
      <c r="C493" s="36">
        <f>_xlfn.IFS(E493&lt;E$24,0,E493&lt;E$26,C$24,E493&lt;E$28,C$26,E493&lt;E$30,C$28,E493&lt;E$32,C$30,E493&lt;E$34,C$32,E493&gt;=E$34,C$34)</f>
        <v/>
      </c>
      <c r="D493" s="37">
        <f>_xlfn.IFS(E493&lt;E$24,0,E493&lt;E$25,D$24,E493&lt;E$26,D$25,E493&lt;E$27,D$26,E493&lt;E$28,D$27,E493&lt;E$29,D$28,E493&lt;E$30,D$29,E493&lt;E$31,D$30,E493&lt;E$32,D$31,E493&lt;E$33,D$32,E493&lt;E$34,D$33,E493&lt;E$35,D$34,E493&gt;=E$35,D$35)</f>
        <v/>
      </c>
      <c r="E493" s="38" t="n">
        <v>443</v>
      </c>
      <c r="F493" s="31">
        <f>E493/52</f>
        <v/>
      </c>
      <c r="G493" s="39">
        <f>D493/1000000*52</f>
        <v/>
      </c>
      <c r="H493" s="33">
        <f>G493/$P$4+($C$22/$P$4)</f>
        <v/>
      </c>
      <c r="I493" s="36">
        <f>_xlfn.IFS(K493&lt;K$24,0,K493&lt;K$26,I$24,K493&lt;K$28,I$26,K493&lt;K$30,I$28,K493&lt;K$32,I$30,K493&lt;K$34,I$32,K493&lt;K$36,I$34,K493&lt;K$38,I$36,K493&lt;K$40,I$38,K493&lt;K$42,I$40,K493&lt;K$44,I$42,K493&lt;K$46,I$44,K493&gt;=K$46,I$46)</f>
        <v/>
      </c>
      <c r="J493" s="37">
        <f>_xlfn.IFS(K493&lt;K$24,0,K493&lt;K$25,J$24,K493&lt;K$26,J$25,K493&lt;K$27,J$26,K493&lt;K$28,J$27,K493&lt;K$29,J$28,K493&lt;K$30,J$29,K493&lt;K$31,J$30,K493&lt;K$32,J$31,K493&lt;K$33,J$32,K493&lt;K$34,J$33,K493&lt;K$35,J$34,K493&lt;K$36,J$35,K493&lt;K$37,J$36,K493&lt;K$38,J$37,K493&lt;K$39,J$38,K493&lt;K$40,J$39,K493&lt;K$41,J$40,K493&lt;K$42,J$41,K493&lt;K$43,J$42,K493&lt;K$44,J$43,K493&lt;K$45,J$44,K493&lt;K$46,J$45,K493&lt;K$47,J$46,K493&gt;=K$47,J$47)</f>
        <v/>
      </c>
      <c r="K493" s="38" t="n">
        <v>443</v>
      </c>
      <c r="L493" s="31">
        <f>K493/52</f>
        <v/>
      </c>
      <c r="M493" s="39">
        <f>J493/1000000*52</f>
        <v/>
      </c>
      <c r="N493" s="33">
        <f>M493/$P$4+($I$22/$P$4)</f>
        <v/>
      </c>
      <c r="U493">
        <f>F492</f>
        <v/>
      </c>
      <c r="V493">
        <f>H492</f>
        <v/>
      </c>
      <c r="W493">
        <f>N492</f>
        <v/>
      </c>
    </row>
    <row r="494" ht="15.75" customHeight="1" s="40">
      <c r="C494" s="36">
        <f>_xlfn.IFS(E494&lt;E$24,0,E494&lt;E$26,C$24,E494&lt;E$28,C$26,E494&lt;E$30,C$28,E494&lt;E$32,C$30,E494&lt;E$34,C$32,E494&gt;=E$34,C$34)</f>
        <v/>
      </c>
      <c r="D494" s="37">
        <f>_xlfn.IFS(E494&lt;E$24,0,E494&lt;E$25,D$24,E494&lt;E$26,D$25,E494&lt;E$27,D$26,E494&lt;E$28,D$27,E494&lt;E$29,D$28,E494&lt;E$30,D$29,E494&lt;E$31,D$30,E494&lt;E$32,D$31,E494&lt;E$33,D$32,E494&lt;E$34,D$33,E494&lt;E$35,D$34,E494&gt;=E$35,D$35)</f>
        <v/>
      </c>
      <c r="E494" s="38" t="n">
        <v>444</v>
      </c>
      <c r="F494" s="31">
        <f>E494/52</f>
        <v/>
      </c>
      <c r="G494" s="39">
        <f>D494/1000000*52</f>
        <v/>
      </c>
      <c r="H494" s="33">
        <f>G494/$P$4+($C$22/$P$4)</f>
        <v/>
      </c>
      <c r="I494" s="36">
        <f>_xlfn.IFS(K494&lt;K$24,0,K494&lt;K$26,I$24,K494&lt;K$28,I$26,K494&lt;K$30,I$28,K494&lt;K$32,I$30,K494&lt;K$34,I$32,K494&lt;K$36,I$34,K494&lt;K$38,I$36,K494&lt;K$40,I$38,K494&lt;K$42,I$40,K494&lt;K$44,I$42,K494&lt;K$46,I$44,K494&gt;=K$46,I$46)</f>
        <v/>
      </c>
      <c r="J494" s="37">
        <f>_xlfn.IFS(K494&lt;K$24,0,K494&lt;K$25,J$24,K494&lt;K$26,J$25,K494&lt;K$27,J$26,K494&lt;K$28,J$27,K494&lt;K$29,J$28,K494&lt;K$30,J$29,K494&lt;K$31,J$30,K494&lt;K$32,J$31,K494&lt;K$33,J$32,K494&lt;K$34,J$33,K494&lt;K$35,J$34,K494&lt;K$36,J$35,K494&lt;K$37,J$36,K494&lt;K$38,J$37,K494&lt;K$39,J$38,K494&lt;K$40,J$39,K494&lt;K$41,J$40,K494&lt;K$42,J$41,K494&lt;K$43,J$42,K494&lt;K$44,J$43,K494&lt;K$45,J$44,K494&lt;K$46,J$45,K494&lt;K$47,J$46,K494&gt;=K$47,J$47)</f>
        <v/>
      </c>
      <c r="K494" s="38" t="n">
        <v>444</v>
      </c>
      <c r="L494" s="31">
        <f>K494/52</f>
        <v/>
      </c>
      <c r="M494" s="39">
        <f>J494/1000000*52</f>
        <v/>
      </c>
      <c r="N494" s="33">
        <f>M494/$P$4+($I$22/$P$4)</f>
        <v/>
      </c>
      <c r="U494">
        <f>F493</f>
        <v/>
      </c>
      <c r="V494">
        <f>H493</f>
        <v/>
      </c>
      <c r="W494">
        <f>N493</f>
        <v/>
      </c>
    </row>
    <row r="495" ht="15.75" customHeight="1" s="40">
      <c r="C495" s="36">
        <f>_xlfn.IFS(E495&lt;E$24,0,E495&lt;E$26,C$24,E495&lt;E$28,C$26,E495&lt;E$30,C$28,E495&lt;E$32,C$30,E495&lt;E$34,C$32,E495&gt;=E$34,C$34)</f>
        <v/>
      </c>
      <c r="D495" s="37">
        <f>_xlfn.IFS(E495&lt;E$24,0,E495&lt;E$25,D$24,E495&lt;E$26,D$25,E495&lt;E$27,D$26,E495&lt;E$28,D$27,E495&lt;E$29,D$28,E495&lt;E$30,D$29,E495&lt;E$31,D$30,E495&lt;E$32,D$31,E495&lt;E$33,D$32,E495&lt;E$34,D$33,E495&lt;E$35,D$34,E495&gt;=E$35,D$35)</f>
        <v/>
      </c>
      <c r="E495" s="38" t="n">
        <v>445</v>
      </c>
      <c r="F495" s="31">
        <f>E495/52</f>
        <v/>
      </c>
      <c r="G495" s="39">
        <f>D495/1000000*52</f>
        <v/>
      </c>
      <c r="H495" s="33">
        <f>G495/$P$4+($C$22/$P$4)</f>
        <v/>
      </c>
      <c r="I495" s="36">
        <f>_xlfn.IFS(K495&lt;K$24,0,K495&lt;K$26,I$24,K495&lt;K$28,I$26,K495&lt;K$30,I$28,K495&lt;K$32,I$30,K495&lt;K$34,I$32,K495&lt;K$36,I$34,K495&lt;K$38,I$36,K495&lt;K$40,I$38,K495&lt;K$42,I$40,K495&lt;K$44,I$42,K495&lt;K$46,I$44,K495&gt;=K$46,I$46)</f>
        <v/>
      </c>
      <c r="J495" s="37">
        <f>_xlfn.IFS(K495&lt;K$24,0,K495&lt;K$25,J$24,K495&lt;K$26,J$25,K495&lt;K$27,J$26,K495&lt;K$28,J$27,K495&lt;K$29,J$28,K495&lt;K$30,J$29,K495&lt;K$31,J$30,K495&lt;K$32,J$31,K495&lt;K$33,J$32,K495&lt;K$34,J$33,K495&lt;K$35,J$34,K495&lt;K$36,J$35,K495&lt;K$37,J$36,K495&lt;K$38,J$37,K495&lt;K$39,J$38,K495&lt;K$40,J$39,K495&lt;K$41,J$40,K495&lt;K$42,J$41,K495&lt;K$43,J$42,K495&lt;K$44,J$43,K495&lt;K$45,J$44,K495&lt;K$46,J$45,K495&lt;K$47,J$46,K495&gt;=K$47,J$47)</f>
        <v/>
      </c>
      <c r="K495" s="38" t="n">
        <v>445</v>
      </c>
      <c r="L495" s="31">
        <f>K495/52</f>
        <v/>
      </c>
      <c r="M495" s="39">
        <f>J495/1000000*52</f>
        <v/>
      </c>
      <c r="N495" s="33">
        <f>M495/$P$4+($I$22/$P$4)</f>
        <v/>
      </c>
      <c r="U495">
        <f>F494</f>
        <v/>
      </c>
      <c r="V495">
        <f>H494</f>
        <v/>
      </c>
      <c r="W495">
        <f>N494</f>
        <v/>
      </c>
    </row>
    <row r="496" ht="15.75" customHeight="1" s="40">
      <c r="C496" s="36">
        <f>_xlfn.IFS(E496&lt;E$24,0,E496&lt;E$26,C$24,E496&lt;E$28,C$26,E496&lt;E$30,C$28,E496&lt;E$32,C$30,E496&lt;E$34,C$32,E496&gt;=E$34,C$34)</f>
        <v/>
      </c>
      <c r="D496" s="37">
        <f>_xlfn.IFS(E496&lt;E$24,0,E496&lt;E$25,D$24,E496&lt;E$26,D$25,E496&lt;E$27,D$26,E496&lt;E$28,D$27,E496&lt;E$29,D$28,E496&lt;E$30,D$29,E496&lt;E$31,D$30,E496&lt;E$32,D$31,E496&lt;E$33,D$32,E496&lt;E$34,D$33,E496&lt;E$35,D$34,E496&gt;=E$35,D$35)</f>
        <v/>
      </c>
      <c r="E496" s="38" t="n">
        <v>446</v>
      </c>
      <c r="F496" s="31">
        <f>E496/52</f>
        <v/>
      </c>
      <c r="G496" s="39">
        <f>D496/1000000*52</f>
        <v/>
      </c>
      <c r="H496" s="33">
        <f>G496/$P$4+($C$22/$P$4)</f>
        <v/>
      </c>
      <c r="I496" s="36">
        <f>_xlfn.IFS(K496&lt;K$24,0,K496&lt;K$26,I$24,K496&lt;K$28,I$26,K496&lt;K$30,I$28,K496&lt;K$32,I$30,K496&lt;K$34,I$32,K496&lt;K$36,I$34,K496&lt;K$38,I$36,K496&lt;K$40,I$38,K496&lt;K$42,I$40,K496&lt;K$44,I$42,K496&lt;K$46,I$44,K496&gt;=K$46,I$46)</f>
        <v/>
      </c>
      <c r="J496" s="37">
        <f>_xlfn.IFS(K496&lt;K$24,0,K496&lt;K$25,J$24,K496&lt;K$26,J$25,K496&lt;K$27,J$26,K496&lt;K$28,J$27,K496&lt;K$29,J$28,K496&lt;K$30,J$29,K496&lt;K$31,J$30,K496&lt;K$32,J$31,K496&lt;K$33,J$32,K496&lt;K$34,J$33,K496&lt;K$35,J$34,K496&lt;K$36,J$35,K496&lt;K$37,J$36,K496&lt;K$38,J$37,K496&lt;K$39,J$38,K496&lt;K$40,J$39,K496&lt;K$41,J$40,K496&lt;K$42,J$41,K496&lt;K$43,J$42,K496&lt;K$44,J$43,K496&lt;K$45,J$44,K496&lt;K$46,J$45,K496&lt;K$47,J$46,K496&gt;=K$47,J$47)</f>
        <v/>
      </c>
      <c r="K496" s="38" t="n">
        <v>446</v>
      </c>
      <c r="L496" s="31">
        <f>K496/52</f>
        <v/>
      </c>
      <c r="M496" s="39">
        <f>J496/1000000*52</f>
        <v/>
      </c>
      <c r="N496" s="33">
        <f>M496/$P$4+($I$22/$P$4)</f>
        <v/>
      </c>
      <c r="U496">
        <f>F495</f>
        <v/>
      </c>
      <c r="V496">
        <f>H495</f>
        <v/>
      </c>
      <c r="W496">
        <f>N495</f>
        <v/>
      </c>
    </row>
    <row r="497" ht="15.75" customHeight="1" s="40">
      <c r="C497" s="36">
        <f>_xlfn.IFS(E497&lt;E$24,0,E497&lt;E$26,C$24,E497&lt;E$28,C$26,E497&lt;E$30,C$28,E497&lt;E$32,C$30,E497&lt;E$34,C$32,E497&gt;=E$34,C$34)</f>
        <v/>
      </c>
      <c r="D497" s="37">
        <f>_xlfn.IFS(E497&lt;E$24,0,E497&lt;E$25,D$24,E497&lt;E$26,D$25,E497&lt;E$27,D$26,E497&lt;E$28,D$27,E497&lt;E$29,D$28,E497&lt;E$30,D$29,E497&lt;E$31,D$30,E497&lt;E$32,D$31,E497&lt;E$33,D$32,E497&lt;E$34,D$33,E497&lt;E$35,D$34,E497&gt;=E$35,D$35)</f>
        <v/>
      </c>
      <c r="E497" s="38" t="n">
        <v>447</v>
      </c>
      <c r="F497" s="31">
        <f>E497/52</f>
        <v/>
      </c>
      <c r="G497" s="39">
        <f>D497/1000000*52</f>
        <v/>
      </c>
      <c r="H497" s="33">
        <f>G497/$P$4+($C$22/$P$4)</f>
        <v/>
      </c>
      <c r="I497" s="36">
        <f>_xlfn.IFS(K497&lt;K$24,0,K497&lt;K$26,I$24,K497&lt;K$28,I$26,K497&lt;K$30,I$28,K497&lt;K$32,I$30,K497&lt;K$34,I$32,K497&lt;K$36,I$34,K497&lt;K$38,I$36,K497&lt;K$40,I$38,K497&lt;K$42,I$40,K497&lt;K$44,I$42,K497&lt;K$46,I$44,K497&gt;=K$46,I$46)</f>
        <v/>
      </c>
      <c r="J497" s="37">
        <f>_xlfn.IFS(K497&lt;K$24,0,K497&lt;K$25,J$24,K497&lt;K$26,J$25,K497&lt;K$27,J$26,K497&lt;K$28,J$27,K497&lt;K$29,J$28,K497&lt;K$30,J$29,K497&lt;K$31,J$30,K497&lt;K$32,J$31,K497&lt;K$33,J$32,K497&lt;K$34,J$33,K497&lt;K$35,J$34,K497&lt;K$36,J$35,K497&lt;K$37,J$36,K497&lt;K$38,J$37,K497&lt;K$39,J$38,K497&lt;K$40,J$39,K497&lt;K$41,J$40,K497&lt;K$42,J$41,K497&lt;K$43,J$42,K497&lt;K$44,J$43,K497&lt;K$45,J$44,K497&lt;K$46,J$45,K497&lt;K$47,J$46,K497&gt;=K$47,J$47)</f>
        <v/>
      </c>
      <c r="K497" s="38" t="n">
        <v>447</v>
      </c>
      <c r="L497" s="31">
        <f>K497/52</f>
        <v/>
      </c>
      <c r="M497" s="39">
        <f>J497/1000000*52</f>
        <v/>
      </c>
      <c r="N497" s="33">
        <f>M497/$P$4+($I$22/$P$4)</f>
        <v/>
      </c>
      <c r="U497">
        <f>F496</f>
        <v/>
      </c>
      <c r="V497">
        <f>H496</f>
        <v/>
      </c>
      <c r="W497">
        <f>N496</f>
        <v/>
      </c>
    </row>
    <row r="498" ht="15.75" customHeight="1" s="40">
      <c r="C498" s="36">
        <f>_xlfn.IFS(E498&lt;E$24,0,E498&lt;E$26,C$24,E498&lt;E$28,C$26,E498&lt;E$30,C$28,E498&lt;E$32,C$30,E498&lt;E$34,C$32,E498&gt;=E$34,C$34)</f>
        <v/>
      </c>
      <c r="D498" s="37">
        <f>_xlfn.IFS(E498&lt;E$24,0,E498&lt;E$25,D$24,E498&lt;E$26,D$25,E498&lt;E$27,D$26,E498&lt;E$28,D$27,E498&lt;E$29,D$28,E498&lt;E$30,D$29,E498&lt;E$31,D$30,E498&lt;E$32,D$31,E498&lt;E$33,D$32,E498&lt;E$34,D$33,E498&lt;E$35,D$34,E498&gt;=E$35,D$35)</f>
        <v/>
      </c>
      <c r="E498" s="38" t="n">
        <v>448</v>
      </c>
      <c r="F498" s="31">
        <f>E498/52</f>
        <v/>
      </c>
      <c r="G498" s="39">
        <f>D498/1000000*52</f>
        <v/>
      </c>
      <c r="H498" s="33">
        <f>G498/$P$4+($C$22/$P$4)</f>
        <v/>
      </c>
      <c r="I498" s="36">
        <f>_xlfn.IFS(K498&lt;K$24,0,K498&lt;K$26,I$24,K498&lt;K$28,I$26,K498&lt;K$30,I$28,K498&lt;K$32,I$30,K498&lt;K$34,I$32,K498&lt;K$36,I$34,K498&lt;K$38,I$36,K498&lt;K$40,I$38,K498&lt;K$42,I$40,K498&lt;K$44,I$42,K498&lt;K$46,I$44,K498&gt;=K$46,I$46)</f>
        <v/>
      </c>
      <c r="J498" s="37">
        <f>_xlfn.IFS(K498&lt;K$24,0,K498&lt;K$25,J$24,K498&lt;K$26,J$25,K498&lt;K$27,J$26,K498&lt;K$28,J$27,K498&lt;K$29,J$28,K498&lt;K$30,J$29,K498&lt;K$31,J$30,K498&lt;K$32,J$31,K498&lt;K$33,J$32,K498&lt;K$34,J$33,K498&lt;K$35,J$34,K498&lt;K$36,J$35,K498&lt;K$37,J$36,K498&lt;K$38,J$37,K498&lt;K$39,J$38,K498&lt;K$40,J$39,K498&lt;K$41,J$40,K498&lt;K$42,J$41,K498&lt;K$43,J$42,K498&lt;K$44,J$43,K498&lt;K$45,J$44,K498&lt;K$46,J$45,K498&lt;K$47,J$46,K498&gt;=K$47,J$47)</f>
        <v/>
      </c>
      <c r="K498" s="38" t="n">
        <v>448</v>
      </c>
      <c r="L498" s="31">
        <f>K498/52</f>
        <v/>
      </c>
      <c r="M498" s="39">
        <f>J498/1000000*52</f>
        <v/>
      </c>
      <c r="N498" s="33">
        <f>M498/$P$4+($I$22/$P$4)</f>
        <v/>
      </c>
      <c r="U498">
        <f>F497</f>
        <v/>
      </c>
      <c r="V498">
        <f>H497</f>
        <v/>
      </c>
      <c r="W498">
        <f>N497</f>
        <v/>
      </c>
    </row>
    <row r="499" ht="15.75" customHeight="1" s="40">
      <c r="C499" s="36">
        <f>_xlfn.IFS(E499&lt;E$24,0,E499&lt;E$26,C$24,E499&lt;E$28,C$26,E499&lt;E$30,C$28,E499&lt;E$32,C$30,E499&lt;E$34,C$32,E499&gt;=E$34,C$34)</f>
        <v/>
      </c>
      <c r="D499" s="37">
        <f>_xlfn.IFS(E499&lt;E$24,0,E499&lt;E$25,D$24,E499&lt;E$26,D$25,E499&lt;E$27,D$26,E499&lt;E$28,D$27,E499&lt;E$29,D$28,E499&lt;E$30,D$29,E499&lt;E$31,D$30,E499&lt;E$32,D$31,E499&lt;E$33,D$32,E499&lt;E$34,D$33,E499&lt;E$35,D$34,E499&gt;=E$35,D$35)</f>
        <v/>
      </c>
      <c r="E499" s="38" t="n">
        <v>449</v>
      </c>
      <c r="F499" s="31">
        <f>E499/52</f>
        <v/>
      </c>
      <c r="G499" s="39">
        <f>D499/1000000*52</f>
        <v/>
      </c>
      <c r="H499" s="33">
        <f>G499/$P$4+($C$22/$P$4)</f>
        <v/>
      </c>
      <c r="I499" s="36">
        <f>_xlfn.IFS(K499&lt;K$24,0,K499&lt;K$26,I$24,K499&lt;K$28,I$26,K499&lt;K$30,I$28,K499&lt;K$32,I$30,K499&lt;K$34,I$32,K499&lt;K$36,I$34,K499&lt;K$38,I$36,K499&lt;K$40,I$38,K499&lt;K$42,I$40,K499&lt;K$44,I$42,K499&lt;K$46,I$44,K499&gt;=K$46,I$46)</f>
        <v/>
      </c>
      <c r="J499" s="37">
        <f>_xlfn.IFS(K499&lt;K$24,0,K499&lt;K$25,J$24,K499&lt;K$26,J$25,K499&lt;K$27,J$26,K499&lt;K$28,J$27,K499&lt;K$29,J$28,K499&lt;K$30,J$29,K499&lt;K$31,J$30,K499&lt;K$32,J$31,K499&lt;K$33,J$32,K499&lt;K$34,J$33,K499&lt;K$35,J$34,K499&lt;K$36,J$35,K499&lt;K$37,J$36,K499&lt;K$38,J$37,K499&lt;K$39,J$38,K499&lt;K$40,J$39,K499&lt;K$41,J$40,K499&lt;K$42,J$41,K499&lt;K$43,J$42,K499&lt;K$44,J$43,K499&lt;K$45,J$44,K499&lt;K$46,J$45,K499&lt;K$47,J$46,K499&gt;=K$47,J$47)</f>
        <v/>
      </c>
      <c r="K499" s="38" t="n">
        <v>449</v>
      </c>
      <c r="L499" s="31">
        <f>K499/52</f>
        <v/>
      </c>
      <c r="M499" s="39">
        <f>J499/1000000*52</f>
        <v/>
      </c>
      <c r="N499" s="33">
        <f>M499/$P$4+($I$22/$P$4)</f>
        <v/>
      </c>
      <c r="U499">
        <f>F498</f>
        <v/>
      </c>
      <c r="V499">
        <f>H498</f>
        <v/>
      </c>
      <c r="W499">
        <f>N498</f>
        <v/>
      </c>
    </row>
    <row r="500" ht="15.75" customHeight="1" s="40">
      <c r="C500" s="36">
        <f>_xlfn.IFS(E500&lt;E$24,0,E500&lt;E$26,C$24,E500&lt;E$28,C$26,E500&lt;E$30,C$28,E500&lt;E$32,C$30,E500&lt;E$34,C$32,E500&gt;=E$34,C$34)</f>
        <v/>
      </c>
      <c r="D500" s="37">
        <f>_xlfn.IFS(E500&lt;E$24,0,E500&lt;E$25,D$24,E500&lt;E$26,D$25,E500&lt;E$27,D$26,E500&lt;E$28,D$27,E500&lt;E$29,D$28,E500&lt;E$30,D$29,E500&lt;E$31,D$30,E500&lt;E$32,D$31,E500&lt;E$33,D$32,E500&lt;E$34,D$33,E500&lt;E$35,D$34,E500&gt;=E$35,D$35)</f>
        <v/>
      </c>
      <c r="E500" s="38" t="n">
        <v>450</v>
      </c>
      <c r="F500" s="31">
        <f>E500/52</f>
        <v/>
      </c>
      <c r="G500" s="39">
        <f>D500/1000000*52</f>
        <v/>
      </c>
      <c r="H500" s="33">
        <f>G500/$P$4+($C$22/$P$4)</f>
        <v/>
      </c>
      <c r="I500" s="36">
        <f>_xlfn.IFS(K500&lt;K$24,0,K500&lt;K$26,I$24,K500&lt;K$28,I$26,K500&lt;K$30,I$28,K500&lt;K$32,I$30,K500&lt;K$34,I$32,K500&lt;K$36,I$34,K500&lt;K$38,I$36,K500&lt;K$40,I$38,K500&lt;K$42,I$40,K500&lt;K$44,I$42,K500&lt;K$46,I$44,K500&gt;=K$46,I$46)</f>
        <v/>
      </c>
      <c r="J500" s="37">
        <f>_xlfn.IFS(K500&lt;K$24,0,K500&lt;K$25,J$24,K500&lt;K$26,J$25,K500&lt;K$27,J$26,K500&lt;K$28,J$27,K500&lt;K$29,J$28,K500&lt;K$30,J$29,K500&lt;K$31,J$30,K500&lt;K$32,J$31,K500&lt;K$33,J$32,K500&lt;K$34,J$33,K500&lt;K$35,J$34,K500&lt;K$36,J$35,K500&lt;K$37,J$36,K500&lt;K$38,J$37,K500&lt;K$39,J$38,K500&lt;K$40,J$39,K500&lt;K$41,J$40,K500&lt;K$42,J$41,K500&lt;K$43,J$42,K500&lt;K$44,J$43,K500&lt;K$45,J$44,K500&lt;K$46,J$45,K500&lt;K$47,J$46,K500&gt;=K$47,J$47)</f>
        <v/>
      </c>
      <c r="K500" s="38" t="n">
        <v>450</v>
      </c>
      <c r="L500" s="31">
        <f>K500/52</f>
        <v/>
      </c>
      <c r="M500" s="39">
        <f>J500/1000000*52</f>
        <v/>
      </c>
      <c r="N500" s="33">
        <f>M500/$P$4+($I$22/$P$4)</f>
        <v/>
      </c>
      <c r="U500">
        <f>F499</f>
        <v/>
      </c>
      <c r="V500">
        <f>H499</f>
        <v/>
      </c>
      <c r="W500">
        <f>N499</f>
        <v/>
      </c>
    </row>
    <row r="501" ht="15.75" customHeight="1" s="40">
      <c r="C501" s="36">
        <f>_xlfn.IFS(E501&lt;E$24,0,E501&lt;E$26,C$24,E501&lt;E$28,C$26,E501&lt;E$30,C$28,E501&lt;E$32,C$30,E501&lt;E$34,C$32,E501&gt;=E$34,C$34)</f>
        <v/>
      </c>
      <c r="D501" s="37">
        <f>_xlfn.IFS(E501&lt;E$24,0,E501&lt;E$25,D$24,E501&lt;E$26,D$25,E501&lt;E$27,D$26,E501&lt;E$28,D$27,E501&lt;E$29,D$28,E501&lt;E$30,D$29,E501&lt;E$31,D$30,E501&lt;E$32,D$31,E501&lt;E$33,D$32,E501&lt;E$34,D$33,E501&lt;E$35,D$34,E501&gt;=E$35,D$35)</f>
        <v/>
      </c>
      <c r="E501" s="38" t="n">
        <v>451</v>
      </c>
      <c r="F501" s="31">
        <f>E501/52</f>
        <v/>
      </c>
      <c r="G501" s="39">
        <f>D501/1000000*52</f>
        <v/>
      </c>
      <c r="H501" s="33">
        <f>G501/$P$4+($C$22/$P$4)</f>
        <v/>
      </c>
      <c r="I501" s="36">
        <f>_xlfn.IFS(K501&lt;K$24,0,K501&lt;K$26,I$24,K501&lt;K$28,I$26,K501&lt;K$30,I$28,K501&lt;K$32,I$30,K501&lt;K$34,I$32,K501&lt;K$36,I$34,K501&lt;K$38,I$36,K501&lt;K$40,I$38,K501&lt;K$42,I$40,K501&lt;K$44,I$42,K501&lt;K$46,I$44,K501&gt;=K$46,I$46)</f>
        <v/>
      </c>
      <c r="J501" s="37">
        <f>_xlfn.IFS(K501&lt;K$24,0,K501&lt;K$25,J$24,K501&lt;K$26,J$25,K501&lt;K$27,J$26,K501&lt;K$28,J$27,K501&lt;K$29,J$28,K501&lt;K$30,J$29,K501&lt;K$31,J$30,K501&lt;K$32,J$31,K501&lt;K$33,J$32,K501&lt;K$34,J$33,K501&lt;K$35,J$34,K501&lt;K$36,J$35,K501&lt;K$37,J$36,K501&lt;K$38,J$37,K501&lt;K$39,J$38,K501&lt;K$40,J$39,K501&lt;K$41,J$40,K501&lt;K$42,J$41,K501&lt;K$43,J$42,K501&lt;K$44,J$43,K501&lt;K$45,J$44,K501&lt;K$46,J$45,K501&lt;K$47,J$46,K501&gt;=K$47,J$47)</f>
        <v/>
      </c>
      <c r="K501" s="38" t="n">
        <v>451</v>
      </c>
      <c r="L501" s="31">
        <f>K501/52</f>
        <v/>
      </c>
      <c r="M501" s="39">
        <f>J501/1000000*52</f>
        <v/>
      </c>
      <c r="N501" s="33">
        <f>M501/$P$4+($I$22/$P$4)</f>
        <v/>
      </c>
      <c r="U501">
        <f>F500</f>
        <v/>
      </c>
      <c r="V501">
        <f>H500</f>
        <v/>
      </c>
      <c r="W501">
        <f>N500</f>
        <v/>
      </c>
    </row>
    <row r="502" ht="15.75" customHeight="1" s="40">
      <c r="C502" s="36">
        <f>_xlfn.IFS(E502&lt;E$24,0,E502&lt;E$26,C$24,E502&lt;E$28,C$26,E502&lt;E$30,C$28,E502&lt;E$32,C$30,E502&lt;E$34,C$32,E502&gt;=E$34,C$34)</f>
        <v/>
      </c>
      <c r="D502" s="37">
        <f>_xlfn.IFS(E502&lt;E$24,0,E502&lt;E$25,D$24,E502&lt;E$26,D$25,E502&lt;E$27,D$26,E502&lt;E$28,D$27,E502&lt;E$29,D$28,E502&lt;E$30,D$29,E502&lt;E$31,D$30,E502&lt;E$32,D$31,E502&lt;E$33,D$32,E502&lt;E$34,D$33,E502&lt;E$35,D$34,E502&gt;=E$35,D$35)</f>
        <v/>
      </c>
      <c r="E502" s="38" t="n">
        <v>452</v>
      </c>
      <c r="F502" s="31">
        <f>E502/52</f>
        <v/>
      </c>
      <c r="G502" s="39">
        <f>D502/1000000*52</f>
        <v/>
      </c>
      <c r="H502" s="33">
        <f>G502/$P$4+($C$22/$P$4)</f>
        <v/>
      </c>
      <c r="I502" s="36">
        <f>_xlfn.IFS(K502&lt;K$24,0,K502&lt;K$26,I$24,K502&lt;K$28,I$26,K502&lt;K$30,I$28,K502&lt;K$32,I$30,K502&lt;K$34,I$32,K502&lt;K$36,I$34,K502&lt;K$38,I$36,K502&lt;K$40,I$38,K502&lt;K$42,I$40,K502&lt;K$44,I$42,K502&lt;K$46,I$44,K502&gt;=K$46,I$46)</f>
        <v/>
      </c>
      <c r="J502" s="37">
        <f>_xlfn.IFS(K502&lt;K$24,0,K502&lt;K$25,J$24,K502&lt;K$26,J$25,K502&lt;K$27,J$26,K502&lt;K$28,J$27,K502&lt;K$29,J$28,K502&lt;K$30,J$29,K502&lt;K$31,J$30,K502&lt;K$32,J$31,K502&lt;K$33,J$32,K502&lt;K$34,J$33,K502&lt;K$35,J$34,K502&lt;K$36,J$35,K502&lt;K$37,J$36,K502&lt;K$38,J$37,K502&lt;K$39,J$38,K502&lt;K$40,J$39,K502&lt;K$41,J$40,K502&lt;K$42,J$41,K502&lt;K$43,J$42,K502&lt;K$44,J$43,K502&lt;K$45,J$44,K502&lt;K$46,J$45,K502&lt;K$47,J$46,K502&gt;=K$47,J$47)</f>
        <v/>
      </c>
      <c r="K502" s="38" t="n">
        <v>452</v>
      </c>
      <c r="L502" s="31">
        <f>K502/52</f>
        <v/>
      </c>
      <c r="M502" s="39">
        <f>J502/1000000*52</f>
        <v/>
      </c>
      <c r="N502" s="33">
        <f>M502/$P$4+($I$22/$P$4)</f>
        <v/>
      </c>
      <c r="U502">
        <f>F501</f>
        <v/>
      </c>
      <c r="V502">
        <f>H501</f>
        <v/>
      </c>
      <c r="W502">
        <f>N501</f>
        <v/>
      </c>
    </row>
    <row r="503" ht="15.75" customHeight="1" s="40">
      <c r="C503" s="36">
        <f>_xlfn.IFS(E503&lt;E$24,0,E503&lt;E$26,C$24,E503&lt;E$28,C$26,E503&lt;E$30,C$28,E503&lt;E$32,C$30,E503&lt;E$34,C$32,E503&gt;=E$34,C$34)</f>
        <v/>
      </c>
      <c r="D503" s="37">
        <f>_xlfn.IFS(E503&lt;E$24,0,E503&lt;E$25,D$24,E503&lt;E$26,D$25,E503&lt;E$27,D$26,E503&lt;E$28,D$27,E503&lt;E$29,D$28,E503&lt;E$30,D$29,E503&lt;E$31,D$30,E503&lt;E$32,D$31,E503&lt;E$33,D$32,E503&lt;E$34,D$33,E503&lt;E$35,D$34,E503&gt;=E$35,D$35)</f>
        <v/>
      </c>
      <c r="E503" s="38" t="n">
        <v>453</v>
      </c>
      <c r="F503" s="31">
        <f>E503/52</f>
        <v/>
      </c>
      <c r="G503" s="39">
        <f>D503/1000000*52</f>
        <v/>
      </c>
      <c r="H503" s="33">
        <f>G503/$P$4+($C$22/$P$4)</f>
        <v/>
      </c>
      <c r="I503" s="36">
        <f>_xlfn.IFS(K503&lt;K$24,0,K503&lt;K$26,I$24,K503&lt;K$28,I$26,K503&lt;K$30,I$28,K503&lt;K$32,I$30,K503&lt;K$34,I$32,K503&lt;K$36,I$34,K503&lt;K$38,I$36,K503&lt;K$40,I$38,K503&lt;K$42,I$40,K503&lt;K$44,I$42,K503&lt;K$46,I$44,K503&gt;=K$46,I$46)</f>
        <v/>
      </c>
      <c r="J503" s="37">
        <f>_xlfn.IFS(K503&lt;K$24,0,K503&lt;K$25,J$24,K503&lt;K$26,J$25,K503&lt;K$27,J$26,K503&lt;K$28,J$27,K503&lt;K$29,J$28,K503&lt;K$30,J$29,K503&lt;K$31,J$30,K503&lt;K$32,J$31,K503&lt;K$33,J$32,K503&lt;K$34,J$33,K503&lt;K$35,J$34,K503&lt;K$36,J$35,K503&lt;K$37,J$36,K503&lt;K$38,J$37,K503&lt;K$39,J$38,K503&lt;K$40,J$39,K503&lt;K$41,J$40,K503&lt;K$42,J$41,K503&lt;K$43,J$42,K503&lt;K$44,J$43,K503&lt;K$45,J$44,K503&lt;K$46,J$45,K503&lt;K$47,J$46,K503&gt;=K$47,J$47)</f>
        <v/>
      </c>
      <c r="K503" s="38" t="n">
        <v>453</v>
      </c>
      <c r="L503" s="31">
        <f>K503/52</f>
        <v/>
      </c>
      <c r="M503" s="39">
        <f>J503/1000000*52</f>
        <v/>
      </c>
      <c r="N503" s="33">
        <f>M503/$P$4+($I$22/$P$4)</f>
        <v/>
      </c>
      <c r="U503">
        <f>F502</f>
        <v/>
      </c>
      <c r="V503">
        <f>H502</f>
        <v/>
      </c>
      <c r="W503">
        <f>N502</f>
        <v/>
      </c>
    </row>
    <row r="504" ht="15.75" customHeight="1" s="40">
      <c r="C504" s="36">
        <f>_xlfn.IFS(E504&lt;E$24,0,E504&lt;E$26,C$24,E504&lt;E$28,C$26,E504&lt;E$30,C$28,E504&lt;E$32,C$30,E504&lt;E$34,C$32,E504&gt;=E$34,C$34)</f>
        <v/>
      </c>
      <c r="D504" s="37">
        <f>_xlfn.IFS(E504&lt;E$24,0,E504&lt;E$25,D$24,E504&lt;E$26,D$25,E504&lt;E$27,D$26,E504&lt;E$28,D$27,E504&lt;E$29,D$28,E504&lt;E$30,D$29,E504&lt;E$31,D$30,E504&lt;E$32,D$31,E504&lt;E$33,D$32,E504&lt;E$34,D$33,E504&lt;E$35,D$34,E504&gt;=E$35,D$35)</f>
        <v/>
      </c>
      <c r="E504" s="38" t="n">
        <v>454</v>
      </c>
      <c r="F504" s="31">
        <f>E504/52</f>
        <v/>
      </c>
      <c r="G504" s="39">
        <f>D504/1000000*52</f>
        <v/>
      </c>
      <c r="H504" s="33">
        <f>G504/$P$4+($C$22/$P$4)</f>
        <v/>
      </c>
      <c r="I504" s="36">
        <f>_xlfn.IFS(K504&lt;K$24,0,K504&lt;K$26,I$24,K504&lt;K$28,I$26,K504&lt;K$30,I$28,K504&lt;K$32,I$30,K504&lt;K$34,I$32,K504&lt;K$36,I$34,K504&lt;K$38,I$36,K504&lt;K$40,I$38,K504&lt;K$42,I$40,K504&lt;K$44,I$42,K504&lt;K$46,I$44,K504&gt;=K$46,I$46)</f>
        <v/>
      </c>
      <c r="J504" s="37">
        <f>_xlfn.IFS(K504&lt;K$24,0,K504&lt;K$25,J$24,K504&lt;K$26,J$25,K504&lt;K$27,J$26,K504&lt;K$28,J$27,K504&lt;K$29,J$28,K504&lt;K$30,J$29,K504&lt;K$31,J$30,K504&lt;K$32,J$31,K504&lt;K$33,J$32,K504&lt;K$34,J$33,K504&lt;K$35,J$34,K504&lt;K$36,J$35,K504&lt;K$37,J$36,K504&lt;K$38,J$37,K504&lt;K$39,J$38,K504&lt;K$40,J$39,K504&lt;K$41,J$40,K504&lt;K$42,J$41,K504&lt;K$43,J$42,K504&lt;K$44,J$43,K504&lt;K$45,J$44,K504&lt;K$46,J$45,K504&lt;K$47,J$46,K504&gt;=K$47,J$47)</f>
        <v/>
      </c>
      <c r="K504" s="38" t="n">
        <v>454</v>
      </c>
      <c r="L504" s="31">
        <f>K504/52</f>
        <v/>
      </c>
      <c r="M504" s="39">
        <f>J504/1000000*52</f>
        <v/>
      </c>
      <c r="N504" s="33">
        <f>M504/$P$4+($I$22/$P$4)</f>
        <v/>
      </c>
      <c r="U504">
        <f>F503</f>
        <v/>
      </c>
      <c r="V504">
        <f>H503</f>
        <v/>
      </c>
      <c r="W504">
        <f>N503</f>
        <v/>
      </c>
    </row>
    <row r="505" ht="15.75" customHeight="1" s="40">
      <c r="C505" s="36">
        <f>_xlfn.IFS(E505&lt;E$24,0,E505&lt;E$26,C$24,E505&lt;E$28,C$26,E505&lt;E$30,C$28,E505&lt;E$32,C$30,E505&lt;E$34,C$32,E505&gt;=E$34,C$34)</f>
        <v/>
      </c>
      <c r="D505" s="37">
        <f>_xlfn.IFS(E505&lt;E$24,0,E505&lt;E$25,D$24,E505&lt;E$26,D$25,E505&lt;E$27,D$26,E505&lt;E$28,D$27,E505&lt;E$29,D$28,E505&lt;E$30,D$29,E505&lt;E$31,D$30,E505&lt;E$32,D$31,E505&lt;E$33,D$32,E505&lt;E$34,D$33,E505&lt;E$35,D$34,E505&gt;=E$35,D$35)</f>
        <v/>
      </c>
      <c r="E505" s="38" t="n">
        <v>455</v>
      </c>
      <c r="F505" s="31">
        <f>E505/52</f>
        <v/>
      </c>
      <c r="G505" s="39">
        <f>D505/1000000*52</f>
        <v/>
      </c>
      <c r="H505" s="33">
        <f>G505/$P$4+($C$22/$P$4)</f>
        <v/>
      </c>
      <c r="I505" s="36">
        <f>_xlfn.IFS(K505&lt;K$24,0,K505&lt;K$26,I$24,K505&lt;K$28,I$26,K505&lt;K$30,I$28,K505&lt;K$32,I$30,K505&lt;K$34,I$32,K505&lt;K$36,I$34,K505&lt;K$38,I$36,K505&lt;K$40,I$38,K505&lt;K$42,I$40,K505&lt;K$44,I$42,K505&lt;K$46,I$44,K505&gt;=K$46,I$46)</f>
        <v/>
      </c>
      <c r="J505" s="37">
        <f>_xlfn.IFS(K505&lt;K$24,0,K505&lt;K$25,J$24,K505&lt;K$26,J$25,K505&lt;K$27,J$26,K505&lt;K$28,J$27,K505&lt;K$29,J$28,K505&lt;K$30,J$29,K505&lt;K$31,J$30,K505&lt;K$32,J$31,K505&lt;K$33,J$32,K505&lt;K$34,J$33,K505&lt;K$35,J$34,K505&lt;K$36,J$35,K505&lt;K$37,J$36,K505&lt;K$38,J$37,K505&lt;K$39,J$38,K505&lt;K$40,J$39,K505&lt;K$41,J$40,K505&lt;K$42,J$41,K505&lt;K$43,J$42,K505&lt;K$44,J$43,K505&lt;K$45,J$44,K505&lt;K$46,J$45,K505&lt;K$47,J$46,K505&gt;=K$47,J$47)</f>
        <v/>
      </c>
      <c r="K505" s="38" t="n">
        <v>455</v>
      </c>
      <c r="L505" s="31">
        <f>K505/52</f>
        <v/>
      </c>
      <c r="M505" s="39">
        <f>J505/1000000*52</f>
        <v/>
      </c>
      <c r="N505" s="33">
        <f>M505/$P$4+($I$22/$P$4)</f>
        <v/>
      </c>
      <c r="U505">
        <f>F504</f>
        <v/>
      </c>
      <c r="V505">
        <f>H504</f>
        <v/>
      </c>
      <c r="W505">
        <f>N504</f>
        <v/>
      </c>
    </row>
    <row r="506" ht="15.75" customHeight="1" s="40">
      <c r="C506" s="36">
        <f>_xlfn.IFS(E506&lt;E$24,0,E506&lt;E$26,C$24,E506&lt;E$28,C$26,E506&lt;E$30,C$28,E506&lt;E$32,C$30,E506&lt;E$34,C$32,E506&gt;=E$34,C$34)</f>
        <v/>
      </c>
      <c r="D506" s="37">
        <f>_xlfn.IFS(E506&lt;E$24,0,E506&lt;E$25,D$24,E506&lt;E$26,D$25,E506&lt;E$27,D$26,E506&lt;E$28,D$27,E506&lt;E$29,D$28,E506&lt;E$30,D$29,E506&lt;E$31,D$30,E506&lt;E$32,D$31,E506&lt;E$33,D$32,E506&lt;E$34,D$33,E506&lt;E$35,D$34,E506&gt;=E$35,D$35)</f>
        <v/>
      </c>
      <c r="E506" s="38" t="n">
        <v>456</v>
      </c>
      <c r="F506" s="31">
        <f>E506/52</f>
        <v/>
      </c>
      <c r="G506" s="39">
        <f>D506/1000000*52</f>
        <v/>
      </c>
      <c r="H506" s="33">
        <f>G506/$P$4+($C$22/$P$4)</f>
        <v/>
      </c>
      <c r="I506" s="36">
        <f>_xlfn.IFS(K506&lt;K$24,0,K506&lt;K$26,I$24,K506&lt;K$28,I$26,K506&lt;K$30,I$28,K506&lt;K$32,I$30,K506&lt;K$34,I$32,K506&lt;K$36,I$34,K506&lt;K$38,I$36,K506&lt;K$40,I$38,K506&lt;K$42,I$40,K506&lt;K$44,I$42,K506&lt;K$46,I$44,K506&gt;=K$46,I$46)</f>
        <v/>
      </c>
      <c r="J506" s="37">
        <f>_xlfn.IFS(K506&lt;K$24,0,K506&lt;K$25,J$24,K506&lt;K$26,J$25,K506&lt;K$27,J$26,K506&lt;K$28,J$27,K506&lt;K$29,J$28,K506&lt;K$30,J$29,K506&lt;K$31,J$30,K506&lt;K$32,J$31,K506&lt;K$33,J$32,K506&lt;K$34,J$33,K506&lt;K$35,J$34,K506&lt;K$36,J$35,K506&lt;K$37,J$36,K506&lt;K$38,J$37,K506&lt;K$39,J$38,K506&lt;K$40,J$39,K506&lt;K$41,J$40,K506&lt;K$42,J$41,K506&lt;K$43,J$42,K506&lt;K$44,J$43,K506&lt;K$45,J$44,K506&lt;K$46,J$45,K506&lt;K$47,J$46,K506&gt;=K$47,J$47)</f>
        <v/>
      </c>
      <c r="K506" s="38" t="n">
        <v>456</v>
      </c>
      <c r="L506" s="31">
        <f>K506/52</f>
        <v/>
      </c>
      <c r="M506" s="39">
        <f>J506/1000000*52</f>
        <v/>
      </c>
      <c r="N506" s="33">
        <f>M506/$P$4+($I$22/$P$4)</f>
        <v/>
      </c>
      <c r="U506">
        <f>F505</f>
        <v/>
      </c>
      <c r="V506">
        <f>H505</f>
        <v/>
      </c>
      <c r="W506">
        <f>N505</f>
        <v/>
      </c>
    </row>
    <row r="507" ht="15.75" customHeight="1" s="40">
      <c r="C507" s="36">
        <f>_xlfn.IFS(E507&lt;E$24,0,E507&lt;E$26,C$24,E507&lt;E$28,C$26,E507&lt;E$30,C$28,E507&lt;E$32,C$30,E507&lt;E$34,C$32,E507&gt;=E$34,C$34)</f>
        <v/>
      </c>
      <c r="D507" s="37">
        <f>_xlfn.IFS(E507&lt;E$24,0,E507&lt;E$25,D$24,E507&lt;E$26,D$25,E507&lt;E$27,D$26,E507&lt;E$28,D$27,E507&lt;E$29,D$28,E507&lt;E$30,D$29,E507&lt;E$31,D$30,E507&lt;E$32,D$31,E507&lt;E$33,D$32,E507&lt;E$34,D$33,E507&lt;E$35,D$34,E507&gt;=E$35,D$35)</f>
        <v/>
      </c>
      <c r="E507" s="38" t="n">
        <v>457</v>
      </c>
      <c r="F507" s="31">
        <f>E507/52</f>
        <v/>
      </c>
      <c r="G507" s="39">
        <f>D507/1000000*52</f>
        <v/>
      </c>
      <c r="H507" s="33">
        <f>G507/$P$4+($C$22/$P$4)</f>
        <v/>
      </c>
      <c r="I507" s="36">
        <f>_xlfn.IFS(K507&lt;K$24,0,K507&lt;K$26,I$24,K507&lt;K$28,I$26,K507&lt;K$30,I$28,K507&lt;K$32,I$30,K507&lt;K$34,I$32,K507&lt;K$36,I$34,K507&lt;K$38,I$36,K507&lt;K$40,I$38,K507&lt;K$42,I$40,K507&lt;K$44,I$42,K507&lt;K$46,I$44,K507&gt;=K$46,I$46)</f>
        <v/>
      </c>
      <c r="J507" s="37">
        <f>_xlfn.IFS(K507&lt;K$24,0,K507&lt;K$25,J$24,K507&lt;K$26,J$25,K507&lt;K$27,J$26,K507&lt;K$28,J$27,K507&lt;K$29,J$28,K507&lt;K$30,J$29,K507&lt;K$31,J$30,K507&lt;K$32,J$31,K507&lt;K$33,J$32,K507&lt;K$34,J$33,K507&lt;K$35,J$34,K507&lt;K$36,J$35,K507&lt;K$37,J$36,K507&lt;K$38,J$37,K507&lt;K$39,J$38,K507&lt;K$40,J$39,K507&lt;K$41,J$40,K507&lt;K$42,J$41,K507&lt;K$43,J$42,K507&lt;K$44,J$43,K507&lt;K$45,J$44,K507&lt;K$46,J$45,K507&lt;K$47,J$46,K507&gt;=K$47,J$47)</f>
        <v/>
      </c>
      <c r="K507" s="38" t="n">
        <v>457</v>
      </c>
      <c r="L507" s="31">
        <f>K507/52</f>
        <v/>
      </c>
      <c r="M507" s="39">
        <f>J507/1000000*52</f>
        <v/>
      </c>
      <c r="N507" s="33">
        <f>M507/$P$4+($I$22/$P$4)</f>
        <v/>
      </c>
      <c r="U507">
        <f>F506</f>
        <v/>
      </c>
      <c r="V507">
        <f>H506</f>
        <v/>
      </c>
      <c r="W507">
        <f>N506</f>
        <v/>
      </c>
    </row>
    <row r="508" ht="15.75" customHeight="1" s="40">
      <c r="C508" s="36">
        <f>_xlfn.IFS(E508&lt;E$24,0,E508&lt;E$26,C$24,E508&lt;E$28,C$26,E508&lt;E$30,C$28,E508&lt;E$32,C$30,E508&lt;E$34,C$32,E508&gt;=E$34,C$34)</f>
        <v/>
      </c>
      <c r="D508" s="37">
        <f>_xlfn.IFS(E508&lt;E$24,0,E508&lt;E$25,D$24,E508&lt;E$26,D$25,E508&lt;E$27,D$26,E508&lt;E$28,D$27,E508&lt;E$29,D$28,E508&lt;E$30,D$29,E508&lt;E$31,D$30,E508&lt;E$32,D$31,E508&lt;E$33,D$32,E508&lt;E$34,D$33,E508&lt;E$35,D$34,E508&gt;=E$35,D$35)</f>
        <v/>
      </c>
      <c r="E508" s="38" t="n">
        <v>458</v>
      </c>
      <c r="F508" s="31">
        <f>E508/52</f>
        <v/>
      </c>
      <c r="G508" s="39">
        <f>D508/1000000*52</f>
        <v/>
      </c>
      <c r="H508" s="33">
        <f>G508/$P$4+($C$22/$P$4)</f>
        <v/>
      </c>
      <c r="I508" s="36">
        <f>_xlfn.IFS(K508&lt;K$24,0,K508&lt;K$26,I$24,K508&lt;K$28,I$26,K508&lt;K$30,I$28,K508&lt;K$32,I$30,K508&lt;K$34,I$32,K508&lt;K$36,I$34,K508&lt;K$38,I$36,K508&lt;K$40,I$38,K508&lt;K$42,I$40,K508&lt;K$44,I$42,K508&lt;K$46,I$44,K508&gt;=K$46,I$46)</f>
        <v/>
      </c>
      <c r="J508" s="37">
        <f>_xlfn.IFS(K508&lt;K$24,0,K508&lt;K$25,J$24,K508&lt;K$26,J$25,K508&lt;K$27,J$26,K508&lt;K$28,J$27,K508&lt;K$29,J$28,K508&lt;K$30,J$29,K508&lt;K$31,J$30,K508&lt;K$32,J$31,K508&lt;K$33,J$32,K508&lt;K$34,J$33,K508&lt;K$35,J$34,K508&lt;K$36,J$35,K508&lt;K$37,J$36,K508&lt;K$38,J$37,K508&lt;K$39,J$38,K508&lt;K$40,J$39,K508&lt;K$41,J$40,K508&lt;K$42,J$41,K508&lt;K$43,J$42,K508&lt;K$44,J$43,K508&lt;K$45,J$44,K508&lt;K$46,J$45,K508&lt;K$47,J$46,K508&gt;=K$47,J$47)</f>
        <v/>
      </c>
      <c r="K508" s="38" t="n">
        <v>458</v>
      </c>
      <c r="L508" s="31">
        <f>K508/52</f>
        <v/>
      </c>
      <c r="M508" s="39">
        <f>J508/1000000*52</f>
        <v/>
      </c>
      <c r="N508" s="33">
        <f>M508/$P$4+($I$22/$P$4)</f>
        <v/>
      </c>
      <c r="U508">
        <f>F507</f>
        <v/>
      </c>
      <c r="V508">
        <f>H507</f>
        <v/>
      </c>
      <c r="W508">
        <f>N507</f>
        <v/>
      </c>
    </row>
    <row r="509" ht="15.75" customHeight="1" s="40">
      <c r="C509" s="36">
        <f>_xlfn.IFS(E509&lt;E$24,0,E509&lt;E$26,C$24,E509&lt;E$28,C$26,E509&lt;E$30,C$28,E509&lt;E$32,C$30,E509&lt;E$34,C$32,E509&gt;=E$34,C$34)</f>
        <v/>
      </c>
      <c r="D509" s="37">
        <f>_xlfn.IFS(E509&lt;E$24,0,E509&lt;E$25,D$24,E509&lt;E$26,D$25,E509&lt;E$27,D$26,E509&lt;E$28,D$27,E509&lt;E$29,D$28,E509&lt;E$30,D$29,E509&lt;E$31,D$30,E509&lt;E$32,D$31,E509&lt;E$33,D$32,E509&lt;E$34,D$33,E509&lt;E$35,D$34,E509&gt;=E$35,D$35)</f>
        <v/>
      </c>
      <c r="E509" s="38" t="n">
        <v>459</v>
      </c>
      <c r="F509" s="31">
        <f>E509/52</f>
        <v/>
      </c>
      <c r="G509" s="39">
        <f>D509/1000000*52</f>
        <v/>
      </c>
      <c r="H509" s="33">
        <f>G509/$P$4+($C$22/$P$4)</f>
        <v/>
      </c>
      <c r="I509" s="36">
        <f>_xlfn.IFS(K509&lt;K$24,0,K509&lt;K$26,I$24,K509&lt;K$28,I$26,K509&lt;K$30,I$28,K509&lt;K$32,I$30,K509&lt;K$34,I$32,K509&lt;K$36,I$34,K509&lt;K$38,I$36,K509&lt;K$40,I$38,K509&lt;K$42,I$40,K509&lt;K$44,I$42,K509&lt;K$46,I$44,K509&gt;=K$46,I$46)</f>
        <v/>
      </c>
      <c r="J509" s="37">
        <f>_xlfn.IFS(K509&lt;K$24,0,K509&lt;K$25,J$24,K509&lt;K$26,J$25,K509&lt;K$27,J$26,K509&lt;K$28,J$27,K509&lt;K$29,J$28,K509&lt;K$30,J$29,K509&lt;K$31,J$30,K509&lt;K$32,J$31,K509&lt;K$33,J$32,K509&lt;K$34,J$33,K509&lt;K$35,J$34,K509&lt;K$36,J$35,K509&lt;K$37,J$36,K509&lt;K$38,J$37,K509&lt;K$39,J$38,K509&lt;K$40,J$39,K509&lt;K$41,J$40,K509&lt;K$42,J$41,K509&lt;K$43,J$42,K509&lt;K$44,J$43,K509&lt;K$45,J$44,K509&lt;K$46,J$45,K509&lt;K$47,J$46,K509&gt;=K$47,J$47)</f>
        <v/>
      </c>
      <c r="K509" s="38" t="n">
        <v>459</v>
      </c>
      <c r="L509" s="31">
        <f>K509/52</f>
        <v/>
      </c>
      <c r="M509" s="39">
        <f>J509/1000000*52</f>
        <v/>
      </c>
      <c r="N509" s="33">
        <f>M509/$P$4+($I$22/$P$4)</f>
        <v/>
      </c>
      <c r="U509">
        <f>F508</f>
        <v/>
      </c>
      <c r="V509">
        <f>H508</f>
        <v/>
      </c>
      <c r="W509">
        <f>N508</f>
        <v/>
      </c>
    </row>
    <row r="510" ht="15.75" customHeight="1" s="40">
      <c r="C510" s="36">
        <f>_xlfn.IFS(E510&lt;E$24,0,E510&lt;E$26,C$24,E510&lt;E$28,C$26,E510&lt;E$30,C$28,E510&lt;E$32,C$30,E510&lt;E$34,C$32,E510&gt;=E$34,C$34)</f>
        <v/>
      </c>
      <c r="D510" s="37">
        <f>_xlfn.IFS(E510&lt;E$24,0,E510&lt;E$25,D$24,E510&lt;E$26,D$25,E510&lt;E$27,D$26,E510&lt;E$28,D$27,E510&lt;E$29,D$28,E510&lt;E$30,D$29,E510&lt;E$31,D$30,E510&lt;E$32,D$31,E510&lt;E$33,D$32,E510&lt;E$34,D$33,E510&lt;E$35,D$34,E510&gt;=E$35,D$35)</f>
        <v/>
      </c>
      <c r="E510" s="38" t="n">
        <v>460</v>
      </c>
      <c r="F510" s="31">
        <f>E510/52</f>
        <v/>
      </c>
      <c r="G510" s="39">
        <f>D510/1000000*52</f>
        <v/>
      </c>
      <c r="H510" s="33">
        <f>G510/$P$4+($C$22/$P$4)</f>
        <v/>
      </c>
      <c r="I510" s="36">
        <f>_xlfn.IFS(K510&lt;K$24,0,K510&lt;K$26,I$24,K510&lt;K$28,I$26,K510&lt;K$30,I$28,K510&lt;K$32,I$30,K510&lt;K$34,I$32,K510&lt;K$36,I$34,K510&lt;K$38,I$36,K510&lt;K$40,I$38,K510&lt;K$42,I$40,K510&lt;K$44,I$42,K510&lt;K$46,I$44,K510&gt;=K$46,I$46)</f>
        <v/>
      </c>
      <c r="J510" s="37">
        <f>_xlfn.IFS(K510&lt;K$24,0,K510&lt;K$25,J$24,K510&lt;K$26,J$25,K510&lt;K$27,J$26,K510&lt;K$28,J$27,K510&lt;K$29,J$28,K510&lt;K$30,J$29,K510&lt;K$31,J$30,K510&lt;K$32,J$31,K510&lt;K$33,J$32,K510&lt;K$34,J$33,K510&lt;K$35,J$34,K510&lt;K$36,J$35,K510&lt;K$37,J$36,K510&lt;K$38,J$37,K510&lt;K$39,J$38,K510&lt;K$40,J$39,K510&lt;K$41,J$40,K510&lt;K$42,J$41,K510&lt;K$43,J$42,K510&lt;K$44,J$43,K510&lt;K$45,J$44,K510&lt;K$46,J$45,K510&lt;K$47,J$46,K510&gt;=K$47,J$47)</f>
        <v/>
      </c>
      <c r="K510" s="38" t="n">
        <v>460</v>
      </c>
      <c r="L510" s="31">
        <f>K510/52</f>
        <v/>
      </c>
      <c r="M510" s="39">
        <f>J510/1000000*52</f>
        <v/>
      </c>
      <c r="N510" s="33">
        <f>M510/$P$4+($I$22/$P$4)</f>
        <v/>
      </c>
      <c r="U510">
        <f>F509</f>
        <v/>
      </c>
      <c r="V510">
        <f>H509</f>
        <v/>
      </c>
      <c r="W510">
        <f>N509</f>
        <v/>
      </c>
    </row>
    <row r="511" ht="15.75" customHeight="1" s="40">
      <c r="C511" s="36">
        <f>_xlfn.IFS(E511&lt;E$24,0,E511&lt;E$26,C$24,E511&lt;E$28,C$26,E511&lt;E$30,C$28,E511&lt;E$32,C$30,E511&lt;E$34,C$32,E511&gt;=E$34,C$34)</f>
        <v/>
      </c>
      <c r="D511" s="37">
        <f>_xlfn.IFS(E511&lt;E$24,0,E511&lt;E$25,D$24,E511&lt;E$26,D$25,E511&lt;E$27,D$26,E511&lt;E$28,D$27,E511&lt;E$29,D$28,E511&lt;E$30,D$29,E511&lt;E$31,D$30,E511&lt;E$32,D$31,E511&lt;E$33,D$32,E511&lt;E$34,D$33,E511&lt;E$35,D$34,E511&gt;=E$35,D$35)</f>
        <v/>
      </c>
      <c r="E511" s="38" t="n">
        <v>461</v>
      </c>
      <c r="F511" s="31">
        <f>E511/52</f>
        <v/>
      </c>
      <c r="G511" s="39">
        <f>D511/1000000*52</f>
        <v/>
      </c>
      <c r="H511" s="33">
        <f>G511/$P$4+($C$22/$P$4)</f>
        <v/>
      </c>
      <c r="I511" s="36">
        <f>_xlfn.IFS(K511&lt;K$24,0,K511&lt;K$26,I$24,K511&lt;K$28,I$26,K511&lt;K$30,I$28,K511&lt;K$32,I$30,K511&lt;K$34,I$32,K511&lt;K$36,I$34,K511&lt;K$38,I$36,K511&lt;K$40,I$38,K511&lt;K$42,I$40,K511&lt;K$44,I$42,K511&lt;K$46,I$44,K511&gt;=K$46,I$46)</f>
        <v/>
      </c>
      <c r="J511" s="37">
        <f>_xlfn.IFS(K511&lt;K$24,0,K511&lt;K$25,J$24,K511&lt;K$26,J$25,K511&lt;K$27,J$26,K511&lt;K$28,J$27,K511&lt;K$29,J$28,K511&lt;K$30,J$29,K511&lt;K$31,J$30,K511&lt;K$32,J$31,K511&lt;K$33,J$32,K511&lt;K$34,J$33,K511&lt;K$35,J$34,K511&lt;K$36,J$35,K511&lt;K$37,J$36,K511&lt;K$38,J$37,K511&lt;K$39,J$38,K511&lt;K$40,J$39,K511&lt;K$41,J$40,K511&lt;K$42,J$41,K511&lt;K$43,J$42,K511&lt;K$44,J$43,K511&lt;K$45,J$44,K511&lt;K$46,J$45,K511&lt;K$47,J$46,K511&gt;=K$47,J$47)</f>
        <v/>
      </c>
      <c r="K511" s="38" t="n">
        <v>461</v>
      </c>
      <c r="L511" s="31">
        <f>K511/52</f>
        <v/>
      </c>
      <c r="M511" s="39">
        <f>J511/1000000*52</f>
        <v/>
      </c>
      <c r="N511" s="33">
        <f>M511/$P$4+($I$22/$P$4)</f>
        <v/>
      </c>
      <c r="U511">
        <f>F510</f>
        <v/>
      </c>
      <c r="V511">
        <f>H510</f>
        <v/>
      </c>
      <c r="W511">
        <f>N510</f>
        <v/>
      </c>
    </row>
    <row r="512" ht="15.75" customHeight="1" s="40">
      <c r="C512" s="36">
        <f>_xlfn.IFS(E512&lt;E$24,0,E512&lt;E$26,C$24,E512&lt;E$28,C$26,E512&lt;E$30,C$28,E512&lt;E$32,C$30,E512&lt;E$34,C$32,E512&gt;=E$34,C$34)</f>
        <v/>
      </c>
      <c r="D512" s="37">
        <f>_xlfn.IFS(E512&lt;E$24,0,E512&lt;E$25,D$24,E512&lt;E$26,D$25,E512&lt;E$27,D$26,E512&lt;E$28,D$27,E512&lt;E$29,D$28,E512&lt;E$30,D$29,E512&lt;E$31,D$30,E512&lt;E$32,D$31,E512&lt;E$33,D$32,E512&lt;E$34,D$33,E512&lt;E$35,D$34,E512&gt;=E$35,D$35)</f>
        <v/>
      </c>
      <c r="E512" s="38" t="n">
        <v>462</v>
      </c>
      <c r="F512" s="31">
        <f>E512/52</f>
        <v/>
      </c>
      <c r="G512" s="39">
        <f>D512/1000000*52</f>
        <v/>
      </c>
      <c r="H512" s="33">
        <f>G512/$P$4+($C$22/$P$4)</f>
        <v/>
      </c>
      <c r="I512" s="36">
        <f>_xlfn.IFS(K512&lt;K$24,0,K512&lt;K$26,I$24,K512&lt;K$28,I$26,K512&lt;K$30,I$28,K512&lt;K$32,I$30,K512&lt;K$34,I$32,K512&lt;K$36,I$34,K512&lt;K$38,I$36,K512&lt;K$40,I$38,K512&lt;K$42,I$40,K512&lt;K$44,I$42,K512&lt;K$46,I$44,K512&gt;=K$46,I$46)</f>
        <v/>
      </c>
      <c r="J512" s="37">
        <f>_xlfn.IFS(K512&lt;K$24,0,K512&lt;K$25,J$24,K512&lt;K$26,J$25,K512&lt;K$27,J$26,K512&lt;K$28,J$27,K512&lt;K$29,J$28,K512&lt;K$30,J$29,K512&lt;K$31,J$30,K512&lt;K$32,J$31,K512&lt;K$33,J$32,K512&lt;K$34,J$33,K512&lt;K$35,J$34,K512&lt;K$36,J$35,K512&lt;K$37,J$36,K512&lt;K$38,J$37,K512&lt;K$39,J$38,K512&lt;K$40,J$39,K512&lt;K$41,J$40,K512&lt;K$42,J$41,K512&lt;K$43,J$42,K512&lt;K$44,J$43,K512&lt;K$45,J$44,K512&lt;K$46,J$45,K512&lt;K$47,J$46,K512&gt;=K$47,J$47)</f>
        <v/>
      </c>
      <c r="K512" s="38" t="n">
        <v>462</v>
      </c>
      <c r="L512" s="31">
        <f>K512/52</f>
        <v/>
      </c>
      <c r="M512" s="39">
        <f>J512/1000000*52</f>
        <v/>
      </c>
      <c r="N512" s="33">
        <f>M512/$P$4+($I$22/$P$4)</f>
        <v/>
      </c>
      <c r="U512">
        <f>F511</f>
        <v/>
      </c>
      <c r="V512">
        <f>H511</f>
        <v/>
      </c>
      <c r="W512">
        <f>N511</f>
        <v/>
      </c>
    </row>
    <row r="513" ht="15.75" customHeight="1" s="40">
      <c r="C513" s="36">
        <f>_xlfn.IFS(E513&lt;E$24,0,E513&lt;E$26,C$24,E513&lt;E$28,C$26,E513&lt;E$30,C$28,E513&lt;E$32,C$30,E513&lt;E$34,C$32,E513&gt;=E$34,C$34)</f>
        <v/>
      </c>
      <c r="D513" s="37">
        <f>_xlfn.IFS(E513&lt;E$24,0,E513&lt;E$25,D$24,E513&lt;E$26,D$25,E513&lt;E$27,D$26,E513&lt;E$28,D$27,E513&lt;E$29,D$28,E513&lt;E$30,D$29,E513&lt;E$31,D$30,E513&lt;E$32,D$31,E513&lt;E$33,D$32,E513&lt;E$34,D$33,E513&lt;E$35,D$34,E513&gt;=E$35,D$35)</f>
        <v/>
      </c>
      <c r="E513" s="38" t="n">
        <v>463</v>
      </c>
      <c r="F513" s="31">
        <f>E513/52</f>
        <v/>
      </c>
      <c r="G513" s="39">
        <f>D513/1000000*52</f>
        <v/>
      </c>
      <c r="H513" s="33">
        <f>G513/$P$4+($C$22/$P$4)</f>
        <v/>
      </c>
      <c r="I513" s="36">
        <f>_xlfn.IFS(K513&lt;K$24,0,K513&lt;K$26,I$24,K513&lt;K$28,I$26,K513&lt;K$30,I$28,K513&lt;K$32,I$30,K513&lt;K$34,I$32,K513&lt;K$36,I$34,K513&lt;K$38,I$36,K513&lt;K$40,I$38,K513&lt;K$42,I$40,K513&lt;K$44,I$42,K513&lt;K$46,I$44,K513&gt;=K$46,I$46)</f>
        <v/>
      </c>
      <c r="J513" s="37">
        <f>_xlfn.IFS(K513&lt;K$24,0,K513&lt;K$25,J$24,K513&lt;K$26,J$25,K513&lt;K$27,J$26,K513&lt;K$28,J$27,K513&lt;K$29,J$28,K513&lt;K$30,J$29,K513&lt;K$31,J$30,K513&lt;K$32,J$31,K513&lt;K$33,J$32,K513&lt;K$34,J$33,K513&lt;K$35,J$34,K513&lt;K$36,J$35,K513&lt;K$37,J$36,K513&lt;K$38,J$37,K513&lt;K$39,J$38,K513&lt;K$40,J$39,K513&lt;K$41,J$40,K513&lt;K$42,J$41,K513&lt;K$43,J$42,K513&lt;K$44,J$43,K513&lt;K$45,J$44,K513&lt;K$46,J$45,K513&lt;K$47,J$46,K513&gt;=K$47,J$47)</f>
        <v/>
      </c>
      <c r="K513" s="38" t="n">
        <v>463</v>
      </c>
      <c r="L513" s="31">
        <f>K513/52</f>
        <v/>
      </c>
      <c r="M513" s="39">
        <f>J513/1000000*52</f>
        <v/>
      </c>
      <c r="N513" s="33">
        <f>M513/$P$4+($I$22/$P$4)</f>
        <v/>
      </c>
      <c r="U513">
        <f>F512</f>
        <v/>
      </c>
      <c r="V513">
        <f>H512</f>
        <v/>
      </c>
      <c r="W513">
        <f>N512</f>
        <v/>
      </c>
    </row>
    <row r="514" ht="15.75" customHeight="1" s="40">
      <c r="C514" s="36">
        <f>_xlfn.IFS(E514&lt;E$24,0,E514&lt;E$26,C$24,E514&lt;E$28,C$26,E514&lt;E$30,C$28,E514&lt;E$32,C$30,E514&lt;E$34,C$32,E514&gt;=E$34,C$34)</f>
        <v/>
      </c>
      <c r="D514" s="37">
        <f>_xlfn.IFS(E514&lt;E$24,0,E514&lt;E$25,D$24,E514&lt;E$26,D$25,E514&lt;E$27,D$26,E514&lt;E$28,D$27,E514&lt;E$29,D$28,E514&lt;E$30,D$29,E514&lt;E$31,D$30,E514&lt;E$32,D$31,E514&lt;E$33,D$32,E514&lt;E$34,D$33,E514&lt;E$35,D$34,E514&gt;=E$35,D$35)</f>
        <v/>
      </c>
      <c r="E514" s="38" t="n">
        <v>464</v>
      </c>
      <c r="F514" s="31">
        <f>E514/52</f>
        <v/>
      </c>
      <c r="G514" s="39">
        <f>D514/1000000*52</f>
        <v/>
      </c>
      <c r="H514" s="33">
        <f>G514/$P$4+($C$22/$P$4)</f>
        <v/>
      </c>
      <c r="I514" s="36">
        <f>_xlfn.IFS(K514&lt;K$24,0,K514&lt;K$26,I$24,K514&lt;K$28,I$26,K514&lt;K$30,I$28,K514&lt;K$32,I$30,K514&lt;K$34,I$32,K514&lt;K$36,I$34,K514&lt;K$38,I$36,K514&lt;K$40,I$38,K514&lt;K$42,I$40,K514&lt;K$44,I$42,K514&lt;K$46,I$44,K514&gt;=K$46,I$46)</f>
        <v/>
      </c>
      <c r="J514" s="37">
        <f>_xlfn.IFS(K514&lt;K$24,0,K514&lt;K$25,J$24,K514&lt;K$26,J$25,K514&lt;K$27,J$26,K514&lt;K$28,J$27,K514&lt;K$29,J$28,K514&lt;K$30,J$29,K514&lt;K$31,J$30,K514&lt;K$32,J$31,K514&lt;K$33,J$32,K514&lt;K$34,J$33,K514&lt;K$35,J$34,K514&lt;K$36,J$35,K514&lt;K$37,J$36,K514&lt;K$38,J$37,K514&lt;K$39,J$38,K514&lt;K$40,J$39,K514&lt;K$41,J$40,K514&lt;K$42,J$41,K514&lt;K$43,J$42,K514&lt;K$44,J$43,K514&lt;K$45,J$44,K514&lt;K$46,J$45,K514&lt;K$47,J$46,K514&gt;=K$47,J$47)</f>
        <v/>
      </c>
      <c r="K514" s="38" t="n">
        <v>464</v>
      </c>
      <c r="L514" s="31">
        <f>K514/52</f>
        <v/>
      </c>
      <c r="M514" s="39">
        <f>J514/1000000*52</f>
        <v/>
      </c>
      <c r="N514" s="33">
        <f>M514/$P$4+($I$22/$P$4)</f>
        <v/>
      </c>
      <c r="U514">
        <f>F513</f>
        <v/>
      </c>
      <c r="V514">
        <f>H513</f>
        <v/>
      </c>
      <c r="W514">
        <f>N513</f>
        <v/>
      </c>
    </row>
    <row r="515" ht="15.75" customHeight="1" s="40">
      <c r="C515" s="36">
        <f>_xlfn.IFS(E515&lt;E$24,0,E515&lt;E$26,C$24,E515&lt;E$28,C$26,E515&lt;E$30,C$28,E515&lt;E$32,C$30,E515&lt;E$34,C$32,E515&gt;=E$34,C$34)</f>
        <v/>
      </c>
      <c r="D515" s="37">
        <f>_xlfn.IFS(E515&lt;E$24,0,E515&lt;E$25,D$24,E515&lt;E$26,D$25,E515&lt;E$27,D$26,E515&lt;E$28,D$27,E515&lt;E$29,D$28,E515&lt;E$30,D$29,E515&lt;E$31,D$30,E515&lt;E$32,D$31,E515&lt;E$33,D$32,E515&lt;E$34,D$33,E515&lt;E$35,D$34,E515&gt;=E$35,D$35)</f>
        <v/>
      </c>
      <c r="E515" s="38" t="n">
        <v>465</v>
      </c>
      <c r="F515" s="31">
        <f>E515/52</f>
        <v/>
      </c>
      <c r="G515" s="39">
        <f>D515/1000000*52</f>
        <v/>
      </c>
      <c r="H515" s="33">
        <f>G515/$P$4+($C$22/$P$4)</f>
        <v/>
      </c>
      <c r="I515" s="36">
        <f>_xlfn.IFS(K515&lt;K$24,0,K515&lt;K$26,I$24,K515&lt;K$28,I$26,K515&lt;K$30,I$28,K515&lt;K$32,I$30,K515&lt;K$34,I$32,K515&lt;K$36,I$34,K515&lt;K$38,I$36,K515&lt;K$40,I$38,K515&lt;K$42,I$40,K515&lt;K$44,I$42,K515&lt;K$46,I$44,K515&gt;=K$46,I$46)</f>
        <v/>
      </c>
      <c r="J515" s="37">
        <f>_xlfn.IFS(K515&lt;K$24,0,K515&lt;K$25,J$24,K515&lt;K$26,J$25,K515&lt;K$27,J$26,K515&lt;K$28,J$27,K515&lt;K$29,J$28,K515&lt;K$30,J$29,K515&lt;K$31,J$30,K515&lt;K$32,J$31,K515&lt;K$33,J$32,K515&lt;K$34,J$33,K515&lt;K$35,J$34,K515&lt;K$36,J$35,K515&lt;K$37,J$36,K515&lt;K$38,J$37,K515&lt;K$39,J$38,K515&lt;K$40,J$39,K515&lt;K$41,J$40,K515&lt;K$42,J$41,K515&lt;K$43,J$42,K515&lt;K$44,J$43,K515&lt;K$45,J$44,K515&lt;K$46,J$45,K515&lt;K$47,J$46,K515&gt;=K$47,J$47)</f>
        <v/>
      </c>
      <c r="K515" s="38" t="n">
        <v>465</v>
      </c>
      <c r="L515" s="31">
        <f>K515/52</f>
        <v/>
      </c>
      <c r="M515" s="39">
        <f>J515/1000000*52</f>
        <v/>
      </c>
      <c r="N515" s="33">
        <f>M515/$P$4+($I$22/$P$4)</f>
        <v/>
      </c>
      <c r="U515">
        <f>F514</f>
        <v/>
      </c>
      <c r="V515">
        <f>H514</f>
        <v/>
      </c>
      <c r="W515">
        <f>N514</f>
        <v/>
      </c>
    </row>
    <row r="516" ht="15.75" customHeight="1" s="40">
      <c r="C516" s="36">
        <f>_xlfn.IFS(E516&lt;E$24,0,E516&lt;E$26,C$24,E516&lt;E$28,C$26,E516&lt;E$30,C$28,E516&lt;E$32,C$30,E516&lt;E$34,C$32,E516&gt;=E$34,C$34)</f>
        <v/>
      </c>
      <c r="D516" s="37">
        <f>_xlfn.IFS(E516&lt;E$24,0,E516&lt;E$25,D$24,E516&lt;E$26,D$25,E516&lt;E$27,D$26,E516&lt;E$28,D$27,E516&lt;E$29,D$28,E516&lt;E$30,D$29,E516&lt;E$31,D$30,E516&lt;E$32,D$31,E516&lt;E$33,D$32,E516&lt;E$34,D$33,E516&lt;E$35,D$34,E516&gt;=E$35,D$35)</f>
        <v/>
      </c>
      <c r="E516" s="38" t="n">
        <v>466</v>
      </c>
      <c r="F516" s="31">
        <f>E516/52</f>
        <v/>
      </c>
      <c r="G516" s="39">
        <f>D516/1000000*52</f>
        <v/>
      </c>
      <c r="H516" s="33">
        <f>G516/$P$4+($C$22/$P$4)</f>
        <v/>
      </c>
      <c r="I516" s="36">
        <f>_xlfn.IFS(K516&lt;K$24,0,K516&lt;K$26,I$24,K516&lt;K$28,I$26,K516&lt;K$30,I$28,K516&lt;K$32,I$30,K516&lt;K$34,I$32,K516&lt;K$36,I$34,K516&lt;K$38,I$36,K516&lt;K$40,I$38,K516&lt;K$42,I$40,K516&lt;K$44,I$42,K516&lt;K$46,I$44,K516&gt;=K$46,I$46)</f>
        <v/>
      </c>
      <c r="J516" s="37">
        <f>_xlfn.IFS(K516&lt;K$24,0,K516&lt;K$25,J$24,K516&lt;K$26,J$25,K516&lt;K$27,J$26,K516&lt;K$28,J$27,K516&lt;K$29,J$28,K516&lt;K$30,J$29,K516&lt;K$31,J$30,K516&lt;K$32,J$31,K516&lt;K$33,J$32,K516&lt;K$34,J$33,K516&lt;K$35,J$34,K516&lt;K$36,J$35,K516&lt;K$37,J$36,K516&lt;K$38,J$37,K516&lt;K$39,J$38,K516&lt;K$40,J$39,K516&lt;K$41,J$40,K516&lt;K$42,J$41,K516&lt;K$43,J$42,K516&lt;K$44,J$43,K516&lt;K$45,J$44,K516&lt;K$46,J$45,K516&lt;K$47,J$46,K516&gt;=K$47,J$47)</f>
        <v/>
      </c>
      <c r="K516" s="38" t="n">
        <v>466</v>
      </c>
      <c r="L516" s="31">
        <f>K516/52</f>
        <v/>
      </c>
      <c r="M516" s="39">
        <f>J516/1000000*52</f>
        <v/>
      </c>
      <c r="N516" s="33">
        <f>M516/$P$4+($I$22/$P$4)</f>
        <v/>
      </c>
      <c r="U516">
        <f>F515</f>
        <v/>
      </c>
      <c r="V516">
        <f>H515</f>
        <v/>
      </c>
      <c r="W516">
        <f>N515</f>
        <v/>
      </c>
    </row>
    <row r="517" ht="15.75" customHeight="1" s="40">
      <c r="C517" s="36">
        <f>_xlfn.IFS(E517&lt;E$24,0,E517&lt;E$26,C$24,E517&lt;E$28,C$26,E517&lt;E$30,C$28,E517&lt;E$32,C$30,E517&lt;E$34,C$32,E517&gt;=E$34,C$34)</f>
        <v/>
      </c>
      <c r="D517" s="37">
        <f>_xlfn.IFS(E517&lt;E$24,0,E517&lt;E$25,D$24,E517&lt;E$26,D$25,E517&lt;E$27,D$26,E517&lt;E$28,D$27,E517&lt;E$29,D$28,E517&lt;E$30,D$29,E517&lt;E$31,D$30,E517&lt;E$32,D$31,E517&lt;E$33,D$32,E517&lt;E$34,D$33,E517&lt;E$35,D$34,E517&gt;=E$35,D$35)</f>
        <v/>
      </c>
      <c r="E517" s="38" t="n">
        <v>467</v>
      </c>
      <c r="F517" s="31">
        <f>E517/52</f>
        <v/>
      </c>
      <c r="G517" s="39">
        <f>D517/1000000*52</f>
        <v/>
      </c>
      <c r="H517" s="33">
        <f>G517/$P$4+($C$22/$P$4)</f>
        <v/>
      </c>
      <c r="I517" s="36">
        <f>_xlfn.IFS(K517&lt;K$24,0,K517&lt;K$26,I$24,K517&lt;K$28,I$26,K517&lt;K$30,I$28,K517&lt;K$32,I$30,K517&lt;K$34,I$32,K517&lt;K$36,I$34,K517&lt;K$38,I$36,K517&lt;K$40,I$38,K517&lt;K$42,I$40,K517&lt;K$44,I$42,K517&lt;K$46,I$44,K517&gt;=K$46,I$46)</f>
        <v/>
      </c>
      <c r="J517" s="37">
        <f>_xlfn.IFS(K517&lt;K$24,0,K517&lt;K$25,J$24,K517&lt;K$26,J$25,K517&lt;K$27,J$26,K517&lt;K$28,J$27,K517&lt;K$29,J$28,K517&lt;K$30,J$29,K517&lt;K$31,J$30,K517&lt;K$32,J$31,K517&lt;K$33,J$32,K517&lt;K$34,J$33,K517&lt;K$35,J$34,K517&lt;K$36,J$35,K517&lt;K$37,J$36,K517&lt;K$38,J$37,K517&lt;K$39,J$38,K517&lt;K$40,J$39,K517&lt;K$41,J$40,K517&lt;K$42,J$41,K517&lt;K$43,J$42,K517&lt;K$44,J$43,K517&lt;K$45,J$44,K517&lt;K$46,J$45,K517&lt;K$47,J$46,K517&gt;=K$47,J$47)</f>
        <v/>
      </c>
      <c r="K517" s="38" t="n">
        <v>467</v>
      </c>
      <c r="L517" s="31">
        <f>K517/52</f>
        <v/>
      </c>
      <c r="M517" s="39">
        <f>J517/1000000*52</f>
        <v/>
      </c>
      <c r="N517" s="33">
        <f>M517/$P$4+($I$22/$P$4)</f>
        <v/>
      </c>
      <c r="U517">
        <f>F516</f>
        <v/>
      </c>
      <c r="V517">
        <f>H516</f>
        <v/>
      </c>
      <c r="W517">
        <f>N516</f>
        <v/>
      </c>
    </row>
    <row r="518" ht="15.75" customHeight="1" s="40">
      <c r="C518" s="36">
        <f>_xlfn.IFS(E518&lt;E$24,0,E518&lt;E$26,C$24,E518&lt;E$28,C$26,E518&lt;E$30,C$28,E518&lt;E$32,C$30,E518&lt;E$34,C$32,E518&gt;=E$34,C$34)</f>
        <v/>
      </c>
      <c r="D518" s="37">
        <f>_xlfn.IFS(E518&lt;E$24,0,E518&lt;E$25,D$24,E518&lt;E$26,D$25,E518&lt;E$27,D$26,E518&lt;E$28,D$27,E518&lt;E$29,D$28,E518&lt;E$30,D$29,E518&lt;E$31,D$30,E518&lt;E$32,D$31,E518&lt;E$33,D$32,E518&lt;E$34,D$33,E518&lt;E$35,D$34,E518&gt;=E$35,D$35)</f>
        <v/>
      </c>
      <c r="E518" s="38" t="n">
        <v>468</v>
      </c>
      <c r="F518" s="31">
        <f>E518/52</f>
        <v/>
      </c>
      <c r="G518" s="39">
        <f>D518/1000000*52</f>
        <v/>
      </c>
      <c r="H518" s="33">
        <f>G518/$P$4+($C$22/$P$4)</f>
        <v/>
      </c>
      <c r="I518" s="36">
        <f>_xlfn.IFS(K518&lt;K$24,0,K518&lt;K$26,I$24,K518&lt;K$28,I$26,K518&lt;K$30,I$28,K518&lt;K$32,I$30,K518&lt;K$34,I$32,K518&lt;K$36,I$34,K518&lt;K$38,I$36,K518&lt;K$40,I$38,K518&lt;K$42,I$40,K518&lt;K$44,I$42,K518&lt;K$46,I$44,K518&gt;=K$46,I$46)</f>
        <v/>
      </c>
      <c r="J518" s="37">
        <f>_xlfn.IFS(K518&lt;K$24,0,K518&lt;K$25,J$24,K518&lt;K$26,J$25,K518&lt;K$27,J$26,K518&lt;K$28,J$27,K518&lt;K$29,J$28,K518&lt;K$30,J$29,K518&lt;K$31,J$30,K518&lt;K$32,J$31,K518&lt;K$33,J$32,K518&lt;K$34,J$33,K518&lt;K$35,J$34,K518&lt;K$36,J$35,K518&lt;K$37,J$36,K518&lt;K$38,J$37,K518&lt;K$39,J$38,K518&lt;K$40,J$39,K518&lt;K$41,J$40,K518&lt;K$42,J$41,K518&lt;K$43,J$42,K518&lt;K$44,J$43,K518&lt;K$45,J$44,K518&lt;K$46,J$45,K518&lt;K$47,J$46,K518&gt;=K$47,J$47)</f>
        <v/>
      </c>
      <c r="K518" s="38" t="n">
        <v>468</v>
      </c>
      <c r="L518" s="31">
        <f>K518/52</f>
        <v/>
      </c>
      <c r="M518" s="39">
        <f>J518/1000000*52</f>
        <v/>
      </c>
      <c r="N518" s="33">
        <f>M518/$P$4+($I$22/$P$4)</f>
        <v/>
      </c>
      <c r="U518">
        <f>F517</f>
        <v/>
      </c>
      <c r="V518">
        <f>H517</f>
        <v/>
      </c>
      <c r="W518">
        <f>N517</f>
        <v/>
      </c>
    </row>
    <row r="519" ht="15.75" customHeight="1" s="40">
      <c r="C519" s="36">
        <f>_xlfn.IFS(E519&lt;E$24,0,E519&lt;E$26,C$24,E519&lt;E$28,C$26,E519&lt;E$30,C$28,E519&lt;E$32,C$30,E519&lt;E$34,C$32,E519&gt;=E$34,C$34)</f>
        <v/>
      </c>
      <c r="D519" s="37">
        <f>_xlfn.IFS(E519&lt;E$24,0,E519&lt;E$25,D$24,E519&lt;E$26,D$25,E519&lt;E$27,D$26,E519&lt;E$28,D$27,E519&lt;E$29,D$28,E519&lt;E$30,D$29,E519&lt;E$31,D$30,E519&lt;E$32,D$31,E519&lt;E$33,D$32,E519&lt;E$34,D$33,E519&lt;E$35,D$34,E519&gt;=E$35,D$35)</f>
        <v/>
      </c>
      <c r="E519" s="38" t="n">
        <v>469</v>
      </c>
      <c r="F519" s="31">
        <f>E519/52</f>
        <v/>
      </c>
      <c r="G519" s="39">
        <f>D519/1000000*52</f>
        <v/>
      </c>
      <c r="H519" s="33">
        <f>G519/$P$4+($C$22/$P$4)</f>
        <v/>
      </c>
      <c r="I519" s="36">
        <f>_xlfn.IFS(K519&lt;K$24,0,K519&lt;K$26,I$24,K519&lt;K$28,I$26,K519&lt;K$30,I$28,K519&lt;K$32,I$30,K519&lt;K$34,I$32,K519&lt;K$36,I$34,K519&lt;K$38,I$36,K519&lt;K$40,I$38,K519&lt;K$42,I$40,K519&lt;K$44,I$42,K519&lt;K$46,I$44,K519&gt;=K$46,I$46)</f>
        <v/>
      </c>
      <c r="J519" s="37">
        <f>_xlfn.IFS(K519&lt;K$24,0,K519&lt;K$25,J$24,K519&lt;K$26,J$25,K519&lt;K$27,J$26,K519&lt;K$28,J$27,K519&lt;K$29,J$28,K519&lt;K$30,J$29,K519&lt;K$31,J$30,K519&lt;K$32,J$31,K519&lt;K$33,J$32,K519&lt;K$34,J$33,K519&lt;K$35,J$34,K519&lt;K$36,J$35,K519&lt;K$37,J$36,K519&lt;K$38,J$37,K519&lt;K$39,J$38,K519&lt;K$40,J$39,K519&lt;K$41,J$40,K519&lt;K$42,J$41,K519&lt;K$43,J$42,K519&lt;K$44,J$43,K519&lt;K$45,J$44,K519&lt;K$46,J$45,K519&lt;K$47,J$46,K519&gt;=K$47,J$47)</f>
        <v/>
      </c>
      <c r="K519" s="38" t="n">
        <v>469</v>
      </c>
      <c r="L519" s="31">
        <f>K519/52</f>
        <v/>
      </c>
      <c r="M519" s="39">
        <f>J519/1000000*52</f>
        <v/>
      </c>
      <c r="N519" s="33">
        <f>M519/$P$4+($I$22/$P$4)</f>
        <v/>
      </c>
      <c r="U519">
        <f>F518</f>
        <v/>
      </c>
      <c r="V519">
        <f>H518</f>
        <v/>
      </c>
      <c r="W519">
        <f>N518</f>
        <v/>
      </c>
    </row>
    <row r="520" ht="15.75" customHeight="1" s="40">
      <c r="C520" s="36">
        <f>_xlfn.IFS(E520&lt;E$24,0,E520&lt;E$26,C$24,E520&lt;E$28,C$26,E520&lt;E$30,C$28,E520&lt;E$32,C$30,E520&lt;E$34,C$32,E520&gt;=E$34,C$34)</f>
        <v/>
      </c>
      <c r="D520" s="37">
        <f>_xlfn.IFS(E520&lt;E$24,0,E520&lt;E$25,D$24,E520&lt;E$26,D$25,E520&lt;E$27,D$26,E520&lt;E$28,D$27,E520&lt;E$29,D$28,E520&lt;E$30,D$29,E520&lt;E$31,D$30,E520&lt;E$32,D$31,E520&lt;E$33,D$32,E520&lt;E$34,D$33,E520&lt;E$35,D$34,E520&gt;=E$35,D$35)</f>
        <v/>
      </c>
      <c r="E520" s="38" t="n">
        <v>470</v>
      </c>
      <c r="F520" s="31">
        <f>E520/52</f>
        <v/>
      </c>
      <c r="G520" s="39">
        <f>D520/1000000*52</f>
        <v/>
      </c>
      <c r="H520" s="33">
        <f>G520/$P$4+($C$22/$P$4)</f>
        <v/>
      </c>
      <c r="I520" s="36">
        <f>_xlfn.IFS(K520&lt;K$24,0,K520&lt;K$26,I$24,K520&lt;K$28,I$26,K520&lt;K$30,I$28,K520&lt;K$32,I$30,K520&lt;K$34,I$32,K520&lt;K$36,I$34,K520&lt;K$38,I$36,K520&lt;K$40,I$38,K520&lt;K$42,I$40,K520&lt;K$44,I$42,K520&lt;K$46,I$44,K520&gt;=K$46,I$46)</f>
        <v/>
      </c>
      <c r="J520" s="37">
        <f>_xlfn.IFS(K520&lt;K$24,0,K520&lt;K$25,J$24,K520&lt;K$26,J$25,K520&lt;K$27,J$26,K520&lt;K$28,J$27,K520&lt;K$29,J$28,K520&lt;K$30,J$29,K520&lt;K$31,J$30,K520&lt;K$32,J$31,K520&lt;K$33,J$32,K520&lt;K$34,J$33,K520&lt;K$35,J$34,K520&lt;K$36,J$35,K520&lt;K$37,J$36,K520&lt;K$38,J$37,K520&lt;K$39,J$38,K520&lt;K$40,J$39,K520&lt;K$41,J$40,K520&lt;K$42,J$41,K520&lt;K$43,J$42,K520&lt;K$44,J$43,K520&lt;K$45,J$44,K520&lt;K$46,J$45,K520&lt;K$47,J$46,K520&gt;=K$47,J$47)</f>
        <v/>
      </c>
      <c r="K520" s="38" t="n">
        <v>470</v>
      </c>
      <c r="L520" s="31">
        <f>K520/52</f>
        <v/>
      </c>
      <c r="M520" s="39">
        <f>J520/1000000*52</f>
        <v/>
      </c>
      <c r="N520" s="33">
        <f>M520/$P$4+($I$22/$P$4)</f>
        <v/>
      </c>
      <c r="U520">
        <f>F519</f>
        <v/>
      </c>
      <c r="V520">
        <f>H519</f>
        <v/>
      </c>
      <c r="W520">
        <f>N519</f>
        <v/>
      </c>
    </row>
    <row r="521" ht="15.75" customHeight="1" s="40">
      <c r="C521" s="36">
        <f>_xlfn.IFS(E521&lt;E$24,0,E521&lt;E$26,C$24,E521&lt;E$28,C$26,E521&lt;E$30,C$28,E521&lt;E$32,C$30,E521&lt;E$34,C$32,E521&gt;=E$34,C$34)</f>
        <v/>
      </c>
      <c r="D521" s="37">
        <f>_xlfn.IFS(E521&lt;E$24,0,E521&lt;E$25,D$24,E521&lt;E$26,D$25,E521&lt;E$27,D$26,E521&lt;E$28,D$27,E521&lt;E$29,D$28,E521&lt;E$30,D$29,E521&lt;E$31,D$30,E521&lt;E$32,D$31,E521&lt;E$33,D$32,E521&lt;E$34,D$33,E521&lt;E$35,D$34,E521&gt;=E$35,D$35)</f>
        <v/>
      </c>
      <c r="E521" s="38" t="n">
        <v>471</v>
      </c>
      <c r="F521" s="31">
        <f>E521/52</f>
        <v/>
      </c>
      <c r="G521" s="39">
        <f>D521/1000000*52</f>
        <v/>
      </c>
      <c r="H521" s="33">
        <f>G521/$P$4+($C$22/$P$4)</f>
        <v/>
      </c>
      <c r="I521" s="36">
        <f>_xlfn.IFS(K521&lt;K$24,0,K521&lt;K$26,I$24,K521&lt;K$28,I$26,K521&lt;K$30,I$28,K521&lt;K$32,I$30,K521&lt;K$34,I$32,K521&lt;K$36,I$34,K521&lt;K$38,I$36,K521&lt;K$40,I$38,K521&lt;K$42,I$40,K521&lt;K$44,I$42,K521&lt;K$46,I$44,K521&gt;=K$46,I$46)</f>
        <v/>
      </c>
      <c r="J521" s="37">
        <f>_xlfn.IFS(K521&lt;K$24,0,K521&lt;K$25,J$24,K521&lt;K$26,J$25,K521&lt;K$27,J$26,K521&lt;K$28,J$27,K521&lt;K$29,J$28,K521&lt;K$30,J$29,K521&lt;K$31,J$30,K521&lt;K$32,J$31,K521&lt;K$33,J$32,K521&lt;K$34,J$33,K521&lt;K$35,J$34,K521&lt;K$36,J$35,K521&lt;K$37,J$36,K521&lt;K$38,J$37,K521&lt;K$39,J$38,K521&lt;K$40,J$39,K521&lt;K$41,J$40,K521&lt;K$42,J$41,K521&lt;K$43,J$42,K521&lt;K$44,J$43,K521&lt;K$45,J$44,K521&lt;K$46,J$45,K521&lt;K$47,J$46,K521&gt;=K$47,J$47)</f>
        <v/>
      </c>
      <c r="K521" s="38" t="n">
        <v>471</v>
      </c>
      <c r="L521" s="31">
        <f>K521/52</f>
        <v/>
      </c>
      <c r="M521" s="39">
        <f>J521/1000000*52</f>
        <v/>
      </c>
      <c r="N521" s="33">
        <f>M521/$P$4+($I$22/$P$4)</f>
        <v/>
      </c>
      <c r="U521">
        <f>F520</f>
        <v/>
      </c>
      <c r="V521">
        <f>H520</f>
        <v/>
      </c>
      <c r="W521">
        <f>N520</f>
        <v/>
      </c>
    </row>
    <row r="522" ht="15.75" customHeight="1" s="40">
      <c r="C522" s="36">
        <f>_xlfn.IFS(E522&lt;E$24,0,E522&lt;E$26,C$24,E522&lt;E$28,C$26,E522&lt;E$30,C$28,E522&lt;E$32,C$30,E522&lt;E$34,C$32,E522&gt;=E$34,C$34)</f>
        <v/>
      </c>
      <c r="D522" s="37">
        <f>_xlfn.IFS(E522&lt;E$24,0,E522&lt;E$25,D$24,E522&lt;E$26,D$25,E522&lt;E$27,D$26,E522&lt;E$28,D$27,E522&lt;E$29,D$28,E522&lt;E$30,D$29,E522&lt;E$31,D$30,E522&lt;E$32,D$31,E522&lt;E$33,D$32,E522&lt;E$34,D$33,E522&lt;E$35,D$34,E522&gt;=E$35,D$35)</f>
        <v/>
      </c>
      <c r="E522" s="38" t="n">
        <v>472</v>
      </c>
      <c r="F522" s="31">
        <f>E522/52</f>
        <v/>
      </c>
      <c r="G522" s="39">
        <f>D522/1000000*52</f>
        <v/>
      </c>
      <c r="H522" s="33">
        <f>G522/$P$4+($C$22/$P$4)</f>
        <v/>
      </c>
      <c r="I522" s="36">
        <f>_xlfn.IFS(K522&lt;K$24,0,K522&lt;K$26,I$24,K522&lt;K$28,I$26,K522&lt;K$30,I$28,K522&lt;K$32,I$30,K522&lt;K$34,I$32,K522&lt;K$36,I$34,K522&lt;K$38,I$36,K522&lt;K$40,I$38,K522&lt;K$42,I$40,K522&lt;K$44,I$42,K522&lt;K$46,I$44,K522&gt;=K$46,I$46)</f>
        <v/>
      </c>
      <c r="J522" s="37">
        <f>_xlfn.IFS(K522&lt;K$24,0,K522&lt;K$25,J$24,K522&lt;K$26,J$25,K522&lt;K$27,J$26,K522&lt;K$28,J$27,K522&lt;K$29,J$28,K522&lt;K$30,J$29,K522&lt;K$31,J$30,K522&lt;K$32,J$31,K522&lt;K$33,J$32,K522&lt;K$34,J$33,K522&lt;K$35,J$34,K522&lt;K$36,J$35,K522&lt;K$37,J$36,K522&lt;K$38,J$37,K522&lt;K$39,J$38,K522&lt;K$40,J$39,K522&lt;K$41,J$40,K522&lt;K$42,J$41,K522&lt;K$43,J$42,K522&lt;K$44,J$43,K522&lt;K$45,J$44,K522&lt;K$46,J$45,K522&lt;K$47,J$46,K522&gt;=K$47,J$47)</f>
        <v/>
      </c>
      <c r="K522" s="38" t="n">
        <v>472</v>
      </c>
      <c r="L522" s="31">
        <f>K522/52</f>
        <v/>
      </c>
      <c r="M522" s="39">
        <f>J522/1000000*52</f>
        <v/>
      </c>
      <c r="N522" s="33">
        <f>M522/$P$4+($I$22/$P$4)</f>
        <v/>
      </c>
      <c r="U522">
        <f>F521</f>
        <v/>
      </c>
      <c r="V522">
        <f>H521</f>
        <v/>
      </c>
      <c r="W522">
        <f>N521</f>
        <v/>
      </c>
    </row>
    <row r="523" ht="15.75" customHeight="1" s="40">
      <c r="C523" s="36">
        <f>_xlfn.IFS(E523&lt;E$24,0,E523&lt;E$26,C$24,E523&lt;E$28,C$26,E523&lt;E$30,C$28,E523&lt;E$32,C$30,E523&lt;E$34,C$32,E523&gt;=E$34,C$34)</f>
        <v/>
      </c>
      <c r="D523" s="37">
        <f>_xlfn.IFS(E523&lt;E$24,0,E523&lt;E$25,D$24,E523&lt;E$26,D$25,E523&lt;E$27,D$26,E523&lt;E$28,D$27,E523&lt;E$29,D$28,E523&lt;E$30,D$29,E523&lt;E$31,D$30,E523&lt;E$32,D$31,E523&lt;E$33,D$32,E523&lt;E$34,D$33,E523&lt;E$35,D$34,E523&gt;=E$35,D$35)</f>
        <v/>
      </c>
      <c r="E523" s="38" t="n">
        <v>473</v>
      </c>
      <c r="F523" s="31">
        <f>E523/52</f>
        <v/>
      </c>
      <c r="G523" s="39">
        <f>D523/1000000*52</f>
        <v/>
      </c>
      <c r="H523" s="33">
        <f>G523/$P$4+($C$22/$P$4)</f>
        <v/>
      </c>
      <c r="I523" s="36">
        <f>_xlfn.IFS(K523&lt;K$24,0,K523&lt;K$26,I$24,K523&lt;K$28,I$26,K523&lt;K$30,I$28,K523&lt;K$32,I$30,K523&lt;K$34,I$32,K523&lt;K$36,I$34,K523&lt;K$38,I$36,K523&lt;K$40,I$38,K523&lt;K$42,I$40,K523&lt;K$44,I$42,K523&lt;K$46,I$44,K523&gt;=K$46,I$46)</f>
        <v/>
      </c>
      <c r="J523" s="37">
        <f>_xlfn.IFS(K523&lt;K$24,0,K523&lt;K$25,J$24,K523&lt;K$26,J$25,K523&lt;K$27,J$26,K523&lt;K$28,J$27,K523&lt;K$29,J$28,K523&lt;K$30,J$29,K523&lt;K$31,J$30,K523&lt;K$32,J$31,K523&lt;K$33,J$32,K523&lt;K$34,J$33,K523&lt;K$35,J$34,K523&lt;K$36,J$35,K523&lt;K$37,J$36,K523&lt;K$38,J$37,K523&lt;K$39,J$38,K523&lt;K$40,J$39,K523&lt;K$41,J$40,K523&lt;K$42,J$41,K523&lt;K$43,J$42,K523&lt;K$44,J$43,K523&lt;K$45,J$44,K523&lt;K$46,J$45,K523&lt;K$47,J$46,K523&gt;=K$47,J$47)</f>
        <v/>
      </c>
      <c r="K523" s="38" t="n">
        <v>473</v>
      </c>
      <c r="L523" s="31">
        <f>K523/52</f>
        <v/>
      </c>
      <c r="M523" s="39">
        <f>J523/1000000*52</f>
        <v/>
      </c>
      <c r="N523" s="33">
        <f>M523/$P$4+($I$22/$P$4)</f>
        <v/>
      </c>
      <c r="U523">
        <f>F522</f>
        <v/>
      </c>
      <c r="V523">
        <f>H522</f>
        <v/>
      </c>
      <c r="W523">
        <f>N522</f>
        <v/>
      </c>
    </row>
    <row r="524" ht="15.75" customHeight="1" s="40">
      <c r="C524" s="36">
        <f>_xlfn.IFS(E524&lt;E$24,0,E524&lt;E$26,C$24,E524&lt;E$28,C$26,E524&lt;E$30,C$28,E524&lt;E$32,C$30,E524&lt;E$34,C$32,E524&gt;=E$34,C$34)</f>
        <v/>
      </c>
      <c r="D524" s="37">
        <f>_xlfn.IFS(E524&lt;E$24,0,E524&lt;E$25,D$24,E524&lt;E$26,D$25,E524&lt;E$27,D$26,E524&lt;E$28,D$27,E524&lt;E$29,D$28,E524&lt;E$30,D$29,E524&lt;E$31,D$30,E524&lt;E$32,D$31,E524&lt;E$33,D$32,E524&lt;E$34,D$33,E524&lt;E$35,D$34,E524&gt;=E$35,D$35)</f>
        <v/>
      </c>
      <c r="E524" s="38" t="n">
        <v>474</v>
      </c>
      <c r="F524" s="31">
        <f>E524/52</f>
        <v/>
      </c>
      <c r="G524" s="39">
        <f>D524/1000000*52</f>
        <v/>
      </c>
      <c r="H524" s="33">
        <f>G524/$P$4+($C$22/$P$4)</f>
        <v/>
      </c>
      <c r="I524" s="36">
        <f>_xlfn.IFS(K524&lt;K$24,0,K524&lt;K$26,I$24,K524&lt;K$28,I$26,K524&lt;K$30,I$28,K524&lt;K$32,I$30,K524&lt;K$34,I$32,K524&lt;K$36,I$34,K524&lt;K$38,I$36,K524&lt;K$40,I$38,K524&lt;K$42,I$40,K524&lt;K$44,I$42,K524&lt;K$46,I$44,K524&gt;=K$46,I$46)</f>
        <v/>
      </c>
      <c r="J524" s="37">
        <f>_xlfn.IFS(K524&lt;K$24,0,K524&lt;K$25,J$24,K524&lt;K$26,J$25,K524&lt;K$27,J$26,K524&lt;K$28,J$27,K524&lt;K$29,J$28,K524&lt;K$30,J$29,K524&lt;K$31,J$30,K524&lt;K$32,J$31,K524&lt;K$33,J$32,K524&lt;K$34,J$33,K524&lt;K$35,J$34,K524&lt;K$36,J$35,K524&lt;K$37,J$36,K524&lt;K$38,J$37,K524&lt;K$39,J$38,K524&lt;K$40,J$39,K524&lt;K$41,J$40,K524&lt;K$42,J$41,K524&lt;K$43,J$42,K524&lt;K$44,J$43,K524&lt;K$45,J$44,K524&lt;K$46,J$45,K524&lt;K$47,J$46,K524&gt;=K$47,J$47)</f>
        <v/>
      </c>
      <c r="K524" s="38" t="n">
        <v>474</v>
      </c>
      <c r="L524" s="31">
        <f>K524/52</f>
        <v/>
      </c>
      <c r="M524" s="39">
        <f>J524/1000000*52</f>
        <v/>
      </c>
      <c r="N524" s="33">
        <f>M524/$P$4+($I$22/$P$4)</f>
        <v/>
      </c>
      <c r="U524">
        <f>F523</f>
        <v/>
      </c>
      <c r="V524">
        <f>H523</f>
        <v/>
      </c>
      <c r="W524">
        <f>N523</f>
        <v/>
      </c>
    </row>
    <row r="525" ht="15.75" customHeight="1" s="40">
      <c r="C525" s="36">
        <f>_xlfn.IFS(E525&lt;E$24,0,E525&lt;E$26,C$24,E525&lt;E$28,C$26,E525&lt;E$30,C$28,E525&lt;E$32,C$30,E525&lt;E$34,C$32,E525&gt;=E$34,C$34)</f>
        <v/>
      </c>
      <c r="D525" s="37">
        <f>_xlfn.IFS(E525&lt;E$24,0,E525&lt;E$25,D$24,E525&lt;E$26,D$25,E525&lt;E$27,D$26,E525&lt;E$28,D$27,E525&lt;E$29,D$28,E525&lt;E$30,D$29,E525&lt;E$31,D$30,E525&lt;E$32,D$31,E525&lt;E$33,D$32,E525&lt;E$34,D$33,E525&lt;E$35,D$34,E525&gt;=E$35,D$35)</f>
        <v/>
      </c>
      <c r="E525" s="38" t="n">
        <v>475</v>
      </c>
      <c r="F525" s="31">
        <f>E525/52</f>
        <v/>
      </c>
      <c r="G525" s="39">
        <f>D525/1000000*52</f>
        <v/>
      </c>
      <c r="H525" s="33">
        <f>G525/$P$4+($C$22/$P$4)</f>
        <v/>
      </c>
      <c r="I525" s="36">
        <f>_xlfn.IFS(K525&lt;K$24,0,K525&lt;K$26,I$24,K525&lt;K$28,I$26,K525&lt;K$30,I$28,K525&lt;K$32,I$30,K525&lt;K$34,I$32,K525&lt;K$36,I$34,K525&lt;K$38,I$36,K525&lt;K$40,I$38,K525&lt;K$42,I$40,K525&lt;K$44,I$42,K525&lt;K$46,I$44,K525&gt;=K$46,I$46)</f>
        <v/>
      </c>
      <c r="J525" s="37">
        <f>_xlfn.IFS(K525&lt;K$24,0,K525&lt;K$25,J$24,K525&lt;K$26,J$25,K525&lt;K$27,J$26,K525&lt;K$28,J$27,K525&lt;K$29,J$28,K525&lt;K$30,J$29,K525&lt;K$31,J$30,K525&lt;K$32,J$31,K525&lt;K$33,J$32,K525&lt;K$34,J$33,K525&lt;K$35,J$34,K525&lt;K$36,J$35,K525&lt;K$37,J$36,K525&lt;K$38,J$37,K525&lt;K$39,J$38,K525&lt;K$40,J$39,K525&lt;K$41,J$40,K525&lt;K$42,J$41,K525&lt;K$43,J$42,K525&lt;K$44,J$43,K525&lt;K$45,J$44,K525&lt;K$46,J$45,K525&lt;K$47,J$46,K525&gt;=K$47,J$47)</f>
        <v/>
      </c>
      <c r="K525" s="38" t="n">
        <v>475</v>
      </c>
      <c r="L525" s="31">
        <f>K525/52</f>
        <v/>
      </c>
      <c r="M525" s="39">
        <f>J525/1000000*52</f>
        <v/>
      </c>
      <c r="N525" s="33">
        <f>M525/$P$4+($I$22/$P$4)</f>
        <v/>
      </c>
      <c r="U525">
        <f>F524</f>
        <v/>
      </c>
      <c r="V525">
        <f>H524</f>
        <v/>
      </c>
      <c r="W525">
        <f>N524</f>
        <v/>
      </c>
    </row>
    <row r="526" ht="15.75" customHeight="1" s="40">
      <c r="C526" s="36">
        <f>_xlfn.IFS(E526&lt;E$24,0,E526&lt;E$26,C$24,E526&lt;E$28,C$26,E526&lt;E$30,C$28,E526&lt;E$32,C$30,E526&lt;E$34,C$32,E526&gt;=E$34,C$34)</f>
        <v/>
      </c>
      <c r="D526" s="37">
        <f>_xlfn.IFS(E526&lt;E$24,0,E526&lt;E$25,D$24,E526&lt;E$26,D$25,E526&lt;E$27,D$26,E526&lt;E$28,D$27,E526&lt;E$29,D$28,E526&lt;E$30,D$29,E526&lt;E$31,D$30,E526&lt;E$32,D$31,E526&lt;E$33,D$32,E526&lt;E$34,D$33,E526&lt;E$35,D$34,E526&gt;=E$35,D$35)</f>
        <v/>
      </c>
      <c r="E526" s="38" t="n">
        <v>476</v>
      </c>
      <c r="F526" s="31">
        <f>E526/52</f>
        <v/>
      </c>
      <c r="G526" s="39">
        <f>D526/1000000*52</f>
        <v/>
      </c>
      <c r="H526" s="33">
        <f>G526/$P$4+($C$22/$P$4)</f>
        <v/>
      </c>
      <c r="I526" s="36">
        <f>_xlfn.IFS(K526&lt;K$24,0,K526&lt;K$26,I$24,K526&lt;K$28,I$26,K526&lt;K$30,I$28,K526&lt;K$32,I$30,K526&lt;K$34,I$32,K526&lt;K$36,I$34,K526&lt;K$38,I$36,K526&lt;K$40,I$38,K526&lt;K$42,I$40,K526&lt;K$44,I$42,K526&lt;K$46,I$44,K526&gt;=K$46,I$46)</f>
        <v/>
      </c>
      <c r="J526" s="37">
        <f>_xlfn.IFS(K526&lt;K$24,0,K526&lt;K$25,J$24,K526&lt;K$26,J$25,K526&lt;K$27,J$26,K526&lt;K$28,J$27,K526&lt;K$29,J$28,K526&lt;K$30,J$29,K526&lt;K$31,J$30,K526&lt;K$32,J$31,K526&lt;K$33,J$32,K526&lt;K$34,J$33,K526&lt;K$35,J$34,K526&lt;K$36,J$35,K526&lt;K$37,J$36,K526&lt;K$38,J$37,K526&lt;K$39,J$38,K526&lt;K$40,J$39,K526&lt;K$41,J$40,K526&lt;K$42,J$41,K526&lt;K$43,J$42,K526&lt;K$44,J$43,K526&lt;K$45,J$44,K526&lt;K$46,J$45,K526&lt;K$47,J$46,K526&gt;=K$47,J$47)</f>
        <v/>
      </c>
      <c r="K526" s="38" t="n">
        <v>476</v>
      </c>
      <c r="L526" s="31">
        <f>K526/52</f>
        <v/>
      </c>
      <c r="M526" s="39">
        <f>J526/1000000*52</f>
        <v/>
      </c>
      <c r="N526" s="33">
        <f>M526/$P$4+($I$22/$P$4)</f>
        <v/>
      </c>
      <c r="U526">
        <f>F525</f>
        <v/>
      </c>
      <c r="V526">
        <f>H525</f>
        <v/>
      </c>
      <c r="W526">
        <f>N525</f>
        <v/>
      </c>
    </row>
    <row r="527" ht="15.75" customHeight="1" s="40">
      <c r="C527" s="36">
        <f>_xlfn.IFS(E527&lt;E$24,0,E527&lt;E$26,C$24,E527&lt;E$28,C$26,E527&lt;E$30,C$28,E527&lt;E$32,C$30,E527&lt;E$34,C$32,E527&gt;=E$34,C$34)</f>
        <v/>
      </c>
      <c r="D527" s="37">
        <f>_xlfn.IFS(E527&lt;E$24,0,E527&lt;E$25,D$24,E527&lt;E$26,D$25,E527&lt;E$27,D$26,E527&lt;E$28,D$27,E527&lt;E$29,D$28,E527&lt;E$30,D$29,E527&lt;E$31,D$30,E527&lt;E$32,D$31,E527&lt;E$33,D$32,E527&lt;E$34,D$33,E527&lt;E$35,D$34,E527&gt;=E$35,D$35)</f>
        <v/>
      </c>
      <c r="E527" s="38" t="n">
        <v>477</v>
      </c>
      <c r="F527" s="31">
        <f>E527/52</f>
        <v/>
      </c>
      <c r="G527" s="39">
        <f>D527/1000000*52</f>
        <v/>
      </c>
      <c r="H527" s="33">
        <f>G527/$P$4+($C$22/$P$4)</f>
        <v/>
      </c>
      <c r="I527" s="36">
        <f>_xlfn.IFS(K527&lt;K$24,0,K527&lt;K$26,I$24,K527&lt;K$28,I$26,K527&lt;K$30,I$28,K527&lt;K$32,I$30,K527&lt;K$34,I$32,K527&lt;K$36,I$34,K527&lt;K$38,I$36,K527&lt;K$40,I$38,K527&lt;K$42,I$40,K527&lt;K$44,I$42,K527&lt;K$46,I$44,K527&gt;=K$46,I$46)</f>
        <v/>
      </c>
      <c r="J527" s="37">
        <f>_xlfn.IFS(K527&lt;K$24,0,K527&lt;K$25,J$24,K527&lt;K$26,J$25,K527&lt;K$27,J$26,K527&lt;K$28,J$27,K527&lt;K$29,J$28,K527&lt;K$30,J$29,K527&lt;K$31,J$30,K527&lt;K$32,J$31,K527&lt;K$33,J$32,K527&lt;K$34,J$33,K527&lt;K$35,J$34,K527&lt;K$36,J$35,K527&lt;K$37,J$36,K527&lt;K$38,J$37,K527&lt;K$39,J$38,K527&lt;K$40,J$39,K527&lt;K$41,J$40,K527&lt;K$42,J$41,K527&lt;K$43,J$42,K527&lt;K$44,J$43,K527&lt;K$45,J$44,K527&lt;K$46,J$45,K527&lt;K$47,J$46,K527&gt;=K$47,J$47)</f>
        <v/>
      </c>
      <c r="K527" s="38" t="n">
        <v>477</v>
      </c>
      <c r="L527" s="31">
        <f>K527/52</f>
        <v/>
      </c>
      <c r="M527" s="39">
        <f>J527/1000000*52</f>
        <v/>
      </c>
      <c r="N527" s="33">
        <f>M527/$P$4+($I$22/$P$4)</f>
        <v/>
      </c>
      <c r="U527">
        <f>F526</f>
        <v/>
      </c>
      <c r="V527">
        <f>H526</f>
        <v/>
      </c>
      <c r="W527">
        <f>N526</f>
        <v/>
      </c>
    </row>
    <row r="528" ht="15.75" customHeight="1" s="40">
      <c r="C528" s="36">
        <f>_xlfn.IFS(E528&lt;E$24,0,E528&lt;E$26,C$24,E528&lt;E$28,C$26,E528&lt;E$30,C$28,E528&lt;E$32,C$30,E528&lt;E$34,C$32,E528&gt;=E$34,C$34)</f>
        <v/>
      </c>
      <c r="D528" s="37">
        <f>_xlfn.IFS(E528&lt;E$24,0,E528&lt;E$25,D$24,E528&lt;E$26,D$25,E528&lt;E$27,D$26,E528&lt;E$28,D$27,E528&lt;E$29,D$28,E528&lt;E$30,D$29,E528&lt;E$31,D$30,E528&lt;E$32,D$31,E528&lt;E$33,D$32,E528&lt;E$34,D$33,E528&lt;E$35,D$34,E528&gt;=E$35,D$35)</f>
        <v/>
      </c>
      <c r="E528" s="38" t="n">
        <v>478</v>
      </c>
      <c r="F528" s="31">
        <f>E528/52</f>
        <v/>
      </c>
      <c r="G528" s="39">
        <f>D528/1000000*52</f>
        <v/>
      </c>
      <c r="H528" s="33">
        <f>G528/$P$4+($C$22/$P$4)</f>
        <v/>
      </c>
      <c r="I528" s="36">
        <f>_xlfn.IFS(K528&lt;K$24,0,K528&lt;K$26,I$24,K528&lt;K$28,I$26,K528&lt;K$30,I$28,K528&lt;K$32,I$30,K528&lt;K$34,I$32,K528&lt;K$36,I$34,K528&lt;K$38,I$36,K528&lt;K$40,I$38,K528&lt;K$42,I$40,K528&lt;K$44,I$42,K528&lt;K$46,I$44,K528&gt;=K$46,I$46)</f>
        <v/>
      </c>
      <c r="J528" s="37">
        <f>_xlfn.IFS(K528&lt;K$24,0,K528&lt;K$25,J$24,K528&lt;K$26,J$25,K528&lt;K$27,J$26,K528&lt;K$28,J$27,K528&lt;K$29,J$28,K528&lt;K$30,J$29,K528&lt;K$31,J$30,K528&lt;K$32,J$31,K528&lt;K$33,J$32,K528&lt;K$34,J$33,K528&lt;K$35,J$34,K528&lt;K$36,J$35,K528&lt;K$37,J$36,K528&lt;K$38,J$37,K528&lt;K$39,J$38,K528&lt;K$40,J$39,K528&lt;K$41,J$40,K528&lt;K$42,J$41,K528&lt;K$43,J$42,K528&lt;K$44,J$43,K528&lt;K$45,J$44,K528&lt;K$46,J$45,K528&lt;K$47,J$46,K528&gt;=K$47,J$47)</f>
        <v/>
      </c>
      <c r="K528" s="38" t="n">
        <v>478</v>
      </c>
      <c r="L528" s="31">
        <f>K528/52</f>
        <v/>
      </c>
      <c r="M528" s="39">
        <f>J528/1000000*52</f>
        <v/>
      </c>
      <c r="N528" s="33">
        <f>M528/$P$4+($I$22/$P$4)</f>
        <v/>
      </c>
      <c r="U528">
        <f>F527</f>
        <v/>
      </c>
      <c r="V528">
        <f>H527</f>
        <v/>
      </c>
      <c r="W528">
        <f>N527</f>
        <v/>
      </c>
    </row>
    <row r="529" ht="15.75" customHeight="1" s="40">
      <c r="C529" s="36">
        <f>_xlfn.IFS(E529&lt;E$24,0,E529&lt;E$26,C$24,E529&lt;E$28,C$26,E529&lt;E$30,C$28,E529&lt;E$32,C$30,E529&lt;E$34,C$32,E529&gt;=E$34,C$34)</f>
        <v/>
      </c>
      <c r="D529" s="37">
        <f>_xlfn.IFS(E529&lt;E$24,0,E529&lt;E$25,D$24,E529&lt;E$26,D$25,E529&lt;E$27,D$26,E529&lt;E$28,D$27,E529&lt;E$29,D$28,E529&lt;E$30,D$29,E529&lt;E$31,D$30,E529&lt;E$32,D$31,E529&lt;E$33,D$32,E529&lt;E$34,D$33,E529&lt;E$35,D$34,E529&gt;=E$35,D$35)</f>
        <v/>
      </c>
      <c r="E529" s="38" t="n">
        <v>479</v>
      </c>
      <c r="F529" s="31">
        <f>E529/52</f>
        <v/>
      </c>
      <c r="G529" s="39">
        <f>D529/1000000*52</f>
        <v/>
      </c>
      <c r="H529" s="33">
        <f>G529/$P$4+($C$22/$P$4)</f>
        <v/>
      </c>
      <c r="I529" s="36">
        <f>_xlfn.IFS(K529&lt;K$24,0,K529&lt;K$26,I$24,K529&lt;K$28,I$26,K529&lt;K$30,I$28,K529&lt;K$32,I$30,K529&lt;K$34,I$32,K529&lt;K$36,I$34,K529&lt;K$38,I$36,K529&lt;K$40,I$38,K529&lt;K$42,I$40,K529&lt;K$44,I$42,K529&lt;K$46,I$44,K529&gt;=K$46,I$46)</f>
        <v/>
      </c>
      <c r="J529" s="37">
        <f>_xlfn.IFS(K529&lt;K$24,0,K529&lt;K$25,J$24,K529&lt;K$26,J$25,K529&lt;K$27,J$26,K529&lt;K$28,J$27,K529&lt;K$29,J$28,K529&lt;K$30,J$29,K529&lt;K$31,J$30,K529&lt;K$32,J$31,K529&lt;K$33,J$32,K529&lt;K$34,J$33,K529&lt;K$35,J$34,K529&lt;K$36,J$35,K529&lt;K$37,J$36,K529&lt;K$38,J$37,K529&lt;K$39,J$38,K529&lt;K$40,J$39,K529&lt;K$41,J$40,K529&lt;K$42,J$41,K529&lt;K$43,J$42,K529&lt;K$44,J$43,K529&lt;K$45,J$44,K529&lt;K$46,J$45,K529&lt;K$47,J$46,K529&gt;=K$47,J$47)</f>
        <v/>
      </c>
      <c r="K529" s="38" t="n">
        <v>479</v>
      </c>
      <c r="L529" s="31">
        <f>K529/52</f>
        <v/>
      </c>
      <c r="M529" s="39">
        <f>J529/1000000*52</f>
        <v/>
      </c>
      <c r="N529" s="33">
        <f>M529/$P$4+($I$22/$P$4)</f>
        <v/>
      </c>
      <c r="U529">
        <f>F528</f>
        <v/>
      </c>
      <c r="V529">
        <f>H528</f>
        <v/>
      </c>
      <c r="W529">
        <f>N528</f>
        <v/>
      </c>
    </row>
    <row r="530" ht="15.75" customHeight="1" s="40">
      <c r="C530" s="36">
        <f>_xlfn.IFS(E530&lt;E$24,0,E530&lt;E$26,C$24,E530&lt;E$28,C$26,E530&lt;E$30,C$28,E530&lt;E$32,C$30,E530&lt;E$34,C$32,E530&gt;=E$34,C$34)</f>
        <v/>
      </c>
      <c r="D530" s="37">
        <f>_xlfn.IFS(E530&lt;E$24,0,E530&lt;E$25,D$24,E530&lt;E$26,D$25,E530&lt;E$27,D$26,E530&lt;E$28,D$27,E530&lt;E$29,D$28,E530&lt;E$30,D$29,E530&lt;E$31,D$30,E530&lt;E$32,D$31,E530&lt;E$33,D$32,E530&lt;E$34,D$33,E530&lt;E$35,D$34,E530&gt;=E$35,D$35)</f>
        <v/>
      </c>
      <c r="E530" s="38" t="n">
        <v>480</v>
      </c>
      <c r="F530" s="31">
        <f>E530/52</f>
        <v/>
      </c>
      <c r="G530" s="39">
        <f>D530/1000000*52</f>
        <v/>
      </c>
      <c r="H530" s="33">
        <f>G530/$P$4+($C$22/$P$4)</f>
        <v/>
      </c>
      <c r="I530" s="36">
        <f>_xlfn.IFS(K530&lt;K$24,0,K530&lt;K$26,I$24,K530&lt;K$28,I$26,K530&lt;K$30,I$28,K530&lt;K$32,I$30,K530&lt;K$34,I$32,K530&lt;K$36,I$34,K530&lt;K$38,I$36,K530&lt;K$40,I$38,K530&lt;K$42,I$40,K530&lt;K$44,I$42,K530&lt;K$46,I$44,K530&gt;=K$46,I$46)</f>
        <v/>
      </c>
      <c r="J530" s="37">
        <f>_xlfn.IFS(K530&lt;K$24,0,K530&lt;K$25,J$24,K530&lt;K$26,J$25,K530&lt;K$27,J$26,K530&lt;K$28,J$27,K530&lt;K$29,J$28,K530&lt;K$30,J$29,K530&lt;K$31,J$30,K530&lt;K$32,J$31,K530&lt;K$33,J$32,K530&lt;K$34,J$33,K530&lt;K$35,J$34,K530&lt;K$36,J$35,K530&lt;K$37,J$36,K530&lt;K$38,J$37,K530&lt;K$39,J$38,K530&lt;K$40,J$39,K530&lt;K$41,J$40,K530&lt;K$42,J$41,K530&lt;K$43,J$42,K530&lt;K$44,J$43,K530&lt;K$45,J$44,K530&lt;K$46,J$45,K530&lt;K$47,J$46,K530&gt;=K$47,J$47)</f>
        <v/>
      </c>
      <c r="K530" s="38" t="n">
        <v>480</v>
      </c>
      <c r="L530" s="31">
        <f>K530/52</f>
        <v/>
      </c>
      <c r="M530" s="39">
        <f>J530/1000000*52</f>
        <v/>
      </c>
      <c r="N530" s="33">
        <f>M530/$P$4+($I$22/$P$4)</f>
        <v/>
      </c>
      <c r="U530">
        <f>F529</f>
        <v/>
      </c>
      <c r="V530">
        <f>H529</f>
        <v/>
      </c>
      <c r="W530">
        <f>N529</f>
        <v/>
      </c>
    </row>
    <row r="531" ht="15.75" customHeight="1" s="40">
      <c r="C531" s="36">
        <f>_xlfn.IFS(E531&lt;E$24,0,E531&lt;E$26,C$24,E531&lt;E$28,C$26,E531&lt;E$30,C$28,E531&lt;E$32,C$30,E531&lt;E$34,C$32,E531&gt;=E$34,C$34)</f>
        <v/>
      </c>
      <c r="D531" s="37">
        <f>_xlfn.IFS(E531&lt;E$24,0,E531&lt;E$25,D$24,E531&lt;E$26,D$25,E531&lt;E$27,D$26,E531&lt;E$28,D$27,E531&lt;E$29,D$28,E531&lt;E$30,D$29,E531&lt;E$31,D$30,E531&lt;E$32,D$31,E531&lt;E$33,D$32,E531&lt;E$34,D$33,E531&lt;E$35,D$34,E531&gt;=E$35,D$35)</f>
        <v/>
      </c>
      <c r="E531" s="38" t="n">
        <v>481</v>
      </c>
      <c r="F531" s="31">
        <f>E531/52</f>
        <v/>
      </c>
      <c r="G531" s="39">
        <f>D531/1000000*52</f>
        <v/>
      </c>
      <c r="H531" s="33">
        <f>G531/$P$4+($C$22/$P$4)</f>
        <v/>
      </c>
      <c r="I531" s="36">
        <f>_xlfn.IFS(K531&lt;K$24,0,K531&lt;K$26,I$24,K531&lt;K$28,I$26,K531&lt;K$30,I$28,K531&lt;K$32,I$30,K531&lt;K$34,I$32,K531&lt;K$36,I$34,K531&lt;K$38,I$36,K531&lt;K$40,I$38,K531&lt;K$42,I$40,K531&lt;K$44,I$42,K531&lt;K$46,I$44,K531&gt;=K$46,I$46)</f>
        <v/>
      </c>
      <c r="J531" s="37">
        <f>_xlfn.IFS(K531&lt;K$24,0,K531&lt;K$25,J$24,K531&lt;K$26,J$25,K531&lt;K$27,J$26,K531&lt;K$28,J$27,K531&lt;K$29,J$28,K531&lt;K$30,J$29,K531&lt;K$31,J$30,K531&lt;K$32,J$31,K531&lt;K$33,J$32,K531&lt;K$34,J$33,K531&lt;K$35,J$34,K531&lt;K$36,J$35,K531&lt;K$37,J$36,K531&lt;K$38,J$37,K531&lt;K$39,J$38,K531&lt;K$40,J$39,K531&lt;K$41,J$40,K531&lt;K$42,J$41,K531&lt;K$43,J$42,K531&lt;K$44,J$43,K531&lt;K$45,J$44,K531&lt;K$46,J$45,K531&lt;K$47,J$46,K531&gt;=K$47,J$47)</f>
        <v/>
      </c>
      <c r="K531" s="38" t="n">
        <v>481</v>
      </c>
      <c r="L531" s="31">
        <f>K531/52</f>
        <v/>
      </c>
      <c r="M531" s="39">
        <f>J531/1000000*52</f>
        <v/>
      </c>
      <c r="N531" s="33">
        <f>M531/$P$4+($I$22/$P$4)</f>
        <v/>
      </c>
      <c r="U531">
        <f>F530</f>
        <v/>
      </c>
      <c r="V531">
        <f>H530</f>
        <v/>
      </c>
      <c r="W531">
        <f>N530</f>
        <v/>
      </c>
    </row>
    <row r="532" ht="15.75" customHeight="1" s="40">
      <c r="C532" s="36">
        <f>_xlfn.IFS(E532&lt;E$24,0,E532&lt;E$26,C$24,E532&lt;E$28,C$26,E532&lt;E$30,C$28,E532&lt;E$32,C$30,E532&lt;E$34,C$32,E532&gt;=E$34,C$34)</f>
        <v/>
      </c>
      <c r="D532" s="37">
        <f>_xlfn.IFS(E532&lt;E$24,0,E532&lt;E$25,D$24,E532&lt;E$26,D$25,E532&lt;E$27,D$26,E532&lt;E$28,D$27,E532&lt;E$29,D$28,E532&lt;E$30,D$29,E532&lt;E$31,D$30,E532&lt;E$32,D$31,E532&lt;E$33,D$32,E532&lt;E$34,D$33,E532&lt;E$35,D$34,E532&gt;=E$35,D$35)</f>
        <v/>
      </c>
      <c r="E532" s="38" t="n">
        <v>482</v>
      </c>
      <c r="F532" s="31">
        <f>E532/52</f>
        <v/>
      </c>
      <c r="G532" s="39">
        <f>D532/1000000*52</f>
        <v/>
      </c>
      <c r="H532" s="33">
        <f>G532/$P$4+($C$22/$P$4)</f>
        <v/>
      </c>
      <c r="I532" s="36">
        <f>_xlfn.IFS(K532&lt;K$24,0,K532&lt;K$26,I$24,K532&lt;K$28,I$26,K532&lt;K$30,I$28,K532&lt;K$32,I$30,K532&lt;K$34,I$32,K532&lt;K$36,I$34,K532&lt;K$38,I$36,K532&lt;K$40,I$38,K532&lt;K$42,I$40,K532&lt;K$44,I$42,K532&lt;K$46,I$44,K532&gt;=K$46,I$46)</f>
        <v/>
      </c>
      <c r="J532" s="37">
        <f>_xlfn.IFS(K532&lt;K$24,0,K532&lt;K$25,J$24,K532&lt;K$26,J$25,K532&lt;K$27,J$26,K532&lt;K$28,J$27,K532&lt;K$29,J$28,K532&lt;K$30,J$29,K532&lt;K$31,J$30,K532&lt;K$32,J$31,K532&lt;K$33,J$32,K532&lt;K$34,J$33,K532&lt;K$35,J$34,K532&lt;K$36,J$35,K532&lt;K$37,J$36,K532&lt;K$38,J$37,K532&lt;K$39,J$38,K532&lt;K$40,J$39,K532&lt;K$41,J$40,K532&lt;K$42,J$41,K532&lt;K$43,J$42,K532&lt;K$44,J$43,K532&lt;K$45,J$44,K532&lt;K$46,J$45,K532&lt;K$47,J$46,K532&gt;=K$47,J$47)</f>
        <v/>
      </c>
      <c r="K532" s="38" t="n">
        <v>482</v>
      </c>
      <c r="L532" s="31">
        <f>K532/52</f>
        <v/>
      </c>
      <c r="M532" s="39">
        <f>J532/1000000*52</f>
        <v/>
      </c>
      <c r="N532" s="33">
        <f>M532/$P$4+($I$22/$P$4)</f>
        <v/>
      </c>
      <c r="U532">
        <f>F531</f>
        <v/>
      </c>
      <c r="V532">
        <f>H531</f>
        <v/>
      </c>
      <c r="W532">
        <f>N531</f>
        <v/>
      </c>
    </row>
    <row r="533" ht="15.75" customHeight="1" s="40">
      <c r="C533" s="36">
        <f>_xlfn.IFS(E533&lt;E$24,0,E533&lt;E$26,C$24,E533&lt;E$28,C$26,E533&lt;E$30,C$28,E533&lt;E$32,C$30,E533&lt;E$34,C$32,E533&gt;=E$34,C$34)</f>
        <v/>
      </c>
      <c r="D533" s="37">
        <f>_xlfn.IFS(E533&lt;E$24,0,E533&lt;E$25,D$24,E533&lt;E$26,D$25,E533&lt;E$27,D$26,E533&lt;E$28,D$27,E533&lt;E$29,D$28,E533&lt;E$30,D$29,E533&lt;E$31,D$30,E533&lt;E$32,D$31,E533&lt;E$33,D$32,E533&lt;E$34,D$33,E533&lt;E$35,D$34,E533&gt;=E$35,D$35)</f>
        <v/>
      </c>
      <c r="E533" s="38" t="n">
        <v>483</v>
      </c>
      <c r="F533" s="31">
        <f>E533/52</f>
        <v/>
      </c>
      <c r="G533" s="39">
        <f>D533/1000000*52</f>
        <v/>
      </c>
      <c r="H533" s="33">
        <f>G533/$P$4+($C$22/$P$4)</f>
        <v/>
      </c>
      <c r="I533" s="36">
        <f>_xlfn.IFS(K533&lt;K$24,0,K533&lt;K$26,I$24,K533&lt;K$28,I$26,K533&lt;K$30,I$28,K533&lt;K$32,I$30,K533&lt;K$34,I$32,K533&lt;K$36,I$34,K533&lt;K$38,I$36,K533&lt;K$40,I$38,K533&lt;K$42,I$40,K533&lt;K$44,I$42,K533&lt;K$46,I$44,K533&gt;=K$46,I$46)</f>
        <v/>
      </c>
      <c r="J533" s="37">
        <f>_xlfn.IFS(K533&lt;K$24,0,K533&lt;K$25,J$24,K533&lt;K$26,J$25,K533&lt;K$27,J$26,K533&lt;K$28,J$27,K533&lt;K$29,J$28,K533&lt;K$30,J$29,K533&lt;K$31,J$30,K533&lt;K$32,J$31,K533&lt;K$33,J$32,K533&lt;K$34,J$33,K533&lt;K$35,J$34,K533&lt;K$36,J$35,K533&lt;K$37,J$36,K533&lt;K$38,J$37,K533&lt;K$39,J$38,K533&lt;K$40,J$39,K533&lt;K$41,J$40,K533&lt;K$42,J$41,K533&lt;K$43,J$42,K533&lt;K$44,J$43,K533&lt;K$45,J$44,K533&lt;K$46,J$45,K533&lt;K$47,J$46,K533&gt;=K$47,J$47)</f>
        <v/>
      </c>
      <c r="K533" s="38" t="n">
        <v>483</v>
      </c>
      <c r="L533" s="31">
        <f>K533/52</f>
        <v/>
      </c>
      <c r="M533" s="39">
        <f>J533/1000000*52</f>
        <v/>
      </c>
      <c r="N533" s="33">
        <f>M533/$P$4+($I$22/$P$4)</f>
        <v/>
      </c>
      <c r="U533">
        <f>F532</f>
        <v/>
      </c>
      <c r="V533">
        <f>H532</f>
        <v/>
      </c>
      <c r="W533">
        <f>N532</f>
        <v/>
      </c>
    </row>
    <row r="534" ht="15.75" customHeight="1" s="40">
      <c r="C534" s="36">
        <f>_xlfn.IFS(E534&lt;E$24,0,E534&lt;E$26,C$24,E534&lt;E$28,C$26,E534&lt;E$30,C$28,E534&lt;E$32,C$30,E534&lt;E$34,C$32,E534&gt;=E$34,C$34)</f>
        <v/>
      </c>
      <c r="D534" s="37">
        <f>_xlfn.IFS(E534&lt;E$24,0,E534&lt;E$25,D$24,E534&lt;E$26,D$25,E534&lt;E$27,D$26,E534&lt;E$28,D$27,E534&lt;E$29,D$28,E534&lt;E$30,D$29,E534&lt;E$31,D$30,E534&lt;E$32,D$31,E534&lt;E$33,D$32,E534&lt;E$34,D$33,E534&lt;E$35,D$34,E534&gt;=E$35,D$35)</f>
        <v/>
      </c>
      <c r="E534" s="38" t="n">
        <v>484</v>
      </c>
      <c r="F534" s="31">
        <f>E534/52</f>
        <v/>
      </c>
      <c r="G534" s="39">
        <f>D534/1000000*52</f>
        <v/>
      </c>
      <c r="H534" s="33">
        <f>G534/$P$4+($C$22/$P$4)</f>
        <v/>
      </c>
      <c r="I534" s="36">
        <f>_xlfn.IFS(K534&lt;K$24,0,K534&lt;K$26,I$24,K534&lt;K$28,I$26,K534&lt;K$30,I$28,K534&lt;K$32,I$30,K534&lt;K$34,I$32,K534&lt;K$36,I$34,K534&lt;K$38,I$36,K534&lt;K$40,I$38,K534&lt;K$42,I$40,K534&lt;K$44,I$42,K534&lt;K$46,I$44,K534&gt;=K$46,I$46)</f>
        <v/>
      </c>
      <c r="J534" s="37">
        <f>_xlfn.IFS(K534&lt;K$24,0,K534&lt;K$25,J$24,K534&lt;K$26,J$25,K534&lt;K$27,J$26,K534&lt;K$28,J$27,K534&lt;K$29,J$28,K534&lt;K$30,J$29,K534&lt;K$31,J$30,K534&lt;K$32,J$31,K534&lt;K$33,J$32,K534&lt;K$34,J$33,K534&lt;K$35,J$34,K534&lt;K$36,J$35,K534&lt;K$37,J$36,K534&lt;K$38,J$37,K534&lt;K$39,J$38,K534&lt;K$40,J$39,K534&lt;K$41,J$40,K534&lt;K$42,J$41,K534&lt;K$43,J$42,K534&lt;K$44,J$43,K534&lt;K$45,J$44,K534&lt;K$46,J$45,K534&lt;K$47,J$46,K534&gt;=K$47,J$47)</f>
        <v/>
      </c>
      <c r="K534" s="38" t="n">
        <v>484</v>
      </c>
      <c r="L534" s="31">
        <f>K534/52</f>
        <v/>
      </c>
      <c r="M534" s="39">
        <f>J534/1000000*52</f>
        <v/>
      </c>
      <c r="N534" s="33">
        <f>M534/$P$4+($I$22/$P$4)</f>
        <v/>
      </c>
      <c r="U534">
        <f>F533</f>
        <v/>
      </c>
      <c r="V534">
        <f>H533</f>
        <v/>
      </c>
      <c r="W534">
        <f>N533</f>
        <v/>
      </c>
    </row>
    <row r="535" ht="15.75" customHeight="1" s="40">
      <c r="C535" s="36">
        <f>_xlfn.IFS(E535&lt;E$24,0,E535&lt;E$26,C$24,E535&lt;E$28,C$26,E535&lt;E$30,C$28,E535&lt;E$32,C$30,E535&lt;E$34,C$32,E535&gt;=E$34,C$34)</f>
        <v/>
      </c>
      <c r="D535" s="37">
        <f>_xlfn.IFS(E535&lt;E$24,0,E535&lt;E$25,D$24,E535&lt;E$26,D$25,E535&lt;E$27,D$26,E535&lt;E$28,D$27,E535&lt;E$29,D$28,E535&lt;E$30,D$29,E535&lt;E$31,D$30,E535&lt;E$32,D$31,E535&lt;E$33,D$32,E535&lt;E$34,D$33,E535&lt;E$35,D$34,E535&gt;=E$35,D$35)</f>
        <v/>
      </c>
      <c r="E535" s="38" t="n">
        <v>485</v>
      </c>
      <c r="F535" s="31">
        <f>E535/52</f>
        <v/>
      </c>
      <c r="G535" s="39">
        <f>D535/1000000*52</f>
        <v/>
      </c>
      <c r="H535" s="33">
        <f>G535/$P$4+($C$22/$P$4)</f>
        <v/>
      </c>
      <c r="I535" s="36">
        <f>_xlfn.IFS(K535&lt;K$24,0,K535&lt;K$26,I$24,K535&lt;K$28,I$26,K535&lt;K$30,I$28,K535&lt;K$32,I$30,K535&lt;K$34,I$32,K535&lt;K$36,I$34,K535&lt;K$38,I$36,K535&lt;K$40,I$38,K535&lt;K$42,I$40,K535&lt;K$44,I$42,K535&lt;K$46,I$44,K535&gt;=K$46,I$46)</f>
        <v/>
      </c>
      <c r="J535" s="37">
        <f>_xlfn.IFS(K535&lt;K$24,0,K535&lt;K$25,J$24,K535&lt;K$26,J$25,K535&lt;K$27,J$26,K535&lt;K$28,J$27,K535&lt;K$29,J$28,K535&lt;K$30,J$29,K535&lt;K$31,J$30,K535&lt;K$32,J$31,K535&lt;K$33,J$32,K535&lt;K$34,J$33,K535&lt;K$35,J$34,K535&lt;K$36,J$35,K535&lt;K$37,J$36,K535&lt;K$38,J$37,K535&lt;K$39,J$38,K535&lt;K$40,J$39,K535&lt;K$41,J$40,K535&lt;K$42,J$41,K535&lt;K$43,J$42,K535&lt;K$44,J$43,K535&lt;K$45,J$44,K535&lt;K$46,J$45,K535&lt;K$47,J$46,K535&gt;=K$47,J$47)</f>
        <v/>
      </c>
      <c r="K535" s="38" t="n">
        <v>485</v>
      </c>
      <c r="L535" s="31">
        <f>K535/52</f>
        <v/>
      </c>
      <c r="M535" s="39">
        <f>J535/1000000*52</f>
        <v/>
      </c>
      <c r="N535" s="33">
        <f>M535/$P$4+($I$22/$P$4)</f>
        <v/>
      </c>
      <c r="U535">
        <f>F534</f>
        <v/>
      </c>
      <c r="V535">
        <f>H534</f>
        <v/>
      </c>
      <c r="W535">
        <f>N534</f>
        <v/>
      </c>
    </row>
    <row r="536" ht="15.75" customHeight="1" s="40">
      <c r="C536" s="36">
        <f>_xlfn.IFS(E536&lt;E$24,0,E536&lt;E$26,C$24,E536&lt;E$28,C$26,E536&lt;E$30,C$28,E536&lt;E$32,C$30,E536&lt;E$34,C$32,E536&gt;=E$34,C$34)</f>
        <v/>
      </c>
      <c r="D536" s="37">
        <f>_xlfn.IFS(E536&lt;E$24,0,E536&lt;E$25,D$24,E536&lt;E$26,D$25,E536&lt;E$27,D$26,E536&lt;E$28,D$27,E536&lt;E$29,D$28,E536&lt;E$30,D$29,E536&lt;E$31,D$30,E536&lt;E$32,D$31,E536&lt;E$33,D$32,E536&lt;E$34,D$33,E536&lt;E$35,D$34,E536&gt;=E$35,D$35)</f>
        <v/>
      </c>
      <c r="E536" s="38" t="n">
        <v>486</v>
      </c>
      <c r="F536" s="31">
        <f>E536/52</f>
        <v/>
      </c>
      <c r="G536" s="39">
        <f>D536/1000000*52</f>
        <v/>
      </c>
      <c r="H536" s="33">
        <f>G536/$P$4+($C$22/$P$4)</f>
        <v/>
      </c>
      <c r="I536" s="36">
        <f>_xlfn.IFS(K536&lt;K$24,0,K536&lt;K$26,I$24,K536&lt;K$28,I$26,K536&lt;K$30,I$28,K536&lt;K$32,I$30,K536&lt;K$34,I$32,K536&lt;K$36,I$34,K536&lt;K$38,I$36,K536&lt;K$40,I$38,K536&lt;K$42,I$40,K536&lt;K$44,I$42,K536&lt;K$46,I$44,K536&gt;=K$46,I$46)</f>
        <v/>
      </c>
      <c r="J536" s="37">
        <f>_xlfn.IFS(K536&lt;K$24,0,K536&lt;K$25,J$24,K536&lt;K$26,J$25,K536&lt;K$27,J$26,K536&lt;K$28,J$27,K536&lt;K$29,J$28,K536&lt;K$30,J$29,K536&lt;K$31,J$30,K536&lt;K$32,J$31,K536&lt;K$33,J$32,K536&lt;K$34,J$33,K536&lt;K$35,J$34,K536&lt;K$36,J$35,K536&lt;K$37,J$36,K536&lt;K$38,J$37,K536&lt;K$39,J$38,K536&lt;K$40,J$39,K536&lt;K$41,J$40,K536&lt;K$42,J$41,K536&lt;K$43,J$42,K536&lt;K$44,J$43,K536&lt;K$45,J$44,K536&lt;K$46,J$45,K536&lt;K$47,J$46,K536&gt;=K$47,J$47)</f>
        <v/>
      </c>
      <c r="K536" s="38" t="n">
        <v>486</v>
      </c>
      <c r="L536" s="31">
        <f>K536/52</f>
        <v/>
      </c>
      <c r="M536" s="39">
        <f>J536/1000000*52</f>
        <v/>
      </c>
      <c r="N536" s="33">
        <f>M536/$P$4+($I$22/$P$4)</f>
        <v/>
      </c>
      <c r="U536">
        <f>F535</f>
        <v/>
      </c>
      <c r="V536">
        <f>H535</f>
        <v/>
      </c>
      <c r="W536">
        <f>N535</f>
        <v/>
      </c>
    </row>
    <row r="537" ht="15.75" customHeight="1" s="40">
      <c r="C537" s="36">
        <f>_xlfn.IFS(E537&lt;E$24,0,E537&lt;E$26,C$24,E537&lt;E$28,C$26,E537&lt;E$30,C$28,E537&lt;E$32,C$30,E537&lt;E$34,C$32,E537&gt;=E$34,C$34)</f>
        <v/>
      </c>
      <c r="D537" s="37">
        <f>_xlfn.IFS(E537&lt;E$24,0,E537&lt;E$25,D$24,E537&lt;E$26,D$25,E537&lt;E$27,D$26,E537&lt;E$28,D$27,E537&lt;E$29,D$28,E537&lt;E$30,D$29,E537&lt;E$31,D$30,E537&lt;E$32,D$31,E537&lt;E$33,D$32,E537&lt;E$34,D$33,E537&lt;E$35,D$34,E537&gt;=E$35,D$35)</f>
        <v/>
      </c>
      <c r="E537" s="38" t="n">
        <v>487</v>
      </c>
      <c r="F537" s="31">
        <f>E537/52</f>
        <v/>
      </c>
      <c r="G537" s="39">
        <f>D537/1000000*52</f>
        <v/>
      </c>
      <c r="H537" s="33">
        <f>G537/$P$4+($C$22/$P$4)</f>
        <v/>
      </c>
      <c r="I537" s="36">
        <f>_xlfn.IFS(K537&lt;K$24,0,K537&lt;K$26,I$24,K537&lt;K$28,I$26,K537&lt;K$30,I$28,K537&lt;K$32,I$30,K537&lt;K$34,I$32,K537&lt;K$36,I$34,K537&lt;K$38,I$36,K537&lt;K$40,I$38,K537&lt;K$42,I$40,K537&lt;K$44,I$42,K537&lt;K$46,I$44,K537&gt;=K$46,I$46)</f>
        <v/>
      </c>
      <c r="J537" s="37">
        <f>_xlfn.IFS(K537&lt;K$24,0,K537&lt;K$25,J$24,K537&lt;K$26,J$25,K537&lt;K$27,J$26,K537&lt;K$28,J$27,K537&lt;K$29,J$28,K537&lt;K$30,J$29,K537&lt;K$31,J$30,K537&lt;K$32,J$31,K537&lt;K$33,J$32,K537&lt;K$34,J$33,K537&lt;K$35,J$34,K537&lt;K$36,J$35,K537&lt;K$37,J$36,K537&lt;K$38,J$37,K537&lt;K$39,J$38,K537&lt;K$40,J$39,K537&lt;K$41,J$40,K537&lt;K$42,J$41,K537&lt;K$43,J$42,K537&lt;K$44,J$43,K537&lt;K$45,J$44,K537&lt;K$46,J$45,K537&lt;K$47,J$46,K537&gt;=K$47,J$47)</f>
        <v/>
      </c>
      <c r="K537" s="38" t="n">
        <v>487</v>
      </c>
      <c r="L537" s="31">
        <f>K537/52</f>
        <v/>
      </c>
      <c r="M537" s="39">
        <f>J537/1000000*52</f>
        <v/>
      </c>
      <c r="N537" s="33">
        <f>M537/$P$4+($I$22/$P$4)</f>
        <v/>
      </c>
      <c r="U537">
        <f>F536</f>
        <v/>
      </c>
      <c r="V537">
        <f>H536</f>
        <v/>
      </c>
      <c r="W537">
        <f>N536</f>
        <v/>
      </c>
    </row>
    <row r="538" ht="15.75" customHeight="1" s="40">
      <c r="C538" s="36">
        <f>_xlfn.IFS(E538&lt;E$24,0,E538&lt;E$26,C$24,E538&lt;E$28,C$26,E538&lt;E$30,C$28,E538&lt;E$32,C$30,E538&lt;E$34,C$32,E538&gt;=E$34,C$34)</f>
        <v/>
      </c>
      <c r="D538" s="37">
        <f>_xlfn.IFS(E538&lt;E$24,0,E538&lt;E$25,D$24,E538&lt;E$26,D$25,E538&lt;E$27,D$26,E538&lt;E$28,D$27,E538&lt;E$29,D$28,E538&lt;E$30,D$29,E538&lt;E$31,D$30,E538&lt;E$32,D$31,E538&lt;E$33,D$32,E538&lt;E$34,D$33,E538&lt;E$35,D$34,E538&gt;=E$35,D$35)</f>
        <v/>
      </c>
      <c r="E538" s="38" t="n">
        <v>488</v>
      </c>
      <c r="F538" s="31">
        <f>E538/52</f>
        <v/>
      </c>
      <c r="G538" s="39">
        <f>D538/1000000*52</f>
        <v/>
      </c>
      <c r="H538" s="33">
        <f>G538/$P$4+($C$22/$P$4)</f>
        <v/>
      </c>
      <c r="I538" s="36">
        <f>_xlfn.IFS(K538&lt;K$24,0,K538&lt;K$26,I$24,K538&lt;K$28,I$26,K538&lt;K$30,I$28,K538&lt;K$32,I$30,K538&lt;K$34,I$32,K538&lt;K$36,I$34,K538&lt;K$38,I$36,K538&lt;K$40,I$38,K538&lt;K$42,I$40,K538&lt;K$44,I$42,K538&lt;K$46,I$44,K538&gt;=K$46,I$46)</f>
        <v/>
      </c>
      <c r="J538" s="37">
        <f>_xlfn.IFS(K538&lt;K$24,0,K538&lt;K$25,J$24,K538&lt;K$26,J$25,K538&lt;K$27,J$26,K538&lt;K$28,J$27,K538&lt;K$29,J$28,K538&lt;K$30,J$29,K538&lt;K$31,J$30,K538&lt;K$32,J$31,K538&lt;K$33,J$32,K538&lt;K$34,J$33,K538&lt;K$35,J$34,K538&lt;K$36,J$35,K538&lt;K$37,J$36,K538&lt;K$38,J$37,K538&lt;K$39,J$38,K538&lt;K$40,J$39,K538&lt;K$41,J$40,K538&lt;K$42,J$41,K538&lt;K$43,J$42,K538&lt;K$44,J$43,K538&lt;K$45,J$44,K538&lt;K$46,J$45,K538&lt;K$47,J$46,K538&gt;=K$47,J$47)</f>
        <v/>
      </c>
      <c r="K538" s="38" t="n">
        <v>488</v>
      </c>
      <c r="L538" s="31">
        <f>K538/52</f>
        <v/>
      </c>
      <c r="M538" s="39">
        <f>J538/1000000*52</f>
        <v/>
      </c>
      <c r="N538" s="33">
        <f>M538/$P$4+($I$22/$P$4)</f>
        <v/>
      </c>
      <c r="U538">
        <f>F537</f>
        <v/>
      </c>
      <c r="V538">
        <f>H537</f>
        <v/>
      </c>
      <c r="W538">
        <f>N537</f>
        <v/>
      </c>
    </row>
    <row r="539" ht="15.75" customHeight="1" s="40">
      <c r="C539" s="36">
        <f>_xlfn.IFS(E539&lt;E$24,0,E539&lt;E$26,C$24,E539&lt;E$28,C$26,E539&lt;E$30,C$28,E539&lt;E$32,C$30,E539&lt;E$34,C$32,E539&gt;=E$34,C$34)</f>
        <v/>
      </c>
      <c r="D539" s="37">
        <f>_xlfn.IFS(E539&lt;E$24,0,E539&lt;E$25,D$24,E539&lt;E$26,D$25,E539&lt;E$27,D$26,E539&lt;E$28,D$27,E539&lt;E$29,D$28,E539&lt;E$30,D$29,E539&lt;E$31,D$30,E539&lt;E$32,D$31,E539&lt;E$33,D$32,E539&lt;E$34,D$33,E539&lt;E$35,D$34,E539&gt;=E$35,D$35)</f>
        <v/>
      </c>
      <c r="E539" s="38" t="n">
        <v>489</v>
      </c>
      <c r="F539" s="31">
        <f>E539/52</f>
        <v/>
      </c>
      <c r="G539" s="39">
        <f>D539/1000000*52</f>
        <v/>
      </c>
      <c r="H539" s="33">
        <f>G539/$P$4+($C$22/$P$4)</f>
        <v/>
      </c>
      <c r="I539" s="36">
        <f>_xlfn.IFS(K539&lt;K$24,0,K539&lt;K$26,I$24,K539&lt;K$28,I$26,K539&lt;K$30,I$28,K539&lt;K$32,I$30,K539&lt;K$34,I$32,K539&lt;K$36,I$34,K539&lt;K$38,I$36,K539&lt;K$40,I$38,K539&lt;K$42,I$40,K539&lt;K$44,I$42,K539&lt;K$46,I$44,K539&gt;=K$46,I$46)</f>
        <v/>
      </c>
      <c r="J539" s="37">
        <f>_xlfn.IFS(K539&lt;K$24,0,K539&lt;K$25,J$24,K539&lt;K$26,J$25,K539&lt;K$27,J$26,K539&lt;K$28,J$27,K539&lt;K$29,J$28,K539&lt;K$30,J$29,K539&lt;K$31,J$30,K539&lt;K$32,J$31,K539&lt;K$33,J$32,K539&lt;K$34,J$33,K539&lt;K$35,J$34,K539&lt;K$36,J$35,K539&lt;K$37,J$36,K539&lt;K$38,J$37,K539&lt;K$39,J$38,K539&lt;K$40,J$39,K539&lt;K$41,J$40,K539&lt;K$42,J$41,K539&lt;K$43,J$42,K539&lt;K$44,J$43,K539&lt;K$45,J$44,K539&lt;K$46,J$45,K539&lt;K$47,J$46,K539&gt;=K$47,J$47)</f>
        <v/>
      </c>
      <c r="K539" s="38" t="n">
        <v>489</v>
      </c>
      <c r="L539" s="31">
        <f>K539/52</f>
        <v/>
      </c>
      <c r="M539" s="39">
        <f>J539/1000000*52</f>
        <v/>
      </c>
      <c r="N539" s="33">
        <f>M539/$P$4+($I$22/$P$4)</f>
        <v/>
      </c>
      <c r="U539">
        <f>F538</f>
        <v/>
      </c>
      <c r="V539">
        <f>H538</f>
        <v/>
      </c>
      <c r="W539">
        <f>N538</f>
        <v/>
      </c>
    </row>
    <row r="540" ht="15.75" customHeight="1" s="40">
      <c r="C540" s="36">
        <f>_xlfn.IFS(E540&lt;E$24,0,E540&lt;E$26,C$24,E540&lt;E$28,C$26,E540&lt;E$30,C$28,E540&lt;E$32,C$30,E540&lt;E$34,C$32,E540&gt;=E$34,C$34)</f>
        <v/>
      </c>
      <c r="D540" s="37">
        <f>_xlfn.IFS(E540&lt;E$24,0,E540&lt;E$25,D$24,E540&lt;E$26,D$25,E540&lt;E$27,D$26,E540&lt;E$28,D$27,E540&lt;E$29,D$28,E540&lt;E$30,D$29,E540&lt;E$31,D$30,E540&lt;E$32,D$31,E540&lt;E$33,D$32,E540&lt;E$34,D$33,E540&lt;E$35,D$34,E540&gt;=E$35,D$35)</f>
        <v/>
      </c>
      <c r="E540" s="38" t="n">
        <v>490</v>
      </c>
      <c r="F540" s="31">
        <f>E540/52</f>
        <v/>
      </c>
      <c r="G540" s="39">
        <f>D540/1000000*52</f>
        <v/>
      </c>
      <c r="H540" s="33">
        <f>G540/$P$4+($C$22/$P$4)</f>
        <v/>
      </c>
      <c r="I540" s="36">
        <f>_xlfn.IFS(K540&lt;K$24,0,K540&lt;K$26,I$24,K540&lt;K$28,I$26,K540&lt;K$30,I$28,K540&lt;K$32,I$30,K540&lt;K$34,I$32,K540&lt;K$36,I$34,K540&lt;K$38,I$36,K540&lt;K$40,I$38,K540&lt;K$42,I$40,K540&lt;K$44,I$42,K540&lt;K$46,I$44,K540&gt;=K$46,I$46)</f>
        <v/>
      </c>
      <c r="J540" s="37">
        <f>_xlfn.IFS(K540&lt;K$24,0,K540&lt;K$25,J$24,K540&lt;K$26,J$25,K540&lt;K$27,J$26,K540&lt;K$28,J$27,K540&lt;K$29,J$28,K540&lt;K$30,J$29,K540&lt;K$31,J$30,K540&lt;K$32,J$31,K540&lt;K$33,J$32,K540&lt;K$34,J$33,K540&lt;K$35,J$34,K540&lt;K$36,J$35,K540&lt;K$37,J$36,K540&lt;K$38,J$37,K540&lt;K$39,J$38,K540&lt;K$40,J$39,K540&lt;K$41,J$40,K540&lt;K$42,J$41,K540&lt;K$43,J$42,K540&lt;K$44,J$43,K540&lt;K$45,J$44,K540&lt;K$46,J$45,K540&lt;K$47,J$46,K540&gt;=K$47,J$47)</f>
        <v/>
      </c>
      <c r="K540" s="38" t="n">
        <v>490</v>
      </c>
      <c r="L540" s="31">
        <f>K540/52</f>
        <v/>
      </c>
      <c r="M540" s="39">
        <f>J540/1000000*52</f>
        <v/>
      </c>
      <c r="N540" s="33">
        <f>M540/$P$4+($I$22/$P$4)</f>
        <v/>
      </c>
      <c r="U540">
        <f>F539</f>
        <v/>
      </c>
      <c r="V540">
        <f>H539</f>
        <v/>
      </c>
      <c r="W540">
        <f>N539</f>
        <v/>
      </c>
    </row>
    <row r="541" ht="15.75" customHeight="1" s="40">
      <c r="H541" s="33" t="n"/>
      <c r="U541">
        <f>F540</f>
        <v/>
      </c>
      <c r="V541">
        <f>H540</f>
        <v/>
      </c>
      <c r="W541">
        <f>N540</f>
        <v/>
      </c>
    </row>
    <row r="542" ht="15.75" customHeight="1" s="40">
      <c r="H542" s="33" t="n"/>
    </row>
    <row r="543" ht="15.75" customHeight="1" s="40">
      <c r="H543" s="33" t="n"/>
    </row>
    <row r="544" ht="15.75" customHeight="1" s="40">
      <c r="H544" s="33" t="n"/>
    </row>
    <row r="545" ht="15.75" customHeight="1" s="40">
      <c r="H545" s="33" t="n"/>
    </row>
    <row r="546" ht="15.75" customHeight="1" s="40">
      <c r="H546" s="33" t="n"/>
    </row>
    <row r="547" ht="15.75" customHeight="1" s="40">
      <c r="H547" s="33" t="n"/>
    </row>
    <row r="548" ht="15.75" customHeight="1" s="40">
      <c r="H548" s="33" t="n"/>
    </row>
    <row r="549" ht="15.75" customHeight="1" s="40">
      <c r="H549" s="33" t="n"/>
    </row>
    <row r="550" ht="15.75" customHeight="1" s="40">
      <c r="H550" s="33" t="n"/>
    </row>
    <row r="551" ht="15.75" customHeight="1" s="40">
      <c r="H551" s="33" t="n"/>
    </row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mergeCells count="59">
    <mergeCell ref="I7:N7"/>
    <mergeCell ref="C10:H10"/>
    <mergeCell ref="C16:H16"/>
    <mergeCell ref="A15:B15"/>
    <mergeCell ref="C22:H22"/>
    <mergeCell ref="I22:N22"/>
    <mergeCell ref="C9:H9"/>
    <mergeCell ref="A11:B11"/>
    <mergeCell ref="I18:N18"/>
    <mergeCell ref="I3:N3"/>
    <mergeCell ref="C12:H12"/>
    <mergeCell ref="I12:N12"/>
    <mergeCell ref="C21:H21"/>
    <mergeCell ref="I21:N21"/>
    <mergeCell ref="C11:H11"/>
    <mergeCell ref="A16:B16"/>
    <mergeCell ref="C2:H2"/>
    <mergeCell ref="A7:B7"/>
    <mergeCell ref="I5:N5"/>
    <mergeCell ref="C1:G1"/>
    <mergeCell ref="I14:N14"/>
    <mergeCell ref="I17:N17"/>
    <mergeCell ref="C8:H8"/>
    <mergeCell ref="I8:N8"/>
    <mergeCell ref="C17:H17"/>
    <mergeCell ref="A18:B18"/>
    <mergeCell ref="I4:N4"/>
    <mergeCell ref="A3:B3"/>
    <mergeCell ref="I20:N20"/>
    <mergeCell ref="C7:H7"/>
    <mergeCell ref="A21:B21"/>
    <mergeCell ref="C19:H19"/>
    <mergeCell ref="I19:N19"/>
    <mergeCell ref="A2:B2"/>
    <mergeCell ref="I10:N10"/>
    <mergeCell ref="C13:H13"/>
    <mergeCell ref="I13:N13"/>
    <mergeCell ref="I9:N9"/>
    <mergeCell ref="A14:B14"/>
    <mergeCell ref="C18:H18"/>
    <mergeCell ref="A17:B17"/>
    <mergeCell ref="C3:H3"/>
    <mergeCell ref="I1:M1"/>
    <mergeCell ref="A8:B8"/>
    <mergeCell ref="C15:H15"/>
    <mergeCell ref="A4:B4"/>
    <mergeCell ref="I15:N15"/>
    <mergeCell ref="A20:B20"/>
    <mergeCell ref="I11:N11"/>
    <mergeCell ref="C14:H14"/>
    <mergeCell ref="I2:N2"/>
    <mergeCell ref="A19:B19"/>
    <mergeCell ref="C5:H5"/>
    <mergeCell ref="A10:B10"/>
    <mergeCell ref="A13:B13"/>
    <mergeCell ref="C4:H4"/>
    <mergeCell ref="C20:H20"/>
    <mergeCell ref="A9:B9"/>
    <mergeCell ref="I16:N16"/>
  </mergeCells>
  <hyperlinks>
    <hyperlink xmlns:r="http://schemas.openxmlformats.org/officeDocument/2006/relationships" ref="Q2" r:id="rId1"/>
    <hyperlink xmlns:r="http://schemas.openxmlformats.org/officeDocument/2006/relationships" ref="Q3" r:id="rId2"/>
  </hyperlinks>
  <pageMargins left="0.75" right="0.75" top="1" bottom="1" header="0.5" footer="0.5"/>
  <drawing xmlns:r="http://schemas.openxmlformats.org/officeDocument/2006/relationships" r:id="rId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H31"/>
  <sheetViews>
    <sheetView workbookViewId="0">
      <selection activeCell="A1" sqref="A1"/>
    </sheetView>
  </sheetViews>
  <sheetFormatPr baseColWidth="8" defaultColWidth="12.6328125" defaultRowHeight="15" customHeight="1"/>
  <cols>
    <col width="41.90625" customWidth="1" style="40" min="1" max="1"/>
    <col width="16.6328125" customWidth="1" style="40" min="2" max="2"/>
    <col width="17.90625" customWidth="1" style="40" min="3" max="3"/>
    <col width="12.6328125" customWidth="1" style="40" min="4" max="5"/>
    <col width="26.7265625" bestFit="1" customWidth="1" style="40" min="6" max="6"/>
  </cols>
  <sheetData>
    <row r="1" ht="15.75" customHeight="1" s="40">
      <c r="A1" s="53" t="inlineStr">
        <is>
          <t>Herbicide CAPEX Calcs</t>
        </is>
      </c>
      <c r="B1" s="39" t="n"/>
      <c r="D1" s="1" t="n"/>
    </row>
    <row r="2" ht="15.75" customHeight="1" s="40">
      <c r="A2" s="3" t="inlineStr">
        <is>
          <t>Pesticide scale-up assumptions 2026</t>
        </is>
      </c>
      <c r="B2" s="3" t="n"/>
    </row>
    <row r="3" ht="15.75" customHeight="1" s="40">
      <c r="A3" s="39" t="n"/>
      <c r="B3" s="39" t="n"/>
      <c r="C3" s="4" t="n"/>
      <c r="D3" s="39" t="n"/>
      <c r="F3" s="5" t="n"/>
    </row>
    <row r="4" ht="15.75" customHeight="1" s="40">
      <c r="A4" s="39" t="n"/>
      <c r="B4" s="39" t="n"/>
      <c r="C4" s="4" t="n"/>
      <c r="D4" s="39" t="n"/>
      <c r="F4" s="6" t="n"/>
    </row>
    <row r="5" ht="15.75" customHeight="1" s="40">
      <c r="A5" s="39" t="n"/>
      <c r="B5" s="39" t="n"/>
      <c r="C5" s="4" t="n"/>
      <c r="D5" s="39" t="inlineStr">
        <is>
          <t>Target Plant Size (tonneHerbicide/day)</t>
        </is>
      </c>
      <c r="F5" s="39">
        <f>B16</f>
        <v/>
      </c>
    </row>
    <row r="6" ht="15.75" customHeight="1" s="40">
      <c r="A6" s="39" t="n"/>
      <c r="B6" s="39" t="n"/>
      <c r="C6" s="4" t="n"/>
      <c r="D6" s="39" t="n"/>
      <c r="F6" s="7" t="n"/>
    </row>
    <row r="7" ht="15.75" customHeight="1" s="40">
      <c r="A7" s="39" t="n"/>
    </row>
    <row r="8" ht="15.75" customHeight="1" s="40"/>
    <row r="9" ht="15.75" customHeight="1" s="40">
      <c r="A9" s="1" t="n"/>
    </row>
    <row r="10" ht="15.75" customHeight="1" s="40"/>
    <row r="11" ht="15.75" customHeight="1" s="40">
      <c r="A11" s="8" t="n"/>
      <c r="B11" s="9" t="n"/>
      <c r="C11" s="10" t="n"/>
      <c r="F11" s="39" t="inlineStr">
        <is>
          <t>Fast construction cost factor</t>
        </is>
      </c>
      <c r="G11" s="39" t="n"/>
      <c r="H11" s="11" t="n">
        <v>1.47</v>
      </c>
    </row>
    <row r="12" ht="15.75" customHeight="1" s="40">
      <c r="A12" s="45" t="inlineStr">
        <is>
          <t>Reference capacity (t/yr)</t>
        </is>
      </c>
      <c r="B12" s="39" t="n">
        <v>500</v>
      </c>
      <c r="C12" s="13" t="n"/>
      <c r="F12" s="39" t="inlineStr">
        <is>
          <t>Fast construction speed factor</t>
        </is>
      </c>
      <c r="H12" s="14" t="n">
        <v>0.32</v>
      </c>
    </row>
    <row r="13" ht="15.75" customHeight="1" s="40">
      <c r="A13" s="45" t="inlineStr">
        <is>
          <t>Reference CAPEX (USD)</t>
        </is>
      </c>
      <c r="B13" s="39" t="n">
        <v>14605000</v>
      </c>
      <c r="C13" s="15" t="n"/>
    </row>
    <row r="14" ht="15.75" customHeight="1" s="40">
      <c r="A14" s="45" t="inlineStr">
        <is>
          <t>Target plant size (t/yr)</t>
        </is>
      </c>
      <c r="B14" s="16" t="n">
        <v>600</v>
      </c>
      <c r="C14" s="15" t="n"/>
      <c r="F14" s="39" t="inlineStr">
        <is>
          <t>Fast construction (24/7) CAPEX</t>
        </is>
      </c>
      <c r="H14" s="7">
        <f>H11*B19</f>
        <v/>
      </c>
    </row>
    <row r="15" ht="15.75" customHeight="1" s="40">
      <c r="A15" s="45" t="inlineStr">
        <is>
          <t>Plant scale factor</t>
        </is>
      </c>
      <c r="B15" s="1">
        <f>B14/B12</f>
        <v/>
      </c>
      <c r="C15" s="15" t="n"/>
    </row>
    <row r="16" ht="15.75" customHeight="1" s="40">
      <c r="A16" s="45" t="inlineStr">
        <is>
          <t>Target Plant Size (tonnes/day) [= t/yr / 365]</t>
        </is>
      </c>
      <c r="B16" s="39">
        <f>B14/365</f>
        <v/>
      </c>
      <c r="C16" s="13" t="n"/>
    </row>
    <row r="17" ht="15.75" customHeight="1" s="40">
      <c r="A17" s="45" t="inlineStr">
        <is>
          <t>Cost-Capacity Exponent</t>
        </is>
      </c>
      <c r="B17" s="16" t="n">
        <v>0.7</v>
      </c>
      <c r="C17" s="13" t="n"/>
    </row>
    <row r="18" ht="15.75" customHeight="1" s="40">
      <c r="A18" s="17" t="inlineStr">
        <is>
          <t>(for reference)</t>
        </is>
      </c>
      <c r="B18" s="16" t="n"/>
      <c r="C18" s="13" t="n"/>
    </row>
    <row r="19" ht="15.75" customHeight="1" s="40">
      <c r="A19" s="45" t="inlineStr">
        <is>
          <t>Target Plant CAPEX (USD)</t>
        </is>
      </c>
      <c r="B19" s="18">
        <f>B13*(B14/B12)^B17</f>
        <v/>
      </c>
      <c r="C19" s="13" t="n"/>
      <c r="D19" s="39" t="inlineStr">
        <is>
          <t>&lt;-- Using this estimate</t>
        </is>
      </c>
    </row>
    <row r="20" ht="15.75" customHeight="1" s="40">
      <c r="A20" s="45" t="n"/>
      <c r="C20" s="13" t="n"/>
    </row>
    <row r="21" ht="15.75" customHeight="1" s="40">
      <c r="A21" s="19" t="inlineStr">
        <is>
          <t>Capital efficiency</t>
        </is>
      </c>
      <c r="B21" s="20">
        <f>B19/B16/365</f>
        <v/>
      </c>
      <c r="C21" s="21" t="inlineStr">
        <is>
          <t>$/tpa installed</t>
        </is>
      </c>
    </row>
    <row r="22" ht="15.75" customHeight="1" s="40"/>
    <row r="23" ht="15.75" customHeight="1" s="40">
      <c r="E23" s="22" t="n"/>
    </row>
    <row r="24" ht="15.75" customHeight="1" s="40">
      <c r="A24" s="1" t="n"/>
    </row>
    <row r="25" ht="15.75" customHeight="1" s="40">
      <c r="A25" s="39" t="n"/>
      <c r="B25" s="7" t="n"/>
      <c r="D25" s="22" t="n"/>
    </row>
    <row r="26" ht="15.75" customHeight="1" s="40">
      <c r="A26" s="39" t="n"/>
      <c r="B26" s="39" t="n"/>
    </row>
    <row r="27" ht="15.75" customHeight="1" s="40">
      <c r="A27" s="39" t="n"/>
      <c r="B27" s="39" t="n"/>
      <c r="D27" s="22" t="n"/>
    </row>
    <row r="28" ht="15.75" customHeight="1" s="40">
      <c r="A28" s="39" t="n"/>
      <c r="B28" s="16" t="n"/>
      <c r="D28" s="22" t="n"/>
    </row>
    <row r="29" ht="15.75" customHeight="1" s="40">
      <c r="A29" s="39" t="n"/>
      <c r="B29" s="7" t="n"/>
      <c r="D29" s="23" t="n"/>
    </row>
    <row r="30" ht="15.75" customHeight="1" s="40"/>
    <row r="31" ht="15.75" customHeight="1" s="40">
      <c r="E31" s="22" t="n"/>
    </row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hyperlinks>
    <hyperlink xmlns:r="http://schemas.openxmlformats.org/officeDocument/2006/relationships" ref="A1" r:id="rId1"/>
    <hyperlink xmlns:r="http://schemas.openxmlformats.org/officeDocument/2006/relationships" ref="D1" r:id="rId2"/>
    <hyperlink xmlns:r="http://schemas.openxmlformats.org/officeDocument/2006/relationships" ref="A9" r:id="rId3"/>
    <hyperlink xmlns:r="http://schemas.openxmlformats.org/officeDocument/2006/relationships" ref="A11" r:id="rId4"/>
    <hyperlink xmlns:r="http://schemas.openxmlformats.org/officeDocument/2006/relationships" ref="B15" display="https://www.exchange-rates.org/converter/eur-usd" r:id="rId5"/>
    <hyperlink xmlns:r="http://schemas.openxmlformats.org/officeDocument/2006/relationships" ref="A24" r:id="rId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W551"/>
  <sheetViews>
    <sheetView workbookViewId="0">
      <selection activeCell="A1" sqref="A1"/>
    </sheetView>
  </sheetViews>
  <sheetFormatPr baseColWidth="8" defaultColWidth="12.6328125" defaultRowHeight="15" customHeight="1"/>
  <cols>
    <col width="12.6328125" customWidth="1" style="40" min="1" max="1"/>
    <col width="25.36328125" customWidth="1" style="40" min="2" max="2"/>
    <col width="12.6328125" customWidth="1" style="40" min="3" max="6"/>
    <col width="19.7265625" customWidth="1" style="40" min="7" max="7"/>
  </cols>
  <sheetData>
    <row r="1" ht="15.75" customHeight="1" s="40">
      <c r="C1" s="39" t="inlineStr">
        <is>
          <t>HERBICIDE REGULAR CONSTRUCTION</t>
        </is>
      </c>
      <c r="H1" s="39" t="n"/>
      <c r="I1" s="39" t="inlineStr">
        <is>
          <t>HERBICIDE FAST CONSTRUCTION</t>
        </is>
      </c>
      <c r="N1" s="39" t="n"/>
      <c r="R1" s="22" t="inlineStr">
        <is>
          <t>fraction_functioning_after_disruption</t>
        </is>
      </c>
      <c r="U1" t="inlineStr">
        <is>
          <t>CODE-MATCHED (current model)</t>
        </is>
      </c>
    </row>
    <row r="2" ht="15.75" customHeight="1" s="40">
      <c r="A2" s="39" t="inlineStr">
        <is>
          <t>Annual World Construction Budget</t>
        </is>
      </c>
      <c r="C2" s="44" t="n">
        <v>93119641216.57393</v>
      </c>
      <c r="H2" s="42" t="n"/>
      <c r="I2" s="44" t="n">
        <v>93119641216.57393</v>
      </c>
      <c r="N2" s="42" t="n"/>
      <c r="P2" s="39" t="inlineStr">
        <is>
          <t>Sanity check:</t>
        </is>
      </c>
      <c r="Q2" s="1" t="inlineStr">
        <is>
          <t>the AEA’s datasets track 490 production plants in development, comprising a total of 438.1 million tons of low-emission and transitional ammonia capacity</t>
        </is>
      </c>
      <c r="U2" t="inlineStr">
        <is>
          <t>C16/I16 = 0.4; startup% = 0.5; budget = equal-pace default</t>
        </is>
      </c>
    </row>
    <row r="3" ht="15.75" customHeight="1" s="40">
      <c r="A3" s="39" t="inlineStr">
        <is>
          <t>Total Capital Investment Per Plant</t>
        </is>
      </c>
      <c r="C3" s="50">
        <f>'Herb CAPEX'!B19</f>
        <v/>
      </c>
      <c r="H3" s="42" t="n"/>
      <c r="I3" s="50">
        <f>'Herb CAPEX'!H14</f>
        <v/>
      </c>
      <c r="N3" s="42" t="n"/>
      <c r="P3" s="4">
        <f>P4*1000000/('Herb CAPEX'!B16*365.25)</f>
        <v/>
      </c>
      <c r="Q3" s="1" t="inlineStr">
        <is>
          <t>plants needed to make 240million metric tonnes per year assuming an average of 2000 metric tonnes/day plant capacity</t>
        </is>
      </c>
      <c r="U3" t="inlineStr">
        <is>
          <t>Multiple = (new Mt/yr + surviving Mt/yr) / current Mt/yr</t>
        </is>
      </c>
    </row>
    <row r="4" ht="15.75" customHeight="1" s="40">
      <c r="A4" s="39" t="inlineStr">
        <is>
          <t>Number of Plants Per Year</t>
        </is>
      </c>
      <c r="C4" s="41">
        <f>(C2/C3)*C16</f>
        <v/>
      </c>
      <c r="H4" s="42" t="n"/>
      <c r="I4" s="41">
        <f>(I2/I3)*I16</f>
        <v/>
      </c>
      <c r="N4" s="42" t="n"/>
      <c r="P4" s="39" t="n">
        <v>1.9902</v>
      </c>
      <c r="Q4" s="39" t="inlineStr">
        <is>
          <t>Current Herbicide production in million metric tonnes</t>
        </is>
      </c>
      <c r="U4" t="inlineStr">
        <is>
          <t>Surviving Mt/yr in C22/I22</t>
        </is>
      </c>
    </row>
    <row r="5" ht="15.75" customHeight="1" s="40">
      <c r="A5" s="39" t="n"/>
      <c r="B5" s="39" t="n"/>
      <c r="C5" s="45" t="n"/>
      <c r="I5" s="46" t="n"/>
      <c r="N5" s="42" t="n"/>
      <c r="U5" t="inlineStr">
        <is>
          <t>Multiple chart uses U50:W (1.0 before t=0, then drops to 0.4)</t>
        </is>
      </c>
    </row>
    <row r="6" ht="15.75" customHeight="1" s="40">
      <c r="A6" s="39" t="inlineStr">
        <is>
          <t>Corrected CAPEX for construction time method</t>
        </is>
      </c>
      <c r="B6" s="39" t="n"/>
      <c r="C6" s="24" t="n"/>
      <c r="D6" s="4" t="n"/>
      <c r="E6" s="4" t="n"/>
      <c r="F6" s="4" t="n"/>
      <c r="G6" s="25">
        <f>C3*(1-9.1%-6.6%)</f>
        <v/>
      </c>
      <c r="H6" s="26" t="n"/>
      <c r="I6" s="24" t="n"/>
      <c r="J6" s="4" t="n"/>
      <c r="K6" s="4" t="n"/>
      <c r="L6" s="4" t="n"/>
      <c r="M6" s="25">
        <f>I3*(1-9.1%-6.6%)</f>
        <v/>
      </c>
      <c r="N6" s="25" t="n"/>
      <c r="U6" t="inlineStr">
        <is>
          <t>Production chart (G/M) = NEW factory Mt/yr only (starts at 0)</t>
        </is>
      </c>
    </row>
    <row r="7" ht="15.75" customHeight="1" s="40">
      <c r="A7" s="39" t="inlineStr">
        <is>
          <t>Weeks to Build at Facility Costs</t>
        </is>
      </c>
      <c r="C7" s="41">
        <f>10.774*LN(0.8*G6)-121.45</f>
        <v/>
      </c>
      <c r="H7" s="42" t="n"/>
      <c r="I7" s="41">
        <f>C7*'Herb CAPEX'!H12</f>
        <v/>
      </c>
      <c r="N7" s="42" t="n"/>
    </row>
    <row r="8" ht="15.75" customHeight="1" s="40">
      <c r="A8" s="39" t="inlineStr">
        <is>
          <t>Waves Per Year</t>
        </is>
      </c>
      <c r="C8" s="47">
        <f>52/C7</f>
        <v/>
      </c>
      <c r="H8" s="42" t="n"/>
      <c r="I8" s="47">
        <f>52/I7</f>
        <v/>
      </c>
      <c r="N8" s="42" t="n"/>
    </row>
    <row r="9" ht="15.75" customHeight="1" s="40">
      <c r="A9" s="39" t="inlineStr">
        <is>
          <t>Plants Per Wave</t>
        </is>
      </c>
      <c r="C9" s="49">
        <f>(C4/C8)</f>
        <v/>
      </c>
      <c r="H9" s="42" t="n"/>
      <c r="I9" s="49">
        <f>(I4/I8)</f>
        <v/>
      </c>
      <c r="N9" s="42" t="n"/>
    </row>
    <row r="10" ht="15.75" customHeight="1" s="40">
      <c r="A10" s="39" t="inlineStr">
        <is>
          <t>Plants Per Year</t>
        </is>
      </c>
      <c r="C10" s="41">
        <f>C9*C8</f>
        <v/>
      </c>
      <c r="H10" s="42" t="n"/>
      <c r="I10" s="41">
        <f>I9*I8</f>
        <v/>
      </c>
      <c r="N10" s="42" t="n"/>
    </row>
    <row r="11" ht="15.75" customHeight="1" s="40">
      <c r="A11" s="39" t="inlineStr">
        <is>
          <t>Plants Per Week</t>
        </is>
      </c>
      <c r="C11" s="41">
        <f>C10/52</f>
        <v/>
      </c>
      <c r="H11" s="42" t="n"/>
      <c r="I11" s="41">
        <f>I10/52</f>
        <v/>
      </c>
      <c r="N11" s="42" t="n"/>
    </row>
    <row r="12" ht="15.75" customHeight="1" s="40">
      <c r="B12" s="39" t="n"/>
      <c r="C12" s="45" t="n"/>
      <c r="I12" s="46" t="n"/>
      <c r="N12" s="42" t="n"/>
    </row>
    <row r="13" ht="15.75" customHeight="1" s="40">
      <c r="A13" s="39" t="inlineStr">
        <is>
          <t>Single Facility Scaled Production (tonnes/week)</t>
        </is>
      </c>
      <c r="C13" s="48">
        <f>'Herb CAPEX'!$F5*7</f>
        <v/>
      </c>
      <c r="H13" s="42" t="n"/>
      <c r="I13" s="48">
        <f>'Herb CAPEX'!$F5*7</f>
        <v/>
      </c>
      <c r="N13" s="42" t="n"/>
    </row>
    <row r="14" ht="15.75" customHeight="1" s="40">
      <c r="A14" s="39" t="inlineStr">
        <is>
          <t>Startup % of Fully Scaled Production (break in period)</t>
        </is>
      </c>
      <c r="C14" s="43" t="n">
        <v>0.5</v>
      </c>
      <c r="H14" s="42" t="n"/>
      <c r="I14" s="43" t="n">
        <v>0.5</v>
      </c>
      <c r="N14" s="42" t="n"/>
    </row>
    <row r="15" ht="15.75" customHeight="1" s="40">
      <c r="A15" s="39" t="inlineStr">
        <is>
          <t>Single Facility Startup Production (tonnes/week)</t>
        </is>
      </c>
      <c r="C15" s="41">
        <f>C13*C14</f>
        <v/>
      </c>
      <c r="H15" s="42" t="n"/>
      <c r="I15" s="41">
        <f>I13*I14</f>
        <v/>
      </c>
      <c r="N15" s="42" t="n"/>
    </row>
    <row r="16" ht="15.75" customHeight="1" s="40">
      <c r="A16" s="39" t="inlineStr">
        <is>
          <t>fraction_functioning_after_disruption (surviving existing + new build share)</t>
        </is>
      </c>
      <c r="C16" s="43" t="n">
        <v>0.4</v>
      </c>
      <c r="H16" s="42" t="n"/>
      <c r="I16" s="43" t="n">
        <v>0.4</v>
      </c>
      <c r="N16" s="42" t="n"/>
    </row>
    <row r="17" ht="15.75" customHeight="1" s="40">
      <c r="A17" s="39" t="inlineStr">
        <is>
          <t>Time to construct a wave (years)</t>
        </is>
      </c>
      <c r="C17" s="51">
        <f>C7/52</f>
        <v/>
      </c>
      <c r="H17" s="42" t="n"/>
      <c r="I17" s="51">
        <f>I7/52</f>
        <v/>
      </c>
      <c r="N17" s="42" t="n"/>
    </row>
    <row r="18" ht="15.75" customHeight="1" s="40">
      <c r="A18" s="39" t="inlineStr">
        <is>
          <t>Startup time (weeks)</t>
        </is>
      </c>
      <c r="C18" s="51">
        <f>C7/4</f>
        <v/>
      </c>
      <c r="H18" s="42" t="n"/>
      <c r="I18" s="51">
        <f>I7/4</f>
        <v/>
      </c>
      <c r="N18" s="42" t="n"/>
    </row>
    <row r="19" ht="15.75" customHeight="1" s="40">
      <c r="A19" s="39" t="inlineStr">
        <is>
          <t>Startup time (years)</t>
        </is>
      </c>
      <c r="C19" s="51">
        <f>C18/52</f>
        <v/>
      </c>
      <c r="H19" s="42" t="n"/>
      <c r="I19" s="51">
        <f>I18/52</f>
        <v/>
      </c>
      <c r="N19" s="42" t="n"/>
    </row>
    <row r="20" ht="15.75" customHeight="1" s="40">
      <c r="A20" s="39" t="inlineStr">
        <is>
          <t>Planning time (weeks)</t>
        </is>
      </c>
      <c r="C20" s="52" t="n">
        <v>4</v>
      </c>
      <c r="H20" s="42" t="n"/>
      <c r="I20" s="52" t="n">
        <v>4</v>
      </c>
      <c r="N20" s="42" t="n"/>
    </row>
    <row r="21" ht="15.75" customHeight="1" s="40">
      <c r="A21" s="39" t="inlineStr">
        <is>
          <t>Planning time (years)</t>
        </is>
      </c>
      <c r="C21" s="51">
        <f>C20/52</f>
        <v/>
      </c>
      <c r="H21" s="42" t="n"/>
      <c r="I21" s="51">
        <f>I20/52</f>
        <v/>
      </c>
      <c r="N21" s="42" t="n"/>
    </row>
    <row r="22" ht="15.75" customHeight="1" s="40">
      <c r="A22" s="39" t="inlineStr">
        <is>
          <t>Surviving Mt/yr (= fraction_functioning * current Mt/yr)</t>
        </is>
      </c>
      <c r="B22" s="39" t="n"/>
      <c r="C22" s="45">
        <f>C16*$P$4</f>
        <v/>
      </c>
      <c r="I22" s="45">
        <f>I16*$P$4</f>
        <v/>
      </c>
    </row>
    <row r="23" ht="15.75" customHeight="1" s="40">
      <c r="A23" s="27" t="inlineStr">
        <is>
          <t>Wave</t>
        </is>
      </c>
      <c r="B23" s="27" t="inlineStr">
        <is>
          <t>Production Level</t>
        </is>
      </c>
      <c r="C23" s="19" t="inlineStr">
        <is>
          <t>Plants</t>
        </is>
      </c>
      <c r="D23" s="27" t="inlineStr">
        <is>
          <t>tonnes/week</t>
        </is>
      </c>
      <c r="E23" s="27" t="inlineStr">
        <is>
          <t>Weeks</t>
        </is>
      </c>
      <c r="F23" s="28" t="inlineStr">
        <is>
          <t>Years</t>
        </is>
      </c>
      <c r="G23" s="39" t="inlineStr">
        <is>
          <t>Megatonnes/year</t>
        </is>
      </c>
      <c r="H23" s="21" t="inlineStr">
        <is>
          <t>Multiple of Current Herbicide Production</t>
        </is>
      </c>
      <c r="I23" s="19" t="inlineStr">
        <is>
          <t>Plants</t>
        </is>
      </c>
      <c r="J23" s="27" t="inlineStr">
        <is>
          <t>tonnes/week</t>
        </is>
      </c>
      <c r="K23" s="27" t="inlineStr">
        <is>
          <t>Weeks</t>
        </is>
      </c>
      <c r="L23" s="28" t="inlineStr">
        <is>
          <t>Years</t>
        </is>
      </c>
      <c r="M23" s="39" t="inlineStr">
        <is>
          <t>Megatonnes/year</t>
        </is>
      </c>
      <c r="N23" s="21" t="inlineStr">
        <is>
          <t>Multiple of Current Herbicide Production</t>
        </is>
      </c>
      <c r="S23" s="22" t="inlineStr">
        <is>
          <t>Required</t>
        </is>
      </c>
      <c r="T23" s="22" t="inlineStr">
        <is>
          <t>Current</t>
        </is>
      </c>
      <c r="U23" s="22" t="inlineStr">
        <is>
          <t>New</t>
        </is>
      </c>
    </row>
    <row r="24" ht="15.75" customHeight="1" s="40">
      <c r="A24" s="39" t="n">
        <v>1</v>
      </c>
      <c r="B24" s="39" t="inlineStr">
        <is>
          <t>startup production</t>
        </is>
      </c>
      <c r="C24" s="29">
        <f>C$9*$A24</f>
        <v/>
      </c>
      <c r="D24" s="30">
        <f>C15*C24</f>
        <v/>
      </c>
      <c r="E24" s="30">
        <f>F24*52</f>
        <v/>
      </c>
      <c r="F24" s="31">
        <f>C$17*$A24+C$21</f>
        <v/>
      </c>
      <c r="G24" s="32">
        <f>D24/1000000*52</f>
        <v/>
      </c>
      <c r="H24" s="33">
        <f>G24/$P$4+($C$22/$P$4)</f>
        <v/>
      </c>
      <c r="I24" s="29">
        <f>I$9*$A24</f>
        <v/>
      </c>
      <c r="J24" s="30">
        <f>I15*I24</f>
        <v/>
      </c>
      <c r="K24" s="30">
        <f>L24*52</f>
        <v/>
      </c>
      <c r="L24" s="31">
        <f>I$17*$A24+I$21</f>
        <v/>
      </c>
      <c r="M24" s="32">
        <f>J24/1000000*52</f>
        <v/>
      </c>
      <c r="N24" s="33">
        <f>M24/$P$4+($I$22/$P$4)</f>
        <v/>
      </c>
      <c r="R24" s="22" t="inlineStr">
        <is>
          <t>N</t>
        </is>
      </c>
      <c r="S24" s="22" t="n">
        <v>1000</v>
      </c>
      <c r="T24" s="22" t="n">
        <v>1000</v>
      </c>
      <c r="U24" s="22" t="n">
        <v>0</v>
      </c>
    </row>
    <row r="25" ht="15.75" customHeight="1" s="40">
      <c r="A25" s="39" t="n">
        <v>1</v>
      </c>
      <c r="B25" s="39" t="inlineStr">
        <is>
          <t>full production</t>
        </is>
      </c>
      <c r="C25" s="29">
        <f>C$9*$A25</f>
        <v/>
      </c>
      <c r="D25" s="30">
        <f>C25*C$13</f>
        <v/>
      </c>
      <c r="E25" s="30">
        <f>F25*52</f>
        <v/>
      </c>
      <c r="F25" s="31">
        <f>F24+C$19</f>
        <v/>
      </c>
      <c r="G25" s="4">
        <f>D25/1000000*52</f>
        <v/>
      </c>
      <c r="H25" s="33">
        <f>G25/$P$4+($C$22/$P$4)</f>
        <v/>
      </c>
      <c r="I25" s="29">
        <f>I$9*$A25</f>
        <v/>
      </c>
      <c r="J25" s="30">
        <f>I25*I$13</f>
        <v/>
      </c>
      <c r="K25" s="30">
        <f>L25*52</f>
        <v/>
      </c>
      <c r="L25" s="31">
        <f>L24+I$19</f>
        <v/>
      </c>
      <c r="M25" s="4">
        <f>J25/1000000*52</f>
        <v/>
      </c>
      <c r="N25" s="33">
        <f>M25/$P$4+($I$22/$P$4)</f>
        <v/>
      </c>
      <c r="R25" s="34" t="n">
        <v>0.7</v>
      </c>
      <c r="T25" s="22" t="n">
        <v>700</v>
      </c>
    </row>
    <row r="26" ht="15.75" customHeight="1" s="40">
      <c r="A26" s="39" t="n">
        <v>2</v>
      </c>
      <c r="B26" s="39" t="inlineStr">
        <is>
          <t>startup production</t>
        </is>
      </c>
      <c r="C26" s="29">
        <f>C$9*$A26</f>
        <v/>
      </c>
      <c r="D26" s="30">
        <f>D25+C$15*C$9</f>
        <v/>
      </c>
      <c r="E26" s="30">
        <f>F26*52</f>
        <v/>
      </c>
      <c r="F26" s="31">
        <f>C$17*$A26+C$21</f>
        <v/>
      </c>
      <c r="G26" s="4">
        <f>D26/1000000*52</f>
        <v/>
      </c>
      <c r="H26" s="33">
        <f>G26/$P$4+($C$22/$P$4)</f>
        <v/>
      </c>
      <c r="I26" s="29">
        <f>I$9*$A26</f>
        <v/>
      </c>
      <c r="J26" s="30">
        <f>J25+I$15*I$9</f>
        <v/>
      </c>
      <c r="K26" s="30">
        <f>L26*52</f>
        <v/>
      </c>
      <c r="L26" s="31">
        <f>I$17*$A26+I$21</f>
        <v/>
      </c>
      <c r="M26" s="4">
        <f>J26/1000000*52</f>
        <v/>
      </c>
      <c r="N26" s="33">
        <f>M26/$P$4+($I$22/$P$4)</f>
        <v/>
      </c>
    </row>
    <row r="27" ht="15.75" customHeight="1" s="40">
      <c r="A27" s="39" t="n">
        <v>2</v>
      </c>
      <c r="B27" s="39" t="inlineStr">
        <is>
          <t>full production</t>
        </is>
      </c>
      <c r="C27" s="29">
        <f>C$9*$A27</f>
        <v/>
      </c>
      <c r="D27" s="30">
        <f>C27*C$13</f>
        <v/>
      </c>
      <c r="E27" s="30">
        <f>F27*52</f>
        <v/>
      </c>
      <c r="F27" s="31">
        <f>F26+C$19</f>
        <v/>
      </c>
      <c r="G27" s="4">
        <f>D27/1000000*52</f>
        <v/>
      </c>
      <c r="H27" s="33">
        <f>G27/$P$4+($C$22/$P$4)</f>
        <v/>
      </c>
      <c r="I27" s="29">
        <f>I$9*$A27</f>
        <v/>
      </c>
      <c r="J27" s="30">
        <f>I27*I$13</f>
        <v/>
      </c>
      <c r="K27" s="30">
        <f>L27*52</f>
        <v/>
      </c>
      <c r="L27" s="31">
        <f>L26+I$19</f>
        <v/>
      </c>
      <c r="M27" s="4">
        <f>J27/1000000*52</f>
        <v/>
      </c>
      <c r="N27" s="33">
        <f>M27/$P$4+($I$22/$P$4)</f>
        <v/>
      </c>
    </row>
    <row r="28" ht="15.75" customHeight="1" s="40">
      <c r="A28" s="39" t="n">
        <v>3</v>
      </c>
      <c r="B28" s="39" t="inlineStr">
        <is>
          <t>startup production</t>
        </is>
      </c>
      <c r="C28" s="29">
        <f>C$9*$A28</f>
        <v/>
      </c>
      <c r="D28" s="30">
        <f>D27+C$15*C$9</f>
        <v/>
      </c>
      <c r="E28" s="30">
        <f>F28*52</f>
        <v/>
      </c>
      <c r="F28" s="31">
        <f>C$17*$A28+C$21</f>
        <v/>
      </c>
      <c r="G28" s="4">
        <f>D28/1000000*52</f>
        <v/>
      </c>
      <c r="H28" s="33">
        <f>G28/$P$4+($C$22/$P$4)</f>
        <v/>
      </c>
      <c r="I28" s="29">
        <f>I$9*$A28</f>
        <v/>
      </c>
      <c r="J28" s="30">
        <f>J27+I$15*I$9</f>
        <v/>
      </c>
      <c r="K28" s="30">
        <f>L28*52</f>
        <v/>
      </c>
      <c r="L28" s="31">
        <f>I$17*$A28+I$21</f>
        <v/>
      </c>
      <c r="M28" s="4">
        <f>J28/1000000*52</f>
        <v/>
      </c>
      <c r="N28" s="33">
        <f>M28/$P$4+($I$22/$P$4)</f>
        <v/>
      </c>
    </row>
    <row r="29" ht="15.75" customHeight="1" s="40">
      <c r="A29" s="39" t="n">
        <v>3</v>
      </c>
      <c r="B29" s="39" t="inlineStr">
        <is>
          <t>full production</t>
        </is>
      </c>
      <c r="C29" s="29">
        <f>C$9*$A29</f>
        <v/>
      </c>
      <c r="D29" s="30">
        <f>C29*C$13</f>
        <v/>
      </c>
      <c r="E29" s="30">
        <f>F29*52</f>
        <v/>
      </c>
      <c r="F29" s="31">
        <f>F28+C$19</f>
        <v/>
      </c>
      <c r="G29" s="4">
        <f>D29/1000000*52</f>
        <v/>
      </c>
      <c r="H29" s="33">
        <f>G29/$P$4+($C$22/$P$4)</f>
        <v/>
      </c>
      <c r="I29" s="29">
        <f>I$9*$A29</f>
        <v/>
      </c>
      <c r="J29" s="30">
        <f>I29*I$13</f>
        <v/>
      </c>
      <c r="K29" s="30">
        <f>L29*52</f>
        <v/>
      </c>
      <c r="L29" s="31">
        <f>L28+I$19</f>
        <v/>
      </c>
      <c r="M29" s="4">
        <f>J29/1000000*52</f>
        <v/>
      </c>
      <c r="N29" s="33">
        <f>M29/$P$4+($I$22/$P$4)</f>
        <v/>
      </c>
    </row>
    <row r="30" ht="15.75" customHeight="1" s="40">
      <c r="A30" s="39" t="n">
        <v>4</v>
      </c>
      <c r="B30" s="39" t="inlineStr">
        <is>
          <t>startup production</t>
        </is>
      </c>
      <c r="C30" s="29">
        <f>C$9*$A30</f>
        <v/>
      </c>
      <c r="D30" s="30">
        <f>D29+C$15*C$9</f>
        <v/>
      </c>
      <c r="E30" s="30">
        <f>F30*52</f>
        <v/>
      </c>
      <c r="F30" s="31">
        <f>C$17*$A30+C$21</f>
        <v/>
      </c>
      <c r="G30" s="4">
        <f>D30/1000000*52</f>
        <v/>
      </c>
      <c r="H30" s="33">
        <f>G30/$P$4+($C$22/$P$4)</f>
        <v/>
      </c>
      <c r="I30" s="29">
        <f>I$9*$A30</f>
        <v/>
      </c>
      <c r="J30" s="30">
        <f>J29+I$15*I$9</f>
        <v/>
      </c>
      <c r="K30" s="30">
        <f>L30*52</f>
        <v/>
      </c>
      <c r="L30" s="31">
        <f>I$17*$A30+I$21</f>
        <v/>
      </c>
      <c r="M30" s="4">
        <f>J30/1000000*52</f>
        <v/>
      </c>
      <c r="N30" s="33">
        <f>M30/$P$4+($I$22/$P$4)</f>
        <v/>
      </c>
    </row>
    <row r="31" ht="15.75" customHeight="1" s="40">
      <c r="A31" s="39" t="n">
        <v>4</v>
      </c>
      <c r="B31" s="39" t="inlineStr">
        <is>
          <t>full production</t>
        </is>
      </c>
      <c r="C31" s="29">
        <f>C$9*$A31</f>
        <v/>
      </c>
      <c r="D31" s="30">
        <f>C31*C$13</f>
        <v/>
      </c>
      <c r="E31" s="30">
        <f>F31*52</f>
        <v/>
      </c>
      <c r="F31" s="31">
        <f>F30+C$19</f>
        <v/>
      </c>
      <c r="G31" s="4">
        <f>D31/1000000*52</f>
        <v/>
      </c>
      <c r="H31" s="33">
        <f>G31/$P$4+($C$22/$P$4)</f>
        <v/>
      </c>
      <c r="I31" s="29">
        <f>I$9*$A31</f>
        <v/>
      </c>
      <c r="J31" s="30">
        <f>I31*I$13</f>
        <v/>
      </c>
      <c r="K31" s="30">
        <f>L31*52</f>
        <v/>
      </c>
      <c r="L31" s="31">
        <f>L30+I$19</f>
        <v/>
      </c>
      <c r="M31" s="4">
        <f>J31/1000000*52</f>
        <v/>
      </c>
      <c r="N31" s="33">
        <f>M31/$P$4+($I$22/$P$4)</f>
        <v/>
      </c>
    </row>
    <row r="32" ht="15.75" customHeight="1" s="40">
      <c r="A32" s="39" t="n">
        <v>5</v>
      </c>
      <c r="B32" s="39" t="inlineStr">
        <is>
          <t>startup production</t>
        </is>
      </c>
      <c r="C32" s="29">
        <f>C$9*$A32</f>
        <v/>
      </c>
      <c r="D32" s="30">
        <f>D31+C$15*C$9</f>
        <v/>
      </c>
      <c r="E32" s="30">
        <f>F32*52</f>
        <v/>
      </c>
      <c r="F32" s="31">
        <f>C$17*$A32+C$21</f>
        <v/>
      </c>
      <c r="G32" s="4">
        <f>D32/1000000*52</f>
        <v/>
      </c>
      <c r="H32" s="33">
        <f>G32/$P$4+($C$22/$P$4)</f>
        <v/>
      </c>
      <c r="I32" s="29">
        <f>I$9*$A32</f>
        <v/>
      </c>
      <c r="J32" s="30">
        <f>J31+I$15*I$9</f>
        <v/>
      </c>
      <c r="K32" s="30">
        <f>L32*52</f>
        <v/>
      </c>
      <c r="L32" s="31">
        <f>I$17*$A32+I$21</f>
        <v/>
      </c>
      <c r="M32" s="4">
        <f>J32/1000000*52</f>
        <v/>
      </c>
      <c r="N32" s="33">
        <f>M32/$P$4+($I$22/$P$4)</f>
        <v/>
      </c>
    </row>
    <row r="33" ht="15.75" customHeight="1" s="40">
      <c r="A33" s="39" t="n">
        <v>5</v>
      </c>
      <c r="B33" s="39" t="inlineStr">
        <is>
          <t>full production</t>
        </is>
      </c>
      <c r="C33" s="29">
        <f>C$9*$A33</f>
        <v/>
      </c>
      <c r="D33" s="30">
        <f>C33*C$13</f>
        <v/>
      </c>
      <c r="E33" s="30">
        <f>F33*52</f>
        <v/>
      </c>
      <c r="F33" s="31">
        <f>F32+C$19</f>
        <v/>
      </c>
      <c r="G33" s="4">
        <f>D33/1000000*52</f>
        <v/>
      </c>
      <c r="H33" s="33">
        <f>G33/$P$4+($C$22/$P$4)</f>
        <v/>
      </c>
      <c r="I33" s="29">
        <f>I$9*$A33</f>
        <v/>
      </c>
      <c r="J33" s="30">
        <f>I33*I$13</f>
        <v/>
      </c>
      <c r="K33" s="30">
        <f>L33*52</f>
        <v/>
      </c>
      <c r="L33" s="31">
        <f>L32+I$19</f>
        <v/>
      </c>
      <c r="M33" s="4">
        <f>J33/1000000*52</f>
        <v/>
      </c>
      <c r="N33" s="33">
        <f>M33/$P$4+($I$22/$P$4)</f>
        <v/>
      </c>
    </row>
    <row r="34" ht="15.75" customHeight="1" s="40">
      <c r="A34" s="39" t="n">
        <v>6</v>
      </c>
      <c r="B34" s="39" t="inlineStr">
        <is>
          <t>startup production</t>
        </is>
      </c>
      <c r="C34" s="29">
        <f>C$9*$A34</f>
        <v/>
      </c>
      <c r="D34" s="30">
        <f>D33+C$15*C$9</f>
        <v/>
      </c>
      <c r="E34" s="30">
        <f>F34*52</f>
        <v/>
      </c>
      <c r="F34" s="31">
        <f>C$17*$A34+C$21</f>
        <v/>
      </c>
      <c r="G34" s="4">
        <f>D34/1000000*52</f>
        <v/>
      </c>
      <c r="H34" s="33">
        <f>G34/$P$4+($C$22/$P$4)</f>
        <v/>
      </c>
      <c r="I34" s="29">
        <f>I$9*$A34</f>
        <v/>
      </c>
      <c r="J34" s="30">
        <f>J33+I$15*I$9</f>
        <v/>
      </c>
      <c r="K34" s="30">
        <f>L34*52</f>
        <v/>
      </c>
      <c r="L34" s="31">
        <f>I$17*$A34+I$21</f>
        <v/>
      </c>
      <c r="M34" s="4">
        <f>J34/1000000*52</f>
        <v/>
      </c>
      <c r="N34" s="33">
        <f>M34/$P$4+($I$22/$P$4)</f>
        <v/>
      </c>
    </row>
    <row r="35" ht="15.75" customHeight="1" s="40">
      <c r="A35" s="39" t="n">
        <v>6</v>
      </c>
      <c r="B35" s="39" t="inlineStr">
        <is>
          <t>full production</t>
        </is>
      </c>
      <c r="C35" s="29">
        <f>C$9*$A35</f>
        <v/>
      </c>
      <c r="D35" s="30">
        <f>C35*C$13</f>
        <v/>
      </c>
      <c r="E35" s="30">
        <f>F35*52</f>
        <v/>
      </c>
      <c r="F35" s="31">
        <f>F34+C$19</f>
        <v/>
      </c>
      <c r="G35" s="4">
        <f>D35/1000000*52</f>
        <v/>
      </c>
      <c r="H35" s="33">
        <f>G35/$P$4+($C$22/$P$4)</f>
        <v/>
      </c>
      <c r="I35" s="29">
        <f>I$9*$A35</f>
        <v/>
      </c>
      <c r="J35" s="30">
        <f>I35*I$13</f>
        <v/>
      </c>
      <c r="K35" s="30">
        <f>L35*52</f>
        <v/>
      </c>
      <c r="L35" s="31">
        <f>L34+I$19</f>
        <v/>
      </c>
      <c r="M35" s="4">
        <f>J35/1000000*52</f>
        <v/>
      </c>
      <c r="N35" s="33">
        <f>M35/$P$4+($I$22/$P$4)</f>
        <v/>
      </c>
    </row>
    <row r="36" ht="15.75" customHeight="1" s="40">
      <c r="A36" s="39" t="n">
        <v>7</v>
      </c>
      <c r="B36" s="39" t="inlineStr">
        <is>
          <t>startup production</t>
        </is>
      </c>
      <c r="C36" s="29">
        <f>C$9*$A36</f>
        <v/>
      </c>
      <c r="D36" s="30">
        <f>D35+C$15*C$9</f>
        <v/>
      </c>
      <c r="E36" s="30">
        <f>F36*52</f>
        <v/>
      </c>
      <c r="F36" s="31">
        <f>C$17*$A36+C$21</f>
        <v/>
      </c>
      <c r="G36" s="4">
        <f>D36/1000000*52</f>
        <v/>
      </c>
      <c r="H36" s="33">
        <f>G36/$P$4+($C$22/$P$4)</f>
        <v/>
      </c>
      <c r="I36" s="29">
        <f>I$9*$A36</f>
        <v/>
      </c>
      <c r="J36" s="30">
        <f>J35+I$15*I$9</f>
        <v/>
      </c>
      <c r="K36" s="30">
        <f>L36*52</f>
        <v/>
      </c>
      <c r="L36" s="31">
        <f>I$17*$A36+I$21</f>
        <v/>
      </c>
      <c r="M36" s="4">
        <f>J36/1000000*52</f>
        <v/>
      </c>
      <c r="N36" s="33">
        <f>M36/$P$4+($I$22/$P$4)</f>
        <v/>
      </c>
    </row>
    <row r="37" ht="15.75" customHeight="1" s="40">
      <c r="A37" s="39" t="n">
        <v>7</v>
      </c>
      <c r="B37" s="39" t="inlineStr">
        <is>
          <t>full production</t>
        </is>
      </c>
      <c r="C37" s="29">
        <f>C$9*$A37</f>
        <v/>
      </c>
      <c r="D37" s="30">
        <f>C37*C$13</f>
        <v/>
      </c>
      <c r="E37" s="30">
        <f>F37*52</f>
        <v/>
      </c>
      <c r="F37" s="31">
        <f>F36+C$19</f>
        <v/>
      </c>
      <c r="G37" s="4">
        <f>D37/1000000*52</f>
        <v/>
      </c>
      <c r="H37" s="33">
        <f>G37/$P$4+($C$22/$P$4)</f>
        <v/>
      </c>
      <c r="I37" s="29">
        <f>I$9*$A37</f>
        <v/>
      </c>
      <c r="J37" s="30">
        <f>I37*I$13</f>
        <v/>
      </c>
      <c r="K37" s="30">
        <f>L37*52</f>
        <v/>
      </c>
      <c r="L37" s="31">
        <f>L36+I$19</f>
        <v/>
      </c>
      <c r="M37" s="4">
        <f>J37/1000000*52</f>
        <v/>
      </c>
      <c r="N37" s="33">
        <f>M37/$P$4+($I$22/$P$4)</f>
        <v/>
      </c>
    </row>
    <row r="38" ht="15.75" customHeight="1" s="40">
      <c r="A38" s="39" t="n">
        <v>8</v>
      </c>
      <c r="B38" s="39" t="inlineStr">
        <is>
          <t>startup production</t>
        </is>
      </c>
      <c r="C38" s="29">
        <f>C$9*$A38</f>
        <v/>
      </c>
      <c r="D38" s="30">
        <f>D37+C$15*C$9</f>
        <v/>
      </c>
      <c r="E38" s="30">
        <f>F38*52</f>
        <v/>
      </c>
      <c r="F38" s="31">
        <f>C$17*$A38+C$21</f>
        <v/>
      </c>
      <c r="G38" s="4">
        <f>D38/1000000*52</f>
        <v/>
      </c>
      <c r="H38" s="33">
        <f>G38/$P$4+($C$22/$P$4)</f>
        <v/>
      </c>
      <c r="I38" s="29">
        <f>I$9*$A38</f>
        <v/>
      </c>
      <c r="J38" s="30">
        <f>J37+I$15*I$9</f>
        <v/>
      </c>
      <c r="K38" s="30">
        <f>L38*52</f>
        <v/>
      </c>
      <c r="L38" s="31">
        <f>I$17*$A38+I$21</f>
        <v/>
      </c>
      <c r="M38" s="4">
        <f>J38/1000000*52</f>
        <v/>
      </c>
      <c r="N38" s="33">
        <f>M38/$P$4+($I$22/$P$4)</f>
        <v/>
      </c>
    </row>
    <row r="39" ht="15.75" customHeight="1" s="40">
      <c r="A39" s="39" t="n">
        <v>8</v>
      </c>
      <c r="B39" s="39" t="inlineStr">
        <is>
          <t>full production</t>
        </is>
      </c>
      <c r="C39" s="29">
        <f>C$9*$A39</f>
        <v/>
      </c>
      <c r="D39" s="30">
        <f>C39*C$13</f>
        <v/>
      </c>
      <c r="E39" s="30">
        <f>F39*52</f>
        <v/>
      </c>
      <c r="F39" s="31">
        <f>F38+C$19</f>
        <v/>
      </c>
      <c r="G39" s="4">
        <f>D39/1000000*52</f>
        <v/>
      </c>
      <c r="H39" s="33">
        <f>G39/$P$4+($C$22/$P$4)</f>
        <v/>
      </c>
      <c r="I39" s="29">
        <f>I$9*$A39</f>
        <v/>
      </c>
      <c r="J39" s="30">
        <f>I39*I$13</f>
        <v/>
      </c>
      <c r="K39" s="30">
        <f>L39*52</f>
        <v/>
      </c>
      <c r="L39" s="31">
        <f>L38+I$19</f>
        <v/>
      </c>
      <c r="M39" s="4">
        <f>J39/1000000*52</f>
        <v/>
      </c>
      <c r="N39" s="33">
        <f>M39/$P$4+($I$22/$P$4)</f>
        <v/>
      </c>
    </row>
    <row r="40" ht="15.75" customHeight="1" s="40">
      <c r="A40" s="39" t="n">
        <v>9</v>
      </c>
      <c r="B40" s="39" t="inlineStr">
        <is>
          <t>startup production</t>
        </is>
      </c>
      <c r="C40" s="29">
        <f>C$9*$A40</f>
        <v/>
      </c>
      <c r="D40" s="30">
        <f>D39+C$15*C$9</f>
        <v/>
      </c>
      <c r="E40" s="30">
        <f>F40*52</f>
        <v/>
      </c>
      <c r="F40" s="31">
        <f>C$17*$A40+C$21</f>
        <v/>
      </c>
      <c r="G40" s="4">
        <f>D40/1000000*52</f>
        <v/>
      </c>
      <c r="H40" s="33">
        <f>G40/$P$4+($C$22/$P$4)</f>
        <v/>
      </c>
      <c r="I40" s="29">
        <f>I$9*$A40</f>
        <v/>
      </c>
      <c r="J40" s="30">
        <f>J39+I$15*I$9</f>
        <v/>
      </c>
      <c r="K40" s="30">
        <f>L40*52</f>
        <v/>
      </c>
      <c r="L40" s="31">
        <f>I$17*$A40+I$21</f>
        <v/>
      </c>
      <c r="M40" s="4">
        <f>J40/1000000*52</f>
        <v/>
      </c>
      <c r="N40" s="33">
        <f>M40/$P$4+($I$22/$P$4)</f>
        <v/>
      </c>
    </row>
    <row r="41" ht="15.75" customHeight="1" s="40">
      <c r="A41" s="39" t="n">
        <v>9</v>
      </c>
      <c r="B41" s="39" t="inlineStr">
        <is>
          <t>full production</t>
        </is>
      </c>
      <c r="C41" s="29">
        <f>C$9*$A41</f>
        <v/>
      </c>
      <c r="D41" s="30">
        <f>C41*C$13</f>
        <v/>
      </c>
      <c r="E41" s="30">
        <f>F41*52</f>
        <v/>
      </c>
      <c r="F41" s="31">
        <f>F40+C$19</f>
        <v/>
      </c>
      <c r="G41" s="4">
        <f>D41/1000000*52</f>
        <v/>
      </c>
      <c r="H41" s="33">
        <f>G41/$P$4+($C$22/$P$4)</f>
        <v/>
      </c>
      <c r="I41" s="29">
        <f>I$9*$A41</f>
        <v/>
      </c>
      <c r="J41" s="30">
        <f>I41*I$13</f>
        <v/>
      </c>
      <c r="K41" s="30">
        <f>L41*52</f>
        <v/>
      </c>
      <c r="L41" s="31">
        <f>L40+I$19</f>
        <v/>
      </c>
      <c r="M41" s="4">
        <f>J41/1000000*52</f>
        <v/>
      </c>
      <c r="N41" s="33">
        <f>M41/$P$4+($I$22/$P$4)</f>
        <v/>
      </c>
    </row>
    <row r="42" ht="15.75" customHeight="1" s="40">
      <c r="A42" s="39" t="n">
        <v>10</v>
      </c>
      <c r="B42" s="39" t="inlineStr">
        <is>
          <t>startup production</t>
        </is>
      </c>
      <c r="C42" s="29">
        <f>C$9*$A42</f>
        <v/>
      </c>
      <c r="D42" s="30">
        <f>D41+C$15*C$9</f>
        <v/>
      </c>
      <c r="E42" s="30">
        <f>F42*52</f>
        <v/>
      </c>
      <c r="F42" s="31">
        <f>C$17*$A42+C$21</f>
        <v/>
      </c>
      <c r="G42" s="4">
        <f>D42/1000000*52</f>
        <v/>
      </c>
      <c r="H42" s="33">
        <f>G42/$P$4+($C$22/$P$4)</f>
        <v/>
      </c>
      <c r="I42" s="29">
        <f>I$9*$A42</f>
        <v/>
      </c>
      <c r="J42" s="30">
        <f>J41+I$15*I$9</f>
        <v/>
      </c>
      <c r="K42" s="30">
        <f>L42*52</f>
        <v/>
      </c>
      <c r="L42" s="31">
        <f>I$17*$A42+I$21</f>
        <v/>
      </c>
      <c r="M42" s="4">
        <f>J42/1000000*52</f>
        <v/>
      </c>
      <c r="N42" s="33">
        <f>M42/$P$4+($I$22/$P$4)</f>
        <v/>
      </c>
    </row>
    <row r="43" ht="15.75" customHeight="1" s="40">
      <c r="A43" s="39" t="n">
        <v>10</v>
      </c>
      <c r="B43" s="39" t="inlineStr">
        <is>
          <t>full production</t>
        </is>
      </c>
      <c r="C43" s="29">
        <f>C$9*$A43</f>
        <v/>
      </c>
      <c r="D43" s="30">
        <f>C43*C$13</f>
        <v/>
      </c>
      <c r="E43" s="30">
        <f>F43*52</f>
        <v/>
      </c>
      <c r="F43" s="31">
        <f>F42+C$19</f>
        <v/>
      </c>
      <c r="G43" s="4">
        <f>D43/1000000*52</f>
        <v/>
      </c>
      <c r="H43" s="33">
        <f>G43/$P$4+($C$22/$P$4)</f>
        <v/>
      </c>
      <c r="I43" s="29">
        <f>I$9*$A43</f>
        <v/>
      </c>
      <c r="J43" s="30">
        <f>I43*I$13</f>
        <v/>
      </c>
      <c r="K43" s="30">
        <f>L43*52</f>
        <v/>
      </c>
      <c r="L43" s="31">
        <f>L42+I$19</f>
        <v/>
      </c>
      <c r="M43" s="4">
        <f>J43/1000000*52</f>
        <v/>
      </c>
      <c r="N43" s="33">
        <f>M43/$P$4+($I$22/$P$4)</f>
        <v/>
      </c>
    </row>
    <row r="44" ht="15.75" customHeight="1" s="40">
      <c r="A44" s="39" t="n">
        <v>11</v>
      </c>
      <c r="B44" s="39" t="inlineStr">
        <is>
          <t>startup production</t>
        </is>
      </c>
      <c r="C44" s="29">
        <f>C$9*$A44</f>
        <v/>
      </c>
      <c r="D44" s="30">
        <f>D43+C$15*C$9</f>
        <v/>
      </c>
      <c r="E44" s="30">
        <f>F44*52</f>
        <v/>
      </c>
      <c r="F44" s="31">
        <f>C$17*$A44+C$21</f>
        <v/>
      </c>
      <c r="G44" s="4">
        <f>D44/1000000*52</f>
        <v/>
      </c>
      <c r="H44" s="33">
        <f>G44/$P$4+($C$22/$P$4)</f>
        <v/>
      </c>
      <c r="I44" s="29">
        <f>I$9*$A44</f>
        <v/>
      </c>
      <c r="J44" s="30">
        <f>J43+I$15*I$9</f>
        <v/>
      </c>
      <c r="K44" s="30">
        <f>L44*52</f>
        <v/>
      </c>
      <c r="L44" s="31">
        <f>I$17*$A44+I$21</f>
        <v/>
      </c>
      <c r="M44" s="4">
        <f>J44/1000000*52</f>
        <v/>
      </c>
      <c r="N44" s="33">
        <f>M44/$P$4+($I$22/$P$4)</f>
        <v/>
      </c>
    </row>
    <row r="45" ht="15.75" customHeight="1" s="40">
      <c r="A45" s="39" t="n">
        <v>11</v>
      </c>
      <c r="B45" s="39" t="inlineStr">
        <is>
          <t>full production</t>
        </is>
      </c>
      <c r="C45" s="29">
        <f>C$9*$A45</f>
        <v/>
      </c>
      <c r="D45" s="30">
        <f>C45*C$13</f>
        <v/>
      </c>
      <c r="E45" s="30">
        <f>F45*52</f>
        <v/>
      </c>
      <c r="F45" s="31">
        <f>F44+C$19</f>
        <v/>
      </c>
      <c r="G45" s="4">
        <f>D45/1000000*52</f>
        <v/>
      </c>
      <c r="H45" s="33">
        <f>G45/$P$4+($C$22/$P$4)</f>
        <v/>
      </c>
      <c r="I45" s="29">
        <f>I$9*$A45</f>
        <v/>
      </c>
      <c r="J45" s="30">
        <f>I45*I$13</f>
        <v/>
      </c>
      <c r="K45" s="30">
        <f>L45*52</f>
        <v/>
      </c>
      <c r="L45" s="31">
        <f>L44+I$19</f>
        <v/>
      </c>
      <c r="M45" s="4">
        <f>J45/1000000*52</f>
        <v/>
      </c>
      <c r="N45" s="33">
        <f>M45/$P$4+($I$22/$P$4)</f>
        <v/>
      </c>
    </row>
    <row r="46" ht="15.75" customHeight="1" s="40">
      <c r="A46" s="39" t="n">
        <v>12</v>
      </c>
      <c r="B46" s="39" t="inlineStr">
        <is>
          <t>startup production</t>
        </is>
      </c>
      <c r="C46" s="29">
        <f>C$9*$A46</f>
        <v/>
      </c>
      <c r="D46" s="30">
        <f>D45+C$15*C$9</f>
        <v/>
      </c>
      <c r="E46" s="30">
        <f>F46*52</f>
        <v/>
      </c>
      <c r="F46" s="31">
        <f>C$17*$A46+C$21</f>
        <v/>
      </c>
      <c r="G46" s="4">
        <f>D46/1000000*52</f>
        <v/>
      </c>
      <c r="H46" s="33">
        <f>G46/$P$4+($C$22/$P$4)</f>
        <v/>
      </c>
      <c r="I46" s="29">
        <f>I$9*$A46</f>
        <v/>
      </c>
      <c r="J46" s="30">
        <f>J45+I$15*I$9</f>
        <v/>
      </c>
      <c r="K46" s="30">
        <f>L46*52</f>
        <v/>
      </c>
      <c r="L46" s="31">
        <f>I$17*$A46+I$21</f>
        <v/>
      </c>
      <c r="M46" s="4">
        <f>J46/1000000*52</f>
        <v/>
      </c>
      <c r="N46" s="33">
        <f>M46/$P$4+($I$22/$P$4)</f>
        <v/>
      </c>
    </row>
    <row r="47" ht="15.75" customHeight="1" s="40">
      <c r="A47" s="39" t="n">
        <v>12</v>
      </c>
      <c r="B47" s="39" t="inlineStr">
        <is>
          <t>full production</t>
        </is>
      </c>
      <c r="C47" s="29">
        <f>C$9*$A47</f>
        <v/>
      </c>
      <c r="D47" s="30">
        <f>C47*C$13</f>
        <v/>
      </c>
      <c r="E47" s="30">
        <f>F47*52</f>
        <v/>
      </c>
      <c r="F47" s="31">
        <f>F46+C$19</f>
        <v/>
      </c>
      <c r="G47" s="4">
        <f>D47/1000000*52</f>
        <v/>
      </c>
      <c r="H47" s="33">
        <f>G47/$P$4+($C$22/$P$4)</f>
        <v/>
      </c>
      <c r="I47" s="29">
        <f>I$9*$A47</f>
        <v/>
      </c>
      <c r="J47" s="30">
        <f>I47*I$13</f>
        <v/>
      </c>
      <c r="K47" s="30">
        <f>L47*52</f>
        <v/>
      </c>
      <c r="L47" s="31">
        <f>L46+I$19</f>
        <v/>
      </c>
      <c r="M47" s="4">
        <f>J47/1000000*52</f>
        <v/>
      </c>
      <c r="N47" s="33">
        <f>M47/$P$4+($I$22/$P$4)</f>
        <v/>
      </c>
    </row>
    <row r="48" ht="15.75" customHeight="1" s="40">
      <c r="C48" s="45" t="n"/>
      <c r="D48" s="39" t="n"/>
      <c r="E48" s="39" t="n"/>
      <c r="F48" s="35" t="n"/>
      <c r="G48" s="39" t="n"/>
      <c r="H48" s="39" t="n"/>
      <c r="I48" s="45" t="n"/>
      <c r="J48" s="39" t="n"/>
      <c r="K48" s="39" t="n"/>
      <c r="L48" s="35" t="n"/>
      <c r="M48" s="39" t="n"/>
      <c r="N48" s="39" t="n"/>
      <c r="U48" t="inlineStr">
        <is>
          <t>MULTIPLE CHART DATA (includes pre-disruption = 1)</t>
        </is>
      </c>
    </row>
    <row r="49" ht="15.75" customHeight="1" s="40">
      <c r="C49" s="45" t="inlineStr">
        <is>
          <t>Plants</t>
        </is>
      </c>
      <c r="D49" s="39" t="inlineStr">
        <is>
          <t>tonnes/week</t>
        </is>
      </c>
      <c r="E49" s="39" t="inlineStr">
        <is>
          <t>Weeks</t>
        </is>
      </c>
      <c r="F49" s="35" t="inlineStr">
        <is>
          <t>Years</t>
        </is>
      </c>
      <c r="G49" s="39" t="inlineStr">
        <is>
          <t>Regular Construction</t>
        </is>
      </c>
      <c r="H49" s="39" t="inlineStr">
        <is>
          <t>Regular Construction</t>
        </is>
      </c>
      <c r="I49" s="45" t="inlineStr">
        <is>
          <t>Plants</t>
        </is>
      </c>
      <c r="J49" s="39" t="inlineStr">
        <is>
          <t>tonnes/week</t>
        </is>
      </c>
      <c r="K49" s="39" t="inlineStr">
        <is>
          <t>Weeks</t>
        </is>
      </c>
      <c r="L49" s="35" t="inlineStr">
        <is>
          <t>Years</t>
        </is>
      </c>
      <c r="M49" s="39" t="inlineStr">
        <is>
          <t>Fast Construction</t>
        </is>
      </c>
      <c r="N49" s="39" t="inlineStr">
        <is>
          <t>Fast Construction</t>
        </is>
      </c>
      <c r="U49" t="inlineStr">
        <is>
          <t>Years</t>
        </is>
      </c>
      <c r="V49" t="inlineStr">
        <is>
          <t>Regular Construction</t>
        </is>
      </c>
      <c r="W49" t="inlineStr">
        <is>
          <t>Fast Construction</t>
        </is>
      </c>
    </row>
    <row r="50" ht="15.75" customHeight="1" s="40">
      <c r="C50" s="24" t="n"/>
      <c r="D50" s="4" t="n"/>
      <c r="E50" s="39" t="n"/>
      <c r="F50" s="35" t="n"/>
      <c r="G50" s="39" t="inlineStr">
        <is>
          <t>new megatonnes/year</t>
        </is>
      </c>
      <c r="H50" s="13" t="inlineStr">
        <is>
          <t>Multiple of Current Herbicide Production</t>
        </is>
      </c>
      <c r="I50" s="24" t="n"/>
      <c r="J50" s="4" t="n"/>
      <c r="K50" s="39" t="n"/>
      <c r="L50" s="35" t="n"/>
      <c r="M50" s="39" t="inlineStr">
        <is>
          <t>new megatonnes/year</t>
        </is>
      </c>
      <c r="N50" s="13" t="inlineStr">
        <is>
          <t>Multiple of Current Herbicide Production</t>
        </is>
      </c>
      <c r="U50" t="n">
        <v>-0.25</v>
      </c>
      <c r="V50" t="n">
        <v>1</v>
      </c>
      <c r="W50" t="n">
        <v>1</v>
      </c>
    </row>
    <row r="51" ht="15.75" customHeight="1" s="40">
      <c r="C51" s="36">
        <f>_xlfn.IFS(E51&lt;E$24,0,E51&lt;E$26,C$24,E51&lt;E$28,C$26,E51&lt;E$30,C$28,E51&lt;E$32,C$30,E51&lt;E$34,C$32,E51&gt;=E$34,C$34)</f>
        <v/>
      </c>
      <c r="D51" s="37">
        <f>_xlfn.IFS(E51&lt;E$24,0,E51&lt;E$25,D$24,E51&lt;E$26,D$25,E51&lt;E$27,D$26,E51&lt;E$28,D$27,E51&lt;E$29,D$28,E51&lt;E$30,D$29,E51&lt;E$31,D$30,E51&lt;E$32,D$31,E51&lt;E$33,D$32,E51&lt;E$34,D$33,E51&lt;E$35,D$34,E51&gt;=E$35,D$35)</f>
        <v/>
      </c>
      <c r="E51" s="38" t="n">
        <v>1</v>
      </c>
      <c r="F51" s="31" t="n">
        <v>0</v>
      </c>
      <c r="G51" s="39">
        <f>D51/1000000*52</f>
        <v/>
      </c>
      <c r="H51" s="33">
        <f>G51/$P$4+($C$22/$P$4)</f>
        <v/>
      </c>
      <c r="I51" s="36">
        <f>_xlfn.IFS(K51&lt;K$24,0,K51&lt;K$26,I$24,K51&lt;K$28,I$26,K51&lt;K$30,I$28,K51&lt;K$32,I$30,K51&lt;K$34,I$32,K51&lt;K$36,I$34,K51&lt;K$38,I$36,K51&lt;K$40,I$38,K51&lt;K$42,I$40,K51&lt;K$44,I$42,K51&lt;K$46,I$44,K51&gt;=K$46,I$46)</f>
        <v/>
      </c>
      <c r="J51" s="37">
        <f>_xlfn.IFS(K51&lt;K$24,0,K51&lt;K$25,J$24,K51&lt;K$26,J$25,K51&lt;K$27,J$26,K51&lt;K$28,J$27,K51&lt;K$29,J$28,K51&lt;K$30,J$29,K51&lt;K$31,J$30,K51&lt;K$32,J$31,K51&lt;K$33,J$32,K51&lt;K$34,J$33,K51&lt;K$35,J$34,K51&lt;K$36,J$35,K51&lt;K$37,J$36,K51&lt;K$38,J$37,K51&lt;K$39,J$38,K51&lt;K$40,J$39,K51&lt;K$41,J$40,K51&lt;K$42,J$41,K51&lt;K$43,J$42,K51&lt;K$44,J$43,K51&lt;K$45,J$44,K51&lt;K$46,J$45,K51&lt;K$47,J$46,K51&gt;=K$47,J$47)</f>
        <v/>
      </c>
      <c r="K51" s="38" t="n">
        <v>1</v>
      </c>
      <c r="L51" s="31" t="n">
        <v>0</v>
      </c>
      <c r="M51" s="39">
        <f>J51/1000000*52</f>
        <v/>
      </c>
      <c r="N51" s="33">
        <f>M51/$P$4+($I$22/$P$4)</f>
        <v/>
      </c>
      <c r="U51" t="n">
        <v>0</v>
      </c>
      <c r="V51" t="n">
        <v>1</v>
      </c>
      <c r="W51" t="n">
        <v>1</v>
      </c>
    </row>
    <row r="52" ht="15.75" customHeight="1" s="40">
      <c r="C52" s="36">
        <f>_xlfn.IFS(E52&lt;E$24,0,E52&lt;E$26,C$24,E52&lt;E$28,C$26,E52&lt;E$30,C$28,E52&lt;E$32,C$30,E52&lt;E$34,C$32,E52&gt;=E$34,C$34)</f>
        <v/>
      </c>
      <c r="D52" s="37">
        <f>_xlfn.IFS(E52&lt;E$24,0,E52&lt;E$25,D$24,E52&lt;E$26,D$25,E52&lt;E$27,D$26,E52&lt;E$28,D$27,E52&lt;E$29,D$28,E52&lt;E$30,D$29,E52&lt;E$31,D$30,E52&lt;E$32,D$31,E52&lt;E$33,D$32,E52&lt;E$34,D$33,E52&lt;E$35,D$34,E52&gt;=E$35,D$35)</f>
        <v/>
      </c>
      <c r="E52" s="38" t="n">
        <v>2</v>
      </c>
      <c r="F52" s="31">
        <f>E52/52</f>
        <v/>
      </c>
      <c r="G52" s="39">
        <f>D52/1000000*52</f>
        <v/>
      </c>
      <c r="H52" s="33">
        <f>G52/$P$4+($C$22/$P$4)</f>
        <v/>
      </c>
      <c r="I52" s="36">
        <f>_xlfn.IFS(K52&lt;K$24,0,K52&lt;K$26,I$24,K52&lt;K$28,I$26,K52&lt;K$30,I$28,K52&lt;K$32,I$30,K52&lt;K$34,I$32,K52&lt;K$36,I$34,K52&lt;K$38,I$36,K52&lt;K$40,I$38,K52&lt;K$42,I$40,K52&lt;K$44,I$42,K52&lt;K$46,I$44,K52&gt;=K$46,I$46)</f>
        <v/>
      </c>
      <c r="J52" s="37">
        <f>_xlfn.IFS(K52&lt;K$24,0,K52&lt;K$25,J$24,K52&lt;K$26,J$25,K52&lt;K$27,J$26,K52&lt;K$28,J$27,K52&lt;K$29,J$28,K52&lt;K$30,J$29,K52&lt;K$31,J$30,K52&lt;K$32,J$31,K52&lt;K$33,J$32,K52&lt;K$34,J$33,K52&lt;K$35,J$34,K52&lt;K$36,J$35,K52&lt;K$37,J$36,K52&lt;K$38,J$37,K52&lt;K$39,J$38,K52&lt;K$40,J$39,K52&lt;K$41,J$40,K52&lt;K$42,J$41,K52&lt;K$43,J$42,K52&lt;K$44,J$43,K52&lt;K$45,J$44,K52&lt;K$46,J$45,K52&lt;K$47,J$46,K52&gt;=K$47,J$47)</f>
        <v/>
      </c>
      <c r="K52" s="38" t="n">
        <v>2</v>
      </c>
      <c r="L52" s="31">
        <f>K52/52</f>
        <v/>
      </c>
      <c r="M52" s="39">
        <f>J52/1000000*52</f>
        <v/>
      </c>
      <c r="N52" s="33">
        <f>M52/$P$4+($I$22/$P$4)</f>
        <v/>
      </c>
      <c r="U52">
        <f>F51</f>
        <v/>
      </c>
      <c r="V52">
        <f>H51</f>
        <v/>
      </c>
      <c r="W52">
        <f>N51</f>
        <v/>
      </c>
    </row>
    <row r="53" ht="15.75" customHeight="1" s="40">
      <c r="C53" s="36">
        <f>_xlfn.IFS(E53&lt;E$24,0,E53&lt;E$26,C$24,E53&lt;E$28,C$26,E53&lt;E$30,C$28,E53&lt;E$32,C$30,E53&lt;E$34,C$32,E53&gt;=E$34,C$34)</f>
        <v/>
      </c>
      <c r="D53" s="37">
        <f>_xlfn.IFS(E53&lt;E$24,0,E53&lt;E$25,D$24,E53&lt;E$26,D$25,E53&lt;E$27,D$26,E53&lt;E$28,D$27,E53&lt;E$29,D$28,E53&lt;E$30,D$29,E53&lt;E$31,D$30,E53&lt;E$32,D$31,E53&lt;E$33,D$32,E53&lt;E$34,D$33,E53&lt;E$35,D$34,E53&gt;=E$35,D$35)</f>
        <v/>
      </c>
      <c r="E53" s="38" t="n">
        <v>3</v>
      </c>
      <c r="F53" s="31">
        <f>E53/52</f>
        <v/>
      </c>
      <c r="G53" s="39">
        <f>D53/1000000*52</f>
        <v/>
      </c>
      <c r="H53" s="33">
        <f>G53/$P$4+($C$22/$P$4)</f>
        <v/>
      </c>
      <c r="I53" s="36">
        <f>_xlfn.IFS(K53&lt;K$24,0,K53&lt;K$26,I$24,K53&lt;K$28,I$26,K53&lt;K$30,I$28,K53&lt;K$32,I$30,K53&lt;K$34,I$32,K53&lt;K$36,I$34,K53&lt;K$38,I$36,K53&lt;K$40,I$38,K53&lt;K$42,I$40,K53&lt;K$44,I$42,K53&lt;K$46,I$44,K53&gt;=K$46,I$46)</f>
        <v/>
      </c>
      <c r="J53" s="37">
        <f>_xlfn.IFS(K53&lt;K$24,0,K53&lt;K$25,J$24,K53&lt;K$26,J$25,K53&lt;K$27,J$26,K53&lt;K$28,J$27,K53&lt;K$29,J$28,K53&lt;K$30,J$29,K53&lt;K$31,J$30,K53&lt;K$32,J$31,K53&lt;K$33,J$32,K53&lt;K$34,J$33,K53&lt;K$35,J$34,K53&lt;K$36,J$35,K53&lt;K$37,J$36,K53&lt;K$38,J$37,K53&lt;K$39,J$38,K53&lt;K$40,J$39,K53&lt;K$41,J$40,K53&lt;K$42,J$41,K53&lt;K$43,J$42,K53&lt;K$44,J$43,K53&lt;K$45,J$44,K53&lt;K$46,J$45,K53&lt;K$47,J$46,K53&gt;=K$47,J$47)</f>
        <v/>
      </c>
      <c r="K53" s="38" t="n">
        <v>3</v>
      </c>
      <c r="L53" s="31">
        <f>K53/52</f>
        <v/>
      </c>
      <c r="M53" s="39">
        <f>J53/1000000*52</f>
        <v/>
      </c>
      <c r="N53" s="33">
        <f>M53/$P$4+($I$22/$P$4)</f>
        <v/>
      </c>
      <c r="U53">
        <f>F52</f>
        <v/>
      </c>
      <c r="V53">
        <f>H52</f>
        <v/>
      </c>
      <c r="W53">
        <f>N52</f>
        <v/>
      </c>
    </row>
    <row r="54" ht="15.75" customHeight="1" s="40">
      <c r="C54" s="36">
        <f>_xlfn.IFS(E54&lt;E$24,0,E54&lt;E$26,C$24,E54&lt;E$28,C$26,E54&lt;E$30,C$28,E54&lt;E$32,C$30,E54&lt;E$34,C$32,E54&gt;=E$34,C$34)</f>
        <v/>
      </c>
      <c r="D54" s="37">
        <f>_xlfn.IFS(E54&lt;E$24,0,E54&lt;E$25,D$24,E54&lt;E$26,D$25,E54&lt;E$27,D$26,E54&lt;E$28,D$27,E54&lt;E$29,D$28,E54&lt;E$30,D$29,E54&lt;E$31,D$30,E54&lt;E$32,D$31,E54&lt;E$33,D$32,E54&lt;E$34,D$33,E54&lt;E$35,D$34,E54&gt;=E$35,D$35)</f>
        <v/>
      </c>
      <c r="E54" s="38" t="n">
        <v>4</v>
      </c>
      <c r="F54" s="31">
        <f>E54/52</f>
        <v/>
      </c>
      <c r="G54" s="39">
        <f>D54/1000000*52</f>
        <v/>
      </c>
      <c r="H54" s="33">
        <f>G54/$P$4+($C$22/$P$4)</f>
        <v/>
      </c>
      <c r="I54" s="36">
        <f>_xlfn.IFS(K54&lt;K$24,0,K54&lt;K$26,I$24,K54&lt;K$28,I$26,K54&lt;K$30,I$28,K54&lt;K$32,I$30,K54&lt;K$34,I$32,K54&lt;K$36,I$34,K54&lt;K$38,I$36,K54&lt;K$40,I$38,K54&lt;K$42,I$40,K54&lt;K$44,I$42,K54&lt;K$46,I$44,K54&gt;=K$46,I$46)</f>
        <v/>
      </c>
      <c r="J54" s="37">
        <f>_xlfn.IFS(K54&lt;K$24,0,K54&lt;K$25,J$24,K54&lt;K$26,J$25,K54&lt;K$27,J$26,K54&lt;K$28,J$27,K54&lt;K$29,J$28,K54&lt;K$30,J$29,K54&lt;K$31,J$30,K54&lt;K$32,J$31,K54&lt;K$33,J$32,K54&lt;K$34,J$33,K54&lt;K$35,J$34,K54&lt;K$36,J$35,K54&lt;K$37,J$36,K54&lt;K$38,J$37,K54&lt;K$39,J$38,K54&lt;K$40,J$39,K54&lt;K$41,J$40,K54&lt;K$42,J$41,K54&lt;K$43,J$42,K54&lt;K$44,J$43,K54&lt;K$45,J$44,K54&lt;K$46,J$45,K54&lt;K$47,J$46,K54&gt;=K$47,J$47)</f>
        <v/>
      </c>
      <c r="K54" s="38" t="n">
        <v>4</v>
      </c>
      <c r="L54" s="31">
        <f>K54/52</f>
        <v/>
      </c>
      <c r="M54" s="39">
        <f>J54/1000000*52</f>
        <v/>
      </c>
      <c r="N54" s="33">
        <f>M54/$P$4+($I$22/$P$4)</f>
        <v/>
      </c>
      <c r="U54">
        <f>F53</f>
        <v/>
      </c>
      <c r="V54">
        <f>H53</f>
        <v/>
      </c>
      <c r="W54">
        <f>N53</f>
        <v/>
      </c>
    </row>
    <row r="55" ht="15.75" customHeight="1" s="40">
      <c r="C55" s="36">
        <f>_xlfn.IFS(E55&lt;E$24,0,E55&lt;E$26,C$24,E55&lt;E$28,C$26,E55&lt;E$30,C$28,E55&lt;E$32,C$30,E55&lt;E$34,C$32,E55&gt;=E$34,C$34)</f>
        <v/>
      </c>
      <c r="D55" s="37">
        <f>_xlfn.IFS(E55&lt;E$24,0,E55&lt;E$25,D$24,E55&lt;E$26,D$25,E55&lt;E$27,D$26,E55&lt;E$28,D$27,E55&lt;E$29,D$28,E55&lt;E$30,D$29,E55&lt;E$31,D$30,E55&lt;E$32,D$31,E55&lt;E$33,D$32,E55&lt;E$34,D$33,E55&lt;E$35,D$34,E55&gt;=E$35,D$35)</f>
        <v/>
      </c>
      <c r="E55" s="38" t="n">
        <v>5</v>
      </c>
      <c r="F55" s="31">
        <f>E55/52</f>
        <v/>
      </c>
      <c r="G55" s="39">
        <f>D55/1000000*52</f>
        <v/>
      </c>
      <c r="H55" s="33">
        <f>G55/$P$4+($C$22/$P$4)</f>
        <v/>
      </c>
      <c r="I55" s="36">
        <f>_xlfn.IFS(K55&lt;K$24,0,K55&lt;K$26,I$24,K55&lt;K$28,I$26,K55&lt;K$30,I$28,K55&lt;K$32,I$30,K55&lt;K$34,I$32,K55&lt;K$36,I$34,K55&lt;K$38,I$36,K55&lt;K$40,I$38,K55&lt;K$42,I$40,K55&lt;K$44,I$42,K55&lt;K$46,I$44,K55&gt;=K$46,I$46)</f>
        <v/>
      </c>
      <c r="J55" s="37">
        <f>_xlfn.IFS(K55&lt;K$24,0,K55&lt;K$25,J$24,K55&lt;K$26,J$25,K55&lt;K$27,J$26,K55&lt;K$28,J$27,K55&lt;K$29,J$28,K55&lt;K$30,J$29,K55&lt;K$31,J$30,K55&lt;K$32,J$31,K55&lt;K$33,J$32,K55&lt;K$34,J$33,K55&lt;K$35,J$34,K55&lt;K$36,J$35,K55&lt;K$37,J$36,K55&lt;K$38,J$37,K55&lt;K$39,J$38,K55&lt;K$40,J$39,K55&lt;K$41,J$40,K55&lt;K$42,J$41,K55&lt;K$43,J$42,K55&lt;K$44,J$43,K55&lt;K$45,J$44,K55&lt;K$46,J$45,K55&lt;K$47,J$46,K55&gt;=K$47,J$47)</f>
        <v/>
      </c>
      <c r="K55" s="38" t="n">
        <v>5</v>
      </c>
      <c r="L55" s="31">
        <f>K55/52</f>
        <v/>
      </c>
      <c r="M55" s="39">
        <f>J55/1000000*52</f>
        <v/>
      </c>
      <c r="N55" s="33">
        <f>M55/$P$4+($I$22/$P$4)</f>
        <v/>
      </c>
      <c r="U55">
        <f>F54</f>
        <v/>
      </c>
      <c r="V55">
        <f>H54</f>
        <v/>
      </c>
      <c r="W55">
        <f>N54</f>
        <v/>
      </c>
    </row>
    <row r="56" ht="15.75" customHeight="1" s="40">
      <c r="C56" s="36">
        <f>_xlfn.IFS(E56&lt;E$24,0,E56&lt;E$26,C$24,E56&lt;E$28,C$26,E56&lt;E$30,C$28,E56&lt;E$32,C$30,E56&lt;E$34,C$32,E56&gt;=E$34,C$34)</f>
        <v/>
      </c>
      <c r="D56" s="37">
        <f>_xlfn.IFS(E56&lt;E$24,0,E56&lt;E$25,D$24,E56&lt;E$26,D$25,E56&lt;E$27,D$26,E56&lt;E$28,D$27,E56&lt;E$29,D$28,E56&lt;E$30,D$29,E56&lt;E$31,D$30,E56&lt;E$32,D$31,E56&lt;E$33,D$32,E56&lt;E$34,D$33,E56&lt;E$35,D$34,E56&gt;=E$35,D$35)</f>
        <v/>
      </c>
      <c r="E56" s="38" t="n">
        <v>6</v>
      </c>
      <c r="F56" s="31">
        <f>E56/52</f>
        <v/>
      </c>
      <c r="G56" s="39">
        <f>D56/1000000*52</f>
        <v/>
      </c>
      <c r="H56" s="33">
        <f>G56/$P$4+($C$22/$P$4)</f>
        <v/>
      </c>
      <c r="I56" s="36">
        <f>_xlfn.IFS(K56&lt;K$24,0,K56&lt;K$26,I$24,K56&lt;K$28,I$26,K56&lt;K$30,I$28,K56&lt;K$32,I$30,K56&lt;K$34,I$32,K56&lt;K$36,I$34,K56&lt;K$38,I$36,K56&lt;K$40,I$38,K56&lt;K$42,I$40,K56&lt;K$44,I$42,K56&lt;K$46,I$44,K56&gt;=K$46,I$46)</f>
        <v/>
      </c>
      <c r="J56" s="37">
        <f>_xlfn.IFS(K56&lt;K$24,0,K56&lt;K$25,J$24,K56&lt;K$26,J$25,K56&lt;K$27,J$26,K56&lt;K$28,J$27,K56&lt;K$29,J$28,K56&lt;K$30,J$29,K56&lt;K$31,J$30,K56&lt;K$32,J$31,K56&lt;K$33,J$32,K56&lt;K$34,J$33,K56&lt;K$35,J$34,K56&lt;K$36,J$35,K56&lt;K$37,J$36,K56&lt;K$38,J$37,K56&lt;K$39,J$38,K56&lt;K$40,J$39,K56&lt;K$41,J$40,K56&lt;K$42,J$41,K56&lt;K$43,J$42,K56&lt;K$44,J$43,K56&lt;K$45,J$44,K56&lt;K$46,J$45,K56&lt;K$47,J$46,K56&gt;=K$47,J$47)</f>
        <v/>
      </c>
      <c r="K56" s="38" t="n">
        <v>6</v>
      </c>
      <c r="L56" s="31">
        <f>K56/52</f>
        <v/>
      </c>
      <c r="M56" s="39">
        <f>J56/1000000*52</f>
        <v/>
      </c>
      <c r="N56" s="33">
        <f>M56/$P$4+($I$22/$P$4)</f>
        <v/>
      </c>
      <c r="U56">
        <f>F55</f>
        <v/>
      </c>
      <c r="V56">
        <f>H55</f>
        <v/>
      </c>
      <c r="W56">
        <f>N55</f>
        <v/>
      </c>
    </row>
    <row r="57" ht="15.75" customHeight="1" s="40">
      <c r="C57" s="36">
        <f>_xlfn.IFS(E57&lt;E$24,0,E57&lt;E$26,C$24,E57&lt;E$28,C$26,E57&lt;E$30,C$28,E57&lt;E$32,C$30,E57&lt;E$34,C$32,E57&gt;=E$34,C$34)</f>
        <v/>
      </c>
      <c r="D57" s="37">
        <f>_xlfn.IFS(E57&lt;E$24,0,E57&lt;E$25,D$24,E57&lt;E$26,D$25,E57&lt;E$27,D$26,E57&lt;E$28,D$27,E57&lt;E$29,D$28,E57&lt;E$30,D$29,E57&lt;E$31,D$30,E57&lt;E$32,D$31,E57&lt;E$33,D$32,E57&lt;E$34,D$33,E57&lt;E$35,D$34,E57&gt;=E$35,D$35)</f>
        <v/>
      </c>
      <c r="E57" s="38" t="n">
        <v>7</v>
      </c>
      <c r="F57" s="31">
        <f>E57/52</f>
        <v/>
      </c>
      <c r="G57" s="39">
        <f>D57/1000000*52</f>
        <v/>
      </c>
      <c r="H57" s="33">
        <f>G57/$P$4+($C$22/$P$4)</f>
        <v/>
      </c>
      <c r="I57" s="36">
        <f>_xlfn.IFS(K57&lt;K$24,0,K57&lt;K$26,I$24,K57&lt;K$28,I$26,K57&lt;K$30,I$28,K57&lt;K$32,I$30,K57&lt;K$34,I$32,K57&lt;K$36,I$34,K57&lt;K$38,I$36,K57&lt;K$40,I$38,K57&lt;K$42,I$40,K57&lt;K$44,I$42,K57&lt;K$46,I$44,K57&gt;=K$46,I$46)</f>
        <v/>
      </c>
      <c r="J57" s="37">
        <f>_xlfn.IFS(K57&lt;K$24,0,K57&lt;K$25,J$24,K57&lt;K$26,J$25,K57&lt;K$27,J$26,K57&lt;K$28,J$27,K57&lt;K$29,J$28,K57&lt;K$30,J$29,K57&lt;K$31,J$30,K57&lt;K$32,J$31,K57&lt;K$33,J$32,K57&lt;K$34,J$33,K57&lt;K$35,J$34,K57&lt;K$36,J$35,K57&lt;K$37,J$36,K57&lt;K$38,J$37,K57&lt;K$39,J$38,K57&lt;K$40,J$39,K57&lt;K$41,J$40,K57&lt;K$42,J$41,K57&lt;K$43,J$42,K57&lt;K$44,J$43,K57&lt;K$45,J$44,K57&lt;K$46,J$45,K57&lt;K$47,J$46,K57&gt;=K$47,J$47)</f>
        <v/>
      </c>
      <c r="K57" s="38" t="n">
        <v>7</v>
      </c>
      <c r="L57" s="31">
        <f>K57/52</f>
        <v/>
      </c>
      <c r="M57" s="39">
        <f>J57/1000000*52</f>
        <v/>
      </c>
      <c r="N57" s="33">
        <f>M57/$P$4+($I$22/$P$4)</f>
        <v/>
      </c>
      <c r="U57">
        <f>F56</f>
        <v/>
      </c>
      <c r="V57">
        <f>H56</f>
        <v/>
      </c>
      <c r="W57">
        <f>N56</f>
        <v/>
      </c>
    </row>
    <row r="58" ht="15.75" customHeight="1" s="40">
      <c r="C58" s="36">
        <f>_xlfn.IFS(E58&lt;E$24,0,E58&lt;E$26,C$24,E58&lt;E$28,C$26,E58&lt;E$30,C$28,E58&lt;E$32,C$30,E58&lt;E$34,C$32,E58&gt;=E$34,C$34)</f>
        <v/>
      </c>
      <c r="D58" s="37">
        <f>_xlfn.IFS(E58&lt;E$24,0,E58&lt;E$25,D$24,E58&lt;E$26,D$25,E58&lt;E$27,D$26,E58&lt;E$28,D$27,E58&lt;E$29,D$28,E58&lt;E$30,D$29,E58&lt;E$31,D$30,E58&lt;E$32,D$31,E58&lt;E$33,D$32,E58&lt;E$34,D$33,E58&lt;E$35,D$34,E58&gt;=E$35,D$35)</f>
        <v/>
      </c>
      <c r="E58" s="38" t="n">
        <v>8</v>
      </c>
      <c r="F58" s="31">
        <f>E58/52</f>
        <v/>
      </c>
      <c r="G58" s="39">
        <f>D58/1000000*52</f>
        <v/>
      </c>
      <c r="H58" s="33">
        <f>G58/$P$4+($C$22/$P$4)</f>
        <v/>
      </c>
      <c r="I58" s="36">
        <f>_xlfn.IFS(K58&lt;K$24,0,K58&lt;K$26,I$24,K58&lt;K$28,I$26,K58&lt;K$30,I$28,K58&lt;K$32,I$30,K58&lt;K$34,I$32,K58&lt;K$36,I$34,K58&lt;K$38,I$36,K58&lt;K$40,I$38,K58&lt;K$42,I$40,K58&lt;K$44,I$42,K58&lt;K$46,I$44,K58&gt;=K$46,I$46)</f>
        <v/>
      </c>
      <c r="J58" s="37">
        <f>_xlfn.IFS(K58&lt;K$24,0,K58&lt;K$25,J$24,K58&lt;K$26,J$25,K58&lt;K$27,J$26,K58&lt;K$28,J$27,K58&lt;K$29,J$28,K58&lt;K$30,J$29,K58&lt;K$31,J$30,K58&lt;K$32,J$31,K58&lt;K$33,J$32,K58&lt;K$34,J$33,K58&lt;K$35,J$34,K58&lt;K$36,J$35,K58&lt;K$37,J$36,K58&lt;K$38,J$37,K58&lt;K$39,J$38,K58&lt;K$40,J$39,K58&lt;K$41,J$40,K58&lt;K$42,J$41,K58&lt;K$43,J$42,K58&lt;K$44,J$43,K58&lt;K$45,J$44,K58&lt;K$46,J$45,K58&lt;K$47,J$46,K58&gt;=K$47,J$47)</f>
        <v/>
      </c>
      <c r="K58" s="38" t="n">
        <v>8</v>
      </c>
      <c r="L58" s="31">
        <f>K58/52</f>
        <v/>
      </c>
      <c r="M58" s="39">
        <f>J58/1000000*52</f>
        <v/>
      </c>
      <c r="N58" s="33">
        <f>M58/$P$4+($I$22/$P$4)</f>
        <v/>
      </c>
      <c r="U58">
        <f>F57</f>
        <v/>
      </c>
      <c r="V58">
        <f>H57</f>
        <v/>
      </c>
      <c r="W58">
        <f>N57</f>
        <v/>
      </c>
    </row>
    <row r="59" ht="15.75" customHeight="1" s="40">
      <c r="C59" s="36">
        <f>_xlfn.IFS(E59&lt;E$24,0,E59&lt;E$26,C$24,E59&lt;E$28,C$26,E59&lt;E$30,C$28,E59&lt;E$32,C$30,E59&lt;E$34,C$32,E59&gt;=E$34,C$34)</f>
        <v/>
      </c>
      <c r="D59" s="37">
        <f>_xlfn.IFS(E59&lt;E$24,0,E59&lt;E$25,D$24,E59&lt;E$26,D$25,E59&lt;E$27,D$26,E59&lt;E$28,D$27,E59&lt;E$29,D$28,E59&lt;E$30,D$29,E59&lt;E$31,D$30,E59&lt;E$32,D$31,E59&lt;E$33,D$32,E59&lt;E$34,D$33,E59&lt;E$35,D$34,E59&gt;=E$35,D$35)</f>
        <v/>
      </c>
      <c r="E59" s="38" t="n">
        <v>9</v>
      </c>
      <c r="F59" s="31">
        <f>E59/52</f>
        <v/>
      </c>
      <c r="G59" s="39">
        <f>D59/1000000*52</f>
        <v/>
      </c>
      <c r="H59" s="33">
        <f>G59/$P$4+($C$22/$P$4)</f>
        <v/>
      </c>
      <c r="I59" s="36">
        <f>_xlfn.IFS(K59&lt;K$24,0,K59&lt;K$26,I$24,K59&lt;K$28,I$26,K59&lt;K$30,I$28,K59&lt;K$32,I$30,K59&lt;K$34,I$32,K59&lt;K$36,I$34,K59&lt;K$38,I$36,K59&lt;K$40,I$38,K59&lt;K$42,I$40,K59&lt;K$44,I$42,K59&lt;K$46,I$44,K59&gt;=K$46,I$46)</f>
        <v/>
      </c>
      <c r="J59" s="37">
        <f>_xlfn.IFS(K59&lt;K$24,0,K59&lt;K$25,J$24,K59&lt;K$26,J$25,K59&lt;K$27,J$26,K59&lt;K$28,J$27,K59&lt;K$29,J$28,K59&lt;K$30,J$29,K59&lt;K$31,J$30,K59&lt;K$32,J$31,K59&lt;K$33,J$32,K59&lt;K$34,J$33,K59&lt;K$35,J$34,K59&lt;K$36,J$35,K59&lt;K$37,J$36,K59&lt;K$38,J$37,K59&lt;K$39,J$38,K59&lt;K$40,J$39,K59&lt;K$41,J$40,K59&lt;K$42,J$41,K59&lt;K$43,J$42,K59&lt;K$44,J$43,K59&lt;K$45,J$44,K59&lt;K$46,J$45,K59&lt;K$47,J$46,K59&gt;=K$47,J$47)</f>
        <v/>
      </c>
      <c r="K59" s="38" t="n">
        <v>9</v>
      </c>
      <c r="L59" s="31">
        <f>K59/52</f>
        <v/>
      </c>
      <c r="M59" s="39">
        <f>J59/1000000*52</f>
        <v/>
      </c>
      <c r="N59" s="33">
        <f>M59/$P$4+($I$22/$P$4)</f>
        <v/>
      </c>
      <c r="U59">
        <f>F58</f>
        <v/>
      </c>
      <c r="V59">
        <f>H58</f>
        <v/>
      </c>
      <c r="W59">
        <f>N58</f>
        <v/>
      </c>
    </row>
    <row r="60" ht="15.75" customHeight="1" s="40">
      <c r="C60" s="36">
        <f>_xlfn.IFS(E60&lt;E$24,0,E60&lt;E$26,C$24,E60&lt;E$28,C$26,E60&lt;E$30,C$28,E60&lt;E$32,C$30,E60&lt;E$34,C$32,E60&gt;=E$34,C$34)</f>
        <v/>
      </c>
      <c r="D60" s="37">
        <f>_xlfn.IFS(E60&lt;E$24,0,E60&lt;E$25,D$24,E60&lt;E$26,D$25,E60&lt;E$27,D$26,E60&lt;E$28,D$27,E60&lt;E$29,D$28,E60&lt;E$30,D$29,E60&lt;E$31,D$30,E60&lt;E$32,D$31,E60&lt;E$33,D$32,E60&lt;E$34,D$33,E60&lt;E$35,D$34,E60&gt;=E$35,D$35)</f>
        <v/>
      </c>
      <c r="E60" s="38" t="n">
        <v>10</v>
      </c>
      <c r="F60" s="31">
        <f>E60/52</f>
        <v/>
      </c>
      <c r="G60" s="39">
        <f>D60/1000000*52</f>
        <v/>
      </c>
      <c r="H60" s="33">
        <f>G60/$P$4+($C$22/$P$4)</f>
        <v/>
      </c>
      <c r="I60" s="36">
        <f>_xlfn.IFS(K60&lt;K$24,0,K60&lt;K$26,I$24,K60&lt;K$28,I$26,K60&lt;K$30,I$28,K60&lt;K$32,I$30,K60&lt;K$34,I$32,K60&lt;K$36,I$34,K60&lt;K$38,I$36,K60&lt;K$40,I$38,K60&lt;K$42,I$40,K60&lt;K$44,I$42,K60&lt;K$46,I$44,K60&gt;=K$46,I$46)</f>
        <v/>
      </c>
      <c r="J60" s="37">
        <f>_xlfn.IFS(K60&lt;K$24,0,K60&lt;K$25,J$24,K60&lt;K$26,J$25,K60&lt;K$27,J$26,K60&lt;K$28,J$27,K60&lt;K$29,J$28,K60&lt;K$30,J$29,K60&lt;K$31,J$30,K60&lt;K$32,J$31,K60&lt;K$33,J$32,K60&lt;K$34,J$33,K60&lt;K$35,J$34,K60&lt;K$36,J$35,K60&lt;K$37,J$36,K60&lt;K$38,J$37,K60&lt;K$39,J$38,K60&lt;K$40,J$39,K60&lt;K$41,J$40,K60&lt;K$42,J$41,K60&lt;K$43,J$42,K60&lt;K$44,J$43,K60&lt;K$45,J$44,K60&lt;K$46,J$45,K60&lt;K$47,J$46,K60&gt;=K$47,J$47)</f>
        <v/>
      </c>
      <c r="K60" s="38" t="n">
        <v>10</v>
      </c>
      <c r="L60" s="31">
        <f>K60/52</f>
        <v/>
      </c>
      <c r="M60" s="39">
        <f>J60/1000000*52</f>
        <v/>
      </c>
      <c r="N60" s="33">
        <f>M60/$P$4+($I$22/$P$4)</f>
        <v/>
      </c>
      <c r="U60">
        <f>F59</f>
        <v/>
      </c>
      <c r="V60">
        <f>H59</f>
        <v/>
      </c>
      <c r="W60">
        <f>N59</f>
        <v/>
      </c>
    </row>
    <row r="61" ht="15.75" customHeight="1" s="40">
      <c r="C61" s="36">
        <f>_xlfn.IFS(E61&lt;E$24,0,E61&lt;E$26,C$24,E61&lt;E$28,C$26,E61&lt;E$30,C$28,E61&lt;E$32,C$30,E61&lt;E$34,C$32,E61&gt;=E$34,C$34)</f>
        <v/>
      </c>
      <c r="D61" s="37">
        <f>_xlfn.IFS(E61&lt;E$24,0,E61&lt;E$25,D$24,E61&lt;E$26,D$25,E61&lt;E$27,D$26,E61&lt;E$28,D$27,E61&lt;E$29,D$28,E61&lt;E$30,D$29,E61&lt;E$31,D$30,E61&lt;E$32,D$31,E61&lt;E$33,D$32,E61&lt;E$34,D$33,E61&lt;E$35,D$34,E61&gt;=E$35,D$35)</f>
        <v/>
      </c>
      <c r="E61" s="38" t="n">
        <v>11</v>
      </c>
      <c r="F61" s="31">
        <f>E61/52</f>
        <v/>
      </c>
      <c r="G61" s="39">
        <f>D61/1000000*52</f>
        <v/>
      </c>
      <c r="H61" s="33">
        <f>G61/$P$4+($C$22/$P$4)</f>
        <v/>
      </c>
      <c r="I61" s="36">
        <f>_xlfn.IFS(K61&lt;K$24,0,K61&lt;K$26,I$24,K61&lt;K$28,I$26,K61&lt;K$30,I$28,K61&lt;K$32,I$30,K61&lt;K$34,I$32,K61&lt;K$36,I$34,K61&lt;K$38,I$36,K61&lt;K$40,I$38,K61&lt;K$42,I$40,K61&lt;K$44,I$42,K61&lt;K$46,I$44,K61&gt;=K$46,I$46)</f>
        <v/>
      </c>
      <c r="J61" s="37">
        <f>_xlfn.IFS(K61&lt;K$24,0,K61&lt;K$25,J$24,K61&lt;K$26,J$25,K61&lt;K$27,J$26,K61&lt;K$28,J$27,K61&lt;K$29,J$28,K61&lt;K$30,J$29,K61&lt;K$31,J$30,K61&lt;K$32,J$31,K61&lt;K$33,J$32,K61&lt;K$34,J$33,K61&lt;K$35,J$34,K61&lt;K$36,J$35,K61&lt;K$37,J$36,K61&lt;K$38,J$37,K61&lt;K$39,J$38,K61&lt;K$40,J$39,K61&lt;K$41,J$40,K61&lt;K$42,J$41,K61&lt;K$43,J$42,K61&lt;K$44,J$43,K61&lt;K$45,J$44,K61&lt;K$46,J$45,K61&lt;K$47,J$46,K61&gt;=K$47,J$47)</f>
        <v/>
      </c>
      <c r="K61" s="38" t="n">
        <v>11</v>
      </c>
      <c r="L61" s="31">
        <f>K61/52</f>
        <v/>
      </c>
      <c r="M61" s="39">
        <f>J61/1000000*52</f>
        <v/>
      </c>
      <c r="N61" s="33">
        <f>M61/$P$4+($I$22/$P$4)</f>
        <v/>
      </c>
      <c r="U61">
        <f>F60</f>
        <v/>
      </c>
      <c r="V61">
        <f>H60</f>
        <v/>
      </c>
      <c r="W61">
        <f>N60</f>
        <v/>
      </c>
    </row>
    <row r="62" ht="15.75" customHeight="1" s="40">
      <c r="C62" s="36">
        <f>_xlfn.IFS(E62&lt;E$24,0,E62&lt;E$26,C$24,E62&lt;E$28,C$26,E62&lt;E$30,C$28,E62&lt;E$32,C$30,E62&lt;E$34,C$32,E62&gt;=E$34,C$34)</f>
        <v/>
      </c>
      <c r="D62" s="37">
        <f>_xlfn.IFS(E62&lt;E$24,0,E62&lt;E$25,D$24,E62&lt;E$26,D$25,E62&lt;E$27,D$26,E62&lt;E$28,D$27,E62&lt;E$29,D$28,E62&lt;E$30,D$29,E62&lt;E$31,D$30,E62&lt;E$32,D$31,E62&lt;E$33,D$32,E62&lt;E$34,D$33,E62&lt;E$35,D$34,E62&gt;=E$35,D$35)</f>
        <v/>
      </c>
      <c r="E62" s="38" t="n">
        <v>12</v>
      </c>
      <c r="F62" s="31">
        <f>E62/52</f>
        <v/>
      </c>
      <c r="G62" s="39">
        <f>D62/1000000*52</f>
        <v/>
      </c>
      <c r="H62" s="33">
        <f>G62/$P$4+($C$22/$P$4)</f>
        <v/>
      </c>
      <c r="I62" s="36">
        <f>_xlfn.IFS(K62&lt;K$24,0,K62&lt;K$26,I$24,K62&lt;K$28,I$26,K62&lt;K$30,I$28,K62&lt;K$32,I$30,K62&lt;K$34,I$32,K62&lt;K$36,I$34,K62&lt;K$38,I$36,K62&lt;K$40,I$38,K62&lt;K$42,I$40,K62&lt;K$44,I$42,K62&lt;K$46,I$44,K62&gt;=K$46,I$46)</f>
        <v/>
      </c>
      <c r="J62" s="37">
        <f>_xlfn.IFS(K62&lt;K$24,0,K62&lt;K$25,J$24,K62&lt;K$26,J$25,K62&lt;K$27,J$26,K62&lt;K$28,J$27,K62&lt;K$29,J$28,K62&lt;K$30,J$29,K62&lt;K$31,J$30,K62&lt;K$32,J$31,K62&lt;K$33,J$32,K62&lt;K$34,J$33,K62&lt;K$35,J$34,K62&lt;K$36,J$35,K62&lt;K$37,J$36,K62&lt;K$38,J$37,K62&lt;K$39,J$38,K62&lt;K$40,J$39,K62&lt;K$41,J$40,K62&lt;K$42,J$41,K62&lt;K$43,J$42,K62&lt;K$44,J$43,K62&lt;K$45,J$44,K62&lt;K$46,J$45,K62&lt;K$47,J$46,K62&gt;=K$47,J$47)</f>
        <v/>
      </c>
      <c r="K62" s="38" t="n">
        <v>12</v>
      </c>
      <c r="L62" s="31">
        <f>K62/52</f>
        <v/>
      </c>
      <c r="M62" s="39">
        <f>J62/1000000*52</f>
        <v/>
      </c>
      <c r="N62" s="33">
        <f>M62/$P$4+($I$22/$P$4)</f>
        <v/>
      </c>
      <c r="U62">
        <f>F61</f>
        <v/>
      </c>
      <c r="V62">
        <f>H61</f>
        <v/>
      </c>
      <c r="W62">
        <f>N61</f>
        <v/>
      </c>
    </row>
    <row r="63" ht="15.75" customHeight="1" s="40">
      <c r="C63" s="36">
        <f>_xlfn.IFS(E63&lt;E$24,0,E63&lt;E$26,C$24,E63&lt;E$28,C$26,E63&lt;E$30,C$28,E63&lt;E$32,C$30,E63&lt;E$34,C$32,E63&gt;=E$34,C$34)</f>
        <v/>
      </c>
      <c r="D63" s="37">
        <f>_xlfn.IFS(E63&lt;E$24,0,E63&lt;E$25,D$24,E63&lt;E$26,D$25,E63&lt;E$27,D$26,E63&lt;E$28,D$27,E63&lt;E$29,D$28,E63&lt;E$30,D$29,E63&lt;E$31,D$30,E63&lt;E$32,D$31,E63&lt;E$33,D$32,E63&lt;E$34,D$33,E63&lt;E$35,D$34,E63&gt;=E$35,D$35)</f>
        <v/>
      </c>
      <c r="E63" s="38" t="n">
        <v>13</v>
      </c>
      <c r="F63" s="31">
        <f>E63/52</f>
        <v/>
      </c>
      <c r="G63" s="39">
        <f>D63/1000000*52</f>
        <v/>
      </c>
      <c r="H63" s="33">
        <f>G63/$P$4+($C$22/$P$4)</f>
        <v/>
      </c>
      <c r="I63" s="36">
        <f>_xlfn.IFS(K63&lt;K$24,0,K63&lt;K$26,I$24,K63&lt;K$28,I$26,K63&lt;K$30,I$28,K63&lt;K$32,I$30,K63&lt;K$34,I$32,K63&lt;K$36,I$34,K63&lt;K$38,I$36,K63&lt;K$40,I$38,K63&lt;K$42,I$40,K63&lt;K$44,I$42,K63&lt;K$46,I$44,K63&gt;=K$46,I$46)</f>
        <v/>
      </c>
      <c r="J63" s="37">
        <f>_xlfn.IFS(K63&lt;K$24,0,K63&lt;K$25,J$24,K63&lt;K$26,J$25,K63&lt;K$27,J$26,K63&lt;K$28,J$27,K63&lt;K$29,J$28,K63&lt;K$30,J$29,K63&lt;K$31,J$30,K63&lt;K$32,J$31,K63&lt;K$33,J$32,K63&lt;K$34,J$33,K63&lt;K$35,J$34,K63&lt;K$36,J$35,K63&lt;K$37,J$36,K63&lt;K$38,J$37,K63&lt;K$39,J$38,K63&lt;K$40,J$39,K63&lt;K$41,J$40,K63&lt;K$42,J$41,K63&lt;K$43,J$42,K63&lt;K$44,J$43,K63&lt;K$45,J$44,K63&lt;K$46,J$45,K63&lt;K$47,J$46,K63&gt;=K$47,J$47)</f>
        <v/>
      </c>
      <c r="K63" s="38" t="n">
        <v>13</v>
      </c>
      <c r="L63" s="31">
        <f>K63/52</f>
        <v/>
      </c>
      <c r="M63" s="39">
        <f>J63/1000000*52</f>
        <v/>
      </c>
      <c r="N63" s="33">
        <f>M63/$P$4+($I$22/$P$4)</f>
        <v/>
      </c>
      <c r="U63">
        <f>F62</f>
        <v/>
      </c>
      <c r="V63">
        <f>H62</f>
        <v/>
      </c>
      <c r="W63">
        <f>N62</f>
        <v/>
      </c>
    </row>
    <row r="64" ht="15.75" customHeight="1" s="40">
      <c r="C64" s="36">
        <f>_xlfn.IFS(E64&lt;E$24,0,E64&lt;E$26,C$24,E64&lt;E$28,C$26,E64&lt;E$30,C$28,E64&lt;E$32,C$30,E64&lt;E$34,C$32,E64&gt;=E$34,C$34)</f>
        <v/>
      </c>
      <c r="D64" s="37">
        <f>_xlfn.IFS(E64&lt;E$24,0,E64&lt;E$25,D$24,E64&lt;E$26,D$25,E64&lt;E$27,D$26,E64&lt;E$28,D$27,E64&lt;E$29,D$28,E64&lt;E$30,D$29,E64&lt;E$31,D$30,E64&lt;E$32,D$31,E64&lt;E$33,D$32,E64&lt;E$34,D$33,E64&lt;E$35,D$34,E64&gt;=E$35,D$35)</f>
        <v/>
      </c>
      <c r="E64" s="38" t="n">
        <v>14</v>
      </c>
      <c r="F64" s="31">
        <f>E64/52</f>
        <v/>
      </c>
      <c r="G64" s="39">
        <f>D64/1000000*52</f>
        <v/>
      </c>
      <c r="H64" s="33">
        <f>G64/$P$4+($C$22/$P$4)</f>
        <v/>
      </c>
      <c r="I64" s="36">
        <f>_xlfn.IFS(K64&lt;K$24,0,K64&lt;K$26,I$24,K64&lt;K$28,I$26,K64&lt;K$30,I$28,K64&lt;K$32,I$30,K64&lt;K$34,I$32,K64&lt;K$36,I$34,K64&lt;K$38,I$36,K64&lt;K$40,I$38,K64&lt;K$42,I$40,K64&lt;K$44,I$42,K64&lt;K$46,I$44,K64&gt;=K$46,I$46)</f>
        <v/>
      </c>
      <c r="J64" s="37">
        <f>_xlfn.IFS(K64&lt;K$24,0,K64&lt;K$25,J$24,K64&lt;K$26,J$25,K64&lt;K$27,J$26,K64&lt;K$28,J$27,K64&lt;K$29,J$28,K64&lt;K$30,J$29,K64&lt;K$31,J$30,K64&lt;K$32,J$31,K64&lt;K$33,J$32,K64&lt;K$34,J$33,K64&lt;K$35,J$34,K64&lt;K$36,J$35,K64&lt;K$37,J$36,K64&lt;K$38,J$37,K64&lt;K$39,J$38,K64&lt;K$40,J$39,K64&lt;K$41,J$40,K64&lt;K$42,J$41,K64&lt;K$43,J$42,K64&lt;K$44,J$43,K64&lt;K$45,J$44,K64&lt;K$46,J$45,K64&lt;K$47,J$46,K64&gt;=K$47,J$47)</f>
        <v/>
      </c>
      <c r="K64" s="38" t="n">
        <v>14</v>
      </c>
      <c r="L64" s="31">
        <f>K64/52</f>
        <v/>
      </c>
      <c r="M64" s="39">
        <f>J64/1000000*52</f>
        <v/>
      </c>
      <c r="N64" s="33">
        <f>M64/$P$4+($I$22/$P$4)</f>
        <v/>
      </c>
      <c r="U64">
        <f>F63</f>
        <v/>
      </c>
      <c r="V64">
        <f>H63</f>
        <v/>
      </c>
      <c r="W64">
        <f>N63</f>
        <v/>
      </c>
    </row>
    <row r="65" ht="15.75" customHeight="1" s="40">
      <c r="C65" s="36">
        <f>_xlfn.IFS(E65&lt;E$24,0,E65&lt;E$26,C$24,E65&lt;E$28,C$26,E65&lt;E$30,C$28,E65&lt;E$32,C$30,E65&lt;E$34,C$32,E65&gt;=E$34,C$34)</f>
        <v/>
      </c>
      <c r="D65" s="37">
        <f>_xlfn.IFS(E65&lt;E$24,0,E65&lt;E$25,D$24,E65&lt;E$26,D$25,E65&lt;E$27,D$26,E65&lt;E$28,D$27,E65&lt;E$29,D$28,E65&lt;E$30,D$29,E65&lt;E$31,D$30,E65&lt;E$32,D$31,E65&lt;E$33,D$32,E65&lt;E$34,D$33,E65&lt;E$35,D$34,E65&gt;=E$35,D$35)</f>
        <v/>
      </c>
      <c r="E65" s="38" t="n">
        <v>15</v>
      </c>
      <c r="F65" s="31">
        <f>E65/52</f>
        <v/>
      </c>
      <c r="G65" s="39">
        <f>D65/1000000*52</f>
        <v/>
      </c>
      <c r="H65" s="33">
        <f>G65/$P$4+($C$22/$P$4)</f>
        <v/>
      </c>
      <c r="I65" s="36">
        <f>_xlfn.IFS(K65&lt;K$24,0,K65&lt;K$26,I$24,K65&lt;K$28,I$26,K65&lt;K$30,I$28,K65&lt;K$32,I$30,K65&lt;K$34,I$32,K65&lt;K$36,I$34,K65&lt;K$38,I$36,K65&lt;K$40,I$38,K65&lt;K$42,I$40,K65&lt;K$44,I$42,K65&lt;K$46,I$44,K65&gt;=K$46,I$46)</f>
        <v/>
      </c>
      <c r="J65" s="37">
        <f>_xlfn.IFS(K65&lt;K$24,0,K65&lt;K$25,J$24,K65&lt;K$26,J$25,K65&lt;K$27,J$26,K65&lt;K$28,J$27,K65&lt;K$29,J$28,K65&lt;K$30,J$29,K65&lt;K$31,J$30,K65&lt;K$32,J$31,K65&lt;K$33,J$32,K65&lt;K$34,J$33,K65&lt;K$35,J$34,K65&lt;K$36,J$35,K65&lt;K$37,J$36,K65&lt;K$38,J$37,K65&lt;K$39,J$38,K65&lt;K$40,J$39,K65&lt;K$41,J$40,K65&lt;K$42,J$41,K65&lt;K$43,J$42,K65&lt;K$44,J$43,K65&lt;K$45,J$44,K65&lt;K$46,J$45,K65&lt;K$47,J$46,K65&gt;=K$47,J$47)</f>
        <v/>
      </c>
      <c r="K65" s="38" t="n">
        <v>15</v>
      </c>
      <c r="L65" s="31">
        <f>K65/52</f>
        <v/>
      </c>
      <c r="M65" s="39">
        <f>J65/1000000*52</f>
        <v/>
      </c>
      <c r="N65" s="33">
        <f>M65/$P$4+($I$22/$P$4)</f>
        <v/>
      </c>
      <c r="U65">
        <f>F64</f>
        <v/>
      </c>
      <c r="V65">
        <f>H64</f>
        <v/>
      </c>
      <c r="W65">
        <f>N64</f>
        <v/>
      </c>
    </row>
    <row r="66" ht="15.75" customHeight="1" s="40">
      <c r="C66" s="36">
        <f>_xlfn.IFS(E66&lt;E$24,0,E66&lt;E$26,C$24,E66&lt;E$28,C$26,E66&lt;E$30,C$28,E66&lt;E$32,C$30,E66&lt;E$34,C$32,E66&gt;=E$34,C$34)</f>
        <v/>
      </c>
      <c r="D66" s="37">
        <f>_xlfn.IFS(E66&lt;E$24,0,E66&lt;E$25,D$24,E66&lt;E$26,D$25,E66&lt;E$27,D$26,E66&lt;E$28,D$27,E66&lt;E$29,D$28,E66&lt;E$30,D$29,E66&lt;E$31,D$30,E66&lt;E$32,D$31,E66&lt;E$33,D$32,E66&lt;E$34,D$33,E66&lt;E$35,D$34,E66&gt;=E$35,D$35)</f>
        <v/>
      </c>
      <c r="E66" s="38" t="n">
        <v>16</v>
      </c>
      <c r="F66" s="31">
        <f>E66/52</f>
        <v/>
      </c>
      <c r="G66" s="39">
        <f>D66/1000000*52</f>
        <v/>
      </c>
      <c r="H66" s="33">
        <f>G66/$P$4+($C$22/$P$4)</f>
        <v/>
      </c>
      <c r="I66" s="36">
        <f>_xlfn.IFS(K66&lt;K$24,0,K66&lt;K$26,I$24,K66&lt;K$28,I$26,K66&lt;K$30,I$28,K66&lt;K$32,I$30,K66&lt;K$34,I$32,K66&lt;K$36,I$34,K66&lt;K$38,I$36,K66&lt;K$40,I$38,K66&lt;K$42,I$40,K66&lt;K$44,I$42,K66&lt;K$46,I$44,K66&gt;=K$46,I$46)</f>
        <v/>
      </c>
      <c r="J66" s="37">
        <f>_xlfn.IFS(K66&lt;K$24,0,K66&lt;K$25,J$24,K66&lt;K$26,J$25,K66&lt;K$27,J$26,K66&lt;K$28,J$27,K66&lt;K$29,J$28,K66&lt;K$30,J$29,K66&lt;K$31,J$30,K66&lt;K$32,J$31,K66&lt;K$33,J$32,K66&lt;K$34,J$33,K66&lt;K$35,J$34,K66&lt;K$36,J$35,K66&lt;K$37,J$36,K66&lt;K$38,J$37,K66&lt;K$39,J$38,K66&lt;K$40,J$39,K66&lt;K$41,J$40,K66&lt;K$42,J$41,K66&lt;K$43,J$42,K66&lt;K$44,J$43,K66&lt;K$45,J$44,K66&lt;K$46,J$45,K66&lt;K$47,J$46,K66&gt;=K$47,J$47)</f>
        <v/>
      </c>
      <c r="K66" s="38" t="n">
        <v>16</v>
      </c>
      <c r="L66" s="31">
        <f>K66/52</f>
        <v/>
      </c>
      <c r="M66" s="39">
        <f>J66/1000000*52</f>
        <v/>
      </c>
      <c r="N66" s="33">
        <f>M66/$P$4+($I$22/$P$4)</f>
        <v/>
      </c>
      <c r="U66">
        <f>F65</f>
        <v/>
      </c>
      <c r="V66">
        <f>H65</f>
        <v/>
      </c>
      <c r="W66">
        <f>N65</f>
        <v/>
      </c>
    </row>
    <row r="67" ht="15.75" customHeight="1" s="40">
      <c r="C67" s="36">
        <f>_xlfn.IFS(E67&lt;E$24,0,E67&lt;E$26,C$24,E67&lt;E$28,C$26,E67&lt;E$30,C$28,E67&lt;E$32,C$30,E67&lt;E$34,C$32,E67&gt;=E$34,C$34)</f>
        <v/>
      </c>
      <c r="D67" s="37">
        <f>_xlfn.IFS(E67&lt;E$24,0,E67&lt;E$25,D$24,E67&lt;E$26,D$25,E67&lt;E$27,D$26,E67&lt;E$28,D$27,E67&lt;E$29,D$28,E67&lt;E$30,D$29,E67&lt;E$31,D$30,E67&lt;E$32,D$31,E67&lt;E$33,D$32,E67&lt;E$34,D$33,E67&lt;E$35,D$34,E67&gt;=E$35,D$35)</f>
        <v/>
      </c>
      <c r="E67" s="38" t="n">
        <v>17</v>
      </c>
      <c r="F67" s="31">
        <f>E67/52</f>
        <v/>
      </c>
      <c r="G67" s="39">
        <f>D67/1000000*52</f>
        <v/>
      </c>
      <c r="H67" s="33">
        <f>G67/$P$4+($C$22/$P$4)</f>
        <v/>
      </c>
      <c r="I67" s="36">
        <f>_xlfn.IFS(K67&lt;K$24,0,K67&lt;K$26,I$24,K67&lt;K$28,I$26,K67&lt;K$30,I$28,K67&lt;K$32,I$30,K67&lt;K$34,I$32,K67&lt;K$36,I$34,K67&lt;K$38,I$36,K67&lt;K$40,I$38,K67&lt;K$42,I$40,K67&lt;K$44,I$42,K67&lt;K$46,I$44,K67&gt;=K$46,I$46)</f>
        <v/>
      </c>
      <c r="J67" s="37">
        <f>_xlfn.IFS(K67&lt;K$24,0,K67&lt;K$25,J$24,K67&lt;K$26,J$25,K67&lt;K$27,J$26,K67&lt;K$28,J$27,K67&lt;K$29,J$28,K67&lt;K$30,J$29,K67&lt;K$31,J$30,K67&lt;K$32,J$31,K67&lt;K$33,J$32,K67&lt;K$34,J$33,K67&lt;K$35,J$34,K67&lt;K$36,J$35,K67&lt;K$37,J$36,K67&lt;K$38,J$37,K67&lt;K$39,J$38,K67&lt;K$40,J$39,K67&lt;K$41,J$40,K67&lt;K$42,J$41,K67&lt;K$43,J$42,K67&lt;K$44,J$43,K67&lt;K$45,J$44,K67&lt;K$46,J$45,K67&lt;K$47,J$46,K67&gt;=K$47,J$47)</f>
        <v/>
      </c>
      <c r="K67" s="38" t="n">
        <v>17</v>
      </c>
      <c r="L67" s="31">
        <f>K67/52</f>
        <v/>
      </c>
      <c r="M67" s="39">
        <f>J67/1000000*52</f>
        <v/>
      </c>
      <c r="N67" s="33">
        <f>M67/$P$4+($I$22/$P$4)</f>
        <v/>
      </c>
      <c r="U67">
        <f>F66</f>
        <v/>
      </c>
      <c r="V67">
        <f>H66</f>
        <v/>
      </c>
      <c r="W67">
        <f>N66</f>
        <v/>
      </c>
    </row>
    <row r="68" ht="15.75" customHeight="1" s="40">
      <c r="C68" s="36">
        <f>_xlfn.IFS(E68&lt;E$24,0,E68&lt;E$26,C$24,E68&lt;E$28,C$26,E68&lt;E$30,C$28,E68&lt;E$32,C$30,E68&lt;E$34,C$32,E68&gt;=E$34,C$34)</f>
        <v/>
      </c>
      <c r="D68" s="37">
        <f>_xlfn.IFS(E68&lt;E$24,0,E68&lt;E$25,D$24,E68&lt;E$26,D$25,E68&lt;E$27,D$26,E68&lt;E$28,D$27,E68&lt;E$29,D$28,E68&lt;E$30,D$29,E68&lt;E$31,D$30,E68&lt;E$32,D$31,E68&lt;E$33,D$32,E68&lt;E$34,D$33,E68&lt;E$35,D$34,E68&gt;=E$35,D$35)</f>
        <v/>
      </c>
      <c r="E68" s="38" t="n">
        <v>18</v>
      </c>
      <c r="F68" s="31">
        <f>E68/52</f>
        <v/>
      </c>
      <c r="G68" s="39">
        <f>D68/1000000*52</f>
        <v/>
      </c>
      <c r="H68" s="33">
        <f>G68/$P$4+($C$22/$P$4)</f>
        <v/>
      </c>
      <c r="I68" s="36">
        <f>_xlfn.IFS(K68&lt;K$24,0,K68&lt;K$26,I$24,K68&lt;K$28,I$26,K68&lt;K$30,I$28,K68&lt;K$32,I$30,K68&lt;K$34,I$32,K68&lt;K$36,I$34,K68&lt;K$38,I$36,K68&lt;K$40,I$38,K68&lt;K$42,I$40,K68&lt;K$44,I$42,K68&lt;K$46,I$44,K68&gt;=K$46,I$46)</f>
        <v/>
      </c>
      <c r="J68" s="37">
        <f>_xlfn.IFS(K68&lt;K$24,0,K68&lt;K$25,J$24,K68&lt;K$26,J$25,K68&lt;K$27,J$26,K68&lt;K$28,J$27,K68&lt;K$29,J$28,K68&lt;K$30,J$29,K68&lt;K$31,J$30,K68&lt;K$32,J$31,K68&lt;K$33,J$32,K68&lt;K$34,J$33,K68&lt;K$35,J$34,K68&lt;K$36,J$35,K68&lt;K$37,J$36,K68&lt;K$38,J$37,K68&lt;K$39,J$38,K68&lt;K$40,J$39,K68&lt;K$41,J$40,K68&lt;K$42,J$41,K68&lt;K$43,J$42,K68&lt;K$44,J$43,K68&lt;K$45,J$44,K68&lt;K$46,J$45,K68&lt;K$47,J$46,K68&gt;=K$47,J$47)</f>
        <v/>
      </c>
      <c r="K68" s="38" t="n">
        <v>18</v>
      </c>
      <c r="L68" s="31">
        <f>K68/52</f>
        <v/>
      </c>
      <c r="M68" s="39">
        <f>J68/1000000*52</f>
        <v/>
      </c>
      <c r="N68" s="33">
        <f>M68/$P$4+($I$22/$P$4)</f>
        <v/>
      </c>
      <c r="U68">
        <f>F67</f>
        <v/>
      </c>
      <c r="V68">
        <f>H67</f>
        <v/>
      </c>
      <c r="W68">
        <f>N67</f>
        <v/>
      </c>
    </row>
    <row r="69" ht="15.75" customHeight="1" s="40">
      <c r="C69" s="36">
        <f>_xlfn.IFS(E69&lt;E$24,0,E69&lt;E$26,C$24,E69&lt;E$28,C$26,E69&lt;E$30,C$28,E69&lt;E$32,C$30,E69&lt;E$34,C$32,E69&gt;=E$34,C$34)</f>
        <v/>
      </c>
      <c r="D69" s="37">
        <f>_xlfn.IFS(E69&lt;E$24,0,E69&lt;E$25,D$24,E69&lt;E$26,D$25,E69&lt;E$27,D$26,E69&lt;E$28,D$27,E69&lt;E$29,D$28,E69&lt;E$30,D$29,E69&lt;E$31,D$30,E69&lt;E$32,D$31,E69&lt;E$33,D$32,E69&lt;E$34,D$33,E69&lt;E$35,D$34,E69&gt;=E$35,D$35)</f>
        <v/>
      </c>
      <c r="E69" s="38" t="n">
        <v>19</v>
      </c>
      <c r="F69" s="31">
        <f>E69/52</f>
        <v/>
      </c>
      <c r="G69" s="39">
        <f>D69/1000000*52</f>
        <v/>
      </c>
      <c r="H69" s="33">
        <f>G69/$P$4+($C$22/$P$4)</f>
        <v/>
      </c>
      <c r="I69" s="36">
        <f>_xlfn.IFS(K69&lt;K$24,0,K69&lt;K$26,I$24,K69&lt;K$28,I$26,K69&lt;K$30,I$28,K69&lt;K$32,I$30,K69&lt;K$34,I$32,K69&lt;K$36,I$34,K69&lt;K$38,I$36,K69&lt;K$40,I$38,K69&lt;K$42,I$40,K69&lt;K$44,I$42,K69&lt;K$46,I$44,K69&gt;=K$46,I$46)</f>
        <v/>
      </c>
      <c r="J69" s="37">
        <f>_xlfn.IFS(K69&lt;K$24,0,K69&lt;K$25,J$24,K69&lt;K$26,J$25,K69&lt;K$27,J$26,K69&lt;K$28,J$27,K69&lt;K$29,J$28,K69&lt;K$30,J$29,K69&lt;K$31,J$30,K69&lt;K$32,J$31,K69&lt;K$33,J$32,K69&lt;K$34,J$33,K69&lt;K$35,J$34,K69&lt;K$36,J$35,K69&lt;K$37,J$36,K69&lt;K$38,J$37,K69&lt;K$39,J$38,K69&lt;K$40,J$39,K69&lt;K$41,J$40,K69&lt;K$42,J$41,K69&lt;K$43,J$42,K69&lt;K$44,J$43,K69&lt;K$45,J$44,K69&lt;K$46,J$45,K69&lt;K$47,J$46,K69&gt;=K$47,J$47)</f>
        <v/>
      </c>
      <c r="K69" s="38" t="n">
        <v>19</v>
      </c>
      <c r="L69" s="31">
        <f>K69/52</f>
        <v/>
      </c>
      <c r="M69" s="39">
        <f>J69/1000000*52</f>
        <v/>
      </c>
      <c r="N69" s="33">
        <f>M69/$P$4+($I$22/$P$4)</f>
        <v/>
      </c>
      <c r="U69">
        <f>F68</f>
        <v/>
      </c>
      <c r="V69">
        <f>H68</f>
        <v/>
      </c>
      <c r="W69">
        <f>N68</f>
        <v/>
      </c>
    </row>
    <row r="70" ht="15.75" customHeight="1" s="40">
      <c r="C70" s="36">
        <f>_xlfn.IFS(E70&lt;E$24,0,E70&lt;E$26,C$24,E70&lt;E$28,C$26,E70&lt;E$30,C$28,E70&lt;E$32,C$30,E70&lt;E$34,C$32,E70&gt;=E$34,C$34)</f>
        <v/>
      </c>
      <c r="D70" s="37">
        <f>_xlfn.IFS(E70&lt;E$24,0,E70&lt;E$25,D$24,E70&lt;E$26,D$25,E70&lt;E$27,D$26,E70&lt;E$28,D$27,E70&lt;E$29,D$28,E70&lt;E$30,D$29,E70&lt;E$31,D$30,E70&lt;E$32,D$31,E70&lt;E$33,D$32,E70&lt;E$34,D$33,E70&lt;E$35,D$34,E70&gt;=E$35,D$35)</f>
        <v/>
      </c>
      <c r="E70" s="38" t="n">
        <v>20</v>
      </c>
      <c r="F70" s="31">
        <f>E70/52</f>
        <v/>
      </c>
      <c r="G70" s="39">
        <f>D70/1000000*52</f>
        <v/>
      </c>
      <c r="H70" s="33">
        <f>G70/$P$4+($C$22/$P$4)</f>
        <v/>
      </c>
      <c r="I70" s="36">
        <f>_xlfn.IFS(K70&lt;K$24,0,K70&lt;K$26,I$24,K70&lt;K$28,I$26,K70&lt;K$30,I$28,K70&lt;K$32,I$30,K70&lt;K$34,I$32,K70&lt;K$36,I$34,K70&lt;K$38,I$36,K70&lt;K$40,I$38,K70&lt;K$42,I$40,K70&lt;K$44,I$42,K70&lt;K$46,I$44,K70&gt;=K$46,I$46)</f>
        <v/>
      </c>
      <c r="J70" s="37">
        <f>_xlfn.IFS(K70&lt;K$24,0,K70&lt;K$25,J$24,K70&lt;K$26,J$25,K70&lt;K$27,J$26,K70&lt;K$28,J$27,K70&lt;K$29,J$28,K70&lt;K$30,J$29,K70&lt;K$31,J$30,K70&lt;K$32,J$31,K70&lt;K$33,J$32,K70&lt;K$34,J$33,K70&lt;K$35,J$34,K70&lt;K$36,J$35,K70&lt;K$37,J$36,K70&lt;K$38,J$37,K70&lt;K$39,J$38,K70&lt;K$40,J$39,K70&lt;K$41,J$40,K70&lt;K$42,J$41,K70&lt;K$43,J$42,K70&lt;K$44,J$43,K70&lt;K$45,J$44,K70&lt;K$46,J$45,K70&lt;K$47,J$46,K70&gt;=K$47,J$47)</f>
        <v/>
      </c>
      <c r="K70" s="38" t="n">
        <v>20</v>
      </c>
      <c r="L70" s="31">
        <f>K70/52</f>
        <v/>
      </c>
      <c r="M70" s="39">
        <f>J70/1000000*52</f>
        <v/>
      </c>
      <c r="N70" s="33">
        <f>M70/$P$4+($I$22/$P$4)</f>
        <v/>
      </c>
      <c r="U70">
        <f>F69</f>
        <v/>
      </c>
      <c r="V70">
        <f>H69</f>
        <v/>
      </c>
      <c r="W70">
        <f>N69</f>
        <v/>
      </c>
    </row>
    <row r="71" ht="15.75" customHeight="1" s="40">
      <c r="C71" s="36">
        <f>_xlfn.IFS(E71&lt;E$24,0,E71&lt;E$26,C$24,E71&lt;E$28,C$26,E71&lt;E$30,C$28,E71&lt;E$32,C$30,E71&lt;E$34,C$32,E71&gt;=E$34,C$34)</f>
        <v/>
      </c>
      <c r="D71" s="37">
        <f>_xlfn.IFS(E71&lt;E$24,0,E71&lt;E$25,D$24,E71&lt;E$26,D$25,E71&lt;E$27,D$26,E71&lt;E$28,D$27,E71&lt;E$29,D$28,E71&lt;E$30,D$29,E71&lt;E$31,D$30,E71&lt;E$32,D$31,E71&lt;E$33,D$32,E71&lt;E$34,D$33,E71&lt;E$35,D$34,E71&gt;=E$35,D$35)</f>
        <v/>
      </c>
      <c r="E71" s="38" t="n">
        <v>21</v>
      </c>
      <c r="F71" s="31">
        <f>E71/52</f>
        <v/>
      </c>
      <c r="G71" s="39">
        <f>D71/1000000*52</f>
        <v/>
      </c>
      <c r="H71" s="33">
        <f>G71/$P$4+($C$22/$P$4)</f>
        <v/>
      </c>
      <c r="I71" s="36">
        <f>_xlfn.IFS(K71&lt;K$24,0,K71&lt;K$26,I$24,K71&lt;K$28,I$26,K71&lt;K$30,I$28,K71&lt;K$32,I$30,K71&lt;K$34,I$32,K71&lt;K$36,I$34,K71&lt;K$38,I$36,K71&lt;K$40,I$38,K71&lt;K$42,I$40,K71&lt;K$44,I$42,K71&lt;K$46,I$44,K71&gt;=K$46,I$46)</f>
        <v/>
      </c>
      <c r="J71" s="37">
        <f>_xlfn.IFS(K71&lt;K$24,0,K71&lt;K$25,J$24,K71&lt;K$26,J$25,K71&lt;K$27,J$26,K71&lt;K$28,J$27,K71&lt;K$29,J$28,K71&lt;K$30,J$29,K71&lt;K$31,J$30,K71&lt;K$32,J$31,K71&lt;K$33,J$32,K71&lt;K$34,J$33,K71&lt;K$35,J$34,K71&lt;K$36,J$35,K71&lt;K$37,J$36,K71&lt;K$38,J$37,K71&lt;K$39,J$38,K71&lt;K$40,J$39,K71&lt;K$41,J$40,K71&lt;K$42,J$41,K71&lt;K$43,J$42,K71&lt;K$44,J$43,K71&lt;K$45,J$44,K71&lt;K$46,J$45,K71&lt;K$47,J$46,K71&gt;=K$47,J$47)</f>
        <v/>
      </c>
      <c r="K71" s="38" t="n">
        <v>21</v>
      </c>
      <c r="L71" s="31">
        <f>K71/52</f>
        <v/>
      </c>
      <c r="M71" s="39">
        <f>J71/1000000*52</f>
        <v/>
      </c>
      <c r="N71" s="33">
        <f>M71/$P$4+($I$22/$P$4)</f>
        <v/>
      </c>
      <c r="U71">
        <f>F70</f>
        <v/>
      </c>
      <c r="V71">
        <f>H70</f>
        <v/>
      </c>
      <c r="W71">
        <f>N70</f>
        <v/>
      </c>
    </row>
    <row r="72" ht="15.75" customHeight="1" s="40">
      <c r="C72" s="36">
        <f>_xlfn.IFS(E72&lt;E$24,0,E72&lt;E$26,C$24,E72&lt;E$28,C$26,E72&lt;E$30,C$28,E72&lt;E$32,C$30,E72&lt;E$34,C$32,E72&gt;=E$34,C$34)</f>
        <v/>
      </c>
      <c r="D72" s="37">
        <f>_xlfn.IFS(E72&lt;E$24,0,E72&lt;E$25,D$24,E72&lt;E$26,D$25,E72&lt;E$27,D$26,E72&lt;E$28,D$27,E72&lt;E$29,D$28,E72&lt;E$30,D$29,E72&lt;E$31,D$30,E72&lt;E$32,D$31,E72&lt;E$33,D$32,E72&lt;E$34,D$33,E72&lt;E$35,D$34,E72&gt;=E$35,D$35)</f>
        <v/>
      </c>
      <c r="E72" s="38" t="n">
        <v>22</v>
      </c>
      <c r="F72" s="31">
        <f>E72/52</f>
        <v/>
      </c>
      <c r="G72" s="39">
        <f>D72/1000000*52</f>
        <v/>
      </c>
      <c r="H72" s="33">
        <f>G72/$P$4+($C$22/$P$4)</f>
        <v/>
      </c>
      <c r="I72" s="36">
        <f>_xlfn.IFS(K72&lt;K$24,0,K72&lt;K$26,I$24,K72&lt;K$28,I$26,K72&lt;K$30,I$28,K72&lt;K$32,I$30,K72&lt;K$34,I$32,K72&lt;K$36,I$34,K72&lt;K$38,I$36,K72&lt;K$40,I$38,K72&lt;K$42,I$40,K72&lt;K$44,I$42,K72&lt;K$46,I$44,K72&gt;=K$46,I$46)</f>
        <v/>
      </c>
      <c r="J72" s="37">
        <f>_xlfn.IFS(K72&lt;K$24,0,K72&lt;K$25,J$24,K72&lt;K$26,J$25,K72&lt;K$27,J$26,K72&lt;K$28,J$27,K72&lt;K$29,J$28,K72&lt;K$30,J$29,K72&lt;K$31,J$30,K72&lt;K$32,J$31,K72&lt;K$33,J$32,K72&lt;K$34,J$33,K72&lt;K$35,J$34,K72&lt;K$36,J$35,K72&lt;K$37,J$36,K72&lt;K$38,J$37,K72&lt;K$39,J$38,K72&lt;K$40,J$39,K72&lt;K$41,J$40,K72&lt;K$42,J$41,K72&lt;K$43,J$42,K72&lt;K$44,J$43,K72&lt;K$45,J$44,K72&lt;K$46,J$45,K72&lt;K$47,J$46,K72&gt;=K$47,J$47)</f>
        <v/>
      </c>
      <c r="K72" s="38" t="n">
        <v>22</v>
      </c>
      <c r="L72" s="31">
        <f>K72/52</f>
        <v/>
      </c>
      <c r="M72" s="39">
        <f>J72/1000000*52</f>
        <v/>
      </c>
      <c r="N72" s="33">
        <f>M72/$P$4+($I$22/$P$4)</f>
        <v/>
      </c>
      <c r="U72">
        <f>F71</f>
        <v/>
      </c>
      <c r="V72">
        <f>H71</f>
        <v/>
      </c>
      <c r="W72">
        <f>N71</f>
        <v/>
      </c>
    </row>
    <row r="73" ht="15.75" customHeight="1" s="40">
      <c r="C73" s="36">
        <f>_xlfn.IFS(E73&lt;E$24,0,E73&lt;E$26,C$24,E73&lt;E$28,C$26,E73&lt;E$30,C$28,E73&lt;E$32,C$30,E73&lt;E$34,C$32,E73&gt;=E$34,C$34)</f>
        <v/>
      </c>
      <c r="D73" s="37">
        <f>_xlfn.IFS(E73&lt;E$24,0,E73&lt;E$25,D$24,E73&lt;E$26,D$25,E73&lt;E$27,D$26,E73&lt;E$28,D$27,E73&lt;E$29,D$28,E73&lt;E$30,D$29,E73&lt;E$31,D$30,E73&lt;E$32,D$31,E73&lt;E$33,D$32,E73&lt;E$34,D$33,E73&lt;E$35,D$34,E73&gt;=E$35,D$35)</f>
        <v/>
      </c>
      <c r="E73" s="38" t="n">
        <v>23</v>
      </c>
      <c r="F73" s="31">
        <f>E73/52</f>
        <v/>
      </c>
      <c r="G73" s="39">
        <f>D73/1000000*52</f>
        <v/>
      </c>
      <c r="H73" s="33">
        <f>G73/$P$4+($C$22/$P$4)</f>
        <v/>
      </c>
      <c r="I73" s="36">
        <f>_xlfn.IFS(K73&lt;K$24,0,K73&lt;K$26,I$24,K73&lt;K$28,I$26,K73&lt;K$30,I$28,K73&lt;K$32,I$30,K73&lt;K$34,I$32,K73&lt;K$36,I$34,K73&lt;K$38,I$36,K73&lt;K$40,I$38,K73&lt;K$42,I$40,K73&lt;K$44,I$42,K73&lt;K$46,I$44,K73&gt;=K$46,I$46)</f>
        <v/>
      </c>
      <c r="J73" s="37">
        <f>_xlfn.IFS(K73&lt;K$24,0,K73&lt;K$25,J$24,K73&lt;K$26,J$25,K73&lt;K$27,J$26,K73&lt;K$28,J$27,K73&lt;K$29,J$28,K73&lt;K$30,J$29,K73&lt;K$31,J$30,K73&lt;K$32,J$31,K73&lt;K$33,J$32,K73&lt;K$34,J$33,K73&lt;K$35,J$34,K73&lt;K$36,J$35,K73&lt;K$37,J$36,K73&lt;K$38,J$37,K73&lt;K$39,J$38,K73&lt;K$40,J$39,K73&lt;K$41,J$40,K73&lt;K$42,J$41,K73&lt;K$43,J$42,K73&lt;K$44,J$43,K73&lt;K$45,J$44,K73&lt;K$46,J$45,K73&lt;K$47,J$46,K73&gt;=K$47,J$47)</f>
        <v/>
      </c>
      <c r="K73" s="38" t="n">
        <v>23</v>
      </c>
      <c r="L73" s="31">
        <f>K73/52</f>
        <v/>
      </c>
      <c r="M73" s="39">
        <f>J73/1000000*52</f>
        <v/>
      </c>
      <c r="N73" s="33">
        <f>M73/$P$4+($I$22/$P$4)</f>
        <v/>
      </c>
      <c r="U73">
        <f>F72</f>
        <v/>
      </c>
      <c r="V73">
        <f>H72</f>
        <v/>
      </c>
      <c r="W73">
        <f>N72</f>
        <v/>
      </c>
    </row>
    <row r="74" ht="15.75" customHeight="1" s="40">
      <c r="C74" s="36">
        <f>_xlfn.IFS(E74&lt;E$24,0,E74&lt;E$26,C$24,E74&lt;E$28,C$26,E74&lt;E$30,C$28,E74&lt;E$32,C$30,E74&lt;E$34,C$32,E74&gt;=E$34,C$34)</f>
        <v/>
      </c>
      <c r="D74" s="37">
        <f>_xlfn.IFS(E74&lt;E$24,0,E74&lt;E$25,D$24,E74&lt;E$26,D$25,E74&lt;E$27,D$26,E74&lt;E$28,D$27,E74&lt;E$29,D$28,E74&lt;E$30,D$29,E74&lt;E$31,D$30,E74&lt;E$32,D$31,E74&lt;E$33,D$32,E74&lt;E$34,D$33,E74&lt;E$35,D$34,E74&gt;=E$35,D$35)</f>
        <v/>
      </c>
      <c r="E74" s="38" t="n">
        <v>24</v>
      </c>
      <c r="F74" s="31">
        <f>E74/52</f>
        <v/>
      </c>
      <c r="G74" s="39">
        <f>D74/1000000*52</f>
        <v/>
      </c>
      <c r="H74" s="33">
        <f>G74/$P$4+($C$22/$P$4)</f>
        <v/>
      </c>
      <c r="I74" s="36">
        <f>_xlfn.IFS(K74&lt;K$24,0,K74&lt;K$26,I$24,K74&lt;K$28,I$26,K74&lt;K$30,I$28,K74&lt;K$32,I$30,K74&lt;K$34,I$32,K74&lt;K$36,I$34,K74&lt;K$38,I$36,K74&lt;K$40,I$38,K74&lt;K$42,I$40,K74&lt;K$44,I$42,K74&lt;K$46,I$44,K74&gt;=K$46,I$46)</f>
        <v/>
      </c>
      <c r="J74" s="37">
        <f>_xlfn.IFS(K74&lt;K$24,0,K74&lt;K$25,J$24,K74&lt;K$26,J$25,K74&lt;K$27,J$26,K74&lt;K$28,J$27,K74&lt;K$29,J$28,K74&lt;K$30,J$29,K74&lt;K$31,J$30,K74&lt;K$32,J$31,K74&lt;K$33,J$32,K74&lt;K$34,J$33,K74&lt;K$35,J$34,K74&lt;K$36,J$35,K74&lt;K$37,J$36,K74&lt;K$38,J$37,K74&lt;K$39,J$38,K74&lt;K$40,J$39,K74&lt;K$41,J$40,K74&lt;K$42,J$41,K74&lt;K$43,J$42,K74&lt;K$44,J$43,K74&lt;K$45,J$44,K74&lt;K$46,J$45,K74&lt;K$47,J$46,K74&gt;=K$47,J$47)</f>
        <v/>
      </c>
      <c r="K74" s="38" t="n">
        <v>24</v>
      </c>
      <c r="L74" s="31">
        <f>K74/52</f>
        <v/>
      </c>
      <c r="M74" s="39">
        <f>J74/1000000*52</f>
        <v/>
      </c>
      <c r="N74" s="33">
        <f>M74/$P$4+($I$22/$P$4)</f>
        <v/>
      </c>
      <c r="U74">
        <f>F73</f>
        <v/>
      </c>
      <c r="V74">
        <f>H73</f>
        <v/>
      </c>
      <c r="W74">
        <f>N73</f>
        <v/>
      </c>
    </row>
    <row r="75" ht="15.75" customHeight="1" s="40">
      <c r="C75" s="36">
        <f>_xlfn.IFS(E75&lt;E$24,0,E75&lt;E$26,C$24,E75&lt;E$28,C$26,E75&lt;E$30,C$28,E75&lt;E$32,C$30,E75&lt;E$34,C$32,E75&gt;=E$34,C$34)</f>
        <v/>
      </c>
      <c r="D75" s="37">
        <f>_xlfn.IFS(E75&lt;E$24,0,E75&lt;E$25,D$24,E75&lt;E$26,D$25,E75&lt;E$27,D$26,E75&lt;E$28,D$27,E75&lt;E$29,D$28,E75&lt;E$30,D$29,E75&lt;E$31,D$30,E75&lt;E$32,D$31,E75&lt;E$33,D$32,E75&lt;E$34,D$33,E75&lt;E$35,D$34,E75&gt;=E$35,D$35)</f>
        <v/>
      </c>
      <c r="E75" s="38" t="n">
        <v>25</v>
      </c>
      <c r="F75" s="31">
        <f>E75/52</f>
        <v/>
      </c>
      <c r="G75" s="39">
        <f>D75/1000000*52</f>
        <v/>
      </c>
      <c r="H75" s="33">
        <f>G75/$P$4+($C$22/$P$4)</f>
        <v/>
      </c>
      <c r="I75" s="36">
        <f>_xlfn.IFS(K75&lt;K$24,0,K75&lt;K$26,I$24,K75&lt;K$28,I$26,K75&lt;K$30,I$28,K75&lt;K$32,I$30,K75&lt;K$34,I$32,K75&lt;K$36,I$34,K75&lt;K$38,I$36,K75&lt;K$40,I$38,K75&lt;K$42,I$40,K75&lt;K$44,I$42,K75&lt;K$46,I$44,K75&gt;=K$46,I$46)</f>
        <v/>
      </c>
      <c r="J75" s="37">
        <f>_xlfn.IFS(K75&lt;K$24,0,K75&lt;K$25,J$24,K75&lt;K$26,J$25,K75&lt;K$27,J$26,K75&lt;K$28,J$27,K75&lt;K$29,J$28,K75&lt;K$30,J$29,K75&lt;K$31,J$30,K75&lt;K$32,J$31,K75&lt;K$33,J$32,K75&lt;K$34,J$33,K75&lt;K$35,J$34,K75&lt;K$36,J$35,K75&lt;K$37,J$36,K75&lt;K$38,J$37,K75&lt;K$39,J$38,K75&lt;K$40,J$39,K75&lt;K$41,J$40,K75&lt;K$42,J$41,K75&lt;K$43,J$42,K75&lt;K$44,J$43,K75&lt;K$45,J$44,K75&lt;K$46,J$45,K75&lt;K$47,J$46,K75&gt;=K$47,J$47)</f>
        <v/>
      </c>
      <c r="K75" s="38" t="n">
        <v>25</v>
      </c>
      <c r="L75" s="31">
        <f>K75/52</f>
        <v/>
      </c>
      <c r="M75" s="39">
        <f>J75/1000000*52</f>
        <v/>
      </c>
      <c r="N75" s="33">
        <f>M75/$P$4+($I$22/$P$4)</f>
        <v/>
      </c>
      <c r="U75">
        <f>F74</f>
        <v/>
      </c>
      <c r="V75">
        <f>H74</f>
        <v/>
      </c>
      <c r="W75">
        <f>N74</f>
        <v/>
      </c>
    </row>
    <row r="76" ht="15.75" customHeight="1" s="40">
      <c r="C76" s="36">
        <f>_xlfn.IFS(E76&lt;E$24,0,E76&lt;E$26,C$24,E76&lt;E$28,C$26,E76&lt;E$30,C$28,E76&lt;E$32,C$30,E76&lt;E$34,C$32,E76&gt;=E$34,C$34)</f>
        <v/>
      </c>
      <c r="D76" s="37">
        <f>_xlfn.IFS(E76&lt;E$24,0,E76&lt;E$25,D$24,E76&lt;E$26,D$25,E76&lt;E$27,D$26,E76&lt;E$28,D$27,E76&lt;E$29,D$28,E76&lt;E$30,D$29,E76&lt;E$31,D$30,E76&lt;E$32,D$31,E76&lt;E$33,D$32,E76&lt;E$34,D$33,E76&lt;E$35,D$34,E76&gt;=E$35,D$35)</f>
        <v/>
      </c>
      <c r="E76" s="38" t="n">
        <v>26</v>
      </c>
      <c r="F76" s="31">
        <f>E76/52</f>
        <v/>
      </c>
      <c r="G76" s="39">
        <f>D76/1000000*52</f>
        <v/>
      </c>
      <c r="H76" s="33">
        <f>G76/$P$4+($C$22/$P$4)</f>
        <v/>
      </c>
      <c r="I76" s="36">
        <f>_xlfn.IFS(K76&lt;K$24,0,K76&lt;K$26,I$24,K76&lt;K$28,I$26,K76&lt;K$30,I$28,K76&lt;K$32,I$30,K76&lt;K$34,I$32,K76&lt;K$36,I$34,K76&lt;K$38,I$36,K76&lt;K$40,I$38,K76&lt;K$42,I$40,K76&lt;K$44,I$42,K76&lt;K$46,I$44,K76&gt;=K$46,I$46)</f>
        <v/>
      </c>
      <c r="J76" s="37">
        <f>_xlfn.IFS(K76&lt;K$24,0,K76&lt;K$25,J$24,K76&lt;K$26,J$25,K76&lt;K$27,J$26,K76&lt;K$28,J$27,K76&lt;K$29,J$28,K76&lt;K$30,J$29,K76&lt;K$31,J$30,K76&lt;K$32,J$31,K76&lt;K$33,J$32,K76&lt;K$34,J$33,K76&lt;K$35,J$34,K76&lt;K$36,J$35,K76&lt;K$37,J$36,K76&lt;K$38,J$37,K76&lt;K$39,J$38,K76&lt;K$40,J$39,K76&lt;K$41,J$40,K76&lt;K$42,J$41,K76&lt;K$43,J$42,K76&lt;K$44,J$43,K76&lt;K$45,J$44,K76&lt;K$46,J$45,K76&lt;K$47,J$46,K76&gt;=K$47,J$47)</f>
        <v/>
      </c>
      <c r="K76" s="38" t="n">
        <v>26</v>
      </c>
      <c r="L76" s="31">
        <f>K76/52</f>
        <v/>
      </c>
      <c r="M76" s="39">
        <f>J76/1000000*52</f>
        <v/>
      </c>
      <c r="N76" s="33">
        <f>M76/$P$4+($I$22/$P$4)</f>
        <v/>
      </c>
      <c r="U76">
        <f>F75</f>
        <v/>
      </c>
      <c r="V76">
        <f>H75</f>
        <v/>
      </c>
      <c r="W76">
        <f>N75</f>
        <v/>
      </c>
    </row>
    <row r="77" ht="15.75" customHeight="1" s="40">
      <c r="C77" s="36">
        <f>_xlfn.IFS(E77&lt;E$24,0,E77&lt;E$26,C$24,E77&lt;E$28,C$26,E77&lt;E$30,C$28,E77&lt;E$32,C$30,E77&lt;E$34,C$32,E77&gt;=E$34,C$34)</f>
        <v/>
      </c>
      <c r="D77" s="37">
        <f>_xlfn.IFS(E77&lt;E$24,0,E77&lt;E$25,D$24,E77&lt;E$26,D$25,E77&lt;E$27,D$26,E77&lt;E$28,D$27,E77&lt;E$29,D$28,E77&lt;E$30,D$29,E77&lt;E$31,D$30,E77&lt;E$32,D$31,E77&lt;E$33,D$32,E77&lt;E$34,D$33,E77&lt;E$35,D$34,E77&gt;=E$35,D$35)</f>
        <v/>
      </c>
      <c r="E77" s="38" t="n">
        <v>27</v>
      </c>
      <c r="F77" s="31">
        <f>E77/52</f>
        <v/>
      </c>
      <c r="G77" s="39">
        <f>D77/1000000*52</f>
        <v/>
      </c>
      <c r="H77" s="33">
        <f>G77/$P$4+($C$22/$P$4)</f>
        <v/>
      </c>
      <c r="I77" s="36">
        <f>_xlfn.IFS(K77&lt;K$24,0,K77&lt;K$26,I$24,K77&lt;K$28,I$26,K77&lt;K$30,I$28,K77&lt;K$32,I$30,K77&lt;K$34,I$32,K77&lt;K$36,I$34,K77&lt;K$38,I$36,K77&lt;K$40,I$38,K77&lt;K$42,I$40,K77&lt;K$44,I$42,K77&lt;K$46,I$44,K77&gt;=K$46,I$46)</f>
        <v/>
      </c>
      <c r="J77" s="37">
        <f>_xlfn.IFS(K77&lt;K$24,0,K77&lt;K$25,J$24,K77&lt;K$26,J$25,K77&lt;K$27,J$26,K77&lt;K$28,J$27,K77&lt;K$29,J$28,K77&lt;K$30,J$29,K77&lt;K$31,J$30,K77&lt;K$32,J$31,K77&lt;K$33,J$32,K77&lt;K$34,J$33,K77&lt;K$35,J$34,K77&lt;K$36,J$35,K77&lt;K$37,J$36,K77&lt;K$38,J$37,K77&lt;K$39,J$38,K77&lt;K$40,J$39,K77&lt;K$41,J$40,K77&lt;K$42,J$41,K77&lt;K$43,J$42,K77&lt;K$44,J$43,K77&lt;K$45,J$44,K77&lt;K$46,J$45,K77&lt;K$47,J$46,K77&gt;=K$47,J$47)</f>
        <v/>
      </c>
      <c r="K77" s="38" t="n">
        <v>27</v>
      </c>
      <c r="L77" s="31">
        <f>K77/52</f>
        <v/>
      </c>
      <c r="M77" s="39">
        <f>J77/1000000*52</f>
        <v/>
      </c>
      <c r="N77" s="33">
        <f>M77/$P$4+($I$22/$P$4)</f>
        <v/>
      </c>
      <c r="U77">
        <f>F76</f>
        <v/>
      </c>
      <c r="V77">
        <f>H76</f>
        <v/>
      </c>
      <c r="W77">
        <f>N76</f>
        <v/>
      </c>
    </row>
    <row r="78" ht="15.75" customHeight="1" s="40">
      <c r="C78" s="36">
        <f>_xlfn.IFS(E78&lt;E$24,0,E78&lt;E$26,C$24,E78&lt;E$28,C$26,E78&lt;E$30,C$28,E78&lt;E$32,C$30,E78&lt;E$34,C$32,E78&gt;=E$34,C$34)</f>
        <v/>
      </c>
      <c r="D78" s="37">
        <f>_xlfn.IFS(E78&lt;E$24,0,E78&lt;E$25,D$24,E78&lt;E$26,D$25,E78&lt;E$27,D$26,E78&lt;E$28,D$27,E78&lt;E$29,D$28,E78&lt;E$30,D$29,E78&lt;E$31,D$30,E78&lt;E$32,D$31,E78&lt;E$33,D$32,E78&lt;E$34,D$33,E78&lt;E$35,D$34,E78&gt;=E$35,D$35)</f>
        <v/>
      </c>
      <c r="E78" s="38" t="n">
        <v>28</v>
      </c>
      <c r="F78" s="31">
        <f>E78/52</f>
        <v/>
      </c>
      <c r="G78" s="39">
        <f>D78/1000000*52</f>
        <v/>
      </c>
      <c r="H78" s="33">
        <f>G78/$P$4+($C$22/$P$4)</f>
        <v/>
      </c>
      <c r="I78" s="36">
        <f>_xlfn.IFS(K78&lt;K$24,0,K78&lt;K$26,I$24,K78&lt;K$28,I$26,K78&lt;K$30,I$28,K78&lt;K$32,I$30,K78&lt;K$34,I$32,K78&lt;K$36,I$34,K78&lt;K$38,I$36,K78&lt;K$40,I$38,K78&lt;K$42,I$40,K78&lt;K$44,I$42,K78&lt;K$46,I$44,K78&gt;=K$46,I$46)</f>
        <v/>
      </c>
      <c r="J78" s="37">
        <f>_xlfn.IFS(K78&lt;K$24,0,K78&lt;K$25,J$24,K78&lt;K$26,J$25,K78&lt;K$27,J$26,K78&lt;K$28,J$27,K78&lt;K$29,J$28,K78&lt;K$30,J$29,K78&lt;K$31,J$30,K78&lt;K$32,J$31,K78&lt;K$33,J$32,K78&lt;K$34,J$33,K78&lt;K$35,J$34,K78&lt;K$36,J$35,K78&lt;K$37,J$36,K78&lt;K$38,J$37,K78&lt;K$39,J$38,K78&lt;K$40,J$39,K78&lt;K$41,J$40,K78&lt;K$42,J$41,K78&lt;K$43,J$42,K78&lt;K$44,J$43,K78&lt;K$45,J$44,K78&lt;K$46,J$45,K78&lt;K$47,J$46,K78&gt;=K$47,J$47)</f>
        <v/>
      </c>
      <c r="K78" s="38" t="n">
        <v>28</v>
      </c>
      <c r="L78" s="31">
        <f>K78/52</f>
        <v/>
      </c>
      <c r="M78" s="39">
        <f>J78/1000000*52</f>
        <v/>
      </c>
      <c r="N78" s="33">
        <f>M78/$P$4+($I$22/$P$4)</f>
        <v/>
      </c>
      <c r="U78">
        <f>F77</f>
        <v/>
      </c>
      <c r="V78">
        <f>H77</f>
        <v/>
      </c>
      <c r="W78">
        <f>N77</f>
        <v/>
      </c>
    </row>
    <row r="79" ht="15.75" customHeight="1" s="40">
      <c r="C79" s="36">
        <f>_xlfn.IFS(E79&lt;E$24,0,E79&lt;E$26,C$24,E79&lt;E$28,C$26,E79&lt;E$30,C$28,E79&lt;E$32,C$30,E79&lt;E$34,C$32,E79&gt;=E$34,C$34)</f>
        <v/>
      </c>
      <c r="D79" s="37">
        <f>_xlfn.IFS(E79&lt;E$24,0,E79&lt;E$25,D$24,E79&lt;E$26,D$25,E79&lt;E$27,D$26,E79&lt;E$28,D$27,E79&lt;E$29,D$28,E79&lt;E$30,D$29,E79&lt;E$31,D$30,E79&lt;E$32,D$31,E79&lt;E$33,D$32,E79&lt;E$34,D$33,E79&lt;E$35,D$34,E79&gt;=E$35,D$35)</f>
        <v/>
      </c>
      <c r="E79" s="38" t="n">
        <v>29</v>
      </c>
      <c r="F79" s="31">
        <f>E79/52</f>
        <v/>
      </c>
      <c r="G79" s="39">
        <f>D79/1000000*52</f>
        <v/>
      </c>
      <c r="H79" s="33">
        <f>G79/$P$4+($C$22/$P$4)</f>
        <v/>
      </c>
      <c r="I79" s="36">
        <f>_xlfn.IFS(K79&lt;K$24,0,K79&lt;K$26,I$24,K79&lt;K$28,I$26,K79&lt;K$30,I$28,K79&lt;K$32,I$30,K79&lt;K$34,I$32,K79&lt;K$36,I$34,K79&lt;K$38,I$36,K79&lt;K$40,I$38,K79&lt;K$42,I$40,K79&lt;K$44,I$42,K79&lt;K$46,I$44,K79&gt;=K$46,I$46)</f>
        <v/>
      </c>
      <c r="J79" s="37">
        <f>_xlfn.IFS(K79&lt;K$24,0,K79&lt;K$25,J$24,K79&lt;K$26,J$25,K79&lt;K$27,J$26,K79&lt;K$28,J$27,K79&lt;K$29,J$28,K79&lt;K$30,J$29,K79&lt;K$31,J$30,K79&lt;K$32,J$31,K79&lt;K$33,J$32,K79&lt;K$34,J$33,K79&lt;K$35,J$34,K79&lt;K$36,J$35,K79&lt;K$37,J$36,K79&lt;K$38,J$37,K79&lt;K$39,J$38,K79&lt;K$40,J$39,K79&lt;K$41,J$40,K79&lt;K$42,J$41,K79&lt;K$43,J$42,K79&lt;K$44,J$43,K79&lt;K$45,J$44,K79&lt;K$46,J$45,K79&lt;K$47,J$46,K79&gt;=K$47,J$47)</f>
        <v/>
      </c>
      <c r="K79" s="38" t="n">
        <v>29</v>
      </c>
      <c r="L79" s="31">
        <f>K79/52</f>
        <v/>
      </c>
      <c r="M79" s="39">
        <f>J79/1000000*52</f>
        <v/>
      </c>
      <c r="N79" s="33">
        <f>M79/$P$4+($I$22/$P$4)</f>
        <v/>
      </c>
      <c r="U79">
        <f>F78</f>
        <v/>
      </c>
      <c r="V79">
        <f>H78</f>
        <v/>
      </c>
      <c r="W79">
        <f>N78</f>
        <v/>
      </c>
    </row>
    <row r="80" ht="15.75" customHeight="1" s="40">
      <c r="C80" s="36">
        <f>_xlfn.IFS(E80&lt;E$24,0,E80&lt;E$26,C$24,E80&lt;E$28,C$26,E80&lt;E$30,C$28,E80&lt;E$32,C$30,E80&lt;E$34,C$32,E80&gt;=E$34,C$34)</f>
        <v/>
      </c>
      <c r="D80" s="37">
        <f>_xlfn.IFS(E80&lt;E$24,0,E80&lt;E$25,D$24,E80&lt;E$26,D$25,E80&lt;E$27,D$26,E80&lt;E$28,D$27,E80&lt;E$29,D$28,E80&lt;E$30,D$29,E80&lt;E$31,D$30,E80&lt;E$32,D$31,E80&lt;E$33,D$32,E80&lt;E$34,D$33,E80&lt;E$35,D$34,E80&gt;=E$35,D$35)</f>
        <v/>
      </c>
      <c r="E80" s="38" t="n">
        <v>30</v>
      </c>
      <c r="F80" s="31">
        <f>E80/52</f>
        <v/>
      </c>
      <c r="G80" s="39">
        <f>D80/1000000*52</f>
        <v/>
      </c>
      <c r="H80" s="33">
        <f>G80/$P$4+($C$22/$P$4)</f>
        <v/>
      </c>
      <c r="I80" s="36">
        <f>_xlfn.IFS(K80&lt;K$24,0,K80&lt;K$26,I$24,K80&lt;K$28,I$26,K80&lt;K$30,I$28,K80&lt;K$32,I$30,K80&lt;K$34,I$32,K80&lt;K$36,I$34,K80&lt;K$38,I$36,K80&lt;K$40,I$38,K80&lt;K$42,I$40,K80&lt;K$44,I$42,K80&lt;K$46,I$44,K80&gt;=K$46,I$46)</f>
        <v/>
      </c>
      <c r="J80" s="37">
        <f>_xlfn.IFS(K80&lt;K$24,0,K80&lt;K$25,J$24,K80&lt;K$26,J$25,K80&lt;K$27,J$26,K80&lt;K$28,J$27,K80&lt;K$29,J$28,K80&lt;K$30,J$29,K80&lt;K$31,J$30,K80&lt;K$32,J$31,K80&lt;K$33,J$32,K80&lt;K$34,J$33,K80&lt;K$35,J$34,K80&lt;K$36,J$35,K80&lt;K$37,J$36,K80&lt;K$38,J$37,K80&lt;K$39,J$38,K80&lt;K$40,J$39,K80&lt;K$41,J$40,K80&lt;K$42,J$41,K80&lt;K$43,J$42,K80&lt;K$44,J$43,K80&lt;K$45,J$44,K80&lt;K$46,J$45,K80&lt;K$47,J$46,K80&gt;=K$47,J$47)</f>
        <v/>
      </c>
      <c r="K80" s="38" t="n">
        <v>30</v>
      </c>
      <c r="L80" s="31">
        <f>K80/52</f>
        <v/>
      </c>
      <c r="M80" s="39">
        <f>J80/1000000*52</f>
        <v/>
      </c>
      <c r="N80" s="33">
        <f>M80/$P$4+($I$22/$P$4)</f>
        <v/>
      </c>
      <c r="U80">
        <f>F79</f>
        <v/>
      </c>
      <c r="V80">
        <f>H79</f>
        <v/>
      </c>
      <c r="W80">
        <f>N79</f>
        <v/>
      </c>
    </row>
    <row r="81" ht="15.75" customHeight="1" s="40">
      <c r="C81" s="36">
        <f>_xlfn.IFS(E81&lt;E$24,0,E81&lt;E$26,C$24,E81&lt;E$28,C$26,E81&lt;E$30,C$28,E81&lt;E$32,C$30,E81&lt;E$34,C$32,E81&gt;=E$34,C$34)</f>
        <v/>
      </c>
      <c r="D81" s="37">
        <f>_xlfn.IFS(E81&lt;E$24,0,E81&lt;E$25,D$24,E81&lt;E$26,D$25,E81&lt;E$27,D$26,E81&lt;E$28,D$27,E81&lt;E$29,D$28,E81&lt;E$30,D$29,E81&lt;E$31,D$30,E81&lt;E$32,D$31,E81&lt;E$33,D$32,E81&lt;E$34,D$33,E81&lt;E$35,D$34,E81&gt;=E$35,D$35)</f>
        <v/>
      </c>
      <c r="E81" s="38" t="n">
        <v>31</v>
      </c>
      <c r="F81" s="31">
        <f>E81/52</f>
        <v/>
      </c>
      <c r="G81" s="39">
        <f>D81/1000000*52</f>
        <v/>
      </c>
      <c r="H81" s="33">
        <f>G81/$P$4+($C$22/$P$4)</f>
        <v/>
      </c>
      <c r="I81" s="36">
        <f>_xlfn.IFS(K81&lt;K$24,0,K81&lt;K$26,I$24,K81&lt;K$28,I$26,K81&lt;K$30,I$28,K81&lt;K$32,I$30,K81&lt;K$34,I$32,K81&lt;K$36,I$34,K81&lt;K$38,I$36,K81&lt;K$40,I$38,K81&lt;K$42,I$40,K81&lt;K$44,I$42,K81&lt;K$46,I$44,K81&gt;=K$46,I$46)</f>
        <v/>
      </c>
      <c r="J81" s="37">
        <f>_xlfn.IFS(K81&lt;K$24,0,K81&lt;K$25,J$24,K81&lt;K$26,J$25,K81&lt;K$27,J$26,K81&lt;K$28,J$27,K81&lt;K$29,J$28,K81&lt;K$30,J$29,K81&lt;K$31,J$30,K81&lt;K$32,J$31,K81&lt;K$33,J$32,K81&lt;K$34,J$33,K81&lt;K$35,J$34,K81&lt;K$36,J$35,K81&lt;K$37,J$36,K81&lt;K$38,J$37,K81&lt;K$39,J$38,K81&lt;K$40,J$39,K81&lt;K$41,J$40,K81&lt;K$42,J$41,K81&lt;K$43,J$42,K81&lt;K$44,J$43,K81&lt;K$45,J$44,K81&lt;K$46,J$45,K81&lt;K$47,J$46,K81&gt;=K$47,J$47)</f>
        <v/>
      </c>
      <c r="K81" s="38" t="n">
        <v>31</v>
      </c>
      <c r="L81" s="31">
        <f>K81/52</f>
        <v/>
      </c>
      <c r="M81" s="39">
        <f>J81/1000000*52</f>
        <v/>
      </c>
      <c r="N81" s="33">
        <f>M81/$P$4+($I$22/$P$4)</f>
        <v/>
      </c>
      <c r="U81">
        <f>F80</f>
        <v/>
      </c>
      <c r="V81">
        <f>H80</f>
        <v/>
      </c>
      <c r="W81">
        <f>N80</f>
        <v/>
      </c>
    </row>
    <row r="82" ht="15.75" customHeight="1" s="40">
      <c r="C82" s="36">
        <f>_xlfn.IFS(E82&lt;E$24,0,E82&lt;E$26,C$24,E82&lt;E$28,C$26,E82&lt;E$30,C$28,E82&lt;E$32,C$30,E82&lt;E$34,C$32,E82&gt;=E$34,C$34)</f>
        <v/>
      </c>
      <c r="D82" s="37">
        <f>_xlfn.IFS(E82&lt;E$24,0,E82&lt;E$25,D$24,E82&lt;E$26,D$25,E82&lt;E$27,D$26,E82&lt;E$28,D$27,E82&lt;E$29,D$28,E82&lt;E$30,D$29,E82&lt;E$31,D$30,E82&lt;E$32,D$31,E82&lt;E$33,D$32,E82&lt;E$34,D$33,E82&lt;E$35,D$34,E82&gt;=E$35,D$35)</f>
        <v/>
      </c>
      <c r="E82" s="38" t="n">
        <v>32</v>
      </c>
      <c r="F82" s="31">
        <f>E82/52</f>
        <v/>
      </c>
      <c r="G82" s="39">
        <f>D82/1000000*52</f>
        <v/>
      </c>
      <c r="H82" s="33">
        <f>G82/$P$4+($C$22/$P$4)</f>
        <v/>
      </c>
      <c r="I82" s="36">
        <f>_xlfn.IFS(K82&lt;K$24,0,K82&lt;K$26,I$24,K82&lt;K$28,I$26,K82&lt;K$30,I$28,K82&lt;K$32,I$30,K82&lt;K$34,I$32,K82&lt;K$36,I$34,K82&lt;K$38,I$36,K82&lt;K$40,I$38,K82&lt;K$42,I$40,K82&lt;K$44,I$42,K82&lt;K$46,I$44,K82&gt;=K$46,I$46)</f>
        <v/>
      </c>
      <c r="J82" s="37">
        <f>_xlfn.IFS(K82&lt;K$24,0,K82&lt;K$25,J$24,K82&lt;K$26,J$25,K82&lt;K$27,J$26,K82&lt;K$28,J$27,K82&lt;K$29,J$28,K82&lt;K$30,J$29,K82&lt;K$31,J$30,K82&lt;K$32,J$31,K82&lt;K$33,J$32,K82&lt;K$34,J$33,K82&lt;K$35,J$34,K82&lt;K$36,J$35,K82&lt;K$37,J$36,K82&lt;K$38,J$37,K82&lt;K$39,J$38,K82&lt;K$40,J$39,K82&lt;K$41,J$40,K82&lt;K$42,J$41,K82&lt;K$43,J$42,K82&lt;K$44,J$43,K82&lt;K$45,J$44,K82&lt;K$46,J$45,K82&lt;K$47,J$46,K82&gt;=K$47,J$47)</f>
        <v/>
      </c>
      <c r="K82" s="38" t="n">
        <v>32</v>
      </c>
      <c r="L82" s="31">
        <f>K82/52</f>
        <v/>
      </c>
      <c r="M82" s="39">
        <f>J82/1000000*52</f>
        <v/>
      </c>
      <c r="N82" s="33">
        <f>M82/$P$4+($I$22/$P$4)</f>
        <v/>
      </c>
      <c r="U82">
        <f>F81</f>
        <v/>
      </c>
      <c r="V82">
        <f>H81</f>
        <v/>
      </c>
      <c r="W82">
        <f>N81</f>
        <v/>
      </c>
    </row>
    <row r="83" ht="15.75" customHeight="1" s="40">
      <c r="C83" s="36">
        <f>_xlfn.IFS(E83&lt;E$24,0,E83&lt;E$26,C$24,E83&lt;E$28,C$26,E83&lt;E$30,C$28,E83&lt;E$32,C$30,E83&lt;E$34,C$32,E83&gt;=E$34,C$34)</f>
        <v/>
      </c>
      <c r="D83" s="37">
        <f>_xlfn.IFS(E83&lt;E$24,0,E83&lt;E$25,D$24,E83&lt;E$26,D$25,E83&lt;E$27,D$26,E83&lt;E$28,D$27,E83&lt;E$29,D$28,E83&lt;E$30,D$29,E83&lt;E$31,D$30,E83&lt;E$32,D$31,E83&lt;E$33,D$32,E83&lt;E$34,D$33,E83&lt;E$35,D$34,E83&gt;=E$35,D$35)</f>
        <v/>
      </c>
      <c r="E83" s="38" t="n">
        <v>33</v>
      </c>
      <c r="F83" s="31">
        <f>E83/52</f>
        <v/>
      </c>
      <c r="G83" s="39">
        <f>D83/1000000*52</f>
        <v/>
      </c>
      <c r="H83" s="33">
        <f>G83/$P$4+($C$22/$P$4)</f>
        <v/>
      </c>
      <c r="I83" s="36">
        <f>_xlfn.IFS(K83&lt;K$24,0,K83&lt;K$26,I$24,K83&lt;K$28,I$26,K83&lt;K$30,I$28,K83&lt;K$32,I$30,K83&lt;K$34,I$32,K83&lt;K$36,I$34,K83&lt;K$38,I$36,K83&lt;K$40,I$38,K83&lt;K$42,I$40,K83&lt;K$44,I$42,K83&lt;K$46,I$44,K83&gt;=K$46,I$46)</f>
        <v/>
      </c>
      <c r="J83" s="37">
        <f>_xlfn.IFS(K83&lt;K$24,0,K83&lt;K$25,J$24,K83&lt;K$26,J$25,K83&lt;K$27,J$26,K83&lt;K$28,J$27,K83&lt;K$29,J$28,K83&lt;K$30,J$29,K83&lt;K$31,J$30,K83&lt;K$32,J$31,K83&lt;K$33,J$32,K83&lt;K$34,J$33,K83&lt;K$35,J$34,K83&lt;K$36,J$35,K83&lt;K$37,J$36,K83&lt;K$38,J$37,K83&lt;K$39,J$38,K83&lt;K$40,J$39,K83&lt;K$41,J$40,K83&lt;K$42,J$41,K83&lt;K$43,J$42,K83&lt;K$44,J$43,K83&lt;K$45,J$44,K83&lt;K$46,J$45,K83&lt;K$47,J$46,K83&gt;=K$47,J$47)</f>
        <v/>
      </c>
      <c r="K83" s="38" t="n">
        <v>33</v>
      </c>
      <c r="L83" s="31">
        <f>K83/52</f>
        <v/>
      </c>
      <c r="M83" s="39">
        <f>J83/1000000*52</f>
        <v/>
      </c>
      <c r="N83" s="33">
        <f>M83/$P$4+($I$22/$P$4)</f>
        <v/>
      </c>
      <c r="U83">
        <f>F82</f>
        <v/>
      </c>
      <c r="V83">
        <f>H82</f>
        <v/>
      </c>
      <c r="W83">
        <f>N82</f>
        <v/>
      </c>
    </row>
    <row r="84" ht="15.75" customHeight="1" s="40">
      <c r="C84" s="36">
        <f>_xlfn.IFS(E84&lt;E$24,0,E84&lt;E$26,C$24,E84&lt;E$28,C$26,E84&lt;E$30,C$28,E84&lt;E$32,C$30,E84&lt;E$34,C$32,E84&gt;=E$34,C$34)</f>
        <v/>
      </c>
      <c r="D84" s="37">
        <f>_xlfn.IFS(E84&lt;E$24,0,E84&lt;E$25,D$24,E84&lt;E$26,D$25,E84&lt;E$27,D$26,E84&lt;E$28,D$27,E84&lt;E$29,D$28,E84&lt;E$30,D$29,E84&lt;E$31,D$30,E84&lt;E$32,D$31,E84&lt;E$33,D$32,E84&lt;E$34,D$33,E84&lt;E$35,D$34,E84&gt;=E$35,D$35)</f>
        <v/>
      </c>
      <c r="E84" s="38" t="n">
        <v>34</v>
      </c>
      <c r="F84" s="31">
        <f>E84/52</f>
        <v/>
      </c>
      <c r="G84" s="39">
        <f>D84/1000000*52</f>
        <v/>
      </c>
      <c r="H84" s="33">
        <f>G84/$P$4+($C$22/$P$4)</f>
        <v/>
      </c>
      <c r="I84" s="36">
        <f>_xlfn.IFS(K84&lt;K$24,0,K84&lt;K$26,I$24,K84&lt;K$28,I$26,K84&lt;K$30,I$28,K84&lt;K$32,I$30,K84&lt;K$34,I$32,K84&lt;K$36,I$34,K84&lt;K$38,I$36,K84&lt;K$40,I$38,K84&lt;K$42,I$40,K84&lt;K$44,I$42,K84&lt;K$46,I$44,K84&gt;=K$46,I$46)</f>
        <v/>
      </c>
      <c r="J84" s="37">
        <f>_xlfn.IFS(K84&lt;K$24,0,K84&lt;K$25,J$24,K84&lt;K$26,J$25,K84&lt;K$27,J$26,K84&lt;K$28,J$27,K84&lt;K$29,J$28,K84&lt;K$30,J$29,K84&lt;K$31,J$30,K84&lt;K$32,J$31,K84&lt;K$33,J$32,K84&lt;K$34,J$33,K84&lt;K$35,J$34,K84&lt;K$36,J$35,K84&lt;K$37,J$36,K84&lt;K$38,J$37,K84&lt;K$39,J$38,K84&lt;K$40,J$39,K84&lt;K$41,J$40,K84&lt;K$42,J$41,K84&lt;K$43,J$42,K84&lt;K$44,J$43,K84&lt;K$45,J$44,K84&lt;K$46,J$45,K84&lt;K$47,J$46,K84&gt;=K$47,J$47)</f>
        <v/>
      </c>
      <c r="K84" s="38" t="n">
        <v>34</v>
      </c>
      <c r="L84" s="31">
        <f>K84/52</f>
        <v/>
      </c>
      <c r="M84" s="39">
        <f>J84/1000000*52</f>
        <v/>
      </c>
      <c r="N84" s="33">
        <f>M84/$P$4+($I$22/$P$4)</f>
        <v/>
      </c>
      <c r="U84">
        <f>F83</f>
        <v/>
      </c>
      <c r="V84">
        <f>H83</f>
        <v/>
      </c>
      <c r="W84">
        <f>N83</f>
        <v/>
      </c>
    </row>
    <row r="85" ht="15.75" customHeight="1" s="40">
      <c r="C85" s="36">
        <f>_xlfn.IFS(E85&lt;E$24,0,E85&lt;E$26,C$24,E85&lt;E$28,C$26,E85&lt;E$30,C$28,E85&lt;E$32,C$30,E85&lt;E$34,C$32,E85&gt;=E$34,C$34)</f>
        <v/>
      </c>
      <c r="D85" s="37">
        <f>_xlfn.IFS(E85&lt;E$24,0,E85&lt;E$25,D$24,E85&lt;E$26,D$25,E85&lt;E$27,D$26,E85&lt;E$28,D$27,E85&lt;E$29,D$28,E85&lt;E$30,D$29,E85&lt;E$31,D$30,E85&lt;E$32,D$31,E85&lt;E$33,D$32,E85&lt;E$34,D$33,E85&lt;E$35,D$34,E85&gt;=E$35,D$35)</f>
        <v/>
      </c>
      <c r="E85" s="38" t="n">
        <v>35</v>
      </c>
      <c r="F85" s="31">
        <f>E85/52</f>
        <v/>
      </c>
      <c r="G85" s="39">
        <f>D85/1000000*52</f>
        <v/>
      </c>
      <c r="H85" s="33">
        <f>G85/$P$4+($C$22/$P$4)</f>
        <v/>
      </c>
      <c r="I85" s="36">
        <f>_xlfn.IFS(K85&lt;K$24,0,K85&lt;K$26,I$24,K85&lt;K$28,I$26,K85&lt;K$30,I$28,K85&lt;K$32,I$30,K85&lt;K$34,I$32,K85&lt;K$36,I$34,K85&lt;K$38,I$36,K85&lt;K$40,I$38,K85&lt;K$42,I$40,K85&lt;K$44,I$42,K85&lt;K$46,I$44,K85&gt;=K$46,I$46)</f>
        <v/>
      </c>
      <c r="J85" s="37">
        <f>_xlfn.IFS(K85&lt;K$24,0,K85&lt;K$25,J$24,K85&lt;K$26,J$25,K85&lt;K$27,J$26,K85&lt;K$28,J$27,K85&lt;K$29,J$28,K85&lt;K$30,J$29,K85&lt;K$31,J$30,K85&lt;K$32,J$31,K85&lt;K$33,J$32,K85&lt;K$34,J$33,K85&lt;K$35,J$34,K85&lt;K$36,J$35,K85&lt;K$37,J$36,K85&lt;K$38,J$37,K85&lt;K$39,J$38,K85&lt;K$40,J$39,K85&lt;K$41,J$40,K85&lt;K$42,J$41,K85&lt;K$43,J$42,K85&lt;K$44,J$43,K85&lt;K$45,J$44,K85&lt;K$46,J$45,K85&lt;K$47,J$46,K85&gt;=K$47,J$47)</f>
        <v/>
      </c>
      <c r="K85" s="38" t="n">
        <v>35</v>
      </c>
      <c r="L85" s="31">
        <f>K85/52</f>
        <v/>
      </c>
      <c r="M85" s="39">
        <f>J85/1000000*52</f>
        <v/>
      </c>
      <c r="N85" s="33">
        <f>M85/$P$4+($I$22/$P$4)</f>
        <v/>
      </c>
      <c r="U85">
        <f>F84</f>
        <v/>
      </c>
      <c r="V85">
        <f>H84</f>
        <v/>
      </c>
      <c r="W85">
        <f>N84</f>
        <v/>
      </c>
    </row>
    <row r="86" ht="15.75" customHeight="1" s="40">
      <c r="C86" s="36">
        <f>_xlfn.IFS(E86&lt;E$24,0,E86&lt;E$26,C$24,E86&lt;E$28,C$26,E86&lt;E$30,C$28,E86&lt;E$32,C$30,E86&lt;E$34,C$32,E86&gt;=E$34,C$34)</f>
        <v/>
      </c>
      <c r="D86" s="37">
        <f>_xlfn.IFS(E86&lt;E$24,0,E86&lt;E$25,D$24,E86&lt;E$26,D$25,E86&lt;E$27,D$26,E86&lt;E$28,D$27,E86&lt;E$29,D$28,E86&lt;E$30,D$29,E86&lt;E$31,D$30,E86&lt;E$32,D$31,E86&lt;E$33,D$32,E86&lt;E$34,D$33,E86&lt;E$35,D$34,E86&gt;=E$35,D$35)</f>
        <v/>
      </c>
      <c r="E86" s="38" t="n">
        <v>36</v>
      </c>
      <c r="F86" s="31">
        <f>E86/52</f>
        <v/>
      </c>
      <c r="G86" s="39">
        <f>D86/1000000*52</f>
        <v/>
      </c>
      <c r="H86" s="33">
        <f>G86/$P$4+($C$22/$P$4)</f>
        <v/>
      </c>
      <c r="I86" s="36">
        <f>_xlfn.IFS(K86&lt;K$24,0,K86&lt;K$26,I$24,K86&lt;K$28,I$26,K86&lt;K$30,I$28,K86&lt;K$32,I$30,K86&lt;K$34,I$32,K86&lt;K$36,I$34,K86&lt;K$38,I$36,K86&lt;K$40,I$38,K86&lt;K$42,I$40,K86&lt;K$44,I$42,K86&lt;K$46,I$44,K86&gt;=K$46,I$46)</f>
        <v/>
      </c>
      <c r="J86" s="37">
        <f>_xlfn.IFS(K86&lt;K$24,0,K86&lt;K$25,J$24,K86&lt;K$26,J$25,K86&lt;K$27,J$26,K86&lt;K$28,J$27,K86&lt;K$29,J$28,K86&lt;K$30,J$29,K86&lt;K$31,J$30,K86&lt;K$32,J$31,K86&lt;K$33,J$32,K86&lt;K$34,J$33,K86&lt;K$35,J$34,K86&lt;K$36,J$35,K86&lt;K$37,J$36,K86&lt;K$38,J$37,K86&lt;K$39,J$38,K86&lt;K$40,J$39,K86&lt;K$41,J$40,K86&lt;K$42,J$41,K86&lt;K$43,J$42,K86&lt;K$44,J$43,K86&lt;K$45,J$44,K86&lt;K$46,J$45,K86&lt;K$47,J$46,K86&gt;=K$47,J$47)</f>
        <v/>
      </c>
      <c r="K86" s="38" t="n">
        <v>36</v>
      </c>
      <c r="L86" s="31">
        <f>K86/52</f>
        <v/>
      </c>
      <c r="M86" s="39">
        <f>J86/1000000*52</f>
        <v/>
      </c>
      <c r="N86" s="33">
        <f>M86/$P$4+($I$22/$P$4)</f>
        <v/>
      </c>
      <c r="U86">
        <f>F85</f>
        <v/>
      </c>
      <c r="V86">
        <f>H85</f>
        <v/>
      </c>
      <c r="W86">
        <f>N85</f>
        <v/>
      </c>
    </row>
    <row r="87" ht="15.75" customHeight="1" s="40">
      <c r="C87" s="36">
        <f>_xlfn.IFS(E87&lt;E$24,0,E87&lt;E$26,C$24,E87&lt;E$28,C$26,E87&lt;E$30,C$28,E87&lt;E$32,C$30,E87&lt;E$34,C$32,E87&gt;=E$34,C$34)</f>
        <v/>
      </c>
      <c r="D87" s="37">
        <f>_xlfn.IFS(E87&lt;E$24,0,E87&lt;E$25,D$24,E87&lt;E$26,D$25,E87&lt;E$27,D$26,E87&lt;E$28,D$27,E87&lt;E$29,D$28,E87&lt;E$30,D$29,E87&lt;E$31,D$30,E87&lt;E$32,D$31,E87&lt;E$33,D$32,E87&lt;E$34,D$33,E87&lt;E$35,D$34,E87&gt;=E$35,D$35)</f>
        <v/>
      </c>
      <c r="E87" s="38" t="n">
        <v>37</v>
      </c>
      <c r="F87" s="31">
        <f>E87/52</f>
        <v/>
      </c>
      <c r="G87" s="39">
        <f>D87/1000000*52</f>
        <v/>
      </c>
      <c r="H87" s="33">
        <f>G87/$P$4+($C$22/$P$4)</f>
        <v/>
      </c>
      <c r="I87" s="36">
        <f>_xlfn.IFS(K87&lt;K$24,0,K87&lt;K$26,I$24,K87&lt;K$28,I$26,K87&lt;K$30,I$28,K87&lt;K$32,I$30,K87&lt;K$34,I$32,K87&lt;K$36,I$34,K87&lt;K$38,I$36,K87&lt;K$40,I$38,K87&lt;K$42,I$40,K87&lt;K$44,I$42,K87&lt;K$46,I$44,K87&gt;=K$46,I$46)</f>
        <v/>
      </c>
      <c r="J87" s="37">
        <f>_xlfn.IFS(K87&lt;K$24,0,K87&lt;K$25,J$24,K87&lt;K$26,J$25,K87&lt;K$27,J$26,K87&lt;K$28,J$27,K87&lt;K$29,J$28,K87&lt;K$30,J$29,K87&lt;K$31,J$30,K87&lt;K$32,J$31,K87&lt;K$33,J$32,K87&lt;K$34,J$33,K87&lt;K$35,J$34,K87&lt;K$36,J$35,K87&lt;K$37,J$36,K87&lt;K$38,J$37,K87&lt;K$39,J$38,K87&lt;K$40,J$39,K87&lt;K$41,J$40,K87&lt;K$42,J$41,K87&lt;K$43,J$42,K87&lt;K$44,J$43,K87&lt;K$45,J$44,K87&lt;K$46,J$45,K87&lt;K$47,J$46,K87&gt;=K$47,J$47)</f>
        <v/>
      </c>
      <c r="K87" s="38" t="n">
        <v>37</v>
      </c>
      <c r="L87" s="31">
        <f>K87/52</f>
        <v/>
      </c>
      <c r="M87" s="39">
        <f>J87/1000000*52</f>
        <v/>
      </c>
      <c r="N87" s="33">
        <f>M87/$P$4+($I$22/$P$4)</f>
        <v/>
      </c>
      <c r="U87">
        <f>F86</f>
        <v/>
      </c>
      <c r="V87">
        <f>H86</f>
        <v/>
      </c>
      <c r="W87">
        <f>N86</f>
        <v/>
      </c>
    </row>
    <row r="88" ht="15.75" customHeight="1" s="40">
      <c r="C88" s="36">
        <f>_xlfn.IFS(E88&lt;E$24,0,E88&lt;E$26,C$24,E88&lt;E$28,C$26,E88&lt;E$30,C$28,E88&lt;E$32,C$30,E88&lt;E$34,C$32,E88&gt;=E$34,C$34)</f>
        <v/>
      </c>
      <c r="D88" s="37">
        <f>_xlfn.IFS(E88&lt;E$24,0,E88&lt;E$25,D$24,E88&lt;E$26,D$25,E88&lt;E$27,D$26,E88&lt;E$28,D$27,E88&lt;E$29,D$28,E88&lt;E$30,D$29,E88&lt;E$31,D$30,E88&lt;E$32,D$31,E88&lt;E$33,D$32,E88&lt;E$34,D$33,E88&lt;E$35,D$34,E88&gt;=E$35,D$35)</f>
        <v/>
      </c>
      <c r="E88" s="38" t="n">
        <v>38</v>
      </c>
      <c r="F88" s="31">
        <f>E88/52</f>
        <v/>
      </c>
      <c r="G88" s="39">
        <f>D88/1000000*52</f>
        <v/>
      </c>
      <c r="H88" s="33">
        <f>G88/$P$4+($C$22/$P$4)</f>
        <v/>
      </c>
      <c r="I88" s="36">
        <f>_xlfn.IFS(K88&lt;K$24,0,K88&lt;K$26,I$24,K88&lt;K$28,I$26,K88&lt;K$30,I$28,K88&lt;K$32,I$30,K88&lt;K$34,I$32,K88&lt;K$36,I$34,K88&lt;K$38,I$36,K88&lt;K$40,I$38,K88&lt;K$42,I$40,K88&lt;K$44,I$42,K88&lt;K$46,I$44,K88&gt;=K$46,I$46)</f>
        <v/>
      </c>
      <c r="J88" s="37">
        <f>_xlfn.IFS(K88&lt;K$24,0,K88&lt;K$25,J$24,K88&lt;K$26,J$25,K88&lt;K$27,J$26,K88&lt;K$28,J$27,K88&lt;K$29,J$28,K88&lt;K$30,J$29,K88&lt;K$31,J$30,K88&lt;K$32,J$31,K88&lt;K$33,J$32,K88&lt;K$34,J$33,K88&lt;K$35,J$34,K88&lt;K$36,J$35,K88&lt;K$37,J$36,K88&lt;K$38,J$37,K88&lt;K$39,J$38,K88&lt;K$40,J$39,K88&lt;K$41,J$40,K88&lt;K$42,J$41,K88&lt;K$43,J$42,K88&lt;K$44,J$43,K88&lt;K$45,J$44,K88&lt;K$46,J$45,K88&lt;K$47,J$46,K88&gt;=K$47,J$47)</f>
        <v/>
      </c>
      <c r="K88" s="38" t="n">
        <v>38</v>
      </c>
      <c r="L88" s="31">
        <f>K88/52</f>
        <v/>
      </c>
      <c r="M88" s="39">
        <f>J88/1000000*52</f>
        <v/>
      </c>
      <c r="N88" s="33">
        <f>M88/$P$4+($I$22/$P$4)</f>
        <v/>
      </c>
      <c r="U88">
        <f>F87</f>
        <v/>
      </c>
      <c r="V88">
        <f>H87</f>
        <v/>
      </c>
      <c r="W88">
        <f>N87</f>
        <v/>
      </c>
    </row>
    <row r="89" ht="15.75" customHeight="1" s="40">
      <c r="C89" s="36">
        <f>_xlfn.IFS(E89&lt;E$24,0,E89&lt;E$26,C$24,E89&lt;E$28,C$26,E89&lt;E$30,C$28,E89&lt;E$32,C$30,E89&lt;E$34,C$32,E89&gt;=E$34,C$34)</f>
        <v/>
      </c>
      <c r="D89" s="37">
        <f>_xlfn.IFS(E89&lt;E$24,0,E89&lt;E$25,D$24,E89&lt;E$26,D$25,E89&lt;E$27,D$26,E89&lt;E$28,D$27,E89&lt;E$29,D$28,E89&lt;E$30,D$29,E89&lt;E$31,D$30,E89&lt;E$32,D$31,E89&lt;E$33,D$32,E89&lt;E$34,D$33,E89&lt;E$35,D$34,E89&gt;=E$35,D$35)</f>
        <v/>
      </c>
      <c r="E89" s="38" t="n">
        <v>39</v>
      </c>
      <c r="F89" s="31">
        <f>E89/52</f>
        <v/>
      </c>
      <c r="G89" s="39">
        <f>D89/1000000*52</f>
        <v/>
      </c>
      <c r="H89" s="33">
        <f>G89/$P$4+($C$22/$P$4)</f>
        <v/>
      </c>
      <c r="I89" s="36">
        <f>_xlfn.IFS(K89&lt;K$24,0,K89&lt;K$26,I$24,K89&lt;K$28,I$26,K89&lt;K$30,I$28,K89&lt;K$32,I$30,K89&lt;K$34,I$32,K89&lt;K$36,I$34,K89&lt;K$38,I$36,K89&lt;K$40,I$38,K89&lt;K$42,I$40,K89&lt;K$44,I$42,K89&lt;K$46,I$44,K89&gt;=K$46,I$46)</f>
        <v/>
      </c>
      <c r="J89" s="37">
        <f>_xlfn.IFS(K89&lt;K$24,0,K89&lt;K$25,J$24,K89&lt;K$26,J$25,K89&lt;K$27,J$26,K89&lt;K$28,J$27,K89&lt;K$29,J$28,K89&lt;K$30,J$29,K89&lt;K$31,J$30,K89&lt;K$32,J$31,K89&lt;K$33,J$32,K89&lt;K$34,J$33,K89&lt;K$35,J$34,K89&lt;K$36,J$35,K89&lt;K$37,J$36,K89&lt;K$38,J$37,K89&lt;K$39,J$38,K89&lt;K$40,J$39,K89&lt;K$41,J$40,K89&lt;K$42,J$41,K89&lt;K$43,J$42,K89&lt;K$44,J$43,K89&lt;K$45,J$44,K89&lt;K$46,J$45,K89&lt;K$47,J$46,K89&gt;=K$47,J$47)</f>
        <v/>
      </c>
      <c r="K89" s="38" t="n">
        <v>39</v>
      </c>
      <c r="L89" s="31">
        <f>K89/52</f>
        <v/>
      </c>
      <c r="M89" s="39">
        <f>J89/1000000*52</f>
        <v/>
      </c>
      <c r="N89" s="33">
        <f>M89/$P$4+($I$22/$P$4)</f>
        <v/>
      </c>
      <c r="U89">
        <f>F88</f>
        <v/>
      </c>
      <c r="V89">
        <f>H88</f>
        <v/>
      </c>
      <c r="W89">
        <f>N88</f>
        <v/>
      </c>
    </row>
    <row r="90" ht="15.75" customHeight="1" s="40">
      <c r="C90" s="36">
        <f>_xlfn.IFS(E90&lt;E$24,0,E90&lt;E$26,C$24,E90&lt;E$28,C$26,E90&lt;E$30,C$28,E90&lt;E$32,C$30,E90&lt;E$34,C$32,E90&gt;=E$34,C$34)</f>
        <v/>
      </c>
      <c r="D90" s="37">
        <f>_xlfn.IFS(E90&lt;E$24,0,E90&lt;E$25,D$24,E90&lt;E$26,D$25,E90&lt;E$27,D$26,E90&lt;E$28,D$27,E90&lt;E$29,D$28,E90&lt;E$30,D$29,E90&lt;E$31,D$30,E90&lt;E$32,D$31,E90&lt;E$33,D$32,E90&lt;E$34,D$33,E90&lt;E$35,D$34,E90&gt;=E$35,D$35)</f>
        <v/>
      </c>
      <c r="E90" s="38" t="n">
        <v>40</v>
      </c>
      <c r="F90" s="31">
        <f>E90/52</f>
        <v/>
      </c>
      <c r="G90" s="39">
        <f>D90/1000000*52</f>
        <v/>
      </c>
      <c r="H90" s="33">
        <f>G90/$P$4+($C$22/$P$4)</f>
        <v/>
      </c>
      <c r="I90" s="36">
        <f>_xlfn.IFS(K90&lt;K$24,0,K90&lt;K$26,I$24,K90&lt;K$28,I$26,K90&lt;K$30,I$28,K90&lt;K$32,I$30,K90&lt;K$34,I$32,K90&lt;K$36,I$34,K90&lt;K$38,I$36,K90&lt;K$40,I$38,K90&lt;K$42,I$40,K90&lt;K$44,I$42,K90&lt;K$46,I$44,K90&gt;=K$46,I$46)</f>
        <v/>
      </c>
      <c r="J90" s="37">
        <f>_xlfn.IFS(K90&lt;K$24,0,K90&lt;K$25,J$24,K90&lt;K$26,J$25,K90&lt;K$27,J$26,K90&lt;K$28,J$27,K90&lt;K$29,J$28,K90&lt;K$30,J$29,K90&lt;K$31,J$30,K90&lt;K$32,J$31,K90&lt;K$33,J$32,K90&lt;K$34,J$33,K90&lt;K$35,J$34,K90&lt;K$36,J$35,K90&lt;K$37,J$36,K90&lt;K$38,J$37,K90&lt;K$39,J$38,K90&lt;K$40,J$39,K90&lt;K$41,J$40,K90&lt;K$42,J$41,K90&lt;K$43,J$42,K90&lt;K$44,J$43,K90&lt;K$45,J$44,K90&lt;K$46,J$45,K90&lt;K$47,J$46,K90&gt;=K$47,J$47)</f>
        <v/>
      </c>
      <c r="K90" s="38" t="n">
        <v>40</v>
      </c>
      <c r="L90" s="31">
        <f>K90/52</f>
        <v/>
      </c>
      <c r="M90" s="39">
        <f>J90/1000000*52</f>
        <v/>
      </c>
      <c r="N90" s="33">
        <f>M90/$P$4+($I$22/$P$4)</f>
        <v/>
      </c>
      <c r="U90">
        <f>F89</f>
        <v/>
      </c>
      <c r="V90">
        <f>H89</f>
        <v/>
      </c>
      <c r="W90">
        <f>N89</f>
        <v/>
      </c>
    </row>
    <row r="91" ht="15.75" customHeight="1" s="40">
      <c r="C91" s="36">
        <f>_xlfn.IFS(E91&lt;E$24,0,E91&lt;E$26,C$24,E91&lt;E$28,C$26,E91&lt;E$30,C$28,E91&lt;E$32,C$30,E91&lt;E$34,C$32,E91&gt;=E$34,C$34)</f>
        <v/>
      </c>
      <c r="D91" s="37">
        <f>_xlfn.IFS(E91&lt;E$24,0,E91&lt;E$25,D$24,E91&lt;E$26,D$25,E91&lt;E$27,D$26,E91&lt;E$28,D$27,E91&lt;E$29,D$28,E91&lt;E$30,D$29,E91&lt;E$31,D$30,E91&lt;E$32,D$31,E91&lt;E$33,D$32,E91&lt;E$34,D$33,E91&lt;E$35,D$34,E91&gt;=E$35,D$35)</f>
        <v/>
      </c>
      <c r="E91" s="38" t="n">
        <v>41</v>
      </c>
      <c r="F91" s="31">
        <f>E91/52</f>
        <v/>
      </c>
      <c r="G91" s="39">
        <f>D91/1000000*52</f>
        <v/>
      </c>
      <c r="H91" s="33">
        <f>G91/$P$4+($C$22/$P$4)</f>
        <v/>
      </c>
      <c r="I91" s="36">
        <f>_xlfn.IFS(K91&lt;K$24,0,K91&lt;K$26,I$24,K91&lt;K$28,I$26,K91&lt;K$30,I$28,K91&lt;K$32,I$30,K91&lt;K$34,I$32,K91&lt;K$36,I$34,K91&lt;K$38,I$36,K91&lt;K$40,I$38,K91&lt;K$42,I$40,K91&lt;K$44,I$42,K91&lt;K$46,I$44,K91&gt;=K$46,I$46)</f>
        <v/>
      </c>
      <c r="J91" s="37">
        <f>_xlfn.IFS(K91&lt;K$24,0,K91&lt;K$25,J$24,K91&lt;K$26,J$25,K91&lt;K$27,J$26,K91&lt;K$28,J$27,K91&lt;K$29,J$28,K91&lt;K$30,J$29,K91&lt;K$31,J$30,K91&lt;K$32,J$31,K91&lt;K$33,J$32,K91&lt;K$34,J$33,K91&lt;K$35,J$34,K91&lt;K$36,J$35,K91&lt;K$37,J$36,K91&lt;K$38,J$37,K91&lt;K$39,J$38,K91&lt;K$40,J$39,K91&lt;K$41,J$40,K91&lt;K$42,J$41,K91&lt;K$43,J$42,K91&lt;K$44,J$43,K91&lt;K$45,J$44,K91&lt;K$46,J$45,K91&lt;K$47,J$46,K91&gt;=K$47,J$47)</f>
        <v/>
      </c>
      <c r="K91" s="38" t="n">
        <v>41</v>
      </c>
      <c r="L91" s="31">
        <f>K91/52</f>
        <v/>
      </c>
      <c r="M91" s="39">
        <f>J91/1000000*52</f>
        <v/>
      </c>
      <c r="N91" s="33">
        <f>M91/$P$4+($I$22/$P$4)</f>
        <v/>
      </c>
      <c r="U91">
        <f>F90</f>
        <v/>
      </c>
      <c r="V91">
        <f>H90</f>
        <v/>
      </c>
      <c r="W91">
        <f>N90</f>
        <v/>
      </c>
    </row>
    <row r="92" ht="15.75" customHeight="1" s="40">
      <c r="C92" s="36">
        <f>_xlfn.IFS(E92&lt;E$24,0,E92&lt;E$26,C$24,E92&lt;E$28,C$26,E92&lt;E$30,C$28,E92&lt;E$32,C$30,E92&lt;E$34,C$32,E92&gt;=E$34,C$34)</f>
        <v/>
      </c>
      <c r="D92" s="37">
        <f>_xlfn.IFS(E92&lt;E$24,0,E92&lt;E$25,D$24,E92&lt;E$26,D$25,E92&lt;E$27,D$26,E92&lt;E$28,D$27,E92&lt;E$29,D$28,E92&lt;E$30,D$29,E92&lt;E$31,D$30,E92&lt;E$32,D$31,E92&lt;E$33,D$32,E92&lt;E$34,D$33,E92&lt;E$35,D$34,E92&gt;=E$35,D$35)</f>
        <v/>
      </c>
      <c r="E92" s="38" t="n">
        <v>42</v>
      </c>
      <c r="F92" s="31">
        <f>E92/52</f>
        <v/>
      </c>
      <c r="G92" s="39">
        <f>D92/1000000*52</f>
        <v/>
      </c>
      <c r="H92" s="33">
        <f>G92/$P$4+($C$22/$P$4)</f>
        <v/>
      </c>
      <c r="I92" s="36">
        <f>_xlfn.IFS(K92&lt;K$24,0,K92&lt;K$26,I$24,K92&lt;K$28,I$26,K92&lt;K$30,I$28,K92&lt;K$32,I$30,K92&lt;K$34,I$32,K92&lt;K$36,I$34,K92&lt;K$38,I$36,K92&lt;K$40,I$38,K92&lt;K$42,I$40,K92&lt;K$44,I$42,K92&lt;K$46,I$44,K92&gt;=K$46,I$46)</f>
        <v/>
      </c>
      <c r="J92" s="37">
        <f>_xlfn.IFS(K92&lt;K$24,0,K92&lt;K$25,J$24,K92&lt;K$26,J$25,K92&lt;K$27,J$26,K92&lt;K$28,J$27,K92&lt;K$29,J$28,K92&lt;K$30,J$29,K92&lt;K$31,J$30,K92&lt;K$32,J$31,K92&lt;K$33,J$32,K92&lt;K$34,J$33,K92&lt;K$35,J$34,K92&lt;K$36,J$35,K92&lt;K$37,J$36,K92&lt;K$38,J$37,K92&lt;K$39,J$38,K92&lt;K$40,J$39,K92&lt;K$41,J$40,K92&lt;K$42,J$41,K92&lt;K$43,J$42,K92&lt;K$44,J$43,K92&lt;K$45,J$44,K92&lt;K$46,J$45,K92&lt;K$47,J$46,K92&gt;=K$47,J$47)</f>
        <v/>
      </c>
      <c r="K92" s="38" t="n">
        <v>42</v>
      </c>
      <c r="L92" s="31">
        <f>K92/52</f>
        <v/>
      </c>
      <c r="M92" s="39">
        <f>J92/1000000*52</f>
        <v/>
      </c>
      <c r="N92" s="33">
        <f>M92/$P$4+($I$22/$P$4)</f>
        <v/>
      </c>
      <c r="U92">
        <f>F91</f>
        <v/>
      </c>
      <c r="V92">
        <f>H91</f>
        <v/>
      </c>
      <c r="W92">
        <f>N91</f>
        <v/>
      </c>
    </row>
    <row r="93" ht="15.75" customHeight="1" s="40">
      <c r="C93" s="36">
        <f>_xlfn.IFS(E93&lt;E$24,0,E93&lt;E$26,C$24,E93&lt;E$28,C$26,E93&lt;E$30,C$28,E93&lt;E$32,C$30,E93&lt;E$34,C$32,E93&gt;=E$34,C$34)</f>
        <v/>
      </c>
      <c r="D93" s="37">
        <f>_xlfn.IFS(E93&lt;E$24,0,E93&lt;E$25,D$24,E93&lt;E$26,D$25,E93&lt;E$27,D$26,E93&lt;E$28,D$27,E93&lt;E$29,D$28,E93&lt;E$30,D$29,E93&lt;E$31,D$30,E93&lt;E$32,D$31,E93&lt;E$33,D$32,E93&lt;E$34,D$33,E93&lt;E$35,D$34,E93&gt;=E$35,D$35)</f>
        <v/>
      </c>
      <c r="E93" s="38" t="n">
        <v>43</v>
      </c>
      <c r="F93" s="31">
        <f>E93/52</f>
        <v/>
      </c>
      <c r="G93" s="39">
        <f>D93/1000000*52</f>
        <v/>
      </c>
      <c r="H93" s="33">
        <f>G93/$P$4+($C$22/$P$4)</f>
        <v/>
      </c>
      <c r="I93" s="36">
        <f>_xlfn.IFS(K93&lt;K$24,0,K93&lt;K$26,I$24,K93&lt;K$28,I$26,K93&lt;K$30,I$28,K93&lt;K$32,I$30,K93&lt;K$34,I$32,K93&lt;K$36,I$34,K93&lt;K$38,I$36,K93&lt;K$40,I$38,K93&lt;K$42,I$40,K93&lt;K$44,I$42,K93&lt;K$46,I$44,K93&gt;=K$46,I$46)</f>
        <v/>
      </c>
      <c r="J93" s="37">
        <f>_xlfn.IFS(K93&lt;K$24,0,K93&lt;K$25,J$24,K93&lt;K$26,J$25,K93&lt;K$27,J$26,K93&lt;K$28,J$27,K93&lt;K$29,J$28,K93&lt;K$30,J$29,K93&lt;K$31,J$30,K93&lt;K$32,J$31,K93&lt;K$33,J$32,K93&lt;K$34,J$33,K93&lt;K$35,J$34,K93&lt;K$36,J$35,K93&lt;K$37,J$36,K93&lt;K$38,J$37,K93&lt;K$39,J$38,K93&lt;K$40,J$39,K93&lt;K$41,J$40,K93&lt;K$42,J$41,K93&lt;K$43,J$42,K93&lt;K$44,J$43,K93&lt;K$45,J$44,K93&lt;K$46,J$45,K93&lt;K$47,J$46,K93&gt;=K$47,J$47)</f>
        <v/>
      </c>
      <c r="K93" s="38" t="n">
        <v>43</v>
      </c>
      <c r="L93" s="31">
        <f>K93/52</f>
        <v/>
      </c>
      <c r="M93" s="39">
        <f>J93/1000000*52</f>
        <v/>
      </c>
      <c r="N93" s="33">
        <f>M93/$P$4+($I$22/$P$4)</f>
        <v/>
      </c>
      <c r="U93">
        <f>F92</f>
        <v/>
      </c>
      <c r="V93">
        <f>H92</f>
        <v/>
      </c>
      <c r="W93">
        <f>N92</f>
        <v/>
      </c>
    </row>
    <row r="94" ht="15.75" customHeight="1" s="40">
      <c r="C94" s="36">
        <f>_xlfn.IFS(E94&lt;E$24,0,E94&lt;E$26,C$24,E94&lt;E$28,C$26,E94&lt;E$30,C$28,E94&lt;E$32,C$30,E94&lt;E$34,C$32,E94&gt;=E$34,C$34)</f>
        <v/>
      </c>
      <c r="D94" s="37">
        <f>_xlfn.IFS(E94&lt;E$24,0,E94&lt;E$25,D$24,E94&lt;E$26,D$25,E94&lt;E$27,D$26,E94&lt;E$28,D$27,E94&lt;E$29,D$28,E94&lt;E$30,D$29,E94&lt;E$31,D$30,E94&lt;E$32,D$31,E94&lt;E$33,D$32,E94&lt;E$34,D$33,E94&lt;E$35,D$34,E94&gt;=E$35,D$35)</f>
        <v/>
      </c>
      <c r="E94" s="38" t="n">
        <v>44</v>
      </c>
      <c r="F94" s="31">
        <f>E94/52</f>
        <v/>
      </c>
      <c r="G94" s="39">
        <f>D94/1000000*52</f>
        <v/>
      </c>
      <c r="H94" s="33">
        <f>G94/$P$4+($C$22/$P$4)</f>
        <v/>
      </c>
      <c r="I94" s="36">
        <f>_xlfn.IFS(K94&lt;K$24,0,K94&lt;K$26,I$24,K94&lt;K$28,I$26,K94&lt;K$30,I$28,K94&lt;K$32,I$30,K94&lt;K$34,I$32,K94&lt;K$36,I$34,K94&lt;K$38,I$36,K94&lt;K$40,I$38,K94&lt;K$42,I$40,K94&lt;K$44,I$42,K94&lt;K$46,I$44,K94&gt;=K$46,I$46)</f>
        <v/>
      </c>
      <c r="J94" s="37">
        <f>_xlfn.IFS(K94&lt;K$24,0,K94&lt;K$25,J$24,K94&lt;K$26,J$25,K94&lt;K$27,J$26,K94&lt;K$28,J$27,K94&lt;K$29,J$28,K94&lt;K$30,J$29,K94&lt;K$31,J$30,K94&lt;K$32,J$31,K94&lt;K$33,J$32,K94&lt;K$34,J$33,K94&lt;K$35,J$34,K94&lt;K$36,J$35,K94&lt;K$37,J$36,K94&lt;K$38,J$37,K94&lt;K$39,J$38,K94&lt;K$40,J$39,K94&lt;K$41,J$40,K94&lt;K$42,J$41,K94&lt;K$43,J$42,K94&lt;K$44,J$43,K94&lt;K$45,J$44,K94&lt;K$46,J$45,K94&lt;K$47,J$46,K94&gt;=K$47,J$47)</f>
        <v/>
      </c>
      <c r="K94" s="38" t="n">
        <v>44</v>
      </c>
      <c r="L94" s="31">
        <f>K94/52</f>
        <v/>
      </c>
      <c r="M94" s="39">
        <f>J94/1000000*52</f>
        <v/>
      </c>
      <c r="N94" s="33">
        <f>M94/$P$4+($I$22/$P$4)</f>
        <v/>
      </c>
      <c r="U94">
        <f>F93</f>
        <v/>
      </c>
      <c r="V94">
        <f>H93</f>
        <v/>
      </c>
      <c r="W94">
        <f>N93</f>
        <v/>
      </c>
    </row>
    <row r="95" ht="15.75" customHeight="1" s="40">
      <c r="C95" s="36">
        <f>_xlfn.IFS(E95&lt;E$24,0,E95&lt;E$26,C$24,E95&lt;E$28,C$26,E95&lt;E$30,C$28,E95&lt;E$32,C$30,E95&lt;E$34,C$32,E95&gt;=E$34,C$34)</f>
        <v/>
      </c>
      <c r="D95" s="37">
        <f>_xlfn.IFS(E95&lt;E$24,0,E95&lt;E$25,D$24,E95&lt;E$26,D$25,E95&lt;E$27,D$26,E95&lt;E$28,D$27,E95&lt;E$29,D$28,E95&lt;E$30,D$29,E95&lt;E$31,D$30,E95&lt;E$32,D$31,E95&lt;E$33,D$32,E95&lt;E$34,D$33,E95&lt;E$35,D$34,E95&gt;=E$35,D$35)</f>
        <v/>
      </c>
      <c r="E95" s="38" t="n">
        <v>45</v>
      </c>
      <c r="F95" s="31">
        <f>E95/52</f>
        <v/>
      </c>
      <c r="G95" s="39">
        <f>D95/1000000*52</f>
        <v/>
      </c>
      <c r="H95" s="33">
        <f>G95/$P$4+($C$22/$P$4)</f>
        <v/>
      </c>
      <c r="I95" s="36">
        <f>_xlfn.IFS(K95&lt;K$24,0,K95&lt;K$26,I$24,K95&lt;K$28,I$26,K95&lt;K$30,I$28,K95&lt;K$32,I$30,K95&lt;K$34,I$32,K95&lt;K$36,I$34,K95&lt;K$38,I$36,K95&lt;K$40,I$38,K95&lt;K$42,I$40,K95&lt;K$44,I$42,K95&lt;K$46,I$44,K95&gt;=K$46,I$46)</f>
        <v/>
      </c>
      <c r="J95" s="37">
        <f>_xlfn.IFS(K95&lt;K$24,0,K95&lt;K$25,J$24,K95&lt;K$26,J$25,K95&lt;K$27,J$26,K95&lt;K$28,J$27,K95&lt;K$29,J$28,K95&lt;K$30,J$29,K95&lt;K$31,J$30,K95&lt;K$32,J$31,K95&lt;K$33,J$32,K95&lt;K$34,J$33,K95&lt;K$35,J$34,K95&lt;K$36,J$35,K95&lt;K$37,J$36,K95&lt;K$38,J$37,K95&lt;K$39,J$38,K95&lt;K$40,J$39,K95&lt;K$41,J$40,K95&lt;K$42,J$41,K95&lt;K$43,J$42,K95&lt;K$44,J$43,K95&lt;K$45,J$44,K95&lt;K$46,J$45,K95&lt;K$47,J$46,K95&gt;=K$47,J$47)</f>
        <v/>
      </c>
      <c r="K95" s="38" t="n">
        <v>45</v>
      </c>
      <c r="L95" s="31">
        <f>K95/52</f>
        <v/>
      </c>
      <c r="M95" s="39">
        <f>J95/1000000*52</f>
        <v/>
      </c>
      <c r="N95" s="33">
        <f>M95/$P$4+($I$22/$P$4)</f>
        <v/>
      </c>
      <c r="U95">
        <f>F94</f>
        <v/>
      </c>
      <c r="V95">
        <f>H94</f>
        <v/>
      </c>
      <c r="W95">
        <f>N94</f>
        <v/>
      </c>
    </row>
    <row r="96" ht="15.75" customHeight="1" s="40">
      <c r="C96" s="36">
        <f>_xlfn.IFS(E96&lt;E$24,0,E96&lt;E$26,C$24,E96&lt;E$28,C$26,E96&lt;E$30,C$28,E96&lt;E$32,C$30,E96&lt;E$34,C$32,E96&gt;=E$34,C$34)</f>
        <v/>
      </c>
      <c r="D96" s="37">
        <f>_xlfn.IFS(E96&lt;E$24,0,E96&lt;E$25,D$24,E96&lt;E$26,D$25,E96&lt;E$27,D$26,E96&lt;E$28,D$27,E96&lt;E$29,D$28,E96&lt;E$30,D$29,E96&lt;E$31,D$30,E96&lt;E$32,D$31,E96&lt;E$33,D$32,E96&lt;E$34,D$33,E96&lt;E$35,D$34,E96&gt;=E$35,D$35)</f>
        <v/>
      </c>
      <c r="E96" s="38" t="n">
        <v>46</v>
      </c>
      <c r="F96" s="31">
        <f>E96/52</f>
        <v/>
      </c>
      <c r="G96" s="39">
        <f>D96/1000000*52</f>
        <v/>
      </c>
      <c r="H96" s="33">
        <f>G96/$P$4+($C$22/$P$4)</f>
        <v/>
      </c>
      <c r="I96" s="36">
        <f>_xlfn.IFS(K96&lt;K$24,0,K96&lt;K$26,I$24,K96&lt;K$28,I$26,K96&lt;K$30,I$28,K96&lt;K$32,I$30,K96&lt;K$34,I$32,K96&lt;K$36,I$34,K96&lt;K$38,I$36,K96&lt;K$40,I$38,K96&lt;K$42,I$40,K96&lt;K$44,I$42,K96&lt;K$46,I$44,K96&gt;=K$46,I$46)</f>
        <v/>
      </c>
      <c r="J96" s="37">
        <f>_xlfn.IFS(K96&lt;K$24,0,K96&lt;K$25,J$24,K96&lt;K$26,J$25,K96&lt;K$27,J$26,K96&lt;K$28,J$27,K96&lt;K$29,J$28,K96&lt;K$30,J$29,K96&lt;K$31,J$30,K96&lt;K$32,J$31,K96&lt;K$33,J$32,K96&lt;K$34,J$33,K96&lt;K$35,J$34,K96&lt;K$36,J$35,K96&lt;K$37,J$36,K96&lt;K$38,J$37,K96&lt;K$39,J$38,K96&lt;K$40,J$39,K96&lt;K$41,J$40,K96&lt;K$42,J$41,K96&lt;K$43,J$42,K96&lt;K$44,J$43,K96&lt;K$45,J$44,K96&lt;K$46,J$45,K96&lt;K$47,J$46,K96&gt;=K$47,J$47)</f>
        <v/>
      </c>
      <c r="K96" s="38" t="n">
        <v>46</v>
      </c>
      <c r="L96" s="31">
        <f>K96/52</f>
        <v/>
      </c>
      <c r="M96" s="39">
        <f>J96/1000000*52</f>
        <v/>
      </c>
      <c r="N96" s="33">
        <f>M96/$P$4+($I$22/$P$4)</f>
        <v/>
      </c>
      <c r="U96">
        <f>F95</f>
        <v/>
      </c>
      <c r="V96">
        <f>H95</f>
        <v/>
      </c>
      <c r="W96">
        <f>N95</f>
        <v/>
      </c>
    </row>
    <row r="97" ht="15.75" customHeight="1" s="40">
      <c r="C97" s="36">
        <f>_xlfn.IFS(E97&lt;E$24,0,E97&lt;E$26,C$24,E97&lt;E$28,C$26,E97&lt;E$30,C$28,E97&lt;E$32,C$30,E97&lt;E$34,C$32,E97&gt;=E$34,C$34)</f>
        <v/>
      </c>
      <c r="D97" s="37">
        <f>_xlfn.IFS(E97&lt;E$24,0,E97&lt;E$25,D$24,E97&lt;E$26,D$25,E97&lt;E$27,D$26,E97&lt;E$28,D$27,E97&lt;E$29,D$28,E97&lt;E$30,D$29,E97&lt;E$31,D$30,E97&lt;E$32,D$31,E97&lt;E$33,D$32,E97&lt;E$34,D$33,E97&lt;E$35,D$34,E97&gt;=E$35,D$35)</f>
        <v/>
      </c>
      <c r="E97" s="38" t="n">
        <v>47</v>
      </c>
      <c r="F97" s="31">
        <f>E97/52</f>
        <v/>
      </c>
      <c r="G97" s="39">
        <f>D97/1000000*52</f>
        <v/>
      </c>
      <c r="H97" s="33">
        <f>G97/$P$4+($C$22/$P$4)</f>
        <v/>
      </c>
      <c r="I97" s="36">
        <f>_xlfn.IFS(K97&lt;K$24,0,K97&lt;K$26,I$24,K97&lt;K$28,I$26,K97&lt;K$30,I$28,K97&lt;K$32,I$30,K97&lt;K$34,I$32,K97&lt;K$36,I$34,K97&lt;K$38,I$36,K97&lt;K$40,I$38,K97&lt;K$42,I$40,K97&lt;K$44,I$42,K97&lt;K$46,I$44,K97&gt;=K$46,I$46)</f>
        <v/>
      </c>
      <c r="J97" s="37">
        <f>_xlfn.IFS(K97&lt;K$24,0,K97&lt;K$25,J$24,K97&lt;K$26,J$25,K97&lt;K$27,J$26,K97&lt;K$28,J$27,K97&lt;K$29,J$28,K97&lt;K$30,J$29,K97&lt;K$31,J$30,K97&lt;K$32,J$31,K97&lt;K$33,J$32,K97&lt;K$34,J$33,K97&lt;K$35,J$34,K97&lt;K$36,J$35,K97&lt;K$37,J$36,K97&lt;K$38,J$37,K97&lt;K$39,J$38,K97&lt;K$40,J$39,K97&lt;K$41,J$40,K97&lt;K$42,J$41,K97&lt;K$43,J$42,K97&lt;K$44,J$43,K97&lt;K$45,J$44,K97&lt;K$46,J$45,K97&lt;K$47,J$46,K97&gt;=K$47,J$47)</f>
        <v/>
      </c>
      <c r="K97" s="38" t="n">
        <v>47</v>
      </c>
      <c r="L97" s="31">
        <f>K97/52</f>
        <v/>
      </c>
      <c r="M97" s="39">
        <f>J97/1000000*52</f>
        <v/>
      </c>
      <c r="N97" s="33">
        <f>M97/$P$4+($I$22/$P$4)</f>
        <v/>
      </c>
      <c r="U97">
        <f>F96</f>
        <v/>
      </c>
      <c r="V97">
        <f>H96</f>
        <v/>
      </c>
      <c r="W97">
        <f>N96</f>
        <v/>
      </c>
    </row>
    <row r="98" ht="15.75" customHeight="1" s="40">
      <c r="C98" s="36">
        <f>_xlfn.IFS(E98&lt;E$24,0,E98&lt;E$26,C$24,E98&lt;E$28,C$26,E98&lt;E$30,C$28,E98&lt;E$32,C$30,E98&lt;E$34,C$32,E98&gt;=E$34,C$34)</f>
        <v/>
      </c>
      <c r="D98" s="37">
        <f>_xlfn.IFS(E98&lt;E$24,0,E98&lt;E$25,D$24,E98&lt;E$26,D$25,E98&lt;E$27,D$26,E98&lt;E$28,D$27,E98&lt;E$29,D$28,E98&lt;E$30,D$29,E98&lt;E$31,D$30,E98&lt;E$32,D$31,E98&lt;E$33,D$32,E98&lt;E$34,D$33,E98&lt;E$35,D$34,E98&gt;=E$35,D$35)</f>
        <v/>
      </c>
      <c r="E98" s="38" t="n">
        <v>48</v>
      </c>
      <c r="F98" s="31">
        <f>E98/52</f>
        <v/>
      </c>
      <c r="G98" s="39">
        <f>D98/1000000*52</f>
        <v/>
      </c>
      <c r="H98" s="33">
        <f>G98/$P$4+($C$22/$P$4)</f>
        <v/>
      </c>
      <c r="I98" s="36">
        <f>_xlfn.IFS(K98&lt;K$24,0,K98&lt;K$26,I$24,K98&lt;K$28,I$26,K98&lt;K$30,I$28,K98&lt;K$32,I$30,K98&lt;K$34,I$32,K98&lt;K$36,I$34,K98&lt;K$38,I$36,K98&lt;K$40,I$38,K98&lt;K$42,I$40,K98&lt;K$44,I$42,K98&lt;K$46,I$44,K98&gt;=K$46,I$46)</f>
        <v/>
      </c>
      <c r="J98" s="37">
        <f>_xlfn.IFS(K98&lt;K$24,0,K98&lt;K$25,J$24,K98&lt;K$26,J$25,K98&lt;K$27,J$26,K98&lt;K$28,J$27,K98&lt;K$29,J$28,K98&lt;K$30,J$29,K98&lt;K$31,J$30,K98&lt;K$32,J$31,K98&lt;K$33,J$32,K98&lt;K$34,J$33,K98&lt;K$35,J$34,K98&lt;K$36,J$35,K98&lt;K$37,J$36,K98&lt;K$38,J$37,K98&lt;K$39,J$38,K98&lt;K$40,J$39,K98&lt;K$41,J$40,K98&lt;K$42,J$41,K98&lt;K$43,J$42,K98&lt;K$44,J$43,K98&lt;K$45,J$44,K98&lt;K$46,J$45,K98&lt;K$47,J$46,K98&gt;=K$47,J$47)</f>
        <v/>
      </c>
      <c r="K98" s="38" t="n">
        <v>48</v>
      </c>
      <c r="L98" s="31">
        <f>K98/52</f>
        <v/>
      </c>
      <c r="M98" s="39">
        <f>J98/1000000*52</f>
        <v/>
      </c>
      <c r="N98" s="33">
        <f>M98/$P$4+($I$22/$P$4)</f>
        <v/>
      </c>
      <c r="U98">
        <f>F97</f>
        <v/>
      </c>
      <c r="V98">
        <f>H97</f>
        <v/>
      </c>
      <c r="W98">
        <f>N97</f>
        <v/>
      </c>
    </row>
    <row r="99" ht="15.75" customHeight="1" s="40">
      <c r="C99" s="36">
        <f>_xlfn.IFS(E99&lt;E$24,0,E99&lt;E$26,C$24,E99&lt;E$28,C$26,E99&lt;E$30,C$28,E99&lt;E$32,C$30,E99&lt;E$34,C$32,E99&gt;=E$34,C$34)</f>
        <v/>
      </c>
      <c r="D99" s="37">
        <f>_xlfn.IFS(E99&lt;E$24,0,E99&lt;E$25,D$24,E99&lt;E$26,D$25,E99&lt;E$27,D$26,E99&lt;E$28,D$27,E99&lt;E$29,D$28,E99&lt;E$30,D$29,E99&lt;E$31,D$30,E99&lt;E$32,D$31,E99&lt;E$33,D$32,E99&lt;E$34,D$33,E99&lt;E$35,D$34,E99&gt;=E$35,D$35)</f>
        <v/>
      </c>
      <c r="E99" s="38" t="n">
        <v>49</v>
      </c>
      <c r="F99" s="31">
        <f>E99/52</f>
        <v/>
      </c>
      <c r="G99" s="39">
        <f>D99/1000000*52</f>
        <v/>
      </c>
      <c r="H99" s="33">
        <f>G99/$P$4+($C$22/$P$4)</f>
        <v/>
      </c>
      <c r="I99" s="36">
        <f>_xlfn.IFS(K99&lt;K$24,0,K99&lt;K$26,I$24,K99&lt;K$28,I$26,K99&lt;K$30,I$28,K99&lt;K$32,I$30,K99&lt;K$34,I$32,K99&lt;K$36,I$34,K99&lt;K$38,I$36,K99&lt;K$40,I$38,K99&lt;K$42,I$40,K99&lt;K$44,I$42,K99&lt;K$46,I$44,K99&gt;=K$46,I$46)</f>
        <v/>
      </c>
      <c r="J99" s="37">
        <f>_xlfn.IFS(K99&lt;K$24,0,K99&lt;K$25,J$24,K99&lt;K$26,J$25,K99&lt;K$27,J$26,K99&lt;K$28,J$27,K99&lt;K$29,J$28,K99&lt;K$30,J$29,K99&lt;K$31,J$30,K99&lt;K$32,J$31,K99&lt;K$33,J$32,K99&lt;K$34,J$33,K99&lt;K$35,J$34,K99&lt;K$36,J$35,K99&lt;K$37,J$36,K99&lt;K$38,J$37,K99&lt;K$39,J$38,K99&lt;K$40,J$39,K99&lt;K$41,J$40,K99&lt;K$42,J$41,K99&lt;K$43,J$42,K99&lt;K$44,J$43,K99&lt;K$45,J$44,K99&lt;K$46,J$45,K99&lt;K$47,J$46,K99&gt;=K$47,J$47)</f>
        <v/>
      </c>
      <c r="K99" s="38" t="n">
        <v>49</v>
      </c>
      <c r="L99" s="31">
        <f>K99/52</f>
        <v/>
      </c>
      <c r="M99" s="39">
        <f>J99/1000000*52</f>
        <v/>
      </c>
      <c r="N99" s="33">
        <f>M99/$P$4+($I$22/$P$4)</f>
        <v/>
      </c>
      <c r="U99">
        <f>F98</f>
        <v/>
      </c>
      <c r="V99">
        <f>H98</f>
        <v/>
      </c>
      <c r="W99">
        <f>N98</f>
        <v/>
      </c>
    </row>
    <row r="100" ht="15.75" customHeight="1" s="40">
      <c r="C100" s="36">
        <f>_xlfn.IFS(E100&lt;E$24,0,E100&lt;E$26,C$24,E100&lt;E$28,C$26,E100&lt;E$30,C$28,E100&lt;E$32,C$30,E100&lt;E$34,C$32,E100&gt;=E$34,C$34)</f>
        <v/>
      </c>
      <c r="D100" s="37">
        <f>_xlfn.IFS(E100&lt;E$24,0,E100&lt;E$25,D$24,E100&lt;E$26,D$25,E100&lt;E$27,D$26,E100&lt;E$28,D$27,E100&lt;E$29,D$28,E100&lt;E$30,D$29,E100&lt;E$31,D$30,E100&lt;E$32,D$31,E100&lt;E$33,D$32,E100&lt;E$34,D$33,E100&lt;E$35,D$34,E100&gt;=E$35,D$35)</f>
        <v/>
      </c>
      <c r="E100" s="38" t="n">
        <v>50</v>
      </c>
      <c r="F100" s="31">
        <f>E100/52</f>
        <v/>
      </c>
      <c r="G100" s="39">
        <f>D100/1000000*52</f>
        <v/>
      </c>
      <c r="H100" s="33">
        <f>G100/$P$4+($C$22/$P$4)</f>
        <v/>
      </c>
      <c r="I100" s="36">
        <f>_xlfn.IFS(K100&lt;K$24,0,K100&lt;K$26,I$24,K100&lt;K$28,I$26,K100&lt;K$30,I$28,K100&lt;K$32,I$30,K100&lt;K$34,I$32,K100&lt;K$36,I$34,K100&lt;K$38,I$36,K100&lt;K$40,I$38,K100&lt;K$42,I$40,K100&lt;K$44,I$42,K100&lt;K$46,I$44,K100&gt;=K$46,I$46)</f>
        <v/>
      </c>
      <c r="J100" s="37">
        <f>_xlfn.IFS(K100&lt;K$24,0,K100&lt;K$25,J$24,K100&lt;K$26,J$25,K100&lt;K$27,J$26,K100&lt;K$28,J$27,K100&lt;K$29,J$28,K100&lt;K$30,J$29,K100&lt;K$31,J$30,K100&lt;K$32,J$31,K100&lt;K$33,J$32,K100&lt;K$34,J$33,K100&lt;K$35,J$34,K100&lt;K$36,J$35,K100&lt;K$37,J$36,K100&lt;K$38,J$37,K100&lt;K$39,J$38,K100&lt;K$40,J$39,K100&lt;K$41,J$40,K100&lt;K$42,J$41,K100&lt;K$43,J$42,K100&lt;K$44,J$43,K100&lt;K$45,J$44,K100&lt;K$46,J$45,K100&lt;K$47,J$46,K100&gt;=K$47,J$47)</f>
        <v/>
      </c>
      <c r="K100" s="38" t="n">
        <v>50</v>
      </c>
      <c r="L100" s="31">
        <f>K100/52</f>
        <v/>
      </c>
      <c r="M100" s="39">
        <f>J100/1000000*52</f>
        <v/>
      </c>
      <c r="N100" s="33">
        <f>M100/$P$4+($I$22/$P$4)</f>
        <v/>
      </c>
      <c r="U100">
        <f>F99</f>
        <v/>
      </c>
      <c r="V100">
        <f>H99</f>
        <v/>
      </c>
      <c r="W100">
        <f>N99</f>
        <v/>
      </c>
    </row>
    <row r="101" ht="15.75" customHeight="1" s="40">
      <c r="C101" s="36">
        <f>_xlfn.IFS(E101&lt;E$24,0,E101&lt;E$26,C$24,E101&lt;E$28,C$26,E101&lt;E$30,C$28,E101&lt;E$32,C$30,E101&lt;E$34,C$32,E101&gt;=E$34,C$34)</f>
        <v/>
      </c>
      <c r="D101" s="37">
        <f>_xlfn.IFS(E101&lt;E$24,0,E101&lt;E$25,D$24,E101&lt;E$26,D$25,E101&lt;E$27,D$26,E101&lt;E$28,D$27,E101&lt;E$29,D$28,E101&lt;E$30,D$29,E101&lt;E$31,D$30,E101&lt;E$32,D$31,E101&lt;E$33,D$32,E101&lt;E$34,D$33,E101&lt;E$35,D$34,E101&gt;=E$35,D$35)</f>
        <v/>
      </c>
      <c r="E101" s="38" t="n">
        <v>51</v>
      </c>
      <c r="F101" s="31">
        <f>E101/52</f>
        <v/>
      </c>
      <c r="G101" s="39">
        <f>D101/1000000*52</f>
        <v/>
      </c>
      <c r="H101" s="33">
        <f>G101/$P$4+($C$22/$P$4)</f>
        <v/>
      </c>
      <c r="I101" s="36">
        <f>_xlfn.IFS(K101&lt;K$24,0,K101&lt;K$26,I$24,K101&lt;K$28,I$26,K101&lt;K$30,I$28,K101&lt;K$32,I$30,K101&lt;K$34,I$32,K101&lt;K$36,I$34,K101&lt;K$38,I$36,K101&lt;K$40,I$38,K101&lt;K$42,I$40,K101&lt;K$44,I$42,K101&lt;K$46,I$44,K101&gt;=K$46,I$46)</f>
        <v/>
      </c>
      <c r="J101" s="37">
        <f>_xlfn.IFS(K101&lt;K$24,0,K101&lt;K$25,J$24,K101&lt;K$26,J$25,K101&lt;K$27,J$26,K101&lt;K$28,J$27,K101&lt;K$29,J$28,K101&lt;K$30,J$29,K101&lt;K$31,J$30,K101&lt;K$32,J$31,K101&lt;K$33,J$32,K101&lt;K$34,J$33,K101&lt;K$35,J$34,K101&lt;K$36,J$35,K101&lt;K$37,J$36,K101&lt;K$38,J$37,K101&lt;K$39,J$38,K101&lt;K$40,J$39,K101&lt;K$41,J$40,K101&lt;K$42,J$41,K101&lt;K$43,J$42,K101&lt;K$44,J$43,K101&lt;K$45,J$44,K101&lt;K$46,J$45,K101&lt;K$47,J$46,K101&gt;=K$47,J$47)</f>
        <v/>
      </c>
      <c r="K101" s="38" t="n">
        <v>51</v>
      </c>
      <c r="L101" s="31">
        <f>K101/52</f>
        <v/>
      </c>
      <c r="M101" s="39">
        <f>J101/1000000*52</f>
        <v/>
      </c>
      <c r="N101" s="33">
        <f>M101/$P$4+($I$22/$P$4)</f>
        <v/>
      </c>
      <c r="U101">
        <f>F100</f>
        <v/>
      </c>
      <c r="V101">
        <f>H100</f>
        <v/>
      </c>
      <c r="W101">
        <f>N100</f>
        <v/>
      </c>
    </row>
    <row r="102" ht="15.75" customHeight="1" s="40">
      <c r="C102" s="36">
        <f>_xlfn.IFS(E102&lt;E$24,0,E102&lt;E$26,C$24,E102&lt;E$28,C$26,E102&lt;E$30,C$28,E102&lt;E$32,C$30,E102&lt;E$34,C$32,E102&gt;=E$34,C$34)</f>
        <v/>
      </c>
      <c r="D102" s="37">
        <f>_xlfn.IFS(E102&lt;E$24,0,E102&lt;E$25,D$24,E102&lt;E$26,D$25,E102&lt;E$27,D$26,E102&lt;E$28,D$27,E102&lt;E$29,D$28,E102&lt;E$30,D$29,E102&lt;E$31,D$30,E102&lt;E$32,D$31,E102&lt;E$33,D$32,E102&lt;E$34,D$33,E102&lt;E$35,D$34,E102&gt;=E$35,D$35)</f>
        <v/>
      </c>
      <c r="E102" s="38" t="n">
        <v>52</v>
      </c>
      <c r="F102" s="31">
        <f>E102/52</f>
        <v/>
      </c>
      <c r="G102" s="39">
        <f>D102/1000000*52</f>
        <v/>
      </c>
      <c r="H102" s="33">
        <f>G102/$P$4+($C$22/$P$4)</f>
        <v/>
      </c>
      <c r="I102" s="36">
        <f>_xlfn.IFS(K102&lt;K$24,0,K102&lt;K$26,I$24,K102&lt;K$28,I$26,K102&lt;K$30,I$28,K102&lt;K$32,I$30,K102&lt;K$34,I$32,K102&lt;K$36,I$34,K102&lt;K$38,I$36,K102&lt;K$40,I$38,K102&lt;K$42,I$40,K102&lt;K$44,I$42,K102&lt;K$46,I$44,K102&gt;=K$46,I$46)</f>
        <v/>
      </c>
      <c r="J102" s="37">
        <f>_xlfn.IFS(K102&lt;K$24,0,K102&lt;K$25,J$24,K102&lt;K$26,J$25,K102&lt;K$27,J$26,K102&lt;K$28,J$27,K102&lt;K$29,J$28,K102&lt;K$30,J$29,K102&lt;K$31,J$30,K102&lt;K$32,J$31,K102&lt;K$33,J$32,K102&lt;K$34,J$33,K102&lt;K$35,J$34,K102&lt;K$36,J$35,K102&lt;K$37,J$36,K102&lt;K$38,J$37,K102&lt;K$39,J$38,K102&lt;K$40,J$39,K102&lt;K$41,J$40,K102&lt;K$42,J$41,K102&lt;K$43,J$42,K102&lt;K$44,J$43,K102&lt;K$45,J$44,K102&lt;K$46,J$45,K102&lt;K$47,J$46,K102&gt;=K$47,J$47)</f>
        <v/>
      </c>
      <c r="K102" s="38" t="n">
        <v>52</v>
      </c>
      <c r="L102" s="31">
        <f>K102/52</f>
        <v/>
      </c>
      <c r="M102" s="39">
        <f>J102/1000000*52</f>
        <v/>
      </c>
      <c r="N102" s="33">
        <f>M102/$P$4+($I$22/$P$4)</f>
        <v/>
      </c>
      <c r="U102">
        <f>F101</f>
        <v/>
      </c>
      <c r="V102">
        <f>H101</f>
        <v/>
      </c>
      <c r="W102">
        <f>N101</f>
        <v/>
      </c>
    </row>
    <row r="103" ht="15.75" customHeight="1" s="40">
      <c r="C103" s="36">
        <f>_xlfn.IFS(E103&lt;E$24,0,E103&lt;E$26,C$24,E103&lt;E$28,C$26,E103&lt;E$30,C$28,E103&lt;E$32,C$30,E103&lt;E$34,C$32,E103&gt;=E$34,C$34)</f>
        <v/>
      </c>
      <c r="D103" s="37">
        <f>_xlfn.IFS(E103&lt;E$24,0,E103&lt;E$25,D$24,E103&lt;E$26,D$25,E103&lt;E$27,D$26,E103&lt;E$28,D$27,E103&lt;E$29,D$28,E103&lt;E$30,D$29,E103&lt;E$31,D$30,E103&lt;E$32,D$31,E103&lt;E$33,D$32,E103&lt;E$34,D$33,E103&lt;E$35,D$34,E103&gt;=E$35,D$35)</f>
        <v/>
      </c>
      <c r="E103" s="38" t="n">
        <v>53</v>
      </c>
      <c r="F103" s="31">
        <f>E103/52</f>
        <v/>
      </c>
      <c r="G103" s="39">
        <f>D103/1000000*52</f>
        <v/>
      </c>
      <c r="H103" s="33">
        <f>G103/$P$4+($C$22/$P$4)</f>
        <v/>
      </c>
      <c r="I103" s="36">
        <f>_xlfn.IFS(K103&lt;K$24,0,K103&lt;K$26,I$24,K103&lt;K$28,I$26,K103&lt;K$30,I$28,K103&lt;K$32,I$30,K103&lt;K$34,I$32,K103&lt;K$36,I$34,K103&lt;K$38,I$36,K103&lt;K$40,I$38,K103&lt;K$42,I$40,K103&lt;K$44,I$42,K103&lt;K$46,I$44,K103&gt;=K$46,I$46)</f>
        <v/>
      </c>
      <c r="J103" s="37">
        <f>_xlfn.IFS(K103&lt;K$24,0,K103&lt;K$25,J$24,K103&lt;K$26,J$25,K103&lt;K$27,J$26,K103&lt;K$28,J$27,K103&lt;K$29,J$28,K103&lt;K$30,J$29,K103&lt;K$31,J$30,K103&lt;K$32,J$31,K103&lt;K$33,J$32,K103&lt;K$34,J$33,K103&lt;K$35,J$34,K103&lt;K$36,J$35,K103&lt;K$37,J$36,K103&lt;K$38,J$37,K103&lt;K$39,J$38,K103&lt;K$40,J$39,K103&lt;K$41,J$40,K103&lt;K$42,J$41,K103&lt;K$43,J$42,K103&lt;K$44,J$43,K103&lt;K$45,J$44,K103&lt;K$46,J$45,K103&lt;K$47,J$46,K103&gt;=K$47,J$47)</f>
        <v/>
      </c>
      <c r="K103" s="38" t="n">
        <v>53</v>
      </c>
      <c r="L103" s="31">
        <f>K103/52</f>
        <v/>
      </c>
      <c r="M103" s="39">
        <f>J103/1000000*52</f>
        <v/>
      </c>
      <c r="N103" s="33">
        <f>M103/$P$4+($I$22/$P$4)</f>
        <v/>
      </c>
      <c r="U103">
        <f>F102</f>
        <v/>
      </c>
      <c r="V103">
        <f>H102</f>
        <v/>
      </c>
      <c r="W103">
        <f>N102</f>
        <v/>
      </c>
    </row>
    <row r="104" ht="15.75" customHeight="1" s="40">
      <c r="C104" s="36">
        <f>_xlfn.IFS(E104&lt;E$24,0,E104&lt;E$26,C$24,E104&lt;E$28,C$26,E104&lt;E$30,C$28,E104&lt;E$32,C$30,E104&lt;E$34,C$32,E104&gt;=E$34,C$34)</f>
        <v/>
      </c>
      <c r="D104" s="37">
        <f>_xlfn.IFS(E104&lt;E$24,0,E104&lt;E$25,D$24,E104&lt;E$26,D$25,E104&lt;E$27,D$26,E104&lt;E$28,D$27,E104&lt;E$29,D$28,E104&lt;E$30,D$29,E104&lt;E$31,D$30,E104&lt;E$32,D$31,E104&lt;E$33,D$32,E104&lt;E$34,D$33,E104&lt;E$35,D$34,E104&gt;=E$35,D$35)</f>
        <v/>
      </c>
      <c r="E104" s="38" t="n">
        <v>54</v>
      </c>
      <c r="F104" s="31">
        <f>E104/52</f>
        <v/>
      </c>
      <c r="G104" s="39">
        <f>D104/1000000*52</f>
        <v/>
      </c>
      <c r="H104" s="33">
        <f>G104/$P$4+($C$22/$P$4)</f>
        <v/>
      </c>
      <c r="I104" s="36">
        <f>_xlfn.IFS(K104&lt;K$24,0,K104&lt;K$26,I$24,K104&lt;K$28,I$26,K104&lt;K$30,I$28,K104&lt;K$32,I$30,K104&lt;K$34,I$32,K104&lt;K$36,I$34,K104&lt;K$38,I$36,K104&lt;K$40,I$38,K104&lt;K$42,I$40,K104&lt;K$44,I$42,K104&lt;K$46,I$44,K104&gt;=K$46,I$46)</f>
        <v/>
      </c>
      <c r="J104" s="37">
        <f>_xlfn.IFS(K104&lt;K$24,0,K104&lt;K$25,J$24,K104&lt;K$26,J$25,K104&lt;K$27,J$26,K104&lt;K$28,J$27,K104&lt;K$29,J$28,K104&lt;K$30,J$29,K104&lt;K$31,J$30,K104&lt;K$32,J$31,K104&lt;K$33,J$32,K104&lt;K$34,J$33,K104&lt;K$35,J$34,K104&lt;K$36,J$35,K104&lt;K$37,J$36,K104&lt;K$38,J$37,K104&lt;K$39,J$38,K104&lt;K$40,J$39,K104&lt;K$41,J$40,K104&lt;K$42,J$41,K104&lt;K$43,J$42,K104&lt;K$44,J$43,K104&lt;K$45,J$44,K104&lt;K$46,J$45,K104&lt;K$47,J$46,K104&gt;=K$47,J$47)</f>
        <v/>
      </c>
      <c r="K104" s="38" t="n">
        <v>54</v>
      </c>
      <c r="L104" s="31">
        <f>K104/52</f>
        <v/>
      </c>
      <c r="M104" s="39">
        <f>J104/1000000*52</f>
        <v/>
      </c>
      <c r="N104" s="33">
        <f>M104/$P$4+($I$22/$P$4)</f>
        <v/>
      </c>
      <c r="U104">
        <f>F103</f>
        <v/>
      </c>
      <c r="V104">
        <f>H103</f>
        <v/>
      </c>
      <c r="W104">
        <f>N103</f>
        <v/>
      </c>
    </row>
    <row r="105" ht="15.75" customHeight="1" s="40">
      <c r="C105" s="36">
        <f>_xlfn.IFS(E105&lt;E$24,0,E105&lt;E$26,C$24,E105&lt;E$28,C$26,E105&lt;E$30,C$28,E105&lt;E$32,C$30,E105&lt;E$34,C$32,E105&gt;=E$34,C$34)</f>
        <v/>
      </c>
      <c r="D105" s="37">
        <f>_xlfn.IFS(E105&lt;E$24,0,E105&lt;E$25,D$24,E105&lt;E$26,D$25,E105&lt;E$27,D$26,E105&lt;E$28,D$27,E105&lt;E$29,D$28,E105&lt;E$30,D$29,E105&lt;E$31,D$30,E105&lt;E$32,D$31,E105&lt;E$33,D$32,E105&lt;E$34,D$33,E105&lt;E$35,D$34,E105&gt;=E$35,D$35)</f>
        <v/>
      </c>
      <c r="E105" s="38" t="n">
        <v>55</v>
      </c>
      <c r="F105" s="31">
        <f>E105/52</f>
        <v/>
      </c>
      <c r="G105" s="39">
        <f>D105/1000000*52</f>
        <v/>
      </c>
      <c r="H105" s="33">
        <f>G105/$P$4+($C$22/$P$4)</f>
        <v/>
      </c>
      <c r="I105" s="36">
        <f>_xlfn.IFS(K105&lt;K$24,0,K105&lt;K$26,I$24,K105&lt;K$28,I$26,K105&lt;K$30,I$28,K105&lt;K$32,I$30,K105&lt;K$34,I$32,K105&lt;K$36,I$34,K105&lt;K$38,I$36,K105&lt;K$40,I$38,K105&lt;K$42,I$40,K105&lt;K$44,I$42,K105&lt;K$46,I$44,K105&gt;=K$46,I$46)</f>
        <v/>
      </c>
      <c r="J105" s="37">
        <f>_xlfn.IFS(K105&lt;K$24,0,K105&lt;K$25,J$24,K105&lt;K$26,J$25,K105&lt;K$27,J$26,K105&lt;K$28,J$27,K105&lt;K$29,J$28,K105&lt;K$30,J$29,K105&lt;K$31,J$30,K105&lt;K$32,J$31,K105&lt;K$33,J$32,K105&lt;K$34,J$33,K105&lt;K$35,J$34,K105&lt;K$36,J$35,K105&lt;K$37,J$36,K105&lt;K$38,J$37,K105&lt;K$39,J$38,K105&lt;K$40,J$39,K105&lt;K$41,J$40,K105&lt;K$42,J$41,K105&lt;K$43,J$42,K105&lt;K$44,J$43,K105&lt;K$45,J$44,K105&lt;K$46,J$45,K105&lt;K$47,J$46,K105&gt;=K$47,J$47)</f>
        <v/>
      </c>
      <c r="K105" s="38" t="n">
        <v>55</v>
      </c>
      <c r="L105" s="31">
        <f>K105/52</f>
        <v/>
      </c>
      <c r="M105" s="39">
        <f>J105/1000000*52</f>
        <v/>
      </c>
      <c r="N105" s="33">
        <f>M105/$P$4+($I$22/$P$4)</f>
        <v/>
      </c>
      <c r="U105">
        <f>F104</f>
        <v/>
      </c>
      <c r="V105">
        <f>H104</f>
        <v/>
      </c>
      <c r="W105">
        <f>N104</f>
        <v/>
      </c>
    </row>
    <row r="106" ht="15.75" customHeight="1" s="40">
      <c r="C106" s="36">
        <f>_xlfn.IFS(E106&lt;E$24,0,E106&lt;E$26,C$24,E106&lt;E$28,C$26,E106&lt;E$30,C$28,E106&lt;E$32,C$30,E106&lt;E$34,C$32,E106&gt;=E$34,C$34)</f>
        <v/>
      </c>
      <c r="D106" s="37">
        <f>_xlfn.IFS(E106&lt;E$24,0,E106&lt;E$25,D$24,E106&lt;E$26,D$25,E106&lt;E$27,D$26,E106&lt;E$28,D$27,E106&lt;E$29,D$28,E106&lt;E$30,D$29,E106&lt;E$31,D$30,E106&lt;E$32,D$31,E106&lt;E$33,D$32,E106&lt;E$34,D$33,E106&lt;E$35,D$34,E106&gt;=E$35,D$35)</f>
        <v/>
      </c>
      <c r="E106" s="38" t="n">
        <v>56</v>
      </c>
      <c r="F106" s="31">
        <f>E106/52</f>
        <v/>
      </c>
      <c r="G106" s="39">
        <f>D106/1000000*52</f>
        <v/>
      </c>
      <c r="H106" s="33">
        <f>G106/$P$4+($C$22/$P$4)</f>
        <v/>
      </c>
      <c r="I106" s="36">
        <f>_xlfn.IFS(K106&lt;K$24,0,K106&lt;K$26,I$24,K106&lt;K$28,I$26,K106&lt;K$30,I$28,K106&lt;K$32,I$30,K106&lt;K$34,I$32,K106&lt;K$36,I$34,K106&lt;K$38,I$36,K106&lt;K$40,I$38,K106&lt;K$42,I$40,K106&lt;K$44,I$42,K106&lt;K$46,I$44,K106&gt;=K$46,I$46)</f>
        <v/>
      </c>
      <c r="J106" s="37">
        <f>_xlfn.IFS(K106&lt;K$24,0,K106&lt;K$25,J$24,K106&lt;K$26,J$25,K106&lt;K$27,J$26,K106&lt;K$28,J$27,K106&lt;K$29,J$28,K106&lt;K$30,J$29,K106&lt;K$31,J$30,K106&lt;K$32,J$31,K106&lt;K$33,J$32,K106&lt;K$34,J$33,K106&lt;K$35,J$34,K106&lt;K$36,J$35,K106&lt;K$37,J$36,K106&lt;K$38,J$37,K106&lt;K$39,J$38,K106&lt;K$40,J$39,K106&lt;K$41,J$40,K106&lt;K$42,J$41,K106&lt;K$43,J$42,K106&lt;K$44,J$43,K106&lt;K$45,J$44,K106&lt;K$46,J$45,K106&lt;K$47,J$46,K106&gt;=K$47,J$47)</f>
        <v/>
      </c>
      <c r="K106" s="38" t="n">
        <v>56</v>
      </c>
      <c r="L106" s="31">
        <f>K106/52</f>
        <v/>
      </c>
      <c r="M106" s="39">
        <f>J106/1000000*52</f>
        <v/>
      </c>
      <c r="N106" s="33">
        <f>M106/$P$4+($I$22/$P$4)</f>
        <v/>
      </c>
      <c r="U106">
        <f>F105</f>
        <v/>
      </c>
      <c r="V106">
        <f>H105</f>
        <v/>
      </c>
      <c r="W106">
        <f>N105</f>
        <v/>
      </c>
    </row>
    <row r="107" ht="15.75" customHeight="1" s="40">
      <c r="C107" s="36">
        <f>_xlfn.IFS(E107&lt;E$24,0,E107&lt;E$26,C$24,E107&lt;E$28,C$26,E107&lt;E$30,C$28,E107&lt;E$32,C$30,E107&lt;E$34,C$32,E107&gt;=E$34,C$34)</f>
        <v/>
      </c>
      <c r="D107" s="37">
        <f>_xlfn.IFS(E107&lt;E$24,0,E107&lt;E$25,D$24,E107&lt;E$26,D$25,E107&lt;E$27,D$26,E107&lt;E$28,D$27,E107&lt;E$29,D$28,E107&lt;E$30,D$29,E107&lt;E$31,D$30,E107&lt;E$32,D$31,E107&lt;E$33,D$32,E107&lt;E$34,D$33,E107&lt;E$35,D$34,E107&gt;=E$35,D$35)</f>
        <v/>
      </c>
      <c r="E107" s="38" t="n">
        <v>57</v>
      </c>
      <c r="F107" s="31">
        <f>E107/52</f>
        <v/>
      </c>
      <c r="G107" s="39">
        <f>D107/1000000*52</f>
        <v/>
      </c>
      <c r="H107" s="33">
        <f>G107/$P$4+($C$22/$P$4)</f>
        <v/>
      </c>
      <c r="I107" s="36">
        <f>_xlfn.IFS(K107&lt;K$24,0,K107&lt;K$26,I$24,K107&lt;K$28,I$26,K107&lt;K$30,I$28,K107&lt;K$32,I$30,K107&lt;K$34,I$32,K107&lt;K$36,I$34,K107&lt;K$38,I$36,K107&lt;K$40,I$38,K107&lt;K$42,I$40,K107&lt;K$44,I$42,K107&lt;K$46,I$44,K107&gt;=K$46,I$46)</f>
        <v/>
      </c>
      <c r="J107" s="37">
        <f>_xlfn.IFS(K107&lt;K$24,0,K107&lt;K$25,J$24,K107&lt;K$26,J$25,K107&lt;K$27,J$26,K107&lt;K$28,J$27,K107&lt;K$29,J$28,K107&lt;K$30,J$29,K107&lt;K$31,J$30,K107&lt;K$32,J$31,K107&lt;K$33,J$32,K107&lt;K$34,J$33,K107&lt;K$35,J$34,K107&lt;K$36,J$35,K107&lt;K$37,J$36,K107&lt;K$38,J$37,K107&lt;K$39,J$38,K107&lt;K$40,J$39,K107&lt;K$41,J$40,K107&lt;K$42,J$41,K107&lt;K$43,J$42,K107&lt;K$44,J$43,K107&lt;K$45,J$44,K107&lt;K$46,J$45,K107&lt;K$47,J$46,K107&gt;=K$47,J$47)</f>
        <v/>
      </c>
      <c r="K107" s="38" t="n">
        <v>57</v>
      </c>
      <c r="L107" s="31">
        <f>K107/52</f>
        <v/>
      </c>
      <c r="M107" s="39">
        <f>J107/1000000*52</f>
        <v/>
      </c>
      <c r="N107" s="33">
        <f>M107/$P$4+($I$22/$P$4)</f>
        <v/>
      </c>
      <c r="U107">
        <f>F106</f>
        <v/>
      </c>
      <c r="V107">
        <f>H106</f>
        <v/>
      </c>
      <c r="W107">
        <f>N106</f>
        <v/>
      </c>
    </row>
    <row r="108" ht="15.75" customHeight="1" s="40">
      <c r="C108" s="36">
        <f>_xlfn.IFS(E108&lt;E$24,0,E108&lt;E$26,C$24,E108&lt;E$28,C$26,E108&lt;E$30,C$28,E108&lt;E$32,C$30,E108&lt;E$34,C$32,E108&gt;=E$34,C$34)</f>
        <v/>
      </c>
      <c r="D108" s="37">
        <f>_xlfn.IFS(E108&lt;E$24,0,E108&lt;E$25,D$24,E108&lt;E$26,D$25,E108&lt;E$27,D$26,E108&lt;E$28,D$27,E108&lt;E$29,D$28,E108&lt;E$30,D$29,E108&lt;E$31,D$30,E108&lt;E$32,D$31,E108&lt;E$33,D$32,E108&lt;E$34,D$33,E108&lt;E$35,D$34,E108&gt;=E$35,D$35)</f>
        <v/>
      </c>
      <c r="E108" s="38" t="n">
        <v>58</v>
      </c>
      <c r="F108" s="31">
        <f>E108/52</f>
        <v/>
      </c>
      <c r="G108" s="39">
        <f>D108/1000000*52</f>
        <v/>
      </c>
      <c r="H108" s="33">
        <f>G108/$P$4+($C$22/$P$4)</f>
        <v/>
      </c>
      <c r="I108" s="36">
        <f>_xlfn.IFS(K108&lt;K$24,0,K108&lt;K$26,I$24,K108&lt;K$28,I$26,K108&lt;K$30,I$28,K108&lt;K$32,I$30,K108&lt;K$34,I$32,K108&lt;K$36,I$34,K108&lt;K$38,I$36,K108&lt;K$40,I$38,K108&lt;K$42,I$40,K108&lt;K$44,I$42,K108&lt;K$46,I$44,K108&gt;=K$46,I$46)</f>
        <v/>
      </c>
      <c r="J108" s="37">
        <f>_xlfn.IFS(K108&lt;K$24,0,K108&lt;K$25,J$24,K108&lt;K$26,J$25,K108&lt;K$27,J$26,K108&lt;K$28,J$27,K108&lt;K$29,J$28,K108&lt;K$30,J$29,K108&lt;K$31,J$30,K108&lt;K$32,J$31,K108&lt;K$33,J$32,K108&lt;K$34,J$33,K108&lt;K$35,J$34,K108&lt;K$36,J$35,K108&lt;K$37,J$36,K108&lt;K$38,J$37,K108&lt;K$39,J$38,K108&lt;K$40,J$39,K108&lt;K$41,J$40,K108&lt;K$42,J$41,K108&lt;K$43,J$42,K108&lt;K$44,J$43,K108&lt;K$45,J$44,K108&lt;K$46,J$45,K108&lt;K$47,J$46,K108&gt;=K$47,J$47)</f>
        <v/>
      </c>
      <c r="K108" s="38" t="n">
        <v>58</v>
      </c>
      <c r="L108" s="31">
        <f>K108/52</f>
        <v/>
      </c>
      <c r="M108" s="39">
        <f>J108/1000000*52</f>
        <v/>
      </c>
      <c r="N108" s="33">
        <f>M108/$P$4+($I$22/$P$4)</f>
        <v/>
      </c>
      <c r="U108">
        <f>F107</f>
        <v/>
      </c>
      <c r="V108">
        <f>H107</f>
        <v/>
      </c>
      <c r="W108">
        <f>N107</f>
        <v/>
      </c>
    </row>
    <row r="109" ht="15.75" customHeight="1" s="40">
      <c r="C109" s="36">
        <f>_xlfn.IFS(E109&lt;E$24,0,E109&lt;E$26,C$24,E109&lt;E$28,C$26,E109&lt;E$30,C$28,E109&lt;E$32,C$30,E109&lt;E$34,C$32,E109&gt;=E$34,C$34)</f>
        <v/>
      </c>
      <c r="D109" s="37">
        <f>_xlfn.IFS(E109&lt;E$24,0,E109&lt;E$25,D$24,E109&lt;E$26,D$25,E109&lt;E$27,D$26,E109&lt;E$28,D$27,E109&lt;E$29,D$28,E109&lt;E$30,D$29,E109&lt;E$31,D$30,E109&lt;E$32,D$31,E109&lt;E$33,D$32,E109&lt;E$34,D$33,E109&lt;E$35,D$34,E109&gt;=E$35,D$35)</f>
        <v/>
      </c>
      <c r="E109" s="38" t="n">
        <v>59</v>
      </c>
      <c r="F109" s="31">
        <f>E109/52</f>
        <v/>
      </c>
      <c r="G109" s="39">
        <f>D109/1000000*52</f>
        <v/>
      </c>
      <c r="H109" s="33">
        <f>G109/$P$4+($C$22/$P$4)</f>
        <v/>
      </c>
      <c r="I109" s="36">
        <f>_xlfn.IFS(K109&lt;K$24,0,K109&lt;K$26,I$24,K109&lt;K$28,I$26,K109&lt;K$30,I$28,K109&lt;K$32,I$30,K109&lt;K$34,I$32,K109&lt;K$36,I$34,K109&lt;K$38,I$36,K109&lt;K$40,I$38,K109&lt;K$42,I$40,K109&lt;K$44,I$42,K109&lt;K$46,I$44,K109&gt;=K$46,I$46)</f>
        <v/>
      </c>
      <c r="J109" s="37">
        <f>_xlfn.IFS(K109&lt;K$24,0,K109&lt;K$25,J$24,K109&lt;K$26,J$25,K109&lt;K$27,J$26,K109&lt;K$28,J$27,K109&lt;K$29,J$28,K109&lt;K$30,J$29,K109&lt;K$31,J$30,K109&lt;K$32,J$31,K109&lt;K$33,J$32,K109&lt;K$34,J$33,K109&lt;K$35,J$34,K109&lt;K$36,J$35,K109&lt;K$37,J$36,K109&lt;K$38,J$37,K109&lt;K$39,J$38,K109&lt;K$40,J$39,K109&lt;K$41,J$40,K109&lt;K$42,J$41,K109&lt;K$43,J$42,K109&lt;K$44,J$43,K109&lt;K$45,J$44,K109&lt;K$46,J$45,K109&lt;K$47,J$46,K109&gt;=K$47,J$47)</f>
        <v/>
      </c>
      <c r="K109" s="38" t="n">
        <v>59</v>
      </c>
      <c r="L109" s="31">
        <f>K109/52</f>
        <v/>
      </c>
      <c r="M109" s="39">
        <f>J109/1000000*52</f>
        <v/>
      </c>
      <c r="N109" s="33">
        <f>M109/$P$4+($I$22/$P$4)</f>
        <v/>
      </c>
      <c r="U109">
        <f>F108</f>
        <v/>
      </c>
      <c r="V109">
        <f>H108</f>
        <v/>
      </c>
      <c r="W109">
        <f>N108</f>
        <v/>
      </c>
    </row>
    <row r="110" ht="15.75" customHeight="1" s="40">
      <c r="C110" s="36">
        <f>_xlfn.IFS(E110&lt;E$24,0,E110&lt;E$26,C$24,E110&lt;E$28,C$26,E110&lt;E$30,C$28,E110&lt;E$32,C$30,E110&lt;E$34,C$32,E110&gt;=E$34,C$34)</f>
        <v/>
      </c>
      <c r="D110" s="37">
        <f>_xlfn.IFS(E110&lt;E$24,0,E110&lt;E$25,D$24,E110&lt;E$26,D$25,E110&lt;E$27,D$26,E110&lt;E$28,D$27,E110&lt;E$29,D$28,E110&lt;E$30,D$29,E110&lt;E$31,D$30,E110&lt;E$32,D$31,E110&lt;E$33,D$32,E110&lt;E$34,D$33,E110&lt;E$35,D$34,E110&gt;=E$35,D$35)</f>
        <v/>
      </c>
      <c r="E110" s="38" t="n">
        <v>60</v>
      </c>
      <c r="F110" s="31">
        <f>E110/52</f>
        <v/>
      </c>
      <c r="G110" s="39">
        <f>D110/1000000*52</f>
        <v/>
      </c>
      <c r="H110" s="33">
        <f>G110/$P$4+($C$22/$P$4)</f>
        <v/>
      </c>
      <c r="I110" s="36">
        <f>_xlfn.IFS(K110&lt;K$24,0,K110&lt;K$26,I$24,K110&lt;K$28,I$26,K110&lt;K$30,I$28,K110&lt;K$32,I$30,K110&lt;K$34,I$32,K110&lt;K$36,I$34,K110&lt;K$38,I$36,K110&lt;K$40,I$38,K110&lt;K$42,I$40,K110&lt;K$44,I$42,K110&lt;K$46,I$44,K110&gt;=K$46,I$46)</f>
        <v/>
      </c>
      <c r="J110" s="37">
        <f>_xlfn.IFS(K110&lt;K$24,0,K110&lt;K$25,J$24,K110&lt;K$26,J$25,K110&lt;K$27,J$26,K110&lt;K$28,J$27,K110&lt;K$29,J$28,K110&lt;K$30,J$29,K110&lt;K$31,J$30,K110&lt;K$32,J$31,K110&lt;K$33,J$32,K110&lt;K$34,J$33,K110&lt;K$35,J$34,K110&lt;K$36,J$35,K110&lt;K$37,J$36,K110&lt;K$38,J$37,K110&lt;K$39,J$38,K110&lt;K$40,J$39,K110&lt;K$41,J$40,K110&lt;K$42,J$41,K110&lt;K$43,J$42,K110&lt;K$44,J$43,K110&lt;K$45,J$44,K110&lt;K$46,J$45,K110&lt;K$47,J$46,K110&gt;=K$47,J$47)</f>
        <v/>
      </c>
      <c r="K110" s="38" t="n">
        <v>60</v>
      </c>
      <c r="L110" s="31">
        <f>K110/52</f>
        <v/>
      </c>
      <c r="M110" s="39">
        <f>J110/1000000*52</f>
        <v/>
      </c>
      <c r="N110" s="33">
        <f>M110/$P$4+($I$22/$P$4)</f>
        <v/>
      </c>
      <c r="U110">
        <f>F109</f>
        <v/>
      </c>
      <c r="V110">
        <f>H109</f>
        <v/>
      </c>
      <c r="W110">
        <f>N109</f>
        <v/>
      </c>
    </row>
    <row r="111" ht="15.75" customHeight="1" s="40">
      <c r="C111" s="36">
        <f>_xlfn.IFS(E111&lt;E$24,0,E111&lt;E$26,C$24,E111&lt;E$28,C$26,E111&lt;E$30,C$28,E111&lt;E$32,C$30,E111&lt;E$34,C$32,E111&gt;=E$34,C$34)</f>
        <v/>
      </c>
      <c r="D111" s="37">
        <f>_xlfn.IFS(E111&lt;E$24,0,E111&lt;E$25,D$24,E111&lt;E$26,D$25,E111&lt;E$27,D$26,E111&lt;E$28,D$27,E111&lt;E$29,D$28,E111&lt;E$30,D$29,E111&lt;E$31,D$30,E111&lt;E$32,D$31,E111&lt;E$33,D$32,E111&lt;E$34,D$33,E111&lt;E$35,D$34,E111&gt;=E$35,D$35)</f>
        <v/>
      </c>
      <c r="E111" s="38" t="n">
        <v>61</v>
      </c>
      <c r="F111" s="31">
        <f>E111/52</f>
        <v/>
      </c>
      <c r="G111" s="39">
        <f>D111/1000000*52</f>
        <v/>
      </c>
      <c r="H111" s="33">
        <f>G111/$P$4+($C$22/$P$4)</f>
        <v/>
      </c>
      <c r="I111" s="36">
        <f>_xlfn.IFS(K111&lt;K$24,0,K111&lt;K$26,I$24,K111&lt;K$28,I$26,K111&lt;K$30,I$28,K111&lt;K$32,I$30,K111&lt;K$34,I$32,K111&lt;K$36,I$34,K111&lt;K$38,I$36,K111&lt;K$40,I$38,K111&lt;K$42,I$40,K111&lt;K$44,I$42,K111&lt;K$46,I$44,K111&gt;=K$46,I$46)</f>
        <v/>
      </c>
      <c r="J111" s="37">
        <f>_xlfn.IFS(K111&lt;K$24,0,K111&lt;K$25,J$24,K111&lt;K$26,J$25,K111&lt;K$27,J$26,K111&lt;K$28,J$27,K111&lt;K$29,J$28,K111&lt;K$30,J$29,K111&lt;K$31,J$30,K111&lt;K$32,J$31,K111&lt;K$33,J$32,K111&lt;K$34,J$33,K111&lt;K$35,J$34,K111&lt;K$36,J$35,K111&lt;K$37,J$36,K111&lt;K$38,J$37,K111&lt;K$39,J$38,K111&lt;K$40,J$39,K111&lt;K$41,J$40,K111&lt;K$42,J$41,K111&lt;K$43,J$42,K111&lt;K$44,J$43,K111&lt;K$45,J$44,K111&lt;K$46,J$45,K111&lt;K$47,J$46,K111&gt;=K$47,J$47)</f>
        <v/>
      </c>
      <c r="K111" s="38" t="n">
        <v>61</v>
      </c>
      <c r="L111" s="31">
        <f>K111/52</f>
        <v/>
      </c>
      <c r="M111" s="39">
        <f>J111/1000000*52</f>
        <v/>
      </c>
      <c r="N111" s="33">
        <f>M111/$P$4+($I$22/$P$4)</f>
        <v/>
      </c>
      <c r="U111">
        <f>F110</f>
        <v/>
      </c>
      <c r="V111">
        <f>H110</f>
        <v/>
      </c>
      <c r="W111">
        <f>N110</f>
        <v/>
      </c>
    </row>
    <row r="112" ht="15.75" customHeight="1" s="40">
      <c r="C112" s="36">
        <f>_xlfn.IFS(E112&lt;E$24,0,E112&lt;E$26,C$24,E112&lt;E$28,C$26,E112&lt;E$30,C$28,E112&lt;E$32,C$30,E112&lt;E$34,C$32,E112&gt;=E$34,C$34)</f>
        <v/>
      </c>
      <c r="D112" s="37">
        <f>_xlfn.IFS(E112&lt;E$24,0,E112&lt;E$25,D$24,E112&lt;E$26,D$25,E112&lt;E$27,D$26,E112&lt;E$28,D$27,E112&lt;E$29,D$28,E112&lt;E$30,D$29,E112&lt;E$31,D$30,E112&lt;E$32,D$31,E112&lt;E$33,D$32,E112&lt;E$34,D$33,E112&lt;E$35,D$34,E112&gt;=E$35,D$35)</f>
        <v/>
      </c>
      <c r="E112" s="38" t="n">
        <v>62</v>
      </c>
      <c r="F112" s="31">
        <f>E112/52</f>
        <v/>
      </c>
      <c r="G112" s="39">
        <f>D112/1000000*52</f>
        <v/>
      </c>
      <c r="H112" s="33">
        <f>G112/$P$4+($C$22/$P$4)</f>
        <v/>
      </c>
      <c r="I112" s="36">
        <f>_xlfn.IFS(K112&lt;K$24,0,K112&lt;K$26,I$24,K112&lt;K$28,I$26,K112&lt;K$30,I$28,K112&lt;K$32,I$30,K112&lt;K$34,I$32,K112&lt;K$36,I$34,K112&lt;K$38,I$36,K112&lt;K$40,I$38,K112&lt;K$42,I$40,K112&lt;K$44,I$42,K112&lt;K$46,I$44,K112&gt;=K$46,I$46)</f>
        <v/>
      </c>
      <c r="J112" s="37">
        <f>_xlfn.IFS(K112&lt;K$24,0,K112&lt;K$25,J$24,K112&lt;K$26,J$25,K112&lt;K$27,J$26,K112&lt;K$28,J$27,K112&lt;K$29,J$28,K112&lt;K$30,J$29,K112&lt;K$31,J$30,K112&lt;K$32,J$31,K112&lt;K$33,J$32,K112&lt;K$34,J$33,K112&lt;K$35,J$34,K112&lt;K$36,J$35,K112&lt;K$37,J$36,K112&lt;K$38,J$37,K112&lt;K$39,J$38,K112&lt;K$40,J$39,K112&lt;K$41,J$40,K112&lt;K$42,J$41,K112&lt;K$43,J$42,K112&lt;K$44,J$43,K112&lt;K$45,J$44,K112&lt;K$46,J$45,K112&lt;K$47,J$46,K112&gt;=K$47,J$47)</f>
        <v/>
      </c>
      <c r="K112" s="38" t="n">
        <v>62</v>
      </c>
      <c r="L112" s="31">
        <f>K112/52</f>
        <v/>
      </c>
      <c r="M112" s="39">
        <f>J112/1000000*52</f>
        <v/>
      </c>
      <c r="N112" s="33">
        <f>M112/$P$4+($I$22/$P$4)</f>
        <v/>
      </c>
      <c r="U112">
        <f>F111</f>
        <v/>
      </c>
      <c r="V112">
        <f>H111</f>
        <v/>
      </c>
      <c r="W112">
        <f>N111</f>
        <v/>
      </c>
    </row>
    <row r="113" ht="15.75" customHeight="1" s="40">
      <c r="C113" s="36">
        <f>_xlfn.IFS(E113&lt;E$24,0,E113&lt;E$26,C$24,E113&lt;E$28,C$26,E113&lt;E$30,C$28,E113&lt;E$32,C$30,E113&lt;E$34,C$32,E113&gt;=E$34,C$34)</f>
        <v/>
      </c>
      <c r="D113" s="37">
        <f>_xlfn.IFS(E113&lt;E$24,0,E113&lt;E$25,D$24,E113&lt;E$26,D$25,E113&lt;E$27,D$26,E113&lt;E$28,D$27,E113&lt;E$29,D$28,E113&lt;E$30,D$29,E113&lt;E$31,D$30,E113&lt;E$32,D$31,E113&lt;E$33,D$32,E113&lt;E$34,D$33,E113&lt;E$35,D$34,E113&gt;=E$35,D$35)</f>
        <v/>
      </c>
      <c r="E113" s="38" t="n">
        <v>63</v>
      </c>
      <c r="F113" s="31">
        <f>E113/52</f>
        <v/>
      </c>
      <c r="G113" s="39">
        <f>D113/1000000*52</f>
        <v/>
      </c>
      <c r="H113" s="33">
        <f>G113/$P$4+($C$22/$P$4)</f>
        <v/>
      </c>
      <c r="I113" s="36">
        <f>_xlfn.IFS(K113&lt;K$24,0,K113&lt;K$26,I$24,K113&lt;K$28,I$26,K113&lt;K$30,I$28,K113&lt;K$32,I$30,K113&lt;K$34,I$32,K113&lt;K$36,I$34,K113&lt;K$38,I$36,K113&lt;K$40,I$38,K113&lt;K$42,I$40,K113&lt;K$44,I$42,K113&lt;K$46,I$44,K113&gt;=K$46,I$46)</f>
        <v/>
      </c>
      <c r="J113" s="37">
        <f>_xlfn.IFS(K113&lt;K$24,0,K113&lt;K$25,J$24,K113&lt;K$26,J$25,K113&lt;K$27,J$26,K113&lt;K$28,J$27,K113&lt;K$29,J$28,K113&lt;K$30,J$29,K113&lt;K$31,J$30,K113&lt;K$32,J$31,K113&lt;K$33,J$32,K113&lt;K$34,J$33,K113&lt;K$35,J$34,K113&lt;K$36,J$35,K113&lt;K$37,J$36,K113&lt;K$38,J$37,K113&lt;K$39,J$38,K113&lt;K$40,J$39,K113&lt;K$41,J$40,K113&lt;K$42,J$41,K113&lt;K$43,J$42,K113&lt;K$44,J$43,K113&lt;K$45,J$44,K113&lt;K$46,J$45,K113&lt;K$47,J$46,K113&gt;=K$47,J$47)</f>
        <v/>
      </c>
      <c r="K113" s="38" t="n">
        <v>63</v>
      </c>
      <c r="L113" s="31">
        <f>K113/52</f>
        <v/>
      </c>
      <c r="M113" s="39">
        <f>J113/1000000*52</f>
        <v/>
      </c>
      <c r="N113" s="33">
        <f>M113/$P$4+($I$22/$P$4)</f>
        <v/>
      </c>
      <c r="U113">
        <f>F112</f>
        <v/>
      </c>
      <c r="V113">
        <f>H112</f>
        <v/>
      </c>
      <c r="W113">
        <f>N112</f>
        <v/>
      </c>
    </row>
    <row r="114" ht="15.75" customHeight="1" s="40">
      <c r="C114" s="36">
        <f>_xlfn.IFS(E114&lt;E$24,0,E114&lt;E$26,C$24,E114&lt;E$28,C$26,E114&lt;E$30,C$28,E114&lt;E$32,C$30,E114&lt;E$34,C$32,E114&gt;=E$34,C$34)</f>
        <v/>
      </c>
      <c r="D114" s="37">
        <f>_xlfn.IFS(E114&lt;E$24,0,E114&lt;E$25,D$24,E114&lt;E$26,D$25,E114&lt;E$27,D$26,E114&lt;E$28,D$27,E114&lt;E$29,D$28,E114&lt;E$30,D$29,E114&lt;E$31,D$30,E114&lt;E$32,D$31,E114&lt;E$33,D$32,E114&lt;E$34,D$33,E114&lt;E$35,D$34,E114&gt;=E$35,D$35)</f>
        <v/>
      </c>
      <c r="E114" s="38" t="n">
        <v>64</v>
      </c>
      <c r="F114" s="31">
        <f>E114/52</f>
        <v/>
      </c>
      <c r="G114" s="39">
        <f>D114/1000000*52</f>
        <v/>
      </c>
      <c r="H114" s="33">
        <f>G114/$P$4+($C$22/$P$4)</f>
        <v/>
      </c>
      <c r="I114" s="36">
        <f>_xlfn.IFS(K114&lt;K$24,0,K114&lt;K$26,I$24,K114&lt;K$28,I$26,K114&lt;K$30,I$28,K114&lt;K$32,I$30,K114&lt;K$34,I$32,K114&lt;K$36,I$34,K114&lt;K$38,I$36,K114&lt;K$40,I$38,K114&lt;K$42,I$40,K114&lt;K$44,I$42,K114&lt;K$46,I$44,K114&gt;=K$46,I$46)</f>
        <v/>
      </c>
      <c r="J114" s="37">
        <f>_xlfn.IFS(K114&lt;K$24,0,K114&lt;K$25,J$24,K114&lt;K$26,J$25,K114&lt;K$27,J$26,K114&lt;K$28,J$27,K114&lt;K$29,J$28,K114&lt;K$30,J$29,K114&lt;K$31,J$30,K114&lt;K$32,J$31,K114&lt;K$33,J$32,K114&lt;K$34,J$33,K114&lt;K$35,J$34,K114&lt;K$36,J$35,K114&lt;K$37,J$36,K114&lt;K$38,J$37,K114&lt;K$39,J$38,K114&lt;K$40,J$39,K114&lt;K$41,J$40,K114&lt;K$42,J$41,K114&lt;K$43,J$42,K114&lt;K$44,J$43,K114&lt;K$45,J$44,K114&lt;K$46,J$45,K114&lt;K$47,J$46,K114&gt;=K$47,J$47)</f>
        <v/>
      </c>
      <c r="K114" s="38" t="n">
        <v>64</v>
      </c>
      <c r="L114" s="31">
        <f>K114/52</f>
        <v/>
      </c>
      <c r="M114" s="39">
        <f>J114/1000000*52</f>
        <v/>
      </c>
      <c r="N114" s="33">
        <f>M114/$P$4+($I$22/$P$4)</f>
        <v/>
      </c>
      <c r="U114">
        <f>F113</f>
        <v/>
      </c>
      <c r="V114">
        <f>H113</f>
        <v/>
      </c>
      <c r="W114">
        <f>N113</f>
        <v/>
      </c>
    </row>
    <row r="115" ht="15.75" customHeight="1" s="40">
      <c r="C115" s="36">
        <f>_xlfn.IFS(E115&lt;E$24,0,E115&lt;E$26,C$24,E115&lt;E$28,C$26,E115&lt;E$30,C$28,E115&lt;E$32,C$30,E115&lt;E$34,C$32,E115&gt;=E$34,C$34)</f>
        <v/>
      </c>
      <c r="D115" s="37">
        <f>_xlfn.IFS(E115&lt;E$24,0,E115&lt;E$25,D$24,E115&lt;E$26,D$25,E115&lt;E$27,D$26,E115&lt;E$28,D$27,E115&lt;E$29,D$28,E115&lt;E$30,D$29,E115&lt;E$31,D$30,E115&lt;E$32,D$31,E115&lt;E$33,D$32,E115&lt;E$34,D$33,E115&lt;E$35,D$34,E115&gt;=E$35,D$35)</f>
        <v/>
      </c>
      <c r="E115" s="38" t="n">
        <v>65</v>
      </c>
      <c r="F115" s="31">
        <f>E115/52</f>
        <v/>
      </c>
      <c r="G115" s="39">
        <f>D115/1000000*52</f>
        <v/>
      </c>
      <c r="H115" s="33">
        <f>G115/$P$4+($C$22/$P$4)</f>
        <v/>
      </c>
      <c r="I115" s="36">
        <f>_xlfn.IFS(K115&lt;K$24,0,K115&lt;K$26,I$24,K115&lt;K$28,I$26,K115&lt;K$30,I$28,K115&lt;K$32,I$30,K115&lt;K$34,I$32,K115&lt;K$36,I$34,K115&lt;K$38,I$36,K115&lt;K$40,I$38,K115&lt;K$42,I$40,K115&lt;K$44,I$42,K115&lt;K$46,I$44,K115&gt;=K$46,I$46)</f>
        <v/>
      </c>
      <c r="J115" s="37">
        <f>_xlfn.IFS(K115&lt;K$24,0,K115&lt;K$25,J$24,K115&lt;K$26,J$25,K115&lt;K$27,J$26,K115&lt;K$28,J$27,K115&lt;K$29,J$28,K115&lt;K$30,J$29,K115&lt;K$31,J$30,K115&lt;K$32,J$31,K115&lt;K$33,J$32,K115&lt;K$34,J$33,K115&lt;K$35,J$34,K115&lt;K$36,J$35,K115&lt;K$37,J$36,K115&lt;K$38,J$37,K115&lt;K$39,J$38,K115&lt;K$40,J$39,K115&lt;K$41,J$40,K115&lt;K$42,J$41,K115&lt;K$43,J$42,K115&lt;K$44,J$43,K115&lt;K$45,J$44,K115&lt;K$46,J$45,K115&lt;K$47,J$46,K115&gt;=K$47,J$47)</f>
        <v/>
      </c>
      <c r="K115" s="38" t="n">
        <v>65</v>
      </c>
      <c r="L115" s="31">
        <f>K115/52</f>
        <v/>
      </c>
      <c r="M115" s="39">
        <f>J115/1000000*52</f>
        <v/>
      </c>
      <c r="N115" s="33">
        <f>M115/$P$4+($I$22/$P$4)</f>
        <v/>
      </c>
      <c r="U115">
        <f>F114</f>
        <v/>
      </c>
      <c r="V115">
        <f>H114</f>
        <v/>
      </c>
      <c r="W115">
        <f>N114</f>
        <v/>
      </c>
    </row>
    <row r="116" ht="15.75" customHeight="1" s="40">
      <c r="C116" s="36">
        <f>_xlfn.IFS(E116&lt;E$24,0,E116&lt;E$26,C$24,E116&lt;E$28,C$26,E116&lt;E$30,C$28,E116&lt;E$32,C$30,E116&lt;E$34,C$32,E116&gt;=E$34,C$34)</f>
        <v/>
      </c>
      <c r="D116" s="37">
        <f>_xlfn.IFS(E116&lt;E$24,0,E116&lt;E$25,D$24,E116&lt;E$26,D$25,E116&lt;E$27,D$26,E116&lt;E$28,D$27,E116&lt;E$29,D$28,E116&lt;E$30,D$29,E116&lt;E$31,D$30,E116&lt;E$32,D$31,E116&lt;E$33,D$32,E116&lt;E$34,D$33,E116&lt;E$35,D$34,E116&gt;=E$35,D$35)</f>
        <v/>
      </c>
      <c r="E116" s="38" t="n">
        <v>66</v>
      </c>
      <c r="F116" s="31">
        <f>E116/52</f>
        <v/>
      </c>
      <c r="G116" s="39">
        <f>D116/1000000*52</f>
        <v/>
      </c>
      <c r="H116" s="33">
        <f>G116/$P$4+($C$22/$P$4)</f>
        <v/>
      </c>
      <c r="I116" s="36">
        <f>_xlfn.IFS(K116&lt;K$24,0,K116&lt;K$26,I$24,K116&lt;K$28,I$26,K116&lt;K$30,I$28,K116&lt;K$32,I$30,K116&lt;K$34,I$32,K116&lt;K$36,I$34,K116&lt;K$38,I$36,K116&lt;K$40,I$38,K116&lt;K$42,I$40,K116&lt;K$44,I$42,K116&lt;K$46,I$44,K116&gt;=K$46,I$46)</f>
        <v/>
      </c>
      <c r="J116" s="37">
        <f>_xlfn.IFS(K116&lt;K$24,0,K116&lt;K$25,J$24,K116&lt;K$26,J$25,K116&lt;K$27,J$26,K116&lt;K$28,J$27,K116&lt;K$29,J$28,K116&lt;K$30,J$29,K116&lt;K$31,J$30,K116&lt;K$32,J$31,K116&lt;K$33,J$32,K116&lt;K$34,J$33,K116&lt;K$35,J$34,K116&lt;K$36,J$35,K116&lt;K$37,J$36,K116&lt;K$38,J$37,K116&lt;K$39,J$38,K116&lt;K$40,J$39,K116&lt;K$41,J$40,K116&lt;K$42,J$41,K116&lt;K$43,J$42,K116&lt;K$44,J$43,K116&lt;K$45,J$44,K116&lt;K$46,J$45,K116&lt;K$47,J$46,K116&gt;=K$47,J$47)</f>
        <v/>
      </c>
      <c r="K116" s="38" t="n">
        <v>66</v>
      </c>
      <c r="L116" s="31">
        <f>K116/52</f>
        <v/>
      </c>
      <c r="M116" s="39">
        <f>J116/1000000*52</f>
        <v/>
      </c>
      <c r="N116" s="33">
        <f>M116/$P$4+($I$22/$P$4)</f>
        <v/>
      </c>
      <c r="U116">
        <f>F115</f>
        <v/>
      </c>
      <c r="V116">
        <f>H115</f>
        <v/>
      </c>
      <c r="W116">
        <f>N115</f>
        <v/>
      </c>
    </row>
    <row r="117" ht="15.75" customHeight="1" s="40">
      <c r="C117" s="36">
        <f>_xlfn.IFS(E117&lt;E$24,0,E117&lt;E$26,C$24,E117&lt;E$28,C$26,E117&lt;E$30,C$28,E117&lt;E$32,C$30,E117&lt;E$34,C$32,E117&gt;=E$34,C$34)</f>
        <v/>
      </c>
      <c r="D117" s="37">
        <f>_xlfn.IFS(E117&lt;E$24,0,E117&lt;E$25,D$24,E117&lt;E$26,D$25,E117&lt;E$27,D$26,E117&lt;E$28,D$27,E117&lt;E$29,D$28,E117&lt;E$30,D$29,E117&lt;E$31,D$30,E117&lt;E$32,D$31,E117&lt;E$33,D$32,E117&lt;E$34,D$33,E117&lt;E$35,D$34,E117&gt;=E$35,D$35)</f>
        <v/>
      </c>
      <c r="E117" s="38" t="n">
        <v>67</v>
      </c>
      <c r="F117" s="31">
        <f>E117/52</f>
        <v/>
      </c>
      <c r="G117" s="39">
        <f>D117/1000000*52</f>
        <v/>
      </c>
      <c r="H117" s="33">
        <f>G117/$P$4+($C$22/$P$4)</f>
        <v/>
      </c>
      <c r="I117" s="36">
        <f>_xlfn.IFS(K117&lt;K$24,0,K117&lt;K$26,I$24,K117&lt;K$28,I$26,K117&lt;K$30,I$28,K117&lt;K$32,I$30,K117&lt;K$34,I$32,K117&lt;K$36,I$34,K117&lt;K$38,I$36,K117&lt;K$40,I$38,K117&lt;K$42,I$40,K117&lt;K$44,I$42,K117&lt;K$46,I$44,K117&gt;=K$46,I$46)</f>
        <v/>
      </c>
      <c r="J117" s="37">
        <f>_xlfn.IFS(K117&lt;K$24,0,K117&lt;K$25,J$24,K117&lt;K$26,J$25,K117&lt;K$27,J$26,K117&lt;K$28,J$27,K117&lt;K$29,J$28,K117&lt;K$30,J$29,K117&lt;K$31,J$30,K117&lt;K$32,J$31,K117&lt;K$33,J$32,K117&lt;K$34,J$33,K117&lt;K$35,J$34,K117&lt;K$36,J$35,K117&lt;K$37,J$36,K117&lt;K$38,J$37,K117&lt;K$39,J$38,K117&lt;K$40,J$39,K117&lt;K$41,J$40,K117&lt;K$42,J$41,K117&lt;K$43,J$42,K117&lt;K$44,J$43,K117&lt;K$45,J$44,K117&lt;K$46,J$45,K117&lt;K$47,J$46,K117&gt;=K$47,J$47)</f>
        <v/>
      </c>
      <c r="K117" s="38" t="n">
        <v>67</v>
      </c>
      <c r="L117" s="31">
        <f>K117/52</f>
        <v/>
      </c>
      <c r="M117" s="39">
        <f>J117/1000000*52</f>
        <v/>
      </c>
      <c r="N117" s="33">
        <f>M117/$P$4+($I$22/$P$4)</f>
        <v/>
      </c>
      <c r="U117">
        <f>F116</f>
        <v/>
      </c>
      <c r="V117">
        <f>H116</f>
        <v/>
      </c>
      <c r="W117">
        <f>N116</f>
        <v/>
      </c>
    </row>
    <row r="118" ht="15.75" customHeight="1" s="40">
      <c r="C118" s="36">
        <f>_xlfn.IFS(E118&lt;E$24,0,E118&lt;E$26,C$24,E118&lt;E$28,C$26,E118&lt;E$30,C$28,E118&lt;E$32,C$30,E118&lt;E$34,C$32,E118&gt;=E$34,C$34)</f>
        <v/>
      </c>
      <c r="D118" s="37">
        <f>_xlfn.IFS(E118&lt;E$24,0,E118&lt;E$25,D$24,E118&lt;E$26,D$25,E118&lt;E$27,D$26,E118&lt;E$28,D$27,E118&lt;E$29,D$28,E118&lt;E$30,D$29,E118&lt;E$31,D$30,E118&lt;E$32,D$31,E118&lt;E$33,D$32,E118&lt;E$34,D$33,E118&lt;E$35,D$34,E118&gt;=E$35,D$35)</f>
        <v/>
      </c>
      <c r="E118" s="38" t="n">
        <v>68</v>
      </c>
      <c r="F118" s="31">
        <f>E118/52</f>
        <v/>
      </c>
      <c r="G118" s="39">
        <f>D118/1000000*52</f>
        <v/>
      </c>
      <c r="H118" s="33">
        <f>G118/$P$4+($C$22/$P$4)</f>
        <v/>
      </c>
      <c r="I118" s="36">
        <f>_xlfn.IFS(K118&lt;K$24,0,K118&lt;K$26,I$24,K118&lt;K$28,I$26,K118&lt;K$30,I$28,K118&lt;K$32,I$30,K118&lt;K$34,I$32,K118&lt;K$36,I$34,K118&lt;K$38,I$36,K118&lt;K$40,I$38,K118&lt;K$42,I$40,K118&lt;K$44,I$42,K118&lt;K$46,I$44,K118&gt;=K$46,I$46)</f>
        <v/>
      </c>
      <c r="J118" s="37">
        <f>_xlfn.IFS(K118&lt;K$24,0,K118&lt;K$25,J$24,K118&lt;K$26,J$25,K118&lt;K$27,J$26,K118&lt;K$28,J$27,K118&lt;K$29,J$28,K118&lt;K$30,J$29,K118&lt;K$31,J$30,K118&lt;K$32,J$31,K118&lt;K$33,J$32,K118&lt;K$34,J$33,K118&lt;K$35,J$34,K118&lt;K$36,J$35,K118&lt;K$37,J$36,K118&lt;K$38,J$37,K118&lt;K$39,J$38,K118&lt;K$40,J$39,K118&lt;K$41,J$40,K118&lt;K$42,J$41,K118&lt;K$43,J$42,K118&lt;K$44,J$43,K118&lt;K$45,J$44,K118&lt;K$46,J$45,K118&lt;K$47,J$46,K118&gt;=K$47,J$47)</f>
        <v/>
      </c>
      <c r="K118" s="38" t="n">
        <v>68</v>
      </c>
      <c r="L118" s="31">
        <f>K118/52</f>
        <v/>
      </c>
      <c r="M118" s="39">
        <f>J118/1000000*52</f>
        <v/>
      </c>
      <c r="N118" s="33">
        <f>M118/$P$4+($I$22/$P$4)</f>
        <v/>
      </c>
      <c r="U118">
        <f>F117</f>
        <v/>
      </c>
      <c r="V118">
        <f>H117</f>
        <v/>
      </c>
      <c r="W118">
        <f>N117</f>
        <v/>
      </c>
    </row>
    <row r="119" ht="15.75" customHeight="1" s="40">
      <c r="C119" s="36">
        <f>_xlfn.IFS(E119&lt;E$24,0,E119&lt;E$26,C$24,E119&lt;E$28,C$26,E119&lt;E$30,C$28,E119&lt;E$32,C$30,E119&lt;E$34,C$32,E119&gt;=E$34,C$34)</f>
        <v/>
      </c>
      <c r="D119" s="37">
        <f>_xlfn.IFS(E119&lt;E$24,0,E119&lt;E$25,D$24,E119&lt;E$26,D$25,E119&lt;E$27,D$26,E119&lt;E$28,D$27,E119&lt;E$29,D$28,E119&lt;E$30,D$29,E119&lt;E$31,D$30,E119&lt;E$32,D$31,E119&lt;E$33,D$32,E119&lt;E$34,D$33,E119&lt;E$35,D$34,E119&gt;=E$35,D$35)</f>
        <v/>
      </c>
      <c r="E119" s="38" t="n">
        <v>69</v>
      </c>
      <c r="F119" s="31">
        <f>E119/52</f>
        <v/>
      </c>
      <c r="G119" s="39">
        <f>D119/1000000*52</f>
        <v/>
      </c>
      <c r="H119" s="33">
        <f>G119/$P$4+($C$22/$P$4)</f>
        <v/>
      </c>
      <c r="I119" s="36">
        <f>_xlfn.IFS(K119&lt;K$24,0,K119&lt;K$26,I$24,K119&lt;K$28,I$26,K119&lt;K$30,I$28,K119&lt;K$32,I$30,K119&lt;K$34,I$32,K119&lt;K$36,I$34,K119&lt;K$38,I$36,K119&lt;K$40,I$38,K119&lt;K$42,I$40,K119&lt;K$44,I$42,K119&lt;K$46,I$44,K119&gt;=K$46,I$46)</f>
        <v/>
      </c>
      <c r="J119" s="37">
        <f>_xlfn.IFS(K119&lt;K$24,0,K119&lt;K$25,J$24,K119&lt;K$26,J$25,K119&lt;K$27,J$26,K119&lt;K$28,J$27,K119&lt;K$29,J$28,K119&lt;K$30,J$29,K119&lt;K$31,J$30,K119&lt;K$32,J$31,K119&lt;K$33,J$32,K119&lt;K$34,J$33,K119&lt;K$35,J$34,K119&lt;K$36,J$35,K119&lt;K$37,J$36,K119&lt;K$38,J$37,K119&lt;K$39,J$38,K119&lt;K$40,J$39,K119&lt;K$41,J$40,K119&lt;K$42,J$41,K119&lt;K$43,J$42,K119&lt;K$44,J$43,K119&lt;K$45,J$44,K119&lt;K$46,J$45,K119&lt;K$47,J$46,K119&gt;=K$47,J$47)</f>
        <v/>
      </c>
      <c r="K119" s="38" t="n">
        <v>69</v>
      </c>
      <c r="L119" s="31">
        <f>K119/52</f>
        <v/>
      </c>
      <c r="M119" s="39">
        <f>J119/1000000*52</f>
        <v/>
      </c>
      <c r="N119" s="33">
        <f>M119/$P$4+($I$22/$P$4)</f>
        <v/>
      </c>
      <c r="U119">
        <f>F118</f>
        <v/>
      </c>
      <c r="V119">
        <f>H118</f>
        <v/>
      </c>
      <c r="W119">
        <f>N118</f>
        <v/>
      </c>
    </row>
    <row r="120" ht="15.75" customHeight="1" s="40">
      <c r="C120" s="36">
        <f>_xlfn.IFS(E120&lt;E$24,0,E120&lt;E$26,C$24,E120&lt;E$28,C$26,E120&lt;E$30,C$28,E120&lt;E$32,C$30,E120&lt;E$34,C$32,E120&gt;=E$34,C$34)</f>
        <v/>
      </c>
      <c r="D120" s="37">
        <f>_xlfn.IFS(E120&lt;E$24,0,E120&lt;E$25,D$24,E120&lt;E$26,D$25,E120&lt;E$27,D$26,E120&lt;E$28,D$27,E120&lt;E$29,D$28,E120&lt;E$30,D$29,E120&lt;E$31,D$30,E120&lt;E$32,D$31,E120&lt;E$33,D$32,E120&lt;E$34,D$33,E120&lt;E$35,D$34,E120&gt;=E$35,D$35)</f>
        <v/>
      </c>
      <c r="E120" s="38" t="n">
        <v>70</v>
      </c>
      <c r="F120" s="31">
        <f>E120/52</f>
        <v/>
      </c>
      <c r="G120" s="39">
        <f>D120/1000000*52</f>
        <v/>
      </c>
      <c r="H120" s="33">
        <f>G120/$P$4+($C$22/$P$4)</f>
        <v/>
      </c>
      <c r="I120" s="36">
        <f>_xlfn.IFS(K120&lt;K$24,0,K120&lt;K$26,I$24,K120&lt;K$28,I$26,K120&lt;K$30,I$28,K120&lt;K$32,I$30,K120&lt;K$34,I$32,K120&lt;K$36,I$34,K120&lt;K$38,I$36,K120&lt;K$40,I$38,K120&lt;K$42,I$40,K120&lt;K$44,I$42,K120&lt;K$46,I$44,K120&gt;=K$46,I$46)</f>
        <v/>
      </c>
      <c r="J120" s="37">
        <f>_xlfn.IFS(K120&lt;K$24,0,K120&lt;K$25,J$24,K120&lt;K$26,J$25,K120&lt;K$27,J$26,K120&lt;K$28,J$27,K120&lt;K$29,J$28,K120&lt;K$30,J$29,K120&lt;K$31,J$30,K120&lt;K$32,J$31,K120&lt;K$33,J$32,K120&lt;K$34,J$33,K120&lt;K$35,J$34,K120&lt;K$36,J$35,K120&lt;K$37,J$36,K120&lt;K$38,J$37,K120&lt;K$39,J$38,K120&lt;K$40,J$39,K120&lt;K$41,J$40,K120&lt;K$42,J$41,K120&lt;K$43,J$42,K120&lt;K$44,J$43,K120&lt;K$45,J$44,K120&lt;K$46,J$45,K120&lt;K$47,J$46,K120&gt;=K$47,J$47)</f>
        <v/>
      </c>
      <c r="K120" s="38" t="n">
        <v>70</v>
      </c>
      <c r="L120" s="31">
        <f>K120/52</f>
        <v/>
      </c>
      <c r="M120" s="39">
        <f>J120/1000000*52</f>
        <v/>
      </c>
      <c r="N120" s="33">
        <f>M120/$P$4+($I$22/$P$4)</f>
        <v/>
      </c>
      <c r="U120">
        <f>F119</f>
        <v/>
      </c>
      <c r="V120">
        <f>H119</f>
        <v/>
      </c>
      <c r="W120">
        <f>N119</f>
        <v/>
      </c>
    </row>
    <row r="121" ht="15.75" customHeight="1" s="40">
      <c r="C121" s="36">
        <f>_xlfn.IFS(E121&lt;E$24,0,E121&lt;E$26,C$24,E121&lt;E$28,C$26,E121&lt;E$30,C$28,E121&lt;E$32,C$30,E121&lt;E$34,C$32,E121&gt;=E$34,C$34)</f>
        <v/>
      </c>
      <c r="D121" s="37">
        <f>_xlfn.IFS(E121&lt;E$24,0,E121&lt;E$25,D$24,E121&lt;E$26,D$25,E121&lt;E$27,D$26,E121&lt;E$28,D$27,E121&lt;E$29,D$28,E121&lt;E$30,D$29,E121&lt;E$31,D$30,E121&lt;E$32,D$31,E121&lt;E$33,D$32,E121&lt;E$34,D$33,E121&lt;E$35,D$34,E121&gt;=E$35,D$35)</f>
        <v/>
      </c>
      <c r="E121" s="38" t="n">
        <v>71</v>
      </c>
      <c r="F121" s="31">
        <f>E121/52</f>
        <v/>
      </c>
      <c r="G121" s="39">
        <f>D121/1000000*52</f>
        <v/>
      </c>
      <c r="H121" s="33">
        <f>G121/$P$4+($C$22/$P$4)</f>
        <v/>
      </c>
      <c r="I121" s="36">
        <f>_xlfn.IFS(K121&lt;K$24,0,K121&lt;K$26,I$24,K121&lt;K$28,I$26,K121&lt;K$30,I$28,K121&lt;K$32,I$30,K121&lt;K$34,I$32,K121&lt;K$36,I$34,K121&lt;K$38,I$36,K121&lt;K$40,I$38,K121&lt;K$42,I$40,K121&lt;K$44,I$42,K121&lt;K$46,I$44,K121&gt;=K$46,I$46)</f>
        <v/>
      </c>
      <c r="J121" s="37">
        <f>_xlfn.IFS(K121&lt;K$24,0,K121&lt;K$25,J$24,K121&lt;K$26,J$25,K121&lt;K$27,J$26,K121&lt;K$28,J$27,K121&lt;K$29,J$28,K121&lt;K$30,J$29,K121&lt;K$31,J$30,K121&lt;K$32,J$31,K121&lt;K$33,J$32,K121&lt;K$34,J$33,K121&lt;K$35,J$34,K121&lt;K$36,J$35,K121&lt;K$37,J$36,K121&lt;K$38,J$37,K121&lt;K$39,J$38,K121&lt;K$40,J$39,K121&lt;K$41,J$40,K121&lt;K$42,J$41,K121&lt;K$43,J$42,K121&lt;K$44,J$43,K121&lt;K$45,J$44,K121&lt;K$46,J$45,K121&lt;K$47,J$46,K121&gt;=K$47,J$47)</f>
        <v/>
      </c>
      <c r="K121" s="38" t="n">
        <v>71</v>
      </c>
      <c r="L121" s="31">
        <f>K121/52</f>
        <v/>
      </c>
      <c r="M121" s="39">
        <f>J121/1000000*52</f>
        <v/>
      </c>
      <c r="N121" s="33">
        <f>M121/$P$4+($I$22/$P$4)</f>
        <v/>
      </c>
      <c r="U121">
        <f>F120</f>
        <v/>
      </c>
      <c r="V121">
        <f>H120</f>
        <v/>
      </c>
      <c r="W121">
        <f>N120</f>
        <v/>
      </c>
    </row>
    <row r="122" ht="15.75" customHeight="1" s="40">
      <c r="C122" s="36">
        <f>_xlfn.IFS(E122&lt;E$24,0,E122&lt;E$26,C$24,E122&lt;E$28,C$26,E122&lt;E$30,C$28,E122&lt;E$32,C$30,E122&lt;E$34,C$32,E122&gt;=E$34,C$34)</f>
        <v/>
      </c>
      <c r="D122" s="37">
        <f>_xlfn.IFS(E122&lt;E$24,0,E122&lt;E$25,D$24,E122&lt;E$26,D$25,E122&lt;E$27,D$26,E122&lt;E$28,D$27,E122&lt;E$29,D$28,E122&lt;E$30,D$29,E122&lt;E$31,D$30,E122&lt;E$32,D$31,E122&lt;E$33,D$32,E122&lt;E$34,D$33,E122&lt;E$35,D$34,E122&gt;=E$35,D$35)</f>
        <v/>
      </c>
      <c r="E122" s="38" t="n">
        <v>72</v>
      </c>
      <c r="F122" s="31">
        <f>E122/52</f>
        <v/>
      </c>
      <c r="G122" s="39">
        <f>D122/1000000*52</f>
        <v/>
      </c>
      <c r="H122" s="33">
        <f>G122/$P$4+($C$22/$P$4)</f>
        <v/>
      </c>
      <c r="I122" s="36">
        <f>_xlfn.IFS(K122&lt;K$24,0,K122&lt;K$26,I$24,K122&lt;K$28,I$26,K122&lt;K$30,I$28,K122&lt;K$32,I$30,K122&lt;K$34,I$32,K122&lt;K$36,I$34,K122&lt;K$38,I$36,K122&lt;K$40,I$38,K122&lt;K$42,I$40,K122&lt;K$44,I$42,K122&lt;K$46,I$44,K122&gt;=K$46,I$46)</f>
        <v/>
      </c>
      <c r="J122" s="37">
        <f>_xlfn.IFS(K122&lt;K$24,0,K122&lt;K$25,J$24,K122&lt;K$26,J$25,K122&lt;K$27,J$26,K122&lt;K$28,J$27,K122&lt;K$29,J$28,K122&lt;K$30,J$29,K122&lt;K$31,J$30,K122&lt;K$32,J$31,K122&lt;K$33,J$32,K122&lt;K$34,J$33,K122&lt;K$35,J$34,K122&lt;K$36,J$35,K122&lt;K$37,J$36,K122&lt;K$38,J$37,K122&lt;K$39,J$38,K122&lt;K$40,J$39,K122&lt;K$41,J$40,K122&lt;K$42,J$41,K122&lt;K$43,J$42,K122&lt;K$44,J$43,K122&lt;K$45,J$44,K122&lt;K$46,J$45,K122&lt;K$47,J$46,K122&gt;=K$47,J$47)</f>
        <v/>
      </c>
      <c r="K122" s="38" t="n">
        <v>72</v>
      </c>
      <c r="L122" s="31">
        <f>K122/52</f>
        <v/>
      </c>
      <c r="M122" s="39">
        <f>J122/1000000*52</f>
        <v/>
      </c>
      <c r="N122" s="33">
        <f>M122/$P$4+($I$22/$P$4)</f>
        <v/>
      </c>
      <c r="U122">
        <f>F121</f>
        <v/>
      </c>
      <c r="V122">
        <f>H121</f>
        <v/>
      </c>
      <c r="W122">
        <f>N121</f>
        <v/>
      </c>
    </row>
    <row r="123" ht="15.75" customHeight="1" s="40">
      <c r="C123" s="36">
        <f>_xlfn.IFS(E123&lt;E$24,0,E123&lt;E$26,C$24,E123&lt;E$28,C$26,E123&lt;E$30,C$28,E123&lt;E$32,C$30,E123&lt;E$34,C$32,E123&gt;=E$34,C$34)</f>
        <v/>
      </c>
      <c r="D123" s="37">
        <f>_xlfn.IFS(E123&lt;E$24,0,E123&lt;E$25,D$24,E123&lt;E$26,D$25,E123&lt;E$27,D$26,E123&lt;E$28,D$27,E123&lt;E$29,D$28,E123&lt;E$30,D$29,E123&lt;E$31,D$30,E123&lt;E$32,D$31,E123&lt;E$33,D$32,E123&lt;E$34,D$33,E123&lt;E$35,D$34,E123&gt;=E$35,D$35)</f>
        <v/>
      </c>
      <c r="E123" s="38" t="n">
        <v>73</v>
      </c>
      <c r="F123" s="31">
        <f>E123/52</f>
        <v/>
      </c>
      <c r="G123" s="39">
        <f>D123/1000000*52</f>
        <v/>
      </c>
      <c r="H123" s="33">
        <f>G123/$P$4+($C$22/$P$4)</f>
        <v/>
      </c>
      <c r="I123" s="36">
        <f>_xlfn.IFS(K123&lt;K$24,0,K123&lt;K$26,I$24,K123&lt;K$28,I$26,K123&lt;K$30,I$28,K123&lt;K$32,I$30,K123&lt;K$34,I$32,K123&lt;K$36,I$34,K123&lt;K$38,I$36,K123&lt;K$40,I$38,K123&lt;K$42,I$40,K123&lt;K$44,I$42,K123&lt;K$46,I$44,K123&gt;=K$46,I$46)</f>
        <v/>
      </c>
      <c r="J123" s="37">
        <f>_xlfn.IFS(K123&lt;K$24,0,K123&lt;K$25,J$24,K123&lt;K$26,J$25,K123&lt;K$27,J$26,K123&lt;K$28,J$27,K123&lt;K$29,J$28,K123&lt;K$30,J$29,K123&lt;K$31,J$30,K123&lt;K$32,J$31,K123&lt;K$33,J$32,K123&lt;K$34,J$33,K123&lt;K$35,J$34,K123&lt;K$36,J$35,K123&lt;K$37,J$36,K123&lt;K$38,J$37,K123&lt;K$39,J$38,K123&lt;K$40,J$39,K123&lt;K$41,J$40,K123&lt;K$42,J$41,K123&lt;K$43,J$42,K123&lt;K$44,J$43,K123&lt;K$45,J$44,K123&lt;K$46,J$45,K123&lt;K$47,J$46,K123&gt;=K$47,J$47)</f>
        <v/>
      </c>
      <c r="K123" s="38" t="n">
        <v>73</v>
      </c>
      <c r="L123" s="31">
        <f>K123/52</f>
        <v/>
      </c>
      <c r="M123" s="39">
        <f>J123/1000000*52</f>
        <v/>
      </c>
      <c r="N123" s="33">
        <f>M123/$P$4+($I$22/$P$4)</f>
        <v/>
      </c>
      <c r="U123">
        <f>F122</f>
        <v/>
      </c>
      <c r="V123">
        <f>H122</f>
        <v/>
      </c>
      <c r="W123">
        <f>N122</f>
        <v/>
      </c>
    </row>
    <row r="124" ht="15.75" customHeight="1" s="40">
      <c r="C124" s="36">
        <f>_xlfn.IFS(E124&lt;E$24,0,E124&lt;E$26,C$24,E124&lt;E$28,C$26,E124&lt;E$30,C$28,E124&lt;E$32,C$30,E124&lt;E$34,C$32,E124&gt;=E$34,C$34)</f>
        <v/>
      </c>
      <c r="D124" s="37">
        <f>_xlfn.IFS(E124&lt;E$24,0,E124&lt;E$25,D$24,E124&lt;E$26,D$25,E124&lt;E$27,D$26,E124&lt;E$28,D$27,E124&lt;E$29,D$28,E124&lt;E$30,D$29,E124&lt;E$31,D$30,E124&lt;E$32,D$31,E124&lt;E$33,D$32,E124&lt;E$34,D$33,E124&lt;E$35,D$34,E124&gt;=E$35,D$35)</f>
        <v/>
      </c>
      <c r="E124" s="38" t="n">
        <v>74</v>
      </c>
      <c r="F124" s="31">
        <f>E124/52</f>
        <v/>
      </c>
      <c r="G124" s="39">
        <f>D124/1000000*52</f>
        <v/>
      </c>
      <c r="H124" s="33">
        <f>G124/$P$4+($C$22/$P$4)</f>
        <v/>
      </c>
      <c r="I124" s="36">
        <f>_xlfn.IFS(K124&lt;K$24,0,K124&lt;K$26,I$24,K124&lt;K$28,I$26,K124&lt;K$30,I$28,K124&lt;K$32,I$30,K124&lt;K$34,I$32,K124&lt;K$36,I$34,K124&lt;K$38,I$36,K124&lt;K$40,I$38,K124&lt;K$42,I$40,K124&lt;K$44,I$42,K124&lt;K$46,I$44,K124&gt;=K$46,I$46)</f>
        <v/>
      </c>
      <c r="J124" s="37">
        <f>_xlfn.IFS(K124&lt;K$24,0,K124&lt;K$25,J$24,K124&lt;K$26,J$25,K124&lt;K$27,J$26,K124&lt;K$28,J$27,K124&lt;K$29,J$28,K124&lt;K$30,J$29,K124&lt;K$31,J$30,K124&lt;K$32,J$31,K124&lt;K$33,J$32,K124&lt;K$34,J$33,K124&lt;K$35,J$34,K124&lt;K$36,J$35,K124&lt;K$37,J$36,K124&lt;K$38,J$37,K124&lt;K$39,J$38,K124&lt;K$40,J$39,K124&lt;K$41,J$40,K124&lt;K$42,J$41,K124&lt;K$43,J$42,K124&lt;K$44,J$43,K124&lt;K$45,J$44,K124&lt;K$46,J$45,K124&lt;K$47,J$46,K124&gt;=K$47,J$47)</f>
        <v/>
      </c>
      <c r="K124" s="38" t="n">
        <v>74</v>
      </c>
      <c r="L124" s="31">
        <f>K124/52</f>
        <v/>
      </c>
      <c r="M124" s="39">
        <f>J124/1000000*52</f>
        <v/>
      </c>
      <c r="N124" s="33">
        <f>M124/$P$4+($I$22/$P$4)</f>
        <v/>
      </c>
      <c r="U124">
        <f>F123</f>
        <v/>
      </c>
      <c r="V124">
        <f>H123</f>
        <v/>
      </c>
      <c r="W124">
        <f>N123</f>
        <v/>
      </c>
    </row>
    <row r="125" ht="15.75" customHeight="1" s="40">
      <c r="C125" s="36">
        <f>_xlfn.IFS(E125&lt;E$24,0,E125&lt;E$26,C$24,E125&lt;E$28,C$26,E125&lt;E$30,C$28,E125&lt;E$32,C$30,E125&lt;E$34,C$32,E125&gt;=E$34,C$34)</f>
        <v/>
      </c>
      <c r="D125" s="37">
        <f>_xlfn.IFS(E125&lt;E$24,0,E125&lt;E$25,D$24,E125&lt;E$26,D$25,E125&lt;E$27,D$26,E125&lt;E$28,D$27,E125&lt;E$29,D$28,E125&lt;E$30,D$29,E125&lt;E$31,D$30,E125&lt;E$32,D$31,E125&lt;E$33,D$32,E125&lt;E$34,D$33,E125&lt;E$35,D$34,E125&gt;=E$35,D$35)</f>
        <v/>
      </c>
      <c r="E125" s="38" t="n">
        <v>75</v>
      </c>
      <c r="F125" s="31">
        <f>E125/52</f>
        <v/>
      </c>
      <c r="G125" s="39">
        <f>D125/1000000*52</f>
        <v/>
      </c>
      <c r="H125" s="33">
        <f>G125/$P$4+($C$22/$P$4)</f>
        <v/>
      </c>
      <c r="I125" s="36">
        <f>_xlfn.IFS(K125&lt;K$24,0,K125&lt;K$26,I$24,K125&lt;K$28,I$26,K125&lt;K$30,I$28,K125&lt;K$32,I$30,K125&lt;K$34,I$32,K125&lt;K$36,I$34,K125&lt;K$38,I$36,K125&lt;K$40,I$38,K125&lt;K$42,I$40,K125&lt;K$44,I$42,K125&lt;K$46,I$44,K125&gt;=K$46,I$46)</f>
        <v/>
      </c>
      <c r="J125" s="37">
        <f>_xlfn.IFS(K125&lt;K$24,0,K125&lt;K$25,J$24,K125&lt;K$26,J$25,K125&lt;K$27,J$26,K125&lt;K$28,J$27,K125&lt;K$29,J$28,K125&lt;K$30,J$29,K125&lt;K$31,J$30,K125&lt;K$32,J$31,K125&lt;K$33,J$32,K125&lt;K$34,J$33,K125&lt;K$35,J$34,K125&lt;K$36,J$35,K125&lt;K$37,J$36,K125&lt;K$38,J$37,K125&lt;K$39,J$38,K125&lt;K$40,J$39,K125&lt;K$41,J$40,K125&lt;K$42,J$41,K125&lt;K$43,J$42,K125&lt;K$44,J$43,K125&lt;K$45,J$44,K125&lt;K$46,J$45,K125&lt;K$47,J$46,K125&gt;=K$47,J$47)</f>
        <v/>
      </c>
      <c r="K125" s="38" t="n">
        <v>75</v>
      </c>
      <c r="L125" s="31">
        <f>K125/52</f>
        <v/>
      </c>
      <c r="M125" s="39">
        <f>J125/1000000*52</f>
        <v/>
      </c>
      <c r="N125" s="33">
        <f>M125/$P$4+($I$22/$P$4)</f>
        <v/>
      </c>
      <c r="U125">
        <f>F124</f>
        <v/>
      </c>
      <c r="V125">
        <f>H124</f>
        <v/>
      </c>
      <c r="W125">
        <f>N124</f>
        <v/>
      </c>
    </row>
    <row r="126" ht="15.75" customHeight="1" s="40">
      <c r="C126" s="36">
        <f>_xlfn.IFS(E126&lt;E$24,0,E126&lt;E$26,C$24,E126&lt;E$28,C$26,E126&lt;E$30,C$28,E126&lt;E$32,C$30,E126&lt;E$34,C$32,E126&gt;=E$34,C$34)</f>
        <v/>
      </c>
      <c r="D126" s="37">
        <f>_xlfn.IFS(E126&lt;E$24,0,E126&lt;E$25,D$24,E126&lt;E$26,D$25,E126&lt;E$27,D$26,E126&lt;E$28,D$27,E126&lt;E$29,D$28,E126&lt;E$30,D$29,E126&lt;E$31,D$30,E126&lt;E$32,D$31,E126&lt;E$33,D$32,E126&lt;E$34,D$33,E126&lt;E$35,D$34,E126&gt;=E$35,D$35)</f>
        <v/>
      </c>
      <c r="E126" s="38" t="n">
        <v>76</v>
      </c>
      <c r="F126" s="31">
        <f>E126/52</f>
        <v/>
      </c>
      <c r="G126" s="39">
        <f>D126/1000000*52</f>
        <v/>
      </c>
      <c r="H126" s="33">
        <f>G126/$P$4+($C$22/$P$4)</f>
        <v/>
      </c>
      <c r="I126" s="36">
        <f>_xlfn.IFS(K126&lt;K$24,0,K126&lt;K$26,I$24,K126&lt;K$28,I$26,K126&lt;K$30,I$28,K126&lt;K$32,I$30,K126&lt;K$34,I$32,K126&lt;K$36,I$34,K126&lt;K$38,I$36,K126&lt;K$40,I$38,K126&lt;K$42,I$40,K126&lt;K$44,I$42,K126&lt;K$46,I$44,K126&gt;=K$46,I$46)</f>
        <v/>
      </c>
      <c r="J126" s="37">
        <f>_xlfn.IFS(K126&lt;K$24,0,K126&lt;K$25,J$24,K126&lt;K$26,J$25,K126&lt;K$27,J$26,K126&lt;K$28,J$27,K126&lt;K$29,J$28,K126&lt;K$30,J$29,K126&lt;K$31,J$30,K126&lt;K$32,J$31,K126&lt;K$33,J$32,K126&lt;K$34,J$33,K126&lt;K$35,J$34,K126&lt;K$36,J$35,K126&lt;K$37,J$36,K126&lt;K$38,J$37,K126&lt;K$39,J$38,K126&lt;K$40,J$39,K126&lt;K$41,J$40,K126&lt;K$42,J$41,K126&lt;K$43,J$42,K126&lt;K$44,J$43,K126&lt;K$45,J$44,K126&lt;K$46,J$45,K126&lt;K$47,J$46,K126&gt;=K$47,J$47)</f>
        <v/>
      </c>
      <c r="K126" s="38" t="n">
        <v>76</v>
      </c>
      <c r="L126" s="31">
        <f>K126/52</f>
        <v/>
      </c>
      <c r="M126" s="39">
        <f>J126/1000000*52</f>
        <v/>
      </c>
      <c r="N126" s="33">
        <f>M126/$P$4+($I$22/$P$4)</f>
        <v/>
      </c>
      <c r="U126">
        <f>F125</f>
        <v/>
      </c>
      <c r="V126">
        <f>H125</f>
        <v/>
      </c>
      <c r="W126">
        <f>N125</f>
        <v/>
      </c>
    </row>
    <row r="127" ht="15.75" customHeight="1" s="40">
      <c r="C127" s="36">
        <f>_xlfn.IFS(E127&lt;E$24,0,E127&lt;E$26,C$24,E127&lt;E$28,C$26,E127&lt;E$30,C$28,E127&lt;E$32,C$30,E127&lt;E$34,C$32,E127&gt;=E$34,C$34)</f>
        <v/>
      </c>
      <c r="D127" s="37">
        <f>_xlfn.IFS(E127&lt;E$24,0,E127&lt;E$25,D$24,E127&lt;E$26,D$25,E127&lt;E$27,D$26,E127&lt;E$28,D$27,E127&lt;E$29,D$28,E127&lt;E$30,D$29,E127&lt;E$31,D$30,E127&lt;E$32,D$31,E127&lt;E$33,D$32,E127&lt;E$34,D$33,E127&lt;E$35,D$34,E127&gt;=E$35,D$35)</f>
        <v/>
      </c>
      <c r="E127" s="38" t="n">
        <v>77</v>
      </c>
      <c r="F127" s="31">
        <f>E127/52</f>
        <v/>
      </c>
      <c r="G127" s="39">
        <f>D127/1000000*52</f>
        <v/>
      </c>
      <c r="H127" s="33">
        <f>G127/$P$4+($C$22/$P$4)</f>
        <v/>
      </c>
      <c r="I127" s="36">
        <f>_xlfn.IFS(K127&lt;K$24,0,K127&lt;K$26,I$24,K127&lt;K$28,I$26,K127&lt;K$30,I$28,K127&lt;K$32,I$30,K127&lt;K$34,I$32,K127&lt;K$36,I$34,K127&lt;K$38,I$36,K127&lt;K$40,I$38,K127&lt;K$42,I$40,K127&lt;K$44,I$42,K127&lt;K$46,I$44,K127&gt;=K$46,I$46)</f>
        <v/>
      </c>
      <c r="J127" s="37">
        <f>_xlfn.IFS(K127&lt;K$24,0,K127&lt;K$25,J$24,K127&lt;K$26,J$25,K127&lt;K$27,J$26,K127&lt;K$28,J$27,K127&lt;K$29,J$28,K127&lt;K$30,J$29,K127&lt;K$31,J$30,K127&lt;K$32,J$31,K127&lt;K$33,J$32,K127&lt;K$34,J$33,K127&lt;K$35,J$34,K127&lt;K$36,J$35,K127&lt;K$37,J$36,K127&lt;K$38,J$37,K127&lt;K$39,J$38,K127&lt;K$40,J$39,K127&lt;K$41,J$40,K127&lt;K$42,J$41,K127&lt;K$43,J$42,K127&lt;K$44,J$43,K127&lt;K$45,J$44,K127&lt;K$46,J$45,K127&lt;K$47,J$46,K127&gt;=K$47,J$47)</f>
        <v/>
      </c>
      <c r="K127" s="38" t="n">
        <v>77</v>
      </c>
      <c r="L127" s="31">
        <f>K127/52</f>
        <v/>
      </c>
      <c r="M127" s="39">
        <f>J127/1000000*52</f>
        <v/>
      </c>
      <c r="N127" s="33">
        <f>M127/$P$4+($I$22/$P$4)</f>
        <v/>
      </c>
      <c r="U127">
        <f>F126</f>
        <v/>
      </c>
      <c r="V127">
        <f>H126</f>
        <v/>
      </c>
      <c r="W127">
        <f>N126</f>
        <v/>
      </c>
    </row>
    <row r="128" ht="15.75" customHeight="1" s="40">
      <c r="C128" s="36">
        <f>_xlfn.IFS(E128&lt;E$24,0,E128&lt;E$26,C$24,E128&lt;E$28,C$26,E128&lt;E$30,C$28,E128&lt;E$32,C$30,E128&lt;E$34,C$32,E128&gt;=E$34,C$34)</f>
        <v/>
      </c>
      <c r="D128" s="37">
        <f>_xlfn.IFS(E128&lt;E$24,0,E128&lt;E$25,D$24,E128&lt;E$26,D$25,E128&lt;E$27,D$26,E128&lt;E$28,D$27,E128&lt;E$29,D$28,E128&lt;E$30,D$29,E128&lt;E$31,D$30,E128&lt;E$32,D$31,E128&lt;E$33,D$32,E128&lt;E$34,D$33,E128&lt;E$35,D$34,E128&gt;=E$35,D$35)</f>
        <v/>
      </c>
      <c r="E128" s="38" t="n">
        <v>78</v>
      </c>
      <c r="F128" s="31">
        <f>E128/52</f>
        <v/>
      </c>
      <c r="G128" s="39">
        <f>D128/1000000*52</f>
        <v/>
      </c>
      <c r="H128" s="33">
        <f>G128/$P$4+($C$22/$P$4)</f>
        <v/>
      </c>
      <c r="I128" s="36">
        <f>_xlfn.IFS(K128&lt;K$24,0,K128&lt;K$26,I$24,K128&lt;K$28,I$26,K128&lt;K$30,I$28,K128&lt;K$32,I$30,K128&lt;K$34,I$32,K128&lt;K$36,I$34,K128&lt;K$38,I$36,K128&lt;K$40,I$38,K128&lt;K$42,I$40,K128&lt;K$44,I$42,K128&lt;K$46,I$44,K128&gt;=K$46,I$46)</f>
        <v/>
      </c>
      <c r="J128" s="37">
        <f>_xlfn.IFS(K128&lt;K$24,0,K128&lt;K$25,J$24,K128&lt;K$26,J$25,K128&lt;K$27,J$26,K128&lt;K$28,J$27,K128&lt;K$29,J$28,K128&lt;K$30,J$29,K128&lt;K$31,J$30,K128&lt;K$32,J$31,K128&lt;K$33,J$32,K128&lt;K$34,J$33,K128&lt;K$35,J$34,K128&lt;K$36,J$35,K128&lt;K$37,J$36,K128&lt;K$38,J$37,K128&lt;K$39,J$38,K128&lt;K$40,J$39,K128&lt;K$41,J$40,K128&lt;K$42,J$41,K128&lt;K$43,J$42,K128&lt;K$44,J$43,K128&lt;K$45,J$44,K128&lt;K$46,J$45,K128&lt;K$47,J$46,K128&gt;=K$47,J$47)</f>
        <v/>
      </c>
      <c r="K128" s="38" t="n">
        <v>78</v>
      </c>
      <c r="L128" s="31">
        <f>K128/52</f>
        <v/>
      </c>
      <c r="M128" s="39">
        <f>J128/1000000*52</f>
        <v/>
      </c>
      <c r="N128" s="33">
        <f>M128/$P$4+($I$22/$P$4)</f>
        <v/>
      </c>
      <c r="U128">
        <f>F127</f>
        <v/>
      </c>
      <c r="V128">
        <f>H127</f>
        <v/>
      </c>
      <c r="W128">
        <f>N127</f>
        <v/>
      </c>
    </row>
    <row r="129" ht="15.75" customHeight="1" s="40">
      <c r="C129" s="36">
        <f>_xlfn.IFS(E129&lt;E$24,0,E129&lt;E$26,C$24,E129&lt;E$28,C$26,E129&lt;E$30,C$28,E129&lt;E$32,C$30,E129&lt;E$34,C$32,E129&gt;=E$34,C$34)</f>
        <v/>
      </c>
      <c r="D129" s="37">
        <f>_xlfn.IFS(E129&lt;E$24,0,E129&lt;E$25,D$24,E129&lt;E$26,D$25,E129&lt;E$27,D$26,E129&lt;E$28,D$27,E129&lt;E$29,D$28,E129&lt;E$30,D$29,E129&lt;E$31,D$30,E129&lt;E$32,D$31,E129&lt;E$33,D$32,E129&lt;E$34,D$33,E129&lt;E$35,D$34,E129&gt;=E$35,D$35)</f>
        <v/>
      </c>
      <c r="E129" s="38" t="n">
        <v>79</v>
      </c>
      <c r="F129" s="31">
        <f>E129/52</f>
        <v/>
      </c>
      <c r="G129" s="39">
        <f>D129/1000000*52</f>
        <v/>
      </c>
      <c r="H129" s="33">
        <f>G129/$P$4+($C$22/$P$4)</f>
        <v/>
      </c>
      <c r="I129" s="36">
        <f>_xlfn.IFS(K129&lt;K$24,0,K129&lt;K$26,I$24,K129&lt;K$28,I$26,K129&lt;K$30,I$28,K129&lt;K$32,I$30,K129&lt;K$34,I$32,K129&lt;K$36,I$34,K129&lt;K$38,I$36,K129&lt;K$40,I$38,K129&lt;K$42,I$40,K129&lt;K$44,I$42,K129&lt;K$46,I$44,K129&gt;=K$46,I$46)</f>
        <v/>
      </c>
      <c r="J129" s="37">
        <f>_xlfn.IFS(K129&lt;K$24,0,K129&lt;K$25,J$24,K129&lt;K$26,J$25,K129&lt;K$27,J$26,K129&lt;K$28,J$27,K129&lt;K$29,J$28,K129&lt;K$30,J$29,K129&lt;K$31,J$30,K129&lt;K$32,J$31,K129&lt;K$33,J$32,K129&lt;K$34,J$33,K129&lt;K$35,J$34,K129&lt;K$36,J$35,K129&lt;K$37,J$36,K129&lt;K$38,J$37,K129&lt;K$39,J$38,K129&lt;K$40,J$39,K129&lt;K$41,J$40,K129&lt;K$42,J$41,K129&lt;K$43,J$42,K129&lt;K$44,J$43,K129&lt;K$45,J$44,K129&lt;K$46,J$45,K129&lt;K$47,J$46,K129&gt;=K$47,J$47)</f>
        <v/>
      </c>
      <c r="K129" s="38" t="n">
        <v>79</v>
      </c>
      <c r="L129" s="31">
        <f>K129/52</f>
        <v/>
      </c>
      <c r="M129" s="39">
        <f>J129/1000000*52</f>
        <v/>
      </c>
      <c r="N129" s="33">
        <f>M129/$P$4+($I$22/$P$4)</f>
        <v/>
      </c>
      <c r="U129">
        <f>F128</f>
        <v/>
      </c>
      <c r="V129">
        <f>H128</f>
        <v/>
      </c>
      <c r="W129">
        <f>N128</f>
        <v/>
      </c>
    </row>
    <row r="130" ht="15.75" customHeight="1" s="40">
      <c r="C130" s="36">
        <f>_xlfn.IFS(E130&lt;E$24,0,E130&lt;E$26,C$24,E130&lt;E$28,C$26,E130&lt;E$30,C$28,E130&lt;E$32,C$30,E130&lt;E$34,C$32,E130&gt;=E$34,C$34)</f>
        <v/>
      </c>
      <c r="D130" s="37">
        <f>_xlfn.IFS(E130&lt;E$24,0,E130&lt;E$25,D$24,E130&lt;E$26,D$25,E130&lt;E$27,D$26,E130&lt;E$28,D$27,E130&lt;E$29,D$28,E130&lt;E$30,D$29,E130&lt;E$31,D$30,E130&lt;E$32,D$31,E130&lt;E$33,D$32,E130&lt;E$34,D$33,E130&lt;E$35,D$34,E130&gt;=E$35,D$35)</f>
        <v/>
      </c>
      <c r="E130" s="38" t="n">
        <v>80</v>
      </c>
      <c r="F130" s="31">
        <f>E130/52</f>
        <v/>
      </c>
      <c r="G130" s="39">
        <f>D130/1000000*52</f>
        <v/>
      </c>
      <c r="H130" s="33">
        <f>G130/$P$4+($C$22/$P$4)</f>
        <v/>
      </c>
      <c r="I130" s="36">
        <f>_xlfn.IFS(K130&lt;K$24,0,K130&lt;K$26,I$24,K130&lt;K$28,I$26,K130&lt;K$30,I$28,K130&lt;K$32,I$30,K130&lt;K$34,I$32,K130&lt;K$36,I$34,K130&lt;K$38,I$36,K130&lt;K$40,I$38,K130&lt;K$42,I$40,K130&lt;K$44,I$42,K130&lt;K$46,I$44,K130&gt;=K$46,I$46)</f>
        <v/>
      </c>
      <c r="J130" s="37">
        <f>_xlfn.IFS(K130&lt;K$24,0,K130&lt;K$25,J$24,K130&lt;K$26,J$25,K130&lt;K$27,J$26,K130&lt;K$28,J$27,K130&lt;K$29,J$28,K130&lt;K$30,J$29,K130&lt;K$31,J$30,K130&lt;K$32,J$31,K130&lt;K$33,J$32,K130&lt;K$34,J$33,K130&lt;K$35,J$34,K130&lt;K$36,J$35,K130&lt;K$37,J$36,K130&lt;K$38,J$37,K130&lt;K$39,J$38,K130&lt;K$40,J$39,K130&lt;K$41,J$40,K130&lt;K$42,J$41,K130&lt;K$43,J$42,K130&lt;K$44,J$43,K130&lt;K$45,J$44,K130&lt;K$46,J$45,K130&lt;K$47,J$46,K130&gt;=K$47,J$47)</f>
        <v/>
      </c>
      <c r="K130" s="38" t="n">
        <v>80</v>
      </c>
      <c r="L130" s="31">
        <f>K130/52</f>
        <v/>
      </c>
      <c r="M130" s="39">
        <f>J130/1000000*52</f>
        <v/>
      </c>
      <c r="N130" s="33">
        <f>M130/$P$4+($I$22/$P$4)</f>
        <v/>
      </c>
      <c r="U130">
        <f>F129</f>
        <v/>
      </c>
      <c r="V130">
        <f>H129</f>
        <v/>
      </c>
      <c r="W130">
        <f>N129</f>
        <v/>
      </c>
    </row>
    <row r="131" ht="15.75" customHeight="1" s="40">
      <c r="C131" s="36">
        <f>_xlfn.IFS(E131&lt;E$24,0,E131&lt;E$26,C$24,E131&lt;E$28,C$26,E131&lt;E$30,C$28,E131&lt;E$32,C$30,E131&lt;E$34,C$32,E131&gt;=E$34,C$34)</f>
        <v/>
      </c>
      <c r="D131" s="37">
        <f>_xlfn.IFS(E131&lt;E$24,0,E131&lt;E$25,D$24,E131&lt;E$26,D$25,E131&lt;E$27,D$26,E131&lt;E$28,D$27,E131&lt;E$29,D$28,E131&lt;E$30,D$29,E131&lt;E$31,D$30,E131&lt;E$32,D$31,E131&lt;E$33,D$32,E131&lt;E$34,D$33,E131&lt;E$35,D$34,E131&gt;=E$35,D$35)</f>
        <v/>
      </c>
      <c r="E131" s="38" t="n">
        <v>81</v>
      </c>
      <c r="F131" s="31">
        <f>E131/52</f>
        <v/>
      </c>
      <c r="G131" s="39">
        <f>D131/1000000*52</f>
        <v/>
      </c>
      <c r="H131" s="33">
        <f>G131/$P$4+($C$22/$P$4)</f>
        <v/>
      </c>
      <c r="I131" s="36">
        <f>_xlfn.IFS(K131&lt;K$24,0,K131&lt;K$26,I$24,K131&lt;K$28,I$26,K131&lt;K$30,I$28,K131&lt;K$32,I$30,K131&lt;K$34,I$32,K131&lt;K$36,I$34,K131&lt;K$38,I$36,K131&lt;K$40,I$38,K131&lt;K$42,I$40,K131&lt;K$44,I$42,K131&lt;K$46,I$44,K131&gt;=K$46,I$46)</f>
        <v/>
      </c>
      <c r="J131" s="37">
        <f>_xlfn.IFS(K131&lt;K$24,0,K131&lt;K$25,J$24,K131&lt;K$26,J$25,K131&lt;K$27,J$26,K131&lt;K$28,J$27,K131&lt;K$29,J$28,K131&lt;K$30,J$29,K131&lt;K$31,J$30,K131&lt;K$32,J$31,K131&lt;K$33,J$32,K131&lt;K$34,J$33,K131&lt;K$35,J$34,K131&lt;K$36,J$35,K131&lt;K$37,J$36,K131&lt;K$38,J$37,K131&lt;K$39,J$38,K131&lt;K$40,J$39,K131&lt;K$41,J$40,K131&lt;K$42,J$41,K131&lt;K$43,J$42,K131&lt;K$44,J$43,K131&lt;K$45,J$44,K131&lt;K$46,J$45,K131&lt;K$47,J$46,K131&gt;=K$47,J$47)</f>
        <v/>
      </c>
      <c r="K131" s="38" t="n">
        <v>81</v>
      </c>
      <c r="L131" s="31">
        <f>K131/52</f>
        <v/>
      </c>
      <c r="M131" s="39">
        <f>J131/1000000*52</f>
        <v/>
      </c>
      <c r="N131" s="33">
        <f>M131/$P$4+($I$22/$P$4)</f>
        <v/>
      </c>
      <c r="U131">
        <f>F130</f>
        <v/>
      </c>
      <c r="V131">
        <f>H130</f>
        <v/>
      </c>
      <c r="W131">
        <f>N130</f>
        <v/>
      </c>
    </row>
    <row r="132" ht="15.75" customHeight="1" s="40">
      <c r="C132" s="36">
        <f>_xlfn.IFS(E132&lt;E$24,0,E132&lt;E$26,C$24,E132&lt;E$28,C$26,E132&lt;E$30,C$28,E132&lt;E$32,C$30,E132&lt;E$34,C$32,E132&gt;=E$34,C$34)</f>
        <v/>
      </c>
      <c r="D132" s="37">
        <f>_xlfn.IFS(E132&lt;E$24,0,E132&lt;E$25,D$24,E132&lt;E$26,D$25,E132&lt;E$27,D$26,E132&lt;E$28,D$27,E132&lt;E$29,D$28,E132&lt;E$30,D$29,E132&lt;E$31,D$30,E132&lt;E$32,D$31,E132&lt;E$33,D$32,E132&lt;E$34,D$33,E132&lt;E$35,D$34,E132&gt;=E$35,D$35)</f>
        <v/>
      </c>
      <c r="E132" s="38" t="n">
        <v>82</v>
      </c>
      <c r="F132" s="31">
        <f>E132/52</f>
        <v/>
      </c>
      <c r="G132" s="39">
        <f>D132/1000000*52</f>
        <v/>
      </c>
      <c r="H132" s="33">
        <f>G132/$P$4+($C$22/$P$4)</f>
        <v/>
      </c>
      <c r="I132" s="36">
        <f>_xlfn.IFS(K132&lt;K$24,0,K132&lt;K$26,I$24,K132&lt;K$28,I$26,K132&lt;K$30,I$28,K132&lt;K$32,I$30,K132&lt;K$34,I$32,K132&lt;K$36,I$34,K132&lt;K$38,I$36,K132&lt;K$40,I$38,K132&lt;K$42,I$40,K132&lt;K$44,I$42,K132&lt;K$46,I$44,K132&gt;=K$46,I$46)</f>
        <v/>
      </c>
      <c r="J132" s="37">
        <f>_xlfn.IFS(K132&lt;K$24,0,K132&lt;K$25,J$24,K132&lt;K$26,J$25,K132&lt;K$27,J$26,K132&lt;K$28,J$27,K132&lt;K$29,J$28,K132&lt;K$30,J$29,K132&lt;K$31,J$30,K132&lt;K$32,J$31,K132&lt;K$33,J$32,K132&lt;K$34,J$33,K132&lt;K$35,J$34,K132&lt;K$36,J$35,K132&lt;K$37,J$36,K132&lt;K$38,J$37,K132&lt;K$39,J$38,K132&lt;K$40,J$39,K132&lt;K$41,J$40,K132&lt;K$42,J$41,K132&lt;K$43,J$42,K132&lt;K$44,J$43,K132&lt;K$45,J$44,K132&lt;K$46,J$45,K132&lt;K$47,J$46,K132&gt;=K$47,J$47)</f>
        <v/>
      </c>
      <c r="K132" s="38" t="n">
        <v>82</v>
      </c>
      <c r="L132" s="31">
        <f>K132/52</f>
        <v/>
      </c>
      <c r="M132" s="39">
        <f>J132/1000000*52</f>
        <v/>
      </c>
      <c r="N132" s="33">
        <f>M132/$P$4+($I$22/$P$4)</f>
        <v/>
      </c>
      <c r="U132">
        <f>F131</f>
        <v/>
      </c>
      <c r="V132">
        <f>H131</f>
        <v/>
      </c>
      <c r="W132">
        <f>N131</f>
        <v/>
      </c>
    </row>
    <row r="133" ht="15.75" customHeight="1" s="40">
      <c r="C133" s="36">
        <f>_xlfn.IFS(E133&lt;E$24,0,E133&lt;E$26,C$24,E133&lt;E$28,C$26,E133&lt;E$30,C$28,E133&lt;E$32,C$30,E133&lt;E$34,C$32,E133&gt;=E$34,C$34)</f>
        <v/>
      </c>
      <c r="D133" s="37">
        <f>_xlfn.IFS(E133&lt;E$24,0,E133&lt;E$25,D$24,E133&lt;E$26,D$25,E133&lt;E$27,D$26,E133&lt;E$28,D$27,E133&lt;E$29,D$28,E133&lt;E$30,D$29,E133&lt;E$31,D$30,E133&lt;E$32,D$31,E133&lt;E$33,D$32,E133&lt;E$34,D$33,E133&lt;E$35,D$34,E133&gt;=E$35,D$35)</f>
        <v/>
      </c>
      <c r="E133" s="38" t="n">
        <v>83</v>
      </c>
      <c r="F133" s="31">
        <f>E133/52</f>
        <v/>
      </c>
      <c r="G133" s="39">
        <f>D133/1000000*52</f>
        <v/>
      </c>
      <c r="H133" s="33">
        <f>G133/$P$4+($C$22/$P$4)</f>
        <v/>
      </c>
      <c r="I133" s="36">
        <f>_xlfn.IFS(K133&lt;K$24,0,K133&lt;K$26,I$24,K133&lt;K$28,I$26,K133&lt;K$30,I$28,K133&lt;K$32,I$30,K133&lt;K$34,I$32,K133&lt;K$36,I$34,K133&lt;K$38,I$36,K133&lt;K$40,I$38,K133&lt;K$42,I$40,K133&lt;K$44,I$42,K133&lt;K$46,I$44,K133&gt;=K$46,I$46)</f>
        <v/>
      </c>
      <c r="J133" s="37">
        <f>_xlfn.IFS(K133&lt;K$24,0,K133&lt;K$25,J$24,K133&lt;K$26,J$25,K133&lt;K$27,J$26,K133&lt;K$28,J$27,K133&lt;K$29,J$28,K133&lt;K$30,J$29,K133&lt;K$31,J$30,K133&lt;K$32,J$31,K133&lt;K$33,J$32,K133&lt;K$34,J$33,K133&lt;K$35,J$34,K133&lt;K$36,J$35,K133&lt;K$37,J$36,K133&lt;K$38,J$37,K133&lt;K$39,J$38,K133&lt;K$40,J$39,K133&lt;K$41,J$40,K133&lt;K$42,J$41,K133&lt;K$43,J$42,K133&lt;K$44,J$43,K133&lt;K$45,J$44,K133&lt;K$46,J$45,K133&lt;K$47,J$46,K133&gt;=K$47,J$47)</f>
        <v/>
      </c>
      <c r="K133" s="38" t="n">
        <v>83</v>
      </c>
      <c r="L133" s="31">
        <f>K133/52</f>
        <v/>
      </c>
      <c r="M133" s="39">
        <f>J133/1000000*52</f>
        <v/>
      </c>
      <c r="N133" s="33">
        <f>M133/$P$4+($I$22/$P$4)</f>
        <v/>
      </c>
      <c r="U133">
        <f>F132</f>
        <v/>
      </c>
      <c r="V133">
        <f>H132</f>
        <v/>
      </c>
      <c r="W133">
        <f>N132</f>
        <v/>
      </c>
    </row>
    <row r="134" ht="15.75" customHeight="1" s="40">
      <c r="C134" s="36">
        <f>_xlfn.IFS(E134&lt;E$24,0,E134&lt;E$26,C$24,E134&lt;E$28,C$26,E134&lt;E$30,C$28,E134&lt;E$32,C$30,E134&lt;E$34,C$32,E134&gt;=E$34,C$34)</f>
        <v/>
      </c>
      <c r="D134" s="37">
        <f>_xlfn.IFS(E134&lt;E$24,0,E134&lt;E$25,D$24,E134&lt;E$26,D$25,E134&lt;E$27,D$26,E134&lt;E$28,D$27,E134&lt;E$29,D$28,E134&lt;E$30,D$29,E134&lt;E$31,D$30,E134&lt;E$32,D$31,E134&lt;E$33,D$32,E134&lt;E$34,D$33,E134&lt;E$35,D$34,E134&gt;=E$35,D$35)</f>
        <v/>
      </c>
      <c r="E134" s="38" t="n">
        <v>84</v>
      </c>
      <c r="F134" s="31">
        <f>E134/52</f>
        <v/>
      </c>
      <c r="G134" s="39">
        <f>D134/1000000*52</f>
        <v/>
      </c>
      <c r="H134" s="33">
        <f>G134/$P$4+($C$22/$P$4)</f>
        <v/>
      </c>
      <c r="I134" s="36">
        <f>_xlfn.IFS(K134&lt;K$24,0,K134&lt;K$26,I$24,K134&lt;K$28,I$26,K134&lt;K$30,I$28,K134&lt;K$32,I$30,K134&lt;K$34,I$32,K134&lt;K$36,I$34,K134&lt;K$38,I$36,K134&lt;K$40,I$38,K134&lt;K$42,I$40,K134&lt;K$44,I$42,K134&lt;K$46,I$44,K134&gt;=K$46,I$46)</f>
        <v/>
      </c>
      <c r="J134" s="37">
        <f>_xlfn.IFS(K134&lt;K$24,0,K134&lt;K$25,J$24,K134&lt;K$26,J$25,K134&lt;K$27,J$26,K134&lt;K$28,J$27,K134&lt;K$29,J$28,K134&lt;K$30,J$29,K134&lt;K$31,J$30,K134&lt;K$32,J$31,K134&lt;K$33,J$32,K134&lt;K$34,J$33,K134&lt;K$35,J$34,K134&lt;K$36,J$35,K134&lt;K$37,J$36,K134&lt;K$38,J$37,K134&lt;K$39,J$38,K134&lt;K$40,J$39,K134&lt;K$41,J$40,K134&lt;K$42,J$41,K134&lt;K$43,J$42,K134&lt;K$44,J$43,K134&lt;K$45,J$44,K134&lt;K$46,J$45,K134&lt;K$47,J$46,K134&gt;=K$47,J$47)</f>
        <v/>
      </c>
      <c r="K134" s="38" t="n">
        <v>84</v>
      </c>
      <c r="L134" s="31">
        <f>K134/52</f>
        <v/>
      </c>
      <c r="M134" s="39">
        <f>J134/1000000*52</f>
        <v/>
      </c>
      <c r="N134" s="33">
        <f>M134/$P$4+($I$22/$P$4)</f>
        <v/>
      </c>
      <c r="U134">
        <f>F133</f>
        <v/>
      </c>
      <c r="V134">
        <f>H133</f>
        <v/>
      </c>
      <c r="W134">
        <f>N133</f>
        <v/>
      </c>
    </row>
    <row r="135" ht="15.75" customHeight="1" s="40">
      <c r="C135" s="36">
        <f>_xlfn.IFS(E135&lt;E$24,0,E135&lt;E$26,C$24,E135&lt;E$28,C$26,E135&lt;E$30,C$28,E135&lt;E$32,C$30,E135&lt;E$34,C$32,E135&gt;=E$34,C$34)</f>
        <v/>
      </c>
      <c r="D135" s="37">
        <f>_xlfn.IFS(E135&lt;E$24,0,E135&lt;E$25,D$24,E135&lt;E$26,D$25,E135&lt;E$27,D$26,E135&lt;E$28,D$27,E135&lt;E$29,D$28,E135&lt;E$30,D$29,E135&lt;E$31,D$30,E135&lt;E$32,D$31,E135&lt;E$33,D$32,E135&lt;E$34,D$33,E135&lt;E$35,D$34,E135&gt;=E$35,D$35)</f>
        <v/>
      </c>
      <c r="E135" s="38" t="n">
        <v>85</v>
      </c>
      <c r="F135" s="31">
        <f>E135/52</f>
        <v/>
      </c>
      <c r="G135" s="39">
        <f>D135/1000000*52</f>
        <v/>
      </c>
      <c r="H135" s="33">
        <f>G135/$P$4+($C$22/$P$4)</f>
        <v/>
      </c>
      <c r="I135" s="36">
        <f>_xlfn.IFS(K135&lt;K$24,0,K135&lt;K$26,I$24,K135&lt;K$28,I$26,K135&lt;K$30,I$28,K135&lt;K$32,I$30,K135&lt;K$34,I$32,K135&lt;K$36,I$34,K135&lt;K$38,I$36,K135&lt;K$40,I$38,K135&lt;K$42,I$40,K135&lt;K$44,I$42,K135&lt;K$46,I$44,K135&gt;=K$46,I$46)</f>
        <v/>
      </c>
      <c r="J135" s="37">
        <f>_xlfn.IFS(K135&lt;K$24,0,K135&lt;K$25,J$24,K135&lt;K$26,J$25,K135&lt;K$27,J$26,K135&lt;K$28,J$27,K135&lt;K$29,J$28,K135&lt;K$30,J$29,K135&lt;K$31,J$30,K135&lt;K$32,J$31,K135&lt;K$33,J$32,K135&lt;K$34,J$33,K135&lt;K$35,J$34,K135&lt;K$36,J$35,K135&lt;K$37,J$36,K135&lt;K$38,J$37,K135&lt;K$39,J$38,K135&lt;K$40,J$39,K135&lt;K$41,J$40,K135&lt;K$42,J$41,K135&lt;K$43,J$42,K135&lt;K$44,J$43,K135&lt;K$45,J$44,K135&lt;K$46,J$45,K135&lt;K$47,J$46,K135&gt;=K$47,J$47)</f>
        <v/>
      </c>
      <c r="K135" s="38" t="n">
        <v>85</v>
      </c>
      <c r="L135" s="31">
        <f>K135/52</f>
        <v/>
      </c>
      <c r="M135" s="39">
        <f>J135/1000000*52</f>
        <v/>
      </c>
      <c r="N135" s="33">
        <f>M135/$P$4+($I$22/$P$4)</f>
        <v/>
      </c>
      <c r="U135">
        <f>F134</f>
        <v/>
      </c>
      <c r="V135">
        <f>H134</f>
        <v/>
      </c>
      <c r="W135">
        <f>N134</f>
        <v/>
      </c>
    </row>
    <row r="136" ht="15.75" customHeight="1" s="40">
      <c r="C136" s="36">
        <f>_xlfn.IFS(E136&lt;E$24,0,E136&lt;E$26,C$24,E136&lt;E$28,C$26,E136&lt;E$30,C$28,E136&lt;E$32,C$30,E136&lt;E$34,C$32,E136&gt;=E$34,C$34)</f>
        <v/>
      </c>
      <c r="D136" s="37">
        <f>_xlfn.IFS(E136&lt;E$24,0,E136&lt;E$25,D$24,E136&lt;E$26,D$25,E136&lt;E$27,D$26,E136&lt;E$28,D$27,E136&lt;E$29,D$28,E136&lt;E$30,D$29,E136&lt;E$31,D$30,E136&lt;E$32,D$31,E136&lt;E$33,D$32,E136&lt;E$34,D$33,E136&lt;E$35,D$34,E136&gt;=E$35,D$35)</f>
        <v/>
      </c>
      <c r="E136" s="38" t="n">
        <v>86</v>
      </c>
      <c r="F136" s="31">
        <f>E136/52</f>
        <v/>
      </c>
      <c r="G136" s="39">
        <f>D136/1000000*52</f>
        <v/>
      </c>
      <c r="H136" s="33">
        <f>G136/$P$4+($C$22/$P$4)</f>
        <v/>
      </c>
      <c r="I136" s="36">
        <f>_xlfn.IFS(K136&lt;K$24,0,K136&lt;K$26,I$24,K136&lt;K$28,I$26,K136&lt;K$30,I$28,K136&lt;K$32,I$30,K136&lt;K$34,I$32,K136&lt;K$36,I$34,K136&lt;K$38,I$36,K136&lt;K$40,I$38,K136&lt;K$42,I$40,K136&lt;K$44,I$42,K136&lt;K$46,I$44,K136&gt;=K$46,I$46)</f>
        <v/>
      </c>
      <c r="J136" s="37">
        <f>_xlfn.IFS(K136&lt;K$24,0,K136&lt;K$25,J$24,K136&lt;K$26,J$25,K136&lt;K$27,J$26,K136&lt;K$28,J$27,K136&lt;K$29,J$28,K136&lt;K$30,J$29,K136&lt;K$31,J$30,K136&lt;K$32,J$31,K136&lt;K$33,J$32,K136&lt;K$34,J$33,K136&lt;K$35,J$34,K136&lt;K$36,J$35,K136&lt;K$37,J$36,K136&lt;K$38,J$37,K136&lt;K$39,J$38,K136&lt;K$40,J$39,K136&lt;K$41,J$40,K136&lt;K$42,J$41,K136&lt;K$43,J$42,K136&lt;K$44,J$43,K136&lt;K$45,J$44,K136&lt;K$46,J$45,K136&lt;K$47,J$46,K136&gt;=K$47,J$47)</f>
        <v/>
      </c>
      <c r="K136" s="38" t="n">
        <v>86</v>
      </c>
      <c r="L136" s="31">
        <f>K136/52</f>
        <v/>
      </c>
      <c r="M136" s="39">
        <f>J136/1000000*52</f>
        <v/>
      </c>
      <c r="N136" s="33">
        <f>M136/$P$4+($I$22/$P$4)</f>
        <v/>
      </c>
      <c r="U136">
        <f>F135</f>
        <v/>
      </c>
      <c r="V136">
        <f>H135</f>
        <v/>
      </c>
      <c r="W136">
        <f>N135</f>
        <v/>
      </c>
    </row>
    <row r="137" ht="15.75" customHeight="1" s="40">
      <c r="C137" s="36">
        <f>_xlfn.IFS(E137&lt;E$24,0,E137&lt;E$26,C$24,E137&lt;E$28,C$26,E137&lt;E$30,C$28,E137&lt;E$32,C$30,E137&lt;E$34,C$32,E137&gt;=E$34,C$34)</f>
        <v/>
      </c>
      <c r="D137" s="37">
        <f>_xlfn.IFS(E137&lt;E$24,0,E137&lt;E$25,D$24,E137&lt;E$26,D$25,E137&lt;E$27,D$26,E137&lt;E$28,D$27,E137&lt;E$29,D$28,E137&lt;E$30,D$29,E137&lt;E$31,D$30,E137&lt;E$32,D$31,E137&lt;E$33,D$32,E137&lt;E$34,D$33,E137&lt;E$35,D$34,E137&gt;=E$35,D$35)</f>
        <v/>
      </c>
      <c r="E137" s="38" t="n">
        <v>87</v>
      </c>
      <c r="F137" s="31">
        <f>E137/52</f>
        <v/>
      </c>
      <c r="G137" s="39">
        <f>D137/1000000*52</f>
        <v/>
      </c>
      <c r="H137" s="33">
        <f>G137/$P$4+($C$22/$P$4)</f>
        <v/>
      </c>
      <c r="I137" s="36">
        <f>_xlfn.IFS(K137&lt;K$24,0,K137&lt;K$26,I$24,K137&lt;K$28,I$26,K137&lt;K$30,I$28,K137&lt;K$32,I$30,K137&lt;K$34,I$32,K137&lt;K$36,I$34,K137&lt;K$38,I$36,K137&lt;K$40,I$38,K137&lt;K$42,I$40,K137&lt;K$44,I$42,K137&lt;K$46,I$44,K137&gt;=K$46,I$46)</f>
        <v/>
      </c>
      <c r="J137" s="37">
        <f>_xlfn.IFS(K137&lt;K$24,0,K137&lt;K$25,J$24,K137&lt;K$26,J$25,K137&lt;K$27,J$26,K137&lt;K$28,J$27,K137&lt;K$29,J$28,K137&lt;K$30,J$29,K137&lt;K$31,J$30,K137&lt;K$32,J$31,K137&lt;K$33,J$32,K137&lt;K$34,J$33,K137&lt;K$35,J$34,K137&lt;K$36,J$35,K137&lt;K$37,J$36,K137&lt;K$38,J$37,K137&lt;K$39,J$38,K137&lt;K$40,J$39,K137&lt;K$41,J$40,K137&lt;K$42,J$41,K137&lt;K$43,J$42,K137&lt;K$44,J$43,K137&lt;K$45,J$44,K137&lt;K$46,J$45,K137&lt;K$47,J$46,K137&gt;=K$47,J$47)</f>
        <v/>
      </c>
      <c r="K137" s="38" t="n">
        <v>87</v>
      </c>
      <c r="L137" s="31">
        <f>K137/52</f>
        <v/>
      </c>
      <c r="M137" s="39">
        <f>J137/1000000*52</f>
        <v/>
      </c>
      <c r="N137" s="33">
        <f>M137/$P$4+($I$22/$P$4)</f>
        <v/>
      </c>
      <c r="U137">
        <f>F136</f>
        <v/>
      </c>
      <c r="V137">
        <f>H136</f>
        <v/>
      </c>
      <c r="W137">
        <f>N136</f>
        <v/>
      </c>
    </row>
    <row r="138" ht="15.75" customHeight="1" s="40">
      <c r="C138" s="36">
        <f>_xlfn.IFS(E138&lt;E$24,0,E138&lt;E$26,C$24,E138&lt;E$28,C$26,E138&lt;E$30,C$28,E138&lt;E$32,C$30,E138&lt;E$34,C$32,E138&gt;=E$34,C$34)</f>
        <v/>
      </c>
      <c r="D138" s="37">
        <f>_xlfn.IFS(E138&lt;E$24,0,E138&lt;E$25,D$24,E138&lt;E$26,D$25,E138&lt;E$27,D$26,E138&lt;E$28,D$27,E138&lt;E$29,D$28,E138&lt;E$30,D$29,E138&lt;E$31,D$30,E138&lt;E$32,D$31,E138&lt;E$33,D$32,E138&lt;E$34,D$33,E138&lt;E$35,D$34,E138&gt;=E$35,D$35)</f>
        <v/>
      </c>
      <c r="E138" s="38" t="n">
        <v>88</v>
      </c>
      <c r="F138" s="31">
        <f>E138/52</f>
        <v/>
      </c>
      <c r="G138" s="39">
        <f>D138/1000000*52</f>
        <v/>
      </c>
      <c r="H138" s="33">
        <f>G138/$P$4+($C$22/$P$4)</f>
        <v/>
      </c>
      <c r="I138" s="36">
        <f>_xlfn.IFS(K138&lt;K$24,0,K138&lt;K$26,I$24,K138&lt;K$28,I$26,K138&lt;K$30,I$28,K138&lt;K$32,I$30,K138&lt;K$34,I$32,K138&lt;K$36,I$34,K138&lt;K$38,I$36,K138&lt;K$40,I$38,K138&lt;K$42,I$40,K138&lt;K$44,I$42,K138&lt;K$46,I$44,K138&gt;=K$46,I$46)</f>
        <v/>
      </c>
      <c r="J138" s="37">
        <f>_xlfn.IFS(K138&lt;K$24,0,K138&lt;K$25,J$24,K138&lt;K$26,J$25,K138&lt;K$27,J$26,K138&lt;K$28,J$27,K138&lt;K$29,J$28,K138&lt;K$30,J$29,K138&lt;K$31,J$30,K138&lt;K$32,J$31,K138&lt;K$33,J$32,K138&lt;K$34,J$33,K138&lt;K$35,J$34,K138&lt;K$36,J$35,K138&lt;K$37,J$36,K138&lt;K$38,J$37,K138&lt;K$39,J$38,K138&lt;K$40,J$39,K138&lt;K$41,J$40,K138&lt;K$42,J$41,K138&lt;K$43,J$42,K138&lt;K$44,J$43,K138&lt;K$45,J$44,K138&lt;K$46,J$45,K138&lt;K$47,J$46,K138&gt;=K$47,J$47)</f>
        <v/>
      </c>
      <c r="K138" s="38" t="n">
        <v>88</v>
      </c>
      <c r="L138" s="31">
        <f>K138/52</f>
        <v/>
      </c>
      <c r="M138" s="39">
        <f>J138/1000000*52</f>
        <v/>
      </c>
      <c r="N138" s="33">
        <f>M138/$P$4+($I$22/$P$4)</f>
        <v/>
      </c>
      <c r="U138">
        <f>F137</f>
        <v/>
      </c>
      <c r="V138">
        <f>H137</f>
        <v/>
      </c>
      <c r="W138">
        <f>N137</f>
        <v/>
      </c>
    </row>
    <row r="139" ht="15.75" customHeight="1" s="40">
      <c r="C139" s="36">
        <f>_xlfn.IFS(E139&lt;E$24,0,E139&lt;E$26,C$24,E139&lt;E$28,C$26,E139&lt;E$30,C$28,E139&lt;E$32,C$30,E139&lt;E$34,C$32,E139&gt;=E$34,C$34)</f>
        <v/>
      </c>
      <c r="D139" s="37">
        <f>_xlfn.IFS(E139&lt;E$24,0,E139&lt;E$25,D$24,E139&lt;E$26,D$25,E139&lt;E$27,D$26,E139&lt;E$28,D$27,E139&lt;E$29,D$28,E139&lt;E$30,D$29,E139&lt;E$31,D$30,E139&lt;E$32,D$31,E139&lt;E$33,D$32,E139&lt;E$34,D$33,E139&lt;E$35,D$34,E139&gt;=E$35,D$35)</f>
        <v/>
      </c>
      <c r="E139" s="38" t="n">
        <v>89</v>
      </c>
      <c r="F139" s="31">
        <f>E139/52</f>
        <v/>
      </c>
      <c r="G139" s="39">
        <f>D139/1000000*52</f>
        <v/>
      </c>
      <c r="H139" s="33">
        <f>G139/$P$4+($C$22/$P$4)</f>
        <v/>
      </c>
      <c r="I139" s="36">
        <f>_xlfn.IFS(K139&lt;K$24,0,K139&lt;K$26,I$24,K139&lt;K$28,I$26,K139&lt;K$30,I$28,K139&lt;K$32,I$30,K139&lt;K$34,I$32,K139&lt;K$36,I$34,K139&lt;K$38,I$36,K139&lt;K$40,I$38,K139&lt;K$42,I$40,K139&lt;K$44,I$42,K139&lt;K$46,I$44,K139&gt;=K$46,I$46)</f>
        <v/>
      </c>
      <c r="J139" s="37">
        <f>_xlfn.IFS(K139&lt;K$24,0,K139&lt;K$25,J$24,K139&lt;K$26,J$25,K139&lt;K$27,J$26,K139&lt;K$28,J$27,K139&lt;K$29,J$28,K139&lt;K$30,J$29,K139&lt;K$31,J$30,K139&lt;K$32,J$31,K139&lt;K$33,J$32,K139&lt;K$34,J$33,K139&lt;K$35,J$34,K139&lt;K$36,J$35,K139&lt;K$37,J$36,K139&lt;K$38,J$37,K139&lt;K$39,J$38,K139&lt;K$40,J$39,K139&lt;K$41,J$40,K139&lt;K$42,J$41,K139&lt;K$43,J$42,K139&lt;K$44,J$43,K139&lt;K$45,J$44,K139&lt;K$46,J$45,K139&lt;K$47,J$46,K139&gt;=K$47,J$47)</f>
        <v/>
      </c>
      <c r="K139" s="38" t="n">
        <v>89</v>
      </c>
      <c r="L139" s="31">
        <f>K139/52</f>
        <v/>
      </c>
      <c r="M139" s="39">
        <f>J139/1000000*52</f>
        <v/>
      </c>
      <c r="N139" s="33">
        <f>M139/$P$4+($I$22/$P$4)</f>
        <v/>
      </c>
      <c r="U139">
        <f>F138</f>
        <v/>
      </c>
      <c r="V139">
        <f>H138</f>
        <v/>
      </c>
      <c r="W139">
        <f>N138</f>
        <v/>
      </c>
    </row>
    <row r="140" ht="15.75" customHeight="1" s="40">
      <c r="C140" s="36">
        <f>_xlfn.IFS(E140&lt;E$24,0,E140&lt;E$26,C$24,E140&lt;E$28,C$26,E140&lt;E$30,C$28,E140&lt;E$32,C$30,E140&lt;E$34,C$32,E140&gt;=E$34,C$34)</f>
        <v/>
      </c>
      <c r="D140" s="37">
        <f>_xlfn.IFS(E140&lt;E$24,0,E140&lt;E$25,D$24,E140&lt;E$26,D$25,E140&lt;E$27,D$26,E140&lt;E$28,D$27,E140&lt;E$29,D$28,E140&lt;E$30,D$29,E140&lt;E$31,D$30,E140&lt;E$32,D$31,E140&lt;E$33,D$32,E140&lt;E$34,D$33,E140&lt;E$35,D$34,E140&gt;=E$35,D$35)</f>
        <v/>
      </c>
      <c r="E140" s="38" t="n">
        <v>90</v>
      </c>
      <c r="F140" s="31">
        <f>E140/52</f>
        <v/>
      </c>
      <c r="G140" s="39">
        <f>D140/1000000*52</f>
        <v/>
      </c>
      <c r="H140" s="33">
        <f>G140/$P$4+($C$22/$P$4)</f>
        <v/>
      </c>
      <c r="I140" s="36">
        <f>_xlfn.IFS(K140&lt;K$24,0,K140&lt;K$26,I$24,K140&lt;K$28,I$26,K140&lt;K$30,I$28,K140&lt;K$32,I$30,K140&lt;K$34,I$32,K140&lt;K$36,I$34,K140&lt;K$38,I$36,K140&lt;K$40,I$38,K140&lt;K$42,I$40,K140&lt;K$44,I$42,K140&lt;K$46,I$44,K140&gt;=K$46,I$46)</f>
        <v/>
      </c>
      <c r="J140" s="37">
        <f>_xlfn.IFS(K140&lt;K$24,0,K140&lt;K$25,J$24,K140&lt;K$26,J$25,K140&lt;K$27,J$26,K140&lt;K$28,J$27,K140&lt;K$29,J$28,K140&lt;K$30,J$29,K140&lt;K$31,J$30,K140&lt;K$32,J$31,K140&lt;K$33,J$32,K140&lt;K$34,J$33,K140&lt;K$35,J$34,K140&lt;K$36,J$35,K140&lt;K$37,J$36,K140&lt;K$38,J$37,K140&lt;K$39,J$38,K140&lt;K$40,J$39,K140&lt;K$41,J$40,K140&lt;K$42,J$41,K140&lt;K$43,J$42,K140&lt;K$44,J$43,K140&lt;K$45,J$44,K140&lt;K$46,J$45,K140&lt;K$47,J$46,K140&gt;=K$47,J$47)</f>
        <v/>
      </c>
      <c r="K140" s="38" t="n">
        <v>90</v>
      </c>
      <c r="L140" s="31">
        <f>K140/52</f>
        <v/>
      </c>
      <c r="M140" s="39">
        <f>J140/1000000*52</f>
        <v/>
      </c>
      <c r="N140" s="33">
        <f>M140/$P$4+($I$22/$P$4)</f>
        <v/>
      </c>
      <c r="U140">
        <f>F139</f>
        <v/>
      </c>
      <c r="V140">
        <f>H139</f>
        <v/>
      </c>
      <c r="W140">
        <f>N139</f>
        <v/>
      </c>
    </row>
    <row r="141" ht="15.75" customHeight="1" s="40">
      <c r="C141" s="36">
        <f>_xlfn.IFS(E141&lt;E$24,0,E141&lt;E$26,C$24,E141&lt;E$28,C$26,E141&lt;E$30,C$28,E141&lt;E$32,C$30,E141&lt;E$34,C$32,E141&gt;=E$34,C$34)</f>
        <v/>
      </c>
      <c r="D141" s="37">
        <f>_xlfn.IFS(E141&lt;E$24,0,E141&lt;E$25,D$24,E141&lt;E$26,D$25,E141&lt;E$27,D$26,E141&lt;E$28,D$27,E141&lt;E$29,D$28,E141&lt;E$30,D$29,E141&lt;E$31,D$30,E141&lt;E$32,D$31,E141&lt;E$33,D$32,E141&lt;E$34,D$33,E141&lt;E$35,D$34,E141&gt;=E$35,D$35)</f>
        <v/>
      </c>
      <c r="E141" s="38" t="n">
        <v>91</v>
      </c>
      <c r="F141" s="31">
        <f>E141/52</f>
        <v/>
      </c>
      <c r="G141" s="39">
        <f>D141/1000000*52</f>
        <v/>
      </c>
      <c r="H141" s="33">
        <f>G141/$P$4+($C$22/$P$4)</f>
        <v/>
      </c>
      <c r="I141" s="36">
        <f>_xlfn.IFS(K141&lt;K$24,0,K141&lt;K$26,I$24,K141&lt;K$28,I$26,K141&lt;K$30,I$28,K141&lt;K$32,I$30,K141&lt;K$34,I$32,K141&lt;K$36,I$34,K141&lt;K$38,I$36,K141&lt;K$40,I$38,K141&lt;K$42,I$40,K141&lt;K$44,I$42,K141&lt;K$46,I$44,K141&gt;=K$46,I$46)</f>
        <v/>
      </c>
      <c r="J141" s="37">
        <f>_xlfn.IFS(K141&lt;K$24,0,K141&lt;K$25,J$24,K141&lt;K$26,J$25,K141&lt;K$27,J$26,K141&lt;K$28,J$27,K141&lt;K$29,J$28,K141&lt;K$30,J$29,K141&lt;K$31,J$30,K141&lt;K$32,J$31,K141&lt;K$33,J$32,K141&lt;K$34,J$33,K141&lt;K$35,J$34,K141&lt;K$36,J$35,K141&lt;K$37,J$36,K141&lt;K$38,J$37,K141&lt;K$39,J$38,K141&lt;K$40,J$39,K141&lt;K$41,J$40,K141&lt;K$42,J$41,K141&lt;K$43,J$42,K141&lt;K$44,J$43,K141&lt;K$45,J$44,K141&lt;K$46,J$45,K141&lt;K$47,J$46,K141&gt;=K$47,J$47)</f>
        <v/>
      </c>
      <c r="K141" s="38" t="n">
        <v>91</v>
      </c>
      <c r="L141" s="31">
        <f>K141/52</f>
        <v/>
      </c>
      <c r="M141" s="39">
        <f>J141/1000000*52</f>
        <v/>
      </c>
      <c r="N141" s="33">
        <f>M141/$P$4+($I$22/$P$4)</f>
        <v/>
      </c>
      <c r="U141">
        <f>F140</f>
        <v/>
      </c>
      <c r="V141">
        <f>H140</f>
        <v/>
      </c>
      <c r="W141">
        <f>N140</f>
        <v/>
      </c>
    </row>
    <row r="142" ht="15.75" customHeight="1" s="40">
      <c r="C142" s="36">
        <f>_xlfn.IFS(E142&lt;E$24,0,E142&lt;E$26,C$24,E142&lt;E$28,C$26,E142&lt;E$30,C$28,E142&lt;E$32,C$30,E142&lt;E$34,C$32,E142&gt;=E$34,C$34)</f>
        <v/>
      </c>
      <c r="D142" s="37">
        <f>_xlfn.IFS(E142&lt;E$24,0,E142&lt;E$25,D$24,E142&lt;E$26,D$25,E142&lt;E$27,D$26,E142&lt;E$28,D$27,E142&lt;E$29,D$28,E142&lt;E$30,D$29,E142&lt;E$31,D$30,E142&lt;E$32,D$31,E142&lt;E$33,D$32,E142&lt;E$34,D$33,E142&lt;E$35,D$34,E142&gt;=E$35,D$35)</f>
        <v/>
      </c>
      <c r="E142" s="38" t="n">
        <v>92</v>
      </c>
      <c r="F142" s="31">
        <f>E142/52</f>
        <v/>
      </c>
      <c r="G142" s="39">
        <f>D142/1000000*52</f>
        <v/>
      </c>
      <c r="H142" s="33">
        <f>G142/$P$4+($C$22/$P$4)</f>
        <v/>
      </c>
      <c r="I142" s="36">
        <f>_xlfn.IFS(K142&lt;K$24,0,K142&lt;K$26,I$24,K142&lt;K$28,I$26,K142&lt;K$30,I$28,K142&lt;K$32,I$30,K142&lt;K$34,I$32,K142&lt;K$36,I$34,K142&lt;K$38,I$36,K142&lt;K$40,I$38,K142&lt;K$42,I$40,K142&lt;K$44,I$42,K142&lt;K$46,I$44,K142&gt;=K$46,I$46)</f>
        <v/>
      </c>
      <c r="J142" s="37">
        <f>_xlfn.IFS(K142&lt;K$24,0,K142&lt;K$25,J$24,K142&lt;K$26,J$25,K142&lt;K$27,J$26,K142&lt;K$28,J$27,K142&lt;K$29,J$28,K142&lt;K$30,J$29,K142&lt;K$31,J$30,K142&lt;K$32,J$31,K142&lt;K$33,J$32,K142&lt;K$34,J$33,K142&lt;K$35,J$34,K142&lt;K$36,J$35,K142&lt;K$37,J$36,K142&lt;K$38,J$37,K142&lt;K$39,J$38,K142&lt;K$40,J$39,K142&lt;K$41,J$40,K142&lt;K$42,J$41,K142&lt;K$43,J$42,K142&lt;K$44,J$43,K142&lt;K$45,J$44,K142&lt;K$46,J$45,K142&lt;K$47,J$46,K142&gt;=K$47,J$47)</f>
        <v/>
      </c>
      <c r="K142" s="38" t="n">
        <v>92</v>
      </c>
      <c r="L142" s="31">
        <f>K142/52</f>
        <v/>
      </c>
      <c r="M142" s="39">
        <f>J142/1000000*52</f>
        <v/>
      </c>
      <c r="N142" s="33">
        <f>M142/$P$4+($I$22/$P$4)</f>
        <v/>
      </c>
      <c r="U142">
        <f>F141</f>
        <v/>
      </c>
      <c r="V142">
        <f>H141</f>
        <v/>
      </c>
      <c r="W142">
        <f>N141</f>
        <v/>
      </c>
    </row>
    <row r="143" ht="15.75" customHeight="1" s="40">
      <c r="C143" s="36">
        <f>_xlfn.IFS(E143&lt;E$24,0,E143&lt;E$26,C$24,E143&lt;E$28,C$26,E143&lt;E$30,C$28,E143&lt;E$32,C$30,E143&lt;E$34,C$32,E143&gt;=E$34,C$34)</f>
        <v/>
      </c>
      <c r="D143" s="37">
        <f>_xlfn.IFS(E143&lt;E$24,0,E143&lt;E$25,D$24,E143&lt;E$26,D$25,E143&lt;E$27,D$26,E143&lt;E$28,D$27,E143&lt;E$29,D$28,E143&lt;E$30,D$29,E143&lt;E$31,D$30,E143&lt;E$32,D$31,E143&lt;E$33,D$32,E143&lt;E$34,D$33,E143&lt;E$35,D$34,E143&gt;=E$35,D$35)</f>
        <v/>
      </c>
      <c r="E143" s="38" t="n">
        <v>93</v>
      </c>
      <c r="F143" s="31">
        <f>E143/52</f>
        <v/>
      </c>
      <c r="G143" s="39">
        <f>D143/1000000*52</f>
        <v/>
      </c>
      <c r="H143" s="33">
        <f>G143/$P$4+($C$22/$P$4)</f>
        <v/>
      </c>
      <c r="I143" s="36">
        <f>_xlfn.IFS(K143&lt;K$24,0,K143&lt;K$26,I$24,K143&lt;K$28,I$26,K143&lt;K$30,I$28,K143&lt;K$32,I$30,K143&lt;K$34,I$32,K143&lt;K$36,I$34,K143&lt;K$38,I$36,K143&lt;K$40,I$38,K143&lt;K$42,I$40,K143&lt;K$44,I$42,K143&lt;K$46,I$44,K143&gt;=K$46,I$46)</f>
        <v/>
      </c>
      <c r="J143" s="37">
        <f>_xlfn.IFS(K143&lt;K$24,0,K143&lt;K$25,J$24,K143&lt;K$26,J$25,K143&lt;K$27,J$26,K143&lt;K$28,J$27,K143&lt;K$29,J$28,K143&lt;K$30,J$29,K143&lt;K$31,J$30,K143&lt;K$32,J$31,K143&lt;K$33,J$32,K143&lt;K$34,J$33,K143&lt;K$35,J$34,K143&lt;K$36,J$35,K143&lt;K$37,J$36,K143&lt;K$38,J$37,K143&lt;K$39,J$38,K143&lt;K$40,J$39,K143&lt;K$41,J$40,K143&lt;K$42,J$41,K143&lt;K$43,J$42,K143&lt;K$44,J$43,K143&lt;K$45,J$44,K143&lt;K$46,J$45,K143&lt;K$47,J$46,K143&gt;=K$47,J$47)</f>
        <v/>
      </c>
      <c r="K143" s="38" t="n">
        <v>93</v>
      </c>
      <c r="L143" s="31">
        <f>K143/52</f>
        <v/>
      </c>
      <c r="M143" s="39">
        <f>J143/1000000*52</f>
        <v/>
      </c>
      <c r="N143" s="33">
        <f>M143/$P$4+($I$22/$P$4)</f>
        <v/>
      </c>
      <c r="U143">
        <f>F142</f>
        <v/>
      </c>
      <c r="V143">
        <f>H142</f>
        <v/>
      </c>
      <c r="W143">
        <f>N142</f>
        <v/>
      </c>
    </row>
    <row r="144" ht="15.75" customHeight="1" s="40">
      <c r="C144" s="36">
        <f>_xlfn.IFS(E144&lt;E$24,0,E144&lt;E$26,C$24,E144&lt;E$28,C$26,E144&lt;E$30,C$28,E144&lt;E$32,C$30,E144&lt;E$34,C$32,E144&gt;=E$34,C$34)</f>
        <v/>
      </c>
      <c r="D144" s="37">
        <f>_xlfn.IFS(E144&lt;E$24,0,E144&lt;E$25,D$24,E144&lt;E$26,D$25,E144&lt;E$27,D$26,E144&lt;E$28,D$27,E144&lt;E$29,D$28,E144&lt;E$30,D$29,E144&lt;E$31,D$30,E144&lt;E$32,D$31,E144&lt;E$33,D$32,E144&lt;E$34,D$33,E144&lt;E$35,D$34,E144&gt;=E$35,D$35)</f>
        <v/>
      </c>
      <c r="E144" s="38" t="n">
        <v>94</v>
      </c>
      <c r="F144" s="31">
        <f>E144/52</f>
        <v/>
      </c>
      <c r="G144" s="39">
        <f>D144/1000000*52</f>
        <v/>
      </c>
      <c r="H144" s="33">
        <f>G144/$P$4+($C$22/$P$4)</f>
        <v/>
      </c>
      <c r="I144" s="36">
        <f>_xlfn.IFS(K144&lt;K$24,0,K144&lt;K$26,I$24,K144&lt;K$28,I$26,K144&lt;K$30,I$28,K144&lt;K$32,I$30,K144&lt;K$34,I$32,K144&lt;K$36,I$34,K144&lt;K$38,I$36,K144&lt;K$40,I$38,K144&lt;K$42,I$40,K144&lt;K$44,I$42,K144&lt;K$46,I$44,K144&gt;=K$46,I$46)</f>
        <v/>
      </c>
      <c r="J144" s="37">
        <f>_xlfn.IFS(K144&lt;K$24,0,K144&lt;K$25,J$24,K144&lt;K$26,J$25,K144&lt;K$27,J$26,K144&lt;K$28,J$27,K144&lt;K$29,J$28,K144&lt;K$30,J$29,K144&lt;K$31,J$30,K144&lt;K$32,J$31,K144&lt;K$33,J$32,K144&lt;K$34,J$33,K144&lt;K$35,J$34,K144&lt;K$36,J$35,K144&lt;K$37,J$36,K144&lt;K$38,J$37,K144&lt;K$39,J$38,K144&lt;K$40,J$39,K144&lt;K$41,J$40,K144&lt;K$42,J$41,K144&lt;K$43,J$42,K144&lt;K$44,J$43,K144&lt;K$45,J$44,K144&lt;K$46,J$45,K144&lt;K$47,J$46,K144&gt;=K$47,J$47)</f>
        <v/>
      </c>
      <c r="K144" s="38" t="n">
        <v>94</v>
      </c>
      <c r="L144" s="31">
        <f>K144/52</f>
        <v/>
      </c>
      <c r="M144" s="39">
        <f>J144/1000000*52</f>
        <v/>
      </c>
      <c r="N144" s="33">
        <f>M144/$P$4+($I$22/$P$4)</f>
        <v/>
      </c>
      <c r="U144">
        <f>F143</f>
        <v/>
      </c>
      <c r="V144">
        <f>H143</f>
        <v/>
      </c>
      <c r="W144">
        <f>N143</f>
        <v/>
      </c>
    </row>
    <row r="145" ht="15.75" customHeight="1" s="40">
      <c r="C145" s="36">
        <f>_xlfn.IFS(E145&lt;E$24,0,E145&lt;E$26,C$24,E145&lt;E$28,C$26,E145&lt;E$30,C$28,E145&lt;E$32,C$30,E145&lt;E$34,C$32,E145&gt;=E$34,C$34)</f>
        <v/>
      </c>
      <c r="D145" s="37">
        <f>_xlfn.IFS(E145&lt;E$24,0,E145&lt;E$25,D$24,E145&lt;E$26,D$25,E145&lt;E$27,D$26,E145&lt;E$28,D$27,E145&lt;E$29,D$28,E145&lt;E$30,D$29,E145&lt;E$31,D$30,E145&lt;E$32,D$31,E145&lt;E$33,D$32,E145&lt;E$34,D$33,E145&lt;E$35,D$34,E145&gt;=E$35,D$35)</f>
        <v/>
      </c>
      <c r="E145" s="38" t="n">
        <v>95</v>
      </c>
      <c r="F145" s="31">
        <f>E145/52</f>
        <v/>
      </c>
      <c r="G145" s="39">
        <f>D145/1000000*52</f>
        <v/>
      </c>
      <c r="H145" s="33">
        <f>G145/$P$4+($C$22/$P$4)</f>
        <v/>
      </c>
      <c r="I145" s="36">
        <f>_xlfn.IFS(K145&lt;K$24,0,K145&lt;K$26,I$24,K145&lt;K$28,I$26,K145&lt;K$30,I$28,K145&lt;K$32,I$30,K145&lt;K$34,I$32,K145&lt;K$36,I$34,K145&lt;K$38,I$36,K145&lt;K$40,I$38,K145&lt;K$42,I$40,K145&lt;K$44,I$42,K145&lt;K$46,I$44,K145&gt;=K$46,I$46)</f>
        <v/>
      </c>
      <c r="J145" s="37">
        <f>_xlfn.IFS(K145&lt;K$24,0,K145&lt;K$25,J$24,K145&lt;K$26,J$25,K145&lt;K$27,J$26,K145&lt;K$28,J$27,K145&lt;K$29,J$28,K145&lt;K$30,J$29,K145&lt;K$31,J$30,K145&lt;K$32,J$31,K145&lt;K$33,J$32,K145&lt;K$34,J$33,K145&lt;K$35,J$34,K145&lt;K$36,J$35,K145&lt;K$37,J$36,K145&lt;K$38,J$37,K145&lt;K$39,J$38,K145&lt;K$40,J$39,K145&lt;K$41,J$40,K145&lt;K$42,J$41,K145&lt;K$43,J$42,K145&lt;K$44,J$43,K145&lt;K$45,J$44,K145&lt;K$46,J$45,K145&lt;K$47,J$46,K145&gt;=K$47,J$47)</f>
        <v/>
      </c>
      <c r="K145" s="38" t="n">
        <v>95</v>
      </c>
      <c r="L145" s="31">
        <f>K145/52</f>
        <v/>
      </c>
      <c r="M145" s="39">
        <f>J145/1000000*52</f>
        <v/>
      </c>
      <c r="N145" s="33">
        <f>M145/$P$4+($I$22/$P$4)</f>
        <v/>
      </c>
      <c r="U145">
        <f>F144</f>
        <v/>
      </c>
      <c r="V145">
        <f>H144</f>
        <v/>
      </c>
      <c r="W145">
        <f>N144</f>
        <v/>
      </c>
    </row>
    <row r="146" ht="15.75" customHeight="1" s="40">
      <c r="C146" s="36">
        <f>_xlfn.IFS(E146&lt;E$24,0,E146&lt;E$26,C$24,E146&lt;E$28,C$26,E146&lt;E$30,C$28,E146&lt;E$32,C$30,E146&lt;E$34,C$32,E146&gt;=E$34,C$34)</f>
        <v/>
      </c>
      <c r="D146" s="37">
        <f>_xlfn.IFS(E146&lt;E$24,0,E146&lt;E$25,D$24,E146&lt;E$26,D$25,E146&lt;E$27,D$26,E146&lt;E$28,D$27,E146&lt;E$29,D$28,E146&lt;E$30,D$29,E146&lt;E$31,D$30,E146&lt;E$32,D$31,E146&lt;E$33,D$32,E146&lt;E$34,D$33,E146&lt;E$35,D$34,E146&gt;=E$35,D$35)</f>
        <v/>
      </c>
      <c r="E146" s="38" t="n">
        <v>96</v>
      </c>
      <c r="F146" s="31">
        <f>E146/52</f>
        <v/>
      </c>
      <c r="G146" s="39">
        <f>D146/1000000*52</f>
        <v/>
      </c>
      <c r="H146" s="33">
        <f>G146/$P$4+($C$22/$P$4)</f>
        <v/>
      </c>
      <c r="I146" s="36">
        <f>_xlfn.IFS(K146&lt;K$24,0,K146&lt;K$26,I$24,K146&lt;K$28,I$26,K146&lt;K$30,I$28,K146&lt;K$32,I$30,K146&lt;K$34,I$32,K146&lt;K$36,I$34,K146&lt;K$38,I$36,K146&lt;K$40,I$38,K146&lt;K$42,I$40,K146&lt;K$44,I$42,K146&lt;K$46,I$44,K146&gt;=K$46,I$46)</f>
        <v/>
      </c>
      <c r="J146" s="37">
        <f>_xlfn.IFS(K146&lt;K$24,0,K146&lt;K$25,J$24,K146&lt;K$26,J$25,K146&lt;K$27,J$26,K146&lt;K$28,J$27,K146&lt;K$29,J$28,K146&lt;K$30,J$29,K146&lt;K$31,J$30,K146&lt;K$32,J$31,K146&lt;K$33,J$32,K146&lt;K$34,J$33,K146&lt;K$35,J$34,K146&lt;K$36,J$35,K146&lt;K$37,J$36,K146&lt;K$38,J$37,K146&lt;K$39,J$38,K146&lt;K$40,J$39,K146&lt;K$41,J$40,K146&lt;K$42,J$41,K146&lt;K$43,J$42,K146&lt;K$44,J$43,K146&lt;K$45,J$44,K146&lt;K$46,J$45,K146&lt;K$47,J$46,K146&gt;=K$47,J$47)</f>
        <v/>
      </c>
      <c r="K146" s="38" t="n">
        <v>96</v>
      </c>
      <c r="L146" s="31">
        <f>K146/52</f>
        <v/>
      </c>
      <c r="M146" s="39">
        <f>J146/1000000*52</f>
        <v/>
      </c>
      <c r="N146" s="33">
        <f>M146/$P$4+($I$22/$P$4)</f>
        <v/>
      </c>
      <c r="U146">
        <f>F145</f>
        <v/>
      </c>
      <c r="V146">
        <f>H145</f>
        <v/>
      </c>
      <c r="W146">
        <f>N145</f>
        <v/>
      </c>
    </row>
    <row r="147" ht="15.75" customHeight="1" s="40">
      <c r="C147" s="36">
        <f>_xlfn.IFS(E147&lt;E$24,0,E147&lt;E$26,C$24,E147&lt;E$28,C$26,E147&lt;E$30,C$28,E147&lt;E$32,C$30,E147&lt;E$34,C$32,E147&gt;=E$34,C$34)</f>
        <v/>
      </c>
      <c r="D147" s="37">
        <f>_xlfn.IFS(E147&lt;E$24,0,E147&lt;E$25,D$24,E147&lt;E$26,D$25,E147&lt;E$27,D$26,E147&lt;E$28,D$27,E147&lt;E$29,D$28,E147&lt;E$30,D$29,E147&lt;E$31,D$30,E147&lt;E$32,D$31,E147&lt;E$33,D$32,E147&lt;E$34,D$33,E147&lt;E$35,D$34,E147&gt;=E$35,D$35)</f>
        <v/>
      </c>
      <c r="E147" s="38" t="n">
        <v>97</v>
      </c>
      <c r="F147" s="31">
        <f>E147/52</f>
        <v/>
      </c>
      <c r="G147" s="39">
        <f>D147/1000000*52</f>
        <v/>
      </c>
      <c r="H147" s="33">
        <f>G147/$P$4+($C$22/$P$4)</f>
        <v/>
      </c>
      <c r="I147" s="36">
        <f>_xlfn.IFS(K147&lt;K$24,0,K147&lt;K$26,I$24,K147&lt;K$28,I$26,K147&lt;K$30,I$28,K147&lt;K$32,I$30,K147&lt;K$34,I$32,K147&lt;K$36,I$34,K147&lt;K$38,I$36,K147&lt;K$40,I$38,K147&lt;K$42,I$40,K147&lt;K$44,I$42,K147&lt;K$46,I$44,K147&gt;=K$46,I$46)</f>
        <v/>
      </c>
      <c r="J147" s="37">
        <f>_xlfn.IFS(K147&lt;K$24,0,K147&lt;K$25,J$24,K147&lt;K$26,J$25,K147&lt;K$27,J$26,K147&lt;K$28,J$27,K147&lt;K$29,J$28,K147&lt;K$30,J$29,K147&lt;K$31,J$30,K147&lt;K$32,J$31,K147&lt;K$33,J$32,K147&lt;K$34,J$33,K147&lt;K$35,J$34,K147&lt;K$36,J$35,K147&lt;K$37,J$36,K147&lt;K$38,J$37,K147&lt;K$39,J$38,K147&lt;K$40,J$39,K147&lt;K$41,J$40,K147&lt;K$42,J$41,K147&lt;K$43,J$42,K147&lt;K$44,J$43,K147&lt;K$45,J$44,K147&lt;K$46,J$45,K147&lt;K$47,J$46,K147&gt;=K$47,J$47)</f>
        <v/>
      </c>
      <c r="K147" s="38" t="n">
        <v>97</v>
      </c>
      <c r="L147" s="31">
        <f>K147/52</f>
        <v/>
      </c>
      <c r="M147" s="39">
        <f>J147/1000000*52</f>
        <v/>
      </c>
      <c r="N147" s="33">
        <f>M147/$P$4+($I$22/$P$4)</f>
        <v/>
      </c>
      <c r="U147">
        <f>F146</f>
        <v/>
      </c>
      <c r="V147">
        <f>H146</f>
        <v/>
      </c>
      <c r="W147">
        <f>N146</f>
        <v/>
      </c>
    </row>
    <row r="148" ht="15.75" customHeight="1" s="40">
      <c r="C148" s="36">
        <f>_xlfn.IFS(E148&lt;E$24,0,E148&lt;E$26,C$24,E148&lt;E$28,C$26,E148&lt;E$30,C$28,E148&lt;E$32,C$30,E148&lt;E$34,C$32,E148&gt;=E$34,C$34)</f>
        <v/>
      </c>
      <c r="D148" s="37">
        <f>_xlfn.IFS(E148&lt;E$24,0,E148&lt;E$25,D$24,E148&lt;E$26,D$25,E148&lt;E$27,D$26,E148&lt;E$28,D$27,E148&lt;E$29,D$28,E148&lt;E$30,D$29,E148&lt;E$31,D$30,E148&lt;E$32,D$31,E148&lt;E$33,D$32,E148&lt;E$34,D$33,E148&lt;E$35,D$34,E148&gt;=E$35,D$35)</f>
        <v/>
      </c>
      <c r="E148" s="38" t="n">
        <v>98</v>
      </c>
      <c r="F148" s="31">
        <f>E148/52</f>
        <v/>
      </c>
      <c r="G148" s="39">
        <f>D148/1000000*52</f>
        <v/>
      </c>
      <c r="H148" s="33">
        <f>G148/$P$4+($C$22/$P$4)</f>
        <v/>
      </c>
      <c r="I148" s="36">
        <f>_xlfn.IFS(K148&lt;K$24,0,K148&lt;K$26,I$24,K148&lt;K$28,I$26,K148&lt;K$30,I$28,K148&lt;K$32,I$30,K148&lt;K$34,I$32,K148&lt;K$36,I$34,K148&lt;K$38,I$36,K148&lt;K$40,I$38,K148&lt;K$42,I$40,K148&lt;K$44,I$42,K148&lt;K$46,I$44,K148&gt;=K$46,I$46)</f>
        <v/>
      </c>
      <c r="J148" s="37">
        <f>_xlfn.IFS(K148&lt;K$24,0,K148&lt;K$25,J$24,K148&lt;K$26,J$25,K148&lt;K$27,J$26,K148&lt;K$28,J$27,K148&lt;K$29,J$28,K148&lt;K$30,J$29,K148&lt;K$31,J$30,K148&lt;K$32,J$31,K148&lt;K$33,J$32,K148&lt;K$34,J$33,K148&lt;K$35,J$34,K148&lt;K$36,J$35,K148&lt;K$37,J$36,K148&lt;K$38,J$37,K148&lt;K$39,J$38,K148&lt;K$40,J$39,K148&lt;K$41,J$40,K148&lt;K$42,J$41,K148&lt;K$43,J$42,K148&lt;K$44,J$43,K148&lt;K$45,J$44,K148&lt;K$46,J$45,K148&lt;K$47,J$46,K148&gt;=K$47,J$47)</f>
        <v/>
      </c>
      <c r="K148" s="38" t="n">
        <v>98</v>
      </c>
      <c r="L148" s="31">
        <f>K148/52</f>
        <v/>
      </c>
      <c r="M148" s="39">
        <f>J148/1000000*52</f>
        <v/>
      </c>
      <c r="N148" s="33">
        <f>M148/$P$4+($I$22/$P$4)</f>
        <v/>
      </c>
      <c r="U148">
        <f>F147</f>
        <v/>
      </c>
      <c r="V148">
        <f>H147</f>
        <v/>
      </c>
      <c r="W148">
        <f>N147</f>
        <v/>
      </c>
    </row>
    <row r="149" ht="15.75" customHeight="1" s="40">
      <c r="C149" s="36">
        <f>_xlfn.IFS(E149&lt;E$24,0,E149&lt;E$26,C$24,E149&lt;E$28,C$26,E149&lt;E$30,C$28,E149&lt;E$32,C$30,E149&lt;E$34,C$32,E149&gt;=E$34,C$34)</f>
        <v/>
      </c>
      <c r="D149" s="37">
        <f>_xlfn.IFS(E149&lt;E$24,0,E149&lt;E$25,D$24,E149&lt;E$26,D$25,E149&lt;E$27,D$26,E149&lt;E$28,D$27,E149&lt;E$29,D$28,E149&lt;E$30,D$29,E149&lt;E$31,D$30,E149&lt;E$32,D$31,E149&lt;E$33,D$32,E149&lt;E$34,D$33,E149&lt;E$35,D$34,E149&gt;=E$35,D$35)</f>
        <v/>
      </c>
      <c r="E149" s="38" t="n">
        <v>99</v>
      </c>
      <c r="F149" s="31">
        <f>E149/52</f>
        <v/>
      </c>
      <c r="G149" s="39">
        <f>D149/1000000*52</f>
        <v/>
      </c>
      <c r="H149" s="33">
        <f>G149/$P$4+($C$22/$P$4)</f>
        <v/>
      </c>
      <c r="I149" s="36">
        <f>_xlfn.IFS(K149&lt;K$24,0,K149&lt;K$26,I$24,K149&lt;K$28,I$26,K149&lt;K$30,I$28,K149&lt;K$32,I$30,K149&lt;K$34,I$32,K149&lt;K$36,I$34,K149&lt;K$38,I$36,K149&lt;K$40,I$38,K149&lt;K$42,I$40,K149&lt;K$44,I$42,K149&lt;K$46,I$44,K149&gt;=K$46,I$46)</f>
        <v/>
      </c>
      <c r="J149" s="37">
        <f>_xlfn.IFS(K149&lt;K$24,0,K149&lt;K$25,J$24,K149&lt;K$26,J$25,K149&lt;K$27,J$26,K149&lt;K$28,J$27,K149&lt;K$29,J$28,K149&lt;K$30,J$29,K149&lt;K$31,J$30,K149&lt;K$32,J$31,K149&lt;K$33,J$32,K149&lt;K$34,J$33,K149&lt;K$35,J$34,K149&lt;K$36,J$35,K149&lt;K$37,J$36,K149&lt;K$38,J$37,K149&lt;K$39,J$38,K149&lt;K$40,J$39,K149&lt;K$41,J$40,K149&lt;K$42,J$41,K149&lt;K$43,J$42,K149&lt;K$44,J$43,K149&lt;K$45,J$44,K149&lt;K$46,J$45,K149&lt;K$47,J$46,K149&gt;=K$47,J$47)</f>
        <v/>
      </c>
      <c r="K149" s="38" t="n">
        <v>99</v>
      </c>
      <c r="L149" s="31">
        <f>K149/52</f>
        <v/>
      </c>
      <c r="M149" s="39">
        <f>J149/1000000*52</f>
        <v/>
      </c>
      <c r="N149" s="33">
        <f>M149/$P$4+($I$22/$P$4)</f>
        <v/>
      </c>
      <c r="U149">
        <f>F148</f>
        <v/>
      </c>
      <c r="V149">
        <f>H148</f>
        <v/>
      </c>
      <c r="W149">
        <f>N148</f>
        <v/>
      </c>
    </row>
    <row r="150" ht="15.75" customHeight="1" s="40">
      <c r="C150" s="36">
        <f>_xlfn.IFS(E150&lt;E$24,0,E150&lt;E$26,C$24,E150&lt;E$28,C$26,E150&lt;E$30,C$28,E150&lt;E$32,C$30,E150&lt;E$34,C$32,E150&gt;=E$34,C$34)</f>
        <v/>
      </c>
      <c r="D150" s="37">
        <f>_xlfn.IFS(E150&lt;E$24,0,E150&lt;E$25,D$24,E150&lt;E$26,D$25,E150&lt;E$27,D$26,E150&lt;E$28,D$27,E150&lt;E$29,D$28,E150&lt;E$30,D$29,E150&lt;E$31,D$30,E150&lt;E$32,D$31,E150&lt;E$33,D$32,E150&lt;E$34,D$33,E150&lt;E$35,D$34,E150&gt;=E$35,D$35)</f>
        <v/>
      </c>
      <c r="E150" s="38" t="n">
        <v>100</v>
      </c>
      <c r="F150" s="31">
        <f>E150/52</f>
        <v/>
      </c>
      <c r="G150" s="39">
        <f>D150/1000000*52</f>
        <v/>
      </c>
      <c r="H150" s="33">
        <f>G150/$P$4+($C$22/$P$4)</f>
        <v/>
      </c>
      <c r="I150" s="36">
        <f>_xlfn.IFS(K150&lt;K$24,0,K150&lt;K$26,I$24,K150&lt;K$28,I$26,K150&lt;K$30,I$28,K150&lt;K$32,I$30,K150&lt;K$34,I$32,K150&lt;K$36,I$34,K150&lt;K$38,I$36,K150&lt;K$40,I$38,K150&lt;K$42,I$40,K150&lt;K$44,I$42,K150&lt;K$46,I$44,K150&gt;=K$46,I$46)</f>
        <v/>
      </c>
      <c r="J150" s="37">
        <f>_xlfn.IFS(K150&lt;K$24,0,K150&lt;K$25,J$24,K150&lt;K$26,J$25,K150&lt;K$27,J$26,K150&lt;K$28,J$27,K150&lt;K$29,J$28,K150&lt;K$30,J$29,K150&lt;K$31,J$30,K150&lt;K$32,J$31,K150&lt;K$33,J$32,K150&lt;K$34,J$33,K150&lt;K$35,J$34,K150&lt;K$36,J$35,K150&lt;K$37,J$36,K150&lt;K$38,J$37,K150&lt;K$39,J$38,K150&lt;K$40,J$39,K150&lt;K$41,J$40,K150&lt;K$42,J$41,K150&lt;K$43,J$42,K150&lt;K$44,J$43,K150&lt;K$45,J$44,K150&lt;K$46,J$45,K150&lt;K$47,J$46,K150&gt;=K$47,J$47)</f>
        <v/>
      </c>
      <c r="K150" s="38" t="n">
        <v>100</v>
      </c>
      <c r="L150" s="31">
        <f>K150/52</f>
        <v/>
      </c>
      <c r="M150" s="39">
        <f>J150/1000000*52</f>
        <v/>
      </c>
      <c r="N150" s="33">
        <f>M150/$P$4+($I$22/$P$4)</f>
        <v/>
      </c>
      <c r="U150">
        <f>F149</f>
        <v/>
      </c>
      <c r="V150">
        <f>H149</f>
        <v/>
      </c>
      <c r="W150">
        <f>N149</f>
        <v/>
      </c>
    </row>
    <row r="151" ht="15.75" customHeight="1" s="40">
      <c r="C151" s="36">
        <f>_xlfn.IFS(E151&lt;E$24,0,E151&lt;E$26,C$24,E151&lt;E$28,C$26,E151&lt;E$30,C$28,E151&lt;E$32,C$30,E151&lt;E$34,C$32,E151&gt;=E$34,C$34)</f>
        <v/>
      </c>
      <c r="D151" s="37">
        <f>_xlfn.IFS(E151&lt;E$24,0,E151&lt;E$25,D$24,E151&lt;E$26,D$25,E151&lt;E$27,D$26,E151&lt;E$28,D$27,E151&lt;E$29,D$28,E151&lt;E$30,D$29,E151&lt;E$31,D$30,E151&lt;E$32,D$31,E151&lt;E$33,D$32,E151&lt;E$34,D$33,E151&lt;E$35,D$34,E151&gt;=E$35,D$35)</f>
        <v/>
      </c>
      <c r="E151" s="38" t="n">
        <v>101</v>
      </c>
      <c r="F151" s="31">
        <f>E151/52</f>
        <v/>
      </c>
      <c r="G151" s="39">
        <f>D151/1000000*52</f>
        <v/>
      </c>
      <c r="H151" s="33">
        <f>G151/$P$4+($C$22/$P$4)</f>
        <v/>
      </c>
      <c r="I151" s="36">
        <f>_xlfn.IFS(K151&lt;K$24,0,K151&lt;K$26,I$24,K151&lt;K$28,I$26,K151&lt;K$30,I$28,K151&lt;K$32,I$30,K151&lt;K$34,I$32,K151&lt;K$36,I$34,K151&lt;K$38,I$36,K151&lt;K$40,I$38,K151&lt;K$42,I$40,K151&lt;K$44,I$42,K151&lt;K$46,I$44,K151&gt;=K$46,I$46)</f>
        <v/>
      </c>
      <c r="J151" s="37">
        <f>_xlfn.IFS(K151&lt;K$24,0,K151&lt;K$25,J$24,K151&lt;K$26,J$25,K151&lt;K$27,J$26,K151&lt;K$28,J$27,K151&lt;K$29,J$28,K151&lt;K$30,J$29,K151&lt;K$31,J$30,K151&lt;K$32,J$31,K151&lt;K$33,J$32,K151&lt;K$34,J$33,K151&lt;K$35,J$34,K151&lt;K$36,J$35,K151&lt;K$37,J$36,K151&lt;K$38,J$37,K151&lt;K$39,J$38,K151&lt;K$40,J$39,K151&lt;K$41,J$40,K151&lt;K$42,J$41,K151&lt;K$43,J$42,K151&lt;K$44,J$43,K151&lt;K$45,J$44,K151&lt;K$46,J$45,K151&lt;K$47,J$46,K151&gt;=K$47,J$47)</f>
        <v/>
      </c>
      <c r="K151" s="38" t="n">
        <v>101</v>
      </c>
      <c r="L151" s="31">
        <f>K151/52</f>
        <v/>
      </c>
      <c r="M151" s="39">
        <f>J151/1000000*52</f>
        <v/>
      </c>
      <c r="N151" s="33">
        <f>M151/$P$4+($I$22/$P$4)</f>
        <v/>
      </c>
      <c r="U151">
        <f>F150</f>
        <v/>
      </c>
      <c r="V151">
        <f>H150</f>
        <v/>
      </c>
      <c r="W151">
        <f>N150</f>
        <v/>
      </c>
    </row>
    <row r="152" ht="15.75" customHeight="1" s="40">
      <c r="C152" s="36">
        <f>_xlfn.IFS(E152&lt;E$24,0,E152&lt;E$26,C$24,E152&lt;E$28,C$26,E152&lt;E$30,C$28,E152&lt;E$32,C$30,E152&lt;E$34,C$32,E152&gt;=E$34,C$34)</f>
        <v/>
      </c>
      <c r="D152" s="37">
        <f>_xlfn.IFS(E152&lt;E$24,0,E152&lt;E$25,D$24,E152&lt;E$26,D$25,E152&lt;E$27,D$26,E152&lt;E$28,D$27,E152&lt;E$29,D$28,E152&lt;E$30,D$29,E152&lt;E$31,D$30,E152&lt;E$32,D$31,E152&lt;E$33,D$32,E152&lt;E$34,D$33,E152&lt;E$35,D$34,E152&gt;=E$35,D$35)</f>
        <v/>
      </c>
      <c r="E152" s="38" t="n">
        <v>102</v>
      </c>
      <c r="F152" s="31">
        <f>E152/52</f>
        <v/>
      </c>
      <c r="G152" s="39">
        <f>D152/1000000*52</f>
        <v/>
      </c>
      <c r="H152" s="33">
        <f>G152/$P$4+($C$22/$P$4)</f>
        <v/>
      </c>
      <c r="I152" s="36">
        <f>_xlfn.IFS(K152&lt;K$24,0,K152&lt;K$26,I$24,K152&lt;K$28,I$26,K152&lt;K$30,I$28,K152&lt;K$32,I$30,K152&lt;K$34,I$32,K152&lt;K$36,I$34,K152&lt;K$38,I$36,K152&lt;K$40,I$38,K152&lt;K$42,I$40,K152&lt;K$44,I$42,K152&lt;K$46,I$44,K152&gt;=K$46,I$46)</f>
        <v/>
      </c>
      <c r="J152" s="37">
        <f>_xlfn.IFS(K152&lt;K$24,0,K152&lt;K$25,J$24,K152&lt;K$26,J$25,K152&lt;K$27,J$26,K152&lt;K$28,J$27,K152&lt;K$29,J$28,K152&lt;K$30,J$29,K152&lt;K$31,J$30,K152&lt;K$32,J$31,K152&lt;K$33,J$32,K152&lt;K$34,J$33,K152&lt;K$35,J$34,K152&lt;K$36,J$35,K152&lt;K$37,J$36,K152&lt;K$38,J$37,K152&lt;K$39,J$38,K152&lt;K$40,J$39,K152&lt;K$41,J$40,K152&lt;K$42,J$41,K152&lt;K$43,J$42,K152&lt;K$44,J$43,K152&lt;K$45,J$44,K152&lt;K$46,J$45,K152&lt;K$47,J$46,K152&gt;=K$47,J$47)</f>
        <v/>
      </c>
      <c r="K152" s="38" t="n">
        <v>102</v>
      </c>
      <c r="L152" s="31">
        <f>K152/52</f>
        <v/>
      </c>
      <c r="M152" s="39">
        <f>J152/1000000*52</f>
        <v/>
      </c>
      <c r="N152" s="33">
        <f>M152/$P$4+($I$22/$P$4)</f>
        <v/>
      </c>
      <c r="U152">
        <f>F151</f>
        <v/>
      </c>
      <c r="V152">
        <f>H151</f>
        <v/>
      </c>
      <c r="W152">
        <f>N151</f>
        <v/>
      </c>
    </row>
    <row r="153" ht="15.75" customHeight="1" s="40">
      <c r="C153" s="36">
        <f>_xlfn.IFS(E153&lt;E$24,0,E153&lt;E$26,C$24,E153&lt;E$28,C$26,E153&lt;E$30,C$28,E153&lt;E$32,C$30,E153&lt;E$34,C$32,E153&gt;=E$34,C$34)</f>
        <v/>
      </c>
      <c r="D153" s="37">
        <f>_xlfn.IFS(E153&lt;E$24,0,E153&lt;E$25,D$24,E153&lt;E$26,D$25,E153&lt;E$27,D$26,E153&lt;E$28,D$27,E153&lt;E$29,D$28,E153&lt;E$30,D$29,E153&lt;E$31,D$30,E153&lt;E$32,D$31,E153&lt;E$33,D$32,E153&lt;E$34,D$33,E153&lt;E$35,D$34,E153&gt;=E$35,D$35)</f>
        <v/>
      </c>
      <c r="E153" s="38" t="n">
        <v>103</v>
      </c>
      <c r="F153" s="31">
        <f>E153/52</f>
        <v/>
      </c>
      <c r="G153" s="39">
        <f>D153/1000000*52</f>
        <v/>
      </c>
      <c r="H153" s="33">
        <f>G153/$P$4+($C$22/$P$4)</f>
        <v/>
      </c>
      <c r="I153" s="36">
        <f>_xlfn.IFS(K153&lt;K$24,0,K153&lt;K$26,I$24,K153&lt;K$28,I$26,K153&lt;K$30,I$28,K153&lt;K$32,I$30,K153&lt;K$34,I$32,K153&lt;K$36,I$34,K153&lt;K$38,I$36,K153&lt;K$40,I$38,K153&lt;K$42,I$40,K153&lt;K$44,I$42,K153&lt;K$46,I$44,K153&gt;=K$46,I$46)</f>
        <v/>
      </c>
      <c r="J153" s="37">
        <f>_xlfn.IFS(K153&lt;K$24,0,K153&lt;K$25,J$24,K153&lt;K$26,J$25,K153&lt;K$27,J$26,K153&lt;K$28,J$27,K153&lt;K$29,J$28,K153&lt;K$30,J$29,K153&lt;K$31,J$30,K153&lt;K$32,J$31,K153&lt;K$33,J$32,K153&lt;K$34,J$33,K153&lt;K$35,J$34,K153&lt;K$36,J$35,K153&lt;K$37,J$36,K153&lt;K$38,J$37,K153&lt;K$39,J$38,K153&lt;K$40,J$39,K153&lt;K$41,J$40,K153&lt;K$42,J$41,K153&lt;K$43,J$42,K153&lt;K$44,J$43,K153&lt;K$45,J$44,K153&lt;K$46,J$45,K153&lt;K$47,J$46,K153&gt;=K$47,J$47)</f>
        <v/>
      </c>
      <c r="K153" s="38" t="n">
        <v>103</v>
      </c>
      <c r="L153" s="31">
        <f>K153/52</f>
        <v/>
      </c>
      <c r="M153" s="39">
        <f>J153/1000000*52</f>
        <v/>
      </c>
      <c r="N153" s="33">
        <f>M153/$P$4+($I$22/$P$4)</f>
        <v/>
      </c>
      <c r="U153">
        <f>F152</f>
        <v/>
      </c>
      <c r="V153">
        <f>H152</f>
        <v/>
      </c>
      <c r="W153">
        <f>N152</f>
        <v/>
      </c>
    </row>
    <row r="154" ht="15.75" customHeight="1" s="40">
      <c r="C154" s="36">
        <f>_xlfn.IFS(E154&lt;E$24,0,E154&lt;E$26,C$24,E154&lt;E$28,C$26,E154&lt;E$30,C$28,E154&lt;E$32,C$30,E154&lt;E$34,C$32,E154&gt;=E$34,C$34)</f>
        <v/>
      </c>
      <c r="D154" s="37">
        <f>_xlfn.IFS(E154&lt;E$24,0,E154&lt;E$25,D$24,E154&lt;E$26,D$25,E154&lt;E$27,D$26,E154&lt;E$28,D$27,E154&lt;E$29,D$28,E154&lt;E$30,D$29,E154&lt;E$31,D$30,E154&lt;E$32,D$31,E154&lt;E$33,D$32,E154&lt;E$34,D$33,E154&lt;E$35,D$34,E154&gt;=E$35,D$35)</f>
        <v/>
      </c>
      <c r="E154" s="38" t="n">
        <v>104</v>
      </c>
      <c r="F154" s="31">
        <f>E154/52</f>
        <v/>
      </c>
      <c r="G154" s="39">
        <f>D154/1000000*52</f>
        <v/>
      </c>
      <c r="H154" s="33">
        <f>G154/$P$4+($C$22/$P$4)</f>
        <v/>
      </c>
      <c r="I154" s="36">
        <f>_xlfn.IFS(K154&lt;K$24,0,K154&lt;K$26,I$24,K154&lt;K$28,I$26,K154&lt;K$30,I$28,K154&lt;K$32,I$30,K154&lt;K$34,I$32,K154&lt;K$36,I$34,K154&lt;K$38,I$36,K154&lt;K$40,I$38,K154&lt;K$42,I$40,K154&lt;K$44,I$42,K154&lt;K$46,I$44,K154&gt;=K$46,I$46)</f>
        <v/>
      </c>
      <c r="J154" s="37">
        <f>_xlfn.IFS(K154&lt;K$24,0,K154&lt;K$25,J$24,K154&lt;K$26,J$25,K154&lt;K$27,J$26,K154&lt;K$28,J$27,K154&lt;K$29,J$28,K154&lt;K$30,J$29,K154&lt;K$31,J$30,K154&lt;K$32,J$31,K154&lt;K$33,J$32,K154&lt;K$34,J$33,K154&lt;K$35,J$34,K154&lt;K$36,J$35,K154&lt;K$37,J$36,K154&lt;K$38,J$37,K154&lt;K$39,J$38,K154&lt;K$40,J$39,K154&lt;K$41,J$40,K154&lt;K$42,J$41,K154&lt;K$43,J$42,K154&lt;K$44,J$43,K154&lt;K$45,J$44,K154&lt;K$46,J$45,K154&lt;K$47,J$46,K154&gt;=K$47,J$47)</f>
        <v/>
      </c>
      <c r="K154" s="38" t="n">
        <v>104</v>
      </c>
      <c r="L154" s="31">
        <f>K154/52</f>
        <v/>
      </c>
      <c r="M154" s="39">
        <f>J154/1000000*52</f>
        <v/>
      </c>
      <c r="N154" s="33">
        <f>M154/$P$4+($I$22/$P$4)</f>
        <v/>
      </c>
      <c r="U154">
        <f>F153</f>
        <v/>
      </c>
      <c r="V154">
        <f>H153</f>
        <v/>
      </c>
      <c r="W154">
        <f>N153</f>
        <v/>
      </c>
    </row>
    <row r="155" ht="15.75" customHeight="1" s="40">
      <c r="C155" s="36">
        <f>_xlfn.IFS(E155&lt;E$24,0,E155&lt;E$26,C$24,E155&lt;E$28,C$26,E155&lt;E$30,C$28,E155&lt;E$32,C$30,E155&lt;E$34,C$32,E155&gt;=E$34,C$34)</f>
        <v/>
      </c>
      <c r="D155" s="37">
        <f>_xlfn.IFS(E155&lt;E$24,0,E155&lt;E$25,D$24,E155&lt;E$26,D$25,E155&lt;E$27,D$26,E155&lt;E$28,D$27,E155&lt;E$29,D$28,E155&lt;E$30,D$29,E155&lt;E$31,D$30,E155&lt;E$32,D$31,E155&lt;E$33,D$32,E155&lt;E$34,D$33,E155&lt;E$35,D$34,E155&gt;=E$35,D$35)</f>
        <v/>
      </c>
      <c r="E155" s="38" t="n">
        <v>105</v>
      </c>
      <c r="F155" s="31">
        <f>E155/52</f>
        <v/>
      </c>
      <c r="G155" s="39">
        <f>D155/1000000*52</f>
        <v/>
      </c>
      <c r="H155" s="33">
        <f>G155/$P$4+($C$22/$P$4)</f>
        <v/>
      </c>
      <c r="I155" s="36">
        <f>_xlfn.IFS(K155&lt;K$24,0,K155&lt;K$26,I$24,K155&lt;K$28,I$26,K155&lt;K$30,I$28,K155&lt;K$32,I$30,K155&lt;K$34,I$32,K155&lt;K$36,I$34,K155&lt;K$38,I$36,K155&lt;K$40,I$38,K155&lt;K$42,I$40,K155&lt;K$44,I$42,K155&lt;K$46,I$44,K155&gt;=K$46,I$46)</f>
        <v/>
      </c>
      <c r="J155" s="37">
        <f>_xlfn.IFS(K155&lt;K$24,0,K155&lt;K$25,J$24,K155&lt;K$26,J$25,K155&lt;K$27,J$26,K155&lt;K$28,J$27,K155&lt;K$29,J$28,K155&lt;K$30,J$29,K155&lt;K$31,J$30,K155&lt;K$32,J$31,K155&lt;K$33,J$32,K155&lt;K$34,J$33,K155&lt;K$35,J$34,K155&lt;K$36,J$35,K155&lt;K$37,J$36,K155&lt;K$38,J$37,K155&lt;K$39,J$38,K155&lt;K$40,J$39,K155&lt;K$41,J$40,K155&lt;K$42,J$41,K155&lt;K$43,J$42,K155&lt;K$44,J$43,K155&lt;K$45,J$44,K155&lt;K$46,J$45,K155&lt;K$47,J$46,K155&gt;=K$47,J$47)</f>
        <v/>
      </c>
      <c r="K155" s="38" t="n">
        <v>105</v>
      </c>
      <c r="L155" s="31">
        <f>K155/52</f>
        <v/>
      </c>
      <c r="M155" s="39">
        <f>J155/1000000*52</f>
        <v/>
      </c>
      <c r="N155" s="33">
        <f>M155/$P$4+($I$22/$P$4)</f>
        <v/>
      </c>
      <c r="U155">
        <f>F154</f>
        <v/>
      </c>
      <c r="V155">
        <f>H154</f>
        <v/>
      </c>
      <c r="W155">
        <f>N154</f>
        <v/>
      </c>
    </row>
    <row r="156" ht="15.75" customHeight="1" s="40">
      <c r="C156" s="36">
        <f>_xlfn.IFS(E156&lt;E$24,0,E156&lt;E$26,C$24,E156&lt;E$28,C$26,E156&lt;E$30,C$28,E156&lt;E$32,C$30,E156&lt;E$34,C$32,E156&gt;=E$34,C$34)</f>
        <v/>
      </c>
      <c r="D156" s="37">
        <f>_xlfn.IFS(E156&lt;E$24,0,E156&lt;E$25,D$24,E156&lt;E$26,D$25,E156&lt;E$27,D$26,E156&lt;E$28,D$27,E156&lt;E$29,D$28,E156&lt;E$30,D$29,E156&lt;E$31,D$30,E156&lt;E$32,D$31,E156&lt;E$33,D$32,E156&lt;E$34,D$33,E156&lt;E$35,D$34,E156&gt;=E$35,D$35)</f>
        <v/>
      </c>
      <c r="E156" s="38" t="n">
        <v>106</v>
      </c>
      <c r="F156" s="31">
        <f>E156/52</f>
        <v/>
      </c>
      <c r="G156" s="39">
        <f>D156/1000000*52</f>
        <v/>
      </c>
      <c r="H156" s="33">
        <f>G156/$P$4+($C$22/$P$4)</f>
        <v/>
      </c>
      <c r="I156" s="36">
        <f>_xlfn.IFS(K156&lt;K$24,0,K156&lt;K$26,I$24,K156&lt;K$28,I$26,K156&lt;K$30,I$28,K156&lt;K$32,I$30,K156&lt;K$34,I$32,K156&lt;K$36,I$34,K156&lt;K$38,I$36,K156&lt;K$40,I$38,K156&lt;K$42,I$40,K156&lt;K$44,I$42,K156&lt;K$46,I$44,K156&gt;=K$46,I$46)</f>
        <v/>
      </c>
      <c r="J156" s="37">
        <f>_xlfn.IFS(K156&lt;K$24,0,K156&lt;K$25,J$24,K156&lt;K$26,J$25,K156&lt;K$27,J$26,K156&lt;K$28,J$27,K156&lt;K$29,J$28,K156&lt;K$30,J$29,K156&lt;K$31,J$30,K156&lt;K$32,J$31,K156&lt;K$33,J$32,K156&lt;K$34,J$33,K156&lt;K$35,J$34,K156&lt;K$36,J$35,K156&lt;K$37,J$36,K156&lt;K$38,J$37,K156&lt;K$39,J$38,K156&lt;K$40,J$39,K156&lt;K$41,J$40,K156&lt;K$42,J$41,K156&lt;K$43,J$42,K156&lt;K$44,J$43,K156&lt;K$45,J$44,K156&lt;K$46,J$45,K156&lt;K$47,J$46,K156&gt;=K$47,J$47)</f>
        <v/>
      </c>
      <c r="K156" s="38" t="n">
        <v>106</v>
      </c>
      <c r="L156" s="31">
        <f>K156/52</f>
        <v/>
      </c>
      <c r="M156" s="39">
        <f>J156/1000000*52</f>
        <v/>
      </c>
      <c r="N156" s="33">
        <f>M156/$P$4+($I$22/$P$4)</f>
        <v/>
      </c>
      <c r="U156">
        <f>F155</f>
        <v/>
      </c>
      <c r="V156">
        <f>H155</f>
        <v/>
      </c>
      <c r="W156">
        <f>N155</f>
        <v/>
      </c>
    </row>
    <row r="157" ht="15.75" customHeight="1" s="40">
      <c r="C157" s="36">
        <f>_xlfn.IFS(E157&lt;E$24,0,E157&lt;E$26,C$24,E157&lt;E$28,C$26,E157&lt;E$30,C$28,E157&lt;E$32,C$30,E157&lt;E$34,C$32,E157&gt;=E$34,C$34)</f>
        <v/>
      </c>
      <c r="D157" s="37">
        <f>_xlfn.IFS(E157&lt;E$24,0,E157&lt;E$25,D$24,E157&lt;E$26,D$25,E157&lt;E$27,D$26,E157&lt;E$28,D$27,E157&lt;E$29,D$28,E157&lt;E$30,D$29,E157&lt;E$31,D$30,E157&lt;E$32,D$31,E157&lt;E$33,D$32,E157&lt;E$34,D$33,E157&lt;E$35,D$34,E157&gt;=E$35,D$35)</f>
        <v/>
      </c>
      <c r="E157" s="38" t="n">
        <v>107</v>
      </c>
      <c r="F157" s="31">
        <f>E157/52</f>
        <v/>
      </c>
      <c r="G157" s="39">
        <f>D157/1000000*52</f>
        <v/>
      </c>
      <c r="H157" s="33">
        <f>G157/$P$4+($C$22/$P$4)</f>
        <v/>
      </c>
      <c r="I157" s="36">
        <f>_xlfn.IFS(K157&lt;K$24,0,K157&lt;K$26,I$24,K157&lt;K$28,I$26,K157&lt;K$30,I$28,K157&lt;K$32,I$30,K157&lt;K$34,I$32,K157&lt;K$36,I$34,K157&lt;K$38,I$36,K157&lt;K$40,I$38,K157&lt;K$42,I$40,K157&lt;K$44,I$42,K157&lt;K$46,I$44,K157&gt;=K$46,I$46)</f>
        <v/>
      </c>
      <c r="J157" s="37">
        <f>_xlfn.IFS(K157&lt;K$24,0,K157&lt;K$25,J$24,K157&lt;K$26,J$25,K157&lt;K$27,J$26,K157&lt;K$28,J$27,K157&lt;K$29,J$28,K157&lt;K$30,J$29,K157&lt;K$31,J$30,K157&lt;K$32,J$31,K157&lt;K$33,J$32,K157&lt;K$34,J$33,K157&lt;K$35,J$34,K157&lt;K$36,J$35,K157&lt;K$37,J$36,K157&lt;K$38,J$37,K157&lt;K$39,J$38,K157&lt;K$40,J$39,K157&lt;K$41,J$40,K157&lt;K$42,J$41,K157&lt;K$43,J$42,K157&lt;K$44,J$43,K157&lt;K$45,J$44,K157&lt;K$46,J$45,K157&lt;K$47,J$46,K157&gt;=K$47,J$47)</f>
        <v/>
      </c>
      <c r="K157" s="38" t="n">
        <v>107</v>
      </c>
      <c r="L157" s="31">
        <f>K157/52</f>
        <v/>
      </c>
      <c r="M157" s="39">
        <f>J157/1000000*52</f>
        <v/>
      </c>
      <c r="N157" s="33">
        <f>M157/$P$4+($I$22/$P$4)</f>
        <v/>
      </c>
      <c r="U157">
        <f>F156</f>
        <v/>
      </c>
      <c r="V157">
        <f>H156</f>
        <v/>
      </c>
      <c r="W157">
        <f>N156</f>
        <v/>
      </c>
    </row>
    <row r="158" ht="15.75" customHeight="1" s="40">
      <c r="C158" s="36">
        <f>_xlfn.IFS(E158&lt;E$24,0,E158&lt;E$26,C$24,E158&lt;E$28,C$26,E158&lt;E$30,C$28,E158&lt;E$32,C$30,E158&lt;E$34,C$32,E158&gt;=E$34,C$34)</f>
        <v/>
      </c>
      <c r="D158" s="37">
        <f>_xlfn.IFS(E158&lt;E$24,0,E158&lt;E$25,D$24,E158&lt;E$26,D$25,E158&lt;E$27,D$26,E158&lt;E$28,D$27,E158&lt;E$29,D$28,E158&lt;E$30,D$29,E158&lt;E$31,D$30,E158&lt;E$32,D$31,E158&lt;E$33,D$32,E158&lt;E$34,D$33,E158&lt;E$35,D$34,E158&gt;=E$35,D$35)</f>
        <v/>
      </c>
      <c r="E158" s="38" t="n">
        <v>108</v>
      </c>
      <c r="F158" s="31">
        <f>E158/52</f>
        <v/>
      </c>
      <c r="G158" s="39">
        <f>D158/1000000*52</f>
        <v/>
      </c>
      <c r="H158" s="33">
        <f>G158/$P$4+($C$22/$P$4)</f>
        <v/>
      </c>
      <c r="I158" s="36">
        <f>_xlfn.IFS(K158&lt;K$24,0,K158&lt;K$26,I$24,K158&lt;K$28,I$26,K158&lt;K$30,I$28,K158&lt;K$32,I$30,K158&lt;K$34,I$32,K158&lt;K$36,I$34,K158&lt;K$38,I$36,K158&lt;K$40,I$38,K158&lt;K$42,I$40,K158&lt;K$44,I$42,K158&lt;K$46,I$44,K158&gt;=K$46,I$46)</f>
        <v/>
      </c>
      <c r="J158" s="37">
        <f>_xlfn.IFS(K158&lt;K$24,0,K158&lt;K$25,J$24,K158&lt;K$26,J$25,K158&lt;K$27,J$26,K158&lt;K$28,J$27,K158&lt;K$29,J$28,K158&lt;K$30,J$29,K158&lt;K$31,J$30,K158&lt;K$32,J$31,K158&lt;K$33,J$32,K158&lt;K$34,J$33,K158&lt;K$35,J$34,K158&lt;K$36,J$35,K158&lt;K$37,J$36,K158&lt;K$38,J$37,K158&lt;K$39,J$38,K158&lt;K$40,J$39,K158&lt;K$41,J$40,K158&lt;K$42,J$41,K158&lt;K$43,J$42,K158&lt;K$44,J$43,K158&lt;K$45,J$44,K158&lt;K$46,J$45,K158&lt;K$47,J$46,K158&gt;=K$47,J$47)</f>
        <v/>
      </c>
      <c r="K158" s="38" t="n">
        <v>108</v>
      </c>
      <c r="L158" s="31">
        <f>K158/52</f>
        <v/>
      </c>
      <c r="M158" s="39">
        <f>J158/1000000*52</f>
        <v/>
      </c>
      <c r="N158" s="33">
        <f>M158/$P$4+($I$22/$P$4)</f>
        <v/>
      </c>
      <c r="U158">
        <f>F157</f>
        <v/>
      </c>
      <c r="V158">
        <f>H157</f>
        <v/>
      </c>
      <c r="W158">
        <f>N157</f>
        <v/>
      </c>
    </row>
    <row r="159" ht="15.75" customHeight="1" s="40">
      <c r="C159" s="36">
        <f>_xlfn.IFS(E159&lt;E$24,0,E159&lt;E$26,C$24,E159&lt;E$28,C$26,E159&lt;E$30,C$28,E159&lt;E$32,C$30,E159&lt;E$34,C$32,E159&gt;=E$34,C$34)</f>
        <v/>
      </c>
      <c r="D159" s="37">
        <f>_xlfn.IFS(E159&lt;E$24,0,E159&lt;E$25,D$24,E159&lt;E$26,D$25,E159&lt;E$27,D$26,E159&lt;E$28,D$27,E159&lt;E$29,D$28,E159&lt;E$30,D$29,E159&lt;E$31,D$30,E159&lt;E$32,D$31,E159&lt;E$33,D$32,E159&lt;E$34,D$33,E159&lt;E$35,D$34,E159&gt;=E$35,D$35)</f>
        <v/>
      </c>
      <c r="E159" s="38" t="n">
        <v>109</v>
      </c>
      <c r="F159" s="31">
        <f>E159/52</f>
        <v/>
      </c>
      <c r="G159" s="39">
        <f>D159/1000000*52</f>
        <v/>
      </c>
      <c r="H159" s="33">
        <f>G159/$P$4+($C$22/$P$4)</f>
        <v/>
      </c>
      <c r="I159" s="36">
        <f>_xlfn.IFS(K159&lt;K$24,0,K159&lt;K$26,I$24,K159&lt;K$28,I$26,K159&lt;K$30,I$28,K159&lt;K$32,I$30,K159&lt;K$34,I$32,K159&lt;K$36,I$34,K159&lt;K$38,I$36,K159&lt;K$40,I$38,K159&lt;K$42,I$40,K159&lt;K$44,I$42,K159&lt;K$46,I$44,K159&gt;=K$46,I$46)</f>
        <v/>
      </c>
      <c r="J159" s="37">
        <f>_xlfn.IFS(K159&lt;K$24,0,K159&lt;K$25,J$24,K159&lt;K$26,J$25,K159&lt;K$27,J$26,K159&lt;K$28,J$27,K159&lt;K$29,J$28,K159&lt;K$30,J$29,K159&lt;K$31,J$30,K159&lt;K$32,J$31,K159&lt;K$33,J$32,K159&lt;K$34,J$33,K159&lt;K$35,J$34,K159&lt;K$36,J$35,K159&lt;K$37,J$36,K159&lt;K$38,J$37,K159&lt;K$39,J$38,K159&lt;K$40,J$39,K159&lt;K$41,J$40,K159&lt;K$42,J$41,K159&lt;K$43,J$42,K159&lt;K$44,J$43,K159&lt;K$45,J$44,K159&lt;K$46,J$45,K159&lt;K$47,J$46,K159&gt;=K$47,J$47)</f>
        <v/>
      </c>
      <c r="K159" s="38" t="n">
        <v>109</v>
      </c>
      <c r="L159" s="31">
        <f>K159/52</f>
        <v/>
      </c>
      <c r="M159" s="39">
        <f>J159/1000000*52</f>
        <v/>
      </c>
      <c r="N159" s="33">
        <f>M159/$P$4+($I$22/$P$4)</f>
        <v/>
      </c>
      <c r="U159">
        <f>F158</f>
        <v/>
      </c>
      <c r="V159">
        <f>H158</f>
        <v/>
      </c>
      <c r="W159">
        <f>N158</f>
        <v/>
      </c>
    </row>
    <row r="160" ht="15.75" customHeight="1" s="40">
      <c r="C160" s="36">
        <f>_xlfn.IFS(E160&lt;E$24,0,E160&lt;E$26,C$24,E160&lt;E$28,C$26,E160&lt;E$30,C$28,E160&lt;E$32,C$30,E160&lt;E$34,C$32,E160&gt;=E$34,C$34)</f>
        <v/>
      </c>
      <c r="D160" s="37">
        <f>_xlfn.IFS(E160&lt;E$24,0,E160&lt;E$25,D$24,E160&lt;E$26,D$25,E160&lt;E$27,D$26,E160&lt;E$28,D$27,E160&lt;E$29,D$28,E160&lt;E$30,D$29,E160&lt;E$31,D$30,E160&lt;E$32,D$31,E160&lt;E$33,D$32,E160&lt;E$34,D$33,E160&lt;E$35,D$34,E160&gt;=E$35,D$35)</f>
        <v/>
      </c>
      <c r="E160" s="38" t="n">
        <v>110</v>
      </c>
      <c r="F160" s="31">
        <f>E160/52</f>
        <v/>
      </c>
      <c r="G160" s="39">
        <f>D160/1000000*52</f>
        <v/>
      </c>
      <c r="H160" s="33">
        <f>G160/$P$4+($C$22/$P$4)</f>
        <v/>
      </c>
      <c r="I160" s="36">
        <f>_xlfn.IFS(K160&lt;K$24,0,K160&lt;K$26,I$24,K160&lt;K$28,I$26,K160&lt;K$30,I$28,K160&lt;K$32,I$30,K160&lt;K$34,I$32,K160&lt;K$36,I$34,K160&lt;K$38,I$36,K160&lt;K$40,I$38,K160&lt;K$42,I$40,K160&lt;K$44,I$42,K160&lt;K$46,I$44,K160&gt;=K$46,I$46)</f>
        <v/>
      </c>
      <c r="J160" s="37">
        <f>_xlfn.IFS(K160&lt;K$24,0,K160&lt;K$25,J$24,K160&lt;K$26,J$25,K160&lt;K$27,J$26,K160&lt;K$28,J$27,K160&lt;K$29,J$28,K160&lt;K$30,J$29,K160&lt;K$31,J$30,K160&lt;K$32,J$31,K160&lt;K$33,J$32,K160&lt;K$34,J$33,K160&lt;K$35,J$34,K160&lt;K$36,J$35,K160&lt;K$37,J$36,K160&lt;K$38,J$37,K160&lt;K$39,J$38,K160&lt;K$40,J$39,K160&lt;K$41,J$40,K160&lt;K$42,J$41,K160&lt;K$43,J$42,K160&lt;K$44,J$43,K160&lt;K$45,J$44,K160&lt;K$46,J$45,K160&lt;K$47,J$46,K160&gt;=K$47,J$47)</f>
        <v/>
      </c>
      <c r="K160" s="38" t="n">
        <v>110</v>
      </c>
      <c r="L160" s="31">
        <f>K160/52</f>
        <v/>
      </c>
      <c r="M160" s="39">
        <f>J160/1000000*52</f>
        <v/>
      </c>
      <c r="N160" s="33">
        <f>M160/$P$4+($I$22/$P$4)</f>
        <v/>
      </c>
      <c r="U160">
        <f>F159</f>
        <v/>
      </c>
      <c r="V160">
        <f>H159</f>
        <v/>
      </c>
      <c r="W160">
        <f>N159</f>
        <v/>
      </c>
    </row>
    <row r="161" ht="15.75" customHeight="1" s="40">
      <c r="C161" s="36">
        <f>_xlfn.IFS(E161&lt;E$24,0,E161&lt;E$26,C$24,E161&lt;E$28,C$26,E161&lt;E$30,C$28,E161&lt;E$32,C$30,E161&lt;E$34,C$32,E161&gt;=E$34,C$34)</f>
        <v/>
      </c>
      <c r="D161" s="37">
        <f>_xlfn.IFS(E161&lt;E$24,0,E161&lt;E$25,D$24,E161&lt;E$26,D$25,E161&lt;E$27,D$26,E161&lt;E$28,D$27,E161&lt;E$29,D$28,E161&lt;E$30,D$29,E161&lt;E$31,D$30,E161&lt;E$32,D$31,E161&lt;E$33,D$32,E161&lt;E$34,D$33,E161&lt;E$35,D$34,E161&gt;=E$35,D$35)</f>
        <v/>
      </c>
      <c r="E161" s="38" t="n">
        <v>111</v>
      </c>
      <c r="F161" s="31">
        <f>E161/52</f>
        <v/>
      </c>
      <c r="G161" s="39">
        <f>D161/1000000*52</f>
        <v/>
      </c>
      <c r="H161" s="33">
        <f>G161/$P$4+($C$22/$P$4)</f>
        <v/>
      </c>
      <c r="I161" s="36">
        <f>_xlfn.IFS(K161&lt;K$24,0,K161&lt;K$26,I$24,K161&lt;K$28,I$26,K161&lt;K$30,I$28,K161&lt;K$32,I$30,K161&lt;K$34,I$32,K161&lt;K$36,I$34,K161&lt;K$38,I$36,K161&lt;K$40,I$38,K161&lt;K$42,I$40,K161&lt;K$44,I$42,K161&lt;K$46,I$44,K161&gt;=K$46,I$46)</f>
        <v/>
      </c>
      <c r="J161" s="37">
        <f>_xlfn.IFS(K161&lt;K$24,0,K161&lt;K$25,J$24,K161&lt;K$26,J$25,K161&lt;K$27,J$26,K161&lt;K$28,J$27,K161&lt;K$29,J$28,K161&lt;K$30,J$29,K161&lt;K$31,J$30,K161&lt;K$32,J$31,K161&lt;K$33,J$32,K161&lt;K$34,J$33,K161&lt;K$35,J$34,K161&lt;K$36,J$35,K161&lt;K$37,J$36,K161&lt;K$38,J$37,K161&lt;K$39,J$38,K161&lt;K$40,J$39,K161&lt;K$41,J$40,K161&lt;K$42,J$41,K161&lt;K$43,J$42,K161&lt;K$44,J$43,K161&lt;K$45,J$44,K161&lt;K$46,J$45,K161&lt;K$47,J$46,K161&gt;=K$47,J$47)</f>
        <v/>
      </c>
      <c r="K161" s="38" t="n">
        <v>111</v>
      </c>
      <c r="L161" s="31">
        <f>K161/52</f>
        <v/>
      </c>
      <c r="M161" s="39">
        <f>J161/1000000*52</f>
        <v/>
      </c>
      <c r="N161" s="33">
        <f>M161/$P$4+($I$22/$P$4)</f>
        <v/>
      </c>
      <c r="U161">
        <f>F160</f>
        <v/>
      </c>
      <c r="V161">
        <f>H160</f>
        <v/>
      </c>
      <c r="W161">
        <f>N160</f>
        <v/>
      </c>
    </row>
    <row r="162" ht="15.75" customHeight="1" s="40">
      <c r="C162" s="36">
        <f>_xlfn.IFS(E162&lt;E$24,0,E162&lt;E$26,C$24,E162&lt;E$28,C$26,E162&lt;E$30,C$28,E162&lt;E$32,C$30,E162&lt;E$34,C$32,E162&gt;=E$34,C$34)</f>
        <v/>
      </c>
      <c r="D162" s="37">
        <f>_xlfn.IFS(E162&lt;E$24,0,E162&lt;E$25,D$24,E162&lt;E$26,D$25,E162&lt;E$27,D$26,E162&lt;E$28,D$27,E162&lt;E$29,D$28,E162&lt;E$30,D$29,E162&lt;E$31,D$30,E162&lt;E$32,D$31,E162&lt;E$33,D$32,E162&lt;E$34,D$33,E162&lt;E$35,D$34,E162&gt;=E$35,D$35)</f>
        <v/>
      </c>
      <c r="E162" s="38" t="n">
        <v>112</v>
      </c>
      <c r="F162" s="31">
        <f>E162/52</f>
        <v/>
      </c>
      <c r="G162" s="39">
        <f>D162/1000000*52</f>
        <v/>
      </c>
      <c r="H162" s="33">
        <f>G162/$P$4+($C$22/$P$4)</f>
        <v/>
      </c>
      <c r="I162" s="36">
        <f>_xlfn.IFS(K162&lt;K$24,0,K162&lt;K$26,I$24,K162&lt;K$28,I$26,K162&lt;K$30,I$28,K162&lt;K$32,I$30,K162&lt;K$34,I$32,K162&lt;K$36,I$34,K162&lt;K$38,I$36,K162&lt;K$40,I$38,K162&lt;K$42,I$40,K162&lt;K$44,I$42,K162&lt;K$46,I$44,K162&gt;=K$46,I$46)</f>
        <v/>
      </c>
      <c r="J162" s="37">
        <f>_xlfn.IFS(K162&lt;K$24,0,K162&lt;K$25,J$24,K162&lt;K$26,J$25,K162&lt;K$27,J$26,K162&lt;K$28,J$27,K162&lt;K$29,J$28,K162&lt;K$30,J$29,K162&lt;K$31,J$30,K162&lt;K$32,J$31,K162&lt;K$33,J$32,K162&lt;K$34,J$33,K162&lt;K$35,J$34,K162&lt;K$36,J$35,K162&lt;K$37,J$36,K162&lt;K$38,J$37,K162&lt;K$39,J$38,K162&lt;K$40,J$39,K162&lt;K$41,J$40,K162&lt;K$42,J$41,K162&lt;K$43,J$42,K162&lt;K$44,J$43,K162&lt;K$45,J$44,K162&lt;K$46,J$45,K162&lt;K$47,J$46,K162&gt;=K$47,J$47)</f>
        <v/>
      </c>
      <c r="K162" s="38" t="n">
        <v>112</v>
      </c>
      <c r="L162" s="31">
        <f>K162/52</f>
        <v/>
      </c>
      <c r="M162" s="39">
        <f>J162/1000000*52</f>
        <v/>
      </c>
      <c r="N162" s="33">
        <f>M162/$P$4+($I$22/$P$4)</f>
        <v/>
      </c>
      <c r="U162">
        <f>F161</f>
        <v/>
      </c>
      <c r="V162">
        <f>H161</f>
        <v/>
      </c>
      <c r="W162">
        <f>N161</f>
        <v/>
      </c>
    </row>
    <row r="163" ht="15.75" customHeight="1" s="40">
      <c r="C163" s="36">
        <f>_xlfn.IFS(E163&lt;E$24,0,E163&lt;E$26,C$24,E163&lt;E$28,C$26,E163&lt;E$30,C$28,E163&lt;E$32,C$30,E163&lt;E$34,C$32,E163&gt;=E$34,C$34)</f>
        <v/>
      </c>
      <c r="D163" s="37">
        <f>_xlfn.IFS(E163&lt;E$24,0,E163&lt;E$25,D$24,E163&lt;E$26,D$25,E163&lt;E$27,D$26,E163&lt;E$28,D$27,E163&lt;E$29,D$28,E163&lt;E$30,D$29,E163&lt;E$31,D$30,E163&lt;E$32,D$31,E163&lt;E$33,D$32,E163&lt;E$34,D$33,E163&lt;E$35,D$34,E163&gt;=E$35,D$35)</f>
        <v/>
      </c>
      <c r="E163" s="38" t="n">
        <v>113</v>
      </c>
      <c r="F163" s="31">
        <f>E163/52</f>
        <v/>
      </c>
      <c r="G163" s="39">
        <f>D163/1000000*52</f>
        <v/>
      </c>
      <c r="H163" s="33">
        <f>G163/$P$4+($C$22/$P$4)</f>
        <v/>
      </c>
      <c r="I163" s="36">
        <f>_xlfn.IFS(K163&lt;K$24,0,K163&lt;K$26,I$24,K163&lt;K$28,I$26,K163&lt;K$30,I$28,K163&lt;K$32,I$30,K163&lt;K$34,I$32,K163&lt;K$36,I$34,K163&lt;K$38,I$36,K163&lt;K$40,I$38,K163&lt;K$42,I$40,K163&lt;K$44,I$42,K163&lt;K$46,I$44,K163&gt;=K$46,I$46)</f>
        <v/>
      </c>
      <c r="J163" s="37">
        <f>_xlfn.IFS(K163&lt;K$24,0,K163&lt;K$25,J$24,K163&lt;K$26,J$25,K163&lt;K$27,J$26,K163&lt;K$28,J$27,K163&lt;K$29,J$28,K163&lt;K$30,J$29,K163&lt;K$31,J$30,K163&lt;K$32,J$31,K163&lt;K$33,J$32,K163&lt;K$34,J$33,K163&lt;K$35,J$34,K163&lt;K$36,J$35,K163&lt;K$37,J$36,K163&lt;K$38,J$37,K163&lt;K$39,J$38,K163&lt;K$40,J$39,K163&lt;K$41,J$40,K163&lt;K$42,J$41,K163&lt;K$43,J$42,K163&lt;K$44,J$43,K163&lt;K$45,J$44,K163&lt;K$46,J$45,K163&lt;K$47,J$46,K163&gt;=K$47,J$47)</f>
        <v/>
      </c>
      <c r="K163" s="38" t="n">
        <v>113</v>
      </c>
      <c r="L163" s="31">
        <f>K163/52</f>
        <v/>
      </c>
      <c r="M163" s="39">
        <f>J163/1000000*52</f>
        <v/>
      </c>
      <c r="N163" s="33">
        <f>M163/$P$4+($I$22/$P$4)</f>
        <v/>
      </c>
      <c r="U163">
        <f>F162</f>
        <v/>
      </c>
      <c r="V163">
        <f>H162</f>
        <v/>
      </c>
      <c r="W163">
        <f>N162</f>
        <v/>
      </c>
    </row>
    <row r="164" ht="15.75" customHeight="1" s="40">
      <c r="C164" s="36">
        <f>_xlfn.IFS(E164&lt;E$24,0,E164&lt;E$26,C$24,E164&lt;E$28,C$26,E164&lt;E$30,C$28,E164&lt;E$32,C$30,E164&lt;E$34,C$32,E164&gt;=E$34,C$34)</f>
        <v/>
      </c>
      <c r="D164" s="37">
        <f>_xlfn.IFS(E164&lt;E$24,0,E164&lt;E$25,D$24,E164&lt;E$26,D$25,E164&lt;E$27,D$26,E164&lt;E$28,D$27,E164&lt;E$29,D$28,E164&lt;E$30,D$29,E164&lt;E$31,D$30,E164&lt;E$32,D$31,E164&lt;E$33,D$32,E164&lt;E$34,D$33,E164&lt;E$35,D$34,E164&gt;=E$35,D$35)</f>
        <v/>
      </c>
      <c r="E164" s="38" t="n">
        <v>114</v>
      </c>
      <c r="F164" s="31">
        <f>E164/52</f>
        <v/>
      </c>
      <c r="G164" s="39">
        <f>D164/1000000*52</f>
        <v/>
      </c>
      <c r="H164" s="33">
        <f>G164/$P$4+($C$22/$P$4)</f>
        <v/>
      </c>
      <c r="I164" s="36">
        <f>_xlfn.IFS(K164&lt;K$24,0,K164&lt;K$26,I$24,K164&lt;K$28,I$26,K164&lt;K$30,I$28,K164&lt;K$32,I$30,K164&lt;K$34,I$32,K164&lt;K$36,I$34,K164&lt;K$38,I$36,K164&lt;K$40,I$38,K164&lt;K$42,I$40,K164&lt;K$44,I$42,K164&lt;K$46,I$44,K164&gt;=K$46,I$46)</f>
        <v/>
      </c>
      <c r="J164" s="37">
        <f>_xlfn.IFS(K164&lt;K$24,0,K164&lt;K$25,J$24,K164&lt;K$26,J$25,K164&lt;K$27,J$26,K164&lt;K$28,J$27,K164&lt;K$29,J$28,K164&lt;K$30,J$29,K164&lt;K$31,J$30,K164&lt;K$32,J$31,K164&lt;K$33,J$32,K164&lt;K$34,J$33,K164&lt;K$35,J$34,K164&lt;K$36,J$35,K164&lt;K$37,J$36,K164&lt;K$38,J$37,K164&lt;K$39,J$38,K164&lt;K$40,J$39,K164&lt;K$41,J$40,K164&lt;K$42,J$41,K164&lt;K$43,J$42,K164&lt;K$44,J$43,K164&lt;K$45,J$44,K164&lt;K$46,J$45,K164&lt;K$47,J$46,K164&gt;=K$47,J$47)</f>
        <v/>
      </c>
      <c r="K164" s="38" t="n">
        <v>114</v>
      </c>
      <c r="L164" s="31">
        <f>K164/52</f>
        <v/>
      </c>
      <c r="M164" s="39">
        <f>J164/1000000*52</f>
        <v/>
      </c>
      <c r="N164" s="33">
        <f>M164/$P$4+($I$22/$P$4)</f>
        <v/>
      </c>
      <c r="U164">
        <f>F163</f>
        <v/>
      </c>
      <c r="V164">
        <f>H163</f>
        <v/>
      </c>
      <c r="W164">
        <f>N163</f>
        <v/>
      </c>
    </row>
    <row r="165" ht="15.75" customHeight="1" s="40">
      <c r="C165" s="36">
        <f>_xlfn.IFS(E165&lt;E$24,0,E165&lt;E$26,C$24,E165&lt;E$28,C$26,E165&lt;E$30,C$28,E165&lt;E$32,C$30,E165&lt;E$34,C$32,E165&gt;=E$34,C$34)</f>
        <v/>
      </c>
      <c r="D165" s="37">
        <f>_xlfn.IFS(E165&lt;E$24,0,E165&lt;E$25,D$24,E165&lt;E$26,D$25,E165&lt;E$27,D$26,E165&lt;E$28,D$27,E165&lt;E$29,D$28,E165&lt;E$30,D$29,E165&lt;E$31,D$30,E165&lt;E$32,D$31,E165&lt;E$33,D$32,E165&lt;E$34,D$33,E165&lt;E$35,D$34,E165&gt;=E$35,D$35)</f>
        <v/>
      </c>
      <c r="E165" s="38" t="n">
        <v>115</v>
      </c>
      <c r="F165" s="31">
        <f>E165/52</f>
        <v/>
      </c>
      <c r="G165" s="39">
        <f>D165/1000000*52</f>
        <v/>
      </c>
      <c r="H165" s="33">
        <f>G165/$P$4+($C$22/$P$4)</f>
        <v/>
      </c>
      <c r="I165" s="36">
        <f>_xlfn.IFS(K165&lt;K$24,0,K165&lt;K$26,I$24,K165&lt;K$28,I$26,K165&lt;K$30,I$28,K165&lt;K$32,I$30,K165&lt;K$34,I$32,K165&lt;K$36,I$34,K165&lt;K$38,I$36,K165&lt;K$40,I$38,K165&lt;K$42,I$40,K165&lt;K$44,I$42,K165&lt;K$46,I$44,K165&gt;=K$46,I$46)</f>
        <v/>
      </c>
      <c r="J165" s="37">
        <f>_xlfn.IFS(K165&lt;K$24,0,K165&lt;K$25,J$24,K165&lt;K$26,J$25,K165&lt;K$27,J$26,K165&lt;K$28,J$27,K165&lt;K$29,J$28,K165&lt;K$30,J$29,K165&lt;K$31,J$30,K165&lt;K$32,J$31,K165&lt;K$33,J$32,K165&lt;K$34,J$33,K165&lt;K$35,J$34,K165&lt;K$36,J$35,K165&lt;K$37,J$36,K165&lt;K$38,J$37,K165&lt;K$39,J$38,K165&lt;K$40,J$39,K165&lt;K$41,J$40,K165&lt;K$42,J$41,K165&lt;K$43,J$42,K165&lt;K$44,J$43,K165&lt;K$45,J$44,K165&lt;K$46,J$45,K165&lt;K$47,J$46,K165&gt;=K$47,J$47)</f>
        <v/>
      </c>
      <c r="K165" s="38" t="n">
        <v>115</v>
      </c>
      <c r="L165" s="31">
        <f>K165/52</f>
        <v/>
      </c>
      <c r="M165" s="39">
        <f>J165/1000000*52</f>
        <v/>
      </c>
      <c r="N165" s="33">
        <f>M165/$P$4+($I$22/$P$4)</f>
        <v/>
      </c>
      <c r="U165">
        <f>F164</f>
        <v/>
      </c>
      <c r="V165">
        <f>H164</f>
        <v/>
      </c>
      <c r="W165">
        <f>N164</f>
        <v/>
      </c>
    </row>
    <row r="166" ht="15.75" customHeight="1" s="40">
      <c r="C166" s="36">
        <f>_xlfn.IFS(E166&lt;E$24,0,E166&lt;E$26,C$24,E166&lt;E$28,C$26,E166&lt;E$30,C$28,E166&lt;E$32,C$30,E166&lt;E$34,C$32,E166&gt;=E$34,C$34)</f>
        <v/>
      </c>
      <c r="D166" s="37">
        <f>_xlfn.IFS(E166&lt;E$24,0,E166&lt;E$25,D$24,E166&lt;E$26,D$25,E166&lt;E$27,D$26,E166&lt;E$28,D$27,E166&lt;E$29,D$28,E166&lt;E$30,D$29,E166&lt;E$31,D$30,E166&lt;E$32,D$31,E166&lt;E$33,D$32,E166&lt;E$34,D$33,E166&lt;E$35,D$34,E166&gt;=E$35,D$35)</f>
        <v/>
      </c>
      <c r="E166" s="38" t="n">
        <v>116</v>
      </c>
      <c r="F166" s="31">
        <f>E166/52</f>
        <v/>
      </c>
      <c r="G166" s="39">
        <f>D166/1000000*52</f>
        <v/>
      </c>
      <c r="H166" s="33">
        <f>G166/$P$4+($C$22/$P$4)</f>
        <v/>
      </c>
      <c r="I166" s="36">
        <f>_xlfn.IFS(K166&lt;K$24,0,K166&lt;K$26,I$24,K166&lt;K$28,I$26,K166&lt;K$30,I$28,K166&lt;K$32,I$30,K166&lt;K$34,I$32,K166&lt;K$36,I$34,K166&lt;K$38,I$36,K166&lt;K$40,I$38,K166&lt;K$42,I$40,K166&lt;K$44,I$42,K166&lt;K$46,I$44,K166&gt;=K$46,I$46)</f>
        <v/>
      </c>
      <c r="J166" s="37">
        <f>_xlfn.IFS(K166&lt;K$24,0,K166&lt;K$25,J$24,K166&lt;K$26,J$25,K166&lt;K$27,J$26,K166&lt;K$28,J$27,K166&lt;K$29,J$28,K166&lt;K$30,J$29,K166&lt;K$31,J$30,K166&lt;K$32,J$31,K166&lt;K$33,J$32,K166&lt;K$34,J$33,K166&lt;K$35,J$34,K166&lt;K$36,J$35,K166&lt;K$37,J$36,K166&lt;K$38,J$37,K166&lt;K$39,J$38,K166&lt;K$40,J$39,K166&lt;K$41,J$40,K166&lt;K$42,J$41,K166&lt;K$43,J$42,K166&lt;K$44,J$43,K166&lt;K$45,J$44,K166&lt;K$46,J$45,K166&lt;K$47,J$46,K166&gt;=K$47,J$47)</f>
        <v/>
      </c>
      <c r="K166" s="38" t="n">
        <v>116</v>
      </c>
      <c r="L166" s="31">
        <f>K166/52</f>
        <v/>
      </c>
      <c r="M166" s="39">
        <f>J166/1000000*52</f>
        <v/>
      </c>
      <c r="N166" s="33">
        <f>M166/$P$4+($I$22/$P$4)</f>
        <v/>
      </c>
      <c r="U166">
        <f>F165</f>
        <v/>
      </c>
      <c r="V166">
        <f>H165</f>
        <v/>
      </c>
      <c r="W166">
        <f>N165</f>
        <v/>
      </c>
    </row>
    <row r="167" ht="15.75" customHeight="1" s="40">
      <c r="C167" s="36">
        <f>_xlfn.IFS(E167&lt;E$24,0,E167&lt;E$26,C$24,E167&lt;E$28,C$26,E167&lt;E$30,C$28,E167&lt;E$32,C$30,E167&lt;E$34,C$32,E167&gt;=E$34,C$34)</f>
        <v/>
      </c>
      <c r="D167" s="37">
        <f>_xlfn.IFS(E167&lt;E$24,0,E167&lt;E$25,D$24,E167&lt;E$26,D$25,E167&lt;E$27,D$26,E167&lt;E$28,D$27,E167&lt;E$29,D$28,E167&lt;E$30,D$29,E167&lt;E$31,D$30,E167&lt;E$32,D$31,E167&lt;E$33,D$32,E167&lt;E$34,D$33,E167&lt;E$35,D$34,E167&gt;=E$35,D$35)</f>
        <v/>
      </c>
      <c r="E167" s="38" t="n">
        <v>117</v>
      </c>
      <c r="F167" s="31">
        <f>E167/52</f>
        <v/>
      </c>
      <c r="G167" s="39">
        <f>D167/1000000*52</f>
        <v/>
      </c>
      <c r="H167" s="33">
        <f>G167/$P$4+($C$22/$P$4)</f>
        <v/>
      </c>
      <c r="I167" s="36">
        <f>_xlfn.IFS(K167&lt;K$24,0,K167&lt;K$26,I$24,K167&lt;K$28,I$26,K167&lt;K$30,I$28,K167&lt;K$32,I$30,K167&lt;K$34,I$32,K167&lt;K$36,I$34,K167&lt;K$38,I$36,K167&lt;K$40,I$38,K167&lt;K$42,I$40,K167&lt;K$44,I$42,K167&lt;K$46,I$44,K167&gt;=K$46,I$46)</f>
        <v/>
      </c>
      <c r="J167" s="37">
        <f>_xlfn.IFS(K167&lt;K$24,0,K167&lt;K$25,J$24,K167&lt;K$26,J$25,K167&lt;K$27,J$26,K167&lt;K$28,J$27,K167&lt;K$29,J$28,K167&lt;K$30,J$29,K167&lt;K$31,J$30,K167&lt;K$32,J$31,K167&lt;K$33,J$32,K167&lt;K$34,J$33,K167&lt;K$35,J$34,K167&lt;K$36,J$35,K167&lt;K$37,J$36,K167&lt;K$38,J$37,K167&lt;K$39,J$38,K167&lt;K$40,J$39,K167&lt;K$41,J$40,K167&lt;K$42,J$41,K167&lt;K$43,J$42,K167&lt;K$44,J$43,K167&lt;K$45,J$44,K167&lt;K$46,J$45,K167&lt;K$47,J$46,K167&gt;=K$47,J$47)</f>
        <v/>
      </c>
      <c r="K167" s="38" t="n">
        <v>117</v>
      </c>
      <c r="L167" s="31">
        <f>K167/52</f>
        <v/>
      </c>
      <c r="M167" s="39">
        <f>J167/1000000*52</f>
        <v/>
      </c>
      <c r="N167" s="33">
        <f>M167/$P$4+($I$22/$P$4)</f>
        <v/>
      </c>
      <c r="U167">
        <f>F166</f>
        <v/>
      </c>
      <c r="V167">
        <f>H166</f>
        <v/>
      </c>
      <c r="W167">
        <f>N166</f>
        <v/>
      </c>
    </row>
    <row r="168" ht="15.75" customHeight="1" s="40">
      <c r="C168" s="36">
        <f>_xlfn.IFS(E168&lt;E$24,0,E168&lt;E$26,C$24,E168&lt;E$28,C$26,E168&lt;E$30,C$28,E168&lt;E$32,C$30,E168&lt;E$34,C$32,E168&gt;=E$34,C$34)</f>
        <v/>
      </c>
      <c r="D168" s="37">
        <f>_xlfn.IFS(E168&lt;E$24,0,E168&lt;E$25,D$24,E168&lt;E$26,D$25,E168&lt;E$27,D$26,E168&lt;E$28,D$27,E168&lt;E$29,D$28,E168&lt;E$30,D$29,E168&lt;E$31,D$30,E168&lt;E$32,D$31,E168&lt;E$33,D$32,E168&lt;E$34,D$33,E168&lt;E$35,D$34,E168&gt;=E$35,D$35)</f>
        <v/>
      </c>
      <c r="E168" s="38" t="n">
        <v>118</v>
      </c>
      <c r="F168" s="31">
        <f>E168/52</f>
        <v/>
      </c>
      <c r="G168" s="39">
        <f>D168/1000000*52</f>
        <v/>
      </c>
      <c r="H168" s="33">
        <f>G168/$P$4+($C$22/$P$4)</f>
        <v/>
      </c>
      <c r="I168" s="36">
        <f>_xlfn.IFS(K168&lt;K$24,0,K168&lt;K$26,I$24,K168&lt;K$28,I$26,K168&lt;K$30,I$28,K168&lt;K$32,I$30,K168&lt;K$34,I$32,K168&lt;K$36,I$34,K168&lt;K$38,I$36,K168&lt;K$40,I$38,K168&lt;K$42,I$40,K168&lt;K$44,I$42,K168&lt;K$46,I$44,K168&gt;=K$46,I$46)</f>
        <v/>
      </c>
      <c r="J168" s="37">
        <f>_xlfn.IFS(K168&lt;K$24,0,K168&lt;K$25,J$24,K168&lt;K$26,J$25,K168&lt;K$27,J$26,K168&lt;K$28,J$27,K168&lt;K$29,J$28,K168&lt;K$30,J$29,K168&lt;K$31,J$30,K168&lt;K$32,J$31,K168&lt;K$33,J$32,K168&lt;K$34,J$33,K168&lt;K$35,J$34,K168&lt;K$36,J$35,K168&lt;K$37,J$36,K168&lt;K$38,J$37,K168&lt;K$39,J$38,K168&lt;K$40,J$39,K168&lt;K$41,J$40,K168&lt;K$42,J$41,K168&lt;K$43,J$42,K168&lt;K$44,J$43,K168&lt;K$45,J$44,K168&lt;K$46,J$45,K168&lt;K$47,J$46,K168&gt;=K$47,J$47)</f>
        <v/>
      </c>
      <c r="K168" s="38" t="n">
        <v>118</v>
      </c>
      <c r="L168" s="31">
        <f>K168/52</f>
        <v/>
      </c>
      <c r="M168" s="39">
        <f>J168/1000000*52</f>
        <v/>
      </c>
      <c r="N168" s="33">
        <f>M168/$P$4+($I$22/$P$4)</f>
        <v/>
      </c>
      <c r="U168">
        <f>F167</f>
        <v/>
      </c>
      <c r="V168">
        <f>H167</f>
        <v/>
      </c>
      <c r="W168">
        <f>N167</f>
        <v/>
      </c>
    </row>
    <row r="169" ht="15.75" customHeight="1" s="40">
      <c r="C169" s="36">
        <f>_xlfn.IFS(E169&lt;E$24,0,E169&lt;E$26,C$24,E169&lt;E$28,C$26,E169&lt;E$30,C$28,E169&lt;E$32,C$30,E169&lt;E$34,C$32,E169&gt;=E$34,C$34)</f>
        <v/>
      </c>
      <c r="D169" s="37">
        <f>_xlfn.IFS(E169&lt;E$24,0,E169&lt;E$25,D$24,E169&lt;E$26,D$25,E169&lt;E$27,D$26,E169&lt;E$28,D$27,E169&lt;E$29,D$28,E169&lt;E$30,D$29,E169&lt;E$31,D$30,E169&lt;E$32,D$31,E169&lt;E$33,D$32,E169&lt;E$34,D$33,E169&lt;E$35,D$34,E169&gt;=E$35,D$35)</f>
        <v/>
      </c>
      <c r="E169" s="38" t="n">
        <v>119</v>
      </c>
      <c r="F169" s="31">
        <f>E169/52</f>
        <v/>
      </c>
      <c r="G169" s="39">
        <f>D169/1000000*52</f>
        <v/>
      </c>
      <c r="H169" s="33">
        <f>G169/$P$4+($C$22/$P$4)</f>
        <v/>
      </c>
      <c r="I169" s="36">
        <f>_xlfn.IFS(K169&lt;K$24,0,K169&lt;K$26,I$24,K169&lt;K$28,I$26,K169&lt;K$30,I$28,K169&lt;K$32,I$30,K169&lt;K$34,I$32,K169&lt;K$36,I$34,K169&lt;K$38,I$36,K169&lt;K$40,I$38,K169&lt;K$42,I$40,K169&lt;K$44,I$42,K169&lt;K$46,I$44,K169&gt;=K$46,I$46)</f>
        <v/>
      </c>
      <c r="J169" s="37">
        <f>_xlfn.IFS(K169&lt;K$24,0,K169&lt;K$25,J$24,K169&lt;K$26,J$25,K169&lt;K$27,J$26,K169&lt;K$28,J$27,K169&lt;K$29,J$28,K169&lt;K$30,J$29,K169&lt;K$31,J$30,K169&lt;K$32,J$31,K169&lt;K$33,J$32,K169&lt;K$34,J$33,K169&lt;K$35,J$34,K169&lt;K$36,J$35,K169&lt;K$37,J$36,K169&lt;K$38,J$37,K169&lt;K$39,J$38,K169&lt;K$40,J$39,K169&lt;K$41,J$40,K169&lt;K$42,J$41,K169&lt;K$43,J$42,K169&lt;K$44,J$43,K169&lt;K$45,J$44,K169&lt;K$46,J$45,K169&lt;K$47,J$46,K169&gt;=K$47,J$47)</f>
        <v/>
      </c>
      <c r="K169" s="38" t="n">
        <v>119</v>
      </c>
      <c r="L169" s="31">
        <f>K169/52</f>
        <v/>
      </c>
      <c r="M169" s="39">
        <f>J169/1000000*52</f>
        <v/>
      </c>
      <c r="N169" s="33">
        <f>M169/$P$4+($I$22/$P$4)</f>
        <v/>
      </c>
      <c r="U169">
        <f>F168</f>
        <v/>
      </c>
      <c r="V169">
        <f>H168</f>
        <v/>
      </c>
      <c r="W169">
        <f>N168</f>
        <v/>
      </c>
    </row>
    <row r="170" ht="15.75" customHeight="1" s="40">
      <c r="C170" s="36">
        <f>_xlfn.IFS(E170&lt;E$24,0,E170&lt;E$26,C$24,E170&lt;E$28,C$26,E170&lt;E$30,C$28,E170&lt;E$32,C$30,E170&lt;E$34,C$32,E170&gt;=E$34,C$34)</f>
        <v/>
      </c>
      <c r="D170" s="37">
        <f>_xlfn.IFS(E170&lt;E$24,0,E170&lt;E$25,D$24,E170&lt;E$26,D$25,E170&lt;E$27,D$26,E170&lt;E$28,D$27,E170&lt;E$29,D$28,E170&lt;E$30,D$29,E170&lt;E$31,D$30,E170&lt;E$32,D$31,E170&lt;E$33,D$32,E170&lt;E$34,D$33,E170&lt;E$35,D$34,E170&gt;=E$35,D$35)</f>
        <v/>
      </c>
      <c r="E170" s="38" t="n">
        <v>120</v>
      </c>
      <c r="F170" s="31">
        <f>E170/52</f>
        <v/>
      </c>
      <c r="G170" s="39">
        <f>D170/1000000*52</f>
        <v/>
      </c>
      <c r="H170" s="33">
        <f>G170/$P$4+($C$22/$P$4)</f>
        <v/>
      </c>
      <c r="I170" s="36">
        <f>_xlfn.IFS(K170&lt;K$24,0,K170&lt;K$26,I$24,K170&lt;K$28,I$26,K170&lt;K$30,I$28,K170&lt;K$32,I$30,K170&lt;K$34,I$32,K170&lt;K$36,I$34,K170&lt;K$38,I$36,K170&lt;K$40,I$38,K170&lt;K$42,I$40,K170&lt;K$44,I$42,K170&lt;K$46,I$44,K170&gt;=K$46,I$46)</f>
        <v/>
      </c>
      <c r="J170" s="37">
        <f>_xlfn.IFS(K170&lt;K$24,0,K170&lt;K$25,J$24,K170&lt;K$26,J$25,K170&lt;K$27,J$26,K170&lt;K$28,J$27,K170&lt;K$29,J$28,K170&lt;K$30,J$29,K170&lt;K$31,J$30,K170&lt;K$32,J$31,K170&lt;K$33,J$32,K170&lt;K$34,J$33,K170&lt;K$35,J$34,K170&lt;K$36,J$35,K170&lt;K$37,J$36,K170&lt;K$38,J$37,K170&lt;K$39,J$38,K170&lt;K$40,J$39,K170&lt;K$41,J$40,K170&lt;K$42,J$41,K170&lt;K$43,J$42,K170&lt;K$44,J$43,K170&lt;K$45,J$44,K170&lt;K$46,J$45,K170&lt;K$47,J$46,K170&gt;=K$47,J$47)</f>
        <v/>
      </c>
      <c r="K170" s="38" t="n">
        <v>120</v>
      </c>
      <c r="L170" s="31">
        <f>K170/52</f>
        <v/>
      </c>
      <c r="M170" s="39">
        <f>J170/1000000*52</f>
        <v/>
      </c>
      <c r="N170" s="33">
        <f>M170/$P$4+($I$22/$P$4)</f>
        <v/>
      </c>
      <c r="U170">
        <f>F169</f>
        <v/>
      </c>
      <c r="V170">
        <f>H169</f>
        <v/>
      </c>
      <c r="W170">
        <f>N169</f>
        <v/>
      </c>
    </row>
    <row r="171" ht="15.75" customHeight="1" s="40">
      <c r="C171" s="36">
        <f>_xlfn.IFS(E171&lt;E$24,0,E171&lt;E$26,C$24,E171&lt;E$28,C$26,E171&lt;E$30,C$28,E171&lt;E$32,C$30,E171&lt;E$34,C$32,E171&gt;=E$34,C$34)</f>
        <v/>
      </c>
      <c r="D171" s="37">
        <f>_xlfn.IFS(E171&lt;E$24,0,E171&lt;E$25,D$24,E171&lt;E$26,D$25,E171&lt;E$27,D$26,E171&lt;E$28,D$27,E171&lt;E$29,D$28,E171&lt;E$30,D$29,E171&lt;E$31,D$30,E171&lt;E$32,D$31,E171&lt;E$33,D$32,E171&lt;E$34,D$33,E171&lt;E$35,D$34,E171&gt;=E$35,D$35)</f>
        <v/>
      </c>
      <c r="E171" s="38" t="n">
        <v>121</v>
      </c>
      <c r="F171" s="31">
        <f>E171/52</f>
        <v/>
      </c>
      <c r="G171" s="39">
        <f>D171/1000000*52</f>
        <v/>
      </c>
      <c r="H171" s="33">
        <f>G171/$P$4+($C$22/$P$4)</f>
        <v/>
      </c>
      <c r="I171" s="36">
        <f>_xlfn.IFS(K171&lt;K$24,0,K171&lt;K$26,I$24,K171&lt;K$28,I$26,K171&lt;K$30,I$28,K171&lt;K$32,I$30,K171&lt;K$34,I$32,K171&lt;K$36,I$34,K171&lt;K$38,I$36,K171&lt;K$40,I$38,K171&lt;K$42,I$40,K171&lt;K$44,I$42,K171&lt;K$46,I$44,K171&gt;=K$46,I$46)</f>
        <v/>
      </c>
      <c r="J171" s="37">
        <f>_xlfn.IFS(K171&lt;K$24,0,K171&lt;K$25,J$24,K171&lt;K$26,J$25,K171&lt;K$27,J$26,K171&lt;K$28,J$27,K171&lt;K$29,J$28,K171&lt;K$30,J$29,K171&lt;K$31,J$30,K171&lt;K$32,J$31,K171&lt;K$33,J$32,K171&lt;K$34,J$33,K171&lt;K$35,J$34,K171&lt;K$36,J$35,K171&lt;K$37,J$36,K171&lt;K$38,J$37,K171&lt;K$39,J$38,K171&lt;K$40,J$39,K171&lt;K$41,J$40,K171&lt;K$42,J$41,K171&lt;K$43,J$42,K171&lt;K$44,J$43,K171&lt;K$45,J$44,K171&lt;K$46,J$45,K171&lt;K$47,J$46,K171&gt;=K$47,J$47)</f>
        <v/>
      </c>
      <c r="K171" s="38" t="n">
        <v>121</v>
      </c>
      <c r="L171" s="31">
        <f>K171/52</f>
        <v/>
      </c>
      <c r="M171" s="39">
        <f>J171/1000000*52</f>
        <v/>
      </c>
      <c r="N171" s="33">
        <f>M171/$P$4+($I$22/$P$4)</f>
        <v/>
      </c>
      <c r="U171">
        <f>F170</f>
        <v/>
      </c>
      <c r="V171">
        <f>H170</f>
        <v/>
      </c>
      <c r="W171">
        <f>N170</f>
        <v/>
      </c>
    </row>
    <row r="172" ht="15.75" customHeight="1" s="40">
      <c r="C172" s="36">
        <f>_xlfn.IFS(E172&lt;E$24,0,E172&lt;E$26,C$24,E172&lt;E$28,C$26,E172&lt;E$30,C$28,E172&lt;E$32,C$30,E172&lt;E$34,C$32,E172&gt;=E$34,C$34)</f>
        <v/>
      </c>
      <c r="D172" s="37">
        <f>_xlfn.IFS(E172&lt;E$24,0,E172&lt;E$25,D$24,E172&lt;E$26,D$25,E172&lt;E$27,D$26,E172&lt;E$28,D$27,E172&lt;E$29,D$28,E172&lt;E$30,D$29,E172&lt;E$31,D$30,E172&lt;E$32,D$31,E172&lt;E$33,D$32,E172&lt;E$34,D$33,E172&lt;E$35,D$34,E172&gt;=E$35,D$35)</f>
        <v/>
      </c>
      <c r="E172" s="38" t="n">
        <v>122</v>
      </c>
      <c r="F172" s="31">
        <f>E172/52</f>
        <v/>
      </c>
      <c r="G172" s="39">
        <f>D172/1000000*52</f>
        <v/>
      </c>
      <c r="H172" s="33">
        <f>G172/$P$4+($C$22/$P$4)</f>
        <v/>
      </c>
      <c r="I172" s="36">
        <f>_xlfn.IFS(K172&lt;K$24,0,K172&lt;K$26,I$24,K172&lt;K$28,I$26,K172&lt;K$30,I$28,K172&lt;K$32,I$30,K172&lt;K$34,I$32,K172&lt;K$36,I$34,K172&lt;K$38,I$36,K172&lt;K$40,I$38,K172&lt;K$42,I$40,K172&lt;K$44,I$42,K172&lt;K$46,I$44,K172&gt;=K$46,I$46)</f>
        <v/>
      </c>
      <c r="J172" s="37">
        <f>_xlfn.IFS(K172&lt;K$24,0,K172&lt;K$25,J$24,K172&lt;K$26,J$25,K172&lt;K$27,J$26,K172&lt;K$28,J$27,K172&lt;K$29,J$28,K172&lt;K$30,J$29,K172&lt;K$31,J$30,K172&lt;K$32,J$31,K172&lt;K$33,J$32,K172&lt;K$34,J$33,K172&lt;K$35,J$34,K172&lt;K$36,J$35,K172&lt;K$37,J$36,K172&lt;K$38,J$37,K172&lt;K$39,J$38,K172&lt;K$40,J$39,K172&lt;K$41,J$40,K172&lt;K$42,J$41,K172&lt;K$43,J$42,K172&lt;K$44,J$43,K172&lt;K$45,J$44,K172&lt;K$46,J$45,K172&lt;K$47,J$46,K172&gt;=K$47,J$47)</f>
        <v/>
      </c>
      <c r="K172" s="38" t="n">
        <v>122</v>
      </c>
      <c r="L172" s="31">
        <f>K172/52</f>
        <v/>
      </c>
      <c r="M172" s="39">
        <f>J172/1000000*52</f>
        <v/>
      </c>
      <c r="N172" s="33">
        <f>M172/$P$4+($I$22/$P$4)</f>
        <v/>
      </c>
      <c r="U172">
        <f>F171</f>
        <v/>
      </c>
      <c r="V172">
        <f>H171</f>
        <v/>
      </c>
      <c r="W172">
        <f>N171</f>
        <v/>
      </c>
    </row>
    <row r="173" ht="15.75" customHeight="1" s="40">
      <c r="C173" s="36">
        <f>_xlfn.IFS(E173&lt;E$24,0,E173&lt;E$26,C$24,E173&lt;E$28,C$26,E173&lt;E$30,C$28,E173&lt;E$32,C$30,E173&lt;E$34,C$32,E173&gt;=E$34,C$34)</f>
        <v/>
      </c>
      <c r="D173" s="37">
        <f>_xlfn.IFS(E173&lt;E$24,0,E173&lt;E$25,D$24,E173&lt;E$26,D$25,E173&lt;E$27,D$26,E173&lt;E$28,D$27,E173&lt;E$29,D$28,E173&lt;E$30,D$29,E173&lt;E$31,D$30,E173&lt;E$32,D$31,E173&lt;E$33,D$32,E173&lt;E$34,D$33,E173&lt;E$35,D$34,E173&gt;=E$35,D$35)</f>
        <v/>
      </c>
      <c r="E173" s="38" t="n">
        <v>123</v>
      </c>
      <c r="F173" s="31">
        <f>E173/52</f>
        <v/>
      </c>
      <c r="G173" s="39">
        <f>D173/1000000*52</f>
        <v/>
      </c>
      <c r="H173" s="33">
        <f>G173/$P$4+($C$22/$P$4)</f>
        <v/>
      </c>
      <c r="I173" s="36">
        <f>_xlfn.IFS(K173&lt;K$24,0,K173&lt;K$26,I$24,K173&lt;K$28,I$26,K173&lt;K$30,I$28,K173&lt;K$32,I$30,K173&lt;K$34,I$32,K173&lt;K$36,I$34,K173&lt;K$38,I$36,K173&lt;K$40,I$38,K173&lt;K$42,I$40,K173&lt;K$44,I$42,K173&lt;K$46,I$44,K173&gt;=K$46,I$46)</f>
        <v/>
      </c>
      <c r="J173" s="37">
        <f>_xlfn.IFS(K173&lt;K$24,0,K173&lt;K$25,J$24,K173&lt;K$26,J$25,K173&lt;K$27,J$26,K173&lt;K$28,J$27,K173&lt;K$29,J$28,K173&lt;K$30,J$29,K173&lt;K$31,J$30,K173&lt;K$32,J$31,K173&lt;K$33,J$32,K173&lt;K$34,J$33,K173&lt;K$35,J$34,K173&lt;K$36,J$35,K173&lt;K$37,J$36,K173&lt;K$38,J$37,K173&lt;K$39,J$38,K173&lt;K$40,J$39,K173&lt;K$41,J$40,K173&lt;K$42,J$41,K173&lt;K$43,J$42,K173&lt;K$44,J$43,K173&lt;K$45,J$44,K173&lt;K$46,J$45,K173&lt;K$47,J$46,K173&gt;=K$47,J$47)</f>
        <v/>
      </c>
      <c r="K173" s="38" t="n">
        <v>123</v>
      </c>
      <c r="L173" s="31">
        <f>K173/52</f>
        <v/>
      </c>
      <c r="M173" s="39">
        <f>J173/1000000*52</f>
        <v/>
      </c>
      <c r="N173" s="33">
        <f>M173/$P$4+($I$22/$P$4)</f>
        <v/>
      </c>
      <c r="U173">
        <f>F172</f>
        <v/>
      </c>
      <c r="V173">
        <f>H172</f>
        <v/>
      </c>
      <c r="W173">
        <f>N172</f>
        <v/>
      </c>
    </row>
    <row r="174" ht="15.75" customHeight="1" s="40">
      <c r="C174" s="36">
        <f>_xlfn.IFS(E174&lt;E$24,0,E174&lt;E$26,C$24,E174&lt;E$28,C$26,E174&lt;E$30,C$28,E174&lt;E$32,C$30,E174&lt;E$34,C$32,E174&gt;=E$34,C$34)</f>
        <v/>
      </c>
      <c r="D174" s="37">
        <f>_xlfn.IFS(E174&lt;E$24,0,E174&lt;E$25,D$24,E174&lt;E$26,D$25,E174&lt;E$27,D$26,E174&lt;E$28,D$27,E174&lt;E$29,D$28,E174&lt;E$30,D$29,E174&lt;E$31,D$30,E174&lt;E$32,D$31,E174&lt;E$33,D$32,E174&lt;E$34,D$33,E174&lt;E$35,D$34,E174&gt;=E$35,D$35)</f>
        <v/>
      </c>
      <c r="E174" s="38" t="n">
        <v>124</v>
      </c>
      <c r="F174" s="31">
        <f>E174/52</f>
        <v/>
      </c>
      <c r="G174" s="39">
        <f>D174/1000000*52</f>
        <v/>
      </c>
      <c r="H174" s="33">
        <f>G174/$P$4+($C$22/$P$4)</f>
        <v/>
      </c>
      <c r="I174" s="36">
        <f>_xlfn.IFS(K174&lt;K$24,0,K174&lt;K$26,I$24,K174&lt;K$28,I$26,K174&lt;K$30,I$28,K174&lt;K$32,I$30,K174&lt;K$34,I$32,K174&lt;K$36,I$34,K174&lt;K$38,I$36,K174&lt;K$40,I$38,K174&lt;K$42,I$40,K174&lt;K$44,I$42,K174&lt;K$46,I$44,K174&gt;=K$46,I$46)</f>
        <v/>
      </c>
      <c r="J174" s="37">
        <f>_xlfn.IFS(K174&lt;K$24,0,K174&lt;K$25,J$24,K174&lt;K$26,J$25,K174&lt;K$27,J$26,K174&lt;K$28,J$27,K174&lt;K$29,J$28,K174&lt;K$30,J$29,K174&lt;K$31,J$30,K174&lt;K$32,J$31,K174&lt;K$33,J$32,K174&lt;K$34,J$33,K174&lt;K$35,J$34,K174&lt;K$36,J$35,K174&lt;K$37,J$36,K174&lt;K$38,J$37,K174&lt;K$39,J$38,K174&lt;K$40,J$39,K174&lt;K$41,J$40,K174&lt;K$42,J$41,K174&lt;K$43,J$42,K174&lt;K$44,J$43,K174&lt;K$45,J$44,K174&lt;K$46,J$45,K174&lt;K$47,J$46,K174&gt;=K$47,J$47)</f>
        <v/>
      </c>
      <c r="K174" s="38" t="n">
        <v>124</v>
      </c>
      <c r="L174" s="31">
        <f>K174/52</f>
        <v/>
      </c>
      <c r="M174" s="39">
        <f>J174/1000000*52</f>
        <v/>
      </c>
      <c r="N174" s="33">
        <f>M174/$P$4+($I$22/$P$4)</f>
        <v/>
      </c>
      <c r="U174">
        <f>F173</f>
        <v/>
      </c>
      <c r="V174">
        <f>H173</f>
        <v/>
      </c>
      <c r="W174">
        <f>N173</f>
        <v/>
      </c>
    </row>
    <row r="175" ht="15.75" customHeight="1" s="40">
      <c r="C175" s="36">
        <f>_xlfn.IFS(E175&lt;E$24,0,E175&lt;E$26,C$24,E175&lt;E$28,C$26,E175&lt;E$30,C$28,E175&lt;E$32,C$30,E175&lt;E$34,C$32,E175&gt;=E$34,C$34)</f>
        <v/>
      </c>
      <c r="D175" s="37">
        <f>_xlfn.IFS(E175&lt;E$24,0,E175&lt;E$25,D$24,E175&lt;E$26,D$25,E175&lt;E$27,D$26,E175&lt;E$28,D$27,E175&lt;E$29,D$28,E175&lt;E$30,D$29,E175&lt;E$31,D$30,E175&lt;E$32,D$31,E175&lt;E$33,D$32,E175&lt;E$34,D$33,E175&lt;E$35,D$34,E175&gt;=E$35,D$35)</f>
        <v/>
      </c>
      <c r="E175" s="38" t="n">
        <v>125</v>
      </c>
      <c r="F175" s="31">
        <f>E175/52</f>
        <v/>
      </c>
      <c r="G175" s="39">
        <f>D175/1000000*52</f>
        <v/>
      </c>
      <c r="H175" s="33">
        <f>G175/$P$4+($C$22/$P$4)</f>
        <v/>
      </c>
      <c r="I175" s="36">
        <f>_xlfn.IFS(K175&lt;K$24,0,K175&lt;K$26,I$24,K175&lt;K$28,I$26,K175&lt;K$30,I$28,K175&lt;K$32,I$30,K175&lt;K$34,I$32,K175&lt;K$36,I$34,K175&lt;K$38,I$36,K175&lt;K$40,I$38,K175&lt;K$42,I$40,K175&lt;K$44,I$42,K175&lt;K$46,I$44,K175&gt;=K$46,I$46)</f>
        <v/>
      </c>
      <c r="J175" s="37">
        <f>_xlfn.IFS(K175&lt;K$24,0,K175&lt;K$25,J$24,K175&lt;K$26,J$25,K175&lt;K$27,J$26,K175&lt;K$28,J$27,K175&lt;K$29,J$28,K175&lt;K$30,J$29,K175&lt;K$31,J$30,K175&lt;K$32,J$31,K175&lt;K$33,J$32,K175&lt;K$34,J$33,K175&lt;K$35,J$34,K175&lt;K$36,J$35,K175&lt;K$37,J$36,K175&lt;K$38,J$37,K175&lt;K$39,J$38,K175&lt;K$40,J$39,K175&lt;K$41,J$40,K175&lt;K$42,J$41,K175&lt;K$43,J$42,K175&lt;K$44,J$43,K175&lt;K$45,J$44,K175&lt;K$46,J$45,K175&lt;K$47,J$46,K175&gt;=K$47,J$47)</f>
        <v/>
      </c>
      <c r="K175" s="38" t="n">
        <v>125</v>
      </c>
      <c r="L175" s="31">
        <f>K175/52</f>
        <v/>
      </c>
      <c r="M175" s="39">
        <f>J175/1000000*52</f>
        <v/>
      </c>
      <c r="N175" s="33">
        <f>M175/$P$4+($I$22/$P$4)</f>
        <v/>
      </c>
      <c r="U175">
        <f>F174</f>
        <v/>
      </c>
      <c r="V175">
        <f>H174</f>
        <v/>
      </c>
      <c r="W175">
        <f>N174</f>
        <v/>
      </c>
    </row>
    <row r="176" ht="15.75" customHeight="1" s="40">
      <c r="C176" s="36">
        <f>_xlfn.IFS(E176&lt;E$24,0,E176&lt;E$26,C$24,E176&lt;E$28,C$26,E176&lt;E$30,C$28,E176&lt;E$32,C$30,E176&lt;E$34,C$32,E176&gt;=E$34,C$34)</f>
        <v/>
      </c>
      <c r="D176" s="37">
        <f>_xlfn.IFS(E176&lt;E$24,0,E176&lt;E$25,D$24,E176&lt;E$26,D$25,E176&lt;E$27,D$26,E176&lt;E$28,D$27,E176&lt;E$29,D$28,E176&lt;E$30,D$29,E176&lt;E$31,D$30,E176&lt;E$32,D$31,E176&lt;E$33,D$32,E176&lt;E$34,D$33,E176&lt;E$35,D$34,E176&gt;=E$35,D$35)</f>
        <v/>
      </c>
      <c r="E176" s="38" t="n">
        <v>126</v>
      </c>
      <c r="F176" s="31">
        <f>E176/52</f>
        <v/>
      </c>
      <c r="G176" s="39">
        <f>D176/1000000*52</f>
        <v/>
      </c>
      <c r="H176" s="33">
        <f>G176/$P$4+($C$22/$P$4)</f>
        <v/>
      </c>
      <c r="I176" s="36">
        <f>_xlfn.IFS(K176&lt;K$24,0,K176&lt;K$26,I$24,K176&lt;K$28,I$26,K176&lt;K$30,I$28,K176&lt;K$32,I$30,K176&lt;K$34,I$32,K176&lt;K$36,I$34,K176&lt;K$38,I$36,K176&lt;K$40,I$38,K176&lt;K$42,I$40,K176&lt;K$44,I$42,K176&lt;K$46,I$44,K176&gt;=K$46,I$46)</f>
        <v/>
      </c>
      <c r="J176" s="37">
        <f>_xlfn.IFS(K176&lt;K$24,0,K176&lt;K$25,J$24,K176&lt;K$26,J$25,K176&lt;K$27,J$26,K176&lt;K$28,J$27,K176&lt;K$29,J$28,K176&lt;K$30,J$29,K176&lt;K$31,J$30,K176&lt;K$32,J$31,K176&lt;K$33,J$32,K176&lt;K$34,J$33,K176&lt;K$35,J$34,K176&lt;K$36,J$35,K176&lt;K$37,J$36,K176&lt;K$38,J$37,K176&lt;K$39,J$38,K176&lt;K$40,J$39,K176&lt;K$41,J$40,K176&lt;K$42,J$41,K176&lt;K$43,J$42,K176&lt;K$44,J$43,K176&lt;K$45,J$44,K176&lt;K$46,J$45,K176&lt;K$47,J$46,K176&gt;=K$47,J$47)</f>
        <v/>
      </c>
      <c r="K176" s="38" t="n">
        <v>126</v>
      </c>
      <c r="L176" s="31">
        <f>K176/52</f>
        <v/>
      </c>
      <c r="M176" s="39">
        <f>J176/1000000*52</f>
        <v/>
      </c>
      <c r="N176" s="33">
        <f>M176/$P$4+($I$22/$P$4)</f>
        <v/>
      </c>
      <c r="U176">
        <f>F175</f>
        <v/>
      </c>
      <c r="V176">
        <f>H175</f>
        <v/>
      </c>
      <c r="W176">
        <f>N175</f>
        <v/>
      </c>
    </row>
    <row r="177" ht="15.75" customHeight="1" s="40">
      <c r="C177" s="36">
        <f>_xlfn.IFS(E177&lt;E$24,0,E177&lt;E$26,C$24,E177&lt;E$28,C$26,E177&lt;E$30,C$28,E177&lt;E$32,C$30,E177&lt;E$34,C$32,E177&gt;=E$34,C$34)</f>
        <v/>
      </c>
      <c r="D177" s="37">
        <f>_xlfn.IFS(E177&lt;E$24,0,E177&lt;E$25,D$24,E177&lt;E$26,D$25,E177&lt;E$27,D$26,E177&lt;E$28,D$27,E177&lt;E$29,D$28,E177&lt;E$30,D$29,E177&lt;E$31,D$30,E177&lt;E$32,D$31,E177&lt;E$33,D$32,E177&lt;E$34,D$33,E177&lt;E$35,D$34,E177&gt;=E$35,D$35)</f>
        <v/>
      </c>
      <c r="E177" s="38" t="n">
        <v>127</v>
      </c>
      <c r="F177" s="31">
        <f>E177/52</f>
        <v/>
      </c>
      <c r="G177" s="39">
        <f>D177/1000000*52</f>
        <v/>
      </c>
      <c r="H177" s="33">
        <f>G177/$P$4+($C$22/$P$4)</f>
        <v/>
      </c>
      <c r="I177" s="36">
        <f>_xlfn.IFS(K177&lt;K$24,0,K177&lt;K$26,I$24,K177&lt;K$28,I$26,K177&lt;K$30,I$28,K177&lt;K$32,I$30,K177&lt;K$34,I$32,K177&lt;K$36,I$34,K177&lt;K$38,I$36,K177&lt;K$40,I$38,K177&lt;K$42,I$40,K177&lt;K$44,I$42,K177&lt;K$46,I$44,K177&gt;=K$46,I$46)</f>
        <v/>
      </c>
      <c r="J177" s="37">
        <f>_xlfn.IFS(K177&lt;K$24,0,K177&lt;K$25,J$24,K177&lt;K$26,J$25,K177&lt;K$27,J$26,K177&lt;K$28,J$27,K177&lt;K$29,J$28,K177&lt;K$30,J$29,K177&lt;K$31,J$30,K177&lt;K$32,J$31,K177&lt;K$33,J$32,K177&lt;K$34,J$33,K177&lt;K$35,J$34,K177&lt;K$36,J$35,K177&lt;K$37,J$36,K177&lt;K$38,J$37,K177&lt;K$39,J$38,K177&lt;K$40,J$39,K177&lt;K$41,J$40,K177&lt;K$42,J$41,K177&lt;K$43,J$42,K177&lt;K$44,J$43,K177&lt;K$45,J$44,K177&lt;K$46,J$45,K177&lt;K$47,J$46,K177&gt;=K$47,J$47)</f>
        <v/>
      </c>
      <c r="K177" s="38" t="n">
        <v>127</v>
      </c>
      <c r="L177" s="31">
        <f>K177/52</f>
        <v/>
      </c>
      <c r="M177" s="39">
        <f>J177/1000000*52</f>
        <v/>
      </c>
      <c r="N177" s="33">
        <f>M177/$P$4+($I$22/$P$4)</f>
        <v/>
      </c>
      <c r="U177">
        <f>F176</f>
        <v/>
      </c>
      <c r="V177">
        <f>H176</f>
        <v/>
      </c>
      <c r="W177">
        <f>N176</f>
        <v/>
      </c>
    </row>
    <row r="178" ht="15.75" customHeight="1" s="40">
      <c r="C178" s="36">
        <f>_xlfn.IFS(E178&lt;E$24,0,E178&lt;E$26,C$24,E178&lt;E$28,C$26,E178&lt;E$30,C$28,E178&lt;E$32,C$30,E178&lt;E$34,C$32,E178&gt;=E$34,C$34)</f>
        <v/>
      </c>
      <c r="D178" s="37">
        <f>_xlfn.IFS(E178&lt;E$24,0,E178&lt;E$25,D$24,E178&lt;E$26,D$25,E178&lt;E$27,D$26,E178&lt;E$28,D$27,E178&lt;E$29,D$28,E178&lt;E$30,D$29,E178&lt;E$31,D$30,E178&lt;E$32,D$31,E178&lt;E$33,D$32,E178&lt;E$34,D$33,E178&lt;E$35,D$34,E178&gt;=E$35,D$35)</f>
        <v/>
      </c>
      <c r="E178" s="38" t="n">
        <v>128</v>
      </c>
      <c r="F178" s="31">
        <f>E178/52</f>
        <v/>
      </c>
      <c r="G178" s="39">
        <f>D178/1000000*52</f>
        <v/>
      </c>
      <c r="H178" s="33">
        <f>G178/$P$4+($C$22/$P$4)</f>
        <v/>
      </c>
      <c r="I178" s="36">
        <f>_xlfn.IFS(K178&lt;K$24,0,K178&lt;K$26,I$24,K178&lt;K$28,I$26,K178&lt;K$30,I$28,K178&lt;K$32,I$30,K178&lt;K$34,I$32,K178&lt;K$36,I$34,K178&lt;K$38,I$36,K178&lt;K$40,I$38,K178&lt;K$42,I$40,K178&lt;K$44,I$42,K178&lt;K$46,I$44,K178&gt;=K$46,I$46)</f>
        <v/>
      </c>
      <c r="J178" s="37">
        <f>_xlfn.IFS(K178&lt;K$24,0,K178&lt;K$25,J$24,K178&lt;K$26,J$25,K178&lt;K$27,J$26,K178&lt;K$28,J$27,K178&lt;K$29,J$28,K178&lt;K$30,J$29,K178&lt;K$31,J$30,K178&lt;K$32,J$31,K178&lt;K$33,J$32,K178&lt;K$34,J$33,K178&lt;K$35,J$34,K178&lt;K$36,J$35,K178&lt;K$37,J$36,K178&lt;K$38,J$37,K178&lt;K$39,J$38,K178&lt;K$40,J$39,K178&lt;K$41,J$40,K178&lt;K$42,J$41,K178&lt;K$43,J$42,K178&lt;K$44,J$43,K178&lt;K$45,J$44,K178&lt;K$46,J$45,K178&lt;K$47,J$46,K178&gt;=K$47,J$47)</f>
        <v/>
      </c>
      <c r="K178" s="38" t="n">
        <v>128</v>
      </c>
      <c r="L178" s="31">
        <f>K178/52</f>
        <v/>
      </c>
      <c r="M178" s="39">
        <f>J178/1000000*52</f>
        <v/>
      </c>
      <c r="N178" s="33">
        <f>M178/$P$4+($I$22/$P$4)</f>
        <v/>
      </c>
      <c r="U178">
        <f>F177</f>
        <v/>
      </c>
      <c r="V178">
        <f>H177</f>
        <v/>
      </c>
      <c r="W178">
        <f>N177</f>
        <v/>
      </c>
    </row>
    <row r="179" ht="15.75" customHeight="1" s="40">
      <c r="C179" s="36">
        <f>_xlfn.IFS(E179&lt;E$24,0,E179&lt;E$26,C$24,E179&lt;E$28,C$26,E179&lt;E$30,C$28,E179&lt;E$32,C$30,E179&lt;E$34,C$32,E179&gt;=E$34,C$34)</f>
        <v/>
      </c>
      <c r="D179" s="37">
        <f>_xlfn.IFS(E179&lt;E$24,0,E179&lt;E$25,D$24,E179&lt;E$26,D$25,E179&lt;E$27,D$26,E179&lt;E$28,D$27,E179&lt;E$29,D$28,E179&lt;E$30,D$29,E179&lt;E$31,D$30,E179&lt;E$32,D$31,E179&lt;E$33,D$32,E179&lt;E$34,D$33,E179&lt;E$35,D$34,E179&gt;=E$35,D$35)</f>
        <v/>
      </c>
      <c r="E179" s="38" t="n">
        <v>129</v>
      </c>
      <c r="F179" s="31">
        <f>E179/52</f>
        <v/>
      </c>
      <c r="G179" s="39">
        <f>D179/1000000*52</f>
        <v/>
      </c>
      <c r="H179" s="33">
        <f>G179/$P$4+($C$22/$P$4)</f>
        <v/>
      </c>
      <c r="I179" s="36">
        <f>_xlfn.IFS(K179&lt;K$24,0,K179&lt;K$26,I$24,K179&lt;K$28,I$26,K179&lt;K$30,I$28,K179&lt;K$32,I$30,K179&lt;K$34,I$32,K179&lt;K$36,I$34,K179&lt;K$38,I$36,K179&lt;K$40,I$38,K179&lt;K$42,I$40,K179&lt;K$44,I$42,K179&lt;K$46,I$44,K179&gt;=K$46,I$46)</f>
        <v/>
      </c>
      <c r="J179" s="37">
        <f>_xlfn.IFS(K179&lt;K$24,0,K179&lt;K$25,J$24,K179&lt;K$26,J$25,K179&lt;K$27,J$26,K179&lt;K$28,J$27,K179&lt;K$29,J$28,K179&lt;K$30,J$29,K179&lt;K$31,J$30,K179&lt;K$32,J$31,K179&lt;K$33,J$32,K179&lt;K$34,J$33,K179&lt;K$35,J$34,K179&lt;K$36,J$35,K179&lt;K$37,J$36,K179&lt;K$38,J$37,K179&lt;K$39,J$38,K179&lt;K$40,J$39,K179&lt;K$41,J$40,K179&lt;K$42,J$41,K179&lt;K$43,J$42,K179&lt;K$44,J$43,K179&lt;K$45,J$44,K179&lt;K$46,J$45,K179&lt;K$47,J$46,K179&gt;=K$47,J$47)</f>
        <v/>
      </c>
      <c r="K179" s="38" t="n">
        <v>129</v>
      </c>
      <c r="L179" s="31">
        <f>K179/52</f>
        <v/>
      </c>
      <c r="M179" s="39">
        <f>J179/1000000*52</f>
        <v/>
      </c>
      <c r="N179" s="33">
        <f>M179/$P$4+($I$22/$P$4)</f>
        <v/>
      </c>
      <c r="U179">
        <f>F178</f>
        <v/>
      </c>
      <c r="V179">
        <f>H178</f>
        <v/>
      </c>
      <c r="W179">
        <f>N178</f>
        <v/>
      </c>
    </row>
    <row r="180" ht="15.75" customHeight="1" s="40">
      <c r="C180" s="36">
        <f>_xlfn.IFS(E180&lt;E$24,0,E180&lt;E$26,C$24,E180&lt;E$28,C$26,E180&lt;E$30,C$28,E180&lt;E$32,C$30,E180&lt;E$34,C$32,E180&gt;=E$34,C$34)</f>
        <v/>
      </c>
      <c r="D180" s="37">
        <f>_xlfn.IFS(E180&lt;E$24,0,E180&lt;E$25,D$24,E180&lt;E$26,D$25,E180&lt;E$27,D$26,E180&lt;E$28,D$27,E180&lt;E$29,D$28,E180&lt;E$30,D$29,E180&lt;E$31,D$30,E180&lt;E$32,D$31,E180&lt;E$33,D$32,E180&lt;E$34,D$33,E180&lt;E$35,D$34,E180&gt;=E$35,D$35)</f>
        <v/>
      </c>
      <c r="E180" s="38" t="n">
        <v>130</v>
      </c>
      <c r="F180" s="31">
        <f>E180/52</f>
        <v/>
      </c>
      <c r="G180" s="39">
        <f>D180/1000000*52</f>
        <v/>
      </c>
      <c r="H180" s="33">
        <f>G180/$P$4+($C$22/$P$4)</f>
        <v/>
      </c>
      <c r="I180" s="36">
        <f>_xlfn.IFS(K180&lt;K$24,0,K180&lt;K$26,I$24,K180&lt;K$28,I$26,K180&lt;K$30,I$28,K180&lt;K$32,I$30,K180&lt;K$34,I$32,K180&lt;K$36,I$34,K180&lt;K$38,I$36,K180&lt;K$40,I$38,K180&lt;K$42,I$40,K180&lt;K$44,I$42,K180&lt;K$46,I$44,K180&gt;=K$46,I$46)</f>
        <v/>
      </c>
      <c r="J180" s="37">
        <f>_xlfn.IFS(K180&lt;K$24,0,K180&lt;K$25,J$24,K180&lt;K$26,J$25,K180&lt;K$27,J$26,K180&lt;K$28,J$27,K180&lt;K$29,J$28,K180&lt;K$30,J$29,K180&lt;K$31,J$30,K180&lt;K$32,J$31,K180&lt;K$33,J$32,K180&lt;K$34,J$33,K180&lt;K$35,J$34,K180&lt;K$36,J$35,K180&lt;K$37,J$36,K180&lt;K$38,J$37,K180&lt;K$39,J$38,K180&lt;K$40,J$39,K180&lt;K$41,J$40,K180&lt;K$42,J$41,K180&lt;K$43,J$42,K180&lt;K$44,J$43,K180&lt;K$45,J$44,K180&lt;K$46,J$45,K180&lt;K$47,J$46,K180&gt;=K$47,J$47)</f>
        <v/>
      </c>
      <c r="K180" s="38" t="n">
        <v>130</v>
      </c>
      <c r="L180" s="31">
        <f>K180/52</f>
        <v/>
      </c>
      <c r="M180" s="39">
        <f>J180/1000000*52</f>
        <v/>
      </c>
      <c r="N180" s="33">
        <f>M180/$P$4+($I$22/$P$4)</f>
        <v/>
      </c>
      <c r="U180">
        <f>F179</f>
        <v/>
      </c>
      <c r="V180">
        <f>H179</f>
        <v/>
      </c>
      <c r="W180">
        <f>N179</f>
        <v/>
      </c>
    </row>
    <row r="181" ht="15.75" customHeight="1" s="40">
      <c r="C181" s="36">
        <f>_xlfn.IFS(E181&lt;E$24,0,E181&lt;E$26,C$24,E181&lt;E$28,C$26,E181&lt;E$30,C$28,E181&lt;E$32,C$30,E181&lt;E$34,C$32,E181&gt;=E$34,C$34)</f>
        <v/>
      </c>
      <c r="D181" s="37">
        <f>_xlfn.IFS(E181&lt;E$24,0,E181&lt;E$25,D$24,E181&lt;E$26,D$25,E181&lt;E$27,D$26,E181&lt;E$28,D$27,E181&lt;E$29,D$28,E181&lt;E$30,D$29,E181&lt;E$31,D$30,E181&lt;E$32,D$31,E181&lt;E$33,D$32,E181&lt;E$34,D$33,E181&lt;E$35,D$34,E181&gt;=E$35,D$35)</f>
        <v/>
      </c>
      <c r="E181" s="38" t="n">
        <v>131</v>
      </c>
      <c r="F181" s="31">
        <f>E181/52</f>
        <v/>
      </c>
      <c r="G181" s="39">
        <f>D181/1000000*52</f>
        <v/>
      </c>
      <c r="H181" s="33">
        <f>G181/$P$4+($C$22/$P$4)</f>
        <v/>
      </c>
      <c r="I181" s="36">
        <f>_xlfn.IFS(K181&lt;K$24,0,K181&lt;K$26,I$24,K181&lt;K$28,I$26,K181&lt;K$30,I$28,K181&lt;K$32,I$30,K181&lt;K$34,I$32,K181&lt;K$36,I$34,K181&lt;K$38,I$36,K181&lt;K$40,I$38,K181&lt;K$42,I$40,K181&lt;K$44,I$42,K181&lt;K$46,I$44,K181&gt;=K$46,I$46)</f>
        <v/>
      </c>
      <c r="J181" s="37">
        <f>_xlfn.IFS(K181&lt;K$24,0,K181&lt;K$25,J$24,K181&lt;K$26,J$25,K181&lt;K$27,J$26,K181&lt;K$28,J$27,K181&lt;K$29,J$28,K181&lt;K$30,J$29,K181&lt;K$31,J$30,K181&lt;K$32,J$31,K181&lt;K$33,J$32,K181&lt;K$34,J$33,K181&lt;K$35,J$34,K181&lt;K$36,J$35,K181&lt;K$37,J$36,K181&lt;K$38,J$37,K181&lt;K$39,J$38,K181&lt;K$40,J$39,K181&lt;K$41,J$40,K181&lt;K$42,J$41,K181&lt;K$43,J$42,K181&lt;K$44,J$43,K181&lt;K$45,J$44,K181&lt;K$46,J$45,K181&lt;K$47,J$46,K181&gt;=K$47,J$47)</f>
        <v/>
      </c>
      <c r="K181" s="38" t="n">
        <v>131</v>
      </c>
      <c r="L181" s="31">
        <f>K181/52</f>
        <v/>
      </c>
      <c r="M181" s="39">
        <f>J181/1000000*52</f>
        <v/>
      </c>
      <c r="N181" s="33">
        <f>M181/$P$4+($I$22/$P$4)</f>
        <v/>
      </c>
      <c r="U181">
        <f>F180</f>
        <v/>
      </c>
      <c r="V181">
        <f>H180</f>
        <v/>
      </c>
      <c r="W181">
        <f>N180</f>
        <v/>
      </c>
    </row>
    <row r="182" ht="15.75" customHeight="1" s="40">
      <c r="C182" s="36">
        <f>_xlfn.IFS(E182&lt;E$24,0,E182&lt;E$26,C$24,E182&lt;E$28,C$26,E182&lt;E$30,C$28,E182&lt;E$32,C$30,E182&lt;E$34,C$32,E182&gt;=E$34,C$34)</f>
        <v/>
      </c>
      <c r="D182" s="37">
        <f>_xlfn.IFS(E182&lt;E$24,0,E182&lt;E$25,D$24,E182&lt;E$26,D$25,E182&lt;E$27,D$26,E182&lt;E$28,D$27,E182&lt;E$29,D$28,E182&lt;E$30,D$29,E182&lt;E$31,D$30,E182&lt;E$32,D$31,E182&lt;E$33,D$32,E182&lt;E$34,D$33,E182&lt;E$35,D$34,E182&gt;=E$35,D$35)</f>
        <v/>
      </c>
      <c r="E182" s="38" t="n">
        <v>132</v>
      </c>
      <c r="F182" s="31">
        <f>E182/52</f>
        <v/>
      </c>
      <c r="G182" s="39">
        <f>D182/1000000*52</f>
        <v/>
      </c>
      <c r="H182" s="33">
        <f>G182/$P$4+($C$22/$P$4)</f>
        <v/>
      </c>
      <c r="I182" s="36">
        <f>_xlfn.IFS(K182&lt;K$24,0,K182&lt;K$26,I$24,K182&lt;K$28,I$26,K182&lt;K$30,I$28,K182&lt;K$32,I$30,K182&lt;K$34,I$32,K182&lt;K$36,I$34,K182&lt;K$38,I$36,K182&lt;K$40,I$38,K182&lt;K$42,I$40,K182&lt;K$44,I$42,K182&lt;K$46,I$44,K182&gt;=K$46,I$46)</f>
        <v/>
      </c>
      <c r="J182" s="37">
        <f>_xlfn.IFS(K182&lt;K$24,0,K182&lt;K$25,J$24,K182&lt;K$26,J$25,K182&lt;K$27,J$26,K182&lt;K$28,J$27,K182&lt;K$29,J$28,K182&lt;K$30,J$29,K182&lt;K$31,J$30,K182&lt;K$32,J$31,K182&lt;K$33,J$32,K182&lt;K$34,J$33,K182&lt;K$35,J$34,K182&lt;K$36,J$35,K182&lt;K$37,J$36,K182&lt;K$38,J$37,K182&lt;K$39,J$38,K182&lt;K$40,J$39,K182&lt;K$41,J$40,K182&lt;K$42,J$41,K182&lt;K$43,J$42,K182&lt;K$44,J$43,K182&lt;K$45,J$44,K182&lt;K$46,J$45,K182&lt;K$47,J$46,K182&gt;=K$47,J$47)</f>
        <v/>
      </c>
      <c r="K182" s="38" t="n">
        <v>132</v>
      </c>
      <c r="L182" s="31">
        <f>K182/52</f>
        <v/>
      </c>
      <c r="M182" s="39">
        <f>J182/1000000*52</f>
        <v/>
      </c>
      <c r="N182" s="33">
        <f>M182/$P$4+($I$22/$P$4)</f>
        <v/>
      </c>
      <c r="U182">
        <f>F181</f>
        <v/>
      </c>
      <c r="V182">
        <f>H181</f>
        <v/>
      </c>
      <c r="W182">
        <f>N181</f>
        <v/>
      </c>
    </row>
    <row r="183" ht="15.75" customHeight="1" s="40">
      <c r="C183" s="36">
        <f>_xlfn.IFS(E183&lt;E$24,0,E183&lt;E$26,C$24,E183&lt;E$28,C$26,E183&lt;E$30,C$28,E183&lt;E$32,C$30,E183&lt;E$34,C$32,E183&gt;=E$34,C$34)</f>
        <v/>
      </c>
      <c r="D183" s="37">
        <f>_xlfn.IFS(E183&lt;E$24,0,E183&lt;E$25,D$24,E183&lt;E$26,D$25,E183&lt;E$27,D$26,E183&lt;E$28,D$27,E183&lt;E$29,D$28,E183&lt;E$30,D$29,E183&lt;E$31,D$30,E183&lt;E$32,D$31,E183&lt;E$33,D$32,E183&lt;E$34,D$33,E183&lt;E$35,D$34,E183&gt;=E$35,D$35)</f>
        <v/>
      </c>
      <c r="E183" s="38" t="n">
        <v>133</v>
      </c>
      <c r="F183" s="31">
        <f>E183/52</f>
        <v/>
      </c>
      <c r="G183" s="39">
        <f>D183/1000000*52</f>
        <v/>
      </c>
      <c r="H183" s="33">
        <f>G183/$P$4+($C$22/$P$4)</f>
        <v/>
      </c>
      <c r="I183" s="36">
        <f>_xlfn.IFS(K183&lt;K$24,0,K183&lt;K$26,I$24,K183&lt;K$28,I$26,K183&lt;K$30,I$28,K183&lt;K$32,I$30,K183&lt;K$34,I$32,K183&lt;K$36,I$34,K183&lt;K$38,I$36,K183&lt;K$40,I$38,K183&lt;K$42,I$40,K183&lt;K$44,I$42,K183&lt;K$46,I$44,K183&gt;=K$46,I$46)</f>
        <v/>
      </c>
      <c r="J183" s="37">
        <f>_xlfn.IFS(K183&lt;K$24,0,K183&lt;K$25,J$24,K183&lt;K$26,J$25,K183&lt;K$27,J$26,K183&lt;K$28,J$27,K183&lt;K$29,J$28,K183&lt;K$30,J$29,K183&lt;K$31,J$30,K183&lt;K$32,J$31,K183&lt;K$33,J$32,K183&lt;K$34,J$33,K183&lt;K$35,J$34,K183&lt;K$36,J$35,K183&lt;K$37,J$36,K183&lt;K$38,J$37,K183&lt;K$39,J$38,K183&lt;K$40,J$39,K183&lt;K$41,J$40,K183&lt;K$42,J$41,K183&lt;K$43,J$42,K183&lt;K$44,J$43,K183&lt;K$45,J$44,K183&lt;K$46,J$45,K183&lt;K$47,J$46,K183&gt;=K$47,J$47)</f>
        <v/>
      </c>
      <c r="K183" s="38" t="n">
        <v>133</v>
      </c>
      <c r="L183" s="31">
        <f>K183/52</f>
        <v/>
      </c>
      <c r="M183" s="39">
        <f>J183/1000000*52</f>
        <v/>
      </c>
      <c r="N183" s="33">
        <f>M183/$P$4+($I$22/$P$4)</f>
        <v/>
      </c>
      <c r="U183">
        <f>F182</f>
        <v/>
      </c>
      <c r="V183">
        <f>H182</f>
        <v/>
      </c>
      <c r="W183">
        <f>N182</f>
        <v/>
      </c>
    </row>
    <row r="184" ht="15.75" customHeight="1" s="40">
      <c r="C184" s="36">
        <f>_xlfn.IFS(E184&lt;E$24,0,E184&lt;E$26,C$24,E184&lt;E$28,C$26,E184&lt;E$30,C$28,E184&lt;E$32,C$30,E184&lt;E$34,C$32,E184&gt;=E$34,C$34)</f>
        <v/>
      </c>
      <c r="D184" s="37">
        <f>_xlfn.IFS(E184&lt;E$24,0,E184&lt;E$25,D$24,E184&lt;E$26,D$25,E184&lt;E$27,D$26,E184&lt;E$28,D$27,E184&lt;E$29,D$28,E184&lt;E$30,D$29,E184&lt;E$31,D$30,E184&lt;E$32,D$31,E184&lt;E$33,D$32,E184&lt;E$34,D$33,E184&lt;E$35,D$34,E184&gt;=E$35,D$35)</f>
        <v/>
      </c>
      <c r="E184" s="38" t="n">
        <v>134</v>
      </c>
      <c r="F184" s="31">
        <f>E184/52</f>
        <v/>
      </c>
      <c r="G184" s="39">
        <f>D184/1000000*52</f>
        <v/>
      </c>
      <c r="H184" s="33">
        <f>G184/$P$4+($C$22/$P$4)</f>
        <v/>
      </c>
      <c r="I184" s="36">
        <f>_xlfn.IFS(K184&lt;K$24,0,K184&lt;K$26,I$24,K184&lt;K$28,I$26,K184&lt;K$30,I$28,K184&lt;K$32,I$30,K184&lt;K$34,I$32,K184&lt;K$36,I$34,K184&lt;K$38,I$36,K184&lt;K$40,I$38,K184&lt;K$42,I$40,K184&lt;K$44,I$42,K184&lt;K$46,I$44,K184&gt;=K$46,I$46)</f>
        <v/>
      </c>
      <c r="J184" s="37">
        <f>_xlfn.IFS(K184&lt;K$24,0,K184&lt;K$25,J$24,K184&lt;K$26,J$25,K184&lt;K$27,J$26,K184&lt;K$28,J$27,K184&lt;K$29,J$28,K184&lt;K$30,J$29,K184&lt;K$31,J$30,K184&lt;K$32,J$31,K184&lt;K$33,J$32,K184&lt;K$34,J$33,K184&lt;K$35,J$34,K184&lt;K$36,J$35,K184&lt;K$37,J$36,K184&lt;K$38,J$37,K184&lt;K$39,J$38,K184&lt;K$40,J$39,K184&lt;K$41,J$40,K184&lt;K$42,J$41,K184&lt;K$43,J$42,K184&lt;K$44,J$43,K184&lt;K$45,J$44,K184&lt;K$46,J$45,K184&lt;K$47,J$46,K184&gt;=K$47,J$47)</f>
        <v/>
      </c>
      <c r="K184" s="38" t="n">
        <v>134</v>
      </c>
      <c r="L184" s="31">
        <f>K184/52</f>
        <v/>
      </c>
      <c r="M184" s="39">
        <f>J184/1000000*52</f>
        <v/>
      </c>
      <c r="N184" s="33">
        <f>M184/$P$4+($I$22/$P$4)</f>
        <v/>
      </c>
      <c r="U184">
        <f>F183</f>
        <v/>
      </c>
      <c r="V184">
        <f>H183</f>
        <v/>
      </c>
      <c r="W184">
        <f>N183</f>
        <v/>
      </c>
    </row>
    <row r="185" ht="15.75" customHeight="1" s="40">
      <c r="C185" s="36">
        <f>_xlfn.IFS(E185&lt;E$24,0,E185&lt;E$26,C$24,E185&lt;E$28,C$26,E185&lt;E$30,C$28,E185&lt;E$32,C$30,E185&lt;E$34,C$32,E185&gt;=E$34,C$34)</f>
        <v/>
      </c>
      <c r="D185" s="37">
        <f>_xlfn.IFS(E185&lt;E$24,0,E185&lt;E$25,D$24,E185&lt;E$26,D$25,E185&lt;E$27,D$26,E185&lt;E$28,D$27,E185&lt;E$29,D$28,E185&lt;E$30,D$29,E185&lt;E$31,D$30,E185&lt;E$32,D$31,E185&lt;E$33,D$32,E185&lt;E$34,D$33,E185&lt;E$35,D$34,E185&gt;=E$35,D$35)</f>
        <v/>
      </c>
      <c r="E185" s="38" t="n">
        <v>135</v>
      </c>
      <c r="F185" s="31">
        <f>E185/52</f>
        <v/>
      </c>
      <c r="G185" s="39">
        <f>D185/1000000*52</f>
        <v/>
      </c>
      <c r="H185" s="33">
        <f>G185/$P$4+($C$22/$P$4)</f>
        <v/>
      </c>
      <c r="I185" s="36">
        <f>_xlfn.IFS(K185&lt;K$24,0,K185&lt;K$26,I$24,K185&lt;K$28,I$26,K185&lt;K$30,I$28,K185&lt;K$32,I$30,K185&lt;K$34,I$32,K185&lt;K$36,I$34,K185&lt;K$38,I$36,K185&lt;K$40,I$38,K185&lt;K$42,I$40,K185&lt;K$44,I$42,K185&lt;K$46,I$44,K185&gt;=K$46,I$46)</f>
        <v/>
      </c>
      <c r="J185" s="37">
        <f>_xlfn.IFS(K185&lt;K$24,0,K185&lt;K$25,J$24,K185&lt;K$26,J$25,K185&lt;K$27,J$26,K185&lt;K$28,J$27,K185&lt;K$29,J$28,K185&lt;K$30,J$29,K185&lt;K$31,J$30,K185&lt;K$32,J$31,K185&lt;K$33,J$32,K185&lt;K$34,J$33,K185&lt;K$35,J$34,K185&lt;K$36,J$35,K185&lt;K$37,J$36,K185&lt;K$38,J$37,K185&lt;K$39,J$38,K185&lt;K$40,J$39,K185&lt;K$41,J$40,K185&lt;K$42,J$41,K185&lt;K$43,J$42,K185&lt;K$44,J$43,K185&lt;K$45,J$44,K185&lt;K$46,J$45,K185&lt;K$47,J$46,K185&gt;=K$47,J$47)</f>
        <v/>
      </c>
      <c r="K185" s="38" t="n">
        <v>135</v>
      </c>
      <c r="L185" s="31">
        <f>K185/52</f>
        <v/>
      </c>
      <c r="M185" s="39">
        <f>J185/1000000*52</f>
        <v/>
      </c>
      <c r="N185" s="33">
        <f>M185/$P$4+($I$22/$P$4)</f>
        <v/>
      </c>
      <c r="U185">
        <f>F184</f>
        <v/>
      </c>
      <c r="V185">
        <f>H184</f>
        <v/>
      </c>
      <c r="W185">
        <f>N184</f>
        <v/>
      </c>
    </row>
    <row r="186" ht="15.75" customHeight="1" s="40">
      <c r="C186" s="36">
        <f>_xlfn.IFS(E186&lt;E$24,0,E186&lt;E$26,C$24,E186&lt;E$28,C$26,E186&lt;E$30,C$28,E186&lt;E$32,C$30,E186&lt;E$34,C$32,E186&gt;=E$34,C$34)</f>
        <v/>
      </c>
      <c r="D186" s="37">
        <f>_xlfn.IFS(E186&lt;E$24,0,E186&lt;E$25,D$24,E186&lt;E$26,D$25,E186&lt;E$27,D$26,E186&lt;E$28,D$27,E186&lt;E$29,D$28,E186&lt;E$30,D$29,E186&lt;E$31,D$30,E186&lt;E$32,D$31,E186&lt;E$33,D$32,E186&lt;E$34,D$33,E186&lt;E$35,D$34,E186&gt;=E$35,D$35)</f>
        <v/>
      </c>
      <c r="E186" s="38" t="n">
        <v>136</v>
      </c>
      <c r="F186" s="31">
        <f>E186/52</f>
        <v/>
      </c>
      <c r="G186" s="39">
        <f>D186/1000000*52</f>
        <v/>
      </c>
      <c r="H186" s="33">
        <f>G186/$P$4+($C$22/$P$4)</f>
        <v/>
      </c>
      <c r="I186" s="36">
        <f>_xlfn.IFS(K186&lt;K$24,0,K186&lt;K$26,I$24,K186&lt;K$28,I$26,K186&lt;K$30,I$28,K186&lt;K$32,I$30,K186&lt;K$34,I$32,K186&lt;K$36,I$34,K186&lt;K$38,I$36,K186&lt;K$40,I$38,K186&lt;K$42,I$40,K186&lt;K$44,I$42,K186&lt;K$46,I$44,K186&gt;=K$46,I$46)</f>
        <v/>
      </c>
      <c r="J186" s="37">
        <f>_xlfn.IFS(K186&lt;K$24,0,K186&lt;K$25,J$24,K186&lt;K$26,J$25,K186&lt;K$27,J$26,K186&lt;K$28,J$27,K186&lt;K$29,J$28,K186&lt;K$30,J$29,K186&lt;K$31,J$30,K186&lt;K$32,J$31,K186&lt;K$33,J$32,K186&lt;K$34,J$33,K186&lt;K$35,J$34,K186&lt;K$36,J$35,K186&lt;K$37,J$36,K186&lt;K$38,J$37,K186&lt;K$39,J$38,K186&lt;K$40,J$39,K186&lt;K$41,J$40,K186&lt;K$42,J$41,K186&lt;K$43,J$42,K186&lt;K$44,J$43,K186&lt;K$45,J$44,K186&lt;K$46,J$45,K186&lt;K$47,J$46,K186&gt;=K$47,J$47)</f>
        <v/>
      </c>
      <c r="K186" s="38" t="n">
        <v>136</v>
      </c>
      <c r="L186" s="31">
        <f>K186/52</f>
        <v/>
      </c>
      <c r="M186" s="39">
        <f>J186/1000000*52</f>
        <v/>
      </c>
      <c r="N186" s="33">
        <f>M186/$P$4+($I$22/$P$4)</f>
        <v/>
      </c>
      <c r="U186">
        <f>F185</f>
        <v/>
      </c>
      <c r="V186">
        <f>H185</f>
        <v/>
      </c>
      <c r="W186">
        <f>N185</f>
        <v/>
      </c>
    </row>
    <row r="187" ht="15.75" customHeight="1" s="40">
      <c r="C187" s="36">
        <f>_xlfn.IFS(E187&lt;E$24,0,E187&lt;E$26,C$24,E187&lt;E$28,C$26,E187&lt;E$30,C$28,E187&lt;E$32,C$30,E187&lt;E$34,C$32,E187&gt;=E$34,C$34)</f>
        <v/>
      </c>
      <c r="D187" s="37">
        <f>_xlfn.IFS(E187&lt;E$24,0,E187&lt;E$25,D$24,E187&lt;E$26,D$25,E187&lt;E$27,D$26,E187&lt;E$28,D$27,E187&lt;E$29,D$28,E187&lt;E$30,D$29,E187&lt;E$31,D$30,E187&lt;E$32,D$31,E187&lt;E$33,D$32,E187&lt;E$34,D$33,E187&lt;E$35,D$34,E187&gt;=E$35,D$35)</f>
        <v/>
      </c>
      <c r="E187" s="38" t="n">
        <v>137</v>
      </c>
      <c r="F187" s="31">
        <f>E187/52</f>
        <v/>
      </c>
      <c r="G187" s="39">
        <f>D187/1000000*52</f>
        <v/>
      </c>
      <c r="H187" s="33">
        <f>G187/$P$4+($C$22/$P$4)</f>
        <v/>
      </c>
      <c r="I187" s="36">
        <f>_xlfn.IFS(K187&lt;K$24,0,K187&lt;K$26,I$24,K187&lt;K$28,I$26,K187&lt;K$30,I$28,K187&lt;K$32,I$30,K187&lt;K$34,I$32,K187&lt;K$36,I$34,K187&lt;K$38,I$36,K187&lt;K$40,I$38,K187&lt;K$42,I$40,K187&lt;K$44,I$42,K187&lt;K$46,I$44,K187&gt;=K$46,I$46)</f>
        <v/>
      </c>
      <c r="J187" s="37">
        <f>_xlfn.IFS(K187&lt;K$24,0,K187&lt;K$25,J$24,K187&lt;K$26,J$25,K187&lt;K$27,J$26,K187&lt;K$28,J$27,K187&lt;K$29,J$28,K187&lt;K$30,J$29,K187&lt;K$31,J$30,K187&lt;K$32,J$31,K187&lt;K$33,J$32,K187&lt;K$34,J$33,K187&lt;K$35,J$34,K187&lt;K$36,J$35,K187&lt;K$37,J$36,K187&lt;K$38,J$37,K187&lt;K$39,J$38,K187&lt;K$40,J$39,K187&lt;K$41,J$40,K187&lt;K$42,J$41,K187&lt;K$43,J$42,K187&lt;K$44,J$43,K187&lt;K$45,J$44,K187&lt;K$46,J$45,K187&lt;K$47,J$46,K187&gt;=K$47,J$47)</f>
        <v/>
      </c>
      <c r="K187" s="38" t="n">
        <v>137</v>
      </c>
      <c r="L187" s="31">
        <f>K187/52</f>
        <v/>
      </c>
      <c r="M187" s="39">
        <f>J187/1000000*52</f>
        <v/>
      </c>
      <c r="N187" s="33">
        <f>M187/$P$4+($I$22/$P$4)</f>
        <v/>
      </c>
      <c r="U187">
        <f>F186</f>
        <v/>
      </c>
      <c r="V187">
        <f>H186</f>
        <v/>
      </c>
      <c r="W187">
        <f>N186</f>
        <v/>
      </c>
    </row>
    <row r="188" ht="15.75" customHeight="1" s="40">
      <c r="C188" s="36">
        <f>_xlfn.IFS(E188&lt;E$24,0,E188&lt;E$26,C$24,E188&lt;E$28,C$26,E188&lt;E$30,C$28,E188&lt;E$32,C$30,E188&lt;E$34,C$32,E188&gt;=E$34,C$34)</f>
        <v/>
      </c>
      <c r="D188" s="37">
        <f>_xlfn.IFS(E188&lt;E$24,0,E188&lt;E$25,D$24,E188&lt;E$26,D$25,E188&lt;E$27,D$26,E188&lt;E$28,D$27,E188&lt;E$29,D$28,E188&lt;E$30,D$29,E188&lt;E$31,D$30,E188&lt;E$32,D$31,E188&lt;E$33,D$32,E188&lt;E$34,D$33,E188&lt;E$35,D$34,E188&gt;=E$35,D$35)</f>
        <v/>
      </c>
      <c r="E188" s="38" t="n">
        <v>138</v>
      </c>
      <c r="F188" s="31">
        <f>E188/52</f>
        <v/>
      </c>
      <c r="G188" s="39">
        <f>D188/1000000*52</f>
        <v/>
      </c>
      <c r="H188" s="33">
        <f>G188/$P$4+($C$22/$P$4)</f>
        <v/>
      </c>
      <c r="I188" s="36">
        <f>_xlfn.IFS(K188&lt;K$24,0,K188&lt;K$26,I$24,K188&lt;K$28,I$26,K188&lt;K$30,I$28,K188&lt;K$32,I$30,K188&lt;K$34,I$32,K188&lt;K$36,I$34,K188&lt;K$38,I$36,K188&lt;K$40,I$38,K188&lt;K$42,I$40,K188&lt;K$44,I$42,K188&lt;K$46,I$44,K188&gt;=K$46,I$46)</f>
        <v/>
      </c>
      <c r="J188" s="37">
        <f>_xlfn.IFS(K188&lt;K$24,0,K188&lt;K$25,J$24,K188&lt;K$26,J$25,K188&lt;K$27,J$26,K188&lt;K$28,J$27,K188&lt;K$29,J$28,K188&lt;K$30,J$29,K188&lt;K$31,J$30,K188&lt;K$32,J$31,K188&lt;K$33,J$32,K188&lt;K$34,J$33,K188&lt;K$35,J$34,K188&lt;K$36,J$35,K188&lt;K$37,J$36,K188&lt;K$38,J$37,K188&lt;K$39,J$38,K188&lt;K$40,J$39,K188&lt;K$41,J$40,K188&lt;K$42,J$41,K188&lt;K$43,J$42,K188&lt;K$44,J$43,K188&lt;K$45,J$44,K188&lt;K$46,J$45,K188&lt;K$47,J$46,K188&gt;=K$47,J$47)</f>
        <v/>
      </c>
      <c r="K188" s="38" t="n">
        <v>138</v>
      </c>
      <c r="L188" s="31">
        <f>K188/52</f>
        <v/>
      </c>
      <c r="M188" s="39">
        <f>J188/1000000*52</f>
        <v/>
      </c>
      <c r="N188" s="33">
        <f>M188/$P$4+($I$22/$P$4)</f>
        <v/>
      </c>
      <c r="U188">
        <f>F187</f>
        <v/>
      </c>
      <c r="V188">
        <f>H187</f>
        <v/>
      </c>
      <c r="W188">
        <f>N187</f>
        <v/>
      </c>
    </row>
    <row r="189" ht="15.75" customHeight="1" s="40">
      <c r="C189" s="36">
        <f>_xlfn.IFS(E189&lt;E$24,0,E189&lt;E$26,C$24,E189&lt;E$28,C$26,E189&lt;E$30,C$28,E189&lt;E$32,C$30,E189&lt;E$34,C$32,E189&gt;=E$34,C$34)</f>
        <v/>
      </c>
      <c r="D189" s="37">
        <f>_xlfn.IFS(E189&lt;E$24,0,E189&lt;E$25,D$24,E189&lt;E$26,D$25,E189&lt;E$27,D$26,E189&lt;E$28,D$27,E189&lt;E$29,D$28,E189&lt;E$30,D$29,E189&lt;E$31,D$30,E189&lt;E$32,D$31,E189&lt;E$33,D$32,E189&lt;E$34,D$33,E189&lt;E$35,D$34,E189&gt;=E$35,D$35)</f>
        <v/>
      </c>
      <c r="E189" s="38" t="n">
        <v>139</v>
      </c>
      <c r="F189" s="31">
        <f>E189/52</f>
        <v/>
      </c>
      <c r="G189" s="39">
        <f>D189/1000000*52</f>
        <v/>
      </c>
      <c r="H189" s="33">
        <f>G189/$P$4+($C$22/$P$4)</f>
        <v/>
      </c>
      <c r="I189" s="36">
        <f>_xlfn.IFS(K189&lt;K$24,0,K189&lt;K$26,I$24,K189&lt;K$28,I$26,K189&lt;K$30,I$28,K189&lt;K$32,I$30,K189&lt;K$34,I$32,K189&lt;K$36,I$34,K189&lt;K$38,I$36,K189&lt;K$40,I$38,K189&lt;K$42,I$40,K189&lt;K$44,I$42,K189&lt;K$46,I$44,K189&gt;=K$46,I$46)</f>
        <v/>
      </c>
      <c r="J189" s="37">
        <f>_xlfn.IFS(K189&lt;K$24,0,K189&lt;K$25,J$24,K189&lt;K$26,J$25,K189&lt;K$27,J$26,K189&lt;K$28,J$27,K189&lt;K$29,J$28,K189&lt;K$30,J$29,K189&lt;K$31,J$30,K189&lt;K$32,J$31,K189&lt;K$33,J$32,K189&lt;K$34,J$33,K189&lt;K$35,J$34,K189&lt;K$36,J$35,K189&lt;K$37,J$36,K189&lt;K$38,J$37,K189&lt;K$39,J$38,K189&lt;K$40,J$39,K189&lt;K$41,J$40,K189&lt;K$42,J$41,K189&lt;K$43,J$42,K189&lt;K$44,J$43,K189&lt;K$45,J$44,K189&lt;K$46,J$45,K189&lt;K$47,J$46,K189&gt;=K$47,J$47)</f>
        <v/>
      </c>
      <c r="K189" s="38" t="n">
        <v>139</v>
      </c>
      <c r="L189" s="31">
        <f>K189/52</f>
        <v/>
      </c>
      <c r="M189" s="39">
        <f>J189/1000000*52</f>
        <v/>
      </c>
      <c r="N189" s="33">
        <f>M189/$P$4+($I$22/$P$4)</f>
        <v/>
      </c>
      <c r="U189">
        <f>F188</f>
        <v/>
      </c>
      <c r="V189">
        <f>H188</f>
        <v/>
      </c>
      <c r="W189">
        <f>N188</f>
        <v/>
      </c>
    </row>
    <row r="190" ht="15.75" customHeight="1" s="40">
      <c r="C190" s="36">
        <f>_xlfn.IFS(E190&lt;E$24,0,E190&lt;E$26,C$24,E190&lt;E$28,C$26,E190&lt;E$30,C$28,E190&lt;E$32,C$30,E190&lt;E$34,C$32,E190&gt;=E$34,C$34)</f>
        <v/>
      </c>
      <c r="D190" s="37">
        <f>_xlfn.IFS(E190&lt;E$24,0,E190&lt;E$25,D$24,E190&lt;E$26,D$25,E190&lt;E$27,D$26,E190&lt;E$28,D$27,E190&lt;E$29,D$28,E190&lt;E$30,D$29,E190&lt;E$31,D$30,E190&lt;E$32,D$31,E190&lt;E$33,D$32,E190&lt;E$34,D$33,E190&lt;E$35,D$34,E190&gt;=E$35,D$35)</f>
        <v/>
      </c>
      <c r="E190" s="38" t="n">
        <v>140</v>
      </c>
      <c r="F190" s="31">
        <f>E190/52</f>
        <v/>
      </c>
      <c r="G190" s="39">
        <f>D190/1000000*52</f>
        <v/>
      </c>
      <c r="H190" s="33">
        <f>G190/$P$4+($C$22/$P$4)</f>
        <v/>
      </c>
      <c r="I190" s="36">
        <f>_xlfn.IFS(K190&lt;K$24,0,K190&lt;K$26,I$24,K190&lt;K$28,I$26,K190&lt;K$30,I$28,K190&lt;K$32,I$30,K190&lt;K$34,I$32,K190&lt;K$36,I$34,K190&lt;K$38,I$36,K190&lt;K$40,I$38,K190&lt;K$42,I$40,K190&lt;K$44,I$42,K190&lt;K$46,I$44,K190&gt;=K$46,I$46)</f>
        <v/>
      </c>
      <c r="J190" s="37">
        <f>_xlfn.IFS(K190&lt;K$24,0,K190&lt;K$25,J$24,K190&lt;K$26,J$25,K190&lt;K$27,J$26,K190&lt;K$28,J$27,K190&lt;K$29,J$28,K190&lt;K$30,J$29,K190&lt;K$31,J$30,K190&lt;K$32,J$31,K190&lt;K$33,J$32,K190&lt;K$34,J$33,K190&lt;K$35,J$34,K190&lt;K$36,J$35,K190&lt;K$37,J$36,K190&lt;K$38,J$37,K190&lt;K$39,J$38,K190&lt;K$40,J$39,K190&lt;K$41,J$40,K190&lt;K$42,J$41,K190&lt;K$43,J$42,K190&lt;K$44,J$43,K190&lt;K$45,J$44,K190&lt;K$46,J$45,K190&lt;K$47,J$46,K190&gt;=K$47,J$47)</f>
        <v/>
      </c>
      <c r="K190" s="38" t="n">
        <v>140</v>
      </c>
      <c r="L190" s="31">
        <f>K190/52</f>
        <v/>
      </c>
      <c r="M190" s="39">
        <f>J190/1000000*52</f>
        <v/>
      </c>
      <c r="N190" s="33">
        <f>M190/$P$4+($I$22/$P$4)</f>
        <v/>
      </c>
      <c r="U190">
        <f>F189</f>
        <v/>
      </c>
      <c r="V190">
        <f>H189</f>
        <v/>
      </c>
      <c r="W190">
        <f>N189</f>
        <v/>
      </c>
    </row>
    <row r="191" ht="15.75" customHeight="1" s="40">
      <c r="C191" s="36">
        <f>_xlfn.IFS(E191&lt;E$24,0,E191&lt;E$26,C$24,E191&lt;E$28,C$26,E191&lt;E$30,C$28,E191&lt;E$32,C$30,E191&lt;E$34,C$32,E191&gt;=E$34,C$34)</f>
        <v/>
      </c>
      <c r="D191" s="37">
        <f>_xlfn.IFS(E191&lt;E$24,0,E191&lt;E$25,D$24,E191&lt;E$26,D$25,E191&lt;E$27,D$26,E191&lt;E$28,D$27,E191&lt;E$29,D$28,E191&lt;E$30,D$29,E191&lt;E$31,D$30,E191&lt;E$32,D$31,E191&lt;E$33,D$32,E191&lt;E$34,D$33,E191&lt;E$35,D$34,E191&gt;=E$35,D$35)</f>
        <v/>
      </c>
      <c r="E191" s="38" t="n">
        <v>141</v>
      </c>
      <c r="F191" s="31">
        <f>E191/52</f>
        <v/>
      </c>
      <c r="G191" s="39">
        <f>D191/1000000*52</f>
        <v/>
      </c>
      <c r="H191" s="33">
        <f>G191/$P$4+($C$22/$P$4)</f>
        <v/>
      </c>
      <c r="I191" s="36">
        <f>_xlfn.IFS(K191&lt;K$24,0,K191&lt;K$26,I$24,K191&lt;K$28,I$26,K191&lt;K$30,I$28,K191&lt;K$32,I$30,K191&lt;K$34,I$32,K191&lt;K$36,I$34,K191&lt;K$38,I$36,K191&lt;K$40,I$38,K191&lt;K$42,I$40,K191&lt;K$44,I$42,K191&lt;K$46,I$44,K191&gt;=K$46,I$46)</f>
        <v/>
      </c>
      <c r="J191" s="37">
        <f>_xlfn.IFS(K191&lt;K$24,0,K191&lt;K$25,J$24,K191&lt;K$26,J$25,K191&lt;K$27,J$26,K191&lt;K$28,J$27,K191&lt;K$29,J$28,K191&lt;K$30,J$29,K191&lt;K$31,J$30,K191&lt;K$32,J$31,K191&lt;K$33,J$32,K191&lt;K$34,J$33,K191&lt;K$35,J$34,K191&lt;K$36,J$35,K191&lt;K$37,J$36,K191&lt;K$38,J$37,K191&lt;K$39,J$38,K191&lt;K$40,J$39,K191&lt;K$41,J$40,K191&lt;K$42,J$41,K191&lt;K$43,J$42,K191&lt;K$44,J$43,K191&lt;K$45,J$44,K191&lt;K$46,J$45,K191&lt;K$47,J$46,K191&gt;=K$47,J$47)</f>
        <v/>
      </c>
      <c r="K191" s="38" t="n">
        <v>141</v>
      </c>
      <c r="L191" s="31">
        <f>K191/52</f>
        <v/>
      </c>
      <c r="M191" s="39">
        <f>J191/1000000*52</f>
        <v/>
      </c>
      <c r="N191" s="33">
        <f>M191/$P$4+($I$22/$P$4)</f>
        <v/>
      </c>
      <c r="U191">
        <f>F190</f>
        <v/>
      </c>
      <c r="V191">
        <f>H190</f>
        <v/>
      </c>
      <c r="W191">
        <f>N190</f>
        <v/>
      </c>
    </row>
    <row r="192" ht="15.75" customHeight="1" s="40">
      <c r="C192" s="36">
        <f>_xlfn.IFS(E192&lt;E$24,0,E192&lt;E$26,C$24,E192&lt;E$28,C$26,E192&lt;E$30,C$28,E192&lt;E$32,C$30,E192&lt;E$34,C$32,E192&gt;=E$34,C$34)</f>
        <v/>
      </c>
      <c r="D192" s="37">
        <f>_xlfn.IFS(E192&lt;E$24,0,E192&lt;E$25,D$24,E192&lt;E$26,D$25,E192&lt;E$27,D$26,E192&lt;E$28,D$27,E192&lt;E$29,D$28,E192&lt;E$30,D$29,E192&lt;E$31,D$30,E192&lt;E$32,D$31,E192&lt;E$33,D$32,E192&lt;E$34,D$33,E192&lt;E$35,D$34,E192&gt;=E$35,D$35)</f>
        <v/>
      </c>
      <c r="E192" s="38" t="n">
        <v>142</v>
      </c>
      <c r="F192" s="31">
        <f>E192/52</f>
        <v/>
      </c>
      <c r="G192" s="39">
        <f>D192/1000000*52</f>
        <v/>
      </c>
      <c r="H192" s="33">
        <f>G192/$P$4+($C$22/$P$4)</f>
        <v/>
      </c>
      <c r="I192" s="36">
        <f>_xlfn.IFS(K192&lt;K$24,0,K192&lt;K$26,I$24,K192&lt;K$28,I$26,K192&lt;K$30,I$28,K192&lt;K$32,I$30,K192&lt;K$34,I$32,K192&lt;K$36,I$34,K192&lt;K$38,I$36,K192&lt;K$40,I$38,K192&lt;K$42,I$40,K192&lt;K$44,I$42,K192&lt;K$46,I$44,K192&gt;=K$46,I$46)</f>
        <v/>
      </c>
      <c r="J192" s="37">
        <f>_xlfn.IFS(K192&lt;K$24,0,K192&lt;K$25,J$24,K192&lt;K$26,J$25,K192&lt;K$27,J$26,K192&lt;K$28,J$27,K192&lt;K$29,J$28,K192&lt;K$30,J$29,K192&lt;K$31,J$30,K192&lt;K$32,J$31,K192&lt;K$33,J$32,K192&lt;K$34,J$33,K192&lt;K$35,J$34,K192&lt;K$36,J$35,K192&lt;K$37,J$36,K192&lt;K$38,J$37,K192&lt;K$39,J$38,K192&lt;K$40,J$39,K192&lt;K$41,J$40,K192&lt;K$42,J$41,K192&lt;K$43,J$42,K192&lt;K$44,J$43,K192&lt;K$45,J$44,K192&lt;K$46,J$45,K192&lt;K$47,J$46,K192&gt;=K$47,J$47)</f>
        <v/>
      </c>
      <c r="K192" s="38" t="n">
        <v>142</v>
      </c>
      <c r="L192" s="31">
        <f>K192/52</f>
        <v/>
      </c>
      <c r="M192" s="39">
        <f>J192/1000000*52</f>
        <v/>
      </c>
      <c r="N192" s="33">
        <f>M192/$P$4+($I$22/$P$4)</f>
        <v/>
      </c>
      <c r="U192">
        <f>F191</f>
        <v/>
      </c>
      <c r="V192">
        <f>H191</f>
        <v/>
      </c>
      <c r="W192">
        <f>N191</f>
        <v/>
      </c>
    </row>
    <row r="193" ht="15.75" customHeight="1" s="40">
      <c r="C193" s="36">
        <f>_xlfn.IFS(E193&lt;E$24,0,E193&lt;E$26,C$24,E193&lt;E$28,C$26,E193&lt;E$30,C$28,E193&lt;E$32,C$30,E193&lt;E$34,C$32,E193&gt;=E$34,C$34)</f>
        <v/>
      </c>
      <c r="D193" s="37">
        <f>_xlfn.IFS(E193&lt;E$24,0,E193&lt;E$25,D$24,E193&lt;E$26,D$25,E193&lt;E$27,D$26,E193&lt;E$28,D$27,E193&lt;E$29,D$28,E193&lt;E$30,D$29,E193&lt;E$31,D$30,E193&lt;E$32,D$31,E193&lt;E$33,D$32,E193&lt;E$34,D$33,E193&lt;E$35,D$34,E193&gt;=E$35,D$35)</f>
        <v/>
      </c>
      <c r="E193" s="38" t="n">
        <v>143</v>
      </c>
      <c r="F193" s="31">
        <f>E193/52</f>
        <v/>
      </c>
      <c r="G193" s="39">
        <f>D193/1000000*52</f>
        <v/>
      </c>
      <c r="H193" s="33">
        <f>G193/$P$4+($C$22/$P$4)</f>
        <v/>
      </c>
      <c r="I193" s="36">
        <f>_xlfn.IFS(K193&lt;K$24,0,K193&lt;K$26,I$24,K193&lt;K$28,I$26,K193&lt;K$30,I$28,K193&lt;K$32,I$30,K193&lt;K$34,I$32,K193&lt;K$36,I$34,K193&lt;K$38,I$36,K193&lt;K$40,I$38,K193&lt;K$42,I$40,K193&lt;K$44,I$42,K193&lt;K$46,I$44,K193&gt;=K$46,I$46)</f>
        <v/>
      </c>
      <c r="J193" s="37">
        <f>_xlfn.IFS(K193&lt;K$24,0,K193&lt;K$25,J$24,K193&lt;K$26,J$25,K193&lt;K$27,J$26,K193&lt;K$28,J$27,K193&lt;K$29,J$28,K193&lt;K$30,J$29,K193&lt;K$31,J$30,K193&lt;K$32,J$31,K193&lt;K$33,J$32,K193&lt;K$34,J$33,K193&lt;K$35,J$34,K193&lt;K$36,J$35,K193&lt;K$37,J$36,K193&lt;K$38,J$37,K193&lt;K$39,J$38,K193&lt;K$40,J$39,K193&lt;K$41,J$40,K193&lt;K$42,J$41,K193&lt;K$43,J$42,K193&lt;K$44,J$43,K193&lt;K$45,J$44,K193&lt;K$46,J$45,K193&lt;K$47,J$46,K193&gt;=K$47,J$47)</f>
        <v/>
      </c>
      <c r="K193" s="38" t="n">
        <v>143</v>
      </c>
      <c r="L193" s="31">
        <f>K193/52</f>
        <v/>
      </c>
      <c r="M193" s="39">
        <f>J193/1000000*52</f>
        <v/>
      </c>
      <c r="N193" s="33">
        <f>M193/$P$4+($I$22/$P$4)</f>
        <v/>
      </c>
      <c r="U193">
        <f>F192</f>
        <v/>
      </c>
      <c r="V193">
        <f>H192</f>
        <v/>
      </c>
      <c r="W193">
        <f>N192</f>
        <v/>
      </c>
    </row>
    <row r="194" ht="15.75" customHeight="1" s="40">
      <c r="C194" s="36">
        <f>_xlfn.IFS(E194&lt;E$24,0,E194&lt;E$26,C$24,E194&lt;E$28,C$26,E194&lt;E$30,C$28,E194&lt;E$32,C$30,E194&lt;E$34,C$32,E194&gt;=E$34,C$34)</f>
        <v/>
      </c>
      <c r="D194" s="37">
        <f>_xlfn.IFS(E194&lt;E$24,0,E194&lt;E$25,D$24,E194&lt;E$26,D$25,E194&lt;E$27,D$26,E194&lt;E$28,D$27,E194&lt;E$29,D$28,E194&lt;E$30,D$29,E194&lt;E$31,D$30,E194&lt;E$32,D$31,E194&lt;E$33,D$32,E194&lt;E$34,D$33,E194&lt;E$35,D$34,E194&gt;=E$35,D$35)</f>
        <v/>
      </c>
      <c r="E194" s="38" t="n">
        <v>144</v>
      </c>
      <c r="F194" s="31">
        <f>E194/52</f>
        <v/>
      </c>
      <c r="G194" s="39">
        <f>D194/1000000*52</f>
        <v/>
      </c>
      <c r="H194" s="33">
        <f>G194/$P$4+($C$22/$P$4)</f>
        <v/>
      </c>
      <c r="I194" s="36">
        <f>_xlfn.IFS(K194&lt;K$24,0,K194&lt;K$26,I$24,K194&lt;K$28,I$26,K194&lt;K$30,I$28,K194&lt;K$32,I$30,K194&lt;K$34,I$32,K194&lt;K$36,I$34,K194&lt;K$38,I$36,K194&lt;K$40,I$38,K194&lt;K$42,I$40,K194&lt;K$44,I$42,K194&lt;K$46,I$44,K194&gt;=K$46,I$46)</f>
        <v/>
      </c>
      <c r="J194" s="37">
        <f>_xlfn.IFS(K194&lt;K$24,0,K194&lt;K$25,J$24,K194&lt;K$26,J$25,K194&lt;K$27,J$26,K194&lt;K$28,J$27,K194&lt;K$29,J$28,K194&lt;K$30,J$29,K194&lt;K$31,J$30,K194&lt;K$32,J$31,K194&lt;K$33,J$32,K194&lt;K$34,J$33,K194&lt;K$35,J$34,K194&lt;K$36,J$35,K194&lt;K$37,J$36,K194&lt;K$38,J$37,K194&lt;K$39,J$38,K194&lt;K$40,J$39,K194&lt;K$41,J$40,K194&lt;K$42,J$41,K194&lt;K$43,J$42,K194&lt;K$44,J$43,K194&lt;K$45,J$44,K194&lt;K$46,J$45,K194&lt;K$47,J$46,K194&gt;=K$47,J$47)</f>
        <v/>
      </c>
      <c r="K194" s="38" t="n">
        <v>144</v>
      </c>
      <c r="L194" s="31">
        <f>K194/52</f>
        <v/>
      </c>
      <c r="M194" s="39">
        <f>J194/1000000*52</f>
        <v/>
      </c>
      <c r="N194" s="33">
        <f>M194/$P$4+($I$22/$P$4)</f>
        <v/>
      </c>
      <c r="U194">
        <f>F193</f>
        <v/>
      </c>
      <c r="V194">
        <f>H193</f>
        <v/>
      </c>
      <c r="W194">
        <f>N193</f>
        <v/>
      </c>
    </row>
    <row r="195" ht="15.75" customHeight="1" s="40">
      <c r="C195" s="36">
        <f>_xlfn.IFS(E195&lt;E$24,0,E195&lt;E$26,C$24,E195&lt;E$28,C$26,E195&lt;E$30,C$28,E195&lt;E$32,C$30,E195&lt;E$34,C$32,E195&gt;=E$34,C$34)</f>
        <v/>
      </c>
      <c r="D195" s="37">
        <f>_xlfn.IFS(E195&lt;E$24,0,E195&lt;E$25,D$24,E195&lt;E$26,D$25,E195&lt;E$27,D$26,E195&lt;E$28,D$27,E195&lt;E$29,D$28,E195&lt;E$30,D$29,E195&lt;E$31,D$30,E195&lt;E$32,D$31,E195&lt;E$33,D$32,E195&lt;E$34,D$33,E195&lt;E$35,D$34,E195&gt;=E$35,D$35)</f>
        <v/>
      </c>
      <c r="E195" s="38" t="n">
        <v>145</v>
      </c>
      <c r="F195" s="31">
        <f>E195/52</f>
        <v/>
      </c>
      <c r="G195" s="39">
        <f>D195/1000000*52</f>
        <v/>
      </c>
      <c r="H195" s="33">
        <f>G195/$P$4+($C$22/$P$4)</f>
        <v/>
      </c>
      <c r="I195" s="36">
        <f>_xlfn.IFS(K195&lt;K$24,0,K195&lt;K$26,I$24,K195&lt;K$28,I$26,K195&lt;K$30,I$28,K195&lt;K$32,I$30,K195&lt;K$34,I$32,K195&lt;K$36,I$34,K195&lt;K$38,I$36,K195&lt;K$40,I$38,K195&lt;K$42,I$40,K195&lt;K$44,I$42,K195&lt;K$46,I$44,K195&gt;=K$46,I$46)</f>
        <v/>
      </c>
      <c r="J195" s="37">
        <f>_xlfn.IFS(K195&lt;K$24,0,K195&lt;K$25,J$24,K195&lt;K$26,J$25,K195&lt;K$27,J$26,K195&lt;K$28,J$27,K195&lt;K$29,J$28,K195&lt;K$30,J$29,K195&lt;K$31,J$30,K195&lt;K$32,J$31,K195&lt;K$33,J$32,K195&lt;K$34,J$33,K195&lt;K$35,J$34,K195&lt;K$36,J$35,K195&lt;K$37,J$36,K195&lt;K$38,J$37,K195&lt;K$39,J$38,K195&lt;K$40,J$39,K195&lt;K$41,J$40,K195&lt;K$42,J$41,K195&lt;K$43,J$42,K195&lt;K$44,J$43,K195&lt;K$45,J$44,K195&lt;K$46,J$45,K195&lt;K$47,J$46,K195&gt;=K$47,J$47)</f>
        <v/>
      </c>
      <c r="K195" s="38" t="n">
        <v>145</v>
      </c>
      <c r="L195" s="31">
        <f>K195/52</f>
        <v/>
      </c>
      <c r="M195" s="39">
        <f>J195/1000000*52</f>
        <v/>
      </c>
      <c r="N195" s="33">
        <f>M195/$P$4+($I$22/$P$4)</f>
        <v/>
      </c>
      <c r="U195">
        <f>F194</f>
        <v/>
      </c>
      <c r="V195">
        <f>H194</f>
        <v/>
      </c>
      <c r="W195">
        <f>N194</f>
        <v/>
      </c>
    </row>
    <row r="196" ht="15.75" customHeight="1" s="40">
      <c r="C196" s="36">
        <f>_xlfn.IFS(E196&lt;E$24,0,E196&lt;E$26,C$24,E196&lt;E$28,C$26,E196&lt;E$30,C$28,E196&lt;E$32,C$30,E196&lt;E$34,C$32,E196&gt;=E$34,C$34)</f>
        <v/>
      </c>
      <c r="D196" s="37">
        <f>_xlfn.IFS(E196&lt;E$24,0,E196&lt;E$25,D$24,E196&lt;E$26,D$25,E196&lt;E$27,D$26,E196&lt;E$28,D$27,E196&lt;E$29,D$28,E196&lt;E$30,D$29,E196&lt;E$31,D$30,E196&lt;E$32,D$31,E196&lt;E$33,D$32,E196&lt;E$34,D$33,E196&lt;E$35,D$34,E196&gt;=E$35,D$35)</f>
        <v/>
      </c>
      <c r="E196" s="38" t="n">
        <v>146</v>
      </c>
      <c r="F196" s="31">
        <f>E196/52</f>
        <v/>
      </c>
      <c r="G196" s="39">
        <f>D196/1000000*52</f>
        <v/>
      </c>
      <c r="H196" s="33">
        <f>G196/$P$4+($C$22/$P$4)</f>
        <v/>
      </c>
      <c r="I196" s="36">
        <f>_xlfn.IFS(K196&lt;K$24,0,K196&lt;K$26,I$24,K196&lt;K$28,I$26,K196&lt;K$30,I$28,K196&lt;K$32,I$30,K196&lt;K$34,I$32,K196&lt;K$36,I$34,K196&lt;K$38,I$36,K196&lt;K$40,I$38,K196&lt;K$42,I$40,K196&lt;K$44,I$42,K196&lt;K$46,I$44,K196&gt;=K$46,I$46)</f>
        <v/>
      </c>
      <c r="J196" s="37">
        <f>_xlfn.IFS(K196&lt;K$24,0,K196&lt;K$25,J$24,K196&lt;K$26,J$25,K196&lt;K$27,J$26,K196&lt;K$28,J$27,K196&lt;K$29,J$28,K196&lt;K$30,J$29,K196&lt;K$31,J$30,K196&lt;K$32,J$31,K196&lt;K$33,J$32,K196&lt;K$34,J$33,K196&lt;K$35,J$34,K196&lt;K$36,J$35,K196&lt;K$37,J$36,K196&lt;K$38,J$37,K196&lt;K$39,J$38,K196&lt;K$40,J$39,K196&lt;K$41,J$40,K196&lt;K$42,J$41,K196&lt;K$43,J$42,K196&lt;K$44,J$43,K196&lt;K$45,J$44,K196&lt;K$46,J$45,K196&lt;K$47,J$46,K196&gt;=K$47,J$47)</f>
        <v/>
      </c>
      <c r="K196" s="38" t="n">
        <v>146</v>
      </c>
      <c r="L196" s="31">
        <f>K196/52</f>
        <v/>
      </c>
      <c r="M196" s="39">
        <f>J196/1000000*52</f>
        <v/>
      </c>
      <c r="N196" s="33">
        <f>M196/$P$4+($I$22/$P$4)</f>
        <v/>
      </c>
      <c r="U196">
        <f>F195</f>
        <v/>
      </c>
      <c r="V196">
        <f>H195</f>
        <v/>
      </c>
      <c r="W196">
        <f>N195</f>
        <v/>
      </c>
    </row>
    <row r="197" ht="15.75" customHeight="1" s="40">
      <c r="C197" s="36">
        <f>_xlfn.IFS(E197&lt;E$24,0,E197&lt;E$26,C$24,E197&lt;E$28,C$26,E197&lt;E$30,C$28,E197&lt;E$32,C$30,E197&lt;E$34,C$32,E197&gt;=E$34,C$34)</f>
        <v/>
      </c>
      <c r="D197" s="37">
        <f>_xlfn.IFS(E197&lt;E$24,0,E197&lt;E$25,D$24,E197&lt;E$26,D$25,E197&lt;E$27,D$26,E197&lt;E$28,D$27,E197&lt;E$29,D$28,E197&lt;E$30,D$29,E197&lt;E$31,D$30,E197&lt;E$32,D$31,E197&lt;E$33,D$32,E197&lt;E$34,D$33,E197&lt;E$35,D$34,E197&gt;=E$35,D$35)</f>
        <v/>
      </c>
      <c r="E197" s="38" t="n">
        <v>147</v>
      </c>
      <c r="F197" s="31">
        <f>E197/52</f>
        <v/>
      </c>
      <c r="G197" s="39">
        <f>D197/1000000*52</f>
        <v/>
      </c>
      <c r="H197" s="33">
        <f>G197/$P$4+($C$22/$P$4)</f>
        <v/>
      </c>
      <c r="I197" s="36">
        <f>_xlfn.IFS(K197&lt;K$24,0,K197&lt;K$26,I$24,K197&lt;K$28,I$26,K197&lt;K$30,I$28,K197&lt;K$32,I$30,K197&lt;K$34,I$32,K197&lt;K$36,I$34,K197&lt;K$38,I$36,K197&lt;K$40,I$38,K197&lt;K$42,I$40,K197&lt;K$44,I$42,K197&lt;K$46,I$44,K197&gt;=K$46,I$46)</f>
        <v/>
      </c>
      <c r="J197" s="37">
        <f>_xlfn.IFS(K197&lt;K$24,0,K197&lt;K$25,J$24,K197&lt;K$26,J$25,K197&lt;K$27,J$26,K197&lt;K$28,J$27,K197&lt;K$29,J$28,K197&lt;K$30,J$29,K197&lt;K$31,J$30,K197&lt;K$32,J$31,K197&lt;K$33,J$32,K197&lt;K$34,J$33,K197&lt;K$35,J$34,K197&lt;K$36,J$35,K197&lt;K$37,J$36,K197&lt;K$38,J$37,K197&lt;K$39,J$38,K197&lt;K$40,J$39,K197&lt;K$41,J$40,K197&lt;K$42,J$41,K197&lt;K$43,J$42,K197&lt;K$44,J$43,K197&lt;K$45,J$44,K197&lt;K$46,J$45,K197&lt;K$47,J$46,K197&gt;=K$47,J$47)</f>
        <v/>
      </c>
      <c r="K197" s="38" t="n">
        <v>147</v>
      </c>
      <c r="L197" s="31">
        <f>K197/52</f>
        <v/>
      </c>
      <c r="M197" s="39">
        <f>J197/1000000*52</f>
        <v/>
      </c>
      <c r="N197" s="33">
        <f>M197/$P$4+($I$22/$P$4)</f>
        <v/>
      </c>
      <c r="U197">
        <f>F196</f>
        <v/>
      </c>
      <c r="V197">
        <f>H196</f>
        <v/>
      </c>
      <c r="W197">
        <f>N196</f>
        <v/>
      </c>
    </row>
    <row r="198" ht="15.75" customHeight="1" s="40">
      <c r="C198" s="36">
        <f>_xlfn.IFS(E198&lt;E$24,0,E198&lt;E$26,C$24,E198&lt;E$28,C$26,E198&lt;E$30,C$28,E198&lt;E$32,C$30,E198&lt;E$34,C$32,E198&gt;=E$34,C$34)</f>
        <v/>
      </c>
      <c r="D198" s="37">
        <f>_xlfn.IFS(E198&lt;E$24,0,E198&lt;E$25,D$24,E198&lt;E$26,D$25,E198&lt;E$27,D$26,E198&lt;E$28,D$27,E198&lt;E$29,D$28,E198&lt;E$30,D$29,E198&lt;E$31,D$30,E198&lt;E$32,D$31,E198&lt;E$33,D$32,E198&lt;E$34,D$33,E198&lt;E$35,D$34,E198&gt;=E$35,D$35)</f>
        <v/>
      </c>
      <c r="E198" s="38" t="n">
        <v>148</v>
      </c>
      <c r="F198" s="31">
        <f>E198/52</f>
        <v/>
      </c>
      <c r="G198" s="39">
        <f>D198/1000000*52</f>
        <v/>
      </c>
      <c r="H198" s="33">
        <f>G198/$P$4+($C$22/$P$4)</f>
        <v/>
      </c>
      <c r="I198" s="36">
        <f>_xlfn.IFS(K198&lt;K$24,0,K198&lt;K$26,I$24,K198&lt;K$28,I$26,K198&lt;K$30,I$28,K198&lt;K$32,I$30,K198&lt;K$34,I$32,K198&lt;K$36,I$34,K198&lt;K$38,I$36,K198&lt;K$40,I$38,K198&lt;K$42,I$40,K198&lt;K$44,I$42,K198&lt;K$46,I$44,K198&gt;=K$46,I$46)</f>
        <v/>
      </c>
      <c r="J198" s="37">
        <f>_xlfn.IFS(K198&lt;K$24,0,K198&lt;K$25,J$24,K198&lt;K$26,J$25,K198&lt;K$27,J$26,K198&lt;K$28,J$27,K198&lt;K$29,J$28,K198&lt;K$30,J$29,K198&lt;K$31,J$30,K198&lt;K$32,J$31,K198&lt;K$33,J$32,K198&lt;K$34,J$33,K198&lt;K$35,J$34,K198&lt;K$36,J$35,K198&lt;K$37,J$36,K198&lt;K$38,J$37,K198&lt;K$39,J$38,K198&lt;K$40,J$39,K198&lt;K$41,J$40,K198&lt;K$42,J$41,K198&lt;K$43,J$42,K198&lt;K$44,J$43,K198&lt;K$45,J$44,K198&lt;K$46,J$45,K198&lt;K$47,J$46,K198&gt;=K$47,J$47)</f>
        <v/>
      </c>
      <c r="K198" s="38" t="n">
        <v>148</v>
      </c>
      <c r="L198" s="31">
        <f>K198/52</f>
        <v/>
      </c>
      <c r="M198" s="39">
        <f>J198/1000000*52</f>
        <v/>
      </c>
      <c r="N198" s="33">
        <f>M198/$P$4+($I$22/$P$4)</f>
        <v/>
      </c>
      <c r="U198">
        <f>F197</f>
        <v/>
      </c>
      <c r="V198">
        <f>H197</f>
        <v/>
      </c>
      <c r="W198">
        <f>N197</f>
        <v/>
      </c>
    </row>
    <row r="199" ht="15.75" customHeight="1" s="40">
      <c r="C199" s="36">
        <f>_xlfn.IFS(E199&lt;E$24,0,E199&lt;E$26,C$24,E199&lt;E$28,C$26,E199&lt;E$30,C$28,E199&lt;E$32,C$30,E199&lt;E$34,C$32,E199&gt;=E$34,C$34)</f>
        <v/>
      </c>
      <c r="D199" s="37">
        <f>_xlfn.IFS(E199&lt;E$24,0,E199&lt;E$25,D$24,E199&lt;E$26,D$25,E199&lt;E$27,D$26,E199&lt;E$28,D$27,E199&lt;E$29,D$28,E199&lt;E$30,D$29,E199&lt;E$31,D$30,E199&lt;E$32,D$31,E199&lt;E$33,D$32,E199&lt;E$34,D$33,E199&lt;E$35,D$34,E199&gt;=E$35,D$35)</f>
        <v/>
      </c>
      <c r="E199" s="38" t="n">
        <v>149</v>
      </c>
      <c r="F199" s="31">
        <f>E199/52</f>
        <v/>
      </c>
      <c r="G199" s="39">
        <f>D199/1000000*52</f>
        <v/>
      </c>
      <c r="H199" s="33">
        <f>G199/$P$4+($C$22/$P$4)</f>
        <v/>
      </c>
      <c r="I199" s="36">
        <f>_xlfn.IFS(K199&lt;K$24,0,K199&lt;K$26,I$24,K199&lt;K$28,I$26,K199&lt;K$30,I$28,K199&lt;K$32,I$30,K199&lt;K$34,I$32,K199&lt;K$36,I$34,K199&lt;K$38,I$36,K199&lt;K$40,I$38,K199&lt;K$42,I$40,K199&lt;K$44,I$42,K199&lt;K$46,I$44,K199&gt;=K$46,I$46)</f>
        <v/>
      </c>
      <c r="J199" s="37">
        <f>_xlfn.IFS(K199&lt;K$24,0,K199&lt;K$25,J$24,K199&lt;K$26,J$25,K199&lt;K$27,J$26,K199&lt;K$28,J$27,K199&lt;K$29,J$28,K199&lt;K$30,J$29,K199&lt;K$31,J$30,K199&lt;K$32,J$31,K199&lt;K$33,J$32,K199&lt;K$34,J$33,K199&lt;K$35,J$34,K199&lt;K$36,J$35,K199&lt;K$37,J$36,K199&lt;K$38,J$37,K199&lt;K$39,J$38,K199&lt;K$40,J$39,K199&lt;K$41,J$40,K199&lt;K$42,J$41,K199&lt;K$43,J$42,K199&lt;K$44,J$43,K199&lt;K$45,J$44,K199&lt;K$46,J$45,K199&lt;K$47,J$46,K199&gt;=K$47,J$47)</f>
        <v/>
      </c>
      <c r="K199" s="38" t="n">
        <v>149</v>
      </c>
      <c r="L199" s="31">
        <f>K199/52</f>
        <v/>
      </c>
      <c r="M199" s="39">
        <f>J199/1000000*52</f>
        <v/>
      </c>
      <c r="N199" s="33">
        <f>M199/$P$4+($I$22/$P$4)</f>
        <v/>
      </c>
      <c r="U199">
        <f>F198</f>
        <v/>
      </c>
      <c r="V199">
        <f>H198</f>
        <v/>
      </c>
      <c r="W199">
        <f>N198</f>
        <v/>
      </c>
    </row>
    <row r="200" ht="15.75" customHeight="1" s="40">
      <c r="C200" s="36">
        <f>_xlfn.IFS(E200&lt;E$24,0,E200&lt;E$26,C$24,E200&lt;E$28,C$26,E200&lt;E$30,C$28,E200&lt;E$32,C$30,E200&lt;E$34,C$32,E200&gt;=E$34,C$34)</f>
        <v/>
      </c>
      <c r="D200" s="37">
        <f>_xlfn.IFS(E200&lt;E$24,0,E200&lt;E$25,D$24,E200&lt;E$26,D$25,E200&lt;E$27,D$26,E200&lt;E$28,D$27,E200&lt;E$29,D$28,E200&lt;E$30,D$29,E200&lt;E$31,D$30,E200&lt;E$32,D$31,E200&lt;E$33,D$32,E200&lt;E$34,D$33,E200&lt;E$35,D$34,E200&gt;=E$35,D$35)</f>
        <v/>
      </c>
      <c r="E200" s="38" t="n">
        <v>150</v>
      </c>
      <c r="F200" s="31">
        <f>E200/52</f>
        <v/>
      </c>
      <c r="G200" s="39">
        <f>D200/1000000*52</f>
        <v/>
      </c>
      <c r="H200" s="33">
        <f>G200/$P$4+($C$22/$P$4)</f>
        <v/>
      </c>
      <c r="I200" s="36">
        <f>_xlfn.IFS(K200&lt;K$24,0,K200&lt;K$26,I$24,K200&lt;K$28,I$26,K200&lt;K$30,I$28,K200&lt;K$32,I$30,K200&lt;K$34,I$32,K200&lt;K$36,I$34,K200&lt;K$38,I$36,K200&lt;K$40,I$38,K200&lt;K$42,I$40,K200&lt;K$44,I$42,K200&lt;K$46,I$44,K200&gt;=K$46,I$46)</f>
        <v/>
      </c>
      <c r="J200" s="37">
        <f>_xlfn.IFS(K200&lt;K$24,0,K200&lt;K$25,J$24,K200&lt;K$26,J$25,K200&lt;K$27,J$26,K200&lt;K$28,J$27,K200&lt;K$29,J$28,K200&lt;K$30,J$29,K200&lt;K$31,J$30,K200&lt;K$32,J$31,K200&lt;K$33,J$32,K200&lt;K$34,J$33,K200&lt;K$35,J$34,K200&lt;K$36,J$35,K200&lt;K$37,J$36,K200&lt;K$38,J$37,K200&lt;K$39,J$38,K200&lt;K$40,J$39,K200&lt;K$41,J$40,K200&lt;K$42,J$41,K200&lt;K$43,J$42,K200&lt;K$44,J$43,K200&lt;K$45,J$44,K200&lt;K$46,J$45,K200&lt;K$47,J$46,K200&gt;=K$47,J$47)</f>
        <v/>
      </c>
      <c r="K200" s="38" t="n">
        <v>150</v>
      </c>
      <c r="L200" s="31">
        <f>K200/52</f>
        <v/>
      </c>
      <c r="M200" s="39">
        <f>J200/1000000*52</f>
        <v/>
      </c>
      <c r="N200" s="33">
        <f>M200/$P$4+($I$22/$P$4)</f>
        <v/>
      </c>
      <c r="U200">
        <f>F199</f>
        <v/>
      </c>
      <c r="V200">
        <f>H199</f>
        <v/>
      </c>
      <c r="W200">
        <f>N199</f>
        <v/>
      </c>
    </row>
    <row r="201" ht="15.75" customHeight="1" s="40">
      <c r="C201" s="36">
        <f>_xlfn.IFS(E201&lt;E$24,0,E201&lt;E$26,C$24,E201&lt;E$28,C$26,E201&lt;E$30,C$28,E201&lt;E$32,C$30,E201&lt;E$34,C$32,E201&gt;=E$34,C$34)</f>
        <v/>
      </c>
      <c r="D201" s="37">
        <f>_xlfn.IFS(E201&lt;E$24,0,E201&lt;E$25,D$24,E201&lt;E$26,D$25,E201&lt;E$27,D$26,E201&lt;E$28,D$27,E201&lt;E$29,D$28,E201&lt;E$30,D$29,E201&lt;E$31,D$30,E201&lt;E$32,D$31,E201&lt;E$33,D$32,E201&lt;E$34,D$33,E201&lt;E$35,D$34,E201&gt;=E$35,D$35)</f>
        <v/>
      </c>
      <c r="E201" s="38" t="n">
        <v>151</v>
      </c>
      <c r="F201" s="31">
        <f>E201/52</f>
        <v/>
      </c>
      <c r="G201" s="39">
        <f>D201/1000000*52</f>
        <v/>
      </c>
      <c r="H201" s="33">
        <f>G201/$P$4+($C$22/$P$4)</f>
        <v/>
      </c>
      <c r="I201" s="36">
        <f>_xlfn.IFS(K201&lt;K$24,0,K201&lt;K$26,I$24,K201&lt;K$28,I$26,K201&lt;K$30,I$28,K201&lt;K$32,I$30,K201&lt;K$34,I$32,K201&lt;K$36,I$34,K201&lt;K$38,I$36,K201&lt;K$40,I$38,K201&lt;K$42,I$40,K201&lt;K$44,I$42,K201&lt;K$46,I$44,K201&gt;=K$46,I$46)</f>
        <v/>
      </c>
      <c r="J201" s="37">
        <f>_xlfn.IFS(K201&lt;K$24,0,K201&lt;K$25,J$24,K201&lt;K$26,J$25,K201&lt;K$27,J$26,K201&lt;K$28,J$27,K201&lt;K$29,J$28,K201&lt;K$30,J$29,K201&lt;K$31,J$30,K201&lt;K$32,J$31,K201&lt;K$33,J$32,K201&lt;K$34,J$33,K201&lt;K$35,J$34,K201&lt;K$36,J$35,K201&lt;K$37,J$36,K201&lt;K$38,J$37,K201&lt;K$39,J$38,K201&lt;K$40,J$39,K201&lt;K$41,J$40,K201&lt;K$42,J$41,K201&lt;K$43,J$42,K201&lt;K$44,J$43,K201&lt;K$45,J$44,K201&lt;K$46,J$45,K201&lt;K$47,J$46,K201&gt;=K$47,J$47)</f>
        <v/>
      </c>
      <c r="K201" s="38" t="n">
        <v>151</v>
      </c>
      <c r="L201" s="31">
        <f>K201/52</f>
        <v/>
      </c>
      <c r="M201" s="39">
        <f>J201/1000000*52</f>
        <v/>
      </c>
      <c r="N201" s="33">
        <f>M201/$P$4+($I$22/$P$4)</f>
        <v/>
      </c>
      <c r="U201">
        <f>F200</f>
        <v/>
      </c>
      <c r="V201">
        <f>H200</f>
        <v/>
      </c>
      <c r="W201">
        <f>N200</f>
        <v/>
      </c>
    </row>
    <row r="202" ht="15.75" customHeight="1" s="40">
      <c r="C202" s="36">
        <f>_xlfn.IFS(E202&lt;E$24,0,E202&lt;E$26,C$24,E202&lt;E$28,C$26,E202&lt;E$30,C$28,E202&lt;E$32,C$30,E202&lt;E$34,C$32,E202&gt;=E$34,C$34)</f>
        <v/>
      </c>
      <c r="D202" s="37">
        <f>_xlfn.IFS(E202&lt;E$24,0,E202&lt;E$25,D$24,E202&lt;E$26,D$25,E202&lt;E$27,D$26,E202&lt;E$28,D$27,E202&lt;E$29,D$28,E202&lt;E$30,D$29,E202&lt;E$31,D$30,E202&lt;E$32,D$31,E202&lt;E$33,D$32,E202&lt;E$34,D$33,E202&lt;E$35,D$34,E202&gt;=E$35,D$35)</f>
        <v/>
      </c>
      <c r="E202" s="38" t="n">
        <v>152</v>
      </c>
      <c r="F202" s="31">
        <f>E202/52</f>
        <v/>
      </c>
      <c r="G202" s="39">
        <f>D202/1000000*52</f>
        <v/>
      </c>
      <c r="H202" s="33">
        <f>G202/$P$4+($C$22/$P$4)</f>
        <v/>
      </c>
      <c r="I202" s="36">
        <f>_xlfn.IFS(K202&lt;K$24,0,K202&lt;K$26,I$24,K202&lt;K$28,I$26,K202&lt;K$30,I$28,K202&lt;K$32,I$30,K202&lt;K$34,I$32,K202&lt;K$36,I$34,K202&lt;K$38,I$36,K202&lt;K$40,I$38,K202&lt;K$42,I$40,K202&lt;K$44,I$42,K202&lt;K$46,I$44,K202&gt;=K$46,I$46)</f>
        <v/>
      </c>
      <c r="J202" s="37">
        <f>_xlfn.IFS(K202&lt;K$24,0,K202&lt;K$25,J$24,K202&lt;K$26,J$25,K202&lt;K$27,J$26,K202&lt;K$28,J$27,K202&lt;K$29,J$28,K202&lt;K$30,J$29,K202&lt;K$31,J$30,K202&lt;K$32,J$31,K202&lt;K$33,J$32,K202&lt;K$34,J$33,K202&lt;K$35,J$34,K202&lt;K$36,J$35,K202&lt;K$37,J$36,K202&lt;K$38,J$37,K202&lt;K$39,J$38,K202&lt;K$40,J$39,K202&lt;K$41,J$40,K202&lt;K$42,J$41,K202&lt;K$43,J$42,K202&lt;K$44,J$43,K202&lt;K$45,J$44,K202&lt;K$46,J$45,K202&lt;K$47,J$46,K202&gt;=K$47,J$47)</f>
        <v/>
      </c>
      <c r="K202" s="38" t="n">
        <v>152</v>
      </c>
      <c r="L202" s="31">
        <f>K202/52</f>
        <v/>
      </c>
      <c r="M202" s="39">
        <f>J202/1000000*52</f>
        <v/>
      </c>
      <c r="N202" s="33">
        <f>M202/$P$4+($I$22/$P$4)</f>
        <v/>
      </c>
      <c r="U202">
        <f>F201</f>
        <v/>
      </c>
      <c r="V202">
        <f>H201</f>
        <v/>
      </c>
      <c r="W202">
        <f>N201</f>
        <v/>
      </c>
    </row>
    <row r="203" ht="15.75" customHeight="1" s="40">
      <c r="C203" s="36">
        <f>_xlfn.IFS(E203&lt;E$24,0,E203&lt;E$26,C$24,E203&lt;E$28,C$26,E203&lt;E$30,C$28,E203&lt;E$32,C$30,E203&lt;E$34,C$32,E203&gt;=E$34,C$34)</f>
        <v/>
      </c>
      <c r="D203" s="37">
        <f>_xlfn.IFS(E203&lt;E$24,0,E203&lt;E$25,D$24,E203&lt;E$26,D$25,E203&lt;E$27,D$26,E203&lt;E$28,D$27,E203&lt;E$29,D$28,E203&lt;E$30,D$29,E203&lt;E$31,D$30,E203&lt;E$32,D$31,E203&lt;E$33,D$32,E203&lt;E$34,D$33,E203&lt;E$35,D$34,E203&gt;=E$35,D$35)</f>
        <v/>
      </c>
      <c r="E203" s="38" t="n">
        <v>153</v>
      </c>
      <c r="F203" s="31">
        <f>E203/52</f>
        <v/>
      </c>
      <c r="G203" s="39">
        <f>D203/1000000*52</f>
        <v/>
      </c>
      <c r="H203" s="33">
        <f>G203/$P$4+($C$22/$P$4)</f>
        <v/>
      </c>
      <c r="I203" s="36">
        <f>_xlfn.IFS(K203&lt;K$24,0,K203&lt;K$26,I$24,K203&lt;K$28,I$26,K203&lt;K$30,I$28,K203&lt;K$32,I$30,K203&lt;K$34,I$32,K203&lt;K$36,I$34,K203&lt;K$38,I$36,K203&lt;K$40,I$38,K203&lt;K$42,I$40,K203&lt;K$44,I$42,K203&lt;K$46,I$44,K203&gt;=K$46,I$46)</f>
        <v/>
      </c>
      <c r="J203" s="37">
        <f>_xlfn.IFS(K203&lt;K$24,0,K203&lt;K$25,J$24,K203&lt;K$26,J$25,K203&lt;K$27,J$26,K203&lt;K$28,J$27,K203&lt;K$29,J$28,K203&lt;K$30,J$29,K203&lt;K$31,J$30,K203&lt;K$32,J$31,K203&lt;K$33,J$32,K203&lt;K$34,J$33,K203&lt;K$35,J$34,K203&lt;K$36,J$35,K203&lt;K$37,J$36,K203&lt;K$38,J$37,K203&lt;K$39,J$38,K203&lt;K$40,J$39,K203&lt;K$41,J$40,K203&lt;K$42,J$41,K203&lt;K$43,J$42,K203&lt;K$44,J$43,K203&lt;K$45,J$44,K203&lt;K$46,J$45,K203&lt;K$47,J$46,K203&gt;=K$47,J$47)</f>
        <v/>
      </c>
      <c r="K203" s="38" t="n">
        <v>153</v>
      </c>
      <c r="L203" s="31">
        <f>K203/52</f>
        <v/>
      </c>
      <c r="M203" s="39">
        <f>J203/1000000*52</f>
        <v/>
      </c>
      <c r="N203" s="33">
        <f>M203/$P$4+($I$22/$P$4)</f>
        <v/>
      </c>
      <c r="U203">
        <f>F202</f>
        <v/>
      </c>
      <c r="V203">
        <f>H202</f>
        <v/>
      </c>
      <c r="W203">
        <f>N202</f>
        <v/>
      </c>
    </row>
    <row r="204" ht="15.75" customHeight="1" s="40">
      <c r="C204" s="36">
        <f>_xlfn.IFS(E204&lt;E$24,0,E204&lt;E$26,C$24,E204&lt;E$28,C$26,E204&lt;E$30,C$28,E204&lt;E$32,C$30,E204&lt;E$34,C$32,E204&gt;=E$34,C$34)</f>
        <v/>
      </c>
      <c r="D204" s="37">
        <f>_xlfn.IFS(E204&lt;E$24,0,E204&lt;E$25,D$24,E204&lt;E$26,D$25,E204&lt;E$27,D$26,E204&lt;E$28,D$27,E204&lt;E$29,D$28,E204&lt;E$30,D$29,E204&lt;E$31,D$30,E204&lt;E$32,D$31,E204&lt;E$33,D$32,E204&lt;E$34,D$33,E204&lt;E$35,D$34,E204&gt;=E$35,D$35)</f>
        <v/>
      </c>
      <c r="E204" s="38" t="n">
        <v>154</v>
      </c>
      <c r="F204" s="31">
        <f>E204/52</f>
        <v/>
      </c>
      <c r="G204" s="39">
        <f>D204/1000000*52</f>
        <v/>
      </c>
      <c r="H204" s="33">
        <f>G204/$P$4+($C$22/$P$4)</f>
        <v/>
      </c>
      <c r="I204" s="36">
        <f>_xlfn.IFS(K204&lt;K$24,0,K204&lt;K$26,I$24,K204&lt;K$28,I$26,K204&lt;K$30,I$28,K204&lt;K$32,I$30,K204&lt;K$34,I$32,K204&lt;K$36,I$34,K204&lt;K$38,I$36,K204&lt;K$40,I$38,K204&lt;K$42,I$40,K204&lt;K$44,I$42,K204&lt;K$46,I$44,K204&gt;=K$46,I$46)</f>
        <v/>
      </c>
      <c r="J204" s="37">
        <f>_xlfn.IFS(K204&lt;K$24,0,K204&lt;K$25,J$24,K204&lt;K$26,J$25,K204&lt;K$27,J$26,K204&lt;K$28,J$27,K204&lt;K$29,J$28,K204&lt;K$30,J$29,K204&lt;K$31,J$30,K204&lt;K$32,J$31,K204&lt;K$33,J$32,K204&lt;K$34,J$33,K204&lt;K$35,J$34,K204&lt;K$36,J$35,K204&lt;K$37,J$36,K204&lt;K$38,J$37,K204&lt;K$39,J$38,K204&lt;K$40,J$39,K204&lt;K$41,J$40,K204&lt;K$42,J$41,K204&lt;K$43,J$42,K204&lt;K$44,J$43,K204&lt;K$45,J$44,K204&lt;K$46,J$45,K204&lt;K$47,J$46,K204&gt;=K$47,J$47)</f>
        <v/>
      </c>
      <c r="K204" s="38" t="n">
        <v>154</v>
      </c>
      <c r="L204" s="31">
        <f>K204/52</f>
        <v/>
      </c>
      <c r="M204" s="39">
        <f>J204/1000000*52</f>
        <v/>
      </c>
      <c r="N204" s="33">
        <f>M204/$P$4+($I$22/$P$4)</f>
        <v/>
      </c>
      <c r="U204">
        <f>F203</f>
        <v/>
      </c>
      <c r="V204">
        <f>H203</f>
        <v/>
      </c>
      <c r="W204">
        <f>N203</f>
        <v/>
      </c>
    </row>
    <row r="205" ht="15.75" customHeight="1" s="40">
      <c r="C205" s="36">
        <f>_xlfn.IFS(E205&lt;E$24,0,E205&lt;E$26,C$24,E205&lt;E$28,C$26,E205&lt;E$30,C$28,E205&lt;E$32,C$30,E205&lt;E$34,C$32,E205&gt;=E$34,C$34)</f>
        <v/>
      </c>
      <c r="D205" s="37">
        <f>_xlfn.IFS(E205&lt;E$24,0,E205&lt;E$25,D$24,E205&lt;E$26,D$25,E205&lt;E$27,D$26,E205&lt;E$28,D$27,E205&lt;E$29,D$28,E205&lt;E$30,D$29,E205&lt;E$31,D$30,E205&lt;E$32,D$31,E205&lt;E$33,D$32,E205&lt;E$34,D$33,E205&lt;E$35,D$34,E205&gt;=E$35,D$35)</f>
        <v/>
      </c>
      <c r="E205" s="38" t="n">
        <v>155</v>
      </c>
      <c r="F205" s="31">
        <f>E205/52</f>
        <v/>
      </c>
      <c r="G205" s="39">
        <f>D205/1000000*52</f>
        <v/>
      </c>
      <c r="H205" s="33">
        <f>G205/$P$4+($C$22/$P$4)</f>
        <v/>
      </c>
      <c r="I205" s="36">
        <f>_xlfn.IFS(K205&lt;K$24,0,K205&lt;K$26,I$24,K205&lt;K$28,I$26,K205&lt;K$30,I$28,K205&lt;K$32,I$30,K205&lt;K$34,I$32,K205&lt;K$36,I$34,K205&lt;K$38,I$36,K205&lt;K$40,I$38,K205&lt;K$42,I$40,K205&lt;K$44,I$42,K205&lt;K$46,I$44,K205&gt;=K$46,I$46)</f>
        <v/>
      </c>
      <c r="J205" s="37">
        <f>_xlfn.IFS(K205&lt;K$24,0,K205&lt;K$25,J$24,K205&lt;K$26,J$25,K205&lt;K$27,J$26,K205&lt;K$28,J$27,K205&lt;K$29,J$28,K205&lt;K$30,J$29,K205&lt;K$31,J$30,K205&lt;K$32,J$31,K205&lt;K$33,J$32,K205&lt;K$34,J$33,K205&lt;K$35,J$34,K205&lt;K$36,J$35,K205&lt;K$37,J$36,K205&lt;K$38,J$37,K205&lt;K$39,J$38,K205&lt;K$40,J$39,K205&lt;K$41,J$40,K205&lt;K$42,J$41,K205&lt;K$43,J$42,K205&lt;K$44,J$43,K205&lt;K$45,J$44,K205&lt;K$46,J$45,K205&lt;K$47,J$46,K205&gt;=K$47,J$47)</f>
        <v/>
      </c>
      <c r="K205" s="38" t="n">
        <v>155</v>
      </c>
      <c r="L205" s="31">
        <f>K205/52</f>
        <v/>
      </c>
      <c r="M205" s="39">
        <f>J205/1000000*52</f>
        <v/>
      </c>
      <c r="N205" s="33">
        <f>M205/$P$4+($I$22/$P$4)</f>
        <v/>
      </c>
      <c r="U205">
        <f>F204</f>
        <v/>
      </c>
      <c r="V205">
        <f>H204</f>
        <v/>
      </c>
      <c r="W205">
        <f>N204</f>
        <v/>
      </c>
    </row>
    <row r="206" ht="15.75" customHeight="1" s="40">
      <c r="C206" s="36">
        <f>_xlfn.IFS(E206&lt;E$24,0,E206&lt;E$26,C$24,E206&lt;E$28,C$26,E206&lt;E$30,C$28,E206&lt;E$32,C$30,E206&lt;E$34,C$32,E206&gt;=E$34,C$34)</f>
        <v/>
      </c>
      <c r="D206" s="37">
        <f>_xlfn.IFS(E206&lt;E$24,0,E206&lt;E$25,D$24,E206&lt;E$26,D$25,E206&lt;E$27,D$26,E206&lt;E$28,D$27,E206&lt;E$29,D$28,E206&lt;E$30,D$29,E206&lt;E$31,D$30,E206&lt;E$32,D$31,E206&lt;E$33,D$32,E206&lt;E$34,D$33,E206&lt;E$35,D$34,E206&gt;=E$35,D$35)</f>
        <v/>
      </c>
      <c r="E206" s="38" t="n">
        <v>156</v>
      </c>
      <c r="F206" s="31">
        <f>E206/52</f>
        <v/>
      </c>
      <c r="G206" s="39">
        <f>D206/1000000*52</f>
        <v/>
      </c>
      <c r="H206" s="33">
        <f>G206/$P$4+($C$22/$P$4)</f>
        <v/>
      </c>
      <c r="I206" s="36">
        <f>_xlfn.IFS(K206&lt;K$24,0,K206&lt;K$26,I$24,K206&lt;K$28,I$26,K206&lt;K$30,I$28,K206&lt;K$32,I$30,K206&lt;K$34,I$32,K206&lt;K$36,I$34,K206&lt;K$38,I$36,K206&lt;K$40,I$38,K206&lt;K$42,I$40,K206&lt;K$44,I$42,K206&lt;K$46,I$44,K206&gt;=K$46,I$46)</f>
        <v/>
      </c>
      <c r="J206" s="37">
        <f>_xlfn.IFS(K206&lt;K$24,0,K206&lt;K$25,J$24,K206&lt;K$26,J$25,K206&lt;K$27,J$26,K206&lt;K$28,J$27,K206&lt;K$29,J$28,K206&lt;K$30,J$29,K206&lt;K$31,J$30,K206&lt;K$32,J$31,K206&lt;K$33,J$32,K206&lt;K$34,J$33,K206&lt;K$35,J$34,K206&lt;K$36,J$35,K206&lt;K$37,J$36,K206&lt;K$38,J$37,K206&lt;K$39,J$38,K206&lt;K$40,J$39,K206&lt;K$41,J$40,K206&lt;K$42,J$41,K206&lt;K$43,J$42,K206&lt;K$44,J$43,K206&lt;K$45,J$44,K206&lt;K$46,J$45,K206&lt;K$47,J$46,K206&gt;=K$47,J$47)</f>
        <v/>
      </c>
      <c r="K206" s="38" t="n">
        <v>156</v>
      </c>
      <c r="L206" s="31">
        <f>K206/52</f>
        <v/>
      </c>
      <c r="M206" s="39">
        <f>J206/1000000*52</f>
        <v/>
      </c>
      <c r="N206" s="33">
        <f>M206/$P$4+($I$22/$P$4)</f>
        <v/>
      </c>
      <c r="U206">
        <f>F205</f>
        <v/>
      </c>
      <c r="V206">
        <f>H205</f>
        <v/>
      </c>
      <c r="W206">
        <f>N205</f>
        <v/>
      </c>
    </row>
    <row r="207" ht="15.75" customHeight="1" s="40">
      <c r="C207" s="36">
        <f>_xlfn.IFS(E207&lt;E$24,0,E207&lt;E$26,C$24,E207&lt;E$28,C$26,E207&lt;E$30,C$28,E207&lt;E$32,C$30,E207&lt;E$34,C$32,E207&gt;=E$34,C$34)</f>
        <v/>
      </c>
      <c r="D207" s="37">
        <f>_xlfn.IFS(E207&lt;E$24,0,E207&lt;E$25,D$24,E207&lt;E$26,D$25,E207&lt;E$27,D$26,E207&lt;E$28,D$27,E207&lt;E$29,D$28,E207&lt;E$30,D$29,E207&lt;E$31,D$30,E207&lt;E$32,D$31,E207&lt;E$33,D$32,E207&lt;E$34,D$33,E207&lt;E$35,D$34,E207&gt;=E$35,D$35)</f>
        <v/>
      </c>
      <c r="E207" s="38" t="n">
        <v>157</v>
      </c>
      <c r="F207" s="31">
        <f>E207/52</f>
        <v/>
      </c>
      <c r="G207" s="39">
        <f>D207/1000000*52</f>
        <v/>
      </c>
      <c r="H207" s="33">
        <f>G207/$P$4+($C$22/$P$4)</f>
        <v/>
      </c>
      <c r="I207" s="36">
        <f>_xlfn.IFS(K207&lt;K$24,0,K207&lt;K$26,I$24,K207&lt;K$28,I$26,K207&lt;K$30,I$28,K207&lt;K$32,I$30,K207&lt;K$34,I$32,K207&lt;K$36,I$34,K207&lt;K$38,I$36,K207&lt;K$40,I$38,K207&lt;K$42,I$40,K207&lt;K$44,I$42,K207&lt;K$46,I$44,K207&gt;=K$46,I$46)</f>
        <v/>
      </c>
      <c r="J207" s="37">
        <f>_xlfn.IFS(K207&lt;K$24,0,K207&lt;K$25,J$24,K207&lt;K$26,J$25,K207&lt;K$27,J$26,K207&lt;K$28,J$27,K207&lt;K$29,J$28,K207&lt;K$30,J$29,K207&lt;K$31,J$30,K207&lt;K$32,J$31,K207&lt;K$33,J$32,K207&lt;K$34,J$33,K207&lt;K$35,J$34,K207&lt;K$36,J$35,K207&lt;K$37,J$36,K207&lt;K$38,J$37,K207&lt;K$39,J$38,K207&lt;K$40,J$39,K207&lt;K$41,J$40,K207&lt;K$42,J$41,K207&lt;K$43,J$42,K207&lt;K$44,J$43,K207&lt;K$45,J$44,K207&lt;K$46,J$45,K207&lt;K$47,J$46,K207&gt;=K$47,J$47)</f>
        <v/>
      </c>
      <c r="K207" s="38" t="n">
        <v>157</v>
      </c>
      <c r="L207" s="31">
        <f>K207/52</f>
        <v/>
      </c>
      <c r="M207" s="39">
        <f>J207/1000000*52</f>
        <v/>
      </c>
      <c r="N207" s="33">
        <f>M207/$P$4+($I$22/$P$4)</f>
        <v/>
      </c>
      <c r="U207">
        <f>F206</f>
        <v/>
      </c>
      <c r="V207">
        <f>H206</f>
        <v/>
      </c>
      <c r="W207">
        <f>N206</f>
        <v/>
      </c>
    </row>
    <row r="208" ht="15.75" customHeight="1" s="40">
      <c r="C208" s="36">
        <f>_xlfn.IFS(E208&lt;E$24,0,E208&lt;E$26,C$24,E208&lt;E$28,C$26,E208&lt;E$30,C$28,E208&lt;E$32,C$30,E208&lt;E$34,C$32,E208&gt;=E$34,C$34)</f>
        <v/>
      </c>
      <c r="D208" s="37">
        <f>_xlfn.IFS(E208&lt;E$24,0,E208&lt;E$25,D$24,E208&lt;E$26,D$25,E208&lt;E$27,D$26,E208&lt;E$28,D$27,E208&lt;E$29,D$28,E208&lt;E$30,D$29,E208&lt;E$31,D$30,E208&lt;E$32,D$31,E208&lt;E$33,D$32,E208&lt;E$34,D$33,E208&lt;E$35,D$34,E208&gt;=E$35,D$35)</f>
        <v/>
      </c>
      <c r="E208" s="38" t="n">
        <v>158</v>
      </c>
      <c r="F208" s="31">
        <f>E208/52</f>
        <v/>
      </c>
      <c r="G208" s="39">
        <f>D208/1000000*52</f>
        <v/>
      </c>
      <c r="H208" s="33">
        <f>G208/$P$4+($C$22/$P$4)</f>
        <v/>
      </c>
      <c r="I208" s="36">
        <f>_xlfn.IFS(K208&lt;K$24,0,K208&lt;K$26,I$24,K208&lt;K$28,I$26,K208&lt;K$30,I$28,K208&lt;K$32,I$30,K208&lt;K$34,I$32,K208&lt;K$36,I$34,K208&lt;K$38,I$36,K208&lt;K$40,I$38,K208&lt;K$42,I$40,K208&lt;K$44,I$42,K208&lt;K$46,I$44,K208&gt;=K$46,I$46)</f>
        <v/>
      </c>
      <c r="J208" s="37">
        <f>_xlfn.IFS(K208&lt;K$24,0,K208&lt;K$25,J$24,K208&lt;K$26,J$25,K208&lt;K$27,J$26,K208&lt;K$28,J$27,K208&lt;K$29,J$28,K208&lt;K$30,J$29,K208&lt;K$31,J$30,K208&lt;K$32,J$31,K208&lt;K$33,J$32,K208&lt;K$34,J$33,K208&lt;K$35,J$34,K208&lt;K$36,J$35,K208&lt;K$37,J$36,K208&lt;K$38,J$37,K208&lt;K$39,J$38,K208&lt;K$40,J$39,K208&lt;K$41,J$40,K208&lt;K$42,J$41,K208&lt;K$43,J$42,K208&lt;K$44,J$43,K208&lt;K$45,J$44,K208&lt;K$46,J$45,K208&lt;K$47,J$46,K208&gt;=K$47,J$47)</f>
        <v/>
      </c>
      <c r="K208" s="38" t="n">
        <v>158</v>
      </c>
      <c r="L208" s="31">
        <f>K208/52</f>
        <v/>
      </c>
      <c r="M208" s="39">
        <f>J208/1000000*52</f>
        <v/>
      </c>
      <c r="N208" s="33">
        <f>M208/$P$4+($I$22/$P$4)</f>
        <v/>
      </c>
      <c r="U208">
        <f>F207</f>
        <v/>
      </c>
      <c r="V208">
        <f>H207</f>
        <v/>
      </c>
      <c r="W208">
        <f>N207</f>
        <v/>
      </c>
    </row>
    <row r="209" ht="15.75" customHeight="1" s="40">
      <c r="C209" s="36">
        <f>_xlfn.IFS(E209&lt;E$24,0,E209&lt;E$26,C$24,E209&lt;E$28,C$26,E209&lt;E$30,C$28,E209&lt;E$32,C$30,E209&lt;E$34,C$32,E209&gt;=E$34,C$34)</f>
        <v/>
      </c>
      <c r="D209" s="37">
        <f>_xlfn.IFS(E209&lt;E$24,0,E209&lt;E$25,D$24,E209&lt;E$26,D$25,E209&lt;E$27,D$26,E209&lt;E$28,D$27,E209&lt;E$29,D$28,E209&lt;E$30,D$29,E209&lt;E$31,D$30,E209&lt;E$32,D$31,E209&lt;E$33,D$32,E209&lt;E$34,D$33,E209&lt;E$35,D$34,E209&gt;=E$35,D$35)</f>
        <v/>
      </c>
      <c r="E209" s="38" t="n">
        <v>159</v>
      </c>
      <c r="F209" s="31">
        <f>E209/52</f>
        <v/>
      </c>
      <c r="G209" s="39">
        <f>D209/1000000*52</f>
        <v/>
      </c>
      <c r="H209" s="33">
        <f>G209/$P$4+($C$22/$P$4)</f>
        <v/>
      </c>
      <c r="I209" s="36">
        <f>_xlfn.IFS(K209&lt;K$24,0,K209&lt;K$26,I$24,K209&lt;K$28,I$26,K209&lt;K$30,I$28,K209&lt;K$32,I$30,K209&lt;K$34,I$32,K209&lt;K$36,I$34,K209&lt;K$38,I$36,K209&lt;K$40,I$38,K209&lt;K$42,I$40,K209&lt;K$44,I$42,K209&lt;K$46,I$44,K209&gt;=K$46,I$46)</f>
        <v/>
      </c>
      <c r="J209" s="37">
        <f>_xlfn.IFS(K209&lt;K$24,0,K209&lt;K$25,J$24,K209&lt;K$26,J$25,K209&lt;K$27,J$26,K209&lt;K$28,J$27,K209&lt;K$29,J$28,K209&lt;K$30,J$29,K209&lt;K$31,J$30,K209&lt;K$32,J$31,K209&lt;K$33,J$32,K209&lt;K$34,J$33,K209&lt;K$35,J$34,K209&lt;K$36,J$35,K209&lt;K$37,J$36,K209&lt;K$38,J$37,K209&lt;K$39,J$38,K209&lt;K$40,J$39,K209&lt;K$41,J$40,K209&lt;K$42,J$41,K209&lt;K$43,J$42,K209&lt;K$44,J$43,K209&lt;K$45,J$44,K209&lt;K$46,J$45,K209&lt;K$47,J$46,K209&gt;=K$47,J$47)</f>
        <v/>
      </c>
      <c r="K209" s="38" t="n">
        <v>159</v>
      </c>
      <c r="L209" s="31">
        <f>K209/52</f>
        <v/>
      </c>
      <c r="M209" s="39">
        <f>J209/1000000*52</f>
        <v/>
      </c>
      <c r="N209" s="33">
        <f>M209/$P$4+($I$22/$P$4)</f>
        <v/>
      </c>
      <c r="U209">
        <f>F208</f>
        <v/>
      </c>
      <c r="V209">
        <f>H208</f>
        <v/>
      </c>
      <c r="W209">
        <f>N208</f>
        <v/>
      </c>
    </row>
    <row r="210" ht="15.75" customHeight="1" s="40">
      <c r="C210" s="36">
        <f>_xlfn.IFS(E210&lt;E$24,0,E210&lt;E$26,C$24,E210&lt;E$28,C$26,E210&lt;E$30,C$28,E210&lt;E$32,C$30,E210&lt;E$34,C$32,E210&gt;=E$34,C$34)</f>
        <v/>
      </c>
      <c r="D210" s="37">
        <f>_xlfn.IFS(E210&lt;E$24,0,E210&lt;E$25,D$24,E210&lt;E$26,D$25,E210&lt;E$27,D$26,E210&lt;E$28,D$27,E210&lt;E$29,D$28,E210&lt;E$30,D$29,E210&lt;E$31,D$30,E210&lt;E$32,D$31,E210&lt;E$33,D$32,E210&lt;E$34,D$33,E210&lt;E$35,D$34,E210&gt;=E$35,D$35)</f>
        <v/>
      </c>
      <c r="E210" s="38" t="n">
        <v>160</v>
      </c>
      <c r="F210" s="31">
        <f>E210/52</f>
        <v/>
      </c>
      <c r="G210" s="39">
        <f>D210/1000000*52</f>
        <v/>
      </c>
      <c r="H210" s="33">
        <f>G210/$P$4+($C$22/$P$4)</f>
        <v/>
      </c>
      <c r="I210" s="36">
        <f>_xlfn.IFS(K210&lt;K$24,0,K210&lt;K$26,I$24,K210&lt;K$28,I$26,K210&lt;K$30,I$28,K210&lt;K$32,I$30,K210&lt;K$34,I$32,K210&lt;K$36,I$34,K210&lt;K$38,I$36,K210&lt;K$40,I$38,K210&lt;K$42,I$40,K210&lt;K$44,I$42,K210&lt;K$46,I$44,K210&gt;=K$46,I$46)</f>
        <v/>
      </c>
      <c r="J210" s="37">
        <f>_xlfn.IFS(K210&lt;K$24,0,K210&lt;K$25,J$24,K210&lt;K$26,J$25,K210&lt;K$27,J$26,K210&lt;K$28,J$27,K210&lt;K$29,J$28,K210&lt;K$30,J$29,K210&lt;K$31,J$30,K210&lt;K$32,J$31,K210&lt;K$33,J$32,K210&lt;K$34,J$33,K210&lt;K$35,J$34,K210&lt;K$36,J$35,K210&lt;K$37,J$36,K210&lt;K$38,J$37,K210&lt;K$39,J$38,K210&lt;K$40,J$39,K210&lt;K$41,J$40,K210&lt;K$42,J$41,K210&lt;K$43,J$42,K210&lt;K$44,J$43,K210&lt;K$45,J$44,K210&lt;K$46,J$45,K210&lt;K$47,J$46,K210&gt;=K$47,J$47)</f>
        <v/>
      </c>
      <c r="K210" s="38" t="n">
        <v>160</v>
      </c>
      <c r="L210" s="31">
        <f>K210/52</f>
        <v/>
      </c>
      <c r="M210" s="39">
        <f>J210/1000000*52</f>
        <v/>
      </c>
      <c r="N210" s="33">
        <f>M210/$P$4+($I$22/$P$4)</f>
        <v/>
      </c>
      <c r="U210">
        <f>F209</f>
        <v/>
      </c>
      <c r="V210">
        <f>H209</f>
        <v/>
      </c>
      <c r="W210">
        <f>N209</f>
        <v/>
      </c>
    </row>
    <row r="211" ht="15.75" customHeight="1" s="40">
      <c r="C211" s="36">
        <f>_xlfn.IFS(E211&lt;E$24,0,E211&lt;E$26,C$24,E211&lt;E$28,C$26,E211&lt;E$30,C$28,E211&lt;E$32,C$30,E211&lt;E$34,C$32,E211&gt;=E$34,C$34)</f>
        <v/>
      </c>
      <c r="D211" s="37">
        <f>_xlfn.IFS(E211&lt;E$24,0,E211&lt;E$25,D$24,E211&lt;E$26,D$25,E211&lt;E$27,D$26,E211&lt;E$28,D$27,E211&lt;E$29,D$28,E211&lt;E$30,D$29,E211&lt;E$31,D$30,E211&lt;E$32,D$31,E211&lt;E$33,D$32,E211&lt;E$34,D$33,E211&lt;E$35,D$34,E211&gt;=E$35,D$35)</f>
        <v/>
      </c>
      <c r="E211" s="38" t="n">
        <v>161</v>
      </c>
      <c r="F211" s="31">
        <f>E211/52</f>
        <v/>
      </c>
      <c r="G211" s="39">
        <f>D211/1000000*52</f>
        <v/>
      </c>
      <c r="H211" s="33">
        <f>G211/$P$4+($C$22/$P$4)</f>
        <v/>
      </c>
      <c r="I211" s="36">
        <f>_xlfn.IFS(K211&lt;K$24,0,K211&lt;K$26,I$24,K211&lt;K$28,I$26,K211&lt;K$30,I$28,K211&lt;K$32,I$30,K211&lt;K$34,I$32,K211&lt;K$36,I$34,K211&lt;K$38,I$36,K211&lt;K$40,I$38,K211&lt;K$42,I$40,K211&lt;K$44,I$42,K211&lt;K$46,I$44,K211&gt;=K$46,I$46)</f>
        <v/>
      </c>
      <c r="J211" s="37">
        <f>_xlfn.IFS(K211&lt;K$24,0,K211&lt;K$25,J$24,K211&lt;K$26,J$25,K211&lt;K$27,J$26,K211&lt;K$28,J$27,K211&lt;K$29,J$28,K211&lt;K$30,J$29,K211&lt;K$31,J$30,K211&lt;K$32,J$31,K211&lt;K$33,J$32,K211&lt;K$34,J$33,K211&lt;K$35,J$34,K211&lt;K$36,J$35,K211&lt;K$37,J$36,K211&lt;K$38,J$37,K211&lt;K$39,J$38,K211&lt;K$40,J$39,K211&lt;K$41,J$40,K211&lt;K$42,J$41,K211&lt;K$43,J$42,K211&lt;K$44,J$43,K211&lt;K$45,J$44,K211&lt;K$46,J$45,K211&lt;K$47,J$46,K211&gt;=K$47,J$47)</f>
        <v/>
      </c>
      <c r="K211" s="38" t="n">
        <v>161</v>
      </c>
      <c r="L211" s="31">
        <f>K211/52</f>
        <v/>
      </c>
      <c r="M211" s="39">
        <f>J211/1000000*52</f>
        <v/>
      </c>
      <c r="N211" s="33">
        <f>M211/$P$4+($I$22/$P$4)</f>
        <v/>
      </c>
      <c r="U211">
        <f>F210</f>
        <v/>
      </c>
      <c r="V211">
        <f>H210</f>
        <v/>
      </c>
      <c r="W211">
        <f>N210</f>
        <v/>
      </c>
    </row>
    <row r="212" ht="15.75" customHeight="1" s="40">
      <c r="C212" s="36">
        <f>_xlfn.IFS(E212&lt;E$24,0,E212&lt;E$26,C$24,E212&lt;E$28,C$26,E212&lt;E$30,C$28,E212&lt;E$32,C$30,E212&lt;E$34,C$32,E212&gt;=E$34,C$34)</f>
        <v/>
      </c>
      <c r="D212" s="37">
        <f>_xlfn.IFS(E212&lt;E$24,0,E212&lt;E$25,D$24,E212&lt;E$26,D$25,E212&lt;E$27,D$26,E212&lt;E$28,D$27,E212&lt;E$29,D$28,E212&lt;E$30,D$29,E212&lt;E$31,D$30,E212&lt;E$32,D$31,E212&lt;E$33,D$32,E212&lt;E$34,D$33,E212&lt;E$35,D$34,E212&gt;=E$35,D$35)</f>
        <v/>
      </c>
      <c r="E212" s="38" t="n">
        <v>162</v>
      </c>
      <c r="F212" s="31">
        <f>E212/52</f>
        <v/>
      </c>
      <c r="G212" s="39">
        <f>D212/1000000*52</f>
        <v/>
      </c>
      <c r="H212" s="33">
        <f>G212/$P$4+($C$22/$P$4)</f>
        <v/>
      </c>
      <c r="I212" s="36">
        <f>_xlfn.IFS(K212&lt;K$24,0,K212&lt;K$26,I$24,K212&lt;K$28,I$26,K212&lt;K$30,I$28,K212&lt;K$32,I$30,K212&lt;K$34,I$32,K212&lt;K$36,I$34,K212&lt;K$38,I$36,K212&lt;K$40,I$38,K212&lt;K$42,I$40,K212&lt;K$44,I$42,K212&lt;K$46,I$44,K212&gt;=K$46,I$46)</f>
        <v/>
      </c>
      <c r="J212" s="37">
        <f>_xlfn.IFS(K212&lt;K$24,0,K212&lt;K$25,J$24,K212&lt;K$26,J$25,K212&lt;K$27,J$26,K212&lt;K$28,J$27,K212&lt;K$29,J$28,K212&lt;K$30,J$29,K212&lt;K$31,J$30,K212&lt;K$32,J$31,K212&lt;K$33,J$32,K212&lt;K$34,J$33,K212&lt;K$35,J$34,K212&lt;K$36,J$35,K212&lt;K$37,J$36,K212&lt;K$38,J$37,K212&lt;K$39,J$38,K212&lt;K$40,J$39,K212&lt;K$41,J$40,K212&lt;K$42,J$41,K212&lt;K$43,J$42,K212&lt;K$44,J$43,K212&lt;K$45,J$44,K212&lt;K$46,J$45,K212&lt;K$47,J$46,K212&gt;=K$47,J$47)</f>
        <v/>
      </c>
      <c r="K212" s="38" t="n">
        <v>162</v>
      </c>
      <c r="L212" s="31">
        <f>K212/52</f>
        <v/>
      </c>
      <c r="M212" s="39">
        <f>J212/1000000*52</f>
        <v/>
      </c>
      <c r="N212" s="33">
        <f>M212/$P$4+($I$22/$P$4)</f>
        <v/>
      </c>
      <c r="U212">
        <f>F211</f>
        <v/>
      </c>
      <c r="V212">
        <f>H211</f>
        <v/>
      </c>
      <c r="W212">
        <f>N211</f>
        <v/>
      </c>
    </row>
    <row r="213" ht="15.75" customHeight="1" s="40">
      <c r="C213" s="36">
        <f>_xlfn.IFS(E213&lt;E$24,0,E213&lt;E$26,C$24,E213&lt;E$28,C$26,E213&lt;E$30,C$28,E213&lt;E$32,C$30,E213&lt;E$34,C$32,E213&gt;=E$34,C$34)</f>
        <v/>
      </c>
      <c r="D213" s="37">
        <f>_xlfn.IFS(E213&lt;E$24,0,E213&lt;E$25,D$24,E213&lt;E$26,D$25,E213&lt;E$27,D$26,E213&lt;E$28,D$27,E213&lt;E$29,D$28,E213&lt;E$30,D$29,E213&lt;E$31,D$30,E213&lt;E$32,D$31,E213&lt;E$33,D$32,E213&lt;E$34,D$33,E213&lt;E$35,D$34,E213&gt;=E$35,D$35)</f>
        <v/>
      </c>
      <c r="E213" s="38" t="n">
        <v>163</v>
      </c>
      <c r="F213" s="31">
        <f>E213/52</f>
        <v/>
      </c>
      <c r="G213" s="39">
        <f>D213/1000000*52</f>
        <v/>
      </c>
      <c r="H213" s="33">
        <f>G213/$P$4+($C$22/$P$4)</f>
        <v/>
      </c>
      <c r="I213" s="36">
        <f>_xlfn.IFS(K213&lt;K$24,0,K213&lt;K$26,I$24,K213&lt;K$28,I$26,K213&lt;K$30,I$28,K213&lt;K$32,I$30,K213&lt;K$34,I$32,K213&lt;K$36,I$34,K213&lt;K$38,I$36,K213&lt;K$40,I$38,K213&lt;K$42,I$40,K213&lt;K$44,I$42,K213&lt;K$46,I$44,K213&gt;=K$46,I$46)</f>
        <v/>
      </c>
      <c r="J213" s="37">
        <f>_xlfn.IFS(K213&lt;K$24,0,K213&lt;K$25,J$24,K213&lt;K$26,J$25,K213&lt;K$27,J$26,K213&lt;K$28,J$27,K213&lt;K$29,J$28,K213&lt;K$30,J$29,K213&lt;K$31,J$30,K213&lt;K$32,J$31,K213&lt;K$33,J$32,K213&lt;K$34,J$33,K213&lt;K$35,J$34,K213&lt;K$36,J$35,K213&lt;K$37,J$36,K213&lt;K$38,J$37,K213&lt;K$39,J$38,K213&lt;K$40,J$39,K213&lt;K$41,J$40,K213&lt;K$42,J$41,K213&lt;K$43,J$42,K213&lt;K$44,J$43,K213&lt;K$45,J$44,K213&lt;K$46,J$45,K213&lt;K$47,J$46,K213&gt;=K$47,J$47)</f>
        <v/>
      </c>
      <c r="K213" s="38" t="n">
        <v>163</v>
      </c>
      <c r="L213" s="31">
        <f>K213/52</f>
        <v/>
      </c>
      <c r="M213" s="39">
        <f>J213/1000000*52</f>
        <v/>
      </c>
      <c r="N213" s="33">
        <f>M213/$P$4+($I$22/$P$4)</f>
        <v/>
      </c>
      <c r="U213">
        <f>F212</f>
        <v/>
      </c>
      <c r="V213">
        <f>H212</f>
        <v/>
      </c>
      <c r="W213">
        <f>N212</f>
        <v/>
      </c>
    </row>
    <row r="214" ht="15.75" customHeight="1" s="40">
      <c r="C214" s="36">
        <f>_xlfn.IFS(E214&lt;E$24,0,E214&lt;E$26,C$24,E214&lt;E$28,C$26,E214&lt;E$30,C$28,E214&lt;E$32,C$30,E214&lt;E$34,C$32,E214&gt;=E$34,C$34)</f>
        <v/>
      </c>
      <c r="D214" s="37">
        <f>_xlfn.IFS(E214&lt;E$24,0,E214&lt;E$25,D$24,E214&lt;E$26,D$25,E214&lt;E$27,D$26,E214&lt;E$28,D$27,E214&lt;E$29,D$28,E214&lt;E$30,D$29,E214&lt;E$31,D$30,E214&lt;E$32,D$31,E214&lt;E$33,D$32,E214&lt;E$34,D$33,E214&lt;E$35,D$34,E214&gt;=E$35,D$35)</f>
        <v/>
      </c>
      <c r="E214" s="38" t="n">
        <v>164</v>
      </c>
      <c r="F214" s="31">
        <f>E214/52</f>
        <v/>
      </c>
      <c r="G214" s="39">
        <f>D214/1000000*52</f>
        <v/>
      </c>
      <c r="H214" s="33">
        <f>G214/$P$4+($C$22/$P$4)</f>
        <v/>
      </c>
      <c r="I214" s="36">
        <f>_xlfn.IFS(K214&lt;K$24,0,K214&lt;K$26,I$24,K214&lt;K$28,I$26,K214&lt;K$30,I$28,K214&lt;K$32,I$30,K214&lt;K$34,I$32,K214&lt;K$36,I$34,K214&lt;K$38,I$36,K214&lt;K$40,I$38,K214&lt;K$42,I$40,K214&lt;K$44,I$42,K214&lt;K$46,I$44,K214&gt;=K$46,I$46)</f>
        <v/>
      </c>
      <c r="J214" s="37">
        <f>_xlfn.IFS(K214&lt;K$24,0,K214&lt;K$25,J$24,K214&lt;K$26,J$25,K214&lt;K$27,J$26,K214&lt;K$28,J$27,K214&lt;K$29,J$28,K214&lt;K$30,J$29,K214&lt;K$31,J$30,K214&lt;K$32,J$31,K214&lt;K$33,J$32,K214&lt;K$34,J$33,K214&lt;K$35,J$34,K214&lt;K$36,J$35,K214&lt;K$37,J$36,K214&lt;K$38,J$37,K214&lt;K$39,J$38,K214&lt;K$40,J$39,K214&lt;K$41,J$40,K214&lt;K$42,J$41,K214&lt;K$43,J$42,K214&lt;K$44,J$43,K214&lt;K$45,J$44,K214&lt;K$46,J$45,K214&lt;K$47,J$46,K214&gt;=K$47,J$47)</f>
        <v/>
      </c>
      <c r="K214" s="38" t="n">
        <v>164</v>
      </c>
      <c r="L214" s="31">
        <f>K214/52</f>
        <v/>
      </c>
      <c r="M214" s="39">
        <f>J214/1000000*52</f>
        <v/>
      </c>
      <c r="N214" s="33">
        <f>M214/$P$4+($I$22/$P$4)</f>
        <v/>
      </c>
      <c r="U214">
        <f>F213</f>
        <v/>
      </c>
      <c r="V214">
        <f>H213</f>
        <v/>
      </c>
      <c r="W214">
        <f>N213</f>
        <v/>
      </c>
    </row>
    <row r="215" ht="15.75" customHeight="1" s="40">
      <c r="C215" s="36">
        <f>_xlfn.IFS(E215&lt;E$24,0,E215&lt;E$26,C$24,E215&lt;E$28,C$26,E215&lt;E$30,C$28,E215&lt;E$32,C$30,E215&lt;E$34,C$32,E215&gt;=E$34,C$34)</f>
        <v/>
      </c>
      <c r="D215" s="37">
        <f>_xlfn.IFS(E215&lt;E$24,0,E215&lt;E$25,D$24,E215&lt;E$26,D$25,E215&lt;E$27,D$26,E215&lt;E$28,D$27,E215&lt;E$29,D$28,E215&lt;E$30,D$29,E215&lt;E$31,D$30,E215&lt;E$32,D$31,E215&lt;E$33,D$32,E215&lt;E$34,D$33,E215&lt;E$35,D$34,E215&gt;=E$35,D$35)</f>
        <v/>
      </c>
      <c r="E215" s="38" t="n">
        <v>165</v>
      </c>
      <c r="F215" s="31">
        <f>E215/52</f>
        <v/>
      </c>
      <c r="G215" s="39">
        <f>D215/1000000*52</f>
        <v/>
      </c>
      <c r="H215" s="33">
        <f>G215/$P$4+($C$22/$P$4)</f>
        <v/>
      </c>
      <c r="I215" s="36">
        <f>_xlfn.IFS(K215&lt;K$24,0,K215&lt;K$26,I$24,K215&lt;K$28,I$26,K215&lt;K$30,I$28,K215&lt;K$32,I$30,K215&lt;K$34,I$32,K215&lt;K$36,I$34,K215&lt;K$38,I$36,K215&lt;K$40,I$38,K215&lt;K$42,I$40,K215&lt;K$44,I$42,K215&lt;K$46,I$44,K215&gt;=K$46,I$46)</f>
        <v/>
      </c>
      <c r="J215" s="37">
        <f>_xlfn.IFS(K215&lt;K$24,0,K215&lt;K$25,J$24,K215&lt;K$26,J$25,K215&lt;K$27,J$26,K215&lt;K$28,J$27,K215&lt;K$29,J$28,K215&lt;K$30,J$29,K215&lt;K$31,J$30,K215&lt;K$32,J$31,K215&lt;K$33,J$32,K215&lt;K$34,J$33,K215&lt;K$35,J$34,K215&lt;K$36,J$35,K215&lt;K$37,J$36,K215&lt;K$38,J$37,K215&lt;K$39,J$38,K215&lt;K$40,J$39,K215&lt;K$41,J$40,K215&lt;K$42,J$41,K215&lt;K$43,J$42,K215&lt;K$44,J$43,K215&lt;K$45,J$44,K215&lt;K$46,J$45,K215&lt;K$47,J$46,K215&gt;=K$47,J$47)</f>
        <v/>
      </c>
      <c r="K215" s="38" t="n">
        <v>165</v>
      </c>
      <c r="L215" s="31">
        <f>K215/52</f>
        <v/>
      </c>
      <c r="M215" s="39">
        <f>J215/1000000*52</f>
        <v/>
      </c>
      <c r="N215" s="33">
        <f>M215/$P$4+($I$22/$P$4)</f>
        <v/>
      </c>
      <c r="U215">
        <f>F214</f>
        <v/>
      </c>
      <c r="V215">
        <f>H214</f>
        <v/>
      </c>
      <c r="W215">
        <f>N214</f>
        <v/>
      </c>
    </row>
    <row r="216" ht="15.75" customHeight="1" s="40">
      <c r="C216" s="36">
        <f>_xlfn.IFS(E216&lt;E$24,0,E216&lt;E$26,C$24,E216&lt;E$28,C$26,E216&lt;E$30,C$28,E216&lt;E$32,C$30,E216&lt;E$34,C$32,E216&gt;=E$34,C$34)</f>
        <v/>
      </c>
      <c r="D216" s="37">
        <f>_xlfn.IFS(E216&lt;E$24,0,E216&lt;E$25,D$24,E216&lt;E$26,D$25,E216&lt;E$27,D$26,E216&lt;E$28,D$27,E216&lt;E$29,D$28,E216&lt;E$30,D$29,E216&lt;E$31,D$30,E216&lt;E$32,D$31,E216&lt;E$33,D$32,E216&lt;E$34,D$33,E216&lt;E$35,D$34,E216&gt;=E$35,D$35)</f>
        <v/>
      </c>
      <c r="E216" s="38" t="n">
        <v>166</v>
      </c>
      <c r="F216" s="31">
        <f>E216/52</f>
        <v/>
      </c>
      <c r="G216" s="39">
        <f>D216/1000000*52</f>
        <v/>
      </c>
      <c r="H216" s="33">
        <f>G216/$P$4+($C$22/$P$4)</f>
        <v/>
      </c>
      <c r="I216" s="36">
        <f>_xlfn.IFS(K216&lt;K$24,0,K216&lt;K$26,I$24,K216&lt;K$28,I$26,K216&lt;K$30,I$28,K216&lt;K$32,I$30,K216&lt;K$34,I$32,K216&lt;K$36,I$34,K216&lt;K$38,I$36,K216&lt;K$40,I$38,K216&lt;K$42,I$40,K216&lt;K$44,I$42,K216&lt;K$46,I$44,K216&gt;=K$46,I$46)</f>
        <v/>
      </c>
      <c r="J216" s="37">
        <f>_xlfn.IFS(K216&lt;K$24,0,K216&lt;K$25,J$24,K216&lt;K$26,J$25,K216&lt;K$27,J$26,K216&lt;K$28,J$27,K216&lt;K$29,J$28,K216&lt;K$30,J$29,K216&lt;K$31,J$30,K216&lt;K$32,J$31,K216&lt;K$33,J$32,K216&lt;K$34,J$33,K216&lt;K$35,J$34,K216&lt;K$36,J$35,K216&lt;K$37,J$36,K216&lt;K$38,J$37,K216&lt;K$39,J$38,K216&lt;K$40,J$39,K216&lt;K$41,J$40,K216&lt;K$42,J$41,K216&lt;K$43,J$42,K216&lt;K$44,J$43,K216&lt;K$45,J$44,K216&lt;K$46,J$45,K216&lt;K$47,J$46,K216&gt;=K$47,J$47)</f>
        <v/>
      </c>
      <c r="K216" s="38" t="n">
        <v>166</v>
      </c>
      <c r="L216" s="31">
        <f>K216/52</f>
        <v/>
      </c>
      <c r="M216" s="39">
        <f>J216/1000000*52</f>
        <v/>
      </c>
      <c r="N216" s="33">
        <f>M216/$P$4+($I$22/$P$4)</f>
        <v/>
      </c>
      <c r="U216">
        <f>F215</f>
        <v/>
      </c>
      <c r="V216">
        <f>H215</f>
        <v/>
      </c>
      <c r="W216">
        <f>N215</f>
        <v/>
      </c>
    </row>
    <row r="217" ht="15.75" customHeight="1" s="40">
      <c r="C217" s="36">
        <f>_xlfn.IFS(E217&lt;E$24,0,E217&lt;E$26,C$24,E217&lt;E$28,C$26,E217&lt;E$30,C$28,E217&lt;E$32,C$30,E217&lt;E$34,C$32,E217&gt;=E$34,C$34)</f>
        <v/>
      </c>
      <c r="D217" s="37">
        <f>_xlfn.IFS(E217&lt;E$24,0,E217&lt;E$25,D$24,E217&lt;E$26,D$25,E217&lt;E$27,D$26,E217&lt;E$28,D$27,E217&lt;E$29,D$28,E217&lt;E$30,D$29,E217&lt;E$31,D$30,E217&lt;E$32,D$31,E217&lt;E$33,D$32,E217&lt;E$34,D$33,E217&lt;E$35,D$34,E217&gt;=E$35,D$35)</f>
        <v/>
      </c>
      <c r="E217" s="38" t="n">
        <v>167</v>
      </c>
      <c r="F217" s="31">
        <f>E217/52</f>
        <v/>
      </c>
      <c r="G217" s="39">
        <f>D217/1000000*52</f>
        <v/>
      </c>
      <c r="H217" s="33">
        <f>G217/$P$4+($C$22/$P$4)</f>
        <v/>
      </c>
      <c r="I217" s="36">
        <f>_xlfn.IFS(K217&lt;K$24,0,K217&lt;K$26,I$24,K217&lt;K$28,I$26,K217&lt;K$30,I$28,K217&lt;K$32,I$30,K217&lt;K$34,I$32,K217&lt;K$36,I$34,K217&lt;K$38,I$36,K217&lt;K$40,I$38,K217&lt;K$42,I$40,K217&lt;K$44,I$42,K217&lt;K$46,I$44,K217&gt;=K$46,I$46)</f>
        <v/>
      </c>
      <c r="J217" s="37">
        <f>_xlfn.IFS(K217&lt;K$24,0,K217&lt;K$25,J$24,K217&lt;K$26,J$25,K217&lt;K$27,J$26,K217&lt;K$28,J$27,K217&lt;K$29,J$28,K217&lt;K$30,J$29,K217&lt;K$31,J$30,K217&lt;K$32,J$31,K217&lt;K$33,J$32,K217&lt;K$34,J$33,K217&lt;K$35,J$34,K217&lt;K$36,J$35,K217&lt;K$37,J$36,K217&lt;K$38,J$37,K217&lt;K$39,J$38,K217&lt;K$40,J$39,K217&lt;K$41,J$40,K217&lt;K$42,J$41,K217&lt;K$43,J$42,K217&lt;K$44,J$43,K217&lt;K$45,J$44,K217&lt;K$46,J$45,K217&lt;K$47,J$46,K217&gt;=K$47,J$47)</f>
        <v/>
      </c>
      <c r="K217" s="38" t="n">
        <v>167</v>
      </c>
      <c r="L217" s="31">
        <f>K217/52</f>
        <v/>
      </c>
      <c r="M217" s="39">
        <f>J217/1000000*52</f>
        <v/>
      </c>
      <c r="N217" s="33">
        <f>M217/$P$4+($I$22/$P$4)</f>
        <v/>
      </c>
      <c r="U217">
        <f>F216</f>
        <v/>
      </c>
      <c r="V217">
        <f>H216</f>
        <v/>
      </c>
      <c r="W217">
        <f>N216</f>
        <v/>
      </c>
    </row>
    <row r="218" ht="15.75" customHeight="1" s="40">
      <c r="C218" s="36">
        <f>_xlfn.IFS(E218&lt;E$24,0,E218&lt;E$26,C$24,E218&lt;E$28,C$26,E218&lt;E$30,C$28,E218&lt;E$32,C$30,E218&lt;E$34,C$32,E218&gt;=E$34,C$34)</f>
        <v/>
      </c>
      <c r="D218" s="37">
        <f>_xlfn.IFS(E218&lt;E$24,0,E218&lt;E$25,D$24,E218&lt;E$26,D$25,E218&lt;E$27,D$26,E218&lt;E$28,D$27,E218&lt;E$29,D$28,E218&lt;E$30,D$29,E218&lt;E$31,D$30,E218&lt;E$32,D$31,E218&lt;E$33,D$32,E218&lt;E$34,D$33,E218&lt;E$35,D$34,E218&gt;=E$35,D$35)</f>
        <v/>
      </c>
      <c r="E218" s="38" t="n">
        <v>168</v>
      </c>
      <c r="F218" s="31">
        <f>E218/52</f>
        <v/>
      </c>
      <c r="G218" s="39">
        <f>D218/1000000*52</f>
        <v/>
      </c>
      <c r="H218" s="33">
        <f>G218/$P$4+($C$22/$P$4)</f>
        <v/>
      </c>
      <c r="I218" s="36">
        <f>_xlfn.IFS(K218&lt;K$24,0,K218&lt;K$26,I$24,K218&lt;K$28,I$26,K218&lt;K$30,I$28,K218&lt;K$32,I$30,K218&lt;K$34,I$32,K218&lt;K$36,I$34,K218&lt;K$38,I$36,K218&lt;K$40,I$38,K218&lt;K$42,I$40,K218&lt;K$44,I$42,K218&lt;K$46,I$44,K218&gt;=K$46,I$46)</f>
        <v/>
      </c>
      <c r="J218" s="37">
        <f>_xlfn.IFS(K218&lt;K$24,0,K218&lt;K$25,J$24,K218&lt;K$26,J$25,K218&lt;K$27,J$26,K218&lt;K$28,J$27,K218&lt;K$29,J$28,K218&lt;K$30,J$29,K218&lt;K$31,J$30,K218&lt;K$32,J$31,K218&lt;K$33,J$32,K218&lt;K$34,J$33,K218&lt;K$35,J$34,K218&lt;K$36,J$35,K218&lt;K$37,J$36,K218&lt;K$38,J$37,K218&lt;K$39,J$38,K218&lt;K$40,J$39,K218&lt;K$41,J$40,K218&lt;K$42,J$41,K218&lt;K$43,J$42,K218&lt;K$44,J$43,K218&lt;K$45,J$44,K218&lt;K$46,J$45,K218&lt;K$47,J$46,K218&gt;=K$47,J$47)</f>
        <v/>
      </c>
      <c r="K218" s="38" t="n">
        <v>168</v>
      </c>
      <c r="L218" s="31">
        <f>K218/52</f>
        <v/>
      </c>
      <c r="M218" s="39">
        <f>J218/1000000*52</f>
        <v/>
      </c>
      <c r="N218" s="33">
        <f>M218/$P$4+($I$22/$P$4)</f>
        <v/>
      </c>
      <c r="U218">
        <f>F217</f>
        <v/>
      </c>
      <c r="V218">
        <f>H217</f>
        <v/>
      </c>
      <c r="W218">
        <f>N217</f>
        <v/>
      </c>
    </row>
    <row r="219" ht="15.75" customHeight="1" s="40">
      <c r="C219" s="36">
        <f>_xlfn.IFS(E219&lt;E$24,0,E219&lt;E$26,C$24,E219&lt;E$28,C$26,E219&lt;E$30,C$28,E219&lt;E$32,C$30,E219&lt;E$34,C$32,E219&gt;=E$34,C$34)</f>
        <v/>
      </c>
      <c r="D219" s="37">
        <f>_xlfn.IFS(E219&lt;E$24,0,E219&lt;E$25,D$24,E219&lt;E$26,D$25,E219&lt;E$27,D$26,E219&lt;E$28,D$27,E219&lt;E$29,D$28,E219&lt;E$30,D$29,E219&lt;E$31,D$30,E219&lt;E$32,D$31,E219&lt;E$33,D$32,E219&lt;E$34,D$33,E219&lt;E$35,D$34,E219&gt;=E$35,D$35)</f>
        <v/>
      </c>
      <c r="E219" s="38" t="n">
        <v>169</v>
      </c>
      <c r="F219" s="31">
        <f>E219/52</f>
        <v/>
      </c>
      <c r="G219" s="39">
        <f>D219/1000000*52</f>
        <v/>
      </c>
      <c r="H219" s="33">
        <f>G219/$P$4+($C$22/$P$4)</f>
        <v/>
      </c>
      <c r="I219" s="36">
        <f>_xlfn.IFS(K219&lt;K$24,0,K219&lt;K$26,I$24,K219&lt;K$28,I$26,K219&lt;K$30,I$28,K219&lt;K$32,I$30,K219&lt;K$34,I$32,K219&lt;K$36,I$34,K219&lt;K$38,I$36,K219&lt;K$40,I$38,K219&lt;K$42,I$40,K219&lt;K$44,I$42,K219&lt;K$46,I$44,K219&gt;=K$46,I$46)</f>
        <v/>
      </c>
      <c r="J219" s="37">
        <f>_xlfn.IFS(K219&lt;K$24,0,K219&lt;K$25,J$24,K219&lt;K$26,J$25,K219&lt;K$27,J$26,K219&lt;K$28,J$27,K219&lt;K$29,J$28,K219&lt;K$30,J$29,K219&lt;K$31,J$30,K219&lt;K$32,J$31,K219&lt;K$33,J$32,K219&lt;K$34,J$33,K219&lt;K$35,J$34,K219&lt;K$36,J$35,K219&lt;K$37,J$36,K219&lt;K$38,J$37,K219&lt;K$39,J$38,K219&lt;K$40,J$39,K219&lt;K$41,J$40,K219&lt;K$42,J$41,K219&lt;K$43,J$42,K219&lt;K$44,J$43,K219&lt;K$45,J$44,K219&lt;K$46,J$45,K219&lt;K$47,J$46,K219&gt;=K$47,J$47)</f>
        <v/>
      </c>
      <c r="K219" s="38" t="n">
        <v>169</v>
      </c>
      <c r="L219" s="31">
        <f>K219/52</f>
        <v/>
      </c>
      <c r="M219" s="39">
        <f>J219/1000000*52</f>
        <v/>
      </c>
      <c r="N219" s="33">
        <f>M219/$P$4+($I$22/$P$4)</f>
        <v/>
      </c>
      <c r="U219">
        <f>F218</f>
        <v/>
      </c>
      <c r="V219">
        <f>H218</f>
        <v/>
      </c>
      <c r="W219">
        <f>N218</f>
        <v/>
      </c>
    </row>
    <row r="220" ht="15.75" customHeight="1" s="40">
      <c r="C220" s="36">
        <f>_xlfn.IFS(E220&lt;E$24,0,E220&lt;E$26,C$24,E220&lt;E$28,C$26,E220&lt;E$30,C$28,E220&lt;E$32,C$30,E220&lt;E$34,C$32,E220&gt;=E$34,C$34)</f>
        <v/>
      </c>
      <c r="D220" s="37">
        <f>_xlfn.IFS(E220&lt;E$24,0,E220&lt;E$25,D$24,E220&lt;E$26,D$25,E220&lt;E$27,D$26,E220&lt;E$28,D$27,E220&lt;E$29,D$28,E220&lt;E$30,D$29,E220&lt;E$31,D$30,E220&lt;E$32,D$31,E220&lt;E$33,D$32,E220&lt;E$34,D$33,E220&lt;E$35,D$34,E220&gt;=E$35,D$35)</f>
        <v/>
      </c>
      <c r="E220" s="38" t="n">
        <v>170</v>
      </c>
      <c r="F220" s="31">
        <f>E220/52</f>
        <v/>
      </c>
      <c r="G220" s="39">
        <f>D220/1000000*52</f>
        <v/>
      </c>
      <c r="H220" s="33">
        <f>G220/$P$4+($C$22/$P$4)</f>
        <v/>
      </c>
      <c r="I220" s="36">
        <f>_xlfn.IFS(K220&lt;K$24,0,K220&lt;K$26,I$24,K220&lt;K$28,I$26,K220&lt;K$30,I$28,K220&lt;K$32,I$30,K220&lt;K$34,I$32,K220&lt;K$36,I$34,K220&lt;K$38,I$36,K220&lt;K$40,I$38,K220&lt;K$42,I$40,K220&lt;K$44,I$42,K220&lt;K$46,I$44,K220&gt;=K$46,I$46)</f>
        <v/>
      </c>
      <c r="J220" s="37">
        <f>_xlfn.IFS(K220&lt;K$24,0,K220&lt;K$25,J$24,K220&lt;K$26,J$25,K220&lt;K$27,J$26,K220&lt;K$28,J$27,K220&lt;K$29,J$28,K220&lt;K$30,J$29,K220&lt;K$31,J$30,K220&lt;K$32,J$31,K220&lt;K$33,J$32,K220&lt;K$34,J$33,K220&lt;K$35,J$34,K220&lt;K$36,J$35,K220&lt;K$37,J$36,K220&lt;K$38,J$37,K220&lt;K$39,J$38,K220&lt;K$40,J$39,K220&lt;K$41,J$40,K220&lt;K$42,J$41,K220&lt;K$43,J$42,K220&lt;K$44,J$43,K220&lt;K$45,J$44,K220&lt;K$46,J$45,K220&lt;K$47,J$46,K220&gt;=K$47,J$47)</f>
        <v/>
      </c>
      <c r="K220" s="38" t="n">
        <v>170</v>
      </c>
      <c r="L220" s="31">
        <f>K220/52</f>
        <v/>
      </c>
      <c r="M220" s="39">
        <f>J220/1000000*52</f>
        <v/>
      </c>
      <c r="N220" s="33">
        <f>M220/$P$4+($I$22/$P$4)</f>
        <v/>
      </c>
      <c r="U220">
        <f>F219</f>
        <v/>
      </c>
      <c r="V220">
        <f>H219</f>
        <v/>
      </c>
      <c r="W220">
        <f>N219</f>
        <v/>
      </c>
    </row>
    <row r="221" ht="15.75" customHeight="1" s="40">
      <c r="C221" s="36">
        <f>_xlfn.IFS(E221&lt;E$24,0,E221&lt;E$26,C$24,E221&lt;E$28,C$26,E221&lt;E$30,C$28,E221&lt;E$32,C$30,E221&lt;E$34,C$32,E221&gt;=E$34,C$34)</f>
        <v/>
      </c>
      <c r="D221" s="37">
        <f>_xlfn.IFS(E221&lt;E$24,0,E221&lt;E$25,D$24,E221&lt;E$26,D$25,E221&lt;E$27,D$26,E221&lt;E$28,D$27,E221&lt;E$29,D$28,E221&lt;E$30,D$29,E221&lt;E$31,D$30,E221&lt;E$32,D$31,E221&lt;E$33,D$32,E221&lt;E$34,D$33,E221&lt;E$35,D$34,E221&gt;=E$35,D$35)</f>
        <v/>
      </c>
      <c r="E221" s="38" t="n">
        <v>171</v>
      </c>
      <c r="F221" s="31">
        <f>E221/52</f>
        <v/>
      </c>
      <c r="G221" s="39">
        <f>D221/1000000*52</f>
        <v/>
      </c>
      <c r="H221" s="33">
        <f>G221/$P$4+($C$22/$P$4)</f>
        <v/>
      </c>
      <c r="I221" s="36">
        <f>_xlfn.IFS(K221&lt;K$24,0,K221&lt;K$26,I$24,K221&lt;K$28,I$26,K221&lt;K$30,I$28,K221&lt;K$32,I$30,K221&lt;K$34,I$32,K221&lt;K$36,I$34,K221&lt;K$38,I$36,K221&lt;K$40,I$38,K221&lt;K$42,I$40,K221&lt;K$44,I$42,K221&lt;K$46,I$44,K221&gt;=K$46,I$46)</f>
        <v/>
      </c>
      <c r="J221" s="37">
        <f>_xlfn.IFS(K221&lt;K$24,0,K221&lt;K$25,J$24,K221&lt;K$26,J$25,K221&lt;K$27,J$26,K221&lt;K$28,J$27,K221&lt;K$29,J$28,K221&lt;K$30,J$29,K221&lt;K$31,J$30,K221&lt;K$32,J$31,K221&lt;K$33,J$32,K221&lt;K$34,J$33,K221&lt;K$35,J$34,K221&lt;K$36,J$35,K221&lt;K$37,J$36,K221&lt;K$38,J$37,K221&lt;K$39,J$38,K221&lt;K$40,J$39,K221&lt;K$41,J$40,K221&lt;K$42,J$41,K221&lt;K$43,J$42,K221&lt;K$44,J$43,K221&lt;K$45,J$44,K221&lt;K$46,J$45,K221&lt;K$47,J$46,K221&gt;=K$47,J$47)</f>
        <v/>
      </c>
      <c r="K221" s="38" t="n">
        <v>171</v>
      </c>
      <c r="L221" s="31">
        <f>K221/52</f>
        <v/>
      </c>
      <c r="M221" s="39">
        <f>J221/1000000*52</f>
        <v/>
      </c>
      <c r="N221" s="33">
        <f>M221/$P$4+($I$22/$P$4)</f>
        <v/>
      </c>
      <c r="U221">
        <f>F220</f>
        <v/>
      </c>
      <c r="V221">
        <f>H220</f>
        <v/>
      </c>
      <c r="W221">
        <f>N220</f>
        <v/>
      </c>
    </row>
    <row r="222" ht="15.75" customHeight="1" s="40">
      <c r="C222" s="36">
        <f>_xlfn.IFS(E222&lt;E$24,0,E222&lt;E$26,C$24,E222&lt;E$28,C$26,E222&lt;E$30,C$28,E222&lt;E$32,C$30,E222&lt;E$34,C$32,E222&gt;=E$34,C$34)</f>
        <v/>
      </c>
      <c r="D222" s="37">
        <f>_xlfn.IFS(E222&lt;E$24,0,E222&lt;E$25,D$24,E222&lt;E$26,D$25,E222&lt;E$27,D$26,E222&lt;E$28,D$27,E222&lt;E$29,D$28,E222&lt;E$30,D$29,E222&lt;E$31,D$30,E222&lt;E$32,D$31,E222&lt;E$33,D$32,E222&lt;E$34,D$33,E222&lt;E$35,D$34,E222&gt;=E$35,D$35)</f>
        <v/>
      </c>
      <c r="E222" s="38" t="n">
        <v>172</v>
      </c>
      <c r="F222" s="31">
        <f>E222/52</f>
        <v/>
      </c>
      <c r="G222" s="39">
        <f>D222/1000000*52</f>
        <v/>
      </c>
      <c r="H222" s="33">
        <f>G222/$P$4+($C$22/$P$4)</f>
        <v/>
      </c>
      <c r="I222" s="36">
        <f>_xlfn.IFS(K222&lt;K$24,0,K222&lt;K$26,I$24,K222&lt;K$28,I$26,K222&lt;K$30,I$28,K222&lt;K$32,I$30,K222&lt;K$34,I$32,K222&lt;K$36,I$34,K222&lt;K$38,I$36,K222&lt;K$40,I$38,K222&lt;K$42,I$40,K222&lt;K$44,I$42,K222&lt;K$46,I$44,K222&gt;=K$46,I$46)</f>
        <v/>
      </c>
      <c r="J222" s="37">
        <f>_xlfn.IFS(K222&lt;K$24,0,K222&lt;K$25,J$24,K222&lt;K$26,J$25,K222&lt;K$27,J$26,K222&lt;K$28,J$27,K222&lt;K$29,J$28,K222&lt;K$30,J$29,K222&lt;K$31,J$30,K222&lt;K$32,J$31,K222&lt;K$33,J$32,K222&lt;K$34,J$33,K222&lt;K$35,J$34,K222&lt;K$36,J$35,K222&lt;K$37,J$36,K222&lt;K$38,J$37,K222&lt;K$39,J$38,K222&lt;K$40,J$39,K222&lt;K$41,J$40,K222&lt;K$42,J$41,K222&lt;K$43,J$42,K222&lt;K$44,J$43,K222&lt;K$45,J$44,K222&lt;K$46,J$45,K222&lt;K$47,J$46,K222&gt;=K$47,J$47)</f>
        <v/>
      </c>
      <c r="K222" s="38" t="n">
        <v>172</v>
      </c>
      <c r="L222" s="31">
        <f>K222/52</f>
        <v/>
      </c>
      <c r="M222" s="39">
        <f>J222/1000000*52</f>
        <v/>
      </c>
      <c r="N222" s="33">
        <f>M222/$P$4+($I$22/$P$4)</f>
        <v/>
      </c>
      <c r="U222">
        <f>F221</f>
        <v/>
      </c>
      <c r="V222">
        <f>H221</f>
        <v/>
      </c>
      <c r="W222">
        <f>N221</f>
        <v/>
      </c>
    </row>
    <row r="223" ht="15.75" customHeight="1" s="40">
      <c r="C223" s="36">
        <f>_xlfn.IFS(E223&lt;E$24,0,E223&lt;E$26,C$24,E223&lt;E$28,C$26,E223&lt;E$30,C$28,E223&lt;E$32,C$30,E223&lt;E$34,C$32,E223&gt;=E$34,C$34)</f>
        <v/>
      </c>
      <c r="D223" s="37">
        <f>_xlfn.IFS(E223&lt;E$24,0,E223&lt;E$25,D$24,E223&lt;E$26,D$25,E223&lt;E$27,D$26,E223&lt;E$28,D$27,E223&lt;E$29,D$28,E223&lt;E$30,D$29,E223&lt;E$31,D$30,E223&lt;E$32,D$31,E223&lt;E$33,D$32,E223&lt;E$34,D$33,E223&lt;E$35,D$34,E223&gt;=E$35,D$35)</f>
        <v/>
      </c>
      <c r="E223" s="38" t="n">
        <v>173</v>
      </c>
      <c r="F223" s="31">
        <f>E223/52</f>
        <v/>
      </c>
      <c r="G223" s="39">
        <f>D223/1000000*52</f>
        <v/>
      </c>
      <c r="H223" s="33">
        <f>G223/$P$4+($C$22/$P$4)</f>
        <v/>
      </c>
      <c r="I223" s="36">
        <f>_xlfn.IFS(K223&lt;K$24,0,K223&lt;K$26,I$24,K223&lt;K$28,I$26,K223&lt;K$30,I$28,K223&lt;K$32,I$30,K223&lt;K$34,I$32,K223&lt;K$36,I$34,K223&lt;K$38,I$36,K223&lt;K$40,I$38,K223&lt;K$42,I$40,K223&lt;K$44,I$42,K223&lt;K$46,I$44,K223&gt;=K$46,I$46)</f>
        <v/>
      </c>
      <c r="J223" s="37">
        <f>_xlfn.IFS(K223&lt;K$24,0,K223&lt;K$25,J$24,K223&lt;K$26,J$25,K223&lt;K$27,J$26,K223&lt;K$28,J$27,K223&lt;K$29,J$28,K223&lt;K$30,J$29,K223&lt;K$31,J$30,K223&lt;K$32,J$31,K223&lt;K$33,J$32,K223&lt;K$34,J$33,K223&lt;K$35,J$34,K223&lt;K$36,J$35,K223&lt;K$37,J$36,K223&lt;K$38,J$37,K223&lt;K$39,J$38,K223&lt;K$40,J$39,K223&lt;K$41,J$40,K223&lt;K$42,J$41,K223&lt;K$43,J$42,K223&lt;K$44,J$43,K223&lt;K$45,J$44,K223&lt;K$46,J$45,K223&lt;K$47,J$46,K223&gt;=K$47,J$47)</f>
        <v/>
      </c>
      <c r="K223" s="38" t="n">
        <v>173</v>
      </c>
      <c r="L223" s="31">
        <f>K223/52</f>
        <v/>
      </c>
      <c r="M223" s="39">
        <f>J223/1000000*52</f>
        <v/>
      </c>
      <c r="N223" s="33">
        <f>M223/$P$4+($I$22/$P$4)</f>
        <v/>
      </c>
      <c r="U223">
        <f>F222</f>
        <v/>
      </c>
      <c r="V223">
        <f>H222</f>
        <v/>
      </c>
      <c r="W223">
        <f>N222</f>
        <v/>
      </c>
    </row>
    <row r="224" ht="15.75" customHeight="1" s="40">
      <c r="C224" s="36">
        <f>_xlfn.IFS(E224&lt;E$24,0,E224&lt;E$26,C$24,E224&lt;E$28,C$26,E224&lt;E$30,C$28,E224&lt;E$32,C$30,E224&lt;E$34,C$32,E224&gt;=E$34,C$34)</f>
        <v/>
      </c>
      <c r="D224" s="37">
        <f>_xlfn.IFS(E224&lt;E$24,0,E224&lt;E$25,D$24,E224&lt;E$26,D$25,E224&lt;E$27,D$26,E224&lt;E$28,D$27,E224&lt;E$29,D$28,E224&lt;E$30,D$29,E224&lt;E$31,D$30,E224&lt;E$32,D$31,E224&lt;E$33,D$32,E224&lt;E$34,D$33,E224&lt;E$35,D$34,E224&gt;=E$35,D$35)</f>
        <v/>
      </c>
      <c r="E224" s="38" t="n">
        <v>174</v>
      </c>
      <c r="F224" s="31">
        <f>E224/52</f>
        <v/>
      </c>
      <c r="G224" s="39">
        <f>D224/1000000*52</f>
        <v/>
      </c>
      <c r="H224" s="33">
        <f>G224/$P$4+($C$22/$P$4)</f>
        <v/>
      </c>
      <c r="I224" s="36">
        <f>_xlfn.IFS(K224&lt;K$24,0,K224&lt;K$26,I$24,K224&lt;K$28,I$26,K224&lt;K$30,I$28,K224&lt;K$32,I$30,K224&lt;K$34,I$32,K224&lt;K$36,I$34,K224&lt;K$38,I$36,K224&lt;K$40,I$38,K224&lt;K$42,I$40,K224&lt;K$44,I$42,K224&lt;K$46,I$44,K224&gt;=K$46,I$46)</f>
        <v/>
      </c>
      <c r="J224" s="37">
        <f>_xlfn.IFS(K224&lt;K$24,0,K224&lt;K$25,J$24,K224&lt;K$26,J$25,K224&lt;K$27,J$26,K224&lt;K$28,J$27,K224&lt;K$29,J$28,K224&lt;K$30,J$29,K224&lt;K$31,J$30,K224&lt;K$32,J$31,K224&lt;K$33,J$32,K224&lt;K$34,J$33,K224&lt;K$35,J$34,K224&lt;K$36,J$35,K224&lt;K$37,J$36,K224&lt;K$38,J$37,K224&lt;K$39,J$38,K224&lt;K$40,J$39,K224&lt;K$41,J$40,K224&lt;K$42,J$41,K224&lt;K$43,J$42,K224&lt;K$44,J$43,K224&lt;K$45,J$44,K224&lt;K$46,J$45,K224&lt;K$47,J$46,K224&gt;=K$47,J$47)</f>
        <v/>
      </c>
      <c r="K224" s="38" t="n">
        <v>174</v>
      </c>
      <c r="L224" s="31">
        <f>K224/52</f>
        <v/>
      </c>
      <c r="M224" s="39">
        <f>J224/1000000*52</f>
        <v/>
      </c>
      <c r="N224" s="33">
        <f>M224/$P$4+($I$22/$P$4)</f>
        <v/>
      </c>
      <c r="U224">
        <f>F223</f>
        <v/>
      </c>
      <c r="V224">
        <f>H223</f>
        <v/>
      </c>
      <c r="W224">
        <f>N223</f>
        <v/>
      </c>
    </row>
    <row r="225" ht="15.75" customHeight="1" s="40">
      <c r="C225" s="36">
        <f>_xlfn.IFS(E225&lt;E$24,0,E225&lt;E$26,C$24,E225&lt;E$28,C$26,E225&lt;E$30,C$28,E225&lt;E$32,C$30,E225&lt;E$34,C$32,E225&gt;=E$34,C$34)</f>
        <v/>
      </c>
      <c r="D225" s="37">
        <f>_xlfn.IFS(E225&lt;E$24,0,E225&lt;E$25,D$24,E225&lt;E$26,D$25,E225&lt;E$27,D$26,E225&lt;E$28,D$27,E225&lt;E$29,D$28,E225&lt;E$30,D$29,E225&lt;E$31,D$30,E225&lt;E$32,D$31,E225&lt;E$33,D$32,E225&lt;E$34,D$33,E225&lt;E$35,D$34,E225&gt;=E$35,D$35)</f>
        <v/>
      </c>
      <c r="E225" s="38" t="n">
        <v>175</v>
      </c>
      <c r="F225" s="31">
        <f>E225/52</f>
        <v/>
      </c>
      <c r="G225" s="39">
        <f>D225/1000000*52</f>
        <v/>
      </c>
      <c r="H225" s="33">
        <f>G225/$P$4+($C$22/$P$4)</f>
        <v/>
      </c>
      <c r="I225" s="36">
        <f>_xlfn.IFS(K225&lt;K$24,0,K225&lt;K$26,I$24,K225&lt;K$28,I$26,K225&lt;K$30,I$28,K225&lt;K$32,I$30,K225&lt;K$34,I$32,K225&lt;K$36,I$34,K225&lt;K$38,I$36,K225&lt;K$40,I$38,K225&lt;K$42,I$40,K225&lt;K$44,I$42,K225&lt;K$46,I$44,K225&gt;=K$46,I$46)</f>
        <v/>
      </c>
      <c r="J225" s="37">
        <f>_xlfn.IFS(K225&lt;K$24,0,K225&lt;K$25,J$24,K225&lt;K$26,J$25,K225&lt;K$27,J$26,K225&lt;K$28,J$27,K225&lt;K$29,J$28,K225&lt;K$30,J$29,K225&lt;K$31,J$30,K225&lt;K$32,J$31,K225&lt;K$33,J$32,K225&lt;K$34,J$33,K225&lt;K$35,J$34,K225&lt;K$36,J$35,K225&lt;K$37,J$36,K225&lt;K$38,J$37,K225&lt;K$39,J$38,K225&lt;K$40,J$39,K225&lt;K$41,J$40,K225&lt;K$42,J$41,K225&lt;K$43,J$42,K225&lt;K$44,J$43,K225&lt;K$45,J$44,K225&lt;K$46,J$45,K225&lt;K$47,J$46,K225&gt;=K$47,J$47)</f>
        <v/>
      </c>
      <c r="K225" s="38" t="n">
        <v>175</v>
      </c>
      <c r="L225" s="31">
        <f>K225/52</f>
        <v/>
      </c>
      <c r="M225" s="39">
        <f>J225/1000000*52</f>
        <v/>
      </c>
      <c r="N225" s="33">
        <f>M225/$P$4+($I$22/$P$4)</f>
        <v/>
      </c>
      <c r="U225">
        <f>F224</f>
        <v/>
      </c>
      <c r="V225">
        <f>H224</f>
        <v/>
      </c>
      <c r="W225">
        <f>N224</f>
        <v/>
      </c>
    </row>
    <row r="226" ht="15.75" customHeight="1" s="40">
      <c r="C226" s="36">
        <f>_xlfn.IFS(E226&lt;E$24,0,E226&lt;E$26,C$24,E226&lt;E$28,C$26,E226&lt;E$30,C$28,E226&lt;E$32,C$30,E226&lt;E$34,C$32,E226&gt;=E$34,C$34)</f>
        <v/>
      </c>
      <c r="D226" s="37">
        <f>_xlfn.IFS(E226&lt;E$24,0,E226&lt;E$25,D$24,E226&lt;E$26,D$25,E226&lt;E$27,D$26,E226&lt;E$28,D$27,E226&lt;E$29,D$28,E226&lt;E$30,D$29,E226&lt;E$31,D$30,E226&lt;E$32,D$31,E226&lt;E$33,D$32,E226&lt;E$34,D$33,E226&lt;E$35,D$34,E226&gt;=E$35,D$35)</f>
        <v/>
      </c>
      <c r="E226" s="38" t="n">
        <v>176</v>
      </c>
      <c r="F226" s="31">
        <f>E226/52</f>
        <v/>
      </c>
      <c r="G226" s="39">
        <f>D226/1000000*52</f>
        <v/>
      </c>
      <c r="H226" s="33">
        <f>G226/$P$4+($C$22/$P$4)</f>
        <v/>
      </c>
      <c r="I226" s="36">
        <f>_xlfn.IFS(K226&lt;K$24,0,K226&lt;K$26,I$24,K226&lt;K$28,I$26,K226&lt;K$30,I$28,K226&lt;K$32,I$30,K226&lt;K$34,I$32,K226&lt;K$36,I$34,K226&lt;K$38,I$36,K226&lt;K$40,I$38,K226&lt;K$42,I$40,K226&lt;K$44,I$42,K226&lt;K$46,I$44,K226&gt;=K$46,I$46)</f>
        <v/>
      </c>
      <c r="J226" s="37">
        <f>_xlfn.IFS(K226&lt;K$24,0,K226&lt;K$25,J$24,K226&lt;K$26,J$25,K226&lt;K$27,J$26,K226&lt;K$28,J$27,K226&lt;K$29,J$28,K226&lt;K$30,J$29,K226&lt;K$31,J$30,K226&lt;K$32,J$31,K226&lt;K$33,J$32,K226&lt;K$34,J$33,K226&lt;K$35,J$34,K226&lt;K$36,J$35,K226&lt;K$37,J$36,K226&lt;K$38,J$37,K226&lt;K$39,J$38,K226&lt;K$40,J$39,K226&lt;K$41,J$40,K226&lt;K$42,J$41,K226&lt;K$43,J$42,K226&lt;K$44,J$43,K226&lt;K$45,J$44,K226&lt;K$46,J$45,K226&lt;K$47,J$46,K226&gt;=K$47,J$47)</f>
        <v/>
      </c>
      <c r="K226" s="38" t="n">
        <v>176</v>
      </c>
      <c r="L226" s="31">
        <f>K226/52</f>
        <v/>
      </c>
      <c r="M226" s="39">
        <f>J226/1000000*52</f>
        <v/>
      </c>
      <c r="N226" s="33">
        <f>M226/$P$4+($I$22/$P$4)</f>
        <v/>
      </c>
      <c r="U226">
        <f>F225</f>
        <v/>
      </c>
      <c r="V226">
        <f>H225</f>
        <v/>
      </c>
      <c r="W226">
        <f>N225</f>
        <v/>
      </c>
    </row>
    <row r="227" ht="15.75" customHeight="1" s="40">
      <c r="C227" s="36">
        <f>_xlfn.IFS(E227&lt;E$24,0,E227&lt;E$26,C$24,E227&lt;E$28,C$26,E227&lt;E$30,C$28,E227&lt;E$32,C$30,E227&lt;E$34,C$32,E227&gt;=E$34,C$34)</f>
        <v/>
      </c>
      <c r="D227" s="37">
        <f>_xlfn.IFS(E227&lt;E$24,0,E227&lt;E$25,D$24,E227&lt;E$26,D$25,E227&lt;E$27,D$26,E227&lt;E$28,D$27,E227&lt;E$29,D$28,E227&lt;E$30,D$29,E227&lt;E$31,D$30,E227&lt;E$32,D$31,E227&lt;E$33,D$32,E227&lt;E$34,D$33,E227&lt;E$35,D$34,E227&gt;=E$35,D$35)</f>
        <v/>
      </c>
      <c r="E227" s="38" t="n">
        <v>177</v>
      </c>
      <c r="F227" s="31">
        <f>E227/52</f>
        <v/>
      </c>
      <c r="G227" s="39">
        <f>D227/1000000*52</f>
        <v/>
      </c>
      <c r="H227" s="33">
        <f>G227/$P$4+($C$22/$P$4)</f>
        <v/>
      </c>
      <c r="I227" s="36">
        <f>_xlfn.IFS(K227&lt;K$24,0,K227&lt;K$26,I$24,K227&lt;K$28,I$26,K227&lt;K$30,I$28,K227&lt;K$32,I$30,K227&lt;K$34,I$32,K227&lt;K$36,I$34,K227&lt;K$38,I$36,K227&lt;K$40,I$38,K227&lt;K$42,I$40,K227&lt;K$44,I$42,K227&lt;K$46,I$44,K227&gt;=K$46,I$46)</f>
        <v/>
      </c>
      <c r="J227" s="37">
        <f>_xlfn.IFS(K227&lt;K$24,0,K227&lt;K$25,J$24,K227&lt;K$26,J$25,K227&lt;K$27,J$26,K227&lt;K$28,J$27,K227&lt;K$29,J$28,K227&lt;K$30,J$29,K227&lt;K$31,J$30,K227&lt;K$32,J$31,K227&lt;K$33,J$32,K227&lt;K$34,J$33,K227&lt;K$35,J$34,K227&lt;K$36,J$35,K227&lt;K$37,J$36,K227&lt;K$38,J$37,K227&lt;K$39,J$38,K227&lt;K$40,J$39,K227&lt;K$41,J$40,K227&lt;K$42,J$41,K227&lt;K$43,J$42,K227&lt;K$44,J$43,K227&lt;K$45,J$44,K227&lt;K$46,J$45,K227&lt;K$47,J$46,K227&gt;=K$47,J$47)</f>
        <v/>
      </c>
      <c r="K227" s="38" t="n">
        <v>177</v>
      </c>
      <c r="L227" s="31">
        <f>K227/52</f>
        <v/>
      </c>
      <c r="M227" s="39">
        <f>J227/1000000*52</f>
        <v/>
      </c>
      <c r="N227" s="33">
        <f>M227/$P$4+($I$22/$P$4)</f>
        <v/>
      </c>
      <c r="U227">
        <f>F226</f>
        <v/>
      </c>
      <c r="V227">
        <f>H226</f>
        <v/>
      </c>
      <c r="W227">
        <f>N226</f>
        <v/>
      </c>
    </row>
    <row r="228" ht="15.75" customHeight="1" s="40">
      <c r="C228" s="36">
        <f>_xlfn.IFS(E228&lt;E$24,0,E228&lt;E$26,C$24,E228&lt;E$28,C$26,E228&lt;E$30,C$28,E228&lt;E$32,C$30,E228&lt;E$34,C$32,E228&gt;=E$34,C$34)</f>
        <v/>
      </c>
      <c r="D228" s="37">
        <f>_xlfn.IFS(E228&lt;E$24,0,E228&lt;E$25,D$24,E228&lt;E$26,D$25,E228&lt;E$27,D$26,E228&lt;E$28,D$27,E228&lt;E$29,D$28,E228&lt;E$30,D$29,E228&lt;E$31,D$30,E228&lt;E$32,D$31,E228&lt;E$33,D$32,E228&lt;E$34,D$33,E228&lt;E$35,D$34,E228&gt;=E$35,D$35)</f>
        <v/>
      </c>
      <c r="E228" s="38" t="n">
        <v>178</v>
      </c>
      <c r="F228" s="31">
        <f>E228/52</f>
        <v/>
      </c>
      <c r="G228" s="39">
        <f>D228/1000000*52</f>
        <v/>
      </c>
      <c r="H228" s="33">
        <f>G228/$P$4+($C$22/$P$4)</f>
        <v/>
      </c>
      <c r="I228" s="36">
        <f>_xlfn.IFS(K228&lt;K$24,0,K228&lt;K$26,I$24,K228&lt;K$28,I$26,K228&lt;K$30,I$28,K228&lt;K$32,I$30,K228&lt;K$34,I$32,K228&lt;K$36,I$34,K228&lt;K$38,I$36,K228&lt;K$40,I$38,K228&lt;K$42,I$40,K228&lt;K$44,I$42,K228&lt;K$46,I$44,K228&gt;=K$46,I$46)</f>
        <v/>
      </c>
      <c r="J228" s="37">
        <f>_xlfn.IFS(K228&lt;K$24,0,K228&lt;K$25,J$24,K228&lt;K$26,J$25,K228&lt;K$27,J$26,K228&lt;K$28,J$27,K228&lt;K$29,J$28,K228&lt;K$30,J$29,K228&lt;K$31,J$30,K228&lt;K$32,J$31,K228&lt;K$33,J$32,K228&lt;K$34,J$33,K228&lt;K$35,J$34,K228&lt;K$36,J$35,K228&lt;K$37,J$36,K228&lt;K$38,J$37,K228&lt;K$39,J$38,K228&lt;K$40,J$39,K228&lt;K$41,J$40,K228&lt;K$42,J$41,K228&lt;K$43,J$42,K228&lt;K$44,J$43,K228&lt;K$45,J$44,K228&lt;K$46,J$45,K228&lt;K$47,J$46,K228&gt;=K$47,J$47)</f>
        <v/>
      </c>
      <c r="K228" s="38" t="n">
        <v>178</v>
      </c>
      <c r="L228" s="31">
        <f>K228/52</f>
        <v/>
      </c>
      <c r="M228" s="39">
        <f>J228/1000000*52</f>
        <v/>
      </c>
      <c r="N228" s="33">
        <f>M228/$P$4+($I$22/$P$4)</f>
        <v/>
      </c>
      <c r="U228">
        <f>F227</f>
        <v/>
      </c>
      <c r="V228">
        <f>H227</f>
        <v/>
      </c>
      <c r="W228">
        <f>N227</f>
        <v/>
      </c>
    </row>
    <row r="229" ht="15.75" customHeight="1" s="40">
      <c r="C229" s="36">
        <f>_xlfn.IFS(E229&lt;E$24,0,E229&lt;E$26,C$24,E229&lt;E$28,C$26,E229&lt;E$30,C$28,E229&lt;E$32,C$30,E229&lt;E$34,C$32,E229&gt;=E$34,C$34)</f>
        <v/>
      </c>
      <c r="D229" s="37">
        <f>_xlfn.IFS(E229&lt;E$24,0,E229&lt;E$25,D$24,E229&lt;E$26,D$25,E229&lt;E$27,D$26,E229&lt;E$28,D$27,E229&lt;E$29,D$28,E229&lt;E$30,D$29,E229&lt;E$31,D$30,E229&lt;E$32,D$31,E229&lt;E$33,D$32,E229&lt;E$34,D$33,E229&lt;E$35,D$34,E229&gt;=E$35,D$35)</f>
        <v/>
      </c>
      <c r="E229" s="38" t="n">
        <v>179</v>
      </c>
      <c r="F229" s="31">
        <f>E229/52</f>
        <v/>
      </c>
      <c r="G229" s="39">
        <f>D229/1000000*52</f>
        <v/>
      </c>
      <c r="H229" s="33">
        <f>G229/$P$4+($C$22/$P$4)</f>
        <v/>
      </c>
      <c r="I229" s="36">
        <f>_xlfn.IFS(K229&lt;K$24,0,K229&lt;K$26,I$24,K229&lt;K$28,I$26,K229&lt;K$30,I$28,K229&lt;K$32,I$30,K229&lt;K$34,I$32,K229&lt;K$36,I$34,K229&lt;K$38,I$36,K229&lt;K$40,I$38,K229&lt;K$42,I$40,K229&lt;K$44,I$42,K229&lt;K$46,I$44,K229&gt;=K$46,I$46)</f>
        <v/>
      </c>
      <c r="J229" s="37">
        <f>_xlfn.IFS(K229&lt;K$24,0,K229&lt;K$25,J$24,K229&lt;K$26,J$25,K229&lt;K$27,J$26,K229&lt;K$28,J$27,K229&lt;K$29,J$28,K229&lt;K$30,J$29,K229&lt;K$31,J$30,K229&lt;K$32,J$31,K229&lt;K$33,J$32,K229&lt;K$34,J$33,K229&lt;K$35,J$34,K229&lt;K$36,J$35,K229&lt;K$37,J$36,K229&lt;K$38,J$37,K229&lt;K$39,J$38,K229&lt;K$40,J$39,K229&lt;K$41,J$40,K229&lt;K$42,J$41,K229&lt;K$43,J$42,K229&lt;K$44,J$43,K229&lt;K$45,J$44,K229&lt;K$46,J$45,K229&lt;K$47,J$46,K229&gt;=K$47,J$47)</f>
        <v/>
      </c>
      <c r="K229" s="38" t="n">
        <v>179</v>
      </c>
      <c r="L229" s="31">
        <f>K229/52</f>
        <v/>
      </c>
      <c r="M229" s="39">
        <f>J229/1000000*52</f>
        <v/>
      </c>
      <c r="N229" s="33">
        <f>M229/$P$4+($I$22/$P$4)</f>
        <v/>
      </c>
      <c r="U229">
        <f>F228</f>
        <v/>
      </c>
      <c r="V229">
        <f>H228</f>
        <v/>
      </c>
      <c r="W229">
        <f>N228</f>
        <v/>
      </c>
    </row>
    <row r="230" ht="15.75" customHeight="1" s="40">
      <c r="C230" s="36">
        <f>_xlfn.IFS(E230&lt;E$24,0,E230&lt;E$26,C$24,E230&lt;E$28,C$26,E230&lt;E$30,C$28,E230&lt;E$32,C$30,E230&lt;E$34,C$32,E230&gt;=E$34,C$34)</f>
        <v/>
      </c>
      <c r="D230" s="37">
        <f>_xlfn.IFS(E230&lt;E$24,0,E230&lt;E$25,D$24,E230&lt;E$26,D$25,E230&lt;E$27,D$26,E230&lt;E$28,D$27,E230&lt;E$29,D$28,E230&lt;E$30,D$29,E230&lt;E$31,D$30,E230&lt;E$32,D$31,E230&lt;E$33,D$32,E230&lt;E$34,D$33,E230&lt;E$35,D$34,E230&gt;=E$35,D$35)</f>
        <v/>
      </c>
      <c r="E230" s="38" t="n">
        <v>180</v>
      </c>
      <c r="F230" s="31">
        <f>E230/52</f>
        <v/>
      </c>
      <c r="G230" s="39">
        <f>D230/1000000*52</f>
        <v/>
      </c>
      <c r="H230" s="33">
        <f>G230/$P$4+($C$22/$P$4)</f>
        <v/>
      </c>
      <c r="I230" s="36">
        <f>_xlfn.IFS(K230&lt;K$24,0,K230&lt;K$26,I$24,K230&lt;K$28,I$26,K230&lt;K$30,I$28,K230&lt;K$32,I$30,K230&lt;K$34,I$32,K230&lt;K$36,I$34,K230&lt;K$38,I$36,K230&lt;K$40,I$38,K230&lt;K$42,I$40,K230&lt;K$44,I$42,K230&lt;K$46,I$44,K230&gt;=K$46,I$46)</f>
        <v/>
      </c>
      <c r="J230" s="37">
        <f>_xlfn.IFS(K230&lt;K$24,0,K230&lt;K$25,J$24,K230&lt;K$26,J$25,K230&lt;K$27,J$26,K230&lt;K$28,J$27,K230&lt;K$29,J$28,K230&lt;K$30,J$29,K230&lt;K$31,J$30,K230&lt;K$32,J$31,K230&lt;K$33,J$32,K230&lt;K$34,J$33,K230&lt;K$35,J$34,K230&lt;K$36,J$35,K230&lt;K$37,J$36,K230&lt;K$38,J$37,K230&lt;K$39,J$38,K230&lt;K$40,J$39,K230&lt;K$41,J$40,K230&lt;K$42,J$41,K230&lt;K$43,J$42,K230&lt;K$44,J$43,K230&lt;K$45,J$44,K230&lt;K$46,J$45,K230&lt;K$47,J$46,K230&gt;=K$47,J$47)</f>
        <v/>
      </c>
      <c r="K230" s="38" t="n">
        <v>180</v>
      </c>
      <c r="L230" s="31">
        <f>K230/52</f>
        <v/>
      </c>
      <c r="M230" s="39">
        <f>J230/1000000*52</f>
        <v/>
      </c>
      <c r="N230" s="33">
        <f>M230/$P$4+($I$22/$P$4)</f>
        <v/>
      </c>
      <c r="U230">
        <f>F229</f>
        <v/>
      </c>
      <c r="V230">
        <f>H229</f>
        <v/>
      </c>
      <c r="W230">
        <f>N229</f>
        <v/>
      </c>
    </row>
    <row r="231" ht="15.75" customHeight="1" s="40">
      <c r="C231" s="36">
        <f>_xlfn.IFS(E231&lt;E$24,0,E231&lt;E$26,C$24,E231&lt;E$28,C$26,E231&lt;E$30,C$28,E231&lt;E$32,C$30,E231&lt;E$34,C$32,E231&gt;=E$34,C$34)</f>
        <v/>
      </c>
      <c r="D231" s="37">
        <f>_xlfn.IFS(E231&lt;E$24,0,E231&lt;E$25,D$24,E231&lt;E$26,D$25,E231&lt;E$27,D$26,E231&lt;E$28,D$27,E231&lt;E$29,D$28,E231&lt;E$30,D$29,E231&lt;E$31,D$30,E231&lt;E$32,D$31,E231&lt;E$33,D$32,E231&lt;E$34,D$33,E231&lt;E$35,D$34,E231&gt;=E$35,D$35)</f>
        <v/>
      </c>
      <c r="E231" s="38" t="n">
        <v>181</v>
      </c>
      <c r="F231" s="31">
        <f>E231/52</f>
        <v/>
      </c>
      <c r="G231" s="39">
        <f>D231/1000000*52</f>
        <v/>
      </c>
      <c r="H231" s="33">
        <f>G231/$P$4+($C$22/$P$4)</f>
        <v/>
      </c>
      <c r="I231" s="36">
        <f>_xlfn.IFS(K231&lt;K$24,0,K231&lt;K$26,I$24,K231&lt;K$28,I$26,K231&lt;K$30,I$28,K231&lt;K$32,I$30,K231&lt;K$34,I$32,K231&lt;K$36,I$34,K231&lt;K$38,I$36,K231&lt;K$40,I$38,K231&lt;K$42,I$40,K231&lt;K$44,I$42,K231&lt;K$46,I$44,K231&gt;=K$46,I$46)</f>
        <v/>
      </c>
      <c r="J231" s="37">
        <f>_xlfn.IFS(K231&lt;K$24,0,K231&lt;K$25,J$24,K231&lt;K$26,J$25,K231&lt;K$27,J$26,K231&lt;K$28,J$27,K231&lt;K$29,J$28,K231&lt;K$30,J$29,K231&lt;K$31,J$30,K231&lt;K$32,J$31,K231&lt;K$33,J$32,K231&lt;K$34,J$33,K231&lt;K$35,J$34,K231&lt;K$36,J$35,K231&lt;K$37,J$36,K231&lt;K$38,J$37,K231&lt;K$39,J$38,K231&lt;K$40,J$39,K231&lt;K$41,J$40,K231&lt;K$42,J$41,K231&lt;K$43,J$42,K231&lt;K$44,J$43,K231&lt;K$45,J$44,K231&lt;K$46,J$45,K231&lt;K$47,J$46,K231&gt;=K$47,J$47)</f>
        <v/>
      </c>
      <c r="K231" s="38" t="n">
        <v>181</v>
      </c>
      <c r="L231" s="31">
        <f>K231/52</f>
        <v/>
      </c>
      <c r="M231" s="39">
        <f>J231/1000000*52</f>
        <v/>
      </c>
      <c r="N231" s="33">
        <f>M231/$P$4+($I$22/$P$4)</f>
        <v/>
      </c>
      <c r="U231">
        <f>F230</f>
        <v/>
      </c>
      <c r="V231">
        <f>H230</f>
        <v/>
      </c>
      <c r="W231">
        <f>N230</f>
        <v/>
      </c>
    </row>
    <row r="232" ht="15.75" customHeight="1" s="40">
      <c r="C232" s="36">
        <f>_xlfn.IFS(E232&lt;E$24,0,E232&lt;E$26,C$24,E232&lt;E$28,C$26,E232&lt;E$30,C$28,E232&lt;E$32,C$30,E232&lt;E$34,C$32,E232&gt;=E$34,C$34)</f>
        <v/>
      </c>
      <c r="D232" s="37">
        <f>_xlfn.IFS(E232&lt;E$24,0,E232&lt;E$25,D$24,E232&lt;E$26,D$25,E232&lt;E$27,D$26,E232&lt;E$28,D$27,E232&lt;E$29,D$28,E232&lt;E$30,D$29,E232&lt;E$31,D$30,E232&lt;E$32,D$31,E232&lt;E$33,D$32,E232&lt;E$34,D$33,E232&lt;E$35,D$34,E232&gt;=E$35,D$35)</f>
        <v/>
      </c>
      <c r="E232" s="38" t="n">
        <v>182</v>
      </c>
      <c r="F232" s="31">
        <f>E232/52</f>
        <v/>
      </c>
      <c r="G232" s="39">
        <f>D232/1000000*52</f>
        <v/>
      </c>
      <c r="H232" s="33">
        <f>G232/$P$4+($C$22/$P$4)</f>
        <v/>
      </c>
      <c r="I232" s="36">
        <f>_xlfn.IFS(K232&lt;K$24,0,K232&lt;K$26,I$24,K232&lt;K$28,I$26,K232&lt;K$30,I$28,K232&lt;K$32,I$30,K232&lt;K$34,I$32,K232&lt;K$36,I$34,K232&lt;K$38,I$36,K232&lt;K$40,I$38,K232&lt;K$42,I$40,K232&lt;K$44,I$42,K232&lt;K$46,I$44,K232&gt;=K$46,I$46)</f>
        <v/>
      </c>
      <c r="J232" s="37">
        <f>_xlfn.IFS(K232&lt;K$24,0,K232&lt;K$25,J$24,K232&lt;K$26,J$25,K232&lt;K$27,J$26,K232&lt;K$28,J$27,K232&lt;K$29,J$28,K232&lt;K$30,J$29,K232&lt;K$31,J$30,K232&lt;K$32,J$31,K232&lt;K$33,J$32,K232&lt;K$34,J$33,K232&lt;K$35,J$34,K232&lt;K$36,J$35,K232&lt;K$37,J$36,K232&lt;K$38,J$37,K232&lt;K$39,J$38,K232&lt;K$40,J$39,K232&lt;K$41,J$40,K232&lt;K$42,J$41,K232&lt;K$43,J$42,K232&lt;K$44,J$43,K232&lt;K$45,J$44,K232&lt;K$46,J$45,K232&lt;K$47,J$46,K232&gt;=K$47,J$47)</f>
        <v/>
      </c>
      <c r="K232" s="38" t="n">
        <v>182</v>
      </c>
      <c r="L232" s="31">
        <f>K232/52</f>
        <v/>
      </c>
      <c r="M232" s="39">
        <f>J232/1000000*52</f>
        <v/>
      </c>
      <c r="N232" s="33">
        <f>M232/$P$4+($I$22/$P$4)</f>
        <v/>
      </c>
      <c r="U232">
        <f>F231</f>
        <v/>
      </c>
      <c r="V232">
        <f>H231</f>
        <v/>
      </c>
      <c r="W232">
        <f>N231</f>
        <v/>
      </c>
    </row>
    <row r="233" ht="15.75" customHeight="1" s="40">
      <c r="C233" s="36">
        <f>_xlfn.IFS(E233&lt;E$24,0,E233&lt;E$26,C$24,E233&lt;E$28,C$26,E233&lt;E$30,C$28,E233&lt;E$32,C$30,E233&lt;E$34,C$32,E233&gt;=E$34,C$34)</f>
        <v/>
      </c>
      <c r="D233" s="37">
        <f>_xlfn.IFS(E233&lt;E$24,0,E233&lt;E$25,D$24,E233&lt;E$26,D$25,E233&lt;E$27,D$26,E233&lt;E$28,D$27,E233&lt;E$29,D$28,E233&lt;E$30,D$29,E233&lt;E$31,D$30,E233&lt;E$32,D$31,E233&lt;E$33,D$32,E233&lt;E$34,D$33,E233&lt;E$35,D$34,E233&gt;=E$35,D$35)</f>
        <v/>
      </c>
      <c r="E233" s="38" t="n">
        <v>183</v>
      </c>
      <c r="F233" s="31">
        <f>E233/52</f>
        <v/>
      </c>
      <c r="G233" s="39">
        <f>D233/1000000*52</f>
        <v/>
      </c>
      <c r="H233" s="33">
        <f>G233/$P$4+($C$22/$P$4)</f>
        <v/>
      </c>
      <c r="I233" s="36">
        <f>_xlfn.IFS(K233&lt;K$24,0,K233&lt;K$26,I$24,K233&lt;K$28,I$26,K233&lt;K$30,I$28,K233&lt;K$32,I$30,K233&lt;K$34,I$32,K233&lt;K$36,I$34,K233&lt;K$38,I$36,K233&lt;K$40,I$38,K233&lt;K$42,I$40,K233&lt;K$44,I$42,K233&lt;K$46,I$44,K233&gt;=K$46,I$46)</f>
        <v/>
      </c>
      <c r="J233" s="37">
        <f>_xlfn.IFS(K233&lt;K$24,0,K233&lt;K$25,J$24,K233&lt;K$26,J$25,K233&lt;K$27,J$26,K233&lt;K$28,J$27,K233&lt;K$29,J$28,K233&lt;K$30,J$29,K233&lt;K$31,J$30,K233&lt;K$32,J$31,K233&lt;K$33,J$32,K233&lt;K$34,J$33,K233&lt;K$35,J$34,K233&lt;K$36,J$35,K233&lt;K$37,J$36,K233&lt;K$38,J$37,K233&lt;K$39,J$38,K233&lt;K$40,J$39,K233&lt;K$41,J$40,K233&lt;K$42,J$41,K233&lt;K$43,J$42,K233&lt;K$44,J$43,K233&lt;K$45,J$44,K233&lt;K$46,J$45,K233&lt;K$47,J$46,K233&gt;=K$47,J$47)</f>
        <v/>
      </c>
      <c r="K233" s="38" t="n">
        <v>183</v>
      </c>
      <c r="L233" s="31">
        <f>K233/52</f>
        <v/>
      </c>
      <c r="M233" s="39">
        <f>J233/1000000*52</f>
        <v/>
      </c>
      <c r="N233" s="33">
        <f>M233/$P$4+($I$22/$P$4)</f>
        <v/>
      </c>
      <c r="U233">
        <f>F232</f>
        <v/>
      </c>
      <c r="V233">
        <f>H232</f>
        <v/>
      </c>
      <c r="W233">
        <f>N232</f>
        <v/>
      </c>
    </row>
    <row r="234" ht="15.75" customHeight="1" s="40">
      <c r="C234" s="36">
        <f>_xlfn.IFS(E234&lt;E$24,0,E234&lt;E$26,C$24,E234&lt;E$28,C$26,E234&lt;E$30,C$28,E234&lt;E$32,C$30,E234&lt;E$34,C$32,E234&gt;=E$34,C$34)</f>
        <v/>
      </c>
      <c r="D234" s="37">
        <f>_xlfn.IFS(E234&lt;E$24,0,E234&lt;E$25,D$24,E234&lt;E$26,D$25,E234&lt;E$27,D$26,E234&lt;E$28,D$27,E234&lt;E$29,D$28,E234&lt;E$30,D$29,E234&lt;E$31,D$30,E234&lt;E$32,D$31,E234&lt;E$33,D$32,E234&lt;E$34,D$33,E234&lt;E$35,D$34,E234&gt;=E$35,D$35)</f>
        <v/>
      </c>
      <c r="E234" s="38" t="n">
        <v>184</v>
      </c>
      <c r="F234" s="31">
        <f>E234/52</f>
        <v/>
      </c>
      <c r="G234" s="39">
        <f>D234/1000000*52</f>
        <v/>
      </c>
      <c r="H234" s="33">
        <f>G234/$P$4+($C$22/$P$4)</f>
        <v/>
      </c>
      <c r="I234" s="36">
        <f>_xlfn.IFS(K234&lt;K$24,0,K234&lt;K$26,I$24,K234&lt;K$28,I$26,K234&lt;K$30,I$28,K234&lt;K$32,I$30,K234&lt;K$34,I$32,K234&lt;K$36,I$34,K234&lt;K$38,I$36,K234&lt;K$40,I$38,K234&lt;K$42,I$40,K234&lt;K$44,I$42,K234&lt;K$46,I$44,K234&gt;=K$46,I$46)</f>
        <v/>
      </c>
      <c r="J234" s="37">
        <f>_xlfn.IFS(K234&lt;K$24,0,K234&lt;K$25,J$24,K234&lt;K$26,J$25,K234&lt;K$27,J$26,K234&lt;K$28,J$27,K234&lt;K$29,J$28,K234&lt;K$30,J$29,K234&lt;K$31,J$30,K234&lt;K$32,J$31,K234&lt;K$33,J$32,K234&lt;K$34,J$33,K234&lt;K$35,J$34,K234&lt;K$36,J$35,K234&lt;K$37,J$36,K234&lt;K$38,J$37,K234&lt;K$39,J$38,K234&lt;K$40,J$39,K234&lt;K$41,J$40,K234&lt;K$42,J$41,K234&lt;K$43,J$42,K234&lt;K$44,J$43,K234&lt;K$45,J$44,K234&lt;K$46,J$45,K234&lt;K$47,J$46,K234&gt;=K$47,J$47)</f>
        <v/>
      </c>
      <c r="K234" s="38" t="n">
        <v>184</v>
      </c>
      <c r="L234" s="31">
        <f>K234/52</f>
        <v/>
      </c>
      <c r="M234" s="39">
        <f>J234/1000000*52</f>
        <v/>
      </c>
      <c r="N234" s="33">
        <f>M234/$P$4+($I$22/$P$4)</f>
        <v/>
      </c>
      <c r="U234">
        <f>F233</f>
        <v/>
      </c>
      <c r="V234">
        <f>H233</f>
        <v/>
      </c>
      <c r="W234">
        <f>N233</f>
        <v/>
      </c>
    </row>
    <row r="235" ht="15.75" customHeight="1" s="40">
      <c r="C235" s="36">
        <f>_xlfn.IFS(E235&lt;E$24,0,E235&lt;E$26,C$24,E235&lt;E$28,C$26,E235&lt;E$30,C$28,E235&lt;E$32,C$30,E235&lt;E$34,C$32,E235&gt;=E$34,C$34)</f>
        <v/>
      </c>
      <c r="D235" s="37">
        <f>_xlfn.IFS(E235&lt;E$24,0,E235&lt;E$25,D$24,E235&lt;E$26,D$25,E235&lt;E$27,D$26,E235&lt;E$28,D$27,E235&lt;E$29,D$28,E235&lt;E$30,D$29,E235&lt;E$31,D$30,E235&lt;E$32,D$31,E235&lt;E$33,D$32,E235&lt;E$34,D$33,E235&lt;E$35,D$34,E235&gt;=E$35,D$35)</f>
        <v/>
      </c>
      <c r="E235" s="38" t="n">
        <v>185</v>
      </c>
      <c r="F235" s="31">
        <f>E235/52</f>
        <v/>
      </c>
      <c r="G235" s="39">
        <f>D235/1000000*52</f>
        <v/>
      </c>
      <c r="H235" s="33">
        <f>G235/$P$4+($C$22/$P$4)</f>
        <v/>
      </c>
      <c r="I235" s="36">
        <f>_xlfn.IFS(K235&lt;K$24,0,K235&lt;K$26,I$24,K235&lt;K$28,I$26,K235&lt;K$30,I$28,K235&lt;K$32,I$30,K235&lt;K$34,I$32,K235&lt;K$36,I$34,K235&lt;K$38,I$36,K235&lt;K$40,I$38,K235&lt;K$42,I$40,K235&lt;K$44,I$42,K235&lt;K$46,I$44,K235&gt;=K$46,I$46)</f>
        <v/>
      </c>
      <c r="J235" s="37">
        <f>_xlfn.IFS(K235&lt;K$24,0,K235&lt;K$25,J$24,K235&lt;K$26,J$25,K235&lt;K$27,J$26,K235&lt;K$28,J$27,K235&lt;K$29,J$28,K235&lt;K$30,J$29,K235&lt;K$31,J$30,K235&lt;K$32,J$31,K235&lt;K$33,J$32,K235&lt;K$34,J$33,K235&lt;K$35,J$34,K235&lt;K$36,J$35,K235&lt;K$37,J$36,K235&lt;K$38,J$37,K235&lt;K$39,J$38,K235&lt;K$40,J$39,K235&lt;K$41,J$40,K235&lt;K$42,J$41,K235&lt;K$43,J$42,K235&lt;K$44,J$43,K235&lt;K$45,J$44,K235&lt;K$46,J$45,K235&lt;K$47,J$46,K235&gt;=K$47,J$47)</f>
        <v/>
      </c>
      <c r="K235" s="38" t="n">
        <v>185</v>
      </c>
      <c r="L235" s="31">
        <f>K235/52</f>
        <v/>
      </c>
      <c r="M235" s="39">
        <f>J235/1000000*52</f>
        <v/>
      </c>
      <c r="N235" s="33">
        <f>M235/$P$4+($I$22/$P$4)</f>
        <v/>
      </c>
      <c r="U235">
        <f>F234</f>
        <v/>
      </c>
      <c r="V235">
        <f>H234</f>
        <v/>
      </c>
      <c r="W235">
        <f>N234</f>
        <v/>
      </c>
    </row>
    <row r="236" ht="15.75" customHeight="1" s="40">
      <c r="C236" s="36">
        <f>_xlfn.IFS(E236&lt;E$24,0,E236&lt;E$26,C$24,E236&lt;E$28,C$26,E236&lt;E$30,C$28,E236&lt;E$32,C$30,E236&lt;E$34,C$32,E236&gt;=E$34,C$34)</f>
        <v/>
      </c>
      <c r="D236" s="37">
        <f>_xlfn.IFS(E236&lt;E$24,0,E236&lt;E$25,D$24,E236&lt;E$26,D$25,E236&lt;E$27,D$26,E236&lt;E$28,D$27,E236&lt;E$29,D$28,E236&lt;E$30,D$29,E236&lt;E$31,D$30,E236&lt;E$32,D$31,E236&lt;E$33,D$32,E236&lt;E$34,D$33,E236&lt;E$35,D$34,E236&gt;=E$35,D$35)</f>
        <v/>
      </c>
      <c r="E236" s="38" t="n">
        <v>186</v>
      </c>
      <c r="F236" s="31">
        <f>E236/52</f>
        <v/>
      </c>
      <c r="G236" s="39">
        <f>D236/1000000*52</f>
        <v/>
      </c>
      <c r="H236" s="33">
        <f>G236/$P$4+($C$22/$P$4)</f>
        <v/>
      </c>
      <c r="I236" s="36">
        <f>_xlfn.IFS(K236&lt;K$24,0,K236&lt;K$26,I$24,K236&lt;K$28,I$26,K236&lt;K$30,I$28,K236&lt;K$32,I$30,K236&lt;K$34,I$32,K236&lt;K$36,I$34,K236&lt;K$38,I$36,K236&lt;K$40,I$38,K236&lt;K$42,I$40,K236&lt;K$44,I$42,K236&lt;K$46,I$44,K236&gt;=K$46,I$46)</f>
        <v/>
      </c>
      <c r="J236" s="37">
        <f>_xlfn.IFS(K236&lt;K$24,0,K236&lt;K$25,J$24,K236&lt;K$26,J$25,K236&lt;K$27,J$26,K236&lt;K$28,J$27,K236&lt;K$29,J$28,K236&lt;K$30,J$29,K236&lt;K$31,J$30,K236&lt;K$32,J$31,K236&lt;K$33,J$32,K236&lt;K$34,J$33,K236&lt;K$35,J$34,K236&lt;K$36,J$35,K236&lt;K$37,J$36,K236&lt;K$38,J$37,K236&lt;K$39,J$38,K236&lt;K$40,J$39,K236&lt;K$41,J$40,K236&lt;K$42,J$41,K236&lt;K$43,J$42,K236&lt;K$44,J$43,K236&lt;K$45,J$44,K236&lt;K$46,J$45,K236&lt;K$47,J$46,K236&gt;=K$47,J$47)</f>
        <v/>
      </c>
      <c r="K236" s="38" t="n">
        <v>186</v>
      </c>
      <c r="L236" s="31">
        <f>K236/52</f>
        <v/>
      </c>
      <c r="M236" s="39">
        <f>J236/1000000*52</f>
        <v/>
      </c>
      <c r="N236" s="33">
        <f>M236/$P$4+($I$22/$P$4)</f>
        <v/>
      </c>
      <c r="U236">
        <f>F235</f>
        <v/>
      </c>
      <c r="V236">
        <f>H235</f>
        <v/>
      </c>
      <c r="W236">
        <f>N235</f>
        <v/>
      </c>
    </row>
    <row r="237" ht="15.75" customHeight="1" s="40">
      <c r="C237" s="36">
        <f>_xlfn.IFS(E237&lt;E$24,0,E237&lt;E$26,C$24,E237&lt;E$28,C$26,E237&lt;E$30,C$28,E237&lt;E$32,C$30,E237&lt;E$34,C$32,E237&gt;=E$34,C$34)</f>
        <v/>
      </c>
      <c r="D237" s="37">
        <f>_xlfn.IFS(E237&lt;E$24,0,E237&lt;E$25,D$24,E237&lt;E$26,D$25,E237&lt;E$27,D$26,E237&lt;E$28,D$27,E237&lt;E$29,D$28,E237&lt;E$30,D$29,E237&lt;E$31,D$30,E237&lt;E$32,D$31,E237&lt;E$33,D$32,E237&lt;E$34,D$33,E237&lt;E$35,D$34,E237&gt;=E$35,D$35)</f>
        <v/>
      </c>
      <c r="E237" s="38" t="n">
        <v>187</v>
      </c>
      <c r="F237" s="31">
        <f>E237/52</f>
        <v/>
      </c>
      <c r="G237" s="39">
        <f>D237/1000000*52</f>
        <v/>
      </c>
      <c r="H237" s="33">
        <f>G237/$P$4+($C$22/$P$4)</f>
        <v/>
      </c>
      <c r="I237" s="36">
        <f>_xlfn.IFS(K237&lt;K$24,0,K237&lt;K$26,I$24,K237&lt;K$28,I$26,K237&lt;K$30,I$28,K237&lt;K$32,I$30,K237&lt;K$34,I$32,K237&lt;K$36,I$34,K237&lt;K$38,I$36,K237&lt;K$40,I$38,K237&lt;K$42,I$40,K237&lt;K$44,I$42,K237&lt;K$46,I$44,K237&gt;=K$46,I$46)</f>
        <v/>
      </c>
      <c r="J237" s="37">
        <f>_xlfn.IFS(K237&lt;K$24,0,K237&lt;K$25,J$24,K237&lt;K$26,J$25,K237&lt;K$27,J$26,K237&lt;K$28,J$27,K237&lt;K$29,J$28,K237&lt;K$30,J$29,K237&lt;K$31,J$30,K237&lt;K$32,J$31,K237&lt;K$33,J$32,K237&lt;K$34,J$33,K237&lt;K$35,J$34,K237&lt;K$36,J$35,K237&lt;K$37,J$36,K237&lt;K$38,J$37,K237&lt;K$39,J$38,K237&lt;K$40,J$39,K237&lt;K$41,J$40,K237&lt;K$42,J$41,K237&lt;K$43,J$42,K237&lt;K$44,J$43,K237&lt;K$45,J$44,K237&lt;K$46,J$45,K237&lt;K$47,J$46,K237&gt;=K$47,J$47)</f>
        <v/>
      </c>
      <c r="K237" s="38" t="n">
        <v>187</v>
      </c>
      <c r="L237" s="31">
        <f>K237/52</f>
        <v/>
      </c>
      <c r="M237" s="39">
        <f>J237/1000000*52</f>
        <v/>
      </c>
      <c r="N237" s="33">
        <f>M237/$P$4+($I$22/$P$4)</f>
        <v/>
      </c>
      <c r="U237">
        <f>F236</f>
        <v/>
      </c>
      <c r="V237">
        <f>H236</f>
        <v/>
      </c>
      <c r="W237">
        <f>N236</f>
        <v/>
      </c>
    </row>
    <row r="238" ht="15.75" customHeight="1" s="40">
      <c r="C238" s="36">
        <f>_xlfn.IFS(E238&lt;E$24,0,E238&lt;E$26,C$24,E238&lt;E$28,C$26,E238&lt;E$30,C$28,E238&lt;E$32,C$30,E238&lt;E$34,C$32,E238&gt;=E$34,C$34)</f>
        <v/>
      </c>
      <c r="D238" s="37">
        <f>_xlfn.IFS(E238&lt;E$24,0,E238&lt;E$25,D$24,E238&lt;E$26,D$25,E238&lt;E$27,D$26,E238&lt;E$28,D$27,E238&lt;E$29,D$28,E238&lt;E$30,D$29,E238&lt;E$31,D$30,E238&lt;E$32,D$31,E238&lt;E$33,D$32,E238&lt;E$34,D$33,E238&lt;E$35,D$34,E238&gt;=E$35,D$35)</f>
        <v/>
      </c>
      <c r="E238" s="38" t="n">
        <v>188</v>
      </c>
      <c r="F238" s="31">
        <f>E238/52</f>
        <v/>
      </c>
      <c r="G238" s="39">
        <f>D238/1000000*52</f>
        <v/>
      </c>
      <c r="H238" s="33">
        <f>G238/$P$4+($C$22/$P$4)</f>
        <v/>
      </c>
      <c r="I238" s="36">
        <f>_xlfn.IFS(K238&lt;K$24,0,K238&lt;K$26,I$24,K238&lt;K$28,I$26,K238&lt;K$30,I$28,K238&lt;K$32,I$30,K238&lt;K$34,I$32,K238&lt;K$36,I$34,K238&lt;K$38,I$36,K238&lt;K$40,I$38,K238&lt;K$42,I$40,K238&lt;K$44,I$42,K238&lt;K$46,I$44,K238&gt;=K$46,I$46)</f>
        <v/>
      </c>
      <c r="J238" s="37">
        <f>_xlfn.IFS(K238&lt;K$24,0,K238&lt;K$25,J$24,K238&lt;K$26,J$25,K238&lt;K$27,J$26,K238&lt;K$28,J$27,K238&lt;K$29,J$28,K238&lt;K$30,J$29,K238&lt;K$31,J$30,K238&lt;K$32,J$31,K238&lt;K$33,J$32,K238&lt;K$34,J$33,K238&lt;K$35,J$34,K238&lt;K$36,J$35,K238&lt;K$37,J$36,K238&lt;K$38,J$37,K238&lt;K$39,J$38,K238&lt;K$40,J$39,K238&lt;K$41,J$40,K238&lt;K$42,J$41,K238&lt;K$43,J$42,K238&lt;K$44,J$43,K238&lt;K$45,J$44,K238&lt;K$46,J$45,K238&lt;K$47,J$46,K238&gt;=K$47,J$47)</f>
        <v/>
      </c>
      <c r="K238" s="38" t="n">
        <v>188</v>
      </c>
      <c r="L238" s="31">
        <f>K238/52</f>
        <v/>
      </c>
      <c r="M238" s="39">
        <f>J238/1000000*52</f>
        <v/>
      </c>
      <c r="N238" s="33">
        <f>M238/$P$4+($I$22/$P$4)</f>
        <v/>
      </c>
      <c r="U238">
        <f>F237</f>
        <v/>
      </c>
      <c r="V238">
        <f>H237</f>
        <v/>
      </c>
      <c r="W238">
        <f>N237</f>
        <v/>
      </c>
    </row>
    <row r="239" ht="15.75" customHeight="1" s="40">
      <c r="C239" s="36">
        <f>_xlfn.IFS(E239&lt;E$24,0,E239&lt;E$26,C$24,E239&lt;E$28,C$26,E239&lt;E$30,C$28,E239&lt;E$32,C$30,E239&lt;E$34,C$32,E239&gt;=E$34,C$34)</f>
        <v/>
      </c>
      <c r="D239" s="37">
        <f>_xlfn.IFS(E239&lt;E$24,0,E239&lt;E$25,D$24,E239&lt;E$26,D$25,E239&lt;E$27,D$26,E239&lt;E$28,D$27,E239&lt;E$29,D$28,E239&lt;E$30,D$29,E239&lt;E$31,D$30,E239&lt;E$32,D$31,E239&lt;E$33,D$32,E239&lt;E$34,D$33,E239&lt;E$35,D$34,E239&gt;=E$35,D$35)</f>
        <v/>
      </c>
      <c r="E239" s="38" t="n">
        <v>189</v>
      </c>
      <c r="F239" s="31">
        <f>E239/52</f>
        <v/>
      </c>
      <c r="G239" s="39">
        <f>D239/1000000*52</f>
        <v/>
      </c>
      <c r="H239" s="33">
        <f>G239/$P$4+($C$22/$P$4)</f>
        <v/>
      </c>
      <c r="I239" s="36">
        <f>_xlfn.IFS(K239&lt;K$24,0,K239&lt;K$26,I$24,K239&lt;K$28,I$26,K239&lt;K$30,I$28,K239&lt;K$32,I$30,K239&lt;K$34,I$32,K239&lt;K$36,I$34,K239&lt;K$38,I$36,K239&lt;K$40,I$38,K239&lt;K$42,I$40,K239&lt;K$44,I$42,K239&lt;K$46,I$44,K239&gt;=K$46,I$46)</f>
        <v/>
      </c>
      <c r="J239" s="37">
        <f>_xlfn.IFS(K239&lt;K$24,0,K239&lt;K$25,J$24,K239&lt;K$26,J$25,K239&lt;K$27,J$26,K239&lt;K$28,J$27,K239&lt;K$29,J$28,K239&lt;K$30,J$29,K239&lt;K$31,J$30,K239&lt;K$32,J$31,K239&lt;K$33,J$32,K239&lt;K$34,J$33,K239&lt;K$35,J$34,K239&lt;K$36,J$35,K239&lt;K$37,J$36,K239&lt;K$38,J$37,K239&lt;K$39,J$38,K239&lt;K$40,J$39,K239&lt;K$41,J$40,K239&lt;K$42,J$41,K239&lt;K$43,J$42,K239&lt;K$44,J$43,K239&lt;K$45,J$44,K239&lt;K$46,J$45,K239&lt;K$47,J$46,K239&gt;=K$47,J$47)</f>
        <v/>
      </c>
      <c r="K239" s="38" t="n">
        <v>189</v>
      </c>
      <c r="L239" s="31">
        <f>K239/52</f>
        <v/>
      </c>
      <c r="M239" s="39">
        <f>J239/1000000*52</f>
        <v/>
      </c>
      <c r="N239" s="33">
        <f>M239/$P$4+($I$22/$P$4)</f>
        <v/>
      </c>
      <c r="U239">
        <f>F238</f>
        <v/>
      </c>
      <c r="V239">
        <f>H238</f>
        <v/>
      </c>
      <c r="W239">
        <f>N238</f>
        <v/>
      </c>
    </row>
    <row r="240" ht="15.75" customHeight="1" s="40">
      <c r="C240" s="36">
        <f>_xlfn.IFS(E240&lt;E$24,0,E240&lt;E$26,C$24,E240&lt;E$28,C$26,E240&lt;E$30,C$28,E240&lt;E$32,C$30,E240&lt;E$34,C$32,E240&gt;=E$34,C$34)</f>
        <v/>
      </c>
      <c r="D240" s="37">
        <f>_xlfn.IFS(E240&lt;E$24,0,E240&lt;E$25,D$24,E240&lt;E$26,D$25,E240&lt;E$27,D$26,E240&lt;E$28,D$27,E240&lt;E$29,D$28,E240&lt;E$30,D$29,E240&lt;E$31,D$30,E240&lt;E$32,D$31,E240&lt;E$33,D$32,E240&lt;E$34,D$33,E240&lt;E$35,D$34,E240&gt;=E$35,D$35)</f>
        <v/>
      </c>
      <c r="E240" s="38" t="n">
        <v>190</v>
      </c>
      <c r="F240" s="31">
        <f>E240/52</f>
        <v/>
      </c>
      <c r="G240" s="39">
        <f>D240/1000000*52</f>
        <v/>
      </c>
      <c r="H240" s="33">
        <f>G240/$P$4+($C$22/$P$4)</f>
        <v/>
      </c>
      <c r="I240" s="36">
        <f>_xlfn.IFS(K240&lt;K$24,0,K240&lt;K$26,I$24,K240&lt;K$28,I$26,K240&lt;K$30,I$28,K240&lt;K$32,I$30,K240&lt;K$34,I$32,K240&lt;K$36,I$34,K240&lt;K$38,I$36,K240&lt;K$40,I$38,K240&lt;K$42,I$40,K240&lt;K$44,I$42,K240&lt;K$46,I$44,K240&gt;=K$46,I$46)</f>
        <v/>
      </c>
      <c r="J240" s="37">
        <f>_xlfn.IFS(K240&lt;K$24,0,K240&lt;K$25,J$24,K240&lt;K$26,J$25,K240&lt;K$27,J$26,K240&lt;K$28,J$27,K240&lt;K$29,J$28,K240&lt;K$30,J$29,K240&lt;K$31,J$30,K240&lt;K$32,J$31,K240&lt;K$33,J$32,K240&lt;K$34,J$33,K240&lt;K$35,J$34,K240&lt;K$36,J$35,K240&lt;K$37,J$36,K240&lt;K$38,J$37,K240&lt;K$39,J$38,K240&lt;K$40,J$39,K240&lt;K$41,J$40,K240&lt;K$42,J$41,K240&lt;K$43,J$42,K240&lt;K$44,J$43,K240&lt;K$45,J$44,K240&lt;K$46,J$45,K240&lt;K$47,J$46,K240&gt;=K$47,J$47)</f>
        <v/>
      </c>
      <c r="K240" s="38" t="n">
        <v>190</v>
      </c>
      <c r="L240" s="31">
        <f>K240/52</f>
        <v/>
      </c>
      <c r="M240" s="39">
        <f>J240/1000000*52</f>
        <v/>
      </c>
      <c r="N240" s="33">
        <f>M240/$P$4+($I$22/$P$4)</f>
        <v/>
      </c>
      <c r="U240">
        <f>F239</f>
        <v/>
      </c>
      <c r="V240">
        <f>H239</f>
        <v/>
      </c>
      <c r="W240">
        <f>N239</f>
        <v/>
      </c>
    </row>
    <row r="241" ht="15.75" customHeight="1" s="40">
      <c r="C241" s="36">
        <f>_xlfn.IFS(E241&lt;E$24,0,E241&lt;E$26,C$24,E241&lt;E$28,C$26,E241&lt;E$30,C$28,E241&lt;E$32,C$30,E241&lt;E$34,C$32,E241&gt;=E$34,C$34)</f>
        <v/>
      </c>
      <c r="D241" s="37">
        <f>_xlfn.IFS(E241&lt;E$24,0,E241&lt;E$25,D$24,E241&lt;E$26,D$25,E241&lt;E$27,D$26,E241&lt;E$28,D$27,E241&lt;E$29,D$28,E241&lt;E$30,D$29,E241&lt;E$31,D$30,E241&lt;E$32,D$31,E241&lt;E$33,D$32,E241&lt;E$34,D$33,E241&lt;E$35,D$34,E241&gt;=E$35,D$35)</f>
        <v/>
      </c>
      <c r="E241" s="38" t="n">
        <v>191</v>
      </c>
      <c r="F241" s="31">
        <f>E241/52</f>
        <v/>
      </c>
      <c r="G241" s="39">
        <f>D241/1000000*52</f>
        <v/>
      </c>
      <c r="H241" s="33">
        <f>G241/$P$4+($C$22/$P$4)</f>
        <v/>
      </c>
      <c r="I241" s="36">
        <f>_xlfn.IFS(K241&lt;K$24,0,K241&lt;K$26,I$24,K241&lt;K$28,I$26,K241&lt;K$30,I$28,K241&lt;K$32,I$30,K241&lt;K$34,I$32,K241&lt;K$36,I$34,K241&lt;K$38,I$36,K241&lt;K$40,I$38,K241&lt;K$42,I$40,K241&lt;K$44,I$42,K241&lt;K$46,I$44,K241&gt;=K$46,I$46)</f>
        <v/>
      </c>
      <c r="J241" s="37">
        <f>_xlfn.IFS(K241&lt;K$24,0,K241&lt;K$25,J$24,K241&lt;K$26,J$25,K241&lt;K$27,J$26,K241&lt;K$28,J$27,K241&lt;K$29,J$28,K241&lt;K$30,J$29,K241&lt;K$31,J$30,K241&lt;K$32,J$31,K241&lt;K$33,J$32,K241&lt;K$34,J$33,K241&lt;K$35,J$34,K241&lt;K$36,J$35,K241&lt;K$37,J$36,K241&lt;K$38,J$37,K241&lt;K$39,J$38,K241&lt;K$40,J$39,K241&lt;K$41,J$40,K241&lt;K$42,J$41,K241&lt;K$43,J$42,K241&lt;K$44,J$43,K241&lt;K$45,J$44,K241&lt;K$46,J$45,K241&lt;K$47,J$46,K241&gt;=K$47,J$47)</f>
        <v/>
      </c>
      <c r="K241" s="38" t="n">
        <v>191</v>
      </c>
      <c r="L241" s="31">
        <f>K241/52</f>
        <v/>
      </c>
      <c r="M241" s="39">
        <f>J241/1000000*52</f>
        <v/>
      </c>
      <c r="N241" s="33">
        <f>M241/$P$4+($I$22/$P$4)</f>
        <v/>
      </c>
      <c r="U241">
        <f>F240</f>
        <v/>
      </c>
      <c r="V241">
        <f>H240</f>
        <v/>
      </c>
      <c r="W241">
        <f>N240</f>
        <v/>
      </c>
    </row>
    <row r="242" ht="15.75" customHeight="1" s="40">
      <c r="C242" s="36">
        <f>_xlfn.IFS(E242&lt;E$24,0,E242&lt;E$26,C$24,E242&lt;E$28,C$26,E242&lt;E$30,C$28,E242&lt;E$32,C$30,E242&lt;E$34,C$32,E242&gt;=E$34,C$34)</f>
        <v/>
      </c>
      <c r="D242" s="37">
        <f>_xlfn.IFS(E242&lt;E$24,0,E242&lt;E$25,D$24,E242&lt;E$26,D$25,E242&lt;E$27,D$26,E242&lt;E$28,D$27,E242&lt;E$29,D$28,E242&lt;E$30,D$29,E242&lt;E$31,D$30,E242&lt;E$32,D$31,E242&lt;E$33,D$32,E242&lt;E$34,D$33,E242&lt;E$35,D$34,E242&gt;=E$35,D$35)</f>
        <v/>
      </c>
      <c r="E242" s="38" t="n">
        <v>192</v>
      </c>
      <c r="F242" s="31">
        <f>E242/52</f>
        <v/>
      </c>
      <c r="G242" s="39">
        <f>D242/1000000*52</f>
        <v/>
      </c>
      <c r="H242" s="33">
        <f>G242/$P$4+($C$22/$P$4)</f>
        <v/>
      </c>
      <c r="I242" s="36">
        <f>_xlfn.IFS(K242&lt;K$24,0,K242&lt;K$26,I$24,K242&lt;K$28,I$26,K242&lt;K$30,I$28,K242&lt;K$32,I$30,K242&lt;K$34,I$32,K242&lt;K$36,I$34,K242&lt;K$38,I$36,K242&lt;K$40,I$38,K242&lt;K$42,I$40,K242&lt;K$44,I$42,K242&lt;K$46,I$44,K242&gt;=K$46,I$46)</f>
        <v/>
      </c>
      <c r="J242" s="37">
        <f>_xlfn.IFS(K242&lt;K$24,0,K242&lt;K$25,J$24,K242&lt;K$26,J$25,K242&lt;K$27,J$26,K242&lt;K$28,J$27,K242&lt;K$29,J$28,K242&lt;K$30,J$29,K242&lt;K$31,J$30,K242&lt;K$32,J$31,K242&lt;K$33,J$32,K242&lt;K$34,J$33,K242&lt;K$35,J$34,K242&lt;K$36,J$35,K242&lt;K$37,J$36,K242&lt;K$38,J$37,K242&lt;K$39,J$38,K242&lt;K$40,J$39,K242&lt;K$41,J$40,K242&lt;K$42,J$41,K242&lt;K$43,J$42,K242&lt;K$44,J$43,K242&lt;K$45,J$44,K242&lt;K$46,J$45,K242&lt;K$47,J$46,K242&gt;=K$47,J$47)</f>
        <v/>
      </c>
      <c r="K242" s="38" t="n">
        <v>192</v>
      </c>
      <c r="L242" s="31">
        <f>K242/52</f>
        <v/>
      </c>
      <c r="M242" s="39">
        <f>J242/1000000*52</f>
        <v/>
      </c>
      <c r="N242" s="33">
        <f>M242/$P$4+($I$22/$P$4)</f>
        <v/>
      </c>
      <c r="U242">
        <f>F241</f>
        <v/>
      </c>
      <c r="V242">
        <f>H241</f>
        <v/>
      </c>
      <c r="W242">
        <f>N241</f>
        <v/>
      </c>
    </row>
    <row r="243" ht="15.75" customHeight="1" s="40">
      <c r="C243" s="36">
        <f>_xlfn.IFS(E243&lt;E$24,0,E243&lt;E$26,C$24,E243&lt;E$28,C$26,E243&lt;E$30,C$28,E243&lt;E$32,C$30,E243&lt;E$34,C$32,E243&gt;=E$34,C$34)</f>
        <v/>
      </c>
      <c r="D243" s="37">
        <f>_xlfn.IFS(E243&lt;E$24,0,E243&lt;E$25,D$24,E243&lt;E$26,D$25,E243&lt;E$27,D$26,E243&lt;E$28,D$27,E243&lt;E$29,D$28,E243&lt;E$30,D$29,E243&lt;E$31,D$30,E243&lt;E$32,D$31,E243&lt;E$33,D$32,E243&lt;E$34,D$33,E243&lt;E$35,D$34,E243&gt;=E$35,D$35)</f>
        <v/>
      </c>
      <c r="E243" s="38" t="n">
        <v>193</v>
      </c>
      <c r="F243" s="31">
        <f>E243/52</f>
        <v/>
      </c>
      <c r="G243" s="39">
        <f>D243/1000000*52</f>
        <v/>
      </c>
      <c r="H243" s="33">
        <f>G243/$P$4+($C$22/$P$4)</f>
        <v/>
      </c>
      <c r="I243" s="36">
        <f>_xlfn.IFS(K243&lt;K$24,0,K243&lt;K$26,I$24,K243&lt;K$28,I$26,K243&lt;K$30,I$28,K243&lt;K$32,I$30,K243&lt;K$34,I$32,K243&lt;K$36,I$34,K243&lt;K$38,I$36,K243&lt;K$40,I$38,K243&lt;K$42,I$40,K243&lt;K$44,I$42,K243&lt;K$46,I$44,K243&gt;=K$46,I$46)</f>
        <v/>
      </c>
      <c r="J243" s="37">
        <f>_xlfn.IFS(K243&lt;K$24,0,K243&lt;K$25,J$24,K243&lt;K$26,J$25,K243&lt;K$27,J$26,K243&lt;K$28,J$27,K243&lt;K$29,J$28,K243&lt;K$30,J$29,K243&lt;K$31,J$30,K243&lt;K$32,J$31,K243&lt;K$33,J$32,K243&lt;K$34,J$33,K243&lt;K$35,J$34,K243&lt;K$36,J$35,K243&lt;K$37,J$36,K243&lt;K$38,J$37,K243&lt;K$39,J$38,K243&lt;K$40,J$39,K243&lt;K$41,J$40,K243&lt;K$42,J$41,K243&lt;K$43,J$42,K243&lt;K$44,J$43,K243&lt;K$45,J$44,K243&lt;K$46,J$45,K243&lt;K$47,J$46,K243&gt;=K$47,J$47)</f>
        <v/>
      </c>
      <c r="K243" s="38" t="n">
        <v>193</v>
      </c>
      <c r="L243" s="31">
        <f>K243/52</f>
        <v/>
      </c>
      <c r="M243" s="39">
        <f>J243/1000000*52</f>
        <v/>
      </c>
      <c r="N243" s="33">
        <f>M243/$P$4+($I$22/$P$4)</f>
        <v/>
      </c>
      <c r="U243">
        <f>F242</f>
        <v/>
      </c>
      <c r="V243">
        <f>H242</f>
        <v/>
      </c>
      <c r="W243">
        <f>N242</f>
        <v/>
      </c>
    </row>
    <row r="244" ht="15.75" customHeight="1" s="40">
      <c r="C244" s="36">
        <f>_xlfn.IFS(E244&lt;E$24,0,E244&lt;E$26,C$24,E244&lt;E$28,C$26,E244&lt;E$30,C$28,E244&lt;E$32,C$30,E244&lt;E$34,C$32,E244&gt;=E$34,C$34)</f>
        <v/>
      </c>
      <c r="D244" s="37">
        <f>_xlfn.IFS(E244&lt;E$24,0,E244&lt;E$25,D$24,E244&lt;E$26,D$25,E244&lt;E$27,D$26,E244&lt;E$28,D$27,E244&lt;E$29,D$28,E244&lt;E$30,D$29,E244&lt;E$31,D$30,E244&lt;E$32,D$31,E244&lt;E$33,D$32,E244&lt;E$34,D$33,E244&lt;E$35,D$34,E244&gt;=E$35,D$35)</f>
        <v/>
      </c>
      <c r="E244" s="38" t="n">
        <v>194</v>
      </c>
      <c r="F244" s="31">
        <f>E244/52</f>
        <v/>
      </c>
      <c r="G244" s="39">
        <f>D244/1000000*52</f>
        <v/>
      </c>
      <c r="H244" s="33">
        <f>G244/$P$4+($C$22/$P$4)</f>
        <v/>
      </c>
      <c r="I244" s="36">
        <f>_xlfn.IFS(K244&lt;K$24,0,K244&lt;K$26,I$24,K244&lt;K$28,I$26,K244&lt;K$30,I$28,K244&lt;K$32,I$30,K244&lt;K$34,I$32,K244&lt;K$36,I$34,K244&lt;K$38,I$36,K244&lt;K$40,I$38,K244&lt;K$42,I$40,K244&lt;K$44,I$42,K244&lt;K$46,I$44,K244&gt;=K$46,I$46)</f>
        <v/>
      </c>
      <c r="J244" s="37">
        <f>_xlfn.IFS(K244&lt;K$24,0,K244&lt;K$25,J$24,K244&lt;K$26,J$25,K244&lt;K$27,J$26,K244&lt;K$28,J$27,K244&lt;K$29,J$28,K244&lt;K$30,J$29,K244&lt;K$31,J$30,K244&lt;K$32,J$31,K244&lt;K$33,J$32,K244&lt;K$34,J$33,K244&lt;K$35,J$34,K244&lt;K$36,J$35,K244&lt;K$37,J$36,K244&lt;K$38,J$37,K244&lt;K$39,J$38,K244&lt;K$40,J$39,K244&lt;K$41,J$40,K244&lt;K$42,J$41,K244&lt;K$43,J$42,K244&lt;K$44,J$43,K244&lt;K$45,J$44,K244&lt;K$46,J$45,K244&lt;K$47,J$46,K244&gt;=K$47,J$47)</f>
        <v/>
      </c>
      <c r="K244" s="38" t="n">
        <v>194</v>
      </c>
      <c r="L244" s="31">
        <f>K244/52</f>
        <v/>
      </c>
      <c r="M244" s="39">
        <f>J244/1000000*52</f>
        <v/>
      </c>
      <c r="N244" s="33">
        <f>M244/$P$4+($I$22/$P$4)</f>
        <v/>
      </c>
      <c r="U244">
        <f>F243</f>
        <v/>
      </c>
      <c r="V244">
        <f>H243</f>
        <v/>
      </c>
      <c r="W244">
        <f>N243</f>
        <v/>
      </c>
    </row>
    <row r="245" ht="15.75" customHeight="1" s="40">
      <c r="C245" s="36">
        <f>_xlfn.IFS(E245&lt;E$24,0,E245&lt;E$26,C$24,E245&lt;E$28,C$26,E245&lt;E$30,C$28,E245&lt;E$32,C$30,E245&lt;E$34,C$32,E245&gt;=E$34,C$34)</f>
        <v/>
      </c>
      <c r="D245" s="37">
        <f>_xlfn.IFS(E245&lt;E$24,0,E245&lt;E$25,D$24,E245&lt;E$26,D$25,E245&lt;E$27,D$26,E245&lt;E$28,D$27,E245&lt;E$29,D$28,E245&lt;E$30,D$29,E245&lt;E$31,D$30,E245&lt;E$32,D$31,E245&lt;E$33,D$32,E245&lt;E$34,D$33,E245&lt;E$35,D$34,E245&gt;=E$35,D$35)</f>
        <v/>
      </c>
      <c r="E245" s="38" t="n">
        <v>195</v>
      </c>
      <c r="F245" s="31">
        <f>E245/52</f>
        <v/>
      </c>
      <c r="G245" s="39">
        <f>D245/1000000*52</f>
        <v/>
      </c>
      <c r="H245" s="33">
        <f>G245/$P$4+($C$22/$P$4)</f>
        <v/>
      </c>
      <c r="I245" s="36">
        <f>_xlfn.IFS(K245&lt;K$24,0,K245&lt;K$26,I$24,K245&lt;K$28,I$26,K245&lt;K$30,I$28,K245&lt;K$32,I$30,K245&lt;K$34,I$32,K245&lt;K$36,I$34,K245&lt;K$38,I$36,K245&lt;K$40,I$38,K245&lt;K$42,I$40,K245&lt;K$44,I$42,K245&lt;K$46,I$44,K245&gt;=K$46,I$46)</f>
        <v/>
      </c>
      <c r="J245" s="37">
        <f>_xlfn.IFS(K245&lt;K$24,0,K245&lt;K$25,J$24,K245&lt;K$26,J$25,K245&lt;K$27,J$26,K245&lt;K$28,J$27,K245&lt;K$29,J$28,K245&lt;K$30,J$29,K245&lt;K$31,J$30,K245&lt;K$32,J$31,K245&lt;K$33,J$32,K245&lt;K$34,J$33,K245&lt;K$35,J$34,K245&lt;K$36,J$35,K245&lt;K$37,J$36,K245&lt;K$38,J$37,K245&lt;K$39,J$38,K245&lt;K$40,J$39,K245&lt;K$41,J$40,K245&lt;K$42,J$41,K245&lt;K$43,J$42,K245&lt;K$44,J$43,K245&lt;K$45,J$44,K245&lt;K$46,J$45,K245&lt;K$47,J$46,K245&gt;=K$47,J$47)</f>
        <v/>
      </c>
      <c r="K245" s="38" t="n">
        <v>195</v>
      </c>
      <c r="L245" s="31">
        <f>K245/52</f>
        <v/>
      </c>
      <c r="M245" s="39">
        <f>J245/1000000*52</f>
        <v/>
      </c>
      <c r="N245" s="33">
        <f>M245/$P$4+($I$22/$P$4)</f>
        <v/>
      </c>
      <c r="U245">
        <f>F244</f>
        <v/>
      </c>
      <c r="V245">
        <f>H244</f>
        <v/>
      </c>
      <c r="W245">
        <f>N244</f>
        <v/>
      </c>
    </row>
    <row r="246" ht="15.75" customHeight="1" s="40">
      <c r="C246" s="36">
        <f>_xlfn.IFS(E246&lt;E$24,0,E246&lt;E$26,C$24,E246&lt;E$28,C$26,E246&lt;E$30,C$28,E246&lt;E$32,C$30,E246&lt;E$34,C$32,E246&gt;=E$34,C$34)</f>
        <v/>
      </c>
      <c r="D246" s="37">
        <f>_xlfn.IFS(E246&lt;E$24,0,E246&lt;E$25,D$24,E246&lt;E$26,D$25,E246&lt;E$27,D$26,E246&lt;E$28,D$27,E246&lt;E$29,D$28,E246&lt;E$30,D$29,E246&lt;E$31,D$30,E246&lt;E$32,D$31,E246&lt;E$33,D$32,E246&lt;E$34,D$33,E246&lt;E$35,D$34,E246&gt;=E$35,D$35)</f>
        <v/>
      </c>
      <c r="E246" s="38" t="n">
        <v>196</v>
      </c>
      <c r="F246" s="31">
        <f>E246/52</f>
        <v/>
      </c>
      <c r="G246" s="39">
        <f>D246/1000000*52</f>
        <v/>
      </c>
      <c r="H246" s="33">
        <f>G246/$P$4+($C$22/$P$4)</f>
        <v/>
      </c>
      <c r="I246" s="36">
        <f>_xlfn.IFS(K246&lt;K$24,0,K246&lt;K$26,I$24,K246&lt;K$28,I$26,K246&lt;K$30,I$28,K246&lt;K$32,I$30,K246&lt;K$34,I$32,K246&lt;K$36,I$34,K246&lt;K$38,I$36,K246&lt;K$40,I$38,K246&lt;K$42,I$40,K246&lt;K$44,I$42,K246&lt;K$46,I$44,K246&gt;=K$46,I$46)</f>
        <v/>
      </c>
      <c r="J246" s="37">
        <f>_xlfn.IFS(K246&lt;K$24,0,K246&lt;K$25,J$24,K246&lt;K$26,J$25,K246&lt;K$27,J$26,K246&lt;K$28,J$27,K246&lt;K$29,J$28,K246&lt;K$30,J$29,K246&lt;K$31,J$30,K246&lt;K$32,J$31,K246&lt;K$33,J$32,K246&lt;K$34,J$33,K246&lt;K$35,J$34,K246&lt;K$36,J$35,K246&lt;K$37,J$36,K246&lt;K$38,J$37,K246&lt;K$39,J$38,K246&lt;K$40,J$39,K246&lt;K$41,J$40,K246&lt;K$42,J$41,K246&lt;K$43,J$42,K246&lt;K$44,J$43,K246&lt;K$45,J$44,K246&lt;K$46,J$45,K246&lt;K$47,J$46,K246&gt;=K$47,J$47)</f>
        <v/>
      </c>
      <c r="K246" s="38" t="n">
        <v>196</v>
      </c>
      <c r="L246" s="31">
        <f>K246/52</f>
        <v/>
      </c>
      <c r="M246" s="39">
        <f>J246/1000000*52</f>
        <v/>
      </c>
      <c r="N246" s="33">
        <f>M246/$P$4+($I$22/$P$4)</f>
        <v/>
      </c>
      <c r="U246">
        <f>F245</f>
        <v/>
      </c>
      <c r="V246">
        <f>H245</f>
        <v/>
      </c>
      <c r="W246">
        <f>N245</f>
        <v/>
      </c>
    </row>
    <row r="247" ht="15.75" customHeight="1" s="40">
      <c r="C247" s="36">
        <f>_xlfn.IFS(E247&lt;E$24,0,E247&lt;E$26,C$24,E247&lt;E$28,C$26,E247&lt;E$30,C$28,E247&lt;E$32,C$30,E247&lt;E$34,C$32,E247&gt;=E$34,C$34)</f>
        <v/>
      </c>
      <c r="D247" s="37">
        <f>_xlfn.IFS(E247&lt;E$24,0,E247&lt;E$25,D$24,E247&lt;E$26,D$25,E247&lt;E$27,D$26,E247&lt;E$28,D$27,E247&lt;E$29,D$28,E247&lt;E$30,D$29,E247&lt;E$31,D$30,E247&lt;E$32,D$31,E247&lt;E$33,D$32,E247&lt;E$34,D$33,E247&lt;E$35,D$34,E247&gt;=E$35,D$35)</f>
        <v/>
      </c>
      <c r="E247" s="38" t="n">
        <v>197</v>
      </c>
      <c r="F247" s="31">
        <f>E247/52</f>
        <v/>
      </c>
      <c r="G247" s="39">
        <f>D247/1000000*52</f>
        <v/>
      </c>
      <c r="H247" s="33">
        <f>G247/$P$4+($C$22/$P$4)</f>
        <v/>
      </c>
      <c r="I247" s="36">
        <f>_xlfn.IFS(K247&lt;K$24,0,K247&lt;K$26,I$24,K247&lt;K$28,I$26,K247&lt;K$30,I$28,K247&lt;K$32,I$30,K247&lt;K$34,I$32,K247&lt;K$36,I$34,K247&lt;K$38,I$36,K247&lt;K$40,I$38,K247&lt;K$42,I$40,K247&lt;K$44,I$42,K247&lt;K$46,I$44,K247&gt;=K$46,I$46)</f>
        <v/>
      </c>
      <c r="J247" s="37">
        <f>_xlfn.IFS(K247&lt;K$24,0,K247&lt;K$25,J$24,K247&lt;K$26,J$25,K247&lt;K$27,J$26,K247&lt;K$28,J$27,K247&lt;K$29,J$28,K247&lt;K$30,J$29,K247&lt;K$31,J$30,K247&lt;K$32,J$31,K247&lt;K$33,J$32,K247&lt;K$34,J$33,K247&lt;K$35,J$34,K247&lt;K$36,J$35,K247&lt;K$37,J$36,K247&lt;K$38,J$37,K247&lt;K$39,J$38,K247&lt;K$40,J$39,K247&lt;K$41,J$40,K247&lt;K$42,J$41,K247&lt;K$43,J$42,K247&lt;K$44,J$43,K247&lt;K$45,J$44,K247&lt;K$46,J$45,K247&lt;K$47,J$46,K247&gt;=K$47,J$47)</f>
        <v/>
      </c>
      <c r="K247" s="38" t="n">
        <v>197</v>
      </c>
      <c r="L247" s="31">
        <f>K247/52</f>
        <v/>
      </c>
      <c r="M247" s="39">
        <f>J247/1000000*52</f>
        <v/>
      </c>
      <c r="N247" s="33">
        <f>M247/$P$4+($I$22/$P$4)</f>
        <v/>
      </c>
      <c r="U247">
        <f>F246</f>
        <v/>
      </c>
      <c r="V247">
        <f>H246</f>
        <v/>
      </c>
      <c r="W247">
        <f>N246</f>
        <v/>
      </c>
    </row>
    <row r="248" ht="15.75" customHeight="1" s="40">
      <c r="C248" s="36">
        <f>_xlfn.IFS(E248&lt;E$24,0,E248&lt;E$26,C$24,E248&lt;E$28,C$26,E248&lt;E$30,C$28,E248&lt;E$32,C$30,E248&lt;E$34,C$32,E248&gt;=E$34,C$34)</f>
        <v/>
      </c>
      <c r="D248" s="37">
        <f>_xlfn.IFS(E248&lt;E$24,0,E248&lt;E$25,D$24,E248&lt;E$26,D$25,E248&lt;E$27,D$26,E248&lt;E$28,D$27,E248&lt;E$29,D$28,E248&lt;E$30,D$29,E248&lt;E$31,D$30,E248&lt;E$32,D$31,E248&lt;E$33,D$32,E248&lt;E$34,D$33,E248&lt;E$35,D$34,E248&gt;=E$35,D$35)</f>
        <v/>
      </c>
      <c r="E248" s="38" t="n">
        <v>198</v>
      </c>
      <c r="F248" s="31">
        <f>E248/52</f>
        <v/>
      </c>
      <c r="G248" s="39">
        <f>D248/1000000*52</f>
        <v/>
      </c>
      <c r="H248" s="33">
        <f>G248/$P$4+($C$22/$P$4)</f>
        <v/>
      </c>
      <c r="I248" s="36">
        <f>_xlfn.IFS(K248&lt;K$24,0,K248&lt;K$26,I$24,K248&lt;K$28,I$26,K248&lt;K$30,I$28,K248&lt;K$32,I$30,K248&lt;K$34,I$32,K248&lt;K$36,I$34,K248&lt;K$38,I$36,K248&lt;K$40,I$38,K248&lt;K$42,I$40,K248&lt;K$44,I$42,K248&lt;K$46,I$44,K248&gt;=K$46,I$46)</f>
        <v/>
      </c>
      <c r="J248" s="37">
        <f>_xlfn.IFS(K248&lt;K$24,0,K248&lt;K$25,J$24,K248&lt;K$26,J$25,K248&lt;K$27,J$26,K248&lt;K$28,J$27,K248&lt;K$29,J$28,K248&lt;K$30,J$29,K248&lt;K$31,J$30,K248&lt;K$32,J$31,K248&lt;K$33,J$32,K248&lt;K$34,J$33,K248&lt;K$35,J$34,K248&lt;K$36,J$35,K248&lt;K$37,J$36,K248&lt;K$38,J$37,K248&lt;K$39,J$38,K248&lt;K$40,J$39,K248&lt;K$41,J$40,K248&lt;K$42,J$41,K248&lt;K$43,J$42,K248&lt;K$44,J$43,K248&lt;K$45,J$44,K248&lt;K$46,J$45,K248&lt;K$47,J$46,K248&gt;=K$47,J$47)</f>
        <v/>
      </c>
      <c r="K248" s="38" t="n">
        <v>198</v>
      </c>
      <c r="L248" s="31">
        <f>K248/52</f>
        <v/>
      </c>
      <c r="M248" s="39">
        <f>J248/1000000*52</f>
        <v/>
      </c>
      <c r="N248" s="33">
        <f>M248/$P$4+($I$22/$P$4)</f>
        <v/>
      </c>
      <c r="U248">
        <f>F247</f>
        <v/>
      </c>
      <c r="V248">
        <f>H247</f>
        <v/>
      </c>
      <c r="W248">
        <f>N247</f>
        <v/>
      </c>
    </row>
    <row r="249" ht="15.75" customHeight="1" s="40">
      <c r="C249" s="36">
        <f>_xlfn.IFS(E249&lt;E$24,0,E249&lt;E$26,C$24,E249&lt;E$28,C$26,E249&lt;E$30,C$28,E249&lt;E$32,C$30,E249&lt;E$34,C$32,E249&gt;=E$34,C$34)</f>
        <v/>
      </c>
      <c r="D249" s="37">
        <f>_xlfn.IFS(E249&lt;E$24,0,E249&lt;E$25,D$24,E249&lt;E$26,D$25,E249&lt;E$27,D$26,E249&lt;E$28,D$27,E249&lt;E$29,D$28,E249&lt;E$30,D$29,E249&lt;E$31,D$30,E249&lt;E$32,D$31,E249&lt;E$33,D$32,E249&lt;E$34,D$33,E249&lt;E$35,D$34,E249&gt;=E$35,D$35)</f>
        <v/>
      </c>
      <c r="E249" s="38" t="n">
        <v>199</v>
      </c>
      <c r="F249" s="31">
        <f>E249/52</f>
        <v/>
      </c>
      <c r="G249" s="39">
        <f>D249/1000000*52</f>
        <v/>
      </c>
      <c r="H249" s="33">
        <f>G249/$P$4+($C$22/$P$4)</f>
        <v/>
      </c>
      <c r="I249" s="36">
        <f>_xlfn.IFS(K249&lt;K$24,0,K249&lt;K$26,I$24,K249&lt;K$28,I$26,K249&lt;K$30,I$28,K249&lt;K$32,I$30,K249&lt;K$34,I$32,K249&lt;K$36,I$34,K249&lt;K$38,I$36,K249&lt;K$40,I$38,K249&lt;K$42,I$40,K249&lt;K$44,I$42,K249&lt;K$46,I$44,K249&gt;=K$46,I$46)</f>
        <v/>
      </c>
      <c r="J249" s="37">
        <f>_xlfn.IFS(K249&lt;K$24,0,K249&lt;K$25,J$24,K249&lt;K$26,J$25,K249&lt;K$27,J$26,K249&lt;K$28,J$27,K249&lt;K$29,J$28,K249&lt;K$30,J$29,K249&lt;K$31,J$30,K249&lt;K$32,J$31,K249&lt;K$33,J$32,K249&lt;K$34,J$33,K249&lt;K$35,J$34,K249&lt;K$36,J$35,K249&lt;K$37,J$36,K249&lt;K$38,J$37,K249&lt;K$39,J$38,K249&lt;K$40,J$39,K249&lt;K$41,J$40,K249&lt;K$42,J$41,K249&lt;K$43,J$42,K249&lt;K$44,J$43,K249&lt;K$45,J$44,K249&lt;K$46,J$45,K249&lt;K$47,J$46,K249&gt;=K$47,J$47)</f>
        <v/>
      </c>
      <c r="K249" s="38" t="n">
        <v>199</v>
      </c>
      <c r="L249" s="31">
        <f>K249/52</f>
        <v/>
      </c>
      <c r="M249" s="39">
        <f>J249/1000000*52</f>
        <v/>
      </c>
      <c r="N249" s="33">
        <f>M249/$P$4+($I$22/$P$4)</f>
        <v/>
      </c>
      <c r="U249">
        <f>F248</f>
        <v/>
      </c>
      <c r="V249">
        <f>H248</f>
        <v/>
      </c>
      <c r="W249">
        <f>N248</f>
        <v/>
      </c>
    </row>
    <row r="250" ht="15.75" customHeight="1" s="40">
      <c r="C250" s="36">
        <f>_xlfn.IFS(E250&lt;E$24,0,E250&lt;E$26,C$24,E250&lt;E$28,C$26,E250&lt;E$30,C$28,E250&lt;E$32,C$30,E250&lt;E$34,C$32,E250&gt;=E$34,C$34)</f>
        <v/>
      </c>
      <c r="D250" s="37">
        <f>_xlfn.IFS(E250&lt;E$24,0,E250&lt;E$25,D$24,E250&lt;E$26,D$25,E250&lt;E$27,D$26,E250&lt;E$28,D$27,E250&lt;E$29,D$28,E250&lt;E$30,D$29,E250&lt;E$31,D$30,E250&lt;E$32,D$31,E250&lt;E$33,D$32,E250&lt;E$34,D$33,E250&lt;E$35,D$34,E250&gt;=E$35,D$35)</f>
        <v/>
      </c>
      <c r="E250" s="38" t="n">
        <v>200</v>
      </c>
      <c r="F250" s="31">
        <f>E250/52</f>
        <v/>
      </c>
      <c r="G250" s="39">
        <f>D250/1000000*52</f>
        <v/>
      </c>
      <c r="H250" s="33">
        <f>G250/$P$4+($C$22/$P$4)</f>
        <v/>
      </c>
      <c r="I250" s="36">
        <f>_xlfn.IFS(K250&lt;K$24,0,K250&lt;K$26,I$24,K250&lt;K$28,I$26,K250&lt;K$30,I$28,K250&lt;K$32,I$30,K250&lt;K$34,I$32,K250&lt;K$36,I$34,K250&lt;K$38,I$36,K250&lt;K$40,I$38,K250&lt;K$42,I$40,K250&lt;K$44,I$42,K250&lt;K$46,I$44,K250&gt;=K$46,I$46)</f>
        <v/>
      </c>
      <c r="J250" s="37">
        <f>_xlfn.IFS(K250&lt;K$24,0,K250&lt;K$25,J$24,K250&lt;K$26,J$25,K250&lt;K$27,J$26,K250&lt;K$28,J$27,K250&lt;K$29,J$28,K250&lt;K$30,J$29,K250&lt;K$31,J$30,K250&lt;K$32,J$31,K250&lt;K$33,J$32,K250&lt;K$34,J$33,K250&lt;K$35,J$34,K250&lt;K$36,J$35,K250&lt;K$37,J$36,K250&lt;K$38,J$37,K250&lt;K$39,J$38,K250&lt;K$40,J$39,K250&lt;K$41,J$40,K250&lt;K$42,J$41,K250&lt;K$43,J$42,K250&lt;K$44,J$43,K250&lt;K$45,J$44,K250&lt;K$46,J$45,K250&lt;K$47,J$46,K250&gt;=K$47,J$47)</f>
        <v/>
      </c>
      <c r="K250" s="38" t="n">
        <v>200</v>
      </c>
      <c r="L250" s="31">
        <f>K250/52</f>
        <v/>
      </c>
      <c r="M250" s="39">
        <f>J250/1000000*52</f>
        <v/>
      </c>
      <c r="N250" s="33">
        <f>M250/$P$4+($I$22/$P$4)</f>
        <v/>
      </c>
      <c r="U250">
        <f>F249</f>
        <v/>
      </c>
      <c r="V250">
        <f>H249</f>
        <v/>
      </c>
      <c r="W250">
        <f>N249</f>
        <v/>
      </c>
    </row>
    <row r="251" ht="15.75" customHeight="1" s="40">
      <c r="C251" s="36">
        <f>_xlfn.IFS(E251&lt;E$24,0,E251&lt;E$26,C$24,E251&lt;E$28,C$26,E251&lt;E$30,C$28,E251&lt;E$32,C$30,E251&lt;E$34,C$32,E251&gt;=E$34,C$34)</f>
        <v/>
      </c>
      <c r="D251" s="37">
        <f>_xlfn.IFS(E251&lt;E$24,0,E251&lt;E$25,D$24,E251&lt;E$26,D$25,E251&lt;E$27,D$26,E251&lt;E$28,D$27,E251&lt;E$29,D$28,E251&lt;E$30,D$29,E251&lt;E$31,D$30,E251&lt;E$32,D$31,E251&lt;E$33,D$32,E251&lt;E$34,D$33,E251&lt;E$35,D$34,E251&gt;=E$35,D$35)</f>
        <v/>
      </c>
      <c r="E251" s="38" t="n">
        <v>201</v>
      </c>
      <c r="F251" s="31">
        <f>E251/52</f>
        <v/>
      </c>
      <c r="G251" s="39">
        <f>D251/1000000*52</f>
        <v/>
      </c>
      <c r="H251" s="33">
        <f>G251/$P$4+($C$22/$P$4)</f>
        <v/>
      </c>
      <c r="I251" s="36">
        <f>_xlfn.IFS(K251&lt;K$24,0,K251&lt;K$26,I$24,K251&lt;K$28,I$26,K251&lt;K$30,I$28,K251&lt;K$32,I$30,K251&lt;K$34,I$32,K251&lt;K$36,I$34,K251&lt;K$38,I$36,K251&lt;K$40,I$38,K251&lt;K$42,I$40,K251&lt;K$44,I$42,K251&lt;K$46,I$44,K251&gt;=K$46,I$46)</f>
        <v/>
      </c>
      <c r="J251" s="37">
        <f>_xlfn.IFS(K251&lt;K$24,0,K251&lt;K$25,J$24,K251&lt;K$26,J$25,K251&lt;K$27,J$26,K251&lt;K$28,J$27,K251&lt;K$29,J$28,K251&lt;K$30,J$29,K251&lt;K$31,J$30,K251&lt;K$32,J$31,K251&lt;K$33,J$32,K251&lt;K$34,J$33,K251&lt;K$35,J$34,K251&lt;K$36,J$35,K251&lt;K$37,J$36,K251&lt;K$38,J$37,K251&lt;K$39,J$38,K251&lt;K$40,J$39,K251&lt;K$41,J$40,K251&lt;K$42,J$41,K251&lt;K$43,J$42,K251&lt;K$44,J$43,K251&lt;K$45,J$44,K251&lt;K$46,J$45,K251&lt;K$47,J$46,K251&gt;=K$47,J$47)</f>
        <v/>
      </c>
      <c r="K251" s="38" t="n">
        <v>201</v>
      </c>
      <c r="L251" s="31">
        <f>K251/52</f>
        <v/>
      </c>
      <c r="M251" s="39">
        <f>J251/1000000*52</f>
        <v/>
      </c>
      <c r="N251" s="33">
        <f>M251/$P$4+($I$22/$P$4)</f>
        <v/>
      </c>
      <c r="U251">
        <f>F250</f>
        <v/>
      </c>
      <c r="V251">
        <f>H250</f>
        <v/>
      </c>
      <c r="W251">
        <f>N250</f>
        <v/>
      </c>
    </row>
    <row r="252" ht="15.75" customHeight="1" s="40">
      <c r="C252" s="36">
        <f>_xlfn.IFS(E252&lt;E$24,0,E252&lt;E$26,C$24,E252&lt;E$28,C$26,E252&lt;E$30,C$28,E252&lt;E$32,C$30,E252&lt;E$34,C$32,E252&gt;=E$34,C$34)</f>
        <v/>
      </c>
      <c r="D252" s="37">
        <f>_xlfn.IFS(E252&lt;E$24,0,E252&lt;E$25,D$24,E252&lt;E$26,D$25,E252&lt;E$27,D$26,E252&lt;E$28,D$27,E252&lt;E$29,D$28,E252&lt;E$30,D$29,E252&lt;E$31,D$30,E252&lt;E$32,D$31,E252&lt;E$33,D$32,E252&lt;E$34,D$33,E252&lt;E$35,D$34,E252&gt;=E$35,D$35)</f>
        <v/>
      </c>
      <c r="E252" s="38" t="n">
        <v>202</v>
      </c>
      <c r="F252" s="31">
        <f>E252/52</f>
        <v/>
      </c>
      <c r="G252" s="39">
        <f>D252/1000000*52</f>
        <v/>
      </c>
      <c r="H252" s="33">
        <f>G252/$P$4+($C$22/$P$4)</f>
        <v/>
      </c>
      <c r="I252" s="36">
        <f>_xlfn.IFS(K252&lt;K$24,0,K252&lt;K$26,I$24,K252&lt;K$28,I$26,K252&lt;K$30,I$28,K252&lt;K$32,I$30,K252&lt;K$34,I$32,K252&lt;K$36,I$34,K252&lt;K$38,I$36,K252&lt;K$40,I$38,K252&lt;K$42,I$40,K252&lt;K$44,I$42,K252&lt;K$46,I$44,K252&gt;=K$46,I$46)</f>
        <v/>
      </c>
      <c r="J252" s="37">
        <f>_xlfn.IFS(K252&lt;K$24,0,K252&lt;K$25,J$24,K252&lt;K$26,J$25,K252&lt;K$27,J$26,K252&lt;K$28,J$27,K252&lt;K$29,J$28,K252&lt;K$30,J$29,K252&lt;K$31,J$30,K252&lt;K$32,J$31,K252&lt;K$33,J$32,K252&lt;K$34,J$33,K252&lt;K$35,J$34,K252&lt;K$36,J$35,K252&lt;K$37,J$36,K252&lt;K$38,J$37,K252&lt;K$39,J$38,K252&lt;K$40,J$39,K252&lt;K$41,J$40,K252&lt;K$42,J$41,K252&lt;K$43,J$42,K252&lt;K$44,J$43,K252&lt;K$45,J$44,K252&lt;K$46,J$45,K252&lt;K$47,J$46,K252&gt;=K$47,J$47)</f>
        <v/>
      </c>
      <c r="K252" s="38" t="n">
        <v>202</v>
      </c>
      <c r="L252" s="31">
        <f>K252/52</f>
        <v/>
      </c>
      <c r="M252" s="39">
        <f>J252/1000000*52</f>
        <v/>
      </c>
      <c r="N252" s="33">
        <f>M252/$P$4+($I$22/$P$4)</f>
        <v/>
      </c>
      <c r="U252">
        <f>F251</f>
        <v/>
      </c>
      <c r="V252">
        <f>H251</f>
        <v/>
      </c>
      <c r="W252">
        <f>N251</f>
        <v/>
      </c>
    </row>
    <row r="253" ht="15.75" customHeight="1" s="40">
      <c r="C253" s="36">
        <f>_xlfn.IFS(E253&lt;E$24,0,E253&lt;E$26,C$24,E253&lt;E$28,C$26,E253&lt;E$30,C$28,E253&lt;E$32,C$30,E253&lt;E$34,C$32,E253&gt;=E$34,C$34)</f>
        <v/>
      </c>
      <c r="D253" s="37">
        <f>_xlfn.IFS(E253&lt;E$24,0,E253&lt;E$25,D$24,E253&lt;E$26,D$25,E253&lt;E$27,D$26,E253&lt;E$28,D$27,E253&lt;E$29,D$28,E253&lt;E$30,D$29,E253&lt;E$31,D$30,E253&lt;E$32,D$31,E253&lt;E$33,D$32,E253&lt;E$34,D$33,E253&lt;E$35,D$34,E253&gt;=E$35,D$35)</f>
        <v/>
      </c>
      <c r="E253" s="38" t="n">
        <v>203</v>
      </c>
      <c r="F253" s="31">
        <f>E253/52</f>
        <v/>
      </c>
      <c r="G253" s="39">
        <f>D253/1000000*52</f>
        <v/>
      </c>
      <c r="H253" s="33">
        <f>G253/$P$4+($C$22/$P$4)</f>
        <v/>
      </c>
      <c r="I253" s="36">
        <f>_xlfn.IFS(K253&lt;K$24,0,K253&lt;K$26,I$24,K253&lt;K$28,I$26,K253&lt;K$30,I$28,K253&lt;K$32,I$30,K253&lt;K$34,I$32,K253&lt;K$36,I$34,K253&lt;K$38,I$36,K253&lt;K$40,I$38,K253&lt;K$42,I$40,K253&lt;K$44,I$42,K253&lt;K$46,I$44,K253&gt;=K$46,I$46)</f>
        <v/>
      </c>
      <c r="J253" s="37">
        <f>_xlfn.IFS(K253&lt;K$24,0,K253&lt;K$25,J$24,K253&lt;K$26,J$25,K253&lt;K$27,J$26,K253&lt;K$28,J$27,K253&lt;K$29,J$28,K253&lt;K$30,J$29,K253&lt;K$31,J$30,K253&lt;K$32,J$31,K253&lt;K$33,J$32,K253&lt;K$34,J$33,K253&lt;K$35,J$34,K253&lt;K$36,J$35,K253&lt;K$37,J$36,K253&lt;K$38,J$37,K253&lt;K$39,J$38,K253&lt;K$40,J$39,K253&lt;K$41,J$40,K253&lt;K$42,J$41,K253&lt;K$43,J$42,K253&lt;K$44,J$43,K253&lt;K$45,J$44,K253&lt;K$46,J$45,K253&lt;K$47,J$46,K253&gt;=K$47,J$47)</f>
        <v/>
      </c>
      <c r="K253" s="38" t="n">
        <v>203</v>
      </c>
      <c r="L253" s="31">
        <f>K253/52</f>
        <v/>
      </c>
      <c r="M253" s="39">
        <f>J253/1000000*52</f>
        <v/>
      </c>
      <c r="N253" s="33">
        <f>M253/$P$4+($I$22/$P$4)</f>
        <v/>
      </c>
      <c r="U253">
        <f>F252</f>
        <v/>
      </c>
      <c r="V253">
        <f>H252</f>
        <v/>
      </c>
      <c r="W253">
        <f>N252</f>
        <v/>
      </c>
    </row>
    <row r="254" ht="15.75" customHeight="1" s="40">
      <c r="C254" s="36">
        <f>_xlfn.IFS(E254&lt;E$24,0,E254&lt;E$26,C$24,E254&lt;E$28,C$26,E254&lt;E$30,C$28,E254&lt;E$32,C$30,E254&lt;E$34,C$32,E254&gt;=E$34,C$34)</f>
        <v/>
      </c>
      <c r="D254" s="37">
        <f>_xlfn.IFS(E254&lt;E$24,0,E254&lt;E$25,D$24,E254&lt;E$26,D$25,E254&lt;E$27,D$26,E254&lt;E$28,D$27,E254&lt;E$29,D$28,E254&lt;E$30,D$29,E254&lt;E$31,D$30,E254&lt;E$32,D$31,E254&lt;E$33,D$32,E254&lt;E$34,D$33,E254&lt;E$35,D$34,E254&gt;=E$35,D$35)</f>
        <v/>
      </c>
      <c r="E254" s="38" t="n">
        <v>204</v>
      </c>
      <c r="F254" s="31">
        <f>E254/52</f>
        <v/>
      </c>
      <c r="G254" s="39">
        <f>D254/1000000*52</f>
        <v/>
      </c>
      <c r="H254" s="33">
        <f>G254/$P$4+($C$22/$P$4)</f>
        <v/>
      </c>
      <c r="I254" s="36">
        <f>_xlfn.IFS(K254&lt;K$24,0,K254&lt;K$26,I$24,K254&lt;K$28,I$26,K254&lt;K$30,I$28,K254&lt;K$32,I$30,K254&lt;K$34,I$32,K254&lt;K$36,I$34,K254&lt;K$38,I$36,K254&lt;K$40,I$38,K254&lt;K$42,I$40,K254&lt;K$44,I$42,K254&lt;K$46,I$44,K254&gt;=K$46,I$46)</f>
        <v/>
      </c>
      <c r="J254" s="37">
        <f>_xlfn.IFS(K254&lt;K$24,0,K254&lt;K$25,J$24,K254&lt;K$26,J$25,K254&lt;K$27,J$26,K254&lt;K$28,J$27,K254&lt;K$29,J$28,K254&lt;K$30,J$29,K254&lt;K$31,J$30,K254&lt;K$32,J$31,K254&lt;K$33,J$32,K254&lt;K$34,J$33,K254&lt;K$35,J$34,K254&lt;K$36,J$35,K254&lt;K$37,J$36,K254&lt;K$38,J$37,K254&lt;K$39,J$38,K254&lt;K$40,J$39,K254&lt;K$41,J$40,K254&lt;K$42,J$41,K254&lt;K$43,J$42,K254&lt;K$44,J$43,K254&lt;K$45,J$44,K254&lt;K$46,J$45,K254&lt;K$47,J$46,K254&gt;=K$47,J$47)</f>
        <v/>
      </c>
      <c r="K254" s="38" t="n">
        <v>204</v>
      </c>
      <c r="L254" s="31">
        <f>K254/52</f>
        <v/>
      </c>
      <c r="M254" s="39">
        <f>J254/1000000*52</f>
        <v/>
      </c>
      <c r="N254" s="33">
        <f>M254/$P$4+($I$22/$P$4)</f>
        <v/>
      </c>
      <c r="U254">
        <f>F253</f>
        <v/>
      </c>
      <c r="V254">
        <f>H253</f>
        <v/>
      </c>
      <c r="W254">
        <f>N253</f>
        <v/>
      </c>
    </row>
    <row r="255" ht="15.75" customHeight="1" s="40">
      <c r="C255" s="36">
        <f>_xlfn.IFS(E255&lt;E$24,0,E255&lt;E$26,C$24,E255&lt;E$28,C$26,E255&lt;E$30,C$28,E255&lt;E$32,C$30,E255&lt;E$34,C$32,E255&gt;=E$34,C$34)</f>
        <v/>
      </c>
      <c r="D255" s="37">
        <f>_xlfn.IFS(E255&lt;E$24,0,E255&lt;E$25,D$24,E255&lt;E$26,D$25,E255&lt;E$27,D$26,E255&lt;E$28,D$27,E255&lt;E$29,D$28,E255&lt;E$30,D$29,E255&lt;E$31,D$30,E255&lt;E$32,D$31,E255&lt;E$33,D$32,E255&lt;E$34,D$33,E255&lt;E$35,D$34,E255&gt;=E$35,D$35)</f>
        <v/>
      </c>
      <c r="E255" s="38" t="n">
        <v>205</v>
      </c>
      <c r="F255" s="31">
        <f>E255/52</f>
        <v/>
      </c>
      <c r="G255" s="39">
        <f>D255/1000000*52</f>
        <v/>
      </c>
      <c r="H255" s="33">
        <f>G255/$P$4+($C$22/$P$4)</f>
        <v/>
      </c>
      <c r="I255" s="36">
        <f>_xlfn.IFS(K255&lt;K$24,0,K255&lt;K$26,I$24,K255&lt;K$28,I$26,K255&lt;K$30,I$28,K255&lt;K$32,I$30,K255&lt;K$34,I$32,K255&lt;K$36,I$34,K255&lt;K$38,I$36,K255&lt;K$40,I$38,K255&lt;K$42,I$40,K255&lt;K$44,I$42,K255&lt;K$46,I$44,K255&gt;=K$46,I$46)</f>
        <v/>
      </c>
      <c r="J255" s="37">
        <f>_xlfn.IFS(K255&lt;K$24,0,K255&lt;K$25,J$24,K255&lt;K$26,J$25,K255&lt;K$27,J$26,K255&lt;K$28,J$27,K255&lt;K$29,J$28,K255&lt;K$30,J$29,K255&lt;K$31,J$30,K255&lt;K$32,J$31,K255&lt;K$33,J$32,K255&lt;K$34,J$33,K255&lt;K$35,J$34,K255&lt;K$36,J$35,K255&lt;K$37,J$36,K255&lt;K$38,J$37,K255&lt;K$39,J$38,K255&lt;K$40,J$39,K255&lt;K$41,J$40,K255&lt;K$42,J$41,K255&lt;K$43,J$42,K255&lt;K$44,J$43,K255&lt;K$45,J$44,K255&lt;K$46,J$45,K255&lt;K$47,J$46,K255&gt;=K$47,J$47)</f>
        <v/>
      </c>
      <c r="K255" s="38" t="n">
        <v>205</v>
      </c>
      <c r="L255" s="31">
        <f>K255/52</f>
        <v/>
      </c>
      <c r="M255" s="39">
        <f>J255/1000000*52</f>
        <v/>
      </c>
      <c r="N255" s="33">
        <f>M255/$P$4+($I$22/$P$4)</f>
        <v/>
      </c>
      <c r="U255">
        <f>F254</f>
        <v/>
      </c>
      <c r="V255">
        <f>H254</f>
        <v/>
      </c>
      <c r="W255">
        <f>N254</f>
        <v/>
      </c>
    </row>
    <row r="256" ht="15.75" customHeight="1" s="40">
      <c r="C256" s="36">
        <f>_xlfn.IFS(E256&lt;E$24,0,E256&lt;E$26,C$24,E256&lt;E$28,C$26,E256&lt;E$30,C$28,E256&lt;E$32,C$30,E256&lt;E$34,C$32,E256&gt;=E$34,C$34)</f>
        <v/>
      </c>
      <c r="D256" s="37">
        <f>_xlfn.IFS(E256&lt;E$24,0,E256&lt;E$25,D$24,E256&lt;E$26,D$25,E256&lt;E$27,D$26,E256&lt;E$28,D$27,E256&lt;E$29,D$28,E256&lt;E$30,D$29,E256&lt;E$31,D$30,E256&lt;E$32,D$31,E256&lt;E$33,D$32,E256&lt;E$34,D$33,E256&lt;E$35,D$34,E256&gt;=E$35,D$35)</f>
        <v/>
      </c>
      <c r="E256" s="38" t="n">
        <v>206</v>
      </c>
      <c r="F256" s="31">
        <f>E256/52</f>
        <v/>
      </c>
      <c r="G256" s="39">
        <f>D256/1000000*52</f>
        <v/>
      </c>
      <c r="H256" s="33">
        <f>G256/$P$4+($C$22/$P$4)</f>
        <v/>
      </c>
      <c r="I256" s="36">
        <f>_xlfn.IFS(K256&lt;K$24,0,K256&lt;K$26,I$24,K256&lt;K$28,I$26,K256&lt;K$30,I$28,K256&lt;K$32,I$30,K256&lt;K$34,I$32,K256&lt;K$36,I$34,K256&lt;K$38,I$36,K256&lt;K$40,I$38,K256&lt;K$42,I$40,K256&lt;K$44,I$42,K256&lt;K$46,I$44,K256&gt;=K$46,I$46)</f>
        <v/>
      </c>
      <c r="J256" s="37">
        <f>_xlfn.IFS(K256&lt;K$24,0,K256&lt;K$25,J$24,K256&lt;K$26,J$25,K256&lt;K$27,J$26,K256&lt;K$28,J$27,K256&lt;K$29,J$28,K256&lt;K$30,J$29,K256&lt;K$31,J$30,K256&lt;K$32,J$31,K256&lt;K$33,J$32,K256&lt;K$34,J$33,K256&lt;K$35,J$34,K256&lt;K$36,J$35,K256&lt;K$37,J$36,K256&lt;K$38,J$37,K256&lt;K$39,J$38,K256&lt;K$40,J$39,K256&lt;K$41,J$40,K256&lt;K$42,J$41,K256&lt;K$43,J$42,K256&lt;K$44,J$43,K256&lt;K$45,J$44,K256&lt;K$46,J$45,K256&lt;K$47,J$46,K256&gt;=K$47,J$47)</f>
        <v/>
      </c>
      <c r="K256" s="38" t="n">
        <v>206</v>
      </c>
      <c r="L256" s="31">
        <f>K256/52</f>
        <v/>
      </c>
      <c r="M256" s="39">
        <f>J256/1000000*52</f>
        <v/>
      </c>
      <c r="N256" s="33">
        <f>M256/$P$4+($I$22/$P$4)</f>
        <v/>
      </c>
      <c r="U256">
        <f>F255</f>
        <v/>
      </c>
      <c r="V256">
        <f>H255</f>
        <v/>
      </c>
      <c r="W256">
        <f>N255</f>
        <v/>
      </c>
    </row>
    <row r="257" ht="15.75" customHeight="1" s="40">
      <c r="C257" s="36">
        <f>_xlfn.IFS(E257&lt;E$24,0,E257&lt;E$26,C$24,E257&lt;E$28,C$26,E257&lt;E$30,C$28,E257&lt;E$32,C$30,E257&lt;E$34,C$32,E257&gt;=E$34,C$34)</f>
        <v/>
      </c>
      <c r="D257" s="37">
        <f>_xlfn.IFS(E257&lt;E$24,0,E257&lt;E$25,D$24,E257&lt;E$26,D$25,E257&lt;E$27,D$26,E257&lt;E$28,D$27,E257&lt;E$29,D$28,E257&lt;E$30,D$29,E257&lt;E$31,D$30,E257&lt;E$32,D$31,E257&lt;E$33,D$32,E257&lt;E$34,D$33,E257&lt;E$35,D$34,E257&gt;=E$35,D$35)</f>
        <v/>
      </c>
      <c r="E257" s="38" t="n">
        <v>207</v>
      </c>
      <c r="F257" s="31">
        <f>E257/52</f>
        <v/>
      </c>
      <c r="G257" s="39">
        <f>D257/1000000*52</f>
        <v/>
      </c>
      <c r="H257" s="33">
        <f>G257/$P$4+($C$22/$P$4)</f>
        <v/>
      </c>
      <c r="I257" s="36">
        <f>_xlfn.IFS(K257&lt;K$24,0,K257&lt;K$26,I$24,K257&lt;K$28,I$26,K257&lt;K$30,I$28,K257&lt;K$32,I$30,K257&lt;K$34,I$32,K257&lt;K$36,I$34,K257&lt;K$38,I$36,K257&lt;K$40,I$38,K257&lt;K$42,I$40,K257&lt;K$44,I$42,K257&lt;K$46,I$44,K257&gt;=K$46,I$46)</f>
        <v/>
      </c>
      <c r="J257" s="37">
        <f>_xlfn.IFS(K257&lt;K$24,0,K257&lt;K$25,J$24,K257&lt;K$26,J$25,K257&lt;K$27,J$26,K257&lt;K$28,J$27,K257&lt;K$29,J$28,K257&lt;K$30,J$29,K257&lt;K$31,J$30,K257&lt;K$32,J$31,K257&lt;K$33,J$32,K257&lt;K$34,J$33,K257&lt;K$35,J$34,K257&lt;K$36,J$35,K257&lt;K$37,J$36,K257&lt;K$38,J$37,K257&lt;K$39,J$38,K257&lt;K$40,J$39,K257&lt;K$41,J$40,K257&lt;K$42,J$41,K257&lt;K$43,J$42,K257&lt;K$44,J$43,K257&lt;K$45,J$44,K257&lt;K$46,J$45,K257&lt;K$47,J$46,K257&gt;=K$47,J$47)</f>
        <v/>
      </c>
      <c r="K257" s="38" t="n">
        <v>207</v>
      </c>
      <c r="L257" s="31">
        <f>K257/52</f>
        <v/>
      </c>
      <c r="M257" s="39">
        <f>J257/1000000*52</f>
        <v/>
      </c>
      <c r="N257" s="33">
        <f>M257/$P$4+($I$22/$P$4)</f>
        <v/>
      </c>
      <c r="U257">
        <f>F256</f>
        <v/>
      </c>
      <c r="V257">
        <f>H256</f>
        <v/>
      </c>
      <c r="W257">
        <f>N256</f>
        <v/>
      </c>
    </row>
    <row r="258" ht="15.75" customHeight="1" s="40">
      <c r="C258" s="36">
        <f>_xlfn.IFS(E258&lt;E$24,0,E258&lt;E$26,C$24,E258&lt;E$28,C$26,E258&lt;E$30,C$28,E258&lt;E$32,C$30,E258&lt;E$34,C$32,E258&gt;=E$34,C$34)</f>
        <v/>
      </c>
      <c r="D258" s="37">
        <f>_xlfn.IFS(E258&lt;E$24,0,E258&lt;E$25,D$24,E258&lt;E$26,D$25,E258&lt;E$27,D$26,E258&lt;E$28,D$27,E258&lt;E$29,D$28,E258&lt;E$30,D$29,E258&lt;E$31,D$30,E258&lt;E$32,D$31,E258&lt;E$33,D$32,E258&lt;E$34,D$33,E258&lt;E$35,D$34,E258&gt;=E$35,D$35)</f>
        <v/>
      </c>
      <c r="E258" s="38" t="n">
        <v>208</v>
      </c>
      <c r="F258" s="31">
        <f>E258/52</f>
        <v/>
      </c>
      <c r="G258" s="39">
        <f>D258/1000000*52</f>
        <v/>
      </c>
      <c r="H258" s="33">
        <f>G258/$P$4+($C$22/$P$4)</f>
        <v/>
      </c>
      <c r="I258" s="36">
        <f>_xlfn.IFS(K258&lt;K$24,0,K258&lt;K$26,I$24,K258&lt;K$28,I$26,K258&lt;K$30,I$28,K258&lt;K$32,I$30,K258&lt;K$34,I$32,K258&lt;K$36,I$34,K258&lt;K$38,I$36,K258&lt;K$40,I$38,K258&lt;K$42,I$40,K258&lt;K$44,I$42,K258&lt;K$46,I$44,K258&gt;=K$46,I$46)</f>
        <v/>
      </c>
      <c r="J258" s="37">
        <f>_xlfn.IFS(K258&lt;K$24,0,K258&lt;K$25,J$24,K258&lt;K$26,J$25,K258&lt;K$27,J$26,K258&lt;K$28,J$27,K258&lt;K$29,J$28,K258&lt;K$30,J$29,K258&lt;K$31,J$30,K258&lt;K$32,J$31,K258&lt;K$33,J$32,K258&lt;K$34,J$33,K258&lt;K$35,J$34,K258&lt;K$36,J$35,K258&lt;K$37,J$36,K258&lt;K$38,J$37,K258&lt;K$39,J$38,K258&lt;K$40,J$39,K258&lt;K$41,J$40,K258&lt;K$42,J$41,K258&lt;K$43,J$42,K258&lt;K$44,J$43,K258&lt;K$45,J$44,K258&lt;K$46,J$45,K258&lt;K$47,J$46,K258&gt;=K$47,J$47)</f>
        <v/>
      </c>
      <c r="K258" s="38" t="n">
        <v>208</v>
      </c>
      <c r="L258" s="31">
        <f>K258/52</f>
        <v/>
      </c>
      <c r="M258" s="39">
        <f>J258/1000000*52</f>
        <v/>
      </c>
      <c r="N258" s="33">
        <f>M258/$P$4+($I$22/$P$4)</f>
        <v/>
      </c>
      <c r="U258">
        <f>F257</f>
        <v/>
      </c>
      <c r="V258">
        <f>H257</f>
        <v/>
      </c>
      <c r="W258">
        <f>N257</f>
        <v/>
      </c>
    </row>
    <row r="259" ht="15.75" customHeight="1" s="40">
      <c r="C259" s="36">
        <f>_xlfn.IFS(E259&lt;E$24,0,E259&lt;E$26,C$24,E259&lt;E$28,C$26,E259&lt;E$30,C$28,E259&lt;E$32,C$30,E259&lt;E$34,C$32,E259&gt;=E$34,C$34)</f>
        <v/>
      </c>
      <c r="D259" s="37">
        <f>_xlfn.IFS(E259&lt;E$24,0,E259&lt;E$25,D$24,E259&lt;E$26,D$25,E259&lt;E$27,D$26,E259&lt;E$28,D$27,E259&lt;E$29,D$28,E259&lt;E$30,D$29,E259&lt;E$31,D$30,E259&lt;E$32,D$31,E259&lt;E$33,D$32,E259&lt;E$34,D$33,E259&lt;E$35,D$34,E259&gt;=E$35,D$35)</f>
        <v/>
      </c>
      <c r="E259" s="38" t="n">
        <v>209</v>
      </c>
      <c r="F259" s="31">
        <f>E259/52</f>
        <v/>
      </c>
      <c r="G259" s="39">
        <f>D259/1000000*52</f>
        <v/>
      </c>
      <c r="H259" s="33">
        <f>G259/$P$4+($C$22/$P$4)</f>
        <v/>
      </c>
      <c r="I259" s="36">
        <f>_xlfn.IFS(K259&lt;K$24,0,K259&lt;K$26,I$24,K259&lt;K$28,I$26,K259&lt;K$30,I$28,K259&lt;K$32,I$30,K259&lt;K$34,I$32,K259&lt;K$36,I$34,K259&lt;K$38,I$36,K259&lt;K$40,I$38,K259&lt;K$42,I$40,K259&lt;K$44,I$42,K259&lt;K$46,I$44,K259&gt;=K$46,I$46)</f>
        <v/>
      </c>
      <c r="J259" s="37">
        <f>_xlfn.IFS(K259&lt;K$24,0,K259&lt;K$25,J$24,K259&lt;K$26,J$25,K259&lt;K$27,J$26,K259&lt;K$28,J$27,K259&lt;K$29,J$28,K259&lt;K$30,J$29,K259&lt;K$31,J$30,K259&lt;K$32,J$31,K259&lt;K$33,J$32,K259&lt;K$34,J$33,K259&lt;K$35,J$34,K259&lt;K$36,J$35,K259&lt;K$37,J$36,K259&lt;K$38,J$37,K259&lt;K$39,J$38,K259&lt;K$40,J$39,K259&lt;K$41,J$40,K259&lt;K$42,J$41,K259&lt;K$43,J$42,K259&lt;K$44,J$43,K259&lt;K$45,J$44,K259&lt;K$46,J$45,K259&lt;K$47,J$46,K259&gt;=K$47,J$47)</f>
        <v/>
      </c>
      <c r="K259" s="38" t="n">
        <v>209</v>
      </c>
      <c r="L259" s="31">
        <f>K259/52</f>
        <v/>
      </c>
      <c r="M259" s="39">
        <f>J259/1000000*52</f>
        <v/>
      </c>
      <c r="N259" s="33">
        <f>M259/$P$4+($I$22/$P$4)</f>
        <v/>
      </c>
      <c r="U259">
        <f>F258</f>
        <v/>
      </c>
      <c r="V259">
        <f>H258</f>
        <v/>
      </c>
      <c r="W259">
        <f>N258</f>
        <v/>
      </c>
    </row>
    <row r="260" ht="15.75" customHeight="1" s="40">
      <c r="C260" s="36">
        <f>_xlfn.IFS(E260&lt;E$24,0,E260&lt;E$26,C$24,E260&lt;E$28,C$26,E260&lt;E$30,C$28,E260&lt;E$32,C$30,E260&lt;E$34,C$32,E260&gt;=E$34,C$34)</f>
        <v/>
      </c>
      <c r="D260" s="37">
        <f>_xlfn.IFS(E260&lt;E$24,0,E260&lt;E$25,D$24,E260&lt;E$26,D$25,E260&lt;E$27,D$26,E260&lt;E$28,D$27,E260&lt;E$29,D$28,E260&lt;E$30,D$29,E260&lt;E$31,D$30,E260&lt;E$32,D$31,E260&lt;E$33,D$32,E260&lt;E$34,D$33,E260&lt;E$35,D$34,E260&gt;=E$35,D$35)</f>
        <v/>
      </c>
      <c r="E260" s="38" t="n">
        <v>210</v>
      </c>
      <c r="F260" s="31">
        <f>E260/52</f>
        <v/>
      </c>
      <c r="G260" s="39">
        <f>D260/1000000*52</f>
        <v/>
      </c>
      <c r="H260" s="33">
        <f>G260/$P$4+($C$22/$P$4)</f>
        <v/>
      </c>
      <c r="I260" s="36">
        <f>_xlfn.IFS(K260&lt;K$24,0,K260&lt;K$26,I$24,K260&lt;K$28,I$26,K260&lt;K$30,I$28,K260&lt;K$32,I$30,K260&lt;K$34,I$32,K260&lt;K$36,I$34,K260&lt;K$38,I$36,K260&lt;K$40,I$38,K260&lt;K$42,I$40,K260&lt;K$44,I$42,K260&lt;K$46,I$44,K260&gt;=K$46,I$46)</f>
        <v/>
      </c>
      <c r="J260" s="37">
        <f>_xlfn.IFS(K260&lt;K$24,0,K260&lt;K$25,J$24,K260&lt;K$26,J$25,K260&lt;K$27,J$26,K260&lt;K$28,J$27,K260&lt;K$29,J$28,K260&lt;K$30,J$29,K260&lt;K$31,J$30,K260&lt;K$32,J$31,K260&lt;K$33,J$32,K260&lt;K$34,J$33,K260&lt;K$35,J$34,K260&lt;K$36,J$35,K260&lt;K$37,J$36,K260&lt;K$38,J$37,K260&lt;K$39,J$38,K260&lt;K$40,J$39,K260&lt;K$41,J$40,K260&lt;K$42,J$41,K260&lt;K$43,J$42,K260&lt;K$44,J$43,K260&lt;K$45,J$44,K260&lt;K$46,J$45,K260&lt;K$47,J$46,K260&gt;=K$47,J$47)</f>
        <v/>
      </c>
      <c r="K260" s="38" t="n">
        <v>210</v>
      </c>
      <c r="L260" s="31">
        <f>K260/52</f>
        <v/>
      </c>
      <c r="M260" s="39">
        <f>J260/1000000*52</f>
        <v/>
      </c>
      <c r="N260" s="33">
        <f>M260/$P$4+($I$22/$P$4)</f>
        <v/>
      </c>
      <c r="U260">
        <f>F259</f>
        <v/>
      </c>
      <c r="V260">
        <f>H259</f>
        <v/>
      </c>
      <c r="W260">
        <f>N259</f>
        <v/>
      </c>
    </row>
    <row r="261" ht="15.75" customHeight="1" s="40">
      <c r="C261" s="36">
        <f>_xlfn.IFS(E261&lt;E$24,0,E261&lt;E$26,C$24,E261&lt;E$28,C$26,E261&lt;E$30,C$28,E261&lt;E$32,C$30,E261&lt;E$34,C$32,E261&gt;=E$34,C$34)</f>
        <v/>
      </c>
      <c r="D261" s="37">
        <f>_xlfn.IFS(E261&lt;E$24,0,E261&lt;E$25,D$24,E261&lt;E$26,D$25,E261&lt;E$27,D$26,E261&lt;E$28,D$27,E261&lt;E$29,D$28,E261&lt;E$30,D$29,E261&lt;E$31,D$30,E261&lt;E$32,D$31,E261&lt;E$33,D$32,E261&lt;E$34,D$33,E261&lt;E$35,D$34,E261&gt;=E$35,D$35)</f>
        <v/>
      </c>
      <c r="E261" s="38" t="n">
        <v>211</v>
      </c>
      <c r="F261" s="31">
        <f>E261/52</f>
        <v/>
      </c>
      <c r="G261" s="39">
        <f>D261/1000000*52</f>
        <v/>
      </c>
      <c r="H261" s="33">
        <f>G261/$P$4+($C$22/$P$4)</f>
        <v/>
      </c>
      <c r="I261" s="36">
        <f>_xlfn.IFS(K261&lt;K$24,0,K261&lt;K$26,I$24,K261&lt;K$28,I$26,K261&lt;K$30,I$28,K261&lt;K$32,I$30,K261&lt;K$34,I$32,K261&lt;K$36,I$34,K261&lt;K$38,I$36,K261&lt;K$40,I$38,K261&lt;K$42,I$40,K261&lt;K$44,I$42,K261&lt;K$46,I$44,K261&gt;=K$46,I$46)</f>
        <v/>
      </c>
      <c r="J261" s="37">
        <f>_xlfn.IFS(K261&lt;K$24,0,K261&lt;K$25,J$24,K261&lt;K$26,J$25,K261&lt;K$27,J$26,K261&lt;K$28,J$27,K261&lt;K$29,J$28,K261&lt;K$30,J$29,K261&lt;K$31,J$30,K261&lt;K$32,J$31,K261&lt;K$33,J$32,K261&lt;K$34,J$33,K261&lt;K$35,J$34,K261&lt;K$36,J$35,K261&lt;K$37,J$36,K261&lt;K$38,J$37,K261&lt;K$39,J$38,K261&lt;K$40,J$39,K261&lt;K$41,J$40,K261&lt;K$42,J$41,K261&lt;K$43,J$42,K261&lt;K$44,J$43,K261&lt;K$45,J$44,K261&lt;K$46,J$45,K261&lt;K$47,J$46,K261&gt;=K$47,J$47)</f>
        <v/>
      </c>
      <c r="K261" s="38" t="n">
        <v>211</v>
      </c>
      <c r="L261" s="31">
        <f>K261/52</f>
        <v/>
      </c>
      <c r="M261" s="39">
        <f>J261/1000000*52</f>
        <v/>
      </c>
      <c r="N261" s="33">
        <f>M261/$P$4+($I$22/$P$4)</f>
        <v/>
      </c>
      <c r="U261">
        <f>F260</f>
        <v/>
      </c>
      <c r="V261">
        <f>H260</f>
        <v/>
      </c>
      <c r="W261">
        <f>N260</f>
        <v/>
      </c>
    </row>
    <row r="262" ht="15.75" customHeight="1" s="40">
      <c r="C262" s="36">
        <f>_xlfn.IFS(E262&lt;E$24,0,E262&lt;E$26,C$24,E262&lt;E$28,C$26,E262&lt;E$30,C$28,E262&lt;E$32,C$30,E262&lt;E$34,C$32,E262&gt;=E$34,C$34)</f>
        <v/>
      </c>
      <c r="D262" s="37">
        <f>_xlfn.IFS(E262&lt;E$24,0,E262&lt;E$25,D$24,E262&lt;E$26,D$25,E262&lt;E$27,D$26,E262&lt;E$28,D$27,E262&lt;E$29,D$28,E262&lt;E$30,D$29,E262&lt;E$31,D$30,E262&lt;E$32,D$31,E262&lt;E$33,D$32,E262&lt;E$34,D$33,E262&lt;E$35,D$34,E262&gt;=E$35,D$35)</f>
        <v/>
      </c>
      <c r="E262" s="38" t="n">
        <v>212</v>
      </c>
      <c r="F262" s="31">
        <f>E262/52</f>
        <v/>
      </c>
      <c r="G262" s="39">
        <f>D262/1000000*52</f>
        <v/>
      </c>
      <c r="H262" s="33">
        <f>G262/$P$4+($C$22/$P$4)</f>
        <v/>
      </c>
      <c r="I262" s="36">
        <f>_xlfn.IFS(K262&lt;K$24,0,K262&lt;K$26,I$24,K262&lt;K$28,I$26,K262&lt;K$30,I$28,K262&lt;K$32,I$30,K262&lt;K$34,I$32,K262&lt;K$36,I$34,K262&lt;K$38,I$36,K262&lt;K$40,I$38,K262&lt;K$42,I$40,K262&lt;K$44,I$42,K262&lt;K$46,I$44,K262&gt;=K$46,I$46)</f>
        <v/>
      </c>
      <c r="J262" s="37">
        <f>_xlfn.IFS(K262&lt;K$24,0,K262&lt;K$25,J$24,K262&lt;K$26,J$25,K262&lt;K$27,J$26,K262&lt;K$28,J$27,K262&lt;K$29,J$28,K262&lt;K$30,J$29,K262&lt;K$31,J$30,K262&lt;K$32,J$31,K262&lt;K$33,J$32,K262&lt;K$34,J$33,K262&lt;K$35,J$34,K262&lt;K$36,J$35,K262&lt;K$37,J$36,K262&lt;K$38,J$37,K262&lt;K$39,J$38,K262&lt;K$40,J$39,K262&lt;K$41,J$40,K262&lt;K$42,J$41,K262&lt;K$43,J$42,K262&lt;K$44,J$43,K262&lt;K$45,J$44,K262&lt;K$46,J$45,K262&lt;K$47,J$46,K262&gt;=K$47,J$47)</f>
        <v/>
      </c>
      <c r="K262" s="38" t="n">
        <v>212</v>
      </c>
      <c r="L262" s="31">
        <f>K262/52</f>
        <v/>
      </c>
      <c r="M262" s="39">
        <f>J262/1000000*52</f>
        <v/>
      </c>
      <c r="N262" s="33">
        <f>M262/$P$4+($I$22/$P$4)</f>
        <v/>
      </c>
      <c r="U262">
        <f>F261</f>
        <v/>
      </c>
      <c r="V262">
        <f>H261</f>
        <v/>
      </c>
      <c r="W262">
        <f>N261</f>
        <v/>
      </c>
    </row>
    <row r="263" ht="15.75" customHeight="1" s="40">
      <c r="C263" s="36">
        <f>_xlfn.IFS(E263&lt;E$24,0,E263&lt;E$26,C$24,E263&lt;E$28,C$26,E263&lt;E$30,C$28,E263&lt;E$32,C$30,E263&lt;E$34,C$32,E263&gt;=E$34,C$34)</f>
        <v/>
      </c>
      <c r="D263" s="37">
        <f>_xlfn.IFS(E263&lt;E$24,0,E263&lt;E$25,D$24,E263&lt;E$26,D$25,E263&lt;E$27,D$26,E263&lt;E$28,D$27,E263&lt;E$29,D$28,E263&lt;E$30,D$29,E263&lt;E$31,D$30,E263&lt;E$32,D$31,E263&lt;E$33,D$32,E263&lt;E$34,D$33,E263&lt;E$35,D$34,E263&gt;=E$35,D$35)</f>
        <v/>
      </c>
      <c r="E263" s="38" t="n">
        <v>213</v>
      </c>
      <c r="F263" s="31">
        <f>E263/52</f>
        <v/>
      </c>
      <c r="G263" s="39">
        <f>D263/1000000*52</f>
        <v/>
      </c>
      <c r="H263" s="33">
        <f>G263/$P$4+($C$22/$P$4)</f>
        <v/>
      </c>
      <c r="I263" s="36">
        <f>_xlfn.IFS(K263&lt;K$24,0,K263&lt;K$26,I$24,K263&lt;K$28,I$26,K263&lt;K$30,I$28,K263&lt;K$32,I$30,K263&lt;K$34,I$32,K263&lt;K$36,I$34,K263&lt;K$38,I$36,K263&lt;K$40,I$38,K263&lt;K$42,I$40,K263&lt;K$44,I$42,K263&lt;K$46,I$44,K263&gt;=K$46,I$46)</f>
        <v/>
      </c>
      <c r="J263" s="37">
        <f>_xlfn.IFS(K263&lt;K$24,0,K263&lt;K$25,J$24,K263&lt;K$26,J$25,K263&lt;K$27,J$26,K263&lt;K$28,J$27,K263&lt;K$29,J$28,K263&lt;K$30,J$29,K263&lt;K$31,J$30,K263&lt;K$32,J$31,K263&lt;K$33,J$32,K263&lt;K$34,J$33,K263&lt;K$35,J$34,K263&lt;K$36,J$35,K263&lt;K$37,J$36,K263&lt;K$38,J$37,K263&lt;K$39,J$38,K263&lt;K$40,J$39,K263&lt;K$41,J$40,K263&lt;K$42,J$41,K263&lt;K$43,J$42,K263&lt;K$44,J$43,K263&lt;K$45,J$44,K263&lt;K$46,J$45,K263&lt;K$47,J$46,K263&gt;=K$47,J$47)</f>
        <v/>
      </c>
      <c r="K263" s="38" t="n">
        <v>213</v>
      </c>
      <c r="L263" s="31">
        <f>K263/52</f>
        <v/>
      </c>
      <c r="M263" s="39">
        <f>J263/1000000*52</f>
        <v/>
      </c>
      <c r="N263" s="33">
        <f>M263/$P$4+($I$22/$P$4)</f>
        <v/>
      </c>
      <c r="U263">
        <f>F262</f>
        <v/>
      </c>
      <c r="V263">
        <f>H262</f>
        <v/>
      </c>
      <c r="W263">
        <f>N262</f>
        <v/>
      </c>
    </row>
    <row r="264" ht="15.75" customHeight="1" s="40">
      <c r="C264" s="36">
        <f>_xlfn.IFS(E264&lt;E$24,0,E264&lt;E$26,C$24,E264&lt;E$28,C$26,E264&lt;E$30,C$28,E264&lt;E$32,C$30,E264&lt;E$34,C$32,E264&gt;=E$34,C$34)</f>
        <v/>
      </c>
      <c r="D264" s="37">
        <f>_xlfn.IFS(E264&lt;E$24,0,E264&lt;E$25,D$24,E264&lt;E$26,D$25,E264&lt;E$27,D$26,E264&lt;E$28,D$27,E264&lt;E$29,D$28,E264&lt;E$30,D$29,E264&lt;E$31,D$30,E264&lt;E$32,D$31,E264&lt;E$33,D$32,E264&lt;E$34,D$33,E264&lt;E$35,D$34,E264&gt;=E$35,D$35)</f>
        <v/>
      </c>
      <c r="E264" s="38" t="n">
        <v>214</v>
      </c>
      <c r="F264" s="31">
        <f>E264/52</f>
        <v/>
      </c>
      <c r="G264" s="39">
        <f>D264/1000000*52</f>
        <v/>
      </c>
      <c r="H264" s="33">
        <f>G264/$P$4+($C$22/$P$4)</f>
        <v/>
      </c>
      <c r="I264" s="36">
        <f>_xlfn.IFS(K264&lt;K$24,0,K264&lt;K$26,I$24,K264&lt;K$28,I$26,K264&lt;K$30,I$28,K264&lt;K$32,I$30,K264&lt;K$34,I$32,K264&lt;K$36,I$34,K264&lt;K$38,I$36,K264&lt;K$40,I$38,K264&lt;K$42,I$40,K264&lt;K$44,I$42,K264&lt;K$46,I$44,K264&gt;=K$46,I$46)</f>
        <v/>
      </c>
      <c r="J264" s="37">
        <f>_xlfn.IFS(K264&lt;K$24,0,K264&lt;K$25,J$24,K264&lt;K$26,J$25,K264&lt;K$27,J$26,K264&lt;K$28,J$27,K264&lt;K$29,J$28,K264&lt;K$30,J$29,K264&lt;K$31,J$30,K264&lt;K$32,J$31,K264&lt;K$33,J$32,K264&lt;K$34,J$33,K264&lt;K$35,J$34,K264&lt;K$36,J$35,K264&lt;K$37,J$36,K264&lt;K$38,J$37,K264&lt;K$39,J$38,K264&lt;K$40,J$39,K264&lt;K$41,J$40,K264&lt;K$42,J$41,K264&lt;K$43,J$42,K264&lt;K$44,J$43,K264&lt;K$45,J$44,K264&lt;K$46,J$45,K264&lt;K$47,J$46,K264&gt;=K$47,J$47)</f>
        <v/>
      </c>
      <c r="K264" s="38" t="n">
        <v>214</v>
      </c>
      <c r="L264" s="31">
        <f>K264/52</f>
        <v/>
      </c>
      <c r="M264" s="39">
        <f>J264/1000000*52</f>
        <v/>
      </c>
      <c r="N264" s="33">
        <f>M264/$P$4+($I$22/$P$4)</f>
        <v/>
      </c>
      <c r="U264">
        <f>F263</f>
        <v/>
      </c>
      <c r="V264">
        <f>H263</f>
        <v/>
      </c>
      <c r="W264">
        <f>N263</f>
        <v/>
      </c>
    </row>
    <row r="265" ht="15.75" customHeight="1" s="40">
      <c r="C265" s="36">
        <f>_xlfn.IFS(E265&lt;E$24,0,E265&lt;E$26,C$24,E265&lt;E$28,C$26,E265&lt;E$30,C$28,E265&lt;E$32,C$30,E265&lt;E$34,C$32,E265&gt;=E$34,C$34)</f>
        <v/>
      </c>
      <c r="D265" s="37">
        <f>_xlfn.IFS(E265&lt;E$24,0,E265&lt;E$25,D$24,E265&lt;E$26,D$25,E265&lt;E$27,D$26,E265&lt;E$28,D$27,E265&lt;E$29,D$28,E265&lt;E$30,D$29,E265&lt;E$31,D$30,E265&lt;E$32,D$31,E265&lt;E$33,D$32,E265&lt;E$34,D$33,E265&lt;E$35,D$34,E265&gt;=E$35,D$35)</f>
        <v/>
      </c>
      <c r="E265" s="38" t="n">
        <v>215</v>
      </c>
      <c r="F265" s="31">
        <f>E265/52</f>
        <v/>
      </c>
      <c r="G265" s="39">
        <f>D265/1000000*52</f>
        <v/>
      </c>
      <c r="H265" s="33">
        <f>G265/$P$4+($C$22/$P$4)</f>
        <v/>
      </c>
      <c r="I265" s="36">
        <f>_xlfn.IFS(K265&lt;K$24,0,K265&lt;K$26,I$24,K265&lt;K$28,I$26,K265&lt;K$30,I$28,K265&lt;K$32,I$30,K265&lt;K$34,I$32,K265&lt;K$36,I$34,K265&lt;K$38,I$36,K265&lt;K$40,I$38,K265&lt;K$42,I$40,K265&lt;K$44,I$42,K265&lt;K$46,I$44,K265&gt;=K$46,I$46)</f>
        <v/>
      </c>
      <c r="J265" s="37">
        <f>_xlfn.IFS(K265&lt;K$24,0,K265&lt;K$25,J$24,K265&lt;K$26,J$25,K265&lt;K$27,J$26,K265&lt;K$28,J$27,K265&lt;K$29,J$28,K265&lt;K$30,J$29,K265&lt;K$31,J$30,K265&lt;K$32,J$31,K265&lt;K$33,J$32,K265&lt;K$34,J$33,K265&lt;K$35,J$34,K265&lt;K$36,J$35,K265&lt;K$37,J$36,K265&lt;K$38,J$37,K265&lt;K$39,J$38,K265&lt;K$40,J$39,K265&lt;K$41,J$40,K265&lt;K$42,J$41,K265&lt;K$43,J$42,K265&lt;K$44,J$43,K265&lt;K$45,J$44,K265&lt;K$46,J$45,K265&lt;K$47,J$46,K265&gt;=K$47,J$47)</f>
        <v/>
      </c>
      <c r="K265" s="38" t="n">
        <v>215</v>
      </c>
      <c r="L265" s="31">
        <f>K265/52</f>
        <v/>
      </c>
      <c r="M265" s="39">
        <f>J265/1000000*52</f>
        <v/>
      </c>
      <c r="N265" s="33">
        <f>M265/$P$4+($I$22/$P$4)</f>
        <v/>
      </c>
      <c r="U265">
        <f>F264</f>
        <v/>
      </c>
      <c r="V265">
        <f>H264</f>
        <v/>
      </c>
      <c r="W265">
        <f>N264</f>
        <v/>
      </c>
    </row>
    <row r="266" ht="15.75" customHeight="1" s="40">
      <c r="C266" s="36">
        <f>_xlfn.IFS(E266&lt;E$24,0,E266&lt;E$26,C$24,E266&lt;E$28,C$26,E266&lt;E$30,C$28,E266&lt;E$32,C$30,E266&lt;E$34,C$32,E266&gt;=E$34,C$34)</f>
        <v/>
      </c>
      <c r="D266" s="37">
        <f>_xlfn.IFS(E266&lt;E$24,0,E266&lt;E$25,D$24,E266&lt;E$26,D$25,E266&lt;E$27,D$26,E266&lt;E$28,D$27,E266&lt;E$29,D$28,E266&lt;E$30,D$29,E266&lt;E$31,D$30,E266&lt;E$32,D$31,E266&lt;E$33,D$32,E266&lt;E$34,D$33,E266&lt;E$35,D$34,E266&gt;=E$35,D$35)</f>
        <v/>
      </c>
      <c r="E266" s="38" t="n">
        <v>216</v>
      </c>
      <c r="F266" s="31">
        <f>E266/52</f>
        <v/>
      </c>
      <c r="G266" s="39">
        <f>D266/1000000*52</f>
        <v/>
      </c>
      <c r="H266" s="33">
        <f>G266/$P$4+($C$22/$P$4)</f>
        <v/>
      </c>
      <c r="I266" s="36">
        <f>_xlfn.IFS(K266&lt;K$24,0,K266&lt;K$26,I$24,K266&lt;K$28,I$26,K266&lt;K$30,I$28,K266&lt;K$32,I$30,K266&lt;K$34,I$32,K266&lt;K$36,I$34,K266&lt;K$38,I$36,K266&lt;K$40,I$38,K266&lt;K$42,I$40,K266&lt;K$44,I$42,K266&lt;K$46,I$44,K266&gt;=K$46,I$46)</f>
        <v/>
      </c>
      <c r="J266" s="37">
        <f>_xlfn.IFS(K266&lt;K$24,0,K266&lt;K$25,J$24,K266&lt;K$26,J$25,K266&lt;K$27,J$26,K266&lt;K$28,J$27,K266&lt;K$29,J$28,K266&lt;K$30,J$29,K266&lt;K$31,J$30,K266&lt;K$32,J$31,K266&lt;K$33,J$32,K266&lt;K$34,J$33,K266&lt;K$35,J$34,K266&lt;K$36,J$35,K266&lt;K$37,J$36,K266&lt;K$38,J$37,K266&lt;K$39,J$38,K266&lt;K$40,J$39,K266&lt;K$41,J$40,K266&lt;K$42,J$41,K266&lt;K$43,J$42,K266&lt;K$44,J$43,K266&lt;K$45,J$44,K266&lt;K$46,J$45,K266&lt;K$47,J$46,K266&gt;=K$47,J$47)</f>
        <v/>
      </c>
      <c r="K266" s="38" t="n">
        <v>216</v>
      </c>
      <c r="L266" s="31">
        <f>K266/52</f>
        <v/>
      </c>
      <c r="M266" s="39">
        <f>J266/1000000*52</f>
        <v/>
      </c>
      <c r="N266" s="33">
        <f>M266/$P$4+($I$22/$P$4)</f>
        <v/>
      </c>
      <c r="U266">
        <f>F265</f>
        <v/>
      </c>
      <c r="V266">
        <f>H265</f>
        <v/>
      </c>
      <c r="W266">
        <f>N265</f>
        <v/>
      </c>
    </row>
    <row r="267" ht="15.75" customHeight="1" s="40">
      <c r="C267" s="36">
        <f>_xlfn.IFS(E267&lt;E$24,0,E267&lt;E$26,C$24,E267&lt;E$28,C$26,E267&lt;E$30,C$28,E267&lt;E$32,C$30,E267&lt;E$34,C$32,E267&gt;=E$34,C$34)</f>
        <v/>
      </c>
      <c r="D267" s="37">
        <f>_xlfn.IFS(E267&lt;E$24,0,E267&lt;E$25,D$24,E267&lt;E$26,D$25,E267&lt;E$27,D$26,E267&lt;E$28,D$27,E267&lt;E$29,D$28,E267&lt;E$30,D$29,E267&lt;E$31,D$30,E267&lt;E$32,D$31,E267&lt;E$33,D$32,E267&lt;E$34,D$33,E267&lt;E$35,D$34,E267&gt;=E$35,D$35)</f>
        <v/>
      </c>
      <c r="E267" s="38" t="n">
        <v>217</v>
      </c>
      <c r="F267" s="31">
        <f>E267/52</f>
        <v/>
      </c>
      <c r="G267" s="39">
        <f>D267/1000000*52</f>
        <v/>
      </c>
      <c r="H267" s="33">
        <f>G267/$P$4+($C$22/$P$4)</f>
        <v/>
      </c>
      <c r="I267" s="36">
        <f>_xlfn.IFS(K267&lt;K$24,0,K267&lt;K$26,I$24,K267&lt;K$28,I$26,K267&lt;K$30,I$28,K267&lt;K$32,I$30,K267&lt;K$34,I$32,K267&lt;K$36,I$34,K267&lt;K$38,I$36,K267&lt;K$40,I$38,K267&lt;K$42,I$40,K267&lt;K$44,I$42,K267&lt;K$46,I$44,K267&gt;=K$46,I$46)</f>
        <v/>
      </c>
      <c r="J267" s="37">
        <f>_xlfn.IFS(K267&lt;K$24,0,K267&lt;K$25,J$24,K267&lt;K$26,J$25,K267&lt;K$27,J$26,K267&lt;K$28,J$27,K267&lt;K$29,J$28,K267&lt;K$30,J$29,K267&lt;K$31,J$30,K267&lt;K$32,J$31,K267&lt;K$33,J$32,K267&lt;K$34,J$33,K267&lt;K$35,J$34,K267&lt;K$36,J$35,K267&lt;K$37,J$36,K267&lt;K$38,J$37,K267&lt;K$39,J$38,K267&lt;K$40,J$39,K267&lt;K$41,J$40,K267&lt;K$42,J$41,K267&lt;K$43,J$42,K267&lt;K$44,J$43,K267&lt;K$45,J$44,K267&lt;K$46,J$45,K267&lt;K$47,J$46,K267&gt;=K$47,J$47)</f>
        <v/>
      </c>
      <c r="K267" s="38" t="n">
        <v>217</v>
      </c>
      <c r="L267" s="31">
        <f>K267/52</f>
        <v/>
      </c>
      <c r="M267" s="39">
        <f>J267/1000000*52</f>
        <v/>
      </c>
      <c r="N267" s="33">
        <f>M267/$P$4+($I$22/$P$4)</f>
        <v/>
      </c>
      <c r="U267">
        <f>F266</f>
        <v/>
      </c>
      <c r="V267">
        <f>H266</f>
        <v/>
      </c>
      <c r="W267">
        <f>N266</f>
        <v/>
      </c>
    </row>
    <row r="268" ht="15.75" customHeight="1" s="40">
      <c r="C268" s="36">
        <f>_xlfn.IFS(E268&lt;E$24,0,E268&lt;E$26,C$24,E268&lt;E$28,C$26,E268&lt;E$30,C$28,E268&lt;E$32,C$30,E268&lt;E$34,C$32,E268&gt;=E$34,C$34)</f>
        <v/>
      </c>
      <c r="D268" s="37">
        <f>_xlfn.IFS(E268&lt;E$24,0,E268&lt;E$25,D$24,E268&lt;E$26,D$25,E268&lt;E$27,D$26,E268&lt;E$28,D$27,E268&lt;E$29,D$28,E268&lt;E$30,D$29,E268&lt;E$31,D$30,E268&lt;E$32,D$31,E268&lt;E$33,D$32,E268&lt;E$34,D$33,E268&lt;E$35,D$34,E268&gt;=E$35,D$35)</f>
        <v/>
      </c>
      <c r="E268" s="38" t="n">
        <v>218</v>
      </c>
      <c r="F268" s="31">
        <f>E268/52</f>
        <v/>
      </c>
      <c r="G268" s="39">
        <f>D268/1000000*52</f>
        <v/>
      </c>
      <c r="H268" s="33">
        <f>G268/$P$4+($C$22/$P$4)</f>
        <v/>
      </c>
      <c r="I268" s="36">
        <f>_xlfn.IFS(K268&lt;K$24,0,K268&lt;K$26,I$24,K268&lt;K$28,I$26,K268&lt;K$30,I$28,K268&lt;K$32,I$30,K268&lt;K$34,I$32,K268&lt;K$36,I$34,K268&lt;K$38,I$36,K268&lt;K$40,I$38,K268&lt;K$42,I$40,K268&lt;K$44,I$42,K268&lt;K$46,I$44,K268&gt;=K$46,I$46)</f>
        <v/>
      </c>
      <c r="J268" s="37">
        <f>_xlfn.IFS(K268&lt;K$24,0,K268&lt;K$25,J$24,K268&lt;K$26,J$25,K268&lt;K$27,J$26,K268&lt;K$28,J$27,K268&lt;K$29,J$28,K268&lt;K$30,J$29,K268&lt;K$31,J$30,K268&lt;K$32,J$31,K268&lt;K$33,J$32,K268&lt;K$34,J$33,K268&lt;K$35,J$34,K268&lt;K$36,J$35,K268&lt;K$37,J$36,K268&lt;K$38,J$37,K268&lt;K$39,J$38,K268&lt;K$40,J$39,K268&lt;K$41,J$40,K268&lt;K$42,J$41,K268&lt;K$43,J$42,K268&lt;K$44,J$43,K268&lt;K$45,J$44,K268&lt;K$46,J$45,K268&lt;K$47,J$46,K268&gt;=K$47,J$47)</f>
        <v/>
      </c>
      <c r="K268" s="38" t="n">
        <v>218</v>
      </c>
      <c r="L268" s="31">
        <f>K268/52</f>
        <v/>
      </c>
      <c r="M268" s="39">
        <f>J268/1000000*52</f>
        <v/>
      </c>
      <c r="N268" s="33">
        <f>M268/$P$4+($I$22/$P$4)</f>
        <v/>
      </c>
      <c r="U268">
        <f>F267</f>
        <v/>
      </c>
      <c r="V268">
        <f>H267</f>
        <v/>
      </c>
      <c r="W268">
        <f>N267</f>
        <v/>
      </c>
    </row>
    <row r="269" ht="15.75" customHeight="1" s="40">
      <c r="C269" s="36">
        <f>_xlfn.IFS(E269&lt;E$24,0,E269&lt;E$26,C$24,E269&lt;E$28,C$26,E269&lt;E$30,C$28,E269&lt;E$32,C$30,E269&lt;E$34,C$32,E269&gt;=E$34,C$34)</f>
        <v/>
      </c>
      <c r="D269" s="37">
        <f>_xlfn.IFS(E269&lt;E$24,0,E269&lt;E$25,D$24,E269&lt;E$26,D$25,E269&lt;E$27,D$26,E269&lt;E$28,D$27,E269&lt;E$29,D$28,E269&lt;E$30,D$29,E269&lt;E$31,D$30,E269&lt;E$32,D$31,E269&lt;E$33,D$32,E269&lt;E$34,D$33,E269&lt;E$35,D$34,E269&gt;=E$35,D$35)</f>
        <v/>
      </c>
      <c r="E269" s="38" t="n">
        <v>219</v>
      </c>
      <c r="F269" s="31">
        <f>E269/52</f>
        <v/>
      </c>
      <c r="G269" s="39">
        <f>D269/1000000*52</f>
        <v/>
      </c>
      <c r="H269" s="33">
        <f>G269/$P$4+($C$22/$P$4)</f>
        <v/>
      </c>
      <c r="I269" s="36">
        <f>_xlfn.IFS(K269&lt;K$24,0,K269&lt;K$26,I$24,K269&lt;K$28,I$26,K269&lt;K$30,I$28,K269&lt;K$32,I$30,K269&lt;K$34,I$32,K269&lt;K$36,I$34,K269&lt;K$38,I$36,K269&lt;K$40,I$38,K269&lt;K$42,I$40,K269&lt;K$44,I$42,K269&lt;K$46,I$44,K269&gt;=K$46,I$46)</f>
        <v/>
      </c>
      <c r="J269" s="37">
        <f>_xlfn.IFS(K269&lt;K$24,0,K269&lt;K$25,J$24,K269&lt;K$26,J$25,K269&lt;K$27,J$26,K269&lt;K$28,J$27,K269&lt;K$29,J$28,K269&lt;K$30,J$29,K269&lt;K$31,J$30,K269&lt;K$32,J$31,K269&lt;K$33,J$32,K269&lt;K$34,J$33,K269&lt;K$35,J$34,K269&lt;K$36,J$35,K269&lt;K$37,J$36,K269&lt;K$38,J$37,K269&lt;K$39,J$38,K269&lt;K$40,J$39,K269&lt;K$41,J$40,K269&lt;K$42,J$41,K269&lt;K$43,J$42,K269&lt;K$44,J$43,K269&lt;K$45,J$44,K269&lt;K$46,J$45,K269&lt;K$47,J$46,K269&gt;=K$47,J$47)</f>
        <v/>
      </c>
      <c r="K269" s="38" t="n">
        <v>219</v>
      </c>
      <c r="L269" s="31">
        <f>K269/52</f>
        <v/>
      </c>
      <c r="M269" s="39">
        <f>J269/1000000*52</f>
        <v/>
      </c>
      <c r="N269" s="33">
        <f>M269/$P$4+($I$22/$P$4)</f>
        <v/>
      </c>
      <c r="U269">
        <f>F268</f>
        <v/>
      </c>
      <c r="V269">
        <f>H268</f>
        <v/>
      </c>
      <c r="W269">
        <f>N268</f>
        <v/>
      </c>
    </row>
    <row r="270" ht="15.75" customHeight="1" s="40">
      <c r="C270" s="36">
        <f>_xlfn.IFS(E270&lt;E$24,0,E270&lt;E$26,C$24,E270&lt;E$28,C$26,E270&lt;E$30,C$28,E270&lt;E$32,C$30,E270&lt;E$34,C$32,E270&gt;=E$34,C$34)</f>
        <v/>
      </c>
      <c r="D270" s="37">
        <f>_xlfn.IFS(E270&lt;E$24,0,E270&lt;E$25,D$24,E270&lt;E$26,D$25,E270&lt;E$27,D$26,E270&lt;E$28,D$27,E270&lt;E$29,D$28,E270&lt;E$30,D$29,E270&lt;E$31,D$30,E270&lt;E$32,D$31,E270&lt;E$33,D$32,E270&lt;E$34,D$33,E270&lt;E$35,D$34,E270&gt;=E$35,D$35)</f>
        <v/>
      </c>
      <c r="E270" s="38" t="n">
        <v>220</v>
      </c>
      <c r="F270" s="31">
        <f>E270/52</f>
        <v/>
      </c>
      <c r="G270" s="39">
        <f>D270/1000000*52</f>
        <v/>
      </c>
      <c r="H270" s="33">
        <f>G270/$P$4+($C$22/$P$4)</f>
        <v/>
      </c>
      <c r="I270" s="36">
        <f>_xlfn.IFS(K270&lt;K$24,0,K270&lt;K$26,I$24,K270&lt;K$28,I$26,K270&lt;K$30,I$28,K270&lt;K$32,I$30,K270&lt;K$34,I$32,K270&lt;K$36,I$34,K270&lt;K$38,I$36,K270&lt;K$40,I$38,K270&lt;K$42,I$40,K270&lt;K$44,I$42,K270&lt;K$46,I$44,K270&gt;=K$46,I$46)</f>
        <v/>
      </c>
      <c r="J270" s="37">
        <f>_xlfn.IFS(K270&lt;K$24,0,K270&lt;K$25,J$24,K270&lt;K$26,J$25,K270&lt;K$27,J$26,K270&lt;K$28,J$27,K270&lt;K$29,J$28,K270&lt;K$30,J$29,K270&lt;K$31,J$30,K270&lt;K$32,J$31,K270&lt;K$33,J$32,K270&lt;K$34,J$33,K270&lt;K$35,J$34,K270&lt;K$36,J$35,K270&lt;K$37,J$36,K270&lt;K$38,J$37,K270&lt;K$39,J$38,K270&lt;K$40,J$39,K270&lt;K$41,J$40,K270&lt;K$42,J$41,K270&lt;K$43,J$42,K270&lt;K$44,J$43,K270&lt;K$45,J$44,K270&lt;K$46,J$45,K270&lt;K$47,J$46,K270&gt;=K$47,J$47)</f>
        <v/>
      </c>
      <c r="K270" s="38" t="n">
        <v>220</v>
      </c>
      <c r="L270" s="31">
        <f>K270/52</f>
        <v/>
      </c>
      <c r="M270" s="39">
        <f>J270/1000000*52</f>
        <v/>
      </c>
      <c r="N270" s="33">
        <f>M270/$P$4+($I$22/$P$4)</f>
        <v/>
      </c>
      <c r="U270">
        <f>F269</f>
        <v/>
      </c>
      <c r="V270">
        <f>H269</f>
        <v/>
      </c>
      <c r="W270">
        <f>N269</f>
        <v/>
      </c>
    </row>
    <row r="271" ht="15.75" customHeight="1" s="40">
      <c r="C271" s="36">
        <f>_xlfn.IFS(E271&lt;E$24,0,E271&lt;E$26,C$24,E271&lt;E$28,C$26,E271&lt;E$30,C$28,E271&lt;E$32,C$30,E271&lt;E$34,C$32,E271&gt;=E$34,C$34)</f>
        <v/>
      </c>
      <c r="D271" s="37">
        <f>_xlfn.IFS(E271&lt;E$24,0,E271&lt;E$25,D$24,E271&lt;E$26,D$25,E271&lt;E$27,D$26,E271&lt;E$28,D$27,E271&lt;E$29,D$28,E271&lt;E$30,D$29,E271&lt;E$31,D$30,E271&lt;E$32,D$31,E271&lt;E$33,D$32,E271&lt;E$34,D$33,E271&lt;E$35,D$34,E271&gt;=E$35,D$35)</f>
        <v/>
      </c>
      <c r="E271" s="38" t="n">
        <v>221</v>
      </c>
      <c r="F271" s="31">
        <f>E271/52</f>
        <v/>
      </c>
      <c r="G271" s="39">
        <f>D271/1000000*52</f>
        <v/>
      </c>
      <c r="H271" s="33">
        <f>G271/$P$4+($C$22/$P$4)</f>
        <v/>
      </c>
      <c r="I271" s="36">
        <f>_xlfn.IFS(K271&lt;K$24,0,K271&lt;K$26,I$24,K271&lt;K$28,I$26,K271&lt;K$30,I$28,K271&lt;K$32,I$30,K271&lt;K$34,I$32,K271&lt;K$36,I$34,K271&lt;K$38,I$36,K271&lt;K$40,I$38,K271&lt;K$42,I$40,K271&lt;K$44,I$42,K271&lt;K$46,I$44,K271&gt;=K$46,I$46)</f>
        <v/>
      </c>
      <c r="J271" s="37">
        <f>_xlfn.IFS(K271&lt;K$24,0,K271&lt;K$25,J$24,K271&lt;K$26,J$25,K271&lt;K$27,J$26,K271&lt;K$28,J$27,K271&lt;K$29,J$28,K271&lt;K$30,J$29,K271&lt;K$31,J$30,K271&lt;K$32,J$31,K271&lt;K$33,J$32,K271&lt;K$34,J$33,K271&lt;K$35,J$34,K271&lt;K$36,J$35,K271&lt;K$37,J$36,K271&lt;K$38,J$37,K271&lt;K$39,J$38,K271&lt;K$40,J$39,K271&lt;K$41,J$40,K271&lt;K$42,J$41,K271&lt;K$43,J$42,K271&lt;K$44,J$43,K271&lt;K$45,J$44,K271&lt;K$46,J$45,K271&lt;K$47,J$46,K271&gt;=K$47,J$47)</f>
        <v/>
      </c>
      <c r="K271" s="38" t="n">
        <v>221</v>
      </c>
      <c r="L271" s="31">
        <f>K271/52</f>
        <v/>
      </c>
      <c r="M271" s="39">
        <f>J271/1000000*52</f>
        <v/>
      </c>
      <c r="N271" s="33">
        <f>M271/$P$4+($I$22/$P$4)</f>
        <v/>
      </c>
      <c r="U271">
        <f>F270</f>
        <v/>
      </c>
      <c r="V271">
        <f>H270</f>
        <v/>
      </c>
      <c r="W271">
        <f>N270</f>
        <v/>
      </c>
    </row>
    <row r="272" ht="15.75" customHeight="1" s="40">
      <c r="C272" s="36">
        <f>_xlfn.IFS(E272&lt;E$24,0,E272&lt;E$26,C$24,E272&lt;E$28,C$26,E272&lt;E$30,C$28,E272&lt;E$32,C$30,E272&lt;E$34,C$32,E272&gt;=E$34,C$34)</f>
        <v/>
      </c>
      <c r="D272" s="37">
        <f>_xlfn.IFS(E272&lt;E$24,0,E272&lt;E$25,D$24,E272&lt;E$26,D$25,E272&lt;E$27,D$26,E272&lt;E$28,D$27,E272&lt;E$29,D$28,E272&lt;E$30,D$29,E272&lt;E$31,D$30,E272&lt;E$32,D$31,E272&lt;E$33,D$32,E272&lt;E$34,D$33,E272&lt;E$35,D$34,E272&gt;=E$35,D$35)</f>
        <v/>
      </c>
      <c r="E272" s="38" t="n">
        <v>222</v>
      </c>
      <c r="F272" s="31">
        <f>E272/52</f>
        <v/>
      </c>
      <c r="G272" s="39">
        <f>D272/1000000*52</f>
        <v/>
      </c>
      <c r="H272" s="33">
        <f>G272/$P$4+($C$22/$P$4)</f>
        <v/>
      </c>
      <c r="I272" s="36">
        <f>_xlfn.IFS(K272&lt;K$24,0,K272&lt;K$26,I$24,K272&lt;K$28,I$26,K272&lt;K$30,I$28,K272&lt;K$32,I$30,K272&lt;K$34,I$32,K272&lt;K$36,I$34,K272&lt;K$38,I$36,K272&lt;K$40,I$38,K272&lt;K$42,I$40,K272&lt;K$44,I$42,K272&lt;K$46,I$44,K272&gt;=K$46,I$46)</f>
        <v/>
      </c>
      <c r="J272" s="37">
        <f>_xlfn.IFS(K272&lt;K$24,0,K272&lt;K$25,J$24,K272&lt;K$26,J$25,K272&lt;K$27,J$26,K272&lt;K$28,J$27,K272&lt;K$29,J$28,K272&lt;K$30,J$29,K272&lt;K$31,J$30,K272&lt;K$32,J$31,K272&lt;K$33,J$32,K272&lt;K$34,J$33,K272&lt;K$35,J$34,K272&lt;K$36,J$35,K272&lt;K$37,J$36,K272&lt;K$38,J$37,K272&lt;K$39,J$38,K272&lt;K$40,J$39,K272&lt;K$41,J$40,K272&lt;K$42,J$41,K272&lt;K$43,J$42,K272&lt;K$44,J$43,K272&lt;K$45,J$44,K272&lt;K$46,J$45,K272&lt;K$47,J$46,K272&gt;=K$47,J$47)</f>
        <v/>
      </c>
      <c r="K272" s="38" t="n">
        <v>222</v>
      </c>
      <c r="L272" s="31">
        <f>K272/52</f>
        <v/>
      </c>
      <c r="M272" s="39">
        <f>J272/1000000*52</f>
        <v/>
      </c>
      <c r="N272" s="33">
        <f>M272/$P$4+($I$22/$P$4)</f>
        <v/>
      </c>
      <c r="U272">
        <f>F271</f>
        <v/>
      </c>
      <c r="V272">
        <f>H271</f>
        <v/>
      </c>
      <c r="W272">
        <f>N271</f>
        <v/>
      </c>
    </row>
    <row r="273" ht="15.75" customHeight="1" s="40">
      <c r="C273" s="36">
        <f>_xlfn.IFS(E273&lt;E$24,0,E273&lt;E$26,C$24,E273&lt;E$28,C$26,E273&lt;E$30,C$28,E273&lt;E$32,C$30,E273&lt;E$34,C$32,E273&gt;=E$34,C$34)</f>
        <v/>
      </c>
      <c r="D273" s="37">
        <f>_xlfn.IFS(E273&lt;E$24,0,E273&lt;E$25,D$24,E273&lt;E$26,D$25,E273&lt;E$27,D$26,E273&lt;E$28,D$27,E273&lt;E$29,D$28,E273&lt;E$30,D$29,E273&lt;E$31,D$30,E273&lt;E$32,D$31,E273&lt;E$33,D$32,E273&lt;E$34,D$33,E273&lt;E$35,D$34,E273&gt;=E$35,D$35)</f>
        <v/>
      </c>
      <c r="E273" s="38" t="n">
        <v>223</v>
      </c>
      <c r="F273" s="31">
        <f>E273/52</f>
        <v/>
      </c>
      <c r="G273" s="39">
        <f>D273/1000000*52</f>
        <v/>
      </c>
      <c r="H273" s="33">
        <f>G273/$P$4+($C$22/$P$4)</f>
        <v/>
      </c>
      <c r="I273" s="36">
        <f>_xlfn.IFS(K273&lt;K$24,0,K273&lt;K$26,I$24,K273&lt;K$28,I$26,K273&lt;K$30,I$28,K273&lt;K$32,I$30,K273&lt;K$34,I$32,K273&lt;K$36,I$34,K273&lt;K$38,I$36,K273&lt;K$40,I$38,K273&lt;K$42,I$40,K273&lt;K$44,I$42,K273&lt;K$46,I$44,K273&gt;=K$46,I$46)</f>
        <v/>
      </c>
      <c r="J273" s="37">
        <f>_xlfn.IFS(K273&lt;K$24,0,K273&lt;K$25,J$24,K273&lt;K$26,J$25,K273&lt;K$27,J$26,K273&lt;K$28,J$27,K273&lt;K$29,J$28,K273&lt;K$30,J$29,K273&lt;K$31,J$30,K273&lt;K$32,J$31,K273&lt;K$33,J$32,K273&lt;K$34,J$33,K273&lt;K$35,J$34,K273&lt;K$36,J$35,K273&lt;K$37,J$36,K273&lt;K$38,J$37,K273&lt;K$39,J$38,K273&lt;K$40,J$39,K273&lt;K$41,J$40,K273&lt;K$42,J$41,K273&lt;K$43,J$42,K273&lt;K$44,J$43,K273&lt;K$45,J$44,K273&lt;K$46,J$45,K273&lt;K$47,J$46,K273&gt;=K$47,J$47)</f>
        <v/>
      </c>
      <c r="K273" s="38" t="n">
        <v>223</v>
      </c>
      <c r="L273" s="31">
        <f>K273/52</f>
        <v/>
      </c>
      <c r="M273" s="39">
        <f>J273/1000000*52</f>
        <v/>
      </c>
      <c r="N273" s="33">
        <f>M273/$P$4+($I$22/$P$4)</f>
        <v/>
      </c>
      <c r="U273">
        <f>F272</f>
        <v/>
      </c>
      <c r="V273">
        <f>H272</f>
        <v/>
      </c>
      <c r="W273">
        <f>N272</f>
        <v/>
      </c>
    </row>
    <row r="274" ht="15.75" customHeight="1" s="40">
      <c r="C274" s="36">
        <f>_xlfn.IFS(E274&lt;E$24,0,E274&lt;E$26,C$24,E274&lt;E$28,C$26,E274&lt;E$30,C$28,E274&lt;E$32,C$30,E274&lt;E$34,C$32,E274&gt;=E$34,C$34)</f>
        <v/>
      </c>
      <c r="D274" s="37">
        <f>_xlfn.IFS(E274&lt;E$24,0,E274&lt;E$25,D$24,E274&lt;E$26,D$25,E274&lt;E$27,D$26,E274&lt;E$28,D$27,E274&lt;E$29,D$28,E274&lt;E$30,D$29,E274&lt;E$31,D$30,E274&lt;E$32,D$31,E274&lt;E$33,D$32,E274&lt;E$34,D$33,E274&lt;E$35,D$34,E274&gt;=E$35,D$35)</f>
        <v/>
      </c>
      <c r="E274" s="38" t="n">
        <v>224</v>
      </c>
      <c r="F274" s="31">
        <f>E274/52</f>
        <v/>
      </c>
      <c r="G274" s="39">
        <f>D274/1000000*52</f>
        <v/>
      </c>
      <c r="H274" s="33">
        <f>G274/$P$4+($C$22/$P$4)</f>
        <v/>
      </c>
      <c r="I274" s="36">
        <f>_xlfn.IFS(K274&lt;K$24,0,K274&lt;K$26,I$24,K274&lt;K$28,I$26,K274&lt;K$30,I$28,K274&lt;K$32,I$30,K274&lt;K$34,I$32,K274&lt;K$36,I$34,K274&lt;K$38,I$36,K274&lt;K$40,I$38,K274&lt;K$42,I$40,K274&lt;K$44,I$42,K274&lt;K$46,I$44,K274&gt;=K$46,I$46)</f>
        <v/>
      </c>
      <c r="J274" s="37">
        <f>_xlfn.IFS(K274&lt;K$24,0,K274&lt;K$25,J$24,K274&lt;K$26,J$25,K274&lt;K$27,J$26,K274&lt;K$28,J$27,K274&lt;K$29,J$28,K274&lt;K$30,J$29,K274&lt;K$31,J$30,K274&lt;K$32,J$31,K274&lt;K$33,J$32,K274&lt;K$34,J$33,K274&lt;K$35,J$34,K274&lt;K$36,J$35,K274&lt;K$37,J$36,K274&lt;K$38,J$37,K274&lt;K$39,J$38,K274&lt;K$40,J$39,K274&lt;K$41,J$40,K274&lt;K$42,J$41,K274&lt;K$43,J$42,K274&lt;K$44,J$43,K274&lt;K$45,J$44,K274&lt;K$46,J$45,K274&lt;K$47,J$46,K274&gt;=K$47,J$47)</f>
        <v/>
      </c>
      <c r="K274" s="38" t="n">
        <v>224</v>
      </c>
      <c r="L274" s="31">
        <f>K274/52</f>
        <v/>
      </c>
      <c r="M274" s="39">
        <f>J274/1000000*52</f>
        <v/>
      </c>
      <c r="N274" s="33">
        <f>M274/$P$4+($I$22/$P$4)</f>
        <v/>
      </c>
      <c r="U274">
        <f>F273</f>
        <v/>
      </c>
      <c r="V274">
        <f>H273</f>
        <v/>
      </c>
      <c r="W274">
        <f>N273</f>
        <v/>
      </c>
    </row>
    <row r="275" ht="15.75" customHeight="1" s="40">
      <c r="C275" s="36">
        <f>_xlfn.IFS(E275&lt;E$24,0,E275&lt;E$26,C$24,E275&lt;E$28,C$26,E275&lt;E$30,C$28,E275&lt;E$32,C$30,E275&lt;E$34,C$32,E275&gt;=E$34,C$34)</f>
        <v/>
      </c>
      <c r="D275" s="37">
        <f>_xlfn.IFS(E275&lt;E$24,0,E275&lt;E$25,D$24,E275&lt;E$26,D$25,E275&lt;E$27,D$26,E275&lt;E$28,D$27,E275&lt;E$29,D$28,E275&lt;E$30,D$29,E275&lt;E$31,D$30,E275&lt;E$32,D$31,E275&lt;E$33,D$32,E275&lt;E$34,D$33,E275&lt;E$35,D$34,E275&gt;=E$35,D$35)</f>
        <v/>
      </c>
      <c r="E275" s="38" t="n">
        <v>225</v>
      </c>
      <c r="F275" s="31">
        <f>E275/52</f>
        <v/>
      </c>
      <c r="G275" s="39">
        <f>D275/1000000*52</f>
        <v/>
      </c>
      <c r="H275" s="33">
        <f>G275/$P$4+($C$22/$P$4)</f>
        <v/>
      </c>
      <c r="I275" s="36">
        <f>_xlfn.IFS(K275&lt;K$24,0,K275&lt;K$26,I$24,K275&lt;K$28,I$26,K275&lt;K$30,I$28,K275&lt;K$32,I$30,K275&lt;K$34,I$32,K275&lt;K$36,I$34,K275&lt;K$38,I$36,K275&lt;K$40,I$38,K275&lt;K$42,I$40,K275&lt;K$44,I$42,K275&lt;K$46,I$44,K275&gt;=K$46,I$46)</f>
        <v/>
      </c>
      <c r="J275" s="37">
        <f>_xlfn.IFS(K275&lt;K$24,0,K275&lt;K$25,J$24,K275&lt;K$26,J$25,K275&lt;K$27,J$26,K275&lt;K$28,J$27,K275&lt;K$29,J$28,K275&lt;K$30,J$29,K275&lt;K$31,J$30,K275&lt;K$32,J$31,K275&lt;K$33,J$32,K275&lt;K$34,J$33,K275&lt;K$35,J$34,K275&lt;K$36,J$35,K275&lt;K$37,J$36,K275&lt;K$38,J$37,K275&lt;K$39,J$38,K275&lt;K$40,J$39,K275&lt;K$41,J$40,K275&lt;K$42,J$41,K275&lt;K$43,J$42,K275&lt;K$44,J$43,K275&lt;K$45,J$44,K275&lt;K$46,J$45,K275&lt;K$47,J$46,K275&gt;=K$47,J$47)</f>
        <v/>
      </c>
      <c r="K275" s="38" t="n">
        <v>225</v>
      </c>
      <c r="L275" s="31">
        <f>K275/52</f>
        <v/>
      </c>
      <c r="M275" s="39">
        <f>J275/1000000*52</f>
        <v/>
      </c>
      <c r="N275" s="33">
        <f>M275/$P$4+($I$22/$P$4)</f>
        <v/>
      </c>
      <c r="U275">
        <f>F274</f>
        <v/>
      </c>
      <c r="V275">
        <f>H274</f>
        <v/>
      </c>
      <c r="W275">
        <f>N274</f>
        <v/>
      </c>
    </row>
    <row r="276" ht="15.75" customHeight="1" s="40">
      <c r="C276" s="36">
        <f>_xlfn.IFS(E276&lt;E$24,0,E276&lt;E$26,C$24,E276&lt;E$28,C$26,E276&lt;E$30,C$28,E276&lt;E$32,C$30,E276&lt;E$34,C$32,E276&gt;=E$34,C$34)</f>
        <v/>
      </c>
      <c r="D276" s="37">
        <f>_xlfn.IFS(E276&lt;E$24,0,E276&lt;E$25,D$24,E276&lt;E$26,D$25,E276&lt;E$27,D$26,E276&lt;E$28,D$27,E276&lt;E$29,D$28,E276&lt;E$30,D$29,E276&lt;E$31,D$30,E276&lt;E$32,D$31,E276&lt;E$33,D$32,E276&lt;E$34,D$33,E276&lt;E$35,D$34,E276&gt;=E$35,D$35)</f>
        <v/>
      </c>
      <c r="E276" s="38" t="n">
        <v>226</v>
      </c>
      <c r="F276" s="31">
        <f>E276/52</f>
        <v/>
      </c>
      <c r="G276" s="39">
        <f>D276/1000000*52</f>
        <v/>
      </c>
      <c r="H276" s="33">
        <f>G276/$P$4+($C$22/$P$4)</f>
        <v/>
      </c>
      <c r="I276" s="36">
        <f>_xlfn.IFS(K276&lt;K$24,0,K276&lt;K$26,I$24,K276&lt;K$28,I$26,K276&lt;K$30,I$28,K276&lt;K$32,I$30,K276&lt;K$34,I$32,K276&lt;K$36,I$34,K276&lt;K$38,I$36,K276&lt;K$40,I$38,K276&lt;K$42,I$40,K276&lt;K$44,I$42,K276&lt;K$46,I$44,K276&gt;=K$46,I$46)</f>
        <v/>
      </c>
      <c r="J276" s="37">
        <f>_xlfn.IFS(K276&lt;K$24,0,K276&lt;K$25,J$24,K276&lt;K$26,J$25,K276&lt;K$27,J$26,K276&lt;K$28,J$27,K276&lt;K$29,J$28,K276&lt;K$30,J$29,K276&lt;K$31,J$30,K276&lt;K$32,J$31,K276&lt;K$33,J$32,K276&lt;K$34,J$33,K276&lt;K$35,J$34,K276&lt;K$36,J$35,K276&lt;K$37,J$36,K276&lt;K$38,J$37,K276&lt;K$39,J$38,K276&lt;K$40,J$39,K276&lt;K$41,J$40,K276&lt;K$42,J$41,K276&lt;K$43,J$42,K276&lt;K$44,J$43,K276&lt;K$45,J$44,K276&lt;K$46,J$45,K276&lt;K$47,J$46,K276&gt;=K$47,J$47)</f>
        <v/>
      </c>
      <c r="K276" s="38" t="n">
        <v>226</v>
      </c>
      <c r="L276" s="31">
        <f>K276/52</f>
        <v/>
      </c>
      <c r="M276" s="39">
        <f>J276/1000000*52</f>
        <v/>
      </c>
      <c r="N276" s="33">
        <f>M276/$P$4+($I$22/$P$4)</f>
        <v/>
      </c>
      <c r="U276">
        <f>F275</f>
        <v/>
      </c>
      <c r="V276">
        <f>H275</f>
        <v/>
      </c>
      <c r="W276">
        <f>N275</f>
        <v/>
      </c>
    </row>
    <row r="277" ht="15.75" customHeight="1" s="40">
      <c r="C277" s="36">
        <f>_xlfn.IFS(E277&lt;E$24,0,E277&lt;E$26,C$24,E277&lt;E$28,C$26,E277&lt;E$30,C$28,E277&lt;E$32,C$30,E277&lt;E$34,C$32,E277&gt;=E$34,C$34)</f>
        <v/>
      </c>
      <c r="D277" s="37">
        <f>_xlfn.IFS(E277&lt;E$24,0,E277&lt;E$25,D$24,E277&lt;E$26,D$25,E277&lt;E$27,D$26,E277&lt;E$28,D$27,E277&lt;E$29,D$28,E277&lt;E$30,D$29,E277&lt;E$31,D$30,E277&lt;E$32,D$31,E277&lt;E$33,D$32,E277&lt;E$34,D$33,E277&lt;E$35,D$34,E277&gt;=E$35,D$35)</f>
        <v/>
      </c>
      <c r="E277" s="38" t="n">
        <v>227</v>
      </c>
      <c r="F277" s="31">
        <f>E277/52</f>
        <v/>
      </c>
      <c r="G277" s="39">
        <f>D277/1000000*52</f>
        <v/>
      </c>
      <c r="H277" s="33">
        <f>G277/$P$4+($C$22/$P$4)</f>
        <v/>
      </c>
      <c r="I277" s="36">
        <f>_xlfn.IFS(K277&lt;K$24,0,K277&lt;K$26,I$24,K277&lt;K$28,I$26,K277&lt;K$30,I$28,K277&lt;K$32,I$30,K277&lt;K$34,I$32,K277&lt;K$36,I$34,K277&lt;K$38,I$36,K277&lt;K$40,I$38,K277&lt;K$42,I$40,K277&lt;K$44,I$42,K277&lt;K$46,I$44,K277&gt;=K$46,I$46)</f>
        <v/>
      </c>
      <c r="J277" s="37">
        <f>_xlfn.IFS(K277&lt;K$24,0,K277&lt;K$25,J$24,K277&lt;K$26,J$25,K277&lt;K$27,J$26,K277&lt;K$28,J$27,K277&lt;K$29,J$28,K277&lt;K$30,J$29,K277&lt;K$31,J$30,K277&lt;K$32,J$31,K277&lt;K$33,J$32,K277&lt;K$34,J$33,K277&lt;K$35,J$34,K277&lt;K$36,J$35,K277&lt;K$37,J$36,K277&lt;K$38,J$37,K277&lt;K$39,J$38,K277&lt;K$40,J$39,K277&lt;K$41,J$40,K277&lt;K$42,J$41,K277&lt;K$43,J$42,K277&lt;K$44,J$43,K277&lt;K$45,J$44,K277&lt;K$46,J$45,K277&lt;K$47,J$46,K277&gt;=K$47,J$47)</f>
        <v/>
      </c>
      <c r="K277" s="38" t="n">
        <v>227</v>
      </c>
      <c r="L277" s="31">
        <f>K277/52</f>
        <v/>
      </c>
      <c r="M277" s="39">
        <f>J277/1000000*52</f>
        <v/>
      </c>
      <c r="N277" s="33">
        <f>M277/$P$4+($I$22/$P$4)</f>
        <v/>
      </c>
      <c r="U277">
        <f>F276</f>
        <v/>
      </c>
      <c r="V277">
        <f>H276</f>
        <v/>
      </c>
      <c r="W277">
        <f>N276</f>
        <v/>
      </c>
    </row>
    <row r="278" ht="15.75" customHeight="1" s="40">
      <c r="C278" s="36">
        <f>_xlfn.IFS(E278&lt;E$24,0,E278&lt;E$26,C$24,E278&lt;E$28,C$26,E278&lt;E$30,C$28,E278&lt;E$32,C$30,E278&lt;E$34,C$32,E278&gt;=E$34,C$34)</f>
        <v/>
      </c>
      <c r="D278" s="37">
        <f>_xlfn.IFS(E278&lt;E$24,0,E278&lt;E$25,D$24,E278&lt;E$26,D$25,E278&lt;E$27,D$26,E278&lt;E$28,D$27,E278&lt;E$29,D$28,E278&lt;E$30,D$29,E278&lt;E$31,D$30,E278&lt;E$32,D$31,E278&lt;E$33,D$32,E278&lt;E$34,D$33,E278&lt;E$35,D$34,E278&gt;=E$35,D$35)</f>
        <v/>
      </c>
      <c r="E278" s="38" t="n">
        <v>228</v>
      </c>
      <c r="F278" s="31">
        <f>E278/52</f>
        <v/>
      </c>
      <c r="G278" s="39">
        <f>D278/1000000*52</f>
        <v/>
      </c>
      <c r="H278" s="33">
        <f>G278/$P$4+($C$22/$P$4)</f>
        <v/>
      </c>
      <c r="I278" s="36">
        <f>_xlfn.IFS(K278&lt;K$24,0,K278&lt;K$26,I$24,K278&lt;K$28,I$26,K278&lt;K$30,I$28,K278&lt;K$32,I$30,K278&lt;K$34,I$32,K278&lt;K$36,I$34,K278&lt;K$38,I$36,K278&lt;K$40,I$38,K278&lt;K$42,I$40,K278&lt;K$44,I$42,K278&lt;K$46,I$44,K278&gt;=K$46,I$46)</f>
        <v/>
      </c>
      <c r="J278" s="37">
        <f>_xlfn.IFS(K278&lt;K$24,0,K278&lt;K$25,J$24,K278&lt;K$26,J$25,K278&lt;K$27,J$26,K278&lt;K$28,J$27,K278&lt;K$29,J$28,K278&lt;K$30,J$29,K278&lt;K$31,J$30,K278&lt;K$32,J$31,K278&lt;K$33,J$32,K278&lt;K$34,J$33,K278&lt;K$35,J$34,K278&lt;K$36,J$35,K278&lt;K$37,J$36,K278&lt;K$38,J$37,K278&lt;K$39,J$38,K278&lt;K$40,J$39,K278&lt;K$41,J$40,K278&lt;K$42,J$41,K278&lt;K$43,J$42,K278&lt;K$44,J$43,K278&lt;K$45,J$44,K278&lt;K$46,J$45,K278&lt;K$47,J$46,K278&gt;=K$47,J$47)</f>
        <v/>
      </c>
      <c r="K278" s="38" t="n">
        <v>228</v>
      </c>
      <c r="L278" s="31">
        <f>K278/52</f>
        <v/>
      </c>
      <c r="M278" s="39">
        <f>J278/1000000*52</f>
        <v/>
      </c>
      <c r="N278" s="33">
        <f>M278/$P$4+($I$22/$P$4)</f>
        <v/>
      </c>
      <c r="U278">
        <f>F277</f>
        <v/>
      </c>
      <c r="V278">
        <f>H277</f>
        <v/>
      </c>
      <c r="W278">
        <f>N277</f>
        <v/>
      </c>
    </row>
    <row r="279" ht="15.75" customHeight="1" s="40">
      <c r="C279" s="36">
        <f>_xlfn.IFS(E279&lt;E$24,0,E279&lt;E$26,C$24,E279&lt;E$28,C$26,E279&lt;E$30,C$28,E279&lt;E$32,C$30,E279&lt;E$34,C$32,E279&gt;=E$34,C$34)</f>
        <v/>
      </c>
      <c r="D279" s="37">
        <f>_xlfn.IFS(E279&lt;E$24,0,E279&lt;E$25,D$24,E279&lt;E$26,D$25,E279&lt;E$27,D$26,E279&lt;E$28,D$27,E279&lt;E$29,D$28,E279&lt;E$30,D$29,E279&lt;E$31,D$30,E279&lt;E$32,D$31,E279&lt;E$33,D$32,E279&lt;E$34,D$33,E279&lt;E$35,D$34,E279&gt;=E$35,D$35)</f>
        <v/>
      </c>
      <c r="E279" s="38" t="n">
        <v>229</v>
      </c>
      <c r="F279" s="31">
        <f>E279/52</f>
        <v/>
      </c>
      <c r="G279" s="39">
        <f>D279/1000000*52</f>
        <v/>
      </c>
      <c r="H279" s="33">
        <f>G279/$P$4+($C$22/$P$4)</f>
        <v/>
      </c>
      <c r="I279" s="36">
        <f>_xlfn.IFS(K279&lt;K$24,0,K279&lt;K$26,I$24,K279&lt;K$28,I$26,K279&lt;K$30,I$28,K279&lt;K$32,I$30,K279&lt;K$34,I$32,K279&lt;K$36,I$34,K279&lt;K$38,I$36,K279&lt;K$40,I$38,K279&lt;K$42,I$40,K279&lt;K$44,I$42,K279&lt;K$46,I$44,K279&gt;=K$46,I$46)</f>
        <v/>
      </c>
      <c r="J279" s="37">
        <f>_xlfn.IFS(K279&lt;K$24,0,K279&lt;K$25,J$24,K279&lt;K$26,J$25,K279&lt;K$27,J$26,K279&lt;K$28,J$27,K279&lt;K$29,J$28,K279&lt;K$30,J$29,K279&lt;K$31,J$30,K279&lt;K$32,J$31,K279&lt;K$33,J$32,K279&lt;K$34,J$33,K279&lt;K$35,J$34,K279&lt;K$36,J$35,K279&lt;K$37,J$36,K279&lt;K$38,J$37,K279&lt;K$39,J$38,K279&lt;K$40,J$39,K279&lt;K$41,J$40,K279&lt;K$42,J$41,K279&lt;K$43,J$42,K279&lt;K$44,J$43,K279&lt;K$45,J$44,K279&lt;K$46,J$45,K279&lt;K$47,J$46,K279&gt;=K$47,J$47)</f>
        <v/>
      </c>
      <c r="K279" s="38" t="n">
        <v>229</v>
      </c>
      <c r="L279" s="31">
        <f>K279/52</f>
        <v/>
      </c>
      <c r="M279" s="39">
        <f>J279/1000000*52</f>
        <v/>
      </c>
      <c r="N279" s="33">
        <f>M279/$P$4+($I$22/$P$4)</f>
        <v/>
      </c>
      <c r="U279">
        <f>F278</f>
        <v/>
      </c>
      <c r="V279">
        <f>H278</f>
        <v/>
      </c>
      <c r="W279">
        <f>N278</f>
        <v/>
      </c>
    </row>
    <row r="280" ht="15.75" customHeight="1" s="40">
      <c r="C280" s="36">
        <f>_xlfn.IFS(E280&lt;E$24,0,E280&lt;E$26,C$24,E280&lt;E$28,C$26,E280&lt;E$30,C$28,E280&lt;E$32,C$30,E280&lt;E$34,C$32,E280&gt;=E$34,C$34)</f>
        <v/>
      </c>
      <c r="D280" s="37">
        <f>_xlfn.IFS(E280&lt;E$24,0,E280&lt;E$25,D$24,E280&lt;E$26,D$25,E280&lt;E$27,D$26,E280&lt;E$28,D$27,E280&lt;E$29,D$28,E280&lt;E$30,D$29,E280&lt;E$31,D$30,E280&lt;E$32,D$31,E280&lt;E$33,D$32,E280&lt;E$34,D$33,E280&lt;E$35,D$34,E280&gt;=E$35,D$35)</f>
        <v/>
      </c>
      <c r="E280" s="38" t="n">
        <v>230</v>
      </c>
      <c r="F280" s="31">
        <f>E280/52</f>
        <v/>
      </c>
      <c r="G280" s="39">
        <f>D280/1000000*52</f>
        <v/>
      </c>
      <c r="H280" s="33">
        <f>G280/$P$4+($C$22/$P$4)</f>
        <v/>
      </c>
      <c r="I280" s="36">
        <f>_xlfn.IFS(K280&lt;K$24,0,K280&lt;K$26,I$24,K280&lt;K$28,I$26,K280&lt;K$30,I$28,K280&lt;K$32,I$30,K280&lt;K$34,I$32,K280&lt;K$36,I$34,K280&lt;K$38,I$36,K280&lt;K$40,I$38,K280&lt;K$42,I$40,K280&lt;K$44,I$42,K280&lt;K$46,I$44,K280&gt;=K$46,I$46)</f>
        <v/>
      </c>
      <c r="J280" s="37">
        <f>_xlfn.IFS(K280&lt;K$24,0,K280&lt;K$25,J$24,K280&lt;K$26,J$25,K280&lt;K$27,J$26,K280&lt;K$28,J$27,K280&lt;K$29,J$28,K280&lt;K$30,J$29,K280&lt;K$31,J$30,K280&lt;K$32,J$31,K280&lt;K$33,J$32,K280&lt;K$34,J$33,K280&lt;K$35,J$34,K280&lt;K$36,J$35,K280&lt;K$37,J$36,K280&lt;K$38,J$37,K280&lt;K$39,J$38,K280&lt;K$40,J$39,K280&lt;K$41,J$40,K280&lt;K$42,J$41,K280&lt;K$43,J$42,K280&lt;K$44,J$43,K280&lt;K$45,J$44,K280&lt;K$46,J$45,K280&lt;K$47,J$46,K280&gt;=K$47,J$47)</f>
        <v/>
      </c>
      <c r="K280" s="38" t="n">
        <v>230</v>
      </c>
      <c r="L280" s="31">
        <f>K280/52</f>
        <v/>
      </c>
      <c r="M280" s="39">
        <f>J280/1000000*52</f>
        <v/>
      </c>
      <c r="N280" s="33">
        <f>M280/$P$4+($I$22/$P$4)</f>
        <v/>
      </c>
      <c r="U280">
        <f>F279</f>
        <v/>
      </c>
      <c r="V280">
        <f>H279</f>
        <v/>
      </c>
      <c r="W280">
        <f>N279</f>
        <v/>
      </c>
    </row>
    <row r="281" ht="15.75" customHeight="1" s="40">
      <c r="C281" s="36">
        <f>_xlfn.IFS(E281&lt;E$24,0,E281&lt;E$26,C$24,E281&lt;E$28,C$26,E281&lt;E$30,C$28,E281&lt;E$32,C$30,E281&lt;E$34,C$32,E281&gt;=E$34,C$34)</f>
        <v/>
      </c>
      <c r="D281" s="37">
        <f>_xlfn.IFS(E281&lt;E$24,0,E281&lt;E$25,D$24,E281&lt;E$26,D$25,E281&lt;E$27,D$26,E281&lt;E$28,D$27,E281&lt;E$29,D$28,E281&lt;E$30,D$29,E281&lt;E$31,D$30,E281&lt;E$32,D$31,E281&lt;E$33,D$32,E281&lt;E$34,D$33,E281&lt;E$35,D$34,E281&gt;=E$35,D$35)</f>
        <v/>
      </c>
      <c r="E281" s="38" t="n">
        <v>231</v>
      </c>
      <c r="F281" s="31">
        <f>E281/52</f>
        <v/>
      </c>
      <c r="G281" s="39">
        <f>D281/1000000*52</f>
        <v/>
      </c>
      <c r="H281" s="33">
        <f>G281/$P$4+($C$22/$P$4)</f>
        <v/>
      </c>
      <c r="I281" s="36">
        <f>_xlfn.IFS(K281&lt;K$24,0,K281&lt;K$26,I$24,K281&lt;K$28,I$26,K281&lt;K$30,I$28,K281&lt;K$32,I$30,K281&lt;K$34,I$32,K281&lt;K$36,I$34,K281&lt;K$38,I$36,K281&lt;K$40,I$38,K281&lt;K$42,I$40,K281&lt;K$44,I$42,K281&lt;K$46,I$44,K281&gt;=K$46,I$46)</f>
        <v/>
      </c>
      <c r="J281" s="37">
        <f>_xlfn.IFS(K281&lt;K$24,0,K281&lt;K$25,J$24,K281&lt;K$26,J$25,K281&lt;K$27,J$26,K281&lt;K$28,J$27,K281&lt;K$29,J$28,K281&lt;K$30,J$29,K281&lt;K$31,J$30,K281&lt;K$32,J$31,K281&lt;K$33,J$32,K281&lt;K$34,J$33,K281&lt;K$35,J$34,K281&lt;K$36,J$35,K281&lt;K$37,J$36,K281&lt;K$38,J$37,K281&lt;K$39,J$38,K281&lt;K$40,J$39,K281&lt;K$41,J$40,K281&lt;K$42,J$41,K281&lt;K$43,J$42,K281&lt;K$44,J$43,K281&lt;K$45,J$44,K281&lt;K$46,J$45,K281&lt;K$47,J$46,K281&gt;=K$47,J$47)</f>
        <v/>
      </c>
      <c r="K281" s="38" t="n">
        <v>231</v>
      </c>
      <c r="L281" s="31">
        <f>K281/52</f>
        <v/>
      </c>
      <c r="M281" s="39">
        <f>J281/1000000*52</f>
        <v/>
      </c>
      <c r="N281" s="33">
        <f>M281/$P$4+($I$22/$P$4)</f>
        <v/>
      </c>
      <c r="U281">
        <f>F280</f>
        <v/>
      </c>
      <c r="V281">
        <f>H280</f>
        <v/>
      </c>
      <c r="W281">
        <f>N280</f>
        <v/>
      </c>
    </row>
    <row r="282" ht="15.75" customHeight="1" s="40">
      <c r="C282" s="36">
        <f>_xlfn.IFS(E282&lt;E$24,0,E282&lt;E$26,C$24,E282&lt;E$28,C$26,E282&lt;E$30,C$28,E282&lt;E$32,C$30,E282&lt;E$34,C$32,E282&gt;=E$34,C$34)</f>
        <v/>
      </c>
      <c r="D282" s="37">
        <f>_xlfn.IFS(E282&lt;E$24,0,E282&lt;E$25,D$24,E282&lt;E$26,D$25,E282&lt;E$27,D$26,E282&lt;E$28,D$27,E282&lt;E$29,D$28,E282&lt;E$30,D$29,E282&lt;E$31,D$30,E282&lt;E$32,D$31,E282&lt;E$33,D$32,E282&lt;E$34,D$33,E282&lt;E$35,D$34,E282&gt;=E$35,D$35)</f>
        <v/>
      </c>
      <c r="E282" s="38" t="n">
        <v>232</v>
      </c>
      <c r="F282" s="31">
        <f>E282/52</f>
        <v/>
      </c>
      <c r="G282" s="39">
        <f>D282/1000000*52</f>
        <v/>
      </c>
      <c r="H282" s="33">
        <f>G282/$P$4+($C$22/$P$4)</f>
        <v/>
      </c>
      <c r="I282" s="36">
        <f>_xlfn.IFS(K282&lt;K$24,0,K282&lt;K$26,I$24,K282&lt;K$28,I$26,K282&lt;K$30,I$28,K282&lt;K$32,I$30,K282&lt;K$34,I$32,K282&lt;K$36,I$34,K282&lt;K$38,I$36,K282&lt;K$40,I$38,K282&lt;K$42,I$40,K282&lt;K$44,I$42,K282&lt;K$46,I$44,K282&gt;=K$46,I$46)</f>
        <v/>
      </c>
      <c r="J282" s="37">
        <f>_xlfn.IFS(K282&lt;K$24,0,K282&lt;K$25,J$24,K282&lt;K$26,J$25,K282&lt;K$27,J$26,K282&lt;K$28,J$27,K282&lt;K$29,J$28,K282&lt;K$30,J$29,K282&lt;K$31,J$30,K282&lt;K$32,J$31,K282&lt;K$33,J$32,K282&lt;K$34,J$33,K282&lt;K$35,J$34,K282&lt;K$36,J$35,K282&lt;K$37,J$36,K282&lt;K$38,J$37,K282&lt;K$39,J$38,K282&lt;K$40,J$39,K282&lt;K$41,J$40,K282&lt;K$42,J$41,K282&lt;K$43,J$42,K282&lt;K$44,J$43,K282&lt;K$45,J$44,K282&lt;K$46,J$45,K282&lt;K$47,J$46,K282&gt;=K$47,J$47)</f>
        <v/>
      </c>
      <c r="K282" s="38" t="n">
        <v>232</v>
      </c>
      <c r="L282" s="31">
        <f>K282/52</f>
        <v/>
      </c>
      <c r="M282" s="39">
        <f>J282/1000000*52</f>
        <v/>
      </c>
      <c r="N282" s="33">
        <f>M282/$P$4+($I$22/$P$4)</f>
        <v/>
      </c>
      <c r="U282">
        <f>F281</f>
        <v/>
      </c>
      <c r="V282">
        <f>H281</f>
        <v/>
      </c>
      <c r="W282">
        <f>N281</f>
        <v/>
      </c>
    </row>
    <row r="283" ht="15.75" customHeight="1" s="40">
      <c r="C283" s="36">
        <f>_xlfn.IFS(E283&lt;E$24,0,E283&lt;E$26,C$24,E283&lt;E$28,C$26,E283&lt;E$30,C$28,E283&lt;E$32,C$30,E283&lt;E$34,C$32,E283&gt;=E$34,C$34)</f>
        <v/>
      </c>
      <c r="D283" s="37">
        <f>_xlfn.IFS(E283&lt;E$24,0,E283&lt;E$25,D$24,E283&lt;E$26,D$25,E283&lt;E$27,D$26,E283&lt;E$28,D$27,E283&lt;E$29,D$28,E283&lt;E$30,D$29,E283&lt;E$31,D$30,E283&lt;E$32,D$31,E283&lt;E$33,D$32,E283&lt;E$34,D$33,E283&lt;E$35,D$34,E283&gt;=E$35,D$35)</f>
        <v/>
      </c>
      <c r="E283" s="38" t="n">
        <v>233</v>
      </c>
      <c r="F283" s="31">
        <f>E283/52</f>
        <v/>
      </c>
      <c r="G283" s="39">
        <f>D283/1000000*52</f>
        <v/>
      </c>
      <c r="H283" s="33">
        <f>G283/$P$4+($C$22/$P$4)</f>
        <v/>
      </c>
      <c r="I283" s="36">
        <f>_xlfn.IFS(K283&lt;K$24,0,K283&lt;K$26,I$24,K283&lt;K$28,I$26,K283&lt;K$30,I$28,K283&lt;K$32,I$30,K283&lt;K$34,I$32,K283&lt;K$36,I$34,K283&lt;K$38,I$36,K283&lt;K$40,I$38,K283&lt;K$42,I$40,K283&lt;K$44,I$42,K283&lt;K$46,I$44,K283&gt;=K$46,I$46)</f>
        <v/>
      </c>
      <c r="J283" s="37">
        <f>_xlfn.IFS(K283&lt;K$24,0,K283&lt;K$25,J$24,K283&lt;K$26,J$25,K283&lt;K$27,J$26,K283&lt;K$28,J$27,K283&lt;K$29,J$28,K283&lt;K$30,J$29,K283&lt;K$31,J$30,K283&lt;K$32,J$31,K283&lt;K$33,J$32,K283&lt;K$34,J$33,K283&lt;K$35,J$34,K283&lt;K$36,J$35,K283&lt;K$37,J$36,K283&lt;K$38,J$37,K283&lt;K$39,J$38,K283&lt;K$40,J$39,K283&lt;K$41,J$40,K283&lt;K$42,J$41,K283&lt;K$43,J$42,K283&lt;K$44,J$43,K283&lt;K$45,J$44,K283&lt;K$46,J$45,K283&lt;K$47,J$46,K283&gt;=K$47,J$47)</f>
        <v/>
      </c>
      <c r="K283" s="38" t="n">
        <v>233</v>
      </c>
      <c r="L283" s="31">
        <f>K283/52</f>
        <v/>
      </c>
      <c r="M283" s="39">
        <f>J283/1000000*52</f>
        <v/>
      </c>
      <c r="N283" s="33">
        <f>M283/$P$4+($I$22/$P$4)</f>
        <v/>
      </c>
      <c r="U283">
        <f>F282</f>
        <v/>
      </c>
      <c r="V283">
        <f>H282</f>
        <v/>
      </c>
      <c r="W283">
        <f>N282</f>
        <v/>
      </c>
    </row>
    <row r="284" ht="15.75" customHeight="1" s="40">
      <c r="C284" s="36">
        <f>_xlfn.IFS(E284&lt;E$24,0,E284&lt;E$26,C$24,E284&lt;E$28,C$26,E284&lt;E$30,C$28,E284&lt;E$32,C$30,E284&lt;E$34,C$32,E284&gt;=E$34,C$34)</f>
        <v/>
      </c>
      <c r="D284" s="37">
        <f>_xlfn.IFS(E284&lt;E$24,0,E284&lt;E$25,D$24,E284&lt;E$26,D$25,E284&lt;E$27,D$26,E284&lt;E$28,D$27,E284&lt;E$29,D$28,E284&lt;E$30,D$29,E284&lt;E$31,D$30,E284&lt;E$32,D$31,E284&lt;E$33,D$32,E284&lt;E$34,D$33,E284&lt;E$35,D$34,E284&gt;=E$35,D$35)</f>
        <v/>
      </c>
      <c r="E284" s="38" t="n">
        <v>234</v>
      </c>
      <c r="F284" s="31">
        <f>E284/52</f>
        <v/>
      </c>
      <c r="G284" s="39">
        <f>D284/1000000*52</f>
        <v/>
      </c>
      <c r="H284" s="33">
        <f>G284/$P$4+($C$22/$P$4)</f>
        <v/>
      </c>
      <c r="I284" s="36">
        <f>_xlfn.IFS(K284&lt;K$24,0,K284&lt;K$26,I$24,K284&lt;K$28,I$26,K284&lt;K$30,I$28,K284&lt;K$32,I$30,K284&lt;K$34,I$32,K284&lt;K$36,I$34,K284&lt;K$38,I$36,K284&lt;K$40,I$38,K284&lt;K$42,I$40,K284&lt;K$44,I$42,K284&lt;K$46,I$44,K284&gt;=K$46,I$46)</f>
        <v/>
      </c>
      <c r="J284" s="37">
        <f>_xlfn.IFS(K284&lt;K$24,0,K284&lt;K$25,J$24,K284&lt;K$26,J$25,K284&lt;K$27,J$26,K284&lt;K$28,J$27,K284&lt;K$29,J$28,K284&lt;K$30,J$29,K284&lt;K$31,J$30,K284&lt;K$32,J$31,K284&lt;K$33,J$32,K284&lt;K$34,J$33,K284&lt;K$35,J$34,K284&lt;K$36,J$35,K284&lt;K$37,J$36,K284&lt;K$38,J$37,K284&lt;K$39,J$38,K284&lt;K$40,J$39,K284&lt;K$41,J$40,K284&lt;K$42,J$41,K284&lt;K$43,J$42,K284&lt;K$44,J$43,K284&lt;K$45,J$44,K284&lt;K$46,J$45,K284&lt;K$47,J$46,K284&gt;=K$47,J$47)</f>
        <v/>
      </c>
      <c r="K284" s="38" t="n">
        <v>234</v>
      </c>
      <c r="L284" s="31">
        <f>K284/52</f>
        <v/>
      </c>
      <c r="M284" s="39">
        <f>J284/1000000*52</f>
        <v/>
      </c>
      <c r="N284" s="33">
        <f>M284/$P$4+($I$22/$P$4)</f>
        <v/>
      </c>
      <c r="U284">
        <f>F283</f>
        <v/>
      </c>
      <c r="V284">
        <f>H283</f>
        <v/>
      </c>
      <c r="W284">
        <f>N283</f>
        <v/>
      </c>
    </row>
    <row r="285" ht="15.75" customHeight="1" s="40">
      <c r="C285" s="36">
        <f>_xlfn.IFS(E285&lt;E$24,0,E285&lt;E$26,C$24,E285&lt;E$28,C$26,E285&lt;E$30,C$28,E285&lt;E$32,C$30,E285&lt;E$34,C$32,E285&gt;=E$34,C$34)</f>
        <v/>
      </c>
      <c r="D285" s="37">
        <f>_xlfn.IFS(E285&lt;E$24,0,E285&lt;E$25,D$24,E285&lt;E$26,D$25,E285&lt;E$27,D$26,E285&lt;E$28,D$27,E285&lt;E$29,D$28,E285&lt;E$30,D$29,E285&lt;E$31,D$30,E285&lt;E$32,D$31,E285&lt;E$33,D$32,E285&lt;E$34,D$33,E285&lt;E$35,D$34,E285&gt;=E$35,D$35)</f>
        <v/>
      </c>
      <c r="E285" s="38" t="n">
        <v>235</v>
      </c>
      <c r="F285" s="31">
        <f>E285/52</f>
        <v/>
      </c>
      <c r="G285" s="39">
        <f>D285/1000000*52</f>
        <v/>
      </c>
      <c r="H285" s="33">
        <f>G285/$P$4+($C$22/$P$4)</f>
        <v/>
      </c>
      <c r="I285" s="36">
        <f>_xlfn.IFS(K285&lt;K$24,0,K285&lt;K$26,I$24,K285&lt;K$28,I$26,K285&lt;K$30,I$28,K285&lt;K$32,I$30,K285&lt;K$34,I$32,K285&lt;K$36,I$34,K285&lt;K$38,I$36,K285&lt;K$40,I$38,K285&lt;K$42,I$40,K285&lt;K$44,I$42,K285&lt;K$46,I$44,K285&gt;=K$46,I$46)</f>
        <v/>
      </c>
      <c r="J285" s="37">
        <f>_xlfn.IFS(K285&lt;K$24,0,K285&lt;K$25,J$24,K285&lt;K$26,J$25,K285&lt;K$27,J$26,K285&lt;K$28,J$27,K285&lt;K$29,J$28,K285&lt;K$30,J$29,K285&lt;K$31,J$30,K285&lt;K$32,J$31,K285&lt;K$33,J$32,K285&lt;K$34,J$33,K285&lt;K$35,J$34,K285&lt;K$36,J$35,K285&lt;K$37,J$36,K285&lt;K$38,J$37,K285&lt;K$39,J$38,K285&lt;K$40,J$39,K285&lt;K$41,J$40,K285&lt;K$42,J$41,K285&lt;K$43,J$42,K285&lt;K$44,J$43,K285&lt;K$45,J$44,K285&lt;K$46,J$45,K285&lt;K$47,J$46,K285&gt;=K$47,J$47)</f>
        <v/>
      </c>
      <c r="K285" s="38" t="n">
        <v>235</v>
      </c>
      <c r="L285" s="31">
        <f>K285/52</f>
        <v/>
      </c>
      <c r="M285" s="39">
        <f>J285/1000000*52</f>
        <v/>
      </c>
      <c r="N285" s="33">
        <f>M285/$P$4+($I$22/$P$4)</f>
        <v/>
      </c>
      <c r="U285">
        <f>F284</f>
        <v/>
      </c>
      <c r="V285">
        <f>H284</f>
        <v/>
      </c>
      <c r="W285">
        <f>N284</f>
        <v/>
      </c>
    </row>
    <row r="286" ht="15.75" customHeight="1" s="40">
      <c r="C286" s="36">
        <f>_xlfn.IFS(E286&lt;E$24,0,E286&lt;E$26,C$24,E286&lt;E$28,C$26,E286&lt;E$30,C$28,E286&lt;E$32,C$30,E286&lt;E$34,C$32,E286&gt;=E$34,C$34)</f>
        <v/>
      </c>
      <c r="D286" s="37">
        <f>_xlfn.IFS(E286&lt;E$24,0,E286&lt;E$25,D$24,E286&lt;E$26,D$25,E286&lt;E$27,D$26,E286&lt;E$28,D$27,E286&lt;E$29,D$28,E286&lt;E$30,D$29,E286&lt;E$31,D$30,E286&lt;E$32,D$31,E286&lt;E$33,D$32,E286&lt;E$34,D$33,E286&lt;E$35,D$34,E286&gt;=E$35,D$35)</f>
        <v/>
      </c>
      <c r="E286" s="38" t="n">
        <v>236</v>
      </c>
      <c r="F286" s="31">
        <f>E286/52</f>
        <v/>
      </c>
      <c r="G286" s="39">
        <f>D286/1000000*52</f>
        <v/>
      </c>
      <c r="H286" s="33">
        <f>G286/$P$4+($C$22/$P$4)</f>
        <v/>
      </c>
      <c r="I286" s="36">
        <f>_xlfn.IFS(K286&lt;K$24,0,K286&lt;K$26,I$24,K286&lt;K$28,I$26,K286&lt;K$30,I$28,K286&lt;K$32,I$30,K286&lt;K$34,I$32,K286&lt;K$36,I$34,K286&lt;K$38,I$36,K286&lt;K$40,I$38,K286&lt;K$42,I$40,K286&lt;K$44,I$42,K286&lt;K$46,I$44,K286&gt;=K$46,I$46)</f>
        <v/>
      </c>
      <c r="J286" s="37">
        <f>_xlfn.IFS(K286&lt;K$24,0,K286&lt;K$25,J$24,K286&lt;K$26,J$25,K286&lt;K$27,J$26,K286&lt;K$28,J$27,K286&lt;K$29,J$28,K286&lt;K$30,J$29,K286&lt;K$31,J$30,K286&lt;K$32,J$31,K286&lt;K$33,J$32,K286&lt;K$34,J$33,K286&lt;K$35,J$34,K286&lt;K$36,J$35,K286&lt;K$37,J$36,K286&lt;K$38,J$37,K286&lt;K$39,J$38,K286&lt;K$40,J$39,K286&lt;K$41,J$40,K286&lt;K$42,J$41,K286&lt;K$43,J$42,K286&lt;K$44,J$43,K286&lt;K$45,J$44,K286&lt;K$46,J$45,K286&lt;K$47,J$46,K286&gt;=K$47,J$47)</f>
        <v/>
      </c>
      <c r="K286" s="38" t="n">
        <v>236</v>
      </c>
      <c r="L286" s="31">
        <f>K286/52</f>
        <v/>
      </c>
      <c r="M286" s="39">
        <f>J286/1000000*52</f>
        <v/>
      </c>
      <c r="N286" s="33">
        <f>M286/$P$4+($I$22/$P$4)</f>
        <v/>
      </c>
      <c r="U286">
        <f>F285</f>
        <v/>
      </c>
      <c r="V286">
        <f>H285</f>
        <v/>
      </c>
      <c r="W286">
        <f>N285</f>
        <v/>
      </c>
    </row>
    <row r="287" ht="15.75" customHeight="1" s="40">
      <c r="C287" s="36">
        <f>_xlfn.IFS(E287&lt;E$24,0,E287&lt;E$26,C$24,E287&lt;E$28,C$26,E287&lt;E$30,C$28,E287&lt;E$32,C$30,E287&lt;E$34,C$32,E287&gt;=E$34,C$34)</f>
        <v/>
      </c>
      <c r="D287" s="37">
        <f>_xlfn.IFS(E287&lt;E$24,0,E287&lt;E$25,D$24,E287&lt;E$26,D$25,E287&lt;E$27,D$26,E287&lt;E$28,D$27,E287&lt;E$29,D$28,E287&lt;E$30,D$29,E287&lt;E$31,D$30,E287&lt;E$32,D$31,E287&lt;E$33,D$32,E287&lt;E$34,D$33,E287&lt;E$35,D$34,E287&gt;=E$35,D$35)</f>
        <v/>
      </c>
      <c r="E287" s="38" t="n">
        <v>237</v>
      </c>
      <c r="F287" s="31">
        <f>E287/52</f>
        <v/>
      </c>
      <c r="G287" s="39">
        <f>D287/1000000*52</f>
        <v/>
      </c>
      <c r="H287" s="33">
        <f>G287/$P$4+($C$22/$P$4)</f>
        <v/>
      </c>
      <c r="I287" s="36">
        <f>_xlfn.IFS(K287&lt;K$24,0,K287&lt;K$26,I$24,K287&lt;K$28,I$26,K287&lt;K$30,I$28,K287&lt;K$32,I$30,K287&lt;K$34,I$32,K287&lt;K$36,I$34,K287&lt;K$38,I$36,K287&lt;K$40,I$38,K287&lt;K$42,I$40,K287&lt;K$44,I$42,K287&lt;K$46,I$44,K287&gt;=K$46,I$46)</f>
        <v/>
      </c>
      <c r="J287" s="37">
        <f>_xlfn.IFS(K287&lt;K$24,0,K287&lt;K$25,J$24,K287&lt;K$26,J$25,K287&lt;K$27,J$26,K287&lt;K$28,J$27,K287&lt;K$29,J$28,K287&lt;K$30,J$29,K287&lt;K$31,J$30,K287&lt;K$32,J$31,K287&lt;K$33,J$32,K287&lt;K$34,J$33,K287&lt;K$35,J$34,K287&lt;K$36,J$35,K287&lt;K$37,J$36,K287&lt;K$38,J$37,K287&lt;K$39,J$38,K287&lt;K$40,J$39,K287&lt;K$41,J$40,K287&lt;K$42,J$41,K287&lt;K$43,J$42,K287&lt;K$44,J$43,K287&lt;K$45,J$44,K287&lt;K$46,J$45,K287&lt;K$47,J$46,K287&gt;=K$47,J$47)</f>
        <v/>
      </c>
      <c r="K287" s="38" t="n">
        <v>237</v>
      </c>
      <c r="L287" s="31">
        <f>K287/52</f>
        <v/>
      </c>
      <c r="M287" s="39">
        <f>J287/1000000*52</f>
        <v/>
      </c>
      <c r="N287" s="33">
        <f>M287/$P$4+($I$22/$P$4)</f>
        <v/>
      </c>
      <c r="U287">
        <f>F286</f>
        <v/>
      </c>
      <c r="V287">
        <f>H286</f>
        <v/>
      </c>
      <c r="W287">
        <f>N286</f>
        <v/>
      </c>
    </row>
    <row r="288" ht="15.75" customHeight="1" s="40">
      <c r="C288" s="36">
        <f>_xlfn.IFS(E288&lt;E$24,0,E288&lt;E$26,C$24,E288&lt;E$28,C$26,E288&lt;E$30,C$28,E288&lt;E$32,C$30,E288&lt;E$34,C$32,E288&gt;=E$34,C$34)</f>
        <v/>
      </c>
      <c r="D288" s="37">
        <f>_xlfn.IFS(E288&lt;E$24,0,E288&lt;E$25,D$24,E288&lt;E$26,D$25,E288&lt;E$27,D$26,E288&lt;E$28,D$27,E288&lt;E$29,D$28,E288&lt;E$30,D$29,E288&lt;E$31,D$30,E288&lt;E$32,D$31,E288&lt;E$33,D$32,E288&lt;E$34,D$33,E288&lt;E$35,D$34,E288&gt;=E$35,D$35)</f>
        <v/>
      </c>
      <c r="E288" s="38" t="n">
        <v>238</v>
      </c>
      <c r="F288" s="31">
        <f>E288/52</f>
        <v/>
      </c>
      <c r="G288" s="39">
        <f>D288/1000000*52</f>
        <v/>
      </c>
      <c r="H288" s="33">
        <f>G288/$P$4+($C$22/$P$4)</f>
        <v/>
      </c>
      <c r="I288" s="36">
        <f>_xlfn.IFS(K288&lt;K$24,0,K288&lt;K$26,I$24,K288&lt;K$28,I$26,K288&lt;K$30,I$28,K288&lt;K$32,I$30,K288&lt;K$34,I$32,K288&lt;K$36,I$34,K288&lt;K$38,I$36,K288&lt;K$40,I$38,K288&lt;K$42,I$40,K288&lt;K$44,I$42,K288&lt;K$46,I$44,K288&gt;=K$46,I$46)</f>
        <v/>
      </c>
      <c r="J288" s="37">
        <f>_xlfn.IFS(K288&lt;K$24,0,K288&lt;K$25,J$24,K288&lt;K$26,J$25,K288&lt;K$27,J$26,K288&lt;K$28,J$27,K288&lt;K$29,J$28,K288&lt;K$30,J$29,K288&lt;K$31,J$30,K288&lt;K$32,J$31,K288&lt;K$33,J$32,K288&lt;K$34,J$33,K288&lt;K$35,J$34,K288&lt;K$36,J$35,K288&lt;K$37,J$36,K288&lt;K$38,J$37,K288&lt;K$39,J$38,K288&lt;K$40,J$39,K288&lt;K$41,J$40,K288&lt;K$42,J$41,K288&lt;K$43,J$42,K288&lt;K$44,J$43,K288&lt;K$45,J$44,K288&lt;K$46,J$45,K288&lt;K$47,J$46,K288&gt;=K$47,J$47)</f>
        <v/>
      </c>
      <c r="K288" s="38" t="n">
        <v>238</v>
      </c>
      <c r="L288" s="31">
        <f>K288/52</f>
        <v/>
      </c>
      <c r="M288" s="39">
        <f>J288/1000000*52</f>
        <v/>
      </c>
      <c r="N288" s="33">
        <f>M288/$P$4+($I$22/$P$4)</f>
        <v/>
      </c>
      <c r="U288">
        <f>F287</f>
        <v/>
      </c>
      <c r="V288">
        <f>H287</f>
        <v/>
      </c>
      <c r="W288">
        <f>N287</f>
        <v/>
      </c>
    </row>
    <row r="289" ht="15.75" customHeight="1" s="40">
      <c r="C289" s="36">
        <f>_xlfn.IFS(E289&lt;E$24,0,E289&lt;E$26,C$24,E289&lt;E$28,C$26,E289&lt;E$30,C$28,E289&lt;E$32,C$30,E289&lt;E$34,C$32,E289&gt;=E$34,C$34)</f>
        <v/>
      </c>
      <c r="D289" s="37">
        <f>_xlfn.IFS(E289&lt;E$24,0,E289&lt;E$25,D$24,E289&lt;E$26,D$25,E289&lt;E$27,D$26,E289&lt;E$28,D$27,E289&lt;E$29,D$28,E289&lt;E$30,D$29,E289&lt;E$31,D$30,E289&lt;E$32,D$31,E289&lt;E$33,D$32,E289&lt;E$34,D$33,E289&lt;E$35,D$34,E289&gt;=E$35,D$35)</f>
        <v/>
      </c>
      <c r="E289" s="38" t="n">
        <v>239</v>
      </c>
      <c r="F289" s="31">
        <f>E289/52</f>
        <v/>
      </c>
      <c r="G289" s="39">
        <f>D289/1000000*52</f>
        <v/>
      </c>
      <c r="H289" s="33">
        <f>G289/$P$4+($C$22/$P$4)</f>
        <v/>
      </c>
      <c r="I289" s="36">
        <f>_xlfn.IFS(K289&lt;K$24,0,K289&lt;K$26,I$24,K289&lt;K$28,I$26,K289&lt;K$30,I$28,K289&lt;K$32,I$30,K289&lt;K$34,I$32,K289&lt;K$36,I$34,K289&lt;K$38,I$36,K289&lt;K$40,I$38,K289&lt;K$42,I$40,K289&lt;K$44,I$42,K289&lt;K$46,I$44,K289&gt;=K$46,I$46)</f>
        <v/>
      </c>
      <c r="J289" s="37">
        <f>_xlfn.IFS(K289&lt;K$24,0,K289&lt;K$25,J$24,K289&lt;K$26,J$25,K289&lt;K$27,J$26,K289&lt;K$28,J$27,K289&lt;K$29,J$28,K289&lt;K$30,J$29,K289&lt;K$31,J$30,K289&lt;K$32,J$31,K289&lt;K$33,J$32,K289&lt;K$34,J$33,K289&lt;K$35,J$34,K289&lt;K$36,J$35,K289&lt;K$37,J$36,K289&lt;K$38,J$37,K289&lt;K$39,J$38,K289&lt;K$40,J$39,K289&lt;K$41,J$40,K289&lt;K$42,J$41,K289&lt;K$43,J$42,K289&lt;K$44,J$43,K289&lt;K$45,J$44,K289&lt;K$46,J$45,K289&lt;K$47,J$46,K289&gt;=K$47,J$47)</f>
        <v/>
      </c>
      <c r="K289" s="38" t="n">
        <v>239</v>
      </c>
      <c r="L289" s="31">
        <f>K289/52</f>
        <v/>
      </c>
      <c r="M289" s="39">
        <f>J289/1000000*52</f>
        <v/>
      </c>
      <c r="N289" s="33">
        <f>M289/$P$4+($I$22/$P$4)</f>
        <v/>
      </c>
      <c r="U289">
        <f>F288</f>
        <v/>
      </c>
      <c r="V289">
        <f>H288</f>
        <v/>
      </c>
      <c r="W289">
        <f>N288</f>
        <v/>
      </c>
    </row>
    <row r="290" ht="15.75" customHeight="1" s="40">
      <c r="C290" s="36">
        <f>_xlfn.IFS(E290&lt;E$24,0,E290&lt;E$26,C$24,E290&lt;E$28,C$26,E290&lt;E$30,C$28,E290&lt;E$32,C$30,E290&lt;E$34,C$32,E290&gt;=E$34,C$34)</f>
        <v/>
      </c>
      <c r="D290" s="37">
        <f>_xlfn.IFS(E290&lt;E$24,0,E290&lt;E$25,D$24,E290&lt;E$26,D$25,E290&lt;E$27,D$26,E290&lt;E$28,D$27,E290&lt;E$29,D$28,E290&lt;E$30,D$29,E290&lt;E$31,D$30,E290&lt;E$32,D$31,E290&lt;E$33,D$32,E290&lt;E$34,D$33,E290&lt;E$35,D$34,E290&gt;=E$35,D$35)</f>
        <v/>
      </c>
      <c r="E290" s="38" t="n">
        <v>240</v>
      </c>
      <c r="F290" s="31">
        <f>E290/52</f>
        <v/>
      </c>
      <c r="G290" s="39">
        <f>D290/1000000*52</f>
        <v/>
      </c>
      <c r="H290" s="33">
        <f>G290/$P$4+($C$22/$P$4)</f>
        <v/>
      </c>
      <c r="I290" s="36">
        <f>_xlfn.IFS(K290&lt;K$24,0,K290&lt;K$26,I$24,K290&lt;K$28,I$26,K290&lt;K$30,I$28,K290&lt;K$32,I$30,K290&lt;K$34,I$32,K290&lt;K$36,I$34,K290&lt;K$38,I$36,K290&lt;K$40,I$38,K290&lt;K$42,I$40,K290&lt;K$44,I$42,K290&lt;K$46,I$44,K290&gt;=K$46,I$46)</f>
        <v/>
      </c>
      <c r="J290" s="37">
        <f>_xlfn.IFS(K290&lt;K$24,0,K290&lt;K$25,J$24,K290&lt;K$26,J$25,K290&lt;K$27,J$26,K290&lt;K$28,J$27,K290&lt;K$29,J$28,K290&lt;K$30,J$29,K290&lt;K$31,J$30,K290&lt;K$32,J$31,K290&lt;K$33,J$32,K290&lt;K$34,J$33,K290&lt;K$35,J$34,K290&lt;K$36,J$35,K290&lt;K$37,J$36,K290&lt;K$38,J$37,K290&lt;K$39,J$38,K290&lt;K$40,J$39,K290&lt;K$41,J$40,K290&lt;K$42,J$41,K290&lt;K$43,J$42,K290&lt;K$44,J$43,K290&lt;K$45,J$44,K290&lt;K$46,J$45,K290&lt;K$47,J$46,K290&gt;=K$47,J$47)</f>
        <v/>
      </c>
      <c r="K290" s="38" t="n">
        <v>240</v>
      </c>
      <c r="L290" s="31">
        <f>K290/52</f>
        <v/>
      </c>
      <c r="M290" s="39">
        <f>J290/1000000*52</f>
        <v/>
      </c>
      <c r="N290" s="33">
        <f>M290/$P$4+($I$22/$P$4)</f>
        <v/>
      </c>
      <c r="U290">
        <f>F289</f>
        <v/>
      </c>
      <c r="V290">
        <f>H289</f>
        <v/>
      </c>
      <c r="W290">
        <f>N289</f>
        <v/>
      </c>
    </row>
    <row r="291" ht="15.75" customHeight="1" s="40">
      <c r="C291" s="36">
        <f>_xlfn.IFS(E291&lt;E$24,0,E291&lt;E$26,C$24,E291&lt;E$28,C$26,E291&lt;E$30,C$28,E291&lt;E$32,C$30,E291&lt;E$34,C$32,E291&gt;=E$34,C$34)</f>
        <v/>
      </c>
      <c r="D291" s="37">
        <f>_xlfn.IFS(E291&lt;E$24,0,E291&lt;E$25,D$24,E291&lt;E$26,D$25,E291&lt;E$27,D$26,E291&lt;E$28,D$27,E291&lt;E$29,D$28,E291&lt;E$30,D$29,E291&lt;E$31,D$30,E291&lt;E$32,D$31,E291&lt;E$33,D$32,E291&lt;E$34,D$33,E291&lt;E$35,D$34,E291&gt;=E$35,D$35)</f>
        <v/>
      </c>
      <c r="E291" s="38" t="n">
        <v>241</v>
      </c>
      <c r="F291" s="31">
        <f>E291/52</f>
        <v/>
      </c>
      <c r="G291" s="39">
        <f>D291/1000000*52</f>
        <v/>
      </c>
      <c r="H291" s="33">
        <f>G291/$P$4+($C$22/$P$4)</f>
        <v/>
      </c>
      <c r="I291" s="36">
        <f>_xlfn.IFS(K291&lt;K$24,0,K291&lt;K$26,I$24,K291&lt;K$28,I$26,K291&lt;K$30,I$28,K291&lt;K$32,I$30,K291&lt;K$34,I$32,K291&lt;K$36,I$34,K291&lt;K$38,I$36,K291&lt;K$40,I$38,K291&lt;K$42,I$40,K291&lt;K$44,I$42,K291&lt;K$46,I$44,K291&gt;=K$46,I$46)</f>
        <v/>
      </c>
      <c r="J291" s="37">
        <f>_xlfn.IFS(K291&lt;K$24,0,K291&lt;K$25,J$24,K291&lt;K$26,J$25,K291&lt;K$27,J$26,K291&lt;K$28,J$27,K291&lt;K$29,J$28,K291&lt;K$30,J$29,K291&lt;K$31,J$30,K291&lt;K$32,J$31,K291&lt;K$33,J$32,K291&lt;K$34,J$33,K291&lt;K$35,J$34,K291&lt;K$36,J$35,K291&lt;K$37,J$36,K291&lt;K$38,J$37,K291&lt;K$39,J$38,K291&lt;K$40,J$39,K291&lt;K$41,J$40,K291&lt;K$42,J$41,K291&lt;K$43,J$42,K291&lt;K$44,J$43,K291&lt;K$45,J$44,K291&lt;K$46,J$45,K291&lt;K$47,J$46,K291&gt;=K$47,J$47)</f>
        <v/>
      </c>
      <c r="K291" s="38" t="n">
        <v>241</v>
      </c>
      <c r="L291" s="31">
        <f>K291/52</f>
        <v/>
      </c>
      <c r="M291" s="39">
        <f>J291/1000000*52</f>
        <v/>
      </c>
      <c r="N291" s="33">
        <f>M291/$P$4+($I$22/$P$4)</f>
        <v/>
      </c>
      <c r="U291">
        <f>F290</f>
        <v/>
      </c>
      <c r="V291">
        <f>H290</f>
        <v/>
      </c>
      <c r="W291">
        <f>N290</f>
        <v/>
      </c>
    </row>
    <row r="292" ht="15.75" customHeight="1" s="40">
      <c r="C292" s="36">
        <f>_xlfn.IFS(E292&lt;E$24,0,E292&lt;E$26,C$24,E292&lt;E$28,C$26,E292&lt;E$30,C$28,E292&lt;E$32,C$30,E292&lt;E$34,C$32,E292&gt;=E$34,C$34)</f>
        <v/>
      </c>
      <c r="D292" s="37">
        <f>_xlfn.IFS(E292&lt;E$24,0,E292&lt;E$25,D$24,E292&lt;E$26,D$25,E292&lt;E$27,D$26,E292&lt;E$28,D$27,E292&lt;E$29,D$28,E292&lt;E$30,D$29,E292&lt;E$31,D$30,E292&lt;E$32,D$31,E292&lt;E$33,D$32,E292&lt;E$34,D$33,E292&lt;E$35,D$34,E292&gt;=E$35,D$35)</f>
        <v/>
      </c>
      <c r="E292" s="38" t="n">
        <v>242</v>
      </c>
      <c r="F292" s="31">
        <f>E292/52</f>
        <v/>
      </c>
      <c r="G292" s="39">
        <f>D292/1000000*52</f>
        <v/>
      </c>
      <c r="H292" s="33">
        <f>G292/$P$4+($C$22/$P$4)</f>
        <v/>
      </c>
      <c r="I292" s="36">
        <f>_xlfn.IFS(K292&lt;K$24,0,K292&lt;K$26,I$24,K292&lt;K$28,I$26,K292&lt;K$30,I$28,K292&lt;K$32,I$30,K292&lt;K$34,I$32,K292&lt;K$36,I$34,K292&lt;K$38,I$36,K292&lt;K$40,I$38,K292&lt;K$42,I$40,K292&lt;K$44,I$42,K292&lt;K$46,I$44,K292&gt;=K$46,I$46)</f>
        <v/>
      </c>
      <c r="J292" s="37">
        <f>_xlfn.IFS(K292&lt;K$24,0,K292&lt;K$25,J$24,K292&lt;K$26,J$25,K292&lt;K$27,J$26,K292&lt;K$28,J$27,K292&lt;K$29,J$28,K292&lt;K$30,J$29,K292&lt;K$31,J$30,K292&lt;K$32,J$31,K292&lt;K$33,J$32,K292&lt;K$34,J$33,K292&lt;K$35,J$34,K292&lt;K$36,J$35,K292&lt;K$37,J$36,K292&lt;K$38,J$37,K292&lt;K$39,J$38,K292&lt;K$40,J$39,K292&lt;K$41,J$40,K292&lt;K$42,J$41,K292&lt;K$43,J$42,K292&lt;K$44,J$43,K292&lt;K$45,J$44,K292&lt;K$46,J$45,K292&lt;K$47,J$46,K292&gt;=K$47,J$47)</f>
        <v/>
      </c>
      <c r="K292" s="38" t="n">
        <v>242</v>
      </c>
      <c r="L292" s="31">
        <f>K292/52</f>
        <v/>
      </c>
      <c r="M292" s="39">
        <f>J292/1000000*52</f>
        <v/>
      </c>
      <c r="N292" s="33">
        <f>M292/$P$4+($I$22/$P$4)</f>
        <v/>
      </c>
      <c r="U292">
        <f>F291</f>
        <v/>
      </c>
      <c r="V292">
        <f>H291</f>
        <v/>
      </c>
      <c r="W292">
        <f>N291</f>
        <v/>
      </c>
    </row>
    <row r="293" ht="15.75" customHeight="1" s="40">
      <c r="C293" s="36">
        <f>_xlfn.IFS(E293&lt;E$24,0,E293&lt;E$26,C$24,E293&lt;E$28,C$26,E293&lt;E$30,C$28,E293&lt;E$32,C$30,E293&lt;E$34,C$32,E293&gt;=E$34,C$34)</f>
        <v/>
      </c>
      <c r="D293" s="37">
        <f>_xlfn.IFS(E293&lt;E$24,0,E293&lt;E$25,D$24,E293&lt;E$26,D$25,E293&lt;E$27,D$26,E293&lt;E$28,D$27,E293&lt;E$29,D$28,E293&lt;E$30,D$29,E293&lt;E$31,D$30,E293&lt;E$32,D$31,E293&lt;E$33,D$32,E293&lt;E$34,D$33,E293&lt;E$35,D$34,E293&gt;=E$35,D$35)</f>
        <v/>
      </c>
      <c r="E293" s="38" t="n">
        <v>243</v>
      </c>
      <c r="F293" s="31">
        <f>E293/52</f>
        <v/>
      </c>
      <c r="G293" s="39">
        <f>D293/1000000*52</f>
        <v/>
      </c>
      <c r="H293" s="33">
        <f>G293/$P$4+($C$22/$P$4)</f>
        <v/>
      </c>
      <c r="I293" s="36">
        <f>_xlfn.IFS(K293&lt;K$24,0,K293&lt;K$26,I$24,K293&lt;K$28,I$26,K293&lt;K$30,I$28,K293&lt;K$32,I$30,K293&lt;K$34,I$32,K293&lt;K$36,I$34,K293&lt;K$38,I$36,K293&lt;K$40,I$38,K293&lt;K$42,I$40,K293&lt;K$44,I$42,K293&lt;K$46,I$44,K293&gt;=K$46,I$46)</f>
        <v/>
      </c>
      <c r="J293" s="37">
        <f>_xlfn.IFS(K293&lt;K$24,0,K293&lt;K$25,J$24,K293&lt;K$26,J$25,K293&lt;K$27,J$26,K293&lt;K$28,J$27,K293&lt;K$29,J$28,K293&lt;K$30,J$29,K293&lt;K$31,J$30,K293&lt;K$32,J$31,K293&lt;K$33,J$32,K293&lt;K$34,J$33,K293&lt;K$35,J$34,K293&lt;K$36,J$35,K293&lt;K$37,J$36,K293&lt;K$38,J$37,K293&lt;K$39,J$38,K293&lt;K$40,J$39,K293&lt;K$41,J$40,K293&lt;K$42,J$41,K293&lt;K$43,J$42,K293&lt;K$44,J$43,K293&lt;K$45,J$44,K293&lt;K$46,J$45,K293&lt;K$47,J$46,K293&gt;=K$47,J$47)</f>
        <v/>
      </c>
      <c r="K293" s="38" t="n">
        <v>243</v>
      </c>
      <c r="L293" s="31">
        <f>K293/52</f>
        <v/>
      </c>
      <c r="M293" s="39">
        <f>J293/1000000*52</f>
        <v/>
      </c>
      <c r="N293" s="33">
        <f>M293/$P$4+($I$22/$P$4)</f>
        <v/>
      </c>
      <c r="U293">
        <f>F292</f>
        <v/>
      </c>
      <c r="V293">
        <f>H292</f>
        <v/>
      </c>
      <c r="W293">
        <f>N292</f>
        <v/>
      </c>
    </row>
    <row r="294" ht="15.75" customHeight="1" s="40">
      <c r="C294" s="36">
        <f>_xlfn.IFS(E294&lt;E$24,0,E294&lt;E$26,C$24,E294&lt;E$28,C$26,E294&lt;E$30,C$28,E294&lt;E$32,C$30,E294&lt;E$34,C$32,E294&gt;=E$34,C$34)</f>
        <v/>
      </c>
      <c r="D294" s="37">
        <f>_xlfn.IFS(E294&lt;E$24,0,E294&lt;E$25,D$24,E294&lt;E$26,D$25,E294&lt;E$27,D$26,E294&lt;E$28,D$27,E294&lt;E$29,D$28,E294&lt;E$30,D$29,E294&lt;E$31,D$30,E294&lt;E$32,D$31,E294&lt;E$33,D$32,E294&lt;E$34,D$33,E294&lt;E$35,D$34,E294&gt;=E$35,D$35)</f>
        <v/>
      </c>
      <c r="E294" s="38" t="n">
        <v>244</v>
      </c>
      <c r="F294" s="31">
        <f>E294/52</f>
        <v/>
      </c>
      <c r="G294" s="39">
        <f>D294/1000000*52</f>
        <v/>
      </c>
      <c r="H294" s="33">
        <f>G294/$P$4+($C$22/$P$4)</f>
        <v/>
      </c>
      <c r="I294" s="36">
        <f>_xlfn.IFS(K294&lt;K$24,0,K294&lt;K$26,I$24,K294&lt;K$28,I$26,K294&lt;K$30,I$28,K294&lt;K$32,I$30,K294&lt;K$34,I$32,K294&lt;K$36,I$34,K294&lt;K$38,I$36,K294&lt;K$40,I$38,K294&lt;K$42,I$40,K294&lt;K$44,I$42,K294&lt;K$46,I$44,K294&gt;=K$46,I$46)</f>
        <v/>
      </c>
      <c r="J294" s="37">
        <f>_xlfn.IFS(K294&lt;K$24,0,K294&lt;K$25,J$24,K294&lt;K$26,J$25,K294&lt;K$27,J$26,K294&lt;K$28,J$27,K294&lt;K$29,J$28,K294&lt;K$30,J$29,K294&lt;K$31,J$30,K294&lt;K$32,J$31,K294&lt;K$33,J$32,K294&lt;K$34,J$33,K294&lt;K$35,J$34,K294&lt;K$36,J$35,K294&lt;K$37,J$36,K294&lt;K$38,J$37,K294&lt;K$39,J$38,K294&lt;K$40,J$39,K294&lt;K$41,J$40,K294&lt;K$42,J$41,K294&lt;K$43,J$42,K294&lt;K$44,J$43,K294&lt;K$45,J$44,K294&lt;K$46,J$45,K294&lt;K$47,J$46,K294&gt;=K$47,J$47)</f>
        <v/>
      </c>
      <c r="K294" s="38" t="n">
        <v>244</v>
      </c>
      <c r="L294" s="31">
        <f>K294/52</f>
        <v/>
      </c>
      <c r="M294" s="39">
        <f>J294/1000000*52</f>
        <v/>
      </c>
      <c r="N294" s="33">
        <f>M294/$P$4+($I$22/$P$4)</f>
        <v/>
      </c>
      <c r="U294">
        <f>F293</f>
        <v/>
      </c>
      <c r="V294">
        <f>H293</f>
        <v/>
      </c>
      <c r="W294">
        <f>N293</f>
        <v/>
      </c>
    </row>
    <row r="295" ht="15.75" customHeight="1" s="40">
      <c r="C295" s="36">
        <f>_xlfn.IFS(E295&lt;E$24,0,E295&lt;E$26,C$24,E295&lt;E$28,C$26,E295&lt;E$30,C$28,E295&lt;E$32,C$30,E295&lt;E$34,C$32,E295&gt;=E$34,C$34)</f>
        <v/>
      </c>
      <c r="D295" s="37">
        <f>_xlfn.IFS(E295&lt;E$24,0,E295&lt;E$25,D$24,E295&lt;E$26,D$25,E295&lt;E$27,D$26,E295&lt;E$28,D$27,E295&lt;E$29,D$28,E295&lt;E$30,D$29,E295&lt;E$31,D$30,E295&lt;E$32,D$31,E295&lt;E$33,D$32,E295&lt;E$34,D$33,E295&lt;E$35,D$34,E295&gt;=E$35,D$35)</f>
        <v/>
      </c>
      <c r="E295" s="38" t="n">
        <v>245</v>
      </c>
      <c r="F295" s="31">
        <f>E295/52</f>
        <v/>
      </c>
      <c r="G295" s="39">
        <f>D295/1000000*52</f>
        <v/>
      </c>
      <c r="H295" s="33">
        <f>G295/$P$4+($C$22/$P$4)</f>
        <v/>
      </c>
      <c r="I295" s="36">
        <f>_xlfn.IFS(K295&lt;K$24,0,K295&lt;K$26,I$24,K295&lt;K$28,I$26,K295&lt;K$30,I$28,K295&lt;K$32,I$30,K295&lt;K$34,I$32,K295&lt;K$36,I$34,K295&lt;K$38,I$36,K295&lt;K$40,I$38,K295&lt;K$42,I$40,K295&lt;K$44,I$42,K295&lt;K$46,I$44,K295&gt;=K$46,I$46)</f>
        <v/>
      </c>
      <c r="J295" s="37">
        <f>_xlfn.IFS(K295&lt;K$24,0,K295&lt;K$25,J$24,K295&lt;K$26,J$25,K295&lt;K$27,J$26,K295&lt;K$28,J$27,K295&lt;K$29,J$28,K295&lt;K$30,J$29,K295&lt;K$31,J$30,K295&lt;K$32,J$31,K295&lt;K$33,J$32,K295&lt;K$34,J$33,K295&lt;K$35,J$34,K295&lt;K$36,J$35,K295&lt;K$37,J$36,K295&lt;K$38,J$37,K295&lt;K$39,J$38,K295&lt;K$40,J$39,K295&lt;K$41,J$40,K295&lt;K$42,J$41,K295&lt;K$43,J$42,K295&lt;K$44,J$43,K295&lt;K$45,J$44,K295&lt;K$46,J$45,K295&lt;K$47,J$46,K295&gt;=K$47,J$47)</f>
        <v/>
      </c>
      <c r="K295" s="38" t="n">
        <v>245</v>
      </c>
      <c r="L295" s="31">
        <f>K295/52</f>
        <v/>
      </c>
      <c r="M295" s="39">
        <f>J295/1000000*52</f>
        <v/>
      </c>
      <c r="N295" s="33">
        <f>M295/$P$4+($I$22/$P$4)</f>
        <v/>
      </c>
      <c r="U295">
        <f>F294</f>
        <v/>
      </c>
      <c r="V295">
        <f>H294</f>
        <v/>
      </c>
      <c r="W295">
        <f>N294</f>
        <v/>
      </c>
    </row>
    <row r="296" ht="15.75" customHeight="1" s="40">
      <c r="C296" s="36">
        <f>_xlfn.IFS(E296&lt;E$24,0,E296&lt;E$26,C$24,E296&lt;E$28,C$26,E296&lt;E$30,C$28,E296&lt;E$32,C$30,E296&lt;E$34,C$32,E296&gt;=E$34,C$34)</f>
        <v/>
      </c>
      <c r="D296" s="37">
        <f>_xlfn.IFS(E296&lt;E$24,0,E296&lt;E$25,D$24,E296&lt;E$26,D$25,E296&lt;E$27,D$26,E296&lt;E$28,D$27,E296&lt;E$29,D$28,E296&lt;E$30,D$29,E296&lt;E$31,D$30,E296&lt;E$32,D$31,E296&lt;E$33,D$32,E296&lt;E$34,D$33,E296&lt;E$35,D$34,E296&gt;=E$35,D$35)</f>
        <v/>
      </c>
      <c r="E296" s="38" t="n">
        <v>246</v>
      </c>
      <c r="F296" s="31">
        <f>E296/52</f>
        <v/>
      </c>
      <c r="G296" s="39">
        <f>D296/1000000*52</f>
        <v/>
      </c>
      <c r="H296" s="33">
        <f>G296/$P$4+($C$22/$P$4)</f>
        <v/>
      </c>
      <c r="I296" s="36">
        <f>_xlfn.IFS(K296&lt;K$24,0,K296&lt;K$26,I$24,K296&lt;K$28,I$26,K296&lt;K$30,I$28,K296&lt;K$32,I$30,K296&lt;K$34,I$32,K296&lt;K$36,I$34,K296&lt;K$38,I$36,K296&lt;K$40,I$38,K296&lt;K$42,I$40,K296&lt;K$44,I$42,K296&lt;K$46,I$44,K296&gt;=K$46,I$46)</f>
        <v/>
      </c>
      <c r="J296" s="37">
        <f>_xlfn.IFS(K296&lt;K$24,0,K296&lt;K$25,J$24,K296&lt;K$26,J$25,K296&lt;K$27,J$26,K296&lt;K$28,J$27,K296&lt;K$29,J$28,K296&lt;K$30,J$29,K296&lt;K$31,J$30,K296&lt;K$32,J$31,K296&lt;K$33,J$32,K296&lt;K$34,J$33,K296&lt;K$35,J$34,K296&lt;K$36,J$35,K296&lt;K$37,J$36,K296&lt;K$38,J$37,K296&lt;K$39,J$38,K296&lt;K$40,J$39,K296&lt;K$41,J$40,K296&lt;K$42,J$41,K296&lt;K$43,J$42,K296&lt;K$44,J$43,K296&lt;K$45,J$44,K296&lt;K$46,J$45,K296&lt;K$47,J$46,K296&gt;=K$47,J$47)</f>
        <v/>
      </c>
      <c r="K296" s="38" t="n">
        <v>246</v>
      </c>
      <c r="L296" s="31">
        <f>K296/52</f>
        <v/>
      </c>
      <c r="M296" s="39">
        <f>J296/1000000*52</f>
        <v/>
      </c>
      <c r="N296" s="33">
        <f>M296/$P$4+($I$22/$P$4)</f>
        <v/>
      </c>
      <c r="U296">
        <f>F295</f>
        <v/>
      </c>
      <c r="V296">
        <f>H295</f>
        <v/>
      </c>
      <c r="W296">
        <f>N295</f>
        <v/>
      </c>
    </row>
    <row r="297" ht="15.75" customHeight="1" s="40">
      <c r="C297" s="36">
        <f>_xlfn.IFS(E297&lt;E$24,0,E297&lt;E$26,C$24,E297&lt;E$28,C$26,E297&lt;E$30,C$28,E297&lt;E$32,C$30,E297&lt;E$34,C$32,E297&gt;=E$34,C$34)</f>
        <v/>
      </c>
      <c r="D297" s="37">
        <f>_xlfn.IFS(E297&lt;E$24,0,E297&lt;E$25,D$24,E297&lt;E$26,D$25,E297&lt;E$27,D$26,E297&lt;E$28,D$27,E297&lt;E$29,D$28,E297&lt;E$30,D$29,E297&lt;E$31,D$30,E297&lt;E$32,D$31,E297&lt;E$33,D$32,E297&lt;E$34,D$33,E297&lt;E$35,D$34,E297&gt;=E$35,D$35)</f>
        <v/>
      </c>
      <c r="E297" s="38" t="n">
        <v>247</v>
      </c>
      <c r="F297" s="31">
        <f>E297/52</f>
        <v/>
      </c>
      <c r="G297" s="39">
        <f>D297/1000000*52</f>
        <v/>
      </c>
      <c r="H297" s="33">
        <f>G297/$P$4+($C$22/$P$4)</f>
        <v/>
      </c>
      <c r="I297" s="36">
        <f>_xlfn.IFS(K297&lt;K$24,0,K297&lt;K$26,I$24,K297&lt;K$28,I$26,K297&lt;K$30,I$28,K297&lt;K$32,I$30,K297&lt;K$34,I$32,K297&lt;K$36,I$34,K297&lt;K$38,I$36,K297&lt;K$40,I$38,K297&lt;K$42,I$40,K297&lt;K$44,I$42,K297&lt;K$46,I$44,K297&gt;=K$46,I$46)</f>
        <v/>
      </c>
      <c r="J297" s="37">
        <f>_xlfn.IFS(K297&lt;K$24,0,K297&lt;K$25,J$24,K297&lt;K$26,J$25,K297&lt;K$27,J$26,K297&lt;K$28,J$27,K297&lt;K$29,J$28,K297&lt;K$30,J$29,K297&lt;K$31,J$30,K297&lt;K$32,J$31,K297&lt;K$33,J$32,K297&lt;K$34,J$33,K297&lt;K$35,J$34,K297&lt;K$36,J$35,K297&lt;K$37,J$36,K297&lt;K$38,J$37,K297&lt;K$39,J$38,K297&lt;K$40,J$39,K297&lt;K$41,J$40,K297&lt;K$42,J$41,K297&lt;K$43,J$42,K297&lt;K$44,J$43,K297&lt;K$45,J$44,K297&lt;K$46,J$45,K297&lt;K$47,J$46,K297&gt;=K$47,J$47)</f>
        <v/>
      </c>
      <c r="K297" s="38" t="n">
        <v>247</v>
      </c>
      <c r="L297" s="31">
        <f>K297/52</f>
        <v/>
      </c>
      <c r="M297" s="39">
        <f>J297/1000000*52</f>
        <v/>
      </c>
      <c r="N297" s="33">
        <f>M297/$P$4+($I$22/$P$4)</f>
        <v/>
      </c>
      <c r="U297">
        <f>F296</f>
        <v/>
      </c>
      <c r="V297">
        <f>H296</f>
        <v/>
      </c>
      <c r="W297">
        <f>N296</f>
        <v/>
      </c>
    </row>
    <row r="298" ht="15.75" customHeight="1" s="40">
      <c r="C298" s="36">
        <f>_xlfn.IFS(E298&lt;E$24,0,E298&lt;E$26,C$24,E298&lt;E$28,C$26,E298&lt;E$30,C$28,E298&lt;E$32,C$30,E298&lt;E$34,C$32,E298&gt;=E$34,C$34)</f>
        <v/>
      </c>
      <c r="D298" s="37">
        <f>_xlfn.IFS(E298&lt;E$24,0,E298&lt;E$25,D$24,E298&lt;E$26,D$25,E298&lt;E$27,D$26,E298&lt;E$28,D$27,E298&lt;E$29,D$28,E298&lt;E$30,D$29,E298&lt;E$31,D$30,E298&lt;E$32,D$31,E298&lt;E$33,D$32,E298&lt;E$34,D$33,E298&lt;E$35,D$34,E298&gt;=E$35,D$35)</f>
        <v/>
      </c>
      <c r="E298" s="38" t="n">
        <v>248</v>
      </c>
      <c r="F298" s="31">
        <f>E298/52</f>
        <v/>
      </c>
      <c r="G298" s="39">
        <f>D298/1000000*52</f>
        <v/>
      </c>
      <c r="H298" s="33">
        <f>G298/$P$4+($C$22/$P$4)</f>
        <v/>
      </c>
      <c r="I298" s="36">
        <f>_xlfn.IFS(K298&lt;K$24,0,K298&lt;K$26,I$24,K298&lt;K$28,I$26,K298&lt;K$30,I$28,K298&lt;K$32,I$30,K298&lt;K$34,I$32,K298&lt;K$36,I$34,K298&lt;K$38,I$36,K298&lt;K$40,I$38,K298&lt;K$42,I$40,K298&lt;K$44,I$42,K298&lt;K$46,I$44,K298&gt;=K$46,I$46)</f>
        <v/>
      </c>
      <c r="J298" s="37">
        <f>_xlfn.IFS(K298&lt;K$24,0,K298&lt;K$25,J$24,K298&lt;K$26,J$25,K298&lt;K$27,J$26,K298&lt;K$28,J$27,K298&lt;K$29,J$28,K298&lt;K$30,J$29,K298&lt;K$31,J$30,K298&lt;K$32,J$31,K298&lt;K$33,J$32,K298&lt;K$34,J$33,K298&lt;K$35,J$34,K298&lt;K$36,J$35,K298&lt;K$37,J$36,K298&lt;K$38,J$37,K298&lt;K$39,J$38,K298&lt;K$40,J$39,K298&lt;K$41,J$40,K298&lt;K$42,J$41,K298&lt;K$43,J$42,K298&lt;K$44,J$43,K298&lt;K$45,J$44,K298&lt;K$46,J$45,K298&lt;K$47,J$46,K298&gt;=K$47,J$47)</f>
        <v/>
      </c>
      <c r="K298" s="38" t="n">
        <v>248</v>
      </c>
      <c r="L298" s="31">
        <f>K298/52</f>
        <v/>
      </c>
      <c r="M298" s="39">
        <f>J298/1000000*52</f>
        <v/>
      </c>
      <c r="N298" s="33">
        <f>M298/$P$4+($I$22/$P$4)</f>
        <v/>
      </c>
      <c r="U298">
        <f>F297</f>
        <v/>
      </c>
      <c r="V298">
        <f>H297</f>
        <v/>
      </c>
      <c r="W298">
        <f>N297</f>
        <v/>
      </c>
    </row>
    <row r="299" ht="15.75" customHeight="1" s="40">
      <c r="C299" s="36">
        <f>_xlfn.IFS(E299&lt;E$24,0,E299&lt;E$26,C$24,E299&lt;E$28,C$26,E299&lt;E$30,C$28,E299&lt;E$32,C$30,E299&lt;E$34,C$32,E299&gt;=E$34,C$34)</f>
        <v/>
      </c>
      <c r="D299" s="37">
        <f>_xlfn.IFS(E299&lt;E$24,0,E299&lt;E$25,D$24,E299&lt;E$26,D$25,E299&lt;E$27,D$26,E299&lt;E$28,D$27,E299&lt;E$29,D$28,E299&lt;E$30,D$29,E299&lt;E$31,D$30,E299&lt;E$32,D$31,E299&lt;E$33,D$32,E299&lt;E$34,D$33,E299&lt;E$35,D$34,E299&gt;=E$35,D$35)</f>
        <v/>
      </c>
      <c r="E299" s="38" t="n">
        <v>249</v>
      </c>
      <c r="F299" s="31">
        <f>E299/52</f>
        <v/>
      </c>
      <c r="G299" s="39">
        <f>D299/1000000*52</f>
        <v/>
      </c>
      <c r="H299" s="33">
        <f>G299/$P$4+($C$22/$P$4)</f>
        <v/>
      </c>
      <c r="I299" s="36">
        <f>_xlfn.IFS(K299&lt;K$24,0,K299&lt;K$26,I$24,K299&lt;K$28,I$26,K299&lt;K$30,I$28,K299&lt;K$32,I$30,K299&lt;K$34,I$32,K299&lt;K$36,I$34,K299&lt;K$38,I$36,K299&lt;K$40,I$38,K299&lt;K$42,I$40,K299&lt;K$44,I$42,K299&lt;K$46,I$44,K299&gt;=K$46,I$46)</f>
        <v/>
      </c>
      <c r="J299" s="37">
        <f>_xlfn.IFS(K299&lt;K$24,0,K299&lt;K$25,J$24,K299&lt;K$26,J$25,K299&lt;K$27,J$26,K299&lt;K$28,J$27,K299&lt;K$29,J$28,K299&lt;K$30,J$29,K299&lt;K$31,J$30,K299&lt;K$32,J$31,K299&lt;K$33,J$32,K299&lt;K$34,J$33,K299&lt;K$35,J$34,K299&lt;K$36,J$35,K299&lt;K$37,J$36,K299&lt;K$38,J$37,K299&lt;K$39,J$38,K299&lt;K$40,J$39,K299&lt;K$41,J$40,K299&lt;K$42,J$41,K299&lt;K$43,J$42,K299&lt;K$44,J$43,K299&lt;K$45,J$44,K299&lt;K$46,J$45,K299&lt;K$47,J$46,K299&gt;=K$47,J$47)</f>
        <v/>
      </c>
      <c r="K299" s="38" t="n">
        <v>249</v>
      </c>
      <c r="L299" s="31">
        <f>K299/52</f>
        <v/>
      </c>
      <c r="M299" s="39">
        <f>J299/1000000*52</f>
        <v/>
      </c>
      <c r="N299" s="33">
        <f>M299/$P$4+($I$22/$P$4)</f>
        <v/>
      </c>
      <c r="U299">
        <f>F298</f>
        <v/>
      </c>
      <c r="V299">
        <f>H298</f>
        <v/>
      </c>
      <c r="W299">
        <f>N298</f>
        <v/>
      </c>
    </row>
    <row r="300" ht="15.75" customHeight="1" s="40">
      <c r="C300" s="36">
        <f>_xlfn.IFS(E300&lt;E$24,0,E300&lt;E$26,C$24,E300&lt;E$28,C$26,E300&lt;E$30,C$28,E300&lt;E$32,C$30,E300&lt;E$34,C$32,E300&gt;=E$34,C$34)</f>
        <v/>
      </c>
      <c r="D300" s="37">
        <f>_xlfn.IFS(E300&lt;E$24,0,E300&lt;E$25,D$24,E300&lt;E$26,D$25,E300&lt;E$27,D$26,E300&lt;E$28,D$27,E300&lt;E$29,D$28,E300&lt;E$30,D$29,E300&lt;E$31,D$30,E300&lt;E$32,D$31,E300&lt;E$33,D$32,E300&lt;E$34,D$33,E300&lt;E$35,D$34,E300&gt;=E$35,D$35)</f>
        <v/>
      </c>
      <c r="E300" s="38" t="n">
        <v>250</v>
      </c>
      <c r="F300" s="31">
        <f>E300/52</f>
        <v/>
      </c>
      <c r="G300" s="39">
        <f>D300/1000000*52</f>
        <v/>
      </c>
      <c r="H300" s="33">
        <f>G300/$P$4+($C$22/$P$4)</f>
        <v/>
      </c>
      <c r="I300" s="36">
        <f>_xlfn.IFS(K300&lt;K$24,0,K300&lt;K$26,I$24,K300&lt;K$28,I$26,K300&lt;K$30,I$28,K300&lt;K$32,I$30,K300&lt;K$34,I$32,K300&lt;K$36,I$34,K300&lt;K$38,I$36,K300&lt;K$40,I$38,K300&lt;K$42,I$40,K300&lt;K$44,I$42,K300&lt;K$46,I$44,K300&gt;=K$46,I$46)</f>
        <v/>
      </c>
      <c r="J300" s="37">
        <f>_xlfn.IFS(K300&lt;K$24,0,K300&lt;K$25,J$24,K300&lt;K$26,J$25,K300&lt;K$27,J$26,K300&lt;K$28,J$27,K300&lt;K$29,J$28,K300&lt;K$30,J$29,K300&lt;K$31,J$30,K300&lt;K$32,J$31,K300&lt;K$33,J$32,K300&lt;K$34,J$33,K300&lt;K$35,J$34,K300&lt;K$36,J$35,K300&lt;K$37,J$36,K300&lt;K$38,J$37,K300&lt;K$39,J$38,K300&lt;K$40,J$39,K300&lt;K$41,J$40,K300&lt;K$42,J$41,K300&lt;K$43,J$42,K300&lt;K$44,J$43,K300&lt;K$45,J$44,K300&lt;K$46,J$45,K300&lt;K$47,J$46,K300&gt;=K$47,J$47)</f>
        <v/>
      </c>
      <c r="K300" s="38" t="n">
        <v>250</v>
      </c>
      <c r="L300" s="31">
        <f>K300/52</f>
        <v/>
      </c>
      <c r="M300" s="39">
        <f>J300/1000000*52</f>
        <v/>
      </c>
      <c r="N300" s="33">
        <f>M300/$P$4+($I$22/$P$4)</f>
        <v/>
      </c>
      <c r="U300">
        <f>F299</f>
        <v/>
      </c>
      <c r="V300">
        <f>H299</f>
        <v/>
      </c>
      <c r="W300">
        <f>N299</f>
        <v/>
      </c>
    </row>
    <row r="301" ht="15.75" customHeight="1" s="40">
      <c r="C301" s="36">
        <f>_xlfn.IFS(E301&lt;E$24,0,E301&lt;E$26,C$24,E301&lt;E$28,C$26,E301&lt;E$30,C$28,E301&lt;E$32,C$30,E301&lt;E$34,C$32,E301&gt;=E$34,C$34)</f>
        <v/>
      </c>
      <c r="D301" s="37">
        <f>_xlfn.IFS(E301&lt;E$24,0,E301&lt;E$25,D$24,E301&lt;E$26,D$25,E301&lt;E$27,D$26,E301&lt;E$28,D$27,E301&lt;E$29,D$28,E301&lt;E$30,D$29,E301&lt;E$31,D$30,E301&lt;E$32,D$31,E301&lt;E$33,D$32,E301&lt;E$34,D$33,E301&lt;E$35,D$34,E301&gt;=E$35,D$35)</f>
        <v/>
      </c>
      <c r="E301" s="38" t="n">
        <v>251</v>
      </c>
      <c r="F301" s="31">
        <f>E301/52</f>
        <v/>
      </c>
      <c r="G301" s="39">
        <f>D301/1000000*52</f>
        <v/>
      </c>
      <c r="H301" s="33">
        <f>G301/$P$4+($C$22/$P$4)</f>
        <v/>
      </c>
      <c r="I301" s="36">
        <f>_xlfn.IFS(K301&lt;K$24,0,K301&lt;K$26,I$24,K301&lt;K$28,I$26,K301&lt;K$30,I$28,K301&lt;K$32,I$30,K301&lt;K$34,I$32,K301&lt;K$36,I$34,K301&lt;K$38,I$36,K301&lt;K$40,I$38,K301&lt;K$42,I$40,K301&lt;K$44,I$42,K301&lt;K$46,I$44,K301&gt;=K$46,I$46)</f>
        <v/>
      </c>
      <c r="J301" s="37">
        <f>_xlfn.IFS(K301&lt;K$24,0,K301&lt;K$25,J$24,K301&lt;K$26,J$25,K301&lt;K$27,J$26,K301&lt;K$28,J$27,K301&lt;K$29,J$28,K301&lt;K$30,J$29,K301&lt;K$31,J$30,K301&lt;K$32,J$31,K301&lt;K$33,J$32,K301&lt;K$34,J$33,K301&lt;K$35,J$34,K301&lt;K$36,J$35,K301&lt;K$37,J$36,K301&lt;K$38,J$37,K301&lt;K$39,J$38,K301&lt;K$40,J$39,K301&lt;K$41,J$40,K301&lt;K$42,J$41,K301&lt;K$43,J$42,K301&lt;K$44,J$43,K301&lt;K$45,J$44,K301&lt;K$46,J$45,K301&lt;K$47,J$46,K301&gt;=K$47,J$47)</f>
        <v/>
      </c>
      <c r="K301" s="38" t="n">
        <v>251</v>
      </c>
      <c r="L301" s="31">
        <f>K301/52</f>
        <v/>
      </c>
      <c r="M301" s="39">
        <f>J301/1000000*52</f>
        <v/>
      </c>
      <c r="N301" s="33">
        <f>M301/$P$4+($I$22/$P$4)</f>
        <v/>
      </c>
      <c r="U301">
        <f>F300</f>
        <v/>
      </c>
      <c r="V301">
        <f>H300</f>
        <v/>
      </c>
      <c r="W301">
        <f>N300</f>
        <v/>
      </c>
    </row>
    <row r="302" ht="15.75" customHeight="1" s="40">
      <c r="C302" s="36">
        <f>_xlfn.IFS(E302&lt;E$24,0,E302&lt;E$26,C$24,E302&lt;E$28,C$26,E302&lt;E$30,C$28,E302&lt;E$32,C$30,E302&lt;E$34,C$32,E302&gt;=E$34,C$34)</f>
        <v/>
      </c>
      <c r="D302" s="37">
        <f>_xlfn.IFS(E302&lt;E$24,0,E302&lt;E$25,D$24,E302&lt;E$26,D$25,E302&lt;E$27,D$26,E302&lt;E$28,D$27,E302&lt;E$29,D$28,E302&lt;E$30,D$29,E302&lt;E$31,D$30,E302&lt;E$32,D$31,E302&lt;E$33,D$32,E302&lt;E$34,D$33,E302&lt;E$35,D$34,E302&gt;=E$35,D$35)</f>
        <v/>
      </c>
      <c r="E302" s="38" t="n">
        <v>252</v>
      </c>
      <c r="F302" s="31">
        <f>E302/52</f>
        <v/>
      </c>
      <c r="G302" s="39">
        <f>D302/1000000*52</f>
        <v/>
      </c>
      <c r="H302" s="33">
        <f>G302/$P$4+($C$22/$P$4)</f>
        <v/>
      </c>
      <c r="I302" s="36">
        <f>_xlfn.IFS(K302&lt;K$24,0,K302&lt;K$26,I$24,K302&lt;K$28,I$26,K302&lt;K$30,I$28,K302&lt;K$32,I$30,K302&lt;K$34,I$32,K302&lt;K$36,I$34,K302&lt;K$38,I$36,K302&lt;K$40,I$38,K302&lt;K$42,I$40,K302&lt;K$44,I$42,K302&lt;K$46,I$44,K302&gt;=K$46,I$46)</f>
        <v/>
      </c>
      <c r="J302" s="37">
        <f>_xlfn.IFS(K302&lt;K$24,0,K302&lt;K$25,J$24,K302&lt;K$26,J$25,K302&lt;K$27,J$26,K302&lt;K$28,J$27,K302&lt;K$29,J$28,K302&lt;K$30,J$29,K302&lt;K$31,J$30,K302&lt;K$32,J$31,K302&lt;K$33,J$32,K302&lt;K$34,J$33,K302&lt;K$35,J$34,K302&lt;K$36,J$35,K302&lt;K$37,J$36,K302&lt;K$38,J$37,K302&lt;K$39,J$38,K302&lt;K$40,J$39,K302&lt;K$41,J$40,K302&lt;K$42,J$41,K302&lt;K$43,J$42,K302&lt;K$44,J$43,K302&lt;K$45,J$44,K302&lt;K$46,J$45,K302&lt;K$47,J$46,K302&gt;=K$47,J$47)</f>
        <v/>
      </c>
      <c r="K302" s="38" t="n">
        <v>252</v>
      </c>
      <c r="L302" s="31">
        <f>K302/52</f>
        <v/>
      </c>
      <c r="M302" s="39">
        <f>J302/1000000*52</f>
        <v/>
      </c>
      <c r="N302" s="33">
        <f>M302/$P$4+($I$22/$P$4)</f>
        <v/>
      </c>
      <c r="U302">
        <f>F301</f>
        <v/>
      </c>
      <c r="V302">
        <f>H301</f>
        <v/>
      </c>
      <c r="W302">
        <f>N301</f>
        <v/>
      </c>
    </row>
    <row r="303" ht="15.75" customHeight="1" s="40">
      <c r="C303" s="36">
        <f>_xlfn.IFS(E303&lt;E$24,0,E303&lt;E$26,C$24,E303&lt;E$28,C$26,E303&lt;E$30,C$28,E303&lt;E$32,C$30,E303&lt;E$34,C$32,E303&gt;=E$34,C$34)</f>
        <v/>
      </c>
      <c r="D303" s="37">
        <f>_xlfn.IFS(E303&lt;E$24,0,E303&lt;E$25,D$24,E303&lt;E$26,D$25,E303&lt;E$27,D$26,E303&lt;E$28,D$27,E303&lt;E$29,D$28,E303&lt;E$30,D$29,E303&lt;E$31,D$30,E303&lt;E$32,D$31,E303&lt;E$33,D$32,E303&lt;E$34,D$33,E303&lt;E$35,D$34,E303&gt;=E$35,D$35)</f>
        <v/>
      </c>
      <c r="E303" s="38" t="n">
        <v>253</v>
      </c>
      <c r="F303" s="31">
        <f>E303/52</f>
        <v/>
      </c>
      <c r="G303" s="39">
        <f>D303/1000000*52</f>
        <v/>
      </c>
      <c r="H303" s="33">
        <f>G303/$P$4+($C$22/$P$4)</f>
        <v/>
      </c>
      <c r="I303" s="36">
        <f>_xlfn.IFS(K303&lt;K$24,0,K303&lt;K$26,I$24,K303&lt;K$28,I$26,K303&lt;K$30,I$28,K303&lt;K$32,I$30,K303&lt;K$34,I$32,K303&lt;K$36,I$34,K303&lt;K$38,I$36,K303&lt;K$40,I$38,K303&lt;K$42,I$40,K303&lt;K$44,I$42,K303&lt;K$46,I$44,K303&gt;=K$46,I$46)</f>
        <v/>
      </c>
      <c r="J303" s="37">
        <f>_xlfn.IFS(K303&lt;K$24,0,K303&lt;K$25,J$24,K303&lt;K$26,J$25,K303&lt;K$27,J$26,K303&lt;K$28,J$27,K303&lt;K$29,J$28,K303&lt;K$30,J$29,K303&lt;K$31,J$30,K303&lt;K$32,J$31,K303&lt;K$33,J$32,K303&lt;K$34,J$33,K303&lt;K$35,J$34,K303&lt;K$36,J$35,K303&lt;K$37,J$36,K303&lt;K$38,J$37,K303&lt;K$39,J$38,K303&lt;K$40,J$39,K303&lt;K$41,J$40,K303&lt;K$42,J$41,K303&lt;K$43,J$42,K303&lt;K$44,J$43,K303&lt;K$45,J$44,K303&lt;K$46,J$45,K303&lt;K$47,J$46,K303&gt;=K$47,J$47)</f>
        <v/>
      </c>
      <c r="K303" s="38" t="n">
        <v>253</v>
      </c>
      <c r="L303" s="31">
        <f>K303/52</f>
        <v/>
      </c>
      <c r="M303" s="39">
        <f>J303/1000000*52</f>
        <v/>
      </c>
      <c r="N303" s="33">
        <f>M303/$P$4+($I$22/$P$4)</f>
        <v/>
      </c>
      <c r="U303">
        <f>F302</f>
        <v/>
      </c>
      <c r="V303">
        <f>H302</f>
        <v/>
      </c>
      <c r="W303">
        <f>N302</f>
        <v/>
      </c>
    </row>
    <row r="304" ht="15.75" customHeight="1" s="40">
      <c r="C304" s="36">
        <f>_xlfn.IFS(E304&lt;E$24,0,E304&lt;E$26,C$24,E304&lt;E$28,C$26,E304&lt;E$30,C$28,E304&lt;E$32,C$30,E304&lt;E$34,C$32,E304&gt;=E$34,C$34)</f>
        <v/>
      </c>
      <c r="D304" s="37">
        <f>_xlfn.IFS(E304&lt;E$24,0,E304&lt;E$25,D$24,E304&lt;E$26,D$25,E304&lt;E$27,D$26,E304&lt;E$28,D$27,E304&lt;E$29,D$28,E304&lt;E$30,D$29,E304&lt;E$31,D$30,E304&lt;E$32,D$31,E304&lt;E$33,D$32,E304&lt;E$34,D$33,E304&lt;E$35,D$34,E304&gt;=E$35,D$35)</f>
        <v/>
      </c>
      <c r="E304" s="38" t="n">
        <v>254</v>
      </c>
      <c r="F304" s="31">
        <f>E304/52</f>
        <v/>
      </c>
      <c r="G304" s="39">
        <f>D304/1000000*52</f>
        <v/>
      </c>
      <c r="H304" s="33">
        <f>G304/$P$4+($C$22/$P$4)</f>
        <v/>
      </c>
      <c r="I304" s="36">
        <f>_xlfn.IFS(K304&lt;K$24,0,K304&lt;K$26,I$24,K304&lt;K$28,I$26,K304&lt;K$30,I$28,K304&lt;K$32,I$30,K304&lt;K$34,I$32,K304&lt;K$36,I$34,K304&lt;K$38,I$36,K304&lt;K$40,I$38,K304&lt;K$42,I$40,K304&lt;K$44,I$42,K304&lt;K$46,I$44,K304&gt;=K$46,I$46)</f>
        <v/>
      </c>
      <c r="J304" s="37">
        <f>_xlfn.IFS(K304&lt;K$24,0,K304&lt;K$25,J$24,K304&lt;K$26,J$25,K304&lt;K$27,J$26,K304&lt;K$28,J$27,K304&lt;K$29,J$28,K304&lt;K$30,J$29,K304&lt;K$31,J$30,K304&lt;K$32,J$31,K304&lt;K$33,J$32,K304&lt;K$34,J$33,K304&lt;K$35,J$34,K304&lt;K$36,J$35,K304&lt;K$37,J$36,K304&lt;K$38,J$37,K304&lt;K$39,J$38,K304&lt;K$40,J$39,K304&lt;K$41,J$40,K304&lt;K$42,J$41,K304&lt;K$43,J$42,K304&lt;K$44,J$43,K304&lt;K$45,J$44,K304&lt;K$46,J$45,K304&lt;K$47,J$46,K304&gt;=K$47,J$47)</f>
        <v/>
      </c>
      <c r="K304" s="38" t="n">
        <v>254</v>
      </c>
      <c r="L304" s="31">
        <f>K304/52</f>
        <v/>
      </c>
      <c r="M304" s="39">
        <f>J304/1000000*52</f>
        <v/>
      </c>
      <c r="N304" s="33">
        <f>M304/$P$4+($I$22/$P$4)</f>
        <v/>
      </c>
      <c r="U304">
        <f>F303</f>
        <v/>
      </c>
      <c r="V304">
        <f>H303</f>
        <v/>
      </c>
      <c r="W304">
        <f>N303</f>
        <v/>
      </c>
    </row>
    <row r="305" ht="15.75" customHeight="1" s="40">
      <c r="C305" s="36">
        <f>_xlfn.IFS(E305&lt;E$24,0,E305&lt;E$26,C$24,E305&lt;E$28,C$26,E305&lt;E$30,C$28,E305&lt;E$32,C$30,E305&lt;E$34,C$32,E305&gt;=E$34,C$34)</f>
        <v/>
      </c>
      <c r="D305" s="37">
        <f>_xlfn.IFS(E305&lt;E$24,0,E305&lt;E$25,D$24,E305&lt;E$26,D$25,E305&lt;E$27,D$26,E305&lt;E$28,D$27,E305&lt;E$29,D$28,E305&lt;E$30,D$29,E305&lt;E$31,D$30,E305&lt;E$32,D$31,E305&lt;E$33,D$32,E305&lt;E$34,D$33,E305&lt;E$35,D$34,E305&gt;=E$35,D$35)</f>
        <v/>
      </c>
      <c r="E305" s="38" t="n">
        <v>255</v>
      </c>
      <c r="F305" s="31">
        <f>E305/52</f>
        <v/>
      </c>
      <c r="G305" s="39">
        <f>D305/1000000*52</f>
        <v/>
      </c>
      <c r="H305" s="33">
        <f>G305/$P$4+($C$22/$P$4)</f>
        <v/>
      </c>
      <c r="I305" s="36">
        <f>_xlfn.IFS(K305&lt;K$24,0,K305&lt;K$26,I$24,K305&lt;K$28,I$26,K305&lt;K$30,I$28,K305&lt;K$32,I$30,K305&lt;K$34,I$32,K305&lt;K$36,I$34,K305&lt;K$38,I$36,K305&lt;K$40,I$38,K305&lt;K$42,I$40,K305&lt;K$44,I$42,K305&lt;K$46,I$44,K305&gt;=K$46,I$46)</f>
        <v/>
      </c>
      <c r="J305" s="37">
        <f>_xlfn.IFS(K305&lt;K$24,0,K305&lt;K$25,J$24,K305&lt;K$26,J$25,K305&lt;K$27,J$26,K305&lt;K$28,J$27,K305&lt;K$29,J$28,K305&lt;K$30,J$29,K305&lt;K$31,J$30,K305&lt;K$32,J$31,K305&lt;K$33,J$32,K305&lt;K$34,J$33,K305&lt;K$35,J$34,K305&lt;K$36,J$35,K305&lt;K$37,J$36,K305&lt;K$38,J$37,K305&lt;K$39,J$38,K305&lt;K$40,J$39,K305&lt;K$41,J$40,K305&lt;K$42,J$41,K305&lt;K$43,J$42,K305&lt;K$44,J$43,K305&lt;K$45,J$44,K305&lt;K$46,J$45,K305&lt;K$47,J$46,K305&gt;=K$47,J$47)</f>
        <v/>
      </c>
      <c r="K305" s="38" t="n">
        <v>255</v>
      </c>
      <c r="L305" s="31">
        <f>K305/52</f>
        <v/>
      </c>
      <c r="M305" s="39">
        <f>J305/1000000*52</f>
        <v/>
      </c>
      <c r="N305" s="33">
        <f>M305/$P$4+($I$22/$P$4)</f>
        <v/>
      </c>
      <c r="U305">
        <f>F304</f>
        <v/>
      </c>
      <c r="V305">
        <f>H304</f>
        <v/>
      </c>
      <c r="W305">
        <f>N304</f>
        <v/>
      </c>
    </row>
    <row r="306" ht="15.75" customHeight="1" s="40">
      <c r="C306" s="36">
        <f>_xlfn.IFS(E306&lt;E$24,0,E306&lt;E$26,C$24,E306&lt;E$28,C$26,E306&lt;E$30,C$28,E306&lt;E$32,C$30,E306&lt;E$34,C$32,E306&gt;=E$34,C$34)</f>
        <v/>
      </c>
      <c r="D306" s="37">
        <f>_xlfn.IFS(E306&lt;E$24,0,E306&lt;E$25,D$24,E306&lt;E$26,D$25,E306&lt;E$27,D$26,E306&lt;E$28,D$27,E306&lt;E$29,D$28,E306&lt;E$30,D$29,E306&lt;E$31,D$30,E306&lt;E$32,D$31,E306&lt;E$33,D$32,E306&lt;E$34,D$33,E306&lt;E$35,D$34,E306&gt;=E$35,D$35)</f>
        <v/>
      </c>
      <c r="E306" s="38" t="n">
        <v>256</v>
      </c>
      <c r="F306" s="31">
        <f>E306/52</f>
        <v/>
      </c>
      <c r="G306" s="39">
        <f>D306/1000000*52</f>
        <v/>
      </c>
      <c r="H306" s="33">
        <f>G306/$P$4+($C$22/$P$4)</f>
        <v/>
      </c>
      <c r="I306" s="36">
        <f>_xlfn.IFS(K306&lt;K$24,0,K306&lt;K$26,I$24,K306&lt;K$28,I$26,K306&lt;K$30,I$28,K306&lt;K$32,I$30,K306&lt;K$34,I$32,K306&lt;K$36,I$34,K306&lt;K$38,I$36,K306&lt;K$40,I$38,K306&lt;K$42,I$40,K306&lt;K$44,I$42,K306&lt;K$46,I$44,K306&gt;=K$46,I$46)</f>
        <v/>
      </c>
      <c r="J306" s="37">
        <f>_xlfn.IFS(K306&lt;K$24,0,K306&lt;K$25,J$24,K306&lt;K$26,J$25,K306&lt;K$27,J$26,K306&lt;K$28,J$27,K306&lt;K$29,J$28,K306&lt;K$30,J$29,K306&lt;K$31,J$30,K306&lt;K$32,J$31,K306&lt;K$33,J$32,K306&lt;K$34,J$33,K306&lt;K$35,J$34,K306&lt;K$36,J$35,K306&lt;K$37,J$36,K306&lt;K$38,J$37,K306&lt;K$39,J$38,K306&lt;K$40,J$39,K306&lt;K$41,J$40,K306&lt;K$42,J$41,K306&lt;K$43,J$42,K306&lt;K$44,J$43,K306&lt;K$45,J$44,K306&lt;K$46,J$45,K306&lt;K$47,J$46,K306&gt;=K$47,J$47)</f>
        <v/>
      </c>
      <c r="K306" s="38" t="n">
        <v>256</v>
      </c>
      <c r="L306" s="31">
        <f>K306/52</f>
        <v/>
      </c>
      <c r="M306" s="39">
        <f>J306/1000000*52</f>
        <v/>
      </c>
      <c r="N306" s="33">
        <f>M306/$P$4+($I$22/$P$4)</f>
        <v/>
      </c>
      <c r="U306">
        <f>F305</f>
        <v/>
      </c>
      <c r="V306">
        <f>H305</f>
        <v/>
      </c>
      <c r="W306">
        <f>N305</f>
        <v/>
      </c>
    </row>
    <row r="307" ht="15.75" customHeight="1" s="40">
      <c r="C307" s="36">
        <f>_xlfn.IFS(E307&lt;E$24,0,E307&lt;E$26,C$24,E307&lt;E$28,C$26,E307&lt;E$30,C$28,E307&lt;E$32,C$30,E307&lt;E$34,C$32,E307&gt;=E$34,C$34)</f>
        <v/>
      </c>
      <c r="D307" s="37">
        <f>_xlfn.IFS(E307&lt;E$24,0,E307&lt;E$25,D$24,E307&lt;E$26,D$25,E307&lt;E$27,D$26,E307&lt;E$28,D$27,E307&lt;E$29,D$28,E307&lt;E$30,D$29,E307&lt;E$31,D$30,E307&lt;E$32,D$31,E307&lt;E$33,D$32,E307&lt;E$34,D$33,E307&lt;E$35,D$34,E307&gt;=E$35,D$35)</f>
        <v/>
      </c>
      <c r="E307" s="38" t="n">
        <v>257</v>
      </c>
      <c r="F307" s="31">
        <f>E307/52</f>
        <v/>
      </c>
      <c r="G307" s="39">
        <f>D307/1000000*52</f>
        <v/>
      </c>
      <c r="H307" s="33">
        <f>G307/$P$4+($C$22/$P$4)</f>
        <v/>
      </c>
      <c r="I307" s="36">
        <f>_xlfn.IFS(K307&lt;K$24,0,K307&lt;K$26,I$24,K307&lt;K$28,I$26,K307&lt;K$30,I$28,K307&lt;K$32,I$30,K307&lt;K$34,I$32,K307&lt;K$36,I$34,K307&lt;K$38,I$36,K307&lt;K$40,I$38,K307&lt;K$42,I$40,K307&lt;K$44,I$42,K307&lt;K$46,I$44,K307&gt;=K$46,I$46)</f>
        <v/>
      </c>
      <c r="J307" s="37">
        <f>_xlfn.IFS(K307&lt;K$24,0,K307&lt;K$25,J$24,K307&lt;K$26,J$25,K307&lt;K$27,J$26,K307&lt;K$28,J$27,K307&lt;K$29,J$28,K307&lt;K$30,J$29,K307&lt;K$31,J$30,K307&lt;K$32,J$31,K307&lt;K$33,J$32,K307&lt;K$34,J$33,K307&lt;K$35,J$34,K307&lt;K$36,J$35,K307&lt;K$37,J$36,K307&lt;K$38,J$37,K307&lt;K$39,J$38,K307&lt;K$40,J$39,K307&lt;K$41,J$40,K307&lt;K$42,J$41,K307&lt;K$43,J$42,K307&lt;K$44,J$43,K307&lt;K$45,J$44,K307&lt;K$46,J$45,K307&lt;K$47,J$46,K307&gt;=K$47,J$47)</f>
        <v/>
      </c>
      <c r="K307" s="38" t="n">
        <v>257</v>
      </c>
      <c r="L307" s="31">
        <f>K307/52</f>
        <v/>
      </c>
      <c r="M307" s="39">
        <f>J307/1000000*52</f>
        <v/>
      </c>
      <c r="N307" s="33">
        <f>M307/$P$4+($I$22/$P$4)</f>
        <v/>
      </c>
      <c r="U307">
        <f>F306</f>
        <v/>
      </c>
      <c r="V307">
        <f>H306</f>
        <v/>
      </c>
      <c r="W307">
        <f>N306</f>
        <v/>
      </c>
    </row>
    <row r="308" ht="15.75" customHeight="1" s="40">
      <c r="C308" s="36">
        <f>_xlfn.IFS(E308&lt;E$24,0,E308&lt;E$26,C$24,E308&lt;E$28,C$26,E308&lt;E$30,C$28,E308&lt;E$32,C$30,E308&lt;E$34,C$32,E308&gt;=E$34,C$34)</f>
        <v/>
      </c>
      <c r="D308" s="37">
        <f>_xlfn.IFS(E308&lt;E$24,0,E308&lt;E$25,D$24,E308&lt;E$26,D$25,E308&lt;E$27,D$26,E308&lt;E$28,D$27,E308&lt;E$29,D$28,E308&lt;E$30,D$29,E308&lt;E$31,D$30,E308&lt;E$32,D$31,E308&lt;E$33,D$32,E308&lt;E$34,D$33,E308&lt;E$35,D$34,E308&gt;=E$35,D$35)</f>
        <v/>
      </c>
      <c r="E308" s="38" t="n">
        <v>258</v>
      </c>
      <c r="F308" s="31">
        <f>E308/52</f>
        <v/>
      </c>
      <c r="G308" s="39">
        <f>D308/1000000*52</f>
        <v/>
      </c>
      <c r="H308" s="33">
        <f>G308/$P$4+($C$22/$P$4)</f>
        <v/>
      </c>
      <c r="I308" s="36">
        <f>_xlfn.IFS(K308&lt;K$24,0,K308&lt;K$26,I$24,K308&lt;K$28,I$26,K308&lt;K$30,I$28,K308&lt;K$32,I$30,K308&lt;K$34,I$32,K308&lt;K$36,I$34,K308&lt;K$38,I$36,K308&lt;K$40,I$38,K308&lt;K$42,I$40,K308&lt;K$44,I$42,K308&lt;K$46,I$44,K308&gt;=K$46,I$46)</f>
        <v/>
      </c>
      <c r="J308" s="37">
        <f>_xlfn.IFS(K308&lt;K$24,0,K308&lt;K$25,J$24,K308&lt;K$26,J$25,K308&lt;K$27,J$26,K308&lt;K$28,J$27,K308&lt;K$29,J$28,K308&lt;K$30,J$29,K308&lt;K$31,J$30,K308&lt;K$32,J$31,K308&lt;K$33,J$32,K308&lt;K$34,J$33,K308&lt;K$35,J$34,K308&lt;K$36,J$35,K308&lt;K$37,J$36,K308&lt;K$38,J$37,K308&lt;K$39,J$38,K308&lt;K$40,J$39,K308&lt;K$41,J$40,K308&lt;K$42,J$41,K308&lt;K$43,J$42,K308&lt;K$44,J$43,K308&lt;K$45,J$44,K308&lt;K$46,J$45,K308&lt;K$47,J$46,K308&gt;=K$47,J$47)</f>
        <v/>
      </c>
      <c r="K308" s="38" t="n">
        <v>258</v>
      </c>
      <c r="L308" s="31">
        <f>K308/52</f>
        <v/>
      </c>
      <c r="M308" s="39">
        <f>J308/1000000*52</f>
        <v/>
      </c>
      <c r="N308" s="33">
        <f>M308/$P$4+($I$22/$P$4)</f>
        <v/>
      </c>
      <c r="U308">
        <f>F307</f>
        <v/>
      </c>
      <c r="V308">
        <f>H307</f>
        <v/>
      </c>
      <c r="W308">
        <f>N307</f>
        <v/>
      </c>
    </row>
    <row r="309" ht="15.75" customHeight="1" s="40">
      <c r="C309" s="36">
        <f>_xlfn.IFS(E309&lt;E$24,0,E309&lt;E$26,C$24,E309&lt;E$28,C$26,E309&lt;E$30,C$28,E309&lt;E$32,C$30,E309&lt;E$34,C$32,E309&gt;=E$34,C$34)</f>
        <v/>
      </c>
      <c r="D309" s="37">
        <f>_xlfn.IFS(E309&lt;E$24,0,E309&lt;E$25,D$24,E309&lt;E$26,D$25,E309&lt;E$27,D$26,E309&lt;E$28,D$27,E309&lt;E$29,D$28,E309&lt;E$30,D$29,E309&lt;E$31,D$30,E309&lt;E$32,D$31,E309&lt;E$33,D$32,E309&lt;E$34,D$33,E309&lt;E$35,D$34,E309&gt;=E$35,D$35)</f>
        <v/>
      </c>
      <c r="E309" s="38" t="n">
        <v>259</v>
      </c>
      <c r="F309" s="31">
        <f>E309/52</f>
        <v/>
      </c>
      <c r="G309" s="39">
        <f>D309/1000000*52</f>
        <v/>
      </c>
      <c r="H309" s="33">
        <f>G309/$P$4+($C$22/$P$4)</f>
        <v/>
      </c>
      <c r="I309" s="36">
        <f>_xlfn.IFS(K309&lt;K$24,0,K309&lt;K$26,I$24,K309&lt;K$28,I$26,K309&lt;K$30,I$28,K309&lt;K$32,I$30,K309&lt;K$34,I$32,K309&lt;K$36,I$34,K309&lt;K$38,I$36,K309&lt;K$40,I$38,K309&lt;K$42,I$40,K309&lt;K$44,I$42,K309&lt;K$46,I$44,K309&gt;=K$46,I$46)</f>
        <v/>
      </c>
      <c r="J309" s="37">
        <f>_xlfn.IFS(K309&lt;K$24,0,K309&lt;K$25,J$24,K309&lt;K$26,J$25,K309&lt;K$27,J$26,K309&lt;K$28,J$27,K309&lt;K$29,J$28,K309&lt;K$30,J$29,K309&lt;K$31,J$30,K309&lt;K$32,J$31,K309&lt;K$33,J$32,K309&lt;K$34,J$33,K309&lt;K$35,J$34,K309&lt;K$36,J$35,K309&lt;K$37,J$36,K309&lt;K$38,J$37,K309&lt;K$39,J$38,K309&lt;K$40,J$39,K309&lt;K$41,J$40,K309&lt;K$42,J$41,K309&lt;K$43,J$42,K309&lt;K$44,J$43,K309&lt;K$45,J$44,K309&lt;K$46,J$45,K309&lt;K$47,J$46,K309&gt;=K$47,J$47)</f>
        <v/>
      </c>
      <c r="K309" s="38" t="n">
        <v>259</v>
      </c>
      <c r="L309" s="31">
        <f>K309/52</f>
        <v/>
      </c>
      <c r="M309" s="39">
        <f>J309/1000000*52</f>
        <v/>
      </c>
      <c r="N309" s="33">
        <f>M309/$P$4+($I$22/$P$4)</f>
        <v/>
      </c>
      <c r="U309">
        <f>F308</f>
        <v/>
      </c>
      <c r="V309">
        <f>H308</f>
        <v/>
      </c>
      <c r="W309">
        <f>N308</f>
        <v/>
      </c>
    </row>
    <row r="310" ht="15.75" customHeight="1" s="40">
      <c r="C310" s="36">
        <f>_xlfn.IFS(E310&lt;E$24,0,E310&lt;E$26,C$24,E310&lt;E$28,C$26,E310&lt;E$30,C$28,E310&lt;E$32,C$30,E310&lt;E$34,C$32,E310&gt;=E$34,C$34)</f>
        <v/>
      </c>
      <c r="D310" s="37">
        <f>_xlfn.IFS(E310&lt;E$24,0,E310&lt;E$25,D$24,E310&lt;E$26,D$25,E310&lt;E$27,D$26,E310&lt;E$28,D$27,E310&lt;E$29,D$28,E310&lt;E$30,D$29,E310&lt;E$31,D$30,E310&lt;E$32,D$31,E310&lt;E$33,D$32,E310&lt;E$34,D$33,E310&lt;E$35,D$34,E310&gt;=E$35,D$35)</f>
        <v/>
      </c>
      <c r="E310" s="38" t="n">
        <v>260</v>
      </c>
      <c r="F310" s="31">
        <f>E310/52</f>
        <v/>
      </c>
      <c r="G310" s="39">
        <f>D310/1000000*52</f>
        <v/>
      </c>
      <c r="H310" s="33">
        <f>G310/$P$4+($C$22/$P$4)</f>
        <v/>
      </c>
      <c r="I310" s="36">
        <f>_xlfn.IFS(K310&lt;K$24,0,K310&lt;K$26,I$24,K310&lt;K$28,I$26,K310&lt;K$30,I$28,K310&lt;K$32,I$30,K310&lt;K$34,I$32,K310&lt;K$36,I$34,K310&lt;K$38,I$36,K310&lt;K$40,I$38,K310&lt;K$42,I$40,K310&lt;K$44,I$42,K310&lt;K$46,I$44,K310&gt;=K$46,I$46)</f>
        <v/>
      </c>
      <c r="J310" s="37">
        <f>_xlfn.IFS(K310&lt;K$24,0,K310&lt;K$25,J$24,K310&lt;K$26,J$25,K310&lt;K$27,J$26,K310&lt;K$28,J$27,K310&lt;K$29,J$28,K310&lt;K$30,J$29,K310&lt;K$31,J$30,K310&lt;K$32,J$31,K310&lt;K$33,J$32,K310&lt;K$34,J$33,K310&lt;K$35,J$34,K310&lt;K$36,J$35,K310&lt;K$37,J$36,K310&lt;K$38,J$37,K310&lt;K$39,J$38,K310&lt;K$40,J$39,K310&lt;K$41,J$40,K310&lt;K$42,J$41,K310&lt;K$43,J$42,K310&lt;K$44,J$43,K310&lt;K$45,J$44,K310&lt;K$46,J$45,K310&lt;K$47,J$46,K310&gt;=K$47,J$47)</f>
        <v/>
      </c>
      <c r="K310" s="38" t="n">
        <v>260</v>
      </c>
      <c r="L310" s="31">
        <f>K310/52</f>
        <v/>
      </c>
      <c r="M310" s="39">
        <f>J310/1000000*52</f>
        <v/>
      </c>
      <c r="N310" s="33">
        <f>M310/$P$4+($I$22/$P$4)</f>
        <v/>
      </c>
      <c r="U310">
        <f>F309</f>
        <v/>
      </c>
      <c r="V310">
        <f>H309</f>
        <v/>
      </c>
      <c r="W310">
        <f>N309</f>
        <v/>
      </c>
    </row>
    <row r="311" ht="15.75" customHeight="1" s="40">
      <c r="C311" s="36">
        <f>_xlfn.IFS(E311&lt;E$24,0,E311&lt;E$26,C$24,E311&lt;E$28,C$26,E311&lt;E$30,C$28,E311&lt;E$32,C$30,E311&lt;E$34,C$32,E311&gt;=E$34,C$34)</f>
        <v/>
      </c>
      <c r="D311" s="37">
        <f>_xlfn.IFS(E311&lt;E$24,0,E311&lt;E$25,D$24,E311&lt;E$26,D$25,E311&lt;E$27,D$26,E311&lt;E$28,D$27,E311&lt;E$29,D$28,E311&lt;E$30,D$29,E311&lt;E$31,D$30,E311&lt;E$32,D$31,E311&lt;E$33,D$32,E311&lt;E$34,D$33,E311&lt;E$35,D$34,E311&gt;=E$35,D$35)</f>
        <v/>
      </c>
      <c r="E311" s="38" t="n">
        <v>261</v>
      </c>
      <c r="F311" s="31">
        <f>E311/52</f>
        <v/>
      </c>
      <c r="G311" s="39">
        <f>D311/1000000*52</f>
        <v/>
      </c>
      <c r="H311" s="33">
        <f>G311/$P$4+($C$22/$P$4)</f>
        <v/>
      </c>
      <c r="I311" s="36">
        <f>_xlfn.IFS(K311&lt;K$24,0,K311&lt;K$26,I$24,K311&lt;K$28,I$26,K311&lt;K$30,I$28,K311&lt;K$32,I$30,K311&lt;K$34,I$32,K311&lt;K$36,I$34,K311&lt;K$38,I$36,K311&lt;K$40,I$38,K311&lt;K$42,I$40,K311&lt;K$44,I$42,K311&lt;K$46,I$44,K311&gt;=K$46,I$46)</f>
        <v/>
      </c>
      <c r="J311" s="37">
        <f>_xlfn.IFS(K311&lt;K$24,0,K311&lt;K$25,J$24,K311&lt;K$26,J$25,K311&lt;K$27,J$26,K311&lt;K$28,J$27,K311&lt;K$29,J$28,K311&lt;K$30,J$29,K311&lt;K$31,J$30,K311&lt;K$32,J$31,K311&lt;K$33,J$32,K311&lt;K$34,J$33,K311&lt;K$35,J$34,K311&lt;K$36,J$35,K311&lt;K$37,J$36,K311&lt;K$38,J$37,K311&lt;K$39,J$38,K311&lt;K$40,J$39,K311&lt;K$41,J$40,K311&lt;K$42,J$41,K311&lt;K$43,J$42,K311&lt;K$44,J$43,K311&lt;K$45,J$44,K311&lt;K$46,J$45,K311&lt;K$47,J$46,K311&gt;=K$47,J$47)</f>
        <v/>
      </c>
      <c r="K311" s="38" t="n">
        <v>261</v>
      </c>
      <c r="L311" s="31">
        <f>K311/52</f>
        <v/>
      </c>
      <c r="M311" s="39">
        <f>J311/1000000*52</f>
        <v/>
      </c>
      <c r="N311" s="33">
        <f>M311/$P$4+($I$22/$P$4)</f>
        <v/>
      </c>
      <c r="U311">
        <f>F310</f>
        <v/>
      </c>
      <c r="V311">
        <f>H310</f>
        <v/>
      </c>
      <c r="W311">
        <f>N310</f>
        <v/>
      </c>
    </row>
    <row r="312" ht="15.75" customHeight="1" s="40">
      <c r="C312" s="36">
        <f>_xlfn.IFS(E312&lt;E$24,0,E312&lt;E$26,C$24,E312&lt;E$28,C$26,E312&lt;E$30,C$28,E312&lt;E$32,C$30,E312&lt;E$34,C$32,E312&gt;=E$34,C$34)</f>
        <v/>
      </c>
      <c r="D312" s="37">
        <f>_xlfn.IFS(E312&lt;E$24,0,E312&lt;E$25,D$24,E312&lt;E$26,D$25,E312&lt;E$27,D$26,E312&lt;E$28,D$27,E312&lt;E$29,D$28,E312&lt;E$30,D$29,E312&lt;E$31,D$30,E312&lt;E$32,D$31,E312&lt;E$33,D$32,E312&lt;E$34,D$33,E312&lt;E$35,D$34,E312&gt;=E$35,D$35)</f>
        <v/>
      </c>
      <c r="E312" s="38" t="n">
        <v>262</v>
      </c>
      <c r="F312" s="31">
        <f>E312/52</f>
        <v/>
      </c>
      <c r="G312" s="39">
        <f>D312/1000000*52</f>
        <v/>
      </c>
      <c r="H312" s="33">
        <f>G312/$P$4+($C$22/$P$4)</f>
        <v/>
      </c>
      <c r="I312" s="36">
        <f>_xlfn.IFS(K312&lt;K$24,0,K312&lt;K$26,I$24,K312&lt;K$28,I$26,K312&lt;K$30,I$28,K312&lt;K$32,I$30,K312&lt;K$34,I$32,K312&lt;K$36,I$34,K312&lt;K$38,I$36,K312&lt;K$40,I$38,K312&lt;K$42,I$40,K312&lt;K$44,I$42,K312&lt;K$46,I$44,K312&gt;=K$46,I$46)</f>
        <v/>
      </c>
      <c r="J312" s="37">
        <f>_xlfn.IFS(K312&lt;K$24,0,K312&lt;K$25,J$24,K312&lt;K$26,J$25,K312&lt;K$27,J$26,K312&lt;K$28,J$27,K312&lt;K$29,J$28,K312&lt;K$30,J$29,K312&lt;K$31,J$30,K312&lt;K$32,J$31,K312&lt;K$33,J$32,K312&lt;K$34,J$33,K312&lt;K$35,J$34,K312&lt;K$36,J$35,K312&lt;K$37,J$36,K312&lt;K$38,J$37,K312&lt;K$39,J$38,K312&lt;K$40,J$39,K312&lt;K$41,J$40,K312&lt;K$42,J$41,K312&lt;K$43,J$42,K312&lt;K$44,J$43,K312&lt;K$45,J$44,K312&lt;K$46,J$45,K312&lt;K$47,J$46,K312&gt;=K$47,J$47)</f>
        <v/>
      </c>
      <c r="K312" s="38" t="n">
        <v>262</v>
      </c>
      <c r="L312" s="31">
        <f>K312/52</f>
        <v/>
      </c>
      <c r="M312" s="39">
        <f>J312/1000000*52</f>
        <v/>
      </c>
      <c r="N312" s="33">
        <f>M312/$P$4+($I$22/$P$4)</f>
        <v/>
      </c>
      <c r="U312">
        <f>F311</f>
        <v/>
      </c>
      <c r="V312">
        <f>H311</f>
        <v/>
      </c>
      <c r="W312">
        <f>N311</f>
        <v/>
      </c>
    </row>
    <row r="313" ht="15.75" customHeight="1" s="40">
      <c r="C313" s="36">
        <f>_xlfn.IFS(E313&lt;E$24,0,E313&lt;E$26,C$24,E313&lt;E$28,C$26,E313&lt;E$30,C$28,E313&lt;E$32,C$30,E313&lt;E$34,C$32,E313&gt;=E$34,C$34)</f>
        <v/>
      </c>
      <c r="D313" s="37">
        <f>_xlfn.IFS(E313&lt;E$24,0,E313&lt;E$25,D$24,E313&lt;E$26,D$25,E313&lt;E$27,D$26,E313&lt;E$28,D$27,E313&lt;E$29,D$28,E313&lt;E$30,D$29,E313&lt;E$31,D$30,E313&lt;E$32,D$31,E313&lt;E$33,D$32,E313&lt;E$34,D$33,E313&lt;E$35,D$34,E313&gt;=E$35,D$35)</f>
        <v/>
      </c>
      <c r="E313" s="38" t="n">
        <v>263</v>
      </c>
      <c r="F313" s="31">
        <f>E313/52</f>
        <v/>
      </c>
      <c r="G313" s="39">
        <f>D313/1000000*52</f>
        <v/>
      </c>
      <c r="H313" s="33">
        <f>G313/$P$4+($C$22/$P$4)</f>
        <v/>
      </c>
      <c r="I313" s="36">
        <f>_xlfn.IFS(K313&lt;K$24,0,K313&lt;K$26,I$24,K313&lt;K$28,I$26,K313&lt;K$30,I$28,K313&lt;K$32,I$30,K313&lt;K$34,I$32,K313&lt;K$36,I$34,K313&lt;K$38,I$36,K313&lt;K$40,I$38,K313&lt;K$42,I$40,K313&lt;K$44,I$42,K313&lt;K$46,I$44,K313&gt;=K$46,I$46)</f>
        <v/>
      </c>
      <c r="J313" s="37">
        <f>_xlfn.IFS(K313&lt;K$24,0,K313&lt;K$25,J$24,K313&lt;K$26,J$25,K313&lt;K$27,J$26,K313&lt;K$28,J$27,K313&lt;K$29,J$28,K313&lt;K$30,J$29,K313&lt;K$31,J$30,K313&lt;K$32,J$31,K313&lt;K$33,J$32,K313&lt;K$34,J$33,K313&lt;K$35,J$34,K313&lt;K$36,J$35,K313&lt;K$37,J$36,K313&lt;K$38,J$37,K313&lt;K$39,J$38,K313&lt;K$40,J$39,K313&lt;K$41,J$40,K313&lt;K$42,J$41,K313&lt;K$43,J$42,K313&lt;K$44,J$43,K313&lt;K$45,J$44,K313&lt;K$46,J$45,K313&lt;K$47,J$46,K313&gt;=K$47,J$47)</f>
        <v/>
      </c>
      <c r="K313" s="38" t="n">
        <v>263</v>
      </c>
      <c r="L313" s="31">
        <f>K313/52</f>
        <v/>
      </c>
      <c r="M313" s="39">
        <f>J313/1000000*52</f>
        <v/>
      </c>
      <c r="N313" s="33">
        <f>M313/$P$4+($I$22/$P$4)</f>
        <v/>
      </c>
      <c r="U313">
        <f>F312</f>
        <v/>
      </c>
      <c r="V313">
        <f>H312</f>
        <v/>
      </c>
      <c r="W313">
        <f>N312</f>
        <v/>
      </c>
    </row>
    <row r="314" ht="15.75" customHeight="1" s="40">
      <c r="C314" s="36">
        <f>_xlfn.IFS(E314&lt;E$24,0,E314&lt;E$26,C$24,E314&lt;E$28,C$26,E314&lt;E$30,C$28,E314&lt;E$32,C$30,E314&lt;E$34,C$32,E314&gt;=E$34,C$34)</f>
        <v/>
      </c>
      <c r="D314" s="37">
        <f>_xlfn.IFS(E314&lt;E$24,0,E314&lt;E$25,D$24,E314&lt;E$26,D$25,E314&lt;E$27,D$26,E314&lt;E$28,D$27,E314&lt;E$29,D$28,E314&lt;E$30,D$29,E314&lt;E$31,D$30,E314&lt;E$32,D$31,E314&lt;E$33,D$32,E314&lt;E$34,D$33,E314&lt;E$35,D$34,E314&gt;=E$35,D$35)</f>
        <v/>
      </c>
      <c r="E314" s="38" t="n">
        <v>264</v>
      </c>
      <c r="F314" s="31">
        <f>E314/52</f>
        <v/>
      </c>
      <c r="G314" s="39">
        <f>D314/1000000*52</f>
        <v/>
      </c>
      <c r="H314" s="33">
        <f>G314/$P$4+($C$22/$P$4)</f>
        <v/>
      </c>
      <c r="I314" s="36">
        <f>_xlfn.IFS(K314&lt;K$24,0,K314&lt;K$26,I$24,K314&lt;K$28,I$26,K314&lt;K$30,I$28,K314&lt;K$32,I$30,K314&lt;K$34,I$32,K314&lt;K$36,I$34,K314&lt;K$38,I$36,K314&lt;K$40,I$38,K314&lt;K$42,I$40,K314&lt;K$44,I$42,K314&lt;K$46,I$44,K314&gt;=K$46,I$46)</f>
        <v/>
      </c>
      <c r="J314" s="37">
        <f>_xlfn.IFS(K314&lt;K$24,0,K314&lt;K$25,J$24,K314&lt;K$26,J$25,K314&lt;K$27,J$26,K314&lt;K$28,J$27,K314&lt;K$29,J$28,K314&lt;K$30,J$29,K314&lt;K$31,J$30,K314&lt;K$32,J$31,K314&lt;K$33,J$32,K314&lt;K$34,J$33,K314&lt;K$35,J$34,K314&lt;K$36,J$35,K314&lt;K$37,J$36,K314&lt;K$38,J$37,K314&lt;K$39,J$38,K314&lt;K$40,J$39,K314&lt;K$41,J$40,K314&lt;K$42,J$41,K314&lt;K$43,J$42,K314&lt;K$44,J$43,K314&lt;K$45,J$44,K314&lt;K$46,J$45,K314&lt;K$47,J$46,K314&gt;=K$47,J$47)</f>
        <v/>
      </c>
      <c r="K314" s="38" t="n">
        <v>264</v>
      </c>
      <c r="L314" s="31">
        <f>K314/52</f>
        <v/>
      </c>
      <c r="M314" s="39">
        <f>J314/1000000*52</f>
        <v/>
      </c>
      <c r="N314" s="33">
        <f>M314/$P$4+($I$22/$P$4)</f>
        <v/>
      </c>
      <c r="U314">
        <f>F313</f>
        <v/>
      </c>
      <c r="V314">
        <f>H313</f>
        <v/>
      </c>
      <c r="W314">
        <f>N313</f>
        <v/>
      </c>
    </row>
    <row r="315" ht="15.75" customHeight="1" s="40">
      <c r="C315" s="36">
        <f>_xlfn.IFS(E315&lt;E$24,0,E315&lt;E$26,C$24,E315&lt;E$28,C$26,E315&lt;E$30,C$28,E315&lt;E$32,C$30,E315&lt;E$34,C$32,E315&gt;=E$34,C$34)</f>
        <v/>
      </c>
      <c r="D315" s="37">
        <f>_xlfn.IFS(E315&lt;E$24,0,E315&lt;E$25,D$24,E315&lt;E$26,D$25,E315&lt;E$27,D$26,E315&lt;E$28,D$27,E315&lt;E$29,D$28,E315&lt;E$30,D$29,E315&lt;E$31,D$30,E315&lt;E$32,D$31,E315&lt;E$33,D$32,E315&lt;E$34,D$33,E315&lt;E$35,D$34,E315&gt;=E$35,D$35)</f>
        <v/>
      </c>
      <c r="E315" s="38" t="n">
        <v>265</v>
      </c>
      <c r="F315" s="31">
        <f>E315/52</f>
        <v/>
      </c>
      <c r="G315" s="39">
        <f>D315/1000000*52</f>
        <v/>
      </c>
      <c r="H315" s="33">
        <f>G315/$P$4+($C$22/$P$4)</f>
        <v/>
      </c>
      <c r="I315" s="36">
        <f>_xlfn.IFS(K315&lt;K$24,0,K315&lt;K$26,I$24,K315&lt;K$28,I$26,K315&lt;K$30,I$28,K315&lt;K$32,I$30,K315&lt;K$34,I$32,K315&lt;K$36,I$34,K315&lt;K$38,I$36,K315&lt;K$40,I$38,K315&lt;K$42,I$40,K315&lt;K$44,I$42,K315&lt;K$46,I$44,K315&gt;=K$46,I$46)</f>
        <v/>
      </c>
      <c r="J315" s="37">
        <f>_xlfn.IFS(K315&lt;K$24,0,K315&lt;K$25,J$24,K315&lt;K$26,J$25,K315&lt;K$27,J$26,K315&lt;K$28,J$27,K315&lt;K$29,J$28,K315&lt;K$30,J$29,K315&lt;K$31,J$30,K315&lt;K$32,J$31,K315&lt;K$33,J$32,K315&lt;K$34,J$33,K315&lt;K$35,J$34,K315&lt;K$36,J$35,K315&lt;K$37,J$36,K315&lt;K$38,J$37,K315&lt;K$39,J$38,K315&lt;K$40,J$39,K315&lt;K$41,J$40,K315&lt;K$42,J$41,K315&lt;K$43,J$42,K315&lt;K$44,J$43,K315&lt;K$45,J$44,K315&lt;K$46,J$45,K315&lt;K$47,J$46,K315&gt;=K$47,J$47)</f>
        <v/>
      </c>
      <c r="K315" s="38" t="n">
        <v>265</v>
      </c>
      <c r="L315" s="31">
        <f>K315/52</f>
        <v/>
      </c>
      <c r="M315" s="39">
        <f>J315/1000000*52</f>
        <v/>
      </c>
      <c r="N315" s="33">
        <f>M315/$P$4+($I$22/$P$4)</f>
        <v/>
      </c>
      <c r="U315">
        <f>F314</f>
        <v/>
      </c>
      <c r="V315">
        <f>H314</f>
        <v/>
      </c>
      <c r="W315">
        <f>N314</f>
        <v/>
      </c>
    </row>
    <row r="316" ht="15.75" customHeight="1" s="40">
      <c r="C316" s="36">
        <f>_xlfn.IFS(E316&lt;E$24,0,E316&lt;E$26,C$24,E316&lt;E$28,C$26,E316&lt;E$30,C$28,E316&lt;E$32,C$30,E316&lt;E$34,C$32,E316&gt;=E$34,C$34)</f>
        <v/>
      </c>
      <c r="D316" s="37">
        <f>_xlfn.IFS(E316&lt;E$24,0,E316&lt;E$25,D$24,E316&lt;E$26,D$25,E316&lt;E$27,D$26,E316&lt;E$28,D$27,E316&lt;E$29,D$28,E316&lt;E$30,D$29,E316&lt;E$31,D$30,E316&lt;E$32,D$31,E316&lt;E$33,D$32,E316&lt;E$34,D$33,E316&lt;E$35,D$34,E316&gt;=E$35,D$35)</f>
        <v/>
      </c>
      <c r="E316" s="38" t="n">
        <v>266</v>
      </c>
      <c r="F316" s="31">
        <f>E316/52</f>
        <v/>
      </c>
      <c r="G316" s="39">
        <f>D316/1000000*52</f>
        <v/>
      </c>
      <c r="H316" s="33">
        <f>G316/$P$4+($C$22/$P$4)</f>
        <v/>
      </c>
      <c r="I316" s="36">
        <f>_xlfn.IFS(K316&lt;K$24,0,K316&lt;K$26,I$24,K316&lt;K$28,I$26,K316&lt;K$30,I$28,K316&lt;K$32,I$30,K316&lt;K$34,I$32,K316&lt;K$36,I$34,K316&lt;K$38,I$36,K316&lt;K$40,I$38,K316&lt;K$42,I$40,K316&lt;K$44,I$42,K316&lt;K$46,I$44,K316&gt;=K$46,I$46)</f>
        <v/>
      </c>
      <c r="J316" s="37">
        <f>_xlfn.IFS(K316&lt;K$24,0,K316&lt;K$25,J$24,K316&lt;K$26,J$25,K316&lt;K$27,J$26,K316&lt;K$28,J$27,K316&lt;K$29,J$28,K316&lt;K$30,J$29,K316&lt;K$31,J$30,K316&lt;K$32,J$31,K316&lt;K$33,J$32,K316&lt;K$34,J$33,K316&lt;K$35,J$34,K316&lt;K$36,J$35,K316&lt;K$37,J$36,K316&lt;K$38,J$37,K316&lt;K$39,J$38,K316&lt;K$40,J$39,K316&lt;K$41,J$40,K316&lt;K$42,J$41,K316&lt;K$43,J$42,K316&lt;K$44,J$43,K316&lt;K$45,J$44,K316&lt;K$46,J$45,K316&lt;K$47,J$46,K316&gt;=K$47,J$47)</f>
        <v/>
      </c>
      <c r="K316" s="38" t="n">
        <v>266</v>
      </c>
      <c r="L316" s="31">
        <f>K316/52</f>
        <v/>
      </c>
      <c r="M316" s="39">
        <f>J316/1000000*52</f>
        <v/>
      </c>
      <c r="N316" s="33">
        <f>M316/$P$4+($I$22/$P$4)</f>
        <v/>
      </c>
      <c r="U316">
        <f>F315</f>
        <v/>
      </c>
      <c r="V316">
        <f>H315</f>
        <v/>
      </c>
      <c r="W316">
        <f>N315</f>
        <v/>
      </c>
    </row>
    <row r="317" ht="15.75" customHeight="1" s="40">
      <c r="C317" s="36">
        <f>_xlfn.IFS(E317&lt;E$24,0,E317&lt;E$26,C$24,E317&lt;E$28,C$26,E317&lt;E$30,C$28,E317&lt;E$32,C$30,E317&lt;E$34,C$32,E317&gt;=E$34,C$34)</f>
        <v/>
      </c>
      <c r="D317" s="37">
        <f>_xlfn.IFS(E317&lt;E$24,0,E317&lt;E$25,D$24,E317&lt;E$26,D$25,E317&lt;E$27,D$26,E317&lt;E$28,D$27,E317&lt;E$29,D$28,E317&lt;E$30,D$29,E317&lt;E$31,D$30,E317&lt;E$32,D$31,E317&lt;E$33,D$32,E317&lt;E$34,D$33,E317&lt;E$35,D$34,E317&gt;=E$35,D$35)</f>
        <v/>
      </c>
      <c r="E317" s="38" t="n">
        <v>267</v>
      </c>
      <c r="F317" s="31">
        <f>E317/52</f>
        <v/>
      </c>
      <c r="G317" s="39">
        <f>D317/1000000*52</f>
        <v/>
      </c>
      <c r="H317" s="33">
        <f>G317/$P$4+($C$22/$P$4)</f>
        <v/>
      </c>
      <c r="I317" s="36">
        <f>_xlfn.IFS(K317&lt;K$24,0,K317&lt;K$26,I$24,K317&lt;K$28,I$26,K317&lt;K$30,I$28,K317&lt;K$32,I$30,K317&lt;K$34,I$32,K317&lt;K$36,I$34,K317&lt;K$38,I$36,K317&lt;K$40,I$38,K317&lt;K$42,I$40,K317&lt;K$44,I$42,K317&lt;K$46,I$44,K317&gt;=K$46,I$46)</f>
        <v/>
      </c>
      <c r="J317" s="37">
        <f>_xlfn.IFS(K317&lt;K$24,0,K317&lt;K$25,J$24,K317&lt;K$26,J$25,K317&lt;K$27,J$26,K317&lt;K$28,J$27,K317&lt;K$29,J$28,K317&lt;K$30,J$29,K317&lt;K$31,J$30,K317&lt;K$32,J$31,K317&lt;K$33,J$32,K317&lt;K$34,J$33,K317&lt;K$35,J$34,K317&lt;K$36,J$35,K317&lt;K$37,J$36,K317&lt;K$38,J$37,K317&lt;K$39,J$38,K317&lt;K$40,J$39,K317&lt;K$41,J$40,K317&lt;K$42,J$41,K317&lt;K$43,J$42,K317&lt;K$44,J$43,K317&lt;K$45,J$44,K317&lt;K$46,J$45,K317&lt;K$47,J$46,K317&gt;=K$47,J$47)</f>
        <v/>
      </c>
      <c r="K317" s="38" t="n">
        <v>267</v>
      </c>
      <c r="L317" s="31">
        <f>K317/52</f>
        <v/>
      </c>
      <c r="M317" s="39">
        <f>J317/1000000*52</f>
        <v/>
      </c>
      <c r="N317" s="33">
        <f>M317/$P$4+($I$22/$P$4)</f>
        <v/>
      </c>
      <c r="U317">
        <f>F316</f>
        <v/>
      </c>
      <c r="V317">
        <f>H316</f>
        <v/>
      </c>
      <c r="W317">
        <f>N316</f>
        <v/>
      </c>
    </row>
    <row r="318" ht="15.75" customHeight="1" s="40">
      <c r="C318" s="36">
        <f>_xlfn.IFS(E318&lt;E$24,0,E318&lt;E$26,C$24,E318&lt;E$28,C$26,E318&lt;E$30,C$28,E318&lt;E$32,C$30,E318&lt;E$34,C$32,E318&gt;=E$34,C$34)</f>
        <v/>
      </c>
      <c r="D318" s="37">
        <f>_xlfn.IFS(E318&lt;E$24,0,E318&lt;E$25,D$24,E318&lt;E$26,D$25,E318&lt;E$27,D$26,E318&lt;E$28,D$27,E318&lt;E$29,D$28,E318&lt;E$30,D$29,E318&lt;E$31,D$30,E318&lt;E$32,D$31,E318&lt;E$33,D$32,E318&lt;E$34,D$33,E318&lt;E$35,D$34,E318&gt;=E$35,D$35)</f>
        <v/>
      </c>
      <c r="E318" s="38" t="n">
        <v>268</v>
      </c>
      <c r="F318" s="31">
        <f>E318/52</f>
        <v/>
      </c>
      <c r="G318" s="39">
        <f>D318/1000000*52</f>
        <v/>
      </c>
      <c r="H318" s="33">
        <f>G318/$P$4+($C$22/$P$4)</f>
        <v/>
      </c>
      <c r="I318" s="36">
        <f>_xlfn.IFS(K318&lt;K$24,0,K318&lt;K$26,I$24,K318&lt;K$28,I$26,K318&lt;K$30,I$28,K318&lt;K$32,I$30,K318&lt;K$34,I$32,K318&lt;K$36,I$34,K318&lt;K$38,I$36,K318&lt;K$40,I$38,K318&lt;K$42,I$40,K318&lt;K$44,I$42,K318&lt;K$46,I$44,K318&gt;=K$46,I$46)</f>
        <v/>
      </c>
      <c r="J318" s="37">
        <f>_xlfn.IFS(K318&lt;K$24,0,K318&lt;K$25,J$24,K318&lt;K$26,J$25,K318&lt;K$27,J$26,K318&lt;K$28,J$27,K318&lt;K$29,J$28,K318&lt;K$30,J$29,K318&lt;K$31,J$30,K318&lt;K$32,J$31,K318&lt;K$33,J$32,K318&lt;K$34,J$33,K318&lt;K$35,J$34,K318&lt;K$36,J$35,K318&lt;K$37,J$36,K318&lt;K$38,J$37,K318&lt;K$39,J$38,K318&lt;K$40,J$39,K318&lt;K$41,J$40,K318&lt;K$42,J$41,K318&lt;K$43,J$42,K318&lt;K$44,J$43,K318&lt;K$45,J$44,K318&lt;K$46,J$45,K318&lt;K$47,J$46,K318&gt;=K$47,J$47)</f>
        <v/>
      </c>
      <c r="K318" s="38" t="n">
        <v>268</v>
      </c>
      <c r="L318" s="31">
        <f>K318/52</f>
        <v/>
      </c>
      <c r="M318" s="39">
        <f>J318/1000000*52</f>
        <v/>
      </c>
      <c r="N318" s="33">
        <f>M318/$P$4+($I$22/$P$4)</f>
        <v/>
      </c>
      <c r="U318">
        <f>F317</f>
        <v/>
      </c>
      <c r="V318">
        <f>H317</f>
        <v/>
      </c>
      <c r="W318">
        <f>N317</f>
        <v/>
      </c>
    </row>
    <row r="319" ht="15.75" customHeight="1" s="40">
      <c r="C319" s="36">
        <f>_xlfn.IFS(E319&lt;E$24,0,E319&lt;E$26,C$24,E319&lt;E$28,C$26,E319&lt;E$30,C$28,E319&lt;E$32,C$30,E319&lt;E$34,C$32,E319&gt;=E$34,C$34)</f>
        <v/>
      </c>
      <c r="D319" s="37">
        <f>_xlfn.IFS(E319&lt;E$24,0,E319&lt;E$25,D$24,E319&lt;E$26,D$25,E319&lt;E$27,D$26,E319&lt;E$28,D$27,E319&lt;E$29,D$28,E319&lt;E$30,D$29,E319&lt;E$31,D$30,E319&lt;E$32,D$31,E319&lt;E$33,D$32,E319&lt;E$34,D$33,E319&lt;E$35,D$34,E319&gt;=E$35,D$35)</f>
        <v/>
      </c>
      <c r="E319" s="38" t="n">
        <v>269</v>
      </c>
      <c r="F319" s="31">
        <f>E319/52</f>
        <v/>
      </c>
      <c r="G319" s="39">
        <f>D319/1000000*52</f>
        <v/>
      </c>
      <c r="H319" s="33">
        <f>G319/$P$4+($C$22/$P$4)</f>
        <v/>
      </c>
      <c r="I319" s="36">
        <f>_xlfn.IFS(K319&lt;K$24,0,K319&lt;K$26,I$24,K319&lt;K$28,I$26,K319&lt;K$30,I$28,K319&lt;K$32,I$30,K319&lt;K$34,I$32,K319&lt;K$36,I$34,K319&lt;K$38,I$36,K319&lt;K$40,I$38,K319&lt;K$42,I$40,K319&lt;K$44,I$42,K319&lt;K$46,I$44,K319&gt;=K$46,I$46)</f>
        <v/>
      </c>
      <c r="J319" s="37">
        <f>_xlfn.IFS(K319&lt;K$24,0,K319&lt;K$25,J$24,K319&lt;K$26,J$25,K319&lt;K$27,J$26,K319&lt;K$28,J$27,K319&lt;K$29,J$28,K319&lt;K$30,J$29,K319&lt;K$31,J$30,K319&lt;K$32,J$31,K319&lt;K$33,J$32,K319&lt;K$34,J$33,K319&lt;K$35,J$34,K319&lt;K$36,J$35,K319&lt;K$37,J$36,K319&lt;K$38,J$37,K319&lt;K$39,J$38,K319&lt;K$40,J$39,K319&lt;K$41,J$40,K319&lt;K$42,J$41,K319&lt;K$43,J$42,K319&lt;K$44,J$43,K319&lt;K$45,J$44,K319&lt;K$46,J$45,K319&lt;K$47,J$46,K319&gt;=K$47,J$47)</f>
        <v/>
      </c>
      <c r="K319" s="38" t="n">
        <v>269</v>
      </c>
      <c r="L319" s="31">
        <f>K319/52</f>
        <v/>
      </c>
      <c r="M319" s="39">
        <f>J319/1000000*52</f>
        <v/>
      </c>
      <c r="N319" s="33">
        <f>M319/$P$4+($I$22/$P$4)</f>
        <v/>
      </c>
      <c r="U319">
        <f>F318</f>
        <v/>
      </c>
      <c r="V319">
        <f>H318</f>
        <v/>
      </c>
      <c r="W319">
        <f>N318</f>
        <v/>
      </c>
    </row>
    <row r="320" ht="15.75" customHeight="1" s="40">
      <c r="C320" s="36">
        <f>_xlfn.IFS(E320&lt;E$24,0,E320&lt;E$26,C$24,E320&lt;E$28,C$26,E320&lt;E$30,C$28,E320&lt;E$32,C$30,E320&lt;E$34,C$32,E320&gt;=E$34,C$34)</f>
        <v/>
      </c>
      <c r="D320" s="37">
        <f>_xlfn.IFS(E320&lt;E$24,0,E320&lt;E$25,D$24,E320&lt;E$26,D$25,E320&lt;E$27,D$26,E320&lt;E$28,D$27,E320&lt;E$29,D$28,E320&lt;E$30,D$29,E320&lt;E$31,D$30,E320&lt;E$32,D$31,E320&lt;E$33,D$32,E320&lt;E$34,D$33,E320&lt;E$35,D$34,E320&gt;=E$35,D$35)</f>
        <v/>
      </c>
      <c r="E320" s="38" t="n">
        <v>270</v>
      </c>
      <c r="F320" s="31">
        <f>E320/52</f>
        <v/>
      </c>
      <c r="G320" s="39">
        <f>D320/1000000*52</f>
        <v/>
      </c>
      <c r="H320" s="33">
        <f>G320/$P$4+($C$22/$P$4)</f>
        <v/>
      </c>
      <c r="I320" s="36">
        <f>_xlfn.IFS(K320&lt;K$24,0,K320&lt;K$26,I$24,K320&lt;K$28,I$26,K320&lt;K$30,I$28,K320&lt;K$32,I$30,K320&lt;K$34,I$32,K320&lt;K$36,I$34,K320&lt;K$38,I$36,K320&lt;K$40,I$38,K320&lt;K$42,I$40,K320&lt;K$44,I$42,K320&lt;K$46,I$44,K320&gt;=K$46,I$46)</f>
        <v/>
      </c>
      <c r="J320" s="37">
        <f>_xlfn.IFS(K320&lt;K$24,0,K320&lt;K$25,J$24,K320&lt;K$26,J$25,K320&lt;K$27,J$26,K320&lt;K$28,J$27,K320&lt;K$29,J$28,K320&lt;K$30,J$29,K320&lt;K$31,J$30,K320&lt;K$32,J$31,K320&lt;K$33,J$32,K320&lt;K$34,J$33,K320&lt;K$35,J$34,K320&lt;K$36,J$35,K320&lt;K$37,J$36,K320&lt;K$38,J$37,K320&lt;K$39,J$38,K320&lt;K$40,J$39,K320&lt;K$41,J$40,K320&lt;K$42,J$41,K320&lt;K$43,J$42,K320&lt;K$44,J$43,K320&lt;K$45,J$44,K320&lt;K$46,J$45,K320&lt;K$47,J$46,K320&gt;=K$47,J$47)</f>
        <v/>
      </c>
      <c r="K320" s="38" t="n">
        <v>270</v>
      </c>
      <c r="L320" s="31">
        <f>K320/52</f>
        <v/>
      </c>
      <c r="M320" s="39">
        <f>J320/1000000*52</f>
        <v/>
      </c>
      <c r="N320" s="33">
        <f>M320/$P$4+($I$22/$P$4)</f>
        <v/>
      </c>
      <c r="U320">
        <f>F319</f>
        <v/>
      </c>
      <c r="V320">
        <f>H319</f>
        <v/>
      </c>
      <c r="W320">
        <f>N319</f>
        <v/>
      </c>
    </row>
    <row r="321" ht="15.75" customHeight="1" s="40">
      <c r="C321" s="36">
        <f>_xlfn.IFS(E321&lt;E$24,0,E321&lt;E$26,C$24,E321&lt;E$28,C$26,E321&lt;E$30,C$28,E321&lt;E$32,C$30,E321&lt;E$34,C$32,E321&gt;=E$34,C$34)</f>
        <v/>
      </c>
      <c r="D321" s="37">
        <f>_xlfn.IFS(E321&lt;E$24,0,E321&lt;E$25,D$24,E321&lt;E$26,D$25,E321&lt;E$27,D$26,E321&lt;E$28,D$27,E321&lt;E$29,D$28,E321&lt;E$30,D$29,E321&lt;E$31,D$30,E321&lt;E$32,D$31,E321&lt;E$33,D$32,E321&lt;E$34,D$33,E321&lt;E$35,D$34,E321&gt;=E$35,D$35)</f>
        <v/>
      </c>
      <c r="E321" s="38" t="n">
        <v>271</v>
      </c>
      <c r="F321" s="31">
        <f>E321/52</f>
        <v/>
      </c>
      <c r="G321" s="39">
        <f>D321/1000000*52</f>
        <v/>
      </c>
      <c r="H321" s="33">
        <f>G321/$P$4+($C$22/$P$4)</f>
        <v/>
      </c>
      <c r="I321" s="36">
        <f>_xlfn.IFS(K321&lt;K$24,0,K321&lt;K$26,I$24,K321&lt;K$28,I$26,K321&lt;K$30,I$28,K321&lt;K$32,I$30,K321&lt;K$34,I$32,K321&lt;K$36,I$34,K321&lt;K$38,I$36,K321&lt;K$40,I$38,K321&lt;K$42,I$40,K321&lt;K$44,I$42,K321&lt;K$46,I$44,K321&gt;=K$46,I$46)</f>
        <v/>
      </c>
      <c r="J321" s="37">
        <f>_xlfn.IFS(K321&lt;K$24,0,K321&lt;K$25,J$24,K321&lt;K$26,J$25,K321&lt;K$27,J$26,K321&lt;K$28,J$27,K321&lt;K$29,J$28,K321&lt;K$30,J$29,K321&lt;K$31,J$30,K321&lt;K$32,J$31,K321&lt;K$33,J$32,K321&lt;K$34,J$33,K321&lt;K$35,J$34,K321&lt;K$36,J$35,K321&lt;K$37,J$36,K321&lt;K$38,J$37,K321&lt;K$39,J$38,K321&lt;K$40,J$39,K321&lt;K$41,J$40,K321&lt;K$42,J$41,K321&lt;K$43,J$42,K321&lt;K$44,J$43,K321&lt;K$45,J$44,K321&lt;K$46,J$45,K321&lt;K$47,J$46,K321&gt;=K$47,J$47)</f>
        <v/>
      </c>
      <c r="K321" s="38" t="n">
        <v>271</v>
      </c>
      <c r="L321" s="31">
        <f>K321/52</f>
        <v/>
      </c>
      <c r="M321" s="39">
        <f>J321/1000000*52</f>
        <v/>
      </c>
      <c r="N321" s="33">
        <f>M321/$P$4+($I$22/$P$4)</f>
        <v/>
      </c>
      <c r="U321">
        <f>F320</f>
        <v/>
      </c>
      <c r="V321">
        <f>H320</f>
        <v/>
      </c>
      <c r="W321">
        <f>N320</f>
        <v/>
      </c>
    </row>
    <row r="322" ht="15.75" customHeight="1" s="40">
      <c r="C322" s="36">
        <f>_xlfn.IFS(E322&lt;E$24,0,E322&lt;E$26,C$24,E322&lt;E$28,C$26,E322&lt;E$30,C$28,E322&lt;E$32,C$30,E322&lt;E$34,C$32,E322&gt;=E$34,C$34)</f>
        <v/>
      </c>
      <c r="D322" s="37">
        <f>_xlfn.IFS(E322&lt;E$24,0,E322&lt;E$25,D$24,E322&lt;E$26,D$25,E322&lt;E$27,D$26,E322&lt;E$28,D$27,E322&lt;E$29,D$28,E322&lt;E$30,D$29,E322&lt;E$31,D$30,E322&lt;E$32,D$31,E322&lt;E$33,D$32,E322&lt;E$34,D$33,E322&lt;E$35,D$34,E322&gt;=E$35,D$35)</f>
        <v/>
      </c>
      <c r="E322" s="38" t="n">
        <v>272</v>
      </c>
      <c r="F322" s="31">
        <f>E322/52</f>
        <v/>
      </c>
      <c r="G322" s="39">
        <f>D322/1000000*52</f>
        <v/>
      </c>
      <c r="H322" s="33">
        <f>G322/$P$4+($C$22/$P$4)</f>
        <v/>
      </c>
      <c r="I322" s="36">
        <f>_xlfn.IFS(K322&lt;K$24,0,K322&lt;K$26,I$24,K322&lt;K$28,I$26,K322&lt;K$30,I$28,K322&lt;K$32,I$30,K322&lt;K$34,I$32,K322&lt;K$36,I$34,K322&lt;K$38,I$36,K322&lt;K$40,I$38,K322&lt;K$42,I$40,K322&lt;K$44,I$42,K322&lt;K$46,I$44,K322&gt;=K$46,I$46)</f>
        <v/>
      </c>
      <c r="J322" s="37">
        <f>_xlfn.IFS(K322&lt;K$24,0,K322&lt;K$25,J$24,K322&lt;K$26,J$25,K322&lt;K$27,J$26,K322&lt;K$28,J$27,K322&lt;K$29,J$28,K322&lt;K$30,J$29,K322&lt;K$31,J$30,K322&lt;K$32,J$31,K322&lt;K$33,J$32,K322&lt;K$34,J$33,K322&lt;K$35,J$34,K322&lt;K$36,J$35,K322&lt;K$37,J$36,K322&lt;K$38,J$37,K322&lt;K$39,J$38,K322&lt;K$40,J$39,K322&lt;K$41,J$40,K322&lt;K$42,J$41,K322&lt;K$43,J$42,K322&lt;K$44,J$43,K322&lt;K$45,J$44,K322&lt;K$46,J$45,K322&lt;K$47,J$46,K322&gt;=K$47,J$47)</f>
        <v/>
      </c>
      <c r="K322" s="38" t="n">
        <v>272</v>
      </c>
      <c r="L322" s="31">
        <f>K322/52</f>
        <v/>
      </c>
      <c r="M322" s="39">
        <f>J322/1000000*52</f>
        <v/>
      </c>
      <c r="N322" s="33">
        <f>M322/$P$4+($I$22/$P$4)</f>
        <v/>
      </c>
      <c r="U322">
        <f>F321</f>
        <v/>
      </c>
      <c r="V322">
        <f>H321</f>
        <v/>
      </c>
      <c r="W322">
        <f>N321</f>
        <v/>
      </c>
    </row>
    <row r="323" ht="15.75" customHeight="1" s="40">
      <c r="C323" s="36">
        <f>_xlfn.IFS(E323&lt;E$24,0,E323&lt;E$26,C$24,E323&lt;E$28,C$26,E323&lt;E$30,C$28,E323&lt;E$32,C$30,E323&lt;E$34,C$32,E323&gt;=E$34,C$34)</f>
        <v/>
      </c>
      <c r="D323" s="37">
        <f>_xlfn.IFS(E323&lt;E$24,0,E323&lt;E$25,D$24,E323&lt;E$26,D$25,E323&lt;E$27,D$26,E323&lt;E$28,D$27,E323&lt;E$29,D$28,E323&lt;E$30,D$29,E323&lt;E$31,D$30,E323&lt;E$32,D$31,E323&lt;E$33,D$32,E323&lt;E$34,D$33,E323&lt;E$35,D$34,E323&gt;=E$35,D$35)</f>
        <v/>
      </c>
      <c r="E323" s="38" t="n">
        <v>273</v>
      </c>
      <c r="F323" s="31">
        <f>E323/52</f>
        <v/>
      </c>
      <c r="G323" s="39">
        <f>D323/1000000*52</f>
        <v/>
      </c>
      <c r="H323" s="33">
        <f>G323/$P$4+($C$22/$P$4)</f>
        <v/>
      </c>
      <c r="I323" s="36">
        <f>_xlfn.IFS(K323&lt;K$24,0,K323&lt;K$26,I$24,K323&lt;K$28,I$26,K323&lt;K$30,I$28,K323&lt;K$32,I$30,K323&lt;K$34,I$32,K323&lt;K$36,I$34,K323&lt;K$38,I$36,K323&lt;K$40,I$38,K323&lt;K$42,I$40,K323&lt;K$44,I$42,K323&lt;K$46,I$44,K323&gt;=K$46,I$46)</f>
        <v/>
      </c>
      <c r="J323" s="37">
        <f>_xlfn.IFS(K323&lt;K$24,0,K323&lt;K$25,J$24,K323&lt;K$26,J$25,K323&lt;K$27,J$26,K323&lt;K$28,J$27,K323&lt;K$29,J$28,K323&lt;K$30,J$29,K323&lt;K$31,J$30,K323&lt;K$32,J$31,K323&lt;K$33,J$32,K323&lt;K$34,J$33,K323&lt;K$35,J$34,K323&lt;K$36,J$35,K323&lt;K$37,J$36,K323&lt;K$38,J$37,K323&lt;K$39,J$38,K323&lt;K$40,J$39,K323&lt;K$41,J$40,K323&lt;K$42,J$41,K323&lt;K$43,J$42,K323&lt;K$44,J$43,K323&lt;K$45,J$44,K323&lt;K$46,J$45,K323&lt;K$47,J$46,K323&gt;=K$47,J$47)</f>
        <v/>
      </c>
      <c r="K323" s="38" t="n">
        <v>273</v>
      </c>
      <c r="L323" s="31">
        <f>K323/52</f>
        <v/>
      </c>
      <c r="M323" s="39">
        <f>J323/1000000*52</f>
        <v/>
      </c>
      <c r="N323" s="33">
        <f>M323/$P$4+($I$22/$P$4)</f>
        <v/>
      </c>
      <c r="U323">
        <f>F322</f>
        <v/>
      </c>
      <c r="V323">
        <f>H322</f>
        <v/>
      </c>
      <c r="W323">
        <f>N322</f>
        <v/>
      </c>
    </row>
    <row r="324" ht="15.75" customHeight="1" s="40">
      <c r="C324" s="36">
        <f>_xlfn.IFS(E324&lt;E$24,0,E324&lt;E$26,C$24,E324&lt;E$28,C$26,E324&lt;E$30,C$28,E324&lt;E$32,C$30,E324&lt;E$34,C$32,E324&gt;=E$34,C$34)</f>
        <v/>
      </c>
      <c r="D324" s="37">
        <f>_xlfn.IFS(E324&lt;E$24,0,E324&lt;E$25,D$24,E324&lt;E$26,D$25,E324&lt;E$27,D$26,E324&lt;E$28,D$27,E324&lt;E$29,D$28,E324&lt;E$30,D$29,E324&lt;E$31,D$30,E324&lt;E$32,D$31,E324&lt;E$33,D$32,E324&lt;E$34,D$33,E324&lt;E$35,D$34,E324&gt;=E$35,D$35)</f>
        <v/>
      </c>
      <c r="E324" s="38" t="n">
        <v>274</v>
      </c>
      <c r="F324" s="31">
        <f>E324/52</f>
        <v/>
      </c>
      <c r="G324" s="39">
        <f>D324/1000000*52</f>
        <v/>
      </c>
      <c r="H324" s="33">
        <f>G324/$P$4+($C$22/$P$4)</f>
        <v/>
      </c>
      <c r="I324" s="36">
        <f>_xlfn.IFS(K324&lt;K$24,0,K324&lt;K$26,I$24,K324&lt;K$28,I$26,K324&lt;K$30,I$28,K324&lt;K$32,I$30,K324&lt;K$34,I$32,K324&lt;K$36,I$34,K324&lt;K$38,I$36,K324&lt;K$40,I$38,K324&lt;K$42,I$40,K324&lt;K$44,I$42,K324&lt;K$46,I$44,K324&gt;=K$46,I$46)</f>
        <v/>
      </c>
      <c r="J324" s="37">
        <f>_xlfn.IFS(K324&lt;K$24,0,K324&lt;K$25,J$24,K324&lt;K$26,J$25,K324&lt;K$27,J$26,K324&lt;K$28,J$27,K324&lt;K$29,J$28,K324&lt;K$30,J$29,K324&lt;K$31,J$30,K324&lt;K$32,J$31,K324&lt;K$33,J$32,K324&lt;K$34,J$33,K324&lt;K$35,J$34,K324&lt;K$36,J$35,K324&lt;K$37,J$36,K324&lt;K$38,J$37,K324&lt;K$39,J$38,K324&lt;K$40,J$39,K324&lt;K$41,J$40,K324&lt;K$42,J$41,K324&lt;K$43,J$42,K324&lt;K$44,J$43,K324&lt;K$45,J$44,K324&lt;K$46,J$45,K324&lt;K$47,J$46,K324&gt;=K$47,J$47)</f>
        <v/>
      </c>
      <c r="K324" s="38" t="n">
        <v>274</v>
      </c>
      <c r="L324" s="31">
        <f>K324/52</f>
        <v/>
      </c>
      <c r="M324" s="39">
        <f>J324/1000000*52</f>
        <v/>
      </c>
      <c r="N324" s="33">
        <f>M324/$P$4+($I$22/$P$4)</f>
        <v/>
      </c>
      <c r="U324">
        <f>F323</f>
        <v/>
      </c>
      <c r="V324">
        <f>H323</f>
        <v/>
      </c>
      <c r="W324">
        <f>N323</f>
        <v/>
      </c>
    </row>
    <row r="325" ht="15.75" customHeight="1" s="40">
      <c r="C325" s="36">
        <f>_xlfn.IFS(E325&lt;E$24,0,E325&lt;E$26,C$24,E325&lt;E$28,C$26,E325&lt;E$30,C$28,E325&lt;E$32,C$30,E325&lt;E$34,C$32,E325&gt;=E$34,C$34)</f>
        <v/>
      </c>
      <c r="D325" s="37">
        <f>_xlfn.IFS(E325&lt;E$24,0,E325&lt;E$25,D$24,E325&lt;E$26,D$25,E325&lt;E$27,D$26,E325&lt;E$28,D$27,E325&lt;E$29,D$28,E325&lt;E$30,D$29,E325&lt;E$31,D$30,E325&lt;E$32,D$31,E325&lt;E$33,D$32,E325&lt;E$34,D$33,E325&lt;E$35,D$34,E325&gt;=E$35,D$35)</f>
        <v/>
      </c>
      <c r="E325" s="38" t="n">
        <v>275</v>
      </c>
      <c r="F325" s="31">
        <f>E325/52</f>
        <v/>
      </c>
      <c r="G325" s="39">
        <f>D325/1000000*52</f>
        <v/>
      </c>
      <c r="H325" s="33">
        <f>G325/$P$4+($C$22/$P$4)</f>
        <v/>
      </c>
      <c r="I325" s="36">
        <f>_xlfn.IFS(K325&lt;K$24,0,K325&lt;K$26,I$24,K325&lt;K$28,I$26,K325&lt;K$30,I$28,K325&lt;K$32,I$30,K325&lt;K$34,I$32,K325&lt;K$36,I$34,K325&lt;K$38,I$36,K325&lt;K$40,I$38,K325&lt;K$42,I$40,K325&lt;K$44,I$42,K325&lt;K$46,I$44,K325&gt;=K$46,I$46)</f>
        <v/>
      </c>
      <c r="J325" s="37">
        <f>_xlfn.IFS(K325&lt;K$24,0,K325&lt;K$25,J$24,K325&lt;K$26,J$25,K325&lt;K$27,J$26,K325&lt;K$28,J$27,K325&lt;K$29,J$28,K325&lt;K$30,J$29,K325&lt;K$31,J$30,K325&lt;K$32,J$31,K325&lt;K$33,J$32,K325&lt;K$34,J$33,K325&lt;K$35,J$34,K325&lt;K$36,J$35,K325&lt;K$37,J$36,K325&lt;K$38,J$37,K325&lt;K$39,J$38,K325&lt;K$40,J$39,K325&lt;K$41,J$40,K325&lt;K$42,J$41,K325&lt;K$43,J$42,K325&lt;K$44,J$43,K325&lt;K$45,J$44,K325&lt;K$46,J$45,K325&lt;K$47,J$46,K325&gt;=K$47,J$47)</f>
        <v/>
      </c>
      <c r="K325" s="38" t="n">
        <v>275</v>
      </c>
      <c r="L325" s="31">
        <f>K325/52</f>
        <v/>
      </c>
      <c r="M325" s="39">
        <f>J325/1000000*52</f>
        <v/>
      </c>
      <c r="N325" s="33">
        <f>M325/$P$4+($I$22/$P$4)</f>
        <v/>
      </c>
      <c r="U325">
        <f>F324</f>
        <v/>
      </c>
      <c r="V325">
        <f>H324</f>
        <v/>
      </c>
      <c r="W325">
        <f>N324</f>
        <v/>
      </c>
    </row>
    <row r="326" ht="15.75" customHeight="1" s="40">
      <c r="C326" s="36">
        <f>_xlfn.IFS(E326&lt;E$24,0,E326&lt;E$26,C$24,E326&lt;E$28,C$26,E326&lt;E$30,C$28,E326&lt;E$32,C$30,E326&lt;E$34,C$32,E326&gt;=E$34,C$34)</f>
        <v/>
      </c>
      <c r="D326" s="37">
        <f>_xlfn.IFS(E326&lt;E$24,0,E326&lt;E$25,D$24,E326&lt;E$26,D$25,E326&lt;E$27,D$26,E326&lt;E$28,D$27,E326&lt;E$29,D$28,E326&lt;E$30,D$29,E326&lt;E$31,D$30,E326&lt;E$32,D$31,E326&lt;E$33,D$32,E326&lt;E$34,D$33,E326&lt;E$35,D$34,E326&gt;=E$35,D$35)</f>
        <v/>
      </c>
      <c r="E326" s="38" t="n">
        <v>276</v>
      </c>
      <c r="F326" s="31">
        <f>E326/52</f>
        <v/>
      </c>
      <c r="G326" s="39">
        <f>D326/1000000*52</f>
        <v/>
      </c>
      <c r="H326" s="33">
        <f>G326/$P$4+($C$22/$P$4)</f>
        <v/>
      </c>
      <c r="I326" s="36">
        <f>_xlfn.IFS(K326&lt;K$24,0,K326&lt;K$26,I$24,K326&lt;K$28,I$26,K326&lt;K$30,I$28,K326&lt;K$32,I$30,K326&lt;K$34,I$32,K326&lt;K$36,I$34,K326&lt;K$38,I$36,K326&lt;K$40,I$38,K326&lt;K$42,I$40,K326&lt;K$44,I$42,K326&lt;K$46,I$44,K326&gt;=K$46,I$46)</f>
        <v/>
      </c>
      <c r="J326" s="37">
        <f>_xlfn.IFS(K326&lt;K$24,0,K326&lt;K$25,J$24,K326&lt;K$26,J$25,K326&lt;K$27,J$26,K326&lt;K$28,J$27,K326&lt;K$29,J$28,K326&lt;K$30,J$29,K326&lt;K$31,J$30,K326&lt;K$32,J$31,K326&lt;K$33,J$32,K326&lt;K$34,J$33,K326&lt;K$35,J$34,K326&lt;K$36,J$35,K326&lt;K$37,J$36,K326&lt;K$38,J$37,K326&lt;K$39,J$38,K326&lt;K$40,J$39,K326&lt;K$41,J$40,K326&lt;K$42,J$41,K326&lt;K$43,J$42,K326&lt;K$44,J$43,K326&lt;K$45,J$44,K326&lt;K$46,J$45,K326&lt;K$47,J$46,K326&gt;=K$47,J$47)</f>
        <v/>
      </c>
      <c r="K326" s="38" t="n">
        <v>276</v>
      </c>
      <c r="L326" s="31">
        <f>K326/52</f>
        <v/>
      </c>
      <c r="M326" s="39">
        <f>J326/1000000*52</f>
        <v/>
      </c>
      <c r="N326" s="33">
        <f>M326/$P$4+($I$22/$P$4)</f>
        <v/>
      </c>
      <c r="U326">
        <f>F325</f>
        <v/>
      </c>
      <c r="V326">
        <f>H325</f>
        <v/>
      </c>
      <c r="W326">
        <f>N325</f>
        <v/>
      </c>
    </row>
    <row r="327" ht="15.75" customHeight="1" s="40">
      <c r="C327" s="36">
        <f>_xlfn.IFS(E327&lt;E$24,0,E327&lt;E$26,C$24,E327&lt;E$28,C$26,E327&lt;E$30,C$28,E327&lt;E$32,C$30,E327&lt;E$34,C$32,E327&gt;=E$34,C$34)</f>
        <v/>
      </c>
      <c r="D327" s="37">
        <f>_xlfn.IFS(E327&lt;E$24,0,E327&lt;E$25,D$24,E327&lt;E$26,D$25,E327&lt;E$27,D$26,E327&lt;E$28,D$27,E327&lt;E$29,D$28,E327&lt;E$30,D$29,E327&lt;E$31,D$30,E327&lt;E$32,D$31,E327&lt;E$33,D$32,E327&lt;E$34,D$33,E327&lt;E$35,D$34,E327&gt;=E$35,D$35)</f>
        <v/>
      </c>
      <c r="E327" s="38" t="n">
        <v>277</v>
      </c>
      <c r="F327" s="31">
        <f>E327/52</f>
        <v/>
      </c>
      <c r="G327" s="39">
        <f>D327/1000000*52</f>
        <v/>
      </c>
      <c r="H327" s="33">
        <f>G327/$P$4+($C$22/$P$4)</f>
        <v/>
      </c>
      <c r="I327" s="36">
        <f>_xlfn.IFS(K327&lt;K$24,0,K327&lt;K$26,I$24,K327&lt;K$28,I$26,K327&lt;K$30,I$28,K327&lt;K$32,I$30,K327&lt;K$34,I$32,K327&lt;K$36,I$34,K327&lt;K$38,I$36,K327&lt;K$40,I$38,K327&lt;K$42,I$40,K327&lt;K$44,I$42,K327&lt;K$46,I$44,K327&gt;=K$46,I$46)</f>
        <v/>
      </c>
      <c r="J327" s="37">
        <f>_xlfn.IFS(K327&lt;K$24,0,K327&lt;K$25,J$24,K327&lt;K$26,J$25,K327&lt;K$27,J$26,K327&lt;K$28,J$27,K327&lt;K$29,J$28,K327&lt;K$30,J$29,K327&lt;K$31,J$30,K327&lt;K$32,J$31,K327&lt;K$33,J$32,K327&lt;K$34,J$33,K327&lt;K$35,J$34,K327&lt;K$36,J$35,K327&lt;K$37,J$36,K327&lt;K$38,J$37,K327&lt;K$39,J$38,K327&lt;K$40,J$39,K327&lt;K$41,J$40,K327&lt;K$42,J$41,K327&lt;K$43,J$42,K327&lt;K$44,J$43,K327&lt;K$45,J$44,K327&lt;K$46,J$45,K327&lt;K$47,J$46,K327&gt;=K$47,J$47)</f>
        <v/>
      </c>
      <c r="K327" s="38" t="n">
        <v>277</v>
      </c>
      <c r="L327" s="31">
        <f>K327/52</f>
        <v/>
      </c>
      <c r="M327" s="39">
        <f>J327/1000000*52</f>
        <v/>
      </c>
      <c r="N327" s="33">
        <f>M327/$P$4+($I$22/$P$4)</f>
        <v/>
      </c>
      <c r="U327">
        <f>F326</f>
        <v/>
      </c>
      <c r="V327">
        <f>H326</f>
        <v/>
      </c>
      <c r="W327">
        <f>N326</f>
        <v/>
      </c>
    </row>
    <row r="328" ht="15.75" customHeight="1" s="40">
      <c r="C328" s="36">
        <f>_xlfn.IFS(E328&lt;E$24,0,E328&lt;E$26,C$24,E328&lt;E$28,C$26,E328&lt;E$30,C$28,E328&lt;E$32,C$30,E328&lt;E$34,C$32,E328&gt;=E$34,C$34)</f>
        <v/>
      </c>
      <c r="D328" s="37">
        <f>_xlfn.IFS(E328&lt;E$24,0,E328&lt;E$25,D$24,E328&lt;E$26,D$25,E328&lt;E$27,D$26,E328&lt;E$28,D$27,E328&lt;E$29,D$28,E328&lt;E$30,D$29,E328&lt;E$31,D$30,E328&lt;E$32,D$31,E328&lt;E$33,D$32,E328&lt;E$34,D$33,E328&lt;E$35,D$34,E328&gt;=E$35,D$35)</f>
        <v/>
      </c>
      <c r="E328" s="38" t="n">
        <v>278</v>
      </c>
      <c r="F328" s="31">
        <f>E328/52</f>
        <v/>
      </c>
      <c r="G328" s="39">
        <f>D328/1000000*52</f>
        <v/>
      </c>
      <c r="H328" s="33">
        <f>G328/$P$4+($C$22/$P$4)</f>
        <v/>
      </c>
      <c r="I328" s="36">
        <f>_xlfn.IFS(K328&lt;K$24,0,K328&lt;K$26,I$24,K328&lt;K$28,I$26,K328&lt;K$30,I$28,K328&lt;K$32,I$30,K328&lt;K$34,I$32,K328&lt;K$36,I$34,K328&lt;K$38,I$36,K328&lt;K$40,I$38,K328&lt;K$42,I$40,K328&lt;K$44,I$42,K328&lt;K$46,I$44,K328&gt;=K$46,I$46)</f>
        <v/>
      </c>
      <c r="J328" s="37">
        <f>_xlfn.IFS(K328&lt;K$24,0,K328&lt;K$25,J$24,K328&lt;K$26,J$25,K328&lt;K$27,J$26,K328&lt;K$28,J$27,K328&lt;K$29,J$28,K328&lt;K$30,J$29,K328&lt;K$31,J$30,K328&lt;K$32,J$31,K328&lt;K$33,J$32,K328&lt;K$34,J$33,K328&lt;K$35,J$34,K328&lt;K$36,J$35,K328&lt;K$37,J$36,K328&lt;K$38,J$37,K328&lt;K$39,J$38,K328&lt;K$40,J$39,K328&lt;K$41,J$40,K328&lt;K$42,J$41,K328&lt;K$43,J$42,K328&lt;K$44,J$43,K328&lt;K$45,J$44,K328&lt;K$46,J$45,K328&lt;K$47,J$46,K328&gt;=K$47,J$47)</f>
        <v/>
      </c>
      <c r="K328" s="38" t="n">
        <v>278</v>
      </c>
      <c r="L328" s="31">
        <f>K328/52</f>
        <v/>
      </c>
      <c r="M328" s="39">
        <f>J328/1000000*52</f>
        <v/>
      </c>
      <c r="N328" s="33">
        <f>M328/$P$4+($I$22/$P$4)</f>
        <v/>
      </c>
      <c r="U328">
        <f>F327</f>
        <v/>
      </c>
      <c r="V328">
        <f>H327</f>
        <v/>
      </c>
      <c r="W328">
        <f>N327</f>
        <v/>
      </c>
    </row>
    <row r="329" ht="15.75" customHeight="1" s="40">
      <c r="C329" s="36">
        <f>_xlfn.IFS(E329&lt;E$24,0,E329&lt;E$26,C$24,E329&lt;E$28,C$26,E329&lt;E$30,C$28,E329&lt;E$32,C$30,E329&lt;E$34,C$32,E329&gt;=E$34,C$34)</f>
        <v/>
      </c>
      <c r="D329" s="37">
        <f>_xlfn.IFS(E329&lt;E$24,0,E329&lt;E$25,D$24,E329&lt;E$26,D$25,E329&lt;E$27,D$26,E329&lt;E$28,D$27,E329&lt;E$29,D$28,E329&lt;E$30,D$29,E329&lt;E$31,D$30,E329&lt;E$32,D$31,E329&lt;E$33,D$32,E329&lt;E$34,D$33,E329&lt;E$35,D$34,E329&gt;=E$35,D$35)</f>
        <v/>
      </c>
      <c r="E329" s="38" t="n">
        <v>279</v>
      </c>
      <c r="F329" s="31">
        <f>E329/52</f>
        <v/>
      </c>
      <c r="G329" s="39">
        <f>D329/1000000*52</f>
        <v/>
      </c>
      <c r="H329" s="33">
        <f>G329/$P$4+($C$22/$P$4)</f>
        <v/>
      </c>
      <c r="I329" s="36">
        <f>_xlfn.IFS(K329&lt;K$24,0,K329&lt;K$26,I$24,K329&lt;K$28,I$26,K329&lt;K$30,I$28,K329&lt;K$32,I$30,K329&lt;K$34,I$32,K329&lt;K$36,I$34,K329&lt;K$38,I$36,K329&lt;K$40,I$38,K329&lt;K$42,I$40,K329&lt;K$44,I$42,K329&lt;K$46,I$44,K329&gt;=K$46,I$46)</f>
        <v/>
      </c>
      <c r="J329" s="37">
        <f>_xlfn.IFS(K329&lt;K$24,0,K329&lt;K$25,J$24,K329&lt;K$26,J$25,K329&lt;K$27,J$26,K329&lt;K$28,J$27,K329&lt;K$29,J$28,K329&lt;K$30,J$29,K329&lt;K$31,J$30,K329&lt;K$32,J$31,K329&lt;K$33,J$32,K329&lt;K$34,J$33,K329&lt;K$35,J$34,K329&lt;K$36,J$35,K329&lt;K$37,J$36,K329&lt;K$38,J$37,K329&lt;K$39,J$38,K329&lt;K$40,J$39,K329&lt;K$41,J$40,K329&lt;K$42,J$41,K329&lt;K$43,J$42,K329&lt;K$44,J$43,K329&lt;K$45,J$44,K329&lt;K$46,J$45,K329&lt;K$47,J$46,K329&gt;=K$47,J$47)</f>
        <v/>
      </c>
      <c r="K329" s="38" t="n">
        <v>279</v>
      </c>
      <c r="L329" s="31">
        <f>K329/52</f>
        <v/>
      </c>
      <c r="M329" s="39">
        <f>J329/1000000*52</f>
        <v/>
      </c>
      <c r="N329" s="33">
        <f>M329/$P$4+($I$22/$P$4)</f>
        <v/>
      </c>
      <c r="U329">
        <f>F328</f>
        <v/>
      </c>
      <c r="V329">
        <f>H328</f>
        <v/>
      </c>
      <c r="W329">
        <f>N328</f>
        <v/>
      </c>
    </row>
    <row r="330" ht="15.75" customHeight="1" s="40">
      <c r="C330" s="36">
        <f>_xlfn.IFS(E330&lt;E$24,0,E330&lt;E$26,C$24,E330&lt;E$28,C$26,E330&lt;E$30,C$28,E330&lt;E$32,C$30,E330&lt;E$34,C$32,E330&gt;=E$34,C$34)</f>
        <v/>
      </c>
      <c r="D330" s="37">
        <f>_xlfn.IFS(E330&lt;E$24,0,E330&lt;E$25,D$24,E330&lt;E$26,D$25,E330&lt;E$27,D$26,E330&lt;E$28,D$27,E330&lt;E$29,D$28,E330&lt;E$30,D$29,E330&lt;E$31,D$30,E330&lt;E$32,D$31,E330&lt;E$33,D$32,E330&lt;E$34,D$33,E330&lt;E$35,D$34,E330&gt;=E$35,D$35)</f>
        <v/>
      </c>
      <c r="E330" s="38" t="n">
        <v>280</v>
      </c>
      <c r="F330" s="31">
        <f>E330/52</f>
        <v/>
      </c>
      <c r="G330" s="39">
        <f>D330/1000000*52</f>
        <v/>
      </c>
      <c r="H330" s="33">
        <f>G330/$P$4+($C$22/$P$4)</f>
        <v/>
      </c>
      <c r="I330" s="36">
        <f>_xlfn.IFS(K330&lt;K$24,0,K330&lt;K$26,I$24,K330&lt;K$28,I$26,K330&lt;K$30,I$28,K330&lt;K$32,I$30,K330&lt;K$34,I$32,K330&lt;K$36,I$34,K330&lt;K$38,I$36,K330&lt;K$40,I$38,K330&lt;K$42,I$40,K330&lt;K$44,I$42,K330&lt;K$46,I$44,K330&gt;=K$46,I$46)</f>
        <v/>
      </c>
      <c r="J330" s="37">
        <f>_xlfn.IFS(K330&lt;K$24,0,K330&lt;K$25,J$24,K330&lt;K$26,J$25,K330&lt;K$27,J$26,K330&lt;K$28,J$27,K330&lt;K$29,J$28,K330&lt;K$30,J$29,K330&lt;K$31,J$30,K330&lt;K$32,J$31,K330&lt;K$33,J$32,K330&lt;K$34,J$33,K330&lt;K$35,J$34,K330&lt;K$36,J$35,K330&lt;K$37,J$36,K330&lt;K$38,J$37,K330&lt;K$39,J$38,K330&lt;K$40,J$39,K330&lt;K$41,J$40,K330&lt;K$42,J$41,K330&lt;K$43,J$42,K330&lt;K$44,J$43,K330&lt;K$45,J$44,K330&lt;K$46,J$45,K330&lt;K$47,J$46,K330&gt;=K$47,J$47)</f>
        <v/>
      </c>
      <c r="K330" s="38" t="n">
        <v>280</v>
      </c>
      <c r="L330" s="31">
        <f>K330/52</f>
        <v/>
      </c>
      <c r="M330" s="39">
        <f>J330/1000000*52</f>
        <v/>
      </c>
      <c r="N330" s="33">
        <f>M330/$P$4+($I$22/$P$4)</f>
        <v/>
      </c>
      <c r="U330">
        <f>F329</f>
        <v/>
      </c>
      <c r="V330">
        <f>H329</f>
        <v/>
      </c>
      <c r="W330">
        <f>N329</f>
        <v/>
      </c>
    </row>
    <row r="331" ht="15.75" customHeight="1" s="40">
      <c r="C331" s="36">
        <f>_xlfn.IFS(E331&lt;E$24,0,E331&lt;E$26,C$24,E331&lt;E$28,C$26,E331&lt;E$30,C$28,E331&lt;E$32,C$30,E331&lt;E$34,C$32,E331&gt;=E$34,C$34)</f>
        <v/>
      </c>
      <c r="D331" s="37">
        <f>_xlfn.IFS(E331&lt;E$24,0,E331&lt;E$25,D$24,E331&lt;E$26,D$25,E331&lt;E$27,D$26,E331&lt;E$28,D$27,E331&lt;E$29,D$28,E331&lt;E$30,D$29,E331&lt;E$31,D$30,E331&lt;E$32,D$31,E331&lt;E$33,D$32,E331&lt;E$34,D$33,E331&lt;E$35,D$34,E331&gt;=E$35,D$35)</f>
        <v/>
      </c>
      <c r="E331" s="38" t="n">
        <v>281</v>
      </c>
      <c r="F331" s="31">
        <f>E331/52</f>
        <v/>
      </c>
      <c r="G331" s="39">
        <f>D331/1000000*52</f>
        <v/>
      </c>
      <c r="H331" s="33">
        <f>G331/$P$4+($C$22/$P$4)</f>
        <v/>
      </c>
      <c r="I331" s="36">
        <f>_xlfn.IFS(K331&lt;K$24,0,K331&lt;K$26,I$24,K331&lt;K$28,I$26,K331&lt;K$30,I$28,K331&lt;K$32,I$30,K331&lt;K$34,I$32,K331&lt;K$36,I$34,K331&lt;K$38,I$36,K331&lt;K$40,I$38,K331&lt;K$42,I$40,K331&lt;K$44,I$42,K331&lt;K$46,I$44,K331&gt;=K$46,I$46)</f>
        <v/>
      </c>
      <c r="J331" s="37">
        <f>_xlfn.IFS(K331&lt;K$24,0,K331&lt;K$25,J$24,K331&lt;K$26,J$25,K331&lt;K$27,J$26,K331&lt;K$28,J$27,K331&lt;K$29,J$28,K331&lt;K$30,J$29,K331&lt;K$31,J$30,K331&lt;K$32,J$31,K331&lt;K$33,J$32,K331&lt;K$34,J$33,K331&lt;K$35,J$34,K331&lt;K$36,J$35,K331&lt;K$37,J$36,K331&lt;K$38,J$37,K331&lt;K$39,J$38,K331&lt;K$40,J$39,K331&lt;K$41,J$40,K331&lt;K$42,J$41,K331&lt;K$43,J$42,K331&lt;K$44,J$43,K331&lt;K$45,J$44,K331&lt;K$46,J$45,K331&lt;K$47,J$46,K331&gt;=K$47,J$47)</f>
        <v/>
      </c>
      <c r="K331" s="38" t="n">
        <v>281</v>
      </c>
      <c r="L331" s="31">
        <f>K331/52</f>
        <v/>
      </c>
      <c r="M331" s="39">
        <f>J331/1000000*52</f>
        <v/>
      </c>
      <c r="N331" s="33">
        <f>M331/$P$4+($I$22/$P$4)</f>
        <v/>
      </c>
      <c r="U331">
        <f>F330</f>
        <v/>
      </c>
      <c r="V331">
        <f>H330</f>
        <v/>
      </c>
      <c r="W331">
        <f>N330</f>
        <v/>
      </c>
    </row>
    <row r="332" ht="15.75" customHeight="1" s="40">
      <c r="C332" s="36">
        <f>_xlfn.IFS(E332&lt;E$24,0,E332&lt;E$26,C$24,E332&lt;E$28,C$26,E332&lt;E$30,C$28,E332&lt;E$32,C$30,E332&lt;E$34,C$32,E332&gt;=E$34,C$34)</f>
        <v/>
      </c>
      <c r="D332" s="37">
        <f>_xlfn.IFS(E332&lt;E$24,0,E332&lt;E$25,D$24,E332&lt;E$26,D$25,E332&lt;E$27,D$26,E332&lt;E$28,D$27,E332&lt;E$29,D$28,E332&lt;E$30,D$29,E332&lt;E$31,D$30,E332&lt;E$32,D$31,E332&lt;E$33,D$32,E332&lt;E$34,D$33,E332&lt;E$35,D$34,E332&gt;=E$35,D$35)</f>
        <v/>
      </c>
      <c r="E332" s="38" t="n">
        <v>282</v>
      </c>
      <c r="F332" s="31">
        <f>E332/52</f>
        <v/>
      </c>
      <c r="G332" s="39">
        <f>D332/1000000*52</f>
        <v/>
      </c>
      <c r="H332" s="33">
        <f>G332/$P$4+($C$22/$P$4)</f>
        <v/>
      </c>
      <c r="I332" s="36">
        <f>_xlfn.IFS(K332&lt;K$24,0,K332&lt;K$26,I$24,K332&lt;K$28,I$26,K332&lt;K$30,I$28,K332&lt;K$32,I$30,K332&lt;K$34,I$32,K332&lt;K$36,I$34,K332&lt;K$38,I$36,K332&lt;K$40,I$38,K332&lt;K$42,I$40,K332&lt;K$44,I$42,K332&lt;K$46,I$44,K332&gt;=K$46,I$46)</f>
        <v/>
      </c>
      <c r="J332" s="37">
        <f>_xlfn.IFS(K332&lt;K$24,0,K332&lt;K$25,J$24,K332&lt;K$26,J$25,K332&lt;K$27,J$26,K332&lt;K$28,J$27,K332&lt;K$29,J$28,K332&lt;K$30,J$29,K332&lt;K$31,J$30,K332&lt;K$32,J$31,K332&lt;K$33,J$32,K332&lt;K$34,J$33,K332&lt;K$35,J$34,K332&lt;K$36,J$35,K332&lt;K$37,J$36,K332&lt;K$38,J$37,K332&lt;K$39,J$38,K332&lt;K$40,J$39,K332&lt;K$41,J$40,K332&lt;K$42,J$41,K332&lt;K$43,J$42,K332&lt;K$44,J$43,K332&lt;K$45,J$44,K332&lt;K$46,J$45,K332&lt;K$47,J$46,K332&gt;=K$47,J$47)</f>
        <v/>
      </c>
      <c r="K332" s="38" t="n">
        <v>282</v>
      </c>
      <c r="L332" s="31">
        <f>K332/52</f>
        <v/>
      </c>
      <c r="M332" s="39">
        <f>J332/1000000*52</f>
        <v/>
      </c>
      <c r="N332" s="33">
        <f>M332/$P$4+($I$22/$P$4)</f>
        <v/>
      </c>
      <c r="U332">
        <f>F331</f>
        <v/>
      </c>
      <c r="V332">
        <f>H331</f>
        <v/>
      </c>
      <c r="W332">
        <f>N331</f>
        <v/>
      </c>
    </row>
    <row r="333" ht="15.75" customHeight="1" s="40">
      <c r="C333" s="36">
        <f>_xlfn.IFS(E333&lt;E$24,0,E333&lt;E$26,C$24,E333&lt;E$28,C$26,E333&lt;E$30,C$28,E333&lt;E$32,C$30,E333&lt;E$34,C$32,E333&gt;=E$34,C$34)</f>
        <v/>
      </c>
      <c r="D333" s="37">
        <f>_xlfn.IFS(E333&lt;E$24,0,E333&lt;E$25,D$24,E333&lt;E$26,D$25,E333&lt;E$27,D$26,E333&lt;E$28,D$27,E333&lt;E$29,D$28,E333&lt;E$30,D$29,E333&lt;E$31,D$30,E333&lt;E$32,D$31,E333&lt;E$33,D$32,E333&lt;E$34,D$33,E333&lt;E$35,D$34,E333&gt;=E$35,D$35)</f>
        <v/>
      </c>
      <c r="E333" s="38" t="n">
        <v>283</v>
      </c>
      <c r="F333" s="31">
        <f>E333/52</f>
        <v/>
      </c>
      <c r="G333" s="39">
        <f>D333/1000000*52</f>
        <v/>
      </c>
      <c r="H333" s="33">
        <f>G333/$P$4+($C$22/$P$4)</f>
        <v/>
      </c>
      <c r="I333" s="36">
        <f>_xlfn.IFS(K333&lt;K$24,0,K333&lt;K$26,I$24,K333&lt;K$28,I$26,K333&lt;K$30,I$28,K333&lt;K$32,I$30,K333&lt;K$34,I$32,K333&lt;K$36,I$34,K333&lt;K$38,I$36,K333&lt;K$40,I$38,K333&lt;K$42,I$40,K333&lt;K$44,I$42,K333&lt;K$46,I$44,K333&gt;=K$46,I$46)</f>
        <v/>
      </c>
      <c r="J333" s="37">
        <f>_xlfn.IFS(K333&lt;K$24,0,K333&lt;K$25,J$24,K333&lt;K$26,J$25,K333&lt;K$27,J$26,K333&lt;K$28,J$27,K333&lt;K$29,J$28,K333&lt;K$30,J$29,K333&lt;K$31,J$30,K333&lt;K$32,J$31,K333&lt;K$33,J$32,K333&lt;K$34,J$33,K333&lt;K$35,J$34,K333&lt;K$36,J$35,K333&lt;K$37,J$36,K333&lt;K$38,J$37,K333&lt;K$39,J$38,K333&lt;K$40,J$39,K333&lt;K$41,J$40,K333&lt;K$42,J$41,K333&lt;K$43,J$42,K333&lt;K$44,J$43,K333&lt;K$45,J$44,K333&lt;K$46,J$45,K333&lt;K$47,J$46,K333&gt;=K$47,J$47)</f>
        <v/>
      </c>
      <c r="K333" s="38" t="n">
        <v>283</v>
      </c>
      <c r="L333" s="31">
        <f>K333/52</f>
        <v/>
      </c>
      <c r="M333" s="39">
        <f>J333/1000000*52</f>
        <v/>
      </c>
      <c r="N333" s="33">
        <f>M333/$P$4+($I$22/$P$4)</f>
        <v/>
      </c>
      <c r="U333">
        <f>F332</f>
        <v/>
      </c>
      <c r="V333">
        <f>H332</f>
        <v/>
      </c>
      <c r="W333">
        <f>N332</f>
        <v/>
      </c>
    </row>
    <row r="334" ht="15.75" customHeight="1" s="40">
      <c r="C334" s="36">
        <f>_xlfn.IFS(E334&lt;E$24,0,E334&lt;E$26,C$24,E334&lt;E$28,C$26,E334&lt;E$30,C$28,E334&lt;E$32,C$30,E334&lt;E$34,C$32,E334&gt;=E$34,C$34)</f>
        <v/>
      </c>
      <c r="D334" s="37">
        <f>_xlfn.IFS(E334&lt;E$24,0,E334&lt;E$25,D$24,E334&lt;E$26,D$25,E334&lt;E$27,D$26,E334&lt;E$28,D$27,E334&lt;E$29,D$28,E334&lt;E$30,D$29,E334&lt;E$31,D$30,E334&lt;E$32,D$31,E334&lt;E$33,D$32,E334&lt;E$34,D$33,E334&lt;E$35,D$34,E334&gt;=E$35,D$35)</f>
        <v/>
      </c>
      <c r="E334" s="38" t="n">
        <v>284</v>
      </c>
      <c r="F334" s="31">
        <f>E334/52</f>
        <v/>
      </c>
      <c r="G334" s="39">
        <f>D334/1000000*52</f>
        <v/>
      </c>
      <c r="H334" s="33">
        <f>G334/$P$4+($C$22/$P$4)</f>
        <v/>
      </c>
      <c r="I334" s="36">
        <f>_xlfn.IFS(K334&lt;K$24,0,K334&lt;K$26,I$24,K334&lt;K$28,I$26,K334&lt;K$30,I$28,K334&lt;K$32,I$30,K334&lt;K$34,I$32,K334&lt;K$36,I$34,K334&lt;K$38,I$36,K334&lt;K$40,I$38,K334&lt;K$42,I$40,K334&lt;K$44,I$42,K334&lt;K$46,I$44,K334&gt;=K$46,I$46)</f>
        <v/>
      </c>
      <c r="J334" s="37">
        <f>_xlfn.IFS(K334&lt;K$24,0,K334&lt;K$25,J$24,K334&lt;K$26,J$25,K334&lt;K$27,J$26,K334&lt;K$28,J$27,K334&lt;K$29,J$28,K334&lt;K$30,J$29,K334&lt;K$31,J$30,K334&lt;K$32,J$31,K334&lt;K$33,J$32,K334&lt;K$34,J$33,K334&lt;K$35,J$34,K334&lt;K$36,J$35,K334&lt;K$37,J$36,K334&lt;K$38,J$37,K334&lt;K$39,J$38,K334&lt;K$40,J$39,K334&lt;K$41,J$40,K334&lt;K$42,J$41,K334&lt;K$43,J$42,K334&lt;K$44,J$43,K334&lt;K$45,J$44,K334&lt;K$46,J$45,K334&lt;K$47,J$46,K334&gt;=K$47,J$47)</f>
        <v/>
      </c>
      <c r="K334" s="38" t="n">
        <v>284</v>
      </c>
      <c r="L334" s="31">
        <f>K334/52</f>
        <v/>
      </c>
      <c r="M334" s="39">
        <f>J334/1000000*52</f>
        <v/>
      </c>
      <c r="N334" s="33">
        <f>M334/$P$4+($I$22/$P$4)</f>
        <v/>
      </c>
      <c r="U334">
        <f>F333</f>
        <v/>
      </c>
      <c r="V334">
        <f>H333</f>
        <v/>
      </c>
      <c r="W334">
        <f>N333</f>
        <v/>
      </c>
    </row>
    <row r="335" ht="15.75" customHeight="1" s="40">
      <c r="C335" s="36">
        <f>_xlfn.IFS(E335&lt;E$24,0,E335&lt;E$26,C$24,E335&lt;E$28,C$26,E335&lt;E$30,C$28,E335&lt;E$32,C$30,E335&lt;E$34,C$32,E335&gt;=E$34,C$34)</f>
        <v/>
      </c>
      <c r="D335" s="37">
        <f>_xlfn.IFS(E335&lt;E$24,0,E335&lt;E$25,D$24,E335&lt;E$26,D$25,E335&lt;E$27,D$26,E335&lt;E$28,D$27,E335&lt;E$29,D$28,E335&lt;E$30,D$29,E335&lt;E$31,D$30,E335&lt;E$32,D$31,E335&lt;E$33,D$32,E335&lt;E$34,D$33,E335&lt;E$35,D$34,E335&gt;=E$35,D$35)</f>
        <v/>
      </c>
      <c r="E335" s="38" t="n">
        <v>285</v>
      </c>
      <c r="F335" s="31">
        <f>E335/52</f>
        <v/>
      </c>
      <c r="G335" s="39">
        <f>D335/1000000*52</f>
        <v/>
      </c>
      <c r="H335" s="33">
        <f>G335/$P$4+($C$22/$P$4)</f>
        <v/>
      </c>
      <c r="I335" s="36">
        <f>_xlfn.IFS(K335&lt;K$24,0,K335&lt;K$26,I$24,K335&lt;K$28,I$26,K335&lt;K$30,I$28,K335&lt;K$32,I$30,K335&lt;K$34,I$32,K335&lt;K$36,I$34,K335&lt;K$38,I$36,K335&lt;K$40,I$38,K335&lt;K$42,I$40,K335&lt;K$44,I$42,K335&lt;K$46,I$44,K335&gt;=K$46,I$46)</f>
        <v/>
      </c>
      <c r="J335" s="37">
        <f>_xlfn.IFS(K335&lt;K$24,0,K335&lt;K$25,J$24,K335&lt;K$26,J$25,K335&lt;K$27,J$26,K335&lt;K$28,J$27,K335&lt;K$29,J$28,K335&lt;K$30,J$29,K335&lt;K$31,J$30,K335&lt;K$32,J$31,K335&lt;K$33,J$32,K335&lt;K$34,J$33,K335&lt;K$35,J$34,K335&lt;K$36,J$35,K335&lt;K$37,J$36,K335&lt;K$38,J$37,K335&lt;K$39,J$38,K335&lt;K$40,J$39,K335&lt;K$41,J$40,K335&lt;K$42,J$41,K335&lt;K$43,J$42,K335&lt;K$44,J$43,K335&lt;K$45,J$44,K335&lt;K$46,J$45,K335&lt;K$47,J$46,K335&gt;=K$47,J$47)</f>
        <v/>
      </c>
      <c r="K335" s="38" t="n">
        <v>285</v>
      </c>
      <c r="L335" s="31">
        <f>K335/52</f>
        <v/>
      </c>
      <c r="M335" s="39">
        <f>J335/1000000*52</f>
        <v/>
      </c>
      <c r="N335" s="33">
        <f>M335/$P$4+($I$22/$P$4)</f>
        <v/>
      </c>
      <c r="U335">
        <f>F334</f>
        <v/>
      </c>
      <c r="V335">
        <f>H334</f>
        <v/>
      </c>
      <c r="W335">
        <f>N334</f>
        <v/>
      </c>
    </row>
    <row r="336" ht="15.75" customHeight="1" s="40">
      <c r="C336" s="36">
        <f>_xlfn.IFS(E336&lt;E$24,0,E336&lt;E$26,C$24,E336&lt;E$28,C$26,E336&lt;E$30,C$28,E336&lt;E$32,C$30,E336&lt;E$34,C$32,E336&gt;=E$34,C$34)</f>
        <v/>
      </c>
      <c r="D336" s="37">
        <f>_xlfn.IFS(E336&lt;E$24,0,E336&lt;E$25,D$24,E336&lt;E$26,D$25,E336&lt;E$27,D$26,E336&lt;E$28,D$27,E336&lt;E$29,D$28,E336&lt;E$30,D$29,E336&lt;E$31,D$30,E336&lt;E$32,D$31,E336&lt;E$33,D$32,E336&lt;E$34,D$33,E336&lt;E$35,D$34,E336&gt;=E$35,D$35)</f>
        <v/>
      </c>
      <c r="E336" s="38" t="n">
        <v>286</v>
      </c>
      <c r="F336" s="31">
        <f>E336/52</f>
        <v/>
      </c>
      <c r="G336" s="39">
        <f>D336/1000000*52</f>
        <v/>
      </c>
      <c r="H336" s="33">
        <f>G336/$P$4+($C$22/$P$4)</f>
        <v/>
      </c>
      <c r="I336" s="36">
        <f>_xlfn.IFS(K336&lt;K$24,0,K336&lt;K$26,I$24,K336&lt;K$28,I$26,K336&lt;K$30,I$28,K336&lt;K$32,I$30,K336&lt;K$34,I$32,K336&lt;K$36,I$34,K336&lt;K$38,I$36,K336&lt;K$40,I$38,K336&lt;K$42,I$40,K336&lt;K$44,I$42,K336&lt;K$46,I$44,K336&gt;=K$46,I$46)</f>
        <v/>
      </c>
      <c r="J336" s="37">
        <f>_xlfn.IFS(K336&lt;K$24,0,K336&lt;K$25,J$24,K336&lt;K$26,J$25,K336&lt;K$27,J$26,K336&lt;K$28,J$27,K336&lt;K$29,J$28,K336&lt;K$30,J$29,K336&lt;K$31,J$30,K336&lt;K$32,J$31,K336&lt;K$33,J$32,K336&lt;K$34,J$33,K336&lt;K$35,J$34,K336&lt;K$36,J$35,K336&lt;K$37,J$36,K336&lt;K$38,J$37,K336&lt;K$39,J$38,K336&lt;K$40,J$39,K336&lt;K$41,J$40,K336&lt;K$42,J$41,K336&lt;K$43,J$42,K336&lt;K$44,J$43,K336&lt;K$45,J$44,K336&lt;K$46,J$45,K336&lt;K$47,J$46,K336&gt;=K$47,J$47)</f>
        <v/>
      </c>
      <c r="K336" s="38" t="n">
        <v>286</v>
      </c>
      <c r="L336" s="31">
        <f>K336/52</f>
        <v/>
      </c>
      <c r="M336" s="39">
        <f>J336/1000000*52</f>
        <v/>
      </c>
      <c r="N336" s="33">
        <f>M336/$P$4+($I$22/$P$4)</f>
        <v/>
      </c>
      <c r="U336">
        <f>F335</f>
        <v/>
      </c>
      <c r="V336">
        <f>H335</f>
        <v/>
      </c>
      <c r="W336">
        <f>N335</f>
        <v/>
      </c>
    </row>
    <row r="337" ht="15.75" customHeight="1" s="40">
      <c r="C337" s="36">
        <f>_xlfn.IFS(E337&lt;E$24,0,E337&lt;E$26,C$24,E337&lt;E$28,C$26,E337&lt;E$30,C$28,E337&lt;E$32,C$30,E337&lt;E$34,C$32,E337&gt;=E$34,C$34)</f>
        <v/>
      </c>
      <c r="D337" s="37">
        <f>_xlfn.IFS(E337&lt;E$24,0,E337&lt;E$25,D$24,E337&lt;E$26,D$25,E337&lt;E$27,D$26,E337&lt;E$28,D$27,E337&lt;E$29,D$28,E337&lt;E$30,D$29,E337&lt;E$31,D$30,E337&lt;E$32,D$31,E337&lt;E$33,D$32,E337&lt;E$34,D$33,E337&lt;E$35,D$34,E337&gt;=E$35,D$35)</f>
        <v/>
      </c>
      <c r="E337" s="38" t="n">
        <v>287</v>
      </c>
      <c r="F337" s="31">
        <f>E337/52</f>
        <v/>
      </c>
      <c r="G337" s="39">
        <f>D337/1000000*52</f>
        <v/>
      </c>
      <c r="H337" s="33">
        <f>G337/$P$4+($C$22/$P$4)</f>
        <v/>
      </c>
      <c r="I337" s="36">
        <f>_xlfn.IFS(K337&lt;K$24,0,K337&lt;K$26,I$24,K337&lt;K$28,I$26,K337&lt;K$30,I$28,K337&lt;K$32,I$30,K337&lt;K$34,I$32,K337&lt;K$36,I$34,K337&lt;K$38,I$36,K337&lt;K$40,I$38,K337&lt;K$42,I$40,K337&lt;K$44,I$42,K337&lt;K$46,I$44,K337&gt;=K$46,I$46)</f>
        <v/>
      </c>
      <c r="J337" s="37">
        <f>_xlfn.IFS(K337&lt;K$24,0,K337&lt;K$25,J$24,K337&lt;K$26,J$25,K337&lt;K$27,J$26,K337&lt;K$28,J$27,K337&lt;K$29,J$28,K337&lt;K$30,J$29,K337&lt;K$31,J$30,K337&lt;K$32,J$31,K337&lt;K$33,J$32,K337&lt;K$34,J$33,K337&lt;K$35,J$34,K337&lt;K$36,J$35,K337&lt;K$37,J$36,K337&lt;K$38,J$37,K337&lt;K$39,J$38,K337&lt;K$40,J$39,K337&lt;K$41,J$40,K337&lt;K$42,J$41,K337&lt;K$43,J$42,K337&lt;K$44,J$43,K337&lt;K$45,J$44,K337&lt;K$46,J$45,K337&lt;K$47,J$46,K337&gt;=K$47,J$47)</f>
        <v/>
      </c>
      <c r="K337" s="38" t="n">
        <v>287</v>
      </c>
      <c r="L337" s="31">
        <f>K337/52</f>
        <v/>
      </c>
      <c r="M337" s="39">
        <f>J337/1000000*52</f>
        <v/>
      </c>
      <c r="N337" s="33">
        <f>M337/$P$4+($I$22/$P$4)</f>
        <v/>
      </c>
      <c r="U337">
        <f>F336</f>
        <v/>
      </c>
      <c r="V337">
        <f>H336</f>
        <v/>
      </c>
      <c r="W337">
        <f>N336</f>
        <v/>
      </c>
    </row>
    <row r="338" ht="15.75" customHeight="1" s="40">
      <c r="C338" s="36">
        <f>_xlfn.IFS(E338&lt;E$24,0,E338&lt;E$26,C$24,E338&lt;E$28,C$26,E338&lt;E$30,C$28,E338&lt;E$32,C$30,E338&lt;E$34,C$32,E338&gt;=E$34,C$34)</f>
        <v/>
      </c>
      <c r="D338" s="37">
        <f>_xlfn.IFS(E338&lt;E$24,0,E338&lt;E$25,D$24,E338&lt;E$26,D$25,E338&lt;E$27,D$26,E338&lt;E$28,D$27,E338&lt;E$29,D$28,E338&lt;E$30,D$29,E338&lt;E$31,D$30,E338&lt;E$32,D$31,E338&lt;E$33,D$32,E338&lt;E$34,D$33,E338&lt;E$35,D$34,E338&gt;=E$35,D$35)</f>
        <v/>
      </c>
      <c r="E338" s="38" t="n">
        <v>288</v>
      </c>
      <c r="F338" s="31">
        <f>E338/52</f>
        <v/>
      </c>
      <c r="G338" s="39">
        <f>D338/1000000*52</f>
        <v/>
      </c>
      <c r="H338" s="33">
        <f>G338/$P$4+($C$22/$P$4)</f>
        <v/>
      </c>
      <c r="I338" s="36">
        <f>_xlfn.IFS(K338&lt;K$24,0,K338&lt;K$26,I$24,K338&lt;K$28,I$26,K338&lt;K$30,I$28,K338&lt;K$32,I$30,K338&lt;K$34,I$32,K338&lt;K$36,I$34,K338&lt;K$38,I$36,K338&lt;K$40,I$38,K338&lt;K$42,I$40,K338&lt;K$44,I$42,K338&lt;K$46,I$44,K338&gt;=K$46,I$46)</f>
        <v/>
      </c>
      <c r="J338" s="37">
        <f>_xlfn.IFS(K338&lt;K$24,0,K338&lt;K$25,J$24,K338&lt;K$26,J$25,K338&lt;K$27,J$26,K338&lt;K$28,J$27,K338&lt;K$29,J$28,K338&lt;K$30,J$29,K338&lt;K$31,J$30,K338&lt;K$32,J$31,K338&lt;K$33,J$32,K338&lt;K$34,J$33,K338&lt;K$35,J$34,K338&lt;K$36,J$35,K338&lt;K$37,J$36,K338&lt;K$38,J$37,K338&lt;K$39,J$38,K338&lt;K$40,J$39,K338&lt;K$41,J$40,K338&lt;K$42,J$41,K338&lt;K$43,J$42,K338&lt;K$44,J$43,K338&lt;K$45,J$44,K338&lt;K$46,J$45,K338&lt;K$47,J$46,K338&gt;=K$47,J$47)</f>
        <v/>
      </c>
      <c r="K338" s="38" t="n">
        <v>288</v>
      </c>
      <c r="L338" s="31">
        <f>K338/52</f>
        <v/>
      </c>
      <c r="M338" s="39">
        <f>J338/1000000*52</f>
        <v/>
      </c>
      <c r="N338" s="33">
        <f>M338/$P$4+($I$22/$P$4)</f>
        <v/>
      </c>
      <c r="U338">
        <f>F337</f>
        <v/>
      </c>
      <c r="V338">
        <f>H337</f>
        <v/>
      </c>
      <c r="W338">
        <f>N337</f>
        <v/>
      </c>
    </row>
    <row r="339" ht="15.75" customHeight="1" s="40">
      <c r="C339" s="36">
        <f>_xlfn.IFS(E339&lt;E$24,0,E339&lt;E$26,C$24,E339&lt;E$28,C$26,E339&lt;E$30,C$28,E339&lt;E$32,C$30,E339&lt;E$34,C$32,E339&gt;=E$34,C$34)</f>
        <v/>
      </c>
      <c r="D339" s="37">
        <f>_xlfn.IFS(E339&lt;E$24,0,E339&lt;E$25,D$24,E339&lt;E$26,D$25,E339&lt;E$27,D$26,E339&lt;E$28,D$27,E339&lt;E$29,D$28,E339&lt;E$30,D$29,E339&lt;E$31,D$30,E339&lt;E$32,D$31,E339&lt;E$33,D$32,E339&lt;E$34,D$33,E339&lt;E$35,D$34,E339&gt;=E$35,D$35)</f>
        <v/>
      </c>
      <c r="E339" s="38" t="n">
        <v>289</v>
      </c>
      <c r="F339" s="31">
        <f>E339/52</f>
        <v/>
      </c>
      <c r="G339" s="39">
        <f>D339/1000000*52</f>
        <v/>
      </c>
      <c r="H339" s="33">
        <f>G339/$P$4+($C$22/$P$4)</f>
        <v/>
      </c>
      <c r="I339" s="36">
        <f>_xlfn.IFS(K339&lt;K$24,0,K339&lt;K$26,I$24,K339&lt;K$28,I$26,K339&lt;K$30,I$28,K339&lt;K$32,I$30,K339&lt;K$34,I$32,K339&lt;K$36,I$34,K339&lt;K$38,I$36,K339&lt;K$40,I$38,K339&lt;K$42,I$40,K339&lt;K$44,I$42,K339&lt;K$46,I$44,K339&gt;=K$46,I$46)</f>
        <v/>
      </c>
      <c r="J339" s="37">
        <f>_xlfn.IFS(K339&lt;K$24,0,K339&lt;K$25,J$24,K339&lt;K$26,J$25,K339&lt;K$27,J$26,K339&lt;K$28,J$27,K339&lt;K$29,J$28,K339&lt;K$30,J$29,K339&lt;K$31,J$30,K339&lt;K$32,J$31,K339&lt;K$33,J$32,K339&lt;K$34,J$33,K339&lt;K$35,J$34,K339&lt;K$36,J$35,K339&lt;K$37,J$36,K339&lt;K$38,J$37,K339&lt;K$39,J$38,K339&lt;K$40,J$39,K339&lt;K$41,J$40,K339&lt;K$42,J$41,K339&lt;K$43,J$42,K339&lt;K$44,J$43,K339&lt;K$45,J$44,K339&lt;K$46,J$45,K339&lt;K$47,J$46,K339&gt;=K$47,J$47)</f>
        <v/>
      </c>
      <c r="K339" s="38" t="n">
        <v>289</v>
      </c>
      <c r="L339" s="31">
        <f>K339/52</f>
        <v/>
      </c>
      <c r="M339" s="39">
        <f>J339/1000000*52</f>
        <v/>
      </c>
      <c r="N339" s="33">
        <f>M339/$P$4+($I$22/$P$4)</f>
        <v/>
      </c>
      <c r="U339">
        <f>F338</f>
        <v/>
      </c>
      <c r="V339">
        <f>H338</f>
        <v/>
      </c>
      <c r="W339">
        <f>N338</f>
        <v/>
      </c>
    </row>
    <row r="340" ht="15.75" customHeight="1" s="40">
      <c r="C340" s="36">
        <f>_xlfn.IFS(E340&lt;E$24,0,E340&lt;E$26,C$24,E340&lt;E$28,C$26,E340&lt;E$30,C$28,E340&lt;E$32,C$30,E340&lt;E$34,C$32,E340&gt;=E$34,C$34)</f>
        <v/>
      </c>
      <c r="D340" s="37">
        <f>_xlfn.IFS(E340&lt;E$24,0,E340&lt;E$25,D$24,E340&lt;E$26,D$25,E340&lt;E$27,D$26,E340&lt;E$28,D$27,E340&lt;E$29,D$28,E340&lt;E$30,D$29,E340&lt;E$31,D$30,E340&lt;E$32,D$31,E340&lt;E$33,D$32,E340&lt;E$34,D$33,E340&lt;E$35,D$34,E340&gt;=E$35,D$35)</f>
        <v/>
      </c>
      <c r="E340" s="38" t="n">
        <v>290</v>
      </c>
      <c r="F340" s="31">
        <f>E340/52</f>
        <v/>
      </c>
      <c r="G340" s="39">
        <f>D340/1000000*52</f>
        <v/>
      </c>
      <c r="H340" s="33">
        <f>G340/$P$4+($C$22/$P$4)</f>
        <v/>
      </c>
      <c r="I340" s="36">
        <f>_xlfn.IFS(K340&lt;K$24,0,K340&lt;K$26,I$24,K340&lt;K$28,I$26,K340&lt;K$30,I$28,K340&lt;K$32,I$30,K340&lt;K$34,I$32,K340&lt;K$36,I$34,K340&lt;K$38,I$36,K340&lt;K$40,I$38,K340&lt;K$42,I$40,K340&lt;K$44,I$42,K340&lt;K$46,I$44,K340&gt;=K$46,I$46)</f>
        <v/>
      </c>
      <c r="J340" s="37">
        <f>_xlfn.IFS(K340&lt;K$24,0,K340&lt;K$25,J$24,K340&lt;K$26,J$25,K340&lt;K$27,J$26,K340&lt;K$28,J$27,K340&lt;K$29,J$28,K340&lt;K$30,J$29,K340&lt;K$31,J$30,K340&lt;K$32,J$31,K340&lt;K$33,J$32,K340&lt;K$34,J$33,K340&lt;K$35,J$34,K340&lt;K$36,J$35,K340&lt;K$37,J$36,K340&lt;K$38,J$37,K340&lt;K$39,J$38,K340&lt;K$40,J$39,K340&lt;K$41,J$40,K340&lt;K$42,J$41,K340&lt;K$43,J$42,K340&lt;K$44,J$43,K340&lt;K$45,J$44,K340&lt;K$46,J$45,K340&lt;K$47,J$46,K340&gt;=K$47,J$47)</f>
        <v/>
      </c>
      <c r="K340" s="38" t="n">
        <v>290</v>
      </c>
      <c r="L340" s="31">
        <f>K340/52</f>
        <v/>
      </c>
      <c r="M340" s="39">
        <f>J340/1000000*52</f>
        <v/>
      </c>
      <c r="N340" s="33">
        <f>M340/$P$4+($I$22/$P$4)</f>
        <v/>
      </c>
      <c r="U340">
        <f>F339</f>
        <v/>
      </c>
      <c r="V340">
        <f>H339</f>
        <v/>
      </c>
      <c r="W340">
        <f>N339</f>
        <v/>
      </c>
    </row>
    <row r="341" ht="15.75" customHeight="1" s="40">
      <c r="C341" s="36">
        <f>_xlfn.IFS(E341&lt;E$24,0,E341&lt;E$26,C$24,E341&lt;E$28,C$26,E341&lt;E$30,C$28,E341&lt;E$32,C$30,E341&lt;E$34,C$32,E341&gt;=E$34,C$34)</f>
        <v/>
      </c>
      <c r="D341" s="37">
        <f>_xlfn.IFS(E341&lt;E$24,0,E341&lt;E$25,D$24,E341&lt;E$26,D$25,E341&lt;E$27,D$26,E341&lt;E$28,D$27,E341&lt;E$29,D$28,E341&lt;E$30,D$29,E341&lt;E$31,D$30,E341&lt;E$32,D$31,E341&lt;E$33,D$32,E341&lt;E$34,D$33,E341&lt;E$35,D$34,E341&gt;=E$35,D$35)</f>
        <v/>
      </c>
      <c r="E341" s="38" t="n">
        <v>291</v>
      </c>
      <c r="F341" s="31">
        <f>E341/52</f>
        <v/>
      </c>
      <c r="G341" s="39">
        <f>D341/1000000*52</f>
        <v/>
      </c>
      <c r="H341" s="33">
        <f>G341/$P$4+($C$22/$P$4)</f>
        <v/>
      </c>
      <c r="I341" s="36">
        <f>_xlfn.IFS(K341&lt;K$24,0,K341&lt;K$26,I$24,K341&lt;K$28,I$26,K341&lt;K$30,I$28,K341&lt;K$32,I$30,K341&lt;K$34,I$32,K341&lt;K$36,I$34,K341&lt;K$38,I$36,K341&lt;K$40,I$38,K341&lt;K$42,I$40,K341&lt;K$44,I$42,K341&lt;K$46,I$44,K341&gt;=K$46,I$46)</f>
        <v/>
      </c>
      <c r="J341" s="37">
        <f>_xlfn.IFS(K341&lt;K$24,0,K341&lt;K$25,J$24,K341&lt;K$26,J$25,K341&lt;K$27,J$26,K341&lt;K$28,J$27,K341&lt;K$29,J$28,K341&lt;K$30,J$29,K341&lt;K$31,J$30,K341&lt;K$32,J$31,K341&lt;K$33,J$32,K341&lt;K$34,J$33,K341&lt;K$35,J$34,K341&lt;K$36,J$35,K341&lt;K$37,J$36,K341&lt;K$38,J$37,K341&lt;K$39,J$38,K341&lt;K$40,J$39,K341&lt;K$41,J$40,K341&lt;K$42,J$41,K341&lt;K$43,J$42,K341&lt;K$44,J$43,K341&lt;K$45,J$44,K341&lt;K$46,J$45,K341&lt;K$47,J$46,K341&gt;=K$47,J$47)</f>
        <v/>
      </c>
      <c r="K341" s="38" t="n">
        <v>291</v>
      </c>
      <c r="L341" s="31">
        <f>K341/52</f>
        <v/>
      </c>
      <c r="M341" s="39">
        <f>J341/1000000*52</f>
        <v/>
      </c>
      <c r="N341" s="33">
        <f>M341/$P$4+($I$22/$P$4)</f>
        <v/>
      </c>
      <c r="U341">
        <f>F340</f>
        <v/>
      </c>
      <c r="V341">
        <f>H340</f>
        <v/>
      </c>
      <c r="W341">
        <f>N340</f>
        <v/>
      </c>
    </row>
    <row r="342" ht="15.75" customHeight="1" s="40">
      <c r="C342" s="36">
        <f>_xlfn.IFS(E342&lt;E$24,0,E342&lt;E$26,C$24,E342&lt;E$28,C$26,E342&lt;E$30,C$28,E342&lt;E$32,C$30,E342&lt;E$34,C$32,E342&gt;=E$34,C$34)</f>
        <v/>
      </c>
      <c r="D342" s="37">
        <f>_xlfn.IFS(E342&lt;E$24,0,E342&lt;E$25,D$24,E342&lt;E$26,D$25,E342&lt;E$27,D$26,E342&lt;E$28,D$27,E342&lt;E$29,D$28,E342&lt;E$30,D$29,E342&lt;E$31,D$30,E342&lt;E$32,D$31,E342&lt;E$33,D$32,E342&lt;E$34,D$33,E342&lt;E$35,D$34,E342&gt;=E$35,D$35)</f>
        <v/>
      </c>
      <c r="E342" s="38" t="n">
        <v>292</v>
      </c>
      <c r="F342" s="31">
        <f>E342/52</f>
        <v/>
      </c>
      <c r="G342" s="39">
        <f>D342/1000000*52</f>
        <v/>
      </c>
      <c r="H342" s="33">
        <f>G342/$P$4+($C$22/$P$4)</f>
        <v/>
      </c>
      <c r="I342" s="36">
        <f>_xlfn.IFS(K342&lt;K$24,0,K342&lt;K$26,I$24,K342&lt;K$28,I$26,K342&lt;K$30,I$28,K342&lt;K$32,I$30,K342&lt;K$34,I$32,K342&lt;K$36,I$34,K342&lt;K$38,I$36,K342&lt;K$40,I$38,K342&lt;K$42,I$40,K342&lt;K$44,I$42,K342&lt;K$46,I$44,K342&gt;=K$46,I$46)</f>
        <v/>
      </c>
      <c r="J342" s="37">
        <f>_xlfn.IFS(K342&lt;K$24,0,K342&lt;K$25,J$24,K342&lt;K$26,J$25,K342&lt;K$27,J$26,K342&lt;K$28,J$27,K342&lt;K$29,J$28,K342&lt;K$30,J$29,K342&lt;K$31,J$30,K342&lt;K$32,J$31,K342&lt;K$33,J$32,K342&lt;K$34,J$33,K342&lt;K$35,J$34,K342&lt;K$36,J$35,K342&lt;K$37,J$36,K342&lt;K$38,J$37,K342&lt;K$39,J$38,K342&lt;K$40,J$39,K342&lt;K$41,J$40,K342&lt;K$42,J$41,K342&lt;K$43,J$42,K342&lt;K$44,J$43,K342&lt;K$45,J$44,K342&lt;K$46,J$45,K342&lt;K$47,J$46,K342&gt;=K$47,J$47)</f>
        <v/>
      </c>
      <c r="K342" s="38" t="n">
        <v>292</v>
      </c>
      <c r="L342" s="31">
        <f>K342/52</f>
        <v/>
      </c>
      <c r="M342" s="39">
        <f>J342/1000000*52</f>
        <v/>
      </c>
      <c r="N342" s="33">
        <f>M342/$P$4+($I$22/$P$4)</f>
        <v/>
      </c>
      <c r="U342">
        <f>F341</f>
        <v/>
      </c>
      <c r="V342">
        <f>H341</f>
        <v/>
      </c>
      <c r="W342">
        <f>N341</f>
        <v/>
      </c>
    </row>
    <row r="343" ht="15.75" customHeight="1" s="40">
      <c r="C343" s="36">
        <f>_xlfn.IFS(E343&lt;E$24,0,E343&lt;E$26,C$24,E343&lt;E$28,C$26,E343&lt;E$30,C$28,E343&lt;E$32,C$30,E343&lt;E$34,C$32,E343&gt;=E$34,C$34)</f>
        <v/>
      </c>
      <c r="D343" s="37">
        <f>_xlfn.IFS(E343&lt;E$24,0,E343&lt;E$25,D$24,E343&lt;E$26,D$25,E343&lt;E$27,D$26,E343&lt;E$28,D$27,E343&lt;E$29,D$28,E343&lt;E$30,D$29,E343&lt;E$31,D$30,E343&lt;E$32,D$31,E343&lt;E$33,D$32,E343&lt;E$34,D$33,E343&lt;E$35,D$34,E343&gt;=E$35,D$35)</f>
        <v/>
      </c>
      <c r="E343" s="38" t="n">
        <v>293</v>
      </c>
      <c r="F343" s="31">
        <f>E343/52</f>
        <v/>
      </c>
      <c r="G343" s="39">
        <f>D343/1000000*52</f>
        <v/>
      </c>
      <c r="H343" s="33">
        <f>G343/$P$4+($C$22/$P$4)</f>
        <v/>
      </c>
      <c r="I343" s="36">
        <f>_xlfn.IFS(K343&lt;K$24,0,K343&lt;K$26,I$24,K343&lt;K$28,I$26,K343&lt;K$30,I$28,K343&lt;K$32,I$30,K343&lt;K$34,I$32,K343&lt;K$36,I$34,K343&lt;K$38,I$36,K343&lt;K$40,I$38,K343&lt;K$42,I$40,K343&lt;K$44,I$42,K343&lt;K$46,I$44,K343&gt;=K$46,I$46)</f>
        <v/>
      </c>
      <c r="J343" s="37">
        <f>_xlfn.IFS(K343&lt;K$24,0,K343&lt;K$25,J$24,K343&lt;K$26,J$25,K343&lt;K$27,J$26,K343&lt;K$28,J$27,K343&lt;K$29,J$28,K343&lt;K$30,J$29,K343&lt;K$31,J$30,K343&lt;K$32,J$31,K343&lt;K$33,J$32,K343&lt;K$34,J$33,K343&lt;K$35,J$34,K343&lt;K$36,J$35,K343&lt;K$37,J$36,K343&lt;K$38,J$37,K343&lt;K$39,J$38,K343&lt;K$40,J$39,K343&lt;K$41,J$40,K343&lt;K$42,J$41,K343&lt;K$43,J$42,K343&lt;K$44,J$43,K343&lt;K$45,J$44,K343&lt;K$46,J$45,K343&lt;K$47,J$46,K343&gt;=K$47,J$47)</f>
        <v/>
      </c>
      <c r="K343" s="38" t="n">
        <v>293</v>
      </c>
      <c r="L343" s="31">
        <f>K343/52</f>
        <v/>
      </c>
      <c r="M343" s="39">
        <f>J343/1000000*52</f>
        <v/>
      </c>
      <c r="N343" s="33">
        <f>M343/$P$4+($I$22/$P$4)</f>
        <v/>
      </c>
      <c r="U343">
        <f>F342</f>
        <v/>
      </c>
      <c r="V343">
        <f>H342</f>
        <v/>
      </c>
      <c r="W343">
        <f>N342</f>
        <v/>
      </c>
    </row>
    <row r="344" ht="15.75" customHeight="1" s="40">
      <c r="C344" s="36">
        <f>_xlfn.IFS(E344&lt;E$24,0,E344&lt;E$26,C$24,E344&lt;E$28,C$26,E344&lt;E$30,C$28,E344&lt;E$32,C$30,E344&lt;E$34,C$32,E344&gt;=E$34,C$34)</f>
        <v/>
      </c>
      <c r="D344" s="37">
        <f>_xlfn.IFS(E344&lt;E$24,0,E344&lt;E$25,D$24,E344&lt;E$26,D$25,E344&lt;E$27,D$26,E344&lt;E$28,D$27,E344&lt;E$29,D$28,E344&lt;E$30,D$29,E344&lt;E$31,D$30,E344&lt;E$32,D$31,E344&lt;E$33,D$32,E344&lt;E$34,D$33,E344&lt;E$35,D$34,E344&gt;=E$35,D$35)</f>
        <v/>
      </c>
      <c r="E344" s="38" t="n">
        <v>294</v>
      </c>
      <c r="F344" s="31">
        <f>E344/52</f>
        <v/>
      </c>
      <c r="G344" s="39">
        <f>D344/1000000*52</f>
        <v/>
      </c>
      <c r="H344" s="33">
        <f>G344/$P$4+($C$22/$P$4)</f>
        <v/>
      </c>
      <c r="I344" s="36">
        <f>_xlfn.IFS(K344&lt;K$24,0,K344&lt;K$26,I$24,K344&lt;K$28,I$26,K344&lt;K$30,I$28,K344&lt;K$32,I$30,K344&lt;K$34,I$32,K344&lt;K$36,I$34,K344&lt;K$38,I$36,K344&lt;K$40,I$38,K344&lt;K$42,I$40,K344&lt;K$44,I$42,K344&lt;K$46,I$44,K344&gt;=K$46,I$46)</f>
        <v/>
      </c>
      <c r="J344" s="37">
        <f>_xlfn.IFS(K344&lt;K$24,0,K344&lt;K$25,J$24,K344&lt;K$26,J$25,K344&lt;K$27,J$26,K344&lt;K$28,J$27,K344&lt;K$29,J$28,K344&lt;K$30,J$29,K344&lt;K$31,J$30,K344&lt;K$32,J$31,K344&lt;K$33,J$32,K344&lt;K$34,J$33,K344&lt;K$35,J$34,K344&lt;K$36,J$35,K344&lt;K$37,J$36,K344&lt;K$38,J$37,K344&lt;K$39,J$38,K344&lt;K$40,J$39,K344&lt;K$41,J$40,K344&lt;K$42,J$41,K344&lt;K$43,J$42,K344&lt;K$44,J$43,K344&lt;K$45,J$44,K344&lt;K$46,J$45,K344&lt;K$47,J$46,K344&gt;=K$47,J$47)</f>
        <v/>
      </c>
      <c r="K344" s="38" t="n">
        <v>294</v>
      </c>
      <c r="L344" s="31">
        <f>K344/52</f>
        <v/>
      </c>
      <c r="M344" s="39">
        <f>J344/1000000*52</f>
        <v/>
      </c>
      <c r="N344" s="33">
        <f>M344/$P$4+($I$22/$P$4)</f>
        <v/>
      </c>
      <c r="U344">
        <f>F343</f>
        <v/>
      </c>
      <c r="V344">
        <f>H343</f>
        <v/>
      </c>
      <c r="W344">
        <f>N343</f>
        <v/>
      </c>
    </row>
    <row r="345" ht="15.75" customHeight="1" s="40">
      <c r="C345" s="36">
        <f>_xlfn.IFS(E345&lt;E$24,0,E345&lt;E$26,C$24,E345&lt;E$28,C$26,E345&lt;E$30,C$28,E345&lt;E$32,C$30,E345&lt;E$34,C$32,E345&gt;=E$34,C$34)</f>
        <v/>
      </c>
      <c r="D345" s="37">
        <f>_xlfn.IFS(E345&lt;E$24,0,E345&lt;E$25,D$24,E345&lt;E$26,D$25,E345&lt;E$27,D$26,E345&lt;E$28,D$27,E345&lt;E$29,D$28,E345&lt;E$30,D$29,E345&lt;E$31,D$30,E345&lt;E$32,D$31,E345&lt;E$33,D$32,E345&lt;E$34,D$33,E345&lt;E$35,D$34,E345&gt;=E$35,D$35)</f>
        <v/>
      </c>
      <c r="E345" s="38" t="n">
        <v>295</v>
      </c>
      <c r="F345" s="31">
        <f>E345/52</f>
        <v/>
      </c>
      <c r="G345" s="39">
        <f>D345/1000000*52</f>
        <v/>
      </c>
      <c r="H345" s="33">
        <f>G345/$P$4+($C$22/$P$4)</f>
        <v/>
      </c>
      <c r="I345" s="36">
        <f>_xlfn.IFS(K345&lt;K$24,0,K345&lt;K$26,I$24,K345&lt;K$28,I$26,K345&lt;K$30,I$28,K345&lt;K$32,I$30,K345&lt;K$34,I$32,K345&lt;K$36,I$34,K345&lt;K$38,I$36,K345&lt;K$40,I$38,K345&lt;K$42,I$40,K345&lt;K$44,I$42,K345&lt;K$46,I$44,K345&gt;=K$46,I$46)</f>
        <v/>
      </c>
      <c r="J345" s="37">
        <f>_xlfn.IFS(K345&lt;K$24,0,K345&lt;K$25,J$24,K345&lt;K$26,J$25,K345&lt;K$27,J$26,K345&lt;K$28,J$27,K345&lt;K$29,J$28,K345&lt;K$30,J$29,K345&lt;K$31,J$30,K345&lt;K$32,J$31,K345&lt;K$33,J$32,K345&lt;K$34,J$33,K345&lt;K$35,J$34,K345&lt;K$36,J$35,K345&lt;K$37,J$36,K345&lt;K$38,J$37,K345&lt;K$39,J$38,K345&lt;K$40,J$39,K345&lt;K$41,J$40,K345&lt;K$42,J$41,K345&lt;K$43,J$42,K345&lt;K$44,J$43,K345&lt;K$45,J$44,K345&lt;K$46,J$45,K345&lt;K$47,J$46,K345&gt;=K$47,J$47)</f>
        <v/>
      </c>
      <c r="K345" s="38" t="n">
        <v>295</v>
      </c>
      <c r="L345" s="31">
        <f>K345/52</f>
        <v/>
      </c>
      <c r="M345" s="39">
        <f>J345/1000000*52</f>
        <v/>
      </c>
      <c r="N345" s="33">
        <f>M345/$P$4+($I$22/$P$4)</f>
        <v/>
      </c>
      <c r="U345">
        <f>F344</f>
        <v/>
      </c>
      <c r="V345">
        <f>H344</f>
        <v/>
      </c>
      <c r="W345">
        <f>N344</f>
        <v/>
      </c>
    </row>
    <row r="346" ht="15.75" customHeight="1" s="40">
      <c r="C346" s="36">
        <f>_xlfn.IFS(E346&lt;E$24,0,E346&lt;E$26,C$24,E346&lt;E$28,C$26,E346&lt;E$30,C$28,E346&lt;E$32,C$30,E346&lt;E$34,C$32,E346&gt;=E$34,C$34)</f>
        <v/>
      </c>
      <c r="D346" s="37">
        <f>_xlfn.IFS(E346&lt;E$24,0,E346&lt;E$25,D$24,E346&lt;E$26,D$25,E346&lt;E$27,D$26,E346&lt;E$28,D$27,E346&lt;E$29,D$28,E346&lt;E$30,D$29,E346&lt;E$31,D$30,E346&lt;E$32,D$31,E346&lt;E$33,D$32,E346&lt;E$34,D$33,E346&lt;E$35,D$34,E346&gt;=E$35,D$35)</f>
        <v/>
      </c>
      <c r="E346" s="38" t="n">
        <v>296</v>
      </c>
      <c r="F346" s="31">
        <f>E346/52</f>
        <v/>
      </c>
      <c r="G346" s="39">
        <f>D346/1000000*52</f>
        <v/>
      </c>
      <c r="H346" s="33">
        <f>G346/$P$4+($C$22/$P$4)</f>
        <v/>
      </c>
      <c r="I346" s="36">
        <f>_xlfn.IFS(K346&lt;K$24,0,K346&lt;K$26,I$24,K346&lt;K$28,I$26,K346&lt;K$30,I$28,K346&lt;K$32,I$30,K346&lt;K$34,I$32,K346&lt;K$36,I$34,K346&lt;K$38,I$36,K346&lt;K$40,I$38,K346&lt;K$42,I$40,K346&lt;K$44,I$42,K346&lt;K$46,I$44,K346&gt;=K$46,I$46)</f>
        <v/>
      </c>
      <c r="J346" s="37">
        <f>_xlfn.IFS(K346&lt;K$24,0,K346&lt;K$25,J$24,K346&lt;K$26,J$25,K346&lt;K$27,J$26,K346&lt;K$28,J$27,K346&lt;K$29,J$28,K346&lt;K$30,J$29,K346&lt;K$31,J$30,K346&lt;K$32,J$31,K346&lt;K$33,J$32,K346&lt;K$34,J$33,K346&lt;K$35,J$34,K346&lt;K$36,J$35,K346&lt;K$37,J$36,K346&lt;K$38,J$37,K346&lt;K$39,J$38,K346&lt;K$40,J$39,K346&lt;K$41,J$40,K346&lt;K$42,J$41,K346&lt;K$43,J$42,K346&lt;K$44,J$43,K346&lt;K$45,J$44,K346&lt;K$46,J$45,K346&lt;K$47,J$46,K346&gt;=K$47,J$47)</f>
        <v/>
      </c>
      <c r="K346" s="38" t="n">
        <v>296</v>
      </c>
      <c r="L346" s="31">
        <f>K346/52</f>
        <v/>
      </c>
      <c r="M346" s="39">
        <f>J346/1000000*52</f>
        <v/>
      </c>
      <c r="N346" s="33">
        <f>M346/$P$4+($I$22/$P$4)</f>
        <v/>
      </c>
      <c r="U346">
        <f>F345</f>
        <v/>
      </c>
      <c r="V346">
        <f>H345</f>
        <v/>
      </c>
      <c r="W346">
        <f>N345</f>
        <v/>
      </c>
    </row>
    <row r="347" ht="15.75" customHeight="1" s="40">
      <c r="C347" s="36">
        <f>_xlfn.IFS(E347&lt;E$24,0,E347&lt;E$26,C$24,E347&lt;E$28,C$26,E347&lt;E$30,C$28,E347&lt;E$32,C$30,E347&lt;E$34,C$32,E347&gt;=E$34,C$34)</f>
        <v/>
      </c>
      <c r="D347" s="37">
        <f>_xlfn.IFS(E347&lt;E$24,0,E347&lt;E$25,D$24,E347&lt;E$26,D$25,E347&lt;E$27,D$26,E347&lt;E$28,D$27,E347&lt;E$29,D$28,E347&lt;E$30,D$29,E347&lt;E$31,D$30,E347&lt;E$32,D$31,E347&lt;E$33,D$32,E347&lt;E$34,D$33,E347&lt;E$35,D$34,E347&gt;=E$35,D$35)</f>
        <v/>
      </c>
      <c r="E347" s="38" t="n">
        <v>297</v>
      </c>
      <c r="F347" s="31">
        <f>E347/52</f>
        <v/>
      </c>
      <c r="G347" s="39">
        <f>D347/1000000*52</f>
        <v/>
      </c>
      <c r="H347" s="33">
        <f>G347/$P$4+($C$22/$P$4)</f>
        <v/>
      </c>
      <c r="I347" s="36">
        <f>_xlfn.IFS(K347&lt;K$24,0,K347&lt;K$26,I$24,K347&lt;K$28,I$26,K347&lt;K$30,I$28,K347&lt;K$32,I$30,K347&lt;K$34,I$32,K347&lt;K$36,I$34,K347&lt;K$38,I$36,K347&lt;K$40,I$38,K347&lt;K$42,I$40,K347&lt;K$44,I$42,K347&lt;K$46,I$44,K347&gt;=K$46,I$46)</f>
        <v/>
      </c>
      <c r="J347" s="37">
        <f>_xlfn.IFS(K347&lt;K$24,0,K347&lt;K$25,J$24,K347&lt;K$26,J$25,K347&lt;K$27,J$26,K347&lt;K$28,J$27,K347&lt;K$29,J$28,K347&lt;K$30,J$29,K347&lt;K$31,J$30,K347&lt;K$32,J$31,K347&lt;K$33,J$32,K347&lt;K$34,J$33,K347&lt;K$35,J$34,K347&lt;K$36,J$35,K347&lt;K$37,J$36,K347&lt;K$38,J$37,K347&lt;K$39,J$38,K347&lt;K$40,J$39,K347&lt;K$41,J$40,K347&lt;K$42,J$41,K347&lt;K$43,J$42,K347&lt;K$44,J$43,K347&lt;K$45,J$44,K347&lt;K$46,J$45,K347&lt;K$47,J$46,K347&gt;=K$47,J$47)</f>
        <v/>
      </c>
      <c r="K347" s="38" t="n">
        <v>297</v>
      </c>
      <c r="L347" s="31">
        <f>K347/52</f>
        <v/>
      </c>
      <c r="M347" s="39">
        <f>J347/1000000*52</f>
        <v/>
      </c>
      <c r="N347" s="33">
        <f>M347/$P$4+($I$22/$P$4)</f>
        <v/>
      </c>
      <c r="U347">
        <f>F346</f>
        <v/>
      </c>
      <c r="V347">
        <f>H346</f>
        <v/>
      </c>
      <c r="W347">
        <f>N346</f>
        <v/>
      </c>
    </row>
    <row r="348" ht="15.75" customHeight="1" s="40">
      <c r="C348" s="36">
        <f>_xlfn.IFS(E348&lt;E$24,0,E348&lt;E$26,C$24,E348&lt;E$28,C$26,E348&lt;E$30,C$28,E348&lt;E$32,C$30,E348&lt;E$34,C$32,E348&gt;=E$34,C$34)</f>
        <v/>
      </c>
      <c r="D348" s="37">
        <f>_xlfn.IFS(E348&lt;E$24,0,E348&lt;E$25,D$24,E348&lt;E$26,D$25,E348&lt;E$27,D$26,E348&lt;E$28,D$27,E348&lt;E$29,D$28,E348&lt;E$30,D$29,E348&lt;E$31,D$30,E348&lt;E$32,D$31,E348&lt;E$33,D$32,E348&lt;E$34,D$33,E348&lt;E$35,D$34,E348&gt;=E$35,D$35)</f>
        <v/>
      </c>
      <c r="E348" s="38" t="n">
        <v>298</v>
      </c>
      <c r="F348" s="31">
        <f>E348/52</f>
        <v/>
      </c>
      <c r="G348" s="39">
        <f>D348/1000000*52</f>
        <v/>
      </c>
      <c r="H348" s="33">
        <f>G348/$P$4+($C$22/$P$4)</f>
        <v/>
      </c>
      <c r="I348" s="36">
        <f>_xlfn.IFS(K348&lt;K$24,0,K348&lt;K$26,I$24,K348&lt;K$28,I$26,K348&lt;K$30,I$28,K348&lt;K$32,I$30,K348&lt;K$34,I$32,K348&lt;K$36,I$34,K348&lt;K$38,I$36,K348&lt;K$40,I$38,K348&lt;K$42,I$40,K348&lt;K$44,I$42,K348&lt;K$46,I$44,K348&gt;=K$46,I$46)</f>
        <v/>
      </c>
      <c r="J348" s="37">
        <f>_xlfn.IFS(K348&lt;K$24,0,K348&lt;K$25,J$24,K348&lt;K$26,J$25,K348&lt;K$27,J$26,K348&lt;K$28,J$27,K348&lt;K$29,J$28,K348&lt;K$30,J$29,K348&lt;K$31,J$30,K348&lt;K$32,J$31,K348&lt;K$33,J$32,K348&lt;K$34,J$33,K348&lt;K$35,J$34,K348&lt;K$36,J$35,K348&lt;K$37,J$36,K348&lt;K$38,J$37,K348&lt;K$39,J$38,K348&lt;K$40,J$39,K348&lt;K$41,J$40,K348&lt;K$42,J$41,K348&lt;K$43,J$42,K348&lt;K$44,J$43,K348&lt;K$45,J$44,K348&lt;K$46,J$45,K348&lt;K$47,J$46,K348&gt;=K$47,J$47)</f>
        <v/>
      </c>
      <c r="K348" s="38" t="n">
        <v>298</v>
      </c>
      <c r="L348" s="31">
        <f>K348/52</f>
        <v/>
      </c>
      <c r="M348" s="39">
        <f>J348/1000000*52</f>
        <v/>
      </c>
      <c r="N348" s="33">
        <f>M348/$P$4+($I$22/$P$4)</f>
        <v/>
      </c>
      <c r="U348">
        <f>F347</f>
        <v/>
      </c>
      <c r="V348">
        <f>H347</f>
        <v/>
      </c>
      <c r="W348">
        <f>N347</f>
        <v/>
      </c>
    </row>
    <row r="349" ht="15.75" customHeight="1" s="40">
      <c r="C349" s="36">
        <f>_xlfn.IFS(E349&lt;E$24,0,E349&lt;E$26,C$24,E349&lt;E$28,C$26,E349&lt;E$30,C$28,E349&lt;E$32,C$30,E349&lt;E$34,C$32,E349&gt;=E$34,C$34)</f>
        <v/>
      </c>
      <c r="D349" s="37">
        <f>_xlfn.IFS(E349&lt;E$24,0,E349&lt;E$25,D$24,E349&lt;E$26,D$25,E349&lt;E$27,D$26,E349&lt;E$28,D$27,E349&lt;E$29,D$28,E349&lt;E$30,D$29,E349&lt;E$31,D$30,E349&lt;E$32,D$31,E349&lt;E$33,D$32,E349&lt;E$34,D$33,E349&lt;E$35,D$34,E349&gt;=E$35,D$35)</f>
        <v/>
      </c>
      <c r="E349" s="38" t="n">
        <v>299</v>
      </c>
      <c r="F349" s="31">
        <f>E349/52</f>
        <v/>
      </c>
      <c r="G349" s="39">
        <f>D349/1000000*52</f>
        <v/>
      </c>
      <c r="H349" s="33">
        <f>G349/$P$4+($C$22/$P$4)</f>
        <v/>
      </c>
      <c r="I349" s="36">
        <f>_xlfn.IFS(K349&lt;K$24,0,K349&lt;K$26,I$24,K349&lt;K$28,I$26,K349&lt;K$30,I$28,K349&lt;K$32,I$30,K349&lt;K$34,I$32,K349&lt;K$36,I$34,K349&lt;K$38,I$36,K349&lt;K$40,I$38,K349&lt;K$42,I$40,K349&lt;K$44,I$42,K349&lt;K$46,I$44,K349&gt;=K$46,I$46)</f>
        <v/>
      </c>
      <c r="J349" s="37">
        <f>_xlfn.IFS(K349&lt;K$24,0,K349&lt;K$25,J$24,K349&lt;K$26,J$25,K349&lt;K$27,J$26,K349&lt;K$28,J$27,K349&lt;K$29,J$28,K349&lt;K$30,J$29,K349&lt;K$31,J$30,K349&lt;K$32,J$31,K349&lt;K$33,J$32,K349&lt;K$34,J$33,K349&lt;K$35,J$34,K349&lt;K$36,J$35,K349&lt;K$37,J$36,K349&lt;K$38,J$37,K349&lt;K$39,J$38,K349&lt;K$40,J$39,K349&lt;K$41,J$40,K349&lt;K$42,J$41,K349&lt;K$43,J$42,K349&lt;K$44,J$43,K349&lt;K$45,J$44,K349&lt;K$46,J$45,K349&lt;K$47,J$46,K349&gt;=K$47,J$47)</f>
        <v/>
      </c>
      <c r="K349" s="38" t="n">
        <v>299</v>
      </c>
      <c r="L349" s="31">
        <f>K349/52</f>
        <v/>
      </c>
      <c r="M349" s="39">
        <f>J349/1000000*52</f>
        <v/>
      </c>
      <c r="N349" s="33">
        <f>M349/$P$4+($I$22/$P$4)</f>
        <v/>
      </c>
      <c r="U349">
        <f>F348</f>
        <v/>
      </c>
      <c r="V349">
        <f>H348</f>
        <v/>
      </c>
      <c r="W349">
        <f>N348</f>
        <v/>
      </c>
    </row>
    <row r="350" ht="15.75" customHeight="1" s="40">
      <c r="C350" s="36">
        <f>_xlfn.IFS(E350&lt;E$24,0,E350&lt;E$26,C$24,E350&lt;E$28,C$26,E350&lt;E$30,C$28,E350&lt;E$32,C$30,E350&lt;E$34,C$32,E350&gt;=E$34,C$34)</f>
        <v/>
      </c>
      <c r="D350" s="37">
        <f>_xlfn.IFS(E350&lt;E$24,0,E350&lt;E$25,D$24,E350&lt;E$26,D$25,E350&lt;E$27,D$26,E350&lt;E$28,D$27,E350&lt;E$29,D$28,E350&lt;E$30,D$29,E350&lt;E$31,D$30,E350&lt;E$32,D$31,E350&lt;E$33,D$32,E350&lt;E$34,D$33,E350&lt;E$35,D$34,E350&gt;=E$35,D$35)</f>
        <v/>
      </c>
      <c r="E350" s="38" t="n">
        <v>300</v>
      </c>
      <c r="F350" s="31">
        <f>E350/52</f>
        <v/>
      </c>
      <c r="G350" s="39">
        <f>D350/1000000*52</f>
        <v/>
      </c>
      <c r="H350" s="33">
        <f>G350/$P$4+($C$22/$P$4)</f>
        <v/>
      </c>
      <c r="I350" s="36">
        <f>_xlfn.IFS(K350&lt;K$24,0,K350&lt;K$26,I$24,K350&lt;K$28,I$26,K350&lt;K$30,I$28,K350&lt;K$32,I$30,K350&lt;K$34,I$32,K350&lt;K$36,I$34,K350&lt;K$38,I$36,K350&lt;K$40,I$38,K350&lt;K$42,I$40,K350&lt;K$44,I$42,K350&lt;K$46,I$44,K350&gt;=K$46,I$46)</f>
        <v/>
      </c>
      <c r="J350" s="37">
        <f>_xlfn.IFS(K350&lt;K$24,0,K350&lt;K$25,J$24,K350&lt;K$26,J$25,K350&lt;K$27,J$26,K350&lt;K$28,J$27,K350&lt;K$29,J$28,K350&lt;K$30,J$29,K350&lt;K$31,J$30,K350&lt;K$32,J$31,K350&lt;K$33,J$32,K350&lt;K$34,J$33,K350&lt;K$35,J$34,K350&lt;K$36,J$35,K350&lt;K$37,J$36,K350&lt;K$38,J$37,K350&lt;K$39,J$38,K350&lt;K$40,J$39,K350&lt;K$41,J$40,K350&lt;K$42,J$41,K350&lt;K$43,J$42,K350&lt;K$44,J$43,K350&lt;K$45,J$44,K350&lt;K$46,J$45,K350&lt;K$47,J$46,K350&gt;=K$47,J$47)</f>
        <v/>
      </c>
      <c r="K350" s="38" t="n">
        <v>300</v>
      </c>
      <c r="L350" s="31">
        <f>K350/52</f>
        <v/>
      </c>
      <c r="M350" s="39">
        <f>J350/1000000*52</f>
        <v/>
      </c>
      <c r="N350" s="33">
        <f>M350/$P$4+($I$22/$P$4)</f>
        <v/>
      </c>
      <c r="U350">
        <f>F349</f>
        <v/>
      </c>
      <c r="V350">
        <f>H349</f>
        <v/>
      </c>
      <c r="W350">
        <f>N349</f>
        <v/>
      </c>
    </row>
    <row r="351" ht="15.75" customHeight="1" s="40">
      <c r="C351" s="36">
        <f>_xlfn.IFS(E351&lt;E$24,0,E351&lt;E$26,C$24,E351&lt;E$28,C$26,E351&lt;E$30,C$28,E351&lt;E$32,C$30,E351&lt;E$34,C$32,E351&gt;=E$34,C$34)</f>
        <v/>
      </c>
      <c r="D351" s="37">
        <f>_xlfn.IFS(E351&lt;E$24,0,E351&lt;E$25,D$24,E351&lt;E$26,D$25,E351&lt;E$27,D$26,E351&lt;E$28,D$27,E351&lt;E$29,D$28,E351&lt;E$30,D$29,E351&lt;E$31,D$30,E351&lt;E$32,D$31,E351&lt;E$33,D$32,E351&lt;E$34,D$33,E351&lt;E$35,D$34,E351&gt;=E$35,D$35)</f>
        <v/>
      </c>
      <c r="E351" s="38" t="n">
        <v>301</v>
      </c>
      <c r="F351" s="31">
        <f>E351/52</f>
        <v/>
      </c>
      <c r="G351" s="39">
        <f>D351/1000000*52</f>
        <v/>
      </c>
      <c r="H351" s="33">
        <f>G351/$P$4+($C$22/$P$4)</f>
        <v/>
      </c>
      <c r="I351" s="36">
        <f>_xlfn.IFS(K351&lt;K$24,0,K351&lt;K$26,I$24,K351&lt;K$28,I$26,K351&lt;K$30,I$28,K351&lt;K$32,I$30,K351&lt;K$34,I$32,K351&lt;K$36,I$34,K351&lt;K$38,I$36,K351&lt;K$40,I$38,K351&lt;K$42,I$40,K351&lt;K$44,I$42,K351&lt;K$46,I$44,K351&gt;=K$46,I$46)</f>
        <v/>
      </c>
      <c r="J351" s="37">
        <f>_xlfn.IFS(K351&lt;K$24,0,K351&lt;K$25,J$24,K351&lt;K$26,J$25,K351&lt;K$27,J$26,K351&lt;K$28,J$27,K351&lt;K$29,J$28,K351&lt;K$30,J$29,K351&lt;K$31,J$30,K351&lt;K$32,J$31,K351&lt;K$33,J$32,K351&lt;K$34,J$33,K351&lt;K$35,J$34,K351&lt;K$36,J$35,K351&lt;K$37,J$36,K351&lt;K$38,J$37,K351&lt;K$39,J$38,K351&lt;K$40,J$39,K351&lt;K$41,J$40,K351&lt;K$42,J$41,K351&lt;K$43,J$42,K351&lt;K$44,J$43,K351&lt;K$45,J$44,K351&lt;K$46,J$45,K351&lt;K$47,J$46,K351&gt;=K$47,J$47)</f>
        <v/>
      </c>
      <c r="K351" s="38" t="n">
        <v>301</v>
      </c>
      <c r="L351" s="31">
        <f>K351/52</f>
        <v/>
      </c>
      <c r="M351" s="39">
        <f>J351/1000000*52</f>
        <v/>
      </c>
      <c r="N351" s="33">
        <f>M351/$P$4+($I$22/$P$4)</f>
        <v/>
      </c>
      <c r="U351">
        <f>F350</f>
        <v/>
      </c>
      <c r="V351">
        <f>H350</f>
        <v/>
      </c>
      <c r="W351">
        <f>N350</f>
        <v/>
      </c>
    </row>
    <row r="352" ht="15.75" customHeight="1" s="40">
      <c r="C352" s="36">
        <f>_xlfn.IFS(E352&lt;E$24,0,E352&lt;E$26,C$24,E352&lt;E$28,C$26,E352&lt;E$30,C$28,E352&lt;E$32,C$30,E352&lt;E$34,C$32,E352&gt;=E$34,C$34)</f>
        <v/>
      </c>
      <c r="D352" s="37">
        <f>_xlfn.IFS(E352&lt;E$24,0,E352&lt;E$25,D$24,E352&lt;E$26,D$25,E352&lt;E$27,D$26,E352&lt;E$28,D$27,E352&lt;E$29,D$28,E352&lt;E$30,D$29,E352&lt;E$31,D$30,E352&lt;E$32,D$31,E352&lt;E$33,D$32,E352&lt;E$34,D$33,E352&lt;E$35,D$34,E352&gt;=E$35,D$35)</f>
        <v/>
      </c>
      <c r="E352" s="38" t="n">
        <v>302</v>
      </c>
      <c r="F352" s="31">
        <f>E352/52</f>
        <v/>
      </c>
      <c r="G352" s="39">
        <f>D352/1000000*52</f>
        <v/>
      </c>
      <c r="H352" s="33">
        <f>G352/$P$4+($C$22/$P$4)</f>
        <v/>
      </c>
      <c r="I352" s="36">
        <f>_xlfn.IFS(K352&lt;K$24,0,K352&lt;K$26,I$24,K352&lt;K$28,I$26,K352&lt;K$30,I$28,K352&lt;K$32,I$30,K352&lt;K$34,I$32,K352&lt;K$36,I$34,K352&lt;K$38,I$36,K352&lt;K$40,I$38,K352&lt;K$42,I$40,K352&lt;K$44,I$42,K352&lt;K$46,I$44,K352&gt;=K$46,I$46)</f>
        <v/>
      </c>
      <c r="J352" s="37">
        <f>_xlfn.IFS(K352&lt;K$24,0,K352&lt;K$25,J$24,K352&lt;K$26,J$25,K352&lt;K$27,J$26,K352&lt;K$28,J$27,K352&lt;K$29,J$28,K352&lt;K$30,J$29,K352&lt;K$31,J$30,K352&lt;K$32,J$31,K352&lt;K$33,J$32,K352&lt;K$34,J$33,K352&lt;K$35,J$34,K352&lt;K$36,J$35,K352&lt;K$37,J$36,K352&lt;K$38,J$37,K352&lt;K$39,J$38,K352&lt;K$40,J$39,K352&lt;K$41,J$40,K352&lt;K$42,J$41,K352&lt;K$43,J$42,K352&lt;K$44,J$43,K352&lt;K$45,J$44,K352&lt;K$46,J$45,K352&lt;K$47,J$46,K352&gt;=K$47,J$47)</f>
        <v/>
      </c>
      <c r="K352" s="38" t="n">
        <v>302</v>
      </c>
      <c r="L352" s="31">
        <f>K352/52</f>
        <v/>
      </c>
      <c r="M352" s="39">
        <f>J352/1000000*52</f>
        <v/>
      </c>
      <c r="N352" s="33">
        <f>M352/$P$4+($I$22/$P$4)</f>
        <v/>
      </c>
      <c r="U352">
        <f>F351</f>
        <v/>
      </c>
      <c r="V352">
        <f>H351</f>
        <v/>
      </c>
      <c r="W352">
        <f>N351</f>
        <v/>
      </c>
    </row>
    <row r="353" ht="15.75" customHeight="1" s="40">
      <c r="C353" s="36">
        <f>_xlfn.IFS(E353&lt;E$24,0,E353&lt;E$26,C$24,E353&lt;E$28,C$26,E353&lt;E$30,C$28,E353&lt;E$32,C$30,E353&lt;E$34,C$32,E353&gt;=E$34,C$34)</f>
        <v/>
      </c>
      <c r="D353" s="37">
        <f>_xlfn.IFS(E353&lt;E$24,0,E353&lt;E$25,D$24,E353&lt;E$26,D$25,E353&lt;E$27,D$26,E353&lt;E$28,D$27,E353&lt;E$29,D$28,E353&lt;E$30,D$29,E353&lt;E$31,D$30,E353&lt;E$32,D$31,E353&lt;E$33,D$32,E353&lt;E$34,D$33,E353&lt;E$35,D$34,E353&gt;=E$35,D$35)</f>
        <v/>
      </c>
      <c r="E353" s="38" t="n">
        <v>303</v>
      </c>
      <c r="F353" s="31">
        <f>E353/52</f>
        <v/>
      </c>
      <c r="G353" s="39">
        <f>D353/1000000*52</f>
        <v/>
      </c>
      <c r="H353" s="33">
        <f>G353/$P$4+($C$22/$P$4)</f>
        <v/>
      </c>
      <c r="I353" s="36">
        <f>_xlfn.IFS(K353&lt;K$24,0,K353&lt;K$26,I$24,K353&lt;K$28,I$26,K353&lt;K$30,I$28,K353&lt;K$32,I$30,K353&lt;K$34,I$32,K353&lt;K$36,I$34,K353&lt;K$38,I$36,K353&lt;K$40,I$38,K353&lt;K$42,I$40,K353&lt;K$44,I$42,K353&lt;K$46,I$44,K353&gt;=K$46,I$46)</f>
        <v/>
      </c>
      <c r="J353" s="37">
        <f>_xlfn.IFS(K353&lt;K$24,0,K353&lt;K$25,J$24,K353&lt;K$26,J$25,K353&lt;K$27,J$26,K353&lt;K$28,J$27,K353&lt;K$29,J$28,K353&lt;K$30,J$29,K353&lt;K$31,J$30,K353&lt;K$32,J$31,K353&lt;K$33,J$32,K353&lt;K$34,J$33,K353&lt;K$35,J$34,K353&lt;K$36,J$35,K353&lt;K$37,J$36,K353&lt;K$38,J$37,K353&lt;K$39,J$38,K353&lt;K$40,J$39,K353&lt;K$41,J$40,K353&lt;K$42,J$41,K353&lt;K$43,J$42,K353&lt;K$44,J$43,K353&lt;K$45,J$44,K353&lt;K$46,J$45,K353&lt;K$47,J$46,K353&gt;=K$47,J$47)</f>
        <v/>
      </c>
      <c r="K353" s="38" t="n">
        <v>303</v>
      </c>
      <c r="L353" s="31">
        <f>K353/52</f>
        <v/>
      </c>
      <c r="M353" s="39">
        <f>J353/1000000*52</f>
        <v/>
      </c>
      <c r="N353" s="33">
        <f>M353/$P$4+($I$22/$P$4)</f>
        <v/>
      </c>
      <c r="U353">
        <f>F352</f>
        <v/>
      </c>
      <c r="V353">
        <f>H352</f>
        <v/>
      </c>
      <c r="W353">
        <f>N352</f>
        <v/>
      </c>
    </row>
    <row r="354" ht="15.75" customHeight="1" s="40">
      <c r="C354" s="36">
        <f>_xlfn.IFS(E354&lt;E$24,0,E354&lt;E$26,C$24,E354&lt;E$28,C$26,E354&lt;E$30,C$28,E354&lt;E$32,C$30,E354&lt;E$34,C$32,E354&gt;=E$34,C$34)</f>
        <v/>
      </c>
      <c r="D354" s="37">
        <f>_xlfn.IFS(E354&lt;E$24,0,E354&lt;E$25,D$24,E354&lt;E$26,D$25,E354&lt;E$27,D$26,E354&lt;E$28,D$27,E354&lt;E$29,D$28,E354&lt;E$30,D$29,E354&lt;E$31,D$30,E354&lt;E$32,D$31,E354&lt;E$33,D$32,E354&lt;E$34,D$33,E354&lt;E$35,D$34,E354&gt;=E$35,D$35)</f>
        <v/>
      </c>
      <c r="E354" s="38" t="n">
        <v>304</v>
      </c>
      <c r="F354" s="31">
        <f>E354/52</f>
        <v/>
      </c>
      <c r="G354" s="39">
        <f>D354/1000000*52</f>
        <v/>
      </c>
      <c r="H354" s="33">
        <f>G354/$P$4+($C$22/$P$4)</f>
        <v/>
      </c>
      <c r="I354" s="36">
        <f>_xlfn.IFS(K354&lt;K$24,0,K354&lt;K$26,I$24,K354&lt;K$28,I$26,K354&lt;K$30,I$28,K354&lt;K$32,I$30,K354&lt;K$34,I$32,K354&lt;K$36,I$34,K354&lt;K$38,I$36,K354&lt;K$40,I$38,K354&lt;K$42,I$40,K354&lt;K$44,I$42,K354&lt;K$46,I$44,K354&gt;=K$46,I$46)</f>
        <v/>
      </c>
      <c r="J354" s="37">
        <f>_xlfn.IFS(K354&lt;K$24,0,K354&lt;K$25,J$24,K354&lt;K$26,J$25,K354&lt;K$27,J$26,K354&lt;K$28,J$27,K354&lt;K$29,J$28,K354&lt;K$30,J$29,K354&lt;K$31,J$30,K354&lt;K$32,J$31,K354&lt;K$33,J$32,K354&lt;K$34,J$33,K354&lt;K$35,J$34,K354&lt;K$36,J$35,K354&lt;K$37,J$36,K354&lt;K$38,J$37,K354&lt;K$39,J$38,K354&lt;K$40,J$39,K354&lt;K$41,J$40,K354&lt;K$42,J$41,K354&lt;K$43,J$42,K354&lt;K$44,J$43,K354&lt;K$45,J$44,K354&lt;K$46,J$45,K354&lt;K$47,J$46,K354&gt;=K$47,J$47)</f>
        <v/>
      </c>
      <c r="K354" s="38" t="n">
        <v>304</v>
      </c>
      <c r="L354" s="31">
        <f>K354/52</f>
        <v/>
      </c>
      <c r="M354" s="39">
        <f>J354/1000000*52</f>
        <v/>
      </c>
      <c r="N354" s="33">
        <f>M354/$P$4+($I$22/$P$4)</f>
        <v/>
      </c>
      <c r="U354">
        <f>F353</f>
        <v/>
      </c>
      <c r="V354">
        <f>H353</f>
        <v/>
      </c>
      <c r="W354">
        <f>N353</f>
        <v/>
      </c>
    </row>
    <row r="355" ht="15.75" customHeight="1" s="40">
      <c r="C355" s="36">
        <f>_xlfn.IFS(E355&lt;E$24,0,E355&lt;E$26,C$24,E355&lt;E$28,C$26,E355&lt;E$30,C$28,E355&lt;E$32,C$30,E355&lt;E$34,C$32,E355&gt;=E$34,C$34)</f>
        <v/>
      </c>
      <c r="D355" s="37">
        <f>_xlfn.IFS(E355&lt;E$24,0,E355&lt;E$25,D$24,E355&lt;E$26,D$25,E355&lt;E$27,D$26,E355&lt;E$28,D$27,E355&lt;E$29,D$28,E355&lt;E$30,D$29,E355&lt;E$31,D$30,E355&lt;E$32,D$31,E355&lt;E$33,D$32,E355&lt;E$34,D$33,E355&lt;E$35,D$34,E355&gt;=E$35,D$35)</f>
        <v/>
      </c>
      <c r="E355" s="38" t="n">
        <v>305</v>
      </c>
      <c r="F355" s="31">
        <f>E355/52</f>
        <v/>
      </c>
      <c r="G355" s="39">
        <f>D355/1000000*52</f>
        <v/>
      </c>
      <c r="H355" s="33">
        <f>G355/$P$4+($C$22/$P$4)</f>
        <v/>
      </c>
      <c r="I355" s="36">
        <f>_xlfn.IFS(K355&lt;K$24,0,K355&lt;K$26,I$24,K355&lt;K$28,I$26,K355&lt;K$30,I$28,K355&lt;K$32,I$30,K355&lt;K$34,I$32,K355&lt;K$36,I$34,K355&lt;K$38,I$36,K355&lt;K$40,I$38,K355&lt;K$42,I$40,K355&lt;K$44,I$42,K355&lt;K$46,I$44,K355&gt;=K$46,I$46)</f>
        <v/>
      </c>
      <c r="J355" s="37">
        <f>_xlfn.IFS(K355&lt;K$24,0,K355&lt;K$25,J$24,K355&lt;K$26,J$25,K355&lt;K$27,J$26,K355&lt;K$28,J$27,K355&lt;K$29,J$28,K355&lt;K$30,J$29,K355&lt;K$31,J$30,K355&lt;K$32,J$31,K355&lt;K$33,J$32,K355&lt;K$34,J$33,K355&lt;K$35,J$34,K355&lt;K$36,J$35,K355&lt;K$37,J$36,K355&lt;K$38,J$37,K355&lt;K$39,J$38,K355&lt;K$40,J$39,K355&lt;K$41,J$40,K355&lt;K$42,J$41,K355&lt;K$43,J$42,K355&lt;K$44,J$43,K355&lt;K$45,J$44,K355&lt;K$46,J$45,K355&lt;K$47,J$46,K355&gt;=K$47,J$47)</f>
        <v/>
      </c>
      <c r="K355" s="38" t="n">
        <v>305</v>
      </c>
      <c r="L355" s="31">
        <f>K355/52</f>
        <v/>
      </c>
      <c r="M355" s="39">
        <f>J355/1000000*52</f>
        <v/>
      </c>
      <c r="N355" s="33">
        <f>M355/$P$4+($I$22/$P$4)</f>
        <v/>
      </c>
      <c r="U355">
        <f>F354</f>
        <v/>
      </c>
      <c r="V355">
        <f>H354</f>
        <v/>
      </c>
      <c r="W355">
        <f>N354</f>
        <v/>
      </c>
    </row>
    <row r="356" ht="15.75" customHeight="1" s="40">
      <c r="C356" s="36">
        <f>_xlfn.IFS(E356&lt;E$24,0,E356&lt;E$26,C$24,E356&lt;E$28,C$26,E356&lt;E$30,C$28,E356&lt;E$32,C$30,E356&lt;E$34,C$32,E356&gt;=E$34,C$34)</f>
        <v/>
      </c>
      <c r="D356" s="37">
        <f>_xlfn.IFS(E356&lt;E$24,0,E356&lt;E$25,D$24,E356&lt;E$26,D$25,E356&lt;E$27,D$26,E356&lt;E$28,D$27,E356&lt;E$29,D$28,E356&lt;E$30,D$29,E356&lt;E$31,D$30,E356&lt;E$32,D$31,E356&lt;E$33,D$32,E356&lt;E$34,D$33,E356&lt;E$35,D$34,E356&gt;=E$35,D$35)</f>
        <v/>
      </c>
      <c r="E356" s="38" t="n">
        <v>306</v>
      </c>
      <c r="F356" s="31">
        <f>E356/52</f>
        <v/>
      </c>
      <c r="G356" s="39">
        <f>D356/1000000*52</f>
        <v/>
      </c>
      <c r="H356" s="33">
        <f>G356/$P$4+($C$22/$P$4)</f>
        <v/>
      </c>
      <c r="I356" s="36">
        <f>_xlfn.IFS(K356&lt;K$24,0,K356&lt;K$26,I$24,K356&lt;K$28,I$26,K356&lt;K$30,I$28,K356&lt;K$32,I$30,K356&lt;K$34,I$32,K356&lt;K$36,I$34,K356&lt;K$38,I$36,K356&lt;K$40,I$38,K356&lt;K$42,I$40,K356&lt;K$44,I$42,K356&lt;K$46,I$44,K356&gt;=K$46,I$46)</f>
        <v/>
      </c>
      <c r="J356" s="37">
        <f>_xlfn.IFS(K356&lt;K$24,0,K356&lt;K$25,J$24,K356&lt;K$26,J$25,K356&lt;K$27,J$26,K356&lt;K$28,J$27,K356&lt;K$29,J$28,K356&lt;K$30,J$29,K356&lt;K$31,J$30,K356&lt;K$32,J$31,K356&lt;K$33,J$32,K356&lt;K$34,J$33,K356&lt;K$35,J$34,K356&lt;K$36,J$35,K356&lt;K$37,J$36,K356&lt;K$38,J$37,K356&lt;K$39,J$38,K356&lt;K$40,J$39,K356&lt;K$41,J$40,K356&lt;K$42,J$41,K356&lt;K$43,J$42,K356&lt;K$44,J$43,K356&lt;K$45,J$44,K356&lt;K$46,J$45,K356&lt;K$47,J$46,K356&gt;=K$47,J$47)</f>
        <v/>
      </c>
      <c r="K356" s="38" t="n">
        <v>306</v>
      </c>
      <c r="L356" s="31">
        <f>K356/52</f>
        <v/>
      </c>
      <c r="M356" s="39">
        <f>J356/1000000*52</f>
        <v/>
      </c>
      <c r="N356" s="33">
        <f>M356/$P$4+($I$22/$P$4)</f>
        <v/>
      </c>
      <c r="U356">
        <f>F355</f>
        <v/>
      </c>
      <c r="V356">
        <f>H355</f>
        <v/>
      </c>
      <c r="W356">
        <f>N355</f>
        <v/>
      </c>
    </row>
    <row r="357" ht="15.75" customHeight="1" s="40">
      <c r="C357" s="36">
        <f>_xlfn.IFS(E357&lt;E$24,0,E357&lt;E$26,C$24,E357&lt;E$28,C$26,E357&lt;E$30,C$28,E357&lt;E$32,C$30,E357&lt;E$34,C$32,E357&gt;=E$34,C$34)</f>
        <v/>
      </c>
      <c r="D357" s="37">
        <f>_xlfn.IFS(E357&lt;E$24,0,E357&lt;E$25,D$24,E357&lt;E$26,D$25,E357&lt;E$27,D$26,E357&lt;E$28,D$27,E357&lt;E$29,D$28,E357&lt;E$30,D$29,E357&lt;E$31,D$30,E357&lt;E$32,D$31,E357&lt;E$33,D$32,E357&lt;E$34,D$33,E357&lt;E$35,D$34,E357&gt;=E$35,D$35)</f>
        <v/>
      </c>
      <c r="E357" s="38" t="n">
        <v>307</v>
      </c>
      <c r="F357" s="31">
        <f>E357/52</f>
        <v/>
      </c>
      <c r="G357" s="39">
        <f>D357/1000000*52</f>
        <v/>
      </c>
      <c r="H357" s="33">
        <f>G357/$P$4+($C$22/$P$4)</f>
        <v/>
      </c>
      <c r="I357" s="36">
        <f>_xlfn.IFS(K357&lt;K$24,0,K357&lt;K$26,I$24,K357&lt;K$28,I$26,K357&lt;K$30,I$28,K357&lt;K$32,I$30,K357&lt;K$34,I$32,K357&lt;K$36,I$34,K357&lt;K$38,I$36,K357&lt;K$40,I$38,K357&lt;K$42,I$40,K357&lt;K$44,I$42,K357&lt;K$46,I$44,K357&gt;=K$46,I$46)</f>
        <v/>
      </c>
      <c r="J357" s="37">
        <f>_xlfn.IFS(K357&lt;K$24,0,K357&lt;K$25,J$24,K357&lt;K$26,J$25,K357&lt;K$27,J$26,K357&lt;K$28,J$27,K357&lt;K$29,J$28,K357&lt;K$30,J$29,K357&lt;K$31,J$30,K357&lt;K$32,J$31,K357&lt;K$33,J$32,K357&lt;K$34,J$33,K357&lt;K$35,J$34,K357&lt;K$36,J$35,K357&lt;K$37,J$36,K357&lt;K$38,J$37,K357&lt;K$39,J$38,K357&lt;K$40,J$39,K357&lt;K$41,J$40,K357&lt;K$42,J$41,K357&lt;K$43,J$42,K357&lt;K$44,J$43,K357&lt;K$45,J$44,K357&lt;K$46,J$45,K357&lt;K$47,J$46,K357&gt;=K$47,J$47)</f>
        <v/>
      </c>
      <c r="K357" s="38" t="n">
        <v>307</v>
      </c>
      <c r="L357" s="31">
        <f>K357/52</f>
        <v/>
      </c>
      <c r="M357" s="39">
        <f>J357/1000000*52</f>
        <v/>
      </c>
      <c r="N357" s="33">
        <f>M357/$P$4+($I$22/$P$4)</f>
        <v/>
      </c>
      <c r="U357">
        <f>F356</f>
        <v/>
      </c>
      <c r="V357">
        <f>H356</f>
        <v/>
      </c>
      <c r="W357">
        <f>N356</f>
        <v/>
      </c>
    </row>
    <row r="358" ht="15.75" customHeight="1" s="40">
      <c r="C358" s="36">
        <f>_xlfn.IFS(E358&lt;E$24,0,E358&lt;E$26,C$24,E358&lt;E$28,C$26,E358&lt;E$30,C$28,E358&lt;E$32,C$30,E358&lt;E$34,C$32,E358&gt;=E$34,C$34)</f>
        <v/>
      </c>
      <c r="D358" s="37">
        <f>_xlfn.IFS(E358&lt;E$24,0,E358&lt;E$25,D$24,E358&lt;E$26,D$25,E358&lt;E$27,D$26,E358&lt;E$28,D$27,E358&lt;E$29,D$28,E358&lt;E$30,D$29,E358&lt;E$31,D$30,E358&lt;E$32,D$31,E358&lt;E$33,D$32,E358&lt;E$34,D$33,E358&lt;E$35,D$34,E358&gt;=E$35,D$35)</f>
        <v/>
      </c>
      <c r="E358" s="38" t="n">
        <v>308</v>
      </c>
      <c r="F358" s="31">
        <f>E358/52</f>
        <v/>
      </c>
      <c r="G358" s="39">
        <f>D358/1000000*52</f>
        <v/>
      </c>
      <c r="H358" s="33">
        <f>G358/$P$4+($C$22/$P$4)</f>
        <v/>
      </c>
      <c r="I358" s="36">
        <f>_xlfn.IFS(K358&lt;K$24,0,K358&lt;K$26,I$24,K358&lt;K$28,I$26,K358&lt;K$30,I$28,K358&lt;K$32,I$30,K358&lt;K$34,I$32,K358&lt;K$36,I$34,K358&lt;K$38,I$36,K358&lt;K$40,I$38,K358&lt;K$42,I$40,K358&lt;K$44,I$42,K358&lt;K$46,I$44,K358&gt;=K$46,I$46)</f>
        <v/>
      </c>
      <c r="J358" s="37">
        <f>_xlfn.IFS(K358&lt;K$24,0,K358&lt;K$25,J$24,K358&lt;K$26,J$25,K358&lt;K$27,J$26,K358&lt;K$28,J$27,K358&lt;K$29,J$28,K358&lt;K$30,J$29,K358&lt;K$31,J$30,K358&lt;K$32,J$31,K358&lt;K$33,J$32,K358&lt;K$34,J$33,K358&lt;K$35,J$34,K358&lt;K$36,J$35,K358&lt;K$37,J$36,K358&lt;K$38,J$37,K358&lt;K$39,J$38,K358&lt;K$40,J$39,K358&lt;K$41,J$40,K358&lt;K$42,J$41,K358&lt;K$43,J$42,K358&lt;K$44,J$43,K358&lt;K$45,J$44,K358&lt;K$46,J$45,K358&lt;K$47,J$46,K358&gt;=K$47,J$47)</f>
        <v/>
      </c>
      <c r="K358" s="38" t="n">
        <v>308</v>
      </c>
      <c r="L358" s="31">
        <f>K358/52</f>
        <v/>
      </c>
      <c r="M358" s="39">
        <f>J358/1000000*52</f>
        <v/>
      </c>
      <c r="N358" s="33">
        <f>M358/$P$4+($I$22/$P$4)</f>
        <v/>
      </c>
      <c r="U358">
        <f>F357</f>
        <v/>
      </c>
      <c r="V358">
        <f>H357</f>
        <v/>
      </c>
      <c r="W358">
        <f>N357</f>
        <v/>
      </c>
    </row>
    <row r="359" ht="15.75" customHeight="1" s="40">
      <c r="C359" s="36">
        <f>_xlfn.IFS(E359&lt;E$24,0,E359&lt;E$26,C$24,E359&lt;E$28,C$26,E359&lt;E$30,C$28,E359&lt;E$32,C$30,E359&lt;E$34,C$32,E359&gt;=E$34,C$34)</f>
        <v/>
      </c>
      <c r="D359" s="37">
        <f>_xlfn.IFS(E359&lt;E$24,0,E359&lt;E$25,D$24,E359&lt;E$26,D$25,E359&lt;E$27,D$26,E359&lt;E$28,D$27,E359&lt;E$29,D$28,E359&lt;E$30,D$29,E359&lt;E$31,D$30,E359&lt;E$32,D$31,E359&lt;E$33,D$32,E359&lt;E$34,D$33,E359&lt;E$35,D$34,E359&gt;=E$35,D$35)</f>
        <v/>
      </c>
      <c r="E359" s="38" t="n">
        <v>309</v>
      </c>
      <c r="F359" s="31">
        <f>E359/52</f>
        <v/>
      </c>
      <c r="G359" s="39">
        <f>D359/1000000*52</f>
        <v/>
      </c>
      <c r="H359" s="33">
        <f>G359/$P$4+($C$22/$P$4)</f>
        <v/>
      </c>
      <c r="I359" s="36">
        <f>_xlfn.IFS(K359&lt;K$24,0,K359&lt;K$26,I$24,K359&lt;K$28,I$26,K359&lt;K$30,I$28,K359&lt;K$32,I$30,K359&lt;K$34,I$32,K359&lt;K$36,I$34,K359&lt;K$38,I$36,K359&lt;K$40,I$38,K359&lt;K$42,I$40,K359&lt;K$44,I$42,K359&lt;K$46,I$44,K359&gt;=K$46,I$46)</f>
        <v/>
      </c>
      <c r="J359" s="37">
        <f>_xlfn.IFS(K359&lt;K$24,0,K359&lt;K$25,J$24,K359&lt;K$26,J$25,K359&lt;K$27,J$26,K359&lt;K$28,J$27,K359&lt;K$29,J$28,K359&lt;K$30,J$29,K359&lt;K$31,J$30,K359&lt;K$32,J$31,K359&lt;K$33,J$32,K359&lt;K$34,J$33,K359&lt;K$35,J$34,K359&lt;K$36,J$35,K359&lt;K$37,J$36,K359&lt;K$38,J$37,K359&lt;K$39,J$38,K359&lt;K$40,J$39,K359&lt;K$41,J$40,K359&lt;K$42,J$41,K359&lt;K$43,J$42,K359&lt;K$44,J$43,K359&lt;K$45,J$44,K359&lt;K$46,J$45,K359&lt;K$47,J$46,K359&gt;=K$47,J$47)</f>
        <v/>
      </c>
      <c r="K359" s="38" t="n">
        <v>309</v>
      </c>
      <c r="L359" s="31">
        <f>K359/52</f>
        <v/>
      </c>
      <c r="M359" s="39">
        <f>J359/1000000*52</f>
        <v/>
      </c>
      <c r="N359" s="33">
        <f>M359/$P$4+($I$22/$P$4)</f>
        <v/>
      </c>
      <c r="U359">
        <f>F358</f>
        <v/>
      </c>
      <c r="V359">
        <f>H358</f>
        <v/>
      </c>
      <c r="W359">
        <f>N358</f>
        <v/>
      </c>
    </row>
    <row r="360" ht="15.75" customHeight="1" s="40">
      <c r="C360" s="36">
        <f>_xlfn.IFS(E360&lt;E$24,0,E360&lt;E$26,C$24,E360&lt;E$28,C$26,E360&lt;E$30,C$28,E360&lt;E$32,C$30,E360&lt;E$34,C$32,E360&gt;=E$34,C$34)</f>
        <v/>
      </c>
      <c r="D360" s="37">
        <f>_xlfn.IFS(E360&lt;E$24,0,E360&lt;E$25,D$24,E360&lt;E$26,D$25,E360&lt;E$27,D$26,E360&lt;E$28,D$27,E360&lt;E$29,D$28,E360&lt;E$30,D$29,E360&lt;E$31,D$30,E360&lt;E$32,D$31,E360&lt;E$33,D$32,E360&lt;E$34,D$33,E360&lt;E$35,D$34,E360&gt;=E$35,D$35)</f>
        <v/>
      </c>
      <c r="E360" s="38" t="n">
        <v>310</v>
      </c>
      <c r="F360" s="31">
        <f>E360/52</f>
        <v/>
      </c>
      <c r="G360" s="39">
        <f>D360/1000000*52</f>
        <v/>
      </c>
      <c r="H360" s="33">
        <f>G360/$P$4+($C$22/$P$4)</f>
        <v/>
      </c>
      <c r="I360" s="36">
        <f>_xlfn.IFS(K360&lt;K$24,0,K360&lt;K$26,I$24,K360&lt;K$28,I$26,K360&lt;K$30,I$28,K360&lt;K$32,I$30,K360&lt;K$34,I$32,K360&lt;K$36,I$34,K360&lt;K$38,I$36,K360&lt;K$40,I$38,K360&lt;K$42,I$40,K360&lt;K$44,I$42,K360&lt;K$46,I$44,K360&gt;=K$46,I$46)</f>
        <v/>
      </c>
      <c r="J360" s="37">
        <f>_xlfn.IFS(K360&lt;K$24,0,K360&lt;K$25,J$24,K360&lt;K$26,J$25,K360&lt;K$27,J$26,K360&lt;K$28,J$27,K360&lt;K$29,J$28,K360&lt;K$30,J$29,K360&lt;K$31,J$30,K360&lt;K$32,J$31,K360&lt;K$33,J$32,K360&lt;K$34,J$33,K360&lt;K$35,J$34,K360&lt;K$36,J$35,K360&lt;K$37,J$36,K360&lt;K$38,J$37,K360&lt;K$39,J$38,K360&lt;K$40,J$39,K360&lt;K$41,J$40,K360&lt;K$42,J$41,K360&lt;K$43,J$42,K360&lt;K$44,J$43,K360&lt;K$45,J$44,K360&lt;K$46,J$45,K360&lt;K$47,J$46,K360&gt;=K$47,J$47)</f>
        <v/>
      </c>
      <c r="K360" s="38" t="n">
        <v>310</v>
      </c>
      <c r="L360" s="31">
        <f>K360/52</f>
        <v/>
      </c>
      <c r="M360" s="39">
        <f>J360/1000000*52</f>
        <v/>
      </c>
      <c r="N360" s="33">
        <f>M360/$P$4+($I$22/$P$4)</f>
        <v/>
      </c>
      <c r="U360">
        <f>F359</f>
        <v/>
      </c>
      <c r="V360">
        <f>H359</f>
        <v/>
      </c>
      <c r="W360">
        <f>N359</f>
        <v/>
      </c>
    </row>
    <row r="361" ht="15.75" customHeight="1" s="40">
      <c r="C361" s="36">
        <f>_xlfn.IFS(E361&lt;E$24,0,E361&lt;E$26,C$24,E361&lt;E$28,C$26,E361&lt;E$30,C$28,E361&lt;E$32,C$30,E361&lt;E$34,C$32,E361&gt;=E$34,C$34)</f>
        <v/>
      </c>
      <c r="D361" s="37">
        <f>_xlfn.IFS(E361&lt;E$24,0,E361&lt;E$25,D$24,E361&lt;E$26,D$25,E361&lt;E$27,D$26,E361&lt;E$28,D$27,E361&lt;E$29,D$28,E361&lt;E$30,D$29,E361&lt;E$31,D$30,E361&lt;E$32,D$31,E361&lt;E$33,D$32,E361&lt;E$34,D$33,E361&lt;E$35,D$34,E361&gt;=E$35,D$35)</f>
        <v/>
      </c>
      <c r="E361" s="38" t="n">
        <v>311</v>
      </c>
      <c r="F361" s="31">
        <f>E361/52</f>
        <v/>
      </c>
      <c r="G361" s="39">
        <f>D361/1000000*52</f>
        <v/>
      </c>
      <c r="H361" s="33">
        <f>G361/$P$4+($C$22/$P$4)</f>
        <v/>
      </c>
      <c r="I361" s="36">
        <f>_xlfn.IFS(K361&lt;K$24,0,K361&lt;K$26,I$24,K361&lt;K$28,I$26,K361&lt;K$30,I$28,K361&lt;K$32,I$30,K361&lt;K$34,I$32,K361&lt;K$36,I$34,K361&lt;K$38,I$36,K361&lt;K$40,I$38,K361&lt;K$42,I$40,K361&lt;K$44,I$42,K361&lt;K$46,I$44,K361&gt;=K$46,I$46)</f>
        <v/>
      </c>
      <c r="J361" s="37">
        <f>_xlfn.IFS(K361&lt;K$24,0,K361&lt;K$25,J$24,K361&lt;K$26,J$25,K361&lt;K$27,J$26,K361&lt;K$28,J$27,K361&lt;K$29,J$28,K361&lt;K$30,J$29,K361&lt;K$31,J$30,K361&lt;K$32,J$31,K361&lt;K$33,J$32,K361&lt;K$34,J$33,K361&lt;K$35,J$34,K361&lt;K$36,J$35,K361&lt;K$37,J$36,K361&lt;K$38,J$37,K361&lt;K$39,J$38,K361&lt;K$40,J$39,K361&lt;K$41,J$40,K361&lt;K$42,J$41,K361&lt;K$43,J$42,K361&lt;K$44,J$43,K361&lt;K$45,J$44,K361&lt;K$46,J$45,K361&lt;K$47,J$46,K361&gt;=K$47,J$47)</f>
        <v/>
      </c>
      <c r="K361" s="38" t="n">
        <v>311</v>
      </c>
      <c r="L361" s="31">
        <f>K361/52</f>
        <v/>
      </c>
      <c r="M361" s="39">
        <f>J361/1000000*52</f>
        <v/>
      </c>
      <c r="N361" s="33">
        <f>M361/$P$4+($I$22/$P$4)</f>
        <v/>
      </c>
      <c r="U361">
        <f>F360</f>
        <v/>
      </c>
      <c r="V361">
        <f>H360</f>
        <v/>
      </c>
      <c r="W361">
        <f>N360</f>
        <v/>
      </c>
    </row>
    <row r="362" ht="15.75" customHeight="1" s="40">
      <c r="C362" s="36">
        <f>_xlfn.IFS(E362&lt;E$24,0,E362&lt;E$26,C$24,E362&lt;E$28,C$26,E362&lt;E$30,C$28,E362&lt;E$32,C$30,E362&lt;E$34,C$32,E362&gt;=E$34,C$34)</f>
        <v/>
      </c>
      <c r="D362" s="37">
        <f>_xlfn.IFS(E362&lt;E$24,0,E362&lt;E$25,D$24,E362&lt;E$26,D$25,E362&lt;E$27,D$26,E362&lt;E$28,D$27,E362&lt;E$29,D$28,E362&lt;E$30,D$29,E362&lt;E$31,D$30,E362&lt;E$32,D$31,E362&lt;E$33,D$32,E362&lt;E$34,D$33,E362&lt;E$35,D$34,E362&gt;=E$35,D$35)</f>
        <v/>
      </c>
      <c r="E362" s="38" t="n">
        <v>312</v>
      </c>
      <c r="F362" s="31">
        <f>E362/52</f>
        <v/>
      </c>
      <c r="G362" s="39">
        <f>D362/1000000*52</f>
        <v/>
      </c>
      <c r="H362" s="33">
        <f>G362/$P$4+($C$22/$P$4)</f>
        <v/>
      </c>
      <c r="I362" s="36">
        <f>_xlfn.IFS(K362&lt;K$24,0,K362&lt;K$26,I$24,K362&lt;K$28,I$26,K362&lt;K$30,I$28,K362&lt;K$32,I$30,K362&lt;K$34,I$32,K362&lt;K$36,I$34,K362&lt;K$38,I$36,K362&lt;K$40,I$38,K362&lt;K$42,I$40,K362&lt;K$44,I$42,K362&lt;K$46,I$44,K362&gt;=K$46,I$46)</f>
        <v/>
      </c>
      <c r="J362" s="37">
        <f>_xlfn.IFS(K362&lt;K$24,0,K362&lt;K$25,J$24,K362&lt;K$26,J$25,K362&lt;K$27,J$26,K362&lt;K$28,J$27,K362&lt;K$29,J$28,K362&lt;K$30,J$29,K362&lt;K$31,J$30,K362&lt;K$32,J$31,K362&lt;K$33,J$32,K362&lt;K$34,J$33,K362&lt;K$35,J$34,K362&lt;K$36,J$35,K362&lt;K$37,J$36,K362&lt;K$38,J$37,K362&lt;K$39,J$38,K362&lt;K$40,J$39,K362&lt;K$41,J$40,K362&lt;K$42,J$41,K362&lt;K$43,J$42,K362&lt;K$44,J$43,K362&lt;K$45,J$44,K362&lt;K$46,J$45,K362&lt;K$47,J$46,K362&gt;=K$47,J$47)</f>
        <v/>
      </c>
      <c r="K362" s="38" t="n">
        <v>312</v>
      </c>
      <c r="L362" s="31">
        <f>K362/52</f>
        <v/>
      </c>
      <c r="M362" s="39">
        <f>J362/1000000*52</f>
        <v/>
      </c>
      <c r="N362" s="33">
        <f>M362/$P$4+($I$22/$P$4)</f>
        <v/>
      </c>
      <c r="U362">
        <f>F361</f>
        <v/>
      </c>
      <c r="V362">
        <f>H361</f>
        <v/>
      </c>
      <c r="W362">
        <f>N361</f>
        <v/>
      </c>
    </row>
    <row r="363" ht="15.75" customHeight="1" s="40">
      <c r="C363" s="36">
        <f>_xlfn.IFS(E363&lt;E$24,0,E363&lt;E$26,C$24,E363&lt;E$28,C$26,E363&lt;E$30,C$28,E363&lt;E$32,C$30,E363&lt;E$34,C$32,E363&gt;=E$34,C$34)</f>
        <v/>
      </c>
      <c r="D363" s="37">
        <f>_xlfn.IFS(E363&lt;E$24,0,E363&lt;E$25,D$24,E363&lt;E$26,D$25,E363&lt;E$27,D$26,E363&lt;E$28,D$27,E363&lt;E$29,D$28,E363&lt;E$30,D$29,E363&lt;E$31,D$30,E363&lt;E$32,D$31,E363&lt;E$33,D$32,E363&lt;E$34,D$33,E363&lt;E$35,D$34,E363&gt;=E$35,D$35)</f>
        <v/>
      </c>
      <c r="E363" s="38" t="n">
        <v>313</v>
      </c>
      <c r="F363" s="31">
        <f>E363/52</f>
        <v/>
      </c>
      <c r="G363" s="39">
        <f>D363/1000000*52</f>
        <v/>
      </c>
      <c r="H363" s="33">
        <f>G363/$P$4+($C$22/$P$4)</f>
        <v/>
      </c>
      <c r="I363" s="36">
        <f>_xlfn.IFS(K363&lt;K$24,0,K363&lt;K$26,I$24,K363&lt;K$28,I$26,K363&lt;K$30,I$28,K363&lt;K$32,I$30,K363&lt;K$34,I$32,K363&lt;K$36,I$34,K363&lt;K$38,I$36,K363&lt;K$40,I$38,K363&lt;K$42,I$40,K363&lt;K$44,I$42,K363&lt;K$46,I$44,K363&gt;=K$46,I$46)</f>
        <v/>
      </c>
      <c r="J363" s="37">
        <f>_xlfn.IFS(K363&lt;K$24,0,K363&lt;K$25,J$24,K363&lt;K$26,J$25,K363&lt;K$27,J$26,K363&lt;K$28,J$27,K363&lt;K$29,J$28,K363&lt;K$30,J$29,K363&lt;K$31,J$30,K363&lt;K$32,J$31,K363&lt;K$33,J$32,K363&lt;K$34,J$33,K363&lt;K$35,J$34,K363&lt;K$36,J$35,K363&lt;K$37,J$36,K363&lt;K$38,J$37,K363&lt;K$39,J$38,K363&lt;K$40,J$39,K363&lt;K$41,J$40,K363&lt;K$42,J$41,K363&lt;K$43,J$42,K363&lt;K$44,J$43,K363&lt;K$45,J$44,K363&lt;K$46,J$45,K363&lt;K$47,J$46,K363&gt;=K$47,J$47)</f>
        <v/>
      </c>
      <c r="K363" s="38" t="n">
        <v>313</v>
      </c>
      <c r="L363" s="31">
        <f>K363/52</f>
        <v/>
      </c>
      <c r="M363" s="39">
        <f>J363/1000000*52</f>
        <v/>
      </c>
      <c r="N363" s="33">
        <f>M363/$P$4+($I$22/$P$4)</f>
        <v/>
      </c>
      <c r="U363">
        <f>F362</f>
        <v/>
      </c>
      <c r="V363">
        <f>H362</f>
        <v/>
      </c>
      <c r="W363">
        <f>N362</f>
        <v/>
      </c>
    </row>
    <row r="364" ht="15.75" customHeight="1" s="40">
      <c r="C364" s="36">
        <f>_xlfn.IFS(E364&lt;E$24,0,E364&lt;E$26,C$24,E364&lt;E$28,C$26,E364&lt;E$30,C$28,E364&lt;E$32,C$30,E364&lt;E$34,C$32,E364&gt;=E$34,C$34)</f>
        <v/>
      </c>
      <c r="D364" s="37">
        <f>_xlfn.IFS(E364&lt;E$24,0,E364&lt;E$25,D$24,E364&lt;E$26,D$25,E364&lt;E$27,D$26,E364&lt;E$28,D$27,E364&lt;E$29,D$28,E364&lt;E$30,D$29,E364&lt;E$31,D$30,E364&lt;E$32,D$31,E364&lt;E$33,D$32,E364&lt;E$34,D$33,E364&lt;E$35,D$34,E364&gt;=E$35,D$35)</f>
        <v/>
      </c>
      <c r="E364" s="38" t="n">
        <v>314</v>
      </c>
      <c r="F364" s="31">
        <f>E364/52</f>
        <v/>
      </c>
      <c r="G364" s="39">
        <f>D364/1000000*52</f>
        <v/>
      </c>
      <c r="H364" s="33">
        <f>G364/$P$4+($C$22/$P$4)</f>
        <v/>
      </c>
      <c r="I364" s="36">
        <f>_xlfn.IFS(K364&lt;K$24,0,K364&lt;K$26,I$24,K364&lt;K$28,I$26,K364&lt;K$30,I$28,K364&lt;K$32,I$30,K364&lt;K$34,I$32,K364&lt;K$36,I$34,K364&lt;K$38,I$36,K364&lt;K$40,I$38,K364&lt;K$42,I$40,K364&lt;K$44,I$42,K364&lt;K$46,I$44,K364&gt;=K$46,I$46)</f>
        <v/>
      </c>
      <c r="J364" s="37">
        <f>_xlfn.IFS(K364&lt;K$24,0,K364&lt;K$25,J$24,K364&lt;K$26,J$25,K364&lt;K$27,J$26,K364&lt;K$28,J$27,K364&lt;K$29,J$28,K364&lt;K$30,J$29,K364&lt;K$31,J$30,K364&lt;K$32,J$31,K364&lt;K$33,J$32,K364&lt;K$34,J$33,K364&lt;K$35,J$34,K364&lt;K$36,J$35,K364&lt;K$37,J$36,K364&lt;K$38,J$37,K364&lt;K$39,J$38,K364&lt;K$40,J$39,K364&lt;K$41,J$40,K364&lt;K$42,J$41,K364&lt;K$43,J$42,K364&lt;K$44,J$43,K364&lt;K$45,J$44,K364&lt;K$46,J$45,K364&lt;K$47,J$46,K364&gt;=K$47,J$47)</f>
        <v/>
      </c>
      <c r="K364" s="38" t="n">
        <v>314</v>
      </c>
      <c r="L364" s="31">
        <f>K364/52</f>
        <v/>
      </c>
      <c r="M364" s="39">
        <f>J364/1000000*52</f>
        <v/>
      </c>
      <c r="N364" s="33">
        <f>M364/$P$4+($I$22/$P$4)</f>
        <v/>
      </c>
      <c r="U364">
        <f>F363</f>
        <v/>
      </c>
      <c r="V364">
        <f>H363</f>
        <v/>
      </c>
      <c r="W364">
        <f>N363</f>
        <v/>
      </c>
    </row>
    <row r="365" ht="15.75" customHeight="1" s="40">
      <c r="C365" s="36">
        <f>_xlfn.IFS(E365&lt;E$24,0,E365&lt;E$26,C$24,E365&lt;E$28,C$26,E365&lt;E$30,C$28,E365&lt;E$32,C$30,E365&lt;E$34,C$32,E365&gt;=E$34,C$34)</f>
        <v/>
      </c>
      <c r="D365" s="37">
        <f>_xlfn.IFS(E365&lt;E$24,0,E365&lt;E$25,D$24,E365&lt;E$26,D$25,E365&lt;E$27,D$26,E365&lt;E$28,D$27,E365&lt;E$29,D$28,E365&lt;E$30,D$29,E365&lt;E$31,D$30,E365&lt;E$32,D$31,E365&lt;E$33,D$32,E365&lt;E$34,D$33,E365&lt;E$35,D$34,E365&gt;=E$35,D$35)</f>
        <v/>
      </c>
      <c r="E365" s="38" t="n">
        <v>315</v>
      </c>
      <c r="F365" s="31">
        <f>E365/52</f>
        <v/>
      </c>
      <c r="G365" s="39">
        <f>D365/1000000*52</f>
        <v/>
      </c>
      <c r="H365" s="33">
        <f>G365/$P$4+($C$22/$P$4)</f>
        <v/>
      </c>
      <c r="I365" s="36">
        <f>_xlfn.IFS(K365&lt;K$24,0,K365&lt;K$26,I$24,K365&lt;K$28,I$26,K365&lt;K$30,I$28,K365&lt;K$32,I$30,K365&lt;K$34,I$32,K365&lt;K$36,I$34,K365&lt;K$38,I$36,K365&lt;K$40,I$38,K365&lt;K$42,I$40,K365&lt;K$44,I$42,K365&lt;K$46,I$44,K365&gt;=K$46,I$46)</f>
        <v/>
      </c>
      <c r="J365" s="37">
        <f>_xlfn.IFS(K365&lt;K$24,0,K365&lt;K$25,J$24,K365&lt;K$26,J$25,K365&lt;K$27,J$26,K365&lt;K$28,J$27,K365&lt;K$29,J$28,K365&lt;K$30,J$29,K365&lt;K$31,J$30,K365&lt;K$32,J$31,K365&lt;K$33,J$32,K365&lt;K$34,J$33,K365&lt;K$35,J$34,K365&lt;K$36,J$35,K365&lt;K$37,J$36,K365&lt;K$38,J$37,K365&lt;K$39,J$38,K365&lt;K$40,J$39,K365&lt;K$41,J$40,K365&lt;K$42,J$41,K365&lt;K$43,J$42,K365&lt;K$44,J$43,K365&lt;K$45,J$44,K365&lt;K$46,J$45,K365&lt;K$47,J$46,K365&gt;=K$47,J$47)</f>
        <v/>
      </c>
      <c r="K365" s="38" t="n">
        <v>315</v>
      </c>
      <c r="L365" s="31">
        <f>K365/52</f>
        <v/>
      </c>
      <c r="M365" s="39">
        <f>J365/1000000*52</f>
        <v/>
      </c>
      <c r="N365" s="33">
        <f>M365/$P$4+($I$22/$P$4)</f>
        <v/>
      </c>
      <c r="U365">
        <f>F364</f>
        <v/>
      </c>
      <c r="V365">
        <f>H364</f>
        <v/>
      </c>
      <c r="W365">
        <f>N364</f>
        <v/>
      </c>
    </row>
    <row r="366" ht="15.75" customHeight="1" s="40">
      <c r="C366" s="36">
        <f>_xlfn.IFS(E366&lt;E$24,0,E366&lt;E$26,C$24,E366&lt;E$28,C$26,E366&lt;E$30,C$28,E366&lt;E$32,C$30,E366&lt;E$34,C$32,E366&gt;=E$34,C$34)</f>
        <v/>
      </c>
      <c r="D366" s="37">
        <f>_xlfn.IFS(E366&lt;E$24,0,E366&lt;E$25,D$24,E366&lt;E$26,D$25,E366&lt;E$27,D$26,E366&lt;E$28,D$27,E366&lt;E$29,D$28,E366&lt;E$30,D$29,E366&lt;E$31,D$30,E366&lt;E$32,D$31,E366&lt;E$33,D$32,E366&lt;E$34,D$33,E366&lt;E$35,D$34,E366&gt;=E$35,D$35)</f>
        <v/>
      </c>
      <c r="E366" s="38" t="n">
        <v>316</v>
      </c>
      <c r="F366" s="31">
        <f>E366/52</f>
        <v/>
      </c>
      <c r="G366" s="39">
        <f>D366/1000000*52</f>
        <v/>
      </c>
      <c r="H366" s="33">
        <f>G366/$P$4+($C$22/$P$4)</f>
        <v/>
      </c>
      <c r="I366" s="36">
        <f>_xlfn.IFS(K366&lt;K$24,0,K366&lt;K$26,I$24,K366&lt;K$28,I$26,K366&lt;K$30,I$28,K366&lt;K$32,I$30,K366&lt;K$34,I$32,K366&lt;K$36,I$34,K366&lt;K$38,I$36,K366&lt;K$40,I$38,K366&lt;K$42,I$40,K366&lt;K$44,I$42,K366&lt;K$46,I$44,K366&gt;=K$46,I$46)</f>
        <v/>
      </c>
      <c r="J366" s="37">
        <f>_xlfn.IFS(K366&lt;K$24,0,K366&lt;K$25,J$24,K366&lt;K$26,J$25,K366&lt;K$27,J$26,K366&lt;K$28,J$27,K366&lt;K$29,J$28,K366&lt;K$30,J$29,K366&lt;K$31,J$30,K366&lt;K$32,J$31,K366&lt;K$33,J$32,K366&lt;K$34,J$33,K366&lt;K$35,J$34,K366&lt;K$36,J$35,K366&lt;K$37,J$36,K366&lt;K$38,J$37,K366&lt;K$39,J$38,K366&lt;K$40,J$39,K366&lt;K$41,J$40,K366&lt;K$42,J$41,K366&lt;K$43,J$42,K366&lt;K$44,J$43,K366&lt;K$45,J$44,K366&lt;K$46,J$45,K366&lt;K$47,J$46,K366&gt;=K$47,J$47)</f>
        <v/>
      </c>
      <c r="K366" s="38" t="n">
        <v>316</v>
      </c>
      <c r="L366" s="31">
        <f>K366/52</f>
        <v/>
      </c>
      <c r="M366" s="39">
        <f>J366/1000000*52</f>
        <v/>
      </c>
      <c r="N366" s="33">
        <f>M366/$P$4+($I$22/$P$4)</f>
        <v/>
      </c>
      <c r="U366">
        <f>F365</f>
        <v/>
      </c>
      <c r="V366">
        <f>H365</f>
        <v/>
      </c>
      <c r="W366">
        <f>N365</f>
        <v/>
      </c>
    </row>
    <row r="367" ht="15.75" customHeight="1" s="40">
      <c r="C367" s="36">
        <f>_xlfn.IFS(E367&lt;E$24,0,E367&lt;E$26,C$24,E367&lt;E$28,C$26,E367&lt;E$30,C$28,E367&lt;E$32,C$30,E367&lt;E$34,C$32,E367&gt;=E$34,C$34)</f>
        <v/>
      </c>
      <c r="D367" s="37">
        <f>_xlfn.IFS(E367&lt;E$24,0,E367&lt;E$25,D$24,E367&lt;E$26,D$25,E367&lt;E$27,D$26,E367&lt;E$28,D$27,E367&lt;E$29,D$28,E367&lt;E$30,D$29,E367&lt;E$31,D$30,E367&lt;E$32,D$31,E367&lt;E$33,D$32,E367&lt;E$34,D$33,E367&lt;E$35,D$34,E367&gt;=E$35,D$35)</f>
        <v/>
      </c>
      <c r="E367" s="38" t="n">
        <v>317</v>
      </c>
      <c r="F367" s="31">
        <f>E367/52</f>
        <v/>
      </c>
      <c r="G367" s="39">
        <f>D367/1000000*52</f>
        <v/>
      </c>
      <c r="H367" s="33">
        <f>G367/$P$4+($C$22/$P$4)</f>
        <v/>
      </c>
      <c r="I367" s="36">
        <f>_xlfn.IFS(K367&lt;K$24,0,K367&lt;K$26,I$24,K367&lt;K$28,I$26,K367&lt;K$30,I$28,K367&lt;K$32,I$30,K367&lt;K$34,I$32,K367&lt;K$36,I$34,K367&lt;K$38,I$36,K367&lt;K$40,I$38,K367&lt;K$42,I$40,K367&lt;K$44,I$42,K367&lt;K$46,I$44,K367&gt;=K$46,I$46)</f>
        <v/>
      </c>
      <c r="J367" s="37">
        <f>_xlfn.IFS(K367&lt;K$24,0,K367&lt;K$25,J$24,K367&lt;K$26,J$25,K367&lt;K$27,J$26,K367&lt;K$28,J$27,K367&lt;K$29,J$28,K367&lt;K$30,J$29,K367&lt;K$31,J$30,K367&lt;K$32,J$31,K367&lt;K$33,J$32,K367&lt;K$34,J$33,K367&lt;K$35,J$34,K367&lt;K$36,J$35,K367&lt;K$37,J$36,K367&lt;K$38,J$37,K367&lt;K$39,J$38,K367&lt;K$40,J$39,K367&lt;K$41,J$40,K367&lt;K$42,J$41,K367&lt;K$43,J$42,K367&lt;K$44,J$43,K367&lt;K$45,J$44,K367&lt;K$46,J$45,K367&lt;K$47,J$46,K367&gt;=K$47,J$47)</f>
        <v/>
      </c>
      <c r="K367" s="38" t="n">
        <v>317</v>
      </c>
      <c r="L367" s="31">
        <f>K367/52</f>
        <v/>
      </c>
      <c r="M367" s="39">
        <f>J367/1000000*52</f>
        <v/>
      </c>
      <c r="N367" s="33">
        <f>M367/$P$4+($I$22/$P$4)</f>
        <v/>
      </c>
      <c r="U367">
        <f>F366</f>
        <v/>
      </c>
      <c r="V367">
        <f>H366</f>
        <v/>
      </c>
      <c r="W367">
        <f>N366</f>
        <v/>
      </c>
    </row>
    <row r="368" ht="15.75" customHeight="1" s="40">
      <c r="C368" s="36">
        <f>_xlfn.IFS(E368&lt;E$24,0,E368&lt;E$26,C$24,E368&lt;E$28,C$26,E368&lt;E$30,C$28,E368&lt;E$32,C$30,E368&lt;E$34,C$32,E368&gt;=E$34,C$34)</f>
        <v/>
      </c>
      <c r="D368" s="37">
        <f>_xlfn.IFS(E368&lt;E$24,0,E368&lt;E$25,D$24,E368&lt;E$26,D$25,E368&lt;E$27,D$26,E368&lt;E$28,D$27,E368&lt;E$29,D$28,E368&lt;E$30,D$29,E368&lt;E$31,D$30,E368&lt;E$32,D$31,E368&lt;E$33,D$32,E368&lt;E$34,D$33,E368&lt;E$35,D$34,E368&gt;=E$35,D$35)</f>
        <v/>
      </c>
      <c r="E368" s="38" t="n">
        <v>318</v>
      </c>
      <c r="F368" s="31">
        <f>E368/52</f>
        <v/>
      </c>
      <c r="G368" s="39">
        <f>D368/1000000*52</f>
        <v/>
      </c>
      <c r="H368" s="33">
        <f>G368/$P$4+($C$22/$P$4)</f>
        <v/>
      </c>
      <c r="I368" s="36">
        <f>_xlfn.IFS(K368&lt;K$24,0,K368&lt;K$26,I$24,K368&lt;K$28,I$26,K368&lt;K$30,I$28,K368&lt;K$32,I$30,K368&lt;K$34,I$32,K368&lt;K$36,I$34,K368&lt;K$38,I$36,K368&lt;K$40,I$38,K368&lt;K$42,I$40,K368&lt;K$44,I$42,K368&lt;K$46,I$44,K368&gt;=K$46,I$46)</f>
        <v/>
      </c>
      <c r="J368" s="37">
        <f>_xlfn.IFS(K368&lt;K$24,0,K368&lt;K$25,J$24,K368&lt;K$26,J$25,K368&lt;K$27,J$26,K368&lt;K$28,J$27,K368&lt;K$29,J$28,K368&lt;K$30,J$29,K368&lt;K$31,J$30,K368&lt;K$32,J$31,K368&lt;K$33,J$32,K368&lt;K$34,J$33,K368&lt;K$35,J$34,K368&lt;K$36,J$35,K368&lt;K$37,J$36,K368&lt;K$38,J$37,K368&lt;K$39,J$38,K368&lt;K$40,J$39,K368&lt;K$41,J$40,K368&lt;K$42,J$41,K368&lt;K$43,J$42,K368&lt;K$44,J$43,K368&lt;K$45,J$44,K368&lt;K$46,J$45,K368&lt;K$47,J$46,K368&gt;=K$47,J$47)</f>
        <v/>
      </c>
      <c r="K368" s="38" t="n">
        <v>318</v>
      </c>
      <c r="L368" s="31">
        <f>K368/52</f>
        <v/>
      </c>
      <c r="M368" s="39">
        <f>J368/1000000*52</f>
        <v/>
      </c>
      <c r="N368" s="33">
        <f>M368/$P$4+($I$22/$P$4)</f>
        <v/>
      </c>
      <c r="U368">
        <f>F367</f>
        <v/>
      </c>
      <c r="V368">
        <f>H367</f>
        <v/>
      </c>
      <c r="W368">
        <f>N367</f>
        <v/>
      </c>
    </row>
    <row r="369" ht="15.75" customHeight="1" s="40">
      <c r="C369" s="36">
        <f>_xlfn.IFS(E369&lt;E$24,0,E369&lt;E$26,C$24,E369&lt;E$28,C$26,E369&lt;E$30,C$28,E369&lt;E$32,C$30,E369&lt;E$34,C$32,E369&gt;=E$34,C$34)</f>
        <v/>
      </c>
      <c r="D369" s="37">
        <f>_xlfn.IFS(E369&lt;E$24,0,E369&lt;E$25,D$24,E369&lt;E$26,D$25,E369&lt;E$27,D$26,E369&lt;E$28,D$27,E369&lt;E$29,D$28,E369&lt;E$30,D$29,E369&lt;E$31,D$30,E369&lt;E$32,D$31,E369&lt;E$33,D$32,E369&lt;E$34,D$33,E369&lt;E$35,D$34,E369&gt;=E$35,D$35)</f>
        <v/>
      </c>
      <c r="E369" s="38" t="n">
        <v>319</v>
      </c>
      <c r="F369" s="31">
        <f>E369/52</f>
        <v/>
      </c>
      <c r="G369" s="39">
        <f>D369/1000000*52</f>
        <v/>
      </c>
      <c r="H369" s="33">
        <f>G369/$P$4+($C$22/$P$4)</f>
        <v/>
      </c>
      <c r="I369" s="36">
        <f>_xlfn.IFS(K369&lt;K$24,0,K369&lt;K$26,I$24,K369&lt;K$28,I$26,K369&lt;K$30,I$28,K369&lt;K$32,I$30,K369&lt;K$34,I$32,K369&lt;K$36,I$34,K369&lt;K$38,I$36,K369&lt;K$40,I$38,K369&lt;K$42,I$40,K369&lt;K$44,I$42,K369&lt;K$46,I$44,K369&gt;=K$46,I$46)</f>
        <v/>
      </c>
      <c r="J369" s="37">
        <f>_xlfn.IFS(K369&lt;K$24,0,K369&lt;K$25,J$24,K369&lt;K$26,J$25,K369&lt;K$27,J$26,K369&lt;K$28,J$27,K369&lt;K$29,J$28,K369&lt;K$30,J$29,K369&lt;K$31,J$30,K369&lt;K$32,J$31,K369&lt;K$33,J$32,K369&lt;K$34,J$33,K369&lt;K$35,J$34,K369&lt;K$36,J$35,K369&lt;K$37,J$36,K369&lt;K$38,J$37,K369&lt;K$39,J$38,K369&lt;K$40,J$39,K369&lt;K$41,J$40,K369&lt;K$42,J$41,K369&lt;K$43,J$42,K369&lt;K$44,J$43,K369&lt;K$45,J$44,K369&lt;K$46,J$45,K369&lt;K$47,J$46,K369&gt;=K$47,J$47)</f>
        <v/>
      </c>
      <c r="K369" s="38" t="n">
        <v>319</v>
      </c>
      <c r="L369" s="31">
        <f>K369/52</f>
        <v/>
      </c>
      <c r="M369" s="39">
        <f>J369/1000000*52</f>
        <v/>
      </c>
      <c r="N369" s="33">
        <f>M369/$P$4+($I$22/$P$4)</f>
        <v/>
      </c>
      <c r="U369">
        <f>F368</f>
        <v/>
      </c>
      <c r="V369">
        <f>H368</f>
        <v/>
      </c>
      <c r="W369">
        <f>N368</f>
        <v/>
      </c>
    </row>
    <row r="370" ht="15.75" customHeight="1" s="40">
      <c r="C370" s="36">
        <f>_xlfn.IFS(E370&lt;E$24,0,E370&lt;E$26,C$24,E370&lt;E$28,C$26,E370&lt;E$30,C$28,E370&lt;E$32,C$30,E370&lt;E$34,C$32,E370&gt;=E$34,C$34)</f>
        <v/>
      </c>
      <c r="D370" s="37">
        <f>_xlfn.IFS(E370&lt;E$24,0,E370&lt;E$25,D$24,E370&lt;E$26,D$25,E370&lt;E$27,D$26,E370&lt;E$28,D$27,E370&lt;E$29,D$28,E370&lt;E$30,D$29,E370&lt;E$31,D$30,E370&lt;E$32,D$31,E370&lt;E$33,D$32,E370&lt;E$34,D$33,E370&lt;E$35,D$34,E370&gt;=E$35,D$35)</f>
        <v/>
      </c>
      <c r="E370" s="38" t="n">
        <v>320</v>
      </c>
      <c r="F370" s="31">
        <f>E370/52</f>
        <v/>
      </c>
      <c r="G370" s="39">
        <f>D370/1000000*52</f>
        <v/>
      </c>
      <c r="H370" s="33">
        <f>G370/$P$4+($C$22/$P$4)</f>
        <v/>
      </c>
      <c r="I370" s="36">
        <f>_xlfn.IFS(K370&lt;K$24,0,K370&lt;K$26,I$24,K370&lt;K$28,I$26,K370&lt;K$30,I$28,K370&lt;K$32,I$30,K370&lt;K$34,I$32,K370&lt;K$36,I$34,K370&lt;K$38,I$36,K370&lt;K$40,I$38,K370&lt;K$42,I$40,K370&lt;K$44,I$42,K370&lt;K$46,I$44,K370&gt;=K$46,I$46)</f>
        <v/>
      </c>
      <c r="J370" s="37">
        <f>_xlfn.IFS(K370&lt;K$24,0,K370&lt;K$25,J$24,K370&lt;K$26,J$25,K370&lt;K$27,J$26,K370&lt;K$28,J$27,K370&lt;K$29,J$28,K370&lt;K$30,J$29,K370&lt;K$31,J$30,K370&lt;K$32,J$31,K370&lt;K$33,J$32,K370&lt;K$34,J$33,K370&lt;K$35,J$34,K370&lt;K$36,J$35,K370&lt;K$37,J$36,K370&lt;K$38,J$37,K370&lt;K$39,J$38,K370&lt;K$40,J$39,K370&lt;K$41,J$40,K370&lt;K$42,J$41,K370&lt;K$43,J$42,K370&lt;K$44,J$43,K370&lt;K$45,J$44,K370&lt;K$46,J$45,K370&lt;K$47,J$46,K370&gt;=K$47,J$47)</f>
        <v/>
      </c>
      <c r="K370" s="38" t="n">
        <v>320</v>
      </c>
      <c r="L370" s="31">
        <f>K370/52</f>
        <v/>
      </c>
      <c r="M370" s="39">
        <f>J370/1000000*52</f>
        <v/>
      </c>
      <c r="N370" s="33">
        <f>M370/$P$4+($I$22/$P$4)</f>
        <v/>
      </c>
      <c r="U370">
        <f>F369</f>
        <v/>
      </c>
      <c r="V370">
        <f>H369</f>
        <v/>
      </c>
      <c r="W370">
        <f>N369</f>
        <v/>
      </c>
    </row>
    <row r="371" ht="15.75" customHeight="1" s="40">
      <c r="C371" s="36">
        <f>_xlfn.IFS(E371&lt;E$24,0,E371&lt;E$26,C$24,E371&lt;E$28,C$26,E371&lt;E$30,C$28,E371&lt;E$32,C$30,E371&lt;E$34,C$32,E371&gt;=E$34,C$34)</f>
        <v/>
      </c>
      <c r="D371" s="37">
        <f>_xlfn.IFS(E371&lt;E$24,0,E371&lt;E$25,D$24,E371&lt;E$26,D$25,E371&lt;E$27,D$26,E371&lt;E$28,D$27,E371&lt;E$29,D$28,E371&lt;E$30,D$29,E371&lt;E$31,D$30,E371&lt;E$32,D$31,E371&lt;E$33,D$32,E371&lt;E$34,D$33,E371&lt;E$35,D$34,E371&gt;=E$35,D$35)</f>
        <v/>
      </c>
      <c r="E371" s="38" t="n">
        <v>321</v>
      </c>
      <c r="F371" s="31">
        <f>E371/52</f>
        <v/>
      </c>
      <c r="G371" s="39">
        <f>D371/1000000*52</f>
        <v/>
      </c>
      <c r="H371" s="33">
        <f>G371/$P$4+($C$22/$P$4)</f>
        <v/>
      </c>
      <c r="I371" s="36">
        <f>_xlfn.IFS(K371&lt;K$24,0,K371&lt;K$26,I$24,K371&lt;K$28,I$26,K371&lt;K$30,I$28,K371&lt;K$32,I$30,K371&lt;K$34,I$32,K371&lt;K$36,I$34,K371&lt;K$38,I$36,K371&lt;K$40,I$38,K371&lt;K$42,I$40,K371&lt;K$44,I$42,K371&lt;K$46,I$44,K371&gt;=K$46,I$46)</f>
        <v/>
      </c>
      <c r="J371" s="37">
        <f>_xlfn.IFS(K371&lt;K$24,0,K371&lt;K$25,J$24,K371&lt;K$26,J$25,K371&lt;K$27,J$26,K371&lt;K$28,J$27,K371&lt;K$29,J$28,K371&lt;K$30,J$29,K371&lt;K$31,J$30,K371&lt;K$32,J$31,K371&lt;K$33,J$32,K371&lt;K$34,J$33,K371&lt;K$35,J$34,K371&lt;K$36,J$35,K371&lt;K$37,J$36,K371&lt;K$38,J$37,K371&lt;K$39,J$38,K371&lt;K$40,J$39,K371&lt;K$41,J$40,K371&lt;K$42,J$41,K371&lt;K$43,J$42,K371&lt;K$44,J$43,K371&lt;K$45,J$44,K371&lt;K$46,J$45,K371&lt;K$47,J$46,K371&gt;=K$47,J$47)</f>
        <v/>
      </c>
      <c r="K371" s="38" t="n">
        <v>321</v>
      </c>
      <c r="L371" s="31">
        <f>K371/52</f>
        <v/>
      </c>
      <c r="M371" s="39">
        <f>J371/1000000*52</f>
        <v/>
      </c>
      <c r="N371" s="33">
        <f>M371/$P$4+($I$22/$P$4)</f>
        <v/>
      </c>
      <c r="U371">
        <f>F370</f>
        <v/>
      </c>
      <c r="V371">
        <f>H370</f>
        <v/>
      </c>
      <c r="W371">
        <f>N370</f>
        <v/>
      </c>
    </row>
    <row r="372" ht="15.75" customHeight="1" s="40">
      <c r="C372" s="36">
        <f>_xlfn.IFS(E372&lt;E$24,0,E372&lt;E$26,C$24,E372&lt;E$28,C$26,E372&lt;E$30,C$28,E372&lt;E$32,C$30,E372&lt;E$34,C$32,E372&gt;=E$34,C$34)</f>
        <v/>
      </c>
      <c r="D372" s="37">
        <f>_xlfn.IFS(E372&lt;E$24,0,E372&lt;E$25,D$24,E372&lt;E$26,D$25,E372&lt;E$27,D$26,E372&lt;E$28,D$27,E372&lt;E$29,D$28,E372&lt;E$30,D$29,E372&lt;E$31,D$30,E372&lt;E$32,D$31,E372&lt;E$33,D$32,E372&lt;E$34,D$33,E372&lt;E$35,D$34,E372&gt;=E$35,D$35)</f>
        <v/>
      </c>
      <c r="E372" s="38" t="n">
        <v>322</v>
      </c>
      <c r="F372" s="31">
        <f>E372/52</f>
        <v/>
      </c>
      <c r="G372" s="39">
        <f>D372/1000000*52</f>
        <v/>
      </c>
      <c r="H372" s="33">
        <f>G372/$P$4+($C$22/$P$4)</f>
        <v/>
      </c>
      <c r="I372" s="36">
        <f>_xlfn.IFS(K372&lt;K$24,0,K372&lt;K$26,I$24,K372&lt;K$28,I$26,K372&lt;K$30,I$28,K372&lt;K$32,I$30,K372&lt;K$34,I$32,K372&lt;K$36,I$34,K372&lt;K$38,I$36,K372&lt;K$40,I$38,K372&lt;K$42,I$40,K372&lt;K$44,I$42,K372&lt;K$46,I$44,K372&gt;=K$46,I$46)</f>
        <v/>
      </c>
      <c r="J372" s="37">
        <f>_xlfn.IFS(K372&lt;K$24,0,K372&lt;K$25,J$24,K372&lt;K$26,J$25,K372&lt;K$27,J$26,K372&lt;K$28,J$27,K372&lt;K$29,J$28,K372&lt;K$30,J$29,K372&lt;K$31,J$30,K372&lt;K$32,J$31,K372&lt;K$33,J$32,K372&lt;K$34,J$33,K372&lt;K$35,J$34,K372&lt;K$36,J$35,K372&lt;K$37,J$36,K372&lt;K$38,J$37,K372&lt;K$39,J$38,K372&lt;K$40,J$39,K372&lt;K$41,J$40,K372&lt;K$42,J$41,K372&lt;K$43,J$42,K372&lt;K$44,J$43,K372&lt;K$45,J$44,K372&lt;K$46,J$45,K372&lt;K$47,J$46,K372&gt;=K$47,J$47)</f>
        <v/>
      </c>
      <c r="K372" s="38" t="n">
        <v>322</v>
      </c>
      <c r="L372" s="31">
        <f>K372/52</f>
        <v/>
      </c>
      <c r="M372" s="39">
        <f>J372/1000000*52</f>
        <v/>
      </c>
      <c r="N372" s="33">
        <f>M372/$P$4+($I$22/$P$4)</f>
        <v/>
      </c>
      <c r="U372">
        <f>F371</f>
        <v/>
      </c>
      <c r="V372">
        <f>H371</f>
        <v/>
      </c>
      <c r="W372">
        <f>N371</f>
        <v/>
      </c>
    </row>
    <row r="373" ht="15.75" customHeight="1" s="40">
      <c r="C373" s="36">
        <f>_xlfn.IFS(E373&lt;E$24,0,E373&lt;E$26,C$24,E373&lt;E$28,C$26,E373&lt;E$30,C$28,E373&lt;E$32,C$30,E373&lt;E$34,C$32,E373&gt;=E$34,C$34)</f>
        <v/>
      </c>
      <c r="D373" s="37">
        <f>_xlfn.IFS(E373&lt;E$24,0,E373&lt;E$25,D$24,E373&lt;E$26,D$25,E373&lt;E$27,D$26,E373&lt;E$28,D$27,E373&lt;E$29,D$28,E373&lt;E$30,D$29,E373&lt;E$31,D$30,E373&lt;E$32,D$31,E373&lt;E$33,D$32,E373&lt;E$34,D$33,E373&lt;E$35,D$34,E373&gt;=E$35,D$35)</f>
        <v/>
      </c>
      <c r="E373" s="38" t="n">
        <v>323</v>
      </c>
      <c r="F373" s="31">
        <f>E373/52</f>
        <v/>
      </c>
      <c r="G373" s="39">
        <f>D373/1000000*52</f>
        <v/>
      </c>
      <c r="H373" s="33">
        <f>G373/$P$4+($C$22/$P$4)</f>
        <v/>
      </c>
      <c r="I373" s="36">
        <f>_xlfn.IFS(K373&lt;K$24,0,K373&lt;K$26,I$24,K373&lt;K$28,I$26,K373&lt;K$30,I$28,K373&lt;K$32,I$30,K373&lt;K$34,I$32,K373&lt;K$36,I$34,K373&lt;K$38,I$36,K373&lt;K$40,I$38,K373&lt;K$42,I$40,K373&lt;K$44,I$42,K373&lt;K$46,I$44,K373&gt;=K$46,I$46)</f>
        <v/>
      </c>
      <c r="J373" s="37">
        <f>_xlfn.IFS(K373&lt;K$24,0,K373&lt;K$25,J$24,K373&lt;K$26,J$25,K373&lt;K$27,J$26,K373&lt;K$28,J$27,K373&lt;K$29,J$28,K373&lt;K$30,J$29,K373&lt;K$31,J$30,K373&lt;K$32,J$31,K373&lt;K$33,J$32,K373&lt;K$34,J$33,K373&lt;K$35,J$34,K373&lt;K$36,J$35,K373&lt;K$37,J$36,K373&lt;K$38,J$37,K373&lt;K$39,J$38,K373&lt;K$40,J$39,K373&lt;K$41,J$40,K373&lt;K$42,J$41,K373&lt;K$43,J$42,K373&lt;K$44,J$43,K373&lt;K$45,J$44,K373&lt;K$46,J$45,K373&lt;K$47,J$46,K373&gt;=K$47,J$47)</f>
        <v/>
      </c>
      <c r="K373" s="38" t="n">
        <v>323</v>
      </c>
      <c r="L373" s="31">
        <f>K373/52</f>
        <v/>
      </c>
      <c r="M373" s="39">
        <f>J373/1000000*52</f>
        <v/>
      </c>
      <c r="N373" s="33">
        <f>M373/$P$4+($I$22/$P$4)</f>
        <v/>
      </c>
      <c r="U373">
        <f>F372</f>
        <v/>
      </c>
      <c r="V373">
        <f>H372</f>
        <v/>
      </c>
      <c r="W373">
        <f>N372</f>
        <v/>
      </c>
    </row>
    <row r="374" ht="15.75" customHeight="1" s="40">
      <c r="C374" s="36">
        <f>_xlfn.IFS(E374&lt;E$24,0,E374&lt;E$26,C$24,E374&lt;E$28,C$26,E374&lt;E$30,C$28,E374&lt;E$32,C$30,E374&lt;E$34,C$32,E374&gt;=E$34,C$34)</f>
        <v/>
      </c>
      <c r="D374" s="37">
        <f>_xlfn.IFS(E374&lt;E$24,0,E374&lt;E$25,D$24,E374&lt;E$26,D$25,E374&lt;E$27,D$26,E374&lt;E$28,D$27,E374&lt;E$29,D$28,E374&lt;E$30,D$29,E374&lt;E$31,D$30,E374&lt;E$32,D$31,E374&lt;E$33,D$32,E374&lt;E$34,D$33,E374&lt;E$35,D$34,E374&gt;=E$35,D$35)</f>
        <v/>
      </c>
      <c r="E374" s="38" t="n">
        <v>324</v>
      </c>
      <c r="F374" s="31">
        <f>E374/52</f>
        <v/>
      </c>
      <c r="G374" s="39">
        <f>D374/1000000*52</f>
        <v/>
      </c>
      <c r="H374" s="33">
        <f>G374/$P$4+($C$22/$P$4)</f>
        <v/>
      </c>
      <c r="I374" s="36">
        <f>_xlfn.IFS(K374&lt;K$24,0,K374&lt;K$26,I$24,K374&lt;K$28,I$26,K374&lt;K$30,I$28,K374&lt;K$32,I$30,K374&lt;K$34,I$32,K374&lt;K$36,I$34,K374&lt;K$38,I$36,K374&lt;K$40,I$38,K374&lt;K$42,I$40,K374&lt;K$44,I$42,K374&lt;K$46,I$44,K374&gt;=K$46,I$46)</f>
        <v/>
      </c>
      <c r="J374" s="37">
        <f>_xlfn.IFS(K374&lt;K$24,0,K374&lt;K$25,J$24,K374&lt;K$26,J$25,K374&lt;K$27,J$26,K374&lt;K$28,J$27,K374&lt;K$29,J$28,K374&lt;K$30,J$29,K374&lt;K$31,J$30,K374&lt;K$32,J$31,K374&lt;K$33,J$32,K374&lt;K$34,J$33,K374&lt;K$35,J$34,K374&lt;K$36,J$35,K374&lt;K$37,J$36,K374&lt;K$38,J$37,K374&lt;K$39,J$38,K374&lt;K$40,J$39,K374&lt;K$41,J$40,K374&lt;K$42,J$41,K374&lt;K$43,J$42,K374&lt;K$44,J$43,K374&lt;K$45,J$44,K374&lt;K$46,J$45,K374&lt;K$47,J$46,K374&gt;=K$47,J$47)</f>
        <v/>
      </c>
      <c r="K374" s="38" t="n">
        <v>324</v>
      </c>
      <c r="L374" s="31">
        <f>K374/52</f>
        <v/>
      </c>
      <c r="M374" s="39">
        <f>J374/1000000*52</f>
        <v/>
      </c>
      <c r="N374" s="33">
        <f>M374/$P$4+($I$22/$P$4)</f>
        <v/>
      </c>
      <c r="U374">
        <f>F373</f>
        <v/>
      </c>
      <c r="V374">
        <f>H373</f>
        <v/>
      </c>
      <c r="W374">
        <f>N373</f>
        <v/>
      </c>
    </row>
    <row r="375" ht="15.75" customHeight="1" s="40">
      <c r="C375" s="36">
        <f>_xlfn.IFS(E375&lt;E$24,0,E375&lt;E$26,C$24,E375&lt;E$28,C$26,E375&lt;E$30,C$28,E375&lt;E$32,C$30,E375&lt;E$34,C$32,E375&gt;=E$34,C$34)</f>
        <v/>
      </c>
      <c r="D375" s="37">
        <f>_xlfn.IFS(E375&lt;E$24,0,E375&lt;E$25,D$24,E375&lt;E$26,D$25,E375&lt;E$27,D$26,E375&lt;E$28,D$27,E375&lt;E$29,D$28,E375&lt;E$30,D$29,E375&lt;E$31,D$30,E375&lt;E$32,D$31,E375&lt;E$33,D$32,E375&lt;E$34,D$33,E375&lt;E$35,D$34,E375&gt;=E$35,D$35)</f>
        <v/>
      </c>
      <c r="E375" s="38" t="n">
        <v>325</v>
      </c>
      <c r="F375" s="31">
        <f>E375/52</f>
        <v/>
      </c>
      <c r="G375" s="39">
        <f>D375/1000000*52</f>
        <v/>
      </c>
      <c r="H375" s="33">
        <f>G375/$P$4+($C$22/$P$4)</f>
        <v/>
      </c>
      <c r="I375" s="36">
        <f>_xlfn.IFS(K375&lt;K$24,0,K375&lt;K$26,I$24,K375&lt;K$28,I$26,K375&lt;K$30,I$28,K375&lt;K$32,I$30,K375&lt;K$34,I$32,K375&lt;K$36,I$34,K375&lt;K$38,I$36,K375&lt;K$40,I$38,K375&lt;K$42,I$40,K375&lt;K$44,I$42,K375&lt;K$46,I$44,K375&gt;=K$46,I$46)</f>
        <v/>
      </c>
      <c r="J375" s="37">
        <f>_xlfn.IFS(K375&lt;K$24,0,K375&lt;K$25,J$24,K375&lt;K$26,J$25,K375&lt;K$27,J$26,K375&lt;K$28,J$27,K375&lt;K$29,J$28,K375&lt;K$30,J$29,K375&lt;K$31,J$30,K375&lt;K$32,J$31,K375&lt;K$33,J$32,K375&lt;K$34,J$33,K375&lt;K$35,J$34,K375&lt;K$36,J$35,K375&lt;K$37,J$36,K375&lt;K$38,J$37,K375&lt;K$39,J$38,K375&lt;K$40,J$39,K375&lt;K$41,J$40,K375&lt;K$42,J$41,K375&lt;K$43,J$42,K375&lt;K$44,J$43,K375&lt;K$45,J$44,K375&lt;K$46,J$45,K375&lt;K$47,J$46,K375&gt;=K$47,J$47)</f>
        <v/>
      </c>
      <c r="K375" s="38" t="n">
        <v>325</v>
      </c>
      <c r="L375" s="31">
        <f>K375/52</f>
        <v/>
      </c>
      <c r="M375" s="39">
        <f>J375/1000000*52</f>
        <v/>
      </c>
      <c r="N375" s="33">
        <f>M375/$P$4+($I$22/$P$4)</f>
        <v/>
      </c>
      <c r="U375">
        <f>F374</f>
        <v/>
      </c>
      <c r="V375">
        <f>H374</f>
        <v/>
      </c>
      <c r="W375">
        <f>N374</f>
        <v/>
      </c>
    </row>
    <row r="376" ht="15.75" customHeight="1" s="40">
      <c r="C376" s="36">
        <f>_xlfn.IFS(E376&lt;E$24,0,E376&lt;E$26,C$24,E376&lt;E$28,C$26,E376&lt;E$30,C$28,E376&lt;E$32,C$30,E376&lt;E$34,C$32,E376&gt;=E$34,C$34)</f>
        <v/>
      </c>
      <c r="D376" s="37">
        <f>_xlfn.IFS(E376&lt;E$24,0,E376&lt;E$25,D$24,E376&lt;E$26,D$25,E376&lt;E$27,D$26,E376&lt;E$28,D$27,E376&lt;E$29,D$28,E376&lt;E$30,D$29,E376&lt;E$31,D$30,E376&lt;E$32,D$31,E376&lt;E$33,D$32,E376&lt;E$34,D$33,E376&lt;E$35,D$34,E376&gt;=E$35,D$35)</f>
        <v/>
      </c>
      <c r="E376" s="38" t="n">
        <v>326</v>
      </c>
      <c r="F376" s="31">
        <f>E376/52</f>
        <v/>
      </c>
      <c r="G376" s="39">
        <f>D376/1000000*52</f>
        <v/>
      </c>
      <c r="H376" s="33">
        <f>G376/$P$4+($C$22/$P$4)</f>
        <v/>
      </c>
      <c r="I376" s="36">
        <f>_xlfn.IFS(K376&lt;K$24,0,K376&lt;K$26,I$24,K376&lt;K$28,I$26,K376&lt;K$30,I$28,K376&lt;K$32,I$30,K376&lt;K$34,I$32,K376&lt;K$36,I$34,K376&lt;K$38,I$36,K376&lt;K$40,I$38,K376&lt;K$42,I$40,K376&lt;K$44,I$42,K376&lt;K$46,I$44,K376&gt;=K$46,I$46)</f>
        <v/>
      </c>
      <c r="J376" s="37">
        <f>_xlfn.IFS(K376&lt;K$24,0,K376&lt;K$25,J$24,K376&lt;K$26,J$25,K376&lt;K$27,J$26,K376&lt;K$28,J$27,K376&lt;K$29,J$28,K376&lt;K$30,J$29,K376&lt;K$31,J$30,K376&lt;K$32,J$31,K376&lt;K$33,J$32,K376&lt;K$34,J$33,K376&lt;K$35,J$34,K376&lt;K$36,J$35,K376&lt;K$37,J$36,K376&lt;K$38,J$37,K376&lt;K$39,J$38,K376&lt;K$40,J$39,K376&lt;K$41,J$40,K376&lt;K$42,J$41,K376&lt;K$43,J$42,K376&lt;K$44,J$43,K376&lt;K$45,J$44,K376&lt;K$46,J$45,K376&lt;K$47,J$46,K376&gt;=K$47,J$47)</f>
        <v/>
      </c>
      <c r="K376" s="38" t="n">
        <v>326</v>
      </c>
      <c r="L376" s="31">
        <f>K376/52</f>
        <v/>
      </c>
      <c r="M376" s="39">
        <f>J376/1000000*52</f>
        <v/>
      </c>
      <c r="N376" s="33">
        <f>M376/$P$4+($I$22/$P$4)</f>
        <v/>
      </c>
      <c r="U376">
        <f>F375</f>
        <v/>
      </c>
      <c r="V376">
        <f>H375</f>
        <v/>
      </c>
      <c r="W376">
        <f>N375</f>
        <v/>
      </c>
    </row>
    <row r="377" ht="15.75" customHeight="1" s="40">
      <c r="C377" s="36">
        <f>_xlfn.IFS(E377&lt;E$24,0,E377&lt;E$26,C$24,E377&lt;E$28,C$26,E377&lt;E$30,C$28,E377&lt;E$32,C$30,E377&lt;E$34,C$32,E377&gt;=E$34,C$34)</f>
        <v/>
      </c>
      <c r="D377" s="37">
        <f>_xlfn.IFS(E377&lt;E$24,0,E377&lt;E$25,D$24,E377&lt;E$26,D$25,E377&lt;E$27,D$26,E377&lt;E$28,D$27,E377&lt;E$29,D$28,E377&lt;E$30,D$29,E377&lt;E$31,D$30,E377&lt;E$32,D$31,E377&lt;E$33,D$32,E377&lt;E$34,D$33,E377&lt;E$35,D$34,E377&gt;=E$35,D$35)</f>
        <v/>
      </c>
      <c r="E377" s="38" t="n">
        <v>327</v>
      </c>
      <c r="F377" s="31">
        <f>E377/52</f>
        <v/>
      </c>
      <c r="G377" s="39">
        <f>D377/1000000*52</f>
        <v/>
      </c>
      <c r="H377" s="33">
        <f>G377/$P$4+($C$22/$P$4)</f>
        <v/>
      </c>
      <c r="I377" s="36">
        <f>_xlfn.IFS(K377&lt;K$24,0,K377&lt;K$26,I$24,K377&lt;K$28,I$26,K377&lt;K$30,I$28,K377&lt;K$32,I$30,K377&lt;K$34,I$32,K377&lt;K$36,I$34,K377&lt;K$38,I$36,K377&lt;K$40,I$38,K377&lt;K$42,I$40,K377&lt;K$44,I$42,K377&lt;K$46,I$44,K377&gt;=K$46,I$46)</f>
        <v/>
      </c>
      <c r="J377" s="37">
        <f>_xlfn.IFS(K377&lt;K$24,0,K377&lt;K$25,J$24,K377&lt;K$26,J$25,K377&lt;K$27,J$26,K377&lt;K$28,J$27,K377&lt;K$29,J$28,K377&lt;K$30,J$29,K377&lt;K$31,J$30,K377&lt;K$32,J$31,K377&lt;K$33,J$32,K377&lt;K$34,J$33,K377&lt;K$35,J$34,K377&lt;K$36,J$35,K377&lt;K$37,J$36,K377&lt;K$38,J$37,K377&lt;K$39,J$38,K377&lt;K$40,J$39,K377&lt;K$41,J$40,K377&lt;K$42,J$41,K377&lt;K$43,J$42,K377&lt;K$44,J$43,K377&lt;K$45,J$44,K377&lt;K$46,J$45,K377&lt;K$47,J$46,K377&gt;=K$47,J$47)</f>
        <v/>
      </c>
      <c r="K377" s="38" t="n">
        <v>327</v>
      </c>
      <c r="L377" s="31">
        <f>K377/52</f>
        <v/>
      </c>
      <c r="M377" s="39">
        <f>J377/1000000*52</f>
        <v/>
      </c>
      <c r="N377" s="33">
        <f>M377/$P$4+($I$22/$P$4)</f>
        <v/>
      </c>
      <c r="U377">
        <f>F376</f>
        <v/>
      </c>
      <c r="V377">
        <f>H376</f>
        <v/>
      </c>
      <c r="W377">
        <f>N376</f>
        <v/>
      </c>
    </row>
    <row r="378" ht="15.75" customHeight="1" s="40">
      <c r="C378" s="36">
        <f>_xlfn.IFS(E378&lt;E$24,0,E378&lt;E$26,C$24,E378&lt;E$28,C$26,E378&lt;E$30,C$28,E378&lt;E$32,C$30,E378&lt;E$34,C$32,E378&gt;=E$34,C$34)</f>
        <v/>
      </c>
      <c r="D378" s="37">
        <f>_xlfn.IFS(E378&lt;E$24,0,E378&lt;E$25,D$24,E378&lt;E$26,D$25,E378&lt;E$27,D$26,E378&lt;E$28,D$27,E378&lt;E$29,D$28,E378&lt;E$30,D$29,E378&lt;E$31,D$30,E378&lt;E$32,D$31,E378&lt;E$33,D$32,E378&lt;E$34,D$33,E378&lt;E$35,D$34,E378&gt;=E$35,D$35)</f>
        <v/>
      </c>
      <c r="E378" s="38" t="n">
        <v>328</v>
      </c>
      <c r="F378" s="31">
        <f>E378/52</f>
        <v/>
      </c>
      <c r="G378" s="39">
        <f>D378/1000000*52</f>
        <v/>
      </c>
      <c r="H378" s="33">
        <f>G378/$P$4+($C$22/$P$4)</f>
        <v/>
      </c>
      <c r="I378" s="36">
        <f>_xlfn.IFS(K378&lt;K$24,0,K378&lt;K$26,I$24,K378&lt;K$28,I$26,K378&lt;K$30,I$28,K378&lt;K$32,I$30,K378&lt;K$34,I$32,K378&lt;K$36,I$34,K378&lt;K$38,I$36,K378&lt;K$40,I$38,K378&lt;K$42,I$40,K378&lt;K$44,I$42,K378&lt;K$46,I$44,K378&gt;=K$46,I$46)</f>
        <v/>
      </c>
      <c r="J378" s="37">
        <f>_xlfn.IFS(K378&lt;K$24,0,K378&lt;K$25,J$24,K378&lt;K$26,J$25,K378&lt;K$27,J$26,K378&lt;K$28,J$27,K378&lt;K$29,J$28,K378&lt;K$30,J$29,K378&lt;K$31,J$30,K378&lt;K$32,J$31,K378&lt;K$33,J$32,K378&lt;K$34,J$33,K378&lt;K$35,J$34,K378&lt;K$36,J$35,K378&lt;K$37,J$36,K378&lt;K$38,J$37,K378&lt;K$39,J$38,K378&lt;K$40,J$39,K378&lt;K$41,J$40,K378&lt;K$42,J$41,K378&lt;K$43,J$42,K378&lt;K$44,J$43,K378&lt;K$45,J$44,K378&lt;K$46,J$45,K378&lt;K$47,J$46,K378&gt;=K$47,J$47)</f>
        <v/>
      </c>
      <c r="K378" s="38" t="n">
        <v>328</v>
      </c>
      <c r="L378" s="31">
        <f>K378/52</f>
        <v/>
      </c>
      <c r="M378" s="39">
        <f>J378/1000000*52</f>
        <v/>
      </c>
      <c r="N378" s="33">
        <f>M378/$P$4+($I$22/$P$4)</f>
        <v/>
      </c>
      <c r="U378">
        <f>F377</f>
        <v/>
      </c>
      <c r="V378">
        <f>H377</f>
        <v/>
      </c>
      <c r="W378">
        <f>N377</f>
        <v/>
      </c>
    </row>
    <row r="379" ht="15.75" customHeight="1" s="40">
      <c r="C379" s="36">
        <f>_xlfn.IFS(E379&lt;E$24,0,E379&lt;E$26,C$24,E379&lt;E$28,C$26,E379&lt;E$30,C$28,E379&lt;E$32,C$30,E379&lt;E$34,C$32,E379&gt;=E$34,C$34)</f>
        <v/>
      </c>
      <c r="D379" s="37">
        <f>_xlfn.IFS(E379&lt;E$24,0,E379&lt;E$25,D$24,E379&lt;E$26,D$25,E379&lt;E$27,D$26,E379&lt;E$28,D$27,E379&lt;E$29,D$28,E379&lt;E$30,D$29,E379&lt;E$31,D$30,E379&lt;E$32,D$31,E379&lt;E$33,D$32,E379&lt;E$34,D$33,E379&lt;E$35,D$34,E379&gt;=E$35,D$35)</f>
        <v/>
      </c>
      <c r="E379" s="38" t="n">
        <v>329</v>
      </c>
      <c r="F379" s="31">
        <f>E379/52</f>
        <v/>
      </c>
      <c r="G379" s="39">
        <f>D379/1000000*52</f>
        <v/>
      </c>
      <c r="H379" s="33">
        <f>G379/$P$4+($C$22/$P$4)</f>
        <v/>
      </c>
      <c r="I379" s="36">
        <f>_xlfn.IFS(K379&lt;K$24,0,K379&lt;K$26,I$24,K379&lt;K$28,I$26,K379&lt;K$30,I$28,K379&lt;K$32,I$30,K379&lt;K$34,I$32,K379&lt;K$36,I$34,K379&lt;K$38,I$36,K379&lt;K$40,I$38,K379&lt;K$42,I$40,K379&lt;K$44,I$42,K379&lt;K$46,I$44,K379&gt;=K$46,I$46)</f>
        <v/>
      </c>
      <c r="J379" s="37">
        <f>_xlfn.IFS(K379&lt;K$24,0,K379&lt;K$25,J$24,K379&lt;K$26,J$25,K379&lt;K$27,J$26,K379&lt;K$28,J$27,K379&lt;K$29,J$28,K379&lt;K$30,J$29,K379&lt;K$31,J$30,K379&lt;K$32,J$31,K379&lt;K$33,J$32,K379&lt;K$34,J$33,K379&lt;K$35,J$34,K379&lt;K$36,J$35,K379&lt;K$37,J$36,K379&lt;K$38,J$37,K379&lt;K$39,J$38,K379&lt;K$40,J$39,K379&lt;K$41,J$40,K379&lt;K$42,J$41,K379&lt;K$43,J$42,K379&lt;K$44,J$43,K379&lt;K$45,J$44,K379&lt;K$46,J$45,K379&lt;K$47,J$46,K379&gt;=K$47,J$47)</f>
        <v/>
      </c>
      <c r="K379" s="38" t="n">
        <v>329</v>
      </c>
      <c r="L379" s="31">
        <f>K379/52</f>
        <v/>
      </c>
      <c r="M379" s="39">
        <f>J379/1000000*52</f>
        <v/>
      </c>
      <c r="N379" s="33">
        <f>M379/$P$4+($I$22/$P$4)</f>
        <v/>
      </c>
      <c r="U379">
        <f>F378</f>
        <v/>
      </c>
      <c r="V379">
        <f>H378</f>
        <v/>
      </c>
      <c r="W379">
        <f>N378</f>
        <v/>
      </c>
    </row>
    <row r="380" ht="15.75" customHeight="1" s="40">
      <c r="C380" s="36">
        <f>_xlfn.IFS(E380&lt;E$24,0,E380&lt;E$26,C$24,E380&lt;E$28,C$26,E380&lt;E$30,C$28,E380&lt;E$32,C$30,E380&lt;E$34,C$32,E380&gt;=E$34,C$34)</f>
        <v/>
      </c>
      <c r="D380" s="37">
        <f>_xlfn.IFS(E380&lt;E$24,0,E380&lt;E$25,D$24,E380&lt;E$26,D$25,E380&lt;E$27,D$26,E380&lt;E$28,D$27,E380&lt;E$29,D$28,E380&lt;E$30,D$29,E380&lt;E$31,D$30,E380&lt;E$32,D$31,E380&lt;E$33,D$32,E380&lt;E$34,D$33,E380&lt;E$35,D$34,E380&gt;=E$35,D$35)</f>
        <v/>
      </c>
      <c r="E380" s="38" t="n">
        <v>330</v>
      </c>
      <c r="F380" s="31">
        <f>E380/52</f>
        <v/>
      </c>
      <c r="G380" s="39">
        <f>D380/1000000*52</f>
        <v/>
      </c>
      <c r="H380" s="33">
        <f>G380/$P$4+($C$22/$P$4)</f>
        <v/>
      </c>
      <c r="I380" s="36">
        <f>_xlfn.IFS(K380&lt;K$24,0,K380&lt;K$26,I$24,K380&lt;K$28,I$26,K380&lt;K$30,I$28,K380&lt;K$32,I$30,K380&lt;K$34,I$32,K380&lt;K$36,I$34,K380&lt;K$38,I$36,K380&lt;K$40,I$38,K380&lt;K$42,I$40,K380&lt;K$44,I$42,K380&lt;K$46,I$44,K380&gt;=K$46,I$46)</f>
        <v/>
      </c>
      <c r="J380" s="37">
        <f>_xlfn.IFS(K380&lt;K$24,0,K380&lt;K$25,J$24,K380&lt;K$26,J$25,K380&lt;K$27,J$26,K380&lt;K$28,J$27,K380&lt;K$29,J$28,K380&lt;K$30,J$29,K380&lt;K$31,J$30,K380&lt;K$32,J$31,K380&lt;K$33,J$32,K380&lt;K$34,J$33,K380&lt;K$35,J$34,K380&lt;K$36,J$35,K380&lt;K$37,J$36,K380&lt;K$38,J$37,K380&lt;K$39,J$38,K380&lt;K$40,J$39,K380&lt;K$41,J$40,K380&lt;K$42,J$41,K380&lt;K$43,J$42,K380&lt;K$44,J$43,K380&lt;K$45,J$44,K380&lt;K$46,J$45,K380&lt;K$47,J$46,K380&gt;=K$47,J$47)</f>
        <v/>
      </c>
      <c r="K380" s="38" t="n">
        <v>330</v>
      </c>
      <c r="L380" s="31">
        <f>K380/52</f>
        <v/>
      </c>
      <c r="M380" s="39">
        <f>J380/1000000*52</f>
        <v/>
      </c>
      <c r="N380" s="33">
        <f>M380/$P$4+($I$22/$P$4)</f>
        <v/>
      </c>
      <c r="U380">
        <f>F379</f>
        <v/>
      </c>
      <c r="V380">
        <f>H379</f>
        <v/>
      </c>
      <c r="W380">
        <f>N379</f>
        <v/>
      </c>
    </row>
    <row r="381" ht="15.75" customHeight="1" s="40">
      <c r="C381" s="36">
        <f>_xlfn.IFS(E381&lt;E$24,0,E381&lt;E$26,C$24,E381&lt;E$28,C$26,E381&lt;E$30,C$28,E381&lt;E$32,C$30,E381&lt;E$34,C$32,E381&gt;=E$34,C$34)</f>
        <v/>
      </c>
      <c r="D381" s="37">
        <f>_xlfn.IFS(E381&lt;E$24,0,E381&lt;E$25,D$24,E381&lt;E$26,D$25,E381&lt;E$27,D$26,E381&lt;E$28,D$27,E381&lt;E$29,D$28,E381&lt;E$30,D$29,E381&lt;E$31,D$30,E381&lt;E$32,D$31,E381&lt;E$33,D$32,E381&lt;E$34,D$33,E381&lt;E$35,D$34,E381&gt;=E$35,D$35)</f>
        <v/>
      </c>
      <c r="E381" s="38" t="n">
        <v>331</v>
      </c>
      <c r="F381" s="31">
        <f>E381/52</f>
        <v/>
      </c>
      <c r="G381" s="39">
        <f>D381/1000000*52</f>
        <v/>
      </c>
      <c r="H381" s="33">
        <f>G381/$P$4+($C$22/$P$4)</f>
        <v/>
      </c>
      <c r="I381" s="36">
        <f>_xlfn.IFS(K381&lt;K$24,0,K381&lt;K$26,I$24,K381&lt;K$28,I$26,K381&lt;K$30,I$28,K381&lt;K$32,I$30,K381&lt;K$34,I$32,K381&lt;K$36,I$34,K381&lt;K$38,I$36,K381&lt;K$40,I$38,K381&lt;K$42,I$40,K381&lt;K$44,I$42,K381&lt;K$46,I$44,K381&gt;=K$46,I$46)</f>
        <v/>
      </c>
      <c r="J381" s="37">
        <f>_xlfn.IFS(K381&lt;K$24,0,K381&lt;K$25,J$24,K381&lt;K$26,J$25,K381&lt;K$27,J$26,K381&lt;K$28,J$27,K381&lt;K$29,J$28,K381&lt;K$30,J$29,K381&lt;K$31,J$30,K381&lt;K$32,J$31,K381&lt;K$33,J$32,K381&lt;K$34,J$33,K381&lt;K$35,J$34,K381&lt;K$36,J$35,K381&lt;K$37,J$36,K381&lt;K$38,J$37,K381&lt;K$39,J$38,K381&lt;K$40,J$39,K381&lt;K$41,J$40,K381&lt;K$42,J$41,K381&lt;K$43,J$42,K381&lt;K$44,J$43,K381&lt;K$45,J$44,K381&lt;K$46,J$45,K381&lt;K$47,J$46,K381&gt;=K$47,J$47)</f>
        <v/>
      </c>
      <c r="K381" s="38" t="n">
        <v>331</v>
      </c>
      <c r="L381" s="31">
        <f>K381/52</f>
        <v/>
      </c>
      <c r="M381" s="39">
        <f>J381/1000000*52</f>
        <v/>
      </c>
      <c r="N381" s="33">
        <f>M381/$P$4+($I$22/$P$4)</f>
        <v/>
      </c>
      <c r="U381">
        <f>F380</f>
        <v/>
      </c>
      <c r="V381">
        <f>H380</f>
        <v/>
      </c>
      <c r="W381">
        <f>N380</f>
        <v/>
      </c>
    </row>
    <row r="382" ht="15.75" customHeight="1" s="40">
      <c r="C382" s="36">
        <f>_xlfn.IFS(E382&lt;E$24,0,E382&lt;E$26,C$24,E382&lt;E$28,C$26,E382&lt;E$30,C$28,E382&lt;E$32,C$30,E382&lt;E$34,C$32,E382&gt;=E$34,C$34)</f>
        <v/>
      </c>
      <c r="D382" s="37">
        <f>_xlfn.IFS(E382&lt;E$24,0,E382&lt;E$25,D$24,E382&lt;E$26,D$25,E382&lt;E$27,D$26,E382&lt;E$28,D$27,E382&lt;E$29,D$28,E382&lt;E$30,D$29,E382&lt;E$31,D$30,E382&lt;E$32,D$31,E382&lt;E$33,D$32,E382&lt;E$34,D$33,E382&lt;E$35,D$34,E382&gt;=E$35,D$35)</f>
        <v/>
      </c>
      <c r="E382" s="38" t="n">
        <v>332</v>
      </c>
      <c r="F382" s="31">
        <f>E382/52</f>
        <v/>
      </c>
      <c r="G382" s="39">
        <f>D382/1000000*52</f>
        <v/>
      </c>
      <c r="H382" s="33">
        <f>G382/$P$4+($C$22/$P$4)</f>
        <v/>
      </c>
      <c r="I382" s="36">
        <f>_xlfn.IFS(K382&lt;K$24,0,K382&lt;K$26,I$24,K382&lt;K$28,I$26,K382&lt;K$30,I$28,K382&lt;K$32,I$30,K382&lt;K$34,I$32,K382&lt;K$36,I$34,K382&lt;K$38,I$36,K382&lt;K$40,I$38,K382&lt;K$42,I$40,K382&lt;K$44,I$42,K382&lt;K$46,I$44,K382&gt;=K$46,I$46)</f>
        <v/>
      </c>
      <c r="J382" s="37">
        <f>_xlfn.IFS(K382&lt;K$24,0,K382&lt;K$25,J$24,K382&lt;K$26,J$25,K382&lt;K$27,J$26,K382&lt;K$28,J$27,K382&lt;K$29,J$28,K382&lt;K$30,J$29,K382&lt;K$31,J$30,K382&lt;K$32,J$31,K382&lt;K$33,J$32,K382&lt;K$34,J$33,K382&lt;K$35,J$34,K382&lt;K$36,J$35,K382&lt;K$37,J$36,K382&lt;K$38,J$37,K382&lt;K$39,J$38,K382&lt;K$40,J$39,K382&lt;K$41,J$40,K382&lt;K$42,J$41,K382&lt;K$43,J$42,K382&lt;K$44,J$43,K382&lt;K$45,J$44,K382&lt;K$46,J$45,K382&lt;K$47,J$46,K382&gt;=K$47,J$47)</f>
        <v/>
      </c>
      <c r="K382" s="38" t="n">
        <v>332</v>
      </c>
      <c r="L382" s="31">
        <f>K382/52</f>
        <v/>
      </c>
      <c r="M382" s="39">
        <f>J382/1000000*52</f>
        <v/>
      </c>
      <c r="N382" s="33">
        <f>M382/$P$4+($I$22/$P$4)</f>
        <v/>
      </c>
      <c r="U382">
        <f>F381</f>
        <v/>
      </c>
      <c r="V382">
        <f>H381</f>
        <v/>
      </c>
      <c r="W382">
        <f>N381</f>
        <v/>
      </c>
    </row>
    <row r="383" ht="15.75" customHeight="1" s="40">
      <c r="C383" s="36">
        <f>_xlfn.IFS(E383&lt;E$24,0,E383&lt;E$26,C$24,E383&lt;E$28,C$26,E383&lt;E$30,C$28,E383&lt;E$32,C$30,E383&lt;E$34,C$32,E383&gt;=E$34,C$34)</f>
        <v/>
      </c>
      <c r="D383" s="37">
        <f>_xlfn.IFS(E383&lt;E$24,0,E383&lt;E$25,D$24,E383&lt;E$26,D$25,E383&lt;E$27,D$26,E383&lt;E$28,D$27,E383&lt;E$29,D$28,E383&lt;E$30,D$29,E383&lt;E$31,D$30,E383&lt;E$32,D$31,E383&lt;E$33,D$32,E383&lt;E$34,D$33,E383&lt;E$35,D$34,E383&gt;=E$35,D$35)</f>
        <v/>
      </c>
      <c r="E383" s="38" t="n">
        <v>333</v>
      </c>
      <c r="F383" s="31">
        <f>E383/52</f>
        <v/>
      </c>
      <c r="G383" s="39">
        <f>D383/1000000*52</f>
        <v/>
      </c>
      <c r="H383" s="33">
        <f>G383/$P$4+($C$22/$P$4)</f>
        <v/>
      </c>
      <c r="I383" s="36">
        <f>_xlfn.IFS(K383&lt;K$24,0,K383&lt;K$26,I$24,K383&lt;K$28,I$26,K383&lt;K$30,I$28,K383&lt;K$32,I$30,K383&lt;K$34,I$32,K383&lt;K$36,I$34,K383&lt;K$38,I$36,K383&lt;K$40,I$38,K383&lt;K$42,I$40,K383&lt;K$44,I$42,K383&lt;K$46,I$44,K383&gt;=K$46,I$46)</f>
        <v/>
      </c>
      <c r="J383" s="37">
        <f>_xlfn.IFS(K383&lt;K$24,0,K383&lt;K$25,J$24,K383&lt;K$26,J$25,K383&lt;K$27,J$26,K383&lt;K$28,J$27,K383&lt;K$29,J$28,K383&lt;K$30,J$29,K383&lt;K$31,J$30,K383&lt;K$32,J$31,K383&lt;K$33,J$32,K383&lt;K$34,J$33,K383&lt;K$35,J$34,K383&lt;K$36,J$35,K383&lt;K$37,J$36,K383&lt;K$38,J$37,K383&lt;K$39,J$38,K383&lt;K$40,J$39,K383&lt;K$41,J$40,K383&lt;K$42,J$41,K383&lt;K$43,J$42,K383&lt;K$44,J$43,K383&lt;K$45,J$44,K383&lt;K$46,J$45,K383&lt;K$47,J$46,K383&gt;=K$47,J$47)</f>
        <v/>
      </c>
      <c r="K383" s="38" t="n">
        <v>333</v>
      </c>
      <c r="L383" s="31">
        <f>K383/52</f>
        <v/>
      </c>
      <c r="M383" s="39">
        <f>J383/1000000*52</f>
        <v/>
      </c>
      <c r="N383" s="33">
        <f>M383/$P$4+($I$22/$P$4)</f>
        <v/>
      </c>
      <c r="U383">
        <f>F382</f>
        <v/>
      </c>
      <c r="V383">
        <f>H382</f>
        <v/>
      </c>
      <c r="W383">
        <f>N382</f>
        <v/>
      </c>
    </row>
    <row r="384" ht="15.75" customHeight="1" s="40">
      <c r="C384" s="36">
        <f>_xlfn.IFS(E384&lt;E$24,0,E384&lt;E$26,C$24,E384&lt;E$28,C$26,E384&lt;E$30,C$28,E384&lt;E$32,C$30,E384&lt;E$34,C$32,E384&gt;=E$34,C$34)</f>
        <v/>
      </c>
      <c r="D384" s="37">
        <f>_xlfn.IFS(E384&lt;E$24,0,E384&lt;E$25,D$24,E384&lt;E$26,D$25,E384&lt;E$27,D$26,E384&lt;E$28,D$27,E384&lt;E$29,D$28,E384&lt;E$30,D$29,E384&lt;E$31,D$30,E384&lt;E$32,D$31,E384&lt;E$33,D$32,E384&lt;E$34,D$33,E384&lt;E$35,D$34,E384&gt;=E$35,D$35)</f>
        <v/>
      </c>
      <c r="E384" s="38" t="n">
        <v>334</v>
      </c>
      <c r="F384" s="31">
        <f>E384/52</f>
        <v/>
      </c>
      <c r="G384" s="39">
        <f>D384/1000000*52</f>
        <v/>
      </c>
      <c r="H384" s="33">
        <f>G384/$P$4+($C$22/$P$4)</f>
        <v/>
      </c>
      <c r="I384" s="36">
        <f>_xlfn.IFS(K384&lt;K$24,0,K384&lt;K$26,I$24,K384&lt;K$28,I$26,K384&lt;K$30,I$28,K384&lt;K$32,I$30,K384&lt;K$34,I$32,K384&lt;K$36,I$34,K384&lt;K$38,I$36,K384&lt;K$40,I$38,K384&lt;K$42,I$40,K384&lt;K$44,I$42,K384&lt;K$46,I$44,K384&gt;=K$46,I$46)</f>
        <v/>
      </c>
      <c r="J384" s="37">
        <f>_xlfn.IFS(K384&lt;K$24,0,K384&lt;K$25,J$24,K384&lt;K$26,J$25,K384&lt;K$27,J$26,K384&lt;K$28,J$27,K384&lt;K$29,J$28,K384&lt;K$30,J$29,K384&lt;K$31,J$30,K384&lt;K$32,J$31,K384&lt;K$33,J$32,K384&lt;K$34,J$33,K384&lt;K$35,J$34,K384&lt;K$36,J$35,K384&lt;K$37,J$36,K384&lt;K$38,J$37,K384&lt;K$39,J$38,K384&lt;K$40,J$39,K384&lt;K$41,J$40,K384&lt;K$42,J$41,K384&lt;K$43,J$42,K384&lt;K$44,J$43,K384&lt;K$45,J$44,K384&lt;K$46,J$45,K384&lt;K$47,J$46,K384&gt;=K$47,J$47)</f>
        <v/>
      </c>
      <c r="K384" s="38" t="n">
        <v>334</v>
      </c>
      <c r="L384" s="31">
        <f>K384/52</f>
        <v/>
      </c>
      <c r="M384" s="39">
        <f>J384/1000000*52</f>
        <v/>
      </c>
      <c r="N384" s="33">
        <f>M384/$P$4+($I$22/$P$4)</f>
        <v/>
      </c>
      <c r="U384">
        <f>F383</f>
        <v/>
      </c>
      <c r="V384">
        <f>H383</f>
        <v/>
      </c>
      <c r="W384">
        <f>N383</f>
        <v/>
      </c>
    </row>
    <row r="385" ht="15.75" customHeight="1" s="40">
      <c r="C385" s="36">
        <f>_xlfn.IFS(E385&lt;E$24,0,E385&lt;E$26,C$24,E385&lt;E$28,C$26,E385&lt;E$30,C$28,E385&lt;E$32,C$30,E385&lt;E$34,C$32,E385&gt;=E$34,C$34)</f>
        <v/>
      </c>
      <c r="D385" s="37">
        <f>_xlfn.IFS(E385&lt;E$24,0,E385&lt;E$25,D$24,E385&lt;E$26,D$25,E385&lt;E$27,D$26,E385&lt;E$28,D$27,E385&lt;E$29,D$28,E385&lt;E$30,D$29,E385&lt;E$31,D$30,E385&lt;E$32,D$31,E385&lt;E$33,D$32,E385&lt;E$34,D$33,E385&lt;E$35,D$34,E385&gt;=E$35,D$35)</f>
        <v/>
      </c>
      <c r="E385" s="38" t="n">
        <v>335</v>
      </c>
      <c r="F385" s="31">
        <f>E385/52</f>
        <v/>
      </c>
      <c r="G385" s="39">
        <f>D385/1000000*52</f>
        <v/>
      </c>
      <c r="H385" s="33">
        <f>G385/$P$4+($C$22/$P$4)</f>
        <v/>
      </c>
      <c r="I385" s="36">
        <f>_xlfn.IFS(K385&lt;K$24,0,K385&lt;K$26,I$24,K385&lt;K$28,I$26,K385&lt;K$30,I$28,K385&lt;K$32,I$30,K385&lt;K$34,I$32,K385&lt;K$36,I$34,K385&lt;K$38,I$36,K385&lt;K$40,I$38,K385&lt;K$42,I$40,K385&lt;K$44,I$42,K385&lt;K$46,I$44,K385&gt;=K$46,I$46)</f>
        <v/>
      </c>
      <c r="J385" s="37">
        <f>_xlfn.IFS(K385&lt;K$24,0,K385&lt;K$25,J$24,K385&lt;K$26,J$25,K385&lt;K$27,J$26,K385&lt;K$28,J$27,K385&lt;K$29,J$28,K385&lt;K$30,J$29,K385&lt;K$31,J$30,K385&lt;K$32,J$31,K385&lt;K$33,J$32,K385&lt;K$34,J$33,K385&lt;K$35,J$34,K385&lt;K$36,J$35,K385&lt;K$37,J$36,K385&lt;K$38,J$37,K385&lt;K$39,J$38,K385&lt;K$40,J$39,K385&lt;K$41,J$40,K385&lt;K$42,J$41,K385&lt;K$43,J$42,K385&lt;K$44,J$43,K385&lt;K$45,J$44,K385&lt;K$46,J$45,K385&lt;K$47,J$46,K385&gt;=K$47,J$47)</f>
        <v/>
      </c>
      <c r="K385" s="38" t="n">
        <v>335</v>
      </c>
      <c r="L385" s="31">
        <f>K385/52</f>
        <v/>
      </c>
      <c r="M385" s="39">
        <f>J385/1000000*52</f>
        <v/>
      </c>
      <c r="N385" s="33">
        <f>M385/$P$4+($I$22/$P$4)</f>
        <v/>
      </c>
      <c r="U385">
        <f>F384</f>
        <v/>
      </c>
      <c r="V385">
        <f>H384</f>
        <v/>
      </c>
      <c r="W385">
        <f>N384</f>
        <v/>
      </c>
    </row>
    <row r="386" ht="15.75" customHeight="1" s="40">
      <c r="C386" s="36">
        <f>_xlfn.IFS(E386&lt;E$24,0,E386&lt;E$26,C$24,E386&lt;E$28,C$26,E386&lt;E$30,C$28,E386&lt;E$32,C$30,E386&lt;E$34,C$32,E386&gt;=E$34,C$34)</f>
        <v/>
      </c>
      <c r="D386" s="37">
        <f>_xlfn.IFS(E386&lt;E$24,0,E386&lt;E$25,D$24,E386&lt;E$26,D$25,E386&lt;E$27,D$26,E386&lt;E$28,D$27,E386&lt;E$29,D$28,E386&lt;E$30,D$29,E386&lt;E$31,D$30,E386&lt;E$32,D$31,E386&lt;E$33,D$32,E386&lt;E$34,D$33,E386&lt;E$35,D$34,E386&gt;=E$35,D$35)</f>
        <v/>
      </c>
      <c r="E386" s="38" t="n">
        <v>336</v>
      </c>
      <c r="F386" s="31">
        <f>E386/52</f>
        <v/>
      </c>
      <c r="G386" s="39">
        <f>D386/1000000*52</f>
        <v/>
      </c>
      <c r="H386" s="33">
        <f>G386/$P$4+($C$22/$P$4)</f>
        <v/>
      </c>
      <c r="I386" s="36">
        <f>_xlfn.IFS(K386&lt;K$24,0,K386&lt;K$26,I$24,K386&lt;K$28,I$26,K386&lt;K$30,I$28,K386&lt;K$32,I$30,K386&lt;K$34,I$32,K386&lt;K$36,I$34,K386&lt;K$38,I$36,K386&lt;K$40,I$38,K386&lt;K$42,I$40,K386&lt;K$44,I$42,K386&lt;K$46,I$44,K386&gt;=K$46,I$46)</f>
        <v/>
      </c>
      <c r="J386" s="37">
        <f>_xlfn.IFS(K386&lt;K$24,0,K386&lt;K$25,J$24,K386&lt;K$26,J$25,K386&lt;K$27,J$26,K386&lt;K$28,J$27,K386&lt;K$29,J$28,K386&lt;K$30,J$29,K386&lt;K$31,J$30,K386&lt;K$32,J$31,K386&lt;K$33,J$32,K386&lt;K$34,J$33,K386&lt;K$35,J$34,K386&lt;K$36,J$35,K386&lt;K$37,J$36,K386&lt;K$38,J$37,K386&lt;K$39,J$38,K386&lt;K$40,J$39,K386&lt;K$41,J$40,K386&lt;K$42,J$41,K386&lt;K$43,J$42,K386&lt;K$44,J$43,K386&lt;K$45,J$44,K386&lt;K$46,J$45,K386&lt;K$47,J$46,K386&gt;=K$47,J$47)</f>
        <v/>
      </c>
      <c r="K386" s="38" t="n">
        <v>336</v>
      </c>
      <c r="L386" s="31">
        <f>K386/52</f>
        <v/>
      </c>
      <c r="M386" s="39">
        <f>J386/1000000*52</f>
        <v/>
      </c>
      <c r="N386" s="33">
        <f>M386/$P$4+($I$22/$P$4)</f>
        <v/>
      </c>
      <c r="U386">
        <f>F385</f>
        <v/>
      </c>
      <c r="V386">
        <f>H385</f>
        <v/>
      </c>
      <c r="W386">
        <f>N385</f>
        <v/>
      </c>
    </row>
    <row r="387" ht="15.75" customHeight="1" s="40">
      <c r="C387" s="36">
        <f>_xlfn.IFS(E387&lt;E$24,0,E387&lt;E$26,C$24,E387&lt;E$28,C$26,E387&lt;E$30,C$28,E387&lt;E$32,C$30,E387&lt;E$34,C$32,E387&gt;=E$34,C$34)</f>
        <v/>
      </c>
      <c r="D387" s="37">
        <f>_xlfn.IFS(E387&lt;E$24,0,E387&lt;E$25,D$24,E387&lt;E$26,D$25,E387&lt;E$27,D$26,E387&lt;E$28,D$27,E387&lt;E$29,D$28,E387&lt;E$30,D$29,E387&lt;E$31,D$30,E387&lt;E$32,D$31,E387&lt;E$33,D$32,E387&lt;E$34,D$33,E387&lt;E$35,D$34,E387&gt;=E$35,D$35)</f>
        <v/>
      </c>
      <c r="E387" s="38" t="n">
        <v>337</v>
      </c>
      <c r="F387" s="31">
        <f>E387/52</f>
        <v/>
      </c>
      <c r="G387" s="39">
        <f>D387/1000000*52</f>
        <v/>
      </c>
      <c r="H387" s="33">
        <f>G387/$P$4+($C$22/$P$4)</f>
        <v/>
      </c>
      <c r="I387" s="36">
        <f>_xlfn.IFS(K387&lt;K$24,0,K387&lt;K$26,I$24,K387&lt;K$28,I$26,K387&lt;K$30,I$28,K387&lt;K$32,I$30,K387&lt;K$34,I$32,K387&lt;K$36,I$34,K387&lt;K$38,I$36,K387&lt;K$40,I$38,K387&lt;K$42,I$40,K387&lt;K$44,I$42,K387&lt;K$46,I$44,K387&gt;=K$46,I$46)</f>
        <v/>
      </c>
      <c r="J387" s="37">
        <f>_xlfn.IFS(K387&lt;K$24,0,K387&lt;K$25,J$24,K387&lt;K$26,J$25,K387&lt;K$27,J$26,K387&lt;K$28,J$27,K387&lt;K$29,J$28,K387&lt;K$30,J$29,K387&lt;K$31,J$30,K387&lt;K$32,J$31,K387&lt;K$33,J$32,K387&lt;K$34,J$33,K387&lt;K$35,J$34,K387&lt;K$36,J$35,K387&lt;K$37,J$36,K387&lt;K$38,J$37,K387&lt;K$39,J$38,K387&lt;K$40,J$39,K387&lt;K$41,J$40,K387&lt;K$42,J$41,K387&lt;K$43,J$42,K387&lt;K$44,J$43,K387&lt;K$45,J$44,K387&lt;K$46,J$45,K387&lt;K$47,J$46,K387&gt;=K$47,J$47)</f>
        <v/>
      </c>
      <c r="K387" s="38" t="n">
        <v>337</v>
      </c>
      <c r="L387" s="31">
        <f>K387/52</f>
        <v/>
      </c>
      <c r="M387" s="39">
        <f>J387/1000000*52</f>
        <v/>
      </c>
      <c r="N387" s="33">
        <f>M387/$P$4+($I$22/$P$4)</f>
        <v/>
      </c>
      <c r="U387">
        <f>F386</f>
        <v/>
      </c>
      <c r="V387">
        <f>H386</f>
        <v/>
      </c>
      <c r="W387">
        <f>N386</f>
        <v/>
      </c>
    </row>
    <row r="388" ht="15.75" customHeight="1" s="40">
      <c r="C388" s="36">
        <f>_xlfn.IFS(E388&lt;E$24,0,E388&lt;E$26,C$24,E388&lt;E$28,C$26,E388&lt;E$30,C$28,E388&lt;E$32,C$30,E388&lt;E$34,C$32,E388&gt;=E$34,C$34)</f>
        <v/>
      </c>
      <c r="D388" s="37">
        <f>_xlfn.IFS(E388&lt;E$24,0,E388&lt;E$25,D$24,E388&lt;E$26,D$25,E388&lt;E$27,D$26,E388&lt;E$28,D$27,E388&lt;E$29,D$28,E388&lt;E$30,D$29,E388&lt;E$31,D$30,E388&lt;E$32,D$31,E388&lt;E$33,D$32,E388&lt;E$34,D$33,E388&lt;E$35,D$34,E388&gt;=E$35,D$35)</f>
        <v/>
      </c>
      <c r="E388" s="38" t="n">
        <v>338</v>
      </c>
      <c r="F388" s="31">
        <f>E388/52</f>
        <v/>
      </c>
      <c r="G388" s="39">
        <f>D388/1000000*52</f>
        <v/>
      </c>
      <c r="H388" s="33">
        <f>G388/$P$4+($C$22/$P$4)</f>
        <v/>
      </c>
      <c r="I388" s="36">
        <f>_xlfn.IFS(K388&lt;K$24,0,K388&lt;K$26,I$24,K388&lt;K$28,I$26,K388&lt;K$30,I$28,K388&lt;K$32,I$30,K388&lt;K$34,I$32,K388&lt;K$36,I$34,K388&lt;K$38,I$36,K388&lt;K$40,I$38,K388&lt;K$42,I$40,K388&lt;K$44,I$42,K388&lt;K$46,I$44,K388&gt;=K$46,I$46)</f>
        <v/>
      </c>
      <c r="J388" s="37">
        <f>_xlfn.IFS(K388&lt;K$24,0,K388&lt;K$25,J$24,K388&lt;K$26,J$25,K388&lt;K$27,J$26,K388&lt;K$28,J$27,K388&lt;K$29,J$28,K388&lt;K$30,J$29,K388&lt;K$31,J$30,K388&lt;K$32,J$31,K388&lt;K$33,J$32,K388&lt;K$34,J$33,K388&lt;K$35,J$34,K388&lt;K$36,J$35,K388&lt;K$37,J$36,K388&lt;K$38,J$37,K388&lt;K$39,J$38,K388&lt;K$40,J$39,K388&lt;K$41,J$40,K388&lt;K$42,J$41,K388&lt;K$43,J$42,K388&lt;K$44,J$43,K388&lt;K$45,J$44,K388&lt;K$46,J$45,K388&lt;K$47,J$46,K388&gt;=K$47,J$47)</f>
        <v/>
      </c>
      <c r="K388" s="38" t="n">
        <v>338</v>
      </c>
      <c r="L388" s="31">
        <f>K388/52</f>
        <v/>
      </c>
      <c r="M388" s="39">
        <f>J388/1000000*52</f>
        <v/>
      </c>
      <c r="N388" s="33">
        <f>M388/$P$4+($I$22/$P$4)</f>
        <v/>
      </c>
      <c r="U388">
        <f>F387</f>
        <v/>
      </c>
      <c r="V388">
        <f>H387</f>
        <v/>
      </c>
      <c r="W388">
        <f>N387</f>
        <v/>
      </c>
    </row>
    <row r="389" ht="15.75" customHeight="1" s="40">
      <c r="C389" s="36">
        <f>_xlfn.IFS(E389&lt;E$24,0,E389&lt;E$26,C$24,E389&lt;E$28,C$26,E389&lt;E$30,C$28,E389&lt;E$32,C$30,E389&lt;E$34,C$32,E389&gt;=E$34,C$34)</f>
        <v/>
      </c>
      <c r="D389" s="37">
        <f>_xlfn.IFS(E389&lt;E$24,0,E389&lt;E$25,D$24,E389&lt;E$26,D$25,E389&lt;E$27,D$26,E389&lt;E$28,D$27,E389&lt;E$29,D$28,E389&lt;E$30,D$29,E389&lt;E$31,D$30,E389&lt;E$32,D$31,E389&lt;E$33,D$32,E389&lt;E$34,D$33,E389&lt;E$35,D$34,E389&gt;=E$35,D$35)</f>
        <v/>
      </c>
      <c r="E389" s="38" t="n">
        <v>339</v>
      </c>
      <c r="F389" s="31">
        <f>E389/52</f>
        <v/>
      </c>
      <c r="G389" s="39">
        <f>D389/1000000*52</f>
        <v/>
      </c>
      <c r="H389" s="33">
        <f>G389/$P$4+($C$22/$P$4)</f>
        <v/>
      </c>
      <c r="I389" s="36">
        <f>_xlfn.IFS(K389&lt;K$24,0,K389&lt;K$26,I$24,K389&lt;K$28,I$26,K389&lt;K$30,I$28,K389&lt;K$32,I$30,K389&lt;K$34,I$32,K389&lt;K$36,I$34,K389&lt;K$38,I$36,K389&lt;K$40,I$38,K389&lt;K$42,I$40,K389&lt;K$44,I$42,K389&lt;K$46,I$44,K389&gt;=K$46,I$46)</f>
        <v/>
      </c>
      <c r="J389" s="37">
        <f>_xlfn.IFS(K389&lt;K$24,0,K389&lt;K$25,J$24,K389&lt;K$26,J$25,K389&lt;K$27,J$26,K389&lt;K$28,J$27,K389&lt;K$29,J$28,K389&lt;K$30,J$29,K389&lt;K$31,J$30,K389&lt;K$32,J$31,K389&lt;K$33,J$32,K389&lt;K$34,J$33,K389&lt;K$35,J$34,K389&lt;K$36,J$35,K389&lt;K$37,J$36,K389&lt;K$38,J$37,K389&lt;K$39,J$38,K389&lt;K$40,J$39,K389&lt;K$41,J$40,K389&lt;K$42,J$41,K389&lt;K$43,J$42,K389&lt;K$44,J$43,K389&lt;K$45,J$44,K389&lt;K$46,J$45,K389&lt;K$47,J$46,K389&gt;=K$47,J$47)</f>
        <v/>
      </c>
      <c r="K389" s="38" t="n">
        <v>339</v>
      </c>
      <c r="L389" s="31">
        <f>K389/52</f>
        <v/>
      </c>
      <c r="M389" s="39">
        <f>J389/1000000*52</f>
        <v/>
      </c>
      <c r="N389" s="33">
        <f>M389/$P$4+($I$22/$P$4)</f>
        <v/>
      </c>
      <c r="U389">
        <f>F388</f>
        <v/>
      </c>
      <c r="V389">
        <f>H388</f>
        <v/>
      </c>
      <c r="W389">
        <f>N388</f>
        <v/>
      </c>
    </row>
    <row r="390" ht="15.75" customHeight="1" s="40">
      <c r="C390" s="36">
        <f>_xlfn.IFS(E390&lt;E$24,0,E390&lt;E$26,C$24,E390&lt;E$28,C$26,E390&lt;E$30,C$28,E390&lt;E$32,C$30,E390&lt;E$34,C$32,E390&gt;=E$34,C$34)</f>
        <v/>
      </c>
      <c r="D390" s="37">
        <f>_xlfn.IFS(E390&lt;E$24,0,E390&lt;E$25,D$24,E390&lt;E$26,D$25,E390&lt;E$27,D$26,E390&lt;E$28,D$27,E390&lt;E$29,D$28,E390&lt;E$30,D$29,E390&lt;E$31,D$30,E390&lt;E$32,D$31,E390&lt;E$33,D$32,E390&lt;E$34,D$33,E390&lt;E$35,D$34,E390&gt;=E$35,D$35)</f>
        <v/>
      </c>
      <c r="E390" s="38" t="n">
        <v>340</v>
      </c>
      <c r="F390" s="31">
        <f>E390/52</f>
        <v/>
      </c>
      <c r="G390" s="39">
        <f>D390/1000000*52</f>
        <v/>
      </c>
      <c r="H390" s="33">
        <f>G390/$P$4+($C$22/$P$4)</f>
        <v/>
      </c>
      <c r="I390" s="36">
        <f>_xlfn.IFS(K390&lt;K$24,0,K390&lt;K$26,I$24,K390&lt;K$28,I$26,K390&lt;K$30,I$28,K390&lt;K$32,I$30,K390&lt;K$34,I$32,K390&lt;K$36,I$34,K390&lt;K$38,I$36,K390&lt;K$40,I$38,K390&lt;K$42,I$40,K390&lt;K$44,I$42,K390&lt;K$46,I$44,K390&gt;=K$46,I$46)</f>
        <v/>
      </c>
      <c r="J390" s="37">
        <f>_xlfn.IFS(K390&lt;K$24,0,K390&lt;K$25,J$24,K390&lt;K$26,J$25,K390&lt;K$27,J$26,K390&lt;K$28,J$27,K390&lt;K$29,J$28,K390&lt;K$30,J$29,K390&lt;K$31,J$30,K390&lt;K$32,J$31,K390&lt;K$33,J$32,K390&lt;K$34,J$33,K390&lt;K$35,J$34,K390&lt;K$36,J$35,K390&lt;K$37,J$36,K390&lt;K$38,J$37,K390&lt;K$39,J$38,K390&lt;K$40,J$39,K390&lt;K$41,J$40,K390&lt;K$42,J$41,K390&lt;K$43,J$42,K390&lt;K$44,J$43,K390&lt;K$45,J$44,K390&lt;K$46,J$45,K390&lt;K$47,J$46,K390&gt;=K$47,J$47)</f>
        <v/>
      </c>
      <c r="K390" s="38" t="n">
        <v>340</v>
      </c>
      <c r="L390" s="31">
        <f>K390/52</f>
        <v/>
      </c>
      <c r="M390" s="39">
        <f>J390/1000000*52</f>
        <v/>
      </c>
      <c r="N390" s="33">
        <f>M390/$P$4+($I$22/$P$4)</f>
        <v/>
      </c>
      <c r="U390">
        <f>F389</f>
        <v/>
      </c>
      <c r="V390">
        <f>H389</f>
        <v/>
      </c>
      <c r="W390">
        <f>N389</f>
        <v/>
      </c>
    </row>
    <row r="391" ht="15.75" customHeight="1" s="40">
      <c r="C391" s="36">
        <f>_xlfn.IFS(E391&lt;E$24,0,E391&lt;E$26,C$24,E391&lt;E$28,C$26,E391&lt;E$30,C$28,E391&lt;E$32,C$30,E391&lt;E$34,C$32,E391&gt;=E$34,C$34)</f>
        <v/>
      </c>
      <c r="D391" s="37">
        <f>_xlfn.IFS(E391&lt;E$24,0,E391&lt;E$25,D$24,E391&lt;E$26,D$25,E391&lt;E$27,D$26,E391&lt;E$28,D$27,E391&lt;E$29,D$28,E391&lt;E$30,D$29,E391&lt;E$31,D$30,E391&lt;E$32,D$31,E391&lt;E$33,D$32,E391&lt;E$34,D$33,E391&lt;E$35,D$34,E391&gt;=E$35,D$35)</f>
        <v/>
      </c>
      <c r="E391" s="38" t="n">
        <v>341</v>
      </c>
      <c r="F391" s="31">
        <f>E391/52</f>
        <v/>
      </c>
      <c r="G391" s="39">
        <f>D391/1000000*52</f>
        <v/>
      </c>
      <c r="H391" s="33">
        <f>G391/$P$4+($C$22/$P$4)</f>
        <v/>
      </c>
      <c r="I391" s="36">
        <f>_xlfn.IFS(K391&lt;K$24,0,K391&lt;K$26,I$24,K391&lt;K$28,I$26,K391&lt;K$30,I$28,K391&lt;K$32,I$30,K391&lt;K$34,I$32,K391&lt;K$36,I$34,K391&lt;K$38,I$36,K391&lt;K$40,I$38,K391&lt;K$42,I$40,K391&lt;K$44,I$42,K391&lt;K$46,I$44,K391&gt;=K$46,I$46)</f>
        <v/>
      </c>
      <c r="J391" s="37">
        <f>_xlfn.IFS(K391&lt;K$24,0,K391&lt;K$25,J$24,K391&lt;K$26,J$25,K391&lt;K$27,J$26,K391&lt;K$28,J$27,K391&lt;K$29,J$28,K391&lt;K$30,J$29,K391&lt;K$31,J$30,K391&lt;K$32,J$31,K391&lt;K$33,J$32,K391&lt;K$34,J$33,K391&lt;K$35,J$34,K391&lt;K$36,J$35,K391&lt;K$37,J$36,K391&lt;K$38,J$37,K391&lt;K$39,J$38,K391&lt;K$40,J$39,K391&lt;K$41,J$40,K391&lt;K$42,J$41,K391&lt;K$43,J$42,K391&lt;K$44,J$43,K391&lt;K$45,J$44,K391&lt;K$46,J$45,K391&lt;K$47,J$46,K391&gt;=K$47,J$47)</f>
        <v/>
      </c>
      <c r="K391" s="38" t="n">
        <v>341</v>
      </c>
      <c r="L391" s="31">
        <f>K391/52</f>
        <v/>
      </c>
      <c r="M391" s="39">
        <f>J391/1000000*52</f>
        <v/>
      </c>
      <c r="N391" s="33">
        <f>M391/$P$4+($I$22/$P$4)</f>
        <v/>
      </c>
      <c r="U391">
        <f>F390</f>
        <v/>
      </c>
      <c r="V391">
        <f>H390</f>
        <v/>
      </c>
      <c r="W391">
        <f>N390</f>
        <v/>
      </c>
    </row>
    <row r="392" ht="15.75" customHeight="1" s="40">
      <c r="C392" s="36">
        <f>_xlfn.IFS(E392&lt;E$24,0,E392&lt;E$26,C$24,E392&lt;E$28,C$26,E392&lt;E$30,C$28,E392&lt;E$32,C$30,E392&lt;E$34,C$32,E392&gt;=E$34,C$34)</f>
        <v/>
      </c>
      <c r="D392" s="37">
        <f>_xlfn.IFS(E392&lt;E$24,0,E392&lt;E$25,D$24,E392&lt;E$26,D$25,E392&lt;E$27,D$26,E392&lt;E$28,D$27,E392&lt;E$29,D$28,E392&lt;E$30,D$29,E392&lt;E$31,D$30,E392&lt;E$32,D$31,E392&lt;E$33,D$32,E392&lt;E$34,D$33,E392&lt;E$35,D$34,E392&gt;=E$35,D$35)</f>
        <v/>
      </c>
      <c r="E392" s="38" t="n">
        <v>342</v>
      </c>
      <c r="F392" s="31">
        <f>E392/52</f>
        <v/>
      </c>
      <c r="G392" s="39">
        <f>D392/1000000*52</f>
        <v/>
      </c>
      <c r="H392" s="33">
        <f>G392/$P$4+($C$22/$P$4)</f>
        <v/>
      </c>
      <c r="I392" s="36">
        <f>_xlfn.IFS(K392&lt;K$24,0,K392&lt;K$26,I$24,K392&lt;K$28,I$26,K392&lt;K$30,I$28,K392&lt;K$32,I$30,K392&lt;K$34,I$32,K392&lt;K$36,I$34,K392&lt;K$38,I$36,K392&lt;K$40,I$38,K392&lt;K$42,I$40,K392&lt;K$44,I$42,K392&lt;K$46,I$44,K392&gt;=K$46,I$46)</f>
        <v/>
      </c>
      <c r="J392" s="37">
        <f>_xlfn.IFS(K392&lt;K$24,0,K392&lt;K$25,J$24,K392&lt;K$26,J$25,K392&lt;K$27,J$26,K392&lt;K$28,J$27,K392&lt;K$29,J$28,K392&lt;K$30,J$29,K392&lt;K$31,J$30,K392&lt;K$32,J$31,K392&lt;K$33,J$32,K392&lt;K$34,J$33,K392&lt;K$35,J$34,K392&lt;K$36,J$35,K392&lt;K$37,J$36,K392&lt;K$38,J$37,K392&lt;K$39,J$38,K392&lt;K$40,J$39,K392&lt;K$41,J$40,K392&lt;K$42,J$41,K392&lt;K$43,J$42,K392&lt;K$44,J$43,K392&lt;K$45,J$44,K392&lt;K$46,J$45,K392&lt;K$47,J$46,K392&gt;=K$47,J$47)</f>
        <v/>
      </c>
      <c r="K392" s="38" t="n">
        <v>342</v>
      </c>
      <c r="L392" s="31">
        <f>K392/52</f>
        <v/>
      </c>
      <c r="M392" s="39">
        <f>J392/1000000*52</f>
        <v/>
      </c>
      <c r="N392" s="33">
        <f>M392/$P$4+($I$22/$P$4)</f>
        <v/>
      </c>
      <c r="U392">
        <f>F391</f>
        <v/>
      </c>
      <c r="V392">
        <f>H391</f>
        <v/>
      </c>
      <c r="W392">
        <f>N391</f>
        <v/>
      </c>
    </row>
    <row r="393" ht="15.75" customHeight="1" s="40">
      <c r="C393" s="36">
        <f>_xlfn.IFS(E393&lt;E$24,0,E393&lt;E$26,C$24,E393&lt;E$28,C$26,E393&lt;E$30,C$28,E393&lt;E$32,C$30,E393&lt;E$34,C$32,E393&gt;=E$34,C$34)</f>
        <v/>
      </c>
      <c r="D393" s="37">
        <f>_xlfn.IFS(E393&lt;E$24,0,E393&lt;E$25,D$24,E393&lt;E$26,D$25,E393&lt;E$27,D$26,E393&lt;E$28,D$27,E393&lt;E$29,D$28,E393&lt;E$30,D$29,E393&lt;E$31,D$30,E393&lt;E$32,D$31,E393&lt;E$33,D$32,E393&lt;E$34,D$33,E393&lt;E$35,D$34,E393&gt;=E$35,D$35)</f>
        <v/>
      </c>
      <c r="E393" s="38" t="n">
        <v>343</v>
      </c>
      <c r="F393" s="31">
        <f>E393/52</f>
        <v/>
      </c>
      <c r="G393" s="39">
        <f>D393/1000000*52</f>
        <v/>
      </c>
      <c r="H393" s="33">
        <f>G393/$P$4+($C$22/$P$4)</f>
        <v/>
      </c>
      <c r="I393" s="36">
        <f>_xlfn.IFS(K393&lt;K$24,0,K393&lt;K$26,I$24,K393&lt;K$28,I$26,K393&lt;K$30,I$28,K393&lt;K$32,I$30,K393&lt;K$34,I$32,K393&lt;K$36,I$34,K393&lt;K$38,I$36,K393&lt;K$40,I$38,K393&lt;K$42,I$40,K393&lt;K$44,I$42,K393&lt;K$46,I$44,K393&gt;=K$46,I$46)</f>
        <v/>
      </c>
      <c r="J393" s="37">
        <f>_xlfn.IFS(K393&lt;K$24,0,K393&lt;K$25,J$24,K393&lt;K$26,J$25,K393&lt;K$27,J$26,K393&lt;K$28,J$27,K393&lt;K$29,J$28,K393&lt;K$30,J$29,K393&lt;K$31,J$30,K393&lt;K$32,J$31,K393&lt;K$33,J$32,K393&lt;K$34,J$33,K393&lt;K$35,J$34,K393&lt;K$36,J$35,K393&lt;K$37,J$36,K393&lt;K$38,J$37,K393&lt;K$39,J$38,K393&lt;K$40,J$39,K393&lt;K$41,J$40,K393&lt;K$42,J$41,K393&lt;K$43,J$42,K393&lt;K$44,J$43,K393&lt;K$45,J$44,K393&lt;K$46,J$45,K393&lt;K$47,J$46,K393&gt;=K$47,J$47)</f>
        <v/>
      </c>
      <c r="K393" s="38" t="n">
        <v>343</v>
      </c>
      <c r="L393" s="31">
        <f>K393/52</f>
        <v/>
      </c>
      <c r="M393" s="39">
        <f>J393/1000000*52</f>
        <v/>
      </c>
      <c r="N393" s="33">
        <f>M393/$P$4+($I$22/$P$4)</f>
        <v/>
      </c>
      <c r="U393">
        <f>F392</f>
        <v/>
      </c>
      <c r="V393">
        <f>H392</f>
        <v/>
      </c>
      <c r="W393">
        <f>N392</f>
        <v/>
      </c>
    </row>
    <row r="394" ht="15.75" customHeight="1" s="40">
      <c r="C394" s="36">
        <f>_xlfn.IFS(E394&lt;E$24,0,E394&lt;E$26,C$24,E394&lt;E$28,C$26,E394&lt;E$30,C$28,E394&lt;E$32,C$30,E394&lt;E$34,C$32,E394&gt;=E$34,C$34)</f>
        <v/>
      </c>
      <c r="D394" s="37">
        <f>_xlfn.IFS(E394&lt;E$24,0,E394&lt;E$25,D$24,E394&lt;E$26,D$25,E394&lt;E$27,D$26,E394&lt;E$28,D$27,E394&lt;E$29,D$28,E394&lt;E$30,D$29,E394&lt;E$31,D$30,E394&lt;E$32,D$31,E394&lt;E$33,D$32,E394&lt;E$34,D$33,E394&lt;E$35,D$34,E394&gt;=E$35,D$35)</f>
        <v/>
      </c>
      <c r="E394" s="38" t="n">
        <v>344</v>
      </c>
      <c r="F394" s="31">
        <f>E394/52</f>
        <v/>
      </c>
      <c r="G394" s="39">
        <f>D394/1000000*52</f>
        <v/>
      </c>
      <c r="H394" s="33">
        <f>G394/$P$4+($C$22/$P$4)</f>
        <v/>
      </c>
      <c r="I394" s="36">
        <f>_xlfn.IFS(K394&lt;K$24,0,K394&lt;K$26,I$24,K394&lt;K$28,I$26,K394&lt;K$30,I$28,K394&lt;K$32,I$30,K394&lt;K$34,I$32,K394&lt;K$36,I$34,K394&lt;K$38,I$36,K394&lt;K$40,I$38,K394&lt;K$42,I$40,K394&lt;K$44,I$42,K394&lt;K$46,I$44,K394&gt;=K$46,I$46)</f>
        <v/>
      </c>
      <c r="J394" s="37">
        <f>_xlfn.IFS(K394&lt;K$24,0,K394&lt;K$25,J$24,K394&lt;K$26,J$25,K394&lt;K$27,J$26,K394&lt;K$28,J$27,K394&lt;K$29,J$28,K394&lt;K$30,J$29,K394&lt;K$31,J$30,K394&lt;K$32,J$31,K394&lt;K$33,J$32,K394&lt;K$34,J$33,K394&lt;K$35,J$34,K394&lt;K$36,J$35,K394&lt;K$37,J$36,K394&lt;K$38,J$37,K394&lt;K$39,J$38,K394&lt;K$40,J$39,K394&lt;K$41,J$40,K394&lt;K$42,J$41,K394&lt;K$43,J$42,K394&lt;K$44,J$43,K394&lt;K$45,J$44,K394&lt;K$46,J$45,K394&lt;K$47,J$46,K394&gt;=K$47,J$47)</f>
        <v/>
      </c>
      <c r="K394" s="38" t="n">
        <v>344</v>
      </c>
      <c r="L394" s="31">
        <f>K394/52</f>
        <v/>
      </c>
      <c r="M394" s="39">
        <f>J394/1000000*52</f>
        <v/>
      </c>
      <c r="N394" s="33">
        <f>M394/$P$4+($I$22/$P$4)</f>
        <v/>
      </c>
      <c r="U394">
        <f>F393</f>
        <v/>
      </c>
      <c r="V394">
        <f>H393</f>
        <v/>
      </c>
      <c r="W394">
        <f>N393</f>
        <v/>
      </c>
    </row>
    <row r="395" ht="15.75" customHeight="1" s="40">
      <c r="C395" s="36">
        <f>_xlfn.IFS(E395&lt;E$24,0,E395&lt;E$26,C$24,E395&lt;E$28,C$26,E395&lt;E$30,C$28,E395&lt;E$32,C$30,E395&lt;E$34,C$32,E395&gt;=E$34,C$34)</f>
        <v/>
      </c>
      <c r="D395" s="37">
        <f>_xlfn.IFS(E395&lt;E$24,0,E395&lt;E$25,D$24,E395&lt;E$26,D$25,E395&lt;E$27,D$26,E395&lt;E$28,D$27,E395&lt;E$29,D$28,E395&lt;E$30,D$29,E395&lt;E$31,D$30,E395&lt;E$32,D$31,E395&lt;E$33,D$32,E395&lt;E$34,D$33,E395&lt;E$35,D$34,E395&gt;=E$35,D$35)</f>
        <v/>
      </c>
      <c r="E395" s="38" t="n">
        <v>345</v>
      </c>
      <c r="F395" s="31">
        <f>E395/52</f>
        <v/>
      </c>
      <c r="G395" s="39">
        <f>D395/1000000*52</f>
        <v/>
      </c>
      <c r="H395" s="33">
        <f>G395/$P$4+($C$22/$P$4)</f>
        <v/>
      </c>
      <c r="I395" s="36">
        <f>_xlfn.IFS(K395&lt;K$24,0,K395&lt;K$26,I$24,K395&lt;K$28,I$26,K395&lt;K$30,I$28,K395&lt;K$32,I$30,K395&lt;K$34,I$32,K395&lt;K$36,I$34,K395&lt;K$38,I$36,K395&lt;K$40,I$38,K395&lt;K$42,I$40,K395&lt;K$44,I$42,K395&lt;K$46,I$44,K395&gt;=K$46,I$46)</f>
        <v/>
      </c>
      <c r="J395" s="37">
        <f>_xlfn.IFS(K395&lt;K$24,0,K395&lt;K$25,J$24,K395&lt;K$26,J$25,K395&lt;K$27,J$26,K395&lt;K$28,J$27,K395&lt;K$29,J$28,K395&lt;K$30,J$29,K395&lt;K$31,J$30,K395&lt;K$32,J$31,K395&lt;K$33,J$32,K395&lt;K$34,J$33,K395&lt;K$35,J$34,K395&lt;K$36,J$35,K395&lt;K$37,J$36,K395&lt;K$38,J$37,K395&lt;K$39,J$38,K395&lt;K$40,J$39,K395&lt;K$41,J$40,K395&lt;K$42,J$41,K395&lt;K$43,J$42,K395&lt;K$44,J$43,K395&lt;K$45,J$44,K395&lt;K$46,J$45,K395&lt;K$47,J$46,K395&gt;=K$47,J$47)</f>
        <v/>
      </c>
      <c r="K395" s="38" t="n">
        <v>345</v>
      </c>
      <c r="L395" s="31">
        <f>K395/52</f>
        <v/>
      </c>
      <c r="M395" s="39">
        <f>J395/1000000*52</f>
        <v/>
      </c>
      <c r="N395" s="33">
        <f>M395/$P$4+($I$22/$P$4)</f>
        <v/>
      </c>
      <c r="U395">
        <f>F394</f>
        <v/>
      </c>
      <c r="V395">
        <f>H394</f>
        <v/>
      </c>
      <c r="W395">
        <f>N394</f>
        <v/>
      </c>
    </row>
    <row r="396" ht="15.75" customHeight="1" s="40">
      <c r="C396" s="36">
        <f>_xlfn.IFS(E396&lt;E$24,0,E396&lt;E$26,C$24,E396&lt;E$28,C$26,E396&lt;E$30,C$28,E396&lt;E$32,C$30,E396&lt;E$34,C$32,E396&gt;=E$34,C$34)</f>
        <v/>
      </c>
      <c r="D396" s="37">
        <f>_xlfn.IFS(E396&lt;E$24,0,E396&lt;E$25,D$24,E396&lt;E$26,D$25,E396&lt;E$27,D$26,E396&lt;E$28,D$27,E396&lt;E$29,D$28,E396&lt;E$30,D$29,E396&lt;E$31,D$30,E396&lt;E$32,D$31,E396&lt;E$33,D$32,E396&lt;E$34,D$33,E396&lt;E$35,D$34,E396&gt;=E$35,D$35)</f>
        <v/>
      </c>
      <c r="E396" s="38" t="n">
        <v>346</v>
      </c>
      <c r="F396" s="31">
        <f>E396/52</f>
        <v/>
      </c>
      <c r="G396" s="39">
        <f>D396/1000000*52</f>
        <v/>
      </c>
      <c r="H396" s="33">
        <f>G396/$P$4+($C$22/$P$4)</f>
        <v/>
      </c>
      <c r="I396" s="36">
        <f>_xlfn.IFS(K396&lt;K$24,0,K396&lt;K$26,I$24,K396&lt;K$28,I$26,K396&lt;K$30,I$28,K396&lt;K$32,I$30,K396&lt;K$34,I$32,K396&lt;K$36,I$34,K396&lt;K$38,I$36,K396&lt;K$40,I$38,K396&lt;K$42,I$40,K396&lt;K$44,I$42,K396&lt;K$46,I$44,K396&gt;=K$46,I$46)</f>
        <v/>
      </c>
      <c r="J396" s="37">
        <f>_xlfn.IFS(K396&lt;K$24,0,K396&lt;K$25,J$24,K396&lt;K$26,J$25,K396&lt;K$27,J$26,K396&lt;K$28,J$27,K396&lt;K$29,J$28,K396&lt;K$30,J$29,K396&lt;K$31,J$30,K396&lt;K$32,J$31,K396&lt;K$33,J$32,K396&lt;K$34,J$33,K396&lt;K$35,J$34,K396&lt;K$36,J$35,K396&lt;K$37,J$36,K396&lt;K$38,J$37,K396&lt;K$39,J$38,K396&lt;K$40,J$39,K396&lt;K$41,J$40,K396&lt;K$42,J$41,K396&lt;K$43,J$42,K396&lt;K$44,J$43,K396&lt;K$45,J$44,K396&lt;K$46,J$45,K396&lt;K$47,J$46,K396&gt;=K$47,J$47)</f>
        <v/>
      </c>
      <c r="K396" s="38" t="n">
        <v>346</v>
      </c>
      <c r="L396" s="31">
        <f>K396/52</f>
        <v/>
      </c>
      <c r="M396" s="39">
        <f>J396/1000000*52</f>
        <v/>
      </c>
      <c r="N396" s="33">
        <f>M396/$P$4+($I$22/$P$4)</f>
        <v/>
      </c>
      <c r="U396">
        <f>F395</f>
        <v/>
      </c>
      <c r="V396">
        <f>H395</f>
        <v/>
      </c>
      <c r="W396">
        <f>N395</f>
        <v/>
      </c>
    </row>
    <row r="397" ht="15.75" customHeight="1" s="40">
      <c r="C397" s="36">
        <f>_xlfn.IFS(E397&lt;E$24,0,E397&lt;E$26,C$24,E397&lt;E$28,C$26,E397&lt;E$30,C$28,E397&lt;E$32,C$30,E397&lt;E$34,C$32,E397&gt;=E$34,C$34)</f>
        <v/>
      </c>
      <c r="D397" s="37">
        <f>_xlfn.IFS(E397&lt;E$24,0,E397&lt;E$25,D$24,E397&lt;E$26,D$25,E397&lt;E$27,D$26,E397&lt;E$28,D$27,E397&lt;E$29,D$28,E397&lt;E$30,D$29,E397&lt;E$31,D$30,E397&lt;E$32,D$31,E397&lt;E$33,D$32,E397&lt;E$34,D$33,E397&lt;E$35,D$34,E397&gt;=E$35,D$35)</f>
        <v/>
      </c>
      <c r="E397" s="38" t="n">
        <v>347</v>
      </c>
      <c r="F397" s="31">
        <f>E397/52</f>
        <v/>
      </c>
      <c r="G397" s="39">
        <f>D397/1000000*52</f>
        <v/>
      </c>
      <c r="H397" s="33">
        <f>G397/$P$4+($C$22/$P$4)</f>
        <v/>
      </c>
      <c r="I397" s="36">
        <f>_xlfn.IFS(K397&lt;K$24,0,K397&lt;K$26,I$24,K397&lt;K$28,I$26,K397&lt;K$30,I$28,K397&lt;K$32,I$30,K397&lt;K$34,I$32,K397&lt;K$36,I$34,K397&lt;K$38,I$36,K397&lt;K$40,I$38,K397&lt;K$42,I$40,K397&lt;K$44,I$42,K397&lt;K$46,I$44,K397&gt;=K$46,I$46)</f>
        <v/>
      </c>
      <c r="J397" s="37">
        <f>_xlfn.IFS(K397&lt;K$24,0,K397&lt;K$25,J$24,K397&lt;K$26,J$25,K397&lt;K$27,J$26,K397&lt;K$28,J$27,K397&lt;K$29,J$28,K397&lt;K$30,J$29,K397&lt;K$31,J$30,K397&lt;K$32,J$31,K397&lt;K$33,J$32,K397&lt;K$34,J$33,K397&lt;K$35,J$34,K397&lt;K$36,J$35,K397&lt;K$37,J$36,K397&lt;K$38,J$37,K397&lt;K$39,J$38,K397&lt;K$40,J$39,K397&lt;K$41,J$40,K397&lt;K$42,J$41,K397&lt;K$43,J$42,K397&lt;K$44,J$43,K397&lt;K$45,J$44,K397&lt;K$46,J$45,K397&lt;K$47,J$46,K397&gt;=K$47,J$47)</f>
        <v/>
      </c>
      <c r="K397" s="38" t="n">
        <v>347</v>
      </c>
      <c r="L397" s="31">
        <f>K397/52</f>
        <v/>
      </c>
      <c r="M397" s="39">
        <f>J397/1000000*52</f>
        <v/>
      </c>
      <c r="N397" s="33">
        <f>M397/$P$4+($I$22/$P$4)</f>
        <v/>
      </c>
      <c r="U397">
        <f>F396</f>
        <v/>
      </c>
      <c r="V397">
        <f>H396</f>
        <v/>
      </c>
      <c r="W397">
        <f>N396</f>
        <v/>
      </c>
    </row>
    <row r="398" ht="15.75" customHeight="1" s="40">
      <c r="C398" s="36">
        <f>_xlfn.IFS(E398&lt;E$24,0,E398&lt;E$26,C$24,E398&lt;E$28,C$26,E398&lt;E$30,C$28,E398&lt;E$32,C$30,E398&lt;E$34,C$32,E398&gt;=E$34,C$34)</f>
        <v/>
      </c>
      <c r="D398" s="37">
        <f>_xlfn.IFS(E398&lt;E$24,0,E398&lt;E$25,D$24,E398&lt;E$26,D$25,E398&lt;E$27,D$26,E398&lt;E$28,D$27,E398&lt;E$29,D$28,E398&lt;E$30,D$29,E398&lt;E$31,D$30,E398&lt;E$32,D$31,E398&lt;E$33,D$32,E398&lt;E$34,D$33,E398&lt;E$35,D$34,E398&gt;=E$35,D$35)</f>
        <v/>
      </c>
      <c r="E398" s="38" t="n">
        <v>348</v>
      </c>
      <c r="F398" s="31">
        <f>E398/52</f>
        <v/>
      </c>
      <c r="G398" s="39">
        <f>D398/1000000*52</f>
        <v/>
      </c>
      <c r="H398" s="33">
        <f>G398/$P$4+($C$22/$P$4)</f>
        <v/>
      </c>
      <c r="I398" s="36">
        <f>_xlfn.IFS(K398&lt;K$24,0,K398&lt;K$26,I$24,K398&lt;K$28,I$26,K398&lt;K$30,I$28,K398&lt;K$32,I$30,K398&lt;K$34,I$32,K398&lt;K$36,I$34,K398&lt;K$38,I$36,K398&lt;K$40,I$38,K398&lt;K$42,I$40,K398&lt;K$44,I$42,K398&lt;K$46,I$44,K398&gt;=K$46,I$46)</f>
        <v/>
      </c>
      <c r="J398" s="37">
        <f>_xlfn.IFS(K398&lt;K$24,0,K398&lt;K$25,J$24,K398&lt;K$26,J$25,K398&lt;K$27,J$26,K398&lt;K$28,J$27,K398&lt;K$29,J$28,K398&lt;K$30,J$29,K398&lt;K$31,J$30,K398&lt;K$32,J$31,K398&lt;K$33,J$32,K398&lt;K$34,J$33,K398&lt;K$35,J$34,K398&lt;K$36,J$35,K398&lt;K$37,J$36,K398&lt;K$38,J$37,K398&lt;K$39,J$38,K398&lt;K$40,J$39,K398&lt;K$41,J$40,K398&lt;K$42,J$41,K398&lt;K$43,J$42,K398&lt;K$44,J$43,K398&lt;K$45,J$44,K398&lt;K$46,J$45,K398&lt;K$47,J$46,K398&gt;=K$47,J$47)</f>
        <v/>
      </c>
      <c r="K398" s="38" t="n">
        <v>348</v>
      </c>
      <c r="L398" s="31">
        <f>K398/52</f>
        <v/>
      </c>
      <c r="M398" s="39">
        <f>J398/1000000*52</f>
        <v/>
      </c>
      <c r="N398" s="33">
        <f>M398/$P$4+($I$22/$P$4)</f>
        <v/>
      </c>
      <c r="U398">
        <f>F397</f>
        <v/>
      </c>
      <c r="V398">
        <f>H397</f>
        <v/>
      </c>
      <c r="W398">
        <f>N397</f>
        <v/>
      </c>
    </row>
    <row r="399" ht="15.75" customHeight="1" s="40">
      <c r="C399" s="36">
        <f>_xlfn.IFS(E399&lt;E$24,0,E399&lt;E$26,C$24,E399&lt;E$28,C$26,E399&lt;E$30,C$28,E399&lt;E$32,C$30,E399&lt;E$34,C$32,E399&gt;=E$34,C$34)</f>
        <v/>
      </c>
      <c r="D399" s="37">
        <f>_xlfn.IFS(E399&lt;E$24,0,E399&lt;E$25,D$24,E399&lt;E$26,D$25,E399&lt;E$27,D$26,E399&lt;E$28,D$27,E399&lt;E$29,D$28,E399&lt;E$30,D$29,E399&lt;E$31,D$30,E399&lt;E$32,D$31,E399&lt;E$33,D$32,E399&lt;E$34,D$33,E399&lt;E$35,D$34,E399&gt;=E$35,D$35)</f>
        <v/>
      </c>
      <c r="E399" s="38" t="n">
        <v>349</v>
      </c>
      <c r="F399" s="31">
        <f>E399/52</f>
        <v/>
      </c>
      <c r="G399" s="39">
        <f>D399/1000000*52</f>
        <v/>
      </c>
      <c r="H399" s="33">
        <f>G399/$P$4+($C$22/$P$4)</f>
        <v/>
      </c>
      <c r="I399" s="36">
        <f>_xlfn.IFS(K399&lt;K$24,0,K399&lt;K$26,I$24,K399&lt;K$28,I$26,K399&lt;K$30,I$28,K399&lt;K$32,I$30,K399&lt;K$34,I$32,K399&lt;K$36,I$34,K399&lt;K$38,I$36,K399&lt;K$40,I$38,K399&lt;K$42,I$40,K399&lt;K$44,I$42,K399&lt;K$46,I$44,K399&gt;=K$46,I$46)</f>
        <v/>
      </c>
      <c r="J399" s="37">
        <f>_xlfn.IFS(K399&lt;K$24,0,K399&lt;K$25,J$24,K399&lt;K$26,J$25,K399&lt;K$27,J$26,K399&lt;K$28,J$27,K399&lt;K$29,J$28,K399&lt;K$30,J$29,K399&lt;K$31,J$30,K399&lt;K$32,J$31,K399&lt;K$33,J$32,K399&lt;K$34,J$33,K399&lt;K$35,J$34,K399&lt;K$36,J$35,K399&lt;K$37,J$36,K399&lt;K$38,J$37,K399&lt;K$39,J$38,K399&lt;K$40,J$39,K399&lt;K$41,J$40,K399&lt;K$42,J$41,K399&lt;K$43,J$42,K399&lt;K$44,J$43,K399&lt;K$45,J$44,K399&lt;K$46,J$45,K399&lt;K$47,J$46,K399&gt;=K$47,J$47)</f>
        <v/>
      </c>
      <c r="K399" s="38" t="n">
        <v>349</v>
      </c>
      <c r="L399" s="31">
        <f>K399/52</f>
        <v/>
      </c>
      <c r="M399" s="39">
        <f>J399/1000000*52</f>
        <v/>
      </c>
      <c r="N399" s="33">
        <f>M399/$P$4+($I$22/$P$4)</f>
        <v/>
      </c>
      <c r="U399">
        <f>F398</f>
        <v/>
      </c>
      <c r="V399">
        <f>H398</f>
        <v/>
      </c>
      <c r="W399">
        <f>N398</f>
        <v/>
      </c>
    </row>
    <row r="400" ht="15.75" customHeight="1" s="40">
      <c r="C400" s="36">
        <f>_xlfn.IFS(E400&lt;E$24,0,E400&lt;E$26,C$24,E400&lt;E$28,C$26,E400&lt;E$30,C$28,E400&lt;E$32,C$30,E400&lt;E$34,C$32,E400&gt;=E$34,C$34)</f>
        <v/>
      </c>
      <c r="D400" s="37">
        <f>_xlfn.IFS(E400&lt;E$24,0,E400&lt;E$25,D$24,E400&lt;E$26,D$25,E400&lt;E$27,D$26,E400&lt;E$28,D$27,E400&lt;E$29,D$28,E400&lt;E$30,D$29,E400&lt;E$31,D$30,E400&lt;E$32,D$31,E400&lt;E$33,D$32,E400&lt;E$34,D$33,E400&lt;E$35,D$34,E400&gt;=E$35,D$35)</f>
        <v/>
      </c>
      <c r="E400" s="38" t="n">
        <v>350</v>
      </c>
      <c r="F400" s="31">
        <f>E400/52</f>
        <v/>
      </c>
      <c r="G400" s="39">
        <f>D400/1000000*52</f>
        <v/>
      </c>
      <c r="H400" s="33">
        <f>G400/$P$4+($C$22/$P$4)</f>
        <v/>
      </c>
      <c r="I400" s="36">
        <f>_xlfn.IFS(K400&lt;K$24,0,K400&lt;K$26,I$24,K400&lt;K$28,I$26,K400&lt;K$30,I$28,K400&lt;K$32,I$30,K400&lt;K$34,I$32,K400&lt;K$36,I$34,K400&lt;K$38,I$36,K400&lt;K$40,I$38,K400&lt;K$42,I$40,K400&lt;K$44,I$42,K400&lt;K$46,I$44,K400&gt;=K$46,I$46)</f>
        <v/>
      </c>
      <c r="J400" s="37">
        <f>_xlfn.IFS(K400&lt;K$24,0,K400&lt;K$25,J$24,K400&lt;K$26,J$25,K400&lt;K$27,J$26,K400&lt;K$28,J$27,K400&lt;K$29,J$28,K400&lt;K$30,J$29,K400&lt;K$31,J$30,K400&lt;K$32,J$31,K400&lt;K$33,J$32,K400&lt;K$34,J$33,K400&lt;K$35,J$34,K400&lt;K$36,J$35,K400&lt;K$37,J$36,K400&lt;K$38,J$37,K400&lt;K$39,J$38,K400&lt;K$40,J$39,K400&lt;K$41,J$40,K400&lt;K$42,J$41,K400&lt;K$43,J$42,K400&lt;K$44,J$43,K400&lt;K$45,J$44,K400&lt;K$46,J$45,K400&lt;K$47,J$46,K400&gt;=K$47,J$47)</f>
        <v/>
      </c>
      <c r="K400" s="38" t="n">
        <v>350</v>
      </c>
      <c r="L400" s="31">
        <f>K400/52</f>
        <v/>
      </c>
      <c r="M400" s="39">
        <f>J400/1000000*52</f>
        <v/>
      </c>
      <c r="N400" s="33">
        <f>M400/$P$4+($I$22/$P$4)</f>
        <v/>
      </c>
      <c r="U400">
        <f>F399</f>
        <v/>
      </c>
      <c r="V400">
        <f>H399</f>
        <v/>
      </c>
      <c r="W400">
        <f>N399</f>
        <v/>
      </c>
    </row>
    <row r="401" ht="15.75" customHeight="1" s="40">
      <c r="C401" s="36">
        <f>_xlfn.IFS(E401&lt;E$24,0,E401&lt;E$26,C$24,E401&lt;E$28,C$26,E401&lt;E$30,C$28,E401&lt;E$32,C$30,E401&lt;E$34,C$32,E401&gt;=E$34,C$34)</f>
        <v/>
      </c>
      <c r="D401" s="37">
        <f>_xlfn.IFS(E401&lt;E$24,0,E401&lt;E$25,D$24,E401&lt;E$26,D$25,E401&lt;E$27,D$26,E401&lt;E$28,D$27,E401&lt;E$29,D$28,E401&lt;E$30,D$29,E401&lt;E$31,D$30,E401&lt;E$32,D$31,E401&lt;E$33,D$32,E401&lt;E$34,D$33,E401&lt;E$35,D$34,E401&gt;=E$35,D$35)</f>
        <v/>
      </c>
      <c r="E401" s="38" t="n">
        <v>351</v>
      </c>
      <c r="F401" s="31">
        <f>E401/52</f>
        <v/>
      </c>
      <c r="G401" s="39">
        <f>D401/1000000*52</f>
        <v/>
      </c>
      <c r="H401" s="33">
        <f>G401/$P$4+($C$22/$P$4)</f>
        <v/>
      </c>
      <c r="I401" s="36">
        <f>_xlfn.IFS(K401&lt;K$24,0,K401&lt;K$26,I$24,K401&lt;K$28,I$26,K401&lt;K$30,I$28,K401&lt;K$32,I$30,K401&lt;K$34,I$32,K401&lt;K$36,I$34,K401&lt;K$38,I$36,K401&lt;K$40,I$38,K401&lt;K$42,I$40,K401&lt;K$44,I$42,K401&lt;K$46,I$44,K401&gt;=K$46,I$46)</f>
        <v/>
      </c>
      <c r="J401" s="37">
        <f>_xlfn.IFS(K401&lt;K$24,0,K401&lt;K$25,J$24,K401&lt;K$26,J$25,K401&lt;K$27,J$26,K401&lt;K$28,J$27,K401&lt;K$29,J$28,K401&lt;K$30,J$29,K401&lt;K$31,J$30,K401&lt;K$32,J$31,K401&lt;K$33,J$32,K401&lt;K$34,J$33,K401&lt;K$35,J$34,K401&lt;K$36,J$35,K401&lt;K$37,J$36,K401&lt;K$38,J$37,K401&lt;K$39,J$38,K401&lt;K$40,J$39,K401&lt;K$41,J$40,K401&lt;K$42,J$41,K401&lt;K$43,J$42,K401&lt;K$44,J$43,K401&lt;K$45,J$44,K401&lt;K$46,J$45,K401&lt;K$47,J$46,K401&gt;=K$47,J$47)</f>
        <v/>
      </c>
      <c r="K401" s="38" t="n">
        <v>351</v>
      </c>
      <c r="L401" s="31">
        <f>K401/52</f>
        <v/>
      </c>
      <c r="M401" s="39">
        <f>J401/1000000*52</f>
        <v/>
      </c>
      <c r="N401" s="33">
        <f>M401/$P$4+($I$22/$P$4)</f>
        <v/>
      </c>
      <c r="U401">
        <f>F400</f>
        <v/>
      </c>
      <c r="V401">
        <f>H400</f>
        <v/>
      </c>
      <c r="W401">
        <f>N400</f>
        <v/>
      </c>
    </row>
    <row r="402" ht="15.75" customHeight="1" s="40">
      <c r="C402" s="36">
        <f>_xlfn.IFS(E402&lt;E$24,0,E402&lt;E$26,C$24,E402&lt;E$28,C$26,E402&lt;E$30,C$28,E402&lt;E$32,C$30,E402&lt;E$34,C$32,E402&gt;=E$34,C$34)</f>
        <v/>
      </c>
      <c r="D402" s="37">
        <f>_xlfn.IFS(E402&lt;E$24,0,E402&lt;E$25,D$24,E402&lt;E$26,D$25,E402&lt;E$27,D$26,E402&lt;E$28,D$27,E402&lt;E$29,D$28,E402&lt;E$30,D$29,E402&lt;E$31,D$30,E402&lt;E$32,D$31,E402&lt;E$33,D$32,E402&lt;E$34,D$33,E402&lt;E$35,D$34,E402&gt;=E$35,D$35)</f>
        <v/>
      </c>
      <c r="E402" s="38" t="n">
        <v>352</v>
      </c>
      <c r="F402" s="31">
        <f>E402/52</f>
        <v/>
      </c>
      <c r="G402" s="39">
        <f>D402/1000000*52</f>
        <v/>
      </c>
      <c r="H402" s="33">
        <f>G402/$P$4+($C$22/$P$4)</f>
        <v/>
      </c>
      <c r="I402" s="36">
        <f>_xlfn.IFS(K402&lt;K$24,0,K402&lt;K$26,I$24,K402&lt;K$28,I$26,K402&lt;K$30,I$28,K402&lt;K$32,I$30,K402&lt;K$34,I$32,K402&lt;K$36,I$34,K402&lt;K$38,I$36,K402&lt;K$40,I$38,K402&lt;K$42,I$40,K402&lt;K$44,I$42,K402&lt;K$46,I$44,K402&gt;=K$46,I$46)</f>
        <v/>
      </c>
      <c r="J402" s="37">
        <f>_xlfn.IFS(K402&lt;K$24,0,K402&lt;K$25,J$24,K402&lt;K$26,J$25,K402&lt;K$27,J$26,K402&lt;K$28,J$27,K402&lt;K$29,J$28,K402&lt;K$30,J$29,K402&lt;K$31,J$30,K402&lt;K$32,J$31,K402&lt;K$33,J$32,K402&lt;K$34,J$33,K402&lt;K$35,J$34,K402&lt;K$36,J$35,K402&lt;K$37,J$36,K402&lt;K$38,J$37,K402&lt;K$39,J$38,K402&lt;K$40,J$39,K402&lt;K$41,J$40,K402&lt;K$42,J$41,K402&lt;K$43,J$42,K402&lt;K$44,J$43,K402&lt;K$45,J$44,K402&lt;K$46,J$45,K402&lt;K$47,J$46,K402&gt;=K$47,J$47)</f>
        <v/>
      </c>
      <c r="K402" s="38" t="n">
        <v>352</v>
      </c>
      <c r="L402" s="31">
        <f>K402/52</f>
        <v/>
      </c>
      <c r="M402" s="39">
        <f>J402/1000000*52</f>
        <v/>
      </c>
      <c r="N402" s="33">
        <f>M402/$P$4+($I$22/$P$4)</f>
        <v/>
      </c>
      <c r="U402">
        <f>F401</f>
        <v/>
      </c>
      <c r="V402">
        <f>H401</f>
        <v/>
      </c>
      <c r="W402">
        <f>N401</f>
        <v/>
      </c>
    </row>
    <row r="403" ht="15.75" customHeight="1" s="40">
      <c r="C403" s="36">
        <f>_xlfn.IFS(E403&lt;E$24,0,E403&lt;E$26,C$24,E403&lt;E$28,C$26,E403&lt;E$30,C$28,E403&lt;E$32,C$30,E403&lt;E$34,C$32,E403&gt;=E$34,C$34)</f>
        <v/>
      </c>
      <c r="D403" s="37">
        <f>_xlfn.IFS(E403&lt;E$24,0,E403&lt;E$25,D$24,E403&lt;E$26,D$25,E403&lt;E$27,D$26,E403&lt;E$28,D$27,E403&lt;E$29,D$28,E403&lt;E$30,D$29,E403&lt;E$31,D$30,E403&lt;E$32,D$31,E403&lt;E$33,D$32,E403&lt;E$34,D$33,E403&lt;E$35,D$34,E403&gt;=E$35,D$35)</f>
        <v/>
      </c>
      <c r="E403" s="38" t="n">
        <v>353</v>
      </c>
      <c r="F403" s="31">
        <f>E403/52</f>
        <v/>
      </c>
      <c r="G403" s="39">
        <f>D403/1000000*52</f>
        <v/>
      </c>
      <c r="H403" s="33">
        <f>G403/$P$4+($C$22/$P$4)</f>
        <v/>
      </c>
      <c r="I403" s="36">
        <f>_xlfn.IFS(K403&lt;K$24,0,K403&lt;K$26,I$24,K403&lt;K$28,I$26,K403&lt;K$30,I$28,K403&lt;K$32,I$30,K403&lt;K$34,I$32,K403&lt;K$36,I$34,K403&lt;K$38,I$36,K403&lt;K$40,I$38,K403&lt;K$42,I$40,K403&lt;K$44,I$42,K403&lt;K$46,I$44,K403&gt;=K$46,I$46)</f>
        <v/>
      </c>
      <c r="J403" s="37">
        <f>_xlfn.IFS(K403&lt;K$24,0,K403&lt;K$25,J$24,K403&lt;K$26,J$25,K403&lt;K$27,J$26,K403&lt;K$28,J$27,K403&lt;K$29,J$28,K403&lt;K$30,J$29,K403&lt;K$31,J$30,K403&lt;K$32,J$31,K403&lt;K$33,J$32,K403&lt;K$34,J$33,K403&lt;K$35,J$34,K403&lt;K$36,J$35,K403&lt;K$37,J$36,K403&lt;K$38,J$37,K403&lt;K$39,J$38,K403&lt;K$40,J$39,K403&lt;K$41,J$40,K403&lt;K$42,J$41,K403&lt;K$43,J$42,K403&lt;K$44,J$43,K403&lt;K$45,J$44,K403&lt;K$46,J$45,K403&lt;K$47,J$46,K403&gt;=K$47,J$47)</f>
        <v/>
      </c>
      <c r="K403" s="38" t="n">
        <v>353</v>
      </c>
      <c r="L403" s="31">
        <f>K403/52</f>
        <v/>
      </c>
      <c r="M403" s="39">
        <f>J403/1000000*52</f>
        <v/>
      </c>
      <c r="N403" s="33">
        <f>M403/$P$4+($I$22/$P$4)</f>
        <v/>
      </c>
      <c r="U403">
        <f>F402</f>
        <v/>
      </c>
      <c r="V403">
        <f>H402</f>
        <v/>
      </c>
      <c r="W403">
        <f>N402</f>
        <v/>
      </c>
    </row>
    <row r="404" ht="15.75" customHeight="1" s="40">
      <c r="C404" s="36">
        <f>_xlfn.IFS(E404&lt;E$24,0,E404&lt;E$26,C$24,E404&lt;E$28,C$26,E404&lt;E$30,C$28,E404&lt;E$32,C$30,E404&lt;E$34,C$32,E404&gt;=E$34,C$34)</f>
        <v/>
      </c>
      <c r="D404" s="37">
        <f>_xlfn.IFS(E404&lt;E$24,0,E404&lt;E$25,D$24,E404&lt;E$26,D$25,E404&lt;E$27,D$26,E404&lt;E$28,D$27,E404&lt;E$29,D$28,E404&lt;E$30,D$29,E404&lt;E$31,D$30,E404&lt;E$32,D$31,E404&lt;E$33,D$32,E404&lt;E$34,D$33,E404&lt;E$35,D$34,E404&gt;=E$35,D$35)</f>
        <v/>
      </c>
      <c r="E404" s="38" t="n">
        <v>354</v>
      </c>
      <c r="F404" s="31">
        <f>E404/52</f>
        <v/>
      </c>
      <c r="G404" s="39">
        <f>D404/1000000*52</f>
        <v/>
      </c>
      <c r="H404" s="33">
        <f>G404/$P$4+($C$22/$P$4)</f>
        <v/>
      </c>
      <c r="I404" s="36">
        <f>_xlfn.IFS(K404&lt;K$24,0,K404&lt;K$26,I$24,K404&lt;K$28,I$26,K404&lt;K$30,I$28,K404&lt;K$32,I$30,K404&lt;K$34,I$32,K404&lt;K$36,I$34,K404&lt;K$38,I$36,K404&lt;K$40,I$38,K404&lt;K$42,I$40,K404&lt;K$44,I$42,K404&lt;K$46,I$44,K404&gt;=K$46,I$46)</f>
        <v/>
      </c>
      <c r="J404" s="37">
        <f>_xlfn.IFS(K404&lt;K$24,0,K404&lt;K$25,J$24,K404&lt;K$26,J$25,K404&lt;K$27,J$26,K404&lt;K$28,J$27,K404&lt;K$29,J$28,K404&lt;K$30,J$29,K404&lt;K$31,J$30,K404&lt;K$32,J$31,K404&lt;K$33,J$32,K404&lt;K$34,J$33,K404&lt;K$35,J$34,K404&lt;K$36,J$35,K404&lt;K$37,J$36,K404&lt;K$38,J$37,K404&lt;K$39,J$38,K404&lt;K$40,J$39,K404&lt;K$41,J$40,K404&lt;K$42,J$41,K404&lt;K$43,J$42,K404&lt;K$44,J$43,K404&lt;K$45,J$44,K404&lt;K$46,J$45,K404&lt;K$47,J$46,K404&gt;=K$47,J$47)</f>
        <v/>
      </c>
      <c r="K404" s="38" t="n">
        <v>354</v>
      </c>
      <c r="L404" s="31">
        <f>K404/52</f>
        <v/>
      </c>
      <c r="M404" s="39">
        <f>J404/1000000*52</f>
        <v/>
      </c>
      <c r="N404" s="33">
        <f>M404/$P$4+($I$22/$P$4)</f>
        <v/>
      </c>
      <c r="U404">
        <f>F403</f>
        <v/>
      </c>
      <c r="V404">
        <f>H403</f>
        <v/>
      </c>
      <c r="W404">
        <f>N403</f>
        <v/>
      </c>
    </row>
    <row r="405" ht="15.75" customHeight="1" s="40">
      <c r="C405" s="36">
        <f>_xlfn.IFS(E405&lt;E$24,0,E405&lt;E$26,C$24,E405&lt;E$28,C$26,E405&lt;E$30,C$28,E405&lt;E$32,C$30,E405&lt;E$34,C$32,E405&gt;=E$34,C$34)</f>
        <v/>
      </c>
      <c r="D405" s="37">
        <f>_xlfn.IFS(E405&lt;E$24,0,E405&lt;E$25,D$24,E405&lt;E$26,D$25,E405&lt;E$27,D$26,E405&lt;E$28,D$27,E405&lt;E$29,D$28,E405&lt;E$30,D$29,E405&lt;E$31,D$30,E405&lt;E$32,D$31,E405&lt;E$33,D$32,E405&lt;E$34,D$33,E405&lt;E$35,D$34,E405&gt;=E$35,D$35)</f>
        <v/>
      </c>
      <c r="E405" s="38" t="n">
        <v>355</v>
      </c>
      <c r="F405" s="31">
        <f>E405/52</f>
        <v/>
      </c>
      <c r="G405" s="39">
        <f>D405/1000000*52</f>
        <v/>
      </c>
      <c r="H405" s="33">
        <f>G405/$P$4+($C$22/$P$4)</f>
        <v/>
      </c>
      <c r="I405" s="36">
        <f>_xlfn.IFS(K405&lt;K$24,0,K405&lt;K$26,I$24,K405&lt;K$28,I$26,K405&lt;K$30,I$28,K405&lt;K$32,I$30,K405&lt;K$34,I$32,K405&lt;K$36,I$34,K405&lt;K$38,I$36,K405&lt;K$40,I$38,K405&lt;K$42,I$40,K405&lt;K$44,I$42,K405&lt;K$46,I$44,K405&gt;=K$46,I$46)</f>
        <v/>
      </c>
      <c r="J405" s="37">
        <f>_xlfn.IFS(K405&lt;K$24,0,K405&lt;K$25,J$24,K405&lt;K$26,J$25,K405&lt;K$27,J$26,K405&lt;K$28,J$27,K405&lt;K$29,J$28,K405&lt;K$30,J$29,K405&lt;K$31,J$30,K405&lt;K$32,J$31,K405&lt;K$33,J$32,K405&lt;K$34,J$33,K405&lt;K$35,J$34,K405&lt;K$36,J$35,K405&lt;K$37,J$36,K405&lt;K$38,J$37,K405&lt;K$39,J$38,K405&lt;K$40,J$39,K405&lt;K$41,J$40,K405&lt;K$42,J$41,K405&lt;K$43,J$42,K405&lt;K$44,J$43,K405&lt;K$45,J$44,K405&lt;K$46,J$45,K405&lt;K$47,J$46,K405&gt;=K$47,J$47)</f>
        <v/>
      </c>
      <c r="K405" s="38" t="n">
        <v>355</v>
      </c>
      <c r="L405" s="31">
        <f>K405/52</f>
        <v/>
      </c>
      <c r="M405" s="39">
        <f>J405/1000000*52</f>
        <v/>
      </c>
      <c r="N405" s="33">
        <f>M405/$P$4+($I$22/$P$4)</f>
        <v/>
      </c>
      <c r="U405">
        <f>F404</f>
        <v/>
      </c>
      <c r="V405">
        <f>H404</f>
        <v/>
      </c>
      <c r="W405">
        <f>N404</f>
        <v/>
      </c>
    </row>
    <row r="406" ht="15.75" customHeight="1" s="40">
      <c r="C406" s="36">
        <f>_xlfn.IFS(E406&lt;E$24,0,E406&lt;E$26,C$24,E406&lt;E$28,C$26,E406&lt;E$30,C$28,E406&lt;E$32,C$30,E406&lt;E$34,C$32,E406&gt;=E$34,C$34)</f>
        <v/>
      </c>
      <c r="D406" s="37">
        <f>_xlfn.IFS(E406&lt;E$24,0,E406&lt;E$25,D$24,E406&lt;E$26,D$25,E406&lt;E$27,D$26,E406&lt;E$28,D$27,E406&lt;E$29,D$28,E406&lt;E$30,D$29,E406&lt;E$31,D$30,E406&lt;E$32,D$31,E406&lt;E$33,D$32,E406&lt;E$34,D$33,E406&lt;E$35,D$34,E406&gt;=E$35,D$35)</f>
        <v/>
      </c>
      <c r="E406" s="38" t="n">
        <v>356</v>
      </c>
      <c r="F406" s="31">
        <f>E406/52</f>
        <v/>
      </c>
      <c r="G406" s="39">
        <f>D406/1000000*52</f>
        <v/>
      </c>
      <c r="H406" s="33">
        <f>G406/$P$4+($C$22/$P$4)</f>
        <v/>
      </c>
      <c r="I406" s="36">
        <f>_xlfn.IFS(K406&lt;K$24,0,K406&lt;K$26,I$24,K406&lt;K$28,I$26,K406&lt;K$30,I$28,K406&lt;K$32,I$30,K406&lt;K$34,I$32,K406&lt;K$36,I$34,K406&lt;K$38,I$36,K406&lt;K$40,I$38,K406&lt;K$42,I$40,K406&lt;K$44,I$42,K406&lt;K$46,I$44,K406&gt;=K$46,I$46)</f>
        <v/>
      </c>
      <c r="J406" s="37">
        <f>_xlfn.IFS(K406&lt;K$24,0,K406&lt;K$25,J$24,K406&lt;K$26,J$25,K406&lt;K$27,J$26,K406&lt;K$28,J$27,K406&lt;K$29,J$28,K406&lt;K$30,J$29,K406&lt;K$31,J$30,K406&lt;K$32,J$31,K406&lt;K$33,J$32,K406&lt;K$34,J$33,K406&lt;K$35,J$34,K406&lt;K$36,J$35,K406&lt;K$37,J$36,K406&lt;K$38,J$37,K406&lt;K$39,J$38,K406&lt;K$40,J$39,K406&lt;K$41,J$40,K406&lt;K$42,J$41,K406&lt;K$43,J$42,K406&lt;K$44,J$43,K406&lt;K$45,J$44,K406&lt;K$46,J$45,K406&lt;K$47,J$46,K406&gt;=K$47,J$47)</f>
        <v/>
      </c>
      <c r="K406" s="38" t="n">
        <v>356</v>
      </c>
      <c r="L406" s="31">
        <f>K406/52</f>
        <v/>
      </c>
      <c r="M406" s="39">
        <f>J406/1000000*52</f>
        <v/>
      </c>
      <c r="N406" s="33">
        <f>M406/$P$4+($I$22/$P$4)</f>
        <v/>
      </c>
      <c r="U406">
        <f>F405</f>
        <v/>
      </c>
      <c r="V406">
        <f>H405</f>
        <v/>
      </c>
      <c r="W406">
        <f>N405</f>
        <v/>
      </c>
    </row>
    <row r="407" ht="15.75" customHeight="1" s="40">
      <c r="C407" s="36">
        <f>_xlfn.IFS(E407&lt;E$24,0,E407&lt;E$26,C$24,E407&lt;E$28,C$26,E407&lt;E$30,C$28,E407&lt;E$32,C$30,E407&lt;E$34,C$32,E407&gt;=E$34,C$34)</f>
        <v/>
      </c>
      <c r="D407" s="37">
        <f>_xlfn.IFS(E407&lt;E$24,0,E407&lt;E$25,D$24,E407&lt;E$26,D$25,E407&lt;E$27,D$26,E407&lt;E$28,D$27,E407&lt;E$29,D$28,E407&lt;E$30,D$29,E407&lt;E$31,D$30,E407&lt;E$32,D$31,E407&lt;E$33,D$32,E407&lt;E$34,D$33,E407&lt;E$35,D$34,E407&gt;=E$35,D$35)</f>
        <v/>
      </c>
      <c r="E407" s="38" t="n">
        <v>357</v>
      </c>
      <c r="F407" s="31">
        <f>E407/52</f>
        <v/>
      </c>
      <c r="G407" s="39">
        <f>D407/1000000*52</f>
        <v/>
      </c>
      <c r="H407" s="33">
        <f>G407/$P$4+($C$22/$P$4)</f>
        <v/>
      </c>
      <c r="I407" s="36">
        <f>_xlfn.IFS(K407&lt;K$24,0,K407&lt;K$26,I$24,K407&lt;K$28,I$26,K407&lt;K$30,I$28,K407&lt;K$32,I$30,K407&lt;K$34,I$32,K407&lt;K$36,I$34,K407&lt;K$38,I$36,K407&lt;K$40,I$38,K407&lt;K$42,I$40,K407&lt;K$44,I$42,K407&lt;K$46,I$44,K407&gt;=K$46,I$46)</f>
        <v/>
      </c>
      <c r="J407" s="37">
        <f>_xlfn.IFS(K407&lt;K$24,0,K407&lt;K$25,J$24,K407&lt;K$26,J$25,K407&lt;K$27,J$26,K407&lt;K$28,J$27,K407&lt;K$29,J$28,K407&lt;K$30,J$29,K407&lt;K$31,J$30,K407&lt;K$32,J$31,K407&lt;K$33,J$32,K407&lt;K$34,J$33,K407&lt;K$35,J$34,K407&lt;K$36,J$35,K407&lt;K$37,J$36,K407&lt;K$38,J$37,K407&lt;K$39,J$38,K407&lt;K$40,J$39,K407&lt;K$41,J$40,K407&lt;K$42,J$41,K407&lt;K$43,J$42,K407&lt;K$44,J$43,K407&lt;K$45,J$44,K407&lt;K$46,J$45,K407&lt;K$47,J$46,K407&gt;=K$47,J$47)</f>
        <v/>
      </c>
      <c r="K407" s="38" t="n">
        <v>357</v>
      </c>
      <c r="L407" s="31">
        <f>K407/52</f>
        <v/>
      </c>
      <c r="M407" s="39">
        <f>J407/1000000*52</f>
        <v/>
      </c>
      <c r="N407" s="33">
        <f>M407/$P$4+($I$22/$P$4)</f>
        <v/>
      </c>
      <c r="U407">
        <f>F406</f>
        <v/>
      </c>
      <c r="V407">
        <f>H406</f>
        <v/>
      </c>
      <c r="W407">
        <f>N406</f>
        <v/>
      </c>
    </row>
    <row r="408" ht="15.75" customHeight="1" s="40">
      <c r="C408" s="36">
        <f>_xlfn.IFS(E408&lt;E$24,0,E408&lt;E$26,C$24,E408&lt;E$28,C$26,E408&lt;E$30,C$28,E408&lt;E$32,C$30,E408&lt;E$34,C$32,E408&gt;=E$34,C$34)</f>
        <v/>
      </c>
      <c r="D408" s="37">
        <f>_xlfn.IFS(E408&lt;E$24,0,E408&lt;E$25,D$24,E408&lt;E$26,D$25,E408&lt;E$27,D$26,E408&lt;E$28,D$27,E408&lt;E$29,D$28,E408&lt;E$30,D$29,E408&lt;E$31,D$30,E408&lt;E$32,D$31,E408&lt;E$33,D$32,E408&lt;E$34,D$33,E408&lt;E$35,D$34,E408&gt;=E$35,D$35)</f>
        <v/>
      </c>
      <c r="E408" s="38" t="n">
        <v>358</v>
      </c>
      <c r="F408" s="31">
        <f>E408/52</f>
        <v/>
      </c>
      <c r="G408" s="39">
        <f>D408/1000000*52</f>
        <v/>
      </c>
      <c r="H408" s="33">
        <f>G408/$P$4+($C$22/$P$4)</f>
        <v/>
      </c>
      <c r="I408" s="36">
        <f>_xlfn.IFS(K408&lt;K$24,0,K408&lt;K$26,I$24,K408&lt;K$28,I$26,K408&lt;K$30,I$28,K408&lt;K$32,I$30,K408&lt;K$34,I$32,K408&lt;K$36,I$34,K408&lt;K$38,I$36,K408&lt;K$40,I$38,K408&lt;K$42,I$40,K408&lt;K$44,I$42,K408&lt;K$46,I$44,K408&gt;=K$46,I$46)</f>
        <v/>
      </c>
      <c r="J408" s="37">
        <f>_xlfn.IFS(K408&lt;K$24,0,K408&lt;K$25,J$24,K408&lt;K$26,J$25,K408&lt;K$27,J$26,K408&lt;K$28,J$27,K408&lt;K$29,J$28,K408&lt;K$30,J$29,K408&lt;K$31,J$30,K408&lt;K$32,J$31,K408&lt;K$33,J$32,K408&lt;K$34,J$33,K408&lt;K$35,J$34,K408&lt;K$36,J$35,K408&lt;K$37,J$36,K408&lt;K$38,J$37,K408&lt;K$39,J$38,K408&lt;K$40,J$39,K408&lt;K$41,J$40,K408&lt;K$42,J$41,K408&lt;K$43,J$42,K408&lt;K$44,J$43,K408&lt;K$45,J$44,K408&lt;K$46,J$45,K408&lt;K$47,J$46,K408&gt;=K$47,J$47)</f>
        <v/>
      </c>
      <c r="K408" s="38" t="n">
        <v>358</v>
      </c>
      <c r="L408" s="31">
        <f>K408/52</f>
        <v/>
      </c>
      <c r="M408" s="39">
        <f>J408/1000000*52</f>
        <v/>
      </c>
      <c r="N408" s="33">
        <f>M408/$P$4+($I$22/$P$4)</f>
        <v/>
      </c>
      <c r="U408">
        <f>F407</f>
        <v/>
      </c>
      <c r="V408">
        <f>H407</f>
        <v/>
      </c>
      <c r="W408">
        <f>N407</f>
        <v/>
      </c>
    </row>
    <row r="409" ht="15.75" customHeight="1" s="40">
      <c r="C409" s="36">
        <f>_xlfn.IFS(E409&lt;E$24,0,E409&lt;E$26,C$24,E409&lt;E$28,C$26,E409&lt;E$30,C$28,E409&lt;E$32,C$30,E409&lt;E$34,C$32,E409&gt;=E$34,C$34)</f>
        <v/>
      </c>
      <c r="D409" s="37">
        <f>_xlfn.IFS(E409&lt;E$24,0,E409&lt;E$25,D$24,E409&lt;E$26,D$25,E409&lt;E$27,D$26,E409&lt;E$28,D$27,E409&lt;E$29,D$28,E409&lt;E$30,D$29,E409&lt;E$31,D$30,E409&lt;E$32,D$31,E409&lt;E$33,D$32,E409&lt;E$34,D$33,E409&lt;E$35,D$34,E409&gt;=E$35,D$35)</f>
        <v/>
      </c>
      <c r="E409" s="38" t="n">
        <v>359</v>
      </c>
      <c r="F409" s="31">
        <f>E409/52</f>
        <v/>
      </c>
      <c r="G409" s="39">
        <f>D409/1000000*52</f>
        <v/>
      </c>
      <c r="H409" s="33">
        <f>G409/$P$4+($C$22/$P$4)</f>
        <v/>
      </c>
      <c r="I409" s="36">
        <f>_xlfn.IFS(K409&lt;K$24,0,K409&lt;K$26,I$24,K409&lt;K$28,I$26,K409&lt;K$30,I$28,K409&lt;K$32,I$30,K409&lt;K$34,I$32,K409&lt;K$36,I$34,K409&lt;K$38,I$36,K409&lt;K$40,I$38,K409&lt;K$42,I$40,K409&lt;K$44,I$42,K409&lt;K$46,I$44,K409&gt;=K$46,I$46)</f>
        <v/>
      </c>
      <c r="J409" s="37">
        <f>_xlfn.IFS(K409&lt;K$24,0,K409&lt;K$25,J$24,K409&lt;K$26,J$25,K409&lt;K$27,J$26,K409&lt;K$28,J$27,K409&lt;K$29,J$28,K409&lt;K$30,J$29,K409&lt;K$31,J$30,K409&lt;K$32,J$31,K409&lt;K$33,J$32,K409&lt;K$34,J$33,K409&lt;K$35,J$34,K409&lt;K$36,J$35,K409&lt;K$37,J$36,K409&lt;K$38,J$37,K409&lt;K$39,J$38,K409&lt;K$40,J$39,K409&lt;K$41,J$40,K409&lt;K$42,J$41,K409&lt;K$43,J$42,K409&lt;K$44,J$43,K409&lt;K$45,J$44,K409&lt;K$46,J$45,K409&lt;K$47,J$46,K409&gt;=K$47,J$47)</f>
        <v/>
      </c>
      <c r="K409" s="38" t="n">
        <v>359</v>
      </c>
      <c r="L409" s="31">
        <f>K409/52</f>
        <v/>
      </c>
      <c r="M409" s="39">
        <f>J409/1000000*52</f>
        <v/>
      </c>
      <c r="N409" s="33">
        <f>M409/$P$4+($I$22/$P$4)</f>
        <v/>
      </c>
      <c r="U409">
        <f>F408</f>
        <v/>
      </c>
      <c r="V409">
        <f>H408</f>
        <v/>
      </c>
      <c r="W409">
        <f>N408</f>
        <v/>
      </c>
    </row>
    <row r="410" ht="15.75" customHeight="1" s="40">
      <c r="C410" s="36">
        <f>_xlfn.IFS(E410&lt;E$24,0,E410&lt;E$26,C$24,E410&lt;E$28,C$26,E410&lt;E$30,C$28,E410&lt;E$32,C$30,E410&lt;E$34,C$32,E410&gt;=E$34,C$34)</f>
        <v/>
      </c>
      <c r="D410" s="37">
        <f>_xlfn.IFS(E410&lt;E$24,0,E410&lt;E$25,D$24,E410&lt;E$26,D$25,E410&lt;E$27,D$26,E410&lt;E$28,D$27,E410&lt;E$29,D$28,E410&lt;E$30,D$29,E410&lt;E$31,D$30,E410&lt;E$32,D$31,E410&lt;E$33,D$32,E410&lt;E$34,D$33,E410&lt;E$35,D$34,E410&gt;=E$35,D$35)</f>
        <v/>
      </c>
      <c r="E410" s="38" t="n">
        <v>360</v>
      </c>
      <c r="F410" s="31">
        <f>E410/52</f>
        <v/>
      </c>
      <c r="G410" s="39">
        <f>D410/1000000*52</f>
        <v/>
      </c>
      <c r="H410" s="33">
        <f>G410/$P$4+($C$22/$P$4)</f>
        <v/>
      </c>
      <c r="I410" s="36">
        <f>_xlfn.IFS(K410&lt;K$24,0,K410&lt;K$26,I$24,K410&lt;K$28,I$26,K410&lt;K$30,I$28,K410&lt;K$32,I$30,K410&lt;K$34,I$32,K410&lt;K$36,I$34,K410&lt;K$38,I$36,K410&lt;K$40,I$38,K410&lt;K$42,I$40,K410&lt;K$44,I$42,K410&lt;K$46,I$44,K410&gt;=K$46,I$46)</f>
        <v/>
      </c>
      <c r="J410" s="37">
        <f>_xlfn.IFS(K410&lt;K$24,0,K410&lt;K$25,J$24,K410&lt;K$26,J$25,K410&lt;K$27,J$26,K410&lt;K$28,J$27,K410&lt;K$29,J$28,K410&lt;K$30,J$29,K410&lt;K$31,J$30,K410&lt;K$32,J$31,K410&lt;K$33,J$32,K410&lt;K$34,J$33,K410&lt;K$35,J$34,K410&lt;K$36,J$35,K410&lt;K$37,J$36,K410&lt;K$38,J$37,K410&lt;K$39,J$38,K410&lt;K$40,J$39,K410&lt;K$41,J$40,K410&lt;K$42,J$41,K410&lt;K$43,J$42,K410&lt;K$44,J$43,K410&lt;K$45,J$44,K410&lt;K$46,J$45,K410&lt;K$47,J$46,K410&gt;=K$47,J$47)</f>
        <v/>
      </c>
      <c r="K410" s="38" t="n">
        <v>360</v>
      </c>
      <c r="L410" s="31">
        <f>K410/52</f>
        <v/>
      </c>
      <c r="M410" s="39">
        <f>J410/1000000*52</f>
        <v/>
      </c>
      <c r="N410" s="33">
        <f>M410/$P$4+($I$22/$P$4)</f>
        <v/>
      </c>
      <c r="U410">
        <f>F409</f>
        <v/>
      </c>
      <c r="V410">
        <f>H409</f>
        <v/>
      </c>
      <c r="W410">
        <f>N409</f>
        <v/>
      </c>
    </row>
    <row r="411" ht="15.75" customHeight="1" s="40">
      <c r="C411" s="36">
        <f>_xlfn.IFS(E411&lt;E$24,0,E411&lt;E$26,C$24,E411&lt;E$28,C$26,E411&lt;E$30,C$28,E411&lt;E$32,C$30,E411&lt;E$34,C$32,E411&gt;=E$34,C$34)</f>
        <v/>
      </c>
      <c r="D411" s="37">
        <f>_xlfn.IFS(E411&lt;E$24,0,E411&lt;E$25,D$24,E411&lt;E$26,D$25,E411&lt;E$27,D$26,E411&lt;E$28,D$27,E411&lt;E$29,D$28,E411&lt;E$30,D$29,E411&lt;E$31,D$30,E411&lt;E$32,D$31,E411&lt;E$33,D$32,E411&lt;E$34,D$33,E411&lt;E$35,D$34,E411&gt;=E$35,D$35)</f>
        <v/>
      </c>
      <c r="E411" s="38" t="n">
        <v>361</v>
      </c>
      <c r="F411" s="31">
        <f>E411/52</f>
        <v/>
      </c>
      <c r="G411" s="39">
        <f>D411/1000000*52</f>
        <v/>
      </c>
      <c r="H411" s="33">
        <f>G411/$P$4+($C$22/$P$4)</f>
        <v/>
      </c>
      <c r="I411" s="36">
        <f>_xlfn.IFS(K411&lt;K$24,0,K411&lt;K$26,I$24,K411&lt;K$28,I$26,K411&lt;K$30,I$28,K411&lt;K$32,I$30,K411&lt;K$34,I$32,K411&lt;K$36,I$34,K411&lt;K$38,I$36,K411&lt;K$40,I$38,K411&lt;K$42,I$40,K411&lt;K$44,I$42,K411&lt;K$46,I$44,K411&gt;=K$46,I$46)</f>
        <v/>
      </c>
      <c r="J411" s="37">
        <f>_xlfn.IFS(K411&lt;K$24,0,K411&lt;K$25,J$24,K411&lt;K$26,J$25,K411&lt;K$27,J$26,K411&lt;K$28,J$27,K411&lt;K$29,J$28,K411&lt;K$30,J$29,K411&lt;K$31,J$30,K411&lt;K$32,J$31,K411&lt;K$33,J$32,K411&lt;K$34,J$33,K411&lt;K$35,J$34,K411&lt;K$36,J$35,K411&lt;K$37,J$36,K411&lt;K$38,J$37,K411&lt;K$39,J$38,K411&lt;K$40,J$39,K411&lt;K$41,J$40,K411&lt;K$42,J$41,K411&lt;K$43,J$42,K411&lt;K$44,J$43,K411&lt;K$45,J$44,K411&lt;K$46,J$45,K411&lt;K$47,J$46,K411&gt;=K$47,J$47)</f>
        <v/>
      </c>
      <c r="K411" s="38" t="n">
        <v>361</v>
      </c>
      <c r="L411" s="31">
        <f>K411/52</f>
        <v/>
      </c>
      <c r="M411" s="39">
        <f>J411/1000000*52</f>
        <v/>
      </c>
      <c r="N411" s="33">
        <f>M411/$P$4+($I$22/$P$4)</f>
        <v/>
      </c>
      <c r="U411">
        <f>F410</f>
        <v/>
      </c>
      <c r="V411">
        <f>H410</f>
        <v/>
      </c>
      <c r="W411">
        <f>N410</f>
        <v/>
      </c>
    </row>
    <row r="412" ht="15.75" customHeight="1" s="40">
      <c r="C412" s="36">
        <f>_xlfn.IFS(E412&lt;E$24,0,E412&lt;E$26,C$24,E412&lt;E$28,C$26,E412&lt;E$30,C$28,E412&lt;E$32,C$30,E412&lt;E$34,C$32,E412&gt;=E$34,C$34)</f>
        <v/>
      </c>
      <c r="D412" s="37">
        <f>_xlfn.IFS(E412&lt;E$24,0,E412&lt;E$25,D$24,E412&lt;E$26,D$25,E412&lt;E$27,D$26,E412&lt;E$28,D$27,E412&lt;E$29,D$28,E412&lt;E$30,D$29,E412&lt;E$31,D$30,E412&lt;E$32,D$31,E412&lt;E$33,D$32,E412&lt;E$34,D$33,E412&lt;E$35,D$34,E412&gt;=E$35,D$35)</f>
        <v/>
      </c>
      <c r="E412" s="38" t="n">
        <v>362</v>
      </c>
      <c r="F412" s="31">
        <f>E412/52</f>
        <v/>
      </c>
      <c r="G412" s="39">
        <f>D412/1000000*52</f>
        <v/>
      </c>
      <c r="H412" s="33">
        <f>G412/$P$4+($C$22/$P$4)</f>
        <v/>
      </c>
      <c r="I412" s="36">
        <f>_xlfn.IFS(K412&lt;K$24,0,K412&lt;K$26,I$24,K412&lt;K$28,I$26,K412&lt;K$30,I$28,K412&lt;K$32,I$30,K412&lt;K$34,I$32,K412&lt;K$36,I$34,K412&lt;K$38,I$36,K412&lt;K$40,I$38,K412&lt;K$42,I$40,K412&lt;K$44,I$42,K412&lt;K$46,I$44,K412&gt;=K$46,I$46)</f>
        <v/>
      </c>
      <c r="J412" s="37">
        <f>_xlfn.IFS(K412&lt;K$24,0,K412&lt;K$25,J$24,K412&lt;K$26,J$25,K412&lt;K$27,J$26,K412&lt;K$28,J$27,K412&lt;K$29,J$28,K412&lt;K$30,J$29,K412&lt;K$31,J$30,K412&lt;K$32,J$31,K412&lt;K$33,J$32,K412&lt;K$34,J$33,K412&lt;K$35,J$34,K412&lt;K$36,J$35,K412&lt;K$37,J$36,K412&lt;K$38,J$37,K412&lt;K$39,J$38,K412&lt;K$40,J$39,K412&lt;K$41,J$40,K412&lt;K$42,J$41,K412&lt;K$43,J$42,K412&lt;K$44,J$43,K412&lt;K$45,J$44,K412&lt;K$46,J$45,K412&lt;K$47,J$46,K412&gt;=K$47,J$47)</f>
        <v/>
      </c>
      <c r="K412" s="38" t="n">
        <v>362</v>
      </c>
      <c r="L412" s="31">
        <f>K412/52</f>
        <v/>
      </c>
      <c r="M412" s="39">
        <f>J412/1000000*52</f>
        <v/>
      </c>
      <c r="N412" s="33">
        <f>M412/$P$4+($I$22/$P$4)</f>
        <v/>
      </c>
      <c r="U412">
        <f>F411</f>
        <v/>
      </c>
      <c r="V412">
        <f>H411</f>
        <v/>
      </c>
      <c r="W412">
        <f>N411</f>
        <v/>
      </c>
    </row>
    <row r="413" ht="15.75" customHeight="1" s="40">
      <c r="C413" s="36">
        <f>_xlfn.IFS(E413&lt;E$24,0,E413&lt;E$26,C$24,E413&lt;E$28,C$26,E413&lt;E$30,C$28,E413&lt;E$32,C$30,E413&lt;E$34,C$32,E413&gt;=E$34,C$34)</f>
        <v/>
      </c>
      <c r="D413" s="37">
        <f>_xlfn.IFS(E413&lt;E$24,0,E413&lt;E$25,D$24,E413&lt;E$26,D$25,E413&lt;E$27,D$26,E413&lt;E$28,D$27,E413&lt;E$29,D$28,E413&lt;E$30,D$29,E413&lt;E$31,D$30,E413&lt;E$32,D$31,E413&lt;E$33,D$32,E413&lt;E$34,D$33,E413&lt;E$35,D$34,E413&gt;=E$35,D$35)</f>
        <v/>
      </c>
      <c r="E413" s="38" t="n">
        <v>363</v>
      </c>
      <c r="F413" s="31">
        <f>E413/52</f>
        <v/>
      </c>
      <c r="G413" s="39">
        <f>D413/1000000*52</f>
        <v/>
      </c>
      <c r="H413" s="33">
        <f>G413/$P$4+($C$22/$P$4)</f>
        <v/>
      </c>
      <c r="I413" s="36">
        <f>_xlfn.IFS(K413&lt;K$24,0,K413&lt;K$26,I$24,K413&lt;K$28,I$26,K413&lt;K$30,I$28,K413&lt;K$32,I$30,K413&lt;K$34,I$32,K413&lt;K$36,I$34,K413&lt;K$38,I$36,K413&lt;K$40,I$38,K413&lt;K$42,I$40,K413&lt;K$44,I$42,K413&lt;K$46,I$44,K413&gt;=K$46,I$46)</f>
        <v/>
      </c>
      <c r="J413" s="37">
        <f>_xlfn.IFS(K413&lt;K$24,0,K413&lt;K$25,J$24,K413&lt;K$26,J$25,K413&lt;K$27,J$26,K413&lt;K$28,J$27,K413&lt;K$29,J$28,K413&lt;K$30,J$29,K413&lt;K$31,J$30,K413&lt;K$32,J$31,K413&lt;K$33,J$32,K413&lt;K$34,J$33,K413&lt;K$35,J$34,K413&lt;K$36,J$35,K413&lt;K$37,J$36,K413&lt;K$38,J$37,K413&lt;K$39,J$38,K413&lt;K$40,J$39,K413&lt;K$41,J$40,K413&lt;K$42,J$41,K413&lt;K$43,J$42,K413&lt;K$44,J$43,K413&lt;K$45,J$44,K413&lt;K$46,J$45,K413&lt;K$47,J$46,K413&gt;=K$47,J$47)</f>
        <v/>
      </c>
      <c r="K413" s="38" t="n">
        <v>363</v>
      </c>
      <c r="L413" s="31">
        <f>K413/52</f>
        <v/>
      </c>
      <c r="M413" s="39">
        <f>J413/1000000*52</f>
        <v/>
      </c>
      <c r="N413" s="33">
        <f>M413/$P$4+($I$22/$P$4)</f>
        <v/>
      </c>
      <c r="U413">
        <f>F412</f>
        <v/>
      </c>
      <c r="V413">
        <f>H412</f>
        <v/>
      </c>
      <c r="W413">
        <f>N412</f>
        <v/>
      </c>
    </row>
    <row r="414" ht="15.75" customHeight="1" s="40">
      <c r="C414" s="36">
        <f>_xlfn.IFS(E414&lt;E$24,0,E414&lt;E$26,C$24,E414&lt;E$28,C$26,E414&lt;E$30,C$28,E414&lt;E$32,C$30,E414&lt;E$34,C$32,E414&gt;=E$34,C$34)</f>
        <v/>
      </c>
      <c r="D414" s="37">
        <f>_xlfn.IFS(E414&lt;E$24,0,E414&lt;E$25,D$24,E414&lt;E$26,D$25,E414&lt;E$27,D$26,E414&lt;E$28,D$27,E414&lt;E$29,D$28,E414&lt;E$30,D$29,E414&lt;E$31,D$30,E414&lt;E$32,D$31,E414&lt;E$33,D$32,E414&lt;E$34,D$33,E414&lt;E$35,D$34,E414&gt;=E$35,D$35)</f>
        <v/>
      </c>
      <c r="E414" s="38" t="n">
        <v>364</v>
      </c>
      <c r="F414" s="31">
        <f>E414/52</f>
        <v/>
      </c>
      <c r="G414" s="39">
        <f>D414/1000000*52</f>
        <v/>
      </c>
      <c r="H414" s="33">
        <f>G414/$P$4+($C$22/$P$4)</f>
        <v/>
      </c>
      <c r="I414" s="36">
        <f>_xlfn.IFS(K414&lt;K$24,0,K414&lt;K$26,I$24,K414&lt;K$28,I$26,K414&lt;K$30,I$28,K414&lt;K$32,I$30,K414&lt;K$34,I$32,K414&lt;K$36,I$34,K414&lt;K$38,I$36,K414&lt;K$40,I$38,K414&lt;K$42,I$40,K414&lt;K$44,I$42,K414&lt;K$46,I$44,K414&gt;=K$46,I$46)</f>
        <v/>
      </c>
      <c r="J414" s="37">
        <f>_xlfn.IFS(K414&lt;K$24,0,K414&lt;K$25,J$24,K414&lt;K$26,J$25,K414&lt;K$27,J$26,K414&lt;K$28,J$27,K414&lt;K$29,J$28,K414&lt;K$30,J$29,K414&lt;K$31,J$30,K414&lt;K$32,J$31,K414&lt;K$33,J$32,K414&lt;K$34,J$33,K414&lt;K$35,J$34,K414&lt;K$36,J$35,K414&lt;K$37,J$36,K414&lt;K$38,J$37,K414&lt;K$39,J$38,K414&lt;K$40,J$39,K414&lt;K$41,J$40,K414&lt;K$42,J$41,K414&lt;K$43,J$42,K414&lt;K$44,J$43,K414&lt;K$45,J$44,K414&lt;K$46,J$45,K414&lt;K$47,J$46,K414&gt;=K$47,J$47)</f>
        <v/>
      </c>
      <c r="K414" s="38" t="n">
        <v>364</v>
      </c>
      <c r="L414" s="31">
        <f>K414/52</f>
        <v/>
      </c>
      <c r="M414" s="39">
        <f>J414/1000000*52</f>
        <v/>
      </c>
      <c r="N414" s="33">
        <f>M414/$P$4+($I$22/$P$4)</f>
        <v/>
      </c>
      <c r="U414">
        <f>F413</f>
        <v/>
      </c>
      <c r="V414">
        <f>H413</f>
        <v/>
      </c>
      <c r="W414">
        <f>N413</f>
        <v/>
      </c>
    </row>
    <row r="415" ht="15.75" customHeight="1" s="40">
      <c r="C415" s="36">
        <f>_xlfn.IFS(E415&lt;E$24,0,E415&lt;E$26,C$24,E415&lt;E$28,C$26,E415&lt;E$30,C$28,E415&lt;E$32,C$30,E415&lt;E$34,C$32,E415&gt;=E$34,C$34)</f>
        <v/>
      </c>
      <c r="D415" s="37">
        <f>_xlfn.IFS(E415&lt;E$24,0,E415&lt;E$25,D$24,E415&lt;E$26,D$25,E415&lt;E$27,D$26,E415&lt;E$28,D$27,E415&lt;E$29,D$28,E415&lt;E$30,D$29,E415&lt;E$31,D$30,E415&lt;E$32,D$31,E415&lt;E$33,D$32,E415&lt;E$34,D$33,E415&lt;E$35,D$34,E415&gt;=E$35,D$35)</f>
        <v/>
      </c>
      <c r="E415" s="38" t="n">
        <v>365</v>
      </c>
      <c r="F415" s="31">
        <f>E415/52</f>
        <v/>
      </c>
      <c r="G415" s="39">
        <f>D415/1000000*52</f>
        <v/>
      </c>
      <c r="H415" s="33">
        <f>G415/$P$4+($C$22/$P$4)</f>
        <v/>
      </c>
      <c r="I415" s="36">
        <f>_xlfn.IFS(K415&lt;K$24,0,K415&lt;K$26,I$24,K415&lt;K$28,I$26,K415&lt;K$30,I$28,K415&lt;K$32,I$30,K415&lt;K$34,I$32,K415&lt;K$36,I$34,K415&lt;K$38,I$36,K415&lt;K$40,I$38,K415&lt;K$42,I$40,K415&lt;K$44,I$42,K415&lt;K$46,I$44,K415&gt;=K$46,I$46)</f>
        <v/>
      </c>
      <c r="J415" s="37">
        <f>_xlfn.IFS(K415&lt;K$24,0,K415&lt;K$25,J$24,K415&lt;K$26,J$25,K415&lt;K$27,J$26,K415&lt;K$28,J$27,K415&lt;K$29,J$28,K415&lt;K$30,J$29,K415&lt;K$31,J$30,K415&lt;K$32,J$31,K415&lt;K$33,J$32,K415&lt;K$34,J$33,K415&lt;K$35,J$34,K415&lt;K$36,J$35,K415&lt;K$37,J$36,K415&lt;K$38,J$37,K415&lt;K$39,J$38,K415&lt;K$40,J$39,K415&lt;K$41,J$40,K415&lt;K$42,J$41,K415&lt;K$43,J$42,K415&lt;K$44,J$43,K415&lt;K$45,J$44,K415&lt;K$46,J$45,K415&lt;K$47,J$46,K415&gt;=K$47,J$47)</f>
        <v/>
      </c>
      <c r="K415" s="38" t="n">
        <v>365</v>
      </c>
      <c r="L415" s="31">
        <f>K415/52</f>
        <v/>
      </c>
      <c r="M415" s="39">
        <f>J415/1000000*52</f>
        <v/>
      </c>
      <c r="N415" s="33">
        <f>M415/$P$4+($I$22/$P$4)</f>
        <v/>
      </c>
      <c r="U415">
        <f>F414</f>
        <v/>
      </c>
      <c r="V415">
        <f>H414</f>
        <v/>
      </c>
      <c r="W415">
        <f>N414</f>
        <v/>
      </c>
    </row>
    <row r="416" ht="15.75" customHeight="1" s="40">
      <c r="C416" s="36">
        <f>_xlfn.IFS(E416&lt;E$24,0,E416&lt;E$26,C$24,E416&lt;E$28,C$26,E416&lt;E$30,C$28,E416&lt;E$32,C$30,E416&lt;E$34,C$32,E416&gt;=E$34,C$34)</f>
        <v/>
      </c>
      <c r="D416" s="37">
        <f>_xlfn.IFS(E416&lt;E$24,0,E416&lt;E$25,D$24,E416&lt;E$26,D$25,E416&lt;E$27,D$26,E416&lt;E$28,D$27,E416&lt;E$29,D$28,E416&lt;E$30,D$29,E416&lt;E$31,D$30,E416&lt;E$32,D$31,E416&lt;E$33,D$32,E416&lt;E$34,D$33,E416&lt;E$35,D$34,E416&gt;=E$35,D$35)</f>
        <v/>
      </c>
      <c r="E416" s="38" t="n">
        <v>366</v>
      </c>
      <c r="F416" s="31">
        <f>E416/52</f>
        <v/>
      </c>
      <c r="G416" s="39">
        <f>D416/1000000*52</f>
        <v/>
      </c>
      <c r="H416" s="33">
        <f>G416/$P$4+($C$22/$P$4)</f>
        <v/>
      </c>
      <c r="I416" s="36">
        <f>_xlfn.IFS(K416&lt;K$24,0,K416&lt;K$26,I$24,K416&lt;K$28,I$26,K416&lt;K$30,I$28,K416&lt;K$32,I$30,K416&lt;K$34,I$32,K416&lt;K$36,I$34,K416&lt;K$38,I$36,K416&lt;K$40,I$38,K416&lt;K$42,I$40,K416&lt;K$44,I$42,K416&lt;K$46,I$44,K416&gt;=K$46,I$46)</f>
        <v/>
      </c>
      <c r="J416" s="37">
        <f>_xlfn.IFS(K416&lt;K$24,0,K416&lt;K$25,J$24,K416&lt;K$26,J$25,K416&lt;K$27,J$26,K416&lt;K$28,J$27,K416&lt;K$29,J$28,K416&lt;K$30,J$29,K416&lt;K$31,J$30,K416&lt;K$32,J$31,K416&lt;K$33,J$32,K416&lt;K$34,J$33,K416&lt;K$35,J$34,K416&lt;K$36,J$35,K416&lt;K$37,J$36,K416&lt;K$38,J$37,K416&lt;K$39,J$38,K416&lt;K$40,J$39,K416&lt;K$41,J$40,K416&lt;K$42,J$41,K416&lt;K$43,J$42,K416&lt;K$44,J$43,K416&lt;K$45,J$44,K416&lt;K$46,J$45,K416&lt;K$47,J$46,K416&gt;=K$47,J$47)</f>
        <v/>
      </c>
      <c r="K416" s="38" t="n">
        <v>366</v>
      </c>
      <c r="L416" s="31">
        <f>K416/52</f>
        <v/>
      </c>
      <c r="M416" s="39">
        <f>J416/1000000*52</f>
        <v/>
      </c>
      <c r="N416" s="33">
        <f>M416/$P$4+($I$22/$P$4)</f>
        <v/>
      </c>
      <c r="U416">
        <f>F415</f>
        <v/>
      </c>
      <c r="V416">
        <f>H415</f>
        <v/>
      </c>
      <c r="W416">
        <f>N415</f>
        <v/>
      </c>
    </row>
    <row r="417" ht="15.75" customHeight="1" s="40">
      <c r="C417" s="36">
        <f>_xlfn.IFS(E417&lt;E$24,0,E417&lt;E$26,C$24,E417&lt;E$28,C$26,E417&lt;E$30,C$28,E417&lt;E$32,C$30,E417&lt;E$34,C$32,E417&gt;=E$34,C$34)</f>
        <v/>
      </c>
      <c r="D417" s="37">
        <f>_xlfn.IFS(E417&lt;E$24,0,E417&lt;E$25,D$24,E417&lt;E$26,D$25,E417&lt;E$27,D$26,E417&lt;E$28,D$27,E417&lt;E$29,D$28,E417&lt;E$30,D$29,E417&lt;E$31,D$30,E417&lt;E$32,D$31,E417&lt;E$33,D$32,E417&lt;E$34,D$33,E417&lt;E$35,D$34,E417&gt;=E$35,D$35)</f>
        <v/>
      </c>
      <c r="E417" s="38" t="n">
        <v>367</v>
      </c>
      <c r="F417" s="31">
        <f>E417/52</f>
        <v/>
      </c>
      <c r="G417" s="39">
        <f>D417/1000000*52</f>
        <v/>
      </c>
      <c r="H417" s="33">
        <f>G417/$P$4+($C$22/$P$4)</f>
        <v/>
      </c>
      <c r="I417" s="36">
        <f>_xlfn.IFS(K417&lt;K$24,0,K417&lt;K$26,I$24,K417&lt;K$28,I$26,K417&lt;K$30,I$28,K417&lt;K$32,I$30,K417&lt;K$34,I$32,K417&lt;K$36,I$34,K417&lt;K$38,I$36,K417&lt;K$40,I$38,K417&lt;K$42,I$40,K417&lt;K$44,I$42,K417&lt;K$46,I$44,K417&gt;=K$46,I$46)</f>
        <v/>
      </c>
      <c r="J417" s="37">
        <f>_xlfn.IFS(K417&lt;K$24,0,K417&lt;K$25,J$24,K417&lt;K$26,J$25,K417&lt;K$27,J$26,K417&lt;K$28,J$27,K417&lt;K$29,J$28,K417&lt;K$30,J$29,K417&lt;K$31,J$30,K417&lt;K$32,J$31,K417&lt;K$33,J$32,K417&lt;K$34,J$33,K417&lt;K$35,J$34,K417&lt;K$36,J$35,K417&lt;K$37,J$36,K417&lt;K$38,J$37,K417&lt;K$39,J$38,K417&lt;K$40,J$39,K417&lt;K$41,J$40,K417&lt;K$42,J$41,K417&lt;K$43,J$42,K417&lt;K$44,J$43,K417&lt;K$45,J$44,K417&lt;K$46,J$45,K417&lt;K$47,J$46,K417&gt;=K$47,J$47)</f>
        <v/>
      </c>
      <c r="K417" s="38" t="n">
        <v>367</v>
      </c>
      <c r="L417" s="31">
        <f>K417/52</f>
        <v/>
      </c>
      <c r="M417" s="39">
        <f>J417/1000000*52</f>
        <v/>
      </c>
      <c r="N417" s="33">
        <f>M417/$P$4+($I$22/$P$4)</f>
        <v/>
      </c>
      <c r="U417">
        <f>F416</f>
        <v/>
      </c>
      <c r="V417">
        <f>H416</f>
        <v/>
      </c>
      <c r="W417">
        <f>N416</f>
        <v/>
      </c>
    </row>
    <row r="418" ht="15.75" customHeight="1" s="40">
      <c r="C418" s="36">
        <f>_xlfn.IFS(E418&lt;E$24,0,E418&lt;E$26,C$24,E418&lt;E$28,C$26,E418&lt;E$30,C$28,E418&lt;E$32,C$30,E418&lt;E$34,C$32,E418&gt;=E$34,C$34)</f>
        <v/>
      </c>
      <c r="D418" s="37">
        <f>_xlfn.IFS(E418&lt;E$24,0,E418&lt;E$25,D$24,E418&lt;E$26,D$25,E418&lt;E$27,D$26,E418&lt;E$28,D$27,E418&lt;E$29,D$28,E418&lt;E$30,D$29,E418&lt;E$31,D$30,E418&lt;E$32,D$31,E418&lt;E$33,D$32,E418&lt;E$34,D$33,E418&lt;E$35,D$34,E418&gt;=E$35,D$35)</f>
        <v/>
      </c>
      <c r="E418" s="38" t="n">
        <v>368</v>
      </c>
      <c r="F418" s="31">
        <f>E418/52</f>
        <v/>
      </c>
      <c r="G418" s="39">
        <f>D418/1000000*52</f>
        <v/>
      </c>
      <c r="H418" s="33">
        <f>G418/$P$4+($C$22/$P$4)</f>
        <v/>
      </c>
      <c r="I418" s="36">
        <f>_xlfn.IFS(K418&lt;K$24,0,K418&lt;K$26,I$24,K418&lt;K$28,I$26,K418&lt;K$30,I$28,K418&lt;K$32,I$30,K418&lt;K$34,I$32,K418&lt;K$36,I$34,K418&lt;K$38,I$36,K418&lt;K$40,I$38,K418&lt;K$42,I$40,K418&lt;K$44,I$42,K418&lt;K$46,I$44,K418&gt;=K$46,I$46)</f>
        <v/>
      </c>
      <c r="J418" s="37">
        <f>_xlfn.IFS(K418&lt;K$24,0,K418&lt;K$25,J$24,K418&lt;K$26,J$25,K418&lt;K$27,J$26,K418&lt;K$28,J$27,K418&lt;K$29,J$28,K418&lt;K$30,J$29,K418&lt;K$31,J$30,K418&lt;K$32,J$31,K418&lt;K$33,J$32,K418&lt;K$34,J$33,K418&lt;K$35,J$34,K418&lt;K$36,J$35,K418&lt;K$37,J$36,K418&lt;K$38,J$37,K418&lt;K$39,J$38,K418&lt;K$40,J$39,K418&lt;K$41,J$40,K418&lt;K$42,J$41,K418&lt;K$43,J$42,K418&lt;K$44,J$43,K418&lt;K$45,J$44,K418&lt;K$46,J$45,K418&lt;K$47,J$46,K418&gt;=K$47,J$47)</f>
        <v/>
      </c>
      <c r="K418" s="38" t="n">
        <v>368</v>
      </c>
      <c r="L418" s="31">
        <f>K418/52</f>
        <v/>
      </c>
      <c r="M418" s="39">
        <f>J418/1000000*52</f>
        <v/>
      </c>
      <c r="N418" s="33">
        <f>M418/$P$4+($I$22/$P$4)</f>
        <v/>
      </c>
      <c r="U418">
        <f>F417</f>
        <v/>
      </c>
      <c r="V418">
        <f>H417</f>
        <v/>
      </c>
      <c r="W418">
        <f>N417</f>
        <v/>
      </c>
    </row>
    <row r="419" ht="15.75" customHeight="1" s="40">
      <c r="C419" s="36">
        <f>_xlfn.IFS(E419&lt;E$24,0,E419&lt;E$26,C$24,E419&lt;E$28,C$26,E419&lt;E$30,C$28,E419&lt;E$32,C$30,E419&lt;E$34,C$32,E419&gt;=E$34,C$34)</f>
        <v/>
      </c>
      <c r="D419" s="37">
        <f>_xlfn.IFS(E419&lt;E$24,0,E419&lt;E$25,D$24,E419&lt;E$26,D$25,E419&lt;E$27,D$26,E419&lt;E$28,D$27,E419&lt;E$29,D$28,E419&lt;E$30,D$29,E419&lt;E$31,D$30,E419&lt;E$32,D$31,E419&lt;E$33,D$32,E419&lt;E$34,D$33,E419&lt;E$35,D$34,E419&gt;=E$35,D$35)</f>
        <v/>
      </c>
      <c r="E419" s="38" t="n">
        <v>369</v>
      </c>
      <c r="F419" s="31">
        <f>E419/52</f>
        <v/>
      </c>
      <c r="G419" s="39">
        <f>D419/1000000*52</f>
        <v/>
      </c>
      <c r="H419" s="33">
        <f>G419/$P$4+($C$22/$P$4)</f>
        <v/>
      </c>
      <c r="I419" s="36">
        <f>_xlfn.IFS(K419&lt;K$24,0,K419&lt;K$26,I$24,K419&lt;K$28,I$26,K419&lt;K$30,I$28,K419&lt;K$32,I$30,K419&lt;K$34,I$32,K419&lt;K$36,I$34,K419&lt;K$38,I$36,K419&lt;K$40,I$38,K419&lt;K$42,I$40,K419&lt;K$44,I$42,K419&lt;K$46,I$44,K419&gt;=K$46,I$46)</f>
        <v/>
      </c>
      <c r="J419" s="37">
        <f>_xlfn.IFS(K419&lt;K$24,0,K419&lt;K$25,J$24,K419&lt;K$26,J$25,K419&lt;K$27,J$26,K419&lt;K$28,J$27,K419&lt;K$29,J$28,K419&lt;K$30,J$29,K419&lt;K$31,J$30,K419&lt;K$32,J$31,K419&lt;K$33,J$32,K419&lt;K$34,J$33,K419&lt;K$35,J$34,K419&lt;K$36,J$35,K419&lt;K$37,J$36,K419&lt;K$38,J$37,K419&lt;K$39,J$38,K419&lt;K$40,J$39,K419&lt;K$41,J$40,K419&lt;K$42,J$41,K419&lt;K$43,J$42,K419&lt;K$44,J$43,K419&lt;K$45,J$44,K419&lt;K$46,J$45,K419&lt;K$47,J$46,K419&gt;=K$47,J$47)</f>
        <v/>
      </c>
      <c r="K419" s="38" t="n">
        <v>369</v>
      </c>
      <c r="L419" s="31">
        <f>K419/52</f>
        <v/>
      </c>
      <c r="M419" s="39">
        <f>J419/1000000*52</f>
        <v/>
      </c>
      <c r="N419" s="33">
        <f>M419/$P$4+($I$22/$P$4)</f>
        <v/>
      </c>
      <c r="U419">
        <f>F418</f>
        <v/>
      </c>
      <c r="V419">
        <f>H418</f>
        <v/>
      </c>
      <c r="W419">
        <f>N418</f>
        <v/>
      </c>
    </row>
    <row r="420" ht="15.75" customHeight="1" s="40">
      <c r="C420" s="36">
        <f>_xlfn.IFS(E420&lt;E$24,0,E420&lt;E$26,C$24,E420&lt;E$28,C$26,E420&lt;E$30,C$28,E420&lt;E$32,C$30,E420&lt;E$34,C$32,E420&gt;=E$34,C$34)</f>
        <v/>
      </c>
      <c r="D420" s="37">
        <f>_xlfn.IFS(E420&lt;E$24,0,E420&lt;E$25,D$24,E420&lt;E$26,D$25,E420&lt;E$27,D$26,E420&lt;E$28,D$27,E420&lt;E$29,D$28,E420&lt;E$30,D$29,E420&lt;E$31,D$30,E420&lt;E$32,D$31,E420&lt;E$33,D$32,E420&lt;E$34,D$33,E420&lt;E$35,D$34,E420&gt;=E$35,D$35)</f>
        <v/>
      </c>
      <c r="E420" s="38" t="n">
        <v>370</v>
      </c>
      <c r="F420" s="31">
        <f>E420/52</f>
        <v/>
      </c>
      <c r="G420" s="39">
        <f>D420/1000000*52</f>
        <v/>
      </c>
      <c r="H420" s="33">
        <f>G420/$P$4+($C$22/$P$4)</f>
        <v/>
      </c>
      <c r="I420" s="36">
        <f>_xlfn.IFS(K420&lt;K$24,0,K420&lt;K$26,I$24,K420&lt;K$28,I$26,K420&lt;K$30,I$28,K420&lt;K$32,I$30,K420&lt;K$34,I$32,K420&lt;K$36,I$34,K420&lt;K$38,I$36,K420&lt;K$40,I$38,K420&lt;K$42,I$40,K420&lt;K$44,I$42,K420&lt;K$46,I$44,K420&gt;=K$46,I$46)</f>
        <v/>
      </c>
      <c r="J420" s="37">
        <f>_xlfn.IFS(K420&lt;K$24,0,K420&lt;K$25,J$24,K420&lt;K$26,J$25,K420&lt;K$27,J$26,K420&lt;K$28,J$27,K420&lt;K$29,J$28,K420&lt;K$30,J$29,K420&lt;K$31,J$30,K420&lt;K$32,J$31,K420&lt;K$33,J$32,K420&lt;K$34,J$33,K420&lt;K$35,J$34,K420&lt;K$36,J$35,K420&lt;K$37,J$36,K420&lt;K$38,J$37,K420&lt;K$39,J$38,K420&lt;K$40,J$39,K420&lt;K$41,J$40,K420&lt;K$42,J$41,K420&lt;K$43,J$42,K420&lt;K$44,J$43,K420&lt;K$45,J$44,K420&lt;K$46,J$45,K420&lt;K$47,J$46,K420&gt;=K$47,J$47)</f>
        <v/>
      </c>
      <c r="K420" s="38" t="n">
        <v>370</v>
      </c>
      <c r="L420" s="31">
        <f>K420/52</f>
        <v/>
      </c>
      <c r="M420" s="39">
        <f>J420/1000000*52</f>
        <v/>
      </c>
      <c r="N420" s="33">
        <f>M420/$P$4+($I$22/$P$4)</f>
        <v/>
      </c>
      <c r="U420">
        <f>F419</f>
        <v/>
      </c>
      <c r="V420">
        <f>H419</f>
        <v/>
      </c>
      <c r="W420">
        <f>N419</f>
        <v/>
      </c>
    </row>
    <row r="421" ht="15.75" customHeight="1" s="40">
      <c r="C421" s="36">
        <f>_xlfn.IFS(E421&lt;E$24,0,E421&lt;E$26,C$24,E421&lt;E$28,C$26,E421&lt;E$30,C$28,E421&lt;E$32,C$30,E421&lt;E$34,C$32,E421&gt;=E$34,C$34)</f>
        <v/>
      </c>
      <c r="D421" s="37">
        <f>_xlfn.IFS(E421&lt;E$24,0,E421&lt;E$25,D$24,E421&lt;E$26,D$25,E421&lt;E$27,D$26,E421&lt;E$28,D$27,E421&lt;E$29,D$28,E421&lt;E$30,D$29,E421&lt;E$31,D$30,E421&lt;E$32,D$31,E421&lt;E$33,D$32,E421&lt;E$34,D$33,E421&lt;E$35,D$34,E421&gt;=E$35,D$35)</f>
        <v/>
      </c>
      <c r="E421" s="38" t="n">
        <v>371</v>
      </c>
      <c r="F421" s="31">
        <f>E421/52</f>
        <v/>
      </c>
      <c r="G421" s="39">
        <f>D421/1000000*52</f>
        <v/>
      </c>
      <c r="H421" s="33">
        <f>G421/$P$4+($C$22/$P$4)</f>
        <v/>
      </c>
      <c r="I421" s="36">
        <f>_xlfn.IFS(K421&lt;K$24,0,K421&lt;K$26,I$24,K421&lt;K$28,I$26,K421&lt;K$30,I$28,K421&lt;K$32,I$30,K421&lt;K$34,I$32,K421&lt;K$36,I$34,K421&lt;K$38,I$36,K421&lt;K$40,I$38,K421&lt;K$42,I$40,K421&lt;K$44,I$42,K421&lt;K$46,I$44,K421&gt;=K$46,I$46)</f>
        <v/>
      </c>
      <c r="J421" s="37">
        <f>_xlfn.IFS(K421&lt;K$24,0,K421&lt;K$25,J$24,K421&lt;K$26,J$25,K421&lt;K$27,J$26,K421&lt;K$28,J$27,K421&lt;K$29,J$28,K421&lt;K$30,J$29,K421&lt;K$31,J$30,K421&lt;K$32,J$31,K421&lt;K$33,J$32,K421&lt;K$34,J$33,K421&lt;K$35,J$34,K421&lt;K$36,J$35,K421&lt;K$37,J$36,K421&lt;K$38,J$37,K421&lt;K$39,J$38,K421&lt;K$40,J$39,K421&lt;K$41,J$40,K421&lt;K$42,J$41,K421&lt;K$43,J$42,K421&lt;K$44,J$43,K421&lt;K$45,J$44,K421&lt;K$46,J$45,K421&lt;K$47,J$46,K421&gt;=K$47,J$47)</f>
        <v/>
      </c>
      <c r="K421" s="38" t="n">
        <v>371</v>
      </c>
      <c r="L421" s="31">
        <f>K421/52</f>
        <v/>
      </c>
      <c r="M421" s="39">
        <f>J421/1000000*52</f>
        <v/>
      </c>
      <c r="N421" s="33">
        <f>M421/$P$4+($I$22/$P$4)</f>
        <v/>
      </c>
      <c r="U421">
        <f>F420</f>
        <v/>
      </c>
      <c r="V421">
        <f>H420</f>
        <v/>
      </c>
      <c r="W421">
        <f>N420</f>
        <v/>
      </c>
    </row>
    <row r="422" ht="15.75" customHeight="1" s="40">
      <c r="C422" s="36">
        <f>_xlfn.IFS(E422&lt;E$24,0,E422&lt;E$26,C$24,E422&lt;E$28,C$26,E422&lt;E$30,C$28,E422&lt;E$32,C$30,E422&lt;E$34,C$32,E422&gt;=E$34,C$34)</f>
        <v/>
      </c>
      <c r="D422" s="37">
        <f>_xlfn.IFS(E422&lt;E$24,0,E422&lt;E$25,D$24,E422&lt;E$26,D$25,E422&lt;E$27,D$26,E422&lt;E$28,D$27,E422&lt;E$29,D$28,E422&lt;E$30,D$29,E422&lt;E$31,D$30,E422&lt;E$32,D$31,E422&lt;E$33,D$32,E422&lt;E$34,D$33,E422&lt;E$35,D$34,E422&gt;=E$35,D$35)</f>
        <v/>
      </c>
      <c r="E422" s="38" t="n">
        <v>372</v>
      </c>
      <c r="F422" s="31">
        <f>E422/52</f>
        <v/>
      </c>
      <c r="G422" s="39">
        <f>D422/1000000*52</f>
        <v/>
      </c>
      <c r="H422" s="33">
        <f>G422/$P$4+($C$22/$P$4)</f>
        <v/>
      </c>
      <c r="I422" s="36">
        <f>_xlfn.IFS(K422&lt;K$24,0,K422&lt;K$26,I$24,K422&lt;K$28,I$26,K422&lt;K$30,I$28,K422&lt;K$32,I$30,K422&lt;K$34,I$32,K422&lt;K$36,I$34,K422&lt;K$38,I$36,K422&lt;K$40,I$38,K422&lt;K$42,I$40,K422&lt;K$44,I$42,K422&lt;K$46,I$44,K422&gt;=K$46,I$46)</f>
        <v/>
      </c>
      <c r="J422" s="37">
        <f>_xlfn.IFS(K422&lt;K$24,0,K422&lt;K$25,J$24,K422&lt;K$26,J$25,K422&lt;K$27,J$26,K422&lt;K$28,J$27,K422&lt;K$29,J$28,K422&lt;K$30,J$29,K422&lt;K$31,J$30,K422&lt;K$32,J$31,K422&lt;K$33,J$32,K422&lt;K$34,J$33,K422&lt;K$35,J$34,K422&lt;K$36,J$35,K422&lt;K$37,J$36,K422&lt;K$38,J$37,K422&lt;K$39,J$38,K422&lt;K$40,J$39,K422&lt;K$41,J$40,K422&lt;K$42,J$41,K422&lt;K$43,J$42,K422&lt;K$44,J$43,K422&lt;K$45,J$44,K422&lt;K$46,J$45,K422&lt;K$47,J$46,K422&gt;=K$47,J$47)</f>
        <v/>
      </c>
      <c r="K422" s="38" t="n">
        <v>372</v>
      </c>
      <c r="L422" s="31">
        <f>K422/52</f>
        <v/>
      </c>
      <c r="M422" s="39">
        <f>J422/1000000*52</f>
        <v/>
      </c>
      <c r="N422" s="33">
        <f>M422/$P$4+($I$22/$P$4)</f>
        <v/>
      </c>
      <c r="U422">
        <f>F421</f>
        <v/>
      </c>
      <c r="V422">
        <f>H421</f>
        <v/>
      </c>
      <c r="W422">
        <f>N421</f>
        <v/>
      </c>
    </row>
    <row r="423" ht="15.75" customHeight="1" s="40">
      <c r="C423" s="36">
        <f>_xlfn.IFS(E423&lt;E$24,0,E423&lt;E$26,C$24,E423&lt;E$28,C$26,E423&lt;E$30,C$28,E423&lt;E$32,C$30,E423&lt;E$34,C$32,E423&gt;=E$34,C$34)</f>
        <v/>
      </c>
      <c r="D423" s="37">
        <f>_xlfn.IFS(E423&lt;E$24,0,E423&lt;E$25,D$24,E423&lt;E$26,D$25,E423&lt;E$27,D$26,E423&lt;E$28,D$27,E423&lt;E$29,D$28,E423&lt;E$30,D$29,E423&lt;E$31,D$30,E423&lt;E$32,D$31,E423&lt;E$33,D$32,E423&lt;E$34,D$33,E423&lt;E$35,D$34,E423&gt;=E$35,D$35)</f>
        <v/>
      </c>
      <c r="E423" s="38" t="n">
        <v>373</v>
      </c>
      <c r="F423" s="31">
        <f>E423/52</f>
        <v/>
      </c>
      <c r="G423" s="39">
        <f>D423/1000000*52</f>
        <v/>
      </c>
      <c r="H423" s="33">
        <f>G423/$P$4+($C$22/$P$4)</f>
        <v/>
      </c>
      <c r="I423" s="36">
        <f>_xlfn.IFS(K423&lt;K$24,0,K423&lt;K$26,I$24,K423&lt;K$28,I$26,K423&lt;K$30,I$28,K423&lt;K$32,I$30,K423&lt;K$34,I$32,K423&lt;K$36,I$34,K423&lt;K$38,I$36,K423&lt;K$40,I$38,K423&lt;K$42,I$40,K423&lt;K$44,I$42,K423&lt;K$46,I$44,K423&gt;=K$46,I$46)</f>
        <v/>
      </c>
      <c r="J423" s="37">
        <f>_xlfn.IFS(K423&lt;K$24,0,K423&lt;K$25,J$24,K423&lt;K$26,J$25,K423&lt;K$27,J$26,K423&lt;K$28,J$27,K423&lt;K$29,J$28,K423&lt;K$30,J$29,K423&lt;K$31,J$30,K423&lt;K$32,J$31,K423&lt;K$33,J$32,K423&lt;K$34,J$33,K423&lt;K$35,J$34,K423&lt;K$36,J$35,K423&lt;K$37,J$36,K423&lt;K$38,J$37,K423&lt;K$39,J$38,K423&lt;K$40,J$39,K423&lt;K$41,J$40,K423&lt;K$42,J$41,K423&lt;K$43,J$42,K423&lt;K$44,J$43,K423&lt;K$45,J$44,K423&lt;K$46,J$45,K423&lt;K$47,J$46,K423&gt;=K$47,J$47)</f>
        <v/>
      </c>
      <c r="K423" s="38" t="n">
        <v>373</v>
      </c>
      <c r="L423" s="31">
        <f>K423/52</f>
        <v/>
      </c>
      <c r="M423" s="39">
        <f>J423/1000000*52</f>
        <v/>
      </c>
      <c r="N423" s="33">
        <f>M423/$P$4+($I$22/$P$4)</f>
        <v/>
      </c>
      <c r="U423">
        <f>F422</f>
        <v/>
      </c>
      <c r="V423">
        <f>H422</f>
        <v/>
      </c>
      <c r="W423">
        <f>N422</f>
        <v/>
      </c>
    </row>
    <row r="424" ht="15.75" customHeight="1" s="40">
      <c r="C424" s="36">
        <f>_xlfn.IFS(E424&lt;E$24,0,E424&lt;E$26,C$24,E424&lt;E$28,C$26,E424&lt;E$30,C$28,E424&lt;E$32,C$30,E424&lt;E$34,C$32,E424&gt;=E$34,C$34)</f>
        <v/>
      </c>
      <c r="D424" s="37">
        <f>_xlfn.IFS(E424&lt;E$24,0,E424&lt;E$25,D$24,E424&lt;E$26,D$25,E424&lt;E$27,D$26,E424&lt;E$28,D$27,E424&lt;E$29,D$28,E424&lt;E$30,D$29,E424&lt;E$31,D$30,E424&lt;E$32,D$31,E424&lt;E$33,D$32,E424&lt;E$34,D$33,E424&lt;E$35,D$34,E424&gt;=E$35,D$35)</f>
        <v/>
      </c>
      <c r="E424" s="38" t="n">
        <v>374</v>
      </c>
      <c r="F424" s="31">
        <f>E424/52</f>
        <v/>
      </c>
      <c r="G424" s="39">
        <f>D424/1000000*52</f>
        <v/>
      </c>
      <c r="H424" s="33">
        <f>G424/$P$4+($C$22/$P$4)</f>
        <v/>
      </c>
      <c r="I424" s="36">
        <f>_xlfn.IFS(K424&lt;K$24,0,K424&lt;K$26,I$24,K424&lt;K$28,I$26,K424&lt;K$30,I$28,K424&lt;K$32,I$30,K424&lt;K$34,I$32,K424&lt;K$36,I$34,K424&lt;K$38,I$36,K424&lt;K$40,I$38,K424&lt;K$42,I$40,K424&lt;K$44,I$42,K424&lt;K$46,I$44,K424&gt;=K$46,I$46)</f>
        <v/>
      </c>
      <c r="J424" s="37">
        <f>_xlfn.IFS(K424&lt;K$24,0,K424&lt;K$25,J$24,K424&lt;K$26,J$25,K424&lt;K$27,J$26,K424&lt;K$28,J$27,K424&lt;K$29,J$28,K424&lt;K$30,J$29,K424&lt;K$31,J$30,K424&lt;K$32,J$31,K424&lt;K$33,J$32,K424&lt;K$34,J$33,K424&lt;K$35,J$34,K424&lt;K$36,J$35,K424&lt;K$37,J$36,K424&lt;K$38,J$37,K424&lt;K$39,J$38,K424&lt;K$40,J$39,K424&lt;K$41,J$40,K424&lt;K$42,J$41,K424&lt;K$43,J$42,K424&lt;K$44,J$43,K424&lt;K$45,J$44,K424&lt;K$46,J$45,K424&lt;K$47,J$46,K424&gt;=K$47,J$47)</f>
        <v/>
      </c>
      <c r="K424" s="38" t="n">
        <v>374</v>
      </c>
      <c r="L424" s="31">
        <f>K424/52</f>
        <v/>
      </c>
      <c r="M424" s="39">
        <f>J424/1000000*52</f>
        <v/>
      </c>
      <c r="N424" s="33">
        <f>M424/$P$4+($I$22/$P$4)</f>
        <v/>
      </c>
      <c r="U424">
        <f>F423</f>
        <v/>
      </c>
      <c r="V424">
        <f>H423</f>
        <v/>
      </c>
      <c r="W424">
        <f>N423</f>
        <v/>
      </c>
    </row>
    <row r="425" ht="15.75" customHeight="1" s="40">
      <c r="C425" s="36">
        <f>_xlfn.IFS(E425&lt;E$24,0,E425&lt;E$26,C$24,E425&lt;E$28,C$26,E425&lt;E$30,C$28,E425&lt;E$32,C$30,E425&lt;E$34,C$32,E425&gt;=E$34,C$34)</f>
        <v/>
      </c>
      <c r="D425" s="37">
        <f>_xlfn.IFS(E425&lt;E$24,0,E425&lt;E$25,D$24,E425&lt;E$26,D$25,E425&lt;E$27,D$26,E425&lt;E$28,D$27,E425&lt;E$29,D$28,E425&lt;E$30,D$29,E425&lt;E$31,D$30,E425&lt;E$32,D$31,E425&lt;E$33,D$32,E425&lt;E$34,D$33,E425&lt;E$35,D$34,E425&gt;=E$35,D$35)</f>
        <v/>
      </c>
      <c r="E425" s="38" t="n">
        <v>375</v>
      </c>
      <c r="F425" s="31">
        <f>E425/52</f>
        <v/>
      </c>
      <c r="G425" s="39">
        <f>D425/1000000*52</f>
        <v/>
      </c>
      <c r="H425" s="33">
        <f>G425/$P$4+($C$22/$P$4)</f>
        <v/>
      </c>
      <c r="I425" s="36">
        <f>_xlfn.IFS(K425&lt;K$24,0,K425&lt;K$26,I$24,K425&lt;K$28,I$26,K425&lt;K$30,I$28,K425&lt;K$32,I$30,K425&lt;K$34,I$32,K425&lt;K$36,I$34,K425&lt;K$38,I$36,K425&lt;K$40,I$38,K425&lt;K$42,I$40,K425&lt;K$44,I$42,K425&lt;K$46,I$44,K425&gt;=K$46,I$46)</f>
        <v/>
      </c>
      <c r="J425" s="37">
        <f>_xlfn.IFS(K425&lt;K$24,0,K425&lt;K$25,J$24,K425&lt;K$26,J$25,K425&lt;K$27,J$26,K425&lt;K$28,J$27,K425&lt;K$29,J$28,K425&lt;K$30,J$29,K425&lt;K$31,J$30,K425&lt;K$32,J$31,K425&lt;K$33,J$32,K425&lt;K$34,J$33,K425&lt;K$35,J$34,K425&lt;K$36,J$35,K425&lt;K$37,J$36,K425&lt;K$38,J$37,K425&lt;K$39,J$38,K425&lt;K$40,J$39,K425&lt;K$41,J$40,K425&lt;K$42,J$41,K425&lt;K$43,J$42,K425&lt;K$44,J$43,K425&lt;K$45,J$44,K425&lt;K$46,J$45,K425&lt;K$47,J$46,K425&gt;=K$47,J$47)</f>
        <v/>
      </c>
      <c r="K425" s="38" t="n">
        <v>375</v>
      </c>
      <c r="L425" s="31">
        <f>K425/52</f>
        <v/>
      </c>
      <c r="M425" s="39">
        <f>J425/1000000*52</f>
        <v/>
      </c>
      <c r="N425" s="33">
        <f>M425/$P$4+($I$22/$P$4)</f>
        <v/>
      </c>
      <c r="U425">
        <f>F424</f>
        <v/>
      </c>
      <c r="V425">
        <f>H424</f>
        <v/>
      </c>
      <c r="W425">
        <f>N424</f>
        <v/>
      </c>
    </row>
    <row r="426" ht="15.75" customHeight="1" s="40">
      <c r="C426" s="36">
        <f>_xlfn.IFS(E426&lt;E$24,0,E426&lt;E$26,C$24,E426&lt;E$28,C$26,E426&lt;E$30,C$28,E426&lt;E$32,C$30,E426&lt;E$34,C$32,E426&gt;=E$34,C$34)</f>
        <v/>
      </c>
      <c r="D426" s="37">
        <f>_xlfn.IFS(E426&lt;E$24,0,E426&lt;E$25,D$24,E426&lt;E$26,D$25,E426&lt;E$27,D$26,E426&lt;E$28,D$27,E426&lt;E$29,D$28,E426&lt;E$30,D$29,E426&lt;E$31,D$30,E426&lt;E$32,D$31,E426&lt;E$33,D$32,E426&lt;E$34,D$33,E426&lt;E$35,D$34,E426&gt;=E$35,D$35)</f>
        <v/>
      </c>
      <c r="E426" s="38" t="n">
        <v>376</v>
      </c>
      <c r="F426" s="31">
        <f>E426/52</f>
        <v/>
      </c>
      <c r="G426" s="39">
        <f>D426/1000000*52</f>
        <v/>
      </c>
      <c r="H426" s="33">
        <f>G426/$P$4+($C$22/$P$4)</f>
        <v/>
      </c>
      <c r="I426" s="36">
        <f>_xlfn.IFS(K426&lt;K$24,0,K426&lt;K$26,I$24,K426&lt;K$28,I$26,K426&lt;K$30,I$28,K426&lt;K$32,I$30,K426&lt;K$34,I$32,K426&lt;K$36,I$34,K426&lt;K$38,I$36,K426&lt;K$40,I$38,K426&lt;K$42,I$40,K426&lt;K$44,I$42,K426&lt;K$46,I$44,K426&gt;=K$46,I$46)</f>
        <v/>
      </c>
      <c r="J426" s="37">
        <f>_xlfn.IFS(K426&lt;K$24,0,K426&lt;K$25,J$24,K426&lt;K$26,J$25,K426&lt;K$27,J$26,K426&lt;K$28,J$27,K426&lt;K$29,J$28,K426&lt;K$30,J$29,K426&lt;K$31,J$30,K426&lt;K$32,J$31,K426&lt;K$33,J$32,K426&lt;K$34,J$33,K426&lt;K$35,J$34,K426&lt;K$36,J$35,K426&lt;K$37,J$36,K426&lt;K$38,J$37,K426&lt;K$39,J$38,K426&lt;K$40,J$39,K426&lt;K$41,J$40,K426&lt;K$42,J$41,K426&lt;K$43,J$42,K426&lt;K$44,J$43,K426&lt;K$45,J$44,K426&lt;K$46,J$45,K426&lt;K$47,J$46,K426&gt;=K$47,J$47)</f>
        <v/>
      </c>
      <c r="K426" s="38" t="n">
        <v>376</v>
      </c>
      <c r="L426" s="31">
        <f>K426/52</f>
        <v/>
      </c>
      <c r="M426" s="39">
        <f>J426/1000000*52</f>
        <v/>
      </c>
      <c r="N426" s="33">
        <f>M426/$P$4+($I$22/$P$4)</f>
        <v/>
      </c>
      <c r="U426">
        <f>F425</f>
        <v/>
      </c>
      <c r="V426">
        <f>H425</f>
        <v/>
      </c>
      <c r="W426">
        <f>N425</f>
        <v/>
      </c>
    </row>
    <row r="427" ht="15.75" customHeight="1" s="40">
      <c r="C427" s="36">
        <f>_xlfn.IFS(E427&lt;E$24,0,E427&lt;E$26,C$24,E427&lt;E$28,C$26,E427&lt;E$30,C$28,E427&lt;E$32,C$30,E427&lt;E$34,C$32,E427&gt;=E$34,C$34)</f>
        <v/>
      </c>
      <c r="D427" s="37">
        <f>_xlfn.IFS(E427&lt;E$24,0,E427&lt;E$25,D$24,E427&lt;E$26,D$25,E427&lt;E$27,D$26,E427&lt;E$28,D$27,E427&lt;E$29,D$28,E427&lt;E$30,D$29,E427&lt;E$31,D$30,E427&lt;E$32,D$31,E427&lt;E$33,D$32,E427&lt;E$34,D$33,E427&lt;E$35,D$34,E427&gt;=E$35,D$35)</f>
        <v/>
      </c>
      <c r="E427" s="38" t="n">
        <v>377</v>
      </c>
      <c r="F427" s="31">
        <f>E427/52</f>
        <v/>
      </c>
      <c r="G427" s="39">
        <f>D427/1000000*52</f>
        <v/>
      </c>
      <c r="H427" s="33">
        <f>G427/$P$4+($C$22/$P$4)</f>
        <v/>
      </c>
      <c r="I427" s="36">
        <f>_xlfn.IFS(K427&lt;K$24,0,K427&lt;K$26,I$24,K427&lt;K$28,I$26,K427&lt;K$30,I$28,K427&lt;K$32,I$30,K427&lt;K$34,I$32,K427&lt;K$36,I$34,K427&lt;K$38,I$36,K427&lt;K$40,I$38,K427&lt;K$42,I$40,K427&lt;K$44,I$42,K427&lt;K$46,I$44,K427&gt;=K$46,I$46)</f>
        <v/>
      </c>
      <c r="J427" s="37">
        <f>_xlfn.IFS(K427&lt;K$24,0,K427&lt;K$25,J$24,K427&lt;K$26,J$25,K427&lt;K$27,J$26,K427&lt;K$28,J$27,K427&lt;K$29,J$28,K427&lt;K$30,J$29,K427&lt;K$31,J$30,K427&lt;K$32,J$31,K427&lt;K$33,J$32,K427&lt;K$34,J$33,K427&lt;K$35,J$34,K427&lt;K$36,J$35,K427&lt;K$37,J$36,K427&lt;K$38,J$37,K427&lt;K$39,J$38,K427&lt;K$40,J$39,K427&lt;K$41,J$40,K427&lt;K$42,J$41,K427&lt;K$43,J$42,K427&lt;K$44,J$43,K427&lt;K$45,J$44,K427&lt;K$46,J$45,K427&lt;K$47,J$46,K427&gt;=K$47,J$47)</f>
        <v/>
      </c>
      <c r="K427" s="38" t="n">
        <v>377</v>
      </c>
      <c r="L427" s="31">
        <f>K427/52</f>
        <v/>
      </c>
      <c r="M427" s="39">
        <f>J427/1000000*52</f>
        <v/>
      </c>
      <c r="N427" s="33">
        <f>M427/$P$4+($I$22/$P$4)</f>
        <v/>
      </c>
      <c r="U427">
        <f>F426</f>
        <v/>
      </c>
      <c r="V427">
        <f>H426</f>
        <v/>
      </c>
      <c r="W427">
        <f>N426</f>
        <v/>
      </c>
    </row>
    <row r="428" ht="15.75" customHeight="1" s="40">
      <c r="C428" s="36">
        <f>_xlfn.IFS(E428&lt;E$24,0,E428&lt;E$26,C$24,E428&lt;E$28,C$26,E428&lt;E$30,C$28,E428&lt;E$32,C$30,E428&lt;E$34,C$32,E428&gt;=E$34,C$34)</f>
        <v/>
      </c>
      <c r="D428" s="37">
        <f>_xlfn.IFS(E428&lt;E$24,0,E428&lt;E$25,D$24,E428&lt;E$26,D$25,E428&lt;E$27,D$26,E428&lt;E$28,D$27,E428&lt;E$29,D$28,E428&lt;E$30,D$29,E428&lt;E$31,D$30,E428&lt;E$32,D$31,E428&lt;E$33,D$32,E428&lt;E$34,D$33,E428&lt;E$35,D$34,E428&gt;=E$35,D$35)</f>
        <v/>
      </c>
      <c r="E428" s="38" t="n">
        <v>378</v>
      </c>
      <c r="F428" s="31">
        <f>E428/52</f>
        <v/>
      </c>
      <c r="G428" s="39">
        <f>D428/1000000*52</f>
        <v/>
      </c>
      <c r="H428" s="33">
        <f>G428/$P$4+($C$22/$P$4)</f>
        <v/>
      </c>
      <c r="I428" s="36">
        <f>_xlfn.IFS(K428&lt;K$24,0,K428&lt;K$26,I$24,K428&lt;K$28,I$26,K428&lt;K$30,I$28,K428&lt;K$32,I$30,K428&lt;K$34,I$32,K428&lt;K$36,I$34,K428&lt;K$38,I$36,K428&lt;K$40,I$38,K428&lt;K$42,I$40,K428&lt;K$44,I$42,K428&lt;K$46,I$44,K428&gt;=K$46,I$46)</f>
        <v/>
      </c>
      <c r="J428" s="37">
        <f>_xlfn.IFS(K428&lt;K$24,0,K428&lt;K$25,J$24,K428&lt;K$26,J$25,K428&lt;K$27,J$26,K428&lt;K$28,J$27,K428&lt;K$29,J$28,K428&lt;K$30,J$29,K428&lt;K$31,J$30,K428&lt;K$32,J$31,K428&lt;K$33,J$32,K428&lt;K$34,J$33,K428&lt;K$35,J$34,K428&lt;K$36,J$35,K428&lt;K$37,J$36,K428&lt;K$38,J$37,K428&lt;K$39,J$38,K428&lt;K$40,J$39,K428&lt;K$41,J$40,K428&lt;K$42,J$41,K428&lt;K$43,J$42,K428&lt;K$44,J$43,K428&lt;K$45,J$44,K428&lt;K$46,J$45,K428&lt;K$47,J$46,K428&gt;=K$47,J$47)</f>
        <v/>
      </c>
      <c r="K428" s="38" t="n">
        <v>378</v>
      </c>
      <c r="L428" s="31">
        <f>K428/52</f>
        <v/>
      </c>
      <c r="M428" s="39">
        <f>J428/1000000*52</f>
        <v/>
      </c>
      <c r="N428" s="33">
        <f>M428/$P$4+($I$22/$P$4)</f>
        <v/>
      </c>
      <c r="U428">
        <f>F427</f>
        <v/>
      </c>
      <c r="V428">
        <f>H427</f>
        <v/>
      </c>
      <c r="W428">
        <f>N427</f>
        <v/>
      </c>
    </row>
    <row r="429" ht="15.75" customHeight="1" s="40">
      <c r="C429" s="36">
        <f>_xlfn.IFS(E429&lt;E$24,0,E429&lt;E$26,C$24,E429&lt;E$28,C$26,E429&lt;E$30,C$28,E429&lt;E$32,C$30,E429&lt;E$34,C$32,E429&gt;=E$34,C$34)</f>
        <v/>
      </c>
      <c r="D429" s="37">
        <f>_xlfn.IFS(E429&lt;E$24,0,E429&lt;E$25,D$24,E429&lt;E$26,D$25,E429&lt;E$27,D$26,E429&lt;E$28,D$27,E429&lt;E$29,D$28,E429&lt;E$30,D$29,E429&lt;E$31,D$30,E429&lt;E$32,D$31,E429&lt;E$33,D$32,E429&lt;E$34,D$33,E429&lt;E$35,D$34,E429&gt;=E$35,D$35)</f>
        <v/>
      </c>
      <c r="E429" s="38" t="n">
        <v>379</v>
      </c>
      <c r="F429" s="31">
        <f>E429/52</f>
        <v/>
      </c>
      <c r="G429" s="39">
        <f>D429/1000000*52</f>
        <v/>
      </c>
      <c r="H429" s="33">
        <f>G429/$P$4+($C$22/$P$4)</f>
        <v/>
      </c>
      <c r="I429" s="36">
        <f>_xlfn.IFS(K429&lt;K$24,0,K429&lt;K$26,I$24,K429&lt;K$28,I$26,K429&lt;K$30,I$28,K429&lt;K$32,I$30,K429&lt;K$34,I$32,K429&lt;K$36,I$34,K429&lt;K$38,I$36,K429&lt;K$40,I$38,K429&lt;K$42,I$40,K429&lt;K$44,I$42,K429&lt;K$46,I$44,K429&gt;=K$46,I$46)</f>
        <v/>
      </c>
      <c r="J429" s="37">
        <f>_xlfn.IFS(K429&lt;K$24,0,K429&lt;K$25,J$24,K429&lt;K$26,J$25,K429&lt;K$27,J$26,K429&lt;K$28,J$27,K429&lt;K$29,J$28,K429&lt;K$30,J$29,K429&lt;K$31,J$30,K429&lt;K$32,J$31,K429&lt;K$33,J$32,K429&lt;K$34,J$33,K429&lt;K$35,J$34,K429&lt;K$36,J$35,K429&lt;K$37,J$36,K429&lt;K$38,J$37,K429&lt;K$39,J$38,K429&lt;K$40,J$39,K429&lt;K$41,J$40,K429&lt;K$42,J$41,K429&lt;K$43,J$42,K429&lt;K$44,J$43,K429&lt;K$45,J$44,K429&lt;K$46,J$45,K429&lt;K$47,J$46,K429&gt;=K$47,J$47)</f>
        <v/>
      </c>
      <c r="K429" s="38" t="n">
        <v>379</v>
      </c>
      <c r="L429" s="31">
        <f>K429/52</f>
        <v/>
      </c>
      <c r="M429" s="39">
        <f>J429/1000000*52</f>
        <v/>
      </c>
      <c r="N429" s="33">
        <f>M429/$P$4+($I$22/$P$4)</f>
        <v/>
      </c>
      <c r="U429">
        <f>F428</f>
        <v/>
      </c>
      <c r="V429">
        <f>H428</f>
        <v/>
      </c>
      <c r="W429">
        <f>N428</f>
        <v/>
      </c>
    </row>
    <row r="430" ht="15.75" customHeight="1" s="40">
      <c r="C430" s="36">
        <f>_xlfn.IFS(E430&lt;E$24,0,E430&lt;E$26,C$24,E430&lt;E$28,C$26,E430&lt;E$30,C$28,E430&lt;E$32,C$30,E430&lt;E$34,C$32,E430&gt;=E$34,C$34)</f>
        <v/>
      </c>
      <c r="D430" s="37">
        <f>_xlfn.IFS(E430&lt;E$24,0,E430&lt;E$25,D$24,E430&lt;E$26,D$25,E430&lt;E$27,D$26,E430&lt;E$28,D$27,E430&lt;E$29,D$28,E430&lt;E$30,D$29,E430&lt;E$31,D$30,E430&lt;E$32,D$31,E430&lt;E$33,D$32,E430&lt;E$34,D$33,E430&lt;E$35,D$34,E430&gt;=E$35,D$35)</f>
        <v/>
      </c>
      <c r="E430" s="38" t="n">
        <v>380</v>
      </c>
      <c r="F430" s="31">
        <f>E430/52</f>
        <v/>
      </c>
      <c r="G430" s="39">
        <f>D430/1000000*52</f>
        <v/>
      </c>
      <c r="H430" s="33">
        <f>G430/$P$4+($C$22/$P$4)</f>
        <v/>
      </c>
      <c r="I430" s="36">
        <f>_xlfn.IFS(K430&lt;K$24,0,K430&lt;K$26,I$24,K430&lt;K$28,I$26,K430&lt;K$30,I$28,K430&lt;K$32,I$30,K430&lt;K$34,I$32,K430&lt;K$36,I$34,K430&lt;K$38,I$36,K430&lt;K$40,I$38,K430&lt;K$42,I$40,K430&lt;K$44,I$42,K430&lt;K$46,I$44,K430&gt;=K$46,I$46)</f>
        <v/>
      </c>
      <c r="J430" s="37">
        <f>_xlfn.IFS(K430&lt;K$24,0,K430&lt;K$25,J$24,K430&lt;K$26,J$25,K430&lt;K$27,J$26,K430&lt;K$28,J$27,K430&lt;K$29,J$28,K430&lt;K$30,J$29,K430&lt;K$31,J$30,K430&lt;K$32,J$31,K430&lt;K$33,J$32,K430&lt;K$34,J$33,K430&lt;K$35,J$34,K430&lt;K$36,J$35,K430&lt;K$37,J$36,K430&lt;K$38,J$37,K430&lt;K$39,J$38,K430&lt;K$40,J$39,K430&lt;K$41,J$40,K430&lt;K$42,J$41,K430&lt;K$43,J$42,K430&lt;K$44,J$43,K430&lt;K$45,J$44,K430&lt;K$46,J$45,K430&lt;K$47,J$46,K430&gt;=K$47,J$47)</f>
        <v/>
      </c>
      <c r="K430" s="38" t="n">
        <v>380</v>
      </c>
      <c r="L430" s="31">
        <f>K430/52</f>
        <v/>
      </c>
      <c r="M430" s="39">
        <f>J430/1000000*52</f>
        <v/>
      </c>
      <c r="N430" s="33">
        <f>M430/$P$4+($I$22/$P$4)</f>
        <v/>
      </c>
      <c r="U430">
        <f>F429</f>
        <v/>
      </c>
      <c r="V430">
        <f>H429</f>
        <v/>
      </c>
      <c r="W430">
        <f>N429</f>
        <v/>
      </c>
    </row>
    <row r="431" ht="15.75" customHeight="1" s="40">
      <c r="C431" s="36">
        <f>_xlfn.IFS(E431&lt;E$24,0,E431&lt;E$26,C$24,E431&lt;E$28,C$26,E431&lt;E$30,C$28,E431&lt;E$32,C$30,E431&lt;E$34,C$32,E431&gt;=E$34,C$34)</f>
        <v/>
      </c>
      <c r="D431" s="37">
        <f>_xlfn.IFS(E431&lt;E$24,0,E431&lt;E$25,D$24,E431&lt;E$26,D$25,E431&lt;E$27,D$26,E431&lt;E$28,D$27,E431&lt;E$29,D$28,E431&lt;E$30,D$29,E431&lt;E$31,D$30,E431&lt;E$32,D$31,E431&lt;E$33,D$32,E431&lt;E$34,D$33,E431&lt;E$35,D$34,E431&gt;=E$35,D$35)</f>
        <v/>
      </c>
      <c r="E431" s="38" t="n">
        <v>381</v>
      </c>
      <c r="F431" s="31">
        <f>E431/52</f>
        <v/>
      </c>
      <c r="G431" s="39">
        <f>D431/1000000*52</f>
        <v/>
      </c>
      <c r="H431" s="33">
        <f>G431/$P$4+($C$22/$P$4)</f>
        <v/>
      </c>
      <c r="I431" s="36">
        <f>_xlfn.IFS(K431&lt;K$24,0,K431&lt;K$26,I$24,K431&lt;K$28,I$26,K431&lt;K$30,I$28,K431&lt;K$32,I$30,K431&lt;K$34,I$32,K431&lt;K$36,I$34,K431&lt;K$38,I$36,K431&lt;K$40,I$38,K431&lt;K$42,I$40,K431&lt;K$44,I$42,K431&lt;K$46,I$44,K431&gt;=K$46,I$46)</f>
        <v/>
      </c>
      <c r="J431" s="37">
        <f>_xlfn.IFS(K431&lt;K$24,0,K431&lt;K$25,J$24,K431&lt;K$26,J$25,K431&lt;K$27,J$26,K431&lt;K$28,J$27,K431&lt;K$29,J$28,K431&lt;K$30,J$29,K431&lt;K$31,J$30,K431&lt;K$32,J$31,K431&lt;K$33,J$32,K431&lt;K$34,J$33,K431&lt;K$35,J$34,K431&lt;K$36,J$35,K431&lt;K$37,J$36,K431&lt;K$38,J$37,K431&lt;K$39,J$38,K431&lt;K$40,J$39,K431&lt;K$41,J$40,K431&lt;K$42,J$41,K431&lt;K$43,J$42,K431&lt;K$44,J$43,K431&lt;K$45,J$44,K431&lt;K$46,J$45,K431&lt;K$47,J$46,K431&gt;=K$47,J$47)</f>
        <v/>
      </c>
      <c r="K431" s="38" t="n">
        <v>381</v>
      </c>
      <c r="L431" s="31">
        <f>K431/52</f>
        <v/>
      </c>
      <c r="M431" s="39">
        <f>J431/1000000*52</f>
        <v/>
      </c>
      <c r="N431" s="33">
        <f>M431/$P$4+($I$22/$P$4)</f>
        <v/>
      </c>
      <c r="U431">
        <f>F430</f>
        <v/>
      </c>
      <c r="V431">
        <f>H430</f>
        <v/>
      </c>
      <c r="W431">
        <f>N430</f>
        <v/>
      </c>
    </row>
    <row r="432" ht="15.75" customHeight="1" s="40">
      <c r="C432" s="36">
        <f>_xlfn.IFS(E432&lt;E$24,0,E432&lt;E$26,C$24,E432&lt;E$28,C$26,E432&lt;E$30,C$28,E432&lt;E$32,C$30,E432&lt;E$34,C$32,E432&gt;=E$34,C$34)</f>
        <v/>
      </c>
      <c r="D432" s="37">
        <f>_xlfn.IFS(E432&lt;E$24,0,E432&lt;E$25,D$24,E432&lt;E$26,D$25,E432&lt;E$27,D$26,E432&lt;E$28,D$27,E432&lt;E$29,D$28,E432&lt;E$30,D$29,E432&lt;E$31,D$30,E432&lt;E$32,D$31,E432&lt;E$33,D$32,E432&lt;E$34,D$33,E432&lt;E$35,D$34,E432&gt;=E$35,D$35)</f>
        <v/>
      </c>
      <c r="E432" s="38" t="n">
        <v>382</v>
      </c>
      <c r="F432" s="31">
        <f>E432/52</f>
        <v/>
      </c>
      <c r="G432" s="39">
        <f>D432/1000000*52</f>
        <v/>
      </c>
      <c r="H432" s="33">
        <f>G432/$P$4+($C$22/$P$4)</f>
        <v/>
      </c>
      <c r="I432" s="36">
        <f>_xlfn.IFS(K432&lt;K$24,0,K432&lt;K$26,I$24,K432&lt;K$28,I$26,K432&lt;K$30,I$28,K432&lt;K$32,I$30,K432&lt;K$34,I$32,K432&lt;K$36,I$34,K432&lt;K$38,I$36,K432&lt;K$40,I$38,K432&lt;K$42,I$40,K432&lt;K$44,I$42,K432&lt;K$46,I$44,K432&gt;=K$46,I$46)</f>
        <v/>
      </c>
      <c r="J432" s="37">
        <f>_xlfn.IFS(K432&lt;K$24,0,K432&lt;K$25,J$24,K432&lt;K$26,J$25,K432&lt;K$27,J$26,K432&lt;K$28,J$27,K432&lt;K$29,J$28,K432&lt;K$30,J$29,K432&lt;K$31,J$30,K432&lt;K$32,J$31,K432&lt;K$33,J$32,K432&lt;K$34,J$33,K432&lt;K$35,J$34,K432&lt;K$36,J$35,K432&lt;K$37,J$36,K432&lt;K$38,J$37,K432&lt;K$39,J$38,K432&lt;K$40,J$39,K432&lt;K$41,J$40,K432&lt;K$42,J$41,K432&lt;K$43,J$42,K432&lt;K$44,J$43,K432&lt;K$45,J$44,K432&lt;K$46,J$45,K432&lt;K$47,J$46,K432&gt;=K$47,J$47)</f>
        <v/>
      </c>
      <c r="K432" s="38" t="n">
        <v>382</v>
      </c>
      <c r="L432" s="31">
        <f>K432/52</f>
        <v/>
      </c>
      <c r="M432" s="39">
        <f>J432/1000000*52</f>
        <v/>
      </c>
      <c r="N432" s="33">
        <f>M432/$P$4+($I$22/$P$4)</f>
        <v/>
      </c>
      <c r="U432">
        <f>F431</f>
        <v/>
      </c>
      <c r="V432">
        <f>H431</f>
        <v/>
      </c>
      <c r="W432">
        <f>N431</f>
        <v/>
      </c>
    </row>
    <row r="433" ht="15.75" customHeight="1" s="40">
      <c r="C433" s="36">
        <f>_xlfn.IFS(E433&lt;E$24,0,E433&lt;E$26,C$24,E433&lt;E$28,C$26,E433&lt;E$30,C$28,E433&lt;E$32,C$30,E433&lt;E$34,C$32,E433&gt;=E$34,C$34)</f>
        <v/>
      </c>
      <c r="D433" s="37">
        <f>_xlfn.IFS(E433&lt;E$24,0,E433&lt;E$25,D$24,E433&lt;E$26,D$25,E433&lt;E$27,D$26,E433&lt;E$28,D$27,E433&lt;E$29,D$28,E433&lt;E$30,D$29,E433&lt;E$31,D$30,E433&lt;E$32,D$31,E433&lt;E$33,D$32,E433&lt;E$34,D$33,E433&lt;E$35,D$34,E433&gt;=E$35,D$35)</f>
        <v/>
      </c>
      <c r="E433" s="38" t="n">
        <v>383</v>
      </c>
      <c r="F433" s="31">
        <f>E433/52</f>
        <v/>
      </c>
      <c r="G433" s="39">
        <f>D433/1000000*52</f>
        <v/>
      </c>
      <c r="H433" s="33">
        <f>G433/$P$4+($C$22/$P$4)</f>
        <v/>
      </c>
      <c r="I433" s="36">
        <f>_xlfn.IFS(K433&lt;K$24,0,K433&lt;K$26,I$24,K433&lt;K$28,I$26,K433&lt;K$30,I$28,K433&lt;K$32,I$30,K433&lt;K$34,I$32,K433&lt;K$36,I$34,K433&lt;K$38,I$36,K433&lt;K$40,I$38,K433&lt;K$42,I$40,K433&lt;K$44,I$42,K433&lt;K$46,I$44,K433&gt;=K$46,I$46)</f>
        <v/>
      </c>
      <c r="J433" s="37">
        <f>_xlfn.IFS(K433&lt;K$24,0,K433&lt;K$25,J$24,K433&lt;K$26,J$25,K433&lt;K$27,J$26,K433&lt;K$28,J$27,K433&lt;K$29,J$28,K433&lt;K$30,J$29,K433&lt;K$31,J$30,K433&lt;K$32,J$31,K433&lt;K$33,J$32,K433&lt;K$34,J$33,K433&lt;K$35,J$34,K433&lt;K$36,J$35,K433&lt;K$37,J$36,K433&lt;K$38,J$37,K433&lt;K$39,J$38,K433&lt;K$40,J$39,K433&lt;K$41,J$40,K433&lt;K$42,J$41,K433&lt;K$43,J$42,K433&lt;K$44,J$43,K433&lt;K$45,J$44,K433&lt;K$46,J$45,K433&lt;K$47,J$46,K433&gt;=K$47,J$47)</f>
        <v/>
      </c>
      <c r="K433" s="38" t="n">
        <v>383</v>
      </c>
      <c r="L433" s="31">
        <f>K433/52</f>
        <v/>
      </c>
      <c r="M433" s="39">
        <f>J433/1000000*52</f>
        <v/>
      </c>
      <c r="N433" s="33">
        <f>M433/$P$4+($I$22/$P$4)</f>
        <v/>
      </c>
      <c r="U433">
        <f>F432</f>
        <v/>
      </c>
      <c r="V433">
        <f>H432</f>
        <v/>
      </c>
      <c r="W433">
        <f>N432</f>
        <v/>
      </c>
    </row>
    <row r="434" ht="15.75" customHeight="1" s="40">
      <c r="C434" s="36">
        <f>_xlfn.IFS(E434&lt;E$24,0,E434&lt;E$26,C$24,E434&lt;E$28,C$26,E434&lt;E$30,C$28,E434&lt;E$32,C$30,E434&lt;E$34,C$32,E434&gt;=E$34,C$34)</f>
        <v/>
      </c>
      <c r="D434" s="37">
        <f>_xlfn.IFS(E434&lt;E$24,0,E434&lt;E$25,D$24,E434&lt;E$26,D$25,E434&lt;E$27,D$26,E434&lt;E$28,D$27,E434&lt;E$29,D$28,E434&lt;E$30,D$29,E434&lt;E$31,D$30,E434&lt;E$32,D$31,E434&lt;E$33,D$32,E434&lt;E$34,D$33,E434&lt;E$35,D$34,E434&gt;=E$35,D$35)</f>
        <v/>
      </c>
      <c r="E434" s="38" t="n">
        <v>384</v>
      </c>
      <c r="F434" s="31">
        <f>E434/52</f>
        <v/>
      </c>
      <c r="G434" s="39">
        <f>D434/1000000*52</f>
        <v/>
      </c>
      <c r="H434" s="33">
        <f>G434/$P$4+($C$22/$P$4)</f>
        <v/>
      </c>
      <c r="I434" s="36">
        <f>_xlfn.IFS(K434&lt;K$24,0,K434&lt;K$26,I$24,K434&lt;K$28,I$26,K434&lt;K$30,I$28,K434&lt;K$32,I$30,K434&lt;K$34,I$32,K434&lt;K$36,I$34,K434&lt;K$38,I$36,K434&lt;K$40,I$38,K434&lt;K$42,I$40,K434&lt;K$44,I$42,K434&lt;K$46,I$44,K434&gt;=K$46,I$46)</f>
        <v/>
      </c>
      <c r="J434" s="37">
        <f>_xlfn.IFS(K434&lt;K$24,0,K434&lt;K$25,J$24,K434&lt;K$26,J$25,K434&lt;K$27,J$26,K434&lt;K$28,J$27,K434&lt;K$29,J$28,K434&lt;K$30,J$29,K434&lt;K$31,J$30,K434&lt;K$32,J$31,K434&lt;K$33,J$32,K434&lt;K$34,J$33,K434&lt;K$35,J$34,K434&lt;K$36,J$35,K434&lt;K$37,J$36,K434&lt;K$38,J$37,K434&lt;K$39,J$38,K434&lt;K$40,J$39,K434&lt;K$41,J$40,K434&lt;K$42,J$41,K434&lt;K$43,J$42,K434&lt;K$44,J$43,K434&lt;K$45,J$44,K434&lt;K$46,J$45,K434&lt;K$47,J$46,K434&gt;=K$47,J$47)</f>
        <v/>
      </c>
      <c r="K434" s="38" t="n">
        <v>384</v>
      </c>
      <c r="L434" s="31">
        <f>K434/52</f>
        <v/>
      </c>
      <c r="M434" s="39">
        <f>J434/1000000*52</f>
        <v/>
      </c>
      <c r="N434" s="33">
        <f>M434/$P$4+($I$22/$P$4)</f>
        <v/>
      </c>
      <c r="U434">
        <f>F433</f>
        <v/>
      </c>
      <c r="V434">
        <f>H433</f>
        <v/>
      </c>
      <c r="W434">
        <f>N433</f>
        <v/>
      </c>
    </row>
    <row r="435" ht="15.75" customHeight="1" s="40">
      <c r="C435" s="36">
        <f>_xlfn.IFS(E435&lt;E$24,0,E435&lt;E$26,C$24,E435&lt;E$28,C$26,E435&lt;E$30,C$28,E435&lt;E$32,C$30,E435&lt;E$34,C$32,E435&gt;=E$34,C$34)</f>
        <v/>
      </c>
      <c r="D435" s="37">
        <f>_xlfn.IFS(E435&lt;E$24,0,E435&lt;E$25,D$24,E435&lt;E$26,D$25,E435&lt;E$27,D$26,E435&lt;E$28,D$27,E435&lt;E$29,D$28,E435&lt;E$30,D$29,E435&lt;E$31,D$30,E435&lt;E$32,D$31,E435&lt;E$33,D$32,E435&lt;E$34,D$33,E435&lt;E$35,D$34,E435&gt;=E$35,D$35)</f>
        <v/>
      </c>
      <c r="E435" s="38" t="n">
        <v>385</v>
      </c>
      <c r="F435" s="31">
        <f>E435/52</f>
        <v/>
      </c>
      <c r="G435" s="39">
        <f>D435/1000000*52</f>
        <v/>
      </c>
      <c r="H435" s="33">
        <f>G435/$P$4+($C$22/$P$4)</f>
        <v/>
      </c>
      <c r="I435" s="36">
        <f>_xlfn.IFS(K435&lt;K$24,0,K435&lt;K$26,I$24,K435&lt;K$28,I$26,K435&lt;K$30,I$28,K435&lt;K$32,I$30,K435&lt;K$34,I$32,K435&lt;K$36,I$34,K435&lt;K$38,I$36,K435&lt;K$40,I$38,K435&lt;K$42,I$40,K435&lt;K$44,I$42,K435&lt;K$46,I$44,K435&gt;=K$46,I$46)</f>
        <v/>
      </c>
      <c r="J435" s="37">
        <f>_xlfn.IFS(K435&lt;K$24,0,K435&lt;K$25,J$24,K435&lt;K$26,J$25,K435&lt;K$27,J$26,K435&lt;K$28,J$27,K435&lt;K$29,J$28,K435&lt;K$30,J$29,K435&lt;K$31,J$30,K435&lt;K$32,J$31,K435&lt;K$33,J$32,K435&lt;K$34,J$33,K435&lt;K$35,J$34,K435&lt;K$36,J$35,K435&lt;K$37,J$36,K435&lt;K$38,J$37,K435&lt;K$39,J$38,K435&lt;K$40,J$39,K435&lt;K$41,J$40,K435&lt;K$42,J$41,K435&lt;K$43,J$42,K435&lt;K$44,J$43,K435&lt;K$45,J$44,K435&lt;K$46,J$45,K435&lt;K$47,J$46,K435&gt;=K$47,J$47)</f>
        <v/>
      </c>
      <c r="K435" s="38" t="n">
        <v>385</v>
      </c>
      <c r="L435" s="31">
        <f>K435/52</f>
        <v/>
      </c>
      <c r="M435" s="39">
        <f>J435/1000000*52</f>
        <v/>
      </c>
      <c r="N435" s="33">
        <f>M435/$P$4+($I$22/$P$4)</f>
        <v/>
      </c>
      <c r="U435">
        <f>F434</f>
        <v/>
      </c>
      <c r="V435">
        <f>H434</f>
        <v/>
      </c>
      <c r="W435">
        <f>N434</f>
        <v/>
      </c>
    </row>
    <row r="436" ht="15.75" customHeight="1" s="40">
      <c r="C436" s="36">
        <f>_xlfn.IFS(E436&lt;E$24,0,E436&lt;E$26,C$24,E436&lt;E$28,C$26,E436&lt;E$30,C$28,E436&lt;E$32,C$30,E436&lt;E$34,C$32,E436&gt;=E$34,C$34)</f>
        <v/>
      </c>
      <c r="D436" s="37">
        <f>_xlfn.IFS(E436&lt;E$24,0,E436&lt;E$25,D$24,E436&lt;E$26,D$25,E436&lt;E$27,D$26,E436&lt;E$28,D$27,E436&lt;E$29,D$28,E436&lt;E$30,D$29,E436&lt;E$31,D$30,E436&lt;E$32,D$31,E436&lt;E$33,D$32,E436&lt;E$34,D$33,E436&lt;E$35,D$34,E436&gt;=E$35,D$35)</f>
        <v/>
      </c>
      <c r="E436" s="38" t="n">
        <v>386</v>
      </c>
      <c r="F436" s="31">
        <f>E436/52</f>
        <v/>
      </c>
      <c r="G436" s="39">
        <f>D436/1000000*52</f>
        <v/>
      </c>
      <c r="H436" s="33">
        <f>G436/$P$4+($C$22/$P$4)</f>
        <v/>
      </c>
      <c r="I436" s="36">
        <f>_xlfn.IFS(K436&lt;K$24,0,K436&lt;K$26,I$24,K436&lt;K$28,I$26,K436&lt;K$30,I$28,K436&lt;K$32,I$30,K436&lt;K$34,I$32,K436&lt;K$36,I$34,K436&lt;K$38,I$36,K436&lt;K$40,I$38,K436&lt;K$42,I$40,K436&lt;K$44,I$42,K436&lt;K$46,I$44,K436&gt;=K$46,I$46)</f>
        <v/>
      </c>
      <c r="J436" s="37">
        <f>_xlfn.IFS(K436&lt;K$24,0,K436&lt;K$25,J$24,K436&lt;K$26,J$25,K436&lt;K$27,J$26,K436&lt;K$28,J$27,K436&lt;K$29,J$28,K436&lt;K$30,J$29,K436&lt;K$31,J$30,K436&lt;K$32,J$31,K436&lt;K$33,J$32,K436&lt;K$34,J$33,K436&lt;K$35,J$34,K436&lt;K$36,J$35,K436&lt;K$37,J$36,K436&lt;K$38,J$37,K436&lt;K$39,J$38,K436&lt;K$40,J$39,K436&lt;K$41,J$40,K436&lt;K$42,J$41,K436&lt;K$43,J$42,K436&lt;K$44,J$43,K436&lt;K$45,J$44,K436&lt;K$46,J$45,K436&lt;K$47,J$46,K436&gt;=K$47,J$47)</f>
        <v/>
      </c>
      <c r="K436" s="38" t="n">
        <v>386</v>
      </c>
      <c r="L436" s="31">
        <f>K436/52</f>
        <v/>
      </c>
      <c r="M436" s="39">
        <f>J436/1000000*52</f>
        <v/>
      </c>
      <c r="N436" s="33">
        <f>M436/$P$4+($I$22/$P$4)</f>
        <v/>
      </c>
      <c r="U436">
        <f>F435</f>
        <v/>
      </c>
      <c r="V436">
        <f>H435</f>
        <v/>
      </c>
      <c r="W436">
        <f>N435</f>
        <v/>
      </c>
    </row>
    <row r="437" ht="15.75" customHeight="1" s="40">
      <c r="C437" s="36">
        <f>_xlfn.IFS(E437&lt;E$24,0,E437&lt;E$26,C$24,E437&lt;E$28,C$26,E437&lt;E$30,C$28,E437&lt;E$32,C$30,E437&lt;E$34,C$32,E437&gt;=E$34,C$34)</f>
        <v/>
      </c>
      <c r="D437" s="37">
        <f>_xlfn.IFS(E437&lt;E$24,0,E437&lt;E$25,D$24,E437&lt;E$26,D$25,E437&lt;E$27,D$26,E437&lt;E$28,D$27,E437&lt;E$29,D$28,E437&lt;E$30,D$29,E437&lt;E$31,D$30,E437&lt;E$32,D$31,E437&lt;E$33,D$32,E437&lt;E$34,D$33,E437&lt;E$35,D$34,E437&gt;=E$35,D$35)</f>
        <v/>
      </c>
      <c r="E437" s="38" t="n">
        <v>387</v>
      </c>
      <c r="F437" s="31">
        <f>E437/52</f>
        <v/>
      </c>
      <c r="G437" s="39">
        <f>D437/1000000*52</f>
        <v/>
      </c>
      <c r="H437" s="33">
        <f>G437/$P$4+($C$22/$P$4)</f>
        <v/>
      </c>
      <c r="I437" s="36">
        <f>_xlfn.IFS(K437&lt;K$24,0,K437&lt;K$26,I$24,K437&lt;K$28,I$26,K437&lt;K$30,I$28,K437&lt;K$32,I$30,K437&lt;K$34,I$32,K437&lt;K$36,I$34,K437&lt;K$38,I$36,K437&lt;K$40,I$38,K437&lt;K$42,I$40,K437&lt;K$44,I$42,K437&lt;K$46,I$44,K437&gt;=K$46,I$46)</f>
        <v/>
      </c>
      <c r="J437" s="37">
        <f>_xlfn.IFS(K437&lt;K$24,0,K437&lt;K$25,J$24,K437&lt;K$26,J$25,K437&lt;K$27,J$26,K437&lt;K$28,J$27,K437&lt;K$29,J$28,K437&lt;K$30,J$29,K437&lt;K$31,J$30,K437&lt;K$32,J$31,K437&lt;K$33,J$32,K437&lt;K$34,J$33,K437&lt;K$35,J$34,K437&lt;K$36,J$35,K437&lt;K$37,J$36,K437&lt;K$38,J$37,K437&lt;K$39,J$38,K437&lt;K$40,J$39,K437&lt;K$41,J$40,K437&lt;K$42,J$41,K437&lt;K$43,J$42,K437&lt;K$44,J$43,K437&lt;K$45,J$44,K437&lt;K$46,J$45,K437&lt;K$47,J$46,K437&gt;=K$47,J$47)</f>
        <v/>
      </c>
      <c r="K437" s="38" t="n">
        <v>387</v>
      </c>
      <c r="L437" s="31">
        <f>K437/52</f>
        <v/>
      </c>
      <c r="M437" s="39">
        <f>J437/1000000*52</f>
        <v/>
      </c>
      <c r="N437" s="33">
        <f>M437/$P$4+($I$22/$P$4)</f>
        <v/>
      </c>
      <c r="U437">
        <f>F436</f>
        <v/>
      </c>
      <c r="V437">
        <f>H436</f>
        <v/>
      </c>
      <c r="W437">
        <f>N436</f>
        <v/>
      </c>
    </row>
    <row r="438" ht="15.75" customHeight="1" s="40">
      <c r="C438" s="36">
        <f>_xlfn.IFS(E438&lt;E$24,0,E438&lt;E$26,C$24,E438&lt;E$28,C$26,E438&lt;E$30,C$28,E438&lt;E$32,C$30,E438&lt;E$34,C$32,E438&gt;=E$34,C$34)</f>
        <v/>
      </c>
      <c r="D438" s="37">
        <f>_xlfn.IFS(E438&lt;E$24,0,E438&lt;E$25,D$24,E438&lt;E$26,D$25,E438&lt;E$27,D$26,E438&lt;E$28,D$27,E438&lt;E$29,D$28,E438&lt;E$30,D$29,E438&lt;E$31,D$30,E438&lt;E$32,D$31,E438&lt;E$33,D$32,E438&lt;E$34,D$33,E438&lt;E$35,D$34,E438&gt;=E$35,D$35)</f>
        <v/>
      </c>
      <c r="E438" s="38" t="n">
        <v>388</v>
      </c>
      <c r="F438" s="31">
        <f>E438/52</f>
        <v/>
      </c>
      <c r="G438" s="39">
        <f>D438/1000000*52</f>
        <v/>
      </c>
      <c r="H438" s="33">
        <f>G438/$P$4+($C$22/$P$4)</f>
        <v/>
      </c>
      <c r="I438" s="36">
        <f>_xlfn.IFS(K438&lt;K$24,0,K438&lt;K$26,I$24,K438&lt;K$28,I$26,K438&lt;K$30,I$28,K438&lt;K$32,I$30,K438&lt;K$34,I$32,K438&lt;K$36,I$34,K438&lt;K$38,I$36,K438&lt;K$40,I$38,K438&lt;K$42,I$40,K438&lt;K$44,I$42,K438&lt;K$46,I$44,K438&gt;=K$46,I$46)</f>
        <v/>
      </c>
      <c r="J438" s="37">
        <f>_xlfn.IFS(K438&lt;K$24,0,K438&lt;K$25,J$24,K438&lt;K$26,J$25,K438&lt;K$27,J$26,K438&lt;K$28,J$27,K438&lt;K$29,J$28,K438&lt;K$30,J$29,K438&lt;K$31,J$30,K438&lt;K$32,J$31,K438&lt;K$33,J$32,K438&lt;K$34,J$33,K438&lt;K$35,J$34,K438&lt;K$36,J$35,K438&lt;K$37,J$36,K438&lt;K$38,J$37,K438&lt;K$39,J$38,K438&lt;K$40,J$39,K438&lt;K$41,J$40,K438&lt;K$42,J$41,K438&lt;K$43,J$42,K438&lt;K$44,J$43,K438&lt;K$45,J$44,K438&lt;K$46,J$45,K438&lt;K$47,J$46,K438&gt;=K$47,J$47)</f>
        <v/>
      </c>
      <c r="K438" s="38" t="n">
        <v>388</v>
      </c>
      <c r="L438" s="31">
        <f>K438/52</f>
        <v/>
      </c>
      <c r="M438" s="39">
        <f>J438/1000000*52</f>
        <v/>
      </c>
      <c r="N438" s="33">
        <f>M438/$P$4+($I$22/$P$4)</f>
        <v/>
      </c>
      <c r="U438">
        <f>F437</f>
        <v/>
      </c>
      <c r="V438">
        <f>H437</f>
        <v/>
      </c>
      <c r="W438">
        <f>N437</f>
        <v/>
      </c>
    </row>
    <row r="439" ht="15.75" customHeight="1" s="40">
      <c r="C439" s="36">
        <f>_xlfn.IFS(E439&lt;E$24,0,E439&lt;E$26,C$24,E439&lt;E$28,C$26,E439&lt;E$30,C$28,E439&lt;E$32,C$30,E439&lt;E$34,C$32,E439&gt;=E$34,C$34)</f>
        <v/>
      </c>
      <c r="D439" s="37">
        <f>_xlfn.IFS(E439&lt;E$24,0,E439&lt;E$25,D$24,E439&lt;E$26,D$25,E439&lt;E$27,D$26,E439&lt;E$28,D$27,E439&lt;E$29,D$28,E439&lt;E$30,D$29,E439&lt;E$31,D$30,E439&lt;E$32,D$31,E439&lt;E$33,D$32,E439&lt;E$34,D$33,E439&lt;E$35,D$34,E439&gt;=E$35,D$35)</f>
        <v/>
      </c>
      <c r="E439" s="38" t="n">
        <v>389</v>
      </c>
      <c r="F439" s="31">
        <f>E439/52</f>
        <v/>
      </c>
      <c r="G439" s="39">
        <f>D439/1000000*52</f>
        <v/>
      </c>
      <c r="H439" s="33">
        <f>G439/$P$4+($C$22/$P$4)</f>
        <v/>
      </c>
      <c r="I439" s="36">
        <f>_xlfn.IFS(K439&lt;K$24,0,K439&lt;K$26,I$24,K439&lt;K$28,I$26,K439&lt;K$30,I$28,K439&lt;K$32,I$30,K439&lt;K$34,I$32,K439&lt;K$36,I$34,K439&lt;K$38,I$36,K439&lt;K$40,I$38,K439&lt;K$42,I$40,K439&lt;K$44,I$42,K439&lt;K$46,I$44,K439&gt;=K$46,I$46)</f>
        <v/>
      </c>
      <c r="J439" s="37">
        <f>_xlfn.IFS(K439&lt;K$24,0,K439&lt;K$25,J$24,K439&lt;K$26,J$25,K439&lt;K$27,J$26,K439&lt;K$28,J$27,K439&lt;K$29,J$28,K439&lt;K$30,J$29,K439&lt;K$31,J$30,K439&lt;K$32,J$31,K439&lt;K$33,J$32,K439&lt;K$34,J$33,K439&lt;K$35,J$34,K439&lt;K$36,J$35,K439&lt;K$37,J$36,K439&lt;K$38,J$37,K439&lt;K$39,J$38,K439&lt;K$40,J$39,K439&lt;K$41,J$40,K439&lt;K$42,J$41,K439&lt;K$43,J$42,K439&lt;K$44,J$43,K439&lt;K$45,J$44,K439&lt;K$46,J$45,K439&lt;K$47,J$46,K439&gt;=K$47,J$47)</f>
        <v/>
      </c>
      <c r="K439" s="38" t="n">
        <v>389</v>
      </c>
      <c r="L439" s="31">
        <f>K439/52</f>
        <v/>
      </c>
      <c r="M439" s="39">
        <f>J439/1000000*52</f>
        <v/>
      </c>
      <c r="N439" s="33">
        <f>M439/$P$4+($I$22/$P$4)</f>
        <v/>
      </c>
      <c r="U439">
        <f>F438</f>
        <v/>
      </c>
      <c r="V439">
        <f>H438</f>
        <v/>
      </c>
      <c r="W439">
        <f>N438</f>
        <v/>
      </c>
    </row>
    <row r="440" ht="15.75" customHeight="1" s="40">
      <c r="C440" s="36">
        <f>_xlfn.IFS(E440&lt;E$24,0,E440&lt;E$26,C$24,E440&lt;E$28,C$26,E440&lt;E$30,C$28,E440&lt;E$32,C$30,E440&lt;E$34,C$32,E440&gt;=E$34,C$34)</f>
        <v/>
      </c>
      <c r="D440" s="37">
        <f>_xlfn.IFS(E440&lt;E$24,0,E440&lt;E$25,D$24,E440&lt;E$26,D$25,E440&lt;E$27,D$26,E440&lt;E$28,D$27,E440&lt;E$29,D$28,E440&lt;E$30,D$29,E440&lt;E$31,D$30,E440&lt;E$32,D$31,E440&lt;E$33,D$32,E440&lt;E$34,D$33,E440&lt;E$35,D$34,E440&gt;=E$35,D$35)</f>
        <v/>
      </c>
      <c r="E440" s="38" t="n">
        <v>390</v>
      </c>
      <c r="F440" s="31">
        <f>E440/52</f>
        <v/>
      </c>
      <c r="G440" s="39">
        <f>D440/1000000*52</f>
        <v/>
      </c>
      <c r="H440" s="33">
        <f>G440/$P$4+($C$22/$P$4)</f>
        <v/>
      </c>
      <c r="I440" s="36">
        <f>_xlfn.IFS(K440&lt;K$24,0,K440&lt;K$26,I$24,K440&lt;K$28,I$26,K440&lt;K$30,I$28,K440&lt;K$32,I$30,K440&lt;K$34,I$32,K440&lt;K$36,I$34,K440&lt;K$38,I$36,K440&lt;K$40,I$38,K440&lt;K$42,I$40,K440&lt;K$44,I$42,K440&lt;K$46,I$44,K440&gt;=K$46,I$46)</f>
        <v/>
      </c>
      <c r="J440" s="37">
        <f>_xlfn.IFS(K440&lt;K$24,0,K440&lt;K$25,J$24,K440&lt;K$26,J$25,K440&lt;K$27,J$26,K440&lt;K$28,J$27,K440&lt;K$29,J$28,K440&lt;K$30,J$29,K440&lt;K$31,J$30,K440&lt;K$32,J$31,K440&lt;K$33,J$32,K440&lt;K$34,J$33,K440&lt;K$35,J$34,K440&lt;K$36,J$35,K440&lt;K$37,J$36,K440&lt;K$38,J$37,K440&lt;K$39,J$38,K440&lt;K$40,J$39,K440&lt;K$41,J$40,K440&lt;K$42,J$41,K440&lt;K$43,J$42,K440&lt;K$44,J$43,K440&lt;K$45,J$44,K440&lt;K$46,J$45,K440&lt;K$47,J$46,K440&gt;=K$47,J$47)</f>
        <v/>
      </c>
      <c r="K440" s="38" t="n">
        <v>390</v>
      </c>
      <c r="L440" s="31">
        <f>K440/52</f>
        <v/>
      </c>
      <c r="M440" s="39">
        <f>J440/1000000*52</f>
        <v/>
      </c>
      <c r="N440" s="33">
        <f>M440/$P$4+($I$22/$P$4)</f>
        <v/>
      </c>
      <c r="U440">
        <f>F439</f>
        <v/>
      </c>
      <c r="V440">
        <f>H439</f>
        <v/>
      </c>
      <c r="W440">
        <f>N439</f>
        <v/>
      </c>
    </row>
    <row r="441" ht="15.75" customHeight="1" s="40">
      <c r="C441" s="36">
        <f>_xlfn.IFS(E441&lt;E$24,0,E441&lt;E$26,C$24,E441&lt;E$28,C$26,E441&lt;E$30,C$28,E441&lt;E$32,C$30,E441&lt;E$34,C$32,E441&gt;=E$34,C$34)</f>
        <v/>
      </c>
      <c r="D441" s="37">
        <f>_xlfn.IFS(E441&lt;E$24,0,E441&lt;E$25,D$24,E441&lt;E$26,D$25,E441&lt;E$27,D$26,E441&lt;E$28,D$27,E441&lt;E$29,D$28,E441&lt;E$30,D$29,E441&lt;E$31,D$30,E441&lt;E$32,D$31,E441&lt;E$33,D$32,E441&lt;E$34,D$33,E441&lt;E$35,D$34,E441&gt;=E$35,D$35)</f>
        <v/>
      </c>
      <c r="E441" s="38" t="n">
        <v>391</v>
      </c>
      <c r="F441" s="31">
        <f>E441/52</f>
        <v/>
      </c>
      <c r="G441" s="39">
        <f>D441/1000000*52</f>
        <v/>
      </c>
      <c r="H441" s="33">
        <f>G441/$P$4+($C$22/$P$4)</f>
        <v/>
      </c>
      <c r="I441" s="36">
        <f>_xlfn.IFS(K441&lt;K$24,0,K441&lt;K$26,I$24,K441&lt;K$28,I$26,K441&lt;K$30,I$28,K441&lt;K$32,I$30,K441&lt;K$34,I$32,K441&lt;K$36,I$34,K441&lt;K$38,I$36,K441&lt;K$40,I$38,K441&lt;K$42,I$40,K441&lt;K$44,I$42,K441&lt;K$46,I$44,K441&gt;=K$46,I$46)</f>
        <v/>
      </c>
      <c r="J441" s="37">
        <f>_xlfn.IFS(K441&lt;K$24,0,K441&lt;K$25,J$24,K441&lt;K$26,J$25,K441&lt;K$27,J$26,K441&lt;K$28,J$27,K441&lt;K$29,J$28,K441&lt;K$30,J$29,K441&lt;K$31,J$30,K441&lt;K$32,J$31,K441&lt;K$33,J$32,K441&lt;K$34,J$33,K441&lt;K$35,J$34,K441&lt;K$36,J$35,K441&lt;K$37,J$36,K441&lt;K$38,J$37,K441&lt;K$39,J$38,K441&lt;K$40,J$39,K441&lt;K$41,J$40,K441&lt;K$42,J$41,K441&lt;K$43,J$42,K441&lt;K$44,J$43,K441&lt;K$45,J$44,K441&lt;K$46,J$45,K441&lt;K$47,J$46,K441&gt;=K$47,J$47)</f>
        <v/>
      </c>
      <c r="K441" s="38" t="n">
        <v>391</v>
      </c>
      <c r="L441" s="31">
        <f>K441/52</f>
        <v/>
      </c>
      <c r="M441" s="39">
        <f>J441/1000000*52</f>
        <v/>
      </c>
      <c r="N441" s="33">
        <f>M441/$P$4+($I$22/$P$4)</f>
        <v/>
      </c>
      <c r="U441">
        <f>F440</f>
        <v/>
      </c>
      <c r="V441">
        <f>H440</f>
        <v/>
      </c>
      <c r="W441">
        <f>N440</f>
        <v/>
      </c>
    </row>
    <row r="442" ht="15.75" customHeight="1" s="40">
      <c r="C442" s="36">
        <f>_xlfn.IFS(E442&lt;E$24,0,E442&lt;E$26,C$24,E442&lt;E$28,C$26,E442&lt;E$30,C$28,E442&lt;E$32,C$30,E442&lt;E$34,C$32,E442&gt;=E$34,C$34)</f>
        <v/>
      </c>
      <c r="D442" s="37">
        <f>_xlfn.IFS(E442&lt;E$24,0,E442&lt;E$25,D$24,E442&lt;E$26,D$25,E442&lt;E$27,D$26,E442&lt;E$28,D$27,E442&lt;E$29,D$28,E442&lt;E$30,D$29,E442&lt;E$31,D$30,E442&lt;E$32,D$31,E442&lt;E$33,D$32,E442&lt;E$34,D$33,E442&lt;E$35,D$34,E442&gt;=E$35,D$35)</f>
        <v/>
      </c>
      <c r="E442" s="38" t="n">
        <v>392</v>
      </c>
      <c r="F442" s="31">
        <f>E442/52</f>
        <v/>
      </c>
      <c r="G442" s="39">
        <f>D442/1000000*52</f>
        <v/>
      </c>
      <c r="H442" s="33">
        <f>G442/$P$4+($C$22/$P$4)</f>
        <v/>
      </c>
      <c r="I442" s="36">
        <f>_xlfn.IFS(K442&lt;K$24,0,K442&lt;K$26,I$24,K442&lt;K$28,I$26,K442&lt;K$30,I$28,K442&lt;K$32,I$30,K442&lt;K$34,I$32,K442&lt;K$36,I$34,K442&lt;K$38,I$36,K442&lt;K$40,I$38,K442&lt;K$42,I$40,K442&lt;K$44,I$42,K442&lt;K$46,I$44,K442&gt;=K$46,I$46)</f>
        <v/>
      </c>
      <c r="J442" s="37">
        <f>_xlfn.IFS(K442&lt;K$24,0,K442&lt;K$25,J$24,K442&lt;K$26,J$25,K442&lt;K$27,J$26,K442&lt;K$28,J$27,K442&lt;K$29,J$28,K442&lt;K$30,J$29,K442&lt;K$31,J$30,K442&lt;K$32,J$31,K442&lt;K$33,J$32,K442&lt;K$34,J$33,K442&lt;K$35,J$34,K442&lt;K$36,J$35,K442&lt;K$37,J$36,K442&lt;K$38,J$37,K442&lt;K$39,J$38,K442&lt;K$40,J$39,K442&lt;K$41,J$40,K442&lt;K$42,J$41,K442&lt;K$43,J$42,K442&lt;K$44,J$43,K442&lt;K$45,J$44,K442&lt;K$46,J$45,K442&lt;K$47,J$46,K442&gt;=K$47,J$47)</f>
        <v/>
      </c>
      <c r="K442" s="38" t="n">
        <v>392</v>
      </c>
      <c r="L442" s="31">
        <f>K442/52</f>
        <v/>
      </c>
      <c r="M442" s="39">
        <f>J442/1000000*52</f>
        <v/>
      </c>
      <c r="N442" s="33">
        <f>M442/$P$4+($I$22/$P$4)</f>
        <v/>
      </c>
      <c r="U442">
        <f>F441</f>
        <v/>
      </c>
      <c r="V442">
        <f>H441</f>
        <v/>
      </c>
      <c r="W442">
        <f>N441</f>
        <v/>
      </c>
    </row>
    <row r="443" ht="15.75" customHeight="1" s="40">
      <c r="C443" s="36">
        <f>_xlfn.IFS(E443&lt;E$24,0,E443&lt;E$26,C$24,E443&lt;E$28,C$26,E443&lt;E$30,C$28,E443&lt;E$32,C$30,E443&lt;E$34,C$32,E443&gt;=E$34,C$34)</f>
        <v/>
      </c>
      <c r="D443" s="37">
        <f>_xlfn.IFS(E443&lt;E$24,0,E443&lt;E$25,D$24,E443&lt;E$26,D$25,E443&lt;E$27,D$26,E443&lt;E$28,D$27,E443&lt;E$29,D$28,E443&lt;E$30,D$29,E443&lt;E$31,D$30,E443&lt;E$32,D$31,E443&lt;E$33,D$32,E443&lt;E$34,D$33,E443&lt;E$35,D$34,E443&gt;=E$35,D$35)</f>
        <v/>
      </c>
      <c r="E443" s="38" t="n">
        <v>393</v>
      </c>
      <c r="F443" s="31">
        <f>E443/52</f>
        <v/>
      </c>
      <c r="G443" s="39">
        <f>D443/1000000*52</f>
        <v/>
      </c>
      <c r="H443" s="33">
        <f>G443/$P$4+($C$22/$P$4)</f>
        <v/>
      </c>
      <c r="I443" s="36">
        <f>_xlfn.IFS(K443&lt;K$24,0,K443&lt;K$26,I$24,K443&lt;K$28,I$26,K443&lt;K$30,I$28,K443&lt;K$32,I$30,K443&lt;K$34,I$32,K443&lt;K$36,I$34,K443&lt;K$38,I$36,K443&lt;K$40,I$38,K443&lt;K$42,I$40,K443&lt;K$44,I$42,K443&lt;K$46,I$44,K443&gt;=K$46,I$46)</f>
        <v/>
      </c>
      <c r="J443" s="37">
        <f>_xlfn.IFS(K443&lt;K$24,0,K443&lt;K$25,J$24,K443&lt;K$26,J$25,K443&lt;K$27,J$26,K443&lt;K$28,J$27,K443&lt;K$29,J$28,K443&lt;K$30,J$29,K443&lt;K$31,J$30,K443&lt;K$32,J$31,K443&lt;K$33,J$32,K443&lt;K$34,J$33,K443&lt;K$35,J$34,K443&lt;K$36,J$35,K443&lt;K$37,J$36,K443&lt;K$38,J$37,K443&lt;K$39,J$38,K443&lt;K$40,J$39,K443&lt;K$41,J$40,K443&lt;K$42,J$41,K443&lt;K$43,J$42,K443&lt;K$44,J$43,K443&lt;K$45,J$44,K443&lt;K$46,J$45,K443&lt;K$47,J$46,K443&gt;=K$47,J$47)</f>
        <v/>
      </c>
      <c r="K443" s="38" t="n">
        <v>393</v>
      </c>
      <c r="L443" s="31">
        <f>K443/52</f>
        <v/>
      </c>
      <c r="M443" s="39">
        <f>J443/1000000*52</f>
        <v/>
      </c>
      <c r="N443" s="33">
        <f>M443/$P$4+($I$22/$P$4)</f>
        <v/>
      </c>
      <c r="U443">
        <f>F442</f>
        <v/>
      </c>
      <c r="V443">
        <f>H442</f>
        <v/>
      </c>
      <c r="W443">
        <f>N442</f>
        <v/>
      </c>
    </row>
    <row r="444" ht="15.75" customHeight="1" s="40">
      <c r="C444" s="36">
        <f>_xlfn.IFS(E444&lt;E$24,0,E444&lt;E$26,C$24,E444&lt;E$28,C$26,E444&lt;E$30,C$28,E444&lt;E$32,C$30,E444&lt;E$34,C$32,E444&gt;=E$34,C$34)</f>
        <v/>
      </c>
      <c r="D444" s="37">
        <f>_xlfn.IFS(E444&lt;E$24,0,E444&lt;E$25,D$24,E444&lt;E$26,D$25,E444&lt;E$27,D$26,E444&lt;E$28,D$27,E444&lt;E$29,D$28,E444&lt;E$30,D$29,E444&lt;E$31,D$30,E444&lt;E$32,D$31,E444&lt;E$33,D$32,E444&lt;E$34,D$33,E444&lt;E$35,D$34,E444&gt;=E$35,D$35)</f>
        <v/>
      </c>
      <c r="E444" s="38" t="n">
        <v>394</v>
      </c>
      <c r="F444" s="31">
        <f>E444/52</f>
        <v/>
      </c>
      <c r="G444" s="39">
        <f>D444/1000000*52</f>
        <v/>
      </c>
      <c r="H444" s="33">
        <f>G444/$P$4+($C$22/$P$4)</f>
        <v/>
      </c>
      <c r="I444" s="36">
        <f>_xlfn.IFS(K444&lt;K$24,0,K444&lt;K$26,I$24,K444&lt;K$28,I$26,K444&lt;K$30,I$28,K444&lt;K$32,I$30,K444&lt;K$34,I$32,K444&lt;K$36,I$34,K444&lt;K$38,I$36,K444&lt;K$40,I$38,K444&lt;K$42,I$40,K444&lt;K$44,I$42,K444&lt;K$46,I$44,K444&gt;=K$46,I$46)</f>
        <v/>
      </c>
      <c r="J444" s="37">
        <f>_xlfn.IFS(K444&lt;K$24,0,K444&lt;K$25,J$24,K444&lt;K$26,J$25,K444&lt;K$27,J$26,K444&lt;K$28,J$27,K444&lt;K$29,J$28,K444&lt;K$30,J$29,K444&lt;K$31,J$30,K444&lt;K$32,J$31,K444&lt;K$33,J$32,K444&lt;K$34,J$33,K444&lt;K$35,J$34,K444&lt;K$36,J$35,K444&lt;K$37,J$36,K444&lt;K$38,J$37,K444&lt;K$39,J$38,K444&lt;K$40,J$39,K444&lt;K$41,J$40,K444&lt;K$42,J$41,K444&lt;K$43,J$42,K444&lt;K$44,J$43,K444&lt;K$45,J$44,K444&lt;K$46,J$45,K444&lt;K$47,J$46,K444&gt;=K$47,J$47)</f>
        <v/>
      </c>
      <c r="K444" s="38" t="n">
        <v>394</v>
      </c>
      <c r="L444" s="31">
        <f>K444/52</f>
        <v/>
      </c>
      <c r="M444" s="39">
        <f>J444/1000000*52</f>
        <v/>
      </c>
      <c r="N444" s="33">
        <f>M444/$P$4+($I$22/$P$4)</f>
        <v/>
      </c>
      <c r="U444">
        <f>F443</f>
        <v/>
      </c>
      <c r="V444">
        <f>H443</f>
        <v/>
      </c>
      <c r="W444">
        <f>N443</f>
        <v/>
      </c>
    </row>
    <row r="445" ht="15.75" customHeight="1" s="40">
      <c r="C445" s="36">
        <f>_xlfn.IFS(E445&lt;E$24,0,E445&lt;E$26,C$24,E445&lt;E$28,C$26,E445&lt;E$30,C$28,E445&lt;E$32,C$30,E445&lt;E$34,C$32,E445&gt;=E$34,C$34)</f>
        <v/>
      </c>
      <c r="D445" s="37">
        <f>_xlfn.IFS(E445&lt;E$24,0,E445&lt;E$25,D$24,E445&lt;E$26,D$25,E445&lt;E$27,D$26,E445&lt;E$28,D$27,E445&lt;E$29,D$28,E445&lt;E$30,D$29,E445&lt;E$31,D$30,E445&lt;E$32,D$31,E445&lt;E$33,D$32,E445&lt;E$34,D$33,E445&lt;E$35,D$34,E445&gt;=E$35,D$35)</f>
        <v/>
      </c>
      <c r="E445" s="38" t="n">
        <v>395</v>
      </c>
      <c r="F445" s="31">
        <f>E445/52</f>
        <v/>
      </c>
      <c r="G445" s="39">
        <f>D445/1000000*52</f>
        <v/>
      </c>
      <c r="H445" s="33">
        <f>G445/$P$4+($C$22/$P$4)</f>
        <v/>
      </c>
      <c r="I445" s="36">
        <f>_xlfn.IFS(K445&lt;K$24,0,K445&lt;K$26,I$24,K445&lt;K$28,I$26,K445&lt;K$30,I$28,K445&lt;K$32,I$30,K445&lt;K$34,I$32,K445&lt;K$36,I$34,K445&lt;K$38,I$36,K445&lt;K$40,I$38,K445&lt;K$42,I$40,K445&lt;K$44,I$42,K445&lt;K$46,I$44,K445&gt;=K$46,I$46)</f>
        <v/>
      </c>
      <c r="J445" s="37">
        <f>_xlfn.IFS(K445&lt;K$24,0,K445&lt;K$25,J$24,K445&lt;K$26,J$25,K445&lt;K$27,J$26,K445&lt;K$28,J$27,K445&lt;K$29,J$28,K445&lt;K$30,J$29,K445&lt;K$31,J$30,K445&lt;K$32,J$31,K445&lt;K$33,J$32,K445&lt;K$34,J$33,K445&lt;K$35,J$34,K445&lt;K$36,J$35,K445&lt;K$37,J$36,K445&lt;K$38,J$37,K445&lt;K$39,J$38,K445&lt;K$40,J$39,K445&lt;K$41,J$40,K445&lt;K$42,J$41,K445&lt;K$43,J$42,K445&lt;K$44,J$43,K445&lt;K$45,J$44,K445&lt;K$46,J$45,K445&lt;K$47,J$46,K445&gt;=K$47,J$47)</f>
        <v/>
      </c>
      <c r="K445" s="38" t="n">
        <v>395</v>
      </c>
      <c r="L445" s="31">
        <f>K445/52</f>
        <v/>
      </c>
      <c r="M445" s="39">
        <f>J445/1000000*52</f>
        <v/>
      </c>
      <c r="N445" s="33">
        <f>M445/$P$4+($I$22/$P$4)</f>
        <v/>
      </c>
      <c r="U445">
        <f>F444</f>
        <v/>
      </c>
      <c r="V445">
        <f>H444</f>
        <v/>
      </c>
      <c r="W445">
        <f>N444</f>
        <v/>
      </c>
    </row>
    <row r="446" ht="15.75" customHeight="1" s="40">
      <c r="C446" s="36">
        <f>_xlfn.IFS(E446&lt;E$24,0,E446&lt;E$26,C$24,E446&lt;E$28,C$26,E446&lt;E$30,C$28,E446&lt;E$32,C$30,E446&lt;E$34,C$32,E446&gt;=E$34,C$34)</f>
        <v/>
      </c>
      <c r="D446" s="37">
        <f>_xlfn.IFS(E446&lt;E$24,0,E446&lt;E$25,D$24,E446&lt;E$26,D$25,E446&lt;E$27,D$26,E446&lt;E$28,D$27,E446&lt;E$29,D$28,E446&lt;E$30,D$29,E446&lt;E$31,D$30,E446&lt;E$32,D$31,E446&lt;E$33,D$32,E446&lt;E$34,D$33,E446&lt;E$35,D$34,E446&gt;=E$35,D$35)</f>
        <v/>
      </c>
      <c r="E446" s="38" t="n">
        <v>396</v>
      </c>
      <c r="F446" s="31">
        <f>E446/52</f>
        <v/>
      </c>
      <c r="G446" s="39">
        <f>D446/1000000*52</f>
        <v/>
      </c>
      <c r="H446" s="33">
        <f>G446/$P$4+($C$22/$P$4)</f>
        <v/>
      </c>
      <c r="I446" s="36">
        <f>_xlfn.IFS(K446&lt;K$24,0,K446&lt;K$26,I$24,K446&lt;K$28,I$26,K446&lt;K$30,I$28,K446&lt;K$32,I$30,K446&lt;K$34,I$32,K446&lt;K$36,I$34,K446&lt;K$38,I$36,K446&lt;K$40,I$38,K446&lt;K$42,I$40,K446&lt;K$44,I$42,K446&lt;K$46,I$44,K446&gt;=K$46,I$46)</f>
        <v/>
      </c>
      <c r="J446" s="37">
        <f>_xlfn.IFS(K446&lt;K$24,0,K446&lt;K$25,J$24,K446&lt;K$26,J$25,K446&lt;K$27,J$26,K446&lt;K$28,J$27,K446&lt;K$29,J$28,K446&lt;K$30,J$29,K446&lt;K$31,J$30,K446&lt;K$32,J$31,K446&lt;K$33,J$32,K446&lt;K$34,J$33,K446&lt;K$35,J$34,K446&lt;K$36,J$35,K446&lt;K$37,J$36,K446&lt;K$38,J$37,K446&lt;K$39,J$38,K446&lt;K$40,J$39,K446&lt;K$41,J$40,K446&lt;K$42,J$41,K446&lt;K$43,J$42,K446&lt;K$44,J$43,K446&lt;K$45,J$44,K446&lt;K$46,J$45,K446&lt;K$47,J$46,K446&gt;=K$47,J$47)</f>
        <v/>
      </c>
      <c r="K446" s="38" t="n">
        <v>396</v>
      </c>
      <c r="L446" s="31">
        <f>K446/52</f>
        <v/>
      </c>
      <c r="M446" s="39">
        <f>J446/1000000*52</f>
        <v/>
      </c>
      <c r="N446" s="33">
        <f>M446/$P$4+($I$22/$P$4)</f>
        <v/>
      </c>
      <c r="U446">
        <f>F445</f>
        <v/>
      </c>
      <c r="V446">
        <f>H445</f>
        <v/>
      </c>
      <c r="W446">
        <f>N445</f>
        <v/>
      </c>
    </row>
    <row r="447" ht="15.75" customHeight="1" s="40">
      <c r="C447" s="36">
        <f>_xlfn.IFS(E447&lt;E$24,0,E447&lt;E$26,C$24,E447&lt;E$28,C$26,E447&lt;E$30,C$28,E447&lt;E$32,C$30,E447&lt;E$34,C$32,E447&gt;=E$34,C$34)</f>
        <v/>
      </c>
      <c r="D447" s="37">
        <f>_xlfn.IFS(E447&lt;E$24,0,E447&lt;E$25,D$24,E447&lt;E$26,D$25,E447&lt;E$27,D$26,E447&lt;E$28,D$27,E447&lt;E$29,D$28,E447&lt;E$30,D$29,E447&lt;E$31,D$30,E447&lt;E$32,D$31,E447&lt;E$33,D$32,E447&lt;E$34,D$33,E447&lt;E$35,D$34,E447&gt;=E$35,D$35)</f>
        <v/>
      </c>
      <c r="E447" s="38" t="n">
        <v>397</v>
      </c>
      <c r="F447" s="31">
        <f>E447/52</f>
        <v/>
      </c>
      <c r="G447" s="39">
        <f>D447/1000000*52</f>
        <v/>
      </c>
      <c r="H447" s="33">
        <f>G447/$P$4+($C$22/$P$4)</f>
        <v/>
      </c>
      <c r="I447" s="36">
        <f>_xlfn.IFS(K447&lt;K$24,0,K447&lt;K$26,I$24,K447&lt;K$28,I$26,K447&lt;K$30,I$28,K447&lt;K$32,I$30,K447&lt;K$34,I$32,K447&lt;K$36,I$34,K447&lt;K$38,I$36,K447&lt;K$40,I$38,K447&lt;K$42,I$40,K447&lt;K$44,I$42,K447&lt;K$46,I$44,K447&gt;=K$46,I$46)</f>
        <v/>
      </c>
      <c r="J447" s="37">
        <f>_xlfn.IFS(K447&lt;K$24,0,K447&lt;K$25,J$24,K447&lt;K$26,J$25,K447&lt;K$27,J$26,K447&lt;K$28,J$27,K447&lt;K$29,J$28,K447&lt;K$30,J$29,K447&lt;K$31,J$30,K447&lt;K$32,J$31,K447&lt;K$33,J$32,K447&lt;K$34,J$33,K447&lt;K$35,J$34,K447&lt;K$36,J$35,K447&lt;K$37,J$36,K447&lt;K$38,J$37,K447&lt;K$39,J$38,K447&lt;K$40,J$39,K447&lt;K$41,J$40,K447&lt;K$42,J$41,K447&lt;K$43,J$42,K447&lt;K$44,J$43,K447&lt;K$45,J$44,K447&lt;K$46,J$45,K447&lt;K$47,J$46,K447&gt;=K$47,J$47)</f>
        <v/>
      </c>
      <c r="K447" s="38" t="n">
        <v>397</v>
      </c>
      <c r="L447" s="31">
        <f>K447/52</f>
        <v/>
      </c>
      <c r="M447" s="39">
        <f>J447/1000000*52</f>
        <v/>
      </c>
      <c r="N447" s="33">
        <f>M447/$P$4+($I$22/$P$4)</f>
        <v/>
      </c>
      <c r="U447">
        <f>F446</f>
        <v/>
      </c>
      <c r="V447">
        <f>H446</f>
        <v/>
      </c>
      <c r="W447">
        <f>N446</f>
        <v/>
      </c>
    </row>
    <row r="448" ht="15.75" customHeight="1" s="40">
      <c r="C448" s="36">
        <f>_xlfn.IFS(E448&lt;E$24,0,E448&lt;E$26,C$24,E448&lt;E$28,C$26,E448&lt;E$30,C$28,E448&lt;E$32,C$30,E448&lt;E$34,C$32,E448&gt;=E$34,C$34)</f>
        <v/>
      </c>
      <c r="D448" s="37">
        <f>_xlfn.IFS(E448&lt;E$24,0,E448&lt;E$25,D$24,E448&lt;E$26,D$25,E448&lt;E$27,D$26,E448&lt;E$28,D$27,E448&lt;E$29,D$28,E448&lt;E$30,D$29,E448&lt;E$31,D$30,E448&lt;E$32,D$31,E448&lt;E$33,D$32,E448&lt;E$34,D$33,E448&lt;E$35,D$34,E448&gt;=E$35,D$35)</f>
        <v/>
      </c>
      <c r="E448" s="38" t="n">
        <v>398</v>
      </c>
      <c r="F448" s="31">
        <f>E448/52</f>
        <v/>
      </c>
      <c r="G448" s="39">
        <f>D448/1000000*52</f>
        <v/>
      </c>
      <c r="H448" s="33">
        <f>G448/$P$4+($C$22/$P$4)</f>
        <v/>
      </c>
      <c r="I448" s="36">
        <f>_xlfn.IFS(K448&lt;K$24,0,K448&lt;K$26,I$24,K448&lt;K$28,I$26,K448&lt;K$30,I$28,K448&lt;K$32,I$30,K448&lt;K$34,I$32,K448&lt;K$36,I$34,K448&lt;K$38,I$36,K448&lt;K$40,I$38,K448&lt;K$42,I$40,K448&lt;K$44,I$42,K448&lt;K$46,I$44,K448&gt;=K$46,I$46)</f>
        <v/>
      </c>
      <c r="J448" s="37">
        <f>_xlfn.IFS(K448&lt;K$24,0,K448&lt;K$25,J$24,K448&lt;K$26,J$25,K448&lt;K$27,J$26,K448&lt;K$28,J$27,K448&lt;K$29,J$28,K448&lt;K$30,J$29,K448&lt;K$31,J$30,K448&lt;K$32,J$31,K448&lt;K$33,J$32,K448&lt;K$34,J$33,K448&lt;K$35,J$34,K448&lt;K$36,J$35,K448&lt;K$37,J$36,K448&lt;K$38,J$37,K448&lt;K$39,J$38,K448&lt;K$40,J$39,K448&lt;K$41,J$40,K448&lt;K$42,J$41,K448&lt;K$43,J$42,K448&lt;K$44,J$43,K448&lt;K$45,J$44,K448&lt;K$46,J$45,K448&lt;K$47,J$46,K448&gt;=K$47,J$47)</f>
        <v/>
      </c>
      <c r="K448" s="38" t="n">
        <v>398</v>
      </c>
      <c r="L448" s="31">
        <f>K448/52</f>
        <v/>
      </c>
      <c r="M448" s="39">
        <f>J448/1000000*52</f>
        <v/>
      </c>
      <c r="N448" s="33">
        <f>M448/$P$4+($I$22/$P$4)</f>
        <v/>
      </c>
      <c r="U448">
        <f>F447</f>
        <v/>
      </c>
      <c r="V448">
        <f>H447</f>
        <v/>
      </c>
      <c r="W448">
        <f>N447</f>
        <v/>
      </c>
    </row>
    <row r="449" ht="15.75" customHeight="1" s="40">
      <c r="C449" s="36">
        <f>_xlfn.IFS(E449&lt;E$24,0,E449&lt;E$26,C$24,E449&lt;E$28,C$26,E449&lt;E$30,C$28,E449&lt;E$32,C$30,E449&lt;E$34,C$32,E449&gt;=E$34,C$34)</f>
        <v/>
      </c>
      <c r="D449" s="37">
        <f>_xlfn.IFS(E449&lt;E$24,0,E449&lt;E$25,D$24,E449&lt;E$26,D$25,E449&lt;E$27,D$26,E449&lt;E$28,D$27,E449&lt;E$29,D$28,E449&lt;E$30,D$29,E449&lt;E$31,D$30,E449&lt;E$32,D$31,E449&lt;E$33,D$32,E449&lt;E$34,D$33,E449&lt;E$35,D$34,E449&gt;=E$35,D$35)</f>
        <v/>
      </c>
      <c r="E449" s="38" t="n">
        <v>399</v>
      </c>
      <c r="F449" s="31">
        <f>E449/52</f>
        <v/>
      </c>
      <c r="G449" s="39">
        <f>D449/1000000*52</f>
        <v/>
      </c>
      <c r="H449" s="33">
        <f>G449/$P$4+($C$22/$P$4)</f>
        <v/>
      </c>
      <c r="I449" s="36">
        <f>_xlfn.IFS(K449&lt;K$24,0,K449&lt;K$26,I$24,K449&lt;K$28,I$26,K449&lt;K$30,I$28,K449&lt;K$32,I$30,K449&lt;K$34,I$32,K449&lt;K$36,I$34,K449&lt;K$38,I$36,K449&lt;K$40,I$38,K449&lt;K$42,I$40,K449&lt;K$44,I$42,K449&lt;K$46,I$44,K449&gt;=K$46,I$46)</f>
        <v/>
      </c>
      <c r="J449" s="37">
        <f>_xlfn.IFS(K449&lt;K$24,0,K449&lt;K$25,J$24,K449&lt;K$26,J$25,K449&lt;K$27,J$26,K449&lt;K$28,J$27,K449&lt;K$29,J$28,K449&lt;K$30,J$29,K449&lt;K$31,J$30,K449&lt;K$32,J$31,K449&lt;K$33,J$32,K449&lt;K$34,J$33,K449&lt;K$35,J$34,K449&lt;K$36,J$35,K449&lt;K$37,J$36,K449&lt;K$38,J$37,K449&lt;K$39,J$38,K449&lt;K$40,J$39,K449&lt;K$41,J$40,K449&lt;K$42,J$41,K449&lt;K$43,J$42,K449&lt;K$44,J$43,K449&lt;K$45,J$44,K449&lt;K$46,J$45,K449&lt;K$47,J$46,K449&gt;=K$47,J$47)</f>
        <v/>
      </c>
      <c r="K449" s="38" t="n">
        <v>399</v>
      </c>
      <c r="L449" s="31">
        <f>K449/52</f>
        <v/>
      </c>
      <c r="M449" s="39">
        <f>J449/1000000*52</f>
        <v/>
      </c>
      <c r="N449" s="33">
        <f>M449/$P$4+($I$22/$P$4)</f>
        <v/>
      </c>
      <c r="U449">
        <f>F448</f>
        <v/>
      </c>
      <c r="V449">
        <f>H448</f>
        <v/>
      </c>
      <c r="W449">
        <f>N448</f>
        <v/>
      </c>
    </row>
    <row r="450" ht="15.75" customHeight="1" s="40">
      <c r="C450" s="36">
        <f>_xlfn.IFS(E450&lt;E$24,0,E450&lt;E$26,C$24,E450&lt;E$28,C$26,E450&lt;E$30,C$28,E450&lt;E$32,C$30,E450&lt;E$34,C$32,E450&gt;=E$34,C$34)</f>
        <v/>
      </c>
      <c r="D450" s="37">
        <f>_xlfn.IFS(E450&lt;E$24,0,E450&lt;E$25,D$24,E450&lt;E$26,D$25,E450&lt;E$27,D$26,E450&lt;E$28,D$27,E450&lt;E$29,D$28,E450&lt;E$30,D$29,E450&lt;E$31,D$30,E450&lt;E$32,D$31,E450&lt;E$33,D$32,E450&lt;E$34,D$33,E450&lt;E$35,D$34,E450&gt;=E$35,D$35)</f>
        <v/>
      </c>
      <c r="E450" s="38" t="n">
        <v>400</v>
      </c>
      <c r="F450" s="31">
        <f>E450/52</f>
        <v/>
      </c>
      <c r="G450" s="39">
        <f>D450/1000000*52</f>
        <v/>
      </c>
      <c r="H450" s="33">
        <f>G450/$P$4+($C$22/$P$4)</f>
        <v/>
      </c>
      <c r="I450" s="36">
        <f>_xlfn.IFS(K450&lt;K$24,0,K450&lt;K$26,I$24,K450&lt;K$28,I$26,K450&lt;K$30,I$28,K450&lt;K$32,I$30,K450&lt;K$34,I$32,K450&lt;K$36,I$34,K450&lt;K$38,I$36,K450&lt;K$40,I$38,K450&lt;K$42,I$40,K450&lt;K$44,I$42,K450&lt;K$46,I$44,K450&gt;=K$46,I$46)</f>
        <v/>
      </c>
      <c r="J450" s="37">
        <f>_xlfn.IFS(K450&lt;K$24,0,K450&lt;K$25,J$24,K450&lt;K$26,J$25,K450&lt;K$27,J$26,K450&lt;K$28,J$27,K450&lt;K$29,J$28,K450&lt;K$30,J$29,K450&lt;K$31,J$30,K450&lt;K$32,J$31,K450&lt;K$33,J$32,K450&lt;K$34,J$33,K450&lt;K$35,J$34,K450&lt;K$36,J$35,K450&lt;K$37,J$36,K450&lt;K$38,J$37,K450&lt;K$39,J$38,K450&lt;K$40,J$39,K450&lt;K$41,J$40,K450&lt;K$42,J$41,K450&lt;K$43,J$42,K450&lt;K$44,J$43,K450&lt;K$45,J$44,K450&lt;K$46,J$45,K450&lt;K$47,J$46,K450&gt;=K$47,J$47)</f>
        <v/>
      </c>
      <c r="K450" s="38" t="n">
        <v>400</v>
      </c>
      <c r="L450" s="31">
        <f>K450/52</f>
        <v/>
      </c>
      <c r="M450" s="39">
        <f>J450/1000000*52</f>
        <v/>
      </c>
      <c r="N450" s="33">
        <f>M450/$P$4+($I$22/$P$4)</f>
        <v/>
      </c>
      <c r="U450">
        <f>F449</f>
        <v/>
      </c>
      <c r="V450">
        <f>H449</f>
        <v/>
      </c>
      <c r="W450">
        <f>N449</f>
        <v/>
      </c>
    </row>
    <row r="451" ht="15.75" customHeight="1" s="40">
      <c r="C451" s="36">
        <f>_xlfn.IFS(E451&lt;E$24,0,E451&lt;E$26,C$24,E451&lt;E$28,C$26,E451&lt;E$30,C$28,E451&lt;E$32,C$30,E451&lt;E$34,C$32,E451&gt;=E$34,C$34)</f>
        <v/>
      </c>
      <c r="D451" s="37">
        <f>_xlfn.IFS(E451&lt;E$24,0,E451&lt;E$25,D$24,E451&lt;E$26,D$25,E451&lt;E$27,D$26,E451&lt;E$28,D$27,E451&lt;E$29,D$28,E451&lt;E$30,D$29,E451&lt;E$31,D$30,E451&lt;E$32,D$31,E451&lt;E$33,D$32,E451&lt;E$34,D$33,E451&lt;E$35,D$34,E451&gt;=E$35,D$35)</f>
        <v/>
      </c>
      <c r="E451" s="38" t="n">
        <v>401</v>
      </c>
      <c r="F451" s="31">
        <f>E451/52</f>
        <v/>
      </c>
      <c r="G451" s="39">
        <f>D451/1000000*52</f>
        <v/>
      </c>
      <c r="H451" s="33">
        <f>G451/$P$4+($C$22/$P$4)</f>
        <v/>
      </c>
      <c r="I451" s="36">
        <f>_xlfn.IFS(K451&lt;K$24,0,K451&lt;K$26,I$24,K451&lt;K$28,I$26,K451&lt;K$30,I$28,K451&lt;K$32,I$30,K451&lt;K$34,I$32,K451&lt;K$36,I$34,K451&lt;K$38,I$36,K451&lt;K$40,I$38,K451&lt;K$42,I$40,K451&lt;K$44,I$42,K451&lt;K$46,I$44,K451&gt;=K$46,I$46)</f>
        <v/>
      </c>
      <c r="J451" s="37">
        <f>_xlfn.IFS(K451&lt;K$24,0,K451&lt;K$25,J$24,K451&lt;K$26,J$25,K451&lt;K$27,J$26,K451&lt;K$28,J$27,K451&lt;K$29,J$28,K451&lt;K$30,J$29,K451&lt;K$31,J$30,K451&lt;K$32,J$31,K451&lt;K$33,J$32,K451&lt;K$34,J$33,K451&lt;K$35,J$34,K451&lt;K$36,J$35,K451&lt;K$37,J$36,K451&lt;K$38,J$37,K451&lt;K$39,J$38,K451&lt;K$40,J$39,K451&lt;K$41,J$40,K451&lt;K$42,J$41,K451&lt;K$43,J$42,K451&lt;K$44,J$43,K451&lt;K$45,J$44,K451&lt;K$46,J$45,K451&lt;K$47,J$46,K451&gt;=K$47,J$47)</f>
        <v/>
      </c>
      <c r="K451" s="38" t="n">
        <v>401</v>
      </c>
      <c r="L451" s="31">
        <f>K451/52</f>
        <v/>
      </c>
      <c r="M451" s="39">
        <f>J451/1000000*52</f>
        <v/>
      </c>
      <c r="N451" s="33">
        <f>M451/$P$4+($I$22/$P$4)</f>
        <v/>
      </c>
      <c r="U451">
        <f>F450</f>
        <v/>
      </c>
      <c r="V451">
        <f>H450</f>
        <v/>
      </c>
      <c r="W451">
        <f>N450</f>
        <v/>
      </c>
    </row>
    <row r="452" ht="15.75" customHeight="1" s="40">
      <c r="C452" s="36">
        <f>_xlfn.IFS(E452&lt;E$24,0,E452&lt;E$26,C$24,E452&lt;E$28,C$26,E452&lt;E$30,C$28,E452&lt;E$32,C$30,E452&lt;E$34,C$32,E452&gt;=E$34,C$34)</f>
        <v/>
      </c>
      <c r="D452" s="37">
        <f>_xlfn.IFS(E452&lt;E$24,0,E452&lt;E$25,D$24,E452&lt;E$26,D$25,E452&lt;E$27,D$26,E452&lt;E$28,D$27,E452&lt;E$29,D$28,E452&lt;E$30,D$29,E452&lt;E$31,D$30,E452&lt;E$32,D$31,E452&lt;E$33,D$32,E452&lt;E$34,D$33,E452&lt;E$35,D$34,E452&gt;=E$35,D$35)</f>
        <v/>
      </c>
      <c r="E452" s="38" t="n">
        <v>402</v>
      </c>
      <c r="F452" s="31">
        <f>E452/52</f>
        <v/>
      </c>
      <c r="G452" s="39">
        <f>D452/1000000*52</f>
        <v/>
      </c>
      <c r="H452" s="33">
        <f>G452/$P$4+($C$22/$P$4)</f>
        <v/>
      </c>
      <c r="I452" s="36">
        <f>_xlfn.IFS(K452&lt;K$24,0,K452&lt;K$26,I$24,K452&lt;K$28,I$26,K452&lt;K$30,I$28,K452&lt;K$32,I$30,K452&lt;K$34,I$32,K452&lt;K$36,I$34,K452&lt;K$38,I$36,K452&lt;K$40,I$38,K452&lt;K$42,I$40,K452&lt;K$44,I$42,K452&lt;K$46,I$44,K452&gt;=K$46,I$46)</f>
        <v/>
      </c>
      <c r="J452" s="37">
        <f>_xlfn.IFS(K452&lt;K$24,0,K452&lt;K$25,J$24,K452&lt;K$26,J$25,K452&lt;K$27,J$26,K452&lt;K$28,J$27,K452&lt;K$29,J$28,K452&lt;K$30,J$29,K452&lt;K$31,J$30,K452&lt;K$32,J$31,K452&lt;K$33,J$32,K452&lt;K$34,J$33,K452&lt;K$35,J$34,K452&lt;K$36,J$35,K452&lt;K$37,J$36,K452&lt;K$38,J$37,K452&lt;K$39,J$38,K452&lt;K$40,J$39,K452&lt;K$41,J$40,K452&lt;K$42,J$41,K452&lt;K$43,J$42,K452&lt;K$44,J$43,K452&lt;K$45,J$44,K452&lt;K$46,J$45,K452&lt;K$47,J$46,K452&gt;=K$47,J$47)</f>
        <v/>
      </c>
      <c r="K452" s="38" t="n">
        <v>402</v>
      </c>
      <c r="L452" s="31">
        <f>K452/52</f>
        <v/>
      </c>
      <c r="M452" s="39">
        <f>J452/1000000*52</f>
        <v/>
      </c>
      <c r="N452" s="33">
        <f>M452/$P$4+($I$22/$P$4)</f>
        <v/>
      </c>
      <c r="U452">
        <f>F451</f>
        <v/>
      </c>
      <c r="V452">
        <f>H451</f>
        <v/>
      </c>
      <c r="W452">
        <f>N451</f>
        <v/>
      </c>
    </row>
    <row r="453" ht="15.75" customHeight="1" s="40">
      <c r="C453" s="36">
        <f>_xlfn.IFS(E453&lt;E$24,0,E453&lt;E$26,C$24,E453&lt;E$28,C$26,E453&lt;E$30,C$28,E453&lt;E$32,C$30,E453&lt;E$34,C$32,E453&gt;=E$34,C$34)</f>
        <v/>
      </c>
      <c r="D453" s="37">
        <f>_xlfn.IFS(E453&lt;E$24,0,E453&lt;E$25,D$24,E453&lt;E$26,D$25,E453&lt;E$27,D$26,E453&lt;E$28,D$27,E453&lt;E$29,D$28,E453&lt;E$30,D$29,E453&lt;E$31,D$30,E453&lt;E$32,D$31,E453&lt;E$33,D$32,E453&lt;E$34,D$33,E453&lt;E$35,D$34,E453&gt;=E$35,D$35)</f>
        <v/>
      </c>
      <c r="E453" s="38" t="n">
        <v>403</v>
      </c>
      <c r="F453" s="31">
        <f>E453/52</f>
        <v/>
      </c>
      <c r="G453" s="39">
        <f>D453/1000000*52</f>
        <v/>
      </c>
      <c r="H453" s="33">
        <f>G453/$P$4+($C$22/$P$4)</f>
        <v/>
      </c>
      <c r="I453" s="36">
        <f>_xlfn.IFS(K453&lt;K$24,0,K453&lt;K$26,I$24,K453&lt;K$28,I$26,K453&lt;K$30,I$28,K453&lt;K$32,I$30,K453&lt;K$34,I$32,K453&lt;K$36,I$34,K453&lt;K$38,I$36,K453&lt;K$40,I$38,K453&lt;K$42,I$40,K453&lt;K$44,I$42,K453&lt;K$46,I$44,K453&gt;=K$46,I$46)</f>
        <v/>
      </c>
      <c r="J453" s="37">
        <f>_xlfn.IFS(K453&lt;K$24,0,K453&lt;K$25,J$24,K453&lt;K$26,J$25,K453&lt;K$27,J$26,K453&lt;K$28,J$27,K453&lt;K$29,J$28,K453&lt;K$30,J$29,K453&lt;K$31,J$30,K453&lt;K$32,J$31,K453&lt;K$33,J$32,K453&lt;K$34,J$33,K453&lt;K$35,J$34,K453&lt;K$36,J$35,K453&lt;K$37,J$36,K453&lt;K$38,J$37,K453&lt;K$39,J$38,K453&lt;K$40,J$39,K453&lt;K$41,J$40,K453&lt;K$42,J$41,K453&lt;K$43,J$42,K453&lt;K$44,J$43,K453&lt;K$45,J$44,K453&lt;K$46,J$45,K453&lt;K$47,J$46,K453&gt;=K$47,J$47)</f>
        <v/>
      </c>
      <c r="K453" s="38" t="n">
        <v>403</v>
      </c>
      <c r="L453" s="31">
        <f>K453/52</f>
        <v/>
      </c>
      <c r="M453" s="39">
        <f>J453/1000000*52</f>
        <v/>
      </c>
      <c r="N453" s="33">
        <f>M453/$P$4+($I$22/$P$4)</f>
        <v/>
      </c>
      <c r="U453">
        <f>F452</f>
        <v/>
      </c>
      <c r="V453">
        <f>H452</f>
        <v/>
      </c>
      <c r="W453">
        <f>N452</f>
        <v/>
      </c>
    </row>
    <row r="454" ht="15.75" customHeight="1" s="40">
      <c r="C454" s="36">
        <f>_xlfn.IFS(E454&lt;E$24,0,E454&lt;E$26,C$24,E454&lt;E$28,C$26,E454&lt;E$30,C$28,E454&lt;E$32,C$30,E454&lt;E$34,C$32,E454&gt;=E$34,C$34)</f>
        <v/>
      </c>
      <c r="D454" s="37">
        <f>_xlfn.IFS(E454&lt;E$24,0,E454&lt;E$25,D$24,E454&lt;E$26,D$25,E454&lt;E$27,D$26,E454&lt;E$28,D$27,E454&lt;E$29,D$28,E454&lt;E$30,D$29,E454&lt;E$31,D$30,E454&lt;E$32,D$31,E454&lt;E$33,D$32,E454&lt;E$34,D$33,E454&lt;E$35,D$34,E454&gt;=E$35,D$35)</f>
        <v/>
      </c>
      <c r="E454" s="38" t="n">
        <v>404</v>
      </c>
      <c r="F454" s="31">
        <f>E454/52</f>
        <v/>
      </c>
      <c r="G454" s="39">
        <f>D454/1000000*52</f>
        <v/>
      </c>
      <c r="H454" s="33">
        <f>G454/$P$4+($C$22/$P$4)</f>
        <v/>
      </c>
      <c r="I454" s="36">
        <f>_xlfn.IFS(K454&lt;K$24,0,K454&lt;K$26,I$24,K454&lt;K$28,I$26,K454&lt;K$30,I$28,K454&lt;K$32,I$30,K454&lt;K$34,I$32,K454&lt;K$36,I$34,K454&lt;K$38,I$36,K454&lt;K$40,I$38,K454&lt;K$42,I$40,K454&lt;K$44,I$42,K454&lt;K$46,I$44,K454&gt;=K$46,I$46)</f>
        <v/>
      </c>
      <c r="J454" s="37">
        <f>_xlfn.IFS(K454&lt;K$24,0,K454&lt;K$25,J$24,K454&lt;K$26,J$25,K454&lt;K$27,J$26,K454&lt;K$28,J$27,K454&lt;K$29,J$28,K454&lt;K$30,J$29,K454&lt;K$31,J$30,K454&lt;K$32,J$31,K454&lt;K$33,J$32,K454&lt;K$34,J$33,K454&lt;K$35,J$34,K454&lt;K$36,J$35,K454&lt;K$37,J$36,K454&lt;K$38,J$37,K454&lt;K$39,J$38,K454&lt;K$40,J$39,K454&lt;K$41,J$40,K454&lt;K$42,J$41,K454&lt;K$43,J$42,K454&lt;K$44,J$43,K454&lt;K$45,J$44,K454&lt;K$46,J$45,K454&lt;K$47,J$46,K454&gt;=K$47,J$47)</f>
        <v/>
      </c>
      <c r="K454" s="38" t="n">
        <v>404</v>
      </c>
      <c r="L454" s="31">
        <f>K454/52</f>
        <v/>
      </c>
      <c r="M454" s="39">
        <f>J454/1000000*52</f>
        <v/>
      </c>
      <c r="N454" s="33">
        <f>M454/$P$4+($I$22/$P$4)</f>
        <v/>
      </c>
      <c r="U454">
        <f>F453</f>
        <v/>
      </c>
      <c r="V454">
        <f>H453</f>
        <v/>
      </c>
      <c r="W454">
        <f>N453</f>
        <v/>
      </c>
    </row>
    <row r="455" ht="15.75" customHeight="1" s="40">
      <c r="C455" s="36">
        <f>_xlfn.IFS(E455&lt;E$24,0,E455&lt;E$26,C$24,E455&lt;E$28,C$26,E455&lt;E$30,C$28,E455&lt;E$32,C$30,E455&lt;E$34,C$32,E455&gt;=E$34,C$34)</f>
        <v/>
      </c>
      <c r="D455" s="37">
        <f>_xlfn.IFS(E455&lt;E$24,0,E455&lt;E$25,D$24,E455&lt;E$26,D$25,E455&lt;E$27,D$26,E455&lt;E$28,D$27,E455&lt;E$29,D$28,E455&lt;E$30,D$29,E455&lt;E$31,D$30,E455&lt;E$32,D$31,E455&lt;E$33,D$32,E455&lt;E$34,D$33,E455&lt;E$35,D$34,E455&gt;=E$35,D$35)</f>
        <v/>
      </c>
      <c r="E455" s="38" t="n">
        <v>405</v>
      </c>
      <c r="F455" s="31">
        <f>E455/52</f>
        <v/>
      </c>
      <c r="G455" s="39">
        <f>D455/1000000*52</f>
        <v/>
      </c>
      <c r="H455" s="33">
        <f>G455/$P$4+($C$22/$P$4)</f>
        <v/>
      </c>
      <c r="I455" s="36">
        <f>_xlfn.IFS(K455&lt;K$24,0,K455&lt;K$26,I$24,K455&lt;K$28,I$26,K455&lt;K$30,I$28,K455&lt;K$32,I$30,K455&lt;K$34,I$32,K455&lt;K$36,I$34,K455&lt;K$38,I$36,K455&lt;K$40,I$38,K455&lt;K$42,I$40,K455&lt;K$44,I$42,K455&lt;K$46,I$44,K455&gt;=K$46,I$46)</f>
        <v/>
      </c>
      <c r="J455" s="37">
        <f>_xlfn.IFS(K455&lt;K$24,0,K455&lt;K$25,J$24,K455&lt;K$26,J$25,K455&lt;K$27,J$26,K455&lt;K$28,J$27,K455&lt;K$29,J$28,K455&lt;K$30,J$29,K455&lt;K$31,J$30,K455&lt;K$32,J$31,K455&lt;K$33,J$32,K455&lt;K$34,J$33,K455&lt;K$35,J$34,K455&lt;K$36,J$35,K455&lt;K$37,J$36,K455&lt;K$38,J$37,K455&lt;K$39,J$38,K455&lt;K$40,J$39,K455&lt;K$41,J$40,K455&lt;K$42,J$41,K455&lt;K$43,J$42,K455&lt;K$44,J$43,K455&lt;K$45,J$44,K455&lt;K$46,J$45,K455&lt;K$47,J$46,K455&gt;=K$47,J$47)</f>
        <v/>
      </c>
      <c r="K455" s="38" t="n">
        <v>405</v>
      </c>
      <c r="L455" s="31">
        <f>K455/52</f>
        <v/>
      </c>
      <c r="M455" s="39">
        <f>J455/1000000*52</f>
        <v/>
      </c>
      <c r="N455" s="33">
        <f>M455/$P$4+($I$22/$P$4)</f>
        <v/>
      </c>
      <c r="U455">
        <f>F454</f>
        <v/>
      </c>
      <c r="V455">
        <f>H454</f>
        <v/>
      </c>
      <c r="W455">
        <f>N454</f>
        <v/>
      </c>
    </row>
    <row r="456" ht="15.75" customHeight="1" s="40">
      <c r="C456" s="36">
        <f>_xlfn.IFS(E456&lt;E$24,0,E456&lt;E$26,C$24,E456&lt;E$28,C$26,E456&lt;E$30,C$28,E456&lt;E$32,C$30,E456&lt;E$34,C$32,E456&gt;=E$34,C$34)</f>
        <v/>
      </c>
      <c r="D456" s="37">
        <f>_xlfn.IFS(E456&lt;E$24,0,E456&lt;E$25,D$24,E456&lt;E$26,D$25,E456&lt;E$27,D$26,E456&lt;E$28,D$27,E456&lt;E$29,D$28,E456&lt;E$30,D$29,E456&lt;E$31,D$30,E456&lt;E$32,D$31,E456&lt;E$33,D$32,E456&lt;E$34,D$33,E456&lt;E$35,D$34,E456&gt;=E$35,D$35)</f>
        <v/>
      </c>
      <c r="E456" s="38" t="n">
        <v>406</v>
      </c>
      <c r="F456" s="31">
        <f>E456/52</f>
        <v/>
      </c>
      <c r="G456" s="39">
        <f>D456/1000000*52</f>
        <v/>
      </c>
      <c r="H456" s="33">
        <f>G456/$P$4+($C$22/$P$4)</f>
        <v/>
      </c>
      <c r="I456" s="36">
        <f>_xlfn.IFS(K456&lt;K$24,0,K456&lt;K$26,I$24,K456&lt;K$28,I$26,K456&lt;K$30,I$28,K456&lt;K$32,I$30,K456&lt;K$34,I$32,K456&lt;K$36,I$34,K456&lt;K$38,I$36,K456&lt;K$40,I$38,K456&lt;K$42,I$40,K456&lt;K$44,I$42,K456&lt;K$46,I$44,K456&gt;=K$46,I$46)</f>
        <v/>
      </c>
      <c r="J456" s="37">
        <f>_xlfn.IFS(K456&lt;K$24,0,K456&lt;K$25,J$24,K456&lt;K$26,J$25,K456&lt;K$27,J$26,K456&lt;K$28,J$27,K456&lt;K$29,J$28,K456&lt;K$30,J$29,K456&lt;K$31,J$30,K456&lt;K$32,J$31,K456&lt;K$33,J$32,K456&lt;K$34,J$33,K456&lt;K$35,J$34,K456&lt;K$36,J$35,K456&lt;K$37,J$36,K456&lt;K$38,J$37,K456&lt;K$39,J$38,K456&lt;K$40,J$39,K456&lt;K$41,J$40,K456&lt;K$42,J$41,K456&lt;K$43,J$42,K456&lt;K$44,J$43,K456&lt;K$45,J$44,K456&lt;K$46,J$45,K456&lt;K$47,J$46,K456&gt;=K$47,J$47)</f>
        <v/>
      </c>
      <c r="K456" s="38" t="n">
        <v>406</v>
      </c>
      <c r="L456" s="31">
        <f>K456/52</f>
        <v/>
      </c>
      <c r="M456" s="39">
        <f>J456/1000000*52</f>
        <v/>
      </c>
      <c r="N456" s="33">
        <f>M456/$P$4+($I$22/$P$4)</f>
        <v/>
      </c>
      <c r="U456">
        <f>F455</f>
        <v/>
      </c>
      <c r="V456">
        <f>H455</f>
        <v/>
      </c>
      <c r="W456">
        <f>N455</f>
        <v/>
      </c>
    </row>
    <row r="457" ht="15.75" customHeight="1" s="40">
      <c r="C457" s="36">
        <f>_xlfn.IFS(E457&lt;E$24,0,E457&lt;E$26,C$24,E457&lt;E$28,C$26,E457&lt;E$30,C$28,E457&lt;E$32,C$30,E457&lt;E$34,C$32,E457&gt;=E$34,C$34)</f>
        <v/>
      </c>
      <c r="D457" s="37">
        <f>_xlfn.IFS(E457&lt;E$24,0,E457&lt;E$25,D$24,E457&lt;E$26,D$25,E457&lt;E$27,D$26,E457&lt;E$28,D$27,E457&lt;E$29,D$28,E457&lt;E$30,D$29,E457&lt;E$31,D$30,E457&lt;E$32,D$31,E457&lt;E$33,D$32,E457&lt;E$34,D$33,E457&lt;E$35,D$34,E457&gt;=E$35,D$35)</f>
        <v/>
      </c>
      <c r="E457" s="38" t="n">
        <v>407</v>
      </c>
      <c r="F457" s="31">
        <f>E457/52</f>
        <v/>
      </c>
      <c r="G457" s="39">
        <f>D457/1000000*52</f>
        <v/>
      </c>
      <c r="H457" s="33">
        <f>G457/$P$4+($C$22/$P$4)</f>
        <v/>
      </c>
      <c r="I457" s="36">
        <f>_xlfn.IFS(K457&lt;K$24,0,K457&lt;K$26,I$24,K457&lt;K$28,I$26,K457&lt;K$30,I$28,K457&lt;K$32,I$30,K457&lt;K$34,I$32,K457&lt;K$36,I$34,K457&lt;K$38,I$36,K457&lt;K$40,I$38,K457&lt;K$42,I$40,K457&lt;K$44,I$42,K457&lt;K$46,I$44,K457&gt;=K$46,I$46)</f>
        <v/>
      </c>
      <c r="J457" s="37">
        <f>_xlfn.IFS(K457&lt;K$24,0,K457&lt;K$25,J$24,K457&lt;K$26,J$25,K457&lt;K$27,J$26,K457&lt;K$28,J$27,K457&lt;K$29,J$28,K457&lt;K$30,J$29,K457&lt;K$31,J$30,K457&lt;K$32,J$31,K457&lt;K$33,J$32,K457&lt;K$34,J$33,K457&lt;K$35,J$34,K457&lt;K$36,J$35,K457&lt;K$37,J$36,K457&lt;K$38,J$37,K457&lt;K$39,J$38,K457&lt;K$40,J$39,K457&lt;K$41,J$40,K457&lt;K$42,J$41,K457&lt;K$43,J$42,K457&lt;K$44,J$43,K457&lt;K$45,J$44,K457&lt;K$46,J$45,K457&lt;K$47,J$46,K457&gt;=K$47,J$47)</f>
        <v/>
      </c>
      <c r="K457" s="38" t="n">
        <v>407</v>
      </c>
      <c r="L457" s="31">
        <f>K457/52</f>
        <v/>
      </c>
      <c r="M457" s="39">
        <f>J457/1000000*52</f>
        <v/>
      </c>
      <c r="N457" s="33">
        <f>M457/$P$4+($I$22/$P$4)</f>
        <v/>
      </c>
      <c r="U457">
        <f>F456</f>
        <v/>
      </c>
      <c r="V457">
        <f>H456</f>
        <v/>
      </c>
      <c r="W457">
        <f>N456</f>
        <v/>
      </c>
    </row>
    <row r="458" ht="15.75" customHeight="1" s="40">
      <c r="C458" s="36">
        <f>_xlfn.IFS(E458&lt;E$24,0,E458&lt;E$26,C$24,E458&lt;E$28,C$26,E458&lt;E$30,C$28,E458&lt;E$32,C$30,E458&lt;E$34,C$32,E458&gt;=E$34,C$34)</f>
        <v/>
      </c>
      <c r="D458" s="37">
        <f>_xlfn.IFS(E458&lt;E$24,0,E458&lt;E$25,D$24,E458&lt;E$26,D$25,E458&lt;E$27,D$26,E458&lt;E$28,D$27,E458&lt;E$29,D$28,E458&lt;E$30,D$29,E458&lt;E$31,D$30,E458&lt;E$32,D$31,E458&lt;E$33,D$32,E458&lt;E$34,D$33,E458&lt;E$35,D$34,E458&gt;=E$35,D$35)</f>
        <v/>
      </c>
      <c r="E458" s="38" t="n">
        <v>408</v>
      </c>
      <c r="F458" s="31">
        <f>E458/52</f>
        <v/>
      </c>
      <c r="G458" s="39">
        <f>D458/1000000*52</f>
        <v/>
      </c>
      <c r="H458" s="33">
        <f>G458/$P$4+($C$22/$P$4)</f>
        <v/>
      </c>
      <c r="I458" s="36">
        <f>_xlfn.IFS(K458&lt;K$24,0,K458&lt;K$26,I$24,K458&lt;K$28,I$26,K458&lt;K$30,I$28,K458&lt;K$32,I$30,K458&lt;K$34,I$32,K458&lt;K$36,I$34,K458&lt;K$38,I$36,K458&lt;K$40,I$38,K458&lt;K$42,I$40,K458&lt;K$44,I$42,K458&lt;K$46,I$44,K458&gt;=K$46,I$46)</f>
        <v/>
      </c>
      <c r="J458" s="37">
        <f>_xlfn.IFS(K458&lt;K$24,0,K458&lt;K$25,J$24,K458&lt;K$26,J$25,K458&lt;K$27,J$26,K458&lt;K$28,J$27,K458&lt;K$29,J$28,K458&lt;K$30,J$29,K458&lt;K$31,J$30,K458&lt;K$32,J$31,K458&lt;K$33,J$32,K458&lt;K$34,J$33,K458&lt;K$35,J$34,K458&lt;K$36,J$35,K458&lt;K$37,J$36,K458&lt;K$38,J$37,K458&lt;K$39,J$38,K458&lt;K$40,J$39,K458&lt;K$41,J$40,K458&lt;K$42,J$41,K458&lt;K$43,J$42,K458&lt;K$44,J$43,K458&lt;K$45,J$44,K458&lt;K$46,J$45,K458&lt;K$47,J$46,K458&gt;=K$47,J$47)</f>
        <v/>
      </c>
      <c r="K458" s="38" t="n">
        <v>408</v>
      </c>
      <c r="L458" s="31">
        <f>K458/52</f>
        <v/>
      </c>
      <c r="M458" s="39">
        <f>J458/1000000*52</f>
        <v/>
      </c>
      <c r="N458" s="33">
        <f>M458/$P$4+($I$22/$P$4)</f>
        <v/>
      </c>
      <c r="U458">
        <f>F457</f>
        <v/>
      </c>
      <c r="V458">
        <f>H457</f>
        <v/>
      </c>
      <c r="W458">
        <f>N457</f>
        <v/>
      </c>
    </row>
    <row r="459" ht="15.75" customHeight="1" s="40">
      <c r="C459" s="36">
        <f>_xlfn.IFS(E459&lt;E$24,0,E459&lt;E$26,C$24,E459&lt;E$28,C$26,E459&lt;E$30,C$28,E459&lt;E$32,C$30,E459&lt;E$34,C$32,E459&gt;=E$34,C$34)</f>
        <v/>
      </c>
      <c r="D459" s="37">
        <f>_xlfn.IFS(E459&lt;E$24,0,E459&lt;E$25,D$24,E459&lt;E$26,D$25,E459&lt;E$27,D$26,E459&lt;E$28,D$27,E459&lt;E$29,D$28,E459&lt;E$30,D$29,E459&lt;E$31,D$30,E459&lt;E$32,D$31,E459&lt;E$33,D$32,E459&lt;E$34,D$33,E459&lt;E$35,D$34,E459&gt;=E$35,D$35)</f>
        <v/>
      </c>
      <c r="E459" s="38" t="n">
        <v>409</v>
      </c>
      <c r="F459" s="31">
        <f>E459/52</f>
        <v/>
      </c>
      <c r="G459" s="39">
        <f>D459/1000000*52</f>
        <v/>
      </c>
      <c r="H459" s="33">
        <f>G459/$P$4+($C$22/$P$4)</f>
        <v/>
      </c>
      <c r="I459" s="36">
        <f>_xlfn.IFS(K459&lt;K$24,0,K459&lt;K$26,I$24,K459&lt;K$28,I$26,K459&lt;K$30,I$28,K459&lt;K$32,I$30,K459&lt;K$34,I$32,K459&lt;K$36,I$34,K459&lt;K$38,I$36,K459&lt;K$40,I$38,K459&lt;K$42,I$40,K459&lt;K$44,I$42,K459&lt;K$46,I$44,K459&gt;=K$46,I$46)</f>
        <v/>
      </c>
      <c r="J459" s="37">
        <f>_xlfn.IFS(K459&lt;K$24,0,K459&lt;K$25,J$24,K459&lt;K$26,J$25,K459&lt;K$27,J$26,K459&lt;K$28,J$27,K459&lt;K$29,J$28,K459&lt;K$30,J$29,K459&lt;K$31,J$30,K459&lt;K$32,J$31,K459&lt;K$33,J$32,K459&lt;K$34,J$33,K459&lt;K$35,J$34,K459&lt;K$36,J$35,K459&lt;K$37,J$36,K459&lt;K$38,J$37,K459&lt;K$39,J$38,K459&lt;K$40,J$39,K459&lt;K$41,J$40,K459&lt;K$42,J$41,K459&lt;K$43,J$42,K459&lt;K$44,J$43,K459&lt;K$45,J$44,K459&lt;K$46,J$45,K459&lt;K$47,J$46,K459&gt;=K$47,J$47)</f>
        <v/>
      </c>
      <c r="K459" s="38" t="n">
        <v>409</v>
      </c>
      <c r="L459" s="31">
        <f>K459/52</f>
        <v/>
      </c>
      <c r="M459" s="39">
        <f>J459/1000000*52</f>
        <v/>
      </c>
      <c r="N459" s="33">
        <f>M459/$P$4+($I$22/$P$4)</f>
        <v/>
      </c>
      <c r="U459">
        <f>F458</f>
        <v/>
      </c>
      <c r="V459">
        <f>H458</f>
        <v/>
      </c>
      <c r="W459">
        <f>N458</f>
        <v/>
      </c>
    </row>
    <row r="460" ht="15.75" customHeight="1" s="40">
      <c r="C460" s="36">
        <f>_xlfn.IFS(E460&lt;E$24,0,E460&lt;E$26,C$24,E460&lt;E$28,C$26,E460&lt;E$30,C$28,E460&lt;E$32,C$30,E460&lt;E$34,C$32,E460&gt;=E$34,C$34)</f>
        <v/>
      </c>
      <c r="D460" s="37">
        <f>_xlfn.IFS(E460&lt;E$24,0,E460&lt;E$25,D$24,E460&lt;E$26,D$25,E460&lt;E$27,D$26,E460&lt;E$28,D$27,E460&lt;E$29,D$28,E460&lt;E$30,D$29,E460&lt;E$31,D$30,E460&lt;E$32,D$31,E460&lt;E$33,D$32,E460&lt;E$34,D$33,E460&lt;E$35,D$34,E460&gt;=E$35,D$35)</f>
        <v/>
      </c>
      <c r="E460" s="38" t="n">
        <v>410</v>
      </c>
      <c r="F460" s="31">
        <f>E460/52</f>
        <v/>
      </c>
      <c r="G460" s="39">
        <f>D460/1000000*52</f>
        <v/>
      </c>
      <c r="H460" s="33">
        <f>G460/$P$4+($C$22/$P$4)</f>
        <v/>
      </c>
      <c r="I460" s="36">
        <f>_xlfn.IFS(K460&lt;K$24,0,K460&lt;K$26,I$24,K460&lt;K$28,I$26,K460&lt;K$30,I$28,K460&lt;K$32,I$30,K460&lt;K$34,I$32,K460&lt;K$36,I$34,K460&lt;K$38,I$36,K460&lt;K$40,I$38,K460&lt;K$42,I$40,K460&lt;K$44,I$42,K460&lt;K$46,I$44,K460&gt;=K$46,I$46)</f>
        <v/>
      </c>
      <c r="J460" s="37">
        <f>_xlfn.IFS(K460&lt;K$24,0,K460&lt;K$25,J$24,K460&lt;K$26,J$25,K460&lt;K$27,J$26,K460&lt;K$28,J$27,K460&lt;K$29,J$28,K460&lt;K$30,J$29,K460&lt;K$31,J$30,K460&lt;K$32,J$31,K460&lt;K$33,J$32,K460&lt;K$34,J$33,K460&lt;K$35,J$34,K460&lt;K$36,J$35,K460&lt;K$37,J$36,K460&lt;K$38,J$37,K460&lt;K$39,J$38,K460&lt;K$40,J$39,K460&lt;K$41,J$40,K460&lt;K$42,J$41,K460&lt;K$43,J$42,K460&lt;K$44,J$43,K460&lt;K$45,J$44,K460&lt;K$46,J$45,K460&lt;K$47,J$46,K460&gt;=K$47,J$47)</f>
        <v/>
      </c>
      <c r="K460" s="38" t="n">
        <v>410</v>
      </c>
      <c r="L460" s="31">
        <f>K460/52</f>
        <v/>
      </c>
      <c r="M460" s="39">
        <f>J460/1000000*52</f>
        <v/>
      </c>
      <c r="N460" s="33">
        <f>M460/$P$4+($I$22/$P$4)</f>
        <v/>
      </c>
      <c r="U460">
        <f>F459</f>
        <v/>
      </c>
      <c r="V460">
        <f>H459</f>
        <v/>
      </c>
      <c r="W460">
        <f>N459</f>
        <v/>
      </c>
    </row>
    <row r="461" ht="15.75" customHeight="1" s="40">
      <c r="C461" s="36">
        <f>_xlfn.IFS(E461&lt;E$24,0,E461&lt;E$26,C$24,E461&lt;E$28,C$26,E461&lt;E$30,C$28,E461&lt;E$32,C$30,E461&lt;E$34,C$32,E461&gt;=E$34,C$34)</f>
        <v/>
      </c>
      <c r="D461" s="37">
        <f>_xlfn.IFS(E461&lt;E$24,0,E461&lt;E$25,D$24,E461&lt;E$26,D$25,E461&lt;E$27,D$26,E461&lt;E$28,D$27,E461&lt;E$29,D$28,E461&lt;E$30,D$29,E461&lt;E$31,D$30,E461&lt;E$32,D$31,E461&lt;E$33,D$32,E461&lt;E$34,D$33,E461&lt;E$35,D$34,E461&gt;=E$35,D$35)</f>
        <v/>
      </c>
      <c r="E461" s="38" t="n">
        <v>411</v>
      </c>
      <c r="F461" s="31">
        <f>E461/52</f>
        <v/>
      </c>
      <c r="G461" s="39">
        <f>D461/1000000*52</f>
        <v/>
      </c>
      <c r="H461" s="33">
        <f>G461/$P$4+($C$22/$P$4)</f>
        <v/>
      </c>
      <c r="I461" s="36">
        <f>_xlfn.IFS(K461&lt;K$24,0,K461&lt;K$26,I$24,K461&lt;K$28,I$26,K461&lt;K$30,I$28,K461&lt;K$32,I$30,K461&lt;K$34,I$32,K461&lt;K$36,I$34,K461&lt;K$38,I$36,K461&lt;K$40,I$38,K461&lt;K$42,I$40,K461&lt;K$44,I$42,K461&lt;K$46,I$44,K461&gt;=K$46,I$46)</f>
        <v/>
      </c>
      <c r="J461" s="37">
        <f>_xlfn.IFS(K461&lt;K$24,0,K461&lt;K$25,J$24,K461&lt;K$26,J$25,K461&lt;K$27,J$26,K461&lt;K$28,J$27,K461&lt;K$29,J$28,K461&lt;K$30,J$29,K461&lt;K$31,J$30,K461&lt;K$32,J$31,K461&lt;K$33,J$32,K461&lt;K$34,J$33,K461&lt;K$35,J$34,K461&lt;K$36,J$35,K461&lt;K$37,J$36,K461&lt;K$38,J$37,K461&lt;K$39,J$38,K461&lt;K$40,J$39,K461&lt;K$41,J$40,K461&lt;K$42,J$41,K461&lt;K$43,J$42,K461&lt;K$44,J$43,K461&lt;K$45,J$44,K461&lt;K$46,J$45,K461&lt;K$47,J$46,K461&gt;=K$47,J$47)</f>
        <v/>
      </c>
      <c r="K461" s="38" t="n">
        <v>411</v>
      </c>
      <c r="L461" s="31">
        <f>K461/52</f>
        <v/>
      </c>
      <c r="M461" s="39">
        <f>J461/1000000*52</f>
        <v/>
      </c>
      <c r="N461" s="33">
        <f>M461/$P$4+($I$22/$P$4)</f>
        <v/>
      </c>
      <c r="U461">
        <f>F460</f>
        <v/>
      </c>
      <c r="V461">
        <f>H460</f>
        <v/>
      </c>
      <c r="W461">
        <f>N460</f>
        <v/>
      </c>
    </row>
    <row r="462" ht="15.75" customHeight="1" s="40">
      <c r="C462" s="36">
        <f>_xlfn.IFS(E462&lt;E$24,0,E462&lt;E$26,C$24,E462&lt;E$28,C$26,E462&lt;E$30,C$28,E462&lt;E$32,C$30,E462&lt;E$34,C$32,E462&gt;=E$34,C$34)</f>
        <v/>
      </c>
      <c r="D462" s="37">
        <f>_xlfn.IFS(E462&lt;E$24,0,E462&lt;E$25,D$24,E462&lt;E$26,D$25,E462&lt;E$27,D$26,E462&lt;E$28,D$27,E462&lt;E$29,D$28,E462&lt;E$30,D$29,E462&lt;E$31,D$30,E462&lt;E$32,D$31,E462&lt;E$33,D$32,E462&lt;E$34,D$33,E462&lt;E$35,D$34,E462&gt;=E$35,D$35)</f>
        <v/>
      </c>
      <c r="E462" s="38" t="n">
        <v>412</v>
      </c>
      <c r="F462" s="31">
        <f>E462/52</f>
        <v/>
      </c>
      <c r="G462" s="39">
        <f>D462/1000000*52</f>
        <v/>
      </c>
      <c r="H462" s="33">
        <f>G462/$P$4+($C$22/$P$4)</f>
        <v/>
      </c>
      <c r="I462" s="36">
        <f>_xlfn.IFS(K462&lt;K$24,0,K462&lt;K$26,I$24,K462&lt;K$28,I$26,K462&lt;K$30,I$28,K462&lt;K$32,I$30,K462&lt;K$34,I$32,K462&lt;K$36,I$34,K462&lt;K$38,I$36,K462&lt;K$40,I$38,K462&lt;K$42,I$40,K462&lt;K$44,I$42,K462&lt;K$46,I$44,K462&gt;=K$46,I$46)</f>
        <v/>
      </c>
      <c r="J462" s="37">
        <f>_xlfn.IFS(K462&lt;K$24,0,K462&lt;K$25,J$24,K462&lt;K$26,J$25,K462&lt;K$27,J$26,K462&lt;K$28,J$27,K462&lt;K$29,J$28,K462&lt;K$30,J$29,K462&lt;K$31,J$30,K462&lt;K$32,J$31,K462&lt;K$33,J$32,K462&lt;K$34,J$33,K462&lt;K$35,J$34,K462&lt;K$36,J$35,K462&lt;K$37,J$36,K462&lt;K$38,J$37,K462&lt;K$39,J$38,K462&lt;K$40,J$39,K462&lt;K$41,J$40,K462&lt;K$42,J$41,K462&lt;K$43,J$42,K462&lt;K$44,J$43,K462&lt;K$45,J$44,K462&lt;K$46,J$45,K462&lt;K$47,J$46,K462&gt;=K$47,J$47)</f>
        <v/>
      </c>
      <c r="K462" s="38" t="n">
        <v>412</v>
      </c>
      <c r="L462" s="31">
        <f>K462/52</f>
        <v/>
      </c>
      <c r="M462" s="39">
        <f>J462/1000000*52</f>
        <v/>
      </c>
      <c r="N462" s="33">
        <f>M462/$P$4+($I$22/$P$4)</f>
        <v/>
      </c>
      <c r="U462">
        <f>F461</f>
        <v/>
      </c>
      <c r="V462">
        <f>H461</f>
        <v/>
      </c>
      <c r="W462">
        <f>N461</f>
        <v/>
      </c>
    </row>
    <row r="463" ht="15.75" customHeight="1" s="40">
      <c r="C463" s="36">
        <f>_xlfn.IFS(E463&lt;E$24,0,E463&lt;E$26,C$24,E463&lt;E$28,C$26,E463&lt;E$30,C$28,E463&lt;E$32,C$30,E463&lt;E$34,C$32,E463&gt;=E$34,C$34)</f>
        <v/>
      </c>
      <c r="D463" s="37">
        <f>_xlfn.IFS(E463&lt;E$24,0,E463&lt;E$25,D$24,E463&lt;E$26,D$25,E463&lt;E$27,D$26,E463&lt;E$28,D$27,E463&lt;E$29,D$28,E463&lt;E$30,D$29,E463&lt;E$31,D$30,E463&lt;E$32,D$31,E463&lt;E$33,D$32,E463&lt;E$34,D$33,E463&lt;E$35,D$34,E463&gt;=E$35,D$35)</f>
        <v/>
      </c>
      <c r="E463" s="38" t="n">
        <v>413</v>
      </c>
      <c r="F463" s="31">
        <f>E463/52</f>
        <v/>
      </c>
      <c r="G463" s="39">
        <f>D463/1000000*52</f>
        <v/>
      </c>
      <c r="H463" s="33">
        <f>G463/$P$4+($C$22/$P$4)</f>
        <v/>
      </c>
      <c r="I463" s="36">
        <f>_xlfn.IFS(K463&lt;K$24,0,K463&lt;K$26,I$24,K463&lt;K$28,I$26,K463&lt;K$30,I$28,K463&lt;K$32,I$30,K463&lt;K$34,I$32,K463&lt;K$36,I$34,K463&lt;K$38,I$36,K463&lt;K$40,I$38,K463&lt;K$42,I$40,K463&lt;K$44,I$42,K463&lt;K$46,I$44,K463&gt;=K$46,I$46)</f>
        <v/>
      </c>
      <c r="J463" s="37">
        <f>_xlfn.IFS(K463&lt;K$24,0,K463&lt;K$25,J$24,K463&lt;K$26,J$25,K463&lt;K$27,J$26,K463&lt;K$28,J$27,K463&lt;K$29,J$28,K463&lt;K$30,J$29,K463&lt;K$31,J$30,K463&lt;K$32,J$31,K463&lt;K$33,J$32,K463&lt;K$34,J$33,K463&lt;K$35,J$34,K463&lt;K$36,J$35,K463&lt;K$37,J$36,K463&lt;K$38,J$37,K463&lt;K$39,J$38,K463&lt;K$40,J$39,K463&lt;K$41,J$40,K463&lt;K$42,J$41,K463&lt;K$43,J$42,K463&lt;K$44,J$43,K463&lt;K$45,J$44,K463&lt;K$46,J$45,K463&lt;K$47,J$46,K463&gt;=K$47,J$47)</f>
        <v/>
      </c>
      <c r="K463" s="38" t="n">
        <v>413</v>
      </c>
      <c r="L463" s="31">
        <f>K463/52</f>
        <v/>
      </c>
      <c r="M463" s="39">
        <f>J463/1000000*52</f>
        <v/>
      </c>
      <c r="N463" s="33">
        <f>M463/$P$4+($I$22/$P$4)</f>
        <v/>
      </c>
      <c r="U463">
        <f>F462</f>
        <v/>
      </c>
      <c r="V463">
        <f>H462</f>
        <v/>
      </c>
      <c r="W463">
        <f>N462</f>
        <v/>
      </c>
    </row>
    <row r="464" ht="15.75" customHeight="1" s="40">
      <c r="C464" s="36">
        <f>_xlfn.IFS(E464&lt;E$24,0,E464&lt;E$26,C$24,E464&lt;E$28,C$26,E464&lt;E$30,C$28,E464&lt;E$32,C$30,E464&lt;E$34,C$32,E464&gt;=E$34,C$34)</f>
        <v/>
      </c>
      <c r="D464" s="37">
        <f>_xlfn.IFS(E464&lt;E$24,0,E464&lt;E$25,D$24,E464&lt;E$26,D$25,E464&lt;E$27,D$26,E464&lt;E$28,D$27,E464&lt;E$29,D$28,E464&lt;E$30,D$29,E464&lt;E$31,D$30,E464&lt;E$32,D$31,E464&lt;E$33,D$32,E464&lt;E$34,D$33,E464&lt;E$35,D$34,E464&gt;=E$35,D$35)</f>
        <v/>
      </c>
      <c r="E464" s="38" t="n">
        <v>414</v>
      </c>
      <c r="F464" s="31">
        <f>E464/52</f>
        <v/>
      </c>
      <c r="G464" s="39">
        <f>D464/1000000*52</f>
        <v/>
      </c>
      <c r="H464" s="33">
        <f>G464/$P$4+($C$22/$P$4)</f>
        <v/>
      </c>
      <c r="I464" s="36">
        <f>_xlfn.IFS(K464&lt;K$24,0,K464&lt;K$26,I$24,K464&lt;K$28,I$26,K464&lt;K$30,I$28,K464&lt;K$32,I$30,K464&lt;K$34,I$32,K464&lt;K$36,I$34,K464&lt;K$38,I$36,K464&lt;K$40,I$38,K464&lt;K$42,I$40,K464&lt;K$44,I$42,K464&lt;K$46,I$44,K464&gt;=K$46,I$46)</f>
        <v/>
      </c>
      <c r="J464" s="37">
        <f>_xlfn.IFS(K464&lt;K$24,0,K464&lt;K$25,J$24,K464&lt;K$26,J$25,K464&lt;K$27,J$26,K464&lt;K$28,J$27,K464&lt;K$29,J$28,K464&lt;K$30,J$29,K464&lt;K$31,J$30,K464&lt;K$32,J$31,K464&lt;K$33,J$32,K464&lt;K$34,J$33,K464&lt;K$35,J$34,K464&lt;K$36,J$35,K464&lt;K$37,J$36,K464&lt;K$38,J$37,K464&lt;K$39,J$38,K464&lt;K$40,J$39,K464&lt;K$41,J$40,K464&lt;K$42,J$41,K464&lt;K$43,J$42,K464&lt;K$44,J$43,K464&lt;K$45,J$44,K464&lt;K$46,J$45,K464&lt;K$47,J$46,K464&gt;=K$47,J$47)</f>
        <v/>
      </c>
      <c r="K464" s="38" t="n">
        <v>414</v>
      </c>
      <c r="L464" s="31">
        <f>K464/52</f>
        <v/>
      </c>
      <c r="M464" s="39">
        <f>J464/1000000*52</f>
        <v/>
      </c>
      <c r="N464" s="33">
        <f>M464/$P$4+($I$22/$P$4)</f>
        <v/>
      </c>
      <c r="U464">
        <f>F463</f>
        <v/>
      </c>
      <c r="V464">
        <f>H463</f>
        <v/>
      </c>
      <c r="W464">
        <f>N463</f>
        <v/>
      </c>
    </row>
    <row r="465" ht="15.75" customHeight="1" s="40">
      <c r="C465" s="36">
        <f>_xlfn.IFS(E465&lt;E$24,0,E465&lt;E$26,C$24,E465&lt;E$28,C$26,E465&lt;E$30,C$28,E465&lt;E$32,C$30,E465&lt;E$34,C$32,E465&gt;=E$34,C$34)</f>
        <v/>
      </c>
      <c r="D465" s="37">
        <f>_xlfn.IFS(E465&lt;E$24,0,E465&lt;E$25,D$24,E465&lt;E$26,D$25,E465&lt;E$27,D$26,E465&lt;E$28,D$27,E465&lt;E$29,D$28,E465&lt;E$30,D$29,E465&lt;E$31,D$30,E465&lt;E$32,D$31,E465&lt;E$33,D$32,E465&lt;E$34,D$33,E465&lt;E$35,D$34,E465&gt;=E$35,D$35)</f>
        <v/>
      </c>
      <c r="E465" s="38" t="n">
        <v>415</v>
      </c>
      <c r="F465" s="31">
        <f>E465/52</f>
        <v/>
      </c>
      <c r="G465" s="39">
        <f>D465/1000000*52</f>
        <v/>
      </c>
      <c r="H465" s="33">
        <f>G465/$P$4+($C$22/$P$4)</f>
        <v/>
      </c>
      <c r="I465" s="36">
        <f>_xlfn.IFS(K465&lt;K$24,0,K465&lt;K$26,I$24,K465&lt;K$28,I$26,K465&lt;K$30,I$28,K465&lt;K$32,I$30,K465&lt;K$34,I$32,K465&lt;K$36,I$34,K465&lt;K$38,I$36,K465&lt;K$40,I$38,K465&lt;K$42,I$40,K465&lt;K$44,I$42,K465&lt;K$46,I$44,K465&gt;=K$46,I$46)</f>
        <v/>
      </c>
      <c r="J465" s="37">
        <f>_xlfn.IFS(K465&lt;K$24,0,K465&lt;K$25,J$24,K465&lt;K$26,J$25,K465&lt;K$27,J$26,K465&lt;K$28,J$27,K465&lt;K$29,J$28,K465&lt;K$30,J$29,K465&lt;K$31,J$30,K465&lt;K$32,J$31,K465&lt;K$33,J$32,K465&lt;K$34,J$33,K465&lt;K$35,J$34,K465&lt;K$36,J$35,K465&lt;K$37,J$36,K465&lt;K$38,J$37,K465&lt;K$39,J$38,K465&lt;K$40,J$39,K465&lt;K$41,J$40,K465&lt;K$42,J$41,K465&lt;K$43,J$42,K465&lt;K$44,J$43,K465&lt;K$45,J$44,K465&lt;K$46,J$45,K465&lt;K$47,J$46,K465&gt;=K$47,J$47)</f>
        <v/>
      </c>
      <c r="K465" s="38" t="n">
        <v>415</v>
      </c>
      <c r="L465" s="31">
        <f>K465/52</f>
        <v/>
      </c>
      <c r="M465" s="39">
        <f>J465/1000000*52</f>
        <v/>
      </c>
      <c r="N465" s="33">
        <f>M465/$P$4+($I$22/$P$4)</f>
        <v/>
      </c>
      <c r="U465">
        <f>F464</f>
        <v/>
      </c>
      <c r="V465">
        <f>H464</f>
        <v/>
      </c>
      <c r="W465">
        <f>N464</f>
        <v/>
      </c>
    </row>
    <row r="466" ht="15.75" customHeight="1" s="40">
      <c r="C466" s="36">
        <f>_xlfn.IFS(E466&lt;E$24,0,E466&lt;E$26,C$24,E466&lt;E$28,C$26,E466&lt;E$30,C$28,E466&lt;E$32,C$30,E466&lt;E$34,C$32,E466&gt;=E$34,C$34)</f>
        <v/>
      </c>
      <c r="D466" s="37">
        <f>_xlfn.IFS(E466&lt;E$24,0,E466&lt;E$25,D$24,E466&lt;E$26,D$25,E466&lt;E$27,D$26,E466&lt;E$28,D$27,E466&lt;E$29,D$28,E466&lt;E$30,D$29,E466&lt;E$31,D$30,E466&lt;E$32,D$31,E466&lt;E$33,D$32,E466&lt;E$34,D$33,E466&lt;E$35,D$34,E466&gt;=E$35,D$35)</f>
        <v/>
      </c>
      <c r="E466" s="38" t="n">
        <v>416</v>
      </c>
      <c r="F466" s="31">
        <f>E466/52</f>
        <v/>
      </c>
      <c r="G466" s="39">
        <f>D466/1000000*52</f>
        <v/>
      </c>
      <c r="H466" s="33">
        <f>G466/$P$4+($C$22/$P$4)</f>
        <v/>
      </c>
      <c r="I466" s="36">
        <f>_xlfn.IFS(K466&lt;K$24,0,K466&lt;K$26,I$24,K466&lt;K$28,I$26,K466&lt;K$30,I$28,K466&lt;K$32,I$30,K466&lt;K$34,I$32,K466&lt;K$36,I$34,K466&lt;K$38,I$36,K466&lt;K$40,I$38,K466&lt;K$42,I$40,K466&lt;K$44,I$42,K466&lt;K$46,I$44,K466&gt;=K$46,I$46)</f>
        <v/>
      </c>
      <c r="J466" s="37">
        <f>_xlfn.IFS(K466&lt;K$24,0,K466&lt;K$25,J$24,K466&lt;K$26,J$25,K466&lt;K$27,J$26,K466&lt;K$28,J$27,K466&lt;K$29,J$28,K466&lt;K$30,J$29,K466&lt;K$31,J$30,K466&lt;K$32,J$31,K466&lt;K$33,J$32,K466&lt;K$34,J$33,K466&lt;K$35,J$34,K466&lt;K$36,J$35,K466&lt;K$37,J$36,K466&lt;K$38,J$37,K466&lt;K$39,J$38,K466&lt;K$40,J$39,K466&lt;K$41,J$40,K466&lt;K$42,J$41,K466&lt;K$43,J$42,K466&lt;K$44,J$43,K466&lt;K$45,J$44,K466&lt;K$46,J$45,K466&lt;K$47,J$46,K466&gt;=K$47,J$47)</f>
        <v/>
      </c>
      <c r="K466" s="38" t="n">
        <v>416</v>
      </c>
      <c r="L466" s="31">
        <f>K466/52</f>
        <v/>
      </c>
      <c r="M466" s="39">
        <f>J466/1000000*52</f>
        <v/>
      </c>
      <c r="N466" s="33">
        <f>M466/$P$4+($I$22/$P$4)</f>
        <v/>
      </c>
      <c r="U466">
        <f>F465</f>
        <v/>
      </c>
      <c r="V466">
        <f>H465</f>
        <v/>
      </c>
      <c r="W466">
        <f>N465</f>
        <v/>
      </c>
    </row>
    <row r="467" ht="15.75" customHeight="1" s="40">
      <c r="C467" s="36">
        <f>_xlfn.IFS(E467&lt;E$24,0,E467&lt;E$26,C$24,E467&lt;E$28,C$26,E467&lt;E$30,C$28,E467&lt;E$32,C$30,E467&lt;E$34,C$32,E467&gt;=E$34,C$34)</f>
        <v/>
      </c>
      <c r="D467" s="37">
        <f>_xlfn.IFS(E467&lt;E$24,0,E467&lt;E$25,D$24,E467&lt;E$26,D$25,E467&lt;E$27,D$26,E467&lt;E$28,D$27,E467&lt;E$29,D$28,E467&lt;E$30,D$29,E467&lt;E$31,D$30,E467&lt;E$32,D$31,E467&lt;E$33,D$32,E467&lt;E$34,D$33,E467&lt;E$35,D$34,E467&gt;=E$35,D$35)</f>
        <v/>
      </c>
      <c r="E467" s="38" t="n">
        <v>417</v>
      </c>
      <c r="F467" s="31">
        <f>E467/52</f>
        <v/>
      </c>
      <c r="G467" s="39">
        <f>D467/1000000*52</f>
        <v/>
      </c>
      <c r="H467" s="33">
        <f>G467/$P$4+($C$22/$P$4)</f>
        <v/>
      </c>
      <c r="I467" s="36">
        <f>_xlfn.IFS(K467&lt;K$24,0,K467&lt;K$26,I$24,K467&lt;K$28,I$26,K467&lt;K$30,I$28,K467&lt;K$32,I$30,K467&lt;K$34,I$32,K467&lt;K$36,I$34,K467&lt;K$38,I$36,K467&lt;K$40,I$38,K467&lt;K$42,I$40,K467&lt;K$44,I$42,K467&lt;K$46,I$44,K467&gt;=K$46,I$46)</f>
        <v/>
      </c>
      <c r="J467" s="37">
        <f>_xlfn.IFS(K467&lt;K$24,0,K467&lt;K$25,J$24,K467&lt;K$26,J$25,K467&lt;K$27,J$26,K467&lt;K$28,J$27,K467&lt;K$29,J$28,K467&lt;K$30,J$29,K467&lt;K$31,J$30,K467&lt;K$32,J$31,K467&lt;K$33,J$32,K467&lt;K$34,J$33,K467&lt;K$35,J$34,K467&lt;K$36,J$35,K467&lt;K$37,J$36,K467&lt;K$38,J$37,K467&lt;K$39,J$38,K467&lt;K$40,J$39,K467&lt;K$41,J$40,K467&lt;K$42,J$41,K467&lt;K$43,J$42,K467&lt;K$44,J$43,K467&lt;K$45,J$44,K467&lt;K$46,J$45,K467&lt;K$47,J$46,K467&gt;=K$47,J$47)</f>
        <v/>
      </c>
      <c r="K467" s="38" t="n">
        <v>417</v>
      </c>
      <c r="L467" s="31">
        <f>K467/52</f>
        <v/>
      </c>
      <c r="M467" s="39">
        <f>J467/1000000*52</f>
        <v/>
      </c>
      <c r="N467" s="33">
        <f>M467/$P$4+($I$22/$P$4)</f>
        <v/>
      </c>
      <c r="U467">
        <f>F466</f>
        <v/>
      </c>
      <c r="V467">
        <f>H466</f>
        <v/>
      </c>
      <c r="W467">
        <f>N466</f>
        <v/>
      </c>
    </row>
    <row r="468" ht="15.75" customHeight="1" s="40">
      <c r="C468" s="36">
        <f>_xlfn.IFS(E468&lt;E$24,0,E468&lt;E$26,C$24,E468&lt;E$28,C$26,E468&lt;E$30,C$28,E468&lt;E$32,C$30,E468&lt;E$34,C$32,E468&gt;=E$34,C$34)</f>
        <v/>
      </c>
      <c r="D468" s="37">
        <f>_xlfn.IFS(E468&lt;E$24,0,E468&lt;E$25,D$24,E468&lt;E$26,D$25,E468&lt;E$27,D$26,E468&lt;E$28,D$27,E468&lt;E$29,D$28,E468&lt;E$30,D$29,E468&lt;E$31,D$30,E468&lt;E$32,D$31,E468&lt;E$33,D$32,E468&lt;E$34,D$33,E468&lt;E$35,D$34,E468&gt;=E$35,D$35)</f>
        <v/>
      </c>
      <c r="E468" s="38" t="n">
        <v>418</v>
      </c>
      <c r="F468" s="31">
        <f>E468/52</f>
        <v/>
      </c>
      <c r="G468" s="39">
        <f>D468/1000000*52</f>
        <v/>
      </c>
      <c r="H468" s="33">
        <f>G468/$P$4+($C$22/$P$4)</f>
        <v/>
      </c>
      <c r="I468" s="36">
        <f>_xlfn.IFS(K468&lt;K$24,0,K468&lt;K$26,I$24,K468&lt;K$28,I$26,K468&lt;K$30,I$28,K468&lt;K$32,I$30,K468&lt;K$34,I$32,K468&lt;K$36,I$34,K468&lt;K$38,I$36,K468&lt;K$40,I$38,K468&lt;K$42,I$40,K468&lt;K$44,I$42,K468&lt;K$46,I$44,K468&gt;=K$46,I$46)</f>
        <v/>
      </c>
      <c r="J468" s="37">
        <f>_xlfn.IFS(K468&lt;K$24,0,K468&lt;K$25,J$24,K468&lt;K$26,J$25,K468&lt;K$27,J$26,K468&lt;K$28,J$27,K468&lt;K$29,J$28,K468&lt;K$30,J$29,K468&lt;K$31,J$30,K468&lt;K$32,J$31,K468&lt;K$33,J$32,K468&lt;K$34,J$33,K468&lt;K$35,J$34,K468&lt;K$36,J$35,K468&lt;K$37,J$36,K468&lt;K$38,J$37,K468&lt;K$39,J$38,K468&lt;K$40,J$39,K468&lt;K$41,J$40,K468&lt;K$42,J$41,K468&lt;K$43,J$42,K468&lt;K$44,J$43,K468&lt;K$45,J$44,K468&lt;K$46,J$45,K468&lt;K$47,J$46,K468&gt;=K$47,J$47)</f>
        <v/>
      </c>
      <c r="K468" s="38" t="n">
        <v>418</v>
      </c>
      <c r="L468" s="31">
        <f>K468/52</f>
        <v/>
      </c>
      <c r="M468" s="39">
        <f>J468/1000000*52</f>
        <v/>
      </c>
      <c r="N468" s="33">
        <f>M468/$P$4+($I$22/$P$4)</f>
        <v/>
      </c>
      <c r="U468">
        <f>F467</f>
        <v/>
      </c>
      <c r="V468">
        <f>H467</f>
        <v/>
      </c>
      <c r="W468">
        <f>N467</f>
        <v/>
      </c>
    </row>
    <row r="469" ht="15.75" customHeight="1" s="40">
      <c r="C469" s="36">
        <f>_xlfn.IFS(E469&lt;E$24,0,E469&lt;E$26,C$24,E469&lt;E$28,C$26,E469&lt;E$30,C$28,E469&lt;E$32,C$30,E469&lt;E$34,C$32,E469&gt;=E$34,C$34)</f>
        <v/>
      </c>
      <c r="D469" s="37">
        <f>_xlfn.IFS(E469&lt;E$24,0,E469&lt;E$25,D$24,E469&lt;E$26,D$25,E469&lt;E$27,D$26,E469&lt;E$28,D$27,E469&lt;E$29,D$28,E469&lt;E$30,D$29,E469&lt;E$31,D$30,E469&lt;E$32,D$31,E469&lt;E$33,D$32,E469&lt;E$34,D$33,E469&lt;E$35,D$34,E469&gt;=E$35,D$35)</f>
        <v/>
      </c>
      <c r="E469" s="38" t="n">
        <v>419</v>
      </c>
      <c r="F469" s="31">
        <f>E469/52</f>
        <v/>
      </c>
      <c r="G469" s="39">
        <f>D469/1000000*52</f>
        <v/>
      </c>
      <c r="H469" s="33">
        <f>G469/$P$4+($C$22/$P$4)</f>
        <v/>
      </c>
      <c r="I469" s="36">
        <f>_xlfn.IFS(K469&lt;K$24,0,K469&lt;K$26,I$24,K469&lt;K$28,I$26,K469&lt;K$30,I$28,K469&lt;K$32,I$30,K469&lt;K$34,I$32,K469&lt;K$36,I$34,K469&lt;K$38,I$36,K469&lt;K$40,I$38,K469&lt;K$42,I$40,K469&lt;K$44,I$42,K469&lt;K$46,I$44,K469&gt;=K$46,I$46)</f>
        <v/>
      </c>
      <c r="J469" s="37">
        <f>_xlfn.IFS(K469&lt;K$24,0,K469&lt;K$25,J$24,K469&lt;K$26,J$25,K469&lt;K$27,J$26,K469&lt;K$28,J$27,K469&lt;K$29,J$28,K469&lt;K$30,J$29,K469&lt;K$31,J$30,K469&lt;K$32,J$31,K469&lt;K$33,J$32,K469&lt;K$34,J$33,K469&lt;K$35,J$34,K469&lt;K$36,J$35,K469&lt;K$37,J$36,K469&lt;K$38,J$37,K469&lt;K$39,J$38,K469&lt;K$40,J$39,K469&lt;K$41,J$40,K469&lt;K$42,J$41,K469&lt;K$43,J$42,K469&lt;K$44,J$43,K469&lt;K$45,J$44,K469&lt;K$46,J$45,K469&lt;K$47,J$46,K469&gt;=K$47,J$47)</f>
        <v/>
      </c>
      <c r="K469" s="38" t="n">
        <v>419</v>
      </c>
      <c r="L469" s="31">
        <f>K469/52</f>
        <v/>
      </c>
      <c r="M469" s="39">
        <f>J469/1000000*52</f>
        <v/>
      </c>
      <c r="N469" s="33">
        <f>M469/$P$4+($I$22/$P$4)</f>
        <v/>
      </c>
      <c r="U469">
        <f>F468</f>
        <v/>
      </c>
      <c r="V469">
        <f>H468</f>
        <v/>
      </c>
      <c r="W469">
        <f>N468</f>
        <v/>
      </c>
    </row>
    <row r="470" ht="15.75" customHeight="1" s="40">
      <c r="C470" s="36">
        <f>_xlfn.IFS(E470&lt;E$24,0,E470&lt;E$26,C$24,E470&lt;E$28,C$26,E470&lt;E$30,C$28,E470&lt;E$32,C$30,E470&lt;E$34,C$32,E470&gt;=E$34,C$34)</f>
        <v/>
      </c>
      <c r="D470" s="37">
        <f>_xlfn.IFS(E470&lt;E$24,0,E470&lt;E$25,D$24,E470&lt;E$26,D$25,E470&lt;E$27,D$26,E470&lt;E$28,D$27,E470&lt;E$29,D$28,E470&lt;E$30,D$29,E470&lt;E$31,D$30,E470&lt;E$32,D$31,E470&lt;E$33,D$32,E470&lt;E$34,D$33,E470&lt;E$35,D$34,E470&gt;=E$35,D$35)</f>
        <v/>
      </c>
      <c r="E470" s="38" t="n">
        <v>420</v>
      </c>
      <c r="F470" s="31">
        <f>E470/52</f>
        <v/>
      </c>
      <c r="G470" s="39">
        <f>D470/1000000*52</f>
        <v/>
      </c>
      <c r="H470" s="33">
        <f>G470/$P$4+($C$22/$P$4)</f>
        <v/>
      </c>
      <c r="I470" s="36">
        <f>_xlfn.IFS(K470&lt;K$24,0,K470&lt;K$26,I$24,K470&lt;K$28,I$26,K470&lt;K$30,I$28,K470&lt;K$32,I$30,K470&lt;K$34,I$32,K470&lt;K$36,I$34,K470&lt;K$38,I$36,K470&lt;K$40,I$38,K470&lt;K$42,I$40,K470&lt;K$44,I$42,K470&lt;K$46,I$44,K470&gt;=K$46,I$46)</f>
        <v/>
      </c>
      <c r="J470" s="37">
        <f>_xlfn.IFS(K470&lt;K$24,0,K470&lt;K$25,J$24,K470&lt;K$26,J$25,K470&lt;K$27,J$26,K470&lt;K$28,J$27,K470&lt;K$29,J$28,K470&lt;K$30,J$29,K470&lt;K$31,J$30,K470&lt;K$32,J$31,K470&lt;K$33,J$32,K470&lt;K$34,J$33,K470&lt;K$35,J$34,K470&lt;K$36,J$35,K470&lt;K$37,J$36,K470&lt;K$38,J$37,K470&lt;K$39,J$38,K470&lt;K$40,J$39,K470&lt;K$41,J$40,K470&lt;K$42,J$41,K470&lt;K$43,J$42,K470&lt;K$44,J$43,K470&lt;K$45,J$44,K470&lt;K$46,J$45,K470&lt;K$47,J$46,K470&gt;=K$47,J$47)</f>
        <v/>
      </c>
      <c r="K470" s="38" t="n">
        <v>420</v>
      </c>
      <c r="L470" s="31">
        <f>K470/52</f>
        <v/>
      </c>
      <c r="M470" s="39">
        <f>J470/1000000*52</f>
        <v/>
      </c>
      <c r="N470" s="33">
        <f>M470/$P$4+($I$22/$P$4)</f>
        <v/>
      </c>
      <c r="U470">
        <f>F469</f>
        <v/>
      </c>
      <c r="V470">
        <f>H469</f>
        <v/>
      </c>
      <c r="W470">
        <f>N469</f>
        <v/>
      </c>
    </row>
    <row r="471" ht="15.75" customHeight="1" s="40">
      <c r="C471" s="36">
        <f>_xlfn.IFS(E471&lt;E$24,0,E471&lt;E$26,C$24,E471&lt;E$28,C$26,E471&lt;E$30,C$28,E471&lt;E$32,C$30,E471&lt;E$34,C$32,E471&gt;=E$34,C$34)</f>
        <v/>
      </c>
      <c r="D471" s="37">
        <f>_xlfn.IFS(E471&lt;E$24,0,E471&lt;E$25,D$24,E471&lt;E$26,D$25,E471&lt;E$27,D$26,E471&lt;E$28,D$27,E471&lt;E$29,D$28,E471&lt;E$30,D$29,E471&lt;E$31,D$30,E471&lt;E$32,D$31,E471&lt;E$33,D$32,E471&lt;E$34,D$33,E471&lt;E$35,D$34,E471&gt;=E$35,D$35)</f>
        <v/>
      </c>
      <c r="E471" s="38" t="n">
        <v>421</v>
      </c>
      <c r="F471" s="31">
        <f>E471/52</f>
        <v/>
      </c>
      <c r="G471" s="39">
        <f>D471/1000000*52</f>
        <v/>
      </c>
      <c r="H471" s="33">
        <f>G471/$P$4+($C$22/$P$4)</f>
        <v/>
      </c>
      <c r="I471" s="36">
        <f>_xlfn.IFS(K471&lt;K$24,0,K471&lt;K$26,I$24,K471&lt;K$28,I$26,K471&lt;K$30,I$28,K471&lt;K$32,I$30,K471&lt;K$34,I$32,K471&lt;K$36,I$34,K471&lt;K$38,I$36,K471&lt;K$40,I$38,K471&lt;K$42,I$40,K471&lt;K$44,I$42,K471&lt;K$46,I$44,K471&gt;=K$46,I$46)</f>
        <v/>
      </c>
      <c r="J471" s="37">
        <f>_xlfn.IFS(K471&lt;K$24,0,K471&lt;K$25,J$24,K471&lt;K$26,J$25,K471&lt;K$27,J$26,K471&lt;K$28,J$27,K471&lt;K$29,J$28,K471&lt;K$30,J$29,K471&lt;K$31,J$30,K471&lt;K$32,J$31,K471&lt;K$33,J$32,K471&lt;K$34,J$33,K471&lt;K$35,J$34,K471&lt;K$36,J$35,K471&lt;K$37,J$36,K471&lt;K$38,J$37,K471&lt;K$39,J$38,K471&lt;K$40,J$39,K471&lt;K$41,J$40,K471&lt;K$42,J$41,K471&lt;K$43,J$42,K471&lt;K$44,J$43,K471&lt;K$45,J$44,K471&lt;K$46,J$45,K471&lt;K$47,J$46,K471&gt;=K$47,J$47)</f>
        <v/>
      </c>
      <c r="K471" s="38" t="n">
        <v>421</v>
      </c>
      <c r="L471" s="31">
        <f>K471/52</f>
        <v/>
      </c>
      <c r="M471" s="39">
        <f>J471/1000000*52</f>
        <v/>
      </c>
      <c r="N471" s="33">
        <f>M471/$P$4+($I$22/$P$4)</f>
        <v/>
      </c>
      <c r="U471">
        <f>F470</f>
        <v/>
      </c>
      <c r="V471">
        <f>H470</f>
        <v/>
      </c>
      <c r="W471">
        <f>N470</f>
        <v/>
      </c>
    </row>
    <row r="472" ht="15.75" customHeight="1" s="40">
      <c r="C472" s="36">
        <f>_xlfn.IFS(E472&lt;E$24,0,E472&lt;E$26,C$24,E472&lt;E$28,C$26,E472&lt;E$30,C$28,E472&lt;E$32,C$30,E472&lt;E$34,C$32,E472&gt;=E$34,C$34)</f>
        <v/>
      </c>
      <c r="D472" s="37">
        <f>_xlfn.IFS(E472&lt;E$24,0,E472&lt;E$25,D$24,E472&lt;E$26,D$25,E472&lt;E$27,D$26,E472&lt;E$28,D$27,E472&lt;E$29,D$28,E472&lt;E$30,D$29,E472&lt;E$31,D$30,E472&lt;E$32,D$31,E472&lt;E$33,D$32,E472&lt;E$34,D$33,E472&lt;E$35,D$34,E472&gt;=E$35,D$35)</f>
        <v/>
      </c>
      <c r="E472" s="38" t="n">
        <v>422</v>
      </c>
      <c r="F472" s="31">
        <f>E472/52</f>
        <v/>
      </c>
      <c r="G472" s="39">
        <f>D472/1000000*52</f>
        <v/>
      </c>
      <c r="H472" s="33">
        <f>G472/$P$4+($C$22/$P$4)</f>
        <v/>
      </c>
      <c r="I472" s="36">
        <f>_xlfn.IFS(K472&lt;K$24,0,K472&lt;K$26,I$24,K472&lt;K$28,I$26,K472&lt;K$30,I$28,K472&lt;K$32,I$30,K472&lt;K$34,I$32,K472&lt;K$36,I$34,K472&lt;K$38,I$36,K472&lt;K$40,I$38,K472&lt;K$42,I$40,K472&lt;K$44,I$42,K472&lt;K$46,I$44,K472&gt;=K$46,I$46)</f>
        <v/>
      </c>
      <c r="J472" s="37">
        <f>_xlfn.IFS(K472&lt;K$24,0,K472&lt;K$25,J$24,K472&lt;K$26,J$25,K472&lt;K$27,J$26,K472&lt;K$28,J$27,K472&lt;K$29,J$28,K472&lt;K$30,J$29,K472&lt;K$31,J$30,K472&lt;K$32,J$31,K472&lt;K$33,J$32,K472&lt;K$34,J$33,K472&lt;K$35,J$34,K472&lt;K$36,J$35,K472&lt;K$37,J$36,K472&lt;K$38,J$37,K472&lt;K$39,J$38,K472&lt;K$40,J$39,K472&lt;K$41,J$40,K472&lt;K$42,J$41,K472&lt;K$43,J$42,K472&lt;K$44,J$43,K472&lt;K$45,J$44,K472&lt;K$46,J$45,K472&lt;K$47,J$46,K472&gt;=K$47,J$47)</f>
        <v/>
      </c>
      <c r="K472" s="38" t="n">
        <v>422</v>
      </c>
      <c r="L472" s="31">
        <f>K472/52</f>
        <v/>
      </c>
      <c r="M472" s="39">
        <f>J472/1000000*52</f>
        <v/>
      </c>
      <c r="N472" s="33">
        <f>M472/$P$4+($I$22/$P$4)</f>
        <v/>
      </c>
      <c r="U472">
        <f>F471</f>
        <v/>
      </c>
      <c r="V472">
        <f>H471</f>
        <v/>
      </c>
      <c r="W472">
        <f>N471</f>
        <v/>
      </c>
    </row>
    <row r="473" ht="15.75" customHeight="1" s="40">
      <c r="C473" s="36">
        <f>_xlfn.IFS(E473&lt;E$24,0,E473&lt;E$26,C$24,E473&lt;E$28,C$26,E473&lt;E$30,C$28,E473&lt;E$32,C$30,E473&lt;E$34,C$32,E473&gt;=E$34,C$34)</f>
        <v/>
      </c>
      <c r="D473" s="37">
        <f>_xlfn.IFS(E473&lt;E$24,0,E473&lt;E$25,D$24,E473&lt;E$26,D$25,E473&lt;E$27,D$26,E473&lt;E$28,D$27,E473&lt;E$29,D$28,E473&lt;E$30,D$29,E473&lt;E$31,D$30,E473&lt;E$32,D$31,E473&lt;E$33,D$32,E473&lt;E$34,D$33,E473&lt;E$35,D$34,E473&gt;=E$35,D$35)</f>
        <v/>
      </c>
      <c r="E473" s="38" t="n">
        <v>423</v>
      </c>
      <c r="F473" s="31">
        <f>E473/52</f>
        <v/>
      </c>
      <c r="G473" s="39">
        <f>D473/1000000*52</f>
        <v/>
      </c>
      <c r="H473" s="33">
        <f>G473/$P$4+($C$22/$P$4)</f>
        <v/>
      </c>
      <c r="I473" s="36">
        <f>_xlfn.IFS(K473&lt;K$24,0,K473&lt;K$26,I$24,K473&lt;K$28,I$26,K473&lt;K$30,I$28,K473&lt;K$32,I$30,K473&lt;K$34,I$32,K473&lt;K$36,I$34,K473&lt;K$38,I$36,K473&lt;K$40,I$38,K473&lt;K$42,I$40,K473&lt;K$44,I$42,K473&lt;K$46,I$44,K473&gt;=K$46,I$46)</f>
        <v/>
      </c>
      <c r="J473" s="37">
        <f>_xlfn.IFS(K473&lt;K$24,0,K473&lt;K$25,J$24,K473&lt;K$26,J$25,K473&lt;K$27,J$26,K473&lt;K$28,J$27,K473&lt;K$29,J$28,K473&lt;K$30,J$29,K473&lt;K$31,J$30,K473&lt;K$32,J$31,K473&lt;K$33,J$32,K473&lt;K$34,J$33,K473&lt;K$35,J$34,K473&lt;K$36,J$35,K473&lt;K$37,J$36,K473&lt;K$38,J$37,K473&lt;K$39,J$38,K473&lt;K$40,J$39,K473&lt;K$41,J$40,K473&lt;K$42,J$41,K473&lt;K$43,J$42,K473&lt;K$44,J$43,K473&lt;K$45,J$44,K473&lt;K$46,J$45,K473&lt;K$47,J$46,K473&gt;=K$47,J$47)</f>
        <v/>
      </c>
      <c r="K473" s="38" t="n">
        <v>423</v>
      </c>
      <c r="L473" s="31">
        <f>K473/52</f>
        <v/>
      </c>
      <c r="M473" s="39">
        <f>J473/1000000*52</f>
        <v/>
      </c>
      <c r="N473" s="33">
        <f>M473/$P$4+($I$22/$P$4)</f>
        <v/>
      </c>
      <c r="U473">
        <f>F472</f>
        <v/>
      </c>
      <c r="V473">
        <f>H472</f>
        <v/>
      </c>
      <c r="W473">
        <f>N472</f>
        <v/>
      </c>
    </row>
    <row r="474" ht="15.75" customHeight="1" s="40">
      <c r="C474" s="36">
        <f>_xlfn.IFS(E474&lt;E$24,0,E474&lt;E$26,C$24,E474&lt;E$28,C$26,E474&lt;E$30,C$28,E474&lt;E$32,C$30,E474&lt;E$34,C$32,E474&gt;=E$34,C$34)</f>
        <v/>
      </c>
      <c r="D474" s="37">
        <f>_xlfn.IFS(E474&lt;E$24,0,E474&lt;E$25,D$24,E474&lt;E$26,D$25,E474&lt;E$27,D$26,E474&lt;E$28,D$27,E474&lt;E$29,D$28,E474&lt;E$30,D$29,E474&lt;E$31,D$30,E474&lt;E$32,D$31,E474&lt;E$33,D$32,E474&lt;E$34,D$33,E474&lt;E$35,D$34,E474&gt;=E$35,D$35)</f>
        <v/>
      </c>
      <c r="E474" s="38" t="n">
        <v>424</v>
      </c>
      <c r="F474" s="31">
        <f>E474/52</f>
        <v/>
      </c>
      <c r="G474" s="39">
        <f>D474/1000000*52</f>
        <v/>
      </c>
      <c r="H474" s="33">
        <f>G474/$P$4+($C$22/$P$4)</f>
        <v/>
      </c>
      <c r="I474" s="36">
        <f>_xlfn.IFS(K474&lt;K$24,0,K474&lt;K$26,I$24,K474&lt;K$28,I$26,K474&lt;K$30,I$28,K474&lt;K$32,I$30,K474&lt;K$34,I$32,K474&lt;K$36,I$34,K474&lt;K$38,I$36,K474&lt;K$40,I$38,K474&lt;K$42,I$40,K474&lt;K$44,I$42,K474&lt;K$46,I$44,K474&gt;=K$46,I$46)</f>
        <v/>
      </c>
      <c r="J474" s="37">
        <f>_xlfn.IFS(K474&lt;K$24,0,K474&lt;K$25,J$24,K474&lt;K$26,J$25,K474&lt;K$27,J$26,K474&lt;K$28,J$27,K474&lt;K$29,J$28,K474&lt;K$30,J$29,K474&lt;K$31,J$30,K474&lt;K$32,J$31,K474&lt;K$33,J$32,K474&lt;K$34,J$33,K474&lt;K$35,J$34,K474&lt;K$36,J$35,K474&lt;K$37,J$36,K474&lt;K$38,J$37,K474&lt;K$39,J$38,K474&lt;K$40,J$39,K474&lt;K$41,J$40,K474&lt;K$42,J$41,K474&lt;K$43,J$42,K474&lt;K$44,J$43,K474&lt;K$45,J$44,K474&lt;K$46,J$45,K474&lt;K$47,J$46,K474&gt;=K$47,J$47)</f>
        <v/>
      </c>
      <c r="K474" s="38" t="n">
        <v>424</v>
      </c>
      <c r="L474" s="31">
        <f>K474/52</f>
        <v/>
      </c>
      <c r="M474" s="39">
        <f>J474/1000000*52</f>
        <v/>
      </c>
      <c r="N474" s="33">
        <f>M474/$P$4+($I$22/$P$4)</f>
        <v/>
      </c>
      <c r="U474">
        <f>F473</f>
        <v/>
      </c>
      <c r="V474">
        <f>H473</f>
        <v/>
      </c>
      <c r="W474">
        <f>N473</f>
        <v/>
      </c>
    </row>
    <row r="475" ht="15.75" customHeight="1" s="40">
      <c r="C475" s="36">
        <f>_xlfn.IFS(E475&lt;E$24,0,E475&lt;E$26,C$24,E475&lt;E$28,C$26,E475&lt;E$30,C$28,E475&lt;E$32,C$30,E475&lt;E$34,C$32,E475&gt;=E$34,C$34)</f>
        <v/>
      </c>
      <c r="D475" s="37">
        <f>_xlfn.IFS(E475&lt;E$24,0,E475&lt;E$25,D$24,E475&lt;E$26,D$25,E475&lt;E$27,D$26,E475&lt;E$28,D$27,E475&lt;E$29,D$28,E475&lt;E$30,D$29,E475&lt;E$31,D$30,E475&lt;E$32,D$31,E475&lt;E$33,D$32,E475&lt;E$34,D$33,E475&lt;E$35,D$34,E475&gt;=E$35,D$35)</f>
        <v/>
      </c>
      <c r="E475" s="38" t="n">
        <v>425</v>
      </c>
      <c r="F475" s="31">
        <f>E475/52</f>
        <v/>
      </c>
      <c r="G475" s="39">
        <f>D475/1000000*52</f>
        <v/>
      </c>
      <c r="H475" s="33">
        <f>G475/$P$4+($C$22/$P$4)</f>
        <v/>
      </c>
      <c r="I475" s="36">
        <f>_xlfn.IFS(K475&lt;K$24,0,K475&lt;K$26,I$24,K475&lt;K$28,I$26,K475&lt;K$30,I$28,K475&lt;K$32,I$30,K475&lt;K$34,I$32,K475&lt;K$36,I$34,K475&lt;K$38,I$36,K475&lt;K$40,I$38,K475&lt;K$42,I$40,K475&lt;K$44,I$42,K475&lt;K$46,I$44,K475&gt;=K$46,I$46)</f>
        <v/>
      </c>
      <c r="J475" s="37">
        <f>_xlfn.IFS(K475&lt;K$24,0,K475&lt;K$25,J$24,K475&lt;K$26,J$25,K475&lt;K$27,J$26,K475&lt;K$28,J$27,K475&lt;K$29,J$28,K475&lt;K$30,J$29,K475&lt;K$31,J$30,K475&lt;K$32,J$31,K475&lt;K$33,J$32,K475&lt;K$34,J$33,K475&lt;K$35,J$34,K475&lt;K$36,J$35,K475&lt;K$37,J$36,K475&lt;K$38,J$37,K475&lt;K$39,J$38,K475&lt;K$40,J$39,K475&lt;K$41,J$40,K475&lt;K$42,J$41,K475&lt;K$43,J$42,K475&lt;K$44,J$43,K475&lt;K$45,J$44,K475&lt;K$46,J$45,K475&lt;K$47,J$46,K475&gt;=K$47,J$47)</f>
        <v/>
      </c>
      <c r="K475" s="38" t="n">
        <v>425</v>
      </c>
      <c r="L475" s="31">
        <f>K475/52</f>
        <v/>
      </c>
      <c r="M475" s="39">
        <f>J475/1000000*52</f>
        <v/>
      </c>
      <c r="N475" s="33">
        <f>M475/$P$4+($I$22/$P$4)</f>
        <v/>
      </c>
      <c r="U475">
        <f>F474</f>
        <v/>
      </c>
      <c r="V475">
        <f>H474</f>
        <v/>
      </c>
      <c r="W475">
        <f>N474</f>
        <v/>
      </c>
    </row>
    <row r="476" ht="15.75" customHeight="1" s="40">
      <c r="C476" s="36">
        <f>_xlfn.IFS(E476&lt;E$24,0,E476&lt;E$26,C$24,E476&lt;E$28,C$26,E476&lt;E$30,C$28,E476&lt;E$32,C$30,E476&lt;E$34,C$32,E476&gt;=E$34,C$34)</f>
        <v/>
      </c>
      <c r="D476" s="37">
        <f>_xlfn.IFS(E476&lt;E$24,0,E476&lt;E$25,D$24,E476&lt;E$26,D$25,E476&lt;E$27,D$26,E476&lt;E$28,D$27,E476&lt;E$29,D$28,E476&lt;E$30,D$29,E476&lt;E$31,D$30,E476&lt;E$32,D$31,E476&lt;E$33,D$32,E476&lt;E$34,D$33,E476&lt;E$35,D$34,E476&gt;=E$35,D$35)</f>
        <v/>
      </c>
      <c r="E476" s="38" t="n">
        <v>426</v>
      </c>
      <c r="F476" s="31">
        <f>E476/52</f>
        <v/>
      </c>
      <c r="G476" s="39">
        <f>D476/1000000*52</f>
        <v/>
      </c>
      <c r="H476" s="33">
        <f>G476/$P$4+($C$22/$P$4)</f>
        <v/>
      </c>
      <c r="I476" s="36">
        <f>_xlfn.IFS(K476&lt;K$24,0,K476&lt;K$26,I$24,K476&lt;K$28,I$26,K476&lt;K$30,I$28,K476&lt;K$32,I$30,K476&lt;K$34,I$32,K476&lt;K$36,I$34,K476&lt;K$38,I$36,K476&lt;K$40,I$38,K476&lt;K$42,I$40,K476&lt;K$44,I$42,K476&lt;K$46,I$44,K476&gt;=K$46,I$46)</f>
        <v/>
      </c>
      <c r="J476" s="37">
        <f>_xlfn.IFS(K476&lt;K$24,0,K476&lt;K$25,J$24,K476&lt;K$26,J$25,K476&lt;K$27,J$26,K476&lt;K$28,J$27,K476&lt;K$29,J$28,K476&lt;K$30,J$29,K476&lt;K$31,J$30,K476&lt;K$32,J$31,K476&lt;K$33,J$32,K476&lt;K$34,J$33,K476&lt;K$35,J$34,K476&lt;K$36,J$35,K476&lt;K$37,J$36,K476&lt;K$38,J$37,K476&lt;K$39,J$38,K476&lt;K$40,J$39,K476&lt;K$41,J$40,K476&lt;K$42,J$41,K476&lt;K$43,J$42,K476&lt;K$44,J$43,K476&lt;K$45,J$44,K476&lt;K$46,J$45,K476&lt;K$47,J$46,K476&gt;=K$47,J$47)</f>
        <v/>
      </c>
      <c r="K476" s="38" t="n">
        <v>426</v>
      </c>
      <c r="L476" s="31">
        <f>K476/52</f>
        <v/>
      </c>
      <c r="M476" s="39">
        <f>J476/1000000*52</f>
        <v/>
      </c>
      <c r="N476" s="33">
        <f>M476/$P$4+($I$22/$P$4)</f>
        <v/>
      </c>
      <c r="U476">
        <f>F475</f>
        <v/>
      </c>
      <c r="V476">
        <f>H475</f>
        <v/>
      </c>
      <c r="W476">
        <f>N475</f>
        <v/>
      </c>
    </row>
    <row r="477" ht="15.75" customHeight="1" s="40">
      <c r="C477" s="36">
        <f>_xlfn.IFS(E477&lt;E$24,0,E477&lt;E$26,C$24,E477&lt;E$28,C$26,E477&lt;E$30,C$28,E477&lt;E$32,C$30,E477&lt;E$34,C$32,E477&gt;=E$34,C$34)</f>
        <v/>
      </c>
      <c r="D477" s="37">
        <f>_xlfn.IFS(E477&lt;E$24,0,E477&lt;E$25,D$24,E477&lt;E$26,D$25,E477&lt;E$27,D$26,E477&lt;E$28,D$27,E477&lt;E$29,D$28,E477&lt;E$30,D$29,E477&lt;E$31,D$30,E477&lt;E$32,D$31,E477&lt;E$33,D$32,E477&lt;E$34,D$33,E477&lt;E$35,D$34,E477&gt;=E$35,D$35)</f>
        <v/>
      </c>
      <c r="E477" s="38" t="n">
        <v>427</v>
      </c>
      <c r="F477" s="31">
        <f>E477/52</f>
        <v/>
      </c>
      <c r="G477" s="39">
        <f>D477/1000000*52</f>
        <v/>
      </c>
      <c r="H477" s="33">
        <f>G477/$P$4+($C$22/$P$4)</f>
        <v/>
      </c>
      <c r="I477" s="36">
        <f>_xlfn.IFS(K477&lt;K$24,0,K477&lt;K$26,I$24,K477&lt;K$28,I$26,K477&lt;K$30,I$28,K477&lt;K$32,I$30,K477&lt;K$34,I$32,K477&lt;K$36,I$34,K477&lt;K$38,I$36,K477&lt;K$40,I$38,K477&lt;K$42,I$40,K477&lt;K$44,I$42,K477&lt;K$46,I$44,K477&gt;=K$46,I$46)</f>
        <v/>
      </c>
      <c r="J477" s="37">
        <f>_xlfn.IFS(K477&lt;K$24,0,K477&lt;K$25,J$24,K477&lt;K$26,J$25,K477&lt;K$27,J$26,K477&lt;K$28,J$27,K477&lt;K$29,J$28,K477&lt;K$30,J$29,K477&lt;K$31,J$30,K477&lt;K$32,J$31,K477&lt;K$33,J$32,K477&lt;K$34,J$33,K477&lt;K$35,J$34,K477&lt;K$36,J$35,K477&lt;K$37,J$36,K477&lt;K$38,J$37,K477&lt;K$39,J$38,K477&lt;K$40,J$39,K477&lt;K$41,J$40,K477&lt;K$42,J$41,K477&lt;K$43,J$42,K477&lt;K$44,J$43,K477&lt;K$45,J$44,K477&lt;K$46,J$45,K477&lt;K$47,J$46,K477&gt;=K$47,J$47)</f>
        <v/>
      </c>
      <c r="K477" s="38" t="n">
        <v>427</v>
      </c>
      <c r="L477" s="31">
        <f>K477/52</f>
        <v/>
      </c>
      <c r="M477" s="39">
        <f>J477/1000000*52</f>
        <v/>
      </c>
      <c r="N477" s="33">
        <f>M477/$P$4+($I$22/$P$4)</f>
        <v/>
      </c>
      <c r="U477">
        <f>F476</f>
        <v/>
      </c>
      <c r="V477">
        <f>H476</f>
        <v/>
      </c>
      <c r="W477">
        <f>N476</f>
        <v/>
      </c>
    </row>
    <row r="478" ht="15.75" customHeight="1" s="40">
      <c r="C478" s="36">
        <f>_xlfn.IFS(E478&lt;E$24,0,E478&lt;E$26,C$24,E478&lt;E$28,C$26,E478&lt;E$30,C$28,E478&lt;E$32,C$30,E478&lt;E$34,C$32,E478&gt;=E$34,C$34)</f>
        <v/>
      </c>
      <c r="D478" s="37">
        <f>_xlfn.IFS(E478&lt;E$24,0,E478&lt;E$25,D$24,E478&lt;E$26,D$25,E478&lt;E$27,D$26,E478&lt;E$28,D$27,E478&lt;E$29,D$28,E478&lt;E$30,D$29,E478&lt;E$31,D$30,E478&lt;E$32,D$31,E478&lt;E$33,D$32,E478&lt;E$34,D$33,E478&lt;E$35,D$34,E478&gt;=E$35,D$35)</f>
        <v/>
      </c>
      <c r="E478" s="38" t="n">
        <v>428</v>
      </c>
      <c r="F478" s="31">
        <f>E478/52</f>
        <v/>
      </c>
      <c r="G478" s="39">
        <f>D478/1000000*52</f>
        <v/>
      </c>
      <c r="H478" s="33">
        <f>G478/$P$4+($C$22/$P$4)</f>
        <v/>
      </c>
      <c r="I478" s="36">
        <f>_xlfn.IFS(K478&lt;K$24,0,K478&lt;K$26,I$24,K478&lt;K$28,I$26,K478&lt;K$30,I$28,K478&lt;K$32,I$30,K478&lt;K$34,I$32,K478&lt;K$36,I$34,K478&lt;K$38,I$36,K478&lt;K$40,I$38,K478&lt;K$42,I$40,K478&lt;K$44,I$42,K478&lt;K$46,I$44,K478&gt;=K$46,I$46)</f>
        <v/>
      </c>
      <c r="J478" s="37">
        <f>_xlfn.IFS(K478&lt;K$24,0,K478&lt;K$25,J$24,K478&lt;K$26,J$25,K478&lt;K$27,J$26,K478&lt;K$28,J$27,K478&lt;K$29,J$28,K478&lt;K$30,J$29,K478&lt;K$31,J$30,K478&lt;K$32,J$31,K478&lt;K$33,J$32,K478&lt;K$34,J$33,K478&lt;K$35,J$34,K478&lt;K$36,J$35,K478&lt;K$37,J$36,K478&lt;K$38,J$37,K478&lt;K$39,J$38,K478&lt;K$40,J$39,K478&lt;K$41,J$40,K478&lt;K$42,J$41,K478&lt;K$43,J$42,K478&lt;K$44,J$43,K478&lt;K$45,J$44,K478&lt;K$46,J$45,K478&lt;K$47,J$46,K478&gt;=K$47,J$47)</f>
        <v/>
      </c>
      <c r="K478" s="38" t="n">
        <v>428</v>
      </c>
      <c r="L478" s="31">
        <f>K478/52</f>
        <v/>
      </c>
      <c r="M478" s="39">
        <f>J478/1000000*52</f>
        <v/>
      </c>
      <c r="N478" s="33">
        <f>M478/$P$4+($I$22/$P$4)</f>
        <v/>
      </c>
      <c r="U478">
        <f>F477</f>
        <v/>
      </c>
      <c r="V478">
        <f>H477</f>
        <v/>
      </c>
      <c r="W478">
        <f>N477</f>
        <v/>
      </c>
    </row>
    <row r="479" ht="15.75" customHeight="1" s="40">
      <c r="C479" s="36">
        <f>_xlfn.IFS(E479&lt;E$24,0,E479&lt;E$26,C$24,E479&lt;E$28,C$26,E479&lt;E$30,C$28,E479&lt;E$32,C$30,E479&lt;E$34,C$32,E479&gt;=E$34,C$34)</f>
        <v/>
      </c>
      <c r="D479" s="37">
        <f>_xlfn.IFS(E479&lt;E$24,0,E479&lt;E$25,D$24,E479&lt;E$26,D$25,E479&lt;E$27,D$26,E479&lt;E$28,D$27,E479&lt;E$29,D$28,E479&lt;E$30,D$29,E479&lt;E$31,D$30,E479&lt;E$32,D$31,E479&lt;E$33,D$32,E479&lt;E$34,D$33,E479&lt;E$35,D$34,E479&gt;=E$35,D$35)</f>
        <v/>
      </c>
      <c r="E479" s="38" t="n">
        <v>429</v>
      </c>
      <c r="F479" s="31">
        <f>E479/52</f>
        <v/>
      </c>
      <c r="G479" s="39">
        <f>D479/1000000*52</f>
        <v/>
      </c>
      <c r="H479" s="33">
        <f>G479/$P$4+($C$22/$P$4)</f>
        <v/>
      </c>
      <c r="I479" s="36">
        <f>_xlfn.IFS(K479&lt;K$24,0,K479&lt;K$26,I$24,K479&lt;K$28,I$26,K479&lt;K$30,I$28,K479&lt;K$32,I$30,K479&lt;K$34,I$32,K479&lt;K$36,I$34,K479&lt;K$38,I$36,K479&lt;K$40,I$38,K479&lt;K$42,I$40,K479&lt;K$44,I$42,K479&lt;K$46,I$44,K479&gt;=K$46,I$46)</f>
        <v/>
      </c>
      <c r="J479" s="37">
        <f>_xlfn.IFS(K479&lt;K$24,0,K479&lt;K$25,J$24,K479&lt;K$26,J$25,K479&lt;K$27,J$26,K479&lt;K$28,J$27,K479&lt;K$29,J$28,K479&lt;K$30,J$29,K479&lt;K$31,J$30,K479&lt;K$32,J$31,K479&lt;K$33,J$32,K479&lt;K$34,J$33,K479&lt;K$35,J$34,K479&lt;K$36,J$35,K479&lt;K$37,J$36,K479&lt;K$38,J$37,K479&lt;K$39,J$38,K479&lt;K$40,J$39,K479&lt;K$41,J$40,K479&lt;K$42,J$41,K479&lt;K$43,J$42,K479&lt;K$44,J$43,K479&lt;K$45,J$44,K479&lt;K$46,J$45,K479&lt;K$47,J$46,K479&gt;=K$47,J$47)</f>
        <v/>
      </c>
      <c r="K479" s="38" t="n">
        <v>429</v>
      </c>
      <c r="L479" s="31">
        <f>K479/52</f>
        <v/>
      </c>
      <c r="M479" s="39">
        <f>J479/1000000*52</f>
        <v/>
      </c>
      <c r="N479" s="33">
        <f>M479/$P$4+($I$22/$P$4)</f>
        <v/>
      </c>
      <c r="U479">
        <f>F478</f>
        <v/>
      </c>
      <c r="V479">
        <f>H478</f>
        <v/>
      </c>
      <c r="W479">
        <f>N478</f>
        <v/>
      </c>
    </row>
    <row r="480" ht="15.75" customHeight="1" s="40">
      <c r="C480" s="36">
        <f>_xlfn.IFS(E480&lt;E$24,0,E480&lt;E$26,C$24,E480&lt;E$28,C$26,E480&lt;E$30,C$28,E480&lt;E$32,C$30,E480&lt;E$34,C$32,E480&gt;=E$34,C$34)</f>
        <v/>
      </c>
      <c r="D480" s="37">
        <f>_xlfn.IFS(E480&lt;E$24,0,E480&lt;E$25,D$24,E480&lt;E$26,D$25,E480&lt;E$27,D$26,E480&lt;E$28,D$27,E480&lt;E$29,D$28,E480&lt;E$30,D$29,E480&lt;E$31,D$30,E480&lt;E$32,D$31,E480&lt;E$33,D$32,E480&lt;E$34,D$33,E480&lt;E$35,D$34,E480&gt;=E$35,D$35)</f>
        <v/>
      </c>
      <c r="E480" s="38" t="n">
        <v>430</v>
      </c>
      <c r="F480" s="31">
        <f>E480/52</f>
        <v/>
      </c>
      <c r="G480" s="39">
        <f>D480/1000000*52</f>
        <v/>
      </c>
      <c r="H480" s="33">
        <f>G480/$P$4+($C$22/$P$4)</f>
        <v/>
      </c>
      <c r="I480" s="36">
        <f>_xlfn.IFS(K480&lt;K$24,0,K480&lt;K$26,I$24,K480&lt;K$28,I$26,K480&lt;K$30,I$28,K480&lt;K$32,I$30,K480&lt;K$34,I$32,K480&lt;K$36,I$34,K480&lt;K$38,I$36,K480&lt;K$40,I$38,K480&lt;K$42,I$40,K480&lt;K$44,I$42,K480&lt;K$46,I$44,K480&gt;=K$46,I$46)</f>
        <v/>
      </c>
      <c r="J480" s="37">
        <f>_xlfn.IFS(K480&lt;K$24,0,K480&lt;K$25,J$24,K480&lt;K$26,J$25,K480&lt;K$27,J$26,K480&lt;K$28,J$27,K480&lt;K$29,J$28,K480&lt;K$30,J$29,K480&lt;K$31,J$30,K480&lt;K$32,J$31,K480&lt;K$33,J$32,K480&lt;K$34,J$33,K480&lt;K$35,J$34,K480&lt;K$36,J$35,K480&lt;K$37,J$36,K480&lt;K$38,J$37,K480&lt;K$39,J$38,K480&lt;K$40,J$39,K480&lt;K$41,J$40,K480&lt;K$42,J$41,K480&lt;K$43,J$42,K480&lt;K$44,J$43,K480&lt;K$45,J$44,K480&lt;K$46,J$45,K480&lt;K$47,J$46,K480&gt;=K$47,J$47)</f>
        <v/>
      </c>
      <c r="K480" s="38" t="n">
        <v>430</v>
      </c>
      <c r="L480" s="31">
        <f>K480/52</f>
        <v/>
      </c>
      <c r="M480" s="39">
        <f>J480/1000000*52</f>
        <v/>
      </c>
      <c r="N480" s="33">
        <f>M480/$P$4+($I$22/$P$4)</f>
        <v/>
      </c>
      <c r="U480">
        <f>F479</f>
        <v/>
      </c>
      <c r="V480">
        <f>H479</f>
        <v/>
      </c>
      <c r="W480">
        <f>N479</f>
        <v/>
      </c>
    </row>
    <row r="481" ht="15.75" customHeight="1" s="40">
      <c r="C481" s="36">
        <f>_xlfn.IFS(E481&lt;E$24,0,E481&lt;E$26,C$24,E481&lt;E$28,C$26,E481&lt;E$30,C$28,E481&lt;E$32,C$30,E481&lt;E$34,C$32,E481&gt;=E$34,C$34)</f>
        <v/>
      </c>
      <c r="D481" s="37">
        <f>_xlfn.IFS(E481&lt;E$24,0,E481&lt;E$25,D$24,E481&lt;E$26,D$25,E481&lt;E$27,D$26,E481&lt;E$28,D$27,E481&lt;E$29,D$28,E481&lt;E$30,D$29,E481&lt;E$31,D$30,E481&lt;E$32,D$31,E481&lt;E$33,D$32,E481&lt;E$34,D$33,E481&lt;E$35,D$34,E481&gt;=E$35,D$35)</f>
        <v/>
      </c>
      <c r="E481" s="38" t="n">
        <v>431</v>
      </c>
      <c r="F481" s="31">
        <f>E481/52</f>
        <v/>
      </c>
      <c r="G481" s="39">
        <f>D481/1000000*52</f>
        <v/>
      </c>
      <c r="H481" s="33">
        <f>G481/$P$4+($C$22/$P$4)</f>
        <v/>
      </c>
      <c r="I481" s="36">
        <f>_xlfn.IFS(K481&lt;K$24,0,K481&lt;K$26,I$24,K481&lt;K$28,I$26,K481&lt;K$30,I$28,K481&lt;K$32,I$30,K481&lt;K$34,I$32,K481&lt;K$36,I$34,K481&lt;K$38,I$36,K481&lt;K$40,I$38,K481&lt;K$42,I$40,K481&lt;K$44,I$42,K481&lt;K$46,I$44,K481&gt;=K$46,I$46)</f>
        <v/>
      </c>
      <c r="J481" s="37">
        <f>_xlfn.IFS(K481&lt;K$24,0,K481&lt;K$25,J$24,K481&lt;K$26,J$25,K481&lt;K$27,J$26,K481&lt;K$28,J$27,K481&lt;K$29,J$28,K481&lt;K$30,J$29,K481&lt;K$31,J$30,K481&lt;K$32,J$31,K481&lt;K$33,J$32,K481&lt;K$34,J$33,K481&lt;K$35,J$34,K481&lt;K$36,J$35,K481&lt;K$37,J$36,K481&lt;K$38,J$37,K481&lt;K$39,J$38,K481&lt;K$40,J$39,K481&lt;K$41,J$40,K481&lt;K$42,J$41,K481&lt;K$43,J$42,K481&lt;K$44,J$43,K481&lt;K$45,J$44,K481&lt;K$46,J$45,K481&lt;K$47,J$46,K481&gt;=K$47,J$47)</f>
        <v/>
      </c>
      <c r="K481" s="38" t="n">
        <v>431</v>
      </c>
      <c r="L481" s="31">
        <f>K481/52</f>
        <v/>
      </c>
      <c r="M481" s="39">
        <f>J481/1000000*52</f>
        <v/>
      </c>
      <c r="N481" s="33">
        <f>M481/$P$4+($I$22/$P$4)</f>
        <v/>
      </c>
      <c r="U481">
        <f>F480</f>
        <v/>
      </c>
      <c r="V481">
        <f>H480</f>
        <v/>
      </c>
      <c r="W481">
        <f>N480</f>
        <v/>
      </c>
    </row>
    <row r="482" ht="15.75" customHeight="1" s="40">
      <c r="C482" s="36">
        <f>_xlfn.IFS(E482&lt;E$24,0,E482&lt;E$26,C$24,E482&lt;E$28,C$26,E482&lt;E$30,C$28,E482&lt;E$32,C$30,E482&lt;E$34,C$32,E482&gt;=E$34,C$34)</f>
        <v/>
      </c>
      <c r="D482" s="37">
        <f>_xlfn.IFS(E482&lt;E$24,0,E482&lt;E$25,D$24,E482&lt;E$26,D$25,E482&lt;E$27,D$26,E482&lt;E$28,D$27,E482&lt;E$29,D$28,E482&lt;E$30,D$29,E482&lt;E$31,D$30,E482&lt;E$32,D$31,E482&lt;E$33,D$32,E482&lt;E$34,D$33,E482&lt;E$35,D$34,E482&gt;=E$35,D$35)</f>
        <v/>
      </c>
      <c r="E482" s="38" t="n">
        <v>432</v>
      </c>
      <c r="F482" s="31">
        <f>E482/52</f>
        <v/>
      </c>
      <c r="G482" s="39">
        <f>D482/1000000*52</f>
        <v/>
      </c>
      <c r="H482" s="33">
        <f>G482/$P$4+($C$22/$P$4)</f>
        <v/>
      </c>
      <c r="I482" s="36">
        <f>_xlfn.IFS(K482&lt;K$24,0,K482&lt;K$26,I$24,K482&lt;K$28,I$26,K482&lt;K$30,I$28,K482&lt;K$32,I$30,K482&lt;K$34,I$32,K482&lt;K$36,I$34,K482&lt;K$38,I$36,K482&lt;K$40,I$38,K482&lt;K$42,I$40,K482&lt;K$44,I$42,K482&lt;K$46,I$44,K482&gt;=K$46,I$46)</f>
        <v/>
      </c>
      <c r="J482" s="37">
        <f>_xlfn.IFS(K482&lt;K$24,0,K482&lt;K$25,J$24,K482&lt;K$26,J$25,K482&lt;K$27,J$26,K482&lt;K$28,J$27,K482&lt;K$29,J$28,K482&lt;K$30,J$29,K482&lt;K$31,J$30,K482&lt;K$32,J$31,K482&lt;K$33,J$32,K482&lt;K$34,J$33,K482&lt;K$35,J$34,K482&lt;K$36,J$35,K482&lt;K$37,J$36,K482&lt;K$38,J$37,K482&lt;K$39,J$38,K482&lt;K$40,J$39,K482&lt;K$41,J$40,K482&lt;K$42,J$41,K482&lt;K$43,J$42,K482&lt;K$44,J$43,K482&lt;K$45,J$44,K482&lt;K$46,J$45,K482&lt;K$47,J$46,K482&gt;=K$47,J$47)</f>
        <v/>
      </c>
      <c r="K482" s="38" t="n">
        <v>432</v>
      </c>
      <c r="L482" s="31">
        <f>K482/52</f>
        <v/>
      </c>
      <c r="M482" s="39">
        <f>J482/1000000*52</f>
        <v/>
      </c>
      <c r="N482" s="33">
        <f>M482/$P$4+($I$22/$P$4)</f>
        <v/>
      </c>
      <c r="U482">
        <f>F481</f>
        <v/>
      </c>
      <c r="V482">
        <f>H481</f>
        <v/>
      </c>
      <c r="W482">
        <f>N481</f>
        <v/>
      </c>
    </row>
    <row r="483" ht="15.75" customHeight="1" s="40">
      <c r="C483" s="36">
        <f>_xlfn.IFS(E483&lt;E$24,0,E483&lt;E$26,C$24,E483&lt;E$28,C$26,E483&lt;E$30,C$28,E483&lt;E$32,C$30,E483&lt;E$34,C$32,E483&gt;=E$34,C$34)</f>
        <v/>
      </c>
      <c r="D483" s="37">
        <f>_xlfn.IFS(E483&lt;E$24,0,E483&lt;E$25,D$24,E483&lt;E$26,D$25,E483&lt;E$27,D$26,E483&lt;E$28,D$27,E483&lt;E$29,D$28,E483&lt;E$30,D$29,E483&lt;E$31,D$30,E483&lt;E$32,D$31,E483&lt;E$33,D$32,E483&lt;E$34,D$33,E483&lt;E$35,D$34,E483&gt;=E$35,D$35)</f>
        <v/>
      </c>
      <c r="E483" s="38" t="n">
        <v>433</v>
      </c>
      <c r="F483" s="31">
        <f>E483/52</f>
        <v/>
      </c>
      <c r="G483" s="39">
        <f>D483/1000000*52</f>
        <v/>
      </c>
      <c r="H483" s="33">
        <f>G483/$P$4+($C$22/$P$4)</f>
        <v/>
      </c>
      <c r="I483" s="36">
        <f>_xlfn.IFS(K483&lt;K$24,0,K483&lt;K$26,I$24,K483&lt;K$28,I$26,K483&lt;K$30,I$28,K483&lt;K$32,I$30,K483&lt;K$34,I$32,K483&lt;K$36,I$34,K483&lt;K$38,I$36,K483&lt;K$40,I$38,K483&lt;K$42,I$40,K483&lt;K$44,I$42,K483&lt;K$46,I$44,K483&gt;=K$46,I$46)</f>
        <v/>
      </c>
      <c r="J483" s="37">
        <f>_xlfn.IFS(K483&lt;K$24,0,K483&lt;K$25,J$24,K483&lt;K$26,J$25,K483&lt;K$27,J$26,K483&lt;K$28,J$27,K483&lt;K$29,J$28,K483&lt;K$30,J$29,K483&lt;K$31,J$30,K483&lt;K$32,J$31,K483&lt;K$33,J$32,K483&lt;K$34,J$33,K483&lt;K$35,J$34,K483&lt;K$36,J$35,K483&lt;K$37,J$36,K483&lt;K$38,J$37,K483&lt;K$39,J$38,K483&lt;K$40,J$39,K483&lt;K$41,J$40,K483&lt;K$42,J$41,K483&lt;K$43,J$42,K483&lt;K$44,J$43,K483&lt;K$45,J$44,K483&lt;K$46,J$45,K483&lt;K$47,J$46,K483&gt;=K$47,J$47)</f>
        <v/>
      </c>
      <c r="K483" s="38" t="n">
        <v>433</v>
      </c>
      <c r="L483" s="31">
        <f>K483/52</f>
        <v/>
      </c>
      <c r="M483" s="39">
        <f>J483/1000000*52</f>
        <v/>
      </c>
      <c r="N483" s="33">
        <f>M483/$P$4+($I$22/$P$4)</f>
        <v/>
      </c>
      <c r="U483">
        <f>F482</f>
        <v/>
      </c>
      <c r="V483">
        <f>H482</f>
        <v/>
      </c>
      <c r="W483">
        <f>N482</f>
        <v/>
      </c>
    </row>
    <row r="484" ht="15.75" customHeight="1" s="40">
      <c r="C484" s="36">
        <f>_xlfn.IFS(E484&lt;E$24,0,E484&lt;E$26,C$24,E484&lt;E$28,C$26,E484&lt;E$30,C$28,E484&lt;E$32,C$30,E484&lt;E$34,C$32,E484&gt;=E$34,C$34)</f>
        <v/>
      </c>
      <c r="D484" s="37">
        <f>_xlfn.IFS(E484&lt;E$24,0,E484&lt;E$25,D$24,E484&lt;E$26,D$25,E484&lt;E$27,D$26,E484&lt;E$28,D$27,E484&lt;E$29,D$28,E484&lt;E$30,D$29,E484&lt;E$31,D$30,E484&lt;E$32,D$31,E484&lt;E$33,D$32,E484&lt;E$34,D$33,E484&lt;E$35,D$34,E484&gt;=E$35,D$35)</f>
        <v/>
      </c>
      <c r="E484" s="38" t="n">
        <v>434</v>
      </c>
      <c r="F484" s="31">
        <f>E484/52</f>
        <v/>
      </c>
      <c r="G484" s="39">
        <f>D484/1000000*52</f>
        <v/>
      </c>
      <c r="H484" s="33">
        <f>G484/$P$4+($C$22/$P$4)</f>
        <v/>
      </c>
      <c r="I484" s="36">
        <f>_xlfn.IFS(K484&lt;K$24,0,K484&lt;K$26,I$24,K484&lt;K$28,I$26,K484&lt;K$30,I$28,K484&lt;K$32,I$30,K484&lt;K$34,I$32,K484&lt;K$36,I$34,K484&lt;K$38,I$36,K484&lt;K$40,I$38,K484&lt;K$42,I$40,K484&lt;K$44,I$42,K484&lt;K$46,I$44,K484&gt;=K$46,I$46)</f>
        <v/>
      </c>
      <c r="J484" s="37">
        <f>_xlfn.IFS(K484&lt;K$24,0,K484&lt;K$25,J$24,K484&lt;K$26,J$25,K484&lt;K$27,J$26,K484&lt;K$28,J$27,K484&lt;K$29,J$28,K484&lt;K$30,J$29,K484&lt;K$31,J$30,K484&lt;K$32,J$31,K484&lt;K$33,J$32,K484&lt;K$34,J$33,K484&lt;K$35,J$34,K484&lt;K$36,J$35,K484&lt;K$37,J$36,K484&lt;K$38,J$37,K484&lt;K$39,J$38,K484&lt;K$40,J$39,K484&lt;K$41,J$40,K484&lt;K$42,J$41,K484&lt;K$43,J$42,K484&lt;K$44,J$43,K484&lt;K$45,J$44,K484&lt;K$46,J$45,K484&lt;K$47,J$46,K484&gt;=K$47,J$47)</f>
        <v/>
      </c>
      <c r="K484" s="38" t="n">
        <v>434</v>
      </c>
      <c r="L484" s="31">
        <f>K484/52</f>
        <v/>
      </c>
      <c r="M484" s="39">
        <f>J484/1000000*52</f>
        <v/>
      </c>
      <c r="N484" s="33">
        <f>M484/$P$4+($I$22/$P$4)</f>
        <v/>
      </c>
      <c r="U484">
        <f>F483</f>
        <v/>
      </c>
      <c r="V484">
        <f>H483</f>
        <v/>
      </c>
      <c r="W484">
        <f>N483</f>
        <v/>
      </c>
    </row>
    <row r="485" ht="15.75" customHeight="1" s="40">
      <c r="C485" s="36">
        <f>_xlfn.IFS(E485&lt;E$24,0,E485&lt;E$26,C$24,E485&lt;E$28,C$26,E485&lt;E$30,C$28,E485&lt;E$32,C$30,E485&lt;E$34,C$32,E485&gt;=E$34,C$34)</f>
        <v/>
      </c>
      <c r="D485" s="37">
        <f>_xlfn.IFS(E485&lt;E$24,0,E485&lt;E$25,D$24,E485&lt;E$26,D$25,E485&lt;E$27,D$26,E485&lt;E$28,D$27,E485&lt;E$29,D$28,E485&lt;E$30,D$29,E485&lt;E$31,D$30,E485&lt;E$32,D$31,E485&lt;E$33,D$32,E485&lt;E$34,D$33,E485&lt;E$35,D$34,E485&gt;=E$35,D$35)</f>
        <v/>
      </c>
      <c r="E485" s="38" t="n">
        <v>435</v>
      </c>
      <c r="F485" s="31">
        <f>E485/52</f>
        <v/>
      </c>
      <c r="G485" s="39">
        <f>D485/1000000*52</f>
        <v/>
      </c>
      <c r="H485" s="33">
        <f>G485/$P$4+($C$22/$P$4)</f>
        <v/>
      </c>
      <c r="I485" s="36">
        <f>_xlfn.IFS(K485&lt;K$24,0,K485&lt;K$26,I$24,K485&lt;K$28,I$26,K485&lt;K$30,I$28,K485&lt;K$32,I$30,K485&lt;K$34,I$32,K485&lt;K$36,I$34,K485&lt;K$38,I$36,K485&lt;K$40,I$38,K485&lt;K$42,I$40,K485&lt;K$44,I$42,K485&lt;K$46,I$44,K485&gt;=K$46,I$46)</f>
        <v/>
      </c>
      <c r="J485" s="37">
        <f>_xlfn.IFS(K485&lt;K$24,0,K485&lt;K$25,J$24,K485&lt;K$26,J$25,K485&lt;K$27,J$26,K485&lt;K$28,J$27,K485&lt;K$29,J$28,K485&lt;K$30,J$29,K485&lt;K$31,J$30,K485&lt;K$32,J$31,K485&lt;K$33,J$32,K485&lt;K$34,J$33,K485&lt;K$35,J$34,K485&lt;K$36,J$35,K485&lt;K$37,J$36,K485&lt;K$38,J$37,K485&lt;K$39,J$38,K485&lt;K$40,J$39,K485&lt;K$41,J$40,K485&lt;K$42,J$41,K485&lt;K$43,J$42,K485&lt;K$44,J$43,K485&lt;K$45,J$44,K485&lt;K$46,J$45,K485&lt;K$47,J$46,K485&gt;=K$47,J$47)</f>
        <v/>
      </c>
      <c r="K485" s="38" t="n">
        <v>435</v>
      </c>
      <c r="L485" s="31">
        <f>K485/52</f>
        <v/>
      </c>
      <c r="M485" s="39">
        <f>J485/1000000*52</f>
        <v/>
      </c>
      <c r="N485" s="33">
        <f>M485/$P$4+($I$22/$P$4)</f>
        <v/>
      </c>
      <c r="U485">
        <f>F484</f>
        <v/>
      </c>
      <c r="V485">
        <f>H484</f>
        <v/>
      </c>
      <c r="W485">
        <f>N484</f>
        <v/>
      </c>
    </row>
    <row r="486" ht="15.75" customHeight="1" s="40">
      <c r="C486" s="36">
        <f>_xlfn.IFS(E486&lt;E$24,0,E486&lt;E$26,C$24,E486&lt;E$28,C$26,E486&lt;E$30,C$28,E486&lt;E$32,C$30,E486&lt;E$34,C$32,E486&gt;=E$34,C$34)</f>
        <v/>
      </c>
      <c r="D486" s="37">
        <f>_xlfn.IFS(E486&lt;E$24,0,E486&lt;E$25,D$24,E486&lt;E$26,D$25,E486&lt;E$27,D$26,E486&lt;E$28,D$27,E486&lt;E$29,D$28,E486&lt;E$30,D$29,E486&lt;E$31,D$30,E486&lt;E$32,D$31,E486&lt;E$33,D$32,E486&lt;E$34,D$33,E486&lt;E$35,D$34,E486&gt;=E$35,D$35)</f>
        <v/>
      </c>
      <c r="E486" s="38" t="n">
        <v>436</v>
      </c>
      <c r="F486" s="31">
        <f>E486/52</f>
        <v/>
      </c>
      <c r="G486" s="39">
        <f>D486/1000000*52</f>
        <v/>
      </c>
      <c r="H486" s="33">
        <f>G486/$P$4+($C$22/$P$4)</f>
        <v/>
      </c>
      <c r="I486" s="36">
        <f>_xlfn.IFS(K486&lt;K$24,0,K486&lt;K$26,I$24,K486&lt;K$28,I$26,K486&lt;K$30,I$28,K486&lt;K$32,I$30,K486&lt;K$34,I$32,K486&lt;K$36,I$34,K486&lt;K$38,I$36,K486&lt;K$40,I$38,K486&lt;K$42,I$40,K486&lt;K$44,I$42,K486&lt;K$46,I$44,K486&gt;=K$46,I$46)</f>
        <v/>
      </c>
      <c r="J486" s="37">
        <f>_xlfn.IFS(K486&lt;K$24,0,K486&lt;K$25,J$24,K486&lt;K$26,J$25,K486&lt;K$27,J$26,K486&lt;K$28,J$27,K486&lt;K$29,J$28,K486&lt;K$30,J$29,K486&lt;K$31,J$30,K486&lt;K$32,J$31,K486&lt;K$33,J$32,K486&lt;K$34,J$33,K486&lt;K$35,J$34,K486&lt;K$36,J$35,K486&lt;K$37,J$36,K486&lt;K$38,J$37,K486&lt;K$39,J$38,K486&lt;K$40,J$39,K486&lt;K$41,J$40,K486&lt;K$42,J$41,K486&lt;K$43,J$42,K486&lt;K$44,J$43,K486&lt;K$45,J$44,K486&lt;K$46,J$45,K486&lt;K$47,J$46,K486&gt;=K$47,J$47)</f>
        <v/>
      </c>
      <c r="K486" s="38" t="n">
        <v>436</v>
      </c>
      <c r="L486" s="31">
        <f>K486/52</f>
        <v/>
      </c>
      <c r="M486" s="39">
        <f>J486/1000000*52</f>
        <v/>
      </c>
      <c r="N486" s="33">
        <f>M486/$P$4+($I$22/$P$4)</f>
        <v/>
      </c>
      <c r="U486">
        <f>F485</f>
        <v/>
      </c>
      <c r="V486">
        <f>H485</f>
        <v/>
      </c>
      <c r="W486">
        <f>N485</f>
        <v/>
      </c>
    </row>
    <row r="487" ht="15.75" customHeight="1" s="40">
      <c r="C487" s="36">
        <f>_xlfn.IFS(E487&lt;E$24,0,E487&lt;E$26,C$24,E487&lt;E$28,C$26,E487&lt;E$30,C$28,E487&lt;E$32,C$30,E487&lt;E$34,C$32,E487&gt;=E$34,C$34)</f>
        <v/>
      </c>
      <c r="D487" s="37">
        <f>_xlfn.IFS(E487&lt;E$24,0,E487&lt;E$25,D$24,E487&lt;E$26,D$25,E487&lt;E$27,D$26,E487&lt;E$28,D$27,E487&lt;E$29,D$28,E487&lt;E$30,D$29,E487&lt;E$31,D$30,E487&lt;E$32,D$31,E487&lt;E$33,D$32,E487&lt;E$34,D$33,E487&lt;E$35,D$34,E487&gt;=E$35,D$35)</f>
        <v/>
      </c>
      <c r="E487" s="38" t="n">
        <v>437</v>
      </c>
      <c r="F487" s="31">
        <f>E487/52</f>
        <v/>
      </c>
      <c r="G487" s="39">
        <f>D487/1000000*52</f>
        <v/>
      </c>
      <c r="H487" s="33">
        <f>G487/$P$4+($C$22/$P$4)</f>
        <v/>
      </c>
      <c r="I487" s="36">
        <f>_xlfn.IFS(K487&lt;K$24,0,K487&lt;K$26,I$24,K487&lt;K$28,I$26,K487&lt;K$30,I$28,K487&lt;K$32,I$30,K487&lt;K$34,I$32,K487&lt;K$36,I$34,K487&lt;K$38,I$36,K487&lt;K$40,I$38,K487&lt;K$42,I$40,K487&lt;K$44,I$42,K487&lt;K$46,I$44,K487&gt;=K$46,I$46)</f>
        <v/>
      </c>
      <c r="J487" s="37">
        <f>_xlfn.IFS(K487&lt;K$24,0,K487&lt;K$25,J$24,K487&lt;K$26,J$25,K487&lt;K$27,J$26,K487&lt;K$28,J$27,K487&lt;K$29,J$28,K487&lt;K$30,J$29,K487&lt;K$31,J$30,K487&lt;K$32,J$31,K487&lt;K$33,J$32,K487&lt;K$34,J$33,K487&lt;K$35,J$34,K487&lt;K$36,J$35,K487&lt;K$37,J$36,K487&lt;K$38,J$37,K487&lt;K$39,J$38,K487&lt;K$40,J$39,K487&lt;K$41,J$40,K487&lt;K$42,J$41,K487&lt;K$43,J$42,K487&lt;K$44,J$43,K487&lt;K$45,J$44,K487&lt;K$46,J$45,K487&lt;K$47,J$46,K487&gt;=K$47,J$47)</f>
        <v/>
      </c>
      <c r="K487" s="38" t="n">
        <v>437</v>
      </c>
      <c r="L487" s="31">
        <f>K487/52</f>
        <v/>
      </c>
      <c r="M487" s="39">
        <f>J487/1000000*52</f>
        <v/>
      </c>
      <c r="N487" s="33">
        <f>M487/$P$4+($I$22/$P$4)</f>
        <v/>
      </c>
      <c r="U487">
        <f>F486</f>
        <v/>
      </c>
      <c r="V487">
        <f>H486</f>
        <v/>
      </c>
      <c r="W487">
        <f>N486</f>
        <v/>
      </c>
    </row>
    <row r="488" ht="15.75" customHeight="1" s="40">
      <c r="C488" s="36">
        <f>_xlfn.IFS(E488&lt;E$24,0,E488&lt;E$26,C$24,E488&lt;E$28,C$26,E488&lt;E$30,C$28,E488&lt;E$32,C$30,E488&lt;E$34,C$32,E488&gt;=E$34,C$34)</f>
        <v/>
      </c>
      <c r="D488" s="37">
        <f>_xlfn.IFS(E488&lt;E$24,0,E488&lt;E$25,D$24,E488&lt;E$26,D$25,E488&lt;E$27,D$26,E488&lt;E$28,D$27,E488&lt;E$29,D$28,E488&lt;E$30,D$29,E488&lt;E$31,D$30,E488&lt;E$32,D$31,E488&lt;E$33,D$32,E488&lt;E$34,D$33,E488&lt;E$35,D$34,E488&gt;=E$35,D$35)</f>
        <v/>
      </c>
      <c r="E488" s="38" t="n">
        <v>438</v>
      </c>
      <c r="F488" s="31">
        <f>E488/52</f>
        <v/>
      </c>
      <c r="G488" s="39">
        <f>D488/1000000*52</f>
        <v/>
      </c>
      <c r="H488" s="33">
        <f>G488/$P$4+($C$22/$P$4)</f>
        <v/>
      </c>
      <c r="I488" s="36">
        <f>_xlfn.IFS(K488&lt;K$24,0,K488&lt;K$26,I$24,K488&lt;K$28,I$26,K488&lt;K$30,I$28,K488&lt;K$32,I$30,K488&lt;K$34,I$32,K488&lt;K$36,I$34,K488&lt;K$38,I$36,K488&lt;K$40,I$38,K488&lt;K$42,I$40,K488&lt;K$44,I$42,K488&lt;K$46,I$44,K488&gt;=K$46,I$46)</f>
        <v/>
      </c>
      <c r="J488" s="37">
        <f>_xlfn.IFS(K488&lt;K$24,0,K488&lt;K$25,J$24,K488&lt;K$26,J$25,K488&lt;K$27,J$26,K488&lt;K$28,J$27,K488&lt;K$29,J$28,K488&lt;K$30,J$29,K488&lt;K$31,J$30,K488&lt;K$32,J$31,K488&lt;K$33,J$32,K488&lt;K$34,J$33,K488&lt;K$35,J$34,K488&lt;K$36,J$35,K488&lt;K$37,J$36,K488&lt;K$38,J$37,K488&lt;K$39,J$38,K488&lt;K$40,J$39,K488&lt;K$41,J$40,K488&lt;K$42,J$41,K488&lt;K$43,J$42,K488&lt;K$44,J$43,K488&lt;K$45,J$44,K488&lt;K$46,J$45,K488&lt;K$47,J$46,K488&gt;=K$47,J$47)</f>
        <v/>
      </c>
      <c r="K488" s="38" t="n">
        <v>438</v>
      </c>
      <c r="L488" s="31">
        <f>K488/52</f>
        <v/>
      </c>
      <c r="M488" s="39">
        <f>J488/1000000*52</f>
        <v/>
      </c>
      <c r="N488" s="33">
        <f>M488/$P$4+($I$22/$P$4)</f>
        <v/>
      </c>
      <c r="U488">
        <f>F487</f>
        <v/>
      </c>
      <c r="V488">
        <f>H487</f>
        <v/>
      </c>
      <c r="W488">
        <f>N487</f>
        <v/>
      </c>
    </row>
    <row r="489" ht="15.75" customHeight="1" s="40">
      <c r="C489" s="36">
        <f>_xlfn.IFS(E489&lt;E$24,0,E489&lt;E$26,C$24,E489&lt;E$28,C$26,E489&lt;E$30,C$28,E489&lt;E$32,C$30,E489&lt;E$34,C$32,E489&gt;=E$34,C$34)</f>
        <v/>
      </c>
      <c r="D489" s="37">
        <f>_xlfn.IFS(E489&lt;E$24,0,E489&lt;E$25,D$24,E489&lt;E$26,D$25,E489&lt;E$27,D$26,E489&lt;E$28,D$27,E489&lt;E$29,D$28,E489&lt;E$30,D$29,E489&lt;E$31,D$30,E489&lt;E$32,D$31,E489&lt;E$33,D$32,E489&lt;E$34,D$33,E489&lt;E$35,D$34,E489&gt;=E$35,D$35)</f>
        <v/>
      </c>
      <c r="E489" s="38" t="n">
        <v>439</v>
      </c>
      <c r="F489" s="31">
        <f>E489/52</f>
        <v/>
      </c>
      <c r="G489" s="39">
        <f>D489/1000000*52</f>
        <v/>
      </c>
      <c r="H489" s="33">
        <f>G489/$P$4+($C$22/$P$4)</f>
        <v/>
      </c>
      <c r="I489" s="36">
        <f>_xlfn.IFS(K489&lt;K$24,0,K489&lt;K$26,I$24,K489&lt;K$28,I$26,K489&lt;K$30,I$28,K489&lt;K$32,I$30,K489&lt;K$34,I$32,K489&lt;K$36,I$34,K489&lt;K$38,I$36,K489&lt;K$40,I$38,K489&lt;K$42,I$40,K489&lt;K$44,I$42,K489&lt;K$46,I$44,K489&gt;=K$46,I$46)</f>
        <v/>
      </c>
      <c r="J489" s="37">
        <f>_xlfn.IFS(K489&lt;K$24,0,K489&lt;K$25,J$24,K489&lt;K$26,J$25,K489&lt;K$27,J$26,K489&lt;K$28,J$27,K489&lt;K$29,J$28,K489&lt;K$30,J$29,K489&lt;K$31,J$30,K489&lt;K$32,J$31,K489&lt;K$33,J$32,K489&lt;K$34,J$33,K489&lt;K$35,J$34,K489&lt;K$36,J$35,K489&lt;K$37,J$36,K489&lt;K$38,J$37,K489&lt;K$39,J$38,K489&lt;K$40,J$39,K489&lt;K$41,J$40,K489&lt;K$42,J$41,K489&lt;K$43,J$42,K489&lt;K$44,J$43,K489&lt;K$45,J$44,K489&lt;K$46,J$45,K489&lt;K$47,J$46,K489&gt;=K$47,J$47)</f>
        <v/>
      </c>
      <c r="K489" s="38" t="n">
        <v>439</v>
      </c>
      <c r="L489" s="31">
        <f>K489/52</f>
        <v/>
      </c>
      <c r="M489" s="39">
        <f>J489/1000000*52</f>
        <v/>
      </c>
      <c r="N489" s="33">
        <f>M489/$P$4+($I$22/$P$4)</f>
        <v/>
      </c>
      <c r="U489">
        <f>F488</f>
        <v/>
      </c>
      <c r="V489">
        <f>H488</f>
        <v/>
      </c>
      <c r="W489">
        <f>N488</f>
        <v/>
      </c>
    </row>
    <row r="490" ht="15.75" customHeight="1" s="40">
      <c r="C490" s="36">
        <f>_xlfn.IFS(E490&lt;E$24,0,E490&lt;E$26,C$24,E490&lt;E$28,C$26,E490&lt;E$30,C$28,E490&lt;E$32,C$30,E490&lt;E$34,C$32,E490&gt;=E$34,C$34)</f>
        <v/>
      </c>
      <c r="D490" s="37">
        <f>_xlfn.IFS(E490&lt;E$24,0,E490&lt;E$25,D$24,E490&lt;E$26,D$25,E490&lt;E$27,D$26,E490&lt;E$28,D$27,E490&lt;E$29,D$28,E490&lt;E$30,D$29,E490&lt;E$31,D$30,E490&lt;E$32,D$31,E490&lt;E$33,D$32,E490&lt;E$34,D$33,E490&lt;E$35,D$34,E490&gt;=E$35,D$35)</f>
        <v/>
      </c>
      <c r="E490" s="38" t="n">
        <v>440</v>
      </c>
      <c r="F490" s="31">
        <f>E490/52</f>
        <v/>
      </c>
      <c r="G490" s="39">
        <f>D490/1000000*52</f>
        <v/>
      </c>
      <c r="H490" s="33">
        <f>G490/$P$4+($C$22/$P$4)</f>
        <v/>
      </c>
      <c r="I490" s="36">
        <f>_xlfn.IFS(K490&lt;K$24,0,K490&lt;K$26,I$24,K490&lt;K$28,I$26,K490&lt;K$30,I$28,K490&lt;K$32,I$30,K490&lt;K$34,I$32,K490&lt;K$36,I$34,K490&lt;K$38,I$36,K490&lt;K$40,I$38,K490&lt;K$42,I$40,K490&lt;K$44,I$42,K490&lt;K$46,I$44,K490&gt;=K$46,I$46)</f>
        <v/>
      </c>
      <c r="J490" s="37">
        <f>_xlfn.IFS(K490&lt;K$24,0,K490&lt;K$25,J$24,K490&lt;K$26,J$25,K490&lt;K$27,J$26,K490&lt;K$28,J$27,K490&lt;K$29,J$28,K490&lt;K$30,J$29,K490&lt;K$31,J$30,K490&lt;K$32,J$31,K490&lt;K$33,J$32,K490&lt;K$34,J$33,K490&lt;K$35,J$34,K490&lt;K$36,J$35,K490&lt;K$37,J$36,K490&lt;K$38,J$37,K490&lt;K$39,J$38,K490&lt;K$40,J$39,K490&lt;K$41,J$40,K490&lt;K$42,J$41,K490&lt;K$43,J$42,K490&lt;K$44,J$43,K490&lt;K$45,J$44,K490&lt;K$46,J$45,K490&lt;K$47,J$46,K490&gt;=K$47,J$47)</f>
        <v/>
      </c>
      <c r="K490" s="38" t="n">
        <v>440</v>
      </c>
      <c r="L490" s="31">
        <f>K490/52</f>
        <v/>
      </c>
      <c r="M490" s="39">
        <f>J490/1000000*52</f>
        <v/>
      </c>
      <c r="N490" s="33">
        <f>M490/$P$4+($I$22/$P$4)</f>
        <v/>
      </c>
      <c r="U490">
        <f>F489</f>
        <v/>
      </c>
      <c r="V490">
        <f>H489</f>
        <v/>
      </c>
      <c r="W490">
        <f>N489</f>
        <v/>
      </c>
    </row>
    <row r="491" ht="15.75" customHeight="1" s="40">
      <c r="C491" s="36">
        <f>_xlfn.IFS(E491&lt;E$24,0,E491&lt;E$26,C$24,E491&lt;E$28,C$26,E491&lt;E$30,C$28,E491&lt;E$32,C$30,E491&lt;E$34,C$32,E491&gt;=E$34,C$34)</f>
        <v/>
      </c>
      <c r="D491" s="37">
        <f>_xlfn.IFS(E491&lt;E$24,0,E491&lt;E$25,D$24,E491&lt;E$26,D$25,E491&lt;E$27,D$26,E491&lt;E$28,D$27,E491&lt;E$29,D$28,E491&lt;E$30,D$29,E491&lt;E$31,D$30,E491&lt;E$32,D$31,E491&lt;E$33,D$32,E491&lt;E$34,D$33,E491&lt;E$35,D$34,E491&gt;=E$35,D$35)</f>
        <v/>
      </c>
      <c r="E491" s="38" t="n">
        <v>441</v>
      </c>
      <c r="F491" s="31">
        <f>E491/52</f>
        <v/>
      </c>
      <c r="G491" s="39">
        <f>D491/1000000*52</f>
        <v/>
      </c>
      <c r="H491" s="33">
        <f>G491/$P$4+($C$22/$P$4)</f>
        <v/>
      </c>
      <c r="I491" s="36">
        <f>_xlfn.IFS(K491&lt;K$24,0,K491&lt;K$26,I$24,K491&lt;K$28,I$26,K491&lt;K$30,I$28,K491&lt;K$32,I$30,K491&lt;K$34,I$32,K491&lt;K$36,I$34,K491&lt;K$38,I$36,K491&lt;K$40,I$38,K491&lt;K$42,I$40,K491&lt;K$44,I$42,K491&lt;K$46,I$44,K491&gt;=K$46,I$46)</f>
        <v/>
      </c>
      <c r="J491" s="37">
        <f>_xlfn.IFS(K491&lt;K$24,0,K491&lt;K$25,J$24,K491&lt;K$26,J$25,K491&lt;K$27,J$26,K491&lt;K$28,J$27,K491&lt;K$29,J$28,K491&lt;K$30,J$29,K491&lt;K$31,J$30,K491&lt;K$32,J$31,K491&lt;K$33,J$32,K491&lt;K$34,J$33,K491&lt;K$35,J$34,K491&lt;K$36,J$35,K491&lt;K$37,J$36,K491&lt;K$38,J$37,K491&lt;K$39,J$38,K491&lt;K$40,J$39,K491&lt;K$41,J$40,K491&lt;K$42,J$41,K491&lt;K$43,J$42,K491&lt;K$44,J$43,K491&lt;K$45,J$44,K491&lt;K$46,J$45,K491&lt;K$47,J$46,K491&gt;=K$47,J$47)</f>
        <v/>
      </c>
      <c r="K491" s="38" t="n">
        <v>441</v>
      </c>
      <c r="L491" s="31">
        <f>K491/52</f>
        <v/>
      </c>
      <c r="M491" s="39">
        <f>J491/1000000*52</f>
        <v/>
      </c>
      <c r="N491" s="33">
        <f>M491/$P$4+($I$22/$P$4)</f>
        <v/>
      </c>
      <c r="U491">
        <f>F490</f>
        <v/>
      </c>
      <c r="V491">
        <f>H490</f>
        <v/>
      </c>
      <c r="W491">
        <f>N490</f>
        <v/>
      </c>
    </row>
    <row r="492" ht="15.75" customHeight="1" s="40">
      <c r="C492" s="36">
        <f>_xlfn.IFS(E492&lt;E$24,0,E492&lt;E$26,C$24,E492&lt;E$28,C$26,E492&lt;E$30,C$28,E492&lt;E$32,C$30,E492&lt;E$34,C$32,E492&gt;=E$34,C$34)</f>
        <v/>
      </c>
      <c r="D492" s="37">
        <f>_xlfn.IFS(E492&lt;E$24,0,E492&lt;E$25,D$24,E492&lt;E$26,D$25,E492&lt;E$27,D$26,E492&lt;E$28,D$27,E492&lt;E$29,D$28,E492&lt;E$30,D$29,E492&lt;E$31,D$30,E492&lt;E$32,D$31,E492&lt;E$33,D$32,E492&lt;E$34,D$33,E492&lt;E$35,D$34,E492&gt;=E$35,D$35)</f>
        <v/>
      </c>
      <c r="E492" s="38" t="n">
        <v>442</v>
      </c>
      <c r="F492" s="31">
        <f>E492/52</f>
        <v/>
      </c>
      <c r="G492" s="39">
        <f>D492/1000000*52</f>
        <v/>
      </c>
      <c r="H492" s="33">
        <f>G492/$P$4+($C$22/$P$4)</f>
        <v/>
      </c>
      <c r="I492" s="36">
        <f>_xlfn.IFS(K492&lt;K$24,0,K492&lt;K$26,I$24,K492&lt;K$28,I$26,K492&lt;K$30,I$28,K492&lt;K$32,I$30,K492&lt;K$34,I$32,K492&lt;K$36,I$34,K492&lt;K$38,I$36,K492&lt;K$40,I$38,K492&lt;K$42,I$40,K492&lt;K$44,I$42,K492&lt;K$46,I$44,K492&gt;=K$46,I$46)</f>
        <v/>
      </c>
      <c r="J492" s="37">
        <f>_xlfn.IFS(K492&lt;K$24,0,K492&lt;K$25,J$24,K492&lt;K$26,J$25,K492&lt;K$27,J$26,K492&lt;K$28,J$27,K492&lt;K$29,J$28,K492&lt;K$30,J$29,K492&lt;K$31,J$30,K492&lt;K$32,J$31,K492&lt;K$33,J$32,K492&lt;K$34,J$33,K492&lt;K$35,J$34,K492&lt;K$36,J$35,K492&lt;K$37,J$36,K492&lt;K$38,J$37,K492&lt;K$39,J$38,K492&lt;K$40,J$39,K492&lt;K$41,J$40,K492&lt;K$42,J$41,K492&lt;K$43,J$42,K492&lt;K$44,J$43,K492&lt;K$45,J$44,K492&lt;K$46,J$45,K492&lt;K$47,J$46,K492&gt;=K$47,J$47)</f>
        <v/>
      </c>
      <c r="K492" s="38" t="n">
        <v>442</v>
      </c>
      <c r="L492" s="31">
        <f>K492/52</f>
        <v/>
      </c>
      <c r="M492" s="39">
        <f>J492/1000000*52</f>
        <v/>
      </c>
      <c r="N492" s="33">
        <f>M492/$P$4+($I$22/$P$4)</f>
        <v/>
      </c>
      <c r="U492">
        <f>F491</f>
        <v/>
      </c>
      <c r="V492">
        <f>H491</f>
        <v/>
      </c>
      <c r="W492">
        <f>N491</f>
        <v/>
      </c>
    </row>
    <row r="493" ht="15.75" customHeight="1" s="40">
      <c r="C493" s="36">
        <f>_xlfn.IFS(E493&lt;E$24,0,E493&lt;E$26,C$24,E493&lt;E$28,C$26,E493&lt;E$30,C$28,E493&lt;E$32,C$30,E493&lt;E$34,C$32,E493&gt;=E$34,C$34)</f>
        <v/>
      </c>
      <c r="D493" s="37">
        <f>_xlfn.IFS(E493&lt;E$24,0,E493&lt;E$25,D$24,E493&lt;E$26,D$25,E493&lt;E$27,D$26,E493&lt;E$28,D$27,E493&lt;E$29,D$28,E493&lt;E$30,D$29,E493&lt;E$31,D$30,E493&lt;E$32,D$31,E493&lt;E$33,D$32,E493&lt;E$34,D$33,E493&lt;E$35,D$34,E493&gt;=E$35,D$35)</f>
        <v/>
      </c>
      <c r="E493" s="38" t="n">
        <v>443</v>
      </c>
      <c r="F493" s="31">
        <f>E493/52</f>
        <v/>
      </c>
      <c r="G493" s="39">
        <f>D493/1000000*52</f>
        <v/>
      </c>
      <c r="H493" s="33">
        <f>G493/$P$4+($C$22/$P$4)</f>
        <v/>
      </c>
      <c r="I493" s="36">
        <f>_xlfn.IFS(K493&lt;K$24,0,K493&lt;K$26,I$24,K493&lt;K$28,I$26,K493&lt;K$30,I$28,K493&lt;K$32,I$30,K493&lt;K$34,I$32,K493&lt;K$36,I$34,K493&lt;K$38,I$36,K493&lt;K$40,I$38,K493&lt;K$42,I$40,K493&lt;K$44,I$42,K493&lt;K$46,I$44,K493&gt;=K$46,I$46)</f>
        <v/>
      </c>
      <c r="J493" s="37">
        <f>_xlfn.IFS(K493&lt;K$24,0,K493&lt;K$25,J$24,K493&lt;K$26,J$25,K493&lt;K$27,J$26,K493&lt;K$28,J$27,K493&lt;K$29,J$28,K493&lt;K$30,J$29,K493&lt;K$31,J$30,K493&lt;K$32,J$31,K493&lt;K$33,J$32,K493&lt;K$34,J$33,K493&lt;K$35,J$34,K493&lt;K$36,J$35,K493&lt;K$37,J$36,K493&lt;K$38,J$37,K493&lt;K$39,J$38,K493&lt;K$40,J$39,K493&lt;K$41,J$40,K493&lt;K$42,J$41,K493&lt;K$43,J$42,K493&lt;K$44,J$43,K493&lt;K$45,J$44,K493&lt;K$46,J$45,K493&lt;K$47,J$46,K493&gt;=K$47,J$47)</f>
        <v/>
      </c>
      <c r="K493" s="38" t="n">
        <v>443</v>
      </c>
      <c r="L493" s="31">
        <f>K493/52</f>
        <v/>
      </c>
      <c r="M493" s="39">
        <f>J493/1000000*52</f>
        <v/>
      </c>
      <c r="N493" s="33">
        <f>M493/$P$4+($I$22/$P$4)</f>
        <v/>
      </c>
      <c r="U493">
        <f>F492</f>
        <v/>
      </c>
      <c r="V493">
        <f>H492</f>
        <v/>
      </c>
      <c r="W493">
        <f>N492</f>
        <v/>
      </c>
    </row>
    <row r="494" ht="15.75" customHeight="1" s="40">
      <c r="C494" s="36">
        <f>_xlfn.IFS(E494&lt;E$24,0,E494&lt;E$26,C$24,E494&lt;E$28,C$26,E494&lt;E$30,C$28,E494&lt;E$32,C$30,E494&lt;E$34,C$32,E494&gt;=E$34,C$34)</f>
        <v/>
      </c>
      <c r="D494" s="37">
        <f>_xlfn.IFS(E494&lt;E$24,0,E494&lt;E$25,D$24,E494&lt;E$26,D$25,E494&lt;E$27,D$26,E494&lt;E$28,D$27,E494&lt;E$29,D$28,E494&lt;E$30,D$29,E494&lt;E$31,D$30,E494&lt;E$32,D$31,E494&lt;E$33,D$32,E494&lt;E$34,D$33,E494&lt;E$35,D$34,E494&gt;=E$35,D$35)</f>
        <v/>
      </c>
      <c r="E494" s="38" t="n">
        <v>444</v>
      </c>
      <c r="F494" s="31">
        <f>E494/52</f>
        <v/>
      </c>
      <c r="G494" s="39">
        <f>D494/1000000*52</f>
        <v/>
      </c>
      <c r="H494" s="33">
        <f>G494/$P$4+($C$22/$P$4)</f>
        <v/>
      </c>
      <c r="I494" s="36">
        <f>_xlfn.IFS(K494&lt;K$24,0,K494&lt;K$26,I$24,K494&lt;K$28,I$26,K494&lt;K$30,I$28,K494&lt;K$32,I$30,K494&lt;K$34,I$32,K494&lt;K$36,I$34,K494&lt;K$38,I$36,K494&lt;K$40,I$38,K494&lt;K$42,I$40,K494&lt;K$44,I$42,K494&lt;K$46,I$44,K494&gt;=K$46,I$46)</f>
        <v/>
      </c>
      <c r="J494" s="37">
        <f>_xlfn.IFS(K494&lt;K$24,0,K494&lt;K$25,J$24,K494&lt;K$26,J$25,K494&lt;K$27,J$26,K494&lt;K$28,J$27,K494&lt;K$29,J$28,K494&lt;K$30,J$29,K494&lt;K$31,J$30,K494&lt;K$32,J$31,K494&lt;K$33,J$32,K494&lt;K$34,J$33,K494&lt;K$35,J$34,K494&lt;K$36,J$35,K494&lt;K$37,J$36,K494&lt;K$38,J$37,K494&lt;K$39,J$38,K494&lt;K$40,J$39,K494&lt;K$41,J$40,K494&lt;K$42,J$41,K494&lt;K$43,J$42,K494&lt;K$44,J$43,K494&lt;K$45,J$44,K494&lt;K$46,J$45,K494&lt;K$47,J$46,K494&gt;=K$47,J$47)</f>
        <v/>
      </c>
      <c r="K494" s="38" t="n">
        <v>444</v>
      </c>
      <c r="L494" s="31">
        <f>K494/52</f>
        <v/>
      </c>
      <c r="M494" s="39">
        <f>J494/1000000*52</f>
        <v/>
      </c>
      <c r="N494" s="33">
        <f>M494/$P$4+($I$22/$P$4)</f>
        <v/>
      </c>
      <c r="U494">
        <f>F493</f>
        <v/>
      </c>
      <c r="V494">
        <f>H493</f>
        <v/>
      </c>
      <c r="W494">
        <f>N493</f>
        <v/>
      </c>
    </row>
    <row r="495" ht="15.75" customHeight="1" s="40">
      <c r="C495" s="36">
        <f>_xlfn.IFS(E495&lt;E$24,0,E495&lt;E$26,C$24,E495&lt;E$28,C$26,E495&lt;E$30,C$28,E495&lt;E$32,C$30,E495&lt;E$34,C$32,E495&gt;=E$34,C$34)</f>
        <v/>
      </c>
      <c r="D495" s="37">
        <f>_xlfn.IFS(E495&lt;E$24,0,E495&lt;E$25,D$24,E495&lt;E$26,D$25,E495&lt;E$27,D$26,E495&lt;E$28,D$27,E495&lt;E$29,D$28,E495&lt;E$30,D$29,E495&lt;E$31,D$30,E495&lt;E$32,D$31,E495&lt;E$33,D$32,E495&lt;E$34,D$33,E495&lt;E$35,D$34,E495&gt;=E$35,D$35)</f>
        <v/>
      </c>
      <c r="E495" s="38" t="n">
        <v>445</v>
      </c>
      <c r="F495" s="31">
        <f>E495/52</f>
        <v/>
      </c>
      <c r="G495" s="39">
        <f>D495/1000000*52</f>
        <v/>
      </c>
      <c r="H495" s="33">
        <f>G495/$P$4+($C$22/$P$4)</f>
        <v/>
      </c>
      <c r="I495" s="36">
        <f>_xlfn.IFS(K495&lt;K$24,0,K495&lt;K$26,I$24,K495&lt;K$28,I$26,K495&lt;K$30,I$28,K495&lt;K$32,I$30,K495&lt;K$34,I$32,K495&lt;K$36,I$34,K495&lt;K$38,I$36,K495&lt;K$40,I$38,K495&lt;K$42,I$40,K495&lt;K$44,I$42,K495&lt;K$46,I$44,K495&gt;=K$46,I$46)</f>
        <v/>
      </c>
      <c r="J495" s="37">
        <f>_xlfn.IFS(K495&lt;K$24,0,K495&lt;K$25,J$24,K495&lt;K$26,J$25,K495&lt;K$27,J$26,K495&lt;K$28,J$27,K495&lt;K$29,J$28,K495&lt;K$30,J$29,K495&lt;K$31,J$30,K495&lt;K$32,J$31,K495&lt;K$33,J$32,K495&lt;K$34,J$33,K495&lt;K$35,J$34,K495&lt;K$36,J$35,K495&lt;K$37,J$36,K495&lt;K$38,J$37,K495&lt;K$39,J$38,K495&lt;K$40,J$39,K495&lt;K$41,J$40,K495&lt;K$42,J$41,K495&lt;K$43,J$42,K495&lt;K$44,J$43,K495&lt;K$45,J$44,K495&lt;K$46,J$45,K495&lt;K$47,J$46,K495&gt;=K$47,J$47)</f>
        <v/>
      </c>
      <c r="K495" s="38" t="n">
        <v>445</v>
      </c>
      <c r="L495" s="31">
        <f>K495/52</f>
        <v/>
      </c>
      <c r="M495" s="39">
        <f>J495/1000000*52</f>
        <v/>
      </c>
      <c r="N495" s="33">
        <f>M495/$P$4+($I$22/$P$4)</f>
        <v/>
      </c>
      <c r="U495">
        <f>F494</f>
        <v/>
      </c>
      <c r="V495">
        <f>H494</f>
        <v/>
      </c>
      <c r="W495">
        <f>N494</f>
        <v/>
      </c>
    </row>
    <row r="496" ht="15.75" customHeight="1" s="40">
      <c r="C496" s="36">
        <f>_xlfn.IFS(E496&lt;E$24,0,E496&lt;E$26,C$24,E496&lt;E$28,C$26,E496&lt;E$30,C$28,E496&lt;E$32,C$30,E496&lt;E$34,C$32,E496&gt;=E$34,C$34)</f>
        <v/>
      </c>
      <c r="D496" s="37">
        <f>_xlfn.IFS(E496&lt;E$24,0,E496&lt;E$25,D$24,E496&lt;E$26,D$25,E496&lt;E$27,D$26,E496&lt;E$28,D$27,E496&lt;E$29,D$28,E496&lt;E$30,D$29,E496&lt;E$31,D$30,E496&lt;E$32,D$31,E496&lt;E$33,D$32,E496&lt;E$34,D$33,E496&lt;E$35,D$34,E496&gt;=E$35,D$35)</f>
        <v/>
      </c>
      <c r="E496" s="38" t="n">
        <v>446</v>
      </c>
      <c r="F496" s="31">
        <f>E496/52</f>
        <v/>
      </c>
      <c r="G496" s="39">
        <f>D496/1000000*52</f>
        <v/>
      </c>
      <c r="H496" s="33">
        <f>G496/$P$4+($C$22/$P$4)</f>
        <v/>
      </c>
      <c r="I496" s="36">
        <f>_xlfn.IFS(K496&lt;K$24,0,K496&lt;K$26,I$24,K496&lt;K$28,I$26,K496&lt;K$30,I$28,K496&lt;K$32,I$30,K496&lt;K$34,I$32,K496&lt;K$36,I$34,K496&lt;K$38,I$36,K496&lt;K$40,I$38,K496&lt;K$42,I$40,K496&lt;K$44,I$42,K496&lt;K$46,I$44,K496&gt;=K$46,I$46)</f>
        <v/>
      </c>
      <c r="J496" s="37">
        <f>_xlfn.IFS(K496&lt;K$24,0,K496&lt;K$25,J$24,K496&lt;K$26,J$25,K496&lt;K$27,J$26,K496&lt;K$28,J$27,K496&lt;K$29,J$28,K496&lt;K$30,J$29,K496&lt;K$31,J$30,K496&lt;K$32,J$31,K496&lt;K$33,J$32,K496&lt;K$34,J$33,K496&lt;K$35,J$34,K496&lt;K$36,J$35,K496&lt;K$37,J$36,K496&lt;K$38,J$37,K496&lt;K$39,J$38,K496&lt;K$40,J$39,K496&lt;K$41,J$40,K496&lt;K$42,J$41,K496&lt;K$43,J$42,K496&lt;K$44,J$43,K496&lt;K$45,J$44,K496&lt;K$46,J$45,K496&lt;K$47,J$46,K496&gt;=K$47,J$47)</f>
        <v/>
      </c>
      <c r="K496" s="38" t="n">
        <v>446</v>
      </c>
      <c r="L496" s="31">
        <f>K496/52</f>
        <v/>
      </c>
      <c r="M496" s="39">
        <f>J496/1000000*52</f>
        <v/>
      </c>
      <c r="N496" s="33">
        <f>M496/$P$4+($I$22/$P$4)</f>
        <v/>
      </c>
      <c r="U496">
        <f>F495</f>
        <v/>
      </c>
      <c r="V496">
        <f>H495</f>
        <v/>
      </c>
      <c r="W496">
        <f>N495</f>
        <v/>
      </c>
    </row>
    <row r="497" ht="15.75" customHeight="1" s="40">
      <c r="C497" s="36">
        <f>_xlfn.IFS(E497&lt;E$24,0,E497&lt;E$26,C$24,E497&lt;E$28,C$26,E497&lt;E$30,C$28,E497&lt;E$32,C$30,E497&lt;E$34,C$32,E497&gt;=E$34,C$34)</f>
        <v/>
      </c>
      <c r="D497" s="37">
        <f>_xlfn.IFS(E497&lt;E$24,0,E497&lt;E$25,D$24,E497&lt;E$26,D$25,E497&lt;E$27,D$26,E497&lt;E$28,D$27,E497&lt;E$29,D$28,E497&lt;E$30,D$29,E497&lt;E$31,D$30,E497&lt;E$32,D$31,E497&lt;E$33,D$32,E497&lt;E$34,D$33,E497&lt;E$35,D$34,E497&gt;=E$35,D$35)</f>
        <v/>
      </c>
      <c r="E497" s="38" t="n">
        <v>447</v>
      </c>
      <c r="F497" s="31">
        <f>E497/52</f>
        <v/>
      </c>
      <c r="G497" s="39">
        <f>D497/1000000*52</f>
        <v/>
      </c>
      <c r="H497" s="33">
        <f>G497/$P$4+($C$22/$P$4)</f>
        <v/>
      </c>
      <c r="I497" s="36">
        <f>_xlfn.IFS(K497&lt;K$24,0,K497&lt;K$26,I$24,K497&lt;K$28,I$26,K497&lt;K$30,I$28,K497&lt;K$32,I$30,K497&lt;K$34,I$32,K497&lt;K$36,I$34,K497&lt;K$38,I$36,K497&lt;K$40,I$38,K497&lt;K$42,I$40,K497&lt;K$44,I$42,K497&lt;K$46,I$44,K497&gt;=K$46,I$46)</f>
        <v/>
      </c>
      <c r="J497" s="37">
        <f>_xlfn.IFS(K497&lt;K$24,0,K497&lt;K$25,J$24,K497&lt;K$26,J$25,K497&lt;K$27,J$26,K497&lt;K$28,J$27,K497&lt;K$29,J$28,K497&lt;K$30,J$29,K497&lt;K$31,J$30,K497&lt;K$32,J$31,K497&lt;K$33,J$32,K497&lt;K$34,J$33,K497&lt;K$35,J$34,K497&lt;K$36,J$35,K497&lt;K$37,J$36,K497&lt;K$38,J$37,K497&lt;K$39,J$38,K497&lt;K$40,J$39,K497&lt;K$41,J$40,K497&lt;K$42,J$41,K497&lt;K$43,J$42,K497&lt;K$44,J$43,K497&lt;K$45,J$44,K497&lt;K$46,J$45,K497&lt;K$47,J$46,K497&gt;=K$47,J$47)</f>
        <v/>
      </c>
      <c r="K497" s="38" t="n">
        <v>447</v>
      </c>
      <c r="L497" s="31">
        <f>K497/52</f>
        <v/>
      </c>
      <c r="M497" s="39">
        <f>J497/1000000*52</f>
        <v/>
      </c>
      <c r="N497" s="33">
        <f>M497/$P$4+($I$22/$P$4)</f>
        <v/>
      </c>
      <c r="U497">
        <f>F496</f>
        <v/>
      </c>
      <c r="V497">
        <f>H496</f>
        <v/>
      </c>
      <c r="W497">
        <f>N496</f>
        <v/>
      </c>
    </row>
    <row r="498" ht="15.75" customHeight="1" s="40">
      <c r="C498" s="36">
        <f>_xlfn.IFS(E498&lt;E$24,0,E498&lt;E$26,C$24,E498&lt;E$28,C$26,E498&lt;E$30,C$28,E498&lt;E$32,C$30,E498&lt;E$34,C$32,E498&gt;=E$34,C$34)</f>
        <v/>
      </c>
      <c r="D498" s="37">
        <f>_xlfn.IFS(E498&lt;E$24,0,E498&lt;E$25,D$24,E498&lt;E$26,D$25,E498&lt;E$27,D$26,E498&lt;E$28,D$27,E498&lt;E$29,D$28,E498&lt;E$30,D$29,E498&lt;E$31,D$30,E498&lt;E$32,D$31,E498&lt;E$33,D$32,E498&lt;E$34,D$33,E498&lt;E$35,D$34,E498&gt;=E$35,D$35)</f>
        <v/>
      </c>
      <c r="E498" s="38" t="n">
        <v>448</v>
      </c>
      <c r="F498" s="31">
        <f>E498/52</f>
        <v/>
      </c>
      <c r="G498" s="39">
        <f>D498/1000000*52</f>
        <v/>
      </c>
      <c r="H498" s="33">
        <f>G498/$P$4+($C$22/$P$4)</f>
        <v/>
      </c>
      <c r="I498" s="36">
        <f>_xlfn.IFS(K498&lt;K$24,0,K498&lt;K$26,I$24,K498&lt;K$28,I$26,K498&lt;K$30,I$28,K498&lt;K$32,I$30,K498&lt;K$34,I$32,K498&lt;K$36,I$34,K498&lt;K$38,I$36,K498&lt;K$40,I$38,K498&lt;K$42,I$40,K498&lt;K$44,I$42,K498&lt;K$46,I$44,K498&gt;=K$46,I$46)</f>
        <v/>
      </c>
      <c r="J498" s="37">
        <f>_xlfn.IFS(K498&lt;K$24,0,K498&lt;K$25,J$24,K498&lt;K$26,J$25,K498&lt;K$27,J$26,K498&lt;K$28,J$27,K498&lt;K$29,J$28,K498&lt;K$30,J$29,K498&lt;K$31,J$30,K498&lt;K$32,J$31,K498&lt;K$33,J$32,K498&lt;K$34,J$33,K498&lt;K$35,J$34,K498&lt;K$36,J$35,K498&lt;K$37,J$36,K498&lt;K$38,J$37,K498&lt;K$39,J$38,K498&lt;K$40,J$39,K498&lt;K$41,J$40,K498&lt;K$42,J$41,K498&lt;K$43,J$42,K498&lt;K$44,J$43,K498&lt;K$45,J$44,K498&lt;K$46,J$45,K498&lt;K$47,J$46,K498&gt;=K$47,J$47)</f>
        <v/>
      </c>
      <c r="K498" s="38" t="n">
        <v>448</v>
      </c>
      <c r="L498" s="31">
        <f>K498/52</f>
        <v/>
      </c>
      <c r="M498" s="39">
        <f>J498/1000000*52</f>
        <v/>
      </c>
      <c r="N498" s="33">
        <f>M498/$P$4+($I$22/$P$4)</f>
        <v/>
      </c>
      <c r="U498">
        <f>F497</f>
        <v/>
      </c>
      <c r="V498">
        <f>H497</f>
        <v/>
      </c>
      <c r="W498">
        <f>N497</f>
        <v/>
      </c>
    </row>
    <row r="499" ht="15.75" customHeight="1" s="40">
      <c r="C499" s="36">
        <f>_xlfn.IFS(E499&lt;E$24,0,E499&lt;E$26,C$24,E499&lt;E$28,C$26,E499&lt;E$30,C$28,E499&lt;E$32,C$30,E499&lt;E$34,C$32,E499&gt;=E$34,C$34)</f>
        <v/>
      </c>
      <c r="D499" s="37">
        <f>_xlfn.IFS(E499&lt;E$24,0,E499&lt;E$25,D$24,E499&lt;E$26,D$25,E499&lt;E$27,D$26,E499&lt;E$28,D$27,E499&lt;E$29,D$28,E499&lt;E$30,D$29,E499&lt;E$31,D$30,E499&lt;E$32,D$31,E499&lt;E$33,D$32,E499&lt;E$34,D$33,E499&lt;E$35,D$34,E499&gt;=E$35,D$35)</f>
        <v/>
      </c>
      <c r="E499" s="38" t="n">
        <v>449</v>
      </c>
      <c r="F499" s="31">
        <f>E499/52</f>
        <v/>
      </c>
      <c r="G499" s="39">
        <f>D499/1000000*52</f>
        <v/>
      </c>
      <c r="H499" s="33">
        <f>G499/$P$4+($C$22/$P$4)</f>
        <v/>
      </c>
      <c r="I499" s="36">
        <f>_xlfn.IFS(K499&lt;K$24,0,K499&lt;K$26,I$24,K499&lt;K$28,I$26,K499&lt;K$30,I$28,K499&lt;K$32,I$30,K499&lt;K$34,I$32,K499&lt;K$36,I$34,K499&lt;K$38,I$36,K499&lt;K$40,I$38,K499&lt;K$42,I$40,K499&lt;K$44,I$42,K499&lt;K$46,I$44,K499&gt;=K$46,I$46)</f>
        <v/>
      </c>
      <c r="J499" s="37">
        <f>_xlfn.IFS(K499&lt;K$24,0,K499&lt;K$25,J$24,K499&lt;K$26,J$25,K499&lt;K$27,J$26,K499&lt;K$28,J$27,K499&lt;K$29,J$28,K499&lt;K$30,J$29,K499&lt;K$31,J$30,K499&lt;K$32,J$31,K499&lt;K$33,J$32,K499&lt;K$34,J$33,K499&lt;K$35,J$34,K499&lt;K$36,J$35,K499&lt;K$37,J$36,K499&lt;K$38,J$37,K499&lt;K$39,J$38,K499&lt;K$40,J$39,K499&lt;K$41,J$40,K499&lt;K$42,J$41,K499&lt;K$43,J$42,K499&lt;K$44,J$43,K499&lt;K$45,J$44,K499&lt;K$46,J$45,K499&lt;K$47,J$46,K499&gt;=K$47,J$47)</f>
        <v/>
      </c>
      <c r="K499" s="38" t="n">
        <v>449</v>
      </c>
      <c r="L499" s="31">
        <f>K499/52</f>
        <v/>
      </c>
      <c r="M499" s="39">
        <f>J499/1000000*52</f>
        <v/>
      </c>
      <c r="N499" s="33">
        <f>M499/$P$4+($I$22/$P$4)</f>
        <v/>
      </c>
      <c r="U499">
        <f>F498</f>
        <v/>
      </c>
      <c r="V499">
        <f>H498</f>
        <v/>
      </c>
      <c r="W499">
        <f>N498</f>
        <v/>
      </c>
    </row>
    <row r="500" ht="15.75" customHeight="1" s="40">
      <c r="C500" s="36">
        <f>_xlfn.IFS(E500&lt;E$24,0,E500&lt;E$26,C$24,E500&lt;E$28,C$26,E500&lt;E$30,C$28,E500&lt;E$32,C$30,E500&lt;E$34,C$32,E500&gt;=E$34,C$34)</f>
        <v/>
      </c>
      <c r="D500" s="37">
        <f>_xlfn.IFS(E500&lt;E$24,0,E500&lt;E$25,D$24,E500&lt;E$26,D$25,E500&lt;E$27,D$26,E500&lt;E$28,D$27,E500&lt;E$29,D$28,E500&lt;E$30,D$29,E500&lt;E$31,D$30,E500&lt;E$32,D$31,E500&lt;E$33,D$32,E500&lt;E$34,D$33,E500&lt;E$35,D$34,E500&gt;=E$35,D$35)</f>
        <v/>
      </c>
      <c r="E500" s="38" t="n">
        <v>450</v>
      </c>
      <c r="F500" s="31">
        <f>E500/52</f>
        <v/>
      </c>
      <c r="G500" s="39">
        <f>D500/1000000*52</f>
        <v/>
      </c>
      <c r="H500" s="33">
        <f>G500/$P$4+($C$22/$P$4)</f>
        <v/>
      </c>
      <c r="I500" s="36">
        <f>_xlfn.IFS(K500&lt;K$24,0,K500&lt;K$26,I$24,K500&lt;K$28,I$26,K500&lt;K$30,I$28,K500&lt;K$32,I$30,K500&lt;K$34,I$32,K500&lt;K$36,I$34,K500&lt;K$38,I$36,K500&lt;K$40,I$38,K500&lt;K$42,I$40,K500&lt;K$44,I$42,K500&lt;K$46,I$44,K500&gt;=K$46,I$46)</f>
        <v/>
      </c>
      <c r="J500" s="37">
        <f>_xlfn.IFS(K500&lt;K$24,0,K500&lt;K$25,J$24,K500&lt;K$26,J$25,K500&lt;K$27,J$26,K500&lt;K$28,J$27,K500&lt;K$29,J$28,K500&lt;K$30,J$29,K500&lt;K$31,J$30,K500&lt;K$32,J$31,K500&lt;K$33,J$32,K500&lt;K$34,J$33,K500&lt;K$35,J$34,K500&lt;K$36,J$35,K500&lt;K$37,J$36,K500&lt;K$38,J$37,K500&lt;K$39,J$38,K500&lt;K$40,J$39,K500&lt;K$41,J$40,K500&lt;K$42,J$41,K500&lt;K$43,J$42,K500&lt;K$44,J$43,K500&lt;K$45,J$44,K500&lt;K$46,J$45,K500&lt;K$47,J$46,K500&gt;=K$47,J$47)</f>
        <v/>
      </c>
      <c r="K500" s="38" t="n">
        <v>450</v>
      </c>
      <c r="L500" s="31">
        <f>K500/52</f>
        <v/>
      </c>
      <c r="M500" s="39">
        <f>J500/1000000*52</f>
        <v/>
      </c>
      <c r="N500" s="33">
        <f>M500/$P$4+($I$22/$P$4)</f>
        <v/>
      </c>
      <c r="U500">
        <f>F499</f>
        <v/>
      </c>
      <c r="V500">
        <f>H499</f>
        <v/>
      </c>
      <c r="W500">
        <f>N499</f>
        <v/>
      </c>
    </row>
    <row r="501" ht="15.75" customHeight="1" s="40">
      <c r="C501" s="36">
        <f>_xlfn.IFS(E501&lt;E$24,0,E501&lt;E$26,C$24,E501&lt;E$28,C$26,E501&lt;E$30,C$28,E501&lt;E$32,C$30,E501&lt;E$34,C$32,E501&gt;=E$34,C$34)</f>
        <v/>
      </c>
      <c r="D501" s="37">
        <f>_xlfn.IFS(E501&lt;E$24,0,E501&lt;E$25,D$24,E501&lt;E$26,D$25,E501&lt;E$27,D$26,E501&lt;E$28,D$27,E501&lt;E$29,D$28,E501&lt;E$30,D$29,E501&lt;E$31,D$30,E501&lt;E$32,D$31,E501&lt;E$33,D$32,E501&lt;E$34,D$33,E501&lt;E$35,D$34,E501&gt;=E$35,D$35)</f>
        <v/>
      </c>
      <c r="E501" s="38" t="n">
        <v>451</v>
      </c>
      <c r="F501" s="31">
        <f>E501/52</f>
        <v/>
      </c>
      <c r="G501" s="39">
        <f>D501/1000000*52</f>
        <v/>
      </c>
      <c r="H501" s="33">
        <f>G501/$P$4+($C$22/$P$4)</f>
        <v/>
      </c>
      <c r="I501" s="36">
        <f>_xlfn.IFS(K501&lt;K$24,0,K501&lt;K$26,I$24,K501&lt;K$28,I$26,K501&lt;K$30,I$28,K501&lt;K$32,I$30,K501&lt;K$34,I$32,K501&lt;K$36,I$34,K501&lt;K$38,I$36,K501&lt;K$40,I$38,K501&lt;K$42,I$40,K501&lt;K$44,I$42,K501&lt;K$46,I$44,K501&gt;=K$46,I$46)</f>
        <v/>
      </c>
      <c r="J501" s="37">
        <f>_xlfn.IFS(K501&lt;K$24,0,K501&lt;K$25,J$24,K501&lt;K$26,J$25,K501&lt;K$27,J$26,K501&lt;K$28,J$27,K501&lt;K$29,J$28,K501&lt;K$30,J$29,K501&lt;K$31,J$30,K501&lt;K$32,J$31,K501&lt;K$33,J$32,K501&lt;K$34,J$33,K501&lt;K$35,J$34,K501&lt;K$36,J$35,K501&lt;K$37,J$36,K501&lt;K$38,J$37,K501&lt;K$39,J$38,K501&lt;K$40,J$39,K501&lt;K$41,J$40,K501&lt;K$42,J$41,K501&lt;K$43,J$42,K501&lt;K$44,J$43,K501&lt;K$45,J$44,K501&lt;K$46,J$45,K501&lt;K$47,J$46,K501&gt;=K$47,J$47)</f>
        <v/>
      </c>
      <c r="K501" s="38" t="n">
        <v>451</v>
      </c>
      <c r="L501" s="31">
        <f>K501/52</f>
        <v/>
      </c>
      <c r="M501" s="39">
        <f>J501/1000000*52</f>
        <v/>
      </c>
      <c r="N501" s="33">
        <f>M501/$P$4+($I$22/$P$4)</f>
        <v/>
      </c>
      <c r="U501">
        <f>F500</f>
        <v/>
      </c>
      <c r="V501">
        <f>H500</f>
        <v/>
      </c>
      <c r="W501">
        <f>N500</f>
        <v/>
      </c>
    </row>
    <row r="502" ht="15.75" customHeight="1" s="40">
      <c r="C502" s="36">
        <f>_xlfn.IFS(E502&lt;E$24,0,E502&lt;E$26,C$24,E502&lt;E$28,C$26,E502&lt;E$30,C$28,E502&lt;E$32,C$30,E502&lt;E$34,C$32,E502&gt;=E$34,C$34)</f>
        <v/>
      </c>
      <c r="D502" s="37">
        <f>_xlfn.IFS(E502&lt;E$24,0,E502&lt;E$25,D$24,E502&lt;E$26,D$25,E502&lt;E$27,D$26,E502&lt;E$28,D$27,E502&lt;E$29,D$28,E502&lt;E$30,D$29,E502&lt;E$31,D$30,E502&lt;E$32,D$31,E502&lt;E$33,D$32,E502&lt;E$34,D$33,E502&lt;E$35,D$34,E502&gt;=E$35,D$35)</f>
        <v/>
      </c>
      <c r="E502" s="38" t="n">
        <v>452</v>
      </c>
      <c r="F502" s="31">
        <f>E502/52</f>
        <v/>
      </c>
      <c r="G502" s="39">
        <f>D502/1000000*52</f>
        <v/>
      </c>
      <c r="H502" s="33">
        <f>G502/$P$4+($C$22/$P$4)</f>
        <v/>
      </c>
      <c r="I502" s="36">
        <f>_xlfn.IFS(K502&lt;K$24,0,K502&lt;K$26,I$24,K502&lt;K$28,I$26,K502&lt;K$30,I$28,K502&lt;K$32,I$30,K502&lt;K$34,I$32,K502&lt;K$36,I$34,K502&lt;K$38,I$36,K502&lt;K$40,I$38,K502&lt;K$42,I$40,K502&lt;K$44,I$42,K502&lt;K$46,I$44,K502&gt;=K$46,I$46)</f>
        <v/>
      </c>
      <c r="J502" s="37">
        <f>_xlfn.IFS(K502&lt;K$24,0,K502&lt;K$25,J$24,K502&lt;K$26,J$25,K502&lt;K$27,J$26,K502&lt;K$28,J$27,K502&lt;K$29,J$28,K502&lt;K$30,J$29,K502&lt;K$31,J$30,K502&lt;K$32,J$31,K502&lt;K$33,J$32,K502&lt;K$34,J$33,K502&lt;K$35,J$34,K502&lt;K$36,J$35,K502&lt;K$37,J$36,K502&lt;K$38,J$37,K502&lt;K$39,J$38,K502&lt;K$40,J$39,K502&lt;K$41,J$40,K502&lt;K$42,J$41,K502&lt;K$43,J$42,K502&lt;K$44,J$43,K502&lt;K$45,J$44,K502&lt;K$46,J$45,K502&lt;K$47,J$46,K502&gt;=K$47,J$47)</f>
        <v/>
      </c>
      <c r="K502" s="38" t="n">
        <v>452</v>
      </c>
      <c r="L502" s="31">
        <f>K502/52</f>
        <v/>
      </c>
      <c r="M502" s="39">
        <f>J502/1000000*52</f>
        <v/>
      </c>
      <c r="N502" s="33">
        <f>M502/$P$4+($I$22/$P$4)</f>
        <v/>
      </c>
      <c r="U502">
        <f>F501</f>
        <v/>
      </c>
      <c r="V502">
        <f>H501</f>
        <v/>
      </c>
      <c r="W502">
        <f>N501</f>
        <v/>
      </c>
    </row>
    <row r="503" ht="15.75" customHeight="1" s="40">
      <c r="C503" s="36">
        <f>_xlfn.IFS(E503&lt;E$24,0,E503&lt;E$26,C$24,E503&lt;E$28,C$26,E503&lt;E$30,C$28,E503&lt;E$32,C$30,E503&lt;E$34,C$32,E503&gt;=E$34,C$34)</f>
        <v/>
      </c>
      <c r="D503" s="37">
        <f>_xlfn.IFS(E503&lt;E$24,0,E503&lt;E$25,D$24,E503&lt;E$26,D$25,E503&lt;E$27,D$26,E503&lt;E$28,D$27,E503&lt;E$29,D$28,E503&lt;E$30,D$29,E503&lt;E$31,D$30,E503&lt;E$32,D$31,E503&lt;E$33,D$32,E503&lt;E$34,D$33,E503&lt;E$35,D$34,E503&gt;=E$35,D$35)</f>
        <v/>
      </c>
      <c r="E503" s="38" t="n">
        <v>453</v>
      </c>
      <c r="F503" s="31">
        <f>E503/52</f>
        <v/>
      </c>
      <c r="G503" s="39">
        <f>D503/1000000*52</f>
        <v/>
      </c>
      <c r="H503" s="33">
        <f>G503/$P$4+($C$22/$P$4)</f>
        <v/>
      </c>
      <c r="I503" s="36">
        <f>_xlfn.IFS(K503&lt;K$24,0,K503&lt;K$26,I$24,K503&lt;K$28,I$26,K503&lt;K$30,I$28,K503&lt;K$32,I$30,K503&lt;K$34,I$32,K503&lt;K$36,I$34,K503&lt;K$38,I$36,K503&lt;K$40,I$38,K503&lt;K$42,I$40,K503&lt;K$44,I$42,K503&lt;K$46,I$44,K503&gt;=K$46,I$46)</f>
        <v/>
      </c>
      <c r="J503" s="37">
        <f>_xlfn.IFS(K503&lt;K$24,0,K503&lt;K$25,J$24,K503&lt;K$26,J$25,K503&lt;K$27,J$26,K503&lt;K$28,J$27,K503&lt;K$29,J$28,K503&lt;K$30,J$29,K503&lt;K$31,J$30,K503&lt;K$32,J$31,K503&lt;K$33,J$32,K503&lt;K$34,J$33,K503&lt;K$35,J$34,K503&lt;K$36,J$35,K503&lt;K$37,J$36,K503&lt;K$38,J$37,K503&lt;K$39,J$38,K503&lt;K$40,J$39,K503&lt;K$41,J$40,K503&lt;K$42,J$41,K503&lt;K$43,J$42,K503&lt;K$44,J$43,K503&lt;K$45,J$44,K503&lt;K$46,J$45,K503&lt;K$47,J$46,K503&gt;=K$47,J$47)</f>
        <v/>
      </c>
      <c r="K503" s="38" t="n">
        <v>453</v>
      </c>
      <c r="L503" s="31">
        <f>K503/52</f>
        <v/>
      </c>
      <c r="M503" s="39">
        <f>J503/1000000*52</f>
        <v/>
      </c>
      <c r="N503" s="33">
        <f>M503/$P$4+($I$22/$P$4)</f>
        <v/>
      </c>
      <c r="U503">
        <f>F502</f>
        <v/>
      </c>
      <c r="V503">
        <f>H502</f>
        <v/>
      </c>
      <c r="W503">
        <f>N502</f>
        <v/>
      </c>
    </row>
    <row r="504" ht="15.75" customHeight="1" s="40">
      <c r="C504" s="36">
        <f>_xlfn.IFS(E504&lt;E$24,0,E504&lt;E$26,C$24,E504&lt;E$28,C$26,E504&lt;E$30,C$28,E504&lt;E$32,C$30,E504&lt;E$34,C$32,E504&gt;=E$34,C$34)</f>
        <v/>
      </c>
      <c r="D504" s="37">
        <f>_xlfn.IFS(E504&lt;E$24,0,E504&lt;E$25,D$24,E504&lt;E$26,D$25,E504&lt;E$27,D$26,E504&lt;E$28,D$27,E504&lt;E$29,D$28,E504&lt;E$30,D$29,E504&lt;E$31,D$30,E504&lt;E$32,D$31,E504&lt;E$33,D$32,E504&lt;E$34,D$33,E504&lt;E$35,D$34,E504&gt;=E$35,D$35)</f>
        <v/>
      </c>
      <c r="E504" s="38" t="n">
        <v>454</v>
      </c>
      <c r="F504" s="31">
        <f>E504/52</f>
        <v/>
      </c>
      <c r="G504" s="39">
        <f>D504/1000000*52</f>
        <v/>
      </c>
      <c r="H504" s="33">
        <f>G504/$P$4+($C$22/$P$4)</f>
        <v/>
      </c>
      <c r="I504" s="36">
        <f>_xlfn.IFS(K504&lt;K$24,0,K504&lt;K$26,I$24,K504&lt;K$28,I$26,K504&lt;K$30,I$28,K504&lt;K$32,I$30,K504&lt;K$34,I$32,K504&lt;K$36,I$34,K504&lt;K$38,I$36,K504&lt;K$40,I$38,K504&lt;K$42,I$40,K504&lt;K$44,I$42,K504&lt;K$46,I$44,K504&gt;=K$46,I$46)</f>
        <v/>
      </c>
      <c r="J504" s="37">
        <f>_xlfn.IFS(K504&lt;K$24,0,K504&lt;K$25,J$24,K504&lt;K$26,J$25,K504&lt;K$27,J$26,K504&lt;K$28,J$27,K504&lt;K$29,J$28,K504&lt;K$30,J$29,K504&lt;K$31,J$30,K504&lt;K$32,J$31,K504&lt;K$33,J$32,K504&lt;K$34,J$33,K504&lt;K$35,J$34,K504&lt;K$36,J$35,K504&lt;K$37,J$36,K504&lt;K$38,J$37,K504&lt;K$39,J$38,K504&lt;K$40,J$39,K504&lt;K$41,J$40,K504&lt;K$42,J$41,K504&lt;K$43,J$42,K504&lt;K$44,J$43,K504&lt;K$45,J$44,K504&lt;K$46,J$45,K504&lt;K$47,J$46,K504&gt;=K$47,J$47)</f>
        <v/>
      </c>
      <c r="K504" s="38" t="n">
        <v>454</v>
      </c>
      <c r="L504" s="31">
        <f>K504/52</f>
        <v/>
      </c>
      <c r="M504" s="39">
        <f>J504/1000000*52</f>
        <v/>
      </c>
      <c r="N504" s="33">
        <f>M504/$P$4+($I$22/$P$4)</f>
        <v/>
      </c>
      <c r="U504">
        <f>F503</f>
        <v/>
      </c>
      <c r="V504">
        <f>H503</f>
        <v/>
      </c>
      <c r="W504">
        <f>N503</f>
        <v/>
      </c>
    </row>
    <row r="505" ht="15.75" customHeight="1" s="40">
      <c r="C505" s="36">
        <f>_xlfn.IFS(E505&lt;E$24,0,E505&lt;E$26,C$24,E505&lt;E$28,C$26,E505&lt;E$30,C$28,E505&lt;E$32,C$30,E505&lt;E$34,C$32,E505&gt;=E$34,C$34)</f>
        <v/>
      </c>
      <c r="D505" s="37">
        <f>_xlfn.IFS(E505&lt;E$24,0,E505&lt;E$25,D$24,E505&lt;E$26,D$25,E505&lt;E$27,D$26,E505&lt;E$28,D$27,E505&lt;E$29,D$28,E505&lt;E$30,D$29,E505&lt;E$31,D$30,E505&lt;E$32,D$31,E505&lt;E$33,D$32,E505&lt;E$34,D$33,E505&lt;E$35,D$34,E505&gt;=E$35,D$35)</f>
        <v/>
      </c>
      <c r="E505" s="38" t="n">
        <v>455</v>
      </c>
      <c r="F505" s="31">
        <f>E505/52</f>
        <v/>
      </c>
      <c r="G505" s="39">
        <f>D505/1000000*52</f>
        <v/>
      </c>
      <c r="H505" s="33">
        <f>G505/$P$4+($C$22/$P$4)</f>
        <v/>
      </c>
      <c r="I505" s="36">
        <f>_xlfn.IFS(K505&lt;K$24,0,K505&lt;K$26,I$24,K505&lt;K$28,I$26,K505&lt;K$30,I$28,K505&lt;K$32,I$30,K505&lt;K$34,I$32,K505&lt;K$36,I$34,K505&lt;K$38,I$36,K505&lt;K$40,I$38,K505&lt;K$42,I$40,K505&lt;K$44,I$42,K505&lt;K$46,I$44,K505&gt;=K$46,I$46)</f>
        <v/>
      </c>
      <c r="J505" s="37">
        <f>_xlfn.IFS(K505&lt;K$24,0,K505&lt;K$25,J$24,K505&lt;K$26,J$25,K505&lt;K$27,J$26,K505&lt;K$28,J$27,K505&lt;K$29,J$28,K505&lt;K$30,J$29,K505&lt;K$31,J$30,K505&lt;K$32,J$31,K505&lt;K$33,J$32,K505&lt;K$34,J$33,K505&lt;K$35,J$34,K505&lt;K$36,J$35,K505&lt;K$37,J$36,K505&lt;K$38,J$37,K505&lt;K$39,J$38,K505&lt;K$40,J$39,K505&lt;K$41,J$40,K505&lt;K$42,J$41,K505&lt;K$43,J$42,K505&lt;K$44,J$43,K505&lt;K$45,J$44,K505&lt;K$46,J$45,K505&lt;K$47,J$46,K505&gt;=K$47,J$47)</f>
        <v/>
      </c>
      <c r="K505" s="38" t="n">
        <v>455</v>
      </c>
      <c r="L505" s="31">
        <f>K505/52</f>
        <v/>
      </c>
      <c r="M505" s="39">
        <f>J505/1000000*52</f>
        <v/>
      </c>
      <c r="N505" s="33">
        <f>M505/$P$4+($I$22/$P$4)</f>
        <v/>
      </c>
      <c r="U505">
        <f>F504</f>
        <v/>
      </c>
      <c r="V505">
        <f>H504</f>
        <v/>
      </c>
      <c r="W505">
        <f>N504</f>
        <v/>
      </c>
    </row>
    <row r="506" ht="15.75" customHeight="1" s="40">
      <c r="C506" s="36">
        <f>_xlfn.IFS(E506&lt;E$24,0,E506&lt;E$26,C$24,E506&lt;E$28,C$26,E506&lt;E$30,C$28,E506&lt;E$32,C$30,E506&lt;E$34,C$32,E506&gt;=E$34,C$34)</f>
        <v/>
      </c>
      <c r="D506" s="37">
        <f>_xlfn.IFS(E506&lt;E$24,0,E506&lt;E$25,D$24,E506&lt;E$26,D$25,E506&lt;E$27,D$26,E506&lt;E$28,D$27,E506&lt;E$29,D$28,E506&lt;E$30,D$29,E506&lt;E$31,D$30,E506&lt;E$32,D$31,E506&lt;E$33,D$32,E506&lt;E$34,D$33,E506&lt;E$35,D$34,E506&gt;=E$35,D$35)</f>
        <v/>
      </c>
      <c r="E506" s="38" t="n">
        <v>456</v>
      </c>
      <c r="F506" s="31">
        <f>E506/52</f>
        <v/>
      </c>
      <c r="G506" s="39">
        <f>D506/1000000*52</f>
        <v/>
      </c>
      <c r="H506" s="33">
        <f>G506/$P$4+($C$22/$P$4)</f>
        <v/>
      </c>
      <c r="I506" s="36">
        <f>_xlfn.IFS(K506&lt;K$24,0,K506&lt;K$26,I$24,K506&lt;K$28,I$26,K506&lt;K$30,I$28,K506&lt;K$32,I$30,K506&lt;K$34,I$32,K506&lt;K$36,I$34,K506&lt;K$38,I$36,K506&lt;K$40,I$38,K506&lt;K$42,I$40,K506&lt;K$44,I$42,K506&lt;K$46,I$44,K506&gt;=K$46,I$46)</f>
        <v/>
      </c>
      <c r="J506" s="37">
        <f>_xlfn.IFS(K506&lt;K$24,0,K506&lt;K$25,J$24,K506&lt;K$26,J$25,K506&lt;K$27,J$26,K506&lt;K$28,J$27,K506&lt;K$29,J$28,K506&lt;K$30,J$29,K506&lt;K$31,J$30,K506&lt;K$32,J$31,K506&lt;K$33,J$32,K506&lt;K$34,J$33,K506&lt;K$35,J$34,K506&lt;K$36,J$35,K506&lt;K$37,J$36,K506&lt;K$38,J$37,K506&lt;K$39,J$38,K506&lt;K$40,J$39,K506&lt;K$41,J$40,K506&lt;K$42,J$41,K506&lt;K$43,J$42,K506&lt;K$44,J$43,K506&lt;K$45,J$44,K506&lt;K$46,J$45,K506&lt;K$47,J$46,K506&gt;=K$47,J$47)</f>
        <v/>
      </c>
      <c r="K506" s="38" t="n">
        <v>456</v>
      </c>
      <c r="L506" s="31">
        <f>K506/52</f>
        <v/>
      </c>
      <c r="M506" s="39">
        <f>J506/1000000*52</f>
        <v/>
      </c>
      <c r="N506" s="33">
        <f>M506/$P$4+($I$22/$P$4)</f>
        <v/>
      </c>
      <c r="U506">
        <f>F505</f>
        <v/>
      </c>
      <c r="V506">
        <f>H505</f>
        <v/>
      </c>
      <c r="W506">
        <f>N505</f>
        <v/>
      </c>
    </row>
    <row r="507" ht="15.75" customHeight="1" s="40">
      <c r="C507" s="36">
        <f>_xlfn.IFS(E507&lt;E$24,0,E507&lt;E$26,C$24,E507&lt;E$28,C$26,E507&lt;E$30,C$28,E507&lt;E$32,C$30,E507&lt;E$34,C$32,E507&gt;=E$34,C$34)</f>
        <v/>
      </c>
      <c r="D507" s="37">
        <f>_xlfn.IFS(E507&lt;E$24,0,E507&lt;E$25,D$24,E507&lt;E$26,D$25,E507&lt;E$27,D$26,E507&lt;E$28,D$27,E507&lt;E$29,D$28,E507&lt;E$30,D$29,E507&lt;E$31,D$30,E507&lt;E$32,D$31,E507&lt;E$33,D$32,E507&lt;E$34,D$33,E507&lt;E$35,D$34,E507&gt;=E$35,D$35)</f>
        <v/>
      </c>
      <c r="E507" s="38" t="n">
        <v>457</v>
      </c>
      <c r="F507" s="31">
        <f>E507/52</f>
        <v/>
      </c>
      <c r="G507" s="39">
        <f>D507/1000000*52</f>
        <v/>
      </c>
      <c r="H507" s="33">
        <f>G507/$P$4+($C$22/$P$4)</f>
        <v/>
      </c>
      <c r="I507" s="36">
        <f>_xlfn.IFS(K507&lt;K$24,0,K507&lt;K$26,I$24,K507&lt;K$28,I$26,K507&lt;K$30,I$28,K507&lt;K$32,I$30,K507&lt;K$34,I$32,K507&lt;K$36,I$34,K507&lt;K$38,I$36,K507&lt;K$40,I$38,K507&lt;K$42,I$40,K507&lt;K$44,I$42,K507&lt;K$46,I$44,K507&gt;=K$46,I$46)</f>
        <v/>
      </c>
      <c r="J507" s="37">
        <f>_xlfn.IFS(K507&lt;K$24,0,K507&lt;K$25,J$24,K507&lt;K$26,J$25,K507&lt;K$27,J$26,K507&lt;K$28,J$27,K507&lt;K$29,J$28,K507&lt;K$30,J$29,K507&lt;K$31,J$30,K507&lt;K$32,J$31,K507&lt;K$33,J$32,K507&lt;K$34,J$33,K507&lt;K$35,J$34,K507&lt;K$36,J$35,K507&lt;K$37,J$36,K507&lt;K$38,J$37,K507&lt;K$39,J$38,K507&lt;K$40,J$39,K507&lt;K$41,J$40,K507&lt;K$42,J$41,K507&lt;K$43,J$42,K507&lt;K$44,J$43,K507&lt;K$45,J$44,K507&lt;K$46,J$45,K507&lt;K$47,J$46,K507&gt;=K$47,J$47)</f>
        <v/>
      </c>
      <c r="K507" s="38" t="n">
        <v>457</v>
      </c>
      <c r="L507" s="31">
        <f>K507/52</f>
        <v/>
      </c>
      <c r="M507" s="39">
        <f>J507/1000000*52</f>
        <v/>
      </c>
      <c r="N507" s="33">
        <f>M507/$P$4+($I$22/$P$4)</f>
        <v/>
      </c>
      <c r="U507">
        <f>F506</f>
        <v/>
      </c>
      <c r="V507">
        <f>H506</f>
        <v/>
      </c>
      <c r="W507">
        <f>N506</f>
        <v/>
      </c>
    </row>
    <row r="508" ht="15.75" customHeight="1" s="40">
      <c r="C508" s="36">
        <f>_xlfn.IFS(E508&lt;E$24,0,E508&lt;E$26,C$24,E508&lt;E$28,C$26,E508&lt;E$30,C$28,E508&lt;E$32,C$30,E508&lt;E$34,C$32,E508&gt;=E$34,C$34)</f>
        <v/>
      </c>
      <c r="D508" s="37">
        <f>_xlfn.IFS(E508&lt;E$24,0,E508&lt;E$25,D$24,E508&lt;E$26,D$25,E508&lt;E$27,D$26,E508&lt;E$28,D$27,E508&lt;E$29,D$28,E508&lt;E$30,D$29,E508&lt;E$31,D$30,E508&lt;E$32,D$31,E508&lt;E$33,D$32,E508&lt;E$34,D$33,E508&lt;E$35,D$34,E508&gt;=E$35,D$35)</f>
        <v/>
      </c>
      <c r="E508" s="38" t="n">
        <v>458</v>
      </c>
      <c r="F508" s="31">
        <f>E508/52</f>
        <v/>
      </c>
      <c r="G508" s="39">
        <f>D508/1000000*52</f>
        <v/>
      </c>
      <c r="H508" s="33">
        <f>G508/$P$4+($C$22/$P$4)</f>
        <v/>
      </c>
      <c r="I508" s="36">
        <f>_xlfn.IFS(K508&lt;K$24,0,K508&lt;K$26,I$24,K508&lt;K$28,I$26,K508&lt;K$30,I$28,K508&lt;K$32,I$30,K508&lt;K$34,I$32,K508&lt;K$36,I$34,K508&lt;K$38,I$36,K508&lt;K$40,I$38,K508&lt;K$42,I$40,K508&lt;K$44,I$42,K508&lt;K$46,I$44,K508&gt;=K$46,I$46)</f>
        <v/>
      </c>
      <c r="J508" s="37">
        <f>_xlfn.IFS(K508&lt;K$24,0,K508&lt;K$25,J$24,K508&lt;K$26,J$25,K508&lt;K$27,J$26,K508&lt;K$28,J$27,K508&lt;K$29,J$28,K508&lt;K$30,J$29,K508&lt;K$31,J$30,K508&lt;K$32,J$31,K508&lt;K$33,J$32,K508&lt;K$34,J$33,K508&lt;K$35,J$34,K508&lt;K$36,J$35,K508&lt;K$37,J$36,K508&lt;K$38,J$37,K508&lt;K$39,J$38,K508&lt;K$40,J$39,K508&lt;K$41,J$40,K508&lt;K$42,J$41,K508&lt;K$43,J$42,K508&lt;K$44,J$43,K508&lt;K$45,J$44,K508&lt;K$46,J$45,K508&lt;K$47,J$46,K508&gt;=K$47,J$47)</f>
        <v/>
      </c>
      <c r="K508" s="38" t="n">
        <v>458</v>
      </c>
      <c r="L508" s="31">
        <f>K508/52</f>
        <v/>
      </c>
      <c r="M508" s="39">
        <f>J508/1000000*52</f>
        <v/>
      </c>
      <c r="N508" s="33">
        <f>M508/$P$4+($I$22/$P$4)</f>
        <v/>
      </c>
      <c r="U508">
        <f>F507</f>
        <v/>
      </c>
      <c r="V508">
        <f>H507</f>
        <v/>
      </c>
      <c r="W508">
        <f>N507</f>
        <v/>
      </c>
    </row>
    <row r="509" ht="15.75" customHeight="1" s="40">
      <c r="C509" s="36">
        <f>_xlfn.IFS(E509&lt;E$24,0,E509&lt;E$26,C$24,E509&lt;E$28,C$26,E509&lt;E$30,C$28,E509&lt;E$32,C$30,E509&lt;E$34,C$32,E509&gt;=E$34,C$34)</f>
        <v/>
      </c>
      <c r="D509" s="37">
        <f>_xlfn.IFS(E509&lt;E$24,0,E509&lt;E$25,D$24,E509&lt;E$26,D$25,E509&lt;E$27,D$26,E509&lt;E$28,D$27,E509&lt;E$29,D$28,E509&lt;E$30,D$29,E509&lt;E$31,D$30,E509&lt;E$32,D$31,E509&lt;E$33,D$32,E509&lt;E$34,D$33,E509&lt;E$35,D$34,E509&gt;=E$35,D$35)</f>
        <v/>
      </c>
      <c r="E509" s="38" t="n">
        <v>459</v>
      </c>
      <c r="F509" s="31">
        <f>E509/52</f>
        <v/>
      </c>
      <c r="G509" s="39">
        <f>D509/1000000*52</f>
        <v/>
      </c>
      <c r="H509" s="33">
        <f>G509/$P$4+($C$22/$P$4)</f>
        <v/>
      </c>
      <c r="I509" s="36">
        <f>_xlfn.IFS(K509&lt;K$24,0,K509&lt;K$26,I$24,K509&lt;K$28,I$26,K509&lt;K$30,I$28,K509&lt;K$32,I$30,K509&lt;K$34,I$32,K509&lt;K$36,I$34,K509&lt;K$38,I$36,K509&lt;K$40,I$38,K509&lt;K$42,I$40,K509&lt;K$44,I$42,K509&lt;K$46,I$44,K509&gt;=K$46,I$46)</f>
        <v/>
      </c>
      <c r="J509" s="37">
        <f>_xlfn.IFS(K509&lt;K$24,0,K509&lt;K$25,J$24,K509&lt;K$26,J$25,K509&lt;K$27,J$26,K509&lt;K$28,J$27,K509&lt;K$29,J$28,K509&lt;K$30,J$29,K509&lt;K$31,J$30,K509&lt;K$32,J$31,K509&lt;K$33,J$32,K509&lt;K$34,J$33,K509&lt;K$35,J$34,K509&lt;K$36,J$35,K509&lt;K$37,J$36,K509&lt;K$38,J$37,K509&lt;K$39,J$38,K509&lt;K$40,J$39,K509&lt;K$41,J$40,K509&lt;K$42,J$41,K509&lt;K$43,J$42,K509&lt;K$44,J$43,K509&lt;K$45,J$44,K509&lt;K$46,J$45,K509&lt;K$47,J$46,K509&gt;=K$47,J$47)</f>
        <v/>
      </c>
      <c r="K509" s="38" t="n">
        <v>459</v>
      </c>
      <c r="L509" s="31">
        <f>K509/52</f>
        <v/>
      </c>
      <c r="M509" s="39">
        <f>J509/1000000*52</f>
        <v/>
      </c>
      <c r="N509" s="33">
        <f>M509/$P$4+($I$22/$P$4)</f>
        <v/>
      </c>
      <c r="U509">
        <f>F508</f>
        <v/>
      </c>
      <c r="V509">
        <f>H508</f>
        <v/>
      </c>
      <c r="W509">
        <f>N508</f>
        <v/>
      </c>
    </row>
    <row r="510" ht="15.75" customHeight="1" s="40">
      <c r="C510" s="36">
        <f>_xlfn.IFS(E510&lt;E$24,0,E510&lt;E$26,C$24,E510&lt;E$28,C$26,E510&lt;E$30,C$28,E510&lt;E$32,C$30,E510&lt;E$34,C$32,E510&gt;=E$34,C$34)</f>
        <v/>
      </c>
      <c r="D510" s="37">
        <f>_xlfn.IFS(E510&lt;E$24,0,E510&lt;E$25,D$24,E510&lt;E$26,D$25,E510&lt;E$27,D$26,E510&lt;E$28,D$27,E510&lt;E$29,D$28,E510&lt;E$30,D$29,E510&lt;E$31,D$30,E510&lt;E$32,D$31,E510&lt;E$33,D$32,E510&lt;E$34,D$33,E510&lt;E$35,D$34,E510&gt;=E$35,D$35)</f>
        <v/>
      </c>
      <c r="E510" s="38" t="n">
        <v>460</v>
      </c>
      <c r="F510" s="31">
        <f>E510/52</f>
        <v/>
      </c>
      <c r="G510" s="39">
        <f>D510/1000000*52</f>
        <v/>
      </c>
      <c r="H510" s="33">
        <f>G510/$P$4+($C$22/$P$4)</f>
        <v/>
      </c>
      <c r="I510" s="36">
        <f>_xlfn.IFS(K510&lt;K$24,0,K510&lt;K$26,I$24,K510&lt;K$28,I$26,K510&lt;K$30,I$28,K510&lt;K$32,I$30,K510&lt;K$34,I$32,K510&lt;K$36,I$34,K510&lt;K$38,I$36,K510&lt;K$40,I$38,K510&lt;K$42,I$40,K510&lt;K$44,I$42,K510&lt;K$46,I$44,K510&gt;=K$46,I$46)</f>
        <v/>
      </c>
      <c r="J510" s="37">
        <f>_xlfn.IFS(K510&lt;K$24,0,K510&lt;K$25,J$24,K510&lt;K$26,J$25,K510&lt;K$27,J$26,K510&lt;K$28,J$27,K510&lt;K$29,J$28,K510&lt;K$30,J$29,K510&lt;K$31,J$30,K510&lt;K$32,J$31,K510&lt;K$33,J$32,K510&lt;K$34,J$33,K510&lt;K$35,J$34,K510&lt;K$36,J$35,K510&lt;K$37,J$36,K510&lt;K$38,J$37,K510&lt;K$39,J$38,K510&lt;K$40,J$39,K510&lt;K$41,J$40,K510&lt;K$42,J$41,K510&lt;K$43,J$42,K510&lt;K$44,J$43,K510&lt;K$45,J$44,K510&lt;K$46,J$45,K510&lt;K$47,J$46,K510&gt;=K$47,J$47)</f>
        <v/>
      </c>
      <c r="K510" s="38" t="n">
        <v>460</v>
      </c>
      <c r="L510" s="31">
        <f>K510/52</f>
        <v/>
      </c>
      <c r="M510" s="39">
        <f>J510/1000000*52</f>
        <v/>
      </c>
      <c r="N510" s="33">
        <f>M510/$P$4+($I$22/$P$4)</f>
        <v/>
      </c>
      <c r="U510">
        <f>F509</f>
        <v/>
      </c>
      <c r="V510">
        <f>H509</f>
        <v/>
      </c>
      <c r="W510">
        <f>N509</f>
        <v/>
      </c>
    </row>
    <row r="511" ht="15.75" customHeight="1" s="40">
      <c r="C511" s="36">
        <f>_xlfn.IFS(E511&lt;E$24,0,E511&lt;E$26,C$24,E511&lt;E$28,C$26,E511&lt;E$30,C$28,E511&lt;E$32,C$30,E511&lt;E$34,C$32,E511&gt;=E$34,C$34)</f>
        <v/>
      </c>
      <c r="D511" s="37">
        <f>_xlfn.IFS(E511&lt;E$24,0,E511&lt;E$25,D$24,E511&lt;E$26,D$25,E511&lt;E$27,D$26,E511&lt;E$28,D$27,E511&lt;E$29,D$28,E511&lt;E$30,D$29,E511&lt;E$31,D$30,E511&lt;E$32,D$31,E511&lt;E$33,D$32,E511&lt;E$34,D$33,E511&lt;E$35,D$34,E511&gt;=E$35,D$35)</f>
        <v/>
      </c>
      <c r="E511" s="38" t="n">
        <v>461</v>
      </c>
      <c r="F511" s="31">
        <f>E511/52</f>
        <v/>
      </c>
      <c r="G511" s="39">
        <f>D511/1000000*52</f>
        <v/>
      </c>
      <c r="H511" s="33">
        <f>G511/$P$4+($C$22/$P$4)</f>
        <v/>
      </c>
      <c r="I511" s="36">
        <f>_xlfn.IFS(K511&lt;K$24,0,K511&lt;K$26,I$24,K511&lt;K$28,I$26,K511&lt;K$30,I$28,K511&lt;K$32,I$30,K511&lt;K$34,I$32,K511&lt;K$36,I$34,K511&lt;K$38,I$36,K511&lt;K$40,I$38,K511&lt;K$42,I$40,K511&lt;K$44,I$42,K511&lt;K$46,I$44,K511&gt;=K$46,I$46)</f>
        <v/>
      </c>
      <c r="J511" s="37">
        <f>_xlfn.IFS(K511&lt;K$24,0,K511&lt;K$25,J$24,K511&lt;K$26,J$25,K511&lt;K$27,J$26,K511&lt;K$28,J$27,K511&lt;K$29,J$28,K511&lt;K$30,J$29,K511&lt;K$31,J$30,K511&lt;K$32,J$31,K511&lt;K$33,J$32,K511&lt;K$34,J$33,K511&lt;K$35,J$34,K511&lt;K$36,J$35,K511&lt;K$37,J$36,K511&lt;K$38,J$37,K511&lt;K$39,J$38,K511&lt;K$40,J$39,K511&lt;K$41,J$40,K511&lt;K$42,J$41,K511&lt;K$43,J$42,K511&lt;K$44,J$43,K511&lt;K$45,J$44,K511&lt;K$46,J$45,K511&lt;K$47,J$46,K511&gt;=K$47,J$47)</f>
        <v/>
      </c>
      <c r="K511" s="38" t="n">
        <v>461</v>
      </c>
      <c r="L511" s="31">
        <f>K511/52</f>
        <v/>
      </c>
      <c r="M511" s="39">
        <f>J511/1000000*52</f>
        <v/>
      </c>
      <c r="N511" s="33">
        <f>M511/$P$4+($I$22/$P$4)</f>
        <v/>
      </c>
      <c r="U511">
        <f>F510</f>
        <v/>
      </c>
      <c r="V511">
        <f>H510</f>
        <v/>
      </c>
      <c r="W511">
        <f>N510</f>
        <v/>
      </c>
    </row>
    <row r="512" ht="15.75" customHeight="1" s="40">
      <c r="C512" s="36">
        <f>_xlfn.IFS(E512&lt;E$24,0,E512&lt;E$26,C$24,E512&lt;E$28,C$26,E512&lt;E$30,C$28,E512&lt;E$32,C$30,E512&lt;E$34,C$32,E512&gt;=E$34,C$34)</f>
        <v/>
      </c>
      <c r="D512" s="37">
        <f>_xlfn.IFS(E512&lt;E$24,0,E512&lt;E$25,D$24,E512&lt;E$26,D$25,E512&lt;E$27,D$26,E512&lt;E$28,D$27,E512&lt;E$29,D$28,E512&lt;E$30,D$29,E512&lt;E$31,D$30,E512&lt;E$32,D$31,E512&lt;E$33,D$32,E512&lt;E$34,D$33,E512&lt;E$35,D$34,E512&gt;=E$35,D$35)</f>
        <v/>
      </c>
      <c r="E512" s="38" t="n">
        <v>462</v>
      </c>
      <c r="F512" s="31">
        <f>E512/52</f>
        <v/>
      </c>
      <c r="G512" s="39">
        <f>D512/1000000*52</f>
        <v/>
      </c>
      <c r="H512" s="33">
        <f>G512/$P$4+($C$22/$P$4)</f>
        <v/>
      </c>
      <c r="I512" s="36">
        <f>_xlfn.IFS(K512&lt;K$24,0,K512&lt;K$26,I$24,K512&lt;K$28,I$26,K512&lt;K$30,I$28,K512&lt;K$32,I$30,K512&lt;K$34,I$32,K512&lt;K$36,I$34,K512&lt;K$38,I$36,K512&lt;K$40,I$38,K512&lt;K$42,I$40,K512&lt;K$44,I$42,K512&lt;K$46,I$44,K512&gt;=K$46,I$46)</f>
        <v/>
      </c>
      <c r="J512" s="37">
        <f>_xlfn.IFS(K512&lt;K$24,0,K512&lt;K$25,J$24,K512&lt;K$26,J$25,K512&lt;K$27,J$26,K512&lt;K$28,J$27,K512&lt;K$29,J$28,K512&lt;K$30,J$29,K512&lt;K$31,J$30,K512&lt;K$32,J$31,K512&lt;K$33,J$32,K512&lt;K$34,J$33,K512&lt;K$35,J$34,K512&lt;K$36,J$35,K512&lt;K$37,J$36,K512&lt;K$38,J$37,K512&lt;K$39,J$38,K512&lt;K$40,J$39,K512&lt;K$41,J$40,K512&lt;K$42,J$41,K512&lt;K$43,J$42,K512&lt;K$44,J$43,K512&lt;K$45,J$44,K512&lt;K$46,J$45,K512&lt;K$47,J$46,K512&gt;=K$47,J$47)</f>
        <v/>
      </c>
      <c r="K512" s="38" t="n">
        <v>462</v>
      </c>
      <c r="L512" s="31">
        <f>K512/52</f>
        <v/>
      </c>
      <c r="M512" s="39">
        <f>J512/1000000*52</f>
        <v/>
      </c>
      <c r="N512" s="33">
        <f>M512/$P$4+($I$22/$P$4)</f>
        <v/>
      </c>
      <c r="U512">
        <f>F511</f>
        <v/>
      </c>
      <c r="V512">
        <f>H511</f>
        <v/>
      </c>
      <c r="W512">
        <f>N511</f>
        <v/>
      </c>
    </row>
    <row r="513" ht="15.75" customHeight="1" s="40">
      <c r="C513" s="36">
        <f>_xlfn.IFS(E513&lt;E$24,0,E513&lt;E$26,C$24,E513&lt;E$28,C$26,E513&lt;E$30,C$28,E513&lt;E$32,C$30,E513&lt;E$34,C$32,E513&gt;=E$34,C$34)</f>
        <v/>
      </c>
      <c r="D513" s="37">
        <f>_xlfn.IFS(E513&lt;E$24,0,E513&lt;E$25,D$24,E513&lt;E$26,D$25,E513&lt;E$27,D$26,E513&lt;E$28,D$27,E513&lt;E$29,D$28,E513&lt;E$30,D$29,E513&lt;E$31,D$30,E513&lt;E$32,D$31,E513&lt;E$33,D$32,E513&lt;E$34,D$33,E513&lt;E$35,D$34,E513&gt;=E$35,D$35)</f>
        <v/>
      </c>
      <c r="E513" s="38" t="n">
        <v>463</v>
      </c>
      <c r="F513" s="31">
        <f>E513/52</f>
        <v/>
      </c>
      <c r="G513" s="39">
        <f>D513/1000000*52</f>
        <v/>
      </c>
      <c r="H513" s="33">
        <f>G513/$P$4+($C$22/$P$4)</f>
        <v/>
      </c>
      <c r="I513" s="36">
        <f>_xlfn.IFS(K513&lt;K$24,0,K513&lt;K$26,I$24,K513&lt;K$28,I$26,K513&lt;K$30,I$28,K513&lt;K$32,I$30,K513&lt;K$34,I$32,K513&lt;K$36,I$34,K513&lt;K$38,I$36,K513&lt;K$40,I$38,K513&lt;K$42,I$40,K513&lt;K$44,I$42,K513&lt;K$46,I$44,K513&gt;=K$46,I$46)</f>
        <v/>
      </c>
      <c r="J513" s="37">
        <f>_xlfn.IFS(K513&lt;K$24,0,K513&lt;K$25,J$24,K513&lt;K$26,J$25,K513&lt;K$27,J$26,K513&lt;K$28,J$27,K513&lt;K$29,J$28,K513&lt;K$30,J$29,K513&lt;K$31,J$30,K513&lt;K$32,J$31,K513&lt;K$33,J$32,K513&lt;K$34,J$33,K513&lt;K$35,J$34,K513&lt;K$36,J$35,K513&lt;K$37,J$36,K513&lt;K$38,J$37,K513&lt;K$39,J$38,K513&lt;K$40,J$39,K513&lt;K$41,J$40,K513&lt;K$42,J$41,K513&lt;K$43,J$42,K513&lt;K$44,J$43,K513&lt;K$45,J$44,K513&lt;K$46,J$45,K513&lt;K$47,J$46,K513&gt;=K$47,J$47)</f>
        <v/>
      </c>
      <c r="K513" s="38" t="n">
        <v>463</v>
      </c>
      <c r="L513" s="31">
        <f>K513/52</f>
        <v/>
      </c>
      <c r="M513" s="39">
        <f>J513/1000000*52</f>
        <v/>
      </c>
      <c r="N513" s="33">
        <f>M513/$P$4+($I$22/$P$4)</f>
        <v/>
      </c>
      <c r="U513">
        <f>F512</f>
        <v/>
      </c>
      <c r="V513">
        <f>H512</f>
        <v/>
      </c>
      <c r="W513">
        <f>N512</f>
        <v/>
      </c>
    </row>
    <row r="514" ht="15.75" customHeight="1" s="40">
      <c r="C514" s="36">
        <f>_xlfn.IFS(E514&lt;E$24,0,E514&lt;E$26,C$24,E514&lt;E$28,C$26,E514&lt;E$30,C$28,E514&lt;E$32,C$30,E514&lt;E$34,C$32,E514&gt;=E$34,C$34)</f>
        <v/>
      </c>
      <c r="D514" s="37">
        <f>_xlfn.IFS(E514&lt;E$24,0,E514&lt;E$25,D$24,E514&lt;E$26,D$25,E514&lt;E$27,D$26,E514&lt;E$28,D$27,E514&lt;E$29,D$28,E514&lt;E$30,D$29,E514&lt;E$31,D$30,E514&lt;E$32,D$31,E514&lt;E$33,D$32,E514&lt;E$34,D$33,E514&lt;E$35,D$34,E514&gt;=E$35,D$35)</f>
        <v/>
      </c>
      <c r="E514" s="38" t="n">
        <v>464</v>
      </c>
      <c r="F514" s="31">
        <f>E514/52</f>
        <v/>
      </c>
      <c r="G514" s="39">
        <f>D514/1000000*52</f>
        <v/>
      </c>
      <c r="H514" s="33">
        <f>G514/$P$4+($C$22/$P$4)</f>
        <v/>
      </c>
      <c r="I514" s="36">
        <f>_xlfn.IFS(K514&lt;K$24,0,K514&lt;K$26,I$24,K514&lt;K$28,I$26,K514&lt;K$30,I$28,K514&lt;K$32,I$30,K514&lt;K$34,I$32,K514&lt;K$36,I$34,K514&lt;K$38,I$36,K514&lt;K$40,I$38,K514&lt;K$42,I$40,K514&lt;K$44,I$42,K514&lt;K$46,I$44,K514&gt;=K$46,I$46)</f>
        <v/>
      </c>
      <c r="J514" s="37">
        <f>_xlfn.IFS(K514&lt;K$24,0,K514&lt;K$25,J$24,K514&lt;K$26,J$25,K514&lt;K$27,J$26,K514&lt;K$28,J$27,K514&lt;K$29,J$28,K514&lt;K$30,J$29,K514&lt;K$31,J$30,K514&lt;K$32,J$31,K514&lt;K$33,J$32,K514&lt;K$34,J$33,K514&lt;K$35,J$34,K514&lt;K$36,J$35,K514&lt;K$37,J$36,K514&lt;K$38,J$37,K514&lt;K$39,J$38,K514&lt;K$40,J$39,K514&lt;K$41,J$40,K514&lt;K$42,J$41,K514&lt;K$43,J$42,K514&lt;K$44,J$43,K514&lt;K$45,J$44,K514&lt;K$46,J$45,K514&lt;K$47,J$46,K514&gt;=K$47,J$47)</f>
        <v/>
      </c>
      <c r="K514" s="38" t="n">
        <v>464</v>
      </c>
      <c r="L514" s="31">
        <f>K514/52</f>
        <v/>
      </c>
      <c r="M514" s="39">
        <f>J514/1000000*52</f>
        <v/>
      </c>
      <c r="N514" s="33">
        <f>M514/$P$4+($I$22/$P$4)</f>
        <v/>
      </c>
      <c r="U514">
        <f>F513</f>
        <v/>
      </c>
      <c r="V514">
        <f>H513</f>
        <v/>
      </c>
      <c r="W514">
        <f>N513</f>
        <v/>
      </c>
    </row>
    <row r="515" ht="15.75" customHeight="1" s="40">
      <c r="C515" s="36">
        <f>_xlfn.IFS(E515&lt;E$24,0,E515&lt;E$26,C$24,E515&lt;E$28,C$26,E515&lt;E$30,C$28,E515&lt;E$32,C$30,E515&lt;E$34,C$32,E515&gt;=E$34,C$34)</f>
        <v/>
      </c>
      <c r="D515" s="37">
        <f>_xlfn.IFS(E515&lt;E$24,0,E515&lt;E$25,D$24,E515&lt;E$26,D$25,E515&lt;E$27,D$26,E515&lt;E$28,D$27,E515&lt;E$29,D$28,E515&lt;E$30,D$29,E515&lt;E$31,D$30,E515&lt;E$32,D$31,E515&lt;E$33,D$32,E515&lt;E$34,D$33,E515&lt;E$35,D$34,E515&gt;=E$35,D$35)</f>
        <v/>
      </c>
      <c r="E515" s="38" t="n">
        <v>465</v>
      </c>
      <c r="F515" s="31">
        <f>E515/52</f>
        <v/>
      </c>
      <c r="G515" s="39">
        <f>D515/1000000*52</f>
        <v/>
      </c>
      <c r="H515" s="33">
        <f>G515/$P$4+($C$22/$P$4)</f>
        <v/>
      </c>
      <c r="I515" s="36">
        <f>_xlfn.IFS(K515&lt;K$24,0,K515&lt;K$26,I$24,K515&lt;K$28,I$26,K515&lt;K$30,I$28,K515&lt;K$32,I$30,K515&lt;K$34,I$32,K515&lt;K$36,I$34,K515&lt;K$38,I$36,K515&lt;K$40,I$38,K515&lt;K$42,I$40,K515&lt;K$44,I$42,K515&lt;K$46,I$44,K515&gt;=K$46,I$46)</f>
        <v/>
      </c>
      <c r="J515" s="37">
        <f>_xlfn.IFS(K515&lt;K$24,0,K515&lt;K$25,J$24,K515&lt;K$26,J$25,K515&lt;K$27,J$26,K515&lt;K$28,J$27,K515&lt;K$29,J$28,K515&lt;K$30,J$29,K515&lt;K$31,J$30,K515&lt;K$32,J$31,K515&lt;K$33,J$32,K515&lt;K$34,J$33,K515&lt;K$35,J$34,K515&lt;K$36,J$35,K515&lt;K$37,J$36,K515&lt;K$38,J$37,K515&lt;K$39,J$38,K515&lt;K$40,J$39,K515&lt;K$41,J$40,K515&lt;K$42,J$41,K515&lt;K$43,J$42,K515&lt;K$44,J$43,K515&lt;K$45,J$44,K515&lt;K$46,J$45,K515&lt;K$47,J$46,K515&gt;=K$47,J$47)</f>
        <v/>
      </c>
      <c r="K515" s="38" t="n">
        <v>465</v>
      </c>
      <c r="L515" s="31">
        <f>K515/52</f>
        <v/>
      </c>
      <c r="M515" s="39">
        <f>J515/1000000*52</f>
        <v/>
      </c>
      <c r="N515" s="33">
        <f>M515/$P$4+($I$22/$P$4)</f>
        <v/>
      </c>
      <c r="U515">
        <f>F514</f>
        <v/>
      </c>
      <c r="V515">
        <f>H514</f>
        <v/>
      </c>
      <c r="W515">
        <f>N514</f>
        <v/>
      </c>
    </row>
    <row r="516" ht="15.75" customHeight="1" s="40">
      <c r="C516" s="36">
        <f>_xlfn.IFS(E516&lt;E$24,0,E516&lt;E$26,C$24,E516&lt;E$28,C$26,E516&lt;E$30,C$28,E516&lt;E$32,C$30,E516&lt;E$34,C$32,E516&gt;=E$34,C$34)</f>
        <v/>
      </c>
      <c r="D516" s="37">
        <f>_xlfn.IFS(E516&lt;E$24,0,E516&lt;E$25,D$24,E516&lt;E$26,D$25,E516&lt;E$27,D$26,E516&lt;E$28,D$27,E516&lt;E$29,D$28,E516&lt;E$30,D$29,E516&lt;E$31,D$30,E516&lt;E$32,D$31,E516&lt;E$33,D$32,E516&lt;E$34,D$33,E516&lt;E$35,D$34,E516&gt;=E$35,D$35)</f>
        <v/>
      </c>
      <c r="E516" s="38" t="n">
        <v>466</v>
      </c>
      <c r="F516" s="31">
        <f>E516/52</f>
        <v/>
      </c>
      <c r="G516" s="39">
        <f>D516/1000000*52</f>
        <v/>
      </c>
      <c r="H516" s="33">
        <f>G516/$P$4+($C$22/$P$4)</f>
        <v/>
      </c>
      <c r="I516" s="36">
        <f>_xlfn.IFS(K516&lt;K$24,0,K516&lt;K$26,I$24,K516&lt;K$28,I$26,K516&lt;K$30,I$28,K516&lt;K$32,I$30,K516&lt;K$34,I$32,K516&lt;K$36,I$34,K516&lt;K$38,I$36,K516&lt;K$40,I$38,K516&lt;K$42,I$40,K516&lt;K$44,I$42,K516&lt;K$46,I$44,K516&gt;=K$46,I$46)</f>
        <v/>
      </c>
      <c r="J516" s="37">
        <f>_xlfn.IFS(K516&lt;K$24,0,K516&lt;K$25,J$24,K516&lt;K$26,J$25,K516&lt;K$27,J$26,K516&lt;K$28,J$27,K516&lt;K$29,J$28,K516&lt;K$30,J$29,K516&lt;K$31,J$30,K516&lt;K$32,J$31,K516&lt;K$33,J$32,K516&lt;K$34,J$33,K516&lt;K$35,J$34,K516&lt;K$36,J$35,K516&lt;K$37,J$36,K516&lt;K$38,J$37,K516&lt;K$39,J$38,K516&lt;K$40,J$39,K516&lt;K$41,J$40,K516&lt;K$42,J$41,K516&lt;K$43,J$42,K516&lt;K$44,J$43,K516&lt;K$45,J$44,K516&lt;K$46,J$45,K516&lt;K$47,J$46,K516&gt;=K$47,J$47)</f>
        <v/>
      </c>
      <c r="K516" s="38" t="n">
        <v>466</v>
      </c>
      <c r="L516" s="31">
        <f>K516/52</f>
        <v/>
      </c>
      <c r="M516" s="39">
        <f>J516/1000000*52</f>
        <v/>
      </c>
      <c r="N516" s="33">
        <f>M516/$P$4+($I$22/$P$4)</f>
        <v/>
      </c>
      <c r="U516">
        <f>F515</f>
        <v/>
      </c>
      <c r="V516">
        <f>H515</f>
        <v/>
      </c>
      <c r="W516">
        <f>N515</f>
        <v/>
      </c>
    </row>
    <row r="517" ht="15.75" customHeight="1" s="40">
      <c r="C517" s="36">
        <f>_xlfn.IFS(E517&lt;E$24,0,E517&lt;E$26,C$24,E517&lt;E$28,C$26,E517&lt;E$30,C$28,E517&lt;E$32,C$30,E517&lt;E$34,C$32,E517&gt;=E$34,C$34)</f>
        <v/>
      </c>
      <c r="D517" s="37">
        <f>_xlfn.IFS(E517&lt;E$24,0,E517&lt;E$25,D$24,E517&lt;E$26,D$25,E517&lt;E$27,D$26,E517&lt;E$28,D$27,E517&lt;E$29,D$28,E517&lt;E$30,D$29,E517&lt;E$31,D$30,E517&lt;E$32,D$31,E517&lt;E$33,D$32,E517&lt;E$34,D$33,E517&lt;E$35,D$34,E517&gt;=E$35,D$35)</f>
        <v/>
      </c>
      <c r="E517" s="38" t="n">
        <v>467</v>
      </c>
      <c r="F517" s="31">
        <f>E517/52</f>
        <v/>
      </c>
      <c r="G517" s="39">
        <f>D517/1000000*52</f>
        <v/>
      </c>
      <c r="H517" s="33">
        <f>G517/$P$4+($C$22/$P$4)</f>
        <v/>
      </c>
      <c r="I517" s="36">
        <f>_xlfn.IFS(K517&lt;K$24,0,K517&lt;K$26,I$24,K517&lt;K$28,I$26,K517&lt;K$30,I$28,K517&lt;K$32,I$30,K517&lt;K$34,I$32,K517&lt;K$36,I$34,K517&lt;K$38,I$36,K517&lt;K$40,I$38,K517&lt;K$42,I$40,K517&lt;K$44,I$42,K517&lt;K$46,I$44,K517&gt;=K$46,I$46)</f>
        <v/>
      </c>
      <c r="J517" s="37">
        <f>_xlfn.IFS(K517&lt;K$24,0,K517&lt;K$25,J$24,K517&lt;K$26,J$25,K517&lt;K$27,J$26,K517&lt;K$28,J$27,K517&lt;K$29,J$28,K517&lt;K$30,J$29,K517&lt;K$31,J$30,K517&lt;K$32,J$31,K517&lt;K$33,J$32,K517&lt;K$34,J$33,K517&lt;K$35,J$34,K517&lt;K$36,J$35,K517&lt;K$37,J$36,K517&lt;K$38,J$37,K517&lt;K$39,J$38,K517&lt;K$40,J$39,K517&lt;K$41,J$40,K517&lt;K$42,J$41,K517&lt;K$43,J$42,K517&lt;K$44,J$43,K517&lt;K$45,J$44,K517&lt;K$46,J$45,K517&lt;K$47,J$46,K517&gt;=K$47,J$47)</f>
        <v/>
      </c>
      <c r="K517" s="38" t="n">
        <v>467</v>
      </c>
      <c r="L517" s="31">
        <f>K517/52</f>
        <v/>
      </c>
      <c r="M517" s="39">
        <f>J517/1000000*52</f>
        <v/>
      </c>
      <c r="N517" s="33">
        <f>M517/$P$4+($I$22/$P$4)</f>
        <v/>
      </c>
      <c r="U517">
        <f>F516</f>
        <v/>
      </c>
      <c r="V517">
        <f>H516</f>
        <v/>
      </c>
      <c r="W517">
        <f>N516</f>
        <v/>
      </c>
    </row>
    <row r="518" ht="15.75" customHeight="1" s="40">
      <c r="C518" s="36">
        <f>_xlfn.IFS(E518&lt;E$24,0,E518&lt;E$26,C$24,E518&lt;E$28,C$26,E518&lt;E$30,C$28,E518&lt;E$32,C$30,E518&lt;E$34,C$32,E518&gt;=E$34,C$34)</f>
        <v/>
      </c>
      <c r="D518" s="37">
        <f>_xlfn.IFS(E518&lt;E$24,0,E518&lt;E$25,D$24,E518&lt;E$26,D$25,E518&lt;E$27,D$26,E518&lt;E$28,D$27,E518&lt;E$29,D$28,E518&lt;E$30,D$29,E518&lt;E$31,D$30,E518&lt;E$32,D$31,E518&lt;E$33,D$32,E518&lt;E$34,D$33,E518&lt;E$35,D$34,E518&gt;=E$35,D$35)</f>
        <v/>
      </c>
      <c r="E518" s="38" t="n">
        <v>468</v>
      </c>
      <c r="F518" s="31">
        <f>E518/52</f>
        <v/>
      </c>
      <c r="G518" s="39">
        <f>D518/1000000*52</f>
        <v/>
      </c>
      <c r="H518" s="33">
        <f>G518/$P$4+($C$22/$P$4)</f>
        <v/>
      </c>
      <c r="I518" s="36">
        <f>_xlfn.IFS(K518&lt;K$24,0,K518&lt;K$26,I$24,K518&lt;K$28,I$26,K518&lt;K$30,I$28,K518&lt;K$32,I$30,K518&lt;K$34,I$32,K518&lt;K$36,I$34,K518&lt;K$38,I$36,K518&lt;K$40,I$38,K518&lt;K$42,I$40,K518&lt;K$44,I$42,K518&lt;K$46,I$44,K518&gt;=K$46,I$46)</f>
        <v/>
      </c>
      <c r="J518" s="37">
        <f>_xlfn.IFS(K518&lt;K$24,0,K518&lt;K$25,J$24,K518&lt;K$26,J$25,K518&lt;K$27,J$26,K518&lt;K$28,J$27,K518&lt;K$29,J$28,K518&lt;K$30,J$29,K518&lt;K$31,J$30,K518&lt;K$32,J$31,K518&lt;K$33,J$32,K518&lt;K$34,J$33,K518&lt;K$35,J$34,K518&lt;K$36,J$35,K518&lt;K$37,J$36,K518&lt;K$38,J$37,K518&lt;K$39,J$38,K518&lt;K$40,J$39,K518&lt;K$41,J$40,K518&lt;K$42,J$41,K518&lt;K$43,J$42,K518&lt;K$44,J$43,K518&lt;K$45,J$44,K518&lt;K$46,J$45,K518&lt;K$47,J$46,K518&gt;=K$47,J$47)</f>
        <v/>
      </c>
      <c r="K518" s="38" t="n">
        <v>468</v>
      </c>
      <c r="L518" s="31">
        <f>K518/52</f>
        <v/>
      </c>
      <c r="M518" s="39">
        <f>J518/1000000*52</f>
        <v/>
      </c>
      <c r="N518" s="33">
        <f>M518/$P$4+($I$22/$P$4)</f>
        <v/>
      </c>
      <c r="U518">
        <f>F517</f>
        <v/>
      </c>
      <c r="V518">
        <f>H517</f>
        <v/>
      </c>
      <c r="W518">
        <f>N517</f>
        <v/>
      </c>
    </row>
    <row r="519" ht="15.75" customHeight="1" s="40">
      <c r="C519" s="36">
        <f>_xlfn.IFS(E519&lt;E$24,0,E519&lt;E$26,C$24,E519&lt;E$28,C$26,E519&lt;E$30,C$28,E519&lt;E$32,C$30,E519&lt;E$34,C$32,E519&gt;=E$34,C$34)</f>
        <v/>
      </c>
      <c r="D519" s="37">
        <f>_xlfn.IFS(E519&lt;E$24,0,E519&lt;E$25,D$24,E519&lt;E$26,D$25,E519&lt;E$27,D$26,E519&lt;E$28,D$27,E519&lt;E$29,D$28,E519&lt;E$30,D$29,E519&lt;E$31,D$30,E519&lt;E$32,D$31,E519&lt;E$33,D$32,E519&lt;E$34,D$33,E519&lt;E$35,D$34,E519&gt;=E$35,D$35)</f>
        <v/>
      </c>
      <c r="E519" s="38" t="n">
        <v>469</v>
      </c>
      <c r="F519" s="31">
        <f>E519/52</f>
        <v/>
      </c>
      <c r="G519" s="39">
        <f>D519/1000000*52</f>
        <v/>
      </c>
      <c r="H519" s="33">
        <f>G519/$P$4+($C$22/$P$4)</f>
        <v/>
      </c>
      <c r="I519" s="36">
        <f>_xlfn.IFS(K519&lt;K$24,0,K519&lt;K$26,I$24,K519&lt;K$28,I$26,K519&lt;K$30,I$28,K519&lt;K$32,I$30,K519&lt;K$34,I$32,K519&lt;K$36,I$34,K519&lt;K$38,I$36,K519&lt;K$40,I$38,K519&lt;K$42,I$40,K519&lt;K$44,I$42,K519&lt;K$46,I$44,K519&gt;=K$46,I$46)</f>
        <v/>
      </c>
      <c r="J519" s="37">
        <f>_xlfn.IFS(K519&lt;K$24,0,K519&lt;K$25,J$24,K519&lt;K$26,J$25,K519&lt;K$27,J$26,K519&lt;K$28,J$27,K519&lt;K$29,J$28,K519&lt;K$30,J$29,K519&lt;K$31,J$30,K519&lt;K$32,J$31,K519&lt;K$33,J$32,K519&lt;K$34,J$33,K519&lt;K$35,J$34,K519&lt;K$36,J$35,K519&lt;K$37,J$36,K519&lt;K$38,J$37,K519&lt;K$39,J$38,K519&lt;K$40,J$39,K519&lt;K$41,J$40,K519&lt;K$42,J$41,K519&lt;K$43,J$42,K519&lt;K$44,J$43,K519&lt;K$45,J$44,K519&lt;K$46,J$45,K519&lt;K$47,J$46,K519&gt;=K$47,J$47)</f>
        <v/>
      </c>
      <c r="K519" s="38" t="n">
        <v>469</v>
      </c>
      <c r="L519" s="31">
        <f>K519/52</f>
        <v/>
      </c>
      <c r="M519" s="39">
        <f>J519/1000000*52</f>
        <v/>
      </c>
      <c r="N519" s="33">
        <f>M519/$P$4+($I$22/$P$4)</f>
        <v/>
      </c>
      <c r="U519">
        <f>F518</f>
        <v/>
      </c>
      <c r="V519">
        <f>H518</f>
        <v/>
      </c>
      <c r="W519">
        <f>N518</f>
        <v/>
      </c>
    </row>
    <row r="520" ht="15.75" customHeight="1" s="40">
      <c r="C520" s="36">
        <f>_xlfn.IFS(E520&lt;E$24,0,E520&lt;E$26,C$24,E520&lt;E$28,C$26,E520&lt;E$30,C$28,E520&lt;E$32,C$30,E520&lt;E$34,C$32,E520&gt;=E$34,C$34)</f>
        <v/>
      </c>
      <c r="D520" s="37">
        <f>_xlfn.IFS(E520&lt;E$24,0,E520&lt;E$25,D$24,E520&lt;E$26,D$25,E520&lt;E$27,D$26,E520&lt;E$28,D$27,E520&lt;E$29,D$28,E520&lt;E$30,D$29,E520&lt;E$31,D$30,E520&lt;E$32,D$31,E520&lt;E$33,D$32,E520&lt;E$34,D$33,E520&lt;E$35,D$34,E520&gt;=E$35,D$35)</f>
        <v/>
      </c>
      <c r="E520" s="38" t="n">
        <v>470</v>
      </c>
      <c r="F520" s="31">
        <f>E520/52</f>
        <v/>
      </c>
      <c r="G520" s="39">
        <f>D520/1000000*52</f>
        <v/>
      </c>
      <c r="H520" s="33">
        <f>G520/$P$4+($C$22/$P$4)</f>
        <v/>
      </c>
      <c r="I520" s="36">
        <f>_xlfn.IFS(K520&lt;K$24,0,K520&lt;K$26,I$24,K520&lt;K$28,I$26,K520&lt;K$30,I$28,K520&lt;K$32,I$30,K520&lt;K$34,I$32,K520&lt;K$36,I$34,K520&lt;K$38,I$36,K520&lt;K$40,I$38,K520&lt;K$42,I$40,K520&lt;K$44,I$42,K520&lt;K$46,I$44,K520&gt;=K$46,I$46)</f>
        <v/>
      </c>
      <c r="J520" s="37">
        <f>_xlfn.IFS(K520&lt;K$24,0,K520&lt;K$25,J$24,K520&lt;K$26,J$25,K520&lt;K$27,J$26,K520&lt;K$28,J$27,K520&lt;K$29,J$28,K520&lt;K$30,J$29,K520&lt;K$31,J$30,K520&lt;K$32,J$31,K520&lt;K$33,J$32,K520&lt;K$34,J$33,K520&lt;K$35,J$34,K520&lt;K$36,J$35,K520&lt;K$37,J$36,K520&lt;K$38,J$37,K520&lt;K$39,J$38,K520&lt;K$40,J$39,K520&lt;K$41,J$40,K520&lt;K$42,J$41,K520&lt;K$43,J$42,K520&lt;K$44,J$43,K520&lt;K$45,J$44,K520&lt;K$46,J$45,K520&lt;K$47,J$46,K520&gt;=K$47,J$47)</f>
        <v/>
      </c>
      <c r="K520" s="38" t="n">
        <v>470</v>
      </c>
      <c r="L520" s="31">
        <f>K520/52</f>
        <v/>
      </c>
      <c r="M520" s="39">
        <f>J520/1000000*52</f>
        <v/>
      </c>
      <c r="N520" s="33">
        <f>M520/$P$4+($I$22/$P$4)</f>
        <v/>
      </c>
      <c r="U520">
        <f>F519</f>
        <v/>
      </c>
      <c r="V520">
        <f>H519</f>
        <v/>
      </c>
      <c r="W520">
        <f>N519</f>
        <v/>
      </c>
    </row>
    <row r="521" ht="15.75" customHeight="1" s="40">
      <c r="C521" s="36">
        <f>_xlfn.IFS(E521&lt;E$24,0,E521&lt;E$26,C$24,E521&lt;E$28,C$26,E521&lt;E$30,C$28,E521&lt;E$32,C$30,E521&lt;E$34,C$32,E521&gt;=E$34,C$34)</f>
        <v/>
      </c>
      <c r="D521" s="37">
        <f>_xlfn.IFS(E521&lt;E$24,0,E521&lt;E$25,D$24,E521&lt;E$26,D$25,E521&lt;E$27,D$26,E521&lt;E$28,D$27,E521&lt;E$29,D$28,E521&lt;E$30,D$29,E521&lt;E$31,D$30,E521&lt;E$32,D$31,E521&lt;E$33,D$32,E521&lt;E$34,D$33,E521&lt;E$35,D$34,E521&gt;=E$35,D$35)</f>
        <v/>
      </c>
      <c r="E521" s="38" t="n">
        <v>471</v>
      </c>
      <c r="F521" s="31">
        <f>E521/52</f>
        <v/>
      </c>
      <c r="G521" s="39">
        <f>D521/1000000*52</f>
        <v/>
      </c>
      <c r="H521" s="33">
        <f>G521/$P$4+($C$22/$P$4)</f>
        <v/>
      </c>
      <c r="I521" s="36">
        <f>_xlfn.IFS(K521&lt;K$24,0,K521&lt;K$26,I$24,K521&lt;K$28,I$26,K521&lt;K$30,I$28,K521&lt;K$32,I$30,K521&lt;K$34,I$32,K521&lt;K$36,I$34,K521&lt;K$38,I$36,K521&lt;K$40,I$38,K521&lt;K$42,I$40,K521&lt;K$44,I$42,K521&lt;K$46,I$44,K521&gt;=K$46,I$46)</f>
        <v/>
      </c>
      <c r="J521" s="37">
        <f>_xlfn.IFS(K521&lt;K$24,0,K521&lt;K$25,J$24,K521&lt;K$26,J$25,K521&lt;K$27,J$26,K521&lt;K$28,J$27,K521&lt;K$29,J$28,K521&lt;K$30,J$29,K521&lt;K$31,J$30,K521&lt;K$32,J$31,K521&lt;K$33,J$32,K521&lt;K$34,J$33,K521&lt;K$35,J$34,K521&lt;K$36,J$35,K521&lt;K$37,J$36,K521&lt;K$38,J$37,K521&lt;K$39,J$38,K521&lt;K$40,J$39,K521&lt;K$41,J$40,K521&lt;K$42,J$41,K521&lt;K$43,J$42,K521&lt;K$44,J$43,K521&lt;K$45,J$44,K521&lt;K$46,J$45,K521&lt;K$47,J$46,K521&gt;=K$47,J$47)</f>
        <v/>
      </c>
      <c r="K521" s="38" t="n">
        <v>471</v>
      </c>
      <c r="L521" s="31">
        <f>K521/52</f>
        <v/>
      </c>
      <c r="M521" s="39">
        <f>J521/1000000*52</f>
        <v/>
      </c>
      <c r="N521" s="33">
        <f>M521/$P$4+($I$22/$P$4)</f>
        <v/>
      </c>
      <c r="U521">
        <f>F520</f>
        <v/>
      </c>
      <c r="V521">
        <f>H520</f>
        <v/>
      </c>
      <c r="W521">
        <f>N520</f>
        <v/>
      </c>
    </row>
    <row r="522" ht="15.75" customHeight="1" s="40">
      <c r="C522" s="36">
        <f>_xlfn.IFS(E522&lt;E$24,0,E522&lt;E$26,C$24,E522&lt;E$28,C$26,E522&lt;E$30,C$28,E522&lt;E$32,C$30,E522&lt;E$34,C$32,E522&gt;=E$34,C$34)</f>
        <v/>
      </c>
      <c r="D522" s="37">
        <f>_xlfn.IFS(E522&lt;E$24,0,E522&lt;E$25,D$24,E522&lt;E$26,D$25,E522&lt;E$27,D$26,E522&lt;E$28,D$27,E522&lt;E$29,D$28,E522&lt;E$30,D$29,E522&lt;E$31,D$30,E522&lt;E$32,D$31,E522&lt;E$33,D$32,E522&lt;E$34,D$33,E522&lt;E$35,D$34,E522&gt;=E$35,D$35)</f>
        <v/>
      </c>
      <c r="E522" s="38" t="n">
        <v>472</v>
      </c>
      <c r="F522" s="31">
        <f>E522/52</f>
        <v/>
      </c>
      <c r="G522" s="39">
        <f>D522/1000000*52</f>
        <v/>
      </c>
      <c r="H522" s="33">
        <f>G522/$P$4+($C$22/$P$4)</f>
        <v/>
      </c>
      <c r="I522" s="36">
        <f>_xlfn.IFS(K522&lt;K$24,0,K522&lt;K$26,I$24,K522&lt;K$28,I$26,K522&lt;K$30,I$28,K522&lt;K$32,I$30,K522&lt;K$34,I$32,K522&lt;K$36,I$34,K522&lt;K$38,I$36,K522&lt;K$40,I$38,K522&lt;K$42,I$40,K522&lt;K$44,I$42,K522&lt;K$46,I$44,K522&gt;=K$46,I$46)</f>
        <v/>
      </c>
      <c r="J522" s="37">
        <f>_xlfn.IFS(K522&lt;K$24,0,K522&lt;K$25,J$24,K522&lt;K$26,J$25,K522&lt;K$27,J$26,K522&lt;K$28,J$27,K522&lt;K$29,J$28,K522&lt;K$30,J$29,K522&lt;K$31,J$30,K522&lt;K$32,J$31,K522&lt;K$33,J$32,K522&lt;K$34,J$33,K522&lt;K$35,J$34,K522&lt;K$36,J$35,K522&lt;K$37,J$36,K522&lt;K$38,J$37,K522&lt;K$39,J$38,K522&lt;K$40,J$39,K522&lt;K$41,J$40,K522&lt;K$42,J$41,K522&lt;K$43,J$42,K522&lt;K$44,J$43,K522&lt;K$45,J$44,K522&lt;K$46,J$45,K522&lt;K$47,J$46,K522&gt;=K$47,J$47)</f>
        <v/>
      </c>
      <c r="K522" s="38" t="n">
        <v>472</v>
      </c>
      <c r="L522" s="31">
        <f>K522/52</f>
        <v/>
      </c>
      <c r="M522" s="39">
        <f>J522/1000000*52</f>
        <v/>
      </c>
      <c r="N522" s="33">
        <f>M522/$P$4+($I$22/$P$4)</f>
        <v/>
      </c>
      <c r="U522">
        <f>F521</f>
        <v/>
      </c>
      <c r="V522">
        <f>H521</f>
        <v/>
      </c>
      <c r="W522">
        <f>N521</f>
        <v/>
      </c>
    </row>
    <row r="523" ht="15.75" customHeight="1" s="40">
      <c r="C523" s="36">
        <f>_xlfn.IFS(E523&lt;E$24,0,E523&lt;E$26,C$24,E523&lt;E$28,C$26,E523&lt;E$30,C$28,E523&lt;E$32,C$30,E523&lt;E$34,C$32,E523&gt;=E$34,C$34)</f>
        <v/>
      </c>
      <c r="D523" s="37">
        <f>_xlfn.IFS(E523&lt;E$24,0,E523&lt;E$25,D$24,E523&lt;E$26,D$25,E523&lt;E$27,D$26,E523&lt;E$28,D$27,E523&lt;E$29,D$28,E523&lt;E$30,D$29,E523&lt;E$31,D$30,E523&lt;E$32,D$31,E523&lt;E$33,D$32,E523&lt;E$34,D$33,E523&lt;E$35,D$34,E523&gt;=E$35,D$35)</f>
        <v/>
      </c>
      <c r="E523" s="38" t="n">
        <v>473</v>
      </c>
      <c r="F523" s="31">
        <f>E523/52</f>
        <v/>
      </c>
      <c r="G523" s="39">
        <f>D523/1000000*52</f>
        <v/>
      </c>
      <c r="H523" s="33">
        <f>G523/$P$4+($C$22/$P$4)</f>
        <v/>
      </c>
      <c r="I523" s="36">
        <f>_xlfn.IFS(K523&lt;K$24,0,K523&lt;K$26,I$24,K523&lt;K$28,I$26,K523&lt;K$30,I$28,K523&lt;K$32,I$30,K523&lt;K$34,I$32,K523&lt;K$36,I$34,K523&lt;K$38,I$36,K523&lt;K$40,I$38,K523&lt;K$42,I$40,K523&lt;K$44,I$42,K523&lt;K$46,I$44,K523&gt;=K$46,I$46)</f>
        <v/>
      </c>
      <c r="J523" s="37">
        <f>_xlfn.IFS(K523&lt;K$24,0,K523&lt;K$25,J$24,K523&lt;K$26,J$25,K523&lt;K$27,J$26,K523&lt;K$28,J$27,K523&lt;K$29,J$28,K523&lt;K$30,J$29,K523&lt;K$31,J$30,K523&lt;K$32,J$31,K523&lt;K$33,J$32,K523&lt;K$34,J$33,K523&lt;K$35,J$34,K523&lt;K$36,J$35,K523&lt;K$37,J$36,K523&lt;K$38,J$37,K523&lt;K$39,J$38,K523&lt;K$40,J$39,K523&lt;K$41,J$40,K523&lt;K$42,J$41,K523&lt;K$43,J$42,K523&lt;K$44,J$43,K523&lt;K$45,J$44,K523&lt;K$46,J$45,K523&lt;K$47,J$46,K523&gt;=K$47,J$47)</f>
        <v/>
      </c>
      <c r="K523" s="38" t="n">
        <v>473</v>
      </c>
      <c r="L523" s="31">
        <f>K523/52</f>
        <v/>
      </c>
      <c r="M523" s="39">
        <f>J523/1000000*52</f>
        <v/>
      </c>
      <c r="N523" s="33">
        <f>M523/$P$4+($I$22/$P$4)</f>
        <v/>
      </c>
      <c r="U523">
        <f>F522</f>
        <v/>
      </c>
      <c r="V523">
        <f>H522</f>
        <v/>
      </c>
      <c r="W523">
        <f>N522</f>
        <v/>
      </c>
    </row>
    <row r="524" ht="15.75" customHeight="1" s="40">
      <c r="C524" s="36">
        <f>_xlfn.IFS(E524&lt;E$24,0,E524&lt;E$26,C$24,E524&lt;E$28,C$26,E524&lt;E$30,C$28,E524&lt;E$32,C$30,E524&lt;E$34,C$32,E524&gt;=E$34,C$34)</f>
        <v/>
      </c>
      <c r="D524" s="37">
        <f>_xlfn.IFS(E524&lt;E$24,0,E524&lt;E$25,D$24,E524&lt;E$26,D$25,E524&lt;E$27,D$26,E524&lt;E$28,D$27,E524&lt;E$29,D$28,E524&lt;E$30,D$29,E524&lt;E$31,D$30,E524&lt;E$32,D$31,E524&lt;E$33,D$32,E524&lt;E$34,D$33,E524&lt;E$35,D$34,E524&gt;=E$35,D$35)</f>
        <v/>
      </c>
      <c r="E524" s="38" t="n">
        <v>474</v>
      </c>
      <c r="F524" s="31">
        <f>E524/52</f>
        <v/>
      </c>
      <c r="G524" s="39">
        <f>D524/1000000*52</f>
        <v/>
      </c>
      <c r="H524" s="33">
        <f>G524/$P$4+($C$22/$P$4)</f>
        <v/>
      </c>
      <c r="I524" s="36">
        <f>_xlfn.IFS(K524&lt;K$24,0,K524&lt;K$26,I$24,K524&lt;K$28,I$26,K524&lt;K$30,I$28,K524&lt;K$32,I$30,K524&lt;K$34,I$32,K524&lt;K$36,I$34,K524&lt;K$38,I$36,K524&lt;K$40,I$38,K524&lt;K$42,I$40,K524&lt;K$44,I$42,K524&lt;K$46,I$44,K524&gt;=K$46,I$46)</f>
        <v/>
      </c>
      <c r="J524" s="37">
        <f>_xlfn.IFS(K524&lt;K$24,0,K524&lt;K$25,J$24,K524&lt;K$26,J$25,K524&lt;K$27,J$26,K524&lt;K$28,J$27,K524&lt;K$29,J$28,K524&lt;K$30,J$29,K524&lt;K$31,J$30,K524&lt;K$32,J$31,K524&lt;K$33,J$32,K524&lt;K$34,J$33,K524&lt;K$35,J$34,K524&lt;K$36,J$35,K524&lt;K$37,J$36,K524&lt;K$38,J$37,K524&lt;K$39,J$38,K524&lt;K$40,J$39,K524&lt;K$41,J$40,K524&lt;K$42,J$41,K524&lt;K$43,J$42,K524&lt;K$44,J$43,K524&lt;K$45,J$44,K524&lt;K$46,J$45,K524&lt;K$47,J$46,K524&gt;=K$47,J$47)</f>
        <v/>
      </c>
      <c r="K524" s="38" t="n">
        <v>474</v>
      </c>
      <c r="L524" s="31">
        <f>K524/52</f>
        <v/>
      </c>
      <c r="M524" s="39">
        <f>J524/1000000*52</f>
        <v/>
      </c>
      <c r="N524" s="33">
        <f>M524/$P$4+($I$22/$P$4)</f>
        <v/>
      </c>
      <c r="U524">
        <f>F523</f>
        <v/>
      </c>
      <c r="V524">
        <f>H523</f>
        <v/>
      </c>
      <c r="W524">
        <f>N523</f>
        <v/>
      </c>
    </row>
    <row r="525" ht="15.75" customHeight="1" s="40">
      <c r="C525" s="36">
        <f>_xlfn.IFS(E525&lt;E$24,0,E525&lt;E$26,C$24,E525&lt;E$28,C$26,E525&lt;E$30,C$28,E525&lt;E$32,C$30,E525&lt;E$34,C$32,E525&gt;=E$34,C$34)</f>
        <v/>
      </c>
      <c r="D525" s="37">
        <f>_xlfn.IFS(E525&lt;E$24,0,E525&lt;E$25,D$24,E525&lt;E$26,D$25,E525&lt;E$27,D$26,E525&lt;E$28,D$27,E525&lt;E$29,D$28,E525&lt;E$30,D$29,E525&lt;E$31,D$30,E525&lt;E$32,D$31,E525&lt;E$33,D$32,E525&lt;E$34,D$33,E525&lt;E$35,D$34,E525&gt;=E$35,D$35)</f>
        <v/>
      </c>
      <c r="E525" s="38" t="n">
        <v>475</v>
      </c>
      <c r="F525" s="31">
        <f>E525/52</f>
        <v/>
      </c>
      <c r="G525" s="39">
        <f>D525/1000000*52</f>
        <v/>
      </c>
      <c r="H525" s="33">
        <f>G525/$P$4+($C$22/$P$4)</f>
        <v/>
      </c>
      <c r="I525" s="36">
        <f>_xlfn.IFS(K525&lt;K$24,0,K525&lt;K$26,I$24,K525&lt;K$28,I$26,K525&lt;K$30,I$28,K525&lt;K$32,I$30,K525&lt;K$34,I$32,K525&lt;K$36,I$34,K525&lt;K$38,I$36,K525&lt;K$40,I$38,K525&lt;K$42,I$40,K525&lt;K$44,I$42,K525&lt;K$46,I$44,K525&gt;=K$46,I$46)</f>
        <v/>
      </c>
      <c r="J525" s="37">
        <f>_xlfn.IFS(K525&lt;K$24,0,K525&lt;K$25,J$24,K525&lt;K$26,J$25,K525&lt;K$27,J$26,K525&lt;K$28,J$27,K525&lt;K$29,J$28,K525&lt;K$30,J$29,K525&lt;K$31,J$30,K525&lt;K$32,J$31,K525&lt;K$33,J$32,K525&lt;K$34,J$33,K525&lt;K$35,J$34,K525&lt;K$36,J$35,K525&lt;K$37,J$36,K525&lt;K$38,J$37,K525&lt;K$39,J$38,K525&lt;K$40,J$39,K525&lt;K$41,J$40,K525&lt;K$42,J$41,K525&lt;K$43,J$42,K525&lt;K$44,J$43,K525&lt;K$45,J$44,K525&lt;K$46,J$45,K525&lt;K$47,J$46,K525&gt;=K$47,J$47)</f>
        <v/>
      </c>
      <c r="K525" s="38" t="n">
        <v>475</v>
      </c>
      <c r="L525" s="31">
        <f>K525/52</f>
        <v/>
      </c>
      <c r="M525" s="39">
        <f>J525/1000000*52</f>
        <v/>
      </c>
      <c r="N525" s="33">
        <f>M525/$P$4+($I$22/$P$4)</f>
        <v/>
      </c>
      <c r="U525">
        <f>F524</f>
        <v/>
      </c>
      <c r="V525">
        <f>H524</f>
        <v/>
      </c>
      <c r="W525">
        <f>N524</f>
        <v/>
      </c>
    </row>
    <row r="526" ht="15.75" customHeight="1" s="40">
      <c r="C526" s="36">
        <f>_xlfn.IFS(E526&lt;E$24,0,E526&lt;E$26,C$24,E526&lt;E$28,C$26,E526&lt;E$30,C$28,E526&lt;E$32,C$30,E526&lt;E$34,C$32,E526&gt;=E$34,C$34)</f>
        <v/>
      </c>
      <c r="D526" s="37">
        <f>_xlfn.IFS(E526&lt;E$24,0,E526&lt;E$25,D$24,E526&lt;E$26,D$25,E526&lt;E$27,D$26,E526&lt;E$28,D$27,E526&lt;E$29,D$28,E526&lt;E$30,D$29,E526&lt;E$31,D$30,E526&lt;E$32,D$31,E526&lt;E$33,D$32,E526&lt;E$34,D$33,E526&lt;E$35,D$34,E526&gt;=E$35,D$35)</f>
        <v/>
      </c>
      <c r="E526" s="38" t="n">
        <v>476</v>
      </c>
      <c r="F526" s="31">
        <f>E526/52</f>
        <v/>
      </c>
      <c r="G526" s="39">
        <f>D526/1000000*52</f>
        <v/>
      </c>
      <c r="H526" s="33">
        <f>G526/$P$4+($C$22/$P$4)</f>
        <v/>
      </c>
      <c r="I526" s="36">
        <f>_xlfn.IFS(K526&lt;K$24,0,K526&lt;K$26,I$24,K526&lt;K$28,I$26,K526&lt;K$30,I$28,K526&lt;K$32,I$30,K526&lt;K$34,I$32,K526&lt;K$36,I$34,K526&lt;K$38,I$36,K526&lt;K$40,I$38,K526&lt;K$42,I$40,K526&lt;K$44,I$42,K526&lt;K$46,I$44,K526&gt;=K$46,I$46)</f>
        <v/>
      </c>
      <c r="J526" s="37">
        <f>_xlfn.IFS(K526&lt;K$24,0,K526&lt;K$25,J$24,K526&lt;K$26,J$25,K526&lt;K$27,J$26,K526&lt;K$28,J$27,K526&lt;K$29,J$28,K526&lt;K$30,J$29,K526&lt;K$31,J$30,K526&lt;K$32,J$31,K526&lt;K$33,J$32,K526&lt;K$34,J$33,K526&lt;K$35,J$34,K526&lt;K$36,J$35,K526&lt;K$37,J$36,K526&lt;K$38,J$37,K526&lt;K$39,J$38,K526&lt;K$40,J$39,K526&lt;K$41,J$40,K526&lt;K$42,J$41,K526&lt;K$43,J$42,K526&lt;K$44,J$43,K526&lt;K$45,J$44,K526&lt;K$46,J$45,K526&lt;K$47,J$46,K526&gt;=K$47,J$47)</f>
        <v/>
      </c>
      <c r="K526" s="38" t="n">
        <v>476</v>
      </c>
      <c r="L526" s="31">
        <f>K526/52</f>
        <v/>
      </c>
      <c r="M526" s="39">
        <f>J526/1000000*52</f>
        <v/>
      </c>
      <c r="N526" s="33">
        <f>M526/$P$4+($I$22/$P$4)</f>
        <v/>
      </c>
      <c r="U526">
        <f>F525</f>
        <v/>
      </c>
      <c r="V526">
        <f>H525</f>
        <v/>
      </c>
      <c r="W526">
        <f>N525</f>
        <v/>
      </c>
    </row>
    <row r="527" ht="15.75" customHeight="1" s="40">
      <c r="C527" s="36">
        <f>_xlfn.IFS(E527&lt;E$24,0,E527&lt;E$26,C$24,E527&lt;E$28,C$26,E527&lt;E$30,C$28,E527&lt;E$32,C$30,E527&lt;E$34,C$32,E527&gt;=E$34,C$34)</f>
        <v/>
      </c>
      <c r="D527" s="37">
        <f>_xlfn.IFS(E527&lt;E$24,0,E527&lt;E$25,D$24,E527&lt;E$26,D$25,E527&lt;E$27,D$26,E527&lt;E$28,D$27,E527&lt;E$29,D$28,E527&lt;E$30,D$29,E527&lt;E$31,D$30,E527&lt;E$32,D$31,E527&lt;E$33,D$32,E527&lt;E$34,D$33,E527&lt;E$35,D$34,E527&gt;=E$35,D$35)</f>
        <v/>
      </c>
      <c r="E527" s="38" t="n">
        <v>477</v>
      </c>
      <c r="F527" s="31">
        <f>E527/52</f>
        <v/>
      </c>
      <c r="G527" s="39">
        <f>D527/1000000*52</f>
        <v/>
      </c>
      <c r="H527" s="33">
        <f>G527/$P$4+($C$22/$P$4)</f>
        <v/>
      </c>
      <c r="I527" s="36">
        <f>_xlfn.IFS(K527&lt;K$24,0,K527&lt;K$26,I$24,K527&lt;K$28,I$26,K527&lt;K$30,I$28,K527&lt;K$32,I$30,K527&lt;K$34,I$32,K527&lt;K$36,I$34,K527&lt;K$38,I$36,K527&lt;K$40,I$38,K527&lt;K$42,I$40,K527&lt;K$44,I$42,K527&lt;K$46,I$44,K527&gt;=K$46,I$46)</f>
        <v/>
      </c>
      <c r="J527" s="37">
        <f>_xlfn.IFS(K527&lt;K$24,0,K527&lt;K$25,J$24,K527&lt;K$26,J$25,K527&lt;K$27,J$26,K527&lt;K$28,J$27,K527&lt;K$29,J$28,K527&lt;K$30,J$29,K527&lt;K$31,J$30,K527&lt;K$32,J$31,K527&lt;K$33,J$32,K527&lt;K$34,J$33,K527&lt;K$35,J$34,K527&lt;K$36,J$35,K527&lt;K$37,J$36,K527&lt;K$38,J$37,K527&lt;K$39,J$38,K527&lt;K$40,J$39,K527&lt;K$41,J$40,K527&lt;K$42,J$41,K527&lt;K$43,J$42,K527&lt;K$44,J$43,K527&lt;K$45,J$44,K527&lt;K$46,J$45,K527&lt;K$47,J$46,K527&gt;=K$47,J$47)</f>
        <v/>
      </c>
      <c r="K527" s="38" t="n">
        <v>477</v>
      </c>
      <c r="L527" s="31">
        <f>K527/52</f>
        <v/>
      </c>
      <c r="M527" s="39">
        <f>J527/1000000*52</f>
        <v/>
      </c>
      <c r="N527" s="33">
        <f>M527/$P$4+($I$22/$P$4)</f>
        <v/>
      </c>
      <c r="U527">
        <f>F526</f>
        <v/>
      </c>
      <c r="V527">
        <f>H526</f>
        <v/>
      </c>
      <c r="W527">
        <f>N526</f>
        <v/>
      </c>
    </row>
    <row r="528" ht="15.75" customHeight="1" s="40">
      <c r="C528" s="36">
        <f>_xlfn.IFS(E528&lt;E$24,0,E528&lt;E$26,C$24,E528&lt;E$28,C$26,E528&lt;E$30,C$28,E528&lt;E$32,C$30,E528&lt;E$34,C$32,E528&gt;=E$34,C$34)</f>
        <v/>
      </c>
      <c r="D528" s="37">
        <f>_xlfn.IFS(E528&lt;E$24,0,E528&lt;E$25,D$24,E528&lt;E$26,D$25,E528&lt;E$27,D$26,E528&lt;E$28,D$27,E528&lt;E$29,D$28,E528&lt;E$30,D$29,E528&lt;E$31,D$30,E528&lt;E$32,D$31,E528&lt;E$33,D$32,E528&lt;E$34,D$33,E528&lt;E$35,D$34,E528&gt;=E$35,D$35)</f>
        <v/>
      </c>
      <c r="E528" s="38" t="n">
        <v>478</v>
      </c>
      <c r="F528" s="31">
        <f>E528/52</f>
        <v/>
      </c>
      <c r="G528" s="39">
        <f>D528/1000000*52</f>
        <v/>
      </c>
      <c r="H528" s="33">
        <f>G528/$P$4+($C$22/$P$4)</f>
        <v/>
      </c>
      <c r="I528" s="36">
        <f>_xlfn.IFS(K528&lt;K$24,0,K528&lt;K$26,I$24,K528&lt;K$28,I$26,K528&lt;K$30,I$28,K528&lt;K$32,I$30,K528&lt;K$34,I$32,K528&lt;K$36,I$34,K528&lt;K$38,I$36,K528&lt;K$40,I$38,K528&lt;K$42,I$40,K528&lt;K$44,I$42,K528&lt;K$46,I$44,K528&gt;=K$46,I$46)</f>
        <v/>
      </c>
      <c r="J528" s="37">
        <f>_xlfn.IFS(K528&lt;K$24,0,K528&lt;K$25,J$24,K528&lt;K$26,J$25,K528&lt;K$27,J$26,K528&lt;K$28,J$27,K528&lt;K$29,J$28,K528&lt;K$30,J$29,K528&lt;K$31,J$30,K528&lt;K$32,J$31,K528&lt;K$33,J$32,K528&lt;K$34,J$33,K528&lt;K$35,J$34,K528&lt;K$36,J$35,K528&lt;K$37,J$36,K528&lt;K$38,J$37,K528&lt;K$39,J$38,K528&lt;K$40,J$39,K528&lt;K$41,J$40,K528&lt;K$42,J$41,K528&lt;K$43,J$42,K528&lt;K$44,J$43,K528&lt;K$45,J$44,K528&lt;K$46,J$45,K528&lt;K$47,J$46,K528&gt;=K$47,J$47)</f>
        <v/>
      </c>
      <c r="K528" s="38" t="n">
        <v>478</v>
      </c>
      <c r="L528" s="31">
        <f>K528/52</f>
        <v/>
      </c>
      <c r="M528" s="39">
        <f>J528/1000000*52</f>
        <v/>
      </c>
      <c r="N528" s="33">
        <f>M528/$P$4+($I$22/$P$4)</f>
        <v/>
      </c>
      <c r="U528">
        <f>F527</f>
        <v/>
      </c>
      <c r="V528">
        <f>H527</f>
        <v/>
      </c>
      <c r="W528">
        <f>N527</f>
        <v/>
      </c>
    </row>
    <row r="529" ht="15.75" customHeight="1" s="40">
      <c r="C529" s="36">
        <f>_xlfn.IFS(E529&lt;E$24,0,E529&lt;E$26,C$24,E529&lt;E$28,C$26,E529&lt;E$30,C$28,E529&lt;E$32,C$30,E529&lt;E$34,C$32,E529&gt;=E$34,C$34)</f>
        <v/>
      </c>
      <c r="D529" s="37">
        <f>_xlfn.IFS(E529&lt;E$24,0,E529&lt;E$25,D$24,E529&lt;E$26,D$25,E529&lt;E$27,D$26,E529&lt;E$28,D$27,E529&lt;E$29,D$28,E529&lt;E$30,D$29,E529&lt;E$31,D$30,E529&lt;E$32,D$31,E529&lt;E$33,D$32,E529&lt;E$34,D$33,E529&lt;E$35,D$34,E529&gt;=E$35,D$35)</f>
        <v/>
      </c>
      <c r="E529" s="38" t="n">
        <v>479</v>
      </c>
      <c r="F529" s="31">
        <f>E529/52</f>
        <v/>
      </c>
      <c r="G529" s="39">
        <f>D529/1000000*52</f>
        <v/>
      </c>
      <c r="H529" s="33">
        <f>G529/$P$4+($C$22/$P$4)</f>
        <v/>
      </c>
      <c r="I529" s="36">
        <f>_xlfn.IFS(K529&lt;K$24,0,K529&lt;K$26,I$24,K529&lt;K$28,I$26,K529&lt;K$30,I$28,K529&lt;K$32,I$30,K529&lt;K$34,I$32,K529&lt;K$36,I$34,K529&lt;K$38,I$36,K529&lt;K$40,I$38,K529&lt;K$42,I$40,K529&lt;K$44,I$42,K529&lt;K$46,I$44,K529&gt;=K$46,I$46)</f>
        <v/>
      </c>
      <c r="J529" s="37">
        <f>_xlfn.IFS(K529&lt;K$24,0,K529&lt;K$25,J$24,K529&lt;K$26,J$25,K529&lt;K$27,J$26,K529&lt;K$28,J$27,K529&lt;K$29,J$28,K529&lt;K$30,J$29,K529&lt;K$31,J$30,K529&lt;K$32,J$31,K529&lt;K$33,J$32,K529&lt;K$34,J$33,K529&lt;K$35,J$34,K529&lt;K$36,J$35,K529&lt;K$37,J$36,K529&lt;K$38,J$37,K529&lt;K$39,J$38,K529&lt;K$40,J$39,K529&lt;K$41,J$40,K529&lt;K$42,J$41,K529&lt;K$43,J$42,K529&lt;K$44,J$43,K529&lt;K$45,J$44,K529&lt;K$46,J$45,K529&lt;K$47,J$46,K529&gt;=K$47,J$47)</f>
        <v/>
      </c>
      <c r="K529" s="38" t="n">
        <v>479</v>
      </c>
      <c r="L529" s="31">
        <f>K529/52</f>
        <v/>
      </c>
      <c r="M529" s="39">
        <f>J529/1000000*52</f>
        <v/>
      </c>
      <c r="N529" s="33">
        <f>M529/$P$4+($I$22/$P$4)</f>
        <v/>
      </c>
      <c r="U529">
        <f>F528</f>
        <v/>
      </c>
      <c r="V529">
        <f>H528</f>
        <v/>
      </c>
      <c r="W529">
        <f>N528</f>
        <v/>
      </c>
    </row>
    <row r="530" ht="15.75" customHeight="1" s="40">
      <c r="C530" s="36">
        <f>_xlfn.IFS(E530&lt;E$24,0,E530&lt;E$26,C$24,E530&lt;E$28,C$26,E530&lt;E$30,C$28,E530&lt;E$32,C$30,E530&lt;E$34,C$32,E530&gt;=E$34,C$34)</f>
        <v/>
      </c>
      <c r="D530" s="37">
        <f>_xlfn.IFS(E530&lt;E$24,0,E530&lt;E$25,D$24,E530&lt;E$26,D$25,E530&lt;E$27,D$26,E530&lt;E$28,D$27,E530&lt;E$29,D$28,E530&lt;E$30,D$29,E530&lt;E$31,D$30,E530&lt;E$32,D$31,E530&lt;E$33,D$32,E530&lt;E$34,D$33,E530&lt;E$35,D$34,E530&gt;=E$35,D$35)</f>
        <v/>
      </c>
      <c r="E530" s="38" t="n">
        <v>480</v>
      </c>
      <c r="F530" s="31">
        <f>E530/52</f>
        <v/>
      </c>
      <c r="G530" s="39">
        <f>D530/1000000*52</f>
        <v/>
      </c>
      <c r="H530" s="33">
        <f>G530/$P$4+($C$22/$P$4)</f>
        <v/>
      </c>
      <c r="I530" s="36">
        <f>_xlfn.IFS(K530&lt;K$24,0,K530&lt;K$26,I$24,K530&lt;K$28,I$26,K530&lt;K$30,I$28,K530&lt;K$32,I$30,K530&lt;K$34,I$32,K530&lt;K$36,I$34,K530&lt;K$38,I$36,K530&lt;K$40,I$38,K530&lt;K$42,I$40,K530&lt;K$44,I$42,K530&lt;K$46,I$44,K530&gt;=K$46,I$46)</f>
        <v/>
      </c>
      <c r="J530" s="37">
        <f>_xlfn.IFS(K530&lt;K$24,0,K530&lt;K$25,J$24,K530&lt;K$26,J$25,K530&lt;K$27,J$26,K530&lt;K$28,J$27,K530&lt;K$29,J$28,K530&lt;K$30,J$29,K530&lt;K$31,J$30,K530&lt;K$32,J$31,K530&lt;K$33,J$32,K530&lt;K$34,J$33,K530&lt;K$35,J$34,K530&lt;K$36,J$35,K530&lt;K$37,J$36,K530&lt;K$38,J$37,K530&lt;K$39,J$38,K530&lt;K$40,J$39,K530&lt;K$41,J$40,K530&lt;K$42,J$41,K530&lt;K$43,J$42,K530&lt;K$44,J$43,K530&lt;K$45,J$44,K530&lt;K$46,J$45,K530&lt;K$47,J$46,K530&gt;=K$47,J$47)</f>
        <v/>
      </c>
      <c r="K530" s="38" t="n">
        <v>480</v>
      </c>
      <c r="L530" s="31">
        <f>K530/52</f>
        <v/>
      </c>
      <c r="M530" s="39">
        <f>J530/1000000*52</f>
        <v/>
      </c>
      <c r="N530" s="33">
        <f>M530/$P$4+($I$22/$P$4)</f>
        <v/>
      </c>
      <c r="U530">
        <f>F529</f>
        <v/>
      </c>
      <c r="V530">
        <f>H529</f>
        <v/>
      </c>
      <c r="W530">
        <f>N529</f>
        <v/>
      </c>
    </row>
    <row r="531" ht="15.75" customHeight="1" s="40">
      <c r="C531" s="36">
        <f>_xlfn.IFS(E531&lt;E$24,0,E531&lt;E$26,C$24,E531&lt;E$28,C$26,E531&lt;E$30,C$28,E531&lt;E$32,C$30,E531&lt;E$34,C$32,E531&gt;=E$34,C$34)</f>
        <v/>
      </c>
      <c r="D531" s="37">
        <f>_xlfn.IFS(E531&lt;E$24,0,E531&lt;E$25,D$24,E531&lt;E$26,D$25,E531&lt;E$27,D$26,E531&lt;E$28,D$27,E531&lt;E$29,D$28,E531&lt;E$30,D$29,E531&lt;E$31,D$30,E531&lt;E$32,D$31,E531&lt;E$33,D$32,E531&lt;E$34,D$33,E531&lt;E$35,D$34,E531&gt;=E$35,D$35)</f>
        <v/>
      </c>
      <c r="E531" s="38" t="n">
        <v>481</v>
      </c>
      <c r="F531" s="31">
        <f>E531/52</f>
        <v/>
      </c>
      <c r="G531" s="39">
        <f>D531/1000000*52</f>
        <v/>
      </c>
      <c r="H531" s="33">
        <f>G531/$P$4+($C$22/$P$4)</f>
        <v/>
      </c>
      <c r="I531" s="36">
        <f>_xlfn.IFS(K531&lt;K$24,0,K531&lt;K$26,I$24,K531&lt;K$28,I$26,K531&lt;K$30,I$28,K531&lt;K$32,I$30,K531&lt;K$34,I$32,K531&lt;K$36,I$34,K531&lt;K$38,I$36,K531&lt;K$40,I$38,K531&lt;K$42,I$40,K531&lt;K$44,I$42,K531&lt;K$46,I$44,K531&gt;=K$46,I$46)</f>
        <v/>
      </c>
      <c r="J531" s="37">
        <f>_xlfn.IFS(K531&lt;K$24,0,K531&lt;K$25,J$24,K531&lt;K$26,J$25,K531&lt;K$27,J$26,K531&lt;K$28,J$27,K531&lt;K$29,J$28,K531&lt;K$30,J$29,K531&lt;K$31,J$30,K531&lt;K$32,J$31,K531&lt;K$33,J$32,K531&lt;K$34,J$33,K531&lt;K$35,J$34,K531&lt;K$36,J$35,K531&lt;K$37,J$36,K531&lt;K$38,J$37,K531&lt;K$39,J$38,K531&lt;K$40,J$39,K531&lt;K$41,J$40,K531&lt;K$42,J$41,K531&lt;K$43,J$42,K531&lt;K$44,J$43,K531&lt;K$45,J$44,K531&lt;K$46,J$45,K531&lt;K$47,J$46,K531&gt;=K$47,J$47)</f>
        <v/>
      </c>
      <c r="K531" s="38" t="n">
        <v>481</v>
      </c>
      <c r="L531" s="31">
        <f>K531/52</f>
        <v/>
      </c>
      <c r="M531" s="39">
        <f>J531/1000000*52</f>
        <v/>
      </c>
      <c r="N531" s="33">
        <f>M531/$P$4+($I$22/$P$4)</f>
        <v/>
      </c>
      <c r="U531">
        <f>F530</f>
        <v/>
      </c>
      <c r="V531">
        <f>H530</f>
        <v/>
      </c>
      <c r="W531">
        <f>N530</f>
        <v/>
      </c>
    </row>
    <row r="532" ht="15.75" customHeight="1" s="40">
      <c r="C532" s="36">
        <f>_xlfn.IFS(E532&lt;E$24,0,E532&lt;E$26,C$24,E532&lt;E$28,C$26,E532&lt;E$30,C$28,E532&lt;E$32,C$30,E532&lt;E$34,C$32,E532&gt;=E$34,C$34)</f>
        <v/>
      </c>
      <c r="D532" s="37">
        <f>_xlfn.IFS(E532&lt;E$24,0,E532&lt;E$25,D$24,E532&lt;E$26,D$25,E532&lt;E$27,D$26,E532&lt;E$28,D$27,E532&lt;E$29,D$28,E532&lt;E$30,D$29,E532&lt;E$31,D$30,E532&lt;E$32,D$31,E532&lt;E$33,D$32,E532&lt;E$34,D$33,E532&lt;E$35,D$34,E532&gt;=E$35,D$35)</f>
        <v/>
      </c>
      <c r="E532" s="38" t="n">
        <v>482</v>
      </c>
      <c r="F532" s="31">
        <f>E532/52</f>
        <v/>
      </c>
      <c r="G532" s="39">
        <f>D532/1000000*52</f>
        <v/>
      </c>
      <c r="H532" s="33">
        <f>G532/$P$4+($C$22/$P$4)</f>
        <v/>
      </c>
      <c r="I532" s="36">
        <f>_xlfn.IFS(K532&lt;K$24,0,K532&lt;K$26,I$24,K532&lt;K$28,I$26,K532&lt;K$30,I$28,K532&lt;K$32,I$30,K532&lt;K$34,I$32,K532&lt;K$36,I$34,K532&lt;K$38,I$36,K532&lt;K$40,I$38,K532&lt;K$42,I$40,K532&lt;K$44,I$42,K532&lt;K$46,I$44,K532&gt;=K$46,I$46)</f>
        <v/>
      </c>
      <c r="J532" s="37">
        <f>_xlfn.IFS(K532&lt;K$24,0,K532&lt;K$25,J$24,K532&lt;K$26,J$25,K532&lt;K$27,J$26,K532&lt;K$28,J$27,K532&lt;K$29,J$28,K532&lt;K$30,J$29,K532&lt;K$31,J$30,K532&lt;K$32,J$31,K532&lt;K$33,J$32,K532&lt;K$34,J$33,K532&lt;K$35,J$34,K532&lt;K$36,J$35,K532&lt;K$37,J$36,K532&lt;K$38,J$37,K532&lt;K$39,J$38,K532&lt;K$40,J$39,K532&lt;K$41,J$40,K532&lt;K$42,J$41,K532&lt;K$43,J$42,K532&lt;K$44,J$43,K532&lt;K$45,J$44,K532&lt;K$46,J$45,K532&lt;K$47,J$46,K532&gt;=K$47,J$47)</f>
        <v/>
      </c>
      <c r="K532" s="38" t="n">
        <v>482</v>
      </c>
      <c r="L532" s="31">
        <f>K532/52</f>
        <v/>
      </c>
      <c r="M532" s="39">
        <f>J532/1000000*52</f>
        <v/>
      </c>
      <c r="N532" s="33">
        <f>M532/$P$4+($I$22/$P$4)</f>
        <v/>
      </c>
      <c r="U532">
        <f>F531</f>
        <v/>
      </c>
      <c r="V532">
        <f>H531</f>
        <v/>
      </c>
      <c r="W532">
        <f>N531</f>
        <v/>
      </c>
    </row>
    <row r="533" ht="15.75" customHeight="1" s="40">
      <c r="C533" s="36">
        <f>_xlfn.IFS(E533&lt;E$24,0,E533&lt;E$26,C$24,E533&lt;E$28,C$26,E533&lt;E$30,C$28,E533&lt;E$32,C$30,E533&lt;E$34,C$32,E533&gt;=E$34,C$34)</f>
        <v/>
      </c>
      <c r="D533" s="37">
        <f>_xlfn.IFS(E533&lt;E$24,0,E533&lt;E$25,D$24,E533&lt;E$26,D$25,E533&lt;E$27,D$26,E533&lt;E$28,D$27,E533&lt;E$29,D$28,E533&lt;E$30,D$29,E533&lt;E$31,D$30,E533&lt;E$32,D$31,E533&lt;E$33,D$32,E533&lt;E$34,D$33,E533&lt;E$35,D$34,E533&gt;=E$35,D$35)</f>
        <v/>
      </c>
      <c r="E533" s="38" t="n">
        <v>483</v>
      </c>
      <c r="F533" s="31">
        <f>E533/52</f>
        <v/>
      </c>
      <c r="G533" s="39">
        <f>D533/1000000*52</f>
        <v/>
      </c>
      <c r="H533" s="33">
        <f>G533/$P$4+($C$22/$P$4)</f>
        <v/>
      </c>
      <c r="I533" s="36">
        <f>_xlfn.IFS(K533&lt;K$24,0,K533&lt;K$26,I$24,K533&lt;K$28,I$26,K533&lt;K$30,I$28,K533&lt;K$32,I$30,K533&lt;K$34,I$32,K533&lt;K$36,I$34,K533&lt;K$38,I$36,K533&lt;K$40,I$38,K533&lt;K$42,I$40,K533&lt;K$44,I$42,K533&lt;K$46,I$44,K533&gt;=K$46,I$46)</f>
        <v/>
      </c>
      <c r="J533" s="37">
        <f>_xlfn.IFS(K533&lt;K$24,0,K533&lt;K$25,J$24,K533&lt;K$26,J$25,K533&lt;K$27,J$26,K533&lt;K$28,J$27,K533&lt;K$29,J$28,K533&lt;K$30,J$29,K533&lt;K$31,J$30,K533&lt;K$32,J$31,K533&lt;K$33,J$32,K533&lt;K$34,J$33,K533&lt;K$35,J$34,K533&lt;K$36,J$35,K533&lt;K$37,J$36,K533&lt;K$38,J$37,K533&lt;K$39,J$38,K533&lt;K$40,J$39,K533&lt;K$41,J$40,K533&lt;K$42,J$41,K533&lt;K$43,J$42,K533&lt;K$44,J$43,K533&lt;K$45,J$44,K533&lt;K$46,J$45,K533&lt;K$47,J$46,K533&gt;=K$47,J$47)</f>
        <v/>
      </c>
      <c r="K533" s="38" t="n">
        <v>483</v>
      </c>
      <c r="L533" s="31">
        <f>K533/52</f>
        <v/>
      </c>
      <c r="M533" s="39">
        <f>J533/1000000*52</f>
        <v/>
      </c>
      <c r="N533" s="33">
        <f>M533/$P$4+($I$22/$P$4)</f>
        <v/>
      </c>
      <c r="U533">
        <f>F532</f>
        <v/>
      </c>
      <c r="V533">
        <f>H532</f>
        <v/>
      </c>
      <c r="W533">
        <f>N532</f>
        <v/>
      </c>
    </row>
    <row r="534" ht="15.75" customHeight="1" s="40">
      <c r="C534" s="36">
        <f>_xlfn.IFS(E534&lt;E$24,0,E534&lt;E$26,C$24,E534&lt;E$28,C$26,E534&lt;E$30,C$28,E534&lt;E$32,C$30,E534&lt;E$34,C$32,E534&gt;=E$34,C$34)</f>
        <v/>
      </c>
      <c r="D534" s="37">
        <f>_xlfn.IFS(E534&lt;E$24,0,E534&lt;E$25,D$24,E534&lt;E$26,D$25,E534&lt;E$27,D$26,E534&lt;E$28,D$27,E534&lt;E$29,D$28,E534&lt;E$30,D$29,E534&lt;E$31,D$30,E534&lt;E$32,D$31,E534&lt;E$33,D$32,E534&lt;E$34,D$33,E534&lt;E$35,D$34,E534&gt;=E$35,D$35)</f>
        <v/>
      </c>
      <c r="E534" s="38" t="n">
        <v>484</v>
      </c>
      <c r="F534" s="31">
        <f>E534/52</f>
        <v/>
      </c>
      <c r="G534" s="39">
        <f>D534/1000000*52</f>
        <v/>
      </c>
      <c r="H534" s="33">
        <f>G534/$P$4+($C$22/$P$4)</f>
        <v/>
      </c>
      <c r="I534" s="36">
        <f>_xlfn.IFS(K534&lt;K$24,0,K534&lt;K$26,I$24,K534&lt;K$28,I$26,K534&lt;K$30,I$28,K534&lt;K$32,I$30,K534&lt;K$34,I$32,K534&lt;K$36,I$34,K534&lt;K$38,I$36,K534&lt;K$40,I$38,K534&lt;K$42,I$40,K534&lt;K$44,I$42,K534&lt;K$46,I$44,K534&gt;=K$46,I$46)</f>
        <v/>
      </c>
      <c r="J534" s="37">
        <f>_xlfn.IFS(K534&lt;K$24,0,K534&lt;K$25,J$24,K534&lt;K$26,J$25,K534&lt;K$27,J$26,K534&lt;K$28,J$27,K534&lt;K$29,J$28,K534&lt;K$30,J$29,K534&lt;K$31,J$30,K534&lt;K$32,J$31,K534&lt;K$33,J$32,K534&lt;K$34,J$33,K534&lt;K$35,J$34,K534&lt;K$36,J$35,K534&lt;K$37,J$36,K534&lt;K$38,J$37,K534&lt;K$39,J$38,K534&lt;K$40,J$39,K534&lt;K$41,J$40,K534&lt;K$42,J$41,K534&lt;K$43,J$42,K534&lt;K$44,J$43,K534&lt;K$45,J$44,K534&lt;K$46,J$45,K534&lt;K$47,J$46,K534&gt;=K$47,J$47)</f>
        <v/>
      </c>
      <c r="K534" s="38" t="n">
        <v>484</v>
      </c>
      <c r="L534" s="31">
        <f>K534/52</f>
        <v/>
      </c>
      <c r="M534" s="39">
        <f>J534/1000000*52</f>
        <v/>
      </c>
      <c r="N534" s="33">
        <f>M534/$P$4+($I$22/$P$4)</f>
        <v/>
      </c>
      <c r="U534">
        <f>F533</f>
        <v/>
      </c>
      <c r="V534">
        <f>H533</f>
        <v/>
      </c>
      <c r="W534">
        <f>N533</f>
        <v/>
      </c>
    </row>
    <row r="535" ht="15.75" customHeight="1" s="40">
      <c r="C535" s="36">
        <f>_xlfn.IFS(E535&lt;E$24,0,E535&lt;E$26,C$24,E535&lt;E$28,C$26,E535&lt;E$30,C$28,E535&lt;E$32,C$30,E535&lt;E$34,C$32,E535&gt;=E$34,C$34)</f>
        <v/>
      </c>
      <c r="D535" s="37">
        <f>_xlfn.IFS(E535&lt;E$24,0,E535&lt;E$25,D$24,E535&lt;E$26,D$25,E535&lt;E$27,D$26,E535&lt;E$28,D$27,E535&lt;E$29,D$28,E535&lt;E$30,D$29,E535&lt;E$31,D$30,E535&lt;E$32,D$31,E535&lt;E$33,D$32,E535&lt;E$34,D$33,E535&lt;E$35,D$34,E535&gt;=E$35,D$35)</f>
        <v/>
      </c>
      <c r="E535" s="38" t="n">
        <v>485</v>
      </c>
      <c r="F535" s="31">
        <f>E535/52</f>
        <v/>
      </c>
      <c r="G535" s="39">
        <f>D535/1000000*52</f>
        <v/>
      </c>
      <c r="H535" s="33">
        <f>G535/$P$4+($C$22/$P$4)</f>
        <v/>
      </c>
      <c r="I535" s="36">
        <f>_xlfn.IFS(K535&lt;K$24,0,K535&lt;K$26,I$24,K535&lt;K$28,I$26,K535&lt;K$30,I$28,K535&lt;K$32,I$30,K535&lt;K$34,I$32,K535&lt;K$36,I$34,K535&lt;K$38,I$36,K535&lt;K$40,I$38,K535&lt;K$42,I$40,K535&lt;K$44,I$42,K535&lt;K$46,I$44,K535&gt;=K$46,I$46)</f>
        <v/>
      </c>
      <c r="J535" s="37">
        <f>_xlfn.IFS(K535&lt;K$24,0,K535&lt;K$25,J$24,K535&lt;K$26,J$25,K535&lt;K$27,J$26,K535&lt;K$28,J$27,K535&lt;K$29,J$28,K535&lt;K$30,J$29,K535&lt;K$31,J$30,K535&lt;K$32,J$31,K535&lt;K$33,J$32,K535&lt;K$34,J$33,K535&lt;K$35,J$34,K535&lt;K$36,J$35,K535&lt;K$37,J$36,K535&lt;K$38,J$37,K535&lt;K$39,J$38,K535&lt;K$40,J$39,K535&lt;K$41,J$40,K535&lt;K$42,J$41,K535&lt;K$43,J$42,K535&lt;K$44,J$43,K535&lt;K$45,J$44,K535&lt;K$46,J$45,K535&lt;K$47,J$46,K535&gt;=K$47,J$47)</f>
        <v/>
      </c>
      <c r="K535" s="38" t="n">
        <v>485</v>
      </c>
      <c r="L535" s="31">
        <f>K535/52</f>
        <v/>
      </c>
      <c r="M535" s="39">
        <f>J535/1000000*52</f>
        <v/>
      </c>
      <c r="N535" s="33">
        <f>M535/$P$4+($I$22/$P$4)</f>
        <v/>
      </c>
      <c r="U535">
        <f>F534</f>
        <v/>
      </c>
      <c r="V535">
        <f>H534</f>
        <v/>
      </c>
      <c r="W535">
        <f>N534</f>
        <v/>
      </c>
    </row>
    <row r="536" ht="15.75" customHeight="1" s="40">
      <c r="C536" s="36">
        <f>_xlfn.IFS(E536&lt;E$24,0,E536&lt;E$26,C$24,E536&lt;E$28,C$26,E536&lt;E$30,C$28,E536&lt;E$32,C$30,E536&lt;E$34,C$32,E536&gt;=E$34,C$34)</f>
        <v/>
      </c>
      <c r="D536" s="37">
        <f>_xlfn.IFS(E536&lt;E$24,0,E536&lt;E$25,D$24,E536&lt;E$26,D$25,E536&lt;E$27,D$26,E536&lt;E$28,D$27,E536&lt;E$29,D$28,E536&lt;E$30,D$29,E536&lt;E$31,D$30,E536&lt;E$32,D$31,E536&lt;E$33,D$32,E536&lt;E$34,D$33,E536&lt;E$35,D$34,E536&gt;=E$35,D$35)</f>
        <v/>
      </c>
      <c r="E536" s="38" t="n">
        <v>486</v>
      </c>
      <c r="F536" s="31">
        <f>E536/52</f>
        <v/>
      </c>
      <c r="G536" s="39">
        <f>D536/1000000*52</f>
        <v/>
      </c>
      <c r="H536" s="33">
        <f>G536/$P$4+($C$22/$P$4)</f>
        <v/>
      </c>
      <c r="I536" s="36">
        <f>_xlfn.IFS(K536&lt;K$24,0,K536&lt;K$26,I$24,K536&lt;K$28,I$26,K536&lt;K$30,I$28,K536&lt;K$32,I$30,K536&lt;K$34,I$32,K536&lt;K$36,I$34,K536&lt;K$38,I$36,K536&lt;K$40,I$38,K536&lt;K$42,I$40,K536&lt;K$44,I$42,K536&lt;K$46,I$44,K536&gt;=K$46,I$46)</f>
        <v/>
      </c>
      <c r="J536" s="37">
        <f>_xlfn.IFS(K536&lt;K$24,0,K536&lt;K$25,J$24,K536&lt;K$26,J$25,K536&lt;K$27,J$26,K536&lt;K$28,J$27,K536&lt;K$29,J$28,K536&lt;K$30,J$29,K536&lt;K$31,J$30,K536&lt;K$32,J$31,K536&lt;K$33,J$32,K536&lt;K$34,J$33,K536&lt;K$35,J$34,K536&lt;K$36,J$35,K536&lt;K$37,J$36,K536&lt;K$38,J$37,K536&lt;K$39,J$38,K536&lt;K$40,J$39,K536&lt;K$41,J$40,K536&lt;K$42,J$41,K536&lt;K$43,J$42,K536&lt;K$44,J$43,K536&lt;K$45,J$44,K536&lt;K$46,J$45,K536&lt;K$47,J$46,K536&gt;=K$47,J$47)</f>
        <v/>
      </c>
      <c r="K536" s="38" t="n">
        <v>486</v>
      </c>
      <c r="L536" s="31">
        <f>K536/52</f>
        <v/>
      </c>
      <c r="M536" s="39">
        <f>J536/1000000*52</f>
        <v/>
      </c>
      <c r="N536" s="33">
        <f>M536/$P$4+($I$22/$P$4)</f>
        <v/>
      </c>
      <c r="U536">
        <f>F535</f>
        <v/>
      </c>
      <c r="V536">
        <f>H535</f>
        <v/>
      </c>
      <c r="W536">
        <f>N535</f>
        <v/>
      </c>
    </row>
    <row r="537" ht="15.75" customHeight="1" s="40">
      <c r="C537" s="36">
        <f>_xlfn.IFS(E537&lt;E$24,0,E537&lt;E$26,C$24,E537&lt;E$28,C$26,E537&lt;E$30,C$28,E537&lt;E$32,C$30,E537&lt;E$34,C$32,E537&gt;=E$34,C$34)</f>
        <v/>
      </c>
      <c r="D537" s="37">
        <f>_xlfn.IFS(E537&lt;E$24,0,E537&lt;E$25,D$24,E537&lt;E$26,D$25,E537&lt;E$27,D$26,E537&lt;E$28,D$27,E537&lt;E$29,D$28,E537&lt;E$30,D$29,E537&lt;E$31,D$30,E537&lt;E$32,D$31,E537&lt;E$33,D$32,E537&lt;E$34,D$33,E537&lt;E$35,D$34,E537&gt;=E$35,D$35)</f>
        <v/>
      </c>
      <c r="E537" s="38" t="n">
        <v>487</v>
      </c>
      <c r="F537" s="31">
        <f>E537/52</f>
        <v/>
      </c>
      <c r="G537" s="39">
        <f>D537/1000000*52</f>
        <v/>
      </c>
      <c r="H537" s="33">
        <f>G537/$P$4+($C$22/$P$4)</f>
        <v/>
      </c>
      <c r="I537" s="36">
        <f>_xlfn.IFS(K537&lt;K$24,0,K537&lt;K$26,I$24,K537&lt;K$28,I$26,K537&lt;K$30,I$28,K537&lt;K$32,I$30,K537&lt;K$34,I$32,K537&lt;K$36,I$34,K537&lt;K$38,I$36,K537&lt;K$40,I$38,K537&lt;K$42,I$40,K537&lt;K$44,I$42,K537&lt;K$46,I$44,K537&gt;=K$46,I$46)</f>
        <v/>
      </c>
      <c r="J537" s="37">
        <f>_xlfn.IFS(K537&lt;K$24,0,K537&lt;K$25,J$24,K537&lt;K$26,J$25,K537&lt;K$27,J$26,K537&lt;K$28,J$27,K537&lt;K$29,J$28,K537&lt;K$30,J$29,K537&lt;K$31,J$30,K537&lt;K$32,J$31,K537&lt;K$33,J$32,K537&lt;K$34,J$33,K537&lt;K$35,J$34,K537&lt;K$36,J$35,K537&lt;K$37,J$36,K537&lt;K$38,J$37,K537&lt;K$39,J$38,K537&lt;K$40,J$39,K537&lt;K$41,J$40,K537&lt;K$42,J$41,K537&lt;K$43,J$42,K537&lt;K$44,J$43,K537&lt;K$45,J$44,K537&lt;K$46,J$45,K537&lt;K$47,J$46,K537&gt;=K$47,J$47)</f>
        <v/>
      </c>
      <c r="K537" s="38" t="n">
        <v>487</v>
      </c>
      <c r="L537" s="31">
        <f>K537/52</f>
        <v/>
      </c>
      <c r="M537" s="39">
        <f>J537/1000000*52</f>
        <v/>
      </c>
      <c r="N537" s="33">
        <f>M537/$P$4+($I$22/$P$4)</f>
        <v/>
      </c>
      <c r="U537">
        <f>F536</f>
        <v/>
      </c>
      <c r="V537">
        <f>H536</f>
        <v/>
      </c>
      <c r="W537">
        <f>N536</f>
        <v/>
      </c>
    </row>
    <row r="538" ht="15.75" customHeight="1" s="40">
      <c r="C538" s="36">
        <f>_xlfn.IFS(E538&lt;E$24,0,E538&lt;E$26,C$24,E538&lt;E$28,C$26,E538&lt;E$30,C$28,E538&lt;E$32,C$30,E538&lt;E$34,C$32,E538&gt;=E$34,C$34)</f>
        <v/>
      </c>
      <c r="D538" s="37">
        <f>_xlfn.IFS(E538&lt;E$24,0,E538&lt;E$25,D$24,E538&lt;E$26,D$25,E538&lt;E$27,D$26,E538&lt;E$28,D$27,E538&lt;E$29,D$28,E538&lt;E$30,D$29,E538&lt;E$31,D$30,E538&lt;E$32,D$31,E538&lt;E$33,D$32,E538&lt;E$34,D$33,E538&lt;E$35,D$34,E538&gt;=E$35,D$35)</f>
        <v/>
      </c>
      <c r="E538" s="38" t="n">
        <v>488</v>
      </c>
      <c r="F538" s="31">
        <f>E538/52</f>
        <v/>
      </c>
      <c r="G538" s="39">
        <f>D538/1000000*52</f>
        <v/>
      </c>
      <c r="H538" s="33">
        <f>G538/$P$4+($C$22/$P$4)</f>
        <v/>
      </c>
      <c r="I538" s="36">
        <f>_xlfn.IFS(K538&lt;K$24,0,K538&lt;K$26,I$24,K538&lt;K$28,I$26,K538&lt;K$30,I$28,K538&lt;K$32,I$30,K538&lt;K$34,I$32,K538&lt;K$36,I$34,K538&lt;K$38,I$36,K538&lt;K$40,I$38,K538&lt;K$42,I$40,K538&lt;K$44,I$42,K538&lt;K$46,I$44,K538&gt;=K$46,I$46)</f>
        <v/>
      </c>
      <c r="J538" s="37">
        <f>_xlfn.IFS(K538&lt;K$24,0,K538&lt;K$25,J$24,K538&lt;K$26,J$25,K538&lt;K$27,J$26,K538&lt;K$28,J$27,K538&lt;K$29,J$28,K538&lt;K$30,J$29,K538&lt;K$31,J$30,K538&lt;K$32,J$31,K538&lt;K$33,J$32,K538&lt;K$34,J$33,K538&lt;K$35,J$34,K538&lt;K$36,J$35,K538&lt;K$37,J$36,K538&lt;K$38,J$37,K538&lt;K$39,J$38,K538&lt;K$40,J$39,K538&lt;K$41,J$40,K538&lt;K$42,J$41,K538&lt;K$43,J$42,K538&lt;K$44,J$43,K538&lt;K$45,J$44,K538&lt;K$46,J$45,K538&lt;K$47,J$46,K538&gt;=K$47,J$47)</f>
        <v/>
      </c>
      <c r="K538" s="38" t="n">
        <v>488</v>
      </c>
      <c r="L538" s="31">
        <f>K538/52</f>
        <v/>
      </c>
      <c r="M538" s="39">
        <f>J538/1000000*52</f>
        <v/>
      </c>
      <c r="N538" s="33">
        <f>M538/$P$4+($I$22/$P$4)</f>
        <v/>
      </c>
      <c r="U538">
        <f>F537</f>
        <v/>
      </c>
      <c r="V538">
        <f>H537</f>
        <v/>
      </c>
      <c r="W538">
        <f>N537</f>
        <v/>
      </c>
    </row>
    <row r="539" ht="15.75" customHeight="1" s="40">
      <c r="C539" s="36">
        <f>_xlfn.IFS(E539&lt;E$24,0,E539&lt;E$26,C$24,E539&lt;E$28,C$26,E539&lt;E$30,C$28,E539&lt;E$32,C$30,E539&lt;E$34,C$32,E539&gt;=E$34,C$34)</f>
        <v/>
      </c>
      <c r="D539" s="37">
        <f>_xlfn.IFS(E539&lt;E$24,0,E539&lt;E$25,D$24,E539&lt;E$26,D$25,E539&lt;E$27,D$26,E539&lt;E$28,D$27,E539&lt;E$29,D$28,E539&lt;E$30,D$29,E539&lt;E$31,D$30,E539&lt;E$32,D$31,E539&lt;E$33,D$32,E539&lt;E$34,D$33,E539&lt;E$35,D$34,E539&gt;=E$35,D$35)</f>
        <v/>
      </c>
      <c r="E539" s="38" t="n">
        <v>489</v>
      </c>
      <c r="F539" s="31">
        <f>E539/52</f>
        <v/>
      </c>
      <c r="G539" s="39">
        <f>D539/1000000*52</f>
        <v/>
      </c>
      <c r="H539" s="33">
        <f>G539/$P$4+($C$22/$P$4)</f>
        <v/>
      </c>
      <c r="I539" s="36">
        <f>_xlfn.IFS(K539&lt;K$24,0,K539&lt;K$26,I$24,K539&lt;K$28,I$26,K539&lt;K$30,I$28,K539&lt;K$32,I$30,K539&lt;K$34,I$32,K539&lt;K$36,I$34,K539&lt;K$38,I$36,K539&lt;K$40,I$38,K539&lt;K$42,I$40,K539&lt;K$44,I$42,K539&lt;K$46,I$44,K539&gt;=K$46,I$46)</f>
        <v/>
      </c>
      <c r="J539" s="37">
        <f>_xlfn.IFS(K539&lt;K$24,0,K539&lt;K$25,J$24,K539&lt;K$26,J$25,K539&lt;K$27,J$26,K539&lt;K$28,J$27,K539&lt;K$29,J$28,K539&lt;K$30,J$29,K539&lt;K$31,J$30,K539&lt;K$32,J$31,K539&lt;K$33,J$32,K539&lt;K$34,J$33,K539&lt;K$35,J$34,K539&lt;K$36,J$35,K539&lt;K$37,J$36,K539&lt;K$38,J$37,K539&lt;K$39,J$38,K539&lt;K$40,J$39,K539&lt;K$41,J$40,K539&lt;K$42,J$41,K539&lt;K$43,J$42,K539&lt;K$44,J$43,K539&lt;K$45,J$44,K539&lt;K$46,J$45,K539&lt;K$47,J$46,K539&gt;=K$47,J$47)</f>
        <v/>
      </c>
      <c r="K539" s="38" t="n">
        <v>489</v>
      </c>
      <c r="L539" s="31">
        <f>K539/52</f>
        <v/>
      </c>
      <c r="M539" s="39">
        <f>J539/1000000*52</f>
        <v/>
      </c>
      <c r="N539" s="33">
        <f>M539/$P$4+($I$22/$P$4)</f>
        <v/>
      </c>
      <c r="U539">
        <f>F538</f>
        <v/>
      </c>
      <c r="V539">
        <f>H538</f>
        <v/>
      </c>
      <c r="W539">
        <f>N538</f>
        <v/>
      </c>
    </row>
    <row r="540" ht="15.75" customHeight="1" s="40">
      <c r="C540" s="36">
        <f>_xlfn.IFS(E540&lt;E$24,0,E540&lt;E$26,C$24,E540&lt;E$28,C$26,E540&lt;E$30,C$28,E540&lt;E$32,C$30,E540&lt;E$34,C$32,E540&gt;=E$34,C$34)</f>
        <v/>
      </c>
      <c r="D540" s="37">
        <f>_xlfn.IFS(E540&lt;E$24,0,E540&lt;E$25,D$24,E540&lt;E$26,D$25,E540&lt;E$27,D$26,E540&lt;E$28,D$27,E540&lt;E$29,D$28,E540&lt;E$30,D$29,E540&lt;E$31,D$30,E540&lt;E$32,D$31,E540&lt;E$33,D$32,E540&lt;E$34,D$33,E540&lt;E$35,D$34,E540&gt;=E$35,D$35)</f>
        <v/>
      </c>
      <c r="E540" s="38" t="n">
        <v>490</v>
      </c>
      <c r="F540" s="31">
        <f>E540/52</f>
        <v/>
      </c>
      <c r="G540" s="39">
        <f>D540/1000000*52</f>
        <v/>
      </c>
      <c r="H540" s="33">
        <f>G540/$P$4+($C$22/$P$4)</f>
        <v/>
      </c>
      <c r="I540" s="36">
        <f>_xlfn.IFS(K540&lt;K$24,0,K540&lt;K$26,I$24,K540&lt;K$28,I$26,K540&lt;K$30,I$28,K540&lt;K$32,I$30,K540&lt;K$34,I$32,K540&lt;K$36,I$34,K540&lt;K$38,I$36,K540&lt;K$40,I$38,K540&lt;K$42,I$40,K540&lt;K$44,I$42,K540&lt;K$46,I$44,K540&gt;=K$46,I$46)</f>
        <v/>
      </c>
      <c r="J540" s="37">
        <f>_xlfn.IFS(K540&lt;K$24,0,K540&lt;K$25,J$24,K540&lt;K$26,J$25,K540&lt;K$27,J$26,K540&lt;K$28,J$27,K540&lt;K$29,J$28,K540&lt;K$30,J$29,K540&lt;K$31,J$30,K540&lt;K$32,J$31,K540&lt;K$33,J$32,K540&lt;K$34,J$33,K540&lt;K$35,J$34,K540&lt;K$36,J$35,K540&lt;K$37,J$36,K540&lt;K$38,J$37,K540&lt;K$39,J$38,K540&lt;K$40,J$39,K540&lt;K$41,J$40,K540&lt;K$42,J$41,K540&lt;K$43,J$42,K540&lt;K$44,J$43,K540&lt;K$45,J$44,K540&lt;K$46,J$45,K540&lt;K$47,J$46,K540&gt;=K$47,J$47)</f>
        <v/>
      </c>
      <c r="K540" s="38" t="n">
        <v>490</v>
      </c>
      <c r="L540" s="31">
        <f>K540/52</f>
        <v/>
      </c>
      <c r="M540" s="39">
        <f>J540/1000000*52</f>
        <v/>
      </c>
      <c r="N540" s="33">
        <f>M540/$P$4+($I$22/$P$4)</f>
        <v/>
      </c>
      <c r="U540">
        <f>F539</f>
        <v/>
      </c>
      <c r="V540">
        <f>H539</f>
        <v/>
      </c>
      <c r="W540">
        <f>N539</f>
        <v/>
      </c>
    </row>
    <row r="541" ht="15.75" customHeight="1" s="40">
      <c r="H541" s="33" t="n"/>
      <c r="U541">
        <f>F540</f>
        <v/>
      </c>
      <c r="V541">
        <f>H540</f>
        <v/>
      </c>
      <c r="W541">
        <f>N540</f>
        <v/>
      </c>
    </row>
    <row r="542" ht="15.75" customHeight="1" s="40">
      <c r="H542" s="33" t="n"/>
    </row>
    <row r="543" ht="15.75" customHeight="1" s="40">
      <c r="H543" s="33" t="n"/>
    </row>
    <row r="544" ht="15.75" customHeight="1" s="40">
      <c r="H544" s="33" t="n"/>
    </row>
    <row r="545" ht="15.75" customHeight="1" s="40">
      <c r="H545" s="33" t="n"/>
    </row>
    <row r="546" ht="15.75" customHeight="1" s="40">
      <c r="H546" s="33" t="n"/>
    </row>
    <row r="547" ht="15.75" customHeight="1" s="40">
      <c r="H547" s="33" t="n"/>
    </row>
    <row r="548" ht="15.75" customHeight="1" s="40">
      <c r="H548" s="33" t="n"/>
    </row>
    <row r="549" ht="15.75" customHeight="1" s="40">
      <c r="H549" s="33" t="n"/>
    </row>
    <row r="550" ht="15.75" customHeight="1" s="40">
      <c r="H550" s="33" t="n"/>
    </row>
    <row r="551" ht="15.75" customHeight="1" s="40">
      <c r="H551" s="33" t="n"/>
    </row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mergeCells count="59">
    <mergeCell ref="I7:N7"/>
    <mergeCell ref="C10:H10"/>
    <mergeCell ref="C16:H16"/>
    <mergeCell ref="A15:B15"/>
    <mergeCell ref="C22:H22"/>
    <mergeCell ref="I22:N22"/>
    <mergeCell ref="C9:H9"/>
    <mergeCell ref="A11:B11"/>
    <mergeCell ref="I18:N18"/>
    <mergeCell ref="I3:N3"/>
    <mergeCell ref="C12:H12"/>
    <mergeCell ref="I12:N12"/>
    <mergeCell ref="C21:H21"/>
    <mergeCell ref="I21:N21"/>
    <mergeCell ref="C11:H11"/>
    <mergeCell ref="A16:B16"/>
    <mergeCell ref="C2:H2"/>
    <mergeCell ref="A7:B7"/>
    <mergeCell ref="I5:N5"/>
    <mergeCell ref="C1:G1"/>
    <mergeCell ref="I14:N14"/>
    <mergeCell ref="I17:N17"/>
    <mergeCell ref="C8:H8"/>
    <mergeCell ref="I8:N8"/>
    <mergeCell ref="C17:H17"/>
    <mergeCell ref="A18:B18"/>
    <mergeCell ref="I4:N4"/>
    <mergeCell ref="A3:B3"/>
    <mergeCell ref="I20:N20"/>
    <mergeCell ref="C7:H7"/>
    <mergeCell ref="A21:B21"/>
    <mergeCell ref="C19:H19"/>
    <mergeCell ref="I19:N19"/>
    <mergeCell ref="A2:B2"/>
    <mergeCell ref="I10:N10"/>
    <mergeCell ref="C13:H13"/>
    <mergeCell ref="I13:N13"/>
    <mergeCell ref="I9:N9"/>
    <mergeCell ref="A14:B14"/>
    <mergeCell ref="C18:H18"/>
    <mergeCell ref="A17:B17"/>
    <mergeCell ref="C3:H3"/>
    <mergeCell ref="I1:M1"/>
    <mergeCell ref="A8:B8"/>
    <mergeCell ref="C15:H15"/>
    <mergeCell ref="A4:B4"/>
    <mergeCell ref="I15:N15"/>
    <mergeCell ref="A20:B20"/>
    <mergeCell ref="I11:N11"/>
    <mergeCell ref="C14:H14"/>
    <mergeCell ref="I2:N2"/>
    <mergeCell ref="A19:B19"/>
    <mergeCell ref="C5:H5"/>
    <mergeCell ref="A10:B10"/>
    <mergeCell ref="A13:B13"/>
    <mergeCell ref="C4:H4"/>
    <mergeCell ref="C20:H20"/>
    <mergeCell ref="A9:B9"/>
    <mergeCell ref="I16:N16"/>
  </mergeCells>
  <hyperlinks>
    <hyperlink xmlns:r="http://schemas.openxmlformats.org/officeDocument/2006/relationships" ref="Q2" r:id="rId1"/>
    <hyperlink xmlns:r="http://schemas.openxmlformats.org/officeDocument/2006/relationships" ref="Q3" r:id="rId2"/>
  </hyperlinks>
  <pageMargins left="0.75" right="0.75" top="1" bottom="1" header="0.5" footer="0.5"/>
  <drawing xmlns:r="http://schemas.openxmlformats.org/officeDocument/2006/relationships" r:id="rId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H31"/>
  <sheetViews>
    <sheetView workbookViewId="0">
      <selection activeCell="A1" sqref="A1"/>
    </sheetView>
  </sheetViews>
  <sheetFormatPr baseColWidth="8" defaultColWidth="12.6328125" defaultRowHeight="15" customHeight="1"/>
  <cols>
    <col width="41.90625" customWidth="1" style="40" min="1" max="1"/>
    <col width="16.6328125" customWidth="1" style="40" min="2" max="2"/>
    <col width="17.90625" customWidth="1" style="40" min="3" max="3"/>
    <col width="12.6328125" customWidth="1" style="40" min="4" max="5"/>
    <col width="26.7265625" bestFit="1" customWidth="1" style="40" min="6" max="6"/>
  </cols>
  <sheetData>
    <row r="1" ht="15.75" customHeight="1" s="40">
      <c r="A1" s="53" t="inlineStr">
        <is>
          <t>Fungicide CAPEX Calcs</t>
        </is>
      </c>
      <c r="B1" s="39" t="n"/>
      <c r="D1" s="1" t="n"/>
    </row>
    <row r="2" ht="15.75" customHeight="1" s="40">
      <c r="A2" s="3" t="inlineStr">
        <is>
          <t>Pesticide scale-up assumptions 2026</t>
        </is>
      </c>
      <c r="B2" s="3" t="n"/>
    </row>
    <row r="3" ht="15.75" customHeight="1" s="40">
      <c r="A3" s="39" t="n"/>
      <c r="B3" s="39" t="n"/>
      <c r="C3" s="4" t="n"/>
      <c r="D3" s="39" t="n"/>
      <c r="F3" s="5" t="n"/>
    </row>
    <row r="4" ht="15.75" customHeight="1" s="40">
      <c r="A4" s="39" t="n"/>
      <c r="B4" s="39" t="n"/>
      <c r="C4" s="4" t="n"/>
      <c r="D4" s="39" t="n"/>
      <c r="F4" s="6" t="n"/>
    </row>
    <row r="5" ht="15.75" customHeight="1" s="40">
      <c r="A5" s="39" t="n"/>
      <c r="B5" s="39" t="n"/>
      <c r="C5" s="4" t="n"/>
      <c r="D5" s="39" t="inlineStr">
        <is>
          <t>Target Plant Size (tonneFungicide/day)</t>
        </is>
      </c>
      <c r="F5" s="39">
        <f>B16</f>
        <v/>
      </c>
    </row>
    <row r="6" ht="15.75" customHeight="1" s="40">
      <c r="A6" s="39" t="n"/>
      <c r="B6" s="39" t="n"/>
      <c r="C6" s="4" t="n"/>
      <c r="D6" s="39" t="n"/>
      <c r="F6" s="7" t="n"/>
    </row>
    <row r="7" ht="15.75" customHeight="1" s="40">
      <c r="A7" s="39" t="n"/>
    </row>
    <row r="8" ht="15.75" customHeight="1" s="40"/>
    <row r="9" ht="15.75" customHeight="1" s="40">
      <c r="A9" s="1" t="n"/>
    </row>
    <row r="10" ht="15.75" customHeight="1" s="40"/>
    <row r="11" ht="15.75" customHeight="1" s="40">
      <c r="A11" s="8" t="n"/>
      <c r="B11" s="9" t="n"/>
      <c r="C11" s="10" t="n"/>
      <c r="F11" s="39" t="inlineStr">
        <is>
          <t>Fast construction cost factor</t>
        </is>
      </c>
      <c r="G11" s="39" t="n"/>
      <c r="H11" s="11" t="n">
        <v>1.47</v>
      </c>
    </row>
    <row r="12" ht="15.75" customHeight="1" s="40">
      <c r="A12" s="45" t="inlineStr">
        <is>
          <t>Reference capacity (t/yr)</t>
        </is>
      </c>
      <c r="B12" s="39" t="n">
        <v>1000</v>
      </c>
      <c r="C12" s="13" t="n"/>
      <c r="F12" s="39" t="inlineStr">
        <is>
          <t>Fast construction speed factor</t>
        </is>
      </c>
      <c r="H12" s="14" t="n">
        <v>0.32</v>
      </c>
    </row>
    <row r="13" ht="15.75" customHeight="1" s="40">
      <c r="A13" s="45" t="inlineStr">
        <is>
          <t>Reference CAPEX (USD)</t>
        </is>
      </c>
      <c r="B13" s="39" t="n">
        <v>29302000</v>
      </c>
      <c r="C13" s="15" t="n"/>
    </row>
    <row r="14" ht="15.75" customHeight="1" s="40">
      <c r="A14" s="45" t="inlineStr">
        <is>
          <t>Target plant size (t/yr)</t>
        </is>
      </c>
      <c r="B14" s="16" t="n">
        <v>1100</v>
      </c>
      <c r="C14" s="15" t="n"/>
      <c r="F14" s="39" t="inlineStr">
        <is>
          <t>Fast construction (24/7) CAPEX</t>
        </is>
      </c>
      <c r="H14" s="7">
        <f>H11*B19</f>
        <v/>
      </c>
    </row>
    <row r="15" ht="15.75" customHeight="1" s="40">
      <c r="A15" s="45" t="inlineStr">
        <is>
          <t>Plant scale factor</t>
        </is>
      </c>
      <c r="B15" s="1">
        <f>B14/B12</f>
        <v/>
      </c>
      <c r="C15" s="15" t="n"/>
    </row>
    <row r="16" ht="15.75" customHeight="1" s="40">
      <c r="A16" s="45" t="inlineStr">
        <is>
          <t>Target Plant Size (tonnes/day) [= t/yr / 365]</t>
        </is>
      </c>
      <c r="B16" s="39">
        <f>B14/365</f>
        <v/>
      </c>
      <c r="C16" s="13" t="n"/>
    </row>
    <row r="17" ht="15.75" customHeight="1" s="40">
      <c r="A17" s="45" t="inlineStr">
        <is>
          <t>Cost-Capacity Exponent</t>
        </is>
      </c>
      <c r="B17" s="16" t="n">
        <v>0.7</v>
      </c>
      <c r="C17" s="13" t="n"/>
    </row>
    <row r="18" ht="15.75" customHeight="1" s="40">
      <c r="A18" s="17" t="inlineStr">
        <is>
          <t>(for reference)</t>
        </is>
      </c>
      <c r="B18" s="16" t="n"/>
      <c r="C18" s="13" t="n"/>
    </row>
    <row r="19" ht="15.75" customHeight="1" s="40">
      <c r="A19" s="45" t="inlineStr">
        <is>
          <t>Target Plant CAPEX (USD)</t>
        </is>
      </c>
      <c r="B19" s="18">
        <f>B13*(B14/B12)^B17</f>
        <v/>
      </c>
      <c r="C19" s="13" t="n"/>
      <c r="D19" s="39" t="inlineStr">
        <is>
          <t>&lt;-- Using this estimate</t>
        </is>
      </c>
    </row>
    <row r="20" ht="15.75" customHeight="1" s="40">
      <c r="A20" s="45" t="n"/>
      <c r="C20" s="13" t="n"/>
    </row>
    <row r="21" ht="15.75" customHeight="1" s="40">
      <c r="A21" s="19" t="inlineStr">
        <is>
          <t>Capital efficiency</t>
        </is>
      </c>
      <c r="B21" s="20">
        <f>B19/B16/365</f>
        <v/>
      </c>
      <c r="C21" s="21" t="inlineStr">
        <is>
          <t>$/tpa installed</t>
        </is>
      </c>
    </row>
    <row r="22" ht="15.75" customHeight="1" s="40"/>
    <row r="23" ht="15.75" customHeight="1" s="40">
      <c r="E23" s="22" t="n"/>
    </row>
    <row r="24" ht="15.75" customHeight="1" s="40">
      <c r="A24" s="1" t="n"/>
    </row>
    <row r="25" ht="15.75" customHeight="1" s="40">
      <c r="A25" s="39" t="n"/>
      <c r="B25" s="7" t="n"/>
      <c r="D25" s="22" t="n"/>
    </row>
    <row r="26" ht="15.75" customHeight="1" s="40">
      <c r="A26" s="39" t="n"/>
      <c r="B26" s="39" t="n"/>
    </row>
    <row r="27" ht="15.75" customHeight="1" s="40">
      <c r="A27" s="39" t="n"/>
      <c r="B27" s="39" t="n"/>
      <c r="D27" s="22" t="n"/>
    </row>
    <row r="28" ht="15.75" customHeight="1" s="40">
      <c r="A28" s="39" t="n"/>
      <c r="B28" s="16" t="n"/>
      <c r="D28" s="22" t="n"/>
    </row>
    <row r="29" ht="15.75" customHeight="1" s="40">
      <c r="A29" s="39" t="n"/>
      <c r="B29" s="7" t="n"/>
      <c r="D29" s="23" t="n"/>
    </row>
    <row r="30" ht="15.75" customHeight="1" s="40"/>
    <row r="31" ht="15.75" customHeight="1" s="40">
      <c r="E31" s="22" t="n"/>
    </row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hyperlinks>
    <hyperlink xmlns:r="http://schemas.openxmlformats.org/officeDocument/2006/relationships" ref="A1" r:id="rId1"/>
    <hyperlink xmlns:r="http://schemas.openxmlformats.org/officeDocument/2006/relationships" ref="D1" r:id="rId2"/>
    <hyperlink xmlns:r="http://schemas.openxmlformats.org/officeDocument/2006/relationships" ref="A9" r:id="rId3"/>
    <hyperlink xmlns:r="http://schemas.openxmlformats.org/officeDocument/2006/relationships" ref="A11" r:id="rId4"/>
    <hyperlink xmlns:r="http://schemas.openxmlformats.org/officeDocument/2006/relationships" ref="B15" display="https://www.exchange-rates.org/converter/eur-usd" r:id="rId5"/>
    <hyperlink xmlns:r="http://schemas.openxmlformats.org/officeDocument/2006/relationships" ref="A24" r:id="rId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W551"/>
  <sheetViews>
    <sheetView workbookViewId="0">
      <selection activeCell="A1" sqref="A1"/>
    </sheetView>
  </sheetViews>
  <sheetFormatPr baseColWidth="8" defaultColWidth="12.6328125" defaultRowHeight="15" customHeight="1"/>
  <cols>
    <col width="12.6328125" customWidth="1" style="40" min="1" max="1"/>
    <col width="25.36328125" customWidth="1" style="40" min="2" max="2"/>
    <col width="12.6328125" customWidth="1" style="40" min="3" max="6"/>
    <col width="19.7265625" customWidth="1" style="40" min="7" max="7"/>
  </cols>
  <sheetData>
    <row r="1" ht="15.75" customHeight="1" s="40">
      <c r="C1" s="39" t="inlineStr">
        <is>
          <t>FUNGICIDE REGULAR CONSTRUCTION</t>
        </is>
      </c>
      <c r="H1" s="39" t="n"/>
      <c r="I1" s="39" t="inlineStr">
        <is>
          <t>FUNGICIDE FAST CONSTRUCTION</t>
        </is>
      </c>
      <c r="N1" s="39" t="n"/>
      <c r="R1" s="22" t="inlineStr">
        <is>
          <t>fraction_functioning_after_disruption</t>
        </is>
      </c>
      <c r="U1" t="inlineStr">
        <is>
          <t>CODE-MATCHED (current model)</t>
        </is>
      </c>
    </row>
    <row r="2" ht="15.75" customHeight="1" s="40">
      <c r="A2" s="39" t="inlineStr">
        <is>
          <t>Annual World Construction Budget</t>
        </is>
      </c>
      <c r="C2" s="44" t="n">
        <v>41548522011.4838</v>
      </c>
      <c r="H2" s="42" t="n"/>
      <c r="I2" s="44" t="n">
        <v>41548522011.4838</v>
      </c>
      <c r="N2" s="42" t="n"/>
      <c r="P2" s="39" t="inlineStr">
        <is>
          <t>Sanity check:</t>
        </is>
      </c>
      <c r="Q2" s="1" t="inlineStr">
        <is>
          <t>the AEA’s datasets track 490 production plants in development, comprising a total of 438.1 million tons of low-emission and transitional ammonia capacity</t>
        </is>
      </c>
      <c r="U2" t="inlineStr">
        <is>
          <t>C16/I16 = 0.4; startup% = 0.5; budget = equal-pace default</t>
        </is>
      </c>
    </row>
    <row r="3" ht="15.75" customHeight="1" s="40">
      <c r="A3" s="39" t="inlineStr">
        <is>
          <t>Total Capital Investment Per Plant</t>
        </is>
      </c>
      <c r="C3" s="50">
        <f>'Fun CAPEX'!B19</f>
        <v/>
      </c>
      <c r="H3" s="42" t="n"/>
      <c r="I3" s="50">
        <f>'Fun CAPEX'!H14</f>
        <v/>
      </c>
      <c r="N3" s="42" t="n"/>
      <c r="P3" s="4">
        <f>P4*1000000/('Fun CAPEX'!B16*365.25)</f>
        <v/>
      </c>
      <c r="Q3" s="1" t="inlineStr">
        <is>
          <t>plants needed to make 240million metric tonnes per year assuming an average of 2000 metric tonnes/day plant capacity</t>
        </is>
      </c>
      <c r="U3" t="inlineStr">
        <is>
          <t>Multiple = (new Mt/yr + surviving Mt/yr) / current Mt/yr</t>
        </is>
      </c>
    </row>
    <row r="4" ht="15.75" customHeight="1" s="40">
      <c r="A4" s="39" t="inlineStr">
        <is>
          <t>Number of Plants Per Year</t>
        </is>
      </c>
      <c r="C4" s="41">
        <f>(C2/C3)*C16</f>
        <v/>
      </c>
      <c r="H4" s="42" t="n"/>
      <c r="I4" s="41">
        <f>(I2/I3)*I16</f>
        <v/>
      </c>
      <c r="N4" s="42" t="n"/>
      <c r="P4" s="39" t="n">
        <v>0.8624000000000001</v>
      </c>
      <c r="Q4" s="39" t="inlineStr">
        <is>
          <t>Current Fungicide production in million metric tonnes</t>
        </is>
      </c>
      <c r="U4" t="inlineStr">
        <is>
          <t>Surviving Mt/yr in C22/I22</t>
        </is>
      </c>
    </row>
    <row r="5" ht="15.75" customHeight="1" s="40">
      <c r="A5" s="39" t="n"/>
      <c r="B5" s="39" t="n"/>
      <c r="C5" s="45" t="n"/>
      <c r="I5" s="46" t="n"/>
      <c r="N5" s="42" t="n"/>
      <c r="U5" t="inlineStr">
        <is>
          <t>Multiple chart uses U50:W (1.0 before t=0, then drops to 0.4)</t>
        </is>
      </c>
    </row>
    <row r="6" ht="15.75" customHeight="1" s="40">
      <c r="A6" s="39" t="inlineStr">
        <is>
          <t>Corrected CAPEX for construction time method</t>
        </is>
      </c>
      <c r="B6" s="39" t="n"/>
      <c r="C6" s="24" t="n"/>
      <c r="D6" s="4" t="n"/>
      <c r="E6" s="4" t="n"/>
      <c r="F6" s="4" t="n"/>
      <c r="G6" s="25">
        <f>C3*(1-9.1%-6.6%)</f>
        <v/>
      </c>
      <c r="H6" s="26" t="n"/>
      <c r="I6" s="24" t="n"/>
      <c r="J6" s="4" t="n"/>
      <c r="K6" s="4" t="n"/>
      <c r="L6" s="4" t="n"/>
      <c r="M6" s="25">
        <f>I3*(1-9.1%-6.6%)</f>
        <v/>
      </c>
      <c r="N6" s="25" t="n"/>
      <c r="U6" t="inlineStr">
        <is>
          <t>Production chart (G/M) = NEW factory Mt/yr only (starts at 0)</t>
        </is>
      </c>
    </row>
    <row r="7" ht="15.75" customHeight="1" s="40">
      <c r="A7" s="39" t="inlineStr">
        <is>
          <t>Weeks to Build at Facility Costs</t>
        </is>
      </c>
      <c r="C7" s="41">
        <f>10.774*LN(0.8*G6)-121.45</f>
        <v/>
      </c>
      <c r="H7" s="42" t="n"/>
      <c r="I7" s="41">
        <f>C7*'Fun CAPEX'!H12</f>
        <v/>
      </c>
      <c r="N7" s="42" t="n"/>
    </row>
    <row r="8" ht="15.75" customHeight="1" s="40">
      <c r="A8" s="39" t="inlineStr">
        <is>
          <t>Waves Per Year</t>
        </is>
      </c>
      <c r="C8" s="47">
        <f>52/C7</f>
        <v/>
      </c>
      <c r="H8" s="42" t="n"/>
      <c r="I8" s="47">
        <f>52/I7</f>
        <v/>
      </c>
      <c r="N8" s="42" t="n"/>
    </row>
    <row r="9" ht="15.75" customHeight="1" s="40">
      <c r="A9" s="39" t="inlineStr">
        <is>
          <t>Plants Per Wave</t>
        </is>
      </c>
      <c r="C9" s="49">
        <f>(C4/C8)</f>
        <v/>
      </c>
      <c r="H9" s="42" t="n"/>
      <c r="I9" s="49">
        <f>(I4/I8)</f>
        <v/>
      </c>
      <c r="N9" s="42" t="n"/>
    </row>
    <row r="10" ht="15.75" customHeight="1" s="40">
      <c r="A10" s="39" t="inlineStr">
        <is>
          <t>Plants Per Year</t>
        </is>
      </c>
      <c r="C10" s="41">
        <f>C9*C8</f>
        <v/>
      </c>
      <c r="H10" s="42" t="n"/>
      <c r="I10" s="41">
        <f>I9*I8</f>
        <v/>
      </c>
      <c r="N10" s="42" t="n"/>
    </row>
    <row r="11" ht="15.75" customHeight="1" s="40">
      <c r="A11" s="39" t="inlineStr">
        <is>
          <t>Plants Per Week</t>
        </is>
      </c>
      <c r="C11" s="41">
        <f>C10/52</f>
        <v/>
      </c>
      <c r="H11" s="42" t="n"/>
      <c r="I11" s="41">
        <f>I10/52</f>
        <v/>
      </c>
      <c r="N11" s="42" t="n"/>
    </row>
    <row r="12" ht="15.75" customHeight="1" s="40">
      <c r="B12" s="39" t="n"/>
      <c r="C12" s="45" t="n"/>
      <c r="I12" s="46" t="n"/>
      <c r="N12" s="42" t="n"/>
    </row>
    <row r="13" ht="15.75" customHeight="1" s="40">
      <c r="A13" s="39" t="inlineStr">
        <is>
          <t>Single Facility Scaled Production (tonnes/week)</t>
        </is>
      </c>
      <c r="C13" s="48">
        <f>'Fun CAPEX'!$F5*7</f>
        <v/>
      </c>
      <c r="H13" s="42" t="n"/>
      <c r="I13" s="48">
        <f>'Fun CAPEX'!$F5*7</f>
        <v/>
      </c>
      <c r="N13" s="42" t="n"/>
    </row>
    <row r="14" ht="15.75" customHeight="1" s="40">
      <c r="A14" s="39" t="inlineStr">
        <is>
          <t>Startup % of Fully Scaled Production (break in period)</t>
        </is>
      </c>
      <c r="C14" s="43" t="n">
        <v>0.5</v>
      </c>
      <c r="H14" s="42" t="n"/>
      <c r="I14" s="43" t="n">
        <v>0.5</v>
      </c>
      <c r="N14" s="42" t="n"/>
    </row>
    <row r="15" ht="15.75" customHeight="1" s="40">
      <c r="A15" s="39" t="inlineStr">
        <is>
          <t>Single Facility Startup Production (tonnes/week)</t>
        </is>
      </c>
      <c r="C15" s="41">
        <f>C13*C14</f>
        <v/>
      </c>
      <c r="H15" s="42" t="n"/>
      <c r="I15" s="41">
        <f>I13*I14</f>
        <v/>
      </c>
      <c r="N15" s="42" t="n"/>
    </row>
    <row r="16" ht="15.75" customHeight="1" s="40">
      <c r="A16" s="39" t="inlineStr">
        <is>
          <t>fraction_functioning_after_disruption (surviving existing + new build share)</t>
        </is>
      </c>
      <c r="C16" s="43" t="n">
        <v>0.4</v>
      </c>
      <c r="H16" s="42" t="n"/>
      <c r="I16" s="43" t="n">
        <v>0.4</v>
      </c>
      <c r="N16" s="42" t="n"/>
    </row>
    <row r="17" ht="15.75" customHeight="1" s="40">
      <c r="A17" s="39" t="inlineStr">
        <is>
          <t>Time to construct a wave (years)</t>
        </is>
      </c>
      <c r="C17" s="51">
        <f>C7/52</f>
        <v/>
      </c>
      <c r="H17" s="42" t="n"/>
      <c r="I17" s="51">
        <f>I7/52</f>
        <v/>
      </c>
      <c r="N17" s="42" t="n"/>
    </row>
    <row r="18" ht="15.75" customHeight="1" s="40">
      <c r="A18" s="39" t="inlineStr">
        <is>
          <t>Startup time (weeks)</t>
        </is>
      </c>
      <c r="C18" s="51">
        <f>C7/4</f>
        <v/>
      </c>
      <c r="H18" s="42" t="n"/>
      <c r="I18" s="51">
        <f>I7/4</f>
        <v/>
      </c>
      <c r="N18" s="42" t="n"/>
    </row>
    <row r="19" ht="15.75" customHeight="1" s="40">
      <c r="A19" s="39" t="inlineStr">
        <is>
          <t>Startup time (years)</t>
        </is>
      </c>
      <c r="C19" s="51">
        <f>C18/52</f>
        <v/>
      </c>
      <c r="H19" s="42" t="n"/>
      <c r="I19" s="51">
        <f>I18/52</f>
        <v/>
      </c>
      <c r="N19" s="42" t="n"/>
    </row>
    <row r="20" ht="15.75" customHeight="1" s="40">
      <c r="A20" s="39" t="inlineStr">
        <is>
          <t>Planning time (weeks)</t>
        </is>
      </c>
      <c r="C20" s="52" t="n">
        <v>4</v>
      </c>
      <c r="H20" s="42" t="n"/>
      <c r="I20" s="52" t="n">
        <v>4</v>
      </c>
      <c r="N20" s="42" t="n"/>
    </row>
    <row r="21" ht="15.75" customHeight="1" s="40">
      <c r="A21" s="39" t="inlineStr">
        <is>
          <t>Planning time (years)</t>
        </is>
      </c>
      <c r="C21" s="51">
        <f>C20/52</f>
        <v/>
      </c>
      <c r="H21" s="42" t="n"/>
      <c r="I21" s="51">
        <f>I20/52</f>
        <v/>
      </c>
      <c r="N21" s="42" t="n"/>
    </row>
    <row r="22" ht="15.75" customHeight="1" s="40">
      <c r="A22" s="39" t="inlineStr">
        <is>
          <t>Surviving Mt/yr (= fraction_functioning * current Mt/yr)</t>
        </is>
      </c>
      <c r="B22" s="39" t="n"/>
      <c r="C22" s="45">
        <f>C16*$P$4</f>
        <v/>
      </c>
      <c r="I22" s="45">
        <f>I16*$P$4</f>
        <v/>
      </c>
    </row>
    <row r="23" ht="15.75" customHeight="1" s="40">
      <c r="A23" s="27" t="inlineStr">
        <is>
          <t>Wave</t>
        </is>
      </c>
      <c r="B23" s="27" t="inlineStr">
        <is>
          <t>Production Level</t>
        </is>
      </c>
      <c r="C23" s="19" t="inlineStr">
        <is>
          <t>Plants</t>
        </is>
      </c>
      <c r="D23" s="27" t="inlineStr">
        <is>
          <t>tonnes/week</t>
        </is>
      </c>
      <c r="E23" s="27" t="inlineStr">
        <is>
          <t>Weeks</t>
        </is>
      </c>
      <c r="F23" s="28" t="inlineStr">
        <is>
          <t>Years</t>
        </is>
      </c>
      <c r="G23" s="39" t="inlineStr">
        <is>
          <t>Megatonnes/year</t>
        </is>
      </c>
      <c r="H23" s="21" t="inlineStr">
        <is>
          <t>Multiple of Current Fungicide Production</t>
        </is>
      </c>
      <c r="I23" s="19" t="inlineStr">
        <is>
          <t>Plants</t>
        </is>
      </c>
      <c r="J23" s="27" t="inlineStr">
        <is>
          <t>tonnes/week</t>
        </is>
      </c>
      <c r="K23" s="27" t="inlineStr">
        <is>
          <t>Weeks</t>
        </is>
      </c>
      <c r="L23" s="28" t="inlineStr">
        <is>
          <t>Years</t>
        </is>
      </c>
      <c r="M23" s="39" t="inlineStr">
        <is>
          <t>Megatonnes/year</t>
        </is>
      </c>
      <c r="N23" s="21" t="inlineStr">
        <is>
          <t>Multiple of Current Fungicide Production</t>
        </is>
      </c>
      <c r="S23" s="22" t="inlineStr">
        <is>
          <t>Required</t>
        </is>
      </c>
      <c r="T23" s="22" t="inlineStr">
        <is>
          <t>Current</t>
        </is>
      </c>
      <c r="U23" s="22" t="inlineStr">
        <is>
          <t>New</t>
        </is>
      </c>
    </row>
    <row r="24" ht="15.75" customHeight="1" s="40">
      <c r="A24" s="39" t="n">
        <v>1</v>
      </c>
      <c r="B24" s="39" t="inlineStr">
        <is>
          <t>startup production</t>
        </is>
      </c>
      <c r="C24" s="29">
        <f>C$9*$A24</f>
        <v/>
      </c>
      <c r="D24" s="30">
        <f>C15*C24</f>
        <v/>
      </c>
      <c r="E24" s="30">
        <f>F24*52</f>
        <v/>
      </c>
      <c r="F24" s="31">
        <f>C$17*$A24+C$21</f>
        <v/>
      </c>
      <c r="G24" s="32">
        <f>D24/1000000*52</f>
        <v/>
      </c>
      <c r="H24" s="33">
        <f>G24/$P$4+($C$22/$P$4)</f>
        <v/>
      </c>
      <c r="I24" s="29">
        <f>I$9*$A24</f>
        <v/>
      </c>
      <c r="J24" s="30">
        <f>I15*I24</f>
        <v/>
      </c>
      <c r="K24" s="30">
        <f>L24*52</f>
        <v/>
      </c>
      <c r="L24" s="31">
        <f>I$17*$A24+I$21</f>
        <v/>
      </c>
      <c r="M24" s="32">
        <f>J24/1000000*52</f>
        <v/>
      </c>
      <c r="N24" s="33">
        <f>M24/$P$4+($I$22/$P$4)</f>
        <v/>
      </c>
      <c r="R24" s="22" t="inlineStr">
        <is>
          <t>N</t>
        </is>
      </c>
      <c r="S24" s="22" t="n">
        <v>1000</v>
      </c>
      <c r="T24" s="22" t="n">
        <v>1000</v>
      </c>
      <c r="U24" s="22" t="n">
        <v>0</v>
      </c>
    </row>
    <row r="25" ht="15.75" customHeight="1" s="40">
      <c r="A25" s="39" t="n">
        <v>1</v>
      </c>
      <c r="B25" s="39" t="inlineStr">
        <is>
          <t>full production</t>
        </is>
      </c>
      <c r="C25" s="29">
        <f>C$9*$A25</f>
        <v/>
      </c>
      <c r="D25" s="30">
        <f>C25*C$13</f>
        <v/>
      </c>
      <c r="E25" s="30">
        <f>F25*52</f>
        <v/>
      </c>
      <c r="F25" s="31">
        <f>F24+C$19</f>
        <v/>
      </c>
      <c r="G25" s="4">
        <f>D25/1000000*52</f>
        <v/>
      </c>
      <c r="H25" s="33">
        <f>G25/$P$4+($C$22/$P$4)</f>
        <v/>
      </c>
      <c r="I25" s="29">
        <f>I$9*$A25</f>
        <v/>
      </c>
      <c r="J25" s="30">
        <f>I25*I$13</f>
        <v/>
      </c>
      <c r="K25" s="30">
        <f>L25*52</f>
        <v/>
      </c>
      <c r="L25" s="31">
        <f>L24+I$19</f>
        <v/>
      </c>
      <c r="M25" s="4">
        <f>J25/1000000*52</f>
        <v/>
      </c>
      <c r="N25" s="33">
        <f>M25/$P$4+($I$22/$P$4)</f>
        <v/>
      </c>
      <c r="R25" s="34" t="n">
        <v>0.7</v>
      </c>
      <c r="T25" s="22" t="n">
        <v>700</v>
      </c>
    </row>
    <row r="26" ht="15.75" customHeight="1" s="40">
      <c r="A26" s="39" t="n">
        <v>2</v>
      </c>
      <c r="B26" s="39" t="inlineStr">
        <is>
          <t>startup production</t>
        </is>
      </c>
      <c r="C26" s="29">
        <f>C$9*$A26</f>
        <v/>
      </c>
      <c r="D26" s="30">
        <f>D25+C$15*C$9</f>
        <v/>
      </c>
      <c r="E26" s="30">
        <f>F26*52</f>
        <v/>
      </c>
      <c r="F26" s="31">
        <f>C$17*$A26+C$21</f>
        <v/>
      </c>
      <c r="G26" s="4">
        <f>D26/1000000*52</f>
        <v/>
      </c>
      <c r="H26" s="33">
        <f>G26/$P$4+($C$22/$P$4)</f>
        <v/>
      </c>
      <c r="I26" s="29">
        <f>I$9*$A26</f>
        <v/>
      </c>
      <c r="J26" s="30">
        <f>J25+I$15*I$9</f>
        <v/>
      </c>
      <c r="K26" s="30">
        <f>L26*52</f>
        <v/>
      </c>
      <c r="L26" s="31">
        <f>I$17*$A26+I$21</f>
        <v/>
      </c>
      <c r="M26" s="4">
        <f>J26/1000000*52</f>
        <v/>
      </c>
      <c r="N26" s="33">
        <f>M26/$P$4+($I$22/$P$4)</f>
        <v/>
      </c>
    </row>
    <row r="27" ht="15.75" customHeight="1" s="40">
      <c r="A27" s="39" t="n">
        <v>2</v>
      </c>
      <c r="B27" s="39" t="inlineStr">
        <is>
          <t>full production</t>
        </is>
      </c>
      <c r="C27" s="29">
        <f>C$9*$A27</f>
        <v/>
      </c>
      <c r="D27" s="30">
        <f>C27*C$13</f>
        <v/>
      </c>
      <c r="E27" s="30">
        <f>F27*52</f>
        <v/>
      </c>
      <c r="F27" s="31">
        <f>F26+C$19</f>
        <v/>
      </c>
      <c r="G27" s="4">
        <f>D27/1000000*52</f>
        <v/>
      </c>
      <c r="H27" s="33">
        <f>G27/$P$4+($C$22/$P$4)</f>
        <v/>
      </c>
      <c r="I27" s="29">
        <f>I$9*$A27</f>
        <v/>
      </c>
      <c r="J27" s="30">
        <f>I27*I$13</f>
        <v/>
      </c>
      <c r="K27" s="30">
        <f>L27*52</f>
        <v/>
      </c>
      <c r="L27" s="31">
        <f>L26+I$19</f>
        <v/>
      </c>
      <c r="M27" s="4">
        <f>J27/1000000*52</f>
        <v/>
      </c>
      <c r="N27" s="33">
        <f>M27/$P$4+($I$22/$P$4)</f>
        <v/>
      </c>
    </row>
    <row r="28" ht="15.75" customHeight="1" s="40">
      <c r="A28" s="39" t="n">
        <v>3</v>
      </c>
      <c r="B28" s="39" t="inlineStr">
        <is>
          <t>startup production</t>
        </is>
      </c>
      <c r="C28" s="29">
        <f>C$9*$A28</f>
        <v/>
      </c>
      <c r="D28" s="30">
        <f>D27+C$15*C$9</f>
        <v/>
      </c>
      <c r="E28" s="30">
        <f>F28*52</f>
        <v/>
      </c>
      <c r="F28" s="31">
        <f>C$17*$A28+C$21</f>
        <v/>
      </c>
      <c r="G28" s="4">
        <f>D28/1000000*52</f>
        <v/>
      </c>
      <c r="H28" s="33">
        <f>G28/$P$4+($C$22/$P$4)</f>
        <v/>
      </c>
      <c r="I28" s="29">
        <f>I$9*$A28</f>
        <v/>
      </c>
      <c r="J28" s="30">
        <f>J27+I$15*I$9</f>
        <v/>
      </c>
      <c r="K28" s="30">
        <f>L28*52</f>
        <v/>
      </c>
      <c r="L28" s="31">
        <f>I$17*$A28+I$21</f>
        <v/>
      </c>
      <c r="M28" s="4">
        <f>J28/1000000*52</f>
        <v/>
      </c>
      <c r="N28" s="33">
        <f>M28/$P$4+($I$22/$P$4)</f>
        <v/>
      </c>
    </row>
    <row r="29" ht="15.75" customHeight="1" s="40">
      <c r="A29" s="39" t="n">
        <v>3</v>
      </c>
      <c r="B29" s="39" t="inlineStr">
        <is>
          <t>full production</t>
        </is>
      </c>
      <c r="C29" s="29">
        <f>C$9*$A29</f>
        <v/>
      </c>
      <c r="D29" s="30">
        <f>C29*C$13</f>
        <v/>
      </c>
      <c r="E29" s="30">
        <f>F29*52</f>
        <v/>
      </c>
      <c r="F29" s="31">
        <f>F28+C$19</f>
        <v/>
      </c>
      <c r="G29" s="4">
        <f>D29/1000000*52</f>
        <v/>
      </c>
      <c r="H29" s="33">
        <f>G29/$P$4+($C$22/$P$4)</f>
        <v/>
      </c>
      <c r="I29" s="29">
        <f>I$9*$A29</f>
        <v/>
      </c>
      <c r="J29" s="30">
        <f>I29*I$13</f>
        <v/>
      </c>
      <c r="K29" s="30">
        <f>L29*52</f>
        <v/>
      </c>
      <c r="L29" s="31">
        <f>L28+I$19</f>
        <v/>
      </c>
      <c r="M29" s="4">
        <f>J29/1000000*52</f>
        <v/>
      </c>
      <c r="N29" s="33">
        <f>M29/$P$4+($I$22/$P$4)</f>
        <v/>
      </c>
    </row>
    <row r="30" ht="15.75" customHeight="1" s="40">
      <c r="A30" s="39" t="n">
        <v>4</v>
      </c>
      <c r="B30" s="39" t="inlineStr">
        <is>
          <t>startup production</t>
        </is>
      </c>
      <c r="C30" s="29">
        <f>C$9*$A30</f>
        <v/>
      </c>
      <c r="D30" s="30">
        <f>D29+C$15*C$9</f>
        <v/>
      </c>
      <c r="E30" s="30">
        <f>F30*52</f>
        <v/>
      </c>
      <c r="F30" s="31">
        <f>C$17*$A30+C$21</f>
        <v/>
      </c>
      <c r="G30" s="4">
        <f>D30/1000000*52</f>
        <v/>
      </c>
      <c r="H30" s="33">
        <f>G30/$P$4+($C$22/$P$4)</f>
        <v/>
      </c>
      <c r="I30" s="29">
        <f>I$9*$A30</f>
        <v/>
      </c>
      <c r="J30" s="30">
        <f>J29+I$15*I$9</f>
        <v/>
      </c>
      <c r="K30" s="30">
        <f>L30*52</f>
        <v/>
      </c>
      <c r="L30" s="31">
        <f>I$17*$A30+I$21</f>
        <v/>
      </c>
      <c r="M30" s="4">
        <f>J30/1000000*52</f>
        <v/>
      </c>
      <c r="N30" s="33">
        <f>M30/$P$4+($I$22/$P$4)</f>
        <v/>
      </c>
    </row>
    <row r="31" ht="15.75" customHeight="1" s="40">
      <c r="A31" s="39" t="n">
        <v>4</v>
      </c>
      <c r="B31" s="39" t="inlineStr">
        <is>
          <t>full production</t>
        </is>
      </c>
      <c r="C31" s="29">
        <f>C$9*$A31</f>
        <v/>
      </c>
      <c r="D31" s="30">
        <f>C31*C$13</f>
        <v/>
      </c>
      <c r="E31" s="30">
        <f>F31*52</f>
        <v/>
      </c>
      <c r="F31" s="31">
        <f>F30+C$19</f>
        <v/>
      </c>
      <c r="G31" s="4">
        <f>D31/1000000*52</f>
        <v/>
      </c>
      <c r="H31" s="33">
        <f>G31/$P$4+($C$22/$P$4)</f>
        <v/>
      </c>
      <c r="I31" s="29">
        <f>I$9*$A31</f>
        <v/>
      </c>
      <c r="J31" s="30">
        <f>I31*I$13</f>
        <v/>
      </c>
      <c r="K31" s="30">
        <f>L31*52</f>
        <v/>
      </c>
      <c r="L31" s="31">
        <f>L30+I$19</f>
        <v/>
      </c>
      <c r="M31" s="4">
        <f>J31/1000000*52</f>
        <v/>
      </c>
      <c r="N31" s="33">
        <f>M31/$P$4+($I$22/$P$4)</f>
        <v/>
      </c>
    </row>
    <row r="32" ht="15.75" customHeight="1" s="40">
      <c r="A32" s="39" t="n">
        <v>5</v>
      </c>
      <c r="B32" s="39" t="inlineStr">
        <is>
          <t>startup production</t>
        </is>
      </c>
      <c r="C32" s="29">
        <f>C$9*$A32</f>
        <v/>
      </c>
      <c r="D32" s="30">
        <f>D31+C$15*C$9</f>
        <v/>
      </c>
      <c r="E32" s="30">
        <f>F32*52</f>
        <v/>
      </c>
      <c r="F32" s="31">
        <f>C$17*$A32+C$21</f>
        <v/>
      </c>
      <c r="G32" s="4">
        <f>D32/1000000*52</f>
        <v/>
      </c>
      <c r="H32" s="33">
        <f>G32/$P$4+($C$22/$P$4)</f>
        <v/>
      </c>
      <c r="I32" s="29">
        <f>I$9*$A32</f>
        <v/>
      </c>
      <c r="J32" s="30">
        <f>J31+I$15*I$9</f>
        <v/>
      </c>
      <c r="K32" s="30">
        <f>L32*52</f>
        <v/>
      </c>
      <c r="L32" s="31">
        <f>I$17*$A32+I$21</f>
        <v/>
      </c>
      <c r="M32" s="4">
        <f>J32/1000000*52</f>
        <v/>
      </c>
      <c r="N32" s="33">
        <f>M32/$P$4+($I$22/$P$4)</f>
        <v/>
      </c>
    </row>
    <row r="33" ht="15.75" customHeight="1" s="40">
      <c r="A33" s="39" t="n">
        <v>5</v>
      </c>
      <c r="B33" s="39" t="inlineStr">
        <is>
          <t>full production</t>
        </is>
      </c>
      <c r="C33" s="29">
        <f>C$9*$A33</f>
        <v/>
      </c>
      <c r="D33" s="30">
        <f>C33*C$13</f>
        <v/>
      </c>
      <c r="E33" s="30">
        <f>F33*52</f>
        <v/>
      </c>
      <c r="F33" s="31">
        <f>F32+C$19</f>
        <v/>
      </c>
      <c r="G33" s="4">
        <f>D33/1000000*52</f>
        <v/>
      </c>
      <c r="H33" s="33">
        <f>G33/$P$4+($C$22/$P$4)</f>
        <v/>
      </c>
      <c r="I33" s="29">
        <f>I$9*$A33</f>
        <v/>
      </c>
      <c r="J33" s="30">
        <f>I33*I$13</f>
        <v/>
      </c>
      <c r="K33" s="30">
        <f>L33*52</f>
        <v/>
      </c>
      <c r="L33" s="31">
        <f>L32+I$19</f>
        <v/>
      </c>
      <c r="M33" s="4">
        <f>J33/1000000*52</f>
        <v/>
      </c>
      <c r="N33" s="33">
        <f>M33/$P$4+($I$22/$P$4)</f>
        <v/>
      </c>
    </row>
    <row r="34" ht="15.75" customHeight="1" s="40">
      <c r="A34" s="39" t="n">
        <v>6</v>
      </c>
      <c r="B34" s="39" t="inlineStr">
        <is>
          <t>startup production</t>
        </is>
      </c>
      <c r="C34" s="29">
        <f>C$9*$A34</f>
        <v/>
      </c>
      <c r="D34" s="30">
        <f>D33+C$15*C$9</f>
        <v/>
      </c>
      <c r="E34" s="30">
        <f>F34*52</f>
        <v/>
      </c>
      <c r="F34" s="31">
        <f>C$17*$A34+C$21</f>
        <v/>
      </c>
      <c r="G34" s="4">
        <f>D34/1000000*52</f>
        <v/>
      </c>
      <c r="H34" s="33">
        <f>G34/$P$4+($C$22/$P$4)</f>
        <v/>
      </c>
      <c r="I34" s="29">
        <f>I$9*$A34</f>
        <v/>
      </c>
      <c r="J34" s="30">
        <f>J33+I$15*I$9</f>
        <v/>
      </c>
      <c r="K34" s="30">
        <f>L34*52</f>
        <v/>
      </c>
      <c r="L34" s="31">
        <f>I$17*$A34+I$21</f>
        <v/>
      </c>
      <c r="M34" s="4">
        <f>J34/1000000*52</f>
        <v/>
      </c>
      <c r="N34" s="33">
        <f>M34/$P$4+($I$22/$P$4)</f>
        <v/>
      </c>
    </row>
    <row r="35" ht="15.75" customHeight="1" s="40">
      <c r="A35" s="39" t="n">
        <v>6</v>
      </c>
      <c r="B35" s="39" t="inlineStr">
        <is>
          <t>full production</t>
        </is>
      </c>
      <c r="C35" s="29">
        <f>C$9*$A35</f>
        <v/>
      </c>
      <c r="D35" s="30">
        <f>C35*C$13</f>
        <v/>
      </c>
      <c r="E35" s="30">
        <f>F35*52</f>
        <v/>
      </c>
      <c r="F35" s="31">
        <f>F34+C$19</f>
        <v/>
      </c>
      <c r="G35" s="4">
        <f>D35/1000000*52</f>
        <v/>
      </c>
      <c r="H35" s="33">
        <f>G35/$P$4+($C$22/$P$4)</f>
        <v/>
      </c>
      <c r="I35" s="29">
        <f>I$9*$A35</f>
        <v/>
      </c>
      <c r="J35" s="30">
        <f>I35*I$13</f>
        <v/>
      </c>
      <c r="K35" s="30">
        <f>L35*52</f>
        <v/>
      </c>
      <c r="L35" s="31">
        <f>L34+I$19</f>
        <v/>
      </c>
      <c r="M35" s="4">
        <f>J35/1000000*52</f>
        <v/>
      </c>
      <c r="N35" s="33">
        <f>M35/$P$4+($I$22/$P$4)</f>
        <v/>
      </c>
    </row>
    <row r="36" ht="15.75" customHeight="1" s="40">
      <c r="A36" s="39" t="n">
        <v>7</v>
      </c>
      <c r="B36" s="39" t="inlineStr">
        <is>
          <t>startup production</t>
        </is>
      </c>
      <c r="C36" s="29">
        <f>C$9*$A36</f>
        <v/>
      </c>
      <c r="D36" s="30">
        <f>D35+C$15*C$9</f>
        <v/>
      </c>
      <c r="E36" s="30">
        <f>F36*52</f>
        <v/>
      </c>
      <c r="F36" s="31">
        <f>C$17*$A36+C$21</f>
        <v/>
      </c>
      <c r="G36" s="4">
        <f>D36/1000000*52</f>
        <v/>
      </c>
      <c r="H36" s="33">
        <f>G36/$P$4+($C$22/$P$4)</f>
        <v/>
      </c>
      <c r="I36" s="29">
        <f>I$9*$A36</f>
        <v/>
      </c>
      <c r="J36" s="30">
        <f>J35+I$15*I$9</f>
        <v/>
      </c>
      <c r="K36" s="30">
        <f>L36*52</f>
        <v/>
      </c>
      <c r="L36" s="31">
        <f>I$17*$A36+I$21</f>
        <v/>
      </c>
      <c r="M36" s="4">
        <f>J36/1000000*52</f>
        <v/>
      </c>
      <c r="N36" s="33">
        <f>M36/$P$4+($I$22/$P$4)</f>
        <v/>
      </c>
    </row>
    <row r="37" ht="15.75" customHeight="1" s="40">
      <c r="A37" s="39" t="n">
        <v>7</v>
      </c>
      <c r="B37" s="39" t="inlineStr">
        <is>
          <t>full production</t>
        </is>
      </c>
      <c r="C37" s="29">
        <f>C$9*$A37</f>
        <v/>
      </c>
      <c r="D37" s="30">
        <f>C37*C$13</f>
        <v/>
      </c>
      <c r="E37" s="30">
        <f>F37*52</f>
        <v/>
      </c>
      <c r="F37" s="31">
        <f>F36+C$19</f>
        <v/>
      </c>
      <c r="G37" s="4">
        <f>D37/1000000*52</f>
        <v/>
      </c>
      <c r="H37" s="33">
        <f>G37/$P$4+($C$22/$P$4)</f>
        <v/>
      </c>
      <c r="I37" s="29">
        <f>I$9*$A37</f>
        <v/>
      </c>
      <c r="J37" s="30">
        <f>I37*I$13</f>
        <v/>
      </c>
      <c r="K37" s="30">
        <f>L37*52</f>
        <v/>
      </c>
      <c r="L37" s="31">
        <f>L36+I$19</f>
        <v/>
      </c>
      <c r="M37" s="4">
        <f>J37/1000000*52</f>
        <v/>
      </c>
      <c r="N37" s="33">
        <f>M37/$P$4+($I$22/$P$4)</f>
        <v/>
      </c>
    </row>
    <row r="38" ht="15.75" customHeight="1" s="40">
      <c r="A38" s="39" t="n">
        <v>8</v>
      </c>
      <c r="B38" s="39" t="inlineStr">
        <is>
          <t>startup production</t>
        </is>
      </c>
      <c r="C38" s="29">
        <f>C$9*$A38</f>
        <v/>
      </c>
      <c r="D38" s="30">
        <f>D37+C$15*C$9</f>
        <v/>
      </c>
      <c r="E38" s="30">
        <f>F38*52</f>
        <v/>
      </c>
      <c r="F38" s="31">
        <f>C$17*$A38+C$21</f>
        <v/>
      </c>
      <c r="G38" s="4">
        <f>D38/1000000*52</f>
        <v/>
      </c>
      <c r="H38" s="33">
        <f>G38/$P$4+($C$22/$P$4)</f>
        <v/>
      </c>
      <c r="I38" s="29">
        <f>I$9*$A38</f>
        <v/>
      </c>
      <c r="J38" s="30">
        <f>J37+I$15*I$9</f>
        <v/>
      </c>
      <c r="K38" s="30">
        <f>L38*52</f>
        <v/>
      </c>
      <c r="L38" s="31">
        <f>I$17*$A38+I$21</f>
        <v/>
      </c>
      <c r="M38" s="4">
        <f>J38/1000000*52</f>
        <v/>
      </c>
      <c r="N38" s="33">
        <f>M38/$P$4+($I$22/$P$4)</f>
        <v/>
      </c>
    </row>
    <row r="39" ht="15.75" customHeight="1" s="40">
      <c r="A39" s="39" t="n">
        <v>8</v>
      </c>
      <c r="B39" s="39" t="inlineStr">
        <is>
          <t>full production</t>
        </is>
      </c>
      <c r="C39" s="29">
        <f>C$9*$A39</f>
        <v/>
      </c>
      <c r="D39" s="30">
        <f>C39*C$13</f>
        <v/>
      </c>
      <c r="E39" s="30">
        <f>F39*52</f>
        <v/>
      </c>
      <c r="F39" s="31">
        <f>F38+C$19</f>
        <v/>
      </c>
      <c r="G39" s="4">
        <f>D39/1000000*52</f>
        <v/>
      </c>
      <c r="H39" s="33">
        <f>G39/$P$4+($C$22/$P$4)</f>
        <v/>
      </c>
      <c r="I39" s="29">
        <f>I$9*$A39</f>
        <v/>
      </c>
      <c r="J39" s="30">
        <f>I39*I$13</f>
        <v/>
      </c>
      <c r="K39" s="30">
        <f>L39*52</f>
        <v/>
      </c>
      <c r="L39" s="31">
        <f>L38+I$19</f>
        <v/>
      </c>
      <c r="M39" s="4">
        <f>J39/1000000*52</f>
        <v/>
      </c>
      <c r="N39" s="33">
        <f>M39/$P$4+($I$22/$P$4)</f>
        <v/>
      </c>
    </row>
    <row r="40" ht="15.75" customHeight="1" s="40">
      <c r="A40" s="39" t="n">
        <v>9</v>
      </c>
      <c r="B40" s="39" t="inlineStr">
        <is>
          <t>startup production</t>
        </is>
      </c>
      <c r="C40" s="29">
        <f>C$9*$A40</f>
        <v/>
      </c>
      <c r="D40" s="30">
        <f>D39+C$15*C$9</f>
        <v/>
      </c>
      <c r="E40" s="30">
        <f>F40*52</f>
        <v/>
      </c>
      <c r="F40" s="31">
        <f>C$17*$A40+C$21</f>
        <v/>
      </c>
      <c r="G40" s="4">
        <f>D40/1000000*52</f>
        <v/>
      </c>
      <c r="H40" s="33">
        <f>G40/$P$4+($C$22/$P$4)</f>
        <v/>
      </c>
      <c r="I40" s="29">
        <f>I$9*$A40</f>
        <v/>
      </c>
      <c r="J40" s="30">
        <f>J39+I$15*I$9</f>
        <v/>
      </c>
      <c r="K40" s="30">
        <f>L40*52</f>
        <v/>
      </c>
      <c r="L40" s="31">
        <f>I$17*$A40+I$21</f>
        <v/>
      </c>
      <c r="M40" s="4">
        <f>J40/1000000*52</f>
        <v/>
      </c>
      <c r="N40" s="33">
        <f>M40/$P$4+($I$22/$P$4)</f>
        <v/>
      </c>
    </row>
    <row r="41" ht="15.75" customHeight="1" s="40">
      <c r="A41" s="39" t="n">
        <v>9</v>
      </c>
      <c r="B41" s="39" t="inlineStr">
        <is>
          <t>full production</t>
        </is>
      </c>
      <c r="C41" s="29">
        <f>C$9*$A41</f>
        <v/>
      </c>
      <c r="D41" s="30">
        <f>C41*C$13</f>
        <v/>
      </c>
      <c r="E41" s="30">
        <f>F41*52</f>
        <v/>
      </c>
      <c r="F41" s="31">
        <f>F40+C$19</f>
        <v/>
      </c>
      <c r="G41" s="4">
        <f>D41/1000000*52</f>
        <v/>
      </c>
      <c r="H41" s="33">
        <f>G41/$P$4+($C$22/$P$4)</f>
        <v/>
      </c>
      <c r="I41" s="29">
        <f>I$9*$A41</f>
        <v/>
      </c>
      <c r="J41" s="30">
        <f>I41*I$13</f>
        <v/>
      </c>
      <c r="K41" s="30">
        <f>L41*52</f>
        <v/>
      </c>
      <c r="L41" s="31">
        <f>L40+I$19</f>
        <v/>
      </c>
      <c r="M41" s="4">
        <f>J41/1000000*52</f>
        <v/>
      </c>
      <c r="N41" s="33">
        <f>M41/$P$4+($I$22/$P$4)</f>
        <v/>
      </c>
    </row>
    <row r="42" ht="15.75" customHeight="1" s="40">
      <c r="A42" s="39" t="n">
        <v>10</v>
      </c>
      <c r="B42" s="39" t="inlineStr">
        <is>
          <t>startup production</t>
        </is>
      </c>
      <c r="C42" s="29">
        <f>C$9*$A42</f>
        <v/>
      </c>
      <c r="D42" s="30">
        <f>D41+C$15*C$9</f>
        <v/>
      </c>
      <c r="E42" s="30">
        <f>F42*52</f>
        <v/>
      </c>
      <c r="F42" s="31">
        <f>C$17*$A42+C$21</f>
        <v/>
      </c>
      <c r="G42" s="4">
        <f>D42/1000000*52</f>
        <v/>
      </c>
      <c r="H42" s="33">
        <f>G42/$P$4+($C$22/$P$4)</f>
        <v/>
      </c>
      <c r="I42" s="29">
        <f>I$9*$A42</f>
        <v/>
      </c>
      <c r="J42" s="30">
        <f>J41+I$15*I$9</f>
        <v/>
      </c>
      <c r="K42" s="30">
        <f>L42*52</f>
        <v/>
      </c>
      <c r="L42" s="31">
        <f>I$17*$A42+I$21</f>
        <v/>
      </c>
      <c r="M42" s="4">
        <f>J42/1000000*52</f>
        <v/>
      </c>
      <c r="N42" s="33">
        <f>M42/$P$4+($I$22/$P$4)</f>
        <v/>
      </c>
    </row>
    <row r="43" ht="15.75" customHeight="1" s="40">
      <c r="A43" s="39" t="n">
        <v>10</v>
      </c>
      <c r="B43" s="39" t="inlineStr">
        <is>
          <t>full production</t>
        </is>
      </c>
      <c r="C43" s="29">
        <f>C$9*$A43</f>
        <v/>
      </c>
      <c r="D43" s="30">
        <f>C43*C$13</f>
        <v/>
      </c>
      <c r="E43" s="30">
        <f>F43*52</f>
        <v/>
      </c>
      <c r="F43" s="31">
        <f>F42+C$19</f>
        <v/>
      </c>
      <c r="G43" s="4">
        <f>D43/1000000*52</f>
        <v/>
      </c>
      <c r="H43" s="33">
        <f>G43/$P$4+($C$22/$P$4)</f>
        <v/>
      </c>
      <c r="I43" s="29">
        <f>I$9*$A43</f>
        <v/>
      </c>
      <c r="J43" s="30">
        <f>I43*I$13</f>
        <v/>
      </c>
      <c r="K43" s="30">
        <f>L43*52</f>
        <v/>
      </c>
      <c r="L43" s="31">
        <f>L42+I$19</f>
        <v/>
      </c>
      <c r="M43" s="4">
        <f>J43/1000000*52</f>
        <v/>
      </c>
      <c r="N43" s="33">
        <f>M43/$P$4+($I$22/$P$4)</f>
        <v/>
      </c>
    </row>
    <row r="44" ht="15.75" customHeight="1" s="40">
      <c r="A44" s="39" t="n">
        <v>11</v>
      </c>
      <c r="B44" s="39" t="inlineStr">
        <is>
          <t>startup production</t>
        </is>
      </c>
      <c r="C44" s="29">
        <f>C$9*$A44</f>
        <v/>
      </c>
      <c r="D44" s="30">
        <f>D43+C$15*C$9</f>
        <v/>
      </c>
      <c r="E44" s="30">
        <f>F44*52</f>
        <v/>
      </c>
      <c r="F44" s="31">
        <f>C$17*$A44+C$21</f>
        <v/>
      </c>
      <c r="G44" s="4">
        <f>D44/1000000*52</f>
        <v/>
      </c>
      <c r="H44" s="33">
        <f>G44/$P$4+($C$22/$P$4)</f>
        <v/>
      </c>
      <c r="I44" s="29">
        <f>I$9*$A44</f>
        <v/>
      </c>
      <c r="J44" s="30">
        <f>J43+I$15*I$9</f>
        <v/>
      </c>
      <c r="K44" s="30">
        <f>L44*52</f>
        <v/>
      </c>
      <c r="L44" s="31">
        <f>I$17*$A44+I$21</f>
        <v/>
      </c>
      <c r="M44" s="4">
        <f>J44/1000000*52</f>
        <v/>
      </c>
      <c r="N44" s="33">
        <f>M44/$P$4+($I$22/$P$4)</f>
        <v/>
      </c>
    </row>
    <row r="45" ht="15.75" customHeight="1" s="40">
      <c r="A45" s="39" t="n">
        <v>11</v>
      </c>
      <c r="B45" s="39" t="inlineStr">
        <is>
          <t>full production</t>
        </is>
      </c>
      <c r="C45" s="29">
        <f>C$9*$A45</f>
        <v/>
      </c>
      <c r="D45" s="30">
        <f>C45*C$13</f>
        <v/>
      </c>
      <c r="E45" s="30">
        <f>F45*52</f>
        <v/>
      </c>
      <c r="F45" s="31">
        <f>F44+C$19</f>
        <v/>
      </c>
      <c r="G45" s="4">
        <f>D45/1000000*52</f>
        <v/>
      </c>
      <c r="H45" s="33">
        <f>G45/$P$4+($C$22/$P$4)</f>
        <v/>
      </c>
      <c r="I45" s="29">
        <f>I$9*$A45</f>
        <v/>
      </c>
      <c r="J45" s="30">
        <f>I45*I$13</f>
        <v/>
      </c>
      <c r="K45" s="30">
        <f>L45*52</f>
        <v/>
      </c>
      <c r="L45" s="31">
        <f>L44+I$19</f>
        <v/>
      </c>
      <c r="M45" s="4">
        <f>J45/1000000*52</f>
        <v/>
      </c>
      <c r="N45" s="33">
        <f>M45/$P$4+($I$22/$P$4)</f>
        <v/>
      </c>
    </row>
    <row r="46" ht="15.75" customHeight="1" s="40">
      <c r="A46" s="39" t="n">
        <v>12</v>
      </c>
      <c r="B46" s="39" t="inlineStr">
        <is>
          <t>startup production</t>
        </is>
      </c>
      <c r="C46" s="29">
        <f>C$9*$A46</f>
        <v/>
      </c>
      <c r="D46" s="30">
        <f>D45+C$15*C$9</f>
        <v/>
      </c>
      <c r="E46" s="30">
        <f>F46*52</f>
        <v/>
      </c>
      <c r="F46" s="31">
        <f>C$17*$A46+C$21</f>
        <v/>
      </c>
      <c r="G46" s="4">
        <f>D46/1000000*52</f>
        <v/>
      </c>
      <c r="H46" s="33">
        <f>G46/$P$4+($C$22/$P$4)</f>
        <v/>
      </c>
      <c r="I46" s="29">
        <f>I$9*$A46</f>
        <v/>
      </c>
      <c r="J46" s="30">
        <f>J45+I$15*I$9</f>
        <v/>
      </c>
      <c r="K46" s="30">
        <f>L46*52</f>
        <v/>
      </c>
      <c r="L46" s="31">
        <f>I$17*$A46+I$21</f>
        <v/>
      </c>
      <c r="M46" s="4">
        <f>J46/1000000*52</f>
        <v/>
      </c>
      <c r="N46" s="33">
        <f>M46/$P$4+($I$22/$P$4)</f>
        <v/>
      </c>
    </row>
    <row r="47" ht="15.75" customHeight="1" s="40">
      <c r="A47" s="39" t="n">
        <v>12</v>
      </c>
      <c r="B47" s="39" t="inlineStr">
        <is>
          <t>full production</t>
        </is>
      </c>
      <c r="C47" s="29">
        <f>C$9*$A47</f>
        <v/>
      </c>
      <c r="D47" s="30">
        <f>C47*C$13</f>
        <v/>
      </c>
      <c r="E47" s="30">
        <f>F47*52</f>
        <v/>
      </c>
      <c r="F47" s="31">
        <f>F46+C$19</f>
        <v/>
      </c>
      <c r="G47" s="4">
        <f>D47/1000000*52</f>
        <v/>
      </c>
      <c r="H47" s="33">
        <f>G47/$P$4+($C$22/$P$4)</f>
        <v/>
      </c>
      <c r="I47" s="29">
        <f>I$9*$A47</f>
        <v/>
      </c>
      <c r="J47" s="30">
        <f>I47*I$13</f>
        <v/>
      </c>
      <c r="K47" s="30">
        <f>L47*52</f>
        <v/>
      </c>
      <c r="L47" s="31">
        <f>L46+I$19</f>
        <v/>
      </c>
      <c r="M47" s="4">
        <f>J47/1000000*52</f>
        <v/>
      </c>
      <c r="N47" s="33">
        <f>M47/$P$4+($I$22/$P$4)</f>
        <v/>
      </c>
    </row>
    <row r="48" ht="15.75" customHeight="1" s="40">
      <c r="C48" s="45" t="n"/>
      <c r="D48" s="39" t="n"/>
      <c r="E48" s="39" t="n"/>
      <c r="F48" s="35" t="n"/>
      <c r="G48" s="39" t="n"/>
      <c r="H48" s="39" t="n"/>
      <c r="I48" s="45" t="n"/>
      <c r="J48" s="39" t="n"/>
      <c r="K48" s="39" t="n"/>
      <c r="L48" s="35" t="n"/>
      <c r="M48" s="39" t="n"/>
      <c r="N48" s="39" t="n"/>
      <c r="U48" t="inlineStr">
        <is>
          <t>MULTIPLE CHART DATA (includes pre-disruption = 1)</t>
        </is>
      </c>
    </row>
    <row r="49" ht="15.75" customHeight="1" s="40">
      <c r="C49" s="45" t="inlineStr">
        <is>
          <t>Plants</t>
        </is>
      </c>
      <c r="D49" s="39" t="inlineStr">
        <is>
          <t>tonnes/week</t>
        </is>
      </c>
      <c r="E49" s="39" t="inlineStr">
        <is>
          <t>Weeks</t>
        </is>
      </c>
      <c r="F49" s="35" t="inlineStr">
        <is>
          <t>Years</t>
        </is>
      </c>
      <c r="G49" s="39" t="inlineStr">
        <is>
          <t>Regular Construction</t>
        </is>
      </c>
      <c r="H49" s="39" t="inlineStr">
        <is>
          <t>Regular Construction</t>
        </is>
      </c>
      <c r="I49" s="45" t="inlineStr">
        <is>
          <t>Plants</t>
        </is>
      </c>
      <c r="J49" s="39" t="inlineStr">
        <is>
          <t>tonnes/week</t>
        </is>
      </c>
      <c r="K49" s="39" t="inlineStr">
        <is>
          <t>Weeks</t>
        </is>
      </c>
      <c r="L49" s="35" t="inlineStr">
        <is>
          <t>Years</t>
        </is>
      </c>
      <c r="M49" s="39" t="inlineStr">
        <is>
          <t>Fast Construction</t>
        </is>
      </c>
      <c r="N49" s="39" t="inlineStr">
        <is>
          <t>Fast Construction</t>
        </is>
      </c>
      <c r="U49" t="inlineStr">
        <is>
          <t>Years</t>
        </is>
      </c>
      <c r="V49" t="inlineStr">
        <is>
          <t>Regular Construction</t>
        </is>
      </c>
      <c r="W49" t="inlineStr">
        <is>
          <t>Fast Construction</t>
        </is>
      </c>
    </row>
    <row r="50" ht="15.75" customHeight="1" s="40">
      <c r="C50" s="24" t="n"/>
      <c r="D50" s="4" t="n"/>
      <c r="E50" s="39" t="n"/>
      <c r="F50" s="35" t="n"/>
      <c r="G50" s="39" t="inlineStr">
        <is>
          <t>new megatonnes/year</t>
        </is>
      </c>
      <c r="H50" s="13" t="inlineStr">
        <is>
          <t>Multiple of Current Fungicide Production</t>
        </is>
      </c>
      <c r="I50" s="24" t="n"/>
      <c r="J50" s="4" t="n"/>
      <c r="K50" s="39" t="n"/>
      <c r="L50" s="35" t="n"/>
      <c r="M50" s="39" t="inlineStr">
        <is>
          <t>new megatonnes/year</t>
        </is>
      </c>
      <c r="N50" s="13" t="inlineStr">
        <is>
          <t>Multiple of Current Fungicide Production</t>
        </is>
      </c>
      <c r="U50" t="n">
        <v>-0.25</v>
      </c>
      <c r="V50" t="n">
        <v>1</v>
      </c>
      <c r="W50" t="n">
        <v>1</v>
      </c>
    </row>
    <row r="51" ht="15.75" customHeight="1" s="40">
      <c r="C51" s="36">
        <f>_xlfn.IFS(E51&lt;E$24,0,E51&lt;E$26,C$24,E51&lt;E$28,C$26,E51&lt;E$30,C$28,E51&lt;E$32,C$30,E51&lt;E$34,C$32,E51&gt;=E$34,C$34)</f>
        <v/>
      </c>
      <c r="D51" s="37">
        <f>_xlfn.IFS(E51&lt;E$24,0,E51&lt;E$25,D$24,E51&lt;E$26,D$25,E51&lt;E$27,D$26,E51&lt;E$28,D$27,E51&lt;E$29,D$28,E51&lt;E$30,D$29,E51&lt;E$31,D$30,E51&lt;E$32,D$31,E51&lt;E$33,D$32,E51&lt;E$34,D$33,E51&lt;E$35,D$34,E51&gt;=E$35,D$35)</f>
        <v/>
      </c>
      <c r="E51" s="38" t="n">
        <v>1</v>
      </c>
      <c r="F51" s="31" t="n">
        <v>0</v>
      </c>
      <c r="G51" s="39">
        <f>D51/1000000*52</f>
        <v/>
      </c>
      <c r="H51" s="33">
        <f>G51/$P$4+($C$22/$P$4)</f>
        <v/>
      </c>
      <c r="I51" s="36">
        <f>_xlfn.IFS(K51&lt;K$24,0,K51&lt;K$26,I$24,K51&lt;K$28,I$26,K51&lt;K$30,I$28,K51&lt;K$32,I$30,K51&lt;K$34,I$32,K51&lt;K$36,I$34,K51&lt;K$38,I$36,K51&lt;K$40,I$38,K51&lt;K$42,I$40,K51&lt;K$44,I$42,K51&lt;K$46,I$44,K51&gt;=K$46,I$46)</f>
        <v/>
      </c>
      <c r="J51" s="37">
        <f>_xlfn.IFS(K51&lt;K$24,0,K51&lt;K$25,J$24,K51&lt;K$26,J$25,K51&lt;K$27,J$26,K51&lt;K$28,J$27,K51&lt;K$29,J$28,K51&lt;K$30,J$29,K51&lt;K$31,J$30,K51&lt;K$32,J$31,K51&lt;K$33,J$32,K51&lt;K$34,J$33,K51&lt;K$35,J$34,K51&lt;K$36,J$35,K51&lt;K$37,J$36,K51&lt;K$38,J$37,K51&lt;K$39,J$38,K51&lt;K$40,J$39,K51&lt;K$41,J$40,K51&lt;K$42,J$41,K51&lt;K$43,J$42,K51&lt;K$44,J$43,K51&lt;K$45,J$44,K51&lt;K$46,J$45,K51&lt;K$47,J$46,K51&gt;=K$47,J$47)</f>
        <v/>
      </c>
      <c r="K51" s="38" t="n">
        <v>1</v>
      </c>
      <c r="L51" s="31" t="n">
        <v>0</v>
      </c>
      <c r="M51" s="39">
        <f>J51/1000000*52</f>
        <v/>
      </c>
      <c r="N51" s="33">
        <f>M51/$P$4+($I$22/$P$4)</f>
        <v/>
      </c>
      <c r="U51" t="n">
        <v>0</v>
      </c>
      <c r="V51" t="n">
        <v>1</v>
      </c>
      <c r="W51" t="n">
        <v>1</v>
      </c>
    </row>
    <row r="52" ht="15.75" customHeight="1" s="40">
      <c r="C52" s="36">
        <f>_xlfn.IFS(E52&lt;E$24,0,E52&lt;E$26,C$24,E52&lt;E$28,C$26,E52&lt;E$30,C$28,E52&lt;E$32,C$30,E52&lt;E$34,C$32,E52&gt;=E$34,C$34)</f>
        <v/>
      </c>
      <c r="D52" s="37">
        <f>_xlfn.IFS(E52&lt;E$24,0,E52&lt;E$25,D$24,E52&lt;E$26,D$25,E52&lt;E$27,D$26,E52&lt;E$28,D$27,E52&lt;E$29,D$28,E52&lt;E$30,D$29,E52&lt;E$31,D$30,E52&lt;E$32,D$31,E52&lt;E$33,D$32,E52&lt;E$34,D$33,E52&lt;E$35,D$34,E52&gt;=E$35,D$35)</f>
        <v/>
      </c>
      <c r="E52" s="38" t="n">
        <v>2</v>
      </c>
      <c r="F52" s="31">
        <f>E52/52</f>
        <v/>
      </c>
      <c r="G52" s="39">
        <f>D52/1000000*52</f>
        <v/>
      </c>
      <c r="H52" s="33">
        <f>G52/$P$4+($C$22/$P$4)</f>
        <v/>
      </c>
      <c r="I52" s="36">
        <f>_xlfn.IFS(K52&lt;K$24,0,K52&lt;K$26,I$24,K52&lt;K$28,I$26,K52&lt;K$30,I$28,K52&lt;K$32,I$30,K52&lt;K$34,I$32,K52&lt;K$36,I$34,K52&lt;K$38,I$36,K52&lt;K$40,I$38,K52&lt;K$42,I$40,K52&lt;K$44,I$42,K52&lt;K$46,I$44,K52&gt;=K$46,I$46)</f>
        <v/>
      </c>
      <c r="J52" s="37">
        <f>_xlfn.IFS(K52&lt;K$24,0,K52&lt;K$25,J$24,K52&lt;K$26,J$25,K52&lt;K$27,J$26,K52&lt;K$28,J$27,K52&lt;K$29,J$28,K52&lt;K$30,J$29,K52&lt;K$31,J$30,K52&lt;K$32,J$31,K52&lt;K$33,J$32,K52&lt;K$34,J$33,K52&lt;K$35,J$34,K52&lt;K$36,J$35,K52&lt;K$37,J$36,K52&lt;K$38,J$37,K52&lt;K$39,J$38,K52&lt;K$40,J$39,K52&lt;K$41,J$40,K52&lt;K$42,J$41,K52&lt;K$43,J$42,K52&lt;K$44,J$43,K52&lt;K$45,J$44,K52&lt;K$46,J$45,K52&lt;K$47,J$46,K52&gt;=K$47,J$47)</f>
        <v/>
      </c>
      <c r="K52" s="38" t="n">
        <v>2</v>
      </c>
      <c r="L52" s="31">
        <f>K52/52</f>
        <v/>
      </c>
      <c r="M52" s="39">
        <f>J52/1000000*52</f>
        <v/>
      </c>
      <c r="N52" s="33">
        <f>M52/$P$4+($I$22/$P$4)</f>
        <v/>
      </c>
      <c r="U52">
        <f>F51</f>
        <v/>
      </c>
      <c r="V52">
        <f>H51</f>
        <v/>
      </c>
      <c r="W52">
        <f>N51</f>
        <v/>
      </c>
    </row>
    <row r="53" ht="15.75" customHeight="1" s="40">
      <c r="C53" s="36">
        <f>_xlfn.IFS(E53&lt;E$24,0,E53&lt;E$26,C$24,E53&lt;E$28,C$26,E53&lt;E$30,C$28,E53&lt;E$32,C$30,E53&lt;E$34,C$32,E53&gt;=E$34,C$34)</f>
        <v/>
      </c>
      <c r="D53" s="37">
        <f>_xlfn.IFS(E53&lt;E$24,0,E53&lt;E$25,D$24,E53&lt;E$26,D$25,E53&lt;E$27,D$26,E53&lt;E$28,D$27,E53&lt;E$29,D$28,E53&lt;E$30,D$29,E53&lt;E$31,D$30,E53&lt;E$32,D$31,E53&lt;E$33,D$32,E53&lt;E$34,D$33,E53&lt;E$35,D$34,E53&gt;=E$35,D$35)</f>
        <v/>
      </c>
      <c r="E53" s="38" t="n">
        <v>3</v>
      </c>
      <c r="F53" s="31">
        <f>E53/52</f>
        <v/>
      </c>
      <c r="G53" s="39">
        <f>D53/1000000*52</f>
        <v/>
      </c>
      <c r="H53" s="33">
        <f>G53/$P$4+($C$22/$P$4)</f>
        <v/>
      </c>
      <c r="I53" s="36">
        <f>_xlfn.IFS(K53&lt;K$24,0,K53&lt;K$26,I$24,K53&lt;K$28,I$26,K53&lt;K$30,I$28,K53&lt;K$32,I$30,K53&lt;K$34,I$32,K53&lt;K$36,I$34,K53&lt;K$38,I$36,K53&lt;K$40,I$38,K53&lt;K$42,I$40,K53&lt;K$44,I$42,K53&lt;K$46,I$44,K53&gt;=K$46,I$46)</f>
        <v/>
      </c>
      <c r="J53" s="37">
        <f>_xlfn.IFS(K53&lt;K$24,0,K53&lt;K$25,J$24,K53&lt;K$26,J$25,K53&lt;K$27,J$26,K53&lt;K$28,J$27,K53&lt;K$29,J$28,K53&lt;K$30,J$29,K53&lt;K$31,J$30,K53&lt;K$32,J$31,K53&lt;K$33,J$32,K53&lt;K$34,J$33,K53&lt;K$35,J$34,K53&lt;K$36,J$35,K53&lt;K$37,J$36,K53&lt;K$38,J$37,K53&lt;K$39,J$38,K53&lt;K$40,J$39,K53&lt;K$41,J$40,K53&lt;K$42,J$41,K53&lt;K$43,J$42,K53&lt;K$44,J$43,K53&lt;K$45,J$44,K53&lt;K$46,J$45,K53&lt;K$47,J$46,K53&gt;=K$47,J$47)</f>
        <v/>
      </c>
      <c r="K53" s="38" t="n">
        <v>3</v>
      </c>
      <c r="L53" s="31">
        <f>K53/52</f>
        <v/>
      </c>
      <c r="M53" s="39">
        <f>J53/1000000*52</f>
        <v/>
      </c>
      <c r="N53" s="33">
        <f>M53/$P$4+($I$22/$P$4)</f>
        <v/>
      </c>
      <c r="U53">
        <f>F52</f>
        <v/>
      </c>
      <c r="V53">
        <f>H52</f>
        <v/>
      </c>
      <c r="W53">
        <f>N52</f>
        <v/>
      </c>
    </row>
    <row r="54" ht="15.75" customHeight="1" s="40">
      <c r="C54" s="36">
        <f>_xlfn.IFS(E54&lt;E$24,0,E54&lt;E$26,C$24,E54&lt;E$28,C$26,E54&lt;E$30,C$28,E54&lt;E$32,C$30,E54&lt;E$34,C$32,E54&gt;=E$34,C$34)</f>
        <v/>
      </c>
      <c r="D54" s="37">
        <f>_xlfn.IFS(E54&lt;E$24,0,E54&lt;E$25,D$24,E54&lt;E$26,D$25,E54&lt;E$27,D$26,E54&lt;E$28,D$27,E54&lt;E$29,D$28,E54&lt;E$30,D$29,E54&lt;E$31,D$30,E54&lt;E$32,D$31,E54&lt;E$33,D$32,E54&lt;E$34,D$33,E54&lt;E$35,D$34,E54&gt;=E$35,D$35)</f>
        <v/>
      </c>
      <c r="E54" s="38" t="n">
        <v>4</v>
      </c>
      <c r="F54" s="31">
        <f>E54/52</f>
        <v/>
      </c>
      <c r="G54" s="39">
        <f>D54/1000000*52</f>
        <v/>
      </c>
      <c r="H54" s="33">
        <f>G54/$P$4+($C$22/$P$4)</f>
        <v/>
      </c>
      <c r="I54" s="36">
        <f>_xlfn.IFS(K54&lt;K$24,0,K54&lt;K$26,I$24,K54&lt;K$28,I$26,K54&lt;K$30,I$28,K54&lt;K$32,I$30,K54&lt;K$34,I$32,K54&lt;K$36,I$34,K54&lt;K$38,I$36,K54&lt;K$40,I$38,K54&lt;K$42,I$40,K54&lt;K$44,I$42,K54&lt;K$46,I$44,K54&gt;=K$46,I$46)</f>
        <v/>
      </c>
      <c r="J54" s="37">
        <f>_xlfn.IFS(K54&lt;K$24,0,K54&lt;K$25,J$24,K54&lt;K$26,J$25,K54&lt;K$27,J$26,K54&lt;K$28,J$27,K54&lt;K$29,J$28,K54&lt;K$30,J$29,K54&lt;K$31,J$30,K54&lt;K$32,J$31,K54&lt;K$33,J$32,K54&lt;K$34,J$33,K54&lt;K$35,J$34,K54&lt;K$36,J$35,K54&lt;K$37,J$36,K54&lt;K$38,J$37,K54&lt;K$39,J$38,K54&lt;K$40,J$39,K54&lt;K$41,J$40,K54&lt;K$42,J$41,K54&lt;K$43,J$42,K54&lt;K$44,J$43,K54&lt;K$45,J$44,K54&lt;K$46,J$45,K54&lt;K$47,J$46,K54&gt;=K$47,J$47)</f>
        <v/>
      </c>
      <c r="K54" s="38" t="n">
        <v>4</v>
      </c>
      <c r="L54" s="31">
        <f>K54/52</f>
        <v/>
      </c>
      <c r="M54" s="39">
        <f>J54/1000000*52</f>
        <v/>
      </c>
      <c r="N54" s="33">
        <f>M54/$P$4+($I$22/$P$4)</f>
        <v/>
      </c>
      <c r="U54">
        <f>F53</f>
        <v/>
      </c>
      <c r="V54">
        <f>H53</f>
        <v/>
      </c>
      <c r="W54">
        <f>N53</f>
        <v/>
      </c>
    </row>
    <row r="55" ht="15.75" customHeight="1" s="40">
      <c r="C55" s="36">
        <f>_xlfn.IFS(E55&lt;E$24,0,E55&lt;E$26,C$24,E55&lt;E$28,C$26,E55&lt;E$30,C$28,E55&lt;E$32,C$30,E55&lt;E$34,C$32,E55&gt;=E$34,C$34)</f>
        <v/>
      </c>
      <c r="D55" s="37">
        <f>_xlfn.IFS(E55&lt;E$24,0,E55&lt;E$25,D$24,E55&lt;E$26,D$25,E55&lt;E$27,D$26,E55&lt;E$28,D$27,E55&lt;E$29,D$28,E55&lt;E$30,D$29,E55&lt;E$31,D$30,E55&lt;E$32,D$31,E55&lt;E$33,D$32,E55&lt;E$34,D$33,E55&lt;E$35,D$34,E55&gt;=E$35,D$35)</f>
        <v/>
      </c>
      <c r="E55" s="38" t="n">
        <v>5</v>
      </c>
      <c r="F55" s="31">
        <f>E55/52</f>
        <v/>
      </c>
      <c r="G55" s="39">
        <f>D55/1000000*52</f>
        <v/>
      </c>
      <c r="H55" s="33">
        <f>G55/$P$4+($C$22/$P$4)</f>
        <v/>
      </c>
      <c r="I55" s="36">
        <f>_xlfn.IFS(K55&lt;K$24,0,K55&lt;K$26,I$24,K55&lt;K$28,I$26,K55&lt;K$30,I$28,K55&lt;K$32,I$30,K55&lt;K$34,I$32,K55&lt;K$36,I$34,K55&lt;K$38,I$36,K55&lt;K$40,I$38,K55&lt;K$42,I$40,K55&lt;K$44,I$42,K55&lt;K$46,I$44,K55&gt;=K$46,I$46)</f>
        <v/>
      </c>
      <c r="J55" s="37">
        <f>_xlfn.IFS(K55&lt;K$24,0,K55&lt;K$25,J$24,K55&lt;K$26,J$25,K55&lt;K$27,J$26,K55&lt;K$28,J$27,K55&lt;K$29,J$28,K55&lt;K$30,J$29,K55&lt;K$31,J$30,K55&lt;K$32,J$31,K55&lt;K$33,J$32,K55&lt;K$34,J$33,K55&lt;K$35,J$34,K55&lt;K$36,J$35,K55&lt;K$37,J$36,K55&lt;K$38,J$37,K55&lt;K$39,J$38,K55&lt;K$40,J$39,K55&lt;K$41,J$40,K55&lt;K$42,J$41,K55&lt;K$43,J$42,K55&lt;K$44,J$43,K55&lt;K$45,J$44,K55&lt;K$46,J$45,K55&lt;K$47,J$46,K55&gt;=K$47,J$47)</f>
        <v/>
      </c>
      <c r="K55" s="38" t="n">
        <v>5</v>
      </c>
      <c r="L55" s="31">
        <f>K55/52</f>
        <v/>
      </c>
      <c r="M55" s="39">
        <f>J55/1000000*52</f>
        <v/>
      </c>
      <c r="N55" s="33">
        <f>M55/$P$4+($I$22/$P$4)</f>
        <v/>
      </c>
      <c r="U55">
        <f>F54</f>
        <v/>
      </c>
      <c r="V55">
        <f>H54</f>
        <v/>
      </c>
      <c r="W55">
        <f>N54</f>
        <v/>
      </c>
    </row>
    <row r="56" ht="15.75" customHeight="1" s="40">
      <c r="C56" s="36">
        <f>_xlfn.IFS(E56&lt;E$24,0,E56&lt;E$26,C$24,E56&lt;E$28,C$26,E56&lt;E$30,C$28,E56&lt;E$32,C$30,E56&lt;E$34,C$32,E56&gt;=E$34,C$34)</f>
        <v/>
      </c>
      <c r="D56" s="37">
        <f>_xlfn.IFS(E56&lt;E$24,0,E56&lt;E$25,D$24,E56&lt;E$26,D$25,E56&lt;E$27,D$26,E56&lt;E$28,D$27,E56&lt;E$29,D$28,E56&lt;E$30,D$29,E56&lt;E$31,D$30,E56&lt;E$32,D$31,E56&lt;E$33,D$32,E56&lt;E$34,D$33,E56&lt;E$35,D$34,E56&gt;=E$35,D$35)</f>
        <v/>
      </c>
      <c r="E56" s="38" t="n">
        <v>6</v>
      </c>
      <c r="F56" s="31">
        <f>E56/52</f>
        <v/>
      </c>
      <c r="G56" s="39">
        <f>D56/1000000*52</f>
        <v/>
      </c>
      <c r="H56" s="33">
        <f>G56/$P$4+($C$22/$P$4)</f>
        <v/>
      </c>
      <c r="I56" s="36">
        <f>_xlfn.IFS(K56&lt;K$24,0,K56&lt;K$26,I$24,K56&lt;K$28,I$26,K56&lt;K$30,I$28,K56&lt;K$32,I$30,K56&lt;K$34,I$32,K56&lt;K$36,I$34,K56&lt;K$38,I$36,K56&lt;K$40,I$38,K56&lt;K$42,I$40,K56&lt;K$44,I$42,K56&lt;K$46,I$44,K56&gt;=K$46,I$46)</f>
        <v/>
      </c>
      <c r="J56" s="37">
        <f>_xlfn.IFS(K56&lt;K$24,0,K56&lt;K$25,J$24,K56&lt;K$26,J$25,K56&lt;K$27,J$26,K56&lt;K$28,J$27,K56&lt;K$29,J$28,K56&lt;K$30,J$29,K56&lt;K$31,J$30,K56&lt;K$32,J$31,K56&lt;K$33,J$32,K56&lt;K$34,J$33,K56&lt;K$35,J$34,K56&lt;K$36,J$35,K56&lt;K$37,J$36,K56&lt;K$38,J$37,K56&lt;K$39,J$38,K56&lt;K$40,J$39,K56&lt;K$41,J$40,K56&lt;K$42,J$41,K56&lt;K$43,J$42,K56&lt;K$44,J$43,K56&lt;K$45,J$44,K56&lt;K$46,J$45,K56&lt;K$47,J$46,K56&gt;=K$47,J$47)</f>
        <v/>
      </c>
      <c r="K56" s="38" t="n">
        <v>6</v>
      </c>
      <c r="L56" s="31">
        <f>K56/52</f>
        <v/>
      </c>
      <c r="M56" s="39">
        <f>J56/1000000*52</f>
        <v/>
      </c>
      <c r="N56" s="33">
        <f>M56/$P$4+($I$22/$P$4)</f>
        <v/>
      </c>
      <c r="U56">
        <f>F55</f>
        <v/>
      </c>
      <c r="V56">
        <f>H55</f>
        <v/>
      </c>
      <c r="W56">
        <f>N55</f>
        <v/>
      </c>
    </row>
    <row r="57" ht="15.75" customHeight="1" s="40">
      <c r="C57" s="36">
        <f>_xlfn.IFS(E57&lt;E$24,0,E57&lt;E$26,C$24,E57&lt;E$28,C$26,E57&lt;E$30,C$28,E57&lt;E$32,C$30,E57&lt;E$34,C$32,E57&gt;=E$34,C$34)</f>
        <v/>
      </c>
      <c r="D57" s="37">
        <f>_xlfn.IFS(E57&lt;E$24,0,E57&lt;E$25,D$24,E57&lt;E$26,D$25,E57&lt;E$27,D$26,E57&lt;E$28,D$27,E57&lt;E$29,D$28,E57&lt;E$30,D$29,E57&lt;E$31,D$30,E57&lt;E$32,D$31,E57&lt;E$33,D$32,E57&lt;E$34,D$33,E57&lt;E$35,D$34,E57&gt;=E$35,D$35)</f>
        <v/>
      </c>
      <c r="E57" s="38" t="n">
        <v>7</v>
      </c>
      <c r="F57" s="31">
        <f>E57/52</f>
        <v/>
      </c>
      <c r="G57" s="39">
        <f>D57/1000000*52</f>
        <v/>
      </c>
      <c r="H57" s="33">
        <f>G57/$P$4+($C$22/$P$4)</f>
        <v/>
      </c>
      <c r="I57" s="36">
        <f>_xlfn.IFS(K57&lt;K$24,0,K57&lt;K$26,I$24,K57&lt;K$28,I$26,K57&lt;K$30,I$28,K57&lt;K$32,I$30,K57&lt;K$34,I$32,K57&lt;K$36,I$34,K57&lt;K$38,I$36,K57&lt;K$40,I$38,K57&lt;K$42,I$40,K57&lt;K$44,I$42,K57&lt;K$46,I$44,K57&gt;=K$46,I$46)</f>
        <v/>
      </c>
      <c r="J57" s="37">
        <f>_xlfn.IFS(K57&lt;K$24,0,K57&lt;K$25,J$24,K57&lt;K$26,J$25,K57&lt;K$27,J$26,K57&lt;K$28,J$27,K57&lt;K$29,J$28,K57&lt;K$30,J$29,K57&lt;K$31,J$30,K57&lt;K$32,J$31,K57&lt;K$33,J$32,K57&lt;K$34,J$33,K57&lt;K$35,J$34,K57&lt;K$36,J$35,K57&lt;K$37,J$36,K57&lt;K$38,J$37,K57&lt;K$39,J$38,K57&lt;K$40,J$39,K57&lt;K$41,J$40,K57&lt;K$42,J$41,K57&lt;K$43,J$42,K57&lt;K$44,J$43,K57&lt;K$45,J$44,K57&lt;K$46,J$45,K57&lt;K$47,J$46,K57&gt;=K$47,J$47)</f>
        <v/>
      </c>
      <c r="K57" s="38" t="n">
        <v>7</v>
      </c>
      <c r="L57" s="31">
        <f>K57/52</f>
        <v/>
      </c>
      <c r="M57" s="39">
        <f>J57/1000000*52</f>
        <v/>
      </c>
      <c r="N57" s="33">
        <f>M57/$P$4+($I$22/$P$4)</f>
        <v/>
      </c>
      <c r="U57">
        <f>F56</f>
        <v/>
      </c>
      <c r="V57">
        <f>H56</f>
        <v/>
      </c>
      <c r="W57">
        <f>N56</f>
        <v/>
      </c>
    </row>
    <row r="58" ht="15.75" customHeight="1" s="40">
      <c r="C58" s="36">
        <f>_xlfn.IFS(E58&lt;E$24,0,E58&lt;E$26,C$24,E58&lt;E$28,C$26,E58&lt;E$30,C$28,E58&lt;E$32,C$30,E58&lt;E$34,C$32,E58&gt;=E$34,C$34)</f>
        <v/>
      </c>
      <c r="D58" s="37">
        <f>_xlfn.IFS(E58&lt;E$24,0,E58&lt;E$25,D$24,E58&lt;E$26,D$25,E58&lt;E$27,D$26,E58&lt;E$28,D$27,E58&lt;E$29,D$28,E58&lt;E$30,D$29,E58&lt;E$31,D$30,E58&lt;E$32,D$31,E58&lt;E$33,D$32,E58&lt;E$34,D$33,E58&lt;E$35,D$34,E58&gt;=E$35,D$35)</f>
        <v/>
      </c>
      <c r="E58" s="38" t="n">
        <v>8</v>
      </c>
      <c r="F58" s="31">
        <f>E58/52</f>
        <v/>
      </c>
      <c r="G58" s="39">
        <f>D58/1000000*52</f>
        <v/>
      </c>
      <c r="H58" s="33">
        <f>G58/$P$4+($C$22/$P$4)</f>
        <v/>
      </c>
      <c r="I58" s="36">
        <f>_xlfn.IFS(K58&lt;K$24,0,K58&lt;K$26,I$24,K58&lt;K$28,I$26,K58&lt;K$30,I$28,K58&lt;K$32,I$30,K58&lt;K$34,I$32,K58&lt;K$36,I$34,K58&lt;K$38,I$36,K58&lt;K$40,I$38,K58&lt;K$42,I$40,K58&lt;K$44,I$42,K58&lt;K$46,I$44,K58&gt;=K$46,I$46)</f>
        <v/>
      </c>
      <c r="J58" s="37">
        <f>_xlfn.IFS(K58&lt;K$24,0,K58&lt;K$25,J$24,K58&lt;K$26,J$25,K58&lt;K$27,J$26,K58&lt;K$28,J$27,K58&lt;K$29,J$28,K58&lt;K$30,J$29,K58&lt;K$31,J$30,K58&lt;K$32,J$31,K58&lt;K$33,J$32,K58&lt;K$34,J$33,K58&lt;K$35,J$34,K58&lt;K$36,J$35,K58&lt;K$37,J$36,K58&lt;K$38,J$37,K58&lt;K$39,J$38,K58&lt;K$40,J$39,K58&lt;K$41,J$40,K58&lt;K$42,J$41,K58&lt;K$43,J$42,K58&lt;K$44,J$43,K58&lt;K$45,J$44,K58&lt;K$46,J$45,K58&lt;K$47,J$46,K58&gt;=K$47,J$47)</f>
        <v/>
      </c>
      <c r="K58" s="38" t="n">
        <v>8</v>
      </c>
      <c r="L58" s="31">
        <f>K58/52</f>
        <v/>
      </c>
      <c r="M58" s="39">
        <f>J58/1000000*52</f>
        <v/>
      </c>
      <c r="N58" s="33">
        <f>M58/$P$4+($I$22/$P$4)</f>
        <v/>
      </c>
      <c r="U58">
        <f>F57</f>
        <v/>
      </c>
      <c r="V58">
        <f>H57</f>
        <v/>
      </c>
      <c r="W58">
        <f>N57</f>
        <v/>
      </c>
    </row>
    <row r="59" ht="15.75" customHeight="1" s="40">
      <c r="C59" s="36">
        <f>_xlfn.IFS(E59&lt;E$24,0,E59&lt;E$26,C$24,E59&lt;E$28,C$26,E59&lt;E$30,C$28,E59&lt;E$32,C$30,E59&lt;E$34,C$32,E59&gt;=E$34,C$34)</f>
        <v/>
      </c>
      <c r="D59" s="37">
        <f>_xlfn.IFS(E59&lt;E$24,0,E59&lt;E$25,D$24,E59&lt;E$26,D$25,E59&lt;E$27,D$26,E59&lt;E$28,D$27,E59&lt;E$29,D$28,E59&lt;E$30,D$29,E59&lt;E$31,D$30,E59&lt;E$32,D$31,E59&lt;E$33,D$32,E59&lt;E$34,D$33,E59&lt;E$35,D$34,E59&gt;=E$35,D$35)</f>
        <v/>
      </c>
      <c r="E59" s="38" t="n">
        <v>9</v>
      </c>
      <c r="F59" s="31">
        <f>E59/52</f>
        <v/>
      </c>
      <c r="G59" s="39">
        <f>D59/1000000*52</f>
        <v/>
      </c>
      <c r="H59" s="33">
        <f>G59/$P$4+($C$22/$P$4)</f>
        <v/>
      </c>
      <c r="I59" s="36">
        <f>_xlfn.IFS(K59&lt;K$24,0,K59&lt;K$26,I$24,K59&lt;K$28,I$26,K59&lt;K$30,I$28,K59&lt;K$32,I$30,K59&lt;K$34,I$32,K59&lt;K$36,I$34,K59&lt;K$38,I$36,K59&lt;K$40,I$38,K59&lt;K$42,I$40,K59&lt;K$44,I$42,K59&lt;K$46,I$44,K59&gt;=K$46,I$46)</f>
        <v/>
      </c>
      <c r="J59" s="37">
        <f>_xlfn.IFS(K59&lt;K$24,0,K59&lt;K$25,J$24,K59&lt;K$26,J$25,K59&lt;K$27,J$26,K59&lt;K$28,J$27,K59&lt;K$29,J$28,K59&lt;K$30,J$29,K59&lt;K$31,J$30,K59&lt;K$32,J$31,K59&lt;K$33,J$32,K59&lt;K$34,J$33,K59&lt;K$35,J$34,K59&lt;K$36,J$35,K59&lt;K$37,J$36,K59&lt;K$38,J$37,K59&lt;K$39,J$38,K59&lt;K$40,J$39,K59&lt;K$41,J$40,K59&lt;K$42,J$41,K59&lt;K$43,J$42,K59&lt;K$44,J$43,K59&lt;K$45,J$44,K59&lt;K$46,J$45,K59&lt;K$47,J$46,K59&gt;=K$47,J$47)</f>
        <v/>
      </c>
      <c r="K59" s="38" t="n">
        <v>9</v>
      </c>
      <c r="L59" s="31">
        <f>K59/52</f>
        <v/>
      </c>
      <c r="M59" s="39">
        <f>J59/1000000*52</f>
        <v/>
      </c>
      <c r="N59" s="33">
        <f>M59/$P$4+($I$22/$P$4)</f>
        <v/>
      </c>
      <c r="U59">
        <f>F58</f>
        <v/>
      </c>
      <c r="V59">
        <f>H58</f>
        <v/>
      </c>
      <c r="W59">
        <f>N58</f>
        <v/>
      </c>
    </row>
    <row r="60" ht="15.75" customHeight="1" s="40">
      <c r="C60" s="36">
        <f>_xlfn.IFS(E60&lt;E$24,0,E60&lt;E$26,C$24,E60&lt;E$28,C$26,E60&lt;E$30,C$28,E60&lt;E$32,C$30,E60&lt;E$34,C$32,E60&gt;=E$34,C$34)</f>
        <v/>
      </c>
      <c r="D60" s="37">
        <f>_xlfn.IFS(E60&lt;E$24,0,E60&lt;E$25,D$24,E60&lt;E$26,D$25,E60&lt;E$27,D$26,E60&lt;E$28,D$27,E60&lt;E$29,D$28,E60&lt;E$30,D$29,E60&lt;E$31,D$30,E60&lt;E$32,D$31,E60&lt;E$33,D$32,E60&lt;E$34,D$33,E60&lt;E$35,D$34,E60&gt;=E$35,D$35)</f>
        <v/>
      </c>
      <c r="E60" s="38" t="n">
        <v>10</v>
      </c>
      <c r="F60" s="31">
        <f>E60/52</f>
        <v/>
      </c>
      <c r="G60" s="39">
        <f>D60/1000000*52</f>
        <v/>
      </c>
      <c r="H60" s="33">
        <f>G60/$P$4+($C$22/$P$4)</f>
        <v/>
      </c>
      <c r="I60" s="36">
        <f>_xlfn.IFS(K60&lt;K$24,0,K60&lt;K$26,I$24,K60&lt;K$28,I$26,K60&lt;K$30,I$28,K60&lt;K$32,I$30,K60&lt;K$34,I$32,K60&lt;K$36,I$34,K60&lt;K$38,I$36,K60&lt;K$40,I$38,K60&lt;K$42,I$40,K60&lt;K$44,I$42,K60&lt;K$46,I$44,K60&gt;=K$46,I$46)</f>
        <v/>
      </c>
      <c r="J60" s="37">
        <f>_xlfn.IFS(K60&lt;K$24,0,K60&lt;K$25,J$24,K60&lt;K$26,J$25,K60&lt;K$27,J$26,K60&lt;K$28,J$27,K60&lt;K$29,J$28,K60&lt;K$30,J$29,K60&lt;K$31,J$30,K60&lt;K$32,J$31,K60&lt;K$33,J$32,K60&lt;K$34,J$33,K60&lt;K$35,J$34,K60&lt;K$36,J$35,K60&lt;K$37,J$36,K60&lt;K$38,J$37,K60&lt;K$39,J$38,K60&lt;K$40,J$39,K60&lt;K$41,J$40,K60&lt;K$42,J$41,K60&lt;K$43,J$42,K60&lt;K$44,J$43,K60&lt;K$45,J$44,K60&lt;K$46,J$45,K60&lt;K$47,J$46,K60&gt;=K$47,J$47)</f>
        <v/>
      </c>
      <c r="K60" s="38" t="n">
        <v>10</v>
      </c>
      <c r="L60" s="31">
        <f>K60/52</f>
        <v/>
      </c>
      <c r="M60" s="39">
        <f>J60/1000000*52</f>
        <v/>
      </c>
      <c r="N60" s="33">
        <f>M60/$P$4+($I$22/$P$4)</f>
        <v/>
      </c>
      <c r="U60">
        <f>F59</f>
        <v/>
      </c>
      <c r="V60">
        <f>H59</f>
        <v/>
      </c>
      <c r="W60">
        <f>N59</f>
        <v/>
      </c>
    </row>
    <row r="61" ht="15.75" customHeight="1" s="40">
      <c r="C61" s="36">
        <f>_xlfn.IFS(E61&lt;E$24,0,E61&lt;E$26,C$24,E61&lt;E$28,C$26,E61&lt;E$30,C$28,E61&lt;E$32,C$30,E61&lt;E$34,C$32,E61&gt;=E$34,C$34)</f>
        <v/>
      </c>
      <c r="D61" s="37">
        <f>_xlfn.IFS(E61&lt;E$24,0,E61&lt;E$25,D$24,E61&lt;E$26,D$25,E61&lt;E$27,D$26,E61&lt;E$28,D$27,E61&lt;E$29,D$28,E61&lt;E$30,D$29,E61&lt;E$31,D$30,E61&lt;E$32,D$31,E61&lt;E$33,D$32,E61&lt;E$34,D$33,E61&lt;E$35,D$34,E61&gt;=E$35,D$35)</f>
        <v/>
      </c>
      <c r="E61" s="38" t="n">
        <v>11</v>
      </c>
      <c r="F61" s="31">
        <f>E61/52</f>
        <v/>
      </c>
      <c r="G61" s="39">
        <f>D61/1000000*52</f>
        <v/>
      </c>
      <c r="H61" s="33">
        <f>G61/$P$4+($C$22/$P$4)</f>
        <v/>
      </c>
      <c r="I61" s="36">
        <f>_xlfn.IFS(K61&lt;K$24,0,K61&lt;K$26,I$24,K61&lt;K$28,I$26,K61&lt;K$30,I$28,K61&lt;K$32,I$30,K61&lt;K$34,I$32,K61&lt;K$36,I$34,K61&lt;K$38,I$36,K61&lt;K$40,I$38,K61&lt;K$42,I$40,K61&lt;K$44,I$42,K61&lt;K$46,I$44,K61&gt;=K$46,I$46)</f>
        <v/>
      </c>
      <c r="J61" s="37">
        <f>_xlfn.IFS(K61&lt;K$24,0,K61&lt;K$25,J$24,K61&lt;K$26,J$25,K61&lt;K$27,J$26,K61&lt;K$28,J$27,K61&lt;K$29,J$28,K61&lt;K$30,J$29,K61&lt;K$31,J$30,K61&lt;K$32,J$31,K61&lt;K$33,J$32,K61&lt;K$34,J$33,K61&lt;K$35,J$34,K61&lt;K$36,J$35,K61&lt;K$37,J$36,K61&lt;K$38,J$37,K61&lt;K$39,J$38,K61&lt;K$40,J$39,K61&lt;K$41,J$40,K61&lt;K$42,J$41,K61&lt;K$43,J$42,K61&lt;K$44,J$43,K61&lt;K$45,J$44,K61&lt;K$46,J$45,K61&lt;K$47,J$46,K61&gt;=K$47,J$47)</f>
        <v/>
      </c>
      <c r="K61" s="38" t="n">
        <v>11</v>
      </c>
      <c r="L61" s="31">
        <f>K61/52</f>
        <v/>
      </c>
      <c r="M61" s="39">
        <f>J61/1000000*52</f>
        <v/>
      </c>
      <c r="N61" s="33">
        <f>M61/$P$4+($I$22/$P$4)</f>
        <v/>
      </c>
      <c r="U61">
        <f>F60</f>
        <v/>
      </c>
      <c r="V61">
        <f>H60</f>
        <v/>
      </c>
      <c r="W61">
        <f>N60</f>
        <v/>
      </c>
    </row>
    <row r="62" ht="15.75" customHeight="1" s="40">
      <c r="C62" s="36">
        <f>_xlfn.IFS(E62&lt;E$24,0,E62&lt;E$26,C$24,E62&lt;E$28,C$26,E62&lt;E$30,C$28,E62&lt;E$32,C$30,E62&lt;E$34,C$32,E62&gt;=E$34,C$34)</f>
        <v/>
      </c>
      <c r="D62" s="37">
        <f>_xlfn.IFS(E62&lt;E$24,0,E62&lt;E$25,D$24,E62&lt;E$26,D$25,E62&lt;E$27,D$26,E62&lt;E$28,D$27,E62&lt;E$29,D$28,E62&lt;E$30,D$29,E62&lt;E$31,D$30,E62&lt;E$32,D$31,E62&lt;E$33,D$32,E62&lt;E$34,D$33,E62&lt;E$35,D$34,E62&gt;=E$35,D$35)</f>
        <v/>
      </c>
      <c r="E62" s="38" t="n">
        <v>12</v>
      </c>
      <c r="F62" s="31">
        <f>E62/52</f>
        <v/>
      </c>
      <c r="G62" s="39">
        <f>D62/1000000*52</f>
        <v/>
      </c>
      <c r="H62" s="33">
        <f>G62/$P$4+($C$22/$P$4)</f>
        <v/>
      </c>
      <c r="I62" s="36">
        <f>_xlfn.IFS(K62&lt;K$24,0,K62&lt;K$26,I$24,K62&lt;K$28,I$26,K62&lt;K$30,I$28,K62&lt;K$32,I$30,K62&lt;K$34,I$32,K62&lt;K$36,I$34,K62&lt;K$38,I$36,K62&lt;K$40,I$38,K62&lt;K$42,I$40,K62&lt;K$44,I$42,K62&lt;K$46,I$44,K62&gt;=K$46,I$46)</f>
        <v/>
      </c>
      <c r="J62" s="37">
        <f>_xlfn.IFS(K62&lt;K$24,0,K62&lt;K$25,J$24,K62&lt;K$26,J$25,K62&lt;K$27,J$26,K62&lt;K$28,J$27,K62&lt;K$29,J$28,K62&lt;K$30,J$29,K62&lt;K$31,J$30,K62&lt;K$32,J$31,K62&lt;K$33,J$32,K62&lt;K$34,J$33,K62&lt;K$35,J$34,K62&lt;K$36,J$35,K62&lt;K$37,J$36,K62&lt;K$38,J$37,K62&lt;K$39,J$38,K62&lt;K$40,J$39,K62&lt;K$41,J$40,K62&lt;K$42,J$41,K62&lt;K$43,J$42,K62&lt;K$44,J$43,K62&lt;K$45,J$44,K62&lt;K$46,J$45,K62&lt;K$47,J$46,K62&gt;=K$47,J$47)</f>
        <v/>
      </c>
      <c r="K62" s="38" t="n">
        <v>12</v>
      </c>
      <c r="L62" s="31">
        <f>K62/52</f>
        <v/>
      </c>
      <c r="M62" s="39">
        <f>J62/1000000*52</f>
        <v/>
      </c>
      <c r="N62" s="33">
        <f>M62/$P$4+($I$22/$P$4)</f>
        <v/>
      </c>
      <c r="U62">
        <f>F61</f>
        <v/>
      </c>
      <c r="V62">
        <f>H61</f>
        <v/>
      </c>
      <c r="W62">
        <f>N61</f>
        <v/>
      </c>
    </row>
    <row r="63" ht="15.75" customHeight="1" s="40">
      <c r="C63" s="36">
        <f>_xlfn.IFS(E63&lt;E$24,0,E63&lt;E$26,C$24,E63&lt;E$28,C$26,E63&lt;E$30,C$28,E63&lt;E$32,C$30,E63&lt;E$34,C$32,E63&gt;=E$34,C$34)</f>
        <v/>
      </c>
      <c r="D63" s="37">
        <f>_xlfn.IFS(E63&lt;E$24,0,E63&lt;E$25,D$24,E63&lt;E$26,D$25,E63&lt;E$27,D$26,E63&lt;E$28,D$27,E63&lt;E$29,D$28,E63&lt;E$30,D$29,E63&lt;E$31,D$30,E63&lt;E$32,D$31,E63&lt;E$33,D$32,E63&lt;E$34,D$33,E63&lt;E$35,D$34,E63&gt;=E$35,D$35)</f>
        <v/>
      </c>
      <c r="E63" s="38" t="n">
        <v>13</v>
      </c>
      <c r="F63" s="31">
        <f>E63/52</f>
        <v/>
      </c>
      <c r="G63" s="39">
        <f>D63/1000000*52</f>
        <v/>
      </c>
      <c r="H63" s="33">
        <f>G63/$P$4+($C$22/$P$4)</f>
        <v/>
      </c>
      <c r="I63" s="36">
        <f>_xlfn.IFS(K63&lt;K$24,0,K63&lt;K$26,I$24,K63&lt;K$28,I$26,K63&lt;K$30,I$28,K63&lt;K$32,I$30,K63&lt;K$34,I$32,K63&lt;K$36,I$34,K63&lt;K$38,I$36,K63&lt;K$40,I$38,K63&lt;K$42,I$40,K63&lt;K$44,I$42,K63&lt;K$46,I$44,K63&gt;=K$46,I$46)</f>
        <v/>
      </c>
      <c r="J63" s="37">
        <f>_xlfn.IFS(K63&lt;K$24,0,K63&lt;K$25,J$24,K63&lt;K$26,J$25,K63&lt;K$27,J$26,K63&lt;K$28,J$27,K63&lt;K$29,J$28,K63&lt;K$30,J$29,K63&lt;K$31,J$30,K63&lt;K$32,J$31,K63&lt;K$33,J$32,K63&lt;K$34,J$33,K63&lt;K$35,J$34,K63&lt;K$36,J$35,K63&lt;K$37,J$36,K63&lt;K$38,J$37,K63&lt;K$39,J$38,K63&lt;K$40,J$39,K63&lt;K$41,J$40,K63&lt;K$42,J$41,K63&lt;K$43,J$42,K63&lt;K$44,J$43,K63&lt;K$45,J$44,K63&lt;K$46,J$45,K63&lt;K$47,J$46,K63&gt;=K$47,J$47)</f>
        <v/>
      </c>
      <c r="K63" s="38" t="n">
        <v>13</v>
      </c>
      <c r="L63" s="31">
        <f>K63/52</f>
        <v/>
      </c>
      <c r="M63" s="39">
        <f>J63/1000000*52</f>
        <v/>
      </c>
      <c r="N63" s="33">
        <f>M63/$P$4+($I$22/$P$4)</f>
        <v/>
      </c>
      <c r="U63">
        <f>F62</f>
        <v/>
      </c>
      <c r="V63">
        <f>H62</f>
        <v/>
      </c>
      <c r="W63">
        <f>N62</f>
        <v/>
      </c>
    </row>
    <row r="64" ht="15.75" customHeight="1" s="40">
      <c r="C64" s="36">
        <f>_xlfn.IFS(E64&lt;E$24,0,E64&lt;E$26,C$24,E64&lt;E$28,C$26,E64&lt;E$30,C$28,E64&lt;E$32,C$30,E64&lt;E$34,C$32,E64&gt;=E$34,C$34)</f>
        <v/>
      </c>
      <c r="D64" s="37">
        <f>_xlfn.IFS(E64&lt;E$24,0,E64&lt;E$25,D$24,E64&lt;E$26,D$25,E64&lt;E$27,D$26,E64&lt;E$28,D$27,E64&lt;E$29,D$28,E64&lt;E$30,D$29,E64&lt;E$31,D$30,E64&lt;E$32,D$31,E64&lt;E$33,D$32,E64&lt;E$34,D$33,E64&lt;E$35,D$34,E64&gt;=E$35,D$35)</f>
        <v/>
      </c>
      <c r="E64" s="38" t="n">
        <v>14</v>
      </c>
      <c r="F64" s="31">
        <f>E64/52</f>
        <v/>
      </c>
      <c r="G64" s="39">
        <f>D64/1000000*52</f>
        <v/>
      </c>
      <c r="H64" s="33">
        <f>G64/$P$4+($C$22/$P$4)</f>
        <v/>
      </c>
      <c r="I64" s="36">
        <f>_xlfn.IFS(K64&lt;K$24,0,K64&lt;K$26,I$24,K64&lt;K$28,I$26,K64&lt;K$30,I$28,K64&lt;K$32,I$30,K64&lt;K$34,I$32,K64&lt;K$36,I$34,K64&lt;K$38,I$36,K64&lt;K$40,I$38,K64&lt;K$42,I$40,K64&lt;K$44,I$42,K64&lt;K$46,I$44,K64&gt;=K$46,I$46)</f>
        <v/>
      </c>
      <c r="J64" s="37">
        <f>_xlfn.IFS(K64&lt;K$24,0,K64&lt;K$25,J$24,K64&lt;K$26,J$25,K64&lt;K$27,J$26,K64&lt;K$28,J$27,K64&lt;K$29,J$28,K64&lt;K$30,J$29,K64&lt;K$31,J$30,K64&lt;K$32,J$31,K64&lt;K$33,J$32,K64&lt;K$34,J$33,K64&lt;K$35,J$34,K64&lt;K$36,J$35,K64&lt;K$37,J$36,K64&lt;K$38,J$37,K64&lt;K$39,J$38,K64&lt;K$40,J$39,K64&lt;K$41,J$40,K64&lt;K$42,J$41,K64&lt;K$43,J$42,K64&lt;K$44,J$43,K64&lt;K$45,J$44,K64&lt;K$46,J$45,K64&lt;K$47,J$46,K64&gt;=K$47,J$47)</f>
        <v/>
      </c>
      <c r="K64" s="38" t="n">
        <v>14</v>
      </c>
      <c r="L64" s="31">
        <f>K64/52</f>
        <v/>
      </c>
      <c r="M64" s="39">
        <f>J64/1000000*52</f>
        <v/>
      </c>
      <c r="N64" s="33">
        <f>M64/$P$4+($I$22/$P$4)</f>
        <v/>
      </c>
      <c r="U64">
        <f>F63</f>
        <v/>
      </c>
      <c r="V64">
        <f>H63</f>
        <v/>
      </c>
      <c r="W64">
        <f>N63</f>
        <v/>
      </c>
    </row>
    <row r="65" ht="15.75" customHeight="1" s="40">
      <c r="C65" s="36">
        <f>_xlfn.IFS(E65&lt;E$24,0,E65&lt;E$26,C$24,E65&lt;E$28,C$26,E65&lt;E$30,C$28,E65&lt;E$32,C$30,E65&lt;E$34,C$32,E65&gt;=E$34,C$34)</f>
        <v/>
      </c>
      <c r="D65" s="37">
        <f>_xlfn.IFS(E65&lt;E$24,0,E65&lt;E$25,D$24,E65&lt;E$26,D$25,E65&lt;E$27,D$26,E65&lt;E$28,D$27,E65&lt;E$29,D$28,E65&lt;E$30,D$29,E65&lt;E$31,D$30,E65&lt;E$32,D$31,E65&lt;E$33,D$32,E65&lt;E$34,D$33,E65&lt;E$35,D$34,E65&gt;=E$35,D$35)</f>
        <v/>
      </c>
      <c r="E65" s="38" t="n">
        <v>15</v>
      </c>
      <c r="F65" s="31">
        <f>E65/52</f>
        <v/>
      </c>
      <c r="G65" s="39">
        <f>D65/1000000*52</f>
        <v/>
      </c>
      <c r="H65" s="33">
        <f>G65/$P$4+($C$22/$P$4)</f>
        <v/>
      </c>
      <c r="I65" s="36">
        <f>_xlfn.IFS(K65&lt;K$24,0,K65&lt;K$26,I$24,K65&lt;K$28,I$26,K65&lt;K$30,I$28,K65&lt;K$32,I$30,K65&lt;K$34,I$32,K65&lt;K$36,I$34,K65&lt;K$38,I$36,K65&lt;K$40,I$38,K65&lt;K$42,I$40,K65&lt;K$44,I$42,K65&lt;K$46,I$44,K65&gt;=K$46,I$46)</f>
        <v/>
      </c>
      <c r="J65" s="37">
        <f>_xlfn.IFS(K65&lt;K$24,0,K65&lt;K$25,J$24,K65&lt;K$26,J$25,K65&lt;K$27,J$26,K65&lt;K$28,J$27,K65&lt;K$29,J$28,K65&lt;K$30,J$29,K65&lt;K$31,J$30,K65&lt;K$32,J$31,K65&lt;K$33,J$32,K65&lt;K$34,J$33,K65&lt;K$35,J$34,K65&lt;K$36,J$35,K65&lt;K$37,J$36,K65&lt;K$38,J$37,K65&lt;K$39,J$38,K65&lt;K$40,J$39,K65&lt;K$41,J$40,K65&lt;K$42,J$41,K65&lt;K$43,J$42,K65&lt;K$44,J$43,K65&lt;K$45,J$44,K65&lt;K$46,J$45,K65&lt;K$47,J$46,K65&gt;=K$47,J$47)</f>
        <v/>
      </c>
      <c r="K65" s="38" t="n">
        <v>15</v>
      </c>
      <c r="L65" s="31">
        <f>K65/52</f>
        <v/>
      </c>
      <c r="M65" s="39">
        <f>J65/1000000*52</f>
        <v/>
      </c>
      <c r="N65" s="33">
        <f>M65/$P$4+($I$22/$P$4)</f>
        <v/>
      </c>
      <c r="U65">
        <f>F64</f>
        <v/>
      </c>
      <c r="V65">
        <f>H64</f>
        <v/>
      </c>
      <c r="W65">
        <f>N64</f>
        <v/>
      </c>
    </row>
    <row r="66" ht="15.75" customHeight="1" s="40">
      <c r="C66" s="36">
        <f>_xlfn.IFS(E66&lt;E$24,0,E66&lt;E$26,C$24,E66&lt;E$28,C$26,E66&lt;E$30,C$28,E66&lt;E$32,C$30,E66&lt;E$34,C$32,E66&gt;=E$34,C$34)</f>
        <v/>
      </c>
      <c r="D66" s="37">
        <f>_xlfn.IFS(E66&lt;E$24,0,E66&lt;E$25,D$24,E66&lt;E$26,D$25,E66&lt;E$27,D$26,E66&lt;E$28,D$27,E66&lt;E$29,D$28,E66&lt;E$30,D$29,E66&lt;E$31,D$30,E66&lt;E$32,D$31,E66&lt;E$33,D$32,E66&lt;E$34,D$33,E66&lt;E$35,D$34,E66&gt;=E$35,D$35)</f>
        <v/>
      </c>
      <c r="E66" s="38" t="n">
        <v>16</v>
      </c>
      <c r="F66" s="31">
        <f>E66/52</f>
        <v/>
      </c>
      <c r="G66" s="39">
        <f>D66/1000000*52</f>
        <v/>
      </c>
      <c r="H66" s="33">
        <f>G66/$P$4+($C$22/$P$4)</f>
        <v/>
      </c>
      <c r="I66" s="36">
        <f>_xlfn.IFS(K66&lt;K$24,0,K66&lt;K$26,I$24,K66&lt;K$28,I$26,K66&lt;K$30,I$28,K66&lt;K$32,I$30,K66&lt;K$34,I$32,K66&lt;K$36,I$34,K66&lt;K$38,I$36,K66&lt;K$40,I$38,K66&lt;K$42,I$40,K66&lt;K$44,I$42,K66&lt;K$46,I$44,K66&gt;=K$46,I$46)</f>
        <v/>
      </c>
      <c r="J66" s="37">
        <f>_xlfn.IFS(K66&lt;K$24,0,K66&lt;K$25,J$24,K66&lt;K$26,J$25,K66&lt;K$27,J$26,K66&lt;K$28,J$27,K66&lt;K$29,J$28,K66&lt;K$30,J$29,K66&lt;K$31,J$30,K66&lt;K$32,J$31,K66&lt;K$33,J$32,K66&lt;K$34,J$33,K66&lt;K$35,J$34,K66&lt;K$36,J$35,K66&lt;K$37,J$36,K66&lt;K$38,J$37,K66&lt;K$39,J$38,K66&lt;K$40,J$39,K66&lt;K$41,J$40,K66&lt;K$42,J$41,K66&lt;K$43,J$42,K66&lt;K$44,J$43,K66&lt;K$45,J$44,K66&lt;K$46,J$45,K66&lt;K$47,J$46,K66&gt;=K$47,J$47)</f>
        <v/>
      </c>
      <c r="K66" s="38" t="n">
        <v>16</v>
      </c>
      <c r="L66" s="31">
        <f>K66/52</f>
        <v/>
      </c>
      <c r="M66" s="39">
        <f>J66/1000000*52</f>
        <v/>
      </c>
      <c r="N66" s="33">
        <f>M66/$P$4+($I$22/$P$4)</f>
        <v/>
      </c>
      <c r="U66">
        <f>F65</f>
        <v/>
      </c>
      <c r="V66">
        <f>H65</f>
        <v/>
      </c>
      <c r="W66">
        <f>N65</f>
        <v/>
      </c>
    </row>
    <row r="67" ht="15.75" customHeight="1" s="40">
      <c r="C67" s="36">
        <f>_xlfn.IFS(E67&lt;E$24,0,E67&lt;E$26,C$24,E67&lt;E$28,C$26,E67&lt;E$30,C$28,E67&lt;E$32,C$30,E67&lt;E$34,C$32,E67&gt;=E$34,C$34)</f>
        <v/>
      </c>
      <c r="D67" s="37">
        <f>_xlfn.IFS(E67&lt;E$24,0,E67&lt;E$25,D$24,E67&lt;E$26,D$25,E67&lt;E$27,D$26,E67&lt;E$28,D$27,E67&lt;E$29,D$28,E67&lt;E$30,D$29,E67&lt;E$31,D$30,E67&lt;E$32,D$31,E67&lt;E$33,D$32,E67&lt;E$34,D$33,E67&lt;E$35,D$34,E67&gt;=E$35,D$35)</f>
        <v/>
      </c>
      <c r="E67" s="38" t="n">
        <v>17</v>
      </c>
      <c r="F67" s="31">
        <f>E67/52</f>
        <v/>
      </c>
      <c r="G67" s="39">
        <f>D67/1000000*52</f>
        <v/>
      </c>
      <c r="H67" s="33">
        <f>G67/$P$4+($C$22/$P$4)</f>
        <v/>
      </c>
      <c r="I67" s="36">
        <f>_xlfn.IFS(K67&lt;K$24,0,K67&lt;K$26,I$24,K67&lt;K$28,I$26,K67&lt;K$30,I$28,K67&lt;K$32,I$30,K67&lt;K$34,I$32,K67&lt;K$36,I$34,K67&lt;K$38,I$36,K67&lt;K$40,I$38,K67&lt;K$42,I$40,K67&lt;K$44,I$42,K67&lt;K$46,I$44,K67&gt;=K$46,I$46)</f>
        <v/>
      </c>
      <c r="J67" s="37">
        <f>_xlfn.IFS(K67&lt;K$24,0,K67&lt;K$25,J$24,K67&lt;K$26,J$25,K67&lt;K$27,J$26,K67&lt;K$28,J$27,K67&lt;K$29,J$28,K67&lt;K$30,J$29,K67&lt;K$31,J$30,K67&lt;K$32,J$31,K67&lt;K$33,J$32,K67&lt;K$34,J$33,K67&lt;K$35,J$34,K67&lt;K$36,J$35,K67&lt;K$37,J$36,K67&lt;K$38,J$37,K67&lt;K$39,J$38,K67&lt;K$40,J$39,K67&lt;K$41,J$40,K67&lt;K$42,J$41,K67&lt;K$43,J$42,K67&lt;K$44,J$43,K67&lt;K$45,J$44,K67&lt;K$46,J$45,K67&lt;K$47,J$46,K67&gt;=K$47,J$47)</f>
        <v/>
      </c>
      <c r="K67" s="38" t="n">
        <v>17</v>
      </c>
      <c r="L67" s="31">
        <f>K67/52</f>
        <v/>
      </c>
      <c r="M67" s="39">
        <f>J67/1000000*52</f>
        <v/>
      </c>
      <c r="N67" s="33">
        <f>M67/$P$4+($I$22/$P$4)</f>
        <v/>
      </c>
      <c r="U67">
        <f>F66</f>
        <v/>
      </c>
      <c r="V67">
        <f>H66</f>
        <v/>
      </c>
      <c r="W67">
        <f>N66</f>
        <v/>
      </c>
    </row>
    <row r="68" ht="15.75" customHeight="1" s="40">
      <c r="C68" s="36">
        <f>_xlfn.IFS(E68&lt;E$24,0,E68&lt;E$26,C$24,E68&lt;E$28,C$26,E68&lt;E$30,C$28,E68&lt;E$32,C$30,E68&lt;E$34,C$32,E68&gt;=E$34,C$34)</f>
        <v/>
      </c>
      <c r="D68" s="37">
        <f>_xlfn.IFS(E68&lt;E$24,0,E68&lt;E$25,D$24,E68&lt;E$26,D$25,E68&lt;E$27,D$26,E68&lt;E$28,D$27,E68&lt;E$29,D$28,E68&lt;E$30,D$29,E68&lt;E$31,D$30,E68&lt;E$32,D$31,E68&lt;E$33,D$32,E68&lt;E$34,D$33,E68&lt;E$35,D$34,E68&gt;=E$35,D$35)</f>
        <v/>
      </c>
      <c r="E68" s="38" t="n">
        <v>18</v>
      </c>
      <c r="F68" s="31">
        <f>E68/52</f>
        <v/>
      </c>
      <c r="G68" s="39">
        <f>D68/1000000*52</f>
        <v/>
      </c>
      <c r="H68" s="33">
        <f>G68/$P$4+($C$22/$P$4)</f>
        <v/>
      </c>
      <c r="I68" s="36">
        <f>_xlfn.IFS(K68&lt;K$24,0,K68&lt;K$26,I$24,K68&lt;K$28,I$26,K68&lt;K$30,I$28,K68&lt;K$32,I$30,K68&lt;K$34,I$32,K68&lt;K$36,I$34,K68&lt;K$38,I$36,K68&lt;K$40,I$38,K68&lt;K$42,I$40,K68&lt;K$44,I$42,K68&lt;K$46,I$44,K68&gt;=K$46,I$46)</f>
        <v/>
      </c>
      <c r="J68" s="37">
        <f>_xlfn.IFS(K68&lt;K$24,0,K68&lt;K$25,J$24,K68&lt;K$26,J$25,K68&lt;K$27,J$26,K68&lt;K$28,J$27,K68&lt;K$29,J$28,K68&lt;K$30,J$29,K68&lt;K$31,J$30,K68&lt;K$32,J$31,K68&lt;K$33,J$32,K68&lt;K$34,J$33,K68&lt;K$35,J$34,K68&lt;K$36,J$35,K68&lt;K$37,J$36,K68&lt;K$38,J$37,K68&lt;K$39,J$38,K68&lt;K$40,J$39,K68&lt;K$41,J$40,K68&lt;K$42,J$41,K68&lt;K$43,J$42,K68&lt;K$44,J$43,K68&lt;K$45,J$44,K68&lt;K$46,J$45,K68&lt;K$47,J$46,K68&gt;=K$47,J$47)</f>
        <v/>
      </c>
      <c r="K68" s="38" t="n">
        <v>18</v>
      </c>
      <c r="L68" s="31">
        <f>K68/52</f>
        <v/>
      </c>
      <c r="M68" s="39">
        <f>J68/1000000*52</f>
        <v/>
      </c>
      <c r="N68" s="33">
        <f>M68/$P$4+($I$22/$P$4)</f>
        <v/>
      </c>
      <c r="U68">
        <f>F67</f>
        <v/>
      </c>
      <c r="V68">
        <f>H67</f>
        <v/>
      </c>
      <c r="W68">
        <f>N67</f>
        <v/>
      </c>
    </row>
    <row r="69" ht="15.75" customHeight="1" s="40">
      <c r="C69" s="36">
        <f>_xlfn.IFS(E69&lt;E$24,0,E69&lt;E$26,C$24,E69&lt;E$28,C$26,E69&lt;E$30,C$28,E69&lt;E$32,C$30,E69&lt;E$34,C$32,E69&gt;=E$34,C$34)</f>
        <v/>
      </c>
      <c r="D69" s="37">
        <f>_xlfn.IFS(E69&lt;E$24,0,E69&lt;E$25,D$24,E69&lt;E$26,D$25,E69&lt;E$27,D$26,E69&lt;E$28,D$27,E69&lt;E$29,D$28,E69&lt;E$30,D$29,E69&lt;E$31,D$30,E69&lt;E$32,D$31,E69&lt;E$33,D$32,E69&lt;E$34,D$33,E69&lt;E$35,D$34,E69&gt;=E$35,D$35)</f>
        <v/>
      </c>
      <c r="E69" s="38" t="n">
        <v>19</v>
      </c>
      <c r="F69" s="31">
        <f>E69/52</f>
        <v/>
      </c>
      <c r="G69" s="39">
        <f>D69/1000000*52</f>
        <v/>
      </c>
      <c r="H69" s="33">
        <f>G69/$P$4+($C$22/$P$4)</f>
        <v/>
      </c>
      <c r="I69" s="36">
        <f>_xlfn.IFS(K69&lt;K$24,0,K69&lt;K$26,I$24,K69&lt;K$28,I$26,K69&lt;K$30,I$28,K69&lt;K$32,I$30,K69&lt;K$34,I$32,K69&lt;K$36,I$34,K69&lt;K$38,I$36,K69&lt;K$40,I$38,K69&lt;K$42,I$40,K69&lt;K$44,I$42,K69&lt;K$46,I$44,K69&gt;=K$46,I$46)</f>
        <v/>
      </c>
      <c r="J69" s="37">
        <f>_xlfn.IFS(K69&lt;K$24,0,K69&lt;K$25,J$24,K69&lt;K$26,J$25,K69&lt;K$27,J$26,K69&lt;K$28,J$27,K69&lt;K$29,J$28,K69&lt;K$30,J$29,K69&lt;K$31,J$30,K69&lt;K$32,J$31,K69&lt;K$33,J$32,K69&lt;K$34,J$33,K69&lt;K$35,J$34,K69&lt;K$36,J$35,K69&lt;K$37,J$36,K69&lt;K$38,J$37,K69&lt;K$39,J$38,K69&lt;K$40,J$39,K69&lt;K$41,J$40,K69&lt;K$42,J$41,K69&lt;K$43,J$42,K69&lt;K$44,J$43,K69&lt;K$45,J$44,K69&lt;K$46,J$45,K69&lt;K$47,J$46,K69&gt;=K$47,J$47)</f>
        <v/>
      </c>
      <c r="K69" s="38" t="n">
        <v>19</v>
      </c>
      <c r="L69" s="31">
        <f>K69/52</f>
        <v/>
      </c>
      <c r="M69" s="39">
        <f>J69/1000000*52</f>
        <v/>
      </c>
      <c r="N69" s="33">
        <f>M69/$P$4+($I$22/$P$4)</f>
        <v/>
      </c>
      <c r="U69">
        <f>F68</f>
        <v/>
      </c>
      <c r="V69">
        <f>H68</f>
        <v/>
      </c>
      <c r="W69">
        <f>N68</f>
        <v/>
      </c>
    </row>
    <row r="70" ht="15.75" customHeight="1" s="40">
      <c r="C70" s="36">
        <f>_xlfn.IFS(E70&lt;E$24,0,E70&lt;E$26,C$24,E70&lt;E$28,C$26,E70&lt;E$30,C$28,E70&lt;E$32,C$30,E70&lt;E$34,C$32,E70&gt;=E$34,C$34)</f>
        <v/>
      </c>
      <c r="D70" s="37">
        <f>_xlfn.IFS(E70&lt;E$24,0,E70&lt;E$25,D$24,E70&lt;E$26,D$25,E70&lt;E$27,D$26,E70&lt;E$28,D$27,E70&lt;E$29,D$28,E70&lt;E$30,D$29,E70&lt;E$31,D$30,E70&lt;E$32,D$31,E70&lt;E$33,D$32,E70&lt;E$34,D$33,E70&lt;E$35,D$34,E70&gt;=E$35,D$35)</f>
        <v/>
      </c>
      <c r="E70" s="38" t="n">
        <v>20</v>
      </c>
      <c r="F70" s="31">
        <f>E70/52</f>
        <v/>
      </c>
      <c r="G70" s="39">
        <f>D70/1000000*52</f>
        <v/>
      </c>
      <c r="H70" s="33">
        <f>G70/$P$4+($C$22/$P$4)</f>
        <v/>
      </c>
      <c r="I70" s="36">
        <f>_xlfn.IFS(K70&lt;K$24,0,K70&lt;K$26,I$24,K70&lt;K$28,I$26,K70&lt;K$30,I$28,K70&lt;K$32,I$30,K70&lt;K$34,I$32,K70&lt;K$36,I$34,K70&lt;K$38,I$36,K70&lt;K$40,I$38,K70&lt;K$42,I$40,K70&lt;K$44,I$42,K70&lt;K$46,I$44,K70&gt;=K$46,I$46)</f>
        <v/>
      </c>
      <c r="J70" s="37">
        <f>_xlfn.IFS(K70&lt;K$24,0,K70&lt;K$25,J$24,K70&lt;K$26,J$25,K70&lt;K$27,J$26,K70&lt;K$28,J$27,K70&lt;K$29,J$28,K70&lt;K$30,J$29,K70&lt;K$31,J$30,K70&lt;K$32,J$31,K70&lt;K$33,J$32,K70&lt;K$34,J$33,K70&lt;K$35,J$34,K70&lt;K$36,J$35,K70&lt;K$37,J$36,K70&lt;K$38,J$37,K70&lt;K$39,J$38,K70&lt;K$40,J$39,K70&lt;K$41,J$40,K70&lt;K$42,J$41,K70&lt;K$43,J$42,K70&lt;K$44,J$43,K70&lt;K$45,J$44,K70&lt;K$46,J$45,K70&lt;K$47,J$46,K70&gt;=K$47,J$47)</f>
        <v/>
      </c>
      <c r="K70" s="38" t="n">
        <v>20</v>
      </c>
      <c r="L70" s="31">
        <f>K70/52</f>
        <v/>
      </c>
      <c r="M70" s="39">
        <f>J70/1000000*52</f>
        <v/>
      </c>
      <c r="N70" s="33">
        <f>M70/$P$4+($I$22/$P$4)</f>
        <v/>
      </c>
      <c r="U70">
        <f>F69</f>
        <v/>
      </c>
      <c r="V70">
        <f>H69</f>
        <v/>
      </c>
      <c r="W70">
        <f>N69</f>
        <v/>
      </c>
    </row>
    <row r="71" ht="15.75" customHeight="1" s="40">
      <c r="C71" s="36">
        <f>_xlfn.IFS(E71&lt;E$24,0,E71&lt;E$26,C$24,E71&lt;E$28,C$26,E71&lt;E$30,C$28,E71&lt;E$32,C$30,E71&lt;E$34,C$32,E71&gt;=E$34,C$34)</f>
        <v/>
      </c>
      <c r="D71" s="37">
        <f>_xlfn.IFS(E71&lt;E$24,0,E71&lt;E$25,D$24,E71&lt;E$26,D$25,E71&lt;E$27,D$26,E71&lt;E$28,D$27,E71&lt;E$29,D$28,E71&lt;E$30,D$29,E71&lt;E$31,D$30,E71&lt;E$32,D$31,E71&lt;E$33,D$32,E71&lt;E$34,D$33,E71&lt;E$35,D$34,E71&gt;=E$35,D$35)</f>
        <v/>
      </c>
      <c r="E71" s="38" t="n">
        <v>21</v>
      </c>
      <c r="F71" s="31">
        <f>E71/52</f>
        <v/>
      </c>
      <c r="G71" s="39">
        <f>D71/1000000*52</f>
        <v/>
      </c>
      <c r="H71" s="33">
        <f>G71/$P$4+($C$22/$P$4)</f>
        <v/>
      </c>
      <c r="I71" s="36">
        <f>_xlfn.IFS(K71&lt;K$24,0,K71&lt;K$26,I$24,K71&lt;K$28,I$26,K71&lt;K$30,I$28,K71&lt;K$32,I$30,K71&lt;K$34,I$32,K71&lt;K$36,I$34,K71&lt;K$38,I$36,K71&lt;K$40,I$38,K71&lt;K$42,I$40,K71&lt;K$44,I$42,K71&lt;K$46,I$44,K71&gt;=K$46,I$46)</f>
        <v/>
      </c>
      <c r="J71" s="37">
        <f>_xlfn.IFS(K71&lt;K$24,0,K71&lt;K$25,J$24,K71&lt;K$26,J$25,K71&lt;K$27,J$26,K71&lt;K$28,J$27,K71&lt;K$29,J$28,K71&lt;K$30,J$29,K71&lt;K$31,J$30,K71&lt;K$32,J$31,K71&lt;K$33,J$32,K71&lt;K$34,J$33,K71&lt;K$35,J$34,K71&lt;K$36,J$35,K71&lt;K$37,J$36,K71&lt;K$38,J$37,K71&lt;K$39,J$38,K71&lt;K$40,J$39,K71&lt;K$41,J$40,K71&lt;K$42,J$41,K71&lt;K$43,J$42,K71&lt;K$44,J$43,K71&lt;K$45,J$44,K71&lt;K$46,J$45,K71&lt;K$47,J$46,K71&gt;=K$47,J$47)</f>
        <v/>
      </c>
      <c r="K71" s="38" t="n">
        <v>21</v>
      </c>
      <c r="L71" s="31">
        <f>K71/52</f>
        <v/>
      </c>
      <c r="M71" s="39">
        <f>J71/1000000*52</f>
        <v/>
      </c>
      <c r="N71" s="33">
        <f>M71/$P$4+($I$22/$P$4)</f>
        <v/>
      </c>
      <c r="U71">
        <f>F70</f>
        <v/>
      </c>
      <c r="V71">
        <f>H70</f>
        <v/>
      </c>
      <c r="W71">
        <f>N70</f>
        <v/>
      </c>
    </row>
    <row r="72" ht="15.75" customHeight="1" s="40">
      <c r="C72" s="36">
        <f>_xlfn.IFS(E72&lt;E$24,0,E72&lt;E$26,C$24,E72&lt;E$28,C$26,E72&lt;E$30,C$28,E72&lt;E$32,C$30,E72&lt;E$34,C$32,E72&gt;=E$34,C$34)</f>
        <v/>
      </c>
      <c r="D72" s="37">
        <f>_xlfn.IFS(E72&lt;E$24,0,E72&lt;E$25,D$24,E72&lt;E$26,D$25,E72&lt;E$27,D$26,E72&lt;E$28,D$27,E72&lt;E$29,D$28,E72&lt;E$30,D$29,E72&lt;E$31,D$30,E72&lt;E$32,D$31,E72&lt;E$33,D$32,E72&lt;E$34,D$33,E72&lt;E$35,D$34,E72&gt;=E$35,D$35)</f>
        <v/>
      </c>
      <c r="E72" s="38" t="n">
        <v>22</v>
      </c>
      <c r="F72" s="31">
        <f>E72/52</f>
        <v/>
      </c>
      <c r="G72" s="39">
        <f>D72/1000000*52</f>
        <v/>
      </c>
      <c r="H72" s="33">
        <f>G72/$P$4+($C$22/$P$4)</f>
        <v/>
      </c>
      <c r="I72" s="36">
        <f>_xlfn.IFS(K72&lt;K$24,0,K72&lt;K$26,I$24,K72&lt;K$28,I$26,K72&lt;K$30,I$28,K72&lt;K$32,I$30,K72&lt;K$34,I$32,K72&lt;K$36,I$34,K72&lt;K$38,I$36,K72&lt;K$40,I$38,K72&lt;K$42,I$40,K72&lt;K$44,I$42,K72&lt;K$46,I$44,K72&gt;=K$46,I$46)</f>
        <v/>
      </c>
      <c r="J72" s="37">
        <f>_xlfn.IFS(K72&lt;K$24,0,K72&lt;K$25,J$24,K72&lt;K$26,J$25,K72&lt;K$27,J$26,K72&lt;K$28,J$27,K72&lt;K$29,J$28,K72&lt;K$30,J$29,K72&lt;K$31,J$30,K72&lt;K$32,J$31,K72&lt;K$33,J$32,K72&lt;K$34,J$33,K72&lt;K$35,J$34,K72&lt;K$36,J$35,K72&lt;K$37,J$36,K72&lt;K$38,J$37,K72&lt;K$39,J$38,K72&lt;K$40,J$39,K72&lt;K$41,J$40,K72&lt;K$42,J$41,K72&lt;K$43,J$42,K72&lt;K$44,J$43,K72&lt;K$45,J$44,K72&lt;K$46,J$45,K72&lt;K$47,J$46,K72&gt;=K$47,J$47)</f>
        <v/>
      </c>
      <c r="K72" s="38" t="n">
        <v>22</v>
      </c>
      <c r="L72" s="31">
        <f>K72/52</f>
        <v/>
      </c>
      <c r="M72" s="39">
        <f>J72/1000000*52</f>
        <v/>
      </c>
      <c r="N72" s="33">
        <f>M72/$P$4+($I$22/$P$4)</f>
        <v/>
      </c>
      <c r="U72">
        <f>F71</f>
        <v/>
      </c>
      <c r="V72">
        <f>H71</f>
        <v/>
      </c>
      <c r="W72">
        <f>N71</f>
        <v/>
      </c>
    </row>
    <row r="73" ht="15.75" customHeight="1" s="40">
      <c r="C73" s="36">
        <f>_xlfn.IFS(E73&lt;E$24,0,E73&lt;E$26,C$24,E73&lt;E$28,C$26,E73&lt;E$30,C$28,E73&lt;E$32,C$30,E73&lt;E$34,C$32,E73&gt;=E$34,C$34)</f>
        <v/>
      </c>
      <c r="D73" s="37">
        <f>_xlfn.IFS(E73&lt;E$24,0,E73&lt;E$25,D$24,E73&lt;E$26,D$25,E73&lt;E$27,D$26,E73&lt;E$28,D$27,E73&lt;E$29,D$28,E73&lt;E$30,D$29,E73&lt;E$31,D$30,E73&lt;E$32,D$31,E73&lt;E$33,D$32,E73&lt;E$34,D$33,E73&lt;E$35,D$34,E73&gt;=E$35,D$35)</f>
        <v/>
      </c>
      <c r="E73" s="38" t="n">
        <v>23</v>
      </c>
      <c r="F73" s="31">
        <f>E73/52</f>
        <v/>
      </c>
      <c r="G73" s="39">
        <f>D73/1000000*52</f>
        <v/>
      </c>
      <c r="H73" s="33">
        <f>G73/$P$4+($C$22/$P$4)</f>
        <v/>
      </c>
      <c r="I73" s="36">
        <f>_xlfn.IFS(K73&lt;K$24,0,K73&lt;K$26,I$24,K73&lt;K$28,I$26,K73&lt;K$30,I$28,K73&lt;K$32,I$30,K73&lt;K$34,I$32,K73&lt;K$36,I$34,K73&lt;K$38,I$36,K73&lt;K$40,I$38,K73&lt;K$42,I$40,K73&lt;K$44,I$42,K73&lt;K$46,I$44,K73&gt;=K$46,I$46)</f>
        <v/>
      </c>
      <c r="J73" s="37">
        <f>_xlfn.IFS(K73&lt;K$24,0,K73&lt;K$25,J$24,K73&lt;K$26,J$25,K73&lt;K$27,J$26,K73&lt;K$28,J$27,K73&lt;K$29,J$28,K73&lt;K$30,J$29,K73&lt;K$31,J$30,K73&lt;K$32,J$31,K73&lt;K$33,J$32,K73&lt;K$34,J$33,K73&lt;K$35,J$34,K73&lt;K$36,J$35,K73&lt;K$37,J$36,K73&lt;K$38,J$37,K73&lt;K$39,J$38,K73&lt;K$40,J$39,K73&lt;K$41,J$40,K73&lt;K$42,J$41,K73&lt;K$43,J$42,K73&lt;K$44,J$43,K73&lt;K$45,J$44,K73&lt;K$46,J$45,K73&lt;K$47,J$46,K73&gt;=K$47,J$47)</f>
        <v/>
      </c>
      <c r="K73" s="38" t="n">
        <v>23</v>
      </c>
      <c r="L73" s="31">
        <f>K73/52</f>
        <v/>
      </c>
      <c r="M73" s="39">
        <f>J73/1000000*52</f>
        <v/>
      </c>
      <c r="N73" s="33">
        <f>M73/$P$4+($I$22/$P$4)</f>
        <v/>
      </c>
      <c r="U73">
        <f>F72</f>
        <v/>
      </c>
      <c r="V73">
        <f>H72</f>
        <v/>
      </c>
      <c r="W73">
        <f>N72</f>
        <v/>
      </c>
    </row>
    <row r="74" ht="15.75" customHeight="1" s="40">
      <c r="C74" s="36">
        <f>_xlfn.IFS(E74&lt;E$24,0,E74&lt;E$26,C$24,E74&lt;E$28,C$26,E74&lt;E$30,C$28,E74&lt;E$32,C$30,E74&lt;E$34,C$32,E74&gt;=E$34,C$34)</f>
        <v/>
      </c>
      <c r="D74" s="37">
        <f>_xlfn.IFS(E74&lt;E$24,0,E74&lt;E$25,D$24,E74&lt;E$26,D$25,E74&lt;E$27,D$26,E74&lt;E$28,D$27,E74&lt;E$29,D$28,E74&lt;E$30,D$29,E74&lt;E$31,D$30,E74&lt;E$32,D$31,E74&lt;E$33,D$32,E74&lt;E$34,D$33,E74&lt;E$35,D$34,E74&gt;=E$35,D$35)</f>
        <v/>
      </c>
      <c r="E74" s="38" t="n">
        <v>24</v>
      </c>
      <c r="F74" s="31">
        <f>E74/52</f>
        <v/>
      </c>
      <c r="G74" s="39">
        <f>D74/1000000*52</f>
        <v/>
      </c>
      <c r="H74" s="33">
        <f>G74/$P$4+($C$22/$P$4)</f>
        <v/>
      </c>
      <c r="I74" s="36">
        <f>_xlfn.IFS(K74&lt;K$24,0,K74&lt;K$26,I$24,K74&lt;K$28,I$26,K74&lt;K$30,I$28,K74&lt;K$32,I$30,K74&lt;K$34,I$32,K74&lt;K$36,I$34,K74&lt;K$38,I$36,K74&lt;K$40,I$38,K74&lt;K$42,I$40,K74&lt;K$44,I$42,K74&lt;K$46,I$44,K74&gt;=K$46,I$46)</f>
        <v/>
      </c>
      <c r="J74" s="37">
        <f>_xlfn.IFS(K74&lt;K$24,0,K74&lt;K$25,J$24,K74&lt;K$26,J$25,K74&lt;K$27,J$26,K74&lt;K$28,J$27,K74&lt;K$29,J$28,K74&lt;K$30,J$29,K74&lt;K$31,J$30,K74&lt;K$32,J$31,K74&lt;K$33,J$32,K74&lt;K$34,J$33,K74&lt;K$35,J$34,K74&lt;K$36,J$35,K74&lt;K$37,J$36,K74&lt;K$38,J$37,K74&lt;K$39,J$38,K74&lt;K$40,J$39,K74&lt;K$41,J$40,K74&lt;K$42,J$41,K74&lt;K$43,J$42,K74&lt;K$44,J$43,K74&lt;K$45,J$44,K74&lt;K$46,J$45,K74&lt;K$47,J$46,K74&gt;=K$47,J$47)</f>
        <v/>
      </c>
      <c r="K74" s="38" t="n">
        <v>24</v>
      </c>
      <c r="L74" s="31">
        <f>K74/52</f>
        <v/>
      </c>
      <c r="M74" s="39">
        <f>J74/1000000*52</f>
        <v/>
      </c>
      <c r="N74" s="33">
        <f>M74/$P$4+($I$22/$P$4)</f>
        <v/>
      </c>
      <c r="U74">
        <f>F73</f>
        <v/>
      </c>
      <c r="V74">
        <f>H73</f>
        <v/>
      </c>
      <c r="W74">
        <f>N73</f>
        <v/>
      </c>
    </row>
    <row r="75" ht="15.75" customHeight="1" s="40">
      <c r="C75" s="36">
        <f>_xlfn.IFS(E75&lt;E$24,0,E75&lt;E$26,C$24,E75&lt;E$28,C$26,E75&lt;E$30,C$28,E75&lt;E$32,C$30,E75&lt;E$34,C$32,E75&gt;=E$34,C$34)</f>
        <v/>
      </c>
      <c r="D75" s="37">
        <f>_xlfn.IFS(E75&lt;E$24,0,E75&lt;E$25,D$24,E75&lt;E$26,D$25,E75&lt;E$27,D$26,E75&lt;E$28,D$27,E75&lt;E$29,D$28,E75&lt;E$30,D$29,E75&lt;E$31,D$30,E75&lt;E$32,D$31,E75&lt;E$33,D$32,E75&lt;E$34,D$33,E75&lt;E$35,D$34,E75&gt;=E$35,D$35)</f>
        <v/>
      </c>
      <c r="E75" s="38" t="n">
        <v>25</v>
      </c>
      <c r="F75" s="31">
        <f>E75/52</f>
        <v/>
      </c>
      <c r="G75" s="39">
        <f>D75/1000000*52</f>
        <v/>
      </c>
      <c r="H75" s="33">
        <f>G75/$P$4+($C$22/$P$4)</f>
        <v/>
      </c>
      <c r="I75" s="36">
        <f>_xlfn.IFS(K75&lt;K$24,0,K75&lt;K$26,I$24,K75&lt;K$28,I$26,K75&lt;K$30,I$28,K75&lt;K$32,I$30,K75&lt;K$34,I$32,K75&lt;K$36,I$34,K75&lt;K$38,I$36,K75&lt;K$40,I$38,K75&lt;K$42,I$40,K75&lt;K$44,I$42,K75&lt;K$46,I$44,K75&gt;=K$46,I$46)</f>
        <v/>
      </c>
      <c r="J75" s="37">
        <f>_xlfn.IFS(K75&lt;K$24,0,K75&lt;K$25,J$24,K75&lt;K$26,J$25,K75&lt;K$27,J$26,K75&lt;K$28,J$27,K75&lt;K$29,J$28,K75&lt;K$30,J$29,K75&lt;K$31,J$30,K75&lt;K$32,J$31,K75&lt;K$33,J$32,K75&lt;K$34,J$33,K75&lt;K$35,J$34,K75&lt;K$36,J$35,K75&lt;K$37,J$36,K75&lt;K$38,J$37,K75&lt;K$39,J$38,K75&lt;K$40,J$39,K75&lt;K$41,J$40,K75&lt;K$42,J$41,K75&lt;K$43,J$42,K75&lt;K$44,J$43,K75&lt;K$45,J$44,K75&lt;K$46,J$45,K75&lt;K$47,J$46,K75&gt;=K$47,J$47)</f>
        <v/>
      </c>
      <c r="K75" s="38" t="n">
        <v>25</v>
      </c>
      <c r="L75" s="31">
        <f>K75/52</f>
        <v/>
      </c>
      <c r="M75" s="39">
        <f>J75/1000000*52</f>
        <v/>
      </c>
      <c r="N75" s="33">
        <f>M75/$P$4+($I$22/$P$4)</f>
        <v/>
      </c>
      <c r="U75">
        <f>F74</f>
        <v/>
      </c>
      <c r="V75">
        <f>H74</f>
        <v/>
      </c>
      <c r="W75">
        <f>N74</f>
        <v/>
      </c>
    </row>
    <row r="76" ht="15.75" customHeight="1" s="40">
      <c r="C76" s="36">
        <f>_xlfn.IFS(E76&lt;E$24,0,E76&lt;E$26,C$24,E76&lt;E$28,C$26,E76&lt;E$30,C$28,E76&lt;E$32,C$30,E76&lt;E$34,C$32,E76&gt;=E$34,C$34)</f>
        <v/>
      </c>
      <c r="D76" s="37">
        <f>_xlfn.IFS(E76&lt;E$24,0,E76&lt;E$25,D$24,E76&lt;E$26,D$25,E76&lt;E$27,D$26,E76&lt;E$28,D$27,E76&lt;E$29,D$28,E76&lt;E$30,D$29,E76&lt;E$31,D$30,E76&lt;E$32,D$31,E76&lt;E$33,D$32,E76&lt;E$34,D$33,E76&lt;E$35,D$34,E76&gt;=E$35,D$35)</f>
        <v/>
      </c>
      <c r="E76" s="38" t="n">
        <v>26</v>
      </c>
      <c r="F76" s="31">
        <f>E76/52</f>
        <v/>
      </c>
      <c r="G76" s="39">
        <f>D76/1000000*52</f>
        <v/>
      </c>
      <c r="H76" s="33">
        <f>G76/$P$4+($C$22/$P$4)</f>
        <v/>
      </c>
      <c r="I76" s="36">
        <f>_xlfn.IFS(K76&lt;K$24,0,K76&lt;K$26,I$24,K76&lt;K$28,I$26,K76&lt;K$30,I$28,K76&lt;K$32,I$30,K76&lt;K$34,I$32,K76&lt;K$36,I$34,K76&lt;K$38,I$36,K76&lt;K$40,I$38,K76&lt;K$42,I$40,K76&lt;K$44,I$42,K76&lt;K$46,I$44,K76&gt;=K$46,I$46)</f>
        <v/>
      </c>
      <c r="J76" s="37">
        <f>_xlfn.IFS(K76&lt;K$24,0,K76&lt;K$25,J$24,K76&lt;K$26,J$25,K76&lt;K$27,J$26,K76&lt;K$28,J$27,K76&lt;K$29,J$28,K76&lt;K$30,J$29,K76&lt;K$31,J$30,K76&lt;K$32,J$31,K76&lt;K$33,J$32,K76&lt;K$34,J$33,K76&lt;K$35,J$34,K76&lt;K$36,J$35,K76&lt;K$37,J$36,K76&lt;K$38,J$37,K76&lt;K$39,J$38,K76&lt;K$40,J$39,K76&lt;K$41,J$40,K76&lt;K$42,J$41,K76&lt;K$43,J$42,K76&lt;K$44,J$43,K76&lt;K$45,J$44,K76&lt;K$46,J$45,K76&lt;K$47,J$46,K76&gt;=K$47,J$47)</f>
        <v/>
      </c>
      <c r="K76" s="38" t="n">
        <v>26</v>
      </c>
      <c r="L76" s="31">
        <f>K76/52</f>
        <v/>
      </c>
      <c r="M76" s="39">
        <f>J76/1000000*52</f>
        <v/>
      </c>
      <c r="N76" s="33">
        <f>M76/$P$4+($I$22/$P$4)</f>
        <v/>
      </c>
      <c r="U76">
        <f>F75</f>
        <v/>
      </c>
      <c r="V76">
        <f>H75</f>
        <v/>
      </c>
      <c r="W76">
        <f>N75</f>
        <v/>
      </c>
    </row>
    <row r="77" ht="15.75" customHeight="1" s="40">
      <c r="C77" s="36">
        <f>_xlfn.IFS(E77&lt;E$24,0,E77&lt;E$26,C$24,E77&lt;E$28,C$26,E77&lt;E$30,C$28,E77&lt;E$32,C$30,E77&lt;E$34,C$32,E77&gt;=E$34,C$34)</f>
        <v/>
      </c>
      <c r="D77" s="37">
        <f>_xlfn.IFS(E77&lt;E$24,0,E77&lt;E$25,D$24,E77&lt;E$26,D$25,E77&lt;E$27,D$26,E77&lt;E$28,D$27,E77&lt;E$29,D$28,E77&lt;E$30,D$29,E77&lt;E$31,D$30,E77&lt;E$32,D$31,E77&lt;E$33,D$32,E77&lt;E$34,D$33,E77&lt;E$35,D$34,E77&gt;=E$35,D$35)</f>
        <v/>
      </c>
      <c r="E77" s="38" t="n">
        <v>27</v>
      </c>
      <c r="F77" s="31">
        <f>E77/52</f>
        <v/>
      </c>
      <c r="G77" s="39">
        <f>D77/1000000*52</f>
        <v/>
      </c>
      <c r="H77" s="33">
        <f>G77/$P$4+($C$22/$P$4)</f>
        <v/>
      </c>
      <c r="I77" s="36">
        <f>_xlfn.IFS(K77&lt;K$24,0,K77&lt;K$26,I$24,K77&lt;K$28,I$26,K77&lt;K$30,I$28,K77&lt;K$32,I$30,K77&lt;K$34,I$32,K77&lt;K$36,I$34,K77&lt;K$38,I$36,K77&lt;K$40,I$38,K77&lt;K$42,I$40,K77&lt;K$44,I$42,K77&lt;K$46,I$44,K77&gt;=K$46,I$46)</f>
        <v/>
      </c>
      <c r="J77" s="37">
        <f>_xlfn.IFS(K77&lt;K$24,0,K77&lt;K$25,J$24,K77&lt;K$26,J$25,K77&lt;K$27,J$26,K77&lt;K$28,J$27,K77&lt;K$29,J$28,K77&lt;K$30,J$29,K77&lt;K$31,J$30,K77&lt;K$32,J$31,K77&lt;K$33,J$32,K77&lt;K$34,J$33,K77&lt;K$35,J$34,K77&lt;K$36,J$35,K77&lt;K$37,J$36,K77&lt;K$38,J$37,K77&lt;K$39,J$38,K77&lt;K$40,J$39,K77&lt;K$41,J$40,K77&lt;K$42,J$41,K77&lt;K$43,J$42,K77&lt;K$44,J$43,K77&lt;K$45,J$44,K77&lt;K$46,J$45,K77&lt;K$47,J$46,K77&gt;=K$47,J$47)</f>
        <v/>
      </c>
      <c r="K77" s="38" t="n">
        <v>27</v>
      </c>
      <c r="L77" s="31">
        <f>K77/52</f>
        <v/>
      </c>
      <c r="M77" s="39">
        <f>J77/1000000*52</f>
        <v/>
      </c>
      <c r="N77" s="33">
        <f>M77/$P$4+($I$22/$P$4)</f>
        <v/>
      </c>
      <c r="U77">
        <f>F76</f>
        <v/>
      </c>
      <c r="V77">
        <f>H76</f>
        <v/>
      </c>
      <c r="W77">
        <f>N76</f>
        <v/>
      </c>
    </row>
    <row r="78" ht="15.75" customHeight="1" s="40">
      <c r="C78" s="36">
        <f>_xlfn.IFS(E78&lt;E$24,0,E78&lt;E$26,C$24,E78&lt;E$28,C$26,E78&lt;E$30,C$28,E78&lt;E$32,C$30,E78&lt;E$34,C$32,E78&gt;=E$34,C$34)</f>
        <v/>
      </c>
      <c r="D78" s="37">
        <f>_xlfn.IFS(E78&lt;E$24,0,E78&lt;E$25,D$24,E78&lt;E$26,D$25,E78&lt;E$27,D$26,E78&lt;E$28,D$27,E78&lt;E$29,D$28,E78&lt;E$30,D$29,E78&lt;E$31,D$30,E78&lt;E$32,D$31,E78&lt;E$33,D$32,E78&lt;E$34,D$33,E78&lt;E$35,D$34,E78&gt;=E$35,D$35)</f>
        <v/>
      </c>
      <c r="E78" s="38" t="n">
        <v>28</v>
      </c>
      <c r="F78" s="31">
        <f>E78/52</f>
        <v/>
      </c>
      <c r="G78" s="39">
        <f>D78/1000000*52</f>
        <v/>
      </c>
      <c r="H78" s="33">
        <f>G78/$P$4+($C$22/$P$4)</f>
        <v/>
      </c>
      <c r="I78" s="36">
        <f>_xlfn.IFS(K78&lt;K$24,0,K78&lt;K$26,I$24,K78&lt;K$28,I$26,K78&lt;K$30,I$28,K78&lt;K$32,I$30,K78&lt;K$34,I$32,K78&lt;K$36,I$34,K78&lt;K$38,I$36,K78&lt;K$40,I$38,K78&lt;K$42,I$40,K78&lt;K$44,I$42,K78&lt;K$46,I$44,K78&gt;=K$46,I$46)</f>
        <v/>
      </c>
      <c r="J78" s="37">
        <f>_xlfn.IFS(K78&lt;K$24,0,K78&lt;K$25,J$24,K78&lt;K$26,J$25,K78&lt;K$27,J$26,K78&lt;K$28,J$27,K78&lt;K$29,J$28,K78&lt;K$30,J$29,K78&lt;K$31,J$30,K78&lt;K$32,J$31,K78&lt;K$33,J$32,K78&lt;K$34,J$33,K78&lt;K$35,J$34,K78&lt;K$36,J$35,K78&lt;K$37,J$36,K78&lt;K$38,J$37,K78&lt;K$39,J$38,K78&lt;K$40,J$39,K78&lt;K$41,J$40,K78&lt;K$42,J$41,K78&lt;K$43,J$42,K78&lt;K$44,J$43,K78&lt;K$45,J$44,K78&lt;K$46,J$45,K78&lt;K$47,J$46,K78&gt;=K$47,J$47)</f>
        <v/>
      </c>
      <c r="K78" s="38" t="n">
        <v>28</v>
      </c>
      <c r="L78" s="31">
        <f>K78/52</f>
        <v/>
      </c>
      <c r="M78" s="39">
        <f>J78/1000000*52</f>
        <v/>
      </c>
      <c r="N78" s="33">
        <f>M78/$P$4+($I$22/$P$4)</f>
        <v/>
      </c>
      <c r="U78">
        <f>F77</f>
        <v/>
      </c>
      <c r="V78">
        <f>H77</f>
        <v/>
      </c>
      <c r="W78">
        <f>N77</f>
        <v/>
      </c>
    </row>
    <row r="79" ht="15.75" customHeight="1" s="40">
      <c r="C79" s="36">
        <f>_xlfn.IFS(E79&lt;E$24,0,E79&lt;E$26,C$24,E79&lt;E$28,C$26,E79&lt;E$30,C$28,E79&lt;E$32,C$30,E79&lt;E$34,C$32,E79&gt;=E$34,C$34)</f>
        <v/>
      </c>
      <c r="D79" s="37">
        <f>_xlfn.IFS(E79&lt;E$24,0,E79&lt;E$25,D$24,E79&lt;E$26,D$25,E79&lt;E$27,D$26,E79&lt;E$28,D$27,E79&lt;E$29,D$28,E79&lt;E$30,D$29,E79&lt;E$31,D$30,E79&lt;E$32,D$31,E79&lt;E$33,D$32,E79&lt;E$34,D$33,E79&lt;E$35,D$34,E79&gt;=E$35,D$35)</f>
        <v/>
      </c>
      <c r="E79" s="38" t="n">
        <v>29</v>
      </c>
      <c r="F79" s="31">
        <f>E79/52</f>
        <v/>
      </c>
      <c r="G79" s="39">
        <f>D79/1000000*52</f>
        <v/>
      </c>
      <c r="H79" s="33">
        <f>G79/$P$4+($C$22/$P$4)</f>
        <v/>
      </c>
      <c r="I79" s="36">
        <f>_xlfn.IFS(K79&lt;K$24,0,K79&lt;K$26,I$24,K79&lt;K$28,I$26,K79&lt;K$30,I$28,K79&lt;K$32,I$30,K79&lt;K$34,I$32,K79&lt;K$36,I$34,K79&lt;K$38,I$36,K79&lt;K$40,I$38,K79&lt;K$42,I$40,K79&lt;K$44,I$42,K79&lt;K$46,I$44,K79&gt;=K$46,I$46)</f>
        <v/>
      </c>
      <c r="J79" s="37">
        <f>_xlfn.IFS(K79&lt;K$24,0,K79&lt;K$25,J$24,K79&lt;K$26,J$25,K79&lt;K$27,J$26,K79&lt;K$28,J$27,K79&lt;K$29,J$28,K79&lt;K$30,J$29,K79&lt;K$31,J$30,K79&lt;K$32,J$31,K79&lt;K$33,J$32,K79&lt;K$34,J$33,K79&lt;K$35,J$34,K79&lt;K$36,J$35,K79&lt;K$37,J$36,K79&lt;K$38,J$37,K79&lt;K$39,J$38,K79&lt;K$40,J$39,K79&lt;K$41,J$40,K79&lt;K$42,J$41,K79&lt;K$43,J$42,K79&lt;K$44,J$43,K79&lt;K$45,J$44,K79&lt;K$46,J$45,K79&lt;K$47,J$46,K79&gt;=K$47,J$47)</f>
        <v/>
      </c>
      <c r="K79" s="38" t="n">
        <v>29</v>
      </c>
      <c r="L79" s="31">
        <f>K79/52</f>
        <v/>
      </c>
      <c r="M79" s="39">
        <f>J79/1000000*52</f>
        <v/>
      </c>
      <c r="N79" s="33">
        <f>M79/$P$4+($I$22/$P$4)</f>
        <v/>
      </c>
      <c r="U79">
        <f>F78</f>
        <v/>
      </c>
      <c r="V79">
        <f>H78</f>
        <v/>
      </c>
      <c r="W79">
        <f>N78</f>
        <v/>
      </c>
    </row>
    <row r="80" ht="15.75" customHeight="1" s="40">
      <c r="C80" s="36">
        <f>_xlfn.IFS(E80&lt;E$24,0,E80&lt;E$26,C$24,E80&lt;E$28,C$26,E80&lt;E$30,C$28,E80&lt;E$32,C$30,E80&lt;E$34,C$32,E80&gt;=E$34,C$34)</f>
        <v/>
      </c>
      <c r="D80" s="37">
        <f>_xlfn.IFS(E80&lt;E$24,0,E80&lt;E$25,D$24,E80&lt;E$26,D$25,E80&lt;E$27,D$26,E80&lt;E$28,D$27,E80&lt;E$29,D$28,E80&lt;E$30,D$29,E80&lt;E$31,D$30,E80&lt;E$32,D$31,E80&lt;E$33,D$32,E80&lt;E$34,D$33,E80&lt;E$35,D$34,E80&gt;=E$35,D$35)</f>
        <v/>
      </c>
      <c r="E80" s="38" t="n">
        <v>30</v>
      </c>
      <c r="F80" s="31">
        <f>E80/52</f>
        <v/>
      </c>
      <c r="G80" s="39">
        <f>D80/1000000*52</f>
        <v/>
      </c>
      <c r="H80" s="33">
        <f>G80/$P$4+($C$22/$P$4)</f>
        <v/>
      </c>
      <c r="I80" s="36">
        <f>_xlfn.IFS(K80&lt;K$24,0,K80&lt;K$26,I$24,K80&lt;K$28,I$26,K80&lt;K$30,I$28,K80&lt;K$32,I$30,K80&lt;K$34,I$32,K80&lt;K$36,I$34,K80&lt;K$38,I$36,K80&lt;K$40,I$38,K80&lt;K$42,I$40,K80&lt;K$44,I$42,K80&lt;K$46,I$44,K80&gt;=K$46,I$46)</f>
        <v/>
      </c>
      <c r="J80" s="37">
        <f>_xlfn.IFS(K80&lt;K$24,0,K80&lt;K$25,J$24,K80&lt;K$26,J$25,K80&lt;K$27,J$26,K80&lt;K$28,J$27,K80&lt;K$29,J$28,K80&lt;K$30,J$29,K80&lt;K$31,J$30,K80&lt;K$32,J$31,K80&lt;K$33,J$32,K80&lt;K$34,J$33,K80&lt;K$35,J$34,K80&lt;K$36,J$35,K80&lt;K$37,J$36,K80&lt;K$38,J$37,K80&lt;K$39,J$38,K80&lt;K$40,J$39,K80&lt;K$41,J$40,K80&lt;K$42,J$41,K80&lt;K$43,J$42,K80&lt;K$44,J$43,K80&lt;K$45,J$44,K80&lt;K$46,J$45,K80&lt;K$47,J$46,K80&gt;=K$47,J$47)</f>
        <v/>
      </c>
      <c r="K80" s="38" t="n">
        <v>30</v>
      </c>
      <c r="L80" s="31">
        <f>K80/52</f>
        <v/>
      </c>
      <c r="M80" s="39">
        <f>J80/1000000*52</f>
        <v/>
      </c>
      <c r="N80" s="33">
        <f>M80/$P$4+($I$22/$P$4)</f>
        <v/>
      </c>
      <c r="U80">
        <f>F79</f>
        <v/>
      </c>
      <c r="V80">
        <f>H79</f>
        <v/>
      </c>
      <c r="W80">
        <f>N79</f>
        <v/>
      </c>
    </row>
    <row r="81" ht="15.75" customHeight="1" s="40">
      <c r="C81" s="36">
        <f>_xlfn.IFS(E81&lt;E$24,0,E81&lt;E$26,C$24,E81&lt;E$28,C$26,E81&lt;E$30,C$28,E81&lt;E$32,C$30,E81&lt;E$34,C$32,E81&gt;=E$34,C$34)</f>
        <v/>
      </c>
      <c r="D81" s="37">
        <f>_xlfn.IFS(E81&lt;E$24,0,E81&lt;E$25,D$24,E81&lt;E$26,D$25,E81&lt;E$27,D$26,E81&lt;E$28,D$27,E81&lt;E$29,D$28,E81&lt;E$30,D$29,E81&lt;E$31,D$30,E81&lt;E$32,D$31,E81&lt;E$33,D$32,E81&lt;E$34,D$33,E81&lt;E$35,D$34,E81&gt;=E$35,D$35)</f>
        <v/>
      </c>
      <c r="E81" s="38" t="n">
        <v>31</v>
      </c>
      <c r="F81" s="31">
        <f>E81/52</f>
        <v/>
      </c>
      <c r="G81" s="39">
        <f>D81/1000000*52</f>
        <v/>
      </c>
      <c r="H81" s="33">
        <f>G81/$P$4+($C$22/$P$4)</f>
        <v/>
      </c>
      <c r="I81" s="36">
        <f>_xlfn.IFS(K81&lt;K$24,0,K81&lt;K$26,I$24,K81&lt;K$28,I$26,K81&lt;K$30,I$28,K81&lt;K$32,I$30,K81&lt;K$34,I$32,K81&lt;K$36,I$34,K81&lt;K$38,I$36,K81&lt;K$40,I$38,K81&lt;K$42,I$40,K81&lt;K$44,I$42,K81&lt;K$46,I$44,K81&gt;=K$46,I$46)</f>
        <v/>
      </c>
      <c r="J81" s="37">
        <f>_xlfn.IFS(K81&lt;K$24,0,K81&lt;K$25,J$24,K81&lt;K$26,J$25,K81&lt;K$27,J$26,K81&lt;K$28,J$27,K81&lt;K$29,J$28,K81&lt;K$30,J$29,K81&lt;K$31,J$30,K81&lt;K$32,J$31,K81&lt;K$33,J$32,K81&lt;K$34,J$33,K81&lt;K$35,J$34,K81&lt;K$36,J$35,K81&lt;K$37,J$36,K81&lt;K$38,J$37,K81&lt;K$39,J$38,K81&lt;K$40,J$39,K81&lt;K$41,J$40,K81&lt;K$42,J$41,K81&lt;K$43,J$42,K81&lt;K$44,J$43,K81&lt;K$45,J$44,K81&lt;K$46,J$45,K81&lt;K$47,J$46,K81&gt;=K$47,J$47)</f>
        <v/>
      </c>
      <c r="K81" s="38" t="n">
        <v>31</v>
      </c>
      <c r="L81" s="31">
        <f>K81/52</f>
        <v/>
      </c>
      <c r="M81" s="39">
        <f>J81/1000000*52</f>
        <v/>
      </c>
      <c r="N81" s="33">
        <f>M81/$P$4+($I$22/$P$4)</f>
        <v/>
      </c>
      <c r="U81">
        <f>F80</f>
        <v/>
      </c>
      <c r="V81">
        <f>H80</f>
        <v/>
      </c>
      <c r="W81">
        <f>N80</f>
        <v/>
      </c>
    </row>
    <row r="82" ht="15.75" customHeight="1" s="40">
      <c r="C82" s="36">
        <f>_xlfn.IFS(E82&lt;E$24,0,E82&lt;E$26,C$24,E82&lt;E$28,C$26,E82&lt;E$30,C$28,E82&lt;E$32,C$30,E82&lt;E$34,C$32,E82&gt;=E$34,C$34)</f>
        <v/>
      </c>
      <c r="D82" s="37">
        <f>_xlfn.IFS(E82&lt;E$24,0,E82&lt;E$25,D$24,E82&lt;E$26,D$25,E82&lt;E$27,D$26,E82&lt;E$28,D$27,E82&lt;E$29,D$28,E82&lt;E$30,D$29,E82&lt;E$31,D$30,E82&lt;E$32,D$31,E82&lt;E$33,D$32,E82&lt;E$34,D$33,E82&lt;E$35,D$34,E82&gt;=E$35,D$35)</f>
        <v/>
      </c>
      <c r="E82" s="38" t="n">
        <v>32</v>
      </c>
      <c r="F82" s="31">
        <f>E82/52</f>
        <v/>
      </c>
      <c r="G82" s="39">
        <f>D82/1000000*52</f>
        <v/>
      </c>
      <c r="H82" s="33">
        <f>G82/$P$4+($C$22/$P$4)</f>
        <v/>
      </c>
      <c r="I82" s="36">
        <f>_xlfn.IFS(K82&lt;K$24,0,K82&lt;K$26,I$24,K82&lt;K$28,I$26,K82&lt;K$30,I$28,K82&lt;K$32,I$30,K82&lt;K$34,I$32,K82&lt;K$36,I$34,K82&lt;K$38,I$36,K82&lt;K$40,I$38,K82&lt;K$42,I$40,K82&lt;K$44,I$42,K82&lt;K$46,I$44,K82&gt;=K$46,I$46)</f>
        <v/>
      </c>
      <c r="J82" s="37">
        <f>_xlfn.IFS(K82&lt;K$24,0,K82&lt;K$25,J$24,K82&lt;K$26,J$25,K82&lt;K$27,J$26,K82&lt;K$28,J$27,K82&lt;K$29,J$28,K82&lt;K$30,J$29,K82&lt;K$31,J$30,K82&lt;K$32,J$31,K82&lt;K$33,J$32,K82&lt;K$34,J$33,K82&lt;K$35,J$34,K82&lt;K$36,J$35,K82&lt;K$37,J$36,K82&lt;K$38,J$37,K82&lt;K$39,J$38,K82&lt;K$40,J$39,K82&lt;K$41,J$40,K82&lt;K$42,J$41,K82&lt;K$43,J$42,K82&lt;K$44,J$43,K82&lt;K$45,J$44,K82&lt;K$46,J$45,K82&lt;K$47,J$46,K82&gt;=K$47,J$47)</f>
        <v/>
      </c>
      <c r="K82" s="38" t="n">
        <v>32</v>
      </c>
      <c r="L82" s="31">
        <f>K82/52</f>
        <v/>
      </c>
      <c r="M82" s="39">
        <f>J82/1000000*52</f>
        <v/>
      </c>
      <c r="N82" s="33">
        <f>M82/$P$4+($I$22/$P$4)</f>
        <v/>
      </c>
      <c r="U82">
        <f>F81</f>
        <v/>
      </c>
      <c r="V82">
        <f>H81</f>
        <v/>
      </c>
      <c r="W82">
        <f>N81</f>
        <v/>
      </c>
    </row>
    <row r="83" ht="15.75" customHeight="1" s="40">
      <c r="C83" s="36">
        <f>_xlfn.IFS(E83&lt;E$24,0,E83&lt;E$26,C$24,E83&lt;E$28,C$26,E83&lt;E$30,C$28,E83&lt;E$32,C$30,E83&lt;E$34,C$32,E83&gt;=E$34,C$34)</f>
        <v/>
      </c>
      <c r="D83" s="37">
        <f>_xlfn.IFS(E83&lt;E$24,0,E83&lt;E$25,D$24,E83&lt;E$26,D$25,E83&lt;E$27,D$26,E83&lt;E$28,D$27,E83&lt;E$29,D$28,E83&lt;E$30,D$29,E83&lt;E$31,D$30,E83&lt;E$32,D$31,E83&lt;E$33,D$32,E83&lt;E$34,D$33,E83&lt;E$35,D$34,E83&gt;=E$35,D$35)</f>
        <v/>
      </c>
      <c r="E83" s="38" t="n">
        <v>33</v>
      </c>
      <c r="F83" s="31">
        <f>E83/52</f>
        <v/>
      </c>
      <c r="G83" s="39">
        <f>D83/1000000*52</f>
        <v/>
      </c>
      <c r="H83" s="33">
        <f>G83/$P$4+($C$22/$P$4)</f>
        <v/>
      </c>
      <c r="I83" s="36">
        <f>_xlfn.IFS(K83&lt;K$24,0,K83&lt;K$26,I$24,K83&lt;K$28,I$26,K83&lt;K$30,I$28,K83&lt;K$32,I$30,K83&lt;K$34,I$32,K83&lt;K$36,I$34,K83&lt;K$38,I$36,K83&lt;K$40,I$38,K83&lt;K$42,I$40,K83&lt;K$44,I$42,K83&lt;K$46,I$44,K83&gt;=K$46,I$46)</f>
        <v/>
      </c>
      <c r="J83" s="37">
        <f>_xlfn.IFS(K83&lt;K$24,0,K83&lt;K$25,J$24,K83&lt;K$26,J$25,K83&lt;K$27,J$26,K83&lt;K$28,J$27,K83&lt;K$29,J$28,K83&lt;K$30,J$29,K83&lt;K$31,J$30,K83&lt;K$32,J$31,K83&lt;K$33,J$32,K83&lt;K$34,J$33,K83&lt;K$35,J$34,K83&lt;K$36,J$35,K83&lt;K$37,J$36,K83&lt;K$38,J$37,K83&lt;K$39,J$38,K83&lt;K$40,J$39,K83&lt;K$41,J$40,K83&lt;K$42,J$41,K83&lt;K$43,J$42,K83&lt;K$44,J$43,K83&lt;K$45,J$44,K83&lt;K$46,J$45,K83&lt;K$47,J$46,K83&gt;=K$47,J$47)</f>
        <v/>
      </c>
      <c r="K83" s="38" t="n">
        <v>33</v>
      </c>
      <c r="L83" s="31">
        <f>K83/52</f>
        <v/>
      </c>
      <c r="M83" s="39">
        <f>J83/1000000*52</f>
        <v/>
      </c>
      <c r="N83" s="33">
        <f>M83/$P$4+($I$22/$P$4)</f>
        <v/>
      </c>
      <c r="U83">
        <f>F82</f>
        <v/>
      </c>
      <c r="V83">
        <f>H82</f>
        <v/>
      </c>
      <c r="W83">
        <f>N82</f>
        <v/>
      </c>
    </row>
    <row r="84" ht="15.75" customHeight="1" s="40">
      <c r="C84" s="36">
        <f>_xlfn.IFS(E84&lt;E$24,0,E84&lt;E$26,C$24,E84&lt;E$28,C$26,E84&lt;E$30,C$28,E84&lt;E$32,C$30,E84&lt;E$34,C$32,E84&gt;=E$34,C$34)</f>
        <v/>
      </c>
      <c r="D84" s="37">
        <f>_xlfn.IFS(E84&lt;E$24,0,E84&lt;E$25,D$24,E84&lt;E$26,D$25,E84&lt;E$27,D$26,E84&lt;E$28,D$27,E84&lt;E$29,D$28,E84&lt;E$30,D$29,E84&lt;E$31,D$30,E84&lt;E$32,D$31,E84&lt;E$33,D$32,E84&lt;E$34,D$33,E84&lt;E$35,D$34,E84&gt;=E$35,D$35)</f>
        <v/>
      </c>
      <c r="E84" s="38" t="n">
        <v>34</v>
      </c>
      <c r="F84" s="31">
        <f>E84/52</f>
        <v/>
      </c>
      <c r="G84" s="39">
        <f>D84/1000000*52</f>
        <v/>
      </c>
      <c r="H84" s="33">
        <f>G84/$P$4+($C$22/$P$4)</f>
        <v/>
      </c>
      <c r="I84" s="36">
        <f>_xlfn.IFS(K84&lt;K$24,0,K84&lt;K$26,I$24,K84&lt;K$28,I$26,K84&lt;K$30,I$28,K84&lt;K$32,I$30,K84&lt;K$34,I$32,K84&lt;K$36,I$34,K84&lt;K$38,I$36,K84&lt;K$40,I$38,K84&lt;K$42,I$40,K84&lt;K$44,I$42,K84&lt;K$46,I$44,K84&gt;=K$46,I$46)</f>
        <v/>
      </c>
      <c r="J84" s="37">
        <f>_xlfn.IFS(K84&lt;K$24,0,K84&lt;K$25,J$24,K84&lt;K$26,J$25,K84&lt;K$27,J$26,K84&lt;K$28,J$27,K84&lt;K$29,J$28,K84&lt;K$30,J$29,K84&lt;K$31,J$30,K84&lt;K$32,J$31,K84&lt;K$33,J$32,K84&lt;K$34,J$33,K84&lt;K$35,J$34,K84&lt;K$36,J$35,K84&lt;K$37,J$36,K84&lt;K$38,J$37,K84&lt;K$39,J$38,K84&lt;K$40,J$39,K84&lt;K$41,J$40,K84&lt;K$42,J$41,K84&lt;K$43,J$42,K84&lt;K$44,J$43,K84&lt;K$45,J$44,K84&lt;K$46,J$45,K84&lt;K$47,J$46,K84&gt;=K$47,J$47)</f>
        <v/>
      </c>
      <c r="K84" s="38" t="n">
        <v>34</v>
      </c>
      <c r="L84" s="31">
        <f>K84/52</f>
        <v/>
      </c>
      <c r="M84" s="39">
        <f>J84/1000000*52</f>
        <v/>
      </c>
      <c r="N84" s="33">
        <f>M84/$P$4+($I$22/$P$4)</f>
        <v/>
      </c>
      <c r="U84">
        <f>F83</f>
        <v/>
      </c>
      <c r="V84">
        <f>H83</f>
        <v/>
      </c>
      <c r="W84">
        <f>N83</f>
        <v/>
      </c>
    </row>
    <row r="85" ht="15.75" customHeight="1" s="40">
      <c r="C85" s="36">
        <f>_xlfn.IFS(E85&lt;E$24,0,E85&lt;E$26,C$24,E85&lt;E$28,C$26,E85&lt;E$30,C$28,E85&lt;E$32,C$30,E85&lt;E$34,C$32,E85&gt;=E$34,C$34)</f>
        <v/>
      </c>
      <c r="D85" s="37">
        <f>_xlfn.IFS(E85&lt;E$24,0,E85&lt;E$25,D$24,E85&lt;E$26,D$25,E85&lt;E$27,D$26,E85&lt;E$28,D$27,E85&lt;E$29,D$28,E85&lt;E$30,D$29,E85&lt;E$31,D$30,E85&lt;E$32,D$31,E85&lt;E$33,D$32,E85&lt;E$34,D$33,E85&lt;E$35,D$34,E85&gt;=E$35,D$35)</f>
        <v/>
      </c>
      <c r="E85" s="38" t="n">
        <v>35</v>
      </c>
      <c r="F85" s="31">
        <f>E85/52</f>
        <v/>
      </c>
      <c r="G85" s="39">
        <f>D85/1000000*52</f>
        <v/>
      </c>
      <c r="H85" s="33">
        <f>G85/$P$4+($C$22/$P$4)</f>
        <v/>
      </c>
      <c r="I85" s="36">
        <f>_xlfn.IFS(K85&lt;K$24,0,K85&lt;K$26,I$24,K85&lt;K$28,I$26,K85&lt;K$30,I$28,K85&lt;K$32,I$30,K85&lt;K$34,I$32,K85&lt;K$36,I$34,K85&lt;K$38,I$36,K85&lt;K$40,I$38,K85&lt;K$42,I$40,K85&lt;K$44,I$42,K85&lt;K$46,I$44,K85&gt;=K$46,I$46)</f>
        <v/>
      </c>
      <c r="J85" s="37">
        <f>_xlfn.IFS(K85&lt;K$24,0,K85&lt;K$25,J$24,K85&lt;K$26,J$25,K85&lt;K$27,J$26,K85&lt;K$28,J$27,K85&lt;K$29,J$28,K85&lt;K$30,J$29,K85&lt;K$31,J$30,K85&lt;K$32,J$31,K85&lt;K$33,J$32,K85&lt;K$34,J$33,K85&lt;K$35,J$34,K85&lt;K$36,J$35,K85&lt;K$37,J$36,K85&lt;K$38,J$37,K85&lt;K$39,J$38,K85&lt;K$40,J$39,K85&lt;K$41,J$40,K85&lt;K$42,J$41,K85&lt;K$43,J$42,K85&lt;K$44,J$43,K85&lt;K$45,J$44,K85&lt;K$46,J$45,K85&lt;K$47,J$46,K85&gt;=K$47,J$47)</f>
        <v/>
      </c>
      <c r="K85" s="38" t="n">
        <v>35</v>
      </c>
      <c r="L85" s="31">
        <f>K85/52</f>
        <v/>
      </c>
      <c r="M85" s="39">
        <f>J85/1000000*52</f>
        <v/>
      </c>
      <c r="N85" s="33">
        <f>M85/$P$4+($I$22/$P$4)</f>
        <v/>
      </c>
      <c r="U85">
        <f>F84</f>
        <v/>
      </c>
      <c r="V85">
        <f>H84</f>
        <v/>
      </c>
      <c r="W85">
        <f>N84</f>
        <v/>
      </c>
    </row>
    <row r="86" ht="15.75" customHeight="1" s="40">
      <c r="C86" s="36">
        <f>_xlfn.IFS(E86&lt;E$24,0,E86&lt;E$26,C$24,E86&lt;E$28,C$26,E86&lt;E$30,C$28,E86&lt;E$32,C$30,E86&lt;E$34,C$32,E86&gt;=E$34,C$34)</f>
        <v/>
      </c>
      <c r="D86" s="37">
        <f>_xlfn.IFS(E86&lt;E$24,0,E86&lt;E$25,D$24,E86&lt;E$26,D$25,E86&lt;E$27,D$26,E86&lt;E$28,D$27,E86&lt;E$29,D$28,E86&lt;E$30,D$29,E86&lt;E$31,D$30,E86&lt;E$32,D$31,E86&lt;E$33,D$32,E86&lt;E$34,D$33,E86&lt;E$35,D$34,E86&gt;=E$35,D$35)</f>
        <v/>
      </c>
      <c r="E86" s="38" t="n">
        <v>36</v>
      </c>
      <c r="F86" s="31">
        <f>E86/52</f>
        <v/>
      </c>
      <c r="G86" s="39">
        <f>D86/1000000*52</f>
        <v/>
      </c>
      <c r="H86" s="33">
        <f>G86/$P$4+($C$22/$P$4)</f>
        <v/>
      </c>
      <c r="I86" s="36">
        <f>_xlfn.IFS(K86&lt;K$24,0,K86&lt;K$26,I$24,K86&lt;K$28,I$26,K86&lt;K$30,I$28,K86&lt;K$32,I$30,K86&lt;K$34,I$32,K86&lt;K$36,I$34,K86&lt;K$38,I$36,K86&lt;K$40,I$38,K86&lt;K$42,I$40,K86&lt;K$44,I$42,K86&lt;K$46,I$44,K86&gt;=K$46,I$46)</f>
        <v/>
      </c>
      <c r="J86" s="37">
        <f>_xlfn.IFS(K86&lt;K$24,0,K86&lt;K$25,J$24,K86&lt;K$26,J$25,K86&lt;K$27,J$26,K86&lt;K$28,J$27,K86&lt;K$29,J$28,K86&lt;K$30,J$29,K86&lt;K$31,J$30,K86&lt;K$32,J$31,K86&lt;K$33,J$32,K86&lt;K$34,J$33,K86&lt;K$35,J$34,K86&lt;K$36,J$35,K86&lt;K$37,J$36,K86&lt;K$38,J$37,K86&lt;K$39,J$38,K86&lt;K$40,J$39,K86&lt;K$41,J$40,K86&lt;K$42,J$41,K86&lt;K$43,J$42,K86&lt;K$44,J$43,K86&lt;K$45,J$44,K86&lt;K$46,J$45,K86&lt;K$47,J$46,K86&gt;=K$47,J$47)</f>
        <v/>
      </c>
      <c r="K86" s="38" t="n">
        <v>36</v>
      </c>
      <c r="L86" s="31">
        <f>K86/52</f>
        <v/>
      </c>
      <c r="M86" s="39">
        <f>J86/1000000*52</f>
        <v/>
      </c>
      <c r="N86" s="33">
        <f>M86/$P$4+($I$22/$P$4)</f>
        <v/>
      </c>
      <c r="U86">
        <f>F85</f>
        <v/>
      </c>
      <c r="V86">
        <f>H85</f>
        <v/>
      </c>
      <c r="W86">
        <f>N85</f>
        <v/>
      </c>
    </row>
    <row r="87" ht="15.75" customHeight="1" s="40">
      <c r="C87" s="36">
        <f>_xlfn.IFS(E87&lt;E$24,0,E87&lt;E$26,C$24,E87&lt;E$28,C$26,E87&lt;E$30,C$28,E87&lt;E$32,C$30,E87&lt;E$34,C$32,E87&gt;=E$34,C$34)</f>
        <v/>
      </c>
      <c r="D87" s="37">
        <f>_xlfn.IFS(E87&lt;E$24,0,E87&lt;E$25,D$24,E87&lt;E$26,D$25,E87&lt;E$27,D$26,E87&lt;E$28,D$27,E87&lt;E$29,D$28,E87&lt;E$30,D$29,E87&lt;E$31,D$30,E87&lt;E$32,D$31,E87&lt;E$33,D$32,E87&lt;E$34,D$33,E87&lt;E$35,D$34,E87&gt;=E$35,D$35)</f>
        <v/>
      </c>
      <c r="E87" s="38" t="n">
        <v>37</v>
      </c>
      <c r="F87" s="31">
        <f>E87/52</f>
        <v/>
      </c>
      <c r="G87" s="39">
        <f>D87/1000000*52</f>
        <v/>
      </c>
      <c r="H87" s="33">
        <f>G87/$P$4+($C$22/$P$4)</f>
        <v/>
      </c>
      <c r="I87" s="36">
        <f>_xlfn.IFS(K87&lt;K$24,0,K87&lt;K$26,I$24,K87&lt;K$28,I$26,K87&lt;K$30,I$28,K87&lt;K$32,I$30,K87&lt;K$34,I$32,K87&lt;K$36,I$34,K87&lt;K$38,I$36,K87&lt;K$40,I$38,K87&lt;K$42,I$40,K87&lt;K$44,I$42,K87&lt;K$46,I$44,K87&gt;=K$46,I$46)</f>
        <v/>
      </c>
      <c r="J87" s="37">
        <f>_xlfn.IFS(K87&lt;K$24,0,K87&lt;K$25,J$24,K87&lt;K$26,J$25,K87&lt;K$27,J$26,K87&lt;K$28,J$27,K87&lt;K$29,J$28,K87&lt;K$30,J$29,K87&lt;K$31,J$30,K87&lt;K$32,J$31,K87&lt;K$33,J$32,K87&lt;K$34,J$33,K87&lt;K$35,J$34,K87&lt;K$36,J$35,K87&lt;K$37,J$36,K87&lt;K$38,J$37,K87&lt;K$39,J$38,K87&lt;K$40,J$39,K87&lt;K$41,J$40,K87&lt;K$42,J$41,K87&lt;K$43,J$42,K87&lt;K$44,J$43,K87&lt;K$45,J$44,K87&lt;K$46,J$45,K87&lt;K$47,J$46,K87&gt;=K$47,J$47)</f>
        <v/>
      </c>
      <c r="K87" s="38" t="n">
        <v>37</v>
      </c>
      <c r="L87" s="31">
        <f>K87/52</f>
        <v/>
      </c>
      <c r="M87" s="39">
        <f>J87/1000000*52</f>
        <v/>
      </c>
      <c r="N87" s="33">
        <f>M87/$P$4+($I$22/$P$4)</f>
        <v/>
      </c>
      <c r="U87">
        <f>F86</f>
        <v/>
      </c>
      <c r="V87">
        <f>H86</f>
        <v/>
      </c>
      <c r="W87">
        <f>N86</f>
        <v/>
      </c>
    </row>
    <row r="88" ht="15.75" customHeight="1" s="40">
      <c r="C88" s="36">
        <f>_xlfn.IFS(E88&lt;E$24,0,E88&lt;E$26,C$24,E88&lt;E$28,C$26,E88&lt;E$30,C$28,E88&lt;E$32,C$30,E88&lt;E$34,C$32,E88&gt;=E$34,C$34)</f>
        <v/>
      </c>
      <c r="D88" s="37">
        <f>_xlfn.IFS(E88&lt;E$24,0,E88&lt;E$25,D$24,E88&lt;E$26,D$25,E88&lt;E$27,D$26,E88&lt;E$28,D$27,E88&lt;E$29,D$28,E88&lt;E$30,D$29,E88&lt;E$31,D$30,E88&lt;E$32,D$31,E88&lt;E$33,D$32,E88&lt;E$34,D$33,E88&lt;E$35,D$34,E88&gt;=E$35,D$35)</f>
        <v/>
      </c>
      <c r="E88" s="38" t="n">
        <v>38</v>
      </c>
      <c r="F88" s="31">
        <f>E88/52</f>
        <v/>
      </c>
      <c r="G88" s="39">
        <f>D88/1000000*52</f>
        <v/>
      </c>
      <c r="H88" s="33">
        <f>G88/$P$4+($C$22/$P$4)</f>
        <v/>
      </c>
      <c r="I88" s="36">
        <f>_xlfn.IFS(K88&lt;K$24,0,K88&lt;K$26,I$24,K88&lt;K$28,I$26,K88&lt;K$30,I$28,K88&lt;K$32,I$30,K88&lt;K$34,I$32,K88&lt;K$36,I$34,K88&lt;K$38,I$36,K88&lt;K$40,I$38,K88&lt;K$42,I$40,K88&lt;K$44,I$42,K88&lt;K$46,I$44,K88&gt;=K$46,I$46)</f>
        <v/>
      </c>
      <c r="J88" s="37">
        <f>_xlfn.IFS(K88&lt;K$24,0,K88&lt;K$25,J$24,K88&lt;K$26,J$25,K88&lt;K$27,J$26,K88&lt;K$28,J$27,K88&lt;K$29,J$28,K88&lt;K$30,J$29,K88&lt;K$31,J$30,K88&lt;K$32,J$31,K88&lt;K$33,J$32,K88&lt;K$34,J$33,K88&lt;K$35,J$34,K88&lt;K$36,J$35,K88&lt;K$37,J$36,K88&lt;K$38,J$37,K88&lt;K$39,J$38,K88&lt;K$40,J$39,K88&lt;K$41,J$40,K88&lt;K$42,J$41,K88&lt;K$43,J$42,K88&lt;K$44,J$43,K88&lt;K$45,J$44,K88&lt;K$46,J$45,K88&lt;K$47,J$46,K88&gt;=K$47,J$47)</f>
        <v/>
      </c>
      <c r="K88" s="38" t="n">
        <v>38</v>
      </c>
      <c r="L88" s="31">
        <f>K88/52</f>
        <v/>
      </c>
      <c r="M88" s="39">
        <f>J88/1000000*52</f>
        <v/>
      </c>
      <c r="N88" s="33">
        <f>M88/$P$4+($I$22/$P$4)</f>
        <v/>
      </c>
      <c r="U88">
        <f>F87</f>
        <v/>
      </c>
      <c r="V88">
        <f>H87</f>
        <v/>
      </c>
      <c r="W88">
        <f>N87</f>
        <v/>
      </c>
    </row>
    <row r="89" ht="15.75" customHeight="1" s="40">
      <c r="C89" s="36">
        <f>_xlfn.IFS(E89&lt;E$24,0,E89&lt;E$26,C$24,E89&lt;E$28,C$26,E89&lt;E$30,C$28,E89&lt;E$32,C$30,E89&lt;E$34,C$32,E89&gt;=E$34,C$34)</f>
        <v/>
      </c>
      <c r="D89" s="37">
        <f>_xlfn.IFS(E89&lt;E$24,0,E89&lt;E$25,D$24,E89&lt;E$26,D$25,E89&lt;E$27,D$26,E89&lt;E$28,D$27,E89&lt;E$29,D$28,E89&lt;E$30,D$29,E89&lt;E$31,D$30,E89&lt;E$32,D$31,E89&lt;E$33,D$32,E89&lt;E$34,D$33,E89&lt;E$35,D$34,E89&gt;=E$35,D$35)</f>
        <v/>
      </c>
      <c r="E89" s="38" t="n">
        <v>39</v>
      </c>
      <c r="F89" s="31">
        <f>E89/52</f>
        <v/>
      </c>
      <c r="G89" s="39">
        <f>D89/1000000*52</f>
        <v/>
      </c>
      <c r="H89" s="33">
        <f>G89/$P$4+($C$22/$P$4)</f>
        <v/>
      </c>
      <c r="I89" s="36">
        <f>_xlfn.IFS(K89&lt;K$24,0,K89&lt;K$26,I$24,K89&lt;K$28,I$26,K89&lt;K$30,I$28,K89&lt;K$32,I$30,K89&lt;K$34,I$32,K89&lt;K$36,I$34,K89&lt;K$38,I$36,K89&lt;K$40,I$38,K89&lt;K$42,I$40,K89&lt;K$44,I$42,K89&lt;K$46,I$44,K89&gt;=K$46,I$46)</f>
        <v/>
      </c>
      <c r="J89" s="37">
        <f>_xlfn.IFS(K89&lt;K$24,0,K89&lt;K$25,J$24,K89&lt;K$26,J$25,K89&lt;K$27,J$26,K89&lt;K$28,J$27,K89&lt;K$29,J$28,K89&lt;K$30,J$29,K89&lt;K$31,J$30,K89&lt;K$32,J$31,K89&lt;K$33,J$32,K89&lt;K$34,J$33,K89&lt;K$35,J$34,K89&lt;K$36,J$35,K89&lt;K$37,J$36,K89&lt;K$38,J$37,K89&lt;K$39,J$38,K89&lt;K$40,J$39,K89&lt;K$41,J$40,K89&lt;K$42,J$41,K89&lt;K$43,J$42,K89&lt;K$44,J$43,K89&lt;K$45,J$44,K89&lt;K$46,J$45,K89&lt;K$47,J$46,K89&gt;=K$47,J$47)</f>
        <v/>
      </c>
      <c r="K89" s="38" t="n">
        <v>39</v>
      </c>
      <c r="L89" s="31">
        <f>K89/52</f>
        <v/>
      </c>
      <c r="M89" s="39">
        <f>J89/1000000*52</f>
        <v/>
      </c>
      <c r="N89" s="33">
        <f>M89/$P$4+($I$22/$P$4)</f>
        <v/>
      </c>
      <c r="U89">
        <f>F88</f>
        <v/>
      </c>
      <c r="V89">
        <f>H88</f>
        <v/>
      </c>
      <c r="W89">
        <f>N88</f>
        <v/>
      </c>
    </row>
    <row r="90" ht="15.75" customHeight="1" s="40">
      <c r="C90" s="36">
        <f>_xlfn.IFS(E90&lt;E$24,0,E90&lt;E$26,C$24,E90&lt;E$28,C$26,E90&lt;E$30,C$28,E90&lt;E$32,C$30,E90&lt;E$34,C$32,E90&gt;=E$34,C$34)</f>
        <v/>
      </c>
      <c r="D90" s="37">
        <f>_xlfn.IFS(E90&lt;E$24,0,E90&lt;E$25,D$24,E90&lt;E$26,D$25,E90&lt;E$27,D$26,E90&lt;E$28,D$27,E90&lt;E$29,D$28,E90&lt;E$30,D$29,E90&lt;E$31,D$30,E90&lt;E$32,D$31,E90&lt;E$33,D$32,E90&lt;E$34,D$33,E90&lt;E$35,D$34,E90&gt;=E$35,D$35)</f>
        <v/>
      </c>
      <c r="E90" s="38" t="n">
        <v>40</v>
      </c>
      <c r="F90" s="31">
        <f>E90/52</f>
        <v/>
      </c>
      <c r="G90" s="39">
        <f>D90/1000000*52</f>
        <v/>
      </c>
      <c r="H90" s="33">
        <f>G90/$P$4+($C$22/$P$4)</f>
        <v/>
      </c>
      <c r="I90" s="36">
        <f>_xlfn.IFS(K90&lt;K$24,0,K90&lt;K$26,I$24,K90&lt;K$28,I$26,K90&lt;K$30,I$28,K90&lt;K$32,I$30,K90&lt;K$34,I$32,K90&lt;K$36,I$34,K90&lt;K$38,I$36,K90&lt;K$40,I$38,K90&lt;K$42,I$40,K90&lt;K$44,I$42,K90&lt;K$46,I$44,K90&gt;=K$46,I$46)</f>
        <v/>
      </c>
      <c r="J90" s="37">
        <f>_xlfn.IFS(K90&lt;K$24,0,K90&lt;K$25,J$24,K90&lt;K$26,J$25,K90&lt;K$27,J$26,K90&lt;K$28,J$27,K90&lt;K$29,J$28,K90&lt;K$30,J$29,K90&lt;K$31,J$30,K90&lt;K$32,J$31,K90&lt;K$33,J$32,K90&lt;K$34,J$33,K90&lt;K$35,J$34,K90&lt;K$36,J$35,K90&lt;K$37,J$36,K90&lt;K$38,J$37,K90&lt;K$39,J$38,K90&lt;K$40,J$39,K90&lt;K$41,J$40,K90&lt;K$42,J$41,K90&lt;K$43,J$42,K90&lt;K$44,J$43,K90&lt;K$45,J$44,K90&lt;K$46,J$45,K90&lt;K$47,J$46,K90&gt;=K$47,J$47)</f>
        <v/>
      </c>
      <c r="K90" s="38" t="n">
        <v>40</v>
      </c>
      <c r="L90" s="31">
        <f>K90/52</f>
        <v/>
      </c>
      <c r="M90" s="39">
        <f>J90/1000000*52</f>
        <v/>
      </c>
      <c r="N90" s="33">
        <f>M90/$P$4+($I$22/$P$4)</f>
        <v/>
      </c>
      <c r="U90">
        <f>F89</f>
        <v/>
      </c>
      <c r="V90">
        <f>H89</f>
        <v/>
      </c>
      <c r="W90">
        <f>N89</f>
        <v/>
      </c>
    </row>
    <row r="91" ht="15.75" customHeight="1" s="40">
      <c r="C91" s="36">
        <f>_xlfn.IFS(E91&lt;E$24,0,E91&lt;E$26,C$24,E91&lt;E$28,C$26,E91&lt;E$30,C$28,E91&lt;E$32,C$30,E91&lt;E$34,C$32,E91&gt;=E$34,C$34)</f>
        <v/>
      </c>
      <c r="D91" s="37">
        <f>_xlfn.IFS(E91&lt;E$24,0,E91&lt;E$25,D$24,E91&lt;E$26,D$25,E91&lt;E$27,D$26,E91&lt;E$28,D$27,E91&lt;E$29,D$28,E91&lt;E$30,D$29,E91&lt;E$31,D$30,E91&lt;E$32,D$31,E91&lt;E$33,D$32,E91&lt;E$34,D$33,E91&lt;E$35,D$34,E91&gt;=E$35,D$35)</f>
        <v/>
      </c>
      <c r="E91" s="38" t="n">
        <v>41</v>
      </c>
      <c r="F91" s="31">
        <f>E91/52</f>
        <v/>
      </c>
      <c r="G91" s="39">
        <f>D91/1000000*52</f>
        <v/>
      </c>
      <c r="H91" s="33">
        <f>G91/$P$4+($C$22/$P$4)</f>
        <v/>
      </c>
      <c r="I91" s="36">
        <f>_xlfn.IFS(K91&lt;K$24,0,K91&lt;K$26,I$24,K91&lt;K$28,I$26,K91&lt;K$30,I$28,K91&lt;K$32,I$30,K91&lt;K$34,I$32,K91&lt;K$36,I$34,K91&lt;K$38,I$36,K91&lt;K$40,I$38,K91&lt;K$42,I$40,K91&lt;K$44,I$42,K91&lt;K$46,I$44,K91&gt;=K$46,I$46)</f>
        <v/>
      </c>
      <c r="J91" s="37">
        <f>_xlfn.IFS(K91&lt;K$24,0,K91&lt;K$25,J$24,K91&lt;K$26,J$25,K91&lt;K$27,J$26,K91&lt;K$28,J$27,K91&lt;K$29,J$28,K91&lt;K$30,J$29,K91&lt;K$31,J$30,K91&lt;K$32,J$31,K91&lt;K$33,J$32,K91&lt;K$34,J$33,K91&lt;K$35,J$34,K91&lt;K$36,J$35,K91&lt;K$37,J$36,K91&lt;K$38,J$37,K91&lt;K$39,J$38,K91&lt;K$40,J$39,K91&lt;K$41,J$40,K91&lt;K$42,J$41,K91&lt;K$43,J$42,K91&lt;K$44,J$43,K91&lt;K$45,J$44,K91&lt;K$46,J$45,K91&lt;K$47,J$46,K91&gt;=K$47,J$47)</f>
        <v/>
      </c>
      <c r="K91" s="38" t="n">
        <v>41</v>
      </c>
      <c r="L91" s="31">
        <f>K91/52</f>
        <v/>
      </c>
      <c r="M91" s="39">
        <f>J91/1000000*52</f>
        <v/>
      </c>
      <c r="N91" s="33">
        <f>M91/$P$4+($I$22/$P$4)</f>
        <v/>
      </c>
      <c r="U91">
        <f>F90</f>
        <v/>
      </c>
      <c r="V91">
        <f>H90</f>
        <v/>
      </c>
      <c r="W91">
        <f>N90</f>
        <v/>
      </c>
    </row>
    <row r="92" ht="15.75" customHeight="1" s="40">
      <c r="C92" s="36">
        <f>_xlfn.IFS(E92&lt;E$24,0,E92&lt;E$26,C$24,E92&lt;E$28,C$26,E92&lt;E$30,C$28,E92&lt;E$32,C$30,E92&lt;E$34,C$32,E92&gt;=E$34,C$34)</f>
        <v/>
      </c>
      <c r="D92" s="37">
        <f>_xlfn.IFS(E92&lt;E$24,0,E92&lt;E$25,D$24,E92&lt;E$26,D$25,E92&lt;E$27,D$26,E92&lt;E$28,D$27,E92&lt;E$29,D$28,E92&lt;E$30,D$29,E92&lt;E$31,D$30,E92&lt;E$32,D$31,E92&lt;E$33,D$32,E92&lt;E$34,D$33,E92&lt;E$35,D$34,E92&gt;=E$35,D$35)</f>
        <v/>
      </c>
      <c r="E92" s="38" t="n">
        <v>42</v>
      </c>
      <c r="F92" s="31">
        <f>E92/52</f>
        <v/>
      </c>
      <c r="G92" s="39">
        <f>D92/1000000*52</f>
        <v/>
      </c>
      <c r="H92" s="33">
        <f>G92/$P$4+($C$22/$P$4)</f>
        <v/>
      </c>
      <c r="I92" s="36">
        <f>_xlfn.IFS(K92&lt;K$24,0,K92&lt;K$26,I$24,K92&lt;K$28,I$26,K92&lt;K$30,I$28,K92&lt;K$32,I$30,K92&lt;K$34,I$32,K92&lt;K$36,I$34,K92&lt;K$38,I$36,K92&lt;K$40,I$38,K92&lt;K$42,I$40,K92&lt;K$44,I$42,K92&lt;K$46,I$44,K92&gt;=K$46,I$46)</f>
        <v/>
      </c>
      <c r="J92" s="37">
        <f>_xlfn.IFS(K92&lt;K$24,0,K92&lt;K$25,J$24,K92&lt;K$26,J$25,K92&lt;K$27,J$26,K92&lt;K$28,J$27,K92&lt;K$29,J$28,K92&lt;K$30,J$29,K92&lt;K$31,J$30,K92&lt;K$32,J$31,K92&lt;K$33,J$32,K92&lt;K$34,J$33,K92&lt;K$35,J$34,K92&lt;K$36,J$35,K92&lt;K$37,J$36,K92&lt;K$38,J$37,K92&lt;K$39,J$38,K92&lt;K$40,J$39,K92&lt;K$41,J$40,K92&lt;K$42,J$41,K92&lt;K$43,J$42,K92&lt;K$44,J$43,K92&lt;K$45,J$44,K92&lt;K$46,J$45,K92&lt;K$47,J$46,K92&gt;=K$47,J$47)</f>
        <v/>
      </c>
      <c r="K92" s="38" t="n">
        <v>42</v>
      </c>
      <c r="L92" s="31">
        <f>K92/52</f>
        <v/>
      </c>
      <c r="M92" s="39">
        <f>J92/1000000*52</f>
        <v/>
      </c>
      <c r="N92" s="33">
        <f>M92/$P$4+($I$22/$P$4)</f>
        <v/>
      </c>
      <c r="U92">
        <f>F91</f>
        <v/>
      </c>
      <c r="V92">
        <f>H91</f>
        <v/>
      </c>
      <c r="W92">
        <f>N91</f>
        <v/>
      </c>
    </row>
    <row r="93" ht="15.75" customHeight="1" s="40">
      <c r="C93" s="36">
        <f>_xlfn.IFS(E93&lt;E$24,0,E93&lt;E$26,C$24,E93&lt;E$28,C$26,E93&lt;E$30,C$28,E93&lt;E$32,C$30,E93&lt;E$34,C$32,E93&gt;=E$34,C$34)</f>
        <v/>
      </c>
      <c r="D93" s="37">
        <f>_xlfn.IFS(E93&lt;E$24,0,E93&lt;E$25,D$24,E93&lt;E$26,D$25,E93&lt;E$27,D$26,E93&lt;E$28,D$27,E93&lt;E$29,D$28,E93&lt;E$30,D$29,E93&lt;E$31,D$30,E93&lt;E$32,D$31,E93&lt;E$33,D$32,E93&lt;E$34,D$33,E93&lt;E$35,D$34,E93&gt;=E$35,D$35)</f>
        <v/>
      </c>
      <c r="E93" s="38" t="n">
        <v>43</v>
      </c>
      <c r="F93" s="31">
        <f>E93/52</f>
        <v/>
      </c>
      <c r="G93" s="39">
        <f>D93/1000000*52</f>
        <v/>
      </c>
      <c r="H93" s="33">
        <f>G93/$P$4+($C$22/$P$4)</f>
        <v/>
      </c>
      <c r="I93" s="36">
        <f>_xlfn.IFS(K93&lt;K$24,0,K93&lt;K$26,I$24,K93&lt;K$28,I$26,K93&lt;K$30,I$28,K93&lt;K$32,I$30,K93&lt;K$34,I$32,K93&lt;K$36,I$34,K93&lt;K$38,I$36,K93&lt;K$40,I$38,K93&lt;K$42,I$40,K93&lt;K$44,I$42,K93&lt;K$46,I$44,K93&gt;=K$46,I$46)</f>
        <v/>
      </c>
      <c r="J93" s="37">
        <f>_xlfn.IFS(K93&lt;K$24,0,K93&lt;K$25,J$24,K93&lt;K$26,J$25,K93&lt;K$27,J$26,K93&lt;K$28,J$27,K93&lt;K$29,J$28,K93&lt;K$30,J$29,K93&lt;K$31,J$30,K93&lt;K$32,J$31,K93&lt;K$33,J$32,K93&lt;K$34,J$33,K93&lt;K$35,J$34,K93&lt;K$36,J$35,K93&lt;K$37,J$36,K93&lt;K$38,J$37,K93&lt;K$39,J$38,K93&lt;K$40,J$39,K93&lt;K$41,J$40,K93&lt;K$42,J$41,K93&lt;K$43,J$42,K93&lt;K$44,J$43,K93&lt;K$45,J$44,K93&lt;K$46,J$45,K93&lt;K$47,J$46,K93&gt;=K$47,J$47)</f>
        <v/>
      </c>
      <c r="K93" s="38" t="n">
        <v>43</v>
      </c>
      <c r="L93" s="31">
        <f>K93/52</f>
        <v/>
      </c>
      <c r="M93" s="39">
        <f>J93/1000000*52</f>
        <v/>
      </c>
      <c r="N93" s="33">
        <f>M93/$P$4+($I$22/$P$4)</f>
        <v/>
      </c>
      <c r="U93">
        <f>F92</f>
        <v/>
      </c>
      <c r="V93">
        <f>H92</f>
        <v/>
      </c>
      <c r="W93">
        <f>N92</f>
        <v/>
      </c>
    </row>
    <row r="94" ht="15.75" customHeight="1" s="40">
      <c r="C94" s="36">
        <f>_xlfn.IFS(E94&lt;E$24,0,E94&lt;E$26,C$24,E94&lt;E$28,C$26,E94&lt;E$30,C$28,E94&lt;E$32,C$30,E94&lt;E$34,C$32,E94&gt;=E$34,C$34)</f>
        <v/>
      </c>
      <c r="D94" s="37">
        <f>_xlfn.IFS(E94&lt;E$24,0,E94&lt;E$25,D$24,E94&lt;E$26,D$25,E94&lt;E$27,D$26,E94&lt;E$28,D$27,E94&lt;E$29,D$28,E94&lt;E$30,D$29,E94&lt;E$31,D$30,E94&lt;E$32,D$31,E94&lt;E$33,D$32,E94&lt;E$34,D$33,E94&lt;E$35,D$34,E94&gt;=E$35,D$35)</f>
        <v/>
      </c>
      <c r="E94" s="38" t="n">
        <v>44</v>
      </c>
      <c r="F94" s="31">
        <f>E94/52</f>
        <v/>
      </c>
      <c r="G94" s="39">
        <f>D94/1000000*52</f>
        <v/>
      </c>
      <c r="H94" s="33">
        <f>G94/$P$4+($C$22/$P$4)</f>
        <v/>
      </c>
      <c r="I94" s="36">
        <f>_xlfn.IFS(K94&lt;K$24,0,K94&lt;K$26,I$24,K94&lt;K$28,I$26,K94&lt;K$30,I$28,K94&lt;K$32,I$30,K94&lt;K$34,I$32,K94&lt;K$36,I$34,K94&lt;K$38,I$36,K94&lt;K$40,I$38,K94&lt;K$42,I$40,K94&lt;K$44,I$42,K94&lt;K$46,I$44,K94&gt;=K$46,I$46)</f>
        <v/>
      </c>
      <c r="J94" s="37">
        <f>_xlfn.IFS(K94&lt;K$24,0,K94&lt;K$25,J$24,K94&lt;K$26,J$25,K94&lt;K$27,J$26,K94&lt;K$28,J$27,K94&lt;K$29,J$28,K94&lt;K$30,J$29,K94&lt;K$31,J$30,K94&lt;K$32,J$31,K94&lt;K$33,J$32,K94&lt;K$34,J$33,K94&lt;K$35,J$34,K94&lt;K$36,J$35,K94&lt;K$37,J$36,K94&lt;K$38,J$37,K94&lt;K$39,J$38,K94&lt;K$40,J$39,K94&lt;K$41,J$40,K94&lt;K$42,J$41,K94&lt;K$43,J$42,K94&lt;K$44,J$43,K94&lt;K$45,J$44,K94&lt;K$46,J$45,K94&lt;K$47,J$46,K94&gt;=K$47,J$47)</f>
        <v/>
      </c>
      <c r="K94" s="38" t="n">
        <v>44</v>
      </c>
      <c r="L94" s="31">
        <f>K94/52</f>
        <v/>
      </c>
      <c r="M94" s="39">
        <f>J94/1000000*52</f>
        <v/>
      </c>
      <c r="N94" s="33">
        <f>M94/$P$4+($I$22/$P$4)</f>
        <v/>
      </c>
      <c r="U94">
        <f>F93</f>
        <v/>
      </c>
      <c r="V94">
        <f>H93</f>
        <v/>
      </c>
      <c r="W94">
        <f>N93</f>
        <v/>
      </c>
    </row>
    <row r="95" ht="15.75" customHeight="1" s="40">
      <c r="C95" s="36">
        <f>_xlfn.IFS(E95&lt;E$24,0,E95&lt;E$26,C$24,E95&lt;E$28,C$26,E95&lt;E$30,C$28,E95&lt;E$32,C$30,E95&lt;E$34,C$32,E95&gt;=E$34,C$34)</f>
        <v/>
      </c>
      <c r="D95" s="37">
        <f>_xlfn.IFS(E95&lt;E$24,0,E95&lt;E$25,D$24,E95&lt;E$26,D$25,E95&lt;E$27,D$26,E95&lt;E$28,D$27,E95&lt;E$29,D$28,E95&lt;E$30,D$29,E95&lt;E$31,D$30,E95&lt;E$32,D$31,E95&lt;E$33,D$32,E95&lt;E$34,D$33,E95&lt;E$35,D$34,E95&gt;=E$35,D$35)</f>
        <v/>
      </c>
      <c r="E95" s="38" t="n">
        <v>45</v>
      </c>
      <c r="F95" s="31">
        <f>E95/52</f>
        <v/>
      </c>
      <c r="G95" s="39">
        <f>D95/1000000*52</f>
        <v/>
      </c>
      <c r="H95" s="33">
        <f>G95/$P$4+($C$22/$P$4)</f>
        <v/>
      </c>
      <c r="I95" s="36">
        <f>_xlfn.IFS(K95&lt;K$24,0,K95&lt;K$26,I$24,K95&lt;K$28,I$26,K95&lt;K$30,I$28,K95&lt;K$32,I$30,K95&lt;K$34,I$32,K95&lt;K$36,I$34,K95&lt;K$38,I$36,K95&lt;K$40,I$38,K95&lt;K$42,I$40,K95&lt;K$44,I$42,K95&lt;K$46,I$44,K95&gt;=K$46,I$46)</f>
        <v/>
      </c>
      <c r="J95" s="37">
        <f>_xlfn.IFS(K95&lt;K$24,0,K95&lt;K$25,J$24,K95&lt;K$26,J$25,K95&lt;K$27,J$26,K95&lt;K$28,J$27,K95&lt;K$29,J$28,K95&lt;K$30,J$29,K95&lt;K$31,J$30,K95&lt;K$32,J$31,K95&lt;K$33,J$32,K95&lt;K$34,J$33,K95&lt;K$35,J$34,K95&lt;K$36,J$35,K95&lt;K$37,J$36,K95&lt;K$38,J$37,K95&lt;K$39,J$38,K95&lt;K$40,J$39,K95&lt;K$41,J$40,K95&lt;K$42,J$41,K95&lt;K$43,J$42,K95&lt;K$44,J$43,K95&lt;K$45,J$44,K95&lt;K$46,J$45,K95&lt;K$47,J$46,K95&gt;=K$47,J$47)</f>
        <v/>
      </c>
      <c r="K95" s="38" t="n">
        <v>45</v>
      </c>
      <c r="L95" s="31">
        <f>K95/52</f>
        <v/>
      </c>
      <c r="M95" s="39">
        <f>J95/1000000*52</f>
        <v/>
      </c>
      <c r="N95" s="33">
        <f>M95/$P$4+($I$22/$P$4)</f>
        <v/>
      </c>
      <c r="U95">
        <f>F94</f>
        <v/>
      </c>
      <c r="V95">
        <f>H94</f>
        <v/>
      </c>
      <c r="W95">
        <f>N94</f>
        <v/>
      </c>
    </row>
    <row r="96" ht="15.75" customHeight="1" s="40">
      <c r="C96" s="36">
        <f>_xlfn.IFS(E96&lt;E$24,0,E96&lt;E$26,C$24,E96&lt;E$28,C$26,E96&lt;E$30,C$28,E96&lt;E$32,C$30,E96&lt;E$34,C$32,E96&gt;=E$34,C$34)</f>
        <v/>
      </c>
      <c r="D96" s="37">
        <f>_xlfn.IFS(E96&lt;E$24,0,E96&lt;E$25,D$24,E96&lt;E$26,D$25,E96&lt;E$27,D$26,E96&lt;E$28,D$27,E96&lt;E$29,D$28,E96&lt;E$30,D$29,E96&lt;E$31,D$30,E96&lt;E$32,D$31,E96&lt;E$33,D$32,E96&lt;E$34,D$33,E96&lt;E$35,D$34,E96&gt;=E$35,D$35)</f>
        <v/>
      </c>
      <c r="E96" s="38" t="n">
        <v>46</v>
      </c>
      <c r="F96" s="31">
        <f>E96/52</f>
        <v/>
      </c>
      <c r="G96" s="39">
        <f>D96/1000000*52</f>
        <v/>
      </c>
      <c r="H96" s="33">
        <f>G96/$P$4+($C$22/$P$4)</f>
        <v/>
      </c>
      <c r="I96" s="36">
        <f>_xlfn.IFS(K96&lt;K$24,0,K96&lt;K$26,I$24,K96&lt;K$28,I$26,K96&lt;K$30,I$28,K96&lt;K$32,I$30,K96&lt;K$34,I$32,K96&lt;K$36,I$34,K96&lt;K$38,I$36,K96&lt;K$40,I$38,K96&lt;K$42,I$40,K96&lt;K$44,I$42,K96&lt;K$46,I$44,K96&gt;=K$46,I$46)</f>
        <v/>
      </c>
      <c r="J96" s="37">
        <f>_xlfn.IFS(K96&lt;K$24,0,K96&lt;K$25,J$24,K96&lt;K$26,J$25,K96&lt;K$27,J$26,K96&lt;K$28,J$27,K96&lt;K$29,J$28,K96&lt;K$30,J$29,K96&lt;K$31,J$30,K96&lt;K$32,J$31,K96&lt;K$33,J$32,K96&lt;K$34,J$33,K96&lt;K$35,J$34,K96&lt;K$36,J$35,K96&lt;K$37,J$36,K96&lt;K$38,J$37,K96&lt;K$39,J$38,K96&lt;K$40,J$39,K96&lt;K$41,J$40,K96&lt;K$42,J$41,K96&lt;K$43,J$42,K96&lt;K$44,J$43,K96&lt;K$45,J$44,K96&lt;K$46,J$45,K96&lt;K$47,J$46,K96&gt;=K$47,J$47)</f>
        <v/>
      </c>
      <c r="K96" s="38" t="n">
        <v>46</v>
      </c>
      <c r="L96" s="31">
        <f>K96/52</f>
        <v/>
      </c>
      <c r="M96" s="39">
        <f>J96/1000000*52</f>
        <v/>
      </c>
      <c r="N96" s="33">
        <f>M96/$P$4+($I$22/$P$4)</f>
        <v/>
      </c>
      <c r="U96">
        <f>F95</f>
        <v/>
      </c>
      <c r="V96">
        <f>H95</f>
        <v/>
      </c>
      <c r="W96">
        <f>N95</f>
        <v/>
      </c>
    </row>
    <row r="97" ht="15.75" customHeight="1" s="40">
      <c r="C97" s="36">
        <f>_xlfn.IFS(E97&lt;E$24,0,E97&lt;E$26,C$24,E97&lt;E$28,C$26,E97&lt;E$30,C$28,E97&lt;E$32,C$30,E97&lt;E$34,C$32,E97&gt;=E$34,C$34)</f>
        <v/>
      </c>
      <c r="D97" s="37">
        <f>_xlfn.IFS(E97&lt;E$24,0,E97&lt;E$25,D$24,E97&lt;E$26,D$25,E97&lt;E$27,D$26,E97&lt;E$28,D$27,E97&lt;E$29,D$28,E97&lt;E$30,D$29,E97&lt;E$31,D$30,E97&lt;E$32,D$31,E97&lt;E$33,D$32,E97&lt;E$34,D$33,E97&lt;E$35,D$34,E97&gt;=E$35,D$35)</f>
        <v/>
      </c>
      <c r="E97" s="38" t="n">
        <v>47</v>
      </c>
      <c r="F97" s="31">
        <f>E97/52</f>
        <v/>
      </c>
      <c r="G97" s="39">
        <f>D97/1000000*52</f>
        <v/>
      </c>
      <c r="H97" s="33">
        <f>G97/$P$4+($C$22/$P$4)</f>
        <v/>
      </c>
      <c r="I97" s="36">
        <f>_xlfn.IFS(K97&lt;K$24,0,K97&lt;K$26,I$24,K97&lt;K$28,I$26,K97&lt;K$30,I$28,K97&lt;K$32,I$30,K97&lt;K$34,I$32,K97&lt;K$36,I$34,K97&lt;K$38,I$36,K97&lt;K$40,I$38,K97&lt;K$42,I$40,K97&lt;K$44,I$42,K97&lt;K$46,I$44,K97&gt;=K$46,I$46)</f>
        <v/>
      </c>
      <c r="J97" s="37">
        <f>_xlfn.IFS(K97&lt;K$24,0,K97&lt;K$25,J$24,K97&lt;K$26,J$25,K97&lt;K$27,J$26,K97&lt;K$28,J$27,K97&lt;K$29,J$28,K97&lt;K$30,J$29,K97&lt;K$31,J$30,K97&lt;K$32,J$31,K97&lt;K$33,J$32,K97&lt;K$34,J$33,K97&lt;K$35,J$34,K97&lt;K$36,J$35,K97&lt;K$37,J$36,K97&lt;K$38,J$37,K97&lt;K$39,J$38,K97&lt;K$40,J$39,K97&lt;K$41,J$40,K97&lt;K$42,J$41,K97&lt;K$43,J$42,K97&lt;K$44,J$43,K97&lt;K$45,J$44,K97&lt;K$46,J$45,K97&lt;K$47,J$46,K97&gt;=K$47,J$47)</f>
        <v/>
      </c>
      <c r="K97" s="38" t="n">
        <v>47</v>
      </c>
      <c r="L97" s="31">
        <f>K97/52</f>
        <v/>
      </c>
      <c r="M97" s="39">
        <f>J97/1000000*52</f>
        <v/>
      </c>
      <c r="N97" s="33">
        <f>M97/$P$4+($I$22/$P$4)</f>
        <v/>
      </c>
      <c r="U97">
        <f>F96</f>
        <v/>
      </c>
      <c r="V97">
        <f>H96</f>
        <v/>
      </c>
      <c r="W97">
        <f>N96</f>
        <v/>
      </c>
    </row>
    <row r="98" ht="15.75" customHeight="1" s="40">
      <c r="C98" s="36">
        <f>_xlfn.IFS(E98&lt;E$24,0,E98&lt;E$26,C$24,E98&lt;E$28,C$26,E98&lt;E$30,C$28,E98&lt;E$32,C$30,E98&lt;E$34,C$32,E98&gt;=E$34,C$34)</f>
        <v/>
      </c>
      <c r="D98" s="37">
        <f>_xlfn.IFS(E98&lt;E$24,0,E98&lt;E$25,D$24,E98&lt;E$26,D$25,E98&lt;E$27,D$26,E98&lt;E$28,D$27,E98&lt;E$29,D$28,E98&lt;E$30,D$29,E98&lt;E$31,D$30,E98&lt;E$32,D$31,E98&lt;E$33,D$32,E98&lt;E$34,D$33,E98&lt;E$35,D$34,E98&gt;=E$35,D$35)</f>
        <v/>
      </c>
      <c r="E98" s="38" t="n">
        <v>48</v>
      </c>
      <c r="F98" s="31">
        <f>E98/52</f>
        <v/>
      </c>
      <c r="G98" s="39">
        <f>D98/1000000*52</f>
        <v/>
      </c>
      <c r="H98" s="33">
        <f>G98/$P$4+($C$22/$P$4)</f>
        <v/>
      </c>
      <c r="I98" s="36">
        <f>_xlfn.IFS(K98&lt;K$24,0,K98&lt;K$26,I$24,K98&lt;K$28,I$26,K98&lt;K$30,I$28,K98&lt;K$32,I$30,K98&lt;K$34,I$32,K98&lt;K$36,I$34,K98&lt;K$38,I$36,K98&lt;K$40,I$38,K98&lt;K$42,I$40,K98&lt;K$44,I$42,K98&lt;K$46,I$44,K98&gt;=K$46,I$46)</f>
        <v/>
      </c>
      <c r="J98" s="37">
        <f>_xlfn.IFS(K98&lt;K$24,0,K98&lt;K$25,J$24,K98&lt;K$26,J$25,K98&lt;K$27,J$26,K98&lt;K$28,J$27,K98&lt;K$29,J$28,K98&lt;K$30,J$29,K98&lt;K$31,J$30,K98&lt;K$32,J$31,K98&lt;K$33,J$32,K98&lt;K$34,J$33,K98&lt;K$35,J$34,K98&lt;K$36,J$35,K98&lt;K$37,J$36,K98&lt;K$38,J$37,K98&lt;K$39,J$38,K98&lt;K$40,J$39,K98&lt;K$41,J$40,K98&lt;K$42,J$41,K98&lt;K$43,J$42,K98&lt;K$44,J$43,K98&lt;K$45,J$44,K98&lt;K$46,J$45,K98&lt;K$47,J$46,K98&gt;=K$47,J$47)</f>
        <v/>
      </c>
      <c r="K98" s="38" t="n">
        <v>48</v>
      </c>
      <c r="L98" s="31">
        <f>K98/52</f>
        <v/>
      </c>
      <c r="M98" s="39">
        <f>J98/1000000*52</f>
        <v/>
      </c>
      <c r="N98" s="33">
        <f>M98/$P$4+($I$22/$P$4)</f>
        <v/>
      </c>
      <c r="U98">
        <f>F97</f>
        <v/>
      </c>
      <c r="V98">
        <f>H97</f>
        <v/>
      </c>
      <c r="W98">
        <f>N97</f>
        <v/>
      </c>
    </row>
    <row r="99" ht="15.75" customHeight="1" s="40">
      <c r="C99" s="36">
        <f>_xlfn.IFS(E99&lt;E$24,0,E99&lt;E$26,C$24,E99&lt;E$28,C$26,E99&lt;E$30,C$28,E99&lt;E$32,C$30,E99&lt;E$34,C$32,E99&gt;=E$34,C$34)</f>
        <v/>
      </c>
      <c r="D99" s="37">
        <f>_xlfn.IFS(E99&lt;E$24,0,E99&lt;E$25,D$24,E99&lt;E$26,D$25,E99&lt;E$27,D$26,E99&lt;E$28,D$27,E99&lt;E$29,D$28,E99&lt;E$30,D$29,E99&lt;E$31,D$30,E99&lt;E$32,D$31,E99&lt;E$33,D$32,E99&lt;E$34,D$33,E99&lt;E$35,D$34,E99&gt;=E$35,D$35)</f>
        <v/>
      </c>
      <c r="E99" s="38" t="n">
        <v>49</v>
      </c>
      <c r="F99" s="31">
        <f>E99/52</f>
        <v/>
      </c>
      <c r="G99" s="39">
        <f>D99/1000000*52</f>
        <v/>
      </c>
      <c r="H99" s="33">
        <f>G99/$P$4+($C$22/$P$4)</f>
        <v/>
      </c>
      <c r="I99" s="36">
        <f>_xlfn.IFS(K99&lt;K$24,0,K99&lt;K$26,I$24,K99&lt;K$28,I$26,K99&lt;K$30,I$28,K99&lt;K$32,I$30,K99&lt;K$34,I$32,K99&lt;K$36,I$34,K99&lt;K$38,I$36,K99&lt;K$40,I$38,K99&lt;K$42,I$40,K99&lt;K$44,I$42,K99&lt;K$46,I$44,K99&gt;=K$46,I$46)</f>
        <v/>
      </c>
      <c r="J99" s="37">
        <f>_xlfn.IFS(K99&lt;K$24,0,K99&lt;K$25,J$24,K99&lt;K$26,J$25,K99&lt;K$27,J$26,K99&lt;K$28,J$27,K99&lt;K$29,J$28,K99&lt;K$30,J$29,K99&lt;K$31,J$30,K99&lt;K$32,J$31,K99&lt;K$33,J$32,K99&lt;K$34,J$33,K99&lt;K$35,J$34,K99&lt;K$36,J$35,K99&lt;K$37,J$36,K99&lt;K$38,J$37,K99&lt;K$39,J$38,K99&lt;K$40,J$39,K99&lt;K$41,J$40,K99&lt;K$42,J$41,K99&lt;K$43,J$42,K99&lt;K$44,J$43,K99&lt;K$45,J$44,K99&lt;K$46,J$45,K99&lt;K$47,J$46,K99&gt;=K$47,J$47)</f>
        <v/>
      </c>
      <c r="K99" s="38" t="n">
        <v>49</v>
      </c>
      <c r="L99" s="31">
        <f>K99/52</f>
        <v/>
      </c>
      <c r="M99" s="39">
        <f>J99/1000000*52</f>
        <v/>
      </c>
      <c r="N99" s="33">
        <f>M99/$P$4+($I$22/$P$4)</f>
        <v/>
      </c>
      <c r="U99">
        <f>F98</f>
        <v/>
      </c>
      <c r="V99">
        <f>H98</f>
        <v/>
      </c>
      <c r="W99">
        <f>N98</f>
        <v/>
      </c>
    </row>
    <row r="100" ht="15.75" customHeight="1" s="40">
      <c r="C100" s="36">
        <f>_xlfn.IFS(E100&lt;E$24,0,E100&lt;E$26,C$24,E100&lt;E$28,C$26,E100&lt;E$30,C$28,E100&lt;E$32,C$30,E100&lt;E$34,C$32,E100&gt;=E$34,C$34)</f>
        <v/>
      </c>
      <c r="D100" s="37">
        <f>_xlfn.IFS(E100&lt;E$24,0,E100&lt;E$25,D$24,E100&lt;E$26,D$25,E100&lt;E$27,D$26,E100&lt;E$28,D$27,E100&lt;E$29,D$28,E100&lt;E$30,D$29,E100&lt;E$31,D$30,E100&lt;E$32,D$31,E100&lt;E$33,D$32,E100&lt;E$34,D$33,E100&lt;E$35,D$34,E100&gt;=E$35,D$35)</f>
        <v/>
      </c>
      <c r="E100" s="38" t="n">
        <v>50</v>
      </c>
      <c r="F100" s="31">
        <f>E100/52</f>
        <v/>
      </c>
      <c r="G100" s="39">
        <f>D100/1000000*52</f>
        <v/>
      </c>
      <c r="H100" s="33">
        <f>G100/$P$4+($C$22/$P$4)</f>
        <v/>
      </c>
      <c r="I100" s="36">
        <f>_xlfn.IFS(K100&lt;K$24,0,K100&lt;K$26,I$24,K100&lt;K$28,I$26,K100&lt;K$30,I$28,K100&lt;K$32,I$30,K100&lt;K$34,I$32,K100&lt;K$36,I$34,K100&lt;K$38,I$36,K100&lt;K$40,I$38,K100&lt;K$42,I$40,K100&lt;K$44,I$42,K100&lt;K$46,I$44,K100&gt;=K$46,I$46)</f>
        <v/>
      </c>
      <c r="J100" s="37">
        <f>_xlfn.IFS(K100&lt;K$24,0,K100&lt;K$25,J$24,K100&lt;K$26,J$25,K100&lt;K$27,J$26,K100&lt;K$28,J$27,K100&lt;K$29,J$28,K100&lt;K$30,J$29,K100&lt;K$31,J$30,K100&lt;K$32,J$31,K100&lt;K$33,J$32,K100&lt;K$34,J$33,K100&lt;K$35,J$34,K100&lt;K$36,J$35,K100&lt;K$37,J$36,K100&lt;K$38,J$37,K100&lt;K$39,J$38,K100&lt;K$40,J$39,K100&lt;K$41,J$40,K100&lt;K$42,J$41,K100&lt;K$43,J$42,K100&lt;K$44,J$43,K100&lt;K$45,J$44,K100&lt;K$46,J$45,K100&lt;K$47,J$46,K100&gt;=K$47,J$47)</f>
        <v/>
      </c>
      <c r="K100" s="38" t="n">
        <v>50</v>
      </c>
      <c r="L100" s="31">
        <f>K100/52</f>
        <v/>
      </c>
      <c r="M100" s="39">
        <f>J100/1000000*52</f>
        <v/>
      </c>
      <c r="N100" s="33">
        <f>M100/$P$4+($I$22/$P$4)</f>
        <v/>
      </c>
      <c r="U100">
        <f>F99</f>
        <v/>
      </c>
      <c r="V100">
        <f>H99</f>
        <v/>
      </c>
      <c r="W100">
        <f>N99</f>
        <v/>
      </c>
    </row>
    <row r="101" ht="15.75" customHeight="1" s="40">
      <c r="C101" s="36">
        <f>_xlfn.IFS(E101&lt;E$24,0,E101&lt;E$26,C$24,E101&lt;E$28,C$26,E101&lt;E$30,C$28,E101&lt;E$32,C$30,E101&lt;E$34,C$32,E101&gt;=E$34,C$34)</f>
        <v/>
      </c>
      <c r="D101" s="37">
        <f>_xlfn.IFS(E101&lt;E$24,0,E101&lt;E$25,D$24,E101&lt;E$26,D$25,E101&lt;E$27,D$26,E101&lt;E$28,D$27,E101&lt;E$29,D$28,E101&lt;E$30,D$29,E101&lt;E$31,D$30,E101&lt;E$32,D$31,E101&lt;E$33,D$32,E101&lt;E$34,D$33,E101&lt;E$35,D$34,E101&gt;=E$35,D$35)</f>
        <v/>
      </c>
      <c r="E101" s="38" t="n">
        <v>51</v>
      </c>
      <c r="F101" s="31">
        <f>E101/52</f>
        <v/>
      </c>
      <c r="G101" s="39">
        <f>D101/1000000*52</f>
        <v/>
      </c>
      <c r="H101" s="33">
        <f>G101/$P$4+($C$22/$P$4)</f>
        <v/>
      </c>
      <c r="I101" s="36">
        <f>_xlfn.IFS(K101&lt;K$24,0,K101&lt;K$26,I$24,K101&lt;K$28,I$26,K101&lt;K$30,I$28,K101&lt;K$32,I$30,K101&lt;K$34,I$32,K101&lt;K$36,I$34,K101&lt;K$38,I$36,K101&lt;K$40,I$38,K101&lt;K$42,I$40,K101&lt;K$44,I$42,K101&lt;K$46,I$44,K101&gt;=K$46,I$46)</f>
        <v/>
      </c>
      <c r="J101" s="37">
        <f>_xlfn.IFS(K101&lt;K$24,0,K101&lt;K$25,J$24,K101&lt;K$26,J$25,K101&lt;K$27,J$26,K101&lt;K$28,J$27,K101&lt;K$29,J$28,K101&lt;K$30,J$29,K101&lt;K$31,J$30,K101&lt;K$32,J$31,K101&lt;K$33,J$32,K101&lt;K$34,J$33,K101&lt;K$35,J$34,K101&lt;K$36,J$35,K101&lt;K$37,J$36,K101&lt;K$38,J$37,K101&lt;K$39,J$38,K101&lt;K$40,J$39,K101&lt;K$41,J$40,K101&lt;K$42,J$41,K101&lt;K$43,J$42,K101&lt;K$44,J$43,K101&lt;K$45,J$44,K101&lt;K$46,J$45,K101&lt;K$47,J$46,K101&gt;=K$47,J$47)</f>
        <v/>
      </c>
      <c r="K101" s="38" t="n">
        <v>51</v>
      </c>
      <c r="L101" s="31">
        <f>K101/52</f>
        <v/>
      </c>
      <c r="M101" s="39">
        <f>J101/1000000*52</f>
        <v/>
      </c>
      <c r="N101" s="33">
        <f>M101/$P$4+($I$22/$P$4)</f>
        <v/>
      </c>
      <c r="U101">
        <f>F100</f>
        <v/>
      </c>
      <c r="V101">
        <f>H100</f>
        <v/>
      </c>
      <c r="W101">
        <f>N100</f>
        <v/>
      </c>
    </row>
    <row r="102" ht="15.75" customHeight="1" s="40">
      <c r="C102" s="36">
        <f>_xlfn.IFS(E102&lt;E$24,0,E102&lt;E$26,C$24,E102&lt;E$28,C$26,E102&lt;E$30,C$28,E102&lt;E$32,C$30,E102&lt;E$34,C$32,E102&gt;=E$34,C$34)</f>
        <v/>
      </c>
      <c r="D102" s="37">
        <f>_xlfn.IFS(E102&lt;E$24,0,E102&lt;E$25,D$24,E102&lt;E$26,D$25,E102&lt;E$27,D$26,E102&lt;E$28,D$27,E102&lt;E$29,D$28,E102&lt;E$30,D$29,E102&lt;E$31,D$30,E102&lt;E$32,D$31,E102&lt;E$33,D$32,E102&lt;E$34,D$33,E102&lt;E$35,D$34,E102&gt;=E$35,D$35)</f>
        <v/>
      </c>
      <c r="E102" s="38" t="n">
        <v>52</v>
      </c>
      <c r="F102" s="31">
        <f>E102/52</f>
        <v/>
      </c>
      <c r="G102" s="39">
        <f>D102/1000000*52</f>
        <v/>
      </c>
      <c r="H102" s="33">
        <f>G102/$P$4+($C$22/$P$4)</f>
        <v/>
      </c>
      <c r="I102" s="36">
        <f>_xlfn.IFS(K102&lt;K$24,0,K102&lt;K$26,I$24,K102&lt;K$28,I$26,K102&lt;K$30,I$28,K102&lt;K$32,I$30,K102&lt;K$34,I$32,K102&lt;K$36,I$34,K102&lt;K$38,I$36,K102&lt;K$40,I$38,K102&lt;K$42,I$40,K102&lt;K$44,I$42,K102&lt;K$46,I$44,K102&gt;=K$46,I$46)</f>
        <v/>
      </c>
      <c r="J102" s="37">
        <f>_xlfn.IFS(K102&lt;K$24,0,K102&lt;K$25,J$24,K102&lt;K$26,J$25,K102&lt;K$27,J$26,K102&lt;K$28,J$27,K102&lt;K$29,J$28,K102&lt;K$30,J$29,K102&lt;K$31,J$30,K102&lt;K$32,J$31,K102&lt;K$33,J$32,K102&lt;K$34,J$33,K102&lt;K$35,J$34,K102&lt;K$36,J$35,K102&lt;K$37,J$36,K102&lt;K$38,J$37,K102&lt;K$39,J$38,K102&lt;K$40,J$39,K102&lt;K$41,J$40,K102&lt;K$42,J$41,K102&lt;K$43,J$42,K102&lt;K$44,J$43,K102&lt;K$45,J$44,K102&lt;K$46,J$45,K102&lt;K$47,J$46,K102&gt;=K$47,J$47)</f>
        <v/>
      </c>
      <c r="K102" s="38" t="n">
        <v>52</v>
      </c>
      <c r="L102" s="31">
        <f>K102/52</f>
        <v/>
      </c>
      <c r="M102" s="39">
        <f>J102/1000000*52</f>
        <v/>
      </c>
      <c r="N102" s="33">
        <f>M102/$P$4+($I$22/$P$4)</f>
        <v/>
      </c>
      <c r="U102">
        <f>F101</f>
        <v/>
      </c>
      <c r="V102">
        <f>H101</f>
        <v/>
      </c>
      <c r="W102">
        <f>N101</f>
        <v/>
      </c>
    </row>
    <row r="103" ht="15.75" customHeight="1" s="40">
      <c r="C103" s="36">
        <f>_xlfn.IFS(E103&lt;E$24,0,E103&lt;E$26,C$24,E103&lt;E$28,C$26,E103&lt;E$30,C$28,E103&lt;E$32,C$30,E103&lt;E$34,C$32,E103&gt;=E$34,C$34)</f>
        <v/>
      </c>
      <c r="D103" s="37">
        <f>_xlfn.IFS(E103&lt;E$24,0,E103&lt;E$25,D$24,E103&lt;E$26,D$25,E103&lt;E$27,D$26,E103&lt;E$28,D$27,E103&lt;E$29,D$28,E103&lt;E$30,D$29,E103&lt;E$31,D$30,E103&lt;E$32,D$31,E103&lt;E$33,D$32,E103&lt;E$34,D$33,E103&lt;E$35,D$34,E103&gt;=E$35,D$35)</f>
        <v/>
      </c>
      <c r="E103" s="38" t="n">
        <v>53</v>
      </c>
      <c r="F103" s="31">
        <f>E103/52</f>
        <v/>
      </c>
      <c r="G103" s="39">
        <f>D103/1000000*52</f>
        <v/>
      </c>
      <c r="H103" s="33">
        <f>G103/$P$4+($C$22/$P$4)</f>
        <v/>
      </c>
      <c r="I103" s="36">
        <f>_xlfn.IFS(K103&lt;K$24,0,K103&lt;K$26,I$24,K103&lt;K$28,I$26,K103&lt;K$30,I$28,K103&lt;K$32,I$30,K103&lt;K$34,I$32,K103&lt;K$36,I$34,K103&lt;K$38,I$36,K103&lt;K$40,I$38,K103&lt;K$42,I$40,K103&lt;K$44,I$42,K103&lt;K$46,I$44,K103&gt;=K$46,I$46)</f>
        <v/>
      </c>
      <c r="J103" s="37">
        <f>_xlfn.IFS(K103&lt;K$24,0,K103&lt;K$25,J$24,K103&lt;K$26,J$25,K103&lt;K$27,J$26,K103&lt;K$28,J$27,K103&lt;K$29,J$28,K103&lt;K$30,J$29,K103&lt;K$31,J$30,K103&lt;K$32,J$31,K103&lt;K$33,J$32,K103&lt;K$34,J$33,K103&lt;K$35,J$34,K103&lt;K$36,J$35,K103&lt;K$37,J$36,K103&lt;K$38,J$37,K103&lt;K$39,J$38,K103&lt;K$40,J$39,K103&lt;K$41,J$40,K103&lt;K$42,J$41,K103&lt;K$43,J$42,K103&lt;K$44,J$43,K103&lt;K$45,J$44,K103&lt;K$46,J$45,K103&lt;K$47,J$46,K103&gt;=K$47,J$47)</f>
        <v/>
      </c>
      <c r="K103" s="38" t="n">
        <v>53</v>
      </c>
      <c r="L103" s="31">
        <f>K103/52</f>
        <v/>
      </c>
      <c r="M103" s="39">
        <f>J103/1000000*52</f>
        <v/>
      </c>
      <c r="N103" s="33">
        <f>M103/$P$4+($I$22/$P$4)</f>
        <v/>
      </c>
      <c r="U103">
        <f>F102</f>
        <v/>
      </c>
      <c r="V103">
        <f>H102</f>
        <v/>
      </c>
      <c r="W103">
        <f>N102</f>
        <v/>
      </c>
    </row>
    <row r="104" ht="15.75" customHeight="1" s="40">
      <c r="C104" s="36">
        <f>_xlfn.IFS(E104&lt;E$24,0,E104&lt;E$26,C$24,E104&lt;E$28,C$26,E104&lt;E$30,C$28,E104&lt;E$32,C$30,E104&lt;E$34,C$32,E104&gt;=E$34,C$34)</f>
        <v/>
      </c>
      <c r="D104" s="37">
        <f>_xlfn.IFS(E104&lt;E$24,0,E104&lt;E$25,D$24,E104&lt;E$26,D$25,E104&lt;E$27,D$26,E104&lt;E$28,D$27,E104&lt;E$29,D$28,E104&lt;E$30,D$29,E104&lt;E$31,D$30,E104&lt;E$32,D$31,E104&lt;E$33,D$32,E104&lt;E$34,D$33,E104&lt;E$35,D$34,E104&gt;=E$35,D$35)</f>
        <v/>
      </c>
      <c r="E104" s="38" t="n">
        <v>54</v>
      </c>
      <c r="F104" s="31">
        <f>E104/52</f>
        <v/>
      </c>
      <c r="G104" s="39">
        <f>D104/1000000*52</f>
        <v/>
      </c>
      <c r="H104" s="33">
        <f>G104/$P$4+($C$22/$P$4)</f>
        <v/>
      </c>
      <c r="I104" s="36">
        <f>_xlfn.IFS(K104&lt;K$24,0,K104&lt;K$26,I$24,K104&lt;K$28,I$26,K104&lt;K$30,I$28,K104&lt;K$32,I$30,K104&lt;K$34,I$32,K104&lt;K$36,I$34,K104&lt;K$38,I$36,K104&lt;K$40,I$38,K104&lt;K$42,I$40,K104&lt;K$44,I$42,K104&lt;K$46,I$44,K104&gt;=K$46,I$46)</f>
        <v/>
      </c>
      <c r="J104" s="37">
        <f>_xlfn.IFS(K104&lt;K$24,0,K104&lt;K$25,J$24,K104&lt;K$26,J$25,K104&lt;K$27,J$26,K104&lt;K$28,J$27,K104&lt;K$29,J$28,K104&lt;K$30,J$29,K104&lt;K$31,J$30,K104&lt;K$32,J$31,K104&lt;K$33,J$32,K104&lt;K$34,J$33,K104&lt;K$35,J$34,K104&lt;K$36,J$35,K104&lt;K$37,J$36,K104&lt;K$38,J$37,K104&lt;K$39,J$38,K104&lt;K$40,J$39,K104&lt;K$41,J$40,K104&lt;K$42,J$41,K104&lt;K$43,J$42,K104&lt;K$44,J$43,K104&lt;K$45,J$44,K104&lt;K$46,J$45,K104&lt;K$47,J$46,K104&gt;=K$47,J$47)</f>
        <v/>
      </c>
      <c r="K104" s="38" t="n">
        <v>54</v>
      </c>
      <c r="L104" s="31">
        <f>K104/52</f>
        <v/>
      </c>
      <c r="M104" s="39">
        <f>J104/1000000*52</f>
        <v/>
      </c>
      <c r="N104" s="33">
        <f>M104/$P$4+($I$22/$P$4)</f>
        <v/>
      </c>
      <c r="U104">
        <f>F103</f>
        <v/>
      </c>
      <c r="V104">
        <f>H103</f>
        <v/>
      </c>
      <c r="W104">
        <f>N103</f>
        <v/>
      </c>
    </row>
    <row r="105" ht="15.75" customHeight="1" s="40">
      <c r="C105" s="36">
        <f>_xlfn.IFS(E105&lt;E$24,0,E105&lt;E$26,C$24,E105&lt;E$28,C$26,E105&lt;E$30,C$28,E105&lt;E$32,C$30,E105&lt;E$34,C$32,E105&gt;=E$34,C$34)</f>
        <v/>
      </c>
      <c r="D105" s="37">
        <f>_xlfn.IFS(E105&lt;E$24,0,E105&lt;E$25,D$24,E105&lt;E$26,D$25,E105&lt;E$27,D$26,E105&lt;E$28,D$27,E105&lt;E$29,D$28,E105&lt;E$30,D$29,E105&lt;E$31,D$30,E105&lt;E$32,D$31,E105&lt;E$33,D$32,E105&lt;E$34,D$33,E105&lt;E$35,D$34,E105&gt;=E$35,D$35)</f>
        <v/>
      </c>
      <c r="E105" s="38" t="n">
        <v>55</v>
      </c>
      <c r="F105" s="31">
        <f>E105/52</f>
        <v/>
      </c>
      <c r="G105" s="39">
        <f>D105/1000000*52</f>
        <v/>
      </c>
      <c r="H105" s="33">
        <f>G105/$P$4+($C$22/$P$4)</f>
        <v/>
      </c>
      <c r="I105" s="36">
        <f>_xlfn.IFS(K105&lt;K$24,0,K105&lt;K$26,I$24,K105&lt;K$28,I$26,K105&lt;K$30,I$28,K105&lt;K$32,I$30,K105&lt;K$34,I$32,K105&lt;K$36,I$34,K105&lt;K$38,I$36,K105&lt;K$40,I$38,K105&lt;K$42,I$40,K105&lt;K$44,I$42,K105&lt;K$46,I$44,K105&gt;=K$46,I$46)</f>
        <v/>
      </c>
      <c r="J105" s="37">
        <f>_xlfn.IFS(K105&lt;K$24,0,K105&lt;K$25,J$24,K105&lt;K$26,J$25,K105&lt;K$27,J$26,K105&lt;K$28,J$27,K105&lt;K$29,J$28,K105&lt;K$30,J$29,K105&lt;K$31,J$30,K105&lt;K$32,J$31,K105&lt;K$33,J$32,K105&lt;K$34,J$33,K105&lt;K$35,J$34,K105&lt;K$36,J$35,K105&lt;K$37,J$36,K105&lt;K$38,J$37,K105&lt;K$39,J$38,K105&lt;K$40,J$39,K105&lt;K$41,J$40,K105&lt;K$42,J$41,K105&lt;K$43,J$42,K105&lt;K$44,J$43,K105&lt;K$45,J$44,K105&lt;K$46,J$45,K105&lt;K$47,J$46,K105&gt;=K$47,J$47)</f>
        <v/>
      </c>
      <c r="K105" s="38" t="n">
        <v>55</v>
      </c>
      <c r="L105" s="31">
        <f>K105/52</f>
        <v/>
      </c>
      <c r="M105" s="39">
        <f>J105/1000000*52</f>
        <v/>
      </c>
      <c r="N105" s="33">
        <f>M105/$P$4+($I$22/$P$4)</f>
        <v/>
      </c>
      <c r="U105">
        <f>F104</f>
        <v/>
      </c>
      <c r="V105">
        <f>H104</f>
        <v/>
      </c>
      <c r="W105">
        <f>N104</f>
        <v/>
      </c>
    </row>
    <row r="106" ht="15.75" customHeight="1" s="40">
      <c r="C106" s="36">
        <f>_xlfn.IFS(E106&lt;E$24,0,E106&lt;E$26,C$24,E106&lt;E$28,C$26,E106&lt;E$30,C$28,E106&lt;E$32,C$30,E106&lt;E$34,C$32,E106&gt;=E$34,C$34)</f>
        <v/>
      </c>
      <c r="D106" s="37">
        <f>_xlfn.IFS(E106&lt;E$24,0,E106&lt;E$25,D$24,E106&lt;E$26,D$25,E106&lt;E$27,D$26,E106&lt;E$28,D$27,E106&lt;E$29,D$28,E106&lt;E$30,D$29,E106&lt;E$31,D$30,E106&lt;E$32,D$31,E106&lt;E$33,D$32,E106&lt;E$34,D$33,E106&lt;E$35,D$34,E106&gt;=E$35,D$35)</f>
        <v/>
      </c>
      <c r="E106" s="38" t="n">
        <v>56</v>
      </c>
      <c r="F106" s="31">
        <f>E106/52</f>
        <v/>
      </c>
      <c r="G106" s="39">
        <f>D106/1000000*52</f>
        <v/>
      </c>
      <c r="H106" s="33">
        <f>G106/$P$4+($C$22/$P$4)</f>
        <v/>
      </c>
      <c r="I106" s="36">
        <f>_xlfn.IFS(K106&lt;K$24,0,K106&lt;K$26,I$24,K106&lt;K$28,I$26,K106&lt;K$30,I$28,K106&lt;K$32,I$30,K106&lt;K$34,I$32,K106&lt;K$36,I$34,K106&lt;K$38,I$36,K106&lt;K$40,I$38,K106&lt;K$42,I$40,K106&lt;K$44,I$42,K106&lt;K$46,I$44,K106&gt;=K$46,I$46)</f>
        <v/>
      </c>
      <c r="J106" s="37">
        <f>_xlfn.IFS(K106&lt;K$24,0,K106&lt;K$25,J$24,K106&lt;K$26,J$25,K106&lt;K$27,J$26,K106&lt;K$28,J$27,K106&lt;K$29,J$28,K106&lt;K$30,J$29,K106&lt;K$31,J$30,K106&lt;K$32,J$31,K106&lt;K$33,J$32,K106&lt;K$34,J$33,K106&lt;K$35,J$34,K106&lt;K$36,J$35,K106&lt;K$37,J$36,K106&lt;K$38,J$37,K106&lt;K$39,J$38,K106&lt;K$40,J$39,K106&lt;K$41,J$40,K106&lt;K$42,J$41,K106&lt;K$43,J$42,K106&lt;K$44,J$43,K106&lt;K$45,J$44,K106&lt;K$46,J$45,K106&lt;K$47,J$46,K106&gt;=K$47,J$47)</f>
        <v/>
      </c>
      <c r="K106" s="38" t="n">
        <v>56</v>
      </c>
      <c r="L106" s="31">
        <f>K106/52</f>
        <v/>
      </c>
      <c r="M106" s="39">
        <f>J106/1000000*52</f>
        <v/>
      </c>
      <c r="N106" s="33">
        <f>M106/$P$4+($I$22/$P$4)</f>
        <v/>
      </c>
      <c r="U106">
        <f>F105</f>
        <v/>
      </c>
      <c r="V106">
        <f>H105</f>
        <v/>
      </c>
      <c r="W106">
        <f>N105</f>
        <v/>
      </c>
    </row>
    <row r="107" ht="15.75" customHeight="1" s="40">
      <c r="C107" s="36">
        <f>_xlfn.IFS(E107&lt;E$24,0,E107&lt;E$26,C$24,E107&lt;E$28,C$26,E107&lt;E$30,C$28,E107&lt;E$32,C$30,E107&lt;E$34,C$32,E107&gt;=E$34,C$34)</f>
        <v/>
      </c>
      <c r="D107" s="37">
        <f>_xlfn.IFS(E107&lt;E$24,0,E107&lt;E$25,D$24,E107&lt;E$26,D$25,E107&lt;E$27,D$26,E107&lt;E$28,D$27,E107&lt;E$29,D$28,E107&lt;E$30,D$29,E107&lt;E$31,D$30,E107&lt;E$32,D$31,E107&lt;E$33,D$32,E107&lt;E$34,D$33,E107&lt;E$35,D$34,E107&gt;=E$35,D$35)</f>
        <v/>
      </c>
      <c r="E107" s="38" t="n">
        <v>57</v>
      </c>
      <c r="F107" s="31">
        <f>E107/52</f>
        <v/>
      </c>
      <c r="G107" s="39">
        <f>D107/1000000*52</f>
        <v/>
      </c>
      <c r="H107" s="33">
        <f>G107/$P$4+($C$22/$P$4)</f>
        <v/>
      </c>
      <c r="I107" s="36">
        <f>_xlfn.IFS(K107&lt;K$24,0,K107&lt;K$26,I$24,K107&lt;K$28,I$26,K107&lt;K$30,I$28,K107&lt;K$32,I$30,K107&lt;K$34,I$32,K107&lt;K$36,I$34,K107&lt;K$38,I$36,K107&lt;K$40,I$38,K107&lt;K$42,I$40,K107&lt;K$44,I$42,K107&lt;K$46,I$44,K107&gt;=K$46,I$46)</f>
        <v/>
      </c>
      <c r="J107" s="37">
        <f>_xlfn.IFS(K107&lt;K$24,0,K107&lt;K$25,J$24,K107&lt;K$26,J$25,K107&lt;K$27,J$26,K107&lt;K$28,J$27,K107&lt;K$29,J$28,K107&lt;K$30,J$29,K107&lt;K$31,J$30,K107&lt;K$32,J$31,K107&lt;K$33,J$32,K107&lt;K$34,J$33,K107&lt;K$35,J$34,K107&lt;K$36,J$35,K107&lt;K$37,J$36,K107&lt;K$38,J$37,K107&lt;K$39,J$38,K107&lt;K$40,J$39,K107&lt;K$41,J$40,K107&lt;K$42,J$41,K107&lt;K$43,J$42,K107&lt;K$44,J$43,K107&lt;K$45,J$44,K107&lt;K$46,J$45,K107&lt;K$47,J$46,K107&gt;=K$47,J$47)</f>
        <v/>
      </c>
      <c r="K107" s="38" t="n">
        <v>57</v>
      </c>
      <c r="L107" s="31">
        <f>K107/52</f>
        <v/>
      </c>
      <c r="M107" s="39">
        <f>J107/1000000*52</f>
        <v/>
      </c>
      <c r="N107" s="33">
        <f>M107/$P$4+($I$22/$P$4)</f>
        <v/>
      </c>
      <c r="U107">
        <f>F106</f>
        <v/>
      </c>
      <c r="V107">
        <f>H106</f>
        <v/>
      </c>
      <c r="W107">
        <f>N106</f>
        <v/>
      </c>
    </row>
    <row r="108" ht="15.75" customHeight="1" s="40">
      <c r="C108" s="36">
        <f>_xlfn.IFS(E108&lt;E$24,0,E108&lt;E$26,C$24,E108&lt;E$28,C$26,E108&lt;E$30,C$28,E108&lt;E$32,C$30,E108&lt;E$34,C$32,E108&gt;=E$34,C$34)</f>
        <v/>
      </c>
      <c r="D108" s="37">
        <f>_xlfn.IFS(E108&lt;E$24,0,E108&lt;E$25,D$24,E108&lt;E$26,D$25,E108&lt;E$27,D$26,E108&lt;E$28,D$27,E108&lt;E$29,D$28,E108&lt;E$30,D$29,E108&lt;E$31,D$30,E108&lt;E$32,D$31,E108&lt;E$33,D$32,E108&lt;E$34,D$33,E108&lt;E$35,D$34,E108&gt;=E$35,D$35)</f>
        <v/>
      </c>
      <c r="E108" s="38" t="n">
        <v>58</v>
      </c>
      <c r="F108" s="31">
        <f>E108/52</f>
        <v/>
      </c>
      <c r="G108" s="39">
        <f>D108/1000000*52</f>
        <v/>
      </c>
      <c r="H108" s="33">
        <f>G108/$P$4+($C$22/$P$4)</f>
        <v/>
      </c>
      <c r="I108" s="36">
        <f>_xlfn.IFS(K108&lt;K$24,0,K108&lt;K$26,I$24,K108&lt;K$28,I$26,K108&lt;K$30,I$28,K108&lt;K$32,I$30,K108&lt;K$34,I$32,K108&lt;K$36,I$34,K108&lt;K$38,I$36,K108&lt;K$40,I$38,K108&lt;K$42,I$40,K108&lt;K$44,I$42,K108&lt;K$46,I$44,K108&gt;=K$46,I$46)</f>
        <v/>
      </c>
      <c r="J108" s="37">
        <f>_xlfn.IFS(K108&lt;K$24,0,K108&lt;K$25,J$24,K108&lt;K$26,J$25,K108&lt;K$27,J$26,K108&lt;K$28,J$27,K108&lt;K$29,J$28,K108&lt;K$30,J$29,K108&lt;K$31,J$30,K108&lt;K$32,J$31,K108&lt;K$33,J$32,K108&lt;K$34,J$33,K108&lt;K$35,J$34,K108&lt;K$36,J$35,K108&lt;K$37,J$36,K108&lt;K$38,J$37,K108&lt;K$39,J$38,K108&lt;K$40,J$39,K108&lt;K$41,J$40,K108&lt;K$42,J$41,K108&lt;K$43,J$42,K108&lt;K$44,J$43,K108&lt;K$45,J$44,K108&lt;K$46,J$45,K108&lt;K$47,J$46,K108&gt;=K$47,J$47)</f>
        <v/>
      </c>
      <c r="K108" s="38" t="n">
        <v>58</v>
      </c>
      <c r="L108" s="31">
        <f>K108/52</f>
        <v/>
      </c>
      <c r="M108" s="39">
        <f>J108/1000000*52</f>
        <v/>
      </c>
      <c r="N108" s="33">
        <f>M108/$P$4+($I$22/$P$4)</f>
        <v/>
      </c>
      <c r="U108">
        <f>F107</f>
        <v/>
      </c>
      <c r="V108">
        <f>H107</f>
        <v/>
      </c>
      <c r="W108">
        <f>N107</f>
        <v/>
      </c>
    </row>
    <row r="109" ht="15.75" customHeight="1" s="40">
      <c r="C109" s="36">
        <f>_xlfn.IFS(E109&lt;E$24,0,E109&lt;E$26,C$24,E109&lt;E$28,C$26,E109&lt;E$30,C$28,E109&lt;E$32,C$30,E109&lt;E$34,C$32,E109&gt;=E$34,C$34)</f>
        <v/>
      </c>
      <c r="D109" s="37">
        <f>_xlfn.IFS(E109&lt;E$24,0,E109&lt;E$25,D$24,E109&lt;E$26,D$25,E109&lt;E$27,D$26,E109&lt;E$28,D$27,E109&lt;E$29,D$28,E109&lt;E$30,D$29,E109&lt;E$31,D$30,E109&lt;E$32,D$31,E109&lt;E$33,D$32,E109&lt;E$34,D$33,E109&lt;E$35,D$34,E109&gt;=E$35,D$35)</f>
        <v/>
      </c>
      <c r="E109" s="38" t="n">
        <v>59</v>
      </c>
      <c r="F109" s="31">
        <f>E109/52</f>
        <v/>
      </c>
      <c r="G109" s="39">
        <f>D109/1000000*52</f>
        <v/>
      </c>
      <c r="H109" s="33">
        <f>G109/$P$4+($C$22/$P$4)</f>
        <v/>
      </c>
      <c r="I109" s="36">
        <f>_xlfn.IFS(K109&lt;K$24,0,K109&lt;K$26,I$24,K109&lt;K$28,I$26,K109&lt;K$30,I$28,K109&lt;K$32,I$30,K109&lt;K$34,I$32,K109&lt;K$36,I$34,K109&lt;K$38,I$36,K109&lt;K$40,I$38,K109&lt;K$42,I$40,K109&lt;K$44,I$42,K109&lt;K$46,I$44,K109&gt;=K$46,I$46)</f>
        <v/>
      </c>
      <c r="J109" s="37">
        <f>_xlfn.IFS(K109&lt;K$24,0,K109&lt;K$25,J$24,K109&lt;K$26,J$25,K109&lt;K$27,J$26,K109&lt;K$28,J$27,K109&lt;K$29,J$28,K109&lt;K$30,J$29,K109&lt;K$31,J$30,K109&lt;K$32,J$31,K109&lt;K$33,J$32,K109&lt;K$34,J$33,K109&lt;K$35,J$34,K109&lt;K$36,J$35,K109&lt;K$37,J$36,K109&lt;K$38,J$37,K109&lt;K$39,J$38,K109&lt;K$40,J$39,K109&lt;K$41,J$40,K109&lt;K$42,J$41,K109&lt;K$43,J$42,K109&lt;K$44,J$43,K109&lt;K$45,J$44,K109&lt;K$46,J$45,K109&lt;K$47,J$46,K109&gt;=K$47,J$47)</f>
        <v/>
      </c>
      <c r="K109" s="38" t="n">
        <v>59</v>
      </c>
      <c r="L109" s="31">
        <f>K109/52</f>
        <v/>
      </c>
      <c r="M109" s="39">
        <f>J109/1000000*52</f>
        <v/>
      </c>
      <c r="N109" s="33">
        <f>M109/$P$4+($I$22/$P$4)</f>
        <v/>
      </c>
      <c r="U109">
        <f>F108</f>
        <v/>
      </c>
      <c r="V109">
        <f>H108</f>
        <v/>
      </c>
      <c r="W109">
        <f>N108</f>
        <v/>
      </c>
    </row>
    <row r="110" ht="15.75" customHeight="1" s="40">
      <c r="C110" s="36">
        <f>_xlfn.IFS(E110&lt;E$24,0,E110&lt;E$26,C$24,E110&lt;E$28,C$26,E110&lt;E$30,C$28,E110&lt;E$32,C$30,E110&lt;E$34,C$32,E110&gt;=E$34,C$34)</f>
        <v/>
      </c>
      <c r="D110" s="37">
        <f>_xlfn.IFS(E110&lt;E$24,0,E110&lt;E$25,D$24,E110&lt;E$26,D$25,E110&lt;E$27,D$26,E110&lt;E$28,D$27,E110&lt;E$29,D$28,E110&lt;E$30,D$29,E110&lt;E$31,D$30,E110&lt;E$32,D$31,E110&lt;E$33,D$32,E110&lt;E$34,D$33,E110&lt;E$35,D$34,E110&gt;=E$35,D$35)</f>
        <v/>
      </c>
      <c r="E110" s="38" t="n">
        <v>60</v>
      </c>
      <c r="F110" s="31">
        <f>E110/52</f>
        <v/>
      </c>
      <c r="G110" s="39">
        <f>D110/1000000*52</f>
        <v/>
      </c>
      <c r="H110" s="33">
        <f>G110/$P$4+($C$22/$P$4)</f>
        <v/>
      </c>
      <c r="I110" s="36">
        <f>_xlfn.IFS(K110&lt;K$24,0,K110&lt;K$26,I$24,K110&lt;K$28,I$26,K110&lt;K$30,I$28,K110&lt;K$32,I$30,K110&lt;K$34,I$32,K110&lt;K$36,I$34,K110&lt;K$38,I$36,K110&lt;K$40,I$38,K110&lt;K$42,I$40,K110&lt;K$44,I$42,K110&lt;K$46,I$44,K110&gt;=K$46,I$46)</f>
        <v/>
      </c>
      <c r="J110" s="37">
        <f>_xlfn.IFS(K110&lt;K$24,0,K110&lt;K$25,J$24,K110&lt;K$26,J$25,K110&lt;K$27,J$26,K110&lt;K$28,J$27,K110&lt;K$29,J$28,K110&lt;K$30,J$29,K110&lt;K$31,J$30,K110&lt;K$32,J$31,K110&lt;K$33,J$32,K110&lt;K$34,J$33,K110&lt;K$35,J$34,K110&lt;K$36,J$35,K110&lt;K$37,J$36,K110&lt;K$38,J$37,K110&lt;K$39,J$38,K110&lt;K$40,J$39,K110&lt;K$41,J$40,K110&lt;K$42,J$41,K110&lt;K$43,J$42,K110&lt;K$44,J$43,K110&lt;K$45,J$44,K110&lt;K$46,J$45,K110&lt;K$47,J$46,K110&gt;=K$47,J$47)</f>
        <v/>
      </c>
      <c r="K110" s="38" t="n">
        <v>60</v>
      </c>
      <c r="L110" s="31">
        <f>K110/52</f>
        <v/>
      </c>
      <c r="M110" s="39">
        <f>J110/1000000*52</f>
        <v/>
      </c>
      <c r="N110" s="33">
        <f>M110/$P$4+($I$22/$P$4)</f>
        <v/>
      </c>
      <c r="U110">
        <f>F109</f>
        <v/>
      </c>
      <c r="V110">
        <f>H109</f>
        <v/>
      </c>
      <c r="W110">
        <f>N109</f>
        <v/>
      </c>
    </row>
    <row r="111" ht="15.75" customHeight="1" s="40">
      <c r="C111" s="36">
        <f>_xlfn.IFS(E111&lt;E$24,0,E111&lt;E$26,C$24,E111&lt;E$28,C$26,E111&lt;E$30,C$28,E111&lt;E$32,C$30,E111&lt;E$34,C$32,E111&gt;=E$34,C$34)</f>
        <v/>
      </c>
      <c r="D111" s="37">
        <f>_xlfn.IFS(E111&lt;E$24,0,E111&lt;E$25,D$24,E111&lt;E$26,D$25,E111&lt;E$27,D$26,E111&lt;E$28,D$27,E111&lt;E$29,D$28,E111&lt;E$30,D$29,E111&lt;E$31,D$30,E111&lt;E$32,D$31,E111&lt;E$33,D$32,E111&lt;E$34,D$33,E111&lt;E$35,D$34,E111&gt;=E$35,D$35)</f>
        <v/>
      </c>
      <c r="E111" s="38" t="n">
        <v>61</v>
      </c>
      <c r="F111" s="31">
        <f>E111/52</f>
        <v/>
      </c>
      <c r="G111" s="39">
        <f>D111/1000000*52</f>
        <v/>
      </c>
      <c r="H111" s="33">
        <f>G111/$P$4+($C$22/$P$4)</f>
        <v/>
      </c>
      <c r="I111" s="36">
        <f>_xlfn.IFS(K111&lt;K$24,0,K111&lt;K$26,I$24,K111&lt;K$28,I$26,K111&lt;K$30,I$28,K111&lt;K$32,I$30,K111&lt;K$34,I$32,K111&lt;K$36,I$34,K111&lt;K$38,I$36,K111&lt;K$40,I$38,K111&lt;K$42,I$40,K111&lt;K$44,I$42,K111&lt;K$46,I$44,K111&gt;=K$46,I$46)</f>
        <v/>
      </c>
      <c r="J111" s="37">
        <f>_xlfn.IFS(K111&lt;K$24,0,K111&lt;K$25,J$24,K111&lt;K$26,J$25,K111&lt;K$27,J$26,K111&lt;K$28,J$27,K111&lt;K$29,J$28,K111&lt;K$30,J$29,K111&lt;K$31,J$30,K111&lt;K$32,J$31,K111&lt;K$33,J$32,K111&lt;K$34,J$33,K111&lt;K$35,J$34,K111&lt;K$36,J$35,K111&lt;K$37,J$36,K111&lt;K$38,J$37,K111&lt;K$39,J$38,K111&lt;K$40,J$39,K111&lt;K$41,J$40,K111&lt;K$42,J$41,K111&lt;K$43,J$42,K111&lt;K$44,J$43,K111&lt;K$45,J$44,K111&lt;K$46,J$45,K111&lt;K$47,J$46,K111&gt;=K$47,J$47)</f>
        <v/>
      </c>
      <c r="K111" s="38" t="n">
        <v>61</v>
      </c>
      <c r="L111" s="31">
        <f>K111/52</f>
        <v/>
      </c>
      <c r="M111" s="39">
        <f>J111/1000000*52</f>
        <v/>
      </c>
      <c r="N111" s="33">
        <f>M111/$P$4+($I$22/$P$4)</f>
        <v/>
      </c>
      <c r="U111">
        <f>F110</f>
        <v/>
      </c>
      <c r="V111">
        <f>H110</f>
        <v/>
      </c>
      <c r="W111">
        <f>N110</f>
        <v/>
      </c>
    </row>
    <row r="112" ht="15.75" customHeight="1" s="40">
      <c r="C112" s="36">
        <f>_xlfn.IFS(E112&lt;E$24,0,E112&lt;E$26,C$24,E112&lt;E$28,C$26,E112&lt;E$30,C$28,E112&lt;E$32,C$30,E112&lt;E$34,C$32,E112&gt;=E$34,C$34)</f>
        <v/>
      </c>
      <c r="D112" s="37">
        <f>_xlfn.IFS(E112&lt;E$24,0,E112&lt;E$25,D$24,E112&lt;E$26,D$25,E112&lt;E$27,D$26,E112&lt;E$28,D$27,E112&lt;E$29,D$28,E112&lt;E$30,D$29,E112&lt;E$31,D$30,E112&lt;E$32,D$31,E112&lt;E$33,D$32,E112&lt;E$34,D$33,E112&lt;E$35,D$34,E112&gt;=E$35,D$35)</f>
        <v/>
      </c>
      <c r="E112" s="38" t="n">
        <v>62</v>
      </c>
      <c r="F112" s="31">
        <f>E112/52</f>
        <v/>
      </c>
      <c r="G112" s="39">
        <f>D112/1000000*52</f>
        <v/>
      </c>
      <c r="H112" s="33">
        <f>G112/$P$4+($C$22/$P$4)</f>
        <v/>
      </c>
      <c r="I112" s="36">
        <f>_xlfn.IFS(K112&lt;K$24,0,K112&lt;K$26,I$24,K112&lt;K$28,I$26,K112&lt;K$30,I$28,K112&lt;K$32,I$30,K112&lt;K$34,I$32,K112&lt;K$36,I$34,K112&lt;K$38,I$36,K112&lt;K$40,I$38,K112&lt;K$42,I$40,K112&lt;K$44,I$42,K112&lt;K$46,I$44,K112&gt;=K$46,I$46)</f>
        <v/>
      </c>
      <c r="J112" s="37">
        <f>_xlfn.IFS(K112&lt;K$24,0,K112&lt;K$25,J$24,K112&lt;K$26,J$25,K112&lt;K$27,J$26,K112&lt;K$28,J$27,K112&lt;K$29,J$28,K112&lt;K$30,J$29,K112&lt;K$31,J$30,K112&lt;K$32,J$31,K112&lt;K$33,J$32,K112&lt;K$34,J$33,K112&lt;K$35,J$34,K112&lt;K$36,J$35,K112&lt;K$37,J$36,K112&lt;K$38,J$37,K112&lt;K$39,J$38,K112&lt;K$40,J$39,K112&lt;K$41,J$40,K112&lt;K$42,J$41,K112&lt;K$43,J$42,K112&lt;K$44,J$43,K112&lt;K$45,J$44,K112&lt;K$46,J$45,K112&lt;K$47,J$46,K112&gt;=K$47,J$47)</f>
        <v/>
      </c>
      <c r="K112" s="38" t="n">
        <v>62</v>
      </c>
      <c r="L112" s="31">
        <f>K112/52</f>
        <v/>
      </c>
      <c r="M112" s="39">
        <f>J112/1000000*52</f>
        <v/>
      </c>
      <c r="N112" s="33">
        <f>M112/$P$4+($I$22/$P$4)</f>
        <v/>
      </c>
      <c r="U112">
        <f>F111</f>
        <v/>
      </c>
      <c r="V112">
        <f>H111</f>
        <v/>
      </c>
      <c r="W112">
        <f>N111</f>
        <v/>
      </c>
    </row>
    <row r="113" ht="15.75" customHeight="1" s="40">
      <c r="C113" s="36">
        <f>_xlfn.IFS(E113&lt;E$24,0,E113&lt;E$26,C$24,E113&lt;E$28,C$26,E113&lt;E$30,C$28,E113&lt;E$32,C$30,E113&lt;E$34,C$32,E113&gt;=E$34,C$34)</f>
        <v/>
      </c>
      <c r="D113" s="37">
        <f>_xlfn.IFS(E113&lt;E$24,0,E113&lt;E$25,D$24,E113&lt;E$26,D$25,E113&lt;E$27,D$26,E113&lt;E$28,D$27,E113&lt;E$29,D$28,E113&lt;E$30,D$29,E113&lt;E$31,D$30,E113&lt;E$32,D$31,E113&lt;E$33,D$32,E113&lt;E$34,D$33,E113&lt;E$35,D$34,E113&gt;=E$35,D$35)</f>
        <v/>
      </c>
      <c r="E113" s="38" t="n">
        <v>63</v>
      </c>
      <c r="F113" s="31">
        <f>E113/52</f>
        <v/>
      </c>
      <c r="G113" s="39">
        <f>D113/1000000*52</f>
        <v/>
      </c>
      <c r="H113" s="33">
        <f>G113/$P$4+($C$22/$P$4)</f>
        <v/>
      </c>
      <c r="I113" s="36">
        <f>_xlfn.IFS(K113&lt;K$24,0,K113&lt;K$26,I$24,K113&lt;K$28,I$26,K113&lt;K$30,I$28,K113&lt;K$32,I$30,K113&lt;K$34,I$32,K113&lt;K$36,I$34,K113&lt;K$38,I$36,K113&lt;K$40,I$38,K113&lt;K$42,I$40,K113&lt;K$44,I$42,K113&lt;K$46,I$44,K113&gt;=K$46,I$46)</f>
        <v/>
      </c>
      <c r="J113" s="37">
        <f>_xlfn.IFS(K113&lt;K$24,0,K113&lt;K$25,J$24,K113&lt;K$26,J$25,K113&lt;K$27,J$26,K113&lt;K$28,J$27,K113&lt;K$29,J$28,K113&lt;K$30,J$29,K113&lt;K$31,J$30,K113&lt;K$32,J$31,K113&lt;K$33,J$32,K113&lt;K$34,J$33,K113&lt;K$35,J$34,K113&lt;K$36,J$35,K113&lt;K$37,J$36,K113&lt;K$38,J$37,K113&lt;K$39,J$38,K113&lt;K$40,J$39,K113&lt;K$41,J$40,K113&lt;K$42,J$41,K113&lt;K$43,J$42,K113&lt;K$44,J$43,K113&lt;K$45,J$44,K113&lt;K$46,J$45,K113&lt;K$47,J$46,K113&gt;=K$47,J$47)</f>
        <v/>
      </c>
      <c r="K113" s="38" t="n">
        <v>63</v>
      </c>
      <c r="L113" s="31">
        <f>K113/52</f>
        <v/>
      </c>
      <c r="M113" s="39">
        <f>J113/1000000*52</f>
        <v/>
      </c>
      <c r="N113" s="33">
        <f>M113/$P$4+($I$22/$P$4)</f>
        <v/>
      </c>
      <c r="U113">
        <f>F112</f>
        <v/>
      </c>
      <c r="V113">
        <f>H112</f>
        <v/>
      </c>
      <c r="W113">
        <f>N112</f>
        <v/>
      </c>
    </row>
    <row r="114" ht="15.75" customHeight="1" s="40">
      <c r="C114" s="36">
        <f>_xlfn.IFS(E114&lt;E$24,0,E114&lt;E$26,C$24,E114&lt;E$28,C$26,E114&lt;E$30,C$28,E114&lt;E$32,C$30,E114&lt;E$34,C$32,E114&gt;=E$34,C$34)</f>
        <v/>
      </c>
      <c r="D114" s="37">
        <f>_xlfn.IFS(E114&lt;E$24,0,E114&lt;E$25,D$24,E114&lt;E$26,D$25,E114&lt;E$27,D$26,E114&lt;E$28,D$27,E114&lt;E$29,D$28,E114&lt;E$30,D$29,E114&lt;E$31,D$30,E114&lt;E$32,D$31,E114&lt;E$33,D$32,E114&lt;E$34,D$33,E114&lt;E$35,D$34,E114&gt;=E$35,D$35)</f>
        <v/>
      </c>
      <c r="E114" s="38" t="n">
        <v>64</v>
      </c>
      <c r="F114" s="31">
        <f>E114/52</f>
        <v/>
      </c>
      <c r="G114" s="39">
        <f>D114/1000000*52</f>
        <v/>
      </c>
      <c r="H114" s="33">
        <f>G114/$P$4+($C$22/$P$4)</f>
        <v/>
      </c>
      <c r="I114" s="36">
        <f>_xlfn.IFS(K114&lt;K$24,0,K114&lt;K$26,I$24,K114&lt;K$28,I$26,K114&lt;K$30,I$28,K114&lt;K$32,I$30,K114&lt;K$34,I$32,K114&lt;K$36,I$34,K114&lt;K$38,I$36,K114&lt;K$40,I$38,K114&lt;K$42,I$40,K114&lt;K$44,I$42,K114&lt;K$46,I$44,K114&gt;=K$46,I$46)</f>
        <v/>
      </c>
      <c r="J114" s="37">
        <f>_xlfn.IFS(K114&lt;K$24,0,K114&lt;K$25,J$24,K114&lt;K$26,J$25,K114&lt;K$27,J$26,K114&lt;K$28,J$27,K114&lt;K$29,J$28,K114&lt;K$30,J$29,K114&lt;K$31,J$30,K114&lt;K$32,J$31,K114&lt;K$33,J$32,K114&lt;K$34,J$33,K114&lt;K$35,J$34,K114&lt;K$36,J$35,K114&lt;K$37,J$36,K114&lt;K$38,J$37,K114&lt;K$39,J$38,K114&lt;K$40,J$39,K114&lt;K$41,J$40,K114&lt;K$42,J$41,K114&lt;K$43,J$42,K114&lt;K$44,J$43,K114&lt;K$45,J$44,K114&lt;K$46,J$45,K114&lt;K$47,J$46,K114&gt;=K$47,J$47)</f>
        <v/>
      </c>
      <c r="K114" s="38" t="n">
        <v>64</v>
      </c>
      <c r="L114" s="31">
        <f>K114/52</f>
        <v/>
      </c>
      <c r="M114" s="39">
        <f>J114/1000000*52</f>
        <v/>
      </c>
      <c r="N114" s="33">
        <f>M114/$P$4+($I$22/$P$4)</f>
        <v/>
      </c>
      <c r="U114">
        <f>F113</f>
        <v/>
      </c>
      <c r="V114">
        <f>H113</f>
        <v/>
      </c>
      <c r="W114">
        <f>N113</f>
        <v/>
      </c>
    </row>
    <row r="115" ht="15.75" customHeight="1" s="40">
      <c r="C115" s="36">
        <f>_xlfn.IFS(E115&lt;E$24,0,E115&lt;E$26,C$24,E115&lt;E$28,C$26,E115&lt;E$30,C$28,E115&lt;E$32,C$30,E115&lt;E$34,C$32,E115&gt;=E$34,C$34)</f>
        <v/>
      </c>
      <c r="D115" s="37">
        <f>_xlfn.IFS(E115&lt;E$24,0,E115&lt;E$25,D$24,E115&lt;E$26,D$25,E115&lt;E$27,D$26,E115&lt;E$28,D$27,E115&lt;E$29,D$28,E115&lt;E$30,D$29,E115&lt;E$31,D$30,E115&lt;E$32,D$31,E115&lt;E$33,D$32,E115&lt;E$34,D$33,E115&lt;E$35,D$34,E115&gt;=E$35,D$35)</f>
        <v/>
      </c>
      <c r="E115" s="38" t="n">
        <v>65</v>
      </c>
      <c r="F115" s="31">
        <f>E115/52</f>
        <v/>
      </c>
      <c r="G115" s="39">
        <f>D115/1000000*52</f>
        <v/>
      </c>
      <c r="H115" s="33">
        <f>G115/$P$4+($C$22/$P$4)</f>
        <v/>
      </c>
      <c r="I115" s="36">
        <f>_xlfn.IFS(K115&lt;K$24,0,K115&lt;K$26,I$24,K115&lt;K$28,I$26,K115&lt;K$30,I$28,K115&lt;K$32,I$30,K115&lt;K$34,I$32,K115&lt;K$36,I$34,K115&lt;K$38,I$36,K115&lt;K$40,I$38,K115&lt;K$42,I$40,K115&lt;K$44,I$42,K115&lt;K$46,I$44,K115&gt;=K$46,I$46)</f>
        <v/>
      </c>
      <c r="J115" s="37">
        <f>_xlfn.IFS(K115&lt;K$24,0,K115&lt;K$25,J$24,K115&lt;K$26,J$25,K115&lt;K$27,J$26,K115&lt;K$28,J$27,K115&lt;K$29,J$28,K115&lt;K$30,J$29,K115&lt;K$31,J$30,K115&lt;K$32,J$31,K115&lt;K$33,J$32,K115&lt;K$34,J$33,K115&lt;K$35,J$34,K115&lt;K$36,J$35,K115&lt;K$37,J$36,K115&lt;K$38,J$37,K115&lt;K$39,J$38,K115&lt;K$40,J$39,K115&lt;K$41,J$40,K115&lt;K$42,J$41,K115&lt;K$43,J$42,K115&lt;K$44,J$43,K115&lt;K$45,J$44,K115&lt;K$46,J$45,K115&lt;K$47,J$46,K115&gt;=K$47,J$47)</f>
        <v/>
      </c>
      <c r="K115" s="38" t="n">
        <v>65</v>
      </c>
      <c r="L115" s="31">
        <f>K115/52</f>
        <v/>
      </c>
      <c r="M115" s="39">
        <f>J115/1000000*52</f>
        <v/>
      </c>
      <c r="N115" s="33">
        <f>M115/$P$4+($I$22/$P$4)</f>
        <v/>
      </c>
      <c r="U115">
        <f>F114</f>
        <v/>
      </c>
      <c r="V115">
        <f>H114</f>
        <v/>
      </c>
      <c r="W115">
        <f>N114</f>
        <v/>
      </c>
    </row>
    <row r="116" ht="15.75" customHeight="1" s="40">
      <c r="C116" s="36">
        <f>_xlfn.IFS(E116&lt;E$24,0,E116&lt;E$26,C$24,E116&lt;E$28,C$26,E116&lt;E$30,C$28,E116&lt;E$32,C$30,E116&lt;E$34,C$32,E116&gt;=E$34,C$34)</f>
        <v/>
      </c>
      <c r="D116" s="37">
        <f>_xlfn.IFS(E116&lt;E$24,0,E116&lt;E$25,D$24,E116&lt;E$26,D$25,E116&lt;E$27,D$26,E116&lt;E$28,D$27,E116&lt;E$29,D$28,E116&lt;E$30,D$29,E116&lt;E$31,D$30,E116&lt;E$32,D$31,E116&lt;E$33,D$32,E116&lt;E$34,D$33,E116&lt;E$35,D$34,E116&gt;=E$35,D$35)</f>
        <v/>
      </c>
      <c r="E116" s="38" t="n">
        <v>66</v>
      </c>
      <c r="F116" s="31">
        <f>E116/52</f>
        <v/>
      </c>
      <c r="G116" s="39">
        <f>D116/1000000*52</f>
        <v/>
      </c>
      <c r="H116" s="33">
        <f>G116/$P$4+($C$22/$P$4)</f>
        <v/>
      </c>
      <c r="I116" s="36">
        <f>_xlfn.IFS(K116&lt;K$24,0,K116&lt;K$26,I$24,K116&lt;K$28,I$26,K116&lt;K$30,I$28,K116&lt;K$32,I$30,K116&lt;K$34,I$32,K116&lt;K$36,I$34,K116&lt;K$38,I$36,K116&lt;K$40,I$38,K116&lt;K$42,I$40,K116&lt;K$44,I$42,K116&lt;K$46,I$44,K116&gt;=K$46,I$46)</f>
        <v/>
      </c>
      <c r="J116" s="37">
        <f>_xlfn.IFS(K116&lt;K$24,0,K116&lt;K$25,J$24,K116&lt;K$26,J$25,K116&lt;K$27,J$26,K116&lt;K$28,J$27,K116&lt;K$29,J$28,K116&lt;K$30,J$29,K116&lt;K$31,J$30,K116&lt;K$32,J$31,K116&lt;K$33,J$32,K116&lt;K$34,J$33,K116&lt;K$35,J$34,K116&lt;K$36,J$35,K116&lt;K$37,J$36,K116&lt;K$38,J$37,K116&lt;K$39,J$38,K116&lt;K$40,J$39,K116&lt;K$41,J$40,K116&lt;K$42,J$41,K116&lt;K$43,J$42,K116&lt;K$44,J$43,K116&lt;K$45,J$44,K116&lt;K$46,J$45,K116&lt;K$47,J$46,K116&gt;=K$47,J$47)</f>
        <v/>
      </c>
      <c r="K116" s="38" t="n">
        <v>66</v>
      </c>
      <c r="L116" s="31">
        <f>K116/52</f>
        <v/>
      </c>
      <c r="M116" s="39">
        <f>J116/1000000*52</f>
        <v/>
      </c>
      <c r="N116" s="33">
        <f>M116/$P$4+($I$22/$P$4)</f>
        <v/>
      </c>
      <c r="U116">
        <f>F115</f>
        <v/>
      </c>
      <c r="V116">
        <f>H115</f>
        <v/>
      </c>
      <c r="W116">
        <f>N115</f>
        <v/>
      </c>
    </row>
    <row r="117" ht="15.75" customHeight="1" s="40">
      <c r="C117" s="36">
        <f>_xlfn.IFS(E117&lt;E$24,0,E117&lt;E$26,C$24,E117&lt;E$28,C$26,E117&lt;E$30,C$28,E117&lt;E$32,C$30,E117&lt;E$34,C$32,E117&gt;=E$34,C$34)</f>
        <v/>
      </c>
      <c r="D117" s="37">
        <f>_xlfn.IFS(E117&lt;E$24,0,E117&lt;E$25,D$24,E117&lt;E$26,D$25,E117&lt;E$27,D$26,E117&lt;E$28,D$27,E117&lt;E$29,D$28,E117&lt;E$30,D$29,E117&lt;E$31,D$30,E117&lt;E$32,D$31,E117&lt;E$33,D$32,E117&lt;E$34,D$33,E117&lt;E$35,D$34,E117&gt;=E$35,D$35)</f>
        <v/>
      </c>
      <c r="E117" s="38" t="n">
        <v>67</v>
      </c>
      <c r="F117" s="31">
        <f>E117/52</f>
        <v/>
      </c>
      <c r="G117" s="39">
        <f>D117/1000000*52</f>
        <v/>
      </c>
      <c r="H117" s="33">
        <f>G117/$P$4+($C$22/$P$4)</f>
        <v/>
      </c>
      <c r="I117" s="36">
        <f>_xlfn.IFS(K117&lt;K$24,0,K117&lt;K$26,I$24,K117&lt;K$28,I$26,K117&lt;K$30,I$28,K117&lt;K$32,I$30,K117&lt;K$34,I$32,K117&lt;K$36,I$34,K117&lt;K$38,I$36,K117&lt;K$40,I$38,K117&lt;K$42,I$40,K117&lt;K$44,I$42,K117&lt;K$46,I$44,K117&gt;=K$46,I$46)</f>
        <v/>
      </c>
      <c r="J117" s="37">
        <f>_xlfn.IFS(K117&lt;K$24,0,K117&lt;K$25,J$24,K117&lt;K$26,J$25,K117&lt;K$27,J$26,K117&lt;K$28,J$27,K117&lt;K$29,J$28,K117&lt;K$30,J$29,K117&lt;K$31,J$30,K117&lt;K$32,J$31,K117&lt;K$33,J$32,K117&lt;K$34,J$33,K117&lt;K$35,J$34,K117&lt;K$36,J$35,K117&lt;K$37,J$36,K117&lt;K$38,J$37,K117&lt;K$39,J$38,K117&lt;K$40,J$39,K117&lt;K$41,J$40,K117&lt;K$42,J$41,K117&lt;K$43,J$42,K117&lt;K$44,J$43,K117&lt;K$45,J$44,K117&lt;K$46,J$45,K117&lt;K$47,J$46,K117&gt;=K$47,J$47)</f>
        <v/>
      </c>
      <c r="K117" s="38" t="n">
        <v>67</v>
      </c>
      <c r="L117" s="31">
        <f>K117/52</f>
        <v/>
      </c>
      <c r="M117" s="39">
        <f>J117/1000000*52</f>
        <v/>
      </c>
      <c r="N117" s="33">
        <f>M117/$P$4+($I$22/$P$4)</f>
        <v/>
      </c>
      <c r="U117">
        <f>F116</f>
        <v/>
      </c>
      <c r="V117">
        <f>H116</f>
        <v/>
      </c>
      <c r="W117">
        <f>N116</f>
        <v/>
      </c>
    </row>
    <row r="118" ht="15.75" customHeight="1" s="40">
      <c r="C118" s="36">
        <f>_xlfn.IFS(E118&lt;E$24,0,E118&lt;E$26,C$24,E118&lt;E$28,C$26,E118&lt;E$30,C$28,E118&lt;E$32,C$30,E118&lt;E$34,C$32,E118&gt;=E$34,C$34)</f>
        <v/>
      </c>
      <c r="D118" s="37">
        <f>_xlfn.IFS(E118&lt;E$24,0,E118&lt;E$25,D$24,E118&lt;E$26,D$25,E118&lt;E$27,D$26,E118&lt;E$28,D$27,E118&lt;E$29,D$28,E118&lt;E$30,D$29,E118&lt;E$31,D$30,E118&lt;E$32,D$31,E118&lt;E$33,D$32,E118&lt;E$34,D$33,E118&lt;E$35,D$34,E118&gt;=E$35,D$35)</f>
        <v/>
      </c>
      <c r="E118" s="38" t="n">
        <v>68</v>
      </c>
      <c r="F118" s="31">
        <f>E118/52</f>
        <v/>
      </c>
      <c r="G118" s="39">
        <f>D118/1000000*52</f>
        <v/>
      </c>
      <c r="H118" s="33">
        <f>G118/$P$4+($C$22/$P$4)</f>
        <v/>
      </c>
      <c r="I118" s="36">
        <f>_xlfn.IFS(K118&lt;K$24,0,K118&lt;K$26,I$24,K118&lt;K$28,I$26,K118&lt;K$30,I$28,K118&lt;K$32,I$30,K118&lt;K$34,I$32,K118&lt;K$36,I$34,K118&lt;K$38,I$36,K118&lt;K$40,I$38,K118&lt;K$42,I$40,K118&lt;K$44,I$42,K118&lt;K$46,I$44,K118&gt;=K$46,I$46)</f>
        <v/>
      </c>
      <c r="J118" s="37">
        <f>_xlfn.IFS(K118&lt;K$24,0,K118&lt;K$25,J$24,K118&lt;K$26,J$25,K118&lt;K$27,J$26,K118&lt;K$28,J$27,K118&lt;K$29,J$28,K118&lt;K$30,J$29,K118&lt;K$31,J$30,K118&lt;K$32,J$31,K118&lt;K$33,J$32,K118&lt;K$34,J$33,K118&lt;K$35,J$34,K118&lt;K$36,J$35,K118&lt;K$37,J$36,K118&lt;K$38,J$37,K118&lt;K$39,J$38,K118&lt;K$40,J$39,K118&lt;K$41,J$40,K118&lt;K$42,J$41,K118&lt;K$43,J$42,K118&lt;K$44,J$43,K118&lt;K$45,J$44,K118&lt;K$46,J$45,K118&lt;K$47,J$46,K118&gt;=K$47,J$47)</f>
        <v/>
      </c>
      <c r="K118" s="38" t="n">
        <v>68</v>
      </c>
      <c r="L118" s="31">
        <f>K118/52</f>
        <v/>
      </c>
      <c r="M118" s="39">
        <f>J118/1000000*52</f>
        <v/>
      </c>
      <c r="N118" s="33">
        <f>M118/$P$4+($I$22/$P$4)</f>
        <v/>
      </c>
      <c r="U118">
        <f>F117</f>
        <v/>
      </c>
      <c r="V118">
        <f>H117</f>
        <v/>
      </c>
      <c r="W118">
        <f>N117</f>
        <v/>
      </c>
    </row>
    <row r="119" ht="15.75" customHeight="1" s="40">
      <c r="C119" s="36">
        <f>_xlfn.IFS(E119&lt;E$24,0,E119&lt;E$26,C$24,E119&lt;E$28,C$26,E119&lt;E$30,C$28,E119&lt;E$32,C$30,E119&lt;E$34,C$32,E119&gt;=E$34,C$34)</f>
        <v/>
      </c>
      <c r="D119" s="37">
        <f>_xlfn.IFS(E119&lt;E$24,0,E119&lt;E$25,D$24,E119&lt;E$26,D$25,E119&lt;E$27,D$26,E119&lt;E$28,D$27,E119&lt;E$29,D$28,E119&lt;E$30,D$29,E119&lt;E$31,D$30,E119&lt;E$32,D$31,E119&lt;E$33,D$32,E119&lt;E$34,D$33,E119&lt;E$35,D$34,E119&gt;=E$35,D$35)</f>
        <v/>
      </c>
      <c r="E119" s="38" t="n">
        <v>69</v>
      </c>
      <c r="F119" s="31">
        <f>E119/52</f>
        <v/>
      </c>
      <c r="G119" s="39">
        <f>D119/1000000*52</f>
        <v/>
      </c>
      <c r="H119" s="33">
        <f>G119/$P$4+($C$22/$P$4)</f>
        <v/>
      </c>
      <c r="I119" s="36">
        <f>_xlfn.IFS(K119&lt;K$24,0,K119&lt;K$26,I$24,K119&lt;K$28,I$26,K119&lt;K$30,I$28,K119&lt;K$32,I$30,K119&lt;K$34,I$32,K119&lt;K$36,I$34,K119&lt;K$38,I$36,K119&lt;K$40,I$38,K119&lt;K$42,I$40,K119&lt;K$44,I$42,K119&lt;K$46,I$44,K119&gt;=K$46,I$46)</f>
        <v/>
      </c>
      <c r="J119" s="37">
        <f>_xlfn.IFS(K119&lt;K$24,0,K119&lt;K$25,J$24,K119&lt;K$26,J$25,K119&lt;K$27,J$26,K119&lt;K$28,J$27,K119&lt;K$29,J$28,K119&lt;K$30,J$29,K119&lt;K$31,J$30,K119&lt;K$32,J$31,K119&lt;K$33,J$32,K119&lt;K$34,J$33,K119&lt;K$35,J$34,K119&lt;K$36,J$35,K119&lt;K$37,J$36,K119&lt;K$38,J$37,K119&lt;K$39,J$38,K119&lt;K$40,J$39,K119&lt;K$41,J$40,K119&lt;K$42,J$41,K119&lt;K$43,J$42,K119&lt;K$44,J$43,K119&lt;K$45,J$44,K119&lt;K$46,J$45,K119&lt;K$47,J$46,K119&gt;=K$47,J$47)</f>
        <v/>
      </c>
      <c r="K119" s="38" t="n">
        <v>69</v>
      </c>
      <c r="L119" s="31">
        <f>K119/52</f>
        <v/>
      </c>
      <c r="M119" s="39">
        <f>J119/1000000*52</f>
        <v/>
      </c>
      <c r="N119" s="33">
        <f>M119/$P$4+($I$22/$P$4)</f>
        <v/>
      </c>
      <c r="U119">
        <f>F118</f>
        <v/>
      </c>
      <c r="V119">
        <f>H118</f>
        <v/>
      </c>
      <c r="W119">
        <f>N118</f>
        <v/>
      </c>
    </row>
    <row r="120" ht="15.75" customHeight="1" s="40">
      <c r="C120" s="36">
        <f>_xlfn.IFS(E120&lt;E$24,0,E120&lt;E$26,C$24,E120&lt;E$28,C$26,E120&lt;E$30,C$28,E120&lt;E$32,C$30,E120&lt;E$34,C$32,E120&gt;=E$34,C$34)</f>
        <v/>
      </c>
      <c r="D120" s="37">
        <f>_xlfn.IFS(E120&lt;E$24,0,E120&lt;E$25,D$24,E120&lt;E$26,D$25,E120&lt;E$27,D$26,E120&lt;E$28,D$27,E120&lt;E$29,D$28,E120&lt;E$30,D$29,E120&lt;E$31,D$30,E120&lt;E$32,D$31,E120&lt;E$33,D$32,E120&lt;E$34,D$33,E120&lt;E$35,D$34,E120&gt;=E$35,D$35)</f>
        <v/>
      </c>
      <c r="E120" s="38" t="n">
        <v>70</v>
      </c>
      <c r="F120" s="31">
        <f>E120/52</f>
        <v/>
      </c>
      <c r="G120" s="39">
        <f>D120/1000000*52</f>
        <v/>
      </c>
      <c r="H120" s="33">
        <f>G120/$P$4+($C$22/$P$4)</f>
        <v/>
      </c>
      <c r="I120" s="36">
        <f>_xlfn.IFS(K120&lt;K$24,0,K120&lt;K$26,I$24,K120&lt;K$28,I$26,K120&lt;K$30,I$28,K120&lt;K$32,I$30,K120&lt;K$34,I$32,K120&lt;K$36,I$34,K120&lt;K$38,I$36,K120&lt;K$40,I$38,K120&lt;K$42,I$40,K120&lt;K$44,I$42,K120&lt;K$46,I$44,K120&gt;=K$46,I$46)</f>
        <v/>
      </c>
      <c r="J120" s="37">
        <f>_xlfn.IFS(K120&lt;K$24,0,K120&lt;K$25,J$24,K120&lt;K$26,J$25,K120&lt;K$27,J$26,K120&lt;K$28,J$27,K120&lt;K$29,J$28,K120&lt;K$30,J$29,K120&lt;K$31,J$30,K120&lt;K$32,J$31,K120&lt;K$33,J$32,K120&lt;K$34,J$33,K120&lt;K$35,J$34,K120&lt;K$36,J$35,K120&lt;K$37,J$36,K120&lt;K$38,J$37,K120&lt;K$39,J$38,K120&lt;K$40,J$39,K120&lt;K$41,J$40,K120&lt;K$42,J$41,K120&lt;K$43,J$42,K120&lt;K$44,J$43,K120&lt;K$45,J$44,K120&lt;K$46,J$45,K120&lt;K$47,J$46,K120&gt;=K$47,J$47)</f>
        <v/>
      </c>
      <c r="K120" s="38" t="n">
        <v>70</v>
      </c>
      <c r="L120" s="31">
        <f>K120/52</f>
        <v/>
      </c>
      <c r="M120" s="39">
        <f>J120/1000000*52</f>
        <v/>
      </c>
      <c r="N120" s="33">
        <f>M120/$P$4+($I$22/$P$4)</f>
        <v/>
      </c>
      <c r="U120">
        <f>F119</f>
        <v/>
      </c>
      <c r="V120">
        <f>H119</f>
        <v/>
      </c>
      <c r="W120">
        <f>N119</f>
        <v/>
      </c>
    </row>
    <row r="121" ht="15.75" customHeight="1" s="40">
      <c r="C121" s="36">
        <f>_xlfn.IFS(E121&lt;E$24,0,E121&lt;E$26,C$24,E121&lt;E$28,C$26,E121&lt;E$30,C$28,E121&lt;E$32,C$30,E121&lt;E$34,C$32,E121&gt;=E$34,C$34)</f>
        <v/>
      </c>
      <c r="D121" s="37">
        <f>_xlfn.IFS(E121&lt;E$24,0,E121&lt;E$25,D$24,E121&lt;E$26,D$25,E121&lt;E$27,D$26,E121&lt;E$28,D$27,E121&lt;E$29,D$28,E121&lt;E$30,D$29,E121&lt;E$31,D$30,E121&lt;E$32,D$31,E121&lt;E$33,D$32,E121&lt;E$34,D$33,E121&lt;E$35,D$34,E121&gt;=E$35,D$35)</f>
        <v/>
      </c>
      <c r="E121" s="38" t="n">
        <v>71</v>
      </c>
      <c r="F121" s="31">
        <f>E121/52</f>
        <v/>
      </c>
      <c r="G121" s="39">
        <f>D121/1000000*52</f>
        <v/>
      </c>
      <c r="H121" s="33">
        <f>G121/$P$4+($C$22/$P$4)</f>
        <v/>
      </c>
      <c r="I121" s="36">
        <f>_xlfn.IFS(K121&lt;K$24,0,K121&lt;K$26,I$24,K121&lt;K$28,I$26,K121&lt;K$30,I$28,K121&lt;K$32,I$30,K121&lt;K$34,I$32,K121&lt;K$36,I$34,K121&lt;K$38,I$36,K121&lt;K$40,I$38,K121&lt;K$42,I$40,K121&lt;K$44,I$42,K121&lt;K$46,I$44,K121&gt;=K$46,I$46)</f>
        <v/>
      </c>
      <c r="J121" s="37">
        <f>_xlfn.IFS(K121&lt;K$24,0,K121&lt;K$25,J$24,K121&lt;K$26,J$25,K121&lt;K$27,J$26,K121&lt;K$28,J$27,K121&lt;K$29,J$28,K121&lt;K$30,J$29,K121&lt;K$31,J$30,K121&lt;K$32,J$31,K121&lt;K$33,J$32,K121&lt;K$34,J$33,K121&lt;K$35,J$34,K121&lt;K$36,J$35,K121&lt;K$37,J$36,K121&lt;K$38,J$37,K121&lt;K$39,J$38,K121&lt;K$40,J$39,K121&lt;K$41,J$40,K121&lt;K$42,J$41,K121&lt;K$43,J$42,K121&lt;K$44,J$43,K121&lt;K$45,J$44,K121&lt;K$46,J$45,K121&lt;K$47,J$46,K121&gt;=K$47,J$47)</f>
        <v/>
      </c>
      <c r="K121" s="38" t="n">
        <v>71</v>
      </c>
      <c r="L121" s="31">
        <f>K121/52</f>
        <v/>
      </c>
      <c r="M121" s="39">
        <f>J121/1000000*52</f>
        <v/>
      </c>
      <c r="N121" s="33">
        <f>M121/$P$4+($I$22/$P$4)</f>
        <v/>
      </c>
      <c r="U121">
        <f>F120</f>
        <v/>
      </c>
      <c r="V121">
        <f>H120</f>
        <v/>
      </c>
      <c r="W121">
        <f>N120</f>
        <v/>
      </c>
    </row>
    <row r="122" ht="15.75" customHeight="1" s="40">
      <c r="C122" s="36">
        <f>_xlfn.IFS(E122&lt;E$24,0,E122&lt;E$26,C$24,E122&lt;E$28,C$26,E122&lt;E$30,C$28,E122&lt;E$32,C$30,E122&lt;E$34,C$32,E122&gt;=E$34,C$34)</f>
        <v/>
      </c>
      <c r="D122" s="37">
        <f>_xlfn.IFS(E122&lt;E$24,0,E122&lt;E$25,D$24,E122&lt;E$26,D$25,E122&lt;E$27,D$26,E122&lt;E$28,D$27,E122&lt;E$29,D$28,E122&lt;E$30,D$29,E122&lt;E$31,D$30,E122&lt;E$32,D$31,E122&lt;E$33,D$32,E122&lt;E$34,D$33,E122&lt;E$35,D$34,E122&gt;=E$35,D$35)</f>
        <v/>
      </c>
      <c r="E122" s="38" t="n">
        <v>72</v>
      </c>
      <c r="F122" s="31">
        <f>E122/52</f>
        <v/>
      </c>
      <c r="G122" s="39">
        <f>D122/1000000*52</f>
        <v/>
      </c>
      <c r="H122" s="33">
        <f>G122/$P$4+($C$22/$P$4)</f>
        <v/>
      </c>
      <c r="I122" s="36">
        <f>_xlfn.IFS(K122&lt;K$24,0,K122&lt;K$26,I$24,K122&lt;K$28,I$26,K122&lt;K$30,I$28,K122&lt;K$32,I$30,K122&lt;K$34,I$32,K122&lt;K$36,I$34,K122&lt;K$38,I$36,K122&lt;K$40,I$38,K122&lt;K$42,I$40,K122&lt;K$44,I$42,K122&lt;K$46,I$44,K122&gt;=K$46,I$46)</f>
        <v/>
      </c>
      <c r="J122" s="37">
        <f>_xlfn.IFS(K122&lt;K$24,0,K122&lt;K$25,J$24,K122&lt;K$26,J$25,K122&lt;K$27,J$26,K122&lt;K$28,J$27,K122&lt;K$29,J$28,K122&lt;K$30,J$29,K122&lt;K$31,J$30,K122&lt;K$32,J$31,K122&lt;K$33,J$32,K122&lt;K$34,J$33,K122&lt;K$35,J$34,K122&lt;K$36,J$35,K122&lt;K$37,J$36,K122&lt;K$38,J$37,K122&lt;K$39,J$38,K122&lt;K$40,J$39,K122&lt;K$41,J$40,K122&lt;K$42,J$41,K122&lt;K$43,J$42,K122&lt;K$44,J$43,K122&lt;K$45,J$44,K122&lt;K$46,J$45,K122&lt;K$47,J$46,K122&gt;=K$47,J$47)</f>
        <v/>
      </c>
      <c r="K122" s="38" t="n">
        <v>72</v>
      </c>
      <c r="L122" s="31">
        <f>K122/52</f>
        <v/>
      </c>
      <c r="M122" s="39">
        <f>J122/1000000*52</f>
        <v/>
      </c>
      <c r="N122" s="33">
        <f>M122/$P$4+($I$22/$P$4)</f>
        <v/>
      </c>
      <c r="U122">
        <f>F121</f>
        <v/>
      </c>
      <c r="V122">
        <f>H121</f>
        <v/>
      </c>
      <c r="W122">
        <f>N121</f>
        <v/>
      </c>
    </row>
    <row r="123" ht="15.75" customHeight="1" s="40">
      <c r="C123" s="36">
        <f>_xlfn.IFS(E123&lt;E$24,0,E123&lt;E$26,C$24,E123&lt;E$28,C$26,E123&lt;E$30,C$28,E123&lt;E$32,C$30,E123&lt;E$34,C$32,E123&gt;=E$34,C$34)</f>
        <v/>
      </c>
      <c r="D123" s="37">
        <f>_xlfn.IFS(E123&lt;E$24,0,E123&lt;E$25,D$24,E123&lt;E$26,D$25,E123&lt;E$27,D$26,E123&lt;E$28,D$27,E123&lt;E$29,D$28,E123&lt;E$30,D$29,E123&lt;E$31,D$30,E123&lt;E$32,D$31,E123&lt;E$33,D$32,E123&lt;E$34,D$33,E123&lt;E$35,D$34,E123&gt;=E$35,D$35)</f>
        <v/>
      </c>
      <c r="E123" s="38" t="n">
        <v>73</v>
      </c>
      <c r="F123" s="31">
        <f>E123/52</f>
        <v/>
      </c>
      <c r="G123" s="39">
        <f>D123/1000000*52</f>
        <v/>
      </c>
      <c r="H123" s="33">
        <f>G123/$P$4+($C$22/$P$4)</f>
        <v/>
      </c>
      <c r="I123" s="36">
        <f>_xlfn.IFS(K123&lt;K$24,0,K123&lt;K$26,I$24,K123&lt;K$28,I$26,K123&lt;K$30,I$28,K123&lt;K$32,I$30,K123&lt;K$34,I$32,K123&lt;K$36,I$34,K123&lt;K$38,I$36,K123&lt;K$40,I$38,K123&lt;K$42,I$40,K123&lt;K$44,I$42,K123&lt;K$46,I$44,K123&gt;=K$46,I$46)</f>
        <v/>
      </c>
      <c r="J123" s="37">
        <f>_xlfn.IFS(K123&lt;K$24,0,K123&lt;K$25,J$24,K123&lt;K$26,J$25,K123&lt;K$27,J$26,K123&lt;K$28,J$27,K123&lt;K$29,J$28,K123&lt;K$30,J$29,K123&lt;K$31,J$30,K123&lt;K$32,J$31,K123&lt;K$33,J$32,K123&lt;K$34,J$33,K123&lt;K$35,J$34,K123&lt;K$36,J$35,K123&lt;K$37,J$36,K123&lt;K$38,J$37,K123&lt;K$39,J$38,K123&lt;K$40,J$39,K123&lt;K$41,J$40,K123&lt;K$42,J$41,K123&lt;K$43,J$42,K123&lt;K$44,J$43,K123&lt;K$45,J$44,K123&lt;K$46,J$45,K123&lt;K$47,J$46,K123&gt;=K$47,J$47)</f>
        <v/>
      </c>
      <c r="K123" s="38" t="n">
        <v>73</v>
      </c>
      <c r="L123" s="31">
        <f>K123/52</f>
        <v/>
      </c>
      <c r="M123" s="39">
        <f>J123/1000000*52</f>
        <v/>
      </c>
      <c r="N123" s="33">
        <f>M123/$P$4+($I$22/$P$4)</f>
        <v/>
      </c>
      <c r="U123">
        <f>F122</f>
        <v/>
      </c>
      <c r="V123">
        <f>H122</f>
        <v/>
      </c>
      <c r="W123">
        <f>N122</f>
        <v/>
      </c>
    </row>
    <row r="124" ht="15.75" customHeight="1" s="40">
      <c r="C124" s="36">
        <f>_xlfn.IFS(E124&lt;E$24,0,E124&lt;E$26,C$24,E124&lt;E$28,C$26,E124&lt;E$30,C$28,E124&lt;E$32,C$30,E124&lt;E$34,C$32,E124&gt;=E$34,C$34)</f>
        <v/>
      </c>
      <c r="D124" s="37">
        <f>_xlfn.IFS(E124&lt;E$24,0,E124&lt;E$25,D$24,E124&lt;E$26,D$25,E124&lt;E$27,D$26,E124&lt;E$28,D$27,E124&lt;E$29,D$28,E124&lt;E$30,D$29,E124&lt;E$31,D$30,E124&lt;E$32,D$31,E124&lt;E$33,D$32,E124&lt;E$34,D$33,E124&lt;E$35,D$34,E124&gt;=E$35,D$35)</f>
        <v/>
      </c>
      <c r="E124" s="38" t="n">
        <v>74</v>
      </c>
      <c r="F124" s="31">
        <f>E124/52</f>
        <v/>
      </c>
      <c r="G124" s="39">
        <f>D124/1000000*52</f>
        <v/>
      </c>
      <c r="H124" s="33">
        <f>G124/$P$4+($C$22/$P$4)</f>
        <v/>
      </c>
      <c r="I124" s="36">
        <f>_xlfn.IFS(K124&lt;K$24,0,K124&lt;K$26,I$24,K124&lt;K$28,I$26,K124&lt;K$30,I$28,K124&lt;K$32,I$30,K124&lt;K$34,I$32,K124&lt;K$36,I$34,K124&lt;K$38,I$36,K124&lt;K$40,I$38,K124&lt;K$42,I$40,K124&lt;K$44,I$42,K124&lt;K$46,I$44,K124&gt;=K$46,I$46)</f>
        <v/>
      </c>
      <c r="J124" s="37">
        <f>_xlfn.IFS(K124&lt;K$24,0,K124&lt;K$25,J$24,K124&lt;K$26,J$25,K124&lt;K$27,J$26,K124&lt;K$28,J$27,K124&lt;K$29,J$28,K124&lt;K$30,J$29,K124&lt;K$31,J$30,K124&lt;K$32,J$31,K124&lt;K$33,J$32,K124&lt;K$34,J$33,K124&lt;K$35,J$34,K124&lt;K$36,J$35,K124&lt;K$37,J$36,K124&lt;K$38,J$37,K124&lt;K$39,J$38,K124&lt;K$40,J$39,K124&lt;K$41,J$40,K124&lt;K$42,J$41,K124&lt;K$43,J$42,K124&lt;K$44,J$43,K124&lt;K$45,J$44,K124&lt;K$46,J$45,K124&lt;K$47,J$46,K124&gt;=K$47,J$47)</f>
        <v/>
      </c>
      <c r="K124" s="38" t="n">
        <v>74</v>
      </c>
      <c r="L124" s="31">
        <f>K124/52</f>
        <v/>
      </c>
      <c r="M124" s="39">
        <f>J124/1000000*52</f>
        <v/>
      </c>
      <c r="N124" s="33">
        <f>M124/$P$4+($I$22/$P$4)</f>
        <v/>
      </c>
      <c r="U124">
        <f>F123</f>
        <v/>
      </c>
      <c r="V124">
        <f>H123</f>
        <v/>
      </c>
      <c r="W124">
        <f>N123</f>
        <v/>
      </c>
    </row>
    <row r="125" ht="15.75" customHeight="1" s="40">
      <c r="C125" s="36">
        <f>_xlfn.IFS(E125&lt;E$24,0,E125&lt;E$26,C$24,E125&lt;E$28,C$26,E125&lt;E$30,C$28,E125&lt;E$32,C$30,E125&lt;E$34,C$32,E125&gt;=E$34,C$34)</f>
        <v/>
      </c>
      <c r="D125" s="37">
        <f>_xlfn.IFS(E125&lt;E$24,0,E125&lt;E$25,D$24,E125&lt;E$26,D$25,E125&lt;E$27,D$26,E125&lt;E$28,D$27,E125&lt;E$29,D$28,E125&lt;E$30,D$29,E125&lt;E$31,D$30,E125&lt;E$32,D$31,E125&lt;E$33,D$32,E125&lt;E$34,D$33,E125&lt;E$35,D$34,E125&gt;=E$35,D$35)</f>
        <v/>
      </c>
      <c r="E125" s="38" t="n">
        <v>75</v>
      </c>
      <c r="F125" s="31">
        <f>E125/52</f>
        <v/>
      </c>
      <c r="G125" s="39">
        <f>D125/1000000*52</f>
        <v/>
      </c>
      <c r="H125" s="33">
        <f>G125/$P$4+($C$22/$P$4)</f>
        <v/>
      </c>
      <c r="I125" s="36">
        <f>_xlfn.IFS(K125&lt;K$24,0,K125&lt;K$26,I$24,K125&lt;K$28,I$26,K125&lt;K$30,I$28,K125&lt;K$32,I$30,K125&lt;K$34,I$32,K125&lt;K$36,I$34,K125&lt;K$38,I$36,K125&lt;K$40,I$38,K125&lt;K$42,I$40,K125&lt;K$44,I$42,K125&lt;K$46,I$44,K125&gt;=K$46,I$46)</f>
        <v/>
      </c>
      <c r="J125" s="37">
        <f>_xlfn.IFS(K125&lt;K$24,0,K125&lt;K$25,J$24,K125&lt;K$26,J$25,K125&lt;K$27,J$26,K125&lt;K$28,J$27,K125&lt;K$29,J$28,K125&lt;K$30,J$29,K125&lt;K$31,J$30,K125&lt;K$32,J$31,K125&lt;K$33,J$32,K125&lt;K$34,J$33,K125&lt;K$35,J$34,K125&lt;K$36,J$35,K125&lt;K$37,J$36,K125&lt;K$38,J$37,K125&lt;K$39,J$38,K125&lt;K$40,J$39,K125&lt;K$41,J$40,K125&lt;K$42,J$41,K125&lt;K$43,J$42,K125&lt;K$44,J$43,K125&lt;K$45,J$44,K125&lt;K$46,J$45,K125&lt;K$47,J$46,K125&gt;=K$47,J$47)</f>
        <v/>
      </c>
      <c r="K125" s="38" t="n">
        <v>75</v>
      </c>
      <c r="L125" s="31">
        <f>K125/52</f>
        <v/>
      </c>
      <c r="M125" s="39">
        <f>J125/1000000*52</f>
        <v/>
      </c>
      <c r="N125" s="33">
        <f>M125/$P$4+($I$22/$P$4)</f>
        <v/>
      </c>
      <c r="U125">
        <f>F124</f>
        <v/>
      </c>
      <c r="V125">
        <f>H124</f>
        <v/>
      </c>
      <c r="W125">
        <f>N124</f>
        <v/>
      </c>
    </row>
    <row r="126" ht="15.75" customHeight="1" s="40">
      <c r="C126" s="36">
        <f>_xlfn.IFS(E126&lt;E$24,0,E126&lt;E$26,C$24,E126&lt;E$28,C$26,E126&lt;E$30,C$28,E126&lt;E$32,C$30,E126&lt;E$34,C$32,E126&gt;=E$34,C$34)</f>
        <v/>
      </c>
      <c r="D126" s="37">
        <f>_xlfn.IFS(E126&lt;E$24,0,E126&lt;E$25,D$24,E126&lt;E$26,D$25,E126&lt;E$27,D$26,E126&lt;E$28,D$27,E126&lt;E$29,D$28,E126&lt;E$30,D$29,E126&lt;E$31,D$30,E126&lt;E$32,D$31,E126&lt;E$33,D$32,E126&lt;E$34,D$33,E126&lt;E$35,D$34,E126&gt;=E$35,D$35)</f>
        <v/>
      </c>
      <c r="E126" s="38" t="n">
        <v>76</v>
      </c>
      <c r="F126" s="31">
        <f>E126/52</f>
        <v/>
      </c>
      <c r="G126" s="39">
        <f>D126/1000000*52</f>
        <v/>
      </c>
      <c r="H126" s="33">
        <f>G126/$P$4+($C$22/$P$4)</f>
        <v/>
      </c>
      <c r="I126" s="36">
        <f>_xlfn.IFS(K126&lt;K$24,0,K126&lt;K$26,I$24,K126&lt;K$28,I$26,K126&lt;K$30,I$28,K126&lt;K$32,I$30,K126&lt;K$34,I$32,K126&lt;K$36,I$34,K126&lt;K$38,I$36,K126&lt;K$40,I$38,K126&lt;K$42,I$40,K126&lt;K$44,I$42,K126&lt;K$46,I$44,K126&gt;=K$46,I$46)</f>
        <v/>
      </c>
      <c r="J126" s="37">
        <f>_xlfn.IFS(K126&lt;K$24,0,K126&lt;K$25,J$24,K126&lt;K$26,J$25,K126&lt;K$27,J$26,K126&lt;K$28,J$27,K126&lt;K$29,J$28,K126&lt;K$30,J$29,K126&lt;K$31,J$30,K126&lt;K$32,J$31,K126&lt;K$33,J$32,K126&lt;K$34,J$33,K126&lt;K$35,J$34,K126&lt;K$36,J$35,K126&lt;K$37,J$36,K126&lt;K$38,J$37,K126&lt;K$39,J$38,K126&lt;K$40,J$39,K126&lt;K$41,J$40,K126&lt;K$42,J$41,K126&lt;K$43,J$42,K126&lt;K$44,J$43,K126&lt;K$45,J$44,K126&lt;K$46,J$45,K126&lt;K$47,J$46,K126&gt;=K$47,J$47)</f>
        <v/>
      </c>
      <c r="K126" s="38" t="n">
        <v>76</v>
      </c>
      <c r="L126" s="31">
        <f>K126/52</f>
        <v/>
      </c>
      <c r="M126" s="39">
        <f>J126/1000000*52</f>
        <v/>
      </c>
      <c r="N126" s="33">
        <f>M126/$P$4+($I$22/$P$4)</f>
        <v/>
      </c>
      <c r="U126">
        <f>F125</f>
        <v/>
      </c>
      <c r="V126">
        <f>H125</f>
        <v/>
      </c>
      <c r="W126">
        <f>N125</f>
        <v/>
      </c>
    </row>
    <row r="127" ht="15.75" customHeight="1" s="40">
      <c r="C127" s="36">
        <f>_xlfn.IFS(E127&lt;E$24,0,E127&lt;E$26,C$24,E127&lt;E$28,C$26,E127&lt;E$30,C$28,E127&lt;E$32,C$30,E127&lt;E$34,C$32,E127&gt;=E$34,C$34)</f>
        <v/>
      </c>
      <c r="D127" s="37">
        <f>_xlfn.IFS(E127&lt;E$24,0,E127&lt;E$25,D$24,E127&lt;E$26,D$25,E127&lt;E$27,D$26,E127&lt;E$28,D$27,E127&lt;E$29,D$28,E127&lt;E$30,D$29,E127&lt;E$31,D$30,E127&lt;E$32,D$31,E127&lt;E$33,D$32,E127&lt;E$34,D$33,E127&lt;E$35,D$34,E127&gt;=E$35,D$35)</f>
        <v/>
      </c>
      <c r="E127" s="38" t="n">
        <v>77</v>
      </c>
      <c r="F127" s="31">
        <f>E127/52</f>
        <v/>
      </c>
      <c r="G127" s="39">
        <f>D127/1000000*52</f>
        <v/>
      </c>
      <c r="H127" s="33">
        <f>G127/$P$4+($C$22/$P$4)</f>
        <v/>
      </c>
      <c r="I127" s="36">
        <f>_xlfn.IFS(K127&lt;K$24,0,K127&lt;K$26,I$24,K127&lt;K$28,I$26,K127&lt;K$30,I$28,K127&lt;K$32,I$30,K127&lt;K$34,I$32,K127&lt;K$36,I$34,K127&lt;K$38,I$36,K127&lt;K$40,I$38,K127&lt;K$42,I$40,K127&lt;K$44,I$42,K127&lt;K$46,I$44,K127&gt;=K$46,I$46)</f>
        <v/>
      </c>
      <c r="J127" s="37">
        <f>_xlfn.IFS(K127&lt;K$24,0,K127&lt;K$25,J$24,K127&lt;K$26,J$25,K127&lt;K$27,J$26,K127&lt;K$28,J$27,K127&lt;K$29,J$28,K127&lt;K$30,J$29,K127&lt;K$31,J$30,K127&lt;K$32,J$31,K127&lt;K$33,J$32,K127&lt;K$34,J$33,K127&lt;K$35,J$34,K127&lt;K$36,J$35,K127&lt;K$37,J$36,K127&lt;K$38,J$37,K127&lt;K$39,J$38,K127&lt;K$40,J$39,K127&lt;K$41,J$40,K127&lt;K$42,J$41,K127&lt;K$43,J$42,K127&lt;K$44,J$43,K127&lt;K$45,J$44,K127&lt;K$46,J$45,K127&lt;K$47,J$46,K127&gt;=K$47,J$47)</f>
        <v/>
      </c>
      <c r="K127" s="38" t="n">
        <v>77</v>
      </c>
      <c r="L127" s="31">
        <f>K127/52</f>
        <v/>
      </c>
      <c r="M127" s="39">
        <f>J127/1000000*52</f>
        <v/>
      </c>
      <c r="N127" s="33">
        <f>M127/$P$4+($I$22/$P$4)</f>
        <v/>
      </c>
      <c r="U127">
        <f>F126</f>
        <v/>
      </c>
      <c r="V127">
        <f>H126</f>
        <v/>
      </c>
      <c r="W127">
        <f>N126</f>
        <v/>
      </c>
    </row>
    <row r="128" ht="15.75" customHeight="1" s="40">
      <c r="C128" s="36">
        <f>_xlfn.IFS(E128&lt;E$24,0,E128&lt;E$26,C$24,E128&lt;E$28,C$26,E128&lt;E$30,C$28,E128&lt;E$32,C$30,E128&lt;E$34,C$32,E128&gt;=E$34,C$34)</f>
        <v/>
      </c>
      <c r="D128" s="37">
        <f>_xlfn.IFS(E128&lt;E$24,0,E128&lt;E$25,D$24,E128&lt;E$26,D$25,E128&lt;E$27,D$26,E128&lt;E$28,D$27,E128&lt;E$29,D$28,E128&lt;E$30,D$29,E128&lt;E$31,D$30,E128&lt;E$32,D$31,E128&lt;E$33,D$32,E128&lt;E$34,D$33,E128&lt;E$35,D$34,E128&gt;=E$35,D$35)</f>
        <v/>
      </c>
      <c r="E128" s="38" t="n">
        <v>78</v>
      </c>
      <c r="F128" s="31">
        <f>E128/52</f>
        <v/>
      </c>
      <c r="G128" s="39">
        <f>D128/1000000*52</f>
        <v/>
      </c>
      <c r="H128" s="33">
        <f>G128/$P$4+($C$22/$P$4)</f>
        <v/>
      </c>
      <c r="I128" s="36">
        <f>_xlfn.IFS(K128&lt;K$24,0,K128&lt;K$26,I$24,K128&lt;K$28,I$26,K128&lt;K$30,I$28,K128&lt;K$32,I$30,K128&lt;K$34,I$32,K128&lt;K$36,I$34,K128&lt;K$38,I$36,K128&lt;K$40,I$38,K128&lt;K$42,I$40,K128&lt;K$44,I$42,K128&lt;K$46,I$44,K128&gt;=K$46,I$46)</f>
        <v/>
      </c>
      <c r="J128" s="37">
        <f>_xlfn.IFS(K128&lt;K$24,0,K128&lt;K$25,J$24,K128&lt;K$26,J$25,K128&lt;K$27,J$26,K128&lt;K$28,J$27,K128&lt;K$29,J$28,K128&lt;K$30,J$29,K128&lt;K$31,J$30,K128&lt;K$32,J$31,K128&lt;K$33,J$32,K128&lt;K$34,J$33,K128&lt;K$35,J$34,K128&lt;K$36,J$35,K128&lt;K$37,J$36,K128&lt;K$38,J$37,K128&lt;K$39,J$38,K128&lt;K$40,J$39,K128&lt;K$41,J$40,K128&lt;K$42,J$41,K128&lt;K$43,J$42,K128&lt;K$44,J$43,K128&lt;K$45,J$44,K128&lt;K$46,J$45,K128&lt;K$47,J$46,K128&gt;=K$47,J$47)</f>
        <v/>
      </c>
      <c r="K128" s="38" t="n">
        <v>78</v>
      </c>
      <c r="L128" s="31">
        <f>K128/52</f>
        <v/>
      </c>
      <c r="M128" s="39">
        <f>J128/1000000*52</f>
        <v/>
      </c>
      <c r="N128" s="33">
        <f>M128/$P$4+($I$22/$P$4)</f>
        <v/>
      </c>
      <c r="U128">
        <f>F127</f>
        <v/>
      </c>
      <c r="V128">
        <f>H127</f>
        <v/>
      </c>
      <c r="W128">
        <f>N127</f>
        <v/>
      </c>
    </row>
    <row r="129" ht="15.75" customHeight="1" s="40">
      <c r="C129" s="36">
        <f>_xlfn.IFS(E129&lt;E$24,0,E129&lt;E$26,C$24,E129&lt;E$28,C$26,E129&lt;E$30,C$28,E129&lt;E$32,C$30,E129&lt;E$34,C$32,E129&gt;=E$34,C$34)</f>
        <v/>
      </c>
      <c r="D129" s="37">
        <f>_xlfn.IFS(E129&lt;E$24,0,E129&lt;E$25,D$24,E129&lt;E$26,D$25,E129&lt;E$27,D$26,E129&lt;E$28,D$27,E129&lt;E$29,D$28,E129&lt;E$30,D$29,E129&lt;E$31,D$30,E129&lt;E$32,D$31,E129&lt;E$33,D$32,E129&lt;E$34,D$33,E129&lt;E$35,D$34,E129&gt;=E$35,D$35)</f>
        <v/>
      </c>
      <c r="E129" s="38" t="n">
        <v>79</v>
      </c>
      <c r="F129" s="31">
        <f>E129/52</f>
        <v/>
      </c>
      <c r="G129" s="39">
        <f>D129/1000000*52</f>
        <v/>
      </c>
      <c r="H129" s="33">
        <f>G129/$P$4+($C$22/$P$4)</f>
        <v/>
      </c>
      <c r="I129" s="36">
        <f>_xlfn.IFS(K129&lt;K$24,0,K129&lt;K$26,I$24,K129&lt;K$28,I$26,K129&lt;K$30,I$28,K129&lt;K$32,I$30,K129&lt;K$34,I$32,K129&lt;K$36,I$34,K129&lt;K$38,I$36,K129&lt;K$40,I$38,K129&lt;K$42,I$40,K129&lt;K$44,I$42,K129&lt;K$46,I$44,K129&gt;=K$46,I$46)</f>
        <v/>
      </c>
      <c r="J129" s="37">
        <f>_xlfn.IFS(K129&lt;K$24,0,K129&lt;K$25,J$24,K129&lt;K$26,J$25,K129&lt;K$27,J$26,K129&lt;K$28,J$27,K129&lt;K$29,J$28,K129&lt;K$30,J$29,K129&lt;K$31,J$30,K129&lt;K$32,J$31,K129&lt;K$33,J$32,K129&lt;K$34,J$33,K129&lt;K$35,J$34,K129&lt;K$36,J$35,K129&lt;K$37,J$36,K129&lt;K$38,J$37,K129&lt;K$39,J$38,K129&lt;K$40,J$39,K129&lt;K$41,J$40,K129&lt;K$42,J$41,K129&lt;K$43,J$42,K129&lt;K$44,J$43,K129&lt;K$45,J$44,K129&lt;K$46,J$45,K129&lt;K$47,J$46,K129&gt;=K$47,J$47)</f>
        <v/>
      </c>
      <c r="K129" s="38" t="n">
        <v>79</v>
      </c>
      <c r="L129" s="31">
        <f>K129/52</f>
        <v/>
      </c>
      <c r="M129" s="39">
        <f>J129/1000000*52</f>
        <v/>
      </c>
      <c r="N129" s="33">
        <f>M129/$P$4+($I$22/$P$4)</f>
        <v/>
      </c>
      <c r="U129">
        <f>F128</f>
        <v/>
      </c>
      <c r="V129">
        <f>H128</f>
        <v/>
      </c>
      <c r="W129">
        <f>N128</f>
        <v/>
      </c>
    </row>
    <row r="130" ht="15.75" customHeight="1" s="40">
      <c r="C130" s="36">
        <f>_xlfn.IFS(E130&lt;E$24,0,E130&lt;E$26,C$24,E130&lt;E$28,C$26,E130&lt;E$30,C$28,E130&lt;E$32,C$30,E130&lt;E$34,C$32,E130&gt;=E$34,C$34)</f>
        <v/>
      </c>
      <c r="D130" s="37">
        <f>_xlfn.IFS(E130&lt;E$24,0,E130&lt;E$25,D$24,E130&lt;E$26,D$25,E130&lt;E$27,D$26,E130&lt;E$28,D$27,E130&lt;E$29,D$28,E130&lt;E$30,D$29,E130&lt;E$31,D$30,E130&lt;E$32,D$31,E130&lt;E$33,D$32,E130&lt;E$34,D$33,E130&lt;E$35,D$34,E130&gt;=E$35,D$35)</f>
        <v/>
      </c>
      <c r="E130" s="38" t="n">
        <v>80</v>
      </c>
      <c r="F130" s="31">
        <f>E130/52</f>
        <v/>
      </c>
      <c r="G130" s="39">
        <f>D130/1000000*52</f>
        <v/>
      </c>
      <c r="H130" s="33">
        <f>G130/$P$4+($C$22/$P$4)</f>
        <v/>
      </c>
      <c r="I130" s="36">
        <f>_xlfn.IFS(K130&lt;K$24,0,K130&lt;K$26,I$24,K130&lt;K$28,I$26,K130&lt;K$30,I$28,K130&lt;K$32,I$30,K130&lt;K$34,I$32,K130&lt;K$36,I$34,K130&lt;K$38,I$36,K130&lt;K$40,I$38,K130&lt;K$42,I$40,K130&lt;K$44,I$42,K130&lt;K$46,I$44,K130&gt;=K$46,I$46)</f>
        <v/>
      </c>
      <c r="J130" s="37">
        <f>_xlfn.IFS(K130&lt;K$24,0,K130&lt;K$25,J$24,K130&lt;K$26,J$25,K130&lt;K$27,J$26,K130&lt;K$28,J$27,K130&lt;K$29,J$28,K130&lt;K$30,J$29,K130&lt;K$31,J$30,K130&lt;K$32,J$31,K130&lt;K$33,J$32,K130&lt;K$34,J$33,K130&lt;K$35,J$34,K130&lt;K$36,J$35,K130&lt;K$37,J$36,K130&lt;K$38,J$37,K130&lt;K$39,J$38,K130&lt;K$40,J$39,K130&lt;K$41,J$40,K130&lt;K$42,J$41,K130&lt;K$43,J$42,K130&lt;K$44,J$43,K130&lt;K$45,J$44,K130&lt;K$46,J$45,K130&lt;K$47,J$46,K130&gt;=K$47,J$47)</f>
        <v/>
      </c>
      <c r="K130" s="38" t="n">
        <v>80</v>
      </c>
      <c r="L130" s="31">
        <f>K130/52</f>
        <v/>
      </c>
      <c r="M130" s="39">
        <f>J130/1000000*52</f>
        <v/>
      </c>
      <c r="N130" s="33">
        <f>M130/$P$4+($I$22/$P$4)</f>
        <v/>
      </c>
      <c r="U130">
        <f>F129</f>
        <v/>
      </c>
      <c r="V130">
        <f>H129</f>
        <v/>
      </c>
      <c r="W130">
        <f>N129</f>
        <v/>
      </c>
    </row>
    <row r="131" ht="15.75" customHeight="1" s="40">
      <c r="C131" s="36">
        <f>_xlfn.IFS(E131&lt;E$24,0,E131&lt;E$26,C$24,E131&lt;E$28,C$26,E131&lt;E$30,C$28,E131&lt;E$32,C$30,E131&lt;E$34,C$32,E131&gt;=E$34,C$34)</f>
        <v/>
      </c>
      <c r="D131" s="37">
        <f>_xlfn.IFS(E131&lt;E$24,0,E131&lt;E$25,D$24,E131&lt;E$26,D$25,E131&lt;E$27,D$26,E131&lt;E$28,D$27,E131&lt;E$29,D$28,E131&lt;E$30,D$29,E131&lt;E$31,D$30,E131&lt;E$32,D$31,E131&lt;E$33,D$32,E131&lt;E$34,D$33,E131&lt;E$35,D$34,E131&gt;=E$35,D$35)</f>
        <v/>
      </c>
      <c r="E131" s="38" t="n">
        <v>81</v>
      </c>
      <c r="F131" s="31">
        <f>E131/52</f>
        <v/>
      </c>
      <c r="G131" s="39">
        <f>D131/1000000*52</f>
        <v/>
      </c>
      <c r="H131" s="33">
        <f>G131/$P$4+($C$22/$P$4)</f>
        <v/>
      </c>
      <c r="I131" s="36">
        <f>_xlfn.IFS(K131&lt;K$24,0,K131&lt;K$26,I$24,K131&lt;K$28,I$26,K131&lt;K$30,I$28,K131&lt;K$32,I$30,K131&lt;K$34,I$32,K131&lt;K$36,I$34,K131&lt;K$38,I$36,K131&lt;K$40,I$38,K131&lt;K$42,I$40,K131&lt;K$44,I$42,K131&lt;K$46,I$44,K131&gt;=K$46,I$46)</f>
        <v/>
      </c>
      <c r="J131" s="37">
        <f>_xlfn.IFS(K131&lt;K$24,0,K131&lt;K$25,J$24,K131&lt;K$26,J$25,K131&lt;K$27,J$26,K131&lt;K$28,J$27,K131&lt;K$29,J$28,K131&lt;K$30,J$29,K131&lt;K$31,J$30,K131&lt;K$32,J$31,K131&lt;K$33,J$32,K131&lt;K$34,J$33,K131&lt;K$35,J$34,K131&lt;K$36,J$35,K131&lt;K$37,J$36,K131&lt;K$38,J$37,K131&lt;K$39,J$38,K131&lt;K$40,J$39,K131&lt;K$41,J$40,K131&lt;K$42,J$41,K131&lt;K$43,J$42,K131&lt;K$44,J$43,K131&lt;K$45,J$44,K131&lt;K$46,J$45,K131&lt;K$47,J$46,K131&gt;=K$47,J$47)</f>
        <v/>
      </c>
      <c r="K131" s="38" t="n">
        <v>81</v>
      </c>
      <c r="L131" s="31">
        <f>K131/52</f>
        <v/>
      </c>
      <c r="M131" s="39">
        <f>J131/1000000*52</f>
        <v/>
      </c>
      <c r="N131" s="33">
        <f>M131/$P$4+($I$22/$P$4)</f>
        <v/>
      </c>
      <c r="U131">
        <f>F130</f>
        <v/>
      </c>
      <c r="V131">
        <f>H130</f>
        <v/>
      </c>
      <c r="W131">
        <f>N130</f>
        <v/>
      </c>
    </row>
    <row r="132" ht="15.75" customHeight="1" s="40">
      <c r="C132" s="36">
        <f>_xlfn.IFS(E132&lt;E$24,0,E132&lt;E$26,C$24,E132&lt;E$28,C$26,E132&lt;E$30,C$28,E132&lt;E$32,C$30,E132&lt;E$34,C$32,E132&gt;=E$34,C$34)</f>
        <v/>
      </c>
      <c r="D132" s="37">
        <f>_xlfn.IFS(E132&lt;E$24,0,E132&lt;E$25,D$24,E132&lt;E$26,D$25,E132&lt;E$27,D$26,E132&lt;E$28,D$27,E132&lt;E$29,D$28,E132&lt;E$30,D$29,E132&lt;E$31,D$30,E132&lt;E$32,D$31,E132&lt;E$33,D$32,E132&lt;E$34,D$33,E132&lt;E$35,D$34,E132&gt;=E$35,D$35)</f>
        <v/>
      </c>
      <c r="E132" s="38" t="n">
        <v>82</v>
      </c>
      <c r="F132" s="31">
        <f>E132/52</f>
        <v/>
      </c>
      <c r="G132" s="39">
        <f>D132/1000000*52</f>
        <v/>
      </c>
      <c r="H132" s="33">
        <f>G132/$P$4+($C$22/$P$4)</f>
        <v/>
      </c>
      <c r="I132" s="36">
        <f>_xlfn.IFS(K132&lt;K$24,0,K132&lt;K$26,I$24,K132&lt;K$28,I$26,K132&lt;K$30,I$28,K132&lt;K$32,I$30,K132&lt;K$34,I$32,K132&lt;K$36,I$34,K132&lt;K$38,I$36,K132&lt;K$40,I$38,K132&lt;K$42,I$40,K132&lt;K$44,I$42,K132&lt;K$46,I$44,K132&gt;=K$46,I$46)</f>
        <v/>
      </c>
      <c r="J132" s="37">
        <f>_xlfn.IFS(K132&lt;K$24,0,K132&lt;K$25,J$24,K132&lt;K$26,J$25,K132&lt;K$27,J$26,K132&lt;K$28,J$27,K132&lt;K$29,J$28,K132&lt;K$30,J$29,K132&lt;K$31,J$30,K132&lt;K$32,J$31,K132&lt;K$33,J$32,K132&lt;K$34,J$33,K132&lt;K$35,J$34,K132&lt;K$36,J$35,K132&lt;K$37,J$36,K132&lt;K$38,J$37,K132&lt;K$39,J$38,K132&lt;K$40,J$39,K132&lt;K$41,J$40,K132&lt;K$42,J$41,K132&lt;K$43,J$42,K132&lt;K$44,J$43,K132&lt;K$45,J$44,K132&lt;K$46,J$45,K132&lt;K$47,J$46,K132&gt;=K$47,J$47)</f>
        <v/>
      </c>
      <c r="K132" s="38" t="n">
        <v>82</v>
      </c>
      <c r="L132" s="31">
        <f>K132/52</f>
        <v/>
      </c>
      <c r="M132" s="39">
        <f>J132/1000000*52</f>
        <v/>
      </c>
      <c r="N132" s="33">
        <f>M132/$P$4+($I$22/$P$4)</f>
        <v/>
      </c>
      <c r="U132">
        <f>F131</f>
        <v/>
      </c>
      <c r="V132">
        <f>H131</f>
        <v/>
      </c>
      <c r="W132">
        <f>N131</f>
        <v/>
      </c>
    </row>
    <row r="133" ht="15.75" customHeight="1" s="40">
      <c r="C133" s="36">
        <f>_xlfn.IFS(E133&lt;E$24,0,E133&lt;E$26,C$24,E133&lt;E$28,C$26,E133&lt;E$30,C$28,E133&lt;E$32,C$30,E133&lt;E$34,C$32,E133&gt;=E$34,C$34)</f>
        <v/>
      </c>
      <c r="D133" s="37">
        <f>_xlfn.IFS(E133&lt;E$24,0,E133&lt;E$25,D$24,E133&lt;E$26,D$25,E133&lt;E$27,D$26,E133&lt;E$28,D$27,E133&lt;E$29,D$28,E133&lt;E$30,D$29,E133&lt;E$31,D$30,E133&lt;E$32,D$31,E133&lt;E$33,D$32,E133&lt;E$34,D$33,E133&lt;E$35,D$34,E133&gt;=E$35,D$35)</f>
        <v/>
      </c>
      <c r="E133" s="38" t="n">
        <v>83</v>
      </c>
      <c r="F133" s="31">
        <f>E133/52</f>
        <v/>
      </c>
      <c r="G133" s="39">
        <f>D133/1000000*52</f>
        <v/>
      </c>
      <c r="H133" s="33">
        <f>G133/$P$4+($C$22/$P$4)</f>
        <v/>
      </c>
      <c r="I133" s="36">
        <f>_xlfn.IFS(K133&lt;K$24,0,K133&lt;K$26,I$24,K133&lt;K$28,I$26,K133&lt;K$30,I$28,K133&lt;K$32,I$30,K133&lt;K$34,I$32,K133&lt;K$36,I$34,K133&lt;K$38,I$36,K133&lt;K$40,I$38,K133&lt;K$42,I$40,K133&lt;K$44,I$42,K133&lt;K$46,I$44,K133&gt;=K$46,I$46)</f>
        <v/>
      </c>
      <c r="J133" s="37">
        <f>_xlfn.IFS(K133&lt;K$24,0,K133&lt;K$25,J$24,K133&lt;K$26,J$25,K133&lt;K$27,J$26,K133&lt;K$28,J$27,K133&lt;K$29,J$28,K133&lt;K$30,J$29,K133&lt;K$31,J$30,K133&lt;K$32,J$31,K133&lt;K$33,J$32,K133&lt;K$34,J$33,K133&lt;K$35,J$34,K133&lt;K$36,J$35,K133&lt;K$37,J$36,K133&lt;K$38,J$37,K133&lt;K$39,J$38,K133&lt;K$40,J$39,K133&lt;K$41,J$40,K133&lt;K$42,J$41,K133&lt;K$43,J$42,K133&lt;K$44,J$43,K133&lt;K$45,J$44,K133&lt;K$46,J$45,K133&lt;K$47,J$46,K133&gt;=K$47,J$47)</f>
        <v/>
      </c>
      <c r="K133" s="38" t="n">
        <v>83</v>
      </c>
      <c r="L133" s="31">
        <f>K133/52</f>
        <v/>
      </c>
      <c r="M133" s="39">
        <f>J133/1000000*52</f>
        <v/>
      </c>
      <c r="N133" s="33">
        <f>M133/$P$4+($I$22/$P$4)</f>
        <v/>
      </c>
      <c r="U133">
        <f>F132</f>
        <v/>
      </c>
      <c r="V133">
        <f>H132</f>
        <v/>
      </c>
      <c r="W133">
        <f>N132</f>
        <v/>
      </c>
    </row>
    <row r="134" ht="15.75" customHeight="1" s="40">
      <c r="C134" s="36">
        <f>_xlfn.IFS(E134&lt;E$24,0,E134&lt;E$26,C$24,E134&lt;E$28,C$26,E134&lt;E$30,C$28,E134&lt;E$32,C$30,E134&lt;E$34,C$32,E134&gt;=E$34,C$34)</f>
        <v/>
      </c>
      <c r="D134" s="37">
        <f>_xlfn.IFS(E134&lt;E$24,0,E134&lt;E$25,D$24,E134&lt;E$26,D$25,E134&lt;E$27,D$26,E134&lt;E$28,D$27,E134&lt;E$29,D$28,E134&lt;E$30,D$29,E134&lt;E$31,D$30,E134&lt;E$32,D$31,E134&lt;E$33,D$32,E134&lt;E$34,D$33,E134&lt;E$35,D$34,E134&gt;=E$35,D$35)</f>
        <v/>
      </c>
      <c r="E134" s="38" t="n">
        <v>84</v>
      </c>
      <c r="F134" s="31">
        <f>E134/52</f>
        <v/>
      </c>
      <c r="G134" s="39">
        <f>D134/1000000*52</f>
        <v/>
      </c>
      <c r="H134" s="33">
        <f>G134/$P$4+($C$22/$P$4)</f>
        <v/>
      </c>
      <c r="I134" s="36">
        <f>_xlfn.IFS(K134&lt;K$24,0,K134&lt;K$26,I$24,K134&lt;K$28,I$26,K134&lt;K$30,I$28,K134&lt;K$32,I$30,K134&lt;K$34,I$32,K134&lt;K$36,I$34,K134&lt;K$38,I$36,K134&lt;K$40,I$38,K134&lt;K$42,I$40,K134&lt;K$44,I$42,K134&lt;K$46,I$44,K134&gt;=K$46,I$46)</f>
        <v/>
      </c>
      <c r="J134" s="37">
        <f>_xlfn.IFS(K134&lt;K$24,0,K134&lt;K$25,J$24,K134&lt;K$26,J$25,K134&lt;K$27,J$26,K134&lt;K$28,J$27,K134&lt;K$29,J$28,K134&lt;K$30,J$29,K134&lt;K$31,J$30,K134&lt;K$32,J$31,K134&lt;K$33,J$32,K134&lt;K$34,J$33,K134&lt;K$35,J$34,K134&lt;K$36,J$35,K134&lt;K$37,J$36,K134&lt;K$38,J$37,K134&lt;K$39,J$38,K134&lt;K$40,J$39,K134&lt;K$41,J$40,K134&lt;K$42,J$41,K134&lt;K$43,J$42,K134&lt;K$44,J$43,K134&lt;K$45,J$44,K134&lt;K$46,J$45,K134&lt;K$47,J$46,K134&gt;=K$47,J$47)</f>
        <v/>
      </c>
      <c r="K134" s="38" t="n">
        <v>84</v>
      </c>
      <c r="L134" s="31">
        <f>K134/52</f>
        <v/>
      </c>
      <c r="M134" s="39">
        <f>J134/1000000*52</f>
        <v/>
      </c>
      <c r="N134" s="33">
        <f>M134/$P$4+($I$22/$P$4)</f>
        <v/>
      </c>
      <c r="U134">
        <f>F133</f>
        <v/>
      </c>
      <c r="V134">
        <f>H133</f>
        <v/>
      </c>
      <c r="W134">
        <f>N133</f>
        <v/>
      </c>
    </row>
    <row r="135" ht="15.75" customHeight="1" s="40">
      <c r="C135" s="36">
        <f>_xlfn.IFS(E135&lt;E$24,0,E135&lt;E$26,C$24,E135&lt;E$28,C$26,E135&lt;E$30,C$28,E135&lt;E$32,C$30,E135&lt;E$34,C$32,E135&gt;=E$34,C$34)</f>
        <v/>
      </c>
      <c r="D135" s="37">
        <f>_xlfn.IFS(E135&lt;E$24,0,E135&lt;E$25,D$24,E135&lt;E$26,D$25,E135&lt;E$27,D$26,E135&lt;E$28,D$27,E135&lt;E$29,D$28,E135&lt;E$30,D$29,E135&lt;E$31,D$30,E135&lt;E$32,D$31,E135&lt;E$33,D$32,E135&lt;E$34,D$33,E135&lt;E$35,D$34,E135&gt;=E$35,D$35)</f>
        <v/>
      </c>
      <c r="E135" s="38" t="n">
        <v>85</v>
      </c>
      <c r="F135" s="31">
        <f>E135/52</f>
        <v/>
      </c>
      <c r="G135" s="39">
        <f>D135/1000000*52</f>
        <v/>
      </c>
      <c r="H135" s="33">
        <f>G135/$P$4+($C$22/$P$4)</f>
        <v/>
      </c>
      <c r="I135" s="36">
        <f>_xlfn.IFS(K135&lt;K$24,0,K135&lt;K$26,I$24,K135&lt;K$28,I$26,K135&lt;K$30,I$28,K135&lt;K$32,I$30,K135&lt;K$34,I$32,K135&lt;K$36,I$34,K135&lt;K$38,I$36,K135&lt;K$40,I$38,K135&lt;K$42,I$40,K135&lt;K$44,I$42,K135&lt;K$46,I$44,K135&gt;=K$46,I$46)</f>
        <v/>
      </c>
      <c r="J135" s="37">
        <f>_xlfn.IFS(K135&lt;K$24,0,K135&lt;K$25,J$24,K135&lt;K$26,J$25,K135&lt;K$27,J$26,K135&lt;K$28,J$27,K135&lt;K$29,J$28,K135&lt;K$30,J$29,K135&lt;K$31,J$30,K135&lt;K$32,J$31,K135&lt;K$33,J$32,K135&lt;K$34,J$33,K135&lt;K$35,J$34,K135&lt;K$36,J$35,K135&lt;K$37,J$36,K135&lt;K$38,J$37,K135&lt;K$39,J$38,K135&lt;K$40,J$39,K135&lt;K$41,J$40,K135&lt;K$42,J$41,K135&lt;K$43,J$42,K135&lt;K$44,J$43,K135&lt;K$45,J$44,K135&lt;K$46,J$45,K135&lt;K$47,J$46,K135&gt;=K$47,J$47)</f>
        <v/>
      </c>
      <c r="K135" s="38" t="n">
        <v>85</v>
      </c>
      <c r="L135" s="31">
        <f>K135/52</f>
        <v/>
      </c>
      <c r="M135" s="39">
        <f>J135/1000000*52</f>
        <v/>
      </c>
      <c r="N135" s="33">
        <f>M135/$P$4+($I$22/$P$4)</f>
        <v/>
      </c>
      <c r="U135">
        <f>F134</f>
        <v/>
      </c>
      <c r="V135">
        <f>H134</f>
        <v/>
      </c>
      <c r="W135">
        <f>N134</f>
        <v/>
      </c>
    </row>
    <row r="136" ht="15.75" customHeight="1" s="40">
      <c r="C136" s="36">
        <f>_xlfn.IFS(E136&lt;E$24,0,E136&lt;E$26,C$24,E136&lt;E$28,C$26,E136&lt;E$30,C$28,E136&lt;E$32,C$30,E136&lt;E$34,C$32,E136&gt;=E$34,C$34)</f>
        <v/>
      </c>
      <c r="D136" s="37">
        <f>_xlfn.IFS(E136&lt;E$24,0,E136&lt;E$25,D$24,E136&lt;E$26,D$25,E136&lt;E$27,D$26,E136&lt;E$28,D$27,E136&lt;E$29,D$28,E136&lt;E$30,D$29,E136&lt;E$31,D$30,E136&lt;E$32,D$31,E136&lt;E$33,D$32,E136&lt;E$34,D$33,E136&lt;E$35,D$34,E136&gt;=E$35,D$35)</f>
        <v/>
      </c>
      <c r="E136" s="38" t="n">
        <v>86</v>
      </c>
      <c r="F136" s="31">
        <f>E136/52</f>
        <v/>
      </c>
      <c r="G136" s="39">
        <f>D136/1000000*52</f>
        <v/>
      </c>
      <c r="H136" s="33">
        <f>G136/$P$4+($C$22/$P$4)</f>
        <v/>
      </c>
      <c r="I136" s="36">
        <f>_xlfn.IFS(K136&lt;K$24,0,K136&lt;K$26,I$24,K136&lt;K$28,I$26,K136&lt;K$30,I$28,K136&lt;K$32,I$30,K136&lt;K$34,I$32,K136&lt;K$36,I$34,K136&lt;K$38,I$36,K136&lt;K$40,I$38,K136&lt;K$42,I$40,K136&lt;K$44,I$42,K136&lt;K$46,I$44,K136&gt;=K$46,I$46)</f>
        <v/>
      </c>
      <c r="J136" s="37">
        <f>_xlfn.IFS(K136&lt;K$24,0,K136&lt;K$25,J$24,K136&lt;K$26,J$25,K136&lt;K$27,J$26,K136&lt;K$28,J$27,K136&lt;K$29,J$28,K136&lt;K$30,J$29,K136&lt;K$31,J$30,K136&lt;K$32,J$31,K136&lt;K$33,J$32,K136&lt;K$34,J$33,K136&lt;K$35,J$34,K136&lt;K$36,J$35,K136&lt;K$37,J$36,K136&lt;K$38,J$37,K136&lt;K$39,J$38,K136&lt;K$40,J$39,K136&lt;K$41,J$40,K136&lt;K$42,J$41,K136&lt;K$43,J$42,K136&lt;K$44,J$43,K136&lt;K$45,J$44,K136&lt;K$46,J$45,K136&lt;K$47,J$46,K136&gt;=K$47,J$47)</f>
        <v/>
      </c>
      <c r="K136" s="38" t="n">
        <v>86</v>
      </c>
      <c r="L136" s="31">
        <f>K136/52</f>
        <v/>
      </c>
      <c r="M136" s="39">
        <f>J136/1000000*52</f>
        <v/>
      </c>
      <c r="N136" s="33">
        <f>M136/$P$4+($I$22/$P$4)</f>
        <v/>
      </c>
      <c r="U136">
        <f>F135</f>
        <v/>
      </c>
      <c r="V136">
        <f>H135</f>
        <v/>
      </c>
      <c r="W136">
        <f>N135</f>
        <v/>
      </c>
    </row>
    <row r="137" ht="15.75" customHeight="1" s="40">
      <c r="C137" s="36">
        <f>_xlfn.IFS(E137&lt;E$24,0,E137&lt;E$26,C$24,E137&lt;E$28,C$26,E137&lt;E$30,C$28,E137&lt;E$32,C$30,E137&lt;E$34,C$32,E137&gt;=E$34,C$34)</f>
        <v/>
      </c>
      <c r="D137" s="37">
        <f>_xlfn.IFS(E137&lt;E$24,0,E137&lt;E$25,D$24,E137&lt;E$26,D$25,E137&lt;E$27,D$26,E137&lt;E$28,D$27,E137&lt;E$29,D$28,E137&lt;E$30,D$29,E137&lt;E$31,D$30,E137&lt;E$32,D$31,E137&lt;E$33,D$32,E137&lt;E$34,D$33,E137&lt;E$35,D$34,E137&gt;=E$35,D$35)</f>
        <v/>
      </c>
      <c r="E137" s="38" t="n">
        <v>87</v>
      </c>
      <c r="F137" s="31">
        <f>E137/52</f>
        <v/>
      </c>
      <c r="G137" s="39">
        <f>D137/1000000*52</f>
        <v/>
      </c>
      <c r="H137" s="33">
        <f>G137/$P$4+($C$22/$P$4)</f>
        <v/>
      </c>
      <c r="I137" s="36">
        <f>_xlfn.IFS(K137&lt;K$24,0,K137&lt;K$26,I$24,K137&lt;K$28,I$26,K137&lt;K$30,I$28,K137&lt;K$32,I$30,K137&lt;K$34,I$32,K137&lt;K$36,I$34,K137&lt;K$38,I$36,K137&lt;K$40,I$38,K137&lt;K$42,I$40,K137&lt;K$44,I$42,K137&lt;K$46,I$44,K137&gt;=K$46,I$46)</f>
        <v/>
      </c>
      <c r="J137" s="37">
        <f>_xlfn.IFS(K137&lt;K$24,0,K137&lt;K$25,J$24,K137&lt;K$26,J$25,K137&lt;K$27,J$26,K137&lt;K$28,J$27,K137&lt;K$29,J$28,K137&lt;K$30,J$29,K137&lt;K$31,J$30,K137&lt;K$32,J$31,K137&lt;K$33,J$32,K137&lt;K$34,J$33,K137&lt;K$35,J$34,K137&lt;K$36,J$35,K137&lt;K$37,J$36,K137&lt;K$38,J$37,K137&lt;K$39,J$38,K137&lt;K$40,J$39,K137&lt;K$41,J$40,K137&lt;K$42,J$41,K137&lt;K$43,J$42,K137&lt;K$44,J$43,K137&lt;K$45,J$44,K137&lt;K$46,J$45,K137&lt;K$47,J$46,K137&gt;=K$47,J$47)</f>
        <v/>
      </c>
      <c r="K137" s="38" t="n">
        <v>87</v>
      </c>
      <c r="L137" s="31">
        <f>K137/52</f>
        <v/>
      </c>
      <c r="M137" s="39">
        <f>J137/1000000*52</f>
        <v/>
      </c>
      <c r="N137" s="33">
        <f>M137/$P$4+($I$22/$P$4)</f>
        <v/>
      </c>
      <c r="U137">
        <f>F136</f>
        <v/>
      </c>
      <c r="V137">
        <f>H136</f>
        <v/>
      </c>
      <c r="W137">
        <f>N136</f>
        <v/>
      </c>
    </row>
    <row r="138" ht="15.75" customHeight="1" s="40">
      <c r="C138" s="36">
        <f>_xlfn.IFS(E138&lt;E$24,0,E138&lt;E$26,C$24,E138&lt;E$28,C$26,E138&lt;E$30,C$28,E138&lt;E$32,C$30,E138&lt;E$34,C$32,E138&gt;=E$34,C$34)</f>
        <v/>
      </c>
      <c r="D138" s="37">
        <f>_xlfn.IFS(E138&lt;E$24,0,E138&lt;E$25,D$24,E138&lt;E$26,D$25,E138&lt;E$27,D$26,E138&lt;E$28,D$27,E138&lt;E$29,D$28,E138&lt;E$30,D$29,E138&lt;E$31,D$30,E138&lt;E$32,D$31,E138&lt;E$33,D$32,E138&lt;E$34,D$33,E138&lt;E$35,D$34,E138&gt;=E$35,D$35)</f>
        <v/>
      </c>
      <c r="E138" s="38" t="n">
        <v>88</v>
      </c>
      <c r="F138" s="31">
        <f>E138/52</f>
        <v/>
      </c>
      <c r="G138" s="39">
        <f>D138/1000000*52</f>
        <v/>
      </c>
      <c r="H138" s="33">
        <f>G138/$P$4+($C$22/$P$4)</f>
        <v/>
      </c>
      <c r="I138" s="36">
        <f>_xlfn.IFS(K138&lt;K$24,0,K138&lt;K$26,I$24,K138&lt;K$28,I$26,K138&lt;K$30,I$28,K138&lt;K$32,I$30,K138&lt;K$34,I$32,K138&lt;K$36,I$34,K138&lt;K$38,I$36,K138&lt;K$40,I$38,K138&lt;K$42,I$40,K138&lt;K$44,I$42,K138&lt;K$46,I$44,K138&gt;=K$46,I$46)</f>
        <v/>
      </c>
      <c r="J138" s="37">
        <f>_xlfn.IFS(K138&lt;K$24,0,K138&lt;K$25,J$24,K138&lt;K$26,J$25,K138&lt;K$27,J$26,K138&lt;K$28,J$27,K138&lt;K$29,J$28,K138&lt;K$30,J$29,K138&lt;K$31,J$30,K138&lt;K$32,J$31,K138&lt;K$33,J$32,K138&lt;K$34,J$33,K138&lt;K$35,J$34,K138&lt;K$36,J$35,K138&lt;K$37,J$36,K138&lt;K$38,J$37,K138&lt;K$39,J$38,K138&lt;K$40,J$39,K138&lt;K$41,J$40,K138&lt;K$42,J$41,K138&lt;K$43,J$42,K138&lt;K$44,J$43,K138&lt;K$45,J$44,K138&lt;K$46,J$45,K138&lt;K$47,J$46,K138&gt;=K$47,J$47)</f>
        <v/>
      </c>
      <c r="K138" s="38" t="n">
        <v>88</v>
      </c>
      <c r="L138" s="31">
        <f>K138/52</f>
        <v/>
      </c>
      <c r="M138" s="39">
        <f>J138/1000000*52</f>
        <v/>
      </c>
      <c r="N138" s="33">
        <f>M138/$P$4+($I$22/$P$4)</f>
        <v/>
      </c>
      <c r="U138">
        <f>F137</f>
        <v/>
      </c>
      <c r="V138">
        <f>H137</f>
        <v/>
      </c>
      <c r="W138">
        <f>N137</f>
        <v/>
      </c>
    </row>
    <row r="139" ht="15.75" customHeight="1" s="40">
      <c r="C139" s="36">
        <f>_xlfn.IFS(E139&lt;E$24,0,E139&lt;E$26,C$24,E139&lt;E$28,C$26,E139&lt;E$30,C$28,E139&lt;E$32,C$30,E139&lt;E$34,C$32,E139&gt;=E$34,C$34)</f>
        <v/>
      </c>
      <c r="D139" s="37">
        <f>_xlfn.IFS(E139&lt;E$24,0,E139&lt;E$25,D$24,E139&lt;E$26,D$25,E139&lt;E$27,D$26,E139&lt;E$28,D$27,E139&lt;E$29,D$28,E139&lt;E$30,D$29,E139&lt;E$31,D$30,E139&lt;E$32,D$31,E139&lt;E$33,D$32,E139&lt;E$34,D$33,E139&lt;E$35,D$34,E139&gt;=E$35,D$35)</f>
        <v/>
      </c>
      <c r="E139" s="38" t="n">
        <v>89</v>
      </c>
      <c r="F139" s="31">
        <f>E139/52</f>
        <v/>
      </c>
      <c r="G139" s="39">
        <f>D139/1000000*52</f>
        <v/>
      </c>
      <c r="H139" s="33">
        <f>G139/$P$4+($C$22/$P$4)</f>
        <v/>
      </c>
      <c r="I139" s="36">
        <f>_xlfn.IFS(K139&lt;K$24,0,K139&lt;K$26,I$24,K139&lt;K$28,I$26,K139&lt;K$30,I$28,K139&lt;K$32,I$30,K139&lt;K$34,I$32,K139&lt;K$36,I$34,K139&lt;K$38,I$36,K139&lt;K$40,I$38,K139&lt;K$42,I$40,K139&lt;K$44,I$42,K139&lt;K$46,I$44,K139&gt;=K$46,I$46)</f>
        <v/>
      </c>
      <c r="J139" s="37">
        <f>_xlfn.IFS(K139&lt;K$24,0,K139&lt;K$25,J$24,K139&lt;K$26,J$25,K139&lt;K$27,J$26,K139&lt;K$28,J$27,K139&lt;K$29,J$28,K139&lt;K$30,J$29,K139&lt;K$31,J$30,K139&lt;K$32,J$31,K139&lt;K$33,J$32,K139&lt;K$34,J$33,K139&lt;K$35,J$34,K139&lt;K$36,J$35,K139&lt;K$37,J$36,K139&lt;K$38,J$37,K139&lt;K$39,J$38,K139&lt;K$40,J$39,K139&lt;K$41,J$40,K139&lt;K$42,J$41,K139&lt;K$43,J$42,K139&lt;K$44,J$43,K139&lt;K$45,J$44,K139&lt;K$46,J$45,K139&lt;K$47,J$46,K139&gt;=K$47,J$47)</f>
        <v/>
      </c>
      <c r="K139" s="38" t="n">
        <v>89</v>
      </c>
      <c r="L139" s="31">
        <f>K139/52</f>
        <v/>
      </c>
      <c r="M139" s="39">
        <f>J139/1000000*52</f>
        <v/>
      </c>
      <c r="N139" s="33">
        <f>M139/$P$4+($I$22/$P$4)</f>
        <v/>
      </c>
      <c r="U139">
        <f>F138</f>
        <v/>
      </c>
      <c r="V139">
        <f>H138</f>
        <v/>
      </c>
      <c r="W139">
        <f>N138</f>
        <v/>
      </c>
    </row>
    <row r="140" ht="15.75" customHeight="1" s="40">
      <c r="C140" s="36">
        <f>_xlfn.IFS(E140&lt;E$24,0,E140&lt;E$26,C$24,E140&lt;E$28,C$26,E140&lt;E$30,C$28,E140&lt;E$32,C$30,E140&lt;E$34,C$32,E140&gt;=E$34,C$34)</f>
        <v/>
      </c>
      <c r="D140" s="37">
        <f>_xlfn.IFS(E140&lt;E$24,0,E140&lt;E$25,D$24,E140&lt;E$26,D$25,E140&lt;E$27,D$26,E140&lt;E$28,D$27,E140&lt;E$29,D$28,E140&lt;E$30,D$29,E140&lt;E$31,D$30,E140&lt;E$32,D$31,E140&lt;E$33,D$32,E140&lt;E$34,D$33,E140&lt;E$35,D$34,E140&gt;=E$35,D$35)</f>
        <v/>
      </c>
      <c r="E140" s="38" t="n">
        <v>90</v>
      </c>
      <c r="F140" s="31">
        <f>E140/52</f>
        <v/>
      </c>
      <c r="G140" s="39">
        <f>D140/1000000*52</f>
        <v/>
      </c>
      <c r="H140" s="33">
        <f>G140/$P$4+($C$22/$P$4)</f>
        <v/>
      </c>
      <c r="I140" s="36">
        <f>_xlfn.IFS(K140&lt;K$24,0,K140&lt;K$26,I$24,K140&lt;K$28,I$26,K140&lt;K$30,I$28,K140&lt;K$32,I$30,K140&lt;K$34,I$32,K140&lt;K$36,I$34,K140&lt;K$38,I$36,K140&lt;K$40,I$38,K140&lt;K$42,I$40,K140&lt;K$44,I$42,K140&lt;K$46,I$44,K140&gt;=K$46,I$46)</f>
        <v/>
      </c>
      <c r="J140" s="37">
        <f>_xlfn.IFS(K140&lt;K$24,0,K140&lt;K$25,J$24,K140&lt;K$26,J$25,K140&lt;K$27,J$26,K140&lt;K$28,J$27,K140&lt;K$29,J$28,K140&lt;K$30,J$29,K140&lt;K$31,J$30,K140&lt;K$32,J$31,K140&lt;K$33,J$32,K140&lt;K$34,J$33,K140&lt;K$35,J$34,K140&lt;K$36,J$35,K140&lt;K$37,J$36,K140&lt;K$38,J$37,K140&lt;K$39,J$38,K140&lt;K$40,J$39,K140&lt;K$41,J$40,K140&lt;K$42,J$41,K140&lt;K$43,J$42,K140&lt;K$44,J$43,K140&lt;K$45,J$44,K140&lt;K$46,J$45,K140&lt;K$47,J$46,K140&gt;=K$47,J$47)</f>
        <v/>
      </c>
      <c r="K140" s="38" t="n">
        <v>90</v>
      </c>
      <c r="L140" s="31">
        <f>K140/52</f>
        <v/>
      </c>
      <c r="M140" s="39">
        <f>J140/1000000*52</f>
        <v/>
      </c>
      <c r="N140" s="33">
        <f>M140/$P$4+($I$22/$P$4)</f>
        <v/>
      </c>
      <c r="U140">
        <f>F139</f>
        <v/>
      </c>
      <c r="V140">
        <f>H139</f>
        <v/>
      </c>
      <c r="W140">
        <f>N139</f>
        <v/>
      </c>
    </row>
    <row r="141" ht="15.75" customHeight="1" s="40">
      <c r="C141" s="36">
        <f>_xlfn.IFS(E141&lt;E$24,0,E141&lt;E$26,C$24,E141&lt;E$28,C$26,E141&lt;E$30,C$28,E141&lt;E$32,C$30,E141&lt;E$34,C$32,E141&gt;=E$34,C$34)</f>
        <v/>
      </c>
      <c r="D141" s="37">
        <f>_xlfn.IFS(E141&lt;E$24,0,E141&lt;E$25,D$24,E141&lt;E$26,D$25,E141&lt;E$27,D$26,E141&lt;E$28,D$27,E141&lt;E$29,D$28,E141&lt;E$30,D$29,E141&lt;E$31,D$30,E141&lt;E$32,D$31,E141&lt;E$33,D$32,E141&lt;E$34,D$33,E141&lt;E$35,D$34,E141&gt;=E$35,D$35)</f>
        <v/>
      </c>
      <c r="E141" s="38" t="n">
        <v>91</v>
      </c>
      <c r="F141" s="31">
        <f>E141/52</f>
        <v/>
      </c>
      <c r="G141" s="39">
        <f>D141/1000000*52</f>
        <v/>
      </c>
      <c r="H141" s="33">
        <f>G141/$P$4+($C$22/$P$4)</f>
        <v/>
      </c>
      <c r="I141" s="36">
        <f>_xlfn.IFS(K141&lt;K$24,0,K141&lt;K$26,I$24,K141&lt;K$28,I$26,K141&lt;K$30,I$28,K141&lt;K$32,I$30,K141&lt;K$34,I$32,K141&lt;K$36,I$34,K141&lt;K$38,I$36,K141&lt;K$40,I$38,K141&lt;K$42,I$40,K141&lt;K$44,I$42,K141&lt;K$46,I$44,K141&gt;=K$46,I$46)</f>
        <v/>
      </c>
      <c r="J141" s="37">
        <f>_xlfn.IFS(K141&lt;K$24,0,K141&lt;K$25,J$24,K141&lt;K$26,J$25,K141&lt;K$27,J$26,K141&lt;K$28,J$27,K141&lt;K$29,J$28,K141&lt;K$30,J$29,K141&lt;K$31,J$30,K141&lt;K$32,J$31,K141&lt;K$33,J$32,K141&lt;K$34,J$33,K141&lt;K$35,J$34,K141&lt;K$36,J$35,K141&lt;K$37,J$36,K141&lt;K$38,J$37,K141&lt;K$39,J$38,K141&lt;K$40,J$39,K141&lt;K$41,J$40,K141&lt;K$42,J$41,K141&lt;K$43,J$42,K141&lt;K$44,J$43,K141&lt;K$45,J$44,K141&lt;K$46,J$45,K141&lt;K$47,J$46,K141&gt;=K$47,J$47)</f>
        <v/>
      </c>
      <c r="K141" s="38" t="n">
        <v>91</v>
      </c>
      <c r="L141" s="31">
        <f>K141/52</f>
        <v/>
      </c>
      <c r="M141" s="39">
        <f>J141/1000000*52</f>
        <v/>
      </c>
      <c r="N141" s="33">
        <f>M141/$P$4+($I$22/$P$4)</f>
        <v/>
      </c>
      <c r="U141">
        <f>F140</f>
        <v/>
      </c>
      <c r="V141">
        <f>H140</f>
        <v/>
      </c>
      <c r="W141">
        <f>N140</f>
        <v/>
      </c>
    </row>
    <row r="142" ht="15.75" customHeight="1" s="40">
      <c r="C142" s="36">
        <f>_xlfn.IFS(E142&lt;E$24,0,E142&lt;E$26,C$24,E142&lt;E$28,C$26,E142&lt;E$30,C$28,E142&lt;E$32,C$30,E142&lt;E$34,C$32,E142&gt;=E$34,C$34)</f>
        <v/>
      </c>
      <c r="D142" s="37">
        <f>_xlfn.IFS(E142&lt;E$24,0,E142&lt;E$25,D$24,E142&lt;E$26,D$25,E142&lt;E$27,D$26,E142&lt;E$28,D$27,E142&lt;E$29,D$28,E142&lt;E$30,D$29,E142&lt;E$31,D$30,E142&lt;E$32,D$31,E142&lt;E$33,D$32,E142&lt;E$34,D$33,E142&lt;E$35,D$34,E142&gt;=E$35,D$35)</f>
        <v/>
      </c>
      <c r="E142" s="38" t="n">
        <v>92</v>
      </c>
      <c r="F142" s="31">
        <f>E142/52</f>
        <v/>
      </c>
      <c r="G142" s="39">
        <f>D142/1000000*52</f>
        <v/>
      </c>
      <c r="H142" s="33">
        <f>G142/$P$4+($C$22/$P$4)</f>
        <v/>
      </c>
      <c r="I142" s="36">
        <f>_xlfn.IFS(K142&lt;K$24,0,K142&lt;K$26,I$24,K142&lt;K$28,I$26,K142&lt;K$30,I$28,K142&lt;K$32,I$30,K142&lt;K$34,I$32,K142&lt;K$36,I$34,K142&lt;K$38,I$36,K142&lt;K$40,I$38,K142&lt;K$42,I$40,K142&lt;K$44,I$42,K142&lt;K$46,I$44,K142&gt;=K$46,I$46)</f>
        <v/>
      </c>
      <c r="J142" s="37">
        <f>_xlfn.IFS(K142&lt;K$24,0,K142&lt;K$25,J$24,K142&lt;K$26,J$25,K142&lt;K$27,J$26,K142&lt;K$28,J$27,K142&lt;K$29,J$28,K142&lt;K$30,J$29,K142&lt;K$31,J$30,K142&lt;K$32,J$31,K142&lt;K$33,J$32,K142&lt;K$34,J$33,K142&lt;K$35,J$34,K142&lt;K$36,J$35,K142&lt;K$37,J$36,K142&lt;K$38,J$37,K142&lt;K$39,J$38,K142&lt;K$40,J$39,K142&lt;K$41,J$40,K142&lt;K$42,J$41,K142&lt;K$43,J$42,K142&lt;K$44,J$43,K142&lt;K$45,J$44,K142&lt;K$46,J$45,K142&lt;K$47,J$46,K142&gt;=K$47,J$47)</f>
        <v/>
      </c>
      <c r="K142" s="38" t="n">
        <v>92</v>
      </c>
      <c r="L142" s="31">
        <f>K142/52</f>
        <v/>
      </c>
      <c r="M142" s="39">
        <f>J142/1000000*52</f>
        <v/>
      </c>
      <c r="N142" s="33">
        <f>M142/$P$4+($I$22/$P$4)</f>
        <v/>
      </c>
      <c r="U142">
        <f>F141</f>
        <v/>
      </c>
      <c r="V142">
        <f>H141</f>
        <v/>
      </c>
      <c r="W142">
        <f>N141</f>
        <v/>
      </c>
    </row>
    <row r="143" ht="15.75" customHeight="1" s="40">
      <c r="C143" s="36">
        <f>_xlfn.IFS(E143&lt;E$24,0,E143&lt;E$26,C$24,E143&lt;E$28,C$26,E143&lt;E$30,C$28,E143&lt;E$32,C$30,E143&lt;E$34,C$32,E143&gt;=E$34,C$34)</f>
        <v/>
      </c>
      <c r="D143" s="37">
        <f>_xlfn.IFS(E143&lt;E$24,0,E143&lt;E$25,D$24,E143&lt;E$26,D$25,E143&lt;E$27,D$26,E143&lt;E$28,D$27,E143&lt;E$29,D$28,E143&lt;E$30,D$29,E143&lt;E$31,D$30,E143&lt;E$32,D$31,E143&lt;E$33,D$32,E143&lt;E$34,D$33,E143&lt;E$35,D$34,E143&gt;=E$35,D$35)</f>
        <v/>
      </c>
      <c r="E143" s="38" t="n">
        <v>93</v>
      </c>
      <c r="F143" s="31">
        <f>E143/52</f>
        <v/>
      </c>
      <c r="G143" s="39">
        <f>D143/1000000*52</f>
        <v/>
      </c>
      <c r="H143" s="33">
        <f>G143/$P$4+($C$22/$P$4)</f>
        <v/>
      </c>
      <c r="I143" s="36">
        <f>_xlfn.IFS(K143&lt;K$24,0,K143&lt;K$26,I$24,K143&lt;K$28,I$26,K143&lt;K$30,I$28,K143&lt;K$32,I$30,K143&lt;K$34,I$32,K143&lt;K$36,I$34,K143&lt;K$38,I$36,K143&lt;K$40,I$38,K143&lt;K$42,I$40,K143&lt;K$44,I$42,K143&lt;K$46,I$44,K143&gt;=K$46,I$46)</f>
        <v/>
      </c>
      <c r="J143" s="37">
        <f>_xlfn.IFS(K143&lt;K$24,0,K143&lt;K$25,J$24,K143&lt;K$26,J$25,K143&lt;K$27,J$26,K143&lt;K$28,J$27,K143&lt;K$29,J$28,K143&lt;K$30,J$29,K143&lt;K$31,J$30,K143&lt;K$32,J$31,K143&lt;K$33,J$32,K143&lt;K$34,J$33,K143&lt;K$35,J$34,K143&lt;K$36,J$35,K143&lt;K$37,J$36,K143&lt;K$38,J$37,K143&lt;K$39,J$38,K143&lt;K$40,J$39,K143&lt;K$41,J$40,K143&lt;K$42,J$41,K143&lt;K$43,J$42,K143&lt;K$44,J$43,K143&lt;K$45,J$44,K143&lt;K$46,J$45,K143&lt;K$47,J$46,K143&gt;=K$47,J$47)</f>
        <v/>
      </c>
      <c r="K143" s="38" t="n">
        <v>93</v>
      </c>
      <c r="L143" s="31">
        <f>K143/52</f>
        <v/>
      </c>
      <c r="M143" s="39">
        <f>J143/1000000*52</f>
        <v/>
      </c>
      <c r="N143" s="33">
        <f>M143/$P$4+($I$22/$P$4)</f>
        <v/>
      </c>
      <c r="U143">
        <f>F142</f>
        <v/>
      </c>
      <c r="V143">
        <f>H142</f>
        <v/>
      </c>
      <c r="W143">
        <f>N142</f>
        <v/>
      </c>
    </row>
    <row r="144" ht="15.75" customHeight="1" s="40">
      <c r="C144" s="36">
        <f>_xlfn.IFS(E144&lt;E$24,0,E144&lt;E$26,C$24,E144&lt;E$28,C$26,E144&lt;E$30,C$28,E144&lt;E$32,C$30,E144&lt;E$34,C$32,E144&gt;=E$34,C$34)</f>
        <v/>
      </c>
      <c r="D144" s="37">
        <f>_xlfn.IFS(E144&lt;E$24,0,E144&lt;E$25,D$24,E144&lt;E$26,D$25,E144&lt;E$27,D$26,E144&lt;E$28,D$27,E144&lt;E$29,D$28,E144&lt;E$30,D$29,E144&lt;E$31,D$30,E144&lt;E$32,D$31,E144&lt;E$33,D$32,E144&lt;E$34,D$33,E144&lt;E$35,D$34,E144&gt;=E$35,D$35)</f>
        <v/>
      </c>
      <c r="E144" s="38" t="n">
        <v>94</v>
      </c>
      <c r="F144" s="31">
        <f>E144/52</f>
        <v/>
      </c>
      <c r="G144" s="39">
        <f>D144/1000000*52</f>
        <v/>
      </c>
      <c r="H144" s="33">
        <f>G144/$P$4+($C$22/$P$4)</f>
        <v/>
      </c>
      <c r="I144" s="36">
        <f>_xlfn.IFS(K144&lt;K$24,0,K144&lt;K$26,I$24,K144&lt;K$28,I$26,K144&lt;K$30,I$28,K144&lt;K$32,I$30,K144&lt;K$34,I$32,K144&lt;K$36,I$34,K144&lt;K$38,I$36,K144&lt;K$40,I$38,K144&lt;K$42,I$40,K144&lt;K$44,I$42,K144&lt;K$46,I$44,K144&gt;=K$46,I$46)</f>
        <v/>
      </c>
      <c r="J144" s="37">
        <f>_xlfn.IFS(K144&lt;K$24,0,K144&lt;K$25,J$24,K144&lt;K$26,J$25,K144&lt;K$27,J$26,K144&lt;K$28,J$27,K144&lt;K$29,J$28,K144&lt;K$30,J$29,K144&lt;K$31,J$30,K144&lt;K$32,J$31,K144&lt;K$33,J$32,K144&lt;K$34,J$33,K144&lt;K$35,J$34,K144&lt;K$36,J$35,K144&lt;K$37,J$36,K144&lt;K$38,J$37,K144&lt;K$39,J$38,K144&lt;K$40,J$39,K144&lt;K$41,J$40,K144&lt;K$42,J$41,K144&lt;K$43,J$42,K144&lt;K$44,J$43,K144&lt;K$45,J$44,K144&lt;K$46,J$45,K144&lt;K$47,J$46,K144&gt;=K$47,J$47)</f>
        <v/>
      </c>
      <c r="K144" s="38" t="n">
        <v>94</v>
      </c>
      <c r="L144" s="31">
        <f>K144/52</f>
        <v/>
      </c>
      <c r="M144" s="39">
        <f>J144/1000000*52</f>
        <v/>
      </c>
      <c r="N144" s="33">
        <f>M144/$P$4+($I$22/$P$4)</f>
        <v/>
      </c>
      <c r="U144">
        <f>F143</f>
        <v/>
      </c>
      <c r="V144">
        <f>H143</f>
        <v/>
      </c>
      <c r="W144">
        <f>N143</f>
        <v/>
      </c>
    </row>
    <row r="145" ht="15.75" customHeight="1" s="40">
      <c r="C145" s="36">
        <f>_xlfn.IFS(E145&lt;E$24,0,E145&lt;E$26,C$24,E145&lt;E$28,C$26,E145&lt;E$30,C$28,E145&lt;E$32,C$30,E145&lt;E$34,C$32,E145&gt;=E$34,C$34)</f>
        <v/>
      </c>
      <c r="D145" s="37">
        <f>_xlfn.IFS(E145&lt;E$24,0,E145&lt;E$25,D$24,E145&lt;E$26,D$25,E145&lt;E$27,D$26,E145&lt;E$28,D$27,E145&lt;E$29,D$28,E145&lt;E$30,D$29,E145&lt;E$31,D$30,E145&lt;E$32,D$31,E145&lt;E$33,D$32,E145&lt;E$34,D$33,E145&lt;E$35,D$34,E145&gt;=E$35,D$35)</f>
        <v/>
      </c>
      <c r="E145" s="38" t="n">
        <v>95</v>
      </c>
      <c r="F145" s="31">
        <f>E145/52</f>
        <v/>
      </c>
      <c r="G145" s="39">
        <f>D145/1000000*52</f>
        <v/>
      </c>
      <c r="H145" s="33">
        <f>G145/$P$4+($C$22/$P$4)</f>
        <v/>
      </c>
      <c r="I145" s="36">
        <f>_xlfn.IFS(K145&lt;K$24,0,K145&lt;K$26,I$24,K145&lt;K$28,I$26,K145&lt;K$30,I$28,K145&lt;K$32,I$30,K145&lt;K$34,I$32,K145&lt;K$36,I$34,K145&lt;K$38,I$36,K145&lt;K$40,I$38,K145&lt;K$42,I$40,K145&lt;K$44,I$42,K145&lt;K$46,I$44,K145&gt;=K$46,I$46)</f>
        <v/>
      </c>
      <c r="J145" s="37">
        <f>_xlfn.IFS(K145&lt;K$24,0,K145&lt;K$25,J$24,K145&lt;K$26,J$25,K145&lt;K$27,J$26,K145&lt;K$28,J$27,K145&lt;K$29,J$28,K145&lt;K$30,J$29,K145&lt;K$31,J$30,K145&lt;K$32,J$31,K145&lt;K$33,J$32,K145&lt;K$34,J$33,K145&lt;K$35,J$34,K145&lt;K$36,J$35,K145&lt;K$37,J$36,K145&lt;K$38,J$37,K145&lt;K$39,J$38,K145&lt;K$40,J$39,K145&lt;K$41,J$40,K145&lt;K$42,J$41,K145&lt;K$43,J$42,K145&lt;K$44,J$43,K145&lt;K$45,J$44,K145&lt;K$46,J$45,K145&lt;K$47,J$46,K145&gt;=K$47,J$47)</f>
        <v/>
      </c>
      <c r="K145" s="38" t="n">
        <v>95</v>
      </c>
      <c r="L145" s="31">
        <f>K145/52</f>
        <v/>
      </c>
      <c r="M145" s="39">
        <f>J145/1000000*52</f>
        <v/>
      </c>
      <c r="N145" s="33">
        <f>M145/$P$4+($I$22/$P$4)</f>
        <v/>
      </c>
      <c r="U145">
        <f>F144</f>
        <v/>
      </c>
      <c r="V145">
        <f>H144</f>
        <v/>
      </c>
      <c r="W145">
        <f>N144</f>
        <v/>
      </c>
    </row>
    <row r="146" ht="15.75" customHeight="1" s="40">
      <c r="C146" s="36">
        <f>_xlfn.IFS(E146&lt;E$24,0,E146&lt;E$26,C$24,E146&lt;E$28,C$26,E146&lt;E$30,C$28,E146&lt;E$32,C$30,E146&lt;E$34,C$32,E146&gt;=E$34,C$34)</f>
        <v/>
      </c>
      <c r="D146" s="37">
        <f>_xlfn.IFS(E146&lt;E$24,0,E146&lt;E$25,D$24,E146&lt;E$26,D$25,E146&lt;E$27,D$26,E146&lt;E$28,D$27,E146&lt;E$29,D$28,E146&lt;E$30,D$29,E146&lt;E$31,D$30,E146&lt;E$32,D$31,E146&lt;E$33,D$32,E146&lt;E$34,D$33,E146&lt;E$35,D$34,E146&gt;=E$35,D$35)</f>
        <v/>
      </c>
      <c r="E146" s="38" t="n">
        <v>96</v>
      </c>
      <c r="F146" s="31">
        <f>E146/52</f>
        <v/>
      </c>
      <c r="G146" s="39">
        <f>D146/1000000*52</f>
        <v/>
      </c>
      <c r="H146" s="33">
        <f>G146/$P$4+($C$22/$P$4)</f>
        <v/>
      </c>
      <c r="I146" s="36">
        <f>_xlfn.IFS(K146&lt;K$24,0,K146&lt;K$26,I$24,K146&lt;K$28,I$26,K146&lt;K$30,I$28,K146&lt;K$32,I$30,K146&lt;K$34,I$32,K146&lt;K$36,I$34,K146&lt;K$38,I$36,K146&lt;K$40,I$38,K146&lt;K$42,I$40,K146&lt;K$44,I$42,K146&lt;K$46,I$44,K146&gt;=K$46,I$46)</f>
        <v/>
      </c>
      <c r="J146" s="37">
        <f>_xlfn.IFS(K146&lt;K$24,0,K146&lt;K$25,J$24,K146&lt;K$26,J$25,K146&lt;K$27,J$26,K146&lt;K$28,J$27,K146&lt;K$29,J$28,K146&lt;K$30,J$29,K146&lt;K$31,J$30,K146&lt;K$32,J$31,K146&lt;K$33,J$32,K146&lt;K$34,J$33,K146&lt;K$35,J$34,K146&lt;K$36,J$35,K146&lt;K$37,J$36,K146&lt;K$38,J$37,K146&lt;K$39,J$38,K146&lt;K$40,J$39,K146&lt;K$41,J$40,K146&lt;K$42,J$41,K146&lt;K$43,J$42,K146&lt;K$44,J$43,K146&lt;K$45,J$44,K146&lt;K$46,J$45,K146&lt;K$47,J$46,K146&gt;=K$47,J$47)</f>
        <v/>
      </c>
      <c r="K146" s="38" t="n">
        <v>96</v>
      </c>
      <c r="L146" s="31">
        <f>K146/52</f>
        <v/>
      </c>
      <c r="M146" s="39">
        <f>J146/1000000*52</f>
        <v/>
      </c>
      <c r="N146" s="33">
        <f>M146/$P$4+($I$22/$P$4)</f>
        <v/>
      </c>
      <c r="U146">
        <f>F145</f>
        <v/>
      </c>
      <c r="V146">
        <f>H145</f>
        <v/>
      </c>
      <c r="W146">
        <f>N145</f>
        <v/>
      </c>
    </row>
    <row r="147" ht="15.75" customHeight="1" s="40">
      <c r="C147" s="36">
        <f>_xlfn.IFS(E147&lt;E$24,0,E147&lt;E$26,C$24,E147&lt;E$28,C$26,E147&lt;E$30,C$28,E147&lt;E$32,C$30,E147&lt;E$34,C$32,E147&gt;=E$34,C$34)</f>
        <v/>
      </c>
      <c r="D147" s="37">
        <f>_xlfn.IFS(E147&lt;E$24,0,E147&lt;E$25,D$24,E147&lt;E$26,D$25,E147&lt;E$27,D$26,E147&lt;E$28,D$27,E147&lt;E$29,D$28,E147&lt;E$30,D$29,E147&lt;E$31,D$30,E147&lt;E$32,D$31,E147&lt;E$33,D$32,E147&lt;E$34,D$33,E147&lt;E$35,D$34,E147&gt;=E$35,D$35)</f>
        <v/>
      </c>
      <c r="E147" s="38" t="n">
        <v>97</v>
      </c>
      <c r="F147" s="31">
        <f>E147/52</f>
        <v/>
      </c>
      <c r="G147" s="39">
        <f>D147/1000000*52</f>
        <v/>
      </c>
      <c r="H147" s="33">
        <f>G147/$P$4+($C$22/$P$4)</f>
        <v/>
      </c>
      <c r="I147" s="36">
        <f>_xlfn.IFS(K147&lt;K$24,0,K147&lt;K$26,I$24,K147&lt;K$28,I$26,K147&lt;K$30,I$28,K147&lt;K$32,I$30,K147&lt;K$34,I$32,K147&lt;K$36,I$34,K147&lt;K$38,I$36,K147&lt;K$40,I$38,K147&lt;K$42,I$40,K147&lt;K$44,I$42,K147&lt;K$46,I$44,K147&gt;=K$46,I$46)</f>
        <v/>
      </c>
      <c r="J147" s="37">
        <f>_xlfn.IFS(K147&lt;K$24,0,K147&lt;K$25,J$24,K147&lt;K$26,J$25,K147&lt;K$27,J$26,K147&lt;K$28,J$27,K147&lt;K$29,J$28,K147&lt;K$30,J$29,K147&lt;K$31,J$30,K147&lt;K$32,J$31,K147&lt;K$33,J$32,K147&lt;K$34,J$33,K147&lt;K$35,J$34,K147&lt;K$36,J$35,K147&lt;K$37,J$36,K147&lt;K$38,J$37,K147&lt;K$39,J$38,K147&lt;K$40,J$39,K147&lt;K$41,J$40,K147&lt;K$42,J$41,K147&lt;K$43,J$42,K147&lt;K$44,J$43,K147&lt;K$45,J$44,K147&lt;K$46,J$45,K147&lt;K$47,J$46,K147&gt;=K$47,J$47)</f>
        <v/>
      </c>
      <c r="K147" s="38" t="n">
        <v>97</v>
      </c>
      <c r="L147" s="31">
        <f>K147/52</f>
        <v/>
      </c>
      <c r="M147" s="39">
        <f>J147/1000000*52</f>
        <v/>
      </c>
      <c r="N147" s="33">
        <f>M147/$P$4+($I$22/$P$4)</f>
        <v/>
      </c>
      <c r="U147">
        <f>F146</f>
        <v/>
      </c>
      <c r="V147">
        <f>H146</f>
        <v/>
      </c>
      <c r="W147">
        <f>N146</f>
        <v/>
      </c>
    </row>
    <row r="148" ht="15.75" customHeight="1" s="40">
      <c r="C148" s="36">
        <f>_xlfn.IFS(E148&lt;E$24,0,E148&lt;E$26,C$24,E148&lt;E$28,C$26,E148&lt;E$30,C$28,E148&lt;E$32,C$30,E148&lt;E$34,C$32,E148&gt;=E$34,C$34)</f>
        <v/>
      </c>
      <c r="D148" s="37">
        <f>_xlfn.IFS(E148&lt;E$24,0,E148&lt;E$25,D$24,E148&lt;E$26,D$25,E148&lt;E$27,D$26,E148&lt;E$28,D$27,E148&lt;E$29,D$28,E148&lt;E$30,D$29,E148&lt;E$31,D$30,E148&lt;E$32,D$31,E148&lt;E$33,D$32,E148&lt;E$34,D$33,E148&lt;E$35,D$34,E148&gt;=E$35,D$35)</f>
        <v/>
      </c>
      <c r="E148" s="38" t="n">
        <v>98</v>
      </c>
      <c r="F148" s="31">
        <f>E148/52</f>
        <v/>
      </c>
      <c r="G148" s="39">
        <f>D148/1000000*52</f>
        <v/>
      </c>
      <c r="H148" s="33">
        <f>G148/$P$4+($C$22/$P$4)</f>
        <v/>
      </c>
      <c r="I148" s="36">
        <f>_xlfn.IFS(K148&lt;K$24,0,K148&lt;K$26,I$24,K148&lt;K$28,I$26,K148&lt;K$30,I$28,K148&lt;K$32,I$30,K148&lt;K$34,I$32,K148&lt;K$36,I$34,K148&lt;K$38,I$36,K148&lt;K$40,I$38,K148&lt;K$42,I$40,K148&lt;K$44,I$42,K148&lt;K$46,I$44,K148&gt;=K$46,I$46)</f>
        <v/>
      </c>
      <c r="J148" s="37">
        <f>_xlfn.IFS(K148&lt;K$24,0,K148&lt;K$25,J$24,K148&lt;K$26,J$25,K148&lt;K$27,J$26,K148&lt;K$28,J$27,K148&lt;K$29,J$28,K148&lt;K$30,J$29,K148&lt;K$31,J$30,K148&lt;K$32,J$31,K148&lt;K$33,J$32,K148&lt;K$34,J$33,K148&lt;K$35,J$34,K148&lt;K$36,J$35,K148&lt;K$37,J$36,K148&lt;K$38,J$37,K148&lt;K$39,J$38,K148&lt;K$40,J$39,K148&lt;K$41,J$40,K148&lt;K$42,J$41,K148&lt;K$43,J$42,K148&lt;K$44,J$43,K148&lt;K$45,J$44,K148&lt;K$46,J$45,K148&lt;K$47,J$46,K148&gt;=K$47,J$47)</f>
        <v/>
      </c>
      <c r="K148" s="38" t="n">
        <v>98</v>
      </c>
      <c r="L148" s="31">
        <f>K148/52</f>
        <v/>
      </c>
      <c r="M148" s="39">
        <f>J148/1000000*52</f>
        <v/>
      </c>
      <c r="N148" s="33">
        <f>M148/$P$4+($I$22/$P$4)</f>
        <v/>
      </c>
      <c r="U148">
        <f>F147</f>
        <v/>
      </c>
      <c r="V148">
        <f>H147</f>
        <v/>
      </c>
      <c r="W148">
        <f>N147</f>
        <v/>
      </c>
    </row>
    <row r="149" ht="15.75" customHeight="1" s="40">
      <c r="C149" s="36">
        <f>_xlfn.IFS(E149&lt;E$24,0,E149&lt;E$26,C$24,E149&lt;E$28,C$26,E149&lt;E$30,C$28,E149&lt;E$32,C$30,E149&lt;E$34,C$32,E149&gt;=E$34,C$34)</f>
        <v/>
      </c>
      <c r="D149" s="37">
        <f>_xlfn.IFS(E149&lt;E$24,0,E149&lt;E$25,D$24,E149&lt;E$26,D$25,E149&lt;E$27,D$26,E149&lt;E$28,D$27,E149&lt;E$29,D$28,E149&lt;E$30,D$29,E149&lt;E$31,D$30,E149&lt;E$32,D$31,E149&lt;E$33,D$32,E149&lt;E$34,D$33,E149&lt;E$35,D$34,E149&gt;=E$35,D$35)</f>
        <v/>
      </c>
      <c r="E149" s="38" t="n">
        <v>99</v>
      </c>
      <c r="F149" s="31">
        <f>E149/52</f>
        <v/>
      </c>
      <c r="G149" s="39">
        <f>D149/1000000*52</f>
        <v/>
      </c>
      <c r="H149" s="33">
        <f>G149/$P$4+($C$22/$P$4)</f>
        <v/>
      </c>
      <c r="I149" s="36">
        <f>_xlfn.IFS(K149&lt;K$24,0,K149&lt;K$26,I$24,K149&lt;K$28,I$26,K149&lt;K$30,I$28,K149&lt;K$32,I$30,K149&lt;K$34,I$32,K149&lt;K$36,I$34,K149&lt;K$38,I$36,K149&lt;K$40,I$38,K149&lt;K$42,I$40,K149&lt;K$44,I$42,K149&lt;K$46,I$44,K149&gt;=K$46,I$46)</f>
        <v/>
      </c>
      <c r="J149" s="37">
        <f>_xlfn.IFS(K149&lt;K$24,0,K149&lt;K$25,J$24,K149&lt;K$26,J$25,K149&lt;K$27,J$26,K149&lt;K$28,J$27,K149&lt;K$29,J$28,K149&lt;K$30,J$29,K149&lt;K$31,J$30,K149&lt;K$32,J$31,K149&lt;K$33,J$32,K149&lt;K$34,J$33,K149&lt;K$35,J$34,K149&lt;K$36,J$35,K149&lt;K$37,J$36,K149&lt;K$38,J$37,K149&lt;K$39,J$38,K149&lt;K$40,J$39,K149&lt;K$41,J$40,K149&lt;K$42,J$41,K149&lt;K$43,J$42,K149&lt;K$44,J$43,K149&lt;K$45,J$44,K149&lt;K$46,J$45,K149&lt;K$47,J$46,K149&gt;=K$47,J$47)</f>
        <v/>
      </c>
      <c r="K149" s="38" t="n">
        <v>99</v>
      </c>
      <c r="L149" s="31">
        <f>K149/52</f>
        <v/>
      </c>
      <c r="M149" s="39">
        <f>J149/1000000*52</f>
        <v/>
      </c>
      <c r="N149" s="33">
        <f>M149/$P$4+($I$22/$P$4)</f>
        <v/>
      </c>
      <c r="U149">
        <f>F148</f>
        <v/>
      </c>
      <c r="V149">
        <f>H148</f>
        <v/>
      </c>
      <c r="W149">
        <f>N148</f>
        <v/>
      </c>
    </row>
    <row r="150" ht="15.75" customHeight="1" s="40">
      <c r="C150" s="36">
        <f>_xlfn.IFS(E150&lt;E$24,0,E150&lt;E$26,C$24,E150&lt;E$28,C$26,E150&lt;E$30,C$28,E150&lt;E$32,C$30,E150&lt;E$34,C$32,E150&gt;=E$34,C$34)</f>
        <v/>
      </c>
      <c r="D150" s="37">
        <f>_xlfn.IFS(E150&lt;E$24,0,E150&lt;E$25,D$24,E150&lt;E$26,D$25,E150&lt;E$27,D$26,E150&lt;E$28,D$27,E150&lt;E$29,D$28,E150&lt;E$30,D$29,E150&lt;E$31,D$30,E150&lt;E$32,D$31,E150&lt;E$33,D$32,E150&lt;E$34,D$33,E150&lt;E$35,D$34,E150&gt;=E$35,D$35)</f>
        <v/>
      </c>
      <c r="E150" s="38" t="n">
        <v>100</v>
      </c>
      <c r="F150" s="31">
        <f>E150/52</f>
        <v/>
      </c>
      <c r="G150" s="39">
        <f>D150/1000000*52</f>
        <v/>
      </c>
      <c r="H150" s="33">
        <f>G150/$P$4+($C$22/$P$4)</f>
        <v/>
      </c>
      <c r="I150" s="36">
        <f>_xlfn.IFS(K150&lt;K$24,0,K150&lt;K$26,I$24,K150&lt;K$28,I$26,K150&lt;K$30,I$28,K150&lt;K$32,I$30,K150&lt;K$34,I$32,K150&lt;K$36,I$34,K150&lt;K$38,I$36,K150&lt;K$40,I$38,K150&lt;K$42,I$40,K150&lt;K$44,I$42,K150&lt;K$46,I$44,K150&gt;=K$46,I$46)</f>
        <v/>
      </c>
      <c r="J150" s="37">
        <f>_xlfn.IFS(K150&lt;K$24,0,K150&lt;K$25,J$24,K150&lt;K$26,J$25,K150&lt;K$27,J$26,K150&lt;K$28,J$27,K150&lt;K$29,J$28,K150&lt;K$30,J$29,K150&lt;K$31,J$30,K150&lt;K$32,J$31,K150&lt;K$33,J$32,K150&lt;K$34,J$33,K150&lt;K$35,J$34,K150&lt;K$36,J$35,K150&lt;K$37,J$36,K150&lt;K$38,J$37,K150&lt;K$39,J$38,K150&lt;K$40,J$39,K150&lt;K$41,J$40,K150&lt;K$42,J$41,K150&lt;K$43,J$42,K150&lt;K$44,J$43,K150&lt;K$45,J$44,K150&lt;K$46,J$45,K150&lt;K$47,J$46,K150&gt;=K$47,J$47)</f>
        <v/>
      </c>
      <c r="K150" s="38" t="n">
        <v>100</v>
      </c>
      <c r="L150" s="31">
        <f>K150/52</f>
        <v/>
      </c>
      <c r="M150" s="39">
        <f>J150/1000000*52</f>
        <v/>
      </c>
      <c r="N150" s="33">
        <f>M150/$P$4+($I$22/$P$4)</f>
        <v/>
      </c>
      <c r="U150">
        <f>F149</f>
        <v/>
      </c>
      <c r="V150">
        <f>H149</f>
        <v/>
      </c>
      <c r="W150">
        <f>N149</f>
        <v/>
      </c>
    </row>
    <row r="151" ht="15.75" customHeight="1" s="40">
      <c r="C151" s="36">
        <f>_xlfn.IFS(E151&lt;E$24,0,E151&lt;E$26,C$24,E151&lt;E$28,C$26,E151&lt;E$30,C$28,E151&lt;E$32,C$30,E151&lt;E$34,C$32,E151&gt;=E$34,C$34)</f>
        <v/>
      </c>
      <c r="D151" s="37">
        <f>_xlfn.IFS(E151&lt;E$24,0,E151&lt;E$25,D$24,E151&lt;E$26,D$25,E151&lt;E$27,D$26,E151&lt;E$28,D$27,E151&lt;E$29,D$28,E151&lt;E$30,D$29,E151&lt;E$31,D$30,E151&lt;E$32,D$31,E151&lt;E$33,D$32,E151&lt;E$34,D$33,E151&lt;E$35,D$34,E151&gt;=E$35,D$35)</f>
        <v/>
      </c>
      <c r="E151" s="38" t="n">
        <v>101</v>
      </c>
      <c r="F151" s="31">
        <f>E151/52</f>
        <v/>
      </c>
      <c r="G151" s="39">
        <f>D151/1000000*52</f>
        <v/>
      </c>
      <c r="H151" s="33">
        <f>G151/$P$4+($C$22/$P$4)</f>
        <v/>
      </c>
      <c r="I151" s="36">
        <f>_xlfn.IFS(K151&lt;K$24,0,K151&lt;K$26,I$24,K151&lt;K$28,I$26,K151&lt;K$30,I$28,K151&lt;K$32,I$30,K151&lt;K$34,I$32,K151&lt;K$36,I$34,K151&lt;K$38,I$36,K151&lt;K$40,I$38,K151&lt;K$42,I$40,K151&lt;K$44,I$42,K151&lt;K$46,I$44,K151&gt;=K$46,I$46)</f>
        <v/>
      </c>
      <c r="J151" s="37">
        <f>_xlfn.IFS(K151&lt;K$24,0,K151&lt;K$25,J$24,K151&lt;K$26,J$25,K151&lt;K$27,J$26,K151&lt;K$28,J$27,K151&lt;K$29,J$28,K151&lt;K$30,J$29,K151&lt;K$31,J$30,K151&lt;K$32,J$31,K151&lt;K$33,J$32,K151&lt;K$34,J$33,K151&lt;K$35,J$34,K151&lt;K$36,J$35,K151&lt;K$37,J$36,K151&lt;K$38,J$37,K151&lt;K$39,J$38,K151&lt;K$40,J$39,K151&lt;K$41,J$40,K151&lt;K$42,J$41,K151&lt;K$43,J$42,K151&lt;K$44,J$43,K151&lt;K$45,J$44,K151&lt;K$46,J$45,K151&lt;K$47,J$46,K151&gt;=K$47,J$47)</f>
        <v/>
      </c>
      <c r="K151" s="38" t="n">
        <v>101</v>
      </c>
      <c r="L151" s="31">
        <f>K151/52</f>
        <v/>
      </c>
      <c r="M151" s="39">
        <f>J151/1000000*52</f>
        <v/>
      </c>
      <c r="N151" s="33">
        <f>M151/$P$4+($I$22/$P$4)</f>
        <v/>
      </c>
      <c r="U151">
        <f>F150</f>
        <v/>
      </c>
      <c r="V151">
        <f>H150</f>
        <v/>
      </c>
      <c r="W151">
        <f>N150</f>
        <v/>
      </c>
    </row>
    <row r="152" ht="15.75" customHeight="1" s="40">
      <c r="C152" s="36">
        <f>_xlfn.IFS(E152&lt;E$24,0,E152&lt;E$26,C$24,E152&lt;E$28,C$26,E152&lt;E$30,C$28,E152&lt;E$32,C$30,E152&lt;E$34,C$32,E152&gt;=E$34,C$34)</f>
        <v/>
      </c>
      <c r="D152" s="37">
        <f>_xlfn.IFS(E152&lt;E$24,0,E152&lt;E$25,D$24,E152&lt;E$26,D$25,E152&lt;E$27,D$26,E152&lt;E$28,D$27,E152&lt;E$29,D$28,E152&lt;E$30,D$29,E152&lt;E$31,D$30,E152&lt;E$32,D$31,E152&lt;E$33,D$32,E152&lt;E$34,D$33,E152&lt;E$35,D$34,E152&gt;=E$35,D$35)</f>
        <v/>
      </c>
      <c r="E152" s="38" t="n">
        <v>102</v>
      </c>
      <c r="F152" s="31">
        <f>E152/52</f>
        <v/>
      </c>
      <c r="G152" s="39">
        <f>D152/1000000*52</f>
        <v/>
      </c>
      <c r="H152" s="33">
        <f>G152/$P$4+($C$22/$P$4)</f>
        <v/>
      </c>
      <c r="I152" s="36">
        <f>_xlfn.IFS(K152&lt;K$24,0,K152&lt;K$26,I$24,K152&lt;K$28,I$26,K152&lt;K$30,I$28,K152&lt;K$32,I$30,K152&lt;K$34,I$32,K152&lt;K$36,I$34,K152&lt;K$38,I$36,K152&lt;K$40,I$38,K152&lt;K$42,I$40,K152&lt;K$44,I$42,K152&lt;K$46,I$44,K152&gt;=K$46,I$46)</f>
        <v/>
      </c>
      <c r="J152" s="37">
        <f>_xlfn.IFS(K152&lt;K$24,0,K152&lt;K$25,J$24,K152&lt;K$26,J$25,K152&lt;K$27,J$26,K152&lt;K$28,J$27,K152&lt;K$29,J$28,K152&lt;K$30,J$29,K152&lt;K$31,J$30,K152&lt;K$32,J$31,K152&lt;K$33,J$32,K152&lt;K$34,J$33,K152&lt;K$35,J$34,K152&lt;K$36,J$35,K152&lt;K$37,J$36,K152&lt;K$38,J$37,K152&lt;K$39,J$38,K152&lt;K$40,J$39,K152&lt;K$41,J$40,K152&lt;K$42,J$41,K152&lt;K$43,J$42,K152&lt;K$44,J$43,K152&lt;K$45,J$44,K152&lt;K$46,J$45,K152&lt;K$47,J$46,K152&gt;=K$47,J$47)</f>
        <v/>
      </c>
      <c r="K152" s="38" t="n">
        <v>102</v>
      </c>
      <c r="L152" s="31">
        <f>K152/52</f>
        <v/>
      </c>
      <c r="M152" s="39">
        <f>J152/1000000*52</f>
        <v/>
      </c>
      <c r="N152" s="33">
        <f>M152/$P$4+($I$22/$P$4)</f>
        <v/>
      </c>
      <c r="U152">
        <f>F151</f>
        <v/>
      </c>
      <c r="V152">
        <f>H151</f>
        <v/>
      </c>
      <c r="W152">
        <f>N151</f>
        <v/>
      </c>
    </row>
    <row r="153" ht="15.75" customHeight="1" s="40">
      <c r="C153" s="36">
        <f>_xlfn.IFS(E153&lt;E$24,0,E153&lt;E$26,C$24,E153&lt;E$28,C$26,E153&lt;E$30,C$28,E153&lt;E$32,C$30,E153&lt;E$34,C$32,E153&gt;=E$34,C$34)</f>
        <v/>
      </c>
      <c r="D153" s="37">
        <f>_xlfn.IFS(E153&lt;E$24,0,E153&lt;E$25,D$24,E153&lt;E$26,D$25,E153&lt;E$27,D$26,E153&lt;E$28,D$27,E153&lt;E$29,D$28,E153&lt;E$30,D$29,E153&lt;E$31,D$30,E153&lt;E$32,D$31,E153&lt;E$33,D$32,E153&lt;E$34,D$33,E153&lt;E$35,D$34,E153&gt;=E$35,D$35)</f>
        <v/>
      </c>
      <c r="E153" s="38" t="n">
        <v>103</v>
      </c>
      <c r="F153" s="31">
        <f>E153/52</f>
        <v/>
      </c>
      <c r="G153" s="39">
        <f>D153/1000000*52</f>
        <v/>
      </c>
      <c r="H153" s="33">
        <f>G153/$P$4+($C$22/$P$4)</f>
        <v/>
      </c>
      <c r="I153" s="36">
        <f>_xlfn.IFS(K153&lt;K$24,0,K153&lt;K$26,I$24,K153&lt;K$28,I$26,K153&lt;K$30,I$28,K153&lt;K$32,I$30,K153&lt;K$34,I$32,K153&lt;K$36,I$34,K153&lt;K$38,I$36,K153&lt;K$40,I$38,K153&lt;K$42,I$40,K153&lt;K$44,I$42,K153&lt;K$46,I$44,K153&gt;=K$46,I$46)</f>
        <v/>
      </c>
      <c r="J153" s="37">
        <f>_xlfn.IFS(K153&lt;K$24,0,K153&lt;K$25,J$24,K153&lt;K$26,J$25,K153&lt;K$27,J$26,K153&lt;K$28,J$27,K153&lt;K$29,J$28,K153&lt;K$30,J$29,K153&lt;K$31,J$30,K153&lt;K$32,J$31,K153&lt;K$33,J$32,K153&lt;K$34,J$33,K153&lt;K$35,J$34,K153&lt;K$36,J$35,K153&lt;K$37,J$36,K153&lt;K$38,J$37,K153&lt;K$39,J$38,K153&lt;K$40,J$39,K153&lt;K$41,J$40,K153&lt;K$42,J$41,K153&lt;K$43,J$42,K153&lt;K$44,J$43,K153&lt;K$45,J$44,K153&lt;K$46,J$45,K153&lt;K$47,J$46,K153&gt;=K$47,J$47)</f>
        <v/>
      </c>
      <c r="K153" s="38" t="n">
        <v>103</v>
      </c>
      <c r="L153" s="31">
        <f>K153/52</f>
        <v/>
      </c>
      <c r="M153" s="39">
        <f>J153/1000000*52</f>
        <v/>
      </c>
      <c r="N153" s="33">
        <f>M153/$P$4+($I$22/$P$4)</f>
        <v/>
      </c>
      <c r="U153">
        <f>F152</f>
        <v/>
      </c>
      <c r="V153">
        <f>H152</f>
        <v/>
      </c>
      <c r="W153">
        <f>N152</f>
        <v/>
      </c>
    </row>
    <row r="154" ht="15.75" customHeight="1" s="40">
      <c r="C154" s="36">
        <f>_xlfn.IFS(E154&lt;E$24,0,E154&lt;E$26,C$24,E154&lt;E$28,C$26,E154&lt;E$30,C$28,E154&lt;E$32,C$30,E154&lt;E$34,C$32,E154&gt;=E$34,C$34)</f>
        <v/>
      </c>
      <c r="D154" s="37">
        <f>_xlfn.IFS(E154&lt;E$24,0,E154&lt;E$25,D$24,E154&lt;E$26,D$25,E154&lt;E$27,D$26,E154&lt;E$28,D$27,E154&lt;E$29,D$28,E154&lt;E$30,D$29,E154&lt;E$31,D$30,E154&lt;E$32,D$31,E154&lt;E$33,D$32,E154&lt;E$34,D$33,E154&lt;E$35,D$34,E154&gt;=E$35,D$35)</f>
        <v/>
      </c>
      <c r="E154" s="38" t="n">
        <v>104</v>
      </c>
      <c r="F154" s="31">
        <f>E154/52</f>
        <v/>
      </c>
      <c r="G154" s="39">
        <f>D154/1000000*52</f>
        <v/>
      </c>
      <c r="H154" s="33">
        <f>G154/$P$4+($C$22/$P$4)</f>
        <v/>
      </c>
      <c r="I154" s="36">
        <f>_xlfn.IFS(K154&lt;K$24,0,K154&lt;K$26,I$24,K154&lt;K$28,I$26,K154&lt;K$30,I$28,K154&lt;K$32,I$30,K154&lt;K$34,I$32,K154&lt;K$36,I$34,K154&lt;K$38,I$36,K154&lt;K$40,I$38,K154&lt;K$42,I$40,K154&lt;K$44,I$42,K154&lt;K$46,I$44,K154&gt;=K$46,I$46)</f>
        <v/>
      </c>
      <c r="J154" s="37">
        <f>_xlfn.IFS(K154&lt;K$24,0,K154&lt;K$25,J$24,K154&lt;K$26,J$25,K154&lt;K$27,J$26,K154&lt;K$28,J$27,K154&lt;K$29,J$28,K154&lt;K$30,J$29,K154&lt;K$31,J$30,K154&lt;K$32,J$31,K154&lt;K$33,J$32,K154&lt;K$34,J$33,K154&lt;K$35,J$34,K154&lt;K$36,J$35,K154&lt;K$37,J$36,K154&lt;K$38,J$37,K154&lt;K$39,J$38,K154&lt;K$40,J$39,K154&lt;K$41,J$40,K154&lt;K$42,J$41,K154&lt;K$43,J$42,K154&lt;K$44,J$43,K154&lt;K$45,J$44,K154&lt;K$46,J$45,K154&lt;K$47,J$46,K154&gt;=K$47,J$47)</f>
        <v/>
      </c>
      <c r="K154" s="38" t="n">
        <v>104</v>
      </c>
      <c r="L154" s="31">
        <f>K154/52</f>
        <v/>
      </c>
      <c r="M154" s="39">
        <f>J154/1000000*52</f>
        <v/>
      </c>
      <c r="N154" s="33">
        <f>M154/$P$4+($I$22/$P$4)</f>
        <v/>
      </c>
      <c r="U154">
        <f>F153</f>
        <v/>
      </c>
      <c r="V154">
        <f>H153</f>
        <v/>
      </c>
      <c r="W154">
        <f>N153</f>
        <v/>
      </c>
    </row>
    <row r="155" ht="15.75" customHeight="1" s="40">
      <c r="C155" s="36">
        <f>_xlfn.IFS(E155&lt;E$24,0,E155&lt;E$26,C$24,E155&lt;E$28,C$26,E155&lt;E$30,C$28,E155&lt;E$32,C$30,E155&lt;E$34,C$32,E155&gt;=E$34,C$34)</f>
        <v/>
      </c>
      <c r="D155" s="37">
        <f>_xlfn.IFS(E155&lt;E$24,0,E155&lt;E$25,D$24,E155&lt;E$26,D$25,E155&lt;E$27,D$26,E155&lt;E$28,D$27,E155&lt;E$29,D$28,E155&lt;E$30,D$29,E155&lt;E$31,D$30,E155&lt;E$32,D$31,E155&lt;E$33,D$32,E155&lt;E$34,D$33,E155&lt;E$35,D$34,E155&gt;=E$35,D$35)</f>
        <v/>
      </c>
      <c r="E155" s="38" t="n">
        <v>105</v>
      </c>
      <c r="F155" s="31">
        <f>E155/52</f>
        <v/>
      </c>
      <c r="G155" s="39">
        <f>D155/1000000*52</f>
        <v/>
      </c>
      <c r="H155" s="33">
        <f>G155/$P$4+($C$22/$P$4)</f>
        <v/>
      </c>
      <c r="I155" s="36">
        <f>_xlfn.IFS(K155&lt;K$24,0,K155&lt;K$26,I$24,K155&lt;K$28,I$26,K155&lt;K$30,I$28,K155&lt;K$32,I$30,K155&lt;K$34,I$32,K155&lt;K$36,I$34,K155&lt;K$38,I$36,K155&lt;K$40,I$38,K155&lt;K$42,I$40,K155&lt;K$44,I$42,K155&lt;K$46,I$44,K155&gt;=K$46,I$46)</f>
        <v/>
      </c>
      <c r="J155" s="37">
        <f>_xlfn.IFS(K155&lt;K$24,0,K155&lt;K$25,J$24,K155&lt;K$26,J$25,K155&lt;K$27,J$26,K155&lt;K$28,J$27,K155&lt;K$29,J$28,K155&lt;K$30,J$29,K155&lt;K$31,J$30,K155&lt;K$32,J$31,K155&lt;K$33,J$32,K155&lt;K$34,J$33,K155&lt;K$35,J$34,K155&lt;K$36,J$35,K155&lt;K$37,J$36,K155&lt;K$38,J$37,K155&lt;K$39,J$38,K155&lt;K$40,J$39,K155&lt;K$41,J$40,K155&lt;K$42,J$41,K155&lt;K$43,J$42,K155&lt;K$44,J$43,K155&lt;K$45,J$44,K155&lt;K$46,J$45,K155&lt;K$47,J$46,K155&gt;=K$47,J$47)</f>
        <v/>
      </c>
      <c r="K155" s="38" t="n">
        <v>105</v>
      </c>
      <c r="L155" s="31">
        <f>K155/52</f>
        <v/>
      </c>
      <c r="M155" s="39">
        <f>J155/1000000*52</f>
        <v/>
      </c>
      <c r="N155" s="33">
        <f>M155/$P$4+($I$22/$P$4)</f>
        <v/>
      </c>
      <c r="U155">
        <f>F154</f>
        <v/>
      </c>
      <c r="V155">
        <f>H154</f>
        <v/>
      </c>
      <c r="W155">
        <f>N154</f>
        <v/>
      </c>
    </row>
    <row r="156" ht="15.75" customHeight="1" s="40">
      <c r="C156" s="36">
        <f>_xlfn.IFS(E156&lt;E$24,0,E156&lt;E$26,C$24,E156&lt;E$28,C$26,E156&lt;E$30,C$28,E156&lt;E$32,C$30,E156&lt;E$34,C$32,E156&gt;=E$34,C$34)</f>
        <v/>
      </c>
      <c r="D156" s="37">
        <f>_xlfn.IFS(E156&lt;E$24,0,E156&lt;E$25,D$24,E156&lt;E$26,D$25,E156&lt;E$27,D$26,E156&lt;E$28,D$27,E156&lt;E$29,D$28,E156&lt;E$30,D$29,E156&lt;E$31,D$30,E156&lt;E$32,D$31,E156&lt;E$33,D$32,E156&lt;E$34,D$33,E156&lt;E$35,D$34,E156&gt;=E$35,D$35)</f>
        <v/>
      </c>
      <c r="E156" s="38" t="n">
        <v>106</v>
      </c>
      <c r="F156" s="31">
        <f>E156/52</f>
        <v/>
      </c>
      <c r="G156" s="39">
        <f>D156/1000000*52</f>
        <v/>
      </c>
      <c r="H156" s="33">
        <f>G156/$P$4+($C$22/$P$4)</f>
        <v/>
      </c>
      <c r="I156" s="36">
        <f>_xlfn.IFS(K156&lt;K$24,0,K156&lt;K$26,I$24,K156&lt;K$28,I$26,K156&lt;K$30,I$28,K156&lt;K$32,I$30,K156&lt;K$34,I$32,K156&lt;K$36,I$34,K156&lt;K$38,I$36,K156&lt;K$40,I$38,K156&lt;K$42,I$40,K156&lt;K$44,I$42,K156&lt;K$46,I$44,K156&gt;=K$46,I$46)</f>
        <v/>
      </c>
      <c r="J156" s="37">
        <f>_xlfn.IFS(K156&lt;K$24,0,K156&lt;K$25,J$24,K156&lt;K$26,J$25,K156&lt;K$27,J$26,K156&lt;K$28,J$27,K156&lt;K$29,J$28,K156&lt;K$30,J$29,K156&lt;K$31,J$30,K156&lt;K$32,J$31,K156&lt;K$33,J$32,K156&lt;K$34,J$33,K156&lt;K$35,J$34,K156&lt;K$36,J$35,K156&lt;K$37,J$36,K156&lt;K$38,J$37,K156&lt;K$39,J$38,K156&lt;K$40,J$39,K156&lt;K$41,J$40,K156&lt;K$42,J$41,K156&lt;K$43,J$42,K156&lt;K$44,J$43,K156&lt;K$45,J$44,K156&lt;K$46,J$45,K156&lt;K$47,J$46,K156&gt;=K$47,J$47)</f>
        <v/>
      </c>
      <c r="K156" s="38" t="n">
        <v>106</v>
      </c>
      <c r="L156" s="31">
        <f>K156/52</f>
        <v/>
      </c>
      <c r="M156" s="39">
        <f>J156/1000000*52</f>
        <v/>
      </c>
      <c r="N156" s="33">
        <f>M156/$P$4+($I$22/$P$4)</f>
        <v/>
      </c>
      <c r="U156">
        <f>F155</f>
        <v/>
      </c>
      <c r="V156">
        <f>H155</f>
        <v/>
      </c>
      <c r="W156">
        <f>N155</f>
        <v/>
      </c>
    </row>
    <row r="157" ht="15.75" customHeight="1" s="40">
      <c r="C157" s="36">
        <f>_xlfn.IFS(E157&lt;E$24,0,E157&lt;E$26,C$24,E157&lt;E$28,C$26,E157&lt;E$30,C$28,E157&lt;E$32,C$30,E157&lt;E$34,C$32,E157&gt;=E$34,C$34)</f>
        <v/>
      </c>
      <c r="D157" s="37">
        <f>_xlfn.IFS(E157&lt;E$24,0,E157&lt;E$25,D$24,E157&lt;E$26,D$25,E157&lt;E$27,D$26,E157&lt;E$28,D$27,E157&lt;E$29,D$28,E157&lt;E$30,D$29,E157&lt;E$31,D$30,E157&lt;E$32,D$31,E157&lt;E$33,D$32,E157&lt;E$34,D$33,E157&lt;E$35,D$34,E157&gt;=E$35,D$35)</f>
        <v/>
      </c>
      <c r="E157" s="38" t="n">
        <v>107</v>
      </c>
      <c r="F157" s="31">
        <f>E157/52</f>
        <v/>
      </c>
      <c r="G157" s="39">
        <f>D157/1000000*52</f>
        <v/>
      </c>
      <c r="H157" s="33">
        <f>G157/$P$4+($C$22/$P$4)</f>
        <v/>
      </c>
      <c r="I157" s="36">
        <f>_xlfn.IFS(K157&lt;K$24,0,K157&lt;K$26,I$24,K157&lt;K$28,I$26,K157&lt;K$30,I$28,K157&lt;K$32,I$30,K157&lt;K$34,I$32,K157&lt;K$36,I$34,K157&lt;K$38,I$36,K157&lt;K$40,I$38,K157&lt;K$42,I$40,K157&lt;K$44,I$42,K157&lt;K$46,I$44,K157&gt;=K$46,I$46)</f>
        <v/>
      </c>
      <c r="J157" s="37">
        <f>_xlfn.IFS(K157&lt;K$24,0,K157&lt;K$25,J$24,K157&lt;K$26,J$25,K157&lt;K$27,J$26,K157&lt;K$28,J$27,K157&lt;K$29,J$28,K157&lt;K$30,J$29,K157&lt;K$31,J$30,K157&lt;K$32,J$31,K157&lt;K$33,J$32,K157&lt;K$34,J$33,K157&lt;K$35,J$34,K157&lt;K$36,J$35,K157&lt;K$37,J$36,K157&lt;K$38,J$37,K157&lt;K$39,J$38,K157&lt;K$40,J$39,K157&lt;K$41,J$40,K157&lt;K$42,J$41,K157&lt;K$43,J$42,K157&lt;K$44,J$43,K157&lt;K$45,J$44,K157&lt;K$46,J$45,K157&lt;K$47,J$46,K157&gt;=K$47,J$47)</f>
        <v/>
      </c>
      <c r="K157" s="38" t="n">
        <v>107</v>
      </c>
      <c r="L157" s="31">
        <f>K157/52</f>
        <v/>
      </c>
      <c r="M157" s="39">
        <f>J157/1000000*52</f>
        <v/>
      </c>
      <c r="N157" s="33">
        <f>M157/$P$4+($I$22/$P$4)</f>
        <v/>
      </c>
      <c r="U157">
        <f>F156</f>
        <v/>
      </c>
      <c r="V157">
        <f>H156</f>
        <v/>
      </c>
      <c r="W157">
        <f>N156</f>
        <v/>
      </c>
    </row>
    <row r="158" ht="15.75" customHeight="1" s="40">
      <c r="C158" s="36">
        <f>_xlfn.IFS(E158&lt;E$24,0,E158&lt;E$26,C$24,E158&lt;E$28,C$26,E158&lt;E$30,C$28,E158&lt;E$32,C$30,E158&lt;E$34,C$32,E158&gt;=E$34,C$34)</f>
        <v/>
      </c>
      <c r="D158" s="37">
        <f>_xlfn.IFS(E158&lt;E$24,0,E158&lt;E$25,D$24,E158&lt;E$26,D$25,E158&lt;E$27,D$26,E158&lt;E$28,D$27,E158&lt;E$29,D$28,E158&lt;E$30,D$29,E158&lt;E$31,D$30,E158&lt;E$32,D$31,E158&lt;E$33,D$32,E158&lt;E$34,D$33,E158&lt;E$35,D$34,E158&gt;=E$35,D$35)</f>
        <v/>
      </c>
      <c r="E158" s="38" t="n">
        <v>108</v>
      </c>
      <c r="F158" s="31">
        <f>E158/52</f>
        <v/>
      </c>
      <c r="G158" s="39">
        <f>D158/1000000*52</f>
        <v/>
      </c>
      <c r="H158" s="33">
        <f>G158/$P$4+($C$22/$P$4)</f>
        <v/>
      </c>
      <c r="I158" s="36">
        <f>_xlfn.IFS(K158&lt;K$24,0,K158&lt;K$26,I$24,K158&lt;K$28,I$26,K158&lt;K$30,I$28,K158&lt;K$32,I$30,K158&lt;K$34,I$32,K158&lt;K$36,I$34,K158&lt;K$38,I$36,K158&lt;K$40,I$38,K158&lt;K$42,I$40,K158&lt;K$44,I$42,K158&lt;K$46,I$44,K158&gt;=K$46,I$46)</f>
        <v/>
      </c>
      <c r="J158" s="37">
        <f>_xlfn.IFS(K158&lt;K$24,0,K158&lt;K$25,J$24,K158&lt;K$26,J$25,K158&lt;K$27,J$26,K158&lt;K$28,J$27,K158&lt;K$29,J$28,K158&lt;K$30,J$29,K158&lt;K$31,J$30,K158&lt;K$32,J$31,K158&lt;K$33,J$32,K158&lt;K$34,J$33,K158&lt;K$35,J$34,K158&lt;K$36,J$35,K158&lt;K$37,J$36,K158&lt;K$38,J$37,K158&lt;K$39,J$38,K158&lt;K$40,J$39,K158&lt;K$41,J$40,K158&lt;K$42,J$41,K158&lt;K$43,J$42,K158&lt;K$44,J$43,K158&lt;K$45,J$44,K158&lt;K$46,J$45,K158&lt;K$47,J$46,K158&gt;=K$47,J$47)</f>
        <v/>
      </c>
      <c r="K158" s="38" t="n">
        <v>108</v>
      </c>
      <c r="L158" s="31">
        <f>K158/52</f>
        <v/>
      </c>
      <c r="M158" s="39">
        <f>J158/1000000*52</f>
        <v/>
      </c>
      <c r="N158" s="33">
        <f>M158/$P$4+($I$22/$P$4)</f>
        <v/>
      </c>
      <c r="U158">
        <f>F157</f>
        <v/>
      </c>
      <c r="V158">
        <f>H157</f>
        <v/>
      </c>
      <c r="W158">
        <f>N157</f>
        <v/>
      </c>
    </row>
    <row r="159" ht="15.75" customHeight="1" s="40">
      <c r="C159" s="36">
        <f>_xlfn.IFS(E159&lt;E$24,0,E159&lt;E$26,C$24,E159&lt;E$28,C$26,E159&lt;E$30,C$28,E159&lt;E$32,C$30,E159&lt;E$34,C$32,E159&gt;=E$34,C$34)</f>
        <v/>
      </c>
      <c r="D159" s="37">
        <f>_xlfn.IFS(E159&lt;E$24,0,E159&lt;E$25,D$24,E159&lt;E$26,D$25,E159&lt;E$27,D$26,E159&lt;E$28,D$27,E159&lt;E$29,D$28,E159&lt;E$30,D$29,E159&lt;E$31,D$30,E159&lt;E$32,D$31,E159&lt;E$33,D$32,E159&lt;E$34,D$33,E159&lt;E$35,D$34,E159&gt;=E$35,D$35)</f>
        <v/>
      </c>
      <c r="E159" s="38" t="n">
        <v>109</v>
      </c>
      <c r="F159" s="31">
        <f>E159/52</f>
        <v/>
      </c>
      <c r="G159" s="39">
        <f>D159/1000000*52</f>
        <v/>
      </c>
      <c r="H159" s="33">
        <f>G159/$P$4+($C$22/$P$4)</f>
        <v/>
      </c>
      <c r="I159" s="36">
        <f>_xlfn.IFS(K159&lt;K$24,0,K159&lt;K$26,I$24,K159&lt;K$28,I$26,K159&lt;K$30,I$28,K159&lt;K$32,I$30,K159&lt;K$34,I$32,K159&lt;K$36,I$34,K159&lt;K$38,I$36,K159&lt;K$40,I$38,K159&lt;K$42,I$40,K159&lt;K$44,I$42,K159&lt;K$46,I$44,K159&gt;=K$46,I$46)</f>
        <v/>
      </c>
      <c r="J159" s="37">
        <f>_xlfn.IFS(K159&lt;K$24,0,K159&lt;K$25,J$24,K159&lt;K$26,J$25,K159&lt;K$27,J$26,K159&lt;K$28,J$27,K159&lt;K$29,J$28,K159&lt;K$30,J$29,K159&lt;K$31,J$30,K159&lt;K$32,J$31,K159&lt;K$33,J$32,K159&lt;K$34,J$33,K159&lt;K$35,J$34,K159&lt;K$36,J$35,K159&lt;K$37,J$36,K159&lt;K$38,J$37,K159&lt;K$39,J$38,K159&lt;K$40,J$39,K159&lt;K$41,J$40,K159&lt;K$42,J$41,K159&lt;K$43,J$42,K159&lt;K$44,J$43,K159&lt;K$45,J$44,K159&lt;K$46,J$45,K159&lt;K$47,J$46,K159&gt;=K$47,J$47)</f>
        <v/>
      </c>
      <c r="K159" s="38" t="n">
        <v>109</v>
      </c>
      <c r="L159" s="31">
        <f>K159/52</f>
        <v/>
      </c>
      <c r="M159" s="39">
        <f>J159/1000000*52</f>
        <v/>
      </c>
      <c r="N159" s="33">
        <f>M159/$P$4+($I$22/$P$4)</f>
        <v/>
      </c>
      <c r="U159">
        <f>F158</f>
        <v/>
      </c>
      <c r="V159">
        <f>H158</f>
        <v/>
      </c>
      <c r="W159">
        <f>N158</f>
        <v/>
      </c>
    </row>
    <row r="160" ht="15.75" customHeight="1" s="40">
      <c r="C160" s="36">
        <f>_xlfn.IFS(E160&lt;E$24,0,E160&lt;E$26,C$24,E160&lt;E$28,C$26,E160&lt;E$30,C$28,E160&lt;E$32,C$30,E160&lt;E$34,C$32,E160&gt;=E$34,C$34)</f>
        <v/>
      </c>
      <c r="D160" s="37">
        <f>_xlfn.IFS(E160&lt;E$24,0,E160&lt;E$25,D$24,E160&lt;E$26,D$25,E160&lt;E$27,D$26,E160&lt;E$28,D$27,E160&lt;E$29,D$28,E160&lt;E$30,D$29,E160&lt;E$31,D$30,E160&lt;E$32,D$31,E160&lt;E$33,D$32,E160&lt;E$34,D$33,E160&lt;E$35,D$34,E160&gt;=E$35,D$35)</f>
        <v/>
      </c>
      <c r="E160" s="38" t="n">
        <v>110</v>
      </c>
      <c r="F160" s="31">
        <f>E160/52</f>
        <v/>
      </c>
      <c r="G160" s="39">
        <f>D160/1000000*52</f>
        <v/>
      </c>
      <c r="H160" s="33">
        <f>G160/$P$4+($C$22/$P$4)</f>
        <v/>
      </c>
      <c r="I160" s="36">
        <f>_xlfn.IFS(K160&lt;K$24,0,K160&lt;K$26,I$24,K160&lt;K$28,I$26,K160&lt;K$30,I$28,K160&lt;K$32,I$30,K160&lt;K$34,I$32,K160&lt;K$36,I$34,K160&lt;K$38,I$36,K160&lt;K$40,I$38,K160&lt;K$42,I$40,K160&lt;K$44,I$42,K160&lt;K$46,I$44,K160&gt;=K$46,I$46)</f>
        <v/>
      </c>
      <c r="J160" s="37">
        <f>_xlfn.IFS(K160&lt;K$24,0,K160&lt;K$25,J$24,K160&lt;K$26,J$25,K160&lt;K$27,J$26,K160&lt;K$28,J$27,K160&lt;K$29,J$28,K160&lt;K$30,J$29,K160&lt;K$31,J$30,K160&lt;K$32,J$31,K160&lt;K$33,J$32,K160&lt;K$34,J$33,K160&lt;K$35,J$34,K160&lt;K$36,J$35,K160&lt;K$37,J$36,K160&lt;K$38,J$37,K160&lt;K$39,J$38,K160&lt;K$40,J$39,K160&lt;K$41,J$40,K160&lt;K$42,J$41,K160&lt;K$43,J$42,K160&lt;K$44,J$43,K160&lt;K$45,J$44,K160&lt;K$46,J$45,K160&lt;K$47,J$46,K160&gt;=K$47,J$47)</f>
        <v/>
      </c>
      <c r="K160" s="38" t="n">
        <v>110</v>
      </c>
      <c r="L160" s="31">
        <f>K160/52</f>
        <v/>
      </c>
      <c r="M160" s="39">
        <f>J160/1000000*52</f>
        <v/>
      </c>
      <c r="N160" s="33">
        <f>M160/$P$4+($I$22/$P$4)</f>
        <v/>
      </c>
      <c r="U160">
        <f>F159</f>
        <v/>
      </c>
      <c r="V160">
        <f>H159</f>
        <v/>
      </c>
      <c r="W160">
        <f>N159</f>
        <v/>
      </c>
    </row>
    <row r="161" ht="15.75" customHeight="1" s="40">
      <c r="C161" s="36">
        <f>_xlfn.IFS(E161&lt;E$24,0,E161&lt;E$26,C$24,E161&lt;E$28,C$26,E161&lt;E$30,C$28,E161&lt;E$32,C$30,E161&lt;E$34,C$32,E161&gt;=E$34,C$34)</f>
        <v/>
      </c>
      <c r="D161" s="37">
        <f>_xlfn.IFS(E161&lt;E$24,0,E161&lt;E$25,D$24,E161&lt;E$26,D$25,E161&lt;E$27,D$26,E161&lt;E$28,D$27,E161&lt;E$29,D$28,E161&lt;E$30,D$29,E161&lt;E$31,D$30,E161&lt;E$32,D$31,E161&lt;E$33,D$32,E161&lt;E$34,D$33,E161&lt;E$35,D$34,E161&gt;=E$35,D$35)</f>
        <v/>
      </c>
      <c r="E161" s="38" t="n">
        <v>111</v>
      </c>
      <c r="F161" s="31">
        <f>E161/52</f>
        <v/>
      </c>
      <c r="G161" s="39">
        <f>D161/1000000*52</f>
        <v/>
      </c>
      <c r="H161" s="33">
        <f>G161/$P$4+($C$22/$P$4)</f>
        <v/>
      </c>
      <c r="I161" s="36">
        <f>_xlfn.IFS(K161&lt;K$24,0,K161&lt;K$26,I$24,K161&lt;K$28,I$26,K161&lt;K$30,I$28,K161&lt;K$32,I$30,K161&lt;K$34,I$32,K161&lt;K$36,I$34,K161&lt;K$38,I$36,K161&lt;K$40,I$38,K161&lt;K$42,I$40,K161&lt;K$44,I$42,K161&lt;K$46,I$44,K161&gt;=K$46,I$46)</f>
        <v/>
      </c>
      <c r="J161" s="37">
        <f>_xlfn.IFS(K161&lt;K$24,0,K161&lt;K$25,J$24,K161&lt;K$26,J$25,K161&lt;K$27,J$26,K161&lt;K$28,J$27,K161&lt;K$29,J$28,K161&lt;K$30,J$29,K161&lt;K$31,J$30,K161&lt;K$32,J$31,K161&lt;K$33,J$32,K161&lt;K$34,J$33,K161&lt;K$35,J$34,K161&lt;K$36,J$35,K161&lt;K$37,J$36,K161&lt;K$38,J$37,K161&lt;K$39,J$38,K161&lt;K$40,J$39,K161&lt;K$41,J$40,K161&lt;K$42,J$41,K161&lt;K$43,J$42,K161&lt;K$44,J$43,K161&lt;K$45,J$44,K161&lt;K$46,J$45,K161&lt;K$47,J$46,K161&gt;=K$47,J$47)</f>
        <v/>
      </c>
      <c r="K161" s="38" t="n">
        <v>111</v>
      </c>
      <c r="L161" s="31">
        <f>K161/52</f>
        <v/>
      </c>
      <c r="M161" s="39">
        <f>J161/1000000*52</f>
        <v/>
      </c>
      <c r="N161" s="33">
        <f>M161/$P$4+($I$22/$P$4)</f>
        <v/>
      </c>
      <c r="U161">
        <f>F160</f>
        <v/>
      </c>
      <c r="V161">
        <f>H160</f>
        <v/>
      </c>
      <c r="W161">
        <f>N160</f>
        <v/>
      </c>
    </row>
    <row r="162" ht="15.75" customHeight="1" s="40">
      <c r="C162" s="36">
        <f>_xlfn.IFS(E162&lt;E$24,0,E162&lt;E$26,C$24,E162&lt;E$28,C$26,E162&lt;E$30,C$28,E162&lt;E$32,C$30,E162&lt;E$34,C$32,E162&gt;=E$34,C$34)</f>
        <v/>
      </c>
      <c r="D162" s="37">
        <f>_xlfn.IFS(E162&lt;E$24,0,E162&lt;E$25,D$24,E162&lt;E$26,D$25,E162&lt;E$27,D$26,E162&lt;E$28,D$27,E162&lt;E$29,D$28,E162&lt;E$30,D$29,E162&lt;E$31,D$30,E162&lt;E$32,D$31,E162&lt;E$33,D$32,E162&lt;E$34,D$33,E162&lt;E$35,D$34,E162&gt;=E$35,D$35)</f>
        <v/>
      </c>
      <c r="E162" s="38" t="n">
        <v>112</v>
      </c>
      <c r="F162" s="31">
        <f>E162/52</f>
        <v/>
      </c>
      <c r="G162" s="39">
        <f>D162/1000000*52</f>
        <v/>
      </c>
      <c r="H162" s="33">
        <f>G162/$P$4+($C$22/$P$4)</f>
        <v/>
      </c>
      <c r="I162" s="36">
        <f>_xlfn.IFS(K162&lt;K$24,0,K162&lt;K$26,I$24,K162&lt;K$28,I$26,K162&lt;K$30,I$28,K162&lt;K$32,I$30,K162&lt;K$34,I$32,K162&lt;K$36,I$34,K162&lt;K$38,I$36,K162&lt;K$40,I$38,K162&lt;K$42,I$40,K162&lt;K$44,I$42,K162&lt;K$46,I$44,K162&gt;=K$46,I$46)</f>
        <v/>
      </c>
      <c r="J162" s="37">
        <f>_xlfn.IFS(K162&lt;K$24,0,K162&lt;K$25,J$24,K162&lt;K$26,J$25,K162&lt;K$27,J$26,K162&lt;K$28,J$27,K162&lt;K$29,J$28,K162&lt;K$30,J$29,K162&lt;K$31,J$30,K162&lt;K$32,J$31,K162&lt;K$33,J$32,K162&lt;K$34,J$33,K162&lt;K$35,J$34,K162&lt;K$36,J$35,K162&lt;K$37,J$36,K162&lt;K$38,J$37,K162&lt;K$39,J$38,K162&lt;K$40,J$39,K162&lt;K$41,J$40,K162&lt;K$42,J$41,K162&lt;K$43,J$42,K162&lt;K$44,J$43,K162&lt;K$45,J$44,K162&lt;K$46,J$45,K162&lt;K$47,J$46,K162&gt;=K$47,J$47)</f>
        <v/>
      </c>
      <c r="K162" s="38" t="n">
        <v>112</v>
      </c>
      <c r="L162" s="31">
        <f>K162/52</f>
        <v/>
      </c>
      <c r="M162" s="39">
        <f>J162/1000000*52</f>
        <v/>
      </c>
      <c r="N162" s="33">
        <f>M162/$P$4+($I$22/$P$4)</f>
        <v/>
      </c>
      <c r="U162">
        <f>F161</f>
        <v/>
      </c>
      <c r="V162">
        <f>H161</f>
        <v/>
      </c>
      <c r="W162">
        <f>N161</f>
        <v/>
      </c>
    </row>
    <row r="163" ht="15.75" customHeight="1" s="40">
      <c r="C163" s="36">
        <f>_xlfn.IFS(E163&lt;E$24,0,E163&lt;E$26,C$24,E163&lt;E$28,C$26,E163&lt;E$30,C$28,E163&lt;E$32,C$30,E163&lt;E$34,C$32,E163&gt;=E$34,C$34)</f>
        <v/>
      </c>
      <c r="D163" s="37">
        <f>_xlfn.IFS(E163&lt;E$24,0,E163&lt;E$25,D$24,E163&lt;E$26,D$25,E163&lt;E$27,D$26,E163&lt;E$28,D$27,E163&lt;E$29,D$28,E163&lt;E$30,D$29,E163&lt;E$31,D$30,E163&lt;E$32,D$31,E163&lt;E$33,D$32,E163&lt;E$34,D$33,E163&lt;E$35,D$34,E163&gt;=E$35,D$35)</f>
        <v/>
      </c>
      <c r="E163" s="38" t="n">
        <v>113</v>
      </c>
      <c r="F163" s="31">
        <f>E163/52</f>
        <v/>
      </c>
      <c r="G163" s="39">
        <f>D163/1000000*52</f>
        <v/>
      </c>
      <c r="H163" s="33">
        <f>G163/$P$4+($C$22/$P$4)</f>
        <v/>
      </c>
      <c r="I163" s="36">
        <f>_xlfn.IFS(K163&lt;K$24,0,K163&lt;K$26,I$24,K163&lt;K$28,I$26,K163&lt;K$30,I$28,K163&lt;K$32,I$30,K163&lt;K$34,I$32,K163&lt;K$36,I$34,K163&lt;K$38,I$36,K163&lt;K$40,I$38,K163&lt;K$42,I$40,K163&lt;K$44,I$42,K163&lt;K$46,I$44,K163&gt;=K$46,I$46)</f>
        <v/>
      </c>
      <c r="J163" s="37">
        <f>_xlfn.IFS(K163&lt;K$24,0,K163&lt;K$25,J$24,K163&lt;K$26,J$25,K163&lt;K$27,J$26,K163&lt;K$28,J$27,K163&lt;K$29,J$28,K163&lt;K$30,J$29,K163&lt;K$31,J$30,K163&lt;K$32,J$31,K163&lt;K$33,J$32,K163&lt;K$34,J$33,K163&lt;K$35,J$34,K163&lt;K$36,J$35,K163&lt;K$37,J$36,K163&lt;K$38,J$37,K163&lt;K$39,J$38,K163&lt;K$40,J$39,K163&lt;K$41,J$40,K163&lt;K$42,J$41,K163&lt;K$43,J$42,K163&lt;K$44,J$43,K163&lt;K$45,J$44,K163&lt;K$46,J$45,K163&lt;K$47,J$46,K163&gt;=K$47,J$47)</f>
        <v/>
      </c>
      <c r="K163" s="38" t="n">
        <v>113</v>
      </c>
      <c r="L163" s="31">
        <f>K163/52</f>
        <v/>
      </c>
      <c r="M163" s="39">
        <f>J163/1000000*52</f>
        <v/>
      </c>
      <c r="N163" s="33">
        <f>M163/$P$4+($I$22/$P$4)</f>
        <v/>
      </c>
      <c r="U163">
        <f>F162</f>
        <v/>
      </c>
      <c r="V163">
        <f>H162</f>
        <v/>
      </c>
      <c r="W163">
        <f>N162</f>
        <v/>
      </c>
    </row>
    <row r="164" ht="15.75" customHeight="1" s="40">
      <c r="C164" s="36">
        <f>_xlfn.IFS(E164&lt;E$24,0,E164&lt;E$26,C$24,E164&lt;E$28,C$26,E164&lt;E$30,C$28,E164&lt;E$32,C$30,E164&lt;E$34,C$32,E164&gt;=E$34,C$34)</f>
        <v/>
      </c>
      <c r="D164" s="37">
        <f>_xlfn.IFS(E164&lt;E$24,0,E164&lt;E$25,D$24,E164&lt;E$26,D$25,E164&lt;E$27,D$26,E164&lt;E$28,D$27,E164&lt;E$29,D$28,E164&lt;E$30,D$29,E164&lt;E$31,D$30,E164&lt;E$32,D$31,E164&lt;E$33,D$32,E164&lt;E$34,D$33,E164&lt;E$35,D$34,E164&gt;=E$35,D$35)</f>
        <v/>
      </c>
      <c r="E164" s="38" t="n">
        <v>114</v>
      </c>
      <c r="F164" s="31">
        <f>E164/52</f>
        <v/>
      </c>
      <c r="G164" s="39">
        <f>D164/1000000*52</f>
        <v/>
      </c>
      <c r="H164" s="33">
        <f>G164/$P$4+($C$22/$P$4)</f>
        <v/>
      </c>
      <c r="I164" s="36">
        <f>_xlfn.IFS(K164&lt;K$24,0,K164&lt;K$26,I$24,K164&lt;K$28,I$26,K164&lt;K$30,I$28,K164&lt;K$32,I$30,K164&lt;K$34,I$32,K164&lt;K$36,I$34,K164&lt;K$38,I$36,K164&lt;K$40,I$38,K164&lt;K$42,I$40,K164&lt;K$44,I$42,K164&lt;K$46,I$44,K164&gt;=K$46,I$46)</f>
        <v/>
      </c>
      <c r="J164" s="37">
        <f>_xlfn.IFS(K164&lt;K$24,0,K164&lt;K$25,J$24,K164&lt;K$26,J$25,K164&lt;K$27,J$26,K164&lt;K$28,J$27,K164&lt;K$29,J$28,K164&lt;K$30,J$29,K164&lt;K$31,J$30,K164&lt;K$32,J$31,K164&lt;K$33,J$32,K164&lt;K$34,J$33,K164&lt;K$35,J$34,K164&lt;K$36,J$35,K164&lt;K$37,J$36,K164&lt;K$38,J$37,K164&lt;K$39,J$38,K164&lt;K$40,J$39,K164&lt;K$41,J$40,K164&lt;K$42,J$41,K164&lt;K$43,J$42,K164&lt;K$44,J$43,K164&lt;K$45,J$44,K164&lt;K$46,J$45,K164&lt;K$47,J$46,K164&gt;=K$47,J$47)</f>
        <v/>
      </c>
      <c r="K164" s="38" t="n">
        <v>114</v>
      </c>
      <c r="L164" s="31">
        <f>K164/52</f>
        <v/>
      </c>
      <c r="M164" s="39">
        <f>J164/1000000*52</f>
        <v/>
      </c>
      <c r="N164" s="33">
        <f>M164/$P$4+($I$22/$P$4)</f>
        <v/>
      </c>
      <c r="U164">
        <f>F163</f>
        <v/>
      </c>
      <c r="V164">
        <f>H163</f>
        <v/>
      </c>
      <c r="W164">
        <f>N163</f>
        <v/>
      </c>
    </row>
    <row r="165" ht="15.75" customHeight="1" s="40">
      <c r="C165" s="36">
        <f>_xlfn.IFS(E165&lt;E$24,0,E165&lt;E$26,C$24,E165&lt;E$28,C$26,E165&lt;E$30,C$28,E165&lt;E$32,C$30,E165&lt;E$34,C$32,E165&gt;=E$34,C$34)</f>
        <v/>
      </c>
      <c r="D165" s="37">
        <f>_xlfn.IFS(E165&lt;E$24,0,E165&lt;E$25,D$24,E165&lt;E$26,D$25,E165&lt;E$27,D$26,E165&lt;E$28,D$27,E165&lt;E$29,D$28,E165&lt;E$30,D$29,E165&lt;E$31,D$30,E165&lt;E$32,D$31,E165&lt;E$33,D$32,E165&lt;E$34,D$33,E165&lt;E$35,D$34,E165&gt;=E$35,D$35)</f>
        <v/>
      </c>
      <c r="E165" s="38" t="n">
        <v>115</v>
      </c>
      <c r="F165" s="31">
        <f>E165/52</f>
        <v/>
      </c>
      <c r="G165" s="39">
        <f>D165/1000000*52</f>
        <v/>
      </c>
      <c r="H165" s="33">
        <f>G165/$P$4+($C$22/$P$4)</f>
        <v/>
      </c>
      <c r="I165" s="36">
        <f>_xlfn.IFS(K165&lt;K$24,0,K165&lt;K$26,I$24,K165&lt;K$28,I$26,K165&lt;K$30,I$28,K165&lt;K$32,I$30,K165&lt;K$34,I$32,K165&lt;K$36,I$34,K165&lt;K$38,I$36,K165&lt;K$40,I$38,K165&lt;K$42,I$40,K165&lt;K$44,I$42,K165&lt;K$46,I$44,K165&gt;=K$46,I$46)</f>
        <v/>
      </c>
      <c r="J165" s="37">
        <f>_xlfn.IFS(K165&lt;K$24,0,K165&lt;K$25,J$24,K165&lt;K$26,J$25,K165&lt;K$27,J$26,K165&lt;K$28,J$27,K165&lt;K$29,J$28,K165&lt;K$30,J$29,K165&lt;K$31,J$30,K165&lt;K$32,J$31,K165&lt;K$33,J$32,K165&lt;K$34,J$33,K165&lt;K$35,J$34,K165&lt;K$36,J$35,K165&lt;K$37,J$36,K165&lt;K$38,J$37,K165&lt;K$39,J$38,K165&lt;K$40,J$39,K165&lt;K$41,J$40,K165&lt;K$42,J$41,K165&lt;K$43,J$42,K165&lt;K$44,J$43,K165&lt;K$45,J$44,K165&lt;K$46,J$45,K165&lt;K$47,J$46,K165&gt;=K$47,J$47)</f>
        <v/>
      </c>
      <c r="K165" s="38" t="n">
        <v>115</v>
      </c>
      <c r="L165" s="31">
        <f>K165/52</f>
        <v/>
      </c>
      <c r="M165" s="39">
        <f>J165/1000000*52</f>
        <v/>
      </c>
      <c r="N165" s="33">
        <f>M165/$P$4+($I$22/$P$4)</f>
        <v/>
      </c>
      <c r="U165">
        <f>F164</f>
        <v/>
      </c>
      <c r="V165">
        <f>H164</f>
        <v/>
      </c>
      <c r="W165">
        <f>N164</f>
        <v/>
      </c>
    </row>
    <row r="166" ht="15.75" customHeight="1" s="40">
      <c r="C166" s="36">
        <f>_xlfn.IFS(E166&lt;E$24,0,E166&lt;E$26,C$24,E166&lt;E$28,C$26,E166&lt;E$30,C$28,E166&lt;E$32,C$30,E166&lt;E$34,C$32,E166&gt;=E$34,C$34)</f>
        <v/>
      </c>
      <c r="D166" s="37">
        <f>_xlfn.IFS(E166&lt;E$24,0,E166&lt;E$25,D$24,E166&lt;E$26,D$25,E166&lt;E$27,D$26,E166&lt;E$28,D$27,E166&lt;E$29,D$28,E166&lt;E$30,D$29,E166&lt;E$31,D$30,E166&lt;E$32,D$31,E166&lt;E$33,D$32,E166&lt;E$34,D$33,E166&lt;E$35,D$34,E166&gt;=E$35,D$35)</f>
        <v/>
      </c>
      <c r="E166" s="38" t="n">
        <v>116</v>
      </c>
      <c r="F166" s="31">
        <f>E166/52</f>
        <v/>
      </c>
      <c r="G166" s="39">
        <f>D166/1000000*52</f>
        <v/>
      </c>
      <c r="H166" s="33">
        <f>G166/$P$4+($C$22/$P$4)</f>
        <v/>
      </c>
      <c r="I166" s="36">
        <f>_xlfn.IFS(K166&lt;K$24,0,K166&lt;K$26,I$24,K166&lt;K$28,I$26,K166&lt;K$30,I$28,K166&lt;K$32,I$30,K166&lt;K$34,I$32,K166&lt;K$36,I$34,K166&lt;K$38,I$36,K166&lt;K$40,I$38,K166&lt;K$42,I$40,K166&lt;K$44,I$42,K166&lt;K$46,I$44,K166&gt;=K$46,I$46)</f>
        <v/>
      </c>
      <c r="J166" s="37">
        <f>_xlfn.IFS(K166&lt;K$24,0,K166&lt;K$25,J$24,K166&lt;K$26,J$25,K166&lt;K$27,J$26,K166&lt;K$28,J$27,K166&lt;K$29,J$28,K166&lt;K$30,J$29,K166&lt;K$31,J$30,K166&lt;K$32,J$31,K166&lt;K$33,J$32,K166&lt;K$34,J$33,K166&lt;K$35,J$34,K166&lt;K$36,J$35,K166&lt;K$37,J$36,K166&lt;K$38,J$37,K166&lt;K$39,J$38,K166&lt;K$40,J$39,K166&lt;K$41,J$40,K166&lt;K$42,J$41,K166&lt;K$43,J$42,K166&lt;K$44,J$43,K166&lt;K$45,J$44,K166&lt;K$46,J$45,K166&lt;K$47,J$46,K166&gt;=K$47,J$47)</f>
        <v/>
      </c>
      <c r="K166" s="38" t="n">
        <v>116</v>
      </c>
      <c r="L166" s="31">
        <f>K166/52</f>
        <v/>
      </c>
      <c r="M166" s="39">
        <f>J166/1000000*52</f>
        <v/>
      </c>
      <c r="N166" s="33">
        <f>M166/$P$4+($I$22/$P$4)</f>
        <v/>
      </c>
      <c r="U166">
        <f>F165</f>
        <v/>
      </c>
      <c r="V166">
        <f>H165</f>
        <v/>
      </c>
      <c r="W166">
        <f>N165</f>
        <v/>
      </c>
    </row>
    <row r="167" ht="15.75" customHeight="1" s="40">
      <c r="C167" s="36">
        <f>_xlfn.IFS(E167&lt;E$24,0,E167&lt;E$26,C$24,E167&lt;E$28,C$26,E167&lt;E$30,C$28,E167&lt;E$32,C$30,E167&lt;E$34,C$32,E167&gt;=E$34,C$34)</f>
        <v/>
      </c>
      <c r="D167" s="37">
        <f>_xlfn.IFS(E167&lt;E$24,0,E167&lt;E$25,D$24,E167&lt;E$26,D$25,E167&lt;E$27,D$26,E167&lt;E$28,D$27,E167&lt;E$29,D$28,E167&lt;E$30,D$29,E167&lt;E$31,D$30,E167&lt;E$32,D$31,E167&lt;E$33,D$32,E167&lt;E$34,D$33,E167&lt;E$35,D$34,E167&gt;=E$35,D$35)</f>
        <v/>
      </c>
      <c r="E167" s="38" t="n">
        <v>117</v>
      </c>
      <c r="F167" s="31">
        <f>E167/52</f>
        <v/>
      </c>
      <c r="G167" s="39">
        <f>D167/1000000*52</f>
        <v/>
      </c>
      <c r="H167" s="33">
        <f>G167/$P$4+($C$22/$P$4)</f>
        <v/>
      </c>
      <c r="I167" s="36">
        <f>_xlfn.IFS(K167&lt;K$24,0,K167&lt;K$26,I$24,K167&lt;K$28,I$26,K167&lt;K$30,I$28,K167&lt;K$32,I$30,K167&lt;K$34,I$32,K167&lt;K$36,I$34,K167&lt;K$38,I$36,K167&lt;K$40,I$38,K167&lt;K$42,I$40,K167&lt;K$44,I$42,K167&lt;K$46,I$44,K167&gt;=K$46,I$46)</f>
        <v/>
      </c>
      <c r="J167" s="37">
        <f>_xlfn.IFS(K167&lt;K$24,0,K167&lt;K$25,J$24,K167&lt;K$26,J$25,K167&lt;K$27,J$26,K167&lt;K$28,J$27,K167&lt;K$29,J$28,K167&lt;K$30,J$29,K167&lt;K$31,J$30,K167&lt;K$32,J$31,K167&lt;K$33,J$32,K167&lt;K$34,J$33,K167&lt;K$35,J$34,K167&lt;K$36,J$35,K167&lt;K$37,J$36,K167&lt;K$38,J$37,K167&lt;K$39,J$38,K167&lt;K$40,J$39,K167&lt;K$41,J$40,K167&lt;K$42,J$41,K167&lt;K$43,J$42,K167&lt;K$44,J$43,K167&lt;K$45,J$44,K167&lt;K$46,J$45,K167&lt;K$47,J$46,K167&gt;=K$47,J$47)</f>
        <v/>
      </c>
      <c r="K167" s="38" t="n">
        <v>117</v>
      </c>
      <c r="L167" s="31">
        <f>K167/52</f>
        <v/>
      </c>
      <c r="M167" s="39">
        <f>J167/1000000*52</f>
        <v/>
      </c>
      <c r="N167" s="33">
        <f>M167/$P$4+($I$22/$P$4)</f>
        <v/>
      </c>
      <c r="U167">
        <f>F166</f>
        <v/>
      </c>
      <c r="V167">
        <f>H166</f>
        <v/>
      </c>
      <c r="W167">
        <f>N166</f>
        <v/>
      </c>
    </row>
    <row r="168" ht="15.75" customHeight="1" s="40">
      <c r="C168" s="36">
        <f>_xlfn.IFS(E168&lt;E$24,0,E168&lt;E$26,C$24,E168&lt;E$28,C$26,E168&lt;E$30,C$28,E168&lt;E$32,C$30,E168&lt;E$34,C$32,E168&gt;=E$34,C$34)</f>
        <v/>
      </c>
      <c r="D168" s="37">
        <f>_xlfn.IFS(E168&lt;E$24,0,E168&lt;E$25,D$24,E168&lt;E$26,D$25,E168&lt;E$27,D$26,E168&lt;E$28,D$27,E168&lt;E$29,D$28,E168&lt;E$30,D$29,E168&lt;E$31,D$30,E168&lt;E$32,D$31,E168&lt;E$33,D$32,E168&lt;E$34,D$33,E168&lt;E$35,D$34,E168&gt;=E$35,D$35)</f>
        <v/>
      </c>
      <c r="E168" s="38" t="n">
        <v>118</v>
      </c>
      <c r="F168" s="31">
        <f>E168/52</f>
        <v/>
      </c>
      <c r="G168" s="39">
        <f>D168/1000000*52</f>
        <v/>
      </c>
      <c r="H168" s="33">
        <f>G168/$P$4+($C$22/$P$4)</f>
        <v/>
      </c>
      <c r="I168" s="36">
        <f>_xlfn.IFS(K168&lt;K$24,0,K168&lt;K$26,I$24,K168&lt;K$28,I$26,K168&lt;K$30,I$28,K168&lt;K$32,I$30,K168&lt;K$34,I$32,K168&lt;K$36,I$34,K168&lt;K$38,I$36,K168&lt;K$40,I$38,K168&lt;K$42,I$40,K168&lt;K$44,I$42,K168&lt;K$46,I$44,K168&gt;=K$46,I$46)</f>
        <v/>
      </c>
      <c r="J168" s="37">
        <f>_xlfn.IFS(K168&lt;K$24,0,K168&lt;K$25,J$24,K168&lt;K$26,J$25,K168&lt;K$27,J$26,K168&lt;K$28,J$27,K168&lt;K$29,J$28,K168&lt;K$30,J$29,K168&lt;K$31,J$30,K168&lt;K$32,J$31,K168&lt;K$33,J$32,K168&lt;K$34,J$33,K168&lt;K$35,J$34,K168&lt;K$36,J$35,K168&lt;K$37,J$36,K168&lt;K$38,J$37,K168&lt;K$39,J$38,K168&lt;K$40,J$39,K168&lt;K$41,J$40,K168&lt;K$42,J$41,K168&lt;K$43,J$42,K168&lt;K$44,J$43,K168&lt;K$45,J$44,K168&lt;K$46,J$45,K168&lt;K$47,J$46,K168&gt;=K$47,J$47)</f>
        <v/>
      </c>
      <c r="K168" s="38" t="n">
        <v>118</v>
      </c>
      <c r="L168" s="31">
        <f>K168/52</f>
        <v/>
      </c>
      <c r="M168" s="39">
        <f>J168/1000000*52</f>
        <v/>
      </c>
      <c r="N168" s="33">
        <f>M168/$P$4+($I$22/$P$4)</f>
        <v/>
      </c>
      <c r="U168">
        <f>F167</f>
        <v/>
      </c>
      <c r="V168">
        <f>H167</f>
        <v/>
      </c>
      <c r="W168">
        <f>N167</f>
        <v/>
      </c>
    </row>
    <row r="169" ht="15.75" customHeight="1" s="40">
      <c r="C169" s="36">
        <f>_xlfn.IFS(E169&lt;E$24,0,E169&lt;E$26,C$24,E169&lt;E$28,C$26,E169&lt;E$30,C$28,E169&lt;E$32,C$30,E169&lt;E$34,C$32,E169&gt;=E$34,C$34)</f>
        <v/>
      </c>
      <c r="D169" s="37">
        <f>_xlfn.IFS(E169&lt;E$24,0,E169&lt;E$25,D$24,E169&lt;E$26,D$25,E169&lt;E$27,D$26,E169&lt;E$28,D$27,E169&lt;E$29,D$28,E169&lt;E$30,D$29,E169&lt;E$31,D$30,E169&lt;E$32,D$31,E169&lt;E$33,D$32,E169&lt;E$34,D$33,E169&lt;E$35,D$34,E169&gt;=E$35,D$35)</f>
        <v/>
      </c>
      <c r="E169" s="38" t="n">
        <v>119</v>
      </c>
      <c r="F169" s="31">
        <f>E169/52</f>
        <v/>
      </c>
      <c r="G169" s="39">
        <f>D169/1000000*52</f>
        <v/>
      </c>
      <c r="H169" s="33">
        <f>G169/$P$4+($C$22/$P$4)</f>
        <v/>
      </c>
      <c r="I169" s="36">
        <f>_xlfn.IFS(K169&lt;K$24,0,K169&lt;K$26,I$24,K169&lt;K$28,I$26,K169&lt;K$30,I$28,K169&lt;K$32,I$30,K169&lt;K$34,I$32,K169&lt;K$36,I$34,K169&lt;K$38,I$36,K169&lt;K$40,I$38,K169&lt;K$42,I$40,K169&lt;K$44,I$42,K169&lt;K$46,I$44,K169&gt;=K$46,I$46)</f>
        <v/>
      </c>
      <c r="J169" s="37">
        <f>_xlfn.IFS(K169&lt;K$24,0,K169&lt;K$25,J$24,K169&lt;K$26,J$25,K169&lt;K$27,J$26,K169&lt;K$28,J$27,K169&lt;K$29,J$28,K169&lt;K$30,J$29,K169&lt;K$31,J$30,K169&lt;K$32,J$31,K169&lt;K$33,J$32,K169&lt;K$34,J$33,K169&lt;K$35,J$34,K169&lt;K$36,J$35,K169&lt;K$37,J$36,K169&lt;K$38,J$37,K169&lt;K$39,J$38,K169&lt;K$40,J$39,K169&lt;K$41,J$40,K169&lt;K$42,J$41,K169&lt;K$43,J$42,K169&lt;K$44,J$43,K169&lt;K$45,J$44,K169&lt;K$46,J$45,K169&lt;K$47,J$46,K169&gt;=K$47,J$47)</f>
        <v/>
      </c>
      <c r="K169" s="38" t="n">
        <v>119</v>
      </c>
      <c r="L169" s="31">
        <f>K169/52</f>
        <v/>
      </c>
      <c r="M169" s="39">
        <f>J169/1000000*52</f>
        <v/>
      </c>
      <c r="N169" s="33">
        <f>M169/$P$4+($I$22/$P$4)</f>
        <v/>
      </c>
      <c r="U169">
        <f>F168</f>
        <v/>
      </c>
      <c r="V169">
        <f>H168</f>
        <v/>
      </c>
      <c r="W169">
        <f>N168</f>
        <v/>
      </c>
    </row>
    <row r="170" ht="15.75" customHeight="1" s="40">
      <c r="C170" s="36">
        <f>_xlfn.IFS(E170&lt;E$24,0,E170&lt;E$26,C$24,E170&lt;E$28,C$26,E170&lt;E$30,C$28,E170&lt;E$32,C$30,E170&lt;E$34,C$32,E170&gt;=E$34,C$34)</f>
        <v/>
      </c>
      <c r="D170" s="37">
        <f>_xlfn.IFS(E170&lt;E$24,0,E170&lt;E$25,D$24,E170&lt;E$26,D$25,E170&lt;E$27,D$26,E170&lt;E$28,D$27,E170&lt;E$29,D$28,E170&lt;E$30,D$29,E170&lt;E$31,D$30,E170&lt;E$32,D$31,E170&lt;E$33,D$32,E170&lt;E$34,D$33,E170&lt;E$35,D$34,E170&gt;=E$35,D$35)</f>
        <v/>
      </c>
      <c r="E170" s="38" t="n">
        <v>120</v>
      </c>
      <c r="F170" s="31">
        <f>E170/52</f>
        <v/>
      </c>
      <c r="G170" s="39">
        <f>D170/1000000*52</f>
        <v/>
      </c>
      <c r="H170" s="33">
        <f>G170/$P$4+($C$22/$P$4)</f>
        <v/>
      </c>
      <c r="I170" s="36">
        <f>_xlfn.IFS(K170&lt;K$24,0,K170&lt;K$26,I$24,K170&lt;K$28,I$26,K170&lt;K$30,I$28,K170&lt;K$32,I$30,K170&lt;K$34,I$32,K170&lt;K$36,I$34,K170&lt;K$38,I$36,K170&lt;K$40,I$38,K170&lt;K$42,I$40,K170&lt;K$44,I$42,K170&lt;K$46,I$44,K170&gt;=K$46,I$46)</f>
        <v/>
      </c>
      <c r="J170" s="37">
        <f>_xlfn.IFS(K170&lt;K$24,0,K170&lt;K$25,J$24,K170&lt;K$26,J$25,K170&lt;K$27,J$26,K170&lt;K$28,J$27,K170&lt;K$29,J$28,K170&lt;K$30,J$29,K170&lt;K$31,J$30,K170&lt;K$32,J$31,K170&lt;K$33,J$32,K170&lt;K$34,J$33,K170&lt;K$35,J$34,K170&lt;K$36,J$35,K170&lt;K$37,J$36,K170&lt;K$38,J$37,K170&lt;K$39,J$38,K170&lt;K$40,J$39,K170&lt;K$41,J$40,K170&lt;K$42,J$41,K170&lt;K$43,J$42,K170&lt;K$44,J$43,K170&lt;K$45,J$44,K170&lt;K$46,J$45,K170&lt;K$47,J$46,K170&gt;=K$47,J$47)</f>
        <v/>
      </c>
      <c r="K170" s="38" t="n">
        <v>120</v>
      </c>
      <c r="L170" s="31">
        <f>K170/52</f>
        <v/>
      </c>
      <c r="M170" s="39">
        <f>J170/1000000*52</f>
        <v/>
      </c>
      <c r="N170" s="33">
        <f>M170/$P$4+($I$22/$P$4)</f>
        <v/>
      </c>
      <c r="U170">
        <f>F169</f>
        <v/>
      </c>
      <c r="V170">
        <f>H169</f>
        <v/>
      </c>
      <c r="W170">
        <f>N169</f>
        <v/>
      </c>
    </row>
    <row r="171" ht="15.75" customHeight="1" s="40">
      <c r="C171" s="36">
        <f>_xlfn.IFS(E171&lt;E$24,0,E171&lt;E$26,C$24,E171&lt;E$28,C$26,E171&lt;E$30,C$28,E171&lt;E$32,C$30,E171&lt;E$34,C$32,E171&gt;=E$34,C$34)</f>
        <v/>
      </c>
      <c r="D171" s="37">
        <f>_xlfn.IFS(E171&lt;E$24,0,E171&lt;E$25,D$24,E171&lt;E$26,D$25,E171&lt;E$27,D$26,E171&lt;E$28,D$27,E171&lt;E$29,D$28,E171&lt;E$30,D$29,E171&lt;E$31,D$30,E171&lt;E$32,D$31,E171&lt;E$33,D$32,E171&lt;E$34,D$33,E171&lt;E$35,D$34,E171&gt;=E$35,D$35)</f>
        <v/>
      </c>
      <c r="E171" s="38" t="n">
        <v>121</v>
      </c>
      <c r="F171" s="31">
        <f>E171/52</f>
        <v/>
      </c>
      <c r="G171" s="39">
        <f>D171/1000000*52</f>
        <v/>
      </c>
      <c r="H171" s="33">
        <f>G171/$P$4+($C$22/$P$4)</f>
        <v/>
      </c>
      <c r="I171" s="36">
        <f>_xlfn.IFS(K171&lt;K$24,0,K171&lt;K$26,I$24,K171&lt;K$28,I$26,K171&lt;K$30,I$28,K171&lt;K$32,I$30,K171&lt;K$34,I$32,K171&lt;K$36,I$34,K171&lt;K$38,I$36,K171&lt;K$40,I$38,K171&lt;K$42,I$40,K171&lt;K$44,I$42,K171&lt;K$46,I$44,K171&gt;=K$46,I$46)</f>
        <v/>
      </c>
      <c r="J171" s="37">
        <f>_xlfn.IFS(K171&lt;K$24,0,K171&lt;K$25,J$24,K171&lt;K$26,J$25,K171&lt;K$27,J$26,K171&lt;K$28,J$27,K171&lt;K$29,J$28,K171&lt;K$30,J$29,K171&lt;K$31,J$30,K171&lt;K$32,J$31,K171&lt;K$33,J$32,K171&lt;K$34,J$33,K171&lt;K$35,J$34,K171&lt;K$36,J$35,K171&lt;K$37,J$36,K171&lt;K$38,J$37,K171&lt;K$39,J$38,K171&lt;K$40,J$39,K171&lt;K$41,J$40,K171&lt;K$42,J$41,K171&lt;K$43,J$42,K171&lt;K$44,J$43,K171&lt;K$45,J$44,K171&lt;K$46,J$45,K171&lt;K$47,J$46,K171&gt;=K$47,J$47)</f>
        <v/>
      </c>
      <c r="K171" s="38" t="n">
        <v>121</v>
      </c>
      <c r="L171" s="31">
        <f>K171/52</f>
        <v/>
      </c>
      <c r="M171" s="39">
        <f>J171/1000000*52</f>
        <v/>
      </c>
      <c r="N171" s="33">
        <f>M171/$P$4+($I$22/$P$4)</f>
        <v/>
      </c>
      <c r="U171">
        <f>F170</f>
        <v/>
      </c>
      <c r="V171">
        <f>H170</f>
        <v/>
      </c>
      <c r="W171">
        <f>N170</f>
        <v/>
      </c>
    </row>
    <row r="172" ht="15.75" customHeight="1" s="40">
      <c r="C172" s="36">
        <f>_xlfn.IFS(E172&lt;E$24,0,E172&lt;E$26,C$24,E172&lt;E$28,C$26,E172&lt;E$30,C$28,E172&lt;E$32,C$30,E172&lt;E$34,C$32,E172&gt;=E$34,C$34)</f>
        <v/>
      </c>
      <c r="D172" s="37">
        <f>_xlfn.IFS(E172&lt;E$24,0,E172&lt;E$25,D$24,E172&lt;E$26,D$25,E172&lt;E$27,D$26,E172&lt;E$28,D$27,E172&lt;E$29,D$28,E172&lt;E$30,D$29,E172&lt;E$31,D$30,E172&lt;E$32,D$31,E172&lt;E$33,D$32,E172&lt;E$34,D$33,E172&lt;E$35,D$34,E172&gt;=E$35,D$35)</f>
        <v/>
      </c>
      <c r="E172" s="38" t="n">
        <v>122</v>
      </c>
      <c r="F172" s="31">
        <f>E172/52</f>
        <v/>
      </c>
      <c r="G172" s="39">
        <f>D172/1000000*52</f>
        <v/>
      </c>
      <c r="H172" s="33">
        <f>G172/$P$4+($C$22/$P$4)</f>
        <v/>
      </c>
      <c r="I172" s="36">
        <f>_xlfn.IFS(K172&lt;K$24,0,K172&lt;K$26,I$24,K172&lt;K$28,I$26,K172&lt;K$30,I$28,K172&lt;K$32,I$30,K172&lt;K$34,I$32,K172&lt;K$36,I$34,K172&lt;K$38,I$36,K172&lt;K$40,I$38,K172&lt;K$42,I$40,K172&lt;K$44,I$42,K172&lt;K$46,I$44,K172&gt;=K$46,I$46)</f>
        <v/>
      </c>
      <c r="J172" s="37">
        <f>_xlfn.IFS(K172&lt;K$24,0,K172&lt;K$25,J$24,K172&lt;K$26,J$25,K172&lt;K$27,J$26,K172&lt;K$28,J$27,K172&lt;K$29,J$28,K172&lt;K$30,J$29,K172&lt;K$31,J$30,K172&lt;K$32,J$31,K172&lt;K$33,J$32,K172&lt;K$34,J$33,K172&lt;K$35,J$34,K172&lt;K$36,J$35,K172&lt;K$37,J$36,K172&lt;K$38,J$37,K172&lt;K$39,J$38,K172&lt;K$40,J$39,K172&lt;K$41,J$40,K172&lt;K$42,J$41,K172&lt;K$43,J$42,K172&lt;K$44,J$43,K172&lt;K$45,J$44,K172&lt;K$46,J$45,K172&lt;K$47,J$46,K172&gt;=K$47,J$47)</f>
        <v/>
      </c>
      <c r="K172" s="38" t="n">
        <v>122</v>
      </c>
      <c r="L172" s="31">
        <f>K172/52</f>
        <v/>
      </c>
      <c r="M172" s="39">
        <f>J172/1000000*52</f>
        <v/>
      </c>
      <c r="N172" s="33">
        <f>M172/$P$4+($I$22/$P$4)</f>
        <v/>
      </c>
      <c r="U172">
        <f>F171</f>
        <v/>
      </c>
      <c r="V172">
        <f>H171</f>
        <v/>
      </c>
      <c r="W172">
        <f>N171</f>
        <v/>
      </c>
    </row>
    <row r="173" ht="15.75" customHeight="1" s="40">
      <c r="C173" s="36">
        <f>_xlfn.IFS(E173&lt;E$24,0,E173&lt;E$26,C$24,E173&lt;E$28,C$26,E173&lt;E$30,C$28,E173&lt;E$32,C$30,E173&lt;E$34,C$32,E173&gt;=E$34,C$34)</f>
        <v/>
      </c>
      <c r="D173" s="37">
        <f>_xlfn.IFS(E173&lt;E$24,0,E173&lt;E$25,D$24,E173&lt;E$26,D$25,E173&lt;E$27,D$26,E173&lt;E$28,D$27,E173&lt;E$29,D$28,E173&lt;E$30,D$29,E173&lt;E$31,D$30,E173&lt;E$32,D$31,E173&lt;E$33,D$32,E173&lt;E$34,D$33,E173&lt;E$35,D$34,E173&gt;=E$35,D$35)</f>
        <v/>
      </c>
      <c r="E173" s="38" t="n">
        <v>123</v>
      </c>
      <c r="F173" s="31">
        <f>E173/52</f>
        <v/>
      </c>
      <c r="G173" s="39">
        <f>D173/1000000*52</f>
        <v/>
      </c>
      <c r="H173" s="33">
        <f>G173/$P$4+($C$22/$P$4)</f>
        <v/>
      </c>
      <c r="I173" s="36">
        <f>_xlfn.IFS(K173&lt;K$24,0,K173&lt;K$26,I$24,K173&lt;K$28,I$26,K173&lt;K$30,I$28,K173&lt;K$32,I$30,K173&lt;K$34,I$32,K173&lt;K$36,I$34,K173&lt;K$38,I$36,K173&lt;K$40,I$38,K173&lt;K$42,I$40,K173&lt;K$44,I$42,K173&lt;K$46,I$44,K173&gt;=K$46,I$46)</f>
        <v/>
      </c>
      <c r="J173" s="37">
        <f>_xlfn.IFS(K173&lt;K$24,0,K173&lt;K$25,J$24,K173&lt;K$26,J$25,K173&lt;K$27,J$26,K173&lt;K$28,J$27,K173&lt;K$29,J$28,K173&lt;K$30,J$29,K173&lt;K$31,J$30,K173&lt;K$32,J$31,K173&lt;K$33,J$32,K173&lt;K$34,J$33,K173&lt;K$35,J$34,K173&lt;K$36,J$35,K173&lt;K$37,J$36,K173&lt;K$38,J$37,K173&lt;K$39,J$38,K173&lt;K$40,J$39,K173&lt;K$41,J$40,K173&lt;K$42,J$41,K173&lt;K$43,J$42,K173&lt;K$44,J$43,K173&lt;K$45,J$44,K173&lt;K$46,J$45,K173&lt;K$47,J$46,K173&gt;=K$47,J$47)</f>
        <v/>
      </c>
      <c r="K173" s="38" t="n">
        <v>123</v>
      </c>
      <c r="L173" s="31">
        <f>K173/52</f>
        <v/>
      </c>
      <c r="M173" s="39">
        <f>J173/1000000*52</f>
        <v/>
      </c>
      <c r="N173" s="33">
        <f>M173/$P$4+($I$22/$P$4)</f>
        <v/>
      </c>
      <c r="U173">
        <f>F172</f>
        <v/>
      </c>
      <c r="V173">
        <f>H172</f>
        <v/>
      </c>
      <c r="W173">
        <f>N172</f>
        <v/>
      </c>
    </row>
    <row r="174" ht="15.75" customHeight="1" s="40">
      <c r="C174" s="36">
        <f>_xlfn.IFS(E174&lt;E$24,0,E174&lt;E$26,C$24,E174&lt;E$28,C$26,E174&lt;E$30,C$28,E174&lt;E$32,C$30,E174&lt;E$34,C$32,E174&gt;=E$34,C$34)</f>
        <v/>
      </c>
      <c r="D174" s="37">
        <f>_xlfn.IFS(E174&lt;E$24,0,E174&lt;E$25,D$24,E174&lt;E$26,D$25,E174&lt;E$27,D$26,E174&lt;E$28,D$27,E174&lt;E$29,D$28,E174&lt;E$30,D$29,E174&lt;E$31,D$30,E174&lt;E$32,D$31,E174&lt;E$33,D$32,E174&lt;E$34,D$33,E174&lt;E$35,D$34,E174&gt;=E$35,D$35)</f>
        <v/>
      </c>
      <c r="E174" s="38" t="n">
        <v>124</v>
      </c>
      <c r="F174" s="31">
        <f>E174/52</f>
        <v/>
      </c>
      <c r="G174" s="39">
        <f>D174/1000000*52</f>
        <v/>
      </c>
      <c r="H174" s="33">
        <f>G174/$P$4+($C$22/$P$4)</f>
        <v/>
      </c>
      <c r="I174" s="36">
        <f>_xlfn.IFS(K174&lt;K$24,0,K174&lt;K$26,I$24,K174&lt;K$28,I$26,K174&lt;K$30,I$28,K174&lt;K$32,I$30,K174&lt;K$34,I$32,K174&lt;K$36,I$34,K174&lt;K$38,I$36,K174&lt;K$40,I$38,K174&lt;K$42,I$40,K174&lt;K$44,I$42,K174&lt;K$46,I$44,K174&gt;=K$46,I$46)</f>
        <v/>
      </c>
      <c r="J174" s="37">
        <f>_xlfn.IFS(K174&lt;K$24,0,K174&lt;K$25,J$24,K174&lt;K$26,J$25,K174&lt;K$27,J$26,K174&lt;K$28,J$27,K174&lt;K$29,J$28,K174&lt;K$30,J$29,K174&lt;K$31,J$30,K174&lt;K$32,J$31,K174&lt;K$33,J$32,K174&lt;K$34,J$33,K174&lt;K$35,J$34,K174&lt;K$36,J$35,K174&lt;K$37,J$36,K174&lt;K$38,J$37,K174&lt;K$39,J$38,K174&lt;K$40,J$39,K174&lt;K$41,J$40,K174&lt;K$42,J$41,K174&lt;K$43,J$42,K174&lt;K$44,J$43,K174&lt;K$45,J$44,K174&lt;K$46,J$45,K174&lt;K$47,J$46,K174&gt;=K$47,J$47)</f>
        <v/>
      </c>
      <c r="K174" s="38" t="n">
        <v>124</v>
      </c>
      <c r="L174" s="31">
        <f>K174/52</f>
        <v/>
      </c>
      <c r="M174" s="39">
        <f>J174/1000000*52</f>
        <v/>
      </c>
      <c r="N174" s="33">
        <f>M174/$P$4+($I$22/$P$4)</f>
        <v/>
      </c>
      <c r="U174">
        <f>F173</f>
        <v/>
      </c>
      <c r="V174">
        <f>H173</f>
        <v/>
      </c>
      <c r="W174">
        <f>N173</f>
        <v/>
      </c>
    </row>
    <row r="175" ht="15.75" customHeight="1" s="40">
      <c r="C175" s="36">
        <f>_xlfn.IFS(E175&lt;E$24,0,E175&lt;E$26,C$24,E175&lt;E$28,C$26,E175&lt;E$30,C$28,E175&lt;E$32,C$30,E175&lt;E$34,C$32,E175&gt;=E$34,C$34)</f>
        <v/>
      </c>
      <c r="D175" s="37">
        <f>_xlfn.IFS(E175&lt;E$24,0,E175&lt;E$25,D$24,E175&lt;E$26,D$25,E175&lt;E$27,D$26,E175&lt;E$28,D$27,E175&lt;E$29,D$28,E175&lt;E$30,D$29,E175&lt;E$31,D$30,E175&lt;E$32,D$31,E175&lt;E$33,D$32,E175&lt;E$34,D$33,E175&lt;E$35,D$34,E175&gt;=E$35,D$35)</f>
        <v/>
      </c>
      <c r="E175" s="38" t="n">
        <v>125</v>
      </c>
      <c r="F175" s="31">
        <f>E175/52</f>
        <v/>
      </c>
      <c r="G175" s="39">
        <f>D175/1000000*52</f>
        <v/>
      </c>
      <c r="H175" s="33">
        <f>G175/$P$4+($C$22/$P$4)</f>
        <v/>
      </c>
      <c r="I175" s="36">
        <f>_xlfn.IFS(K175&lt;K$24,0,K175&lt;K$26,I$24,K175&lt;K$28,I$26,K175&lt;K$30,I$28,K175&lt;K$32,I$30,K175&lt;K$34,I$32,K175&lt;K$36,I$34,K175&lt;K$38,I$36,K175&lt;K$40,I$38,K175&lt;K$42,I$40,K175&lt;K$44,I$42,K175&lt;K$46,I$44,K175&gt;=K$46,I$46)</f>
        <v/>
      </c>
      <c r="J175" s="37">
        <f>_xlfn.IFS(K175&lt;K$24,0,K175&lt;K$25,J$24,K175&lt;K$26,J$25,K175&lt;K$27,J$26,K175&lt;K$28,J$27,K175&lt;K$29,J$28,K175&lt;K$30,J$29,K175&lt;K$31,J$30,K175&lt;K$32,J$31,K175&lt;K$33,J$32,K175&lt;K$34,J$33,K175&lt;K$35,J$34,K175&lt;K$36,J$35,K175&lt;K$37,J$36,K175&lt;K$38,J$37,K175&lt;K$39,J$38,K175&lt;K$40,J$39,K175&lt;K$41,J$40,K175&lt;K$42,J$41,K175&lt;K$43,J$42,K175&lt;K$44,J$43,K175&lt;K$45,J$44,K175&lt;K$46,J$45,K175&lt;K$47,J$46,K175&gt;=K$47,J$47)</f>
        <v/>
      </c>
      <c r="K175" s="38" t="n">
        <v>125</v>
      </c>
      <c r="L175" s="31">
        <f>K175/52</f>
        <v/>
      </c>
      <c r="M175" s="39">
        <f>J175/1000000*52</f>
        <v/>
      </c>
      <c r="N175" s="33">
        <f>M175/$P$4+($I$22/$P$4)</f>
        <v/>
      </c>
      <c r="U175">
        <f>F174</f>
        <v/>
      </c>
      <c r="V175">
        <f>H174</f>
        <v/>
      </c>
      <c r="W175">
        <f>N174</f>
        <v/>
      </c>
    </row>
    <row r="176" ht="15.75" customHeight="1" s="40">
      <c r="C176" s="36">
        <f>_xlfn.IFS(E176&lt;E$24,0,E176&lt;E$26,C$24,E176&lt;E$28,C$26,E176&lt;E$30,C$28,E176&lt;E$32,C$30,E176&lt;E$34,C$32,E176&gt;=E$34,C$34)</f>
        <v/>
      </c>
      <c r="D176" s="37">
        <f>_xlfn.IFS(E176&lt;E$24,0,E176&lt;E$25,D$24,E176&lt;E$26,D$25,E176&lt;E$27,D$26,E176&lt;E$28,D$27,E176&lt;E$29,D$28,E176&lt;E$30,D$29,E176&lt;E$31,D$30,E176&lt;E$32,D$31,E176&lt;E$33,D$32,E176&lt;E$34,D$33,E176&lt;E$35,D$34,E176&gt;=E$35,D$35)</f>
        <v/>
      </c>
      <c r="E176" s="38" t="n">
        <v>126</v>
      </c>
      <c r="F176" s="31">
        <f>E176/52</f>
        <v/>
      </c>
      <c r="G176" s="39">
        <f>D176/1000000*52</f>
        <v/>
      </c>
      <c r="H176" s="33">
        <f>G176/$P$4+($C$22/$P$4)</f>
        <v/>
      </c>
      <c r="I176" s="36">
        <f>_xlfn.IFS(K176&lt;K$24,0,K176&lt;K$26,I$24,K176&lt;K$28,I$26,K176&lt;K$30,I$28,K176&lt;K$32,I$30,K176&lt;K$34,I$32,K176&lt;K$36,I$34,K176&lt;K$38,I$36,K176&lt;K$40,I$38,K176&lt;K$42,I$40,K176&lt;K$44,I$42,K176&lt;K$46,I$44,K176&gt;=K$46,I$46)</f>
        <v/>
      </c>
      <c r="J176" s="37">
        <f>_xlfn.IFS(K176&lt;K$24,0,K176&lt;K$25,J$24,K176&lt;K$26,J$25,K176&lt;K$27,J$26,K176&lt;K$28,J$27,K176&lt;K$29,J$28,K176&lt;K$30,J$29,K176&lt;K$31,J$30,K176&lt;K$32,J$31,K176&lt;K$33,J$32,K176&lt;K$34,J$33,K176&lt;K$35,J$34,K176&lt;K$36,J$35,K176&lt;K$37,J$36,K176&lt;K$38,J$37,K176&lt;K$39,J$38,K176&lt;K$40,J$39,K176&lt;K$41,J$40,K176&lt;K$42,J$41,K176&lt;K$43,J$42,K176&lt;K$44,J$43,K176&lt;K$45,J$44,K176&lt;K$46,J$45,K176&lt;K$47,J$46,K176&gt;=K$47,J$47)</f>
        <v/>
      </c>
      <c r="K176" s="38" t="n">
        <v>126</v>
      </c>
      <c r="L176" s="31">
        <f>K176/52</f>
        <v/>
      </c>
      <c r="M176" s="39">
        <f>J176/1000000*52</f>
        <v/>
      </c>
      <c r="N176" s="33">
        <f>M176/$P$4+($I$22/$P$4)</f>
        <v/>
      </c>
      <c r="U176">
        <f>F175</f>
        <v/>
      </c>
      <c r="V176">
        <f>H175</f>
        <v/>
      </c>
      <c r="W176">
        <f>N175</f>
        <v/>
      </c>
    </row>
    <row r="177" ht="15.75" customHeight="1" s="40">
      <c r="C177" s="36">
        <f>_xlfn.IFS(E177&lt;E$24,0,E177&lt;E$26,C$24,E177&lt;E$28,C$26,E177&lt;E$30,C$28,E177&lt;E$32,C$30,E177&lt;E$34,C$32,E177&gt;=E$34,C$34)</f>
        <v/>
      </c>
      <c r="D177" s="37">
        <f>_xlfn.IFS(E177&lt;E$24,0,E177&lt;E$25,D$24,E177&lt;E$26,D$25,E177&lt;E$27,D$26,E177&lt;E$28,D$27,E177&lt;E$29,D$28,E177&lt;E$30,D$29,E177&lt;E$31,D$30,E177&lt;E$32,D$31,E177&lt;E$33,D$32,E177&lt;E$34,D$33,E177&lt;E$35,D$34,E177&gt;=E$35,D$35)</f>
        <v/>
      </c>
      <c r="E177" s="38" t="n">
        <v>127</v>
      </c>
      <c r="F177" s="31">
        <f>E177/52</f>
        <v/>
      </c>
      <c r="G177" s="39">
        <f>D177/1000000*52</f>
        <v/>
      </c>
      <c r="H177" s="33">
        <f>G177/$P$4+($C$22/$P$4)</f>
        <v/>
      </c>
      <c r="I177" s="36">
        <f>_xlfn.IFS(K177&lt;K$24,0,K177&lt;K$26,I$24,K177&lt;K$28,I$26,K177&lt;K$30,I$28,K177&lt;K$32,I$30,K177&lt;K$34,I$32,K177&lt;K$36,I$34,K177&lt;K$38,I$36,K177&lt;K$40,I$38,K177&lt;K$42,I$40,K177&lt;K$44,I$42,K177&lt;K$46,I$44,K177&gt;=K$46,I$46)</f>
        <v/>
      </c>
      <c r="J177" s="37">
        <f>_xlfn.IFS(K177&lt;K$24,0,K177&lt;K$25,J$24,K177&lt;K$26,J$25,K177&lt;K$27,J$26,K177&lt;K$28,J$27,K177&lt;K$29,J$28,K177&lt;K$30,J$29,K177&lt;K$31,J$30,K177&lt;K$32,J$31,K177&lt;K$33,J$32,K177&lt;K$34,J$33,K177&lt;K$35,J$34,K177&lt;K$36,J$35,K177&lt;K$37,J$36,K177&lt;K$38,J$37,K177&lt;K$39,J$38,K177&lt;K$40,J$39,K177&lt;K$41,J$40,K177&lt;K$42,J$41,K177&lt;K$43,J$42,K177&lt;K$44,J$43,K177&lt;K$45,J$44,K177&lt;K$46,J$45,K177&lt;K$47,J$46,K177&gt;=K$47,J$47)</f>
        <v/>
      </c>
      <c r="K177" s="38" t="n">
        <v>127</v>
      </c>
      <c r="L177" s="31">
        <f>K177/52</f>
        <v/>
      </c>
      <c r="M177" s="39">
        <f>J177/1000000*52</f>
        <v/>
      </c>
      <c r="N177" s="33">
        <f>M177/$P$4+($I$22/$P$4)</f>
        <v/>
      </c>
      <c r="U177">
        <f>F176</f>
        <v/>
      </c>
      <c r="V177">
        <f>H176</f>
        <v/>
      </c>
      <c r="W177">
        <f>N176</f>
        <v/>
      </c>
    </row>
    <row r="178" ht="15.75" customHeight="1" s="40">
      <c r="C178" s="36">
        <f>_xlfn.IFS(E178&lt;E$24,0,E178&lt;E$26,C$24,E178&lt;E$28,C$26,E178&lt;E$30,C$28,E178&lt;E$32,C$30,E178&lt;E$34,C$32,E178&gt;=E$34,C$34)</f>
        <v/>
      </c>
      <c r="D178" s="37">
        <f>_xlfn.IFS(E178&lt;E$24,0,E178&lt;E$25,D$24,E178&lt;E$26,D$25,E178&lt;E$27,D$26,E178&lt;E$28,D$27,E178&lt;E$29,D$28,E178&lt;E$30,D$29,E178&lt;E$31,D$30,E178&lt;E$32,D$31,E178&lt;E$33,D$32,E178&lt;E$34,D$33,E178&lt;E$35,D$34,E178&gt;=E$35,D$35)</f>
        <v/>
      </c>
      <c r="E178" s="38" t="n">
        <v>128</v>
      </c>
      <c r="F178" s="31">
        <f>E178/52</f>
        <v/>
      </c>
      <c r="G178" s="39">
        <f>D178/1000000*52</f>
        <v/>
      </c>
      <c r="H178" s="33">
        <f>G178/$P$4+($C$22/$P$4)</f>
        <v/>
      </c>
      <c r="I178" s="36">
        <f>_xlfn.IFS(K178&lt;K$24,0,K178&lt;K$26,I$24,K178&lt;K$28,I$26,K178&lt;K$30,I$28,K178&lt;K$32,I$30,K178&lt;K$34,I$32,K178&lt;K$36,I$34,K178&lt;K$38,I$36,K178&lt;K$40,I$38,K178&lt;K$42,I$40,K178&lt;K$44,I$42,K178&lt;K$46,I$44,K178&gt;=K$46,I$46)</f>
        <v/>
      </c>
      <c r="J178" s="37">
        <f>_xlfn.IFS(K178&lt;K$24,0,K178&lt;K$25,J$24,K178&lt;K$26,J$25,K178&lt;K$27,J$26,K178&lt;K$28,J$27,K178&lt;K$29,J$28,K178&lt;K$30,J$29,K178&lt;K$31,J$30,K178&lt;K$32,J$31,K178&lt;K$33,J$32,K178&lt;K$34,J$33,K178&lt;K$35,J$34,K178&lt;K$36,J$35,K178&lt;K$37,J$36,K178&lt;K$38,J$37,K178&lt;K$39,J$38,K178&lt;K$40,J$39,K178&lt;K$41,J$40,K178&lt;K$42,J$41,K178&lt;K$43,J$42,K178&lt;K$44,J$43,K178&lt;K$45,J$44,K178&lt;K$46,J$45,K178&lt;K$47,J$46,K178&gt;=K$47,J$47)</f>
        <v/>
      </c>
      <c r="K178" s="38" t="n">
        <v>128</v>
      </c>
      <c r="L178" s="31">
        <f>K178/52</f>
        <v/>
      </c>
      <c r="M178" s="39">
        <f>J178/1000000*52</f>
        <v/>
      </c>
      <c r="N178" s="33">
        <f>M178/$P$4+($I$22/$P$4)</f>
        <v/>
      </c>
      <c r="U178">
        <f>F177</f>
        <v/>
      </c>
      <c r="V178">
        <f>H177</f>
        <v/>
      </c>
      <c r="W178">
        <f>N177</f>
        <v/>
      </c>
    </row>
    <row r="179" ht="15.75" customHeight="1" s="40">
      <c r="C179" s="36">
        <f>_xlfn.IFS(E179&lt;E$24,0,E179&lt;E$26,C$24,E179&lt;E$28,C$26,E179&lt;E$30,C$28,E179&lt;E$32,C$30,E179&lt;E$34,C$32,E179&gt;=E$34,C$34)</f>
        <v/>
      </c>
      <c r="D179" s="37">
        <f>_xlfn.IFS(E179&lt;E$24,0,E179&lt;E$25,D$24,E179&lt;E$26,D$25,E179&lt;E$27,D$26,E179&lt;E$28,D$27,E179&lt;E$29,D$28,E179&lt;E$30,D$29,E179&lt;E$31,D$30,E179&lt;E$32,D$31,E179&lt;E$33,D$32,E179&lt;E$34,D$33,E179&lt;E$35,D$34,E179&gt;=E$35,D$35)</f>
        <v/>
      </c>
      <c r="E179" s="38" t="n">
        <v>129</v>
      </c>
      <c r="F179" s="31">
        <f>E179/52</f>
        <v/>
      </c>
      <c r="G179" s="39">
        <f>D179/1000000*52</f>
        <v/>
      </c>
      <c r="H179" s="33">
        <f>G179/$P$4+($C$22/$P$4)</f>
        <v/>
      </c>
      <c r="I179" s="36">
        <f>_xlfn.IFS(K179&lt;K$24,0,K179&lt;K$26,I$24,K179&lt;K$28,I$26,K179&lt;K$30,I$28,K179&lt;K$32,I$30,K179&lt;K$34,I$32,K179&lt;K$36,I$34,K179&lt;K$38,I$36,K179&lt;K$40,I$38,K179&lt;K$42,I$40,K179&lt;K$44,I$42,K179&lt;K$46,I$44,K179&gt;=K$46,I$46)</f>
        <v/>
      </c>
      <c r="J179" s="37">
        <f>_xlfn.IFS(K179&lt;K$24,0,K179&lt;K$25,J$24,K179&lt;K$26,J$25,K179&lt;K$27,J$26,K179&lt;K$28,J$27,K179&lt;K$29,J$28,K179&lt;K$30,J$29,K179&lt;K$31,J$30,K179&lt;K$32,J$31,K179&lt;K$33,J$32,K179&lt;K$34,J$33,K179&lt;K$35,J$34,K179&lt;K$36,J$35,K179&lt;K$37,J$36,K179&lt;K$38,J$37,K179&lt;K$39,J$38,K179&lt;K$40,J$39,K179&lt;K$41,J$40,K179&lt;K$42,J$41,K179&lt;K$43,J$42,K179&lt;K$44,J$43,K179&lt;K$45,J$44,K179&lt;K$46,J$45,K179&lt;K$47,J$46,K179&gt;=K$47,J$47)</f>
        <v/>
      </c>
      <c r="K179" s="38" t="n">
        <v>129</v>
      </c>
      <c r="L179" s="31">
        <f>K179/52</f>
        <v/>
      </c>
      <c r="M179" s="39">
        <f>J179/1000000*52</f>
        <v/>
      </c>
      <c r="N179" s="33">
        <f>M179/$P$4+($I$22/$P$4)</f>
        <v/>
      </c>
      <c r="U179">
        <f>F178</f>
        <v/>
      </c>
      <c r="V179">
        <f>H178</f>
        <v/>
      </c>
      <c r="W179">
        <f>N178</f>
        <v/>
      </c>
    </row>
    <row r="180" ht="15.75" customHeight="1" s="40">
      <c r="C180" s="36">
        <f>_xlfn.IFS(E180&lt;E$24,0,E180&lt;E$26,C$24,E180&lt;E$28,C$26,E180&lt;E$30,C$28,E180&lt;E$32,C$30,E180&lt;E$34,C$32,E180&gt;=E$34,C$34)</f>
        <v/>
      </c>
      <c r="D180" s="37">
        <f>_xlfn.IFS(E180&lt;E$24,0,E180&lt;E$25,D$24,E180&lt;E$26,D$25,E180&lt;E$27,D$26,E180&lt;E$28,D$27,E180&lt;E$29,D$28,E180&lt;E$30,D$29,E180&lt;E$31,D$30,E180&lt;E$32,D$31,E180&lt;E$33,D$32,E180&lt;E$34,D$33,E180&lt;E$35,D$34,E180&gt;=E$35,D$35)</f>
        <v/>
      </c>
      <c r="E180" s="38" t="n">
        <v>130</v>
      </c>
      <c r="F180" s="31">
        <f>E180/52</f>
        <v/>
      </c>
      <c r="G180" s="39">
        <f>D180/1000000*52</f>
        <v/>
      </c>
      <c r="H180" s="33">
        <f>G180/$P$4+($C$22/$P$4)</f>
        <v/>
      </c>
      <c r="I180" s="36">
        <f>_xlfn.IFS(K180&lt;K$24,0,K180&lt;K$26,I$24,K180&lt;K$28,I$26,K180&lt;K$30,I$28,K180&lt;K$32,I$30,K180&lt;K$34,I$32,K180&lt;K$36,I$34,K180&lt;K$38,I$36,K180&lt;K$40,I$38,K180&lt;K$42,I$40,K180&lt;K$44,I$42,K180&lt;K$46,I$44,K180&gt;=K$46,I$46)</f>
        <v/>
      </c>
      <c r="J180" s="37">
        <f>_xlfn.IFS(K180&lt;K$24,0,K180&lt;K$25,J$24,K180&lt;K$26,J$25,K180&lt;K$27,J$26,K180&lt;K$28,J$27,K180&lt;K$29,J$28,K180&lt;K$30,J$29,K180&lt;K$31,J$30,K180&lt;K$32,J$31,K180&lt;K$33,J$32,K180&lt;K$34,J$33,K180&lt;K$35,J$34,K180&lt;K$36,J$35,K180&lt;K$37,J$36,K180&lt;K$38,J$37,K180&lt;K$39,J$38,K180&lt;K$40,J$39,K180&lt;K$41,J$40,K180&lt;K$42,J$41,K180&lt;K$43,J$42,K180&lt;K$44,J$43,K180&lt;K$45,J$44,K180&lt;K$46,J$45,K180&lt;K$47,J$46,K180&gt;=K$47,J$47)</f>
        <v/>
      </c>
      <c r="K180" s="38" t="n">
        <v>130</v>
      </c>
      <c r="L180" s="31">
        <f>K180/52</f>
        <v/>
      </c>
      <c r="M180" s="39">
        <f>J180/1000000*52</f>
        <v/>
      </c>
      <c r="N180" s="33">
        <f>M180/$P$4+($I$22/$P$4)</f>
        <v/>
      </c>
      <c r="U180">
        <f>F179</f>
        <v/>
      </c>
      <c r="V180">
        <f>H179</f>
        <v/>
      </c>
      <c r="W180">
        <f>N179</f>
        <v/>
      </c>
    </row>
    <row r="181" ht="15.75" customHeight="1" s="40">
      <c r="C181" s="36">
        <f>_xlfn.IFS(E181&lt;E$24,0,E181&lt;E$26,C$24,E181&lt;E$28,C$26,E181&lt;E$30,C$28,E181&lt;E$32,C$30,E181&lt;E$34,C$32,E181&gt;=E$34,C$34)</f>
        <v/>
      </c>
      <c r="D181" s="37">
        <f>_xlfn.IFS(E181&lt;E$24,0,E181&lt;E$25,D$24,E181&lt;E$26,D$25,E181&lt;E$27,D$26,E181&lt;E$28,D$27,E181&lt;E$29,D$28,E181&lt;E$30,D$29,E181&lt;E$31,D$30,E181&lt;E$32,D$31,E181&lt;E$33,D$32,E181&lt;E$34,D$33,E181&lt;E$35,D$34,E181&gt;=E$35,D$35)</f>
        <v/>
      </c>
      <c r="E181" s="38" t="n">
        <v>131</v>
      </c>
      <c r="F181" s="31">
        <f>E181/52</f>
        <v/>
      </c>
      <c r="G181" s="39">
        <f>D181/1000000*52</f>
        <v/>
      </c>
      <c r="H181" s="33">
        <f>G181/$P$4+($C$22/$P$4)</f>
        <v/>
      </c>
      <c r="I181" s="36">
        <f>_xlfn.IFS(K181&lt;K$24,0,K181&lt;K$26,I$24,K181&lt;K$28,I$26,K181&lt;K$30,I$28,K181&lt;K$32,I$30,K181&lt;K$34,I$32,K181&lt;K$36,I$34,K181&lt;K$38,I$36,K181&lt;K$40,I$38,K181&lt;K$42,I$40,K181&lt;K$44,I$42,K181&lt;K$46,I$44,K181&gt;=K$46,I$46)</f>
        <v/>
      </c>
      <c r="J181" s="37">
        <f>_xlfn.IFS(K181&lt;K$24,0,K181&lt;K$25,J$24,K181&lt;K$26,J$25,K181&lt;K$27,J$26,K181&lt;K$28,J$27,K181&lt;K$29,J$28,K181&lt;K$30,J$29,K181&lt;K$31,J$30,K181&lt;K$32,J$31,K181&lt;K$33,J$32,K181&lt;K$34,J$33,K181&lt;K$35,J$34,K181&lt;K$36,J$35,K181&lt;K$37,J$36,K181&lt;K$38,J$37,K181&lt;K$39,J$38,K181&lt;K$40,J$39,K181&lt;K$41,J$40,K181&lt;K$42,J$41,K181&lt;K$43,J$42,K181&lt;K$44,J$43,K181&lt;K$45,J$44,K181&lt;K$46,J$45,K181&lt;K$47,J$46,K181&gt;=K$47,J$47)</f>
        <v/>
      </c>
      <c r="K181" s="38" t="n">
        <v>131</v>
      </c>
      <c r="L181" s="31">
        <f>K181/52</f>
        <v/>
      </c>
      <c r="M181" s="39">
        <f>J181/1000000*52</f>
        <v/>
      </c>
      <c r="N181" s="33">
        <f>M181/$P$4+($I$22/$P$4)</f>
        <v/>
      </c>
      <c r="U181">
        <f>F180</f>
        <v/>
      </c>
      <c r="V181">
        <f>H180</f>
        <v/>
      </c>
      <c r="W181">
        <f>N180</f>
        <v/>
      </c>
    </row>
    <row r="182" ht="15.75" customHeight="1" s="40">
      <c r="C182" s="36">
        <f>_xlfn.IFS(E182&lt;E$24,0,E182&lt;E$26,C$24,E182&lt;E$28,C$26,E182&lt;E$30,C$28,E182&lt;E$32,C$30,E182&lt;E$34,C$32,E182&gt;=E$34,C$34)</f>
        <v/>
      </c>
      <c r="D182" s="37">
        <f>_xlfn.IFS(E182&lt;E$24,0,E182&lt;E$25,D$24,E182&lt;E$26,D$25,E182&lt;E$27,D$26,E182&lt;E$28,D$27,E182&lt;E$29,D$28,E182&lt;E$30,D$29,E182&lt;E$31,D$30,E182&lt;E$32,D$31,E182&lt;E$33,D$32,E182&lt;E$34,D$33,E182&lt;E$35,D$34,E182&gt;=E$35,D$35)</f>
        <v/>
      </c>
      <c r="E182" s="38" t="n">
        <v>132</v>
      </c>
      <c r="F182" s="31">
        <f>E182/52</f>
        <v/>
      </c>
      <c r="G182" s="39">
        <f>D182/1000000*52</f>
        <v/>
      </c>
      <c r="H182" s="33">
        <f>G182/$P$4+($C$22/$P$4)</f>
        <v/>
      </c>
      <c r="I182" s="36">
        <f>_xlfn.IFS(K182&lt;K$24,0,K182&lt;K$26,I$24,K182&lt;K$28,I$26,K182&lt;K$30,I$28,K182&lt;K$32,I$30,K182&lt;K$34,I$32,K182&lt;K$36,I$34,K182&lt;K$38,I$36,K182&lt;K$40,I$38,K182&lt;K$42,I$40,K182&lt;K$44,I$42,K182&lt;K$46,I$44,K182&gt;=K$46,I$46)</f>
        <v/>
      </c>
      <c r="J182" s="37">
        <f>_xlfn.IFS(K182&lt;K$24,0,K182&lt;K$25,J$24,K182&lt;K$26,J$25,K182&lt;K$27,J$26,K182&lt;K$28,J$27,K182&lt;K$29,J$28,K182&lt;K$30,J$29,K182&lt;K$31,J$30,K182&lt;K$32,J$31,K182&lt;K$33,J$32,K182&lt;K$34,J$33,K182&lt;K$35,J$34,K182&lt;K$36,J$35,K182&lt;K$37,J$36,K182&lt;K$38,J$37,K182&lt;K$39,J$38,K182&lt;K$40,J$39,K182&lt;K$41,J$40,K182&lt;K$42,J$41,K182&lt;K$43,J$42,K182&lt;K$44,J$43,K182&lt;K$45,J$44,K182&lt;K$46,J$45,K182&lt;K$47,J$46,K182&gt;=K$47,J$47)</f>
        <v/>
      </c>
      <c r="K182" s="38" t="n">
        <v>132</v>
      </c>
      <c r="L182" s="31">
        <f>K182/52</f>
        <v/>
      </c>
      <c r="M182" s="39">
        <f>J182/1000000*52</f>
        <v/>
      </c>
      <c r="N182" s="33">
        <f>M182/$P$4+($I$22/$P$4)</f>
        <v/>
      </c>
      <c r="U182">
        <f>F181</f>
        <v/>
      </c>
      <c r="V182">
        <f>H181</f>
        <v/>
      </c>
      <c r="W182">
        <f>N181</f>
        <v/>
      </c>
    </row>
    <row r="183" ht="15.75" customHeight="1" s="40">
      <c r="C183" s="36">
        <f>_xlfn.IFS(E183&lt;E$24,0,E183&lt;E$26,C$24,E183&lt;E$28,C$26,E183&lt;E$30,C$28,E183&lt;E$32,C$30,E183&lt;E$34,C$32,E183&gt;=E$34,C$34)</f>
        <v/>
      </c>
      <c r="D183" s="37">
        <f>_xlfn.IFS(E183&lt;E$24,0,E183&lt;E$25,D$24,E183&lt;E$26,D$25,E183&lt;E$27,D$26,E183&lt;E$28,D$27,E183&lt;E$29,D$28,E183&lt;E$30,D$29,E183&lt;E$31,D$30,E183&lt;E$32,D$31,E183&lt;E$33,D$32,E183&lt;E$34,D$33,E183&lt;E$35,D$34,E183&gt;=E$35,D$35)</f>
        <v/>
      </c>
      <c r="E183" s="38" t="n">
        <v>133</v>
      </c>
      <c r="F183" s="31">
        <f>E183/52</f>
        <v/>
      </c>
      <c r="G183" s="39">
        <f>D183/1000000*52</f>
        <v/>
      </c>
      <c r="H183" s="33">
        <f>G183/$P$4+($C$22/$P$4)</f>
        <v/>
      </c>
      <c r="I183" s="36">
        <f>_xlfn.IFS(K183&lt;K$24,0,K183&lt;K$26,I$24,K183&lt;K$28,I$26,K183&lt;K$30,I$28,K183&lt;K$32,I$30,K183&lt;K$34,I$32,K183&lt;K$36,I$34,K183&lt;K$38,I$36,K183&lt;K$40,I$38,K183&lt;K$42,I$40,K183&lt;K$44,I$42,K183&lt;K$46,I$44,K183&gt;=K$46,I$46)</f>
        <v/>
      </c>
      <c r="J183" s="37">
        <f>_xlfn.IFS(K183&lt;K$24,0,K183&lt;K$25,J$24,K183&lt;K$26,J$25,K183&lt;K$27,J$26,K183&lt;K$28,J$27,K183&lt;K$29,J$28,K183&lt;K$30,J$29,K183&lt;K$31,J$30,K183&lt;K$32,J$31,K183&lt;K$33,J$32,K183&lt;K$34,J$33,K183&lt;K$35,J$34,K183&lt;K$36,J$35,K183&lt;K$37,J$36,K183&lt;K$38,J$37,K183&lt;K$39,J$38,K183&lt;K$40,J$39,K183&lt;K$41,J$40,K183&lt;K$42,J$41,K183&lt;K$43,J$42,K183&lt;K$44,J$43,K183&lt;K$45,J$44,K183&lt;K$46,J$45,K183&lt;K$47,J$46,K183&gt;=K$47,J$47)</f>
        <v/>
      </c>
      <c r="K183" s="38" t="n">
        <v>133</v>
      </c>
      <c r="L183" s="31">
        <f>K183/52</f>
        <v/>
      </c>
      <c r="M183" s="39">
        <f>J183/1000000*52</f>
        <v/>
      </c>
      <c r="N183" s="33">
        <f>M183/$P$4+($I$22/$P$4)</f>
        <v/>
      </c>
      <c r="U183">
        <f>F182</f>
        <v/>
      </c>
      <c r="V183">
        <f>H182</f>
        <v/>
      </c>
      <c r="W183">
        <f>N182</f>
        <v/>
      </c>
    </row>
    <row r="184" ht="15.75" customHeight="1" s="40">
      <c r="C184" s="36">
        <f>_xlfn.IFS(E184&lt;E$24,0,E184&lt;E$26,C$24,E184&lt;E$28,C$26,E184&lt;E$30,C$28,E184&lt;E$32,C$30,E184&lt;E$34,C$32,E184&gt;=E$34,C$34)</f>
        <v/>
      </c>
      <c r="D184" s="37">
        <f>_xlfn.IFS(E184&lt;E$24,0,E184&lt;E$25,D$24,E184&lt;E$26,D$25,E184&lt;E$27,D$26,E184&lt;E$28,D$27,E184&lt;E$29,D$28,E184&lt;E$30,D$29,E184&lt;E$31,D$30,E184&lt;E$32,D$31,E184&lt;E$33,D$32,E184&lt;E$34,D$33,E184&lt;E$35,D$34,E184&gt;=E$35,D$35)</f>
        <v/>
      </c>
      <c r="E184" s="38" t="n">
        <v>134</v>
      </c>
      <c r="F184" s="31">
        <f>E184/52</f>
        <v/>
      </c>
      <c r="G184" s="39">
        <f>D184/1000000*52</f>
        <v/>
      </c>
      <c r="H184" s="33">
        <f>G184/$P$4+($C$22/$P$4)</f>
        <v/>
      </c>
      <c r="I184" s="36">
        <f>_xlfn.IFS(K184&lt;K$24,0,K184&lt;K$26,I$24,K184&lt;K$28,I$26,K184&lt;K$30,I$28,K184&lt;K$32,I$30,K184&lt;K$34,I$32,K184&lt;K$36,I$34,K184&lt;K$38,I$36,K184&lt;K$40,I$38,K184&lt;K$42,I$40,K184&lt;K$44,I$42,K184&lt;K$46,I$44,K184&gt;=K$46,I$46)</f>
        <v/>
      </c>
      <c r="J184" s="37">
        <f>_xlfn.IFS(K184&lt;K$24,0,K184&lt;K$25,J$24,K184&lt;K$26,J$25,K184&lt;K$27,J$26,K184&lt;K$28,J$27,K184&lt;K$29,J$28,K184&lt;K$30,J$29,K184&lt;K$31,J$30,K184&lt;K$32,J$31,K184&lt;K$33,J$32,K184&lt;K$34,J$33,K184&lt;K$35,J$34,K184&lt;K$36,J$35,K184&lt;K$37,J$36,K184&lt;K$38,J$37,K184&lt;K$39,J$38,K184&lt;K$40,J$39,K184&lt;K$41,J$40,K184&lt;K$42,J$41,K184&lt;K$43,J$42,K184&lt;K$44,J$43,K184&lt;K$45,J$44,K184&lt;K$46,J$45,K184&lt;K$47,J$46,K184&gt;=K$47,J$47)</f>
        <v/>
      </c>
      <c r="K184" s="38" t="n">
        <v>134</v>
      </c>
      <c r="L184" s="31">
        <f>K184/52</f>
        <v/>
      </c>
      <c r="M184" s="39">
        <f>J184/1000000*52</f>
        <v/>
      </c>
      <c r="N184" s="33">
        <f>M184/$P$4+($I$22/$P$4)</f>
        <v/>
      </c>
      <c r="U184">
        <f>F183</f>
        <v/>
      </c>
      <c r="V184">
        <f>H183</f>
        <v/>
      </c>
      <c r="W184">
        <f>N183</f>
        <v/>
      </c>
    </row>
    <row r="185" ht="15.75" customHeight="1" s="40">
      <c r="C185" s="36">
        <f>_xlfn.IFS(E185&lt;E$24,0,E185&lt;E$26,C$24,E185&lt;E$28,C$26,E185&lt;E$30,C$28,E185&lt;E$32,C$30,E185&lt;E$34,C$32,E185&gt;=E$34,C$34)</f>
        <v/>
      </c>
      <c r="D185" s="37">
        <f>_xlfn.IFS(E185&lt;E$24,0,E185&lt;E$25,D$24,E185&lt;E$26,D$25,E185&lt;E$27,D$26,E185&lt;E$28,D$27,E185&lt;E$29,D$28,E185&lt;E$30,D$29,E185&lt;E$31,D$30,E185&lt;E$32,D$31,E185&lt;E$33,D$32,E185&lt;E$34,D$33,E185&lt;E$35,D$34,E185&gt;=E$35,D$35)</f>
        <v/>
      </c>
      <c r="E185" s="38" t="n">
        <v>135</v>
      </c>
      <c r="F185" s="31">
        <f>E185/52</f>
        <v/>
      </c>
      <c r="G185" s="39">
        <f>D185/1000000*52</f>
        <v/>
      </c>
      <c r="H185" s="33">
        <f>G185/$P$4+($C$22/$P$4)</f>
        <v/>
      </c>
      <c r="I185" s="36">
        <f>_xlfn.IFS(K185&lt;K$24,0,K185&lt;K$26,I$24,K185&lt;K$28,I$26,K185&lt;K$30,I$28,K185&lt;K$32,I$30,K185&lt;K$34,I$32,K185&lt;K$36,I$34,K185&lt;K$38,I$36,K185&lt;K$40,I$38,K185&lt;K$42,I$40,K185&lt;K$44,I$42,K185&lt;K$46,I$44,K185&gt;=K$46,I$46)</f>
        <v/>
      </c>
      <c r="J185" s="37">
        <f>_xlfn.IFS(K185&lt;K$24,0,K185&lt;K$25,J$24,K185&lt;K$26,J$25,K185&lt;K$27,J$26,K185&lt;K$28,J$27,K185&lt;K$29,J$28,K185&lt;K$30,J$29,K185&lt;K$31,J$30,K185&lt;K$32,J$31,K185&lt;K$33,J$32,K185&lt;K$34,J$33,K185&lt;K$35,J$34,K185&lt;K$36,J$35,K185&lt;K$37,J$36,K185&lt;K$38,J$37,K185&lt;K$39,J$38,K185&lt;K$40,J$39,K185&lt;K$41,J$40,K185&lt;K$42,J$41,K185&lt;K$43,J$42,K185&lt;K$44,J$43,K185&lt;K$45,J$44,K185&lt;K$46,J$45,K185&lt;K$47,J$46,K185&gt;=K$47,J$47)</f>
        <v/>
      </c>
      <c r="K185" s="38" t="n">
        <v>135</v>
      </c>
      <c r="L185" s="31">
        <f>K185/52</f>
        <v/>
      </c>
      <c r="M185" s="39">
        <f>J185/1000000*52</f>
        <v/>
      </c>
      <c r="N185" s="33">
        <f>M185/$P$4+($I$22/$P$4)</f>
        <v/>
      </c>
      <c r="U185">
        <f>F184</f>
        <v/>
      </c>
      <c r="V185">
        <f>H184</f>
        <v/>
      </c>
      <c r="W185">
        <f>N184</f>
        <v/>
      </c>
    </row>
    <row r="186" ht="15.75" customHeight="1" s="40">
      <c r="C186" s="36">
        <f>_xlfn.IFS(E186&lt;E$24,0,E186&lt;E$26,C$24,E186&lt;E$28,C$26,E186&lt;E$30,C$28,E186&lt;E$32,C$30,E186&lt;E$34,C$32,E186&gt;=E$34,C$34)</f>
        <v/>
      </c>
      <c r="D186" s="37">
        <f>_xlfn.IFS(E186&lt;E$24,0,E186&lt;E$25,D$24,E186&lt;E$26,D$25,E186&lt;E$27,D$26,E186&lt;E$28,D$27,E186&lt;E$29,D$28,E186&lt;E$30,D$29,E186&lt;E$31,D$30,E186&lt;E$32,D$31,E186&lt;E$33,D$32,E186&lt;E$34,D$33,E186&lt;E$35,D$34,E186&gt;=E$35,D$35)</f>
        <v/>
      </c>
      <c r="E186" s="38" t="n">
        <v>136</v>
      </c>
      <c r="F186" s="31">
        <f>E186/52</f>
        <v/>
      </c>
      <c r="G186" s="39">
        <f>D186/1000000*52</f>
        <v/>
      </c>
      <c r="H186" s="33">
        <f>G186/$P$4+($C$22/$P$4)</f>
        <v/>
      </c>
      <c r="I186" s="36">
        <f>_xlfn.IFS(K186&lt;K$24,0,K186&lt;K$26,I$24,K186&lt;K$28,I$26,K186&lt;K$30,I$28,K186&lt;K$32,I$30,K186&lt;K$34,I$32,K186&lt;K$36,I$34,K186&lt;K$38,I$36,K186&lt;K$40,I$38,K186&lt;K$42,I$40,K186&lt;K$44,I$42,K186&lt;K$46,I$44,K186&gt;=K$46,I$46)</f>
        <v/>
      </c>
      <c r="J186" s="37">
        <f>_xlfn.IFS(K186&lt;K$24,0,K186&lt;K$25,J$24,K186&lt;K$26,J$25,K186&lt;K$27,J$26,K186&lt;K$28,J$27,K186&lt;K$29,J$28,K186&lt;K$30,J$29,K186&lt;K$31,J$30,K186&lt;K$32,J$31,K186&lt;K$33,J$32,K186&lt;K$34,J$33,K186&lt;K$35,J$34,K186&lt;K$36,J$35,K186&lt;K$37,J$36,K186&lt;K$38,J$37,K186&lt;K$39,J$38,K186&lt;K$40,J$39,K186&lt;K$41,J$40,K186&lt;K$42,J$41,K186&lt;K$43,J$42,K186&lt;K$44,J$43,K186&lt;K$45,J$44,K186&lt;K$46,J$45,K186&lt;K$47,J$46,K186&gt;=K$47,J$47)</f>
        <v/>
      </c>
      <c r="K186" s="38" t="n">
        <v>136</v>
      </c>
      <c r="L186" s="31">
        <f>K186/52</f>
        <v/>
      </c>
      <c r="M186" s="39">
        <f>J186/1000000*52</f>
        <v/>
      </c>
      <c r="N186" s="33">
        <f>M186/$P$4+($I$22/$P$4)</f>
        <v/>
      </c>
      <c r="U186">
        <f>F185</f>
        <v/>
      </c>
      <c r="V186">
        <f>H185</f>
        <v/>
      </c>
      <c r="W186">
        <f>N185</f>
        <v/>
      </c>
    </row>
    <row r="187" ht="15.75" customHeight="1" s="40">
      <c r="C187" s="36">
        <f>_xlfn.IFS(E187&lt;E$24,0,E187&lt;E$26,C$24,E187&lt;E$28,C$26,E187&lt;E$30,C$28,E187&lt;E$32,C$30,E187&lt;E$34,C$32,E187&gt;=E$34,C$34)</f>
        <v/>
      </c>
      <c r="D187" s="37">
        <f>_xlfn.IFS(E187&lt;E$24,0,E187&lt;E$25,D$24,E187&lt;E$26,D$25,E187&lt;E$27,D$26,E187&lt;E$28,D$27,E187&lt;E$29,D$28,E187&lt;E$30,D$29,E187&lt;E$31,D$30,E187&lt;E$32,D$31,E187&lt;E$33,D$32,E187&lt;E$34,D$33,E187&lt;E$35,D$34,E187&gt;=E$35,D$35)</f>
        <v/>
      </c>
      <c r="E187" s="38" t="n">
        <v>137</v>
      </c>
      <c r="F187" s="31">
        <f>E187/52</f>
        <v/>
      </c>
      <c r="G187" s="39">
        <f>D187/1000000*52</f>
        <v/>
      </c>
      <c r="H187" s="33">
        <f>G187/$P$4+($C$22/$P$4)</f>
        <v/>
      </c>
      <c r="I187" s="36">
        <f>_xlfn.IFS(K187&lt;K$24,0,K187&lt;K$26,I$24,K187&lt;K$28,I$26,K187&lt;K$30,I$28,K187&lt;K$32,I$30,K187&lt;K$34,I$32,K187&lt;K$36,I$34,K187&lt;K$38,I$36,K187&lt;K$40,I$38,K187&lt;K$42,I$40,K187&lt;K$44,I$42,K187&lt;K$46,I$44,K187&gt;=K$46,I$46)</f>
        <v/>
      </c>
      <c r="J187" s="37">
        <f>_xlfn.IFS(K187&lt;K$24,0,K187&lt;K$25,J$24,K187&lt;K$26,J$25,K187&lt;K$27,J$26,K187&lt;K$28,J$27,K187&lt;K$29,J$28,K187&lt;K$30,J$29,K187&lt;K$31,J$30,K187&lt;K$32,J$31,K187&lt;K$33,J$32,K187&lt;K$34,J$33,K187&lt;K$35,J$34,K187&lt;K$36,J$35,K187&lt;K$37,J$36,K187&lt;K$38,J$37,K187&lt;K$39,J$38,K187&lt;K$40,J$39,K187&lt;K$41,J$40,K187&lt;K$42,J$41,K187&lt;K$43,J$42,K187&lt;K$44,J$43,K187&lt;K$45,J$44,K187&lt;K$46,J$45,K187&lt;K$47,J$46,K187&gt;=K$47,J$47)</f>
        <v/>
      </c>
      <c r="K187" s="38" t="n">
        <v>137</v>
      </c>
      <c r="L187" s="31">
        <f>K187/52</f>
        <v/>
      </c>
      <c r="M187" s="39">
        <f>J187/1000000*52</f>
        <v/>
      </c>
      <c r="N187" s="33">
        <f>M187/$P$4+($I$22/$P$4)</f>
        <v/>
      </c>
      <c r="U187">
        <f>F186</f>
        <v/>
      </c>
      <c r="V187">
        <f>H186</f>
        <v/>
      </c>
      <c r="W187">
        <f>N186</f>
        <v/>
      </c>
    </row>
    <row r="188" ht="15.75" customHeight="1" s="40">
      <c r="C188" s="36">
        <f>_xlfn.IFS(E188&lt;E$24,0,E188&lt;E$26,C$24,E188&lt;E$28,C$26,E188&lt;E$30,C$28,E188&lt;E$32,C$30,E188&lt;E$34,C$32,E188&gt;=E$34,C$34)</f>
        <v/>
      </c>
      <c r="D188" s="37">
        <f>_xlfn.IFS(E188&lt;E$24,0,E188&lt;E$25,D$24,E188&lt;E$26,D$25,E188&lt;E$27,D$26,E188&lt;E$28,D$27,E188&lt;E$29,D$28,E188&lt;E$30,D$29,E188&lt;E$31,D$30,E188&lt;E$32,D$31,E188&lt;E$33,D$32,E188&lt;E$34,D$33,E188&lt;E$35,D$34,E188&gt;=E$35,D$35)</f>
        <v/>
      </c>
      <c r="E188" s="38" t="n">
        <v>138</v>
      </c>
      <c r="F188" s="31">
        <f>E188/52</f>
        <v/>
      </c>
      <c r="G188" s="39">
        <f>D188/1000000*52</f>
        <v/>
      </c>
      <c r="H188" s="33">
        <f>G188/$P$4+($C$22/$P$4)</f>
        <v/>
      </c>
      <c r="I188" s="36">
        <f>_xlfn.IFS(K188&lt;K$24,0,K188&lt;K$26,I$24,K188&lt;K$28,I$26,K188&lt;K$30,I$28,K188&lt;K$32,I$30,K188&lt;K$34,I$32,K188&lt;K$36,I$34,K188&lt;K$38,I$36,K188&lt;K$40,I$38,K188&lt;K$42,I$40,K188&lt;K$44,I$42,K188&lt;K$46,I$44,K188&gt;=K$46,I$46)</f>
        <v/>
      </c>
      <c r="J188" s="37">
        <f>_xlfn.IFS(K188&lt;K$24,0,K188&lt;K$25,J$24,K188&lt;K$26,J$25,K188&lt;K$27,J$26,K188&lt;K$28,J$27,K188&lt;K$29,J$28,K188&lt;K$30,J$29,K188&lt;K$31,J$30,K188&lt;K$32,J$31,K188&lt;K$33,J$32,K188&lt;K$34,J$33,K188&lt;K$35,J$34,K188&lt;K$36,J$35,K188&lt;K$37,J$36,K188&lt;K$38,J$37,K188&lt;K$39,J$38,K188&lt;K$40,J$39,K188&lt;K$41,J$40,K188&lt;K$42,J$41,K188&lt;K$43,J$42,K188&lt;K$44,J$43,K188&lt;K$45,J$44,K188&lt;K$46,J$45,K188&lt;K$47,J$46,K188&gt;=K$47,J$47)</f>
        <v/>
      </c>
      <c r="K188" s="38" t="n">
        <v>138</v>
      </c>
      <c r="L188" s="31">
        <f>K188/52</f>
        <v/>
      </c>
      <c r="M188" s="39">
        <f>J188/1000000*52</f>
        <v/>
      </c>
      <c r="N188" s="33">
        <f>M188/$P$4+($I$22/$P$4)</f>
        <v/>
      </c>
      <c r="U188">
        <f>F187</f>
        <v/>
      </c>
      <c r="V188">
        <f>H187</f>
        <v/>
      </c>
      <c r="W188">
        <f>N187</f>
        <v/>
      </c>
    </row>
    <row r="189" ht="15.75" customHeight="1" s="40">
      <c r="C189" s="36">
        <f>_xlfn.IFS(E189&lt;E$24,0,E189&lt;E$26,C$24,E189&lt;E$28,C$26,E189&lt;E$30,C$28,E189&lt;E$32,C$30,E189&lt;E$34,C$32,E189&gt;=E$34,C$34)</f>
        <v/>
      </c>
      <c r="D189" s="37">
        <f>_xlfn.IFS(E189&lt;E$24,0,E189&lt;E$25,D$24,E189&lt;E$26,D$25,E189&lt;E$27,D$26,E189&lt;E$28,D$27,E189&lt;E$29,D$28,E189&lt;E$30,D$29,E189&lt;E$31,D$30,E189&lt;E$32,D$31,E189&lt;E$33,D$32,E189&lt;E$34,D$33,E189&lt;E$35,D$34,E189&gt;=E$35,D$35)</f>
        <v/>
      </c>
      <c r="E189" s="38" t="n">
        <v>139</v>
      </c>
      <c r="F189" s="31">
        <f>E189/52</f>
        <v/>
      </c>
      <c r="G189" s="39">
        <f>D189/1000000*52</f>
        <v/>
      </c>
      <c r="H189" s="33">
        <f>G189/$P$4+($C$22/$P$4)</f>
        <v/>
      </c>
      <c r="I189" s="36">
        <f>_xlfn.IFS(K189&lt;K$24,0,K189&lt;K$26,I$24,K189&lt;K$28,I$26,K189&lt;K$30,I$28,K189&lt;K$32,I$30,K189&lt;K$34,I$32,K189&lt;K$36,I$34,K189&lt;K$38,I$36,K189&lt;K$40,I$38,K189&lt;K$42,I$40,K189&lt;K$44,I$42,K189&lt;K$46,I$44,K189&gt;=K$46,I$46)</f>
        <v/>
      </c>
      <c r="J189" s="37">
        <f>_xlfn.IFS(K189&lt;K$24,0,K189&lt;K$25,J$24,K189&lt;K$26,J$25,K189&lt;K$27,J$26,K189&lt;K$28,J$27,K189&lt;K$29,J$28,K189&lt;K$30,J$29,K189&lt;K$31,J$30,K189&lt;K$32,J$31,K189&lt;K$33,J$32,K189&lt;K$34,J$33,K189&lt;K$35,J$34,K189&lt;K$36,J$35,K189&lt;K$37,J$36,K189&lt;K$38,J$37,K189&lt;K$39,J$38,K189&lt;K$40,J$39,K189&lt;K$41,J$40,K189&lt;K$42,J$41,K189&lt;K$43,J$42,K189&lt;K$44,J$43,K189&lt;K$45,J$44,K189&lt;K$46,J$45,K189&lt;K$47,J$46,K189&gt;=K$47,J$47)</f>
        <v/>
      </c>
      <c r="K189" s="38" t="n">
        <v>139</v>
      </c>
      <c r="L189" s="31">
        <f>K189/52</f>
        <v/>
      </c>
      <c r="M189" s="39">
        <f>J189/1000000*52</f>
        <v/>
      </c>
      <c r="N189" s="33">
        <f>M189/$P$4+($I$22/$P$4)</f>
        <v/>
      </c>
      <c r="U189">
        <f>F188</f>
        <v/>
      </c>
      <c r="V189">
        <f>H188</f>
        <v/>
      </c>
      <c r="W189">
        <f>N188</f>
        <v/>
      </c>
    </row>
    <row r="190" ht="15.75" customHeight="1" s="40">
      <c r="C190" s="36">
        <f>_xlfn.IFS(E190&lt;E$24,0,E190&lt;E$26,C$24,E190&lt;E$28,C$26,E190&lt;E$30,C$28,E190&lt;E$32,C$30,E190&lt;E$34,C$32,E190&gt;=E$34,C$34)</f>
        <v/>
      </c>
      <c r="D190" s="37">
        <f>_xlfn.IFS(E190&lt;E$24,0,E190&lt;E$25,D$24,E190&lt;E$26,D$25,E190&lt;E$27,D$26,E190&lt;E$28,D$27,E190&lt;E$29,D$28,E190&lt;E$30,D$29,E190&lt;E$31,D$30,E190&lt;E$32,D$31,E190&lt;E$33,D$32,E190&lt;E$34,D$33,E190&lt;E$35,D$34,E190&gt;=E$35,D$35)</f>
        <v/>
      </c>
      <c r="E190" s="38" t="n">
        <v>140</v>
      </c>
      <c r="F190" s="31">
        <f>E190/52</f>
        <v/>
      </c>
      <c r="G190" s="39">
        <f>D190/1000000*52</f>
        <v/>
      </c>
      <c r="H190" s="33">
        <f>G190/$P$4+($C$22/$P$4)</f>
        <v/>
      </c>
      <c r="I190" s="36">
        <f>_xlfn.IFS(K190&lt;K$24,0,K190&lt;K$26,I$24,K190&lt;K$28,I$26,K190&lt;K$30,I$28,K190&lt;K$32,I$30,K190&lt;K$34,I$32,K190&lt;K$36,I$34,K190&lt;K$38,I$36,K190&lt;K$40,I$38,K190&lt;K$42,I$40,K190&lt;K$44,I$42,K190&lt;K$46,I$44,K190&gt;=K$46,I$46)</f>
        <v/>
      </c>
      <c r="J190" s="37">
        <f>_xlfn.IFS(K190&lt;K$24,0,K190&lt;K$25,J$24,K190&lt;K$26,J$25,K190&lt;K$27,J$26,K190&lt;K$28,J$27,K190&lt;K$29,J$28,K190&lt;K$30,J$29,K190&lt;K$31,J$30,K190&lt;K$32,J$31,K190&lt;K$33,J$32,K190&lt;K$34,J$33,K190&lt;K$35,J$34,K190&lt;K$36,J$35,K190&lt;K$37,J$36,K190&lt;K$38,J$37,K190&lt;K$39,J$38,K190&lt;K$40,J$39,K190&lt;K$41,J$40,K190&lt;K$42,J$41,K190&lt;K$43,J$42,K190&lt;K$44,J$43,K190&lt;K$45,J$44,K190&lt;K$46,J$45,K190&lt;K$47,J$46,K190&gt;=K$47,J$47)</f>
        <v/>
      </c>
      <c r="K190" s="38" t="n">
        <v>140</v>
      </c>
      <c r="L190" s="31">
        <f>K190/52</f>
        <v/>
      </c>
      <c r="M190" s="39">
        <f>J190/1000000*52</f>
        <v/>
      </c>
      <c r="N190" s="33">
        <f>M190/$P$4+($I$22/$P$4)</f>
        <v/>
      </c>
      <c r="U190">
        <f>F189</f>
        <v/>
      </c>
      <c r="V190">
        <f>H189</f>
        <v/>
      </c>
      <c r="W190">
        <f>N189</f>
        <v/>
      </c>
    </row>
    <row r="191" ht="15.75" customHeight="1" s="40">
      <c r="C191" s="36">
        <f>_xlfn.IFS(E191&lt;E$24,0,E191&lt;E$26,C$24,E191&lt;E$28,C$26,E191&lt;E$30,C$28,E191&lt;E$32,C$30,E191&lt;E$34,C$32,E191&gt;=E$34,C$34)</f>
        <v/>
      </c>
      <c r="D191" s="37">
        <f>_xlfn.IFS(E191&lt;E$24,0,E191&lt;E$25,D$24,E191&lt;E$26,D$25,E191&lt;E$27,D$26,E191&lt;E$28,D$27,E191&lt;E$29,D$28,E191&lt;E$30,D$29,E191&lt;E$31,D$30,E191&lt;E$32,D$31,E191&lt;E$33,D$32,E191&lt;E$34,D$33,E191&lt;E$35,D$34,E191&gt;=E$35,D$35)</f>
        <v/>
      </c>
      <c r="E191" s="38" t="n">
        <v>141</v>
      </c>
      <c r="F191" s="31">
        <f>E191/52</f>
        <v/>
      </c>
      <c r="G191" s="39">
        <f>D191/1000000*52</f>
        <v/>
      </c>
      <c r="H191" s="33">
        <f>G191/$P$4+($C$22/$P$4)</f>
        <v/>
      </c>
      <c r="I191" s="36">
        <f>_xlfn.IFS(K191&lt;K$24,0,K191&lt;K$26,I$24,K191&lt;K$28,I$26,K191&lt;K$30,I$28,K191&lt;K$32,I$30,K191&lt;K$34,I$32,K191&lt;K$36,I$34,K191&lt;K$38,I$36,K191&lt;K$40,I$38,K191&lt;K$42,I$40,K191&lt;K$44,I$42,K191&lt;K$46,I$44,K191&gt;=K$46,I$46)</f>
        <v/>
      </c>
      <c r="J191" s="37">
        <f>_xlfn.IFS(K191&lt;K$24,0,K191&lt;K$25,J$24,K191&lt;K$26,J$25,K191&lt;K$27,J$26,K191&lt;K$28,J$27,K191&lt;K$29,J$28,K191&lt;K$30,J$29,K191&lt;K$31,J$30,K191&lt;K$32,J$31,K191&lt;K$33,J$32,K191&lt;K$34,J$33,K191&lt;K$35,J$34,K191&lt;K$36,J$35,K191&lt;K$37,J$36,K191&lt;K$38,J$37,K191&lt;K$39,J$38,K191&lt;K$40,J$39,K191&lt;K$41,J$40,K191&lt;K$42,J$41,K191&lt;K$43,J$42,K191&lt;K$44,J$43,K191&lt;K$45,J$44,K191&lt;K$46,J$45,K191&lt;K$47,J$46,K191&gt;=K$47,J$47)</f>
        <v/>
      </c>
      <c r="K191" s="38" t="n">
        <v>141</v>
      </c>
      <c r="L191" s="31">
        <f>K191/52</f>
        <v/>
      </c>
      <c r="M191" s="39">
        <f>J191/1000000*52</f>
        <v/>
      </c>
      <c r="N191" s="33">
        <f>M191/$P$4+($I$22/$P$4)</f>
        <v/>
      </c>
      <c r="U191">
        <f>F190</f>
        <v/>
      </c>
      <c r="V191">
        <f>H190</f>
        <v/>
      </c>
      <c r="W191">
        <f>N190</f>
        <v/>
      </c>
    </row>
    <row r="192" ht="15.75" customHeight="1" s="40">
      <c r="C192" s="36">
        <f>_xlfn.IFS(E192&lt;E$24,0,E192&lt;E$26,C$24,E192&lt;E$28,C$26,E192&lt;E$30,C$28,E192&lt;E$32,C$30,E192&lt;E$34,C$32,E192&gt;=E$34,C$34)</f>
        <v/>
      </c>
      <c r="D192" s="37">
        <f>_xlfn.IFS(E192&lt;E$24,0,E192&lt;E$25,D$24,E192&lt;E$26,D$25,E192&lt;E$27,D$26,E192&lt;E$28,D$27,E192&lt;E$29,D$28,E192&lt;E$30,D$29,E192&lt;E$31,D$30,E192&lt;E$32,D$31,E192&lt;E$33,D$32,E192&lt;E$34,D$33,E192&lt;E$35,D$34,E192&gt;=E$35,D$35)</f>
        <v/>
      </c>
      <c r="E192" s="38" t="n">
        <v>142</v>
      </c>
      <c r="F192" s="31">
        <f>E192/52</f>
        <v/>
      </c>
      <c r="G192" s="39">
        <f>D192/1000000*52</f>
        <v/>
      </c>
      <c r="H192" s="33">
        <f>G192/$P$4+($C$22/$P$4)</f>
        <v/>
      </c>
      <c r="I192" s="36">
        <f>_xlfn.IFS(K192&lt;K$24,0,K192&lt;K$26,I$24,K192&lt;K$28,I$26,K192&lt;K$30,I$28,K192&lt;K$32,I$30,K192&lt;K$34,I$32,K192&lt;K$36,I$34,K192&lt;K$38,I$36,K192&lt;K$40,I$38,K192&lt;K$42,I$40,K192&lt;K$44,I$42,K192&lt;K$46,I$44,K192&gt;=K$46,I$46)</f>
        <v/>
      </c>
      <c r="J192" s="37">
        <f>_xlfn.IFS(K192&lt;K$24,0,K192&lt;K$25,J$24,K192&lt;K$26,J$25,K192&lt;K$27,J$26,K192&lt;K$28,J$27,K192&lt;K$29,J$28,K192&lt;K$30,J$29,K192&lt;K$31,J$30,K192&lt;K$32,J$31,K192&lt;K$33,J$32,K192&lt;K$34,J$33,K192&lt;K$35,J$34,K192&lt;K$36,J$35,K192&lt;K$37,J$36,K192&lt;K$38,J$37,K192&lt;K$39,J$38,K192&lt;K$40,J$39,K192&lt;K$41,J$40,K192&lt;K$42,J$41,K192&lt;K$43,J$42,K192&lt;K$44,J$43,K192&lt;K$45,J$44,K192&lt;K$46,J$45,K192&lt;K$47,J$46,K192&gt;=K$47,J$47)</f>
        <v/>
      </c>
      <c r="K192" s="38" t="n">
        <v>142</v>
      </c>
      <c r="L192" s="31">
        <f>K192/52</f>
        <v/>
      </c>
      <c r="M192" s="39">
        <f>J192/1000000*52</f>
        <v/>
      </c>
      <c r="N192" s="33">
        <f>M192/$P$4+($I$22/$P$4)</f>
        <v/>
      </c>
      <c r="U192">
        <f>F191</f>
        <v/>
      </c>
      <c r="V192">
        <f>H191</f>
        <v/>
      </c>
      <c r="W192">
        <f>N191</f>
        <v/>
      </c>
    </row>
    <row r="193" ht="15.75" customHeight="1" s="40">
      <c r="C193" s="36">
        <f>_xlfn.IFS(E193&lt;E$24,0,E193&lt;E$26,C$24,E193&lt;E$28,C$26,E193&lt;E$30,C$28,E193&lt;E$32,C$30,E193&lt;E$34,C$32,E193&gt;=E$34,C$34)</f>
        <v/>
      </c>
      <c r="D193" s="37">
        <f>_xlfn.IFS(E193&lt;E$24,0,E193&lt;E$25,D$24,E193&lt;E$26,D$25,E193&lt;E$27,D$26,E193&lt;E$28,D$27,E193&lt;E$29,D$28,E193&lt;E$30,D$29,E193&lt;E$31,D$30,E193&lt;E$32,D$31,E193&lt;E$33,D$32,E193&lt;E$34,D$33,E193&lt;E$35,D$34,E193&gt;=E$35,D$35)</f>
        <v/>
      </c>
      <c r="E193" s="38" t="n">
        <v>143</v>
      </c>
      <c r="F193" s="31">
        <f>E193/52</f>
        <v/>
      </c>
      <c r="G193" s="39">
        <f>D193/1000000*52</f>
        <v/>
      </c>
      <c r="H193" s="33">
        <f>G193/$P$4+($C$22/$P$4)</f>
        <v/>
      </c>
      <c r="I193" s="36">
        <f>_xlfn.IFS(K193&lt;K$24,0,K193&lt;K$26,I$24,K193&lt;K$28,I$26,K193&lt;K$30,I$28,K193&lt;K$32,I$30,K193&lt;K$34,I$32,K193&lt;K$36,I$34,K193&lt;K$38,I$36,K193&lt;K$40,I$38,K193&lt;K$42,I$40,K193&lt;K$44,I$42,K193&lt;K$46,I$44,K193&gt;=K$46,I$46)</f>
        <v/>
      </c>
      <c r="J193" s="37">
        <f>_xlfn.IFS(K193&lt;K$24,0,K193&lt;K$25,J$24,K193&lt;K$26,J$25,K193&lt;K$27,J$26,K193&lt;K$28,J$27,K193&lt;K$29,J$28,K193&lt;K$30,J$29,K193&lt;K$31,J$30,K193&lt;K$32,J$31,K193&lt;K$33,J$32,K193&lt;K$34,J$33,K193&lt;K$35,J$34,K193&lt;K$36,J$35,K193&lt;K$37,J$36,K193&lt;K$38,J$37,K193&lt;K$39,J$38,K193&lt;K$40,J$39,K193&lt;K$41,J$40,K193&lt;K$42,J$41,K193&lt;K$43,J$42,K193&lt;K$44,J$43,K193&lt;K$45,J$44,K193&lt;K$46,J$45,K193&lt;K$47,J$46,K193&gt;=K$47,J$47)</f>
        <v/>
      </c>
      <c r="K193" s="38" t="n">
        <v>143</v>
      </c>
      <c r="L193" s="31">
        <f>K193/52</f>
        <v/>
      </c>
      <c r="M193" s="39">
        <f>J193/1000000*52</f>
        <v/>
      </c>
      <c r="N193" s="33">
        <f>M193/$P$4+($I$22/$P$4)</f>
        <v/>
      </c>
      <c r="U193">
        <f>F192</f>
        <v/>
      </c>
      <c r="V193">
        <f>H192</f>
        <v/>
      </c>
      <c r="W193">
        <f>N192</f>
        <v/>
      </c>
    </row>
    <row r="194" ht="15.75" customHeight="1" s="40">
      <c r="C194" s="36">
        <f>_xlfn.IFS(E194&lt;E$24,0,E194&lt;E$26,C$24,E194&lt;E$28,C$26,E194&lt;E$30,C$28,E194&lt;E$32,C$30,E194&lt;E$34,C$32,E194&gt;=E$34,C$34)</f>
        <v/>
      </c>
      <c r="D194" s="37">
        <f>_xlfn.IFS(E194&lt;E$24,0,E194&lt;E$25,D$24,E194&lt;E$26,D$25,E194&lt;E$27,D$26,E194&lt;E$28,D$27,E194&lt;E$29,D$28,E194&lt;E$30,D$29,E194&lt;E$31,D$30,E194&lt;E$32,D$31,E194&lt;E$33,D$32,E194&lt;E$34,D$33,E194&lt;E$35,D$34,E194&gt;=E$35,D$35)</f>
        <v/>
      </c>
      <c r="E194" s="38" t="n">
        <v>144</v>
      </c>
      <c r="F194" s="31">
        <f>E194/52</f>
        <v/>
      </c>
      <c r="G194" s="39">
        <f>D194/1000000*52</f>
        <v/>
      </c>
      <c r="H194" s="33">
        <f>G194/$P$4+($C$22/$P$4)</f>
        <v/>
      </c>
      <c r="I194" s="36">
        <f>_xlfn.IFS(K194&lt;K$24,0,K194&lt;K$26,I$24,K194&lt;K$28,I$26,K194&lt;K$30,I$28,K194&lt;K$32,I$30,K194&lt;K$34,I$32,K194&lt;K$36,I$34,K194&lt;K$38,I$36,K194&lt;K$40,I$38,K194&lt;K$42,I$40,K194&lt;K$44,I$42,K194&lt;K$46,I$44,K194&gt;=K$46,I$46)</f>
        <v/>
      </c>
      <c r="J194" s="37">
        <f>_xlfn.IFS(K194&lt;K$24,0,K194&lt;K$25,J$24,K194&lt;K$26,J$25,K194&lt;K$27,J$26,K194&lt;K$28,J$27,K194&lt;K$29,J$28,K194&lt;K$30,J$29,K194&lt;K$31,J$30,K194&lt;K$32,J$31,K194&lt;K$33,J$32,K194&lt;K$34,J$33,K194&lt;K$35,J$34,K194&lt;K$36,J$35,K194&lt;K$37,J$36,K194&lt;K$38,J$37,K194&lt;K$39,J$38,K194&lt;K$40,J$39,K194&lt;K$41,J$40,K194&lt;K$42,J$41,K194&lt;K$43,J$42,K194&lt;K$44,J$43,K194&lt;K$45,J$44,K194&lt;K$46,J$45,K194&lt;K$47,J$46,K194&gt;=K$47,J$47)</f>
        <v/>
      </c>
      <c r="K194" s="38" t="n">
        <v>144</v>
      </c>
      <c r="L194" s="31">
        <f>K194/52</f>
        <v/>
      </c>
      <c r="M194" s="39">
        <f>J194/1000000*52</f>
        <v/>
      </c>
      <c r="N194" s="33">
        <f>M194/$P$4+($I$22/$P$4)</f>
        <v/>
      </c>
      <c r="U194">
        <f>F193</f>
        <v/>
      </c>
      <c r="V194">
        <f>H193</f>
        <v/>
      </c>
      <c r="W194">
        <f>N193</f>
        <v/>
      </c>
    </row>
    <row r="195" ht="15.75" customHeight="1" s="40">
      <c r="C195" s="36">
        <f>_xlfn.IFS(E195&lt;E$24,0,E195&lt;E$26,C$24,E195&lt;E$28,C$26,E195&lt;E$30,C$28,E195&lt;E$32,C$30,E195&lt;E$34,C$32,E195&gt;=E$34,C$34)</f>
        <v/>
      </c>
      <c r="D195" s="37">
        <f>_xlfn.IFS(E195&lt;E$24,0,E195&lt;E$25,D$24,E195&lt;E$26,D$25,E195&lt;E$27,D$26,E195&lt;E$28,D$27,E195&lt;E$29,D$28,E195&lt;E$30,D$29,E195&lt;E$31,D$30,E195&lt;E$32,D$31,E195&lt;E$33,D$32,E195&lt;E$34,D$33,E195&lt;E$35,D$34,E195&gt;=E$35,D$35)</f>
        <v/>
      </c>
      <c r="E195" s="38" t="n">
        <v>145</v>
      </c>
      <c r="F195" s="31">
        <f>E195/52</f>
        <v/>
      </c>
      <c r="G195" s="39">
        <f>D195/1000000*52</f>
        <v/>
      </c>
      <c r="H195" s="33">
        <f>G195/$P$4+($C$22/$P$4)</f>
        <v/>
      </c>
      <c r="I195" s="36">
        <f>_xlfn.IFS(K195&lt;K$24,0,K195&lt;K$26,I$24,K195&lt;K$28,I$26,K195&lt;K$30,I$28,K195&lt;K$32,I$30,K195&lt;K$34,I$32,K195&lt;K$36,I$34,K195&lt;K$38,I$36,K195&lt;K$40,I$38,K195&lt;K$42,I$40,K195&lt;K$44,I$42,K195&lt;K$46,I$44,K195&gt;=K$46,I$46)</f>
        <v/>
      </c>
      <c r="J195" s="37">
        <f>_xlfn.IFS(K195&lt;K$24,0,K195&lt;K$25,J$24,K195&lt;K$26,J$25,K195&lt;K$27,J$26,K195&lt;K$28,J$27,K195&lt;K$29,J$28,K195&lt;K$30,J$29,K195&lt;K$31,J$30,K195&lt;K$32,J$31,K195&lt;K$33,J$32,K195&lt;K$34,J$33,K195&lt;K$35,J$34,K195&lt;K$36,J$35,K195&lt;K$37,J$36,K195&lt;K$38,J$37,K195&lt;K$39,J$38,K195&lt;K$40,J$39,K195&lt;K$41,J$40,K195&lt;K$42,J$41,K195&lt;K$43,J$42,K195&lt;K$44,J$43,K195&lt;K$45,J$44,K195&lt;K$46,J$45,K195&lt;K$47,J$46,K195&gt;=K$47,J$47)</f>
        <v/>
      </c>
      <c r="K195" s="38" t="n">
        <v>145</v>
      </c>
      <c r="L195" s="31">
        <f>K195/52</f>
        <v/>
      </c>
      <c r="M195" s="39">
        <f>J195/1000000*52</f>
        <v/>
      </c>
      <c r="N195" s="33">
        <f>M195/$P$4+($I$22/$P$4)</f>
        <v/>
      </c>
      <c r="U195">
        <f>F194</f>
        <v/>
      </c>
      <c r="V195">
        <f>H194</f>
        <v/>
      </c>
      <c r="W195">
        <f>N194</f>
        <v/>
      </c>
    </row>
    <row r="196" ht="15.75" customHeight="1" s="40">
      <c r="C196" s="36">
        <f>_xlfn.IFS(E196&lt;E$24,0,E196&lt;E$26,C$24,E196&lt;E$28,C$26,E196&lt;E$30,C$28,E196&lt;E$32,C$30,E196&lt;E$34,C$32,E196&gt;=E$34,C$34)</f>
        <v/>
      </c>
      <c r="D196" s="37">
        <f>_xlfn.IFS(E196&lt;E$24,0,E196&lt;E$25,D$24,E196&lt;E$26,D$25,E196&lt;E$27,D$26,E196&lt;E$28,D$27,E196&lt;E$29,D$28,E196&lt;E$30,D$29,E196&lt;E$31,D$30,E196&lt;E$32,D$31,E196&lt;E$33,D$32,E196&lt;E$34,D$33,E196&lt;E$35,D$34,E196&gt;=E$35,D$35)</f>
        <v/>
      </c>
      <c r="E196" s="38" t="n">
        <v>146</v>
      </c>
      <c r="F196" s="31">
        <f>E196/52</f>
        <v/>
      </c>
      <c r="G196" s="39">
        <f>D196/1000000*52</f>
        <v/>
      </c>
      <c r="H196" s="33">
        <f>G196/$P$4+($C$22/$P$4)</f>
        <v/>
      </c>
      <c r="I196" s="36">
        <f>_xlfn.IFS(K196&lt;K$24,0,K196&lt;K$26,I$24,K196&lt;K$28,I$26,K196&lt;K$30,I$28,K196&lt;K$32,I$30,K196&lt;K$34,I$32,K196&lt;K$36,I$34,K196&lt;K$38,I$36,K196&lt;K$40,I$38,K196&lt;K$42,I$40,K196&lt;K$44,I$42,K196&lt;K$46,I$44,K196&gt;=K$46,I$46)</f>
        <v/>
      </c>
      <c r="J196" s="37">
        <f>_xlfn.IFS(K196&lt;K$24,0,K196&lt;K$25,J$24,K196&lt;K$26,J$25,K196&lt;K$27,J$26,K196&lt;K$28,J$27,K196&lt;K$29,J$28,K196&lt;K$30,J$29,K196&lt;K$31,J$30,K196&lt;K$32,J$31,K196&lt;K$33,J$32,K196&lt;K$34,J$33,K196&lt;K$35,J$34,K196&lt;K$36,J$35,K196&lt;K$37,J$36,K196&lt;K$38,J$37,K196&lt;K$39,J$38,K196&lt;K$40,J$39,K196&lt;K$41,J$40,K196&lt;K$42,J$41,K196&lt;K$43,J$42,K196&lt;K$44,J$43,K196&lt;K$45,J$44,K196&lt;K$46,J$45,K196&lt;K$47,J$46,K196&gt;=K$47,J$47)</f>
        <v/>
      </c>
      <c r="K196" s="38" t="n">
        <v>146</v>
      </c>
      <c r="L196" s="31">
        <f>K196/52</f>
        <v/>
      </c>
      <c r="M196" s="39">
        <f>J196/1000000*52</f>
        <v/>
      </c>
      <c r="N196" s="33">
        <f>M196/$P$4+($I$22/$P$4)</f>
        <v/>
      </c>
      <c r="U196">
        <f>F195</f>
        <v/>
      </c>
      <c r="V196">
        <f>H195</f>
        <v/>
      </c>
      <c r="W196">
        <f>N195</f>
        <v/>
      </c>
    </row>
    <row r="197" ht="15.75" customHeight="1" s="40">
      <c r="C197" s="36">
        <f>_xlfn.IFS(E197&lt;E$24,0,E197&lt;E$26,C$24,E197&lt;E$28,C$26,E197&lt;E$30,C$28,E197&lt;E$32,C$30,E197&lt;E$34,C$32,E197&gt;=E$34,C$34)</f>
        <v/>
      </c>
      <c r="D197" s="37">
        <f>_xlfn.IFS(E197&lt;E$24,0,E197&lt;E$25,D$24,E197&lt;E$26,D$25,E197&lt;E$27,D$26,E197&lt;E$28,D$27,E197&lt;E$29,D$28,E197&lt;E$30,D$29,E197&lt;E$31,D$30,E197&lt;E$32,D$31,E197&lt;E$33,D$32,E197&lt;E$34,D$33,E197&lt;E$35,D$34,E197&gt;=E$35,D$35)</f>
        <v/>
      </c>
      <c r="E197" s="38" t="n">
        <v>147</v>
      </c>
      <c r="F197" s="31">
        <f>E197/52</f>
        <v/>
      </c>
      <c r="G197" s="39">
        <f>D197/1000000*52</f>
        <v/>
      </c>
      <c r="H197" s="33">
        <f>G197/$P$4+($C$22/$P$4)</f>
        <v/>
      </c>
      <c r="I197" s="36">
        <f>_xlfn.IFS(K197&lt;K$24,0,K197&lt;K$26,I$24,K197&lt;K$28,I$26,K197&lt;K$30,I$28,K197&lt;K$32,I$30,K197&lt;K$34,I$32,K197&lt;K$36,I$34,K197&lt;K$38,I$36,K197&lt;K$40,I$38,K197&lt;K$42,I$40,K197&lt;K$44,I$42,K197&lt;K$46,I$44,K197&gt;=K$46,I$46)</f>
        <v/>
      </c>
      <c r="J197" s="37">
        <f>_xlfn.IFS(K197&lt;K$24,0,K197&lt;K$25,J$24,K197&lt;K$26,J$25,K197&lt;K$27,J$26,K197&lt;K$28,J$27,K197&lt;K$29,J$28,K197&lt;K$30,J$29,K197&lt;K$31,J$30,K197&lt;K$32,J$31,K197&lt;K$33,J$32,K197&lt;K$34,J$33,K197&lt;K$35,J$34,K197&lt;K$36,J$35,K197&lt;K$37,J$36,K197&lt;K$38,J$37,K197&lt;K$39,J$38,K197&lt;K$40,J$39,K197&lt;K$41,J$40,K197&lt;K$42,J$41,K197&lt;K$43,J$42,K197&lt;K$44,J$43,K197&lt;K$45,J$44,K197&lt;K$46,J$45,K197&lt;K$47,J$46,K197&gt;=K$47,J$47)</f>
        <v/>
      </c>
      <c r="K197" s="38" t="n">
        <v>147</v>
      </c>
      <c r="L197" s="31">
        <f>K197/52</f>
        <v/>
      </c>
      <c r="M197" s="39">
        <f>J197/1000000*52</f>
        <v/>
      </c>
      <c r="N197" s="33">
        <f>M197/$P$4+($I$22/$P$4)</f>
        <v/>
      </c>
      <c r="U197">
        <f>F196</f>
        <v/>
      </c>
      <c r="V197">
        <f>H196</f>
        <v/>
      </c>
      <c r="W197">
        <f>N196</f>
        <v/>
      </c>
    </row>
    <row r="198" ht="15.75" customHeight="1" s="40">
      <c r="C198" s="36">
        <f>_xlfn.IFS(E198&lt;E$24,0,E198&lt;E$26,C$24,E198&lt;E$28,C$26,E198&lt;E$30,C$28,E198&lt;E$32,C$30,E198&lt;E$34,C$32,E198&gt;=E$34,C$34)</f>
        <v/>
      </c>
      <c r="D198" s="37">
        <f>_xlfn.IFS(E198&lt;E$24,0,E198&lt;E$25,D$24,E198&lt;E$26,D$25,E198&lt;E$27,D$26,E198&lt;E$28,D$27,E198&lt;E$29,D$28,E198&lt;E$30,D$29,E198&lt;E$31,D$30,E198&lt;E$32,D$31,E198&lt;E$33,D$32,E198&lt;E$34,D$33,E198&lt;E$35,D$34,E198&gt;=E$35,D$35)</f>
        <v/>
      </c>
      <c r="E198" s="38" t="n">
        <v>148</v>
      </c>
      <c r="F198" s="31">
        <f>E198/52</f>
        <v/>
      </c>
      <c r="G198" s="39">
        <f>D198/1000000*52</f>
        <v/>
      </c>
      <c r="H198" s="33">
        <f>G198/$P$4+($C$22/$P$4)</f>
        <v/>
      </c>
      <c r="I198" s="36">
        <f>_xlfn.IFS(K198&lt;K$24,0,K198&lt;K$26,I$24,K198&lt;K$28,I$26,K198&lt;K$30,I$28,K198&lt;K$32,I$30,K198&lt;K$34,I$32,K198&lt;K$36,I$34,K198&lt;K$38,I$36,K198&lt;K$40,I$38,K198&lt;K$42,I$40,K198&lt;K$44,I$42,K198&lt;K$46,I$44,K198&gt;=K$46,I$46)</f>
        <v/>
      </c>
      <c r="J198" s="37">
        <f>_xlfn.IFS(K198&lt;K$24,0,K198&lt;K$25,J$24,K198&lt;K$26,J$25,K198&lt;K$27,J$26,K198&lt;K$28,J$27,K198&lt;K$29,J$28,K198&lt;K$30,J$29,K198&lt;K$31,J$30,K198&lt;K$32,J$31,K198&lt;K$33,J$32,K198&lt;K$34,J$33,K198&lt;K$35,J$34,K198&lt;K$36,J$35,K198&lt;K$37,J$36,K198&lt;K$38,J$37,K198&lt;K$39,J$38,K198&lt;K$40,J$39,K198&lt;K$41,J$40,K198&lt;K$42,J$41,K198&lt;K$43,J$42,K198&lt;K$44,J$43,K198&lt;K$45,J$44,K198&lt;K$46,J$45,K198&lt;K$47,J$46,K198&gt;=K$47,J$47)</f>
        <v/>
      </c>
      <c r="K198" s="38" t="n">
        <v>148</v>
      </c>
      <c r="L198" s="31">
        <f>K198/52</f>
        <v/>
      </c>
      <c r="M198" s="39">
        <f>J198/1000000*52</f>
        <v/>
      </c>
      <c r="N198" s="33">
        <f>M198/$P$4+($I$22/$P$4)</f>
        <v/>
      </c>
      <c r="U198">
        <f>F197</f>
        <v/>
      </c>
      <c r="V198">
        <f>H197</f>
        <v/>
      </c>
      <c r="W198">
        <f>N197</f>
        <v/>
      </c>
    </row>
    <row r="199" ht="15.75" customHeight="1" s="40">
      <c r="C199" s="36">
        <f>_xlfn.IFS(E199&lt;E$24,0,E199&lt;E$26,C$24,E199&lt;E$28,C$26,E199&lt;E$30,C$28,E199&lt;E$32,C$30,E199&lt;E$34,C$32,E199&gt;=E$34,C$34)</f>
        <v/>
      </c>
      <c r="D199" s="37">
        <f>_xlfn.IFS(E199&lt;E$24,0,E199&lt;E$25,D$24,E199&lt;E$26,D$25,E199&lt;E$27,D$26,E199&lt;E$28,D$27,E199&lt;E$29,D$28,E199&lt;E$30,D$29,E199&lt;E$31,D$30,E199&lt;E$32,D$31,E199&lt;E$33,D$32,E199&lt;E$34,D$33,E199&lt;E$35,D$34,E199&gt;=E$35,D$35)</f>
        <v/>
      </c>
      <c r="E199" s="38" t="n">
        <v>149</v>
      </c>
      <c r="F199" s="31">
        <f>E199/52</f>
        <v/>
      </c>
      <c r="G199" s="39">
        <f>D199/1000000*52</f>
        <v/>
      </c>
      <c r="H199" s="33">
        <f>G199/$P$4+($C$22/$P$4)</f>
        <v/>
      </c>
      <c r="I199" s="36">
        <f>_xlfn.IFS(K199&lt;K$24,0,K199&lt;K$26,I$24,K199&lt;K$28,I$26,K199&lt;K$30,I$28,K199&lt;K$32,I$30,K199&lt;K$34,I$32,K199&lt;K$36,I$34,K199&lt;K$38,I$36,K199&lt;K$40,I$38,K199&lt;K$42,I$40,K199&lt;K$44,I$42,K199&lt;K$46,I$44,K199&gt;=K$46,I$46)</f>
        <v/>
      </c>
      <c r="J199" s="37">
        <f>_xlfn.IFS(K199&lt;K$24,0,K199&lt;K$25,J$24,K199&lt;K$26,J$25,K199&lt;K$27,J$26,K199&lt;K$28,J$27,K199&lt;K$29,J$28,K199&lt;K$30,J$29,K199&lt;K$31,J$30,K199&lt;K$32,J$31,K199&lt;K$33,J$32,K199&lt;K$34,J$33,K199&lt;K$35,J$34,K199&lt;K$36,J$35,K199&lt;K$37,J$36,K199&lt;K$38,J$37,K199&lt;K$39,J$38,K199&lt;K$40,J$39,K199&lt;K$41,J$40,K199&lt;K$42,J$41,K199&lt;K$43,J$42,K199&lt;K$44,J$43,K199&lt;K$45,J$44,K199&lt;K$46,J$45,K199&lt;K$47,J$46,K199&gt;=K$47,J$47)</f>
        <v/>
      </c>
      <c r="K199" s="38" t="n">
        <v>149</v>
      </c>
      <c r="L199" s="31">
        <f>K199/52</f>
        <v/>
      </c>
      <c r="M199" s="39">
        <f>J199/1000000*52</f>
        <v/>
      </c>
      <c r="N199" s="33">
        <f>M199/$P$4+($I$22/$P$4)</f>
        <v/>
      </c>
      <c r="U199">
        <f>F198</f>
        <v/>
      </c>
      <c r="V199">
        <f>H198</f>
        <v/>
      </c>
      <c r="W199">
        <f>N198</f>
        <v/>
      </c>
    </row>
    <row r="200" ht="15.75" customHeight="1" s="40">
      <c r="C200" s="36">
        <f>_xlfn.IFS(E200&lt;E$24,0,E200&lt;E$26,C$24,E200&lt;E$28,C$26,E200&lt;E$30,C$28,E200&lt;E$32,C$30,E200&lt;E$34,C$32,E200&gt;=E$34,C$34)</f>
        <v/>
      </c>
      <c r="D200" s="37">
        <f>_xlfn.IFS(E200&lt;E$24,0,E200&lt;E$25,D$24,E200&lt;E$26,D$25,E200&lt;E$27,D$26,E200&lt;E$28,D$27,E200&lt;E$29,D$28,E200&lt;E$30,D$29,E200&lt;E$31,D$30,E200&lt;E$32,D$31,E200&lt;E$33,D$32,E200&lt;E$34,D$33,E200&lt;E$35,D$34,E200&gt;=E$35,D$35)</f>
        <v/>
      </c>
      <c r="E200" s="38" t="n">
        <v>150</v>
      </c>
      <c r="F200" s="31">
        <f>E200/52</f>
        <v/>
      </c>
      <c r="G200" s="39">
        <f>D200/1000000*52</f>
        <v/>
      </c>
      <c r="H200" s="33">
        <f>G200/$P$4+($C$22/$P$4)</f>
        <v/>
      </c>
      <c r="I200" s="36">
        <f>_xlfn.IFS(K200&lt;K$24,0,K200&lt;K$26,I$24,K200&lt;K$28,I$26,K200&lt;K$30,I$28,K200&lt;K$32,I$30,K200&lt;K$34,I$32,K200&lt;K$36,I$34,K200&lt;K$38,I$36,K200&lt;K$40,I$38,K200&lt;K$42,I$40,K200&lt;K$44,I$42,K200&lt;K$46,I$44,K200&gt;=K$46,I$46)</f>
        <v/>
      </c>
      <c r="J200" s="37">
        <f>_xlfn.IFS(K200&lt;K$24,0,K200&lt;K$25,J$24,K200&lt;K$26,J$25,K200&lt;K$27,J$26,K200&lt;K$28,J$27,K200&lt;K$29,J$28,K200&lt;K$30,J$29,K200&lt;K$31,J$30,K200&lt;K$32,J$31,K200&lt;K$33,J$32,K200&lt;K$34,J$33,K200&lt;K$35,J$34,K200&lt;K$36,J$35,K200&lt;K$37,J$36,K200&lt;K$38,J$37,K200&lt;K$39,J$38,K200&lt;K$40,J$39,K200&lt;K$41,J$40,K200&lt;K$42,J$41,K200&lt;K$43,J$42,K200&lt;K$44,J$43,K200&lt;K$45,J$44,K200&lt;K$46,J$45,K200&lt;K$47,J$46,K200&gt;=K$47,J$47)</f>
        <v/>
      </c>
      <c r="K200" s="38" t="n">
        <v>150</v>
      </c>
      <c r="L200" s="31">
        <f>K200/52</f>
        <v/>
      </c>
      <c r="M200" s="39">
        <f>J200/1000000*52</f>
        <v/>
      </c>
      <c r="N200" s="33">
        <f>M200/$P$4+($I$22/$P$4)</f>
        <v/>
      </c>
      <c r="U200">
        <f>F199</f>
        <v/>
      </c>
      <c r="V200">
        <f>H199</f>
        <v/>
      </c>
      <c r="W200">
        <f>N199</f>
        <v/>
      </c>
    </row>
    <row r="201" ht="15.75" customHeight="1" s="40">
      <c r="C201" s="36">
        <f>_xlfn.IFS(E201&lt;E$24,0,E201&lt;E$26,C$24,E201&lt;E$28,C$26,E201&lt;E$30,C$28,E201&lt;E$32,C$30,E201&lt;E$34,C$32,E201&gt;=E$34,C$34)</f>
        <v/>
      </c>
      <c r="D201" s="37">
        <f>_xlfn.IFS(E201&lt;E$24,0,E201&lt;E$25,D$24,E201&lt;E$26,D$25,E201&lt;E$27,D$26,E201&lt;E$28,D$27,E201&lt;E$29,D$28,E201&lt;E$30,D$29,E201&lt;E$31,D$30,E201&lt;E$32,D$31,E201&lt;E$33,D$32,E201&lt;E$34,D$33,E201&lt;E$35,D$34,E201&gt;=E$35,D$35)</f>
        <v/>
      </c>
      <c r="E201" s="38" t="n">
        <v>151</v>
      </c>
      <c r="F201" s="31">
        <f>E201/52</f>
        <v/>
      </c>
      <c r="G201" s="39">
        <f>D201/1000000*52</f>
        <v/>
      </c>
      <c r="H201" s="33">
        <f>G201/$P$4+($C$22/$P$4)</f>
        <v/>
      </c>
      <c r="I201" s="36">
        <f>_xlfn.IFS(K201&lt;K$24,0,K201&lt;K$26,I$24,K201&lt;K$28,I$26,K201&lt;K$30,I$28,K201&lt;K$32,I$30,K201&lt;K$34,I$32,K201&lt;K$36,I$34,K201&lt;K$38,I$36,K201&lt;K$40,I$38,K201&lt;K$42,I$40,K201&lt;K$44,I$42,K201&lt;K$46,I$44,K201&gt;=K$46,I$46)</f>
        <v/>
      </c>
      <c r="J201" s="37">
        <f>_xlfn.IFS(K201&lt;K$24,0,K201&lt;K$25,J$24,K201&lt;K$26,J$25,K201&lt;K$27,J$26,K201&lt;K$28,J$27,K201&lt;K$29,J$28,K201&lt;K$30,J$29,K201&lt;K$31,J$30,K201&lt;K$32,J$31,K201&lt;K$33,J$32,K201&lt;K$34,J$33,K201&lt;K$35,J$34,K201&lt;K$36,J$35,K201&lt;K$37,J$36,K201&lt;K$38,J$37,K201&lt;K$39,J$38,K201&lt;K$40,J$39,K201&lt;K$41,J$40,K201&lt;K$42,J$41,K201&lt;K$43,J$42,K201&lt;K$44,J$43,K201&lt;K$45,J$44,K201&lt;K$46,J$45,K201&lt;K$47,J$46,K201&gt;=K$47,J$47)</f>
        <v/>
      </c>
      <c r="K201" s="38" t="n">
        <v>151</v>
      </c>
      <c r="L201" s="31">
        <f>K201/52</f>
        <v/>
      </c>
      <c r="M201" s="39">
        <f>J201/1000000*52</f>
        <v/>
      </c>
      <c r="N201" s="33">
        <f>M201/$P$4+($I$22/$P$4)</f>
        <v/>
      </c>
      <c r="U201">
        <f>F200</f>
        <v/>
      </c>
      <c r="V201">
        <f>H200</f>
        <v/>
      </c>
      <c r="W201">
        <f>N200</f>
        <v/>
      </c>
    </row>
    <row r="202" ht="15.75" customHeight="1" s="40">
      <c r="C202" s="36">
        <f>_xlfn.IFS(E202&lt;E$24,0,E202&lt;E$26,C$24,E202&lt;E$28,C$26,E202&lt;E$30,C$28,E202&lt;E$32,C$30,E202&lt;E$34,C$32,E202&gt;=E$34,C$34)</f>
        <v/>
      </c>
      <c r="D202" s="37">
        <f>_xlfn.IFS(E202&lt;E$24,0,E202&lt;E$25,D$24,E202&lt;E$26,D$25,E202&lt;E$27,D$26,E202&lt;E$28,D$27,E202&lt;E$29,D$28,E202&lt;E$30,D$29,E202&lt;E$31,D$30,E202&lt;E$32,D$31,E202&lt;E$33,D$32,E202&lt;E$34,D$33,E202&lt;E$35,D$34,E202&gt;=E$35,D$35)</f>
        <v/>
      </c>
      <c r="E202" s="38" t="n">
        <v>152</v>
      </c>
      <c r="F202" s="31">
        <f>E202/52</f>
        <v/>
      </c>
      <c r="G202" s="39">
        <f>D202/1000000*52</f>
        <v/>
      </c>
      <c r="H202" s="33">
        <f>G202/$P$4+($C$22/$P$4)</f>
        <v/>
      </c>
      <c r="I202" s="36">
        <f>_xlfn.IFS(K202&lt;K$24,0,K202&lt;K$26,I$24,K202&lt;K$28,I$26,K202&lt;K$30,I$28,K202&lt;K$32,I$30,K202&lt;K$34,I$32,K202&lt;K$36,I$34,K202&lt;K$38,I$36,K202&lt;K$40,I$38,K202&lt;K$42,I$40,K202&lt;K$44,I$42,K202&lt;K$46,I$44,K202&gt;=K$46,I$46)</f>
        <v/>
      </c>
      <c r="J202" s="37">
        <f>_xlfn.IFS(K202&lt;K$24,0,K202&lt;K$25,J$24,K202&lt;K$26,J$25,K202&lt;K$27,J$26,K202&lt;K$28,J$27,K202&lt;K$29,J$28,K202&lt;K$30,J$29,K202&lt;K$31,J$30,K202&lt;K$32,J$31,K202&lt;K$33,J$32,K202&lt;K$34,J$33,K202&lt;K$35,J$34,K202&lt;K$36,J$35,K202&lt;K$37,J$36,K202&lt;K$38,J$37,K202&lt;K$39,J$38,K202&lt;K$40,J$39,K202&lt;K$41,J$40,K202&lt;K$42,J$41,K202&lt;K$43,J$42,K202&lt;K$44,J$43,K202&lt;K$45,J$44,K202&lt;K$46,J$45,K202&lt;K$47,J$46,K202&gt;=K$47,J$47)</f>
        <v/>
      </c>
      <c r="K202" s="38" t="n">
        <v>152</v>
      </c>
      <c r="L202" s="31">
        <f>K202/52</f>
        <v/>
      </c>
      <c r="M202" s="39">
        <f>J202/1000000*52</f>
        <v/>
      </c>
      <c r="N202" s="33">
        <f>M202/$P$4+($I$22/$P$4)</f>
        <v/>
      </c>
      <c r="U202">
        <f>F201</f>
        <v/>
      </c>
      <c r="V202">
        <f>H201</f>
        <v/>
      </c>
      <c r="W202">
        <f>N201</f>
        <v/>
      </c>
    </row>
    <row r="203" ht="15.75" customHeight="1" s="40">
      <c r="C203" s="36">
        <f>_xlfn.IFS(E203&lt;E$24,0,E203&lt;E$26,C$24,E203&lt;E$28,C$26,E203&lt;E$30,C$28,E203&lt;E$32,C$30,E203&lt;E$34,C$32,E203&gt;=E$34,C$34)</f>
        <v/>
      </c>
      <c r="D203" s="37">
        <f>_xlfn.IFS(E203&lt;E$24,0,E203&lt;E$25,D$24,E203&lt;E$26,D$25,E203&lt;E$27,D$26,E203&lt;E$28,D$27,E203&lt;E$29,D$28,E203&lt;E$30,D$29,E203&lt;E$31,D$30,E203&lt;E$32,D$31,E203&lt;E$33,D$32,E203&lt;E$34,D$33,E203&lt;E$35,D$34,E203&gt;=E$35,D$35)</f>
        <v/>
      </c>
      <c r="E203" s="38" t="n">
        <v>153</v>
      </c>
      <c r="F203" s="31">
        <f>E203/52</f>
        <v/>
      </c>
      <c r="G203" s="39">
        <f>D203/1000000*52</f>
        <v/>
      </c>
      <c r="H203" s="33">
        <f>G203/$P$4+($C$22/$P$4)</f>
        <v/>
      </c>
      <c r="I203" s="36">
        <f>_xlfn.IFS(K203&lt;K$24,0,K203&lt;K$26,I$24,K203&lt;K$28,I$26,K203&lt;K$30,I$28,K203&lt;K$32,I$30,K203&lt;K$34,I$32,K203&lt;K$36,I$34,K203&lt;K$38,I$36,K203&lt;K$40,I$38,K203&lt;K$42,I$40,K203&lt;K$44,I$42,K203&lt;K$46,I$44,K203&gt;=K$46,I$46)</f>
        <v/>
      </c>
      <c r="J203" s="37">
        <f>_xlfn.IFS(K203&lt;K$24,0,K203&lt;K$25,J$24,K203&lt;K$26,J$25,K203&lt;K$27,J$26,K203&lt;K$28,J$27,K203&lt;K$29,J$28,K203&lt;K$30,J$29,K203&lt;K$31,J$30,K203&lt;K$32,J$31,K203&lt;K$33,J$32,K203&lt;K$34,J$33,K203&lt;K$35,J$34,K203&lt;K$36,J$35,K203&lt;K$37,J$36,K203&lt;K$38,J$37,K203&lt;K$39,J$38,K203&lt;K$40,J$39,K203&lt;K$41,J$40,K203&lt;K$42,J$41,K203&lt;K$43,J$42,K203&lt;K$44,J$43,K203&lt;K$45,J$44,K203&lt;K$46,J$45,K203&lt;K$47,J$46,K203&gt;=K$47,J$47)</f>
        <v/>
      </c>
      <c r="K203" s="38" t="n">
        <v>153</v>
      </c>
      <c r="L203" s="31">
        <f>K203/52</f>
        <v/>
      </c>
      <c r="M203" s="39">
        <f>J203/1000000*52</f>
        <v/>
      </c>
      <c r="N203" s="33">
        <f>M203/$P$4+($I$22/$P$4)</f>
        <v/>
      </c>
      <c r="U203">
        <f>F202</f>
        <v/>
      </c>
      <c r="V203">
        <f>H202</f>
        <v/>
      </c>
      <c r="W203">
        <f>N202</f>
        <v/>
      </c>
    </row>
    <row r="204" ht="15.75" customHeight="1" s="40">
      <c r="C204" s="36">
        <f>_xlfn.IFS(E204&lt;E$24,0,E204&lt;E$26,C$24,E204&lt;E$28,C$26,E204&lt;E$30,C$28,E204&lt;E$32,C$30,E204&lt;E$34,C$32,E204&gt;=E$34,C$34)</f>
        <v/>
      </c>
      <c r="D204" s="37">
        <f>_xlfn.IFS(E204&lt;E$24,0,E204&lt;E$25,D$24,E204&lt;E$26,D$25,E204&lt;E$27,D$26,E204&lt;E$28,D$27,E204&lt;E$29,D$28,E204&lt;E$30,D$29,E204&lt;E$31,D$30,E204&lt;E$32,D$31,E204&lt;E$33,D$32,E204&lt;E$34,D$33,E204&lt;E$35,D$34,E204&gt;=E$35,D$35)</f>
        <v/>
      </c>
      <c r="E204" s="38" t="n">
        <v>154</v>
      </c>
      <c r="F204" s="31">
        <f>E204/52</f>
        <v/>
      </c>
      <c r="G204" s="39">
        <f>D204/1000000*52</f>
        <v/>
      </c>
      <c r="H204" s="33">
        <f>G204/$P$4+($C$22/$P$4)</f>
        <v/>
      </c>
      <c r="I204" s="36">
        <f>_xlfn.IFS(K204&lt;K$24,0,K204&lt;K$26,I$24,K204&lt;K$28,I$26,K204&lt;K$30,I$28,K204&lt;K$32,I$30,K204&lt;K$34,I$32,K204&lt;K$36,I$34,K204&lt;K$38,I$36,K204&lt;K$40,I$38,K204&lt;K$42,I$40,K204&lt;K$44,I$42,K204&lt;K$46,I$44,K204&gt;=K$46,I$46)</f>
        <v/>
      </c>
      <c r="J204" s="37">
        <f>_xlfn.IFS(K204&lt;K$24,0,K204&lt;K$25,J$24,K204&lt;K$26,J$25,K204&lt;K$27,J$26,K204&lt;K$28,J$27,K204&lt;K$29,J$28,K204&lt;K$30,J$29,K204&lt;K$31,J$30,K204&lt;K$32,J$31,K204&lt;K$33,J$32,K204&lt;K$34,J$33,K204&lt;K$35,J$34,K204&lt;K$36,J$35,K204&lt;K$37,J$36,K204&lt;K$38,J$37,K204&lt;K$39,J$38,K204&lt;K$40,J$39,K204&lt;K$41,J$40,K204&lt;K$42,J$41,K204&lt;K$43,J$42,K204&lt;K$44,J$43,K204&lt;K$45,J$44,K204&lt;K$46,J$45,K204&lt;K$47,J$46,K204&gt;=K$47,J$47)</f>
        <v/>
      </c>
      <c r="K204" s="38" t="n">
        <v>154</v>
      </c>
      <c r="L204" s="31">
        <f>K204/52</f>
        <v/>
      </c>
      <c r="M204" s="39">
        <f>J204/1000000*52</f>
        <v/>
      </c>
      <c r="N204" s="33">
        <f>M204/$P$4+($I$22/$P$4)</f>
        <v/>
      </c>
      <c r="U204">
        <f>F203</f>
        <v/>
      </c>
      <c r="V204">
        <f>H203</f>
        <v/>
      </c>
      <c r="W204">
        <f>N203</f>
        <v/>
      </c>
    </row>
    <row r="205" ht="15.75" customHeight="1" s="40">
      <c r="C205" s="36">
        <f>_xlfn.IFS(E205&lt;E$24,0,E205&lt;E$26,C$24,E205&lt;E$28,C$26,E205&lt;E$30,C$28,E205&lt;E$32,C$30,E205&lt;E$34,C$32,E205&gt;=E$34,C$34)</f>
        <v/>
      </c>
      <c r="D205" s="37">
        <f>_xlfn.IFS(E205&lt;E$24,0,E205&lt;E$25,D$24,E205&lt;E$26,D$25,E205&lt;E$27,D$26,E205&lt;E$28,D$27,E205&lt;E$29,D$28,E205&lt;E$30,D$29,E205&lt;E$31,D$30,E205&lt;E$32,D$31,E205&lt;E$33,D$32,E205&lt;E$34,D$33,E205&lt;E$35,D$34,E205&gt;=E$35,D$35)</f>
        <v/>
      </c>
      <c r="E205" s="38" t="n">
        <v>155</v>
      </c>
      <c r="F205" s="31">
        <f>E205/52</f>
        <v/>
      </c>
      <c r="G205" s="39">
        <f>D205/1000000*52</f>
        <v/>
      </c>
      <c r="H205" s="33">
        <f>G205/$P$4+($C$22/$P$4)</f>
        <v/>
      </c>
      <c r="I205" s="36">
        <f>_xlfn.IFS(K205&lt;K$24,0,K205&lt;K$26,I$24,K205&lt;K$28,I$26,K205&lt;K$30,I$28,K205&lt;K$32,I$30,K205&lt;K$34,I$32,K205&lt;K$36,I$34,K205&lt;K$38,I$36,K205&lt;K$40,I$38,K205&lt;K$42,I$40,K205&lt;K$44,I$42,K205&lt;K$46,I$44,K205&gt;=K$46,I$46)</f>
        <v/>
      </c>
      <c r="J205" s="37">
        <f>_xlfn.IFS(K205&lt;K$24,0,K205&lt;K$25,J$24,K205&lt;K$26,J$25,K205&lt;K$27,J$26,K205&lt;K$28,J$27,K205&lt;K$29,J$28,K205&lt;K$30,J$29,K205&lt;K$31,J$30,K205&lt;K$32,J$31,K205&lt;K$33,J$32,K205&lt;K$34,J$33,K205&lt;K$35,J$34,K205&lt;K$36,J$35,K205&lt;K$37,J$36,K205&lt;K$38,J$37,K205&lt;K$39,J$38,K205&lt;K$40,J$39,K205&lt;K$41,J$40,K205&lt;K$42,J$41,K205&lt;K$43,J$42,K205&lt;K$44,J$43,K205&lt;K$45,J$44,K205&lt;K$46,J$45,K205&lt;K$47,J$46,K205&gt;=K$47,J$47)</f>
        <v/>
      </c>
      <c r="K205" s="38" t="n">
        <v>155</v>
      </c>
      <c r="L205" s="31">
        <f>K205/52</f>
        <v/>
      </c>
      <c r="M205" s="39">
        <f>J205/1000000*52</f>
        <v/>
      </c>
      <c r="N205" s="33">
        <f>M205/$P$4+($I$22/$P$4)</f>
        <v/>
      </c>
      <c r="U205">
        <f>F204</f>
        <v/>
      </c>
      <c r="V205">
        <f>H204</f>
        <v/>
      </c>
      <c r="W205">
        <f>N204</f>
        <v/>
      </c>
    </row>
    <row r="206" ht="15.75" customHeight="1" s="40">
      <c r="C206" s="36">
        <f>_xlfn.IFS(E206&lt;E$24,0,E206&lt;E$26,C$24,E206&lt;E$28,C$26,E206&lt;E$30,C$28,E206&lt;E$32,C$30,E206&lt;E$34,C$32,E206&gt;=E$34,C$34)</f>
        <v/>
      </c>
      <c r="D206" s="37">
        <f>_xlfn.IFS(E206&lt;E$24,0,E206&lt;E$25,D$24,E206&lt;E$26,D$25,E206&lt;E$27,D$26,E206&lt;E$28,D$27,E206&lt;E$29,D$28,E206&lt;E$30,D$29,E206&lt;E$31,D$30,E206&lt;E$32,D$31,E206&lt;E$33,D$32,E206&lt;E$34,D$33,E206&lt;E$35,D$34,E206&gt;=E$35,D$35)</f>
        <v/>
      </c>
      <c r="E206" s="38" t="n">
        <v>156</v>
      </c>
      <c r="F206" s="31">
        <f>E206/52</f>
        <v/>
      </c>
      <c r="G206" s="39">
        <f>D206/1000000*52</f>
        <v/>
      </c>
      <c r="H206" s="33">
        <f>G206/$P$4+($C$22/$P$4)</f>
        <v/>
      </c>
      <c r="I206" s="36">
        <f>_xlfn.IFS(K206&lt;K$24,0,K206&lt;K$26,I$24,K206&lt;K$28,I$26,K206&lt;K$30,I$28,K206&lt;K$32,I$30,K206&lt;K$34,I$32,K206&lt;K$36,I$34,K206&lt;K$38,I$36,K206&lt;K$40,I$38,K206&lt;K$42,I$40,K206&lt;K$44,I$42,K206&lt;K$46,I$44,K206&gt;=K$46,I$46)</f>
        <v/>
      </c>
      <c r="J206" s="37">
        <f>_xlfn.IFS(K206&lt;K$24,0,K206&lt;K$25,J$24,K206&lt;K$26,J$25,K206&lt;K$27,J$26,K206&lt;K$28,J$27,K206&lt;K$29,J$28,K206&lt;K$30,J$29,K206&lt;K$31,J$30,K206&lt;K$32,J$31,K206&lt;K$33,J$32,K206&lt;K$34,J$33,K206&lt;K$35,J$34,K206&lt;K$36,J$35,K206&lt;K$37,J$36,K206&lt;K$38,J$37,K206&lt;K$39,J$38,K206&lt;K$40,J$39,K206&lt;K$41,J$40,K206&lt;K$42,J$41,K206&lt;K$43,J$42,K206&lt;K$44,J$43,K206&lt;K$45,J$44,K206&lt;K$46,J$45,K206&lt;K$47,J$46,K206&gt;=K$47,J$47)</f>
        <v/>
      </c>
      <c r="K206" s="38" t="n">
        <v>156</v>
      </c>
      <c r="L206" s="31">
        <f>K206/52</f>
        <v/>
      </c>
      <c r="M206" s="39">
        <f>J206/1000000*52</f>
        <v/>
      </c>
      <c r="N206" s="33">
        <f>M206/$P$4+($I$22/$P$4)</f>
        <v/>
      </c>
      <c r="U206">
        <f>F205</f>
        <v/>
      </c>
      <c r="V206">
        <f>H205</f>
        <v/>
      </c>
      <c r="W206">
        <f>N205</f>
        <v/>
      </c>
    </row>
    <row r="207" ht="15.75" customHeight="1" s="40">
      <c r="C207" s="36">
        <f>_xlfn.IFS(E207&lt;E$24,0,E207&lt;E$26,C$24,E207&lt;E$28,C$26,E207&lt;E$30,C$28,E207&lt;E$32,C$30,E207&lt;E$34,C$32,E207&gt;=E$34,C$34)</f>
        <v/>
      </c>
      <c r="D207" s="37">
        <f>_xlfn.IFS(E207&lt;E$24,0,E207&lt;E$25,D$24,E207&lt;E$26,D$25,E207&lt;E$27,D$26,E207&lt;E$28,D$27,E207&lt;E$29,D$28,E207&lt;E$30,D$29,E207&lt;E$31,D$30,E207&lt;E$32,D$31,E207&lt;E$33,D$32,E207&lt;E$34,D$33,E207&lt;E$35,D$34,E207&gt;=E$35,D$35)</f>
        <v/>
      </c>
      <c r="E207" s="38" t="n">
        <v>157</v>
      </c>
      <c r="F207" s="31">
        <f>E207/52</f>
        <v/>
      </c>
      <c r="G207" s="39">
        <f>D207/1000000*52</f>
        <v/>
      </c>
      <c r="H207" s="33">
        <f>G207/$P$4+($C$22/$P$4)</f>
        <v/>
      </c>
      <c r="I207" s="36">
        <f>_xlfn.IFS(K207&lt;K$24,0,K207&lt;K$26,I$24,K207&lt;K$28,I$26,K207&lt;K$30,I$28,K207&lt;K$32,I$30,K207&lt;K$34,I$32,K207&lt;K$36,I$34,K207&lt;K$38,I$36,K207&lt;K$40,I$38,K207&lt;K$42,I$40,K207&lt;K$44,I$42,K207&lt;K$46,I$44,K207&gt;=K$46,I$46)</f>
        <v/>
      </c>
      <c r="J207" s="37">
        <f>_xlfn.IFS(K207&lt;K$24,0,K207&lt;K$25,J$24,K207&lt;K$26,J$25,K207&lt;K$27,J$26,K207&lt;K$28,J$27,K207&lt;K$29,J$28,K207&lt;K$30,J$29,K207&lt;K$31,J$30,K207&lt;K$32,J$31,K207&lt;K$33,J$32,K207&lt;K$34,J$33,K207&lt;K$35,J$34,K207&lt;K$36,J$35,K207&lt;K$37,J$36,K207&lt;K$38,J$37,K207&lt;K$39,J$38,K207&lt;K$40,J$39,K207&lt;K$41,J$40,K207&lt;K$42,J$41,K207&lt;K$43,J$42,K207&lt;K$44,J$43,K207&lt;K$45,J$44,K207&lt;K$46,J$45,K207&lt;K$47,J$46,K207&gt;=K$47,J$47)</f>
        <v/>
      </c>
      <c r="K207" s="38" t="n">
        <v>157</v>
      </c>
      <c r="L207" s="31">
        <f>K207/52</f>
        <v/>
      </c>
      <c r="M207" s="39">
        <f>J207/1000000*52</f>
        <v/>
      </c>
      <c r="N207" s="33">
        <f>M207/$P$4+($I$22/$P$4)</f>
        <v/>
      </c>
      <c r="U207">
        <f>F206</f>
        <v/>
      </c>
      <c r="V207">
        <f>H206</f>
        <v/>
      </c>
      <c r="W207">
        <f>N206</f>
        <v/>
      </c>
    </row>
    <row r="208" ht="15.75" customHeight="1" s="40">
      <c r="C208" s="36">
        <f>_xlfn.IFS(E208&lt;E$24,0,E208&lt;E$26,C$24,E208&lt;E$28,C$26,E208&lt;E$30,C$28,E208&lt;E$32,C$30,E208&lt;E$34,C$32,E208&gt;=E$34,C$34)</f>
        <v/>
      </c>
      <c r="D208" s="37">
        <f>_xlfn.IFS(E208&lt;E$24,0,E208&lt;E$25,D$24,E208&lt;E$26,D$25,E208&lt;E$27,D$26,E208&lt;E$28,D$27,E208&lt;E$29,D$28,E208&lt;E$30,D$29,E208&lt;E$31,D$30,E208&lt;E$32,D$31,E208&lt;E$33,D$32,E208&lt;E$34,D$33,E208&lt;E$35,D$34,E208&gt;=E$35,D$35)</f>
        <v/>
      </c>
      <c r="E208" s="38" t="n">
        <v>158</v>
      </c>
      <c r="F208" s="31">
        <f>E208/52</f>
        <v/>
      </c>
      <c r="G208" s="39">
        <f>D208/1000000*52</f>
        <v/>
      </c>
      <c r="H208" s="33">
        <f>G208/$P$4+($C$22/$P$4)</f>
        <v/>
      </c>
      <c r="I208" s="36">
        <f>_xlfn.IFS(K208&lt;K$24,0,K208&lt;K$26,I$24,K208&lt;K$28,I$26,K208&lt;K$30,I$28,K208&lt;K$32,I$30,K208&lt;K$34,I$32,K208&lt;K$36,I$34,K208&lt;K$38,I$36,K208&lt;K$40,I$38,K208&lt;K$42,I$40,K208&lt;K$44,I$42,K208&lt;K$46,I$44,K208&gt;=K$46,I$46)</f>
        <v/>
      </c>
      <c r="J208" s="37">
        <f>_xlfn.IFS(K208&lt;K$24,0,K208&lt;K$25,J$24,K208&lt;K$26,J$25,K208&lt;K$27,J$26,K208&lt;K$28,J$27,K208&lt;K$29,J$28,K208&lt;K$30,J$29,K208&lt;K$31,J$30,K208&lt;K$32,J$31,K208&lt;K$33,J$32,K208&lt;K$34,J$33,K208&lt;K$35,J$34,K208&lt;K$36,J$35,K208&lt;K$37,J$36,K208&lt;K$38,J$37,K208&lt;K$39,J$38,K208&lt;K$40,J$39,K208&lt;K$41,J$40,K208&lt;K$42,J$41,K208&lt;K$43,J$42,K208&lt;K$44,J$43,K208&lt;K$45,J$44,K208&lt;K$46,J$45,K208&lt;K$47,J$46,K208&gt;=K$47,J$47)</f>
        <v/>
      </c>
      <c r="K208" s="38" t="n">
        <v>158</v>
      </c>
      <c r="L208" s="31">
        <f>K208/52</f>
        <v/>
      </c>
      <c r="M208" s="39">
        <f>J208/1000000*52</f>
        <v/>
      </c>
      <c r="N208" s="33">
        <f>M208/$P$4+($I$22/$P$4)</f>
        <v/>
      </c>
      <c r="U208">
        <f>F207</f>
        <v/>
      </c>
      <c r="V208">
        <f>H207</f>
        <v/>
      </c>
      <c r="W208">
        <f>N207</f>
        <v/>
      </c>
    </row>
    <row r="209" ht="15.75" customHeight="1" s="40">
      <c r="C209" s="36">
        <f>_xlfn.IFS(E209&lt;E$24,0,E209&lt;E$26,C$24,E209&lt;E$28,C$26,E209&lt;E$30,C$28,E209&lt;E$32,C$30,E209&lt;E$34,C$32,E209&gt;=E$34,C$34)</f>
        <v/>
      </c>
      <c r="D209" s="37">
        <f>_xlfn.IFS(E209&lt;E$24,0,E209&lt;E$25,D$24,E209&lt;E$26,D$25,E209&lt;E$27,D$26,E209&lt;E$28,D$27,E209&lt;E$29,D$28,E209&lt;E$30,D$29,E209&lt;E$31,D$30,E209&lt;E$32,D$31,E209&lt;E$33,D$32,E209&lt;E$34,D$33,E209&lt;E$35,D$34,E209&gt;=E$35,D$35)</f>
        <v/>
      </c>
      <c r="E209" s="38" t="n">
        <v>159</v>
      </c>
      <c r="F209" s="31">
        <f>E209/52</f>
        <v/>
      </c>
      <c r="G209" s="39">
        <f>D209/1000000*52</f>
        <v/>
      </c>
      <c r="H209" s="33">
        <f>G209/$P$4+($C$22/$P$4)</f>
        <v/>
      </c>
      <c r="I209" s="36">
        <f>_xlfn.IFS(K209&lt;K$24,0,K209&lt;K$26,I$24,K209&lt;K$28,I$26,K209&lt;K$30,I$28,K209&lt;K$32,I$30,K209&lt;K$34,I$32,K209&lt;K$36,I$34,K209&lt;K$38,I$36,K209&lt;K$40,I$38,K209&lt;K$42,I$40,K209&lt;K$44,I$42,K209&lt;K$46,I$44,K209&gt;=K$46,I$46)</f>
        <v/>
      </c>
      <c r="J209" s="37">
        <f>_xlfn.IFS(K209&lt;K$24,0,K209&lt;K$25,J$24,K209&lt;K$26,J$25,K209&lt;K$27,J$26,K209&lt;K$28,J$27,K209&lt;K$29,J$28,K209&lt;K$30,J$29,K209&lt;K$31,J$30,K209&lt;K$32,J$31,K209&lt;K$33,J$32,K209&lt;K$34,J$33,K209&lt;K$35,J$34,K209&lt;K$36,J$35,K209&lt;K$37,J$36,K209&lt;K$38,J$37,K209&lt;K$39,J$38,K209&lt;K$40,J$39,K209&lt;K$41,J$40,K209&lt;K$42,J$41,K209&lt;K$43,J$42,K209&lt;K$44,J$43,K209&lt;K$45,J$44,K209&lt;K$46,J$45,K209&lt;K$47,J$46,K209&gt;=K$47,J$47)</f>
        <v/>
      </c>
      <c r="K209" s="38" t="n">
        <v>159</v>
      </c>
      <c r="L209" s="31">
        <f>K209/52</f>
        <v/>
      </c>
      <c r="M209" s="39">
        <f>J209/1000000*52</f>
        <v/>
      </c>
      <c r="N209" s="33">
        <f>M209/$P$4+($I$22/$P$4)</f>
        <v/>
      </c>
      <c r="U209">
        <f>F208</f>
        <v/>
      </c>
      <c r="V209">
        <f>H208</f>
        <v/>
      </c>
      <c r="W209">
        <f>N208</f>
        <v/>
      </c>
    </row>
    <row r="210" ht="15.75" customHeight="1" s="40">
      <c r="C210" s="36">
        <f>_xlfn.IFS(E210&lt;E$24,0,E210&lt;E$26,C$24,E210&lt;E$28,C$26,E210&lt;E$30,C$28,E210&lt;E$32,C$30,E210&lt;E$34,C$32,E210&gt;=E$34,C$34)</f>
        <v/>
      </c>
      <c r="D210" s="37">
        <f>_xlfn.IFS(E210&lt;E$24,0,E210&lt;E$25,D$24,E210&lt;E$26,D$25,E210&lt;E$27,D$26,E210&lt;E$28,D$27,E210&lt;E$29,D$28,E210&lt;E$30,D$29,E210&lt;E$31,D$30,E210&lt;E$32,D$31,E210&lt;E$33,D$32,E210&lt;E$34,D$33,E210&lt;E$35,D$34,E210&gt;=E$35,D$35)</f>
        <v/>
      </c>
      <c r="E210" s="38" t="n">
        <v>160</v>
      </c>
      <c r="F210" s="31">
        <f>E210/52</f>
        <v/>
      </c>
      <c r="G210" s="39">
        <f>D210/1000000*52</f>
        <v/>
      </c>
      <c r="H210" s="33">
        <f>G210/$P$4+($C$22/$P$4)</f>
        <v/>
      </c>
      <c r="I210" s="36">
        <f>_xlfn.IFS(K210&lt;K$24,0,K210&lt;K$26,I$24,K210&lt;K$28,I$26,K210&lt;K$30,I$28,K210&lt;K$32,I$30,K210&lt;K$34,I$32,K210&lt;K$36,I$34,K210&lt;K$38,I$36,K210&lt;K$40,I$38,K210&lt;K$42,I$40,K210&lt;K$44,I$42,K210&lt;K$46,I$44,K210&gt;=K$46,I$46)</f>
        <v/>
      </c>
      <c r="J210" s="37">
        <f>_xlfn.IFS(K210&lt;K$24,0,K210&lt;K$25,J$24,K210&lt;K$26,J$25,K210&lt;K$27,J$26,K210&lt;K$28,J$27,K210&lt;K$29,J$28,K210&lt;K$30,J$29,K210&lt;K$31,J$30,K210&lt;K$32,J$31,K210&lt;K$33,J$32,K210&lt;K$34,J$33,K210&lt;K$35,J$34,K210&lt;K$36,J$35,K210&lt;K$37,J$36,K210&lt;K$38,J$37,K210&lt;K$39,J$38,K210&lt;K$40,J$39,K210&lt;K$41,J$40,K210&lt;K$42,J$41,K210&lt;K$43,J$42,K210&lt;K$44,J$43,K210&lt;K$45,J$44,K210&lt;K$46,J$45,K210&lt;K$47,J$46,K210&gt;=K$47,J$47)</f>
        <v/>
      </c>
      <c r="K210" s="38" t="n">
        <v>160</v>
      </c>
      <c r="L210" s="31">
        <f>K210/52</f>
        <v/>
      </c>
      <c r="M210" s="39">
        <f>J210/1000000*52</f>
        <v/>
      </c>
      <c r="N210" s="33">
        <f>M210/$P$4+($I$22/$P$4)</f>
        <v/>
      </c>
      <c r="U210">
        <f>F209</f>
        <v/>
      </c>
      <c r="V210">
        <f>H209</f>
        <v/>
      </c>
      <c r="W210">
        <f>N209</f>
        <v/>
      </c>
    </row>
    <row r="211" ht="15.75" customHeight="1" s="40">
      <c r="C211" s="36">
        <f>_xlfn.IFS(E211&lt;E$24,0,E211&lt;E$26,C$24,E211&lt;E$28,C$26,E211&lt;E$30,C$28,E211&lt;E$32,C$30,E211&lt;E$34,C$32,E211&gt;=E$34,C$34)</f>
        <v/>
      </c>
      <c r="D211" s="37">
        <f>_xlfn.IFS(E211&lt;E$24,0,E211&lt;E$25,D$24,E211&lt;E$26,D$25,E211&lt;E$27,D$26,E211&lt;E$28,D$27,E211&lt;E$29,D$28,E211&lt;E$30,D$29,E211&lt;E$31,D$30,E211&lt;E$32,D$31,E211&lt;E$33,D$32,E211&lt;E$34,D$33,E211&lt;E$35,D$34,E211&gt;=E$35,D$35)</f>
        <v/>
      </c>
      <c r="E211" s="38" t="n">
        <v>161</v>
      </c>
      <c r="F211" s="31">
        <f>E211/52</f>
        <v/>
      </c>
      <c r="G211" s="39">
        <f>D211/1000000*52</f>
        <v/>
      </c>
      <c r="H211" s="33">
        <f>G211/$P$4+($C$22/$P$4)</f>
        <v/>
      </c>
      <c r="I211" s="36">
        <f>_xlfn.IFS(K211&lt;K$24,0,K211&lt;K$26,I$24,K211&lt;K$28,I$26,K211&lt;K$30,I$28,K211&lt;K$32,I$30,K211&lt;K$34,I$32,K211&lt;K$36,I$34,K211&lt;K$38,I$36,K211&lt;K$40,I$38,K211&lt;K$42,I$40,K211&lt;K$44,I$42,K211&lt;K$46,I$44,K211&gt;=K$46,I$46)</f>
        <v/>
      </c>
      <c r="J211" s="37">
        <f>_xlfn.IFS(K211&lt;K$24,0,K211&lt;K$25,J$24,K211&lt;K$26,J$25,K211&lt;K$27,J$26,K211&lt;K$28,J$27,K211&lt;K$29,J$28,K211&lt;K$30,J$29,K211&lt;K$31,J$30,K211&lt;K$32,J$31,K211&lt;K$33,J$32,K211&lt;K$34,J$33,K211&lt;K$35,J$34,K211&lt;K$36,J$35,K211&lt;K$37,J$36,K211&lt;K$38,J$37,K211&lt;K$39,J$38,K211&lt;K$40,J$39,K211&lt;K$41,J$40,K211&lt;K$42,J$41,K211&lt;K$43,J$42,K211&lt;K$44,J$43,K211&lt;K$45,J$44,K211&lt;K$46,J$45,K211&lt;K$47,J$46,K211&gt;=K$47,J$47)</f>
        <v/>
      </c>
      <c r="K211" s="38" t="n">
        <v>161</v>
      </c>
      <c r="L211" s="31">
        <f>K211/52</f>
        <v/>
      </c>
      <c r="M211" s="39">
        <f>J211/1000000*52</f>
        <v/>
      </c>
      <c r="N211" s="33">
        <f>M211/$P$4+($I$22/$P$4)</f>
        <v/>
      </c>
      <c r="U211">
        <f>F210</f>
        <v/>
      </c>
      <c r="V211">
        <f>H210</f>
        <v/>
      </c>
      <c r="W211">
        <f>N210</f>
        <v/>
      </c>
    </row>
    <row r="212" ht="15.75" customHeight="1" s="40">
      <c r="C212" s="36">
        <f>_xlfn.IFS(E212&lt;E$24,0,E212&lt;E$26,C$24,E212&lt;E$28,C$26,E212&lt;E$30,C$28,E212&lt;E$32,C$30,E212&lt;E$34,C$32,E212&gt;=E$34,C$34)</f>
        <v/>
      </c>
      <c r="D212" s="37">
        <f>_xlfn.IFS(E212&lt;E$24,0,E212&lt;E$25,D$24,E212&lt;E$26,D$25,E212&lt;E$27,D$26,E212&lt;E$28,D$27,E212&lt;E$29,D$28,E212&lt;E$30,D$29,E212&lt;E$31,D$30,E212&lt;E$32,D$31,E212&lt;E$33,D$32,E212&lt;E$34,D$33,E212&lt;E$35,D$34,E212&gt;=E$35,D$35)</f>
        <v/>
      </c>
      <c r="E212" s="38" t="n">
        <v>162</v>
      </c>
      <c r="F212" s="31">
        <f>E212/52</f>
        <v/>
      </c>
      <c r="G212" s="39">
        <f>D212/1000000*52</f>
        <v/>
      </c>
      <c r="H212" s="33">
        <f>G212/$P$4+($C$22/$P$4)</f>
        <v/>
      </c>
      <c r="I212" s="36">
        <f>_xlfn.IFS(K212&lt;K$24,0,K212&lt;K$26,I$24,K212&lt;K$28,I$26,K212&lt;K$30,I$28,K212&lt;K$32,I$30,K212&lt;K$34,I$32,K212&lt;K$36,I$34,K212&lt;K$38,I$36,K212&lt;K$40,I$38,K212&lt;K$42,I$40,K212&lt;K$44,I$42,K212&lt;K$46,I$44,K212&gt;=K$46,I$46)</f>
        <v/>
      </c>
      <c r="J212" s="37">
        <f>_xlfn.IFS(K212&lt;K$24,0,K212&lt;K$25,J$24,K212&lt;K$26,J$25,K212&lt;K$27,J$26,K212&lt;K$28,J$27,K212&lt;K$29,J$28,K212&lt;K$30,J$29,K212&lt;K$31,J$30,K212&lt;K$32,J$31,K212&lt;K$33,J$32,K212&lt;K$34,J$33,K212&lt;K$35,J$34,K212&lt;K$36,J$35,K212&lt;K$37,J$36,K212&lt;K$38,J$37,K212&lt;K$39,J$38,K212&lt;K$40,J$39,K212&lt;K$41,J$40,K212&lt;K$42,J$41,K212&lt;K$43,J$42,K212&lt;K$44,J$43,K212&lt;K$45,J$44,K212&lt;K$46,J$45,K212&lt;K$47,J$46,K212&gt;=K$47,J$47)</f>
        <v/>
      </c>
      <c r="K212" s="38" t="n">
        <v>162</v>
      </c>
      <c r="L212" s="31">
        <f>K212/52</f>
        <v/>
      </c>
      <c r="M212" s="39">
        <f>J212/1000000*52</f>
        <v/>
      </c>
      <c r="N212" s="33">
        <f>M212/$P$4+($I$22/$P$4)</f>
        <v/>
      </c>
      <c r="U212">
        <f>F211</f>
        <v/>
      </c>
      <c r="V212">
        <f>H211</f>
        <v/>
      </c>
      <c r="W212">
        <f>N211</f>
        <v/>
      </c>
    </row>
    <row r="213" ht="15.75" customHeight="1" s="40">
      <c r="C213" s="36">
        <f>_xlfn.IFS(E213&lt;E$24,0,E213&lt;E$26,C$24,E213&lt;E$28,C$26,E213&lt;E$30,C$28,E213&lt;E$32,C$30,E213&lt;E$34,C$32,E213&gt;=E$34,C$34)</f>
        <v/>
      </c>
      <c r="D213" s="37">
        <f>_xlfn.IFS(E213&lt;E$24,0,E213&lt;E$25,D$24,E213&lt;E$26,D$25,E213&lt;E$27,D$26,E213&lt;E$28,D$27,E213&lt;E$29,D$28,E213&lt;E$30,D$29,E213&lt;E$31,D$30,E213&lt;E$32,D$31,E213&lt;E$33,D$32,E213&lt;E$34,D$33,E213&lt;E$35,D$34,E213&gt;=E$35,D$35)</f>
        <v/>
      </c>
      <c r="E213" s="38" t="n">
        <v>163</v>
      </c>
      <c r="F213" s="31">
        <f>E213/52</f>
        <v/>
      </c>
      <c r="G213" s="39">
        <f>D213/1000000*52</f>
        <v/>
      </c>
      <c r="H213" s="33">
        <f>G213/$P$4+($C$22/$P$4)</f>
        <v/>
      </c>
      <c r="I213" s="36">
        <f>_xlfn.IFS(K213&lt;K$24,0,K213&lt;K$26,I$24,K213&lt;K$28,I$26,K213&lt;K$30,I$28,K213&lt;K$32,I$30,K213&lt;K$34,I$32,K213&lt;K$36,I$34,K213&lt;K$38,I$36,K213&lt;K$40,I$38,K213&lt;K$42,I$40,K213&lt;K$44,I$42,K213&lt;K$46,I$44,K213&gt;=K$46,I$46)</f>
        <v/>
      </c>
      <c r="J213" s="37">
        <f>_xlfn.IFS(K213&lt;K$24,0,K213&lt;K$25,J$24,K213&lt;K$26,J$25,K213&lt;K$27,J$26,K213&lt;K$28,J$27,K213&lt;K$29,J$28,K213&lt;K$30,J$29,K213&lt;K$31,J$30,K213&lt;K$32,J$31,K213&lt;K$33,J$32,K213&lt;K$34,J$33,K213&lt;K$35,J$34,K213&lt;K$36,J$35,K213&lt;K$37,J$36,K213&lt;K$38,J$37,K213&lt;K$39,J$38,K213&lt;K$40,J$39,K213&lt;K$41,J$40,K213&lt;K$42,J$41,K213&lt;K$43,J$42,K213&lt;K$44,J$43,K213&lt;K$45,J$44,K213&lt;K$46,J$45,K213&lt;K$47,J$46,K213&gt;=K$47,J$47)</f>
        <v/>
      </c>
      <c r="K213" s="38" t="n">
        <v>163</v>
      </c>
      <c r="L213" s="31">
        <f>K213/52</f>
        <v/>
      </c>
      <c r="M213" s="39">
        <f>J213/1000000*52</f>
        <v/>
      </c>
      <c r="N213" s="33">
        <f>M213/$P$4+($I$22/$P$4)</f>
        <v/>
      </c>
      <c r="U213">
        <f>F212</f>
        <v/>
      </c>
      <c r="V213">
        <f>H212</f>
        <v/>
      </c>
      <c r="W213">
        <f>N212</f>
        <v/>
      </c>
    </row>
    <row r="214" ht="15.75" customHeight="1" s="40">
      <c r="C214" s="36">
        <f>_xlfn.IFS(E214&lt;E$24,0,E214&lt;E$26,C$24,E214&lt;E$28,C$26,E214&lt;E$30,C$28,E214&lt;E$32,C$30,E214&lt;E$34,C$32,E214&gt;=E$34,C$34)</f>
        <v/>
      </c>
      <c r="D214" s="37">
        <f>_xlfn.IFS(E214&lt;E$24,0,E214&lt;E$25,D$24,E214&lt;E$26,D$25,E214&lt;E$27,D$26,E214&lt;E$28,D$27,E214&lt;E$29,D$28,E214&lt;E$30,D$29,E214&lt;E$31,D$30,E214&lt;E$32,D$31,E214&lt;E$33,D$32,E214&lt;E$34,D$33,E214&lt;E$35,D$34,E214&gt;=E$35,D$35)</f>
        <v/>
      </c>
      <c r="E214" s="38" t="n">
        <v>164</v>
      </c>
      <c r="F214" s="31">
        <f>E214/52</f>
        <v/>
      </c>
      <c r="G214" s="39">
        <f>D214/1000000*52</f>
        <v/>
      </c>
      <c r="H214" s="33">
        <f>G214/$P$4+($C$22/$P$4)</f>
        <v/>
      </c>
      <c r="I214" s="36">
        <f>_xlfn.IFS(K214&lt;K$24,0,K214&lt;K$26,I$24,K214&lt;K$28,I$26,K214&lt;K$30,I$28,K214&lt;K$32,I$30,K214&lt;K$34,I$32,K214&lt;K$36,I$34,K214&lt;K$38,I$36,K214&lt;K$40,I$38,K214&lt;K$42,I$40,K214&lt;K$44,I$42,K214&lt;K$46,I$44,K214&gt;=K$46,I$46)</f>
        <v/>
      </c>
      <c r="J214" s="37">
        <f>_xlfn.IFS(K214&lt;K$24,0,K214&lt;K$25,J$24,K214&lt;K$26,J$25,K214&lt;K$27,J$26,K214&lt;K$28,J$27,K214&lt;K$29,J$28,K214&lt;K$30,J$29,K214&lt;K$31,J$30,K214&lt;K$32,J$31,K214&lt;K$33,J$32,K214&lt;K$34,J$33,K214&lt;K$35,J$34,K214&lt;K$36,J$35,K214&lt;K$37,J$36,K214&lt;K$38,J$37,K214&lt;K$39,J$38,K214&lt;K$40,J$39,K214&lt;K$41,J$40,K214&lt;K$42,J$41,K214&lt;K$43,J$42,K214&lt;K$44,J$43,K214&lt;K$45,J$44,K214&lt;K$46,J$45,K214&lt;K$47,J$46,K214&gt;=K$47,J$47)</f>
        <v/>
      </c>
      <c r="K214" s="38" t="n">
        <v>164</v>
      </c>
      <c r="L214" s="31">
        <f>K214/52</f>
        <v/>
      </c>
      <c r="M214" s="39">
        <f>J214/1000000*52</f>
        <v/>
      </c>
      <c r="N214" s="33">
        <f>M214/$P$4+($I$22/$P$4)</f>
        <v/>
      </c>
      <c r="U214">
        <f>F213</f>
        <v/>
      </c>
      <c r="V214">
        <f>H213</f>
        <v/>
      </c>
      <c r="W214">
        <f>N213</f>
        <v/>
      </c>
    </row>
    <row r="215" ht="15.75" customHeight="1" s="40">
      <c r="C215" s="36">
        <f>_xlfn.IFS(E215&lt;E$24,0,E215&lt;E$26,C$24,E215&lt;E$28,C$26,E215&lt;E$30,C$28,E215&lt;E$32,C$30,E215&lt;E$34,C$32,E215&gt;=E$34,C$34)</f>
        <v/>
      </c>
      <c r="D215" s="37">
        <f>_xlfn.IFS(E215&lt;E$24,0,E215&lt;E$25,D$24,E215&lt;E$26,D$25,E215&lt;E$27,D$26,E215&lt;E$28,D$27,E215&lt;E$29,D$28,E215&lt;E$30,D$29,E215&lt;E$31,D$30,E215&lt;E$32,D$31,E215&lt;E$33,D$32,E215&lt;E$34,D$33,E215&lt;E$35,D$34,E215&gt;=E$35,D$35)</f>
        <v/>
      </c>
      <c r="E215" s="38" t="n">
        <v>165</v>
      </c>
      <c r="F215" s="31">
        <f>E215/52</f>
        <v/>
      </c>
      <c r="G215" s="39">
        <f>D215/1000000*52</f>
        <v/>
      </c>
      <c r="H215" s="33">
        <f>G215/$P$4+($C$22/$P$4)</f>
        <v/>
      </c>
      <c r="I215" s="36">
        <f>_xlfn.IFS(K215&lt;K$24,0,K215&lt;K$26,I$24,K215&lt;K$28,I$26,K215&lt;K$30,I$28,K215&lt;K$32,I$30,K215&lt;K$34,I$32,K215&lt;K$36,I$34,K215&lt;K$38,I$36,K215&lt;K$40,I$38,K215&lt;K$42,I$40,K215&lt;K$44,I$42,K215&lt;K$46,I$44,K215&gt;=K$46,I$46)</f>
        <v/>
      </c>
      <c r="J215" s="37">
        <f>_xlfn.IFS(K215&lt;K$24,0,K215&lt;K$25,J$24,K215&lt;K$26,J$25,K215&lt;K$27,J$26,K215&lt;K$28,J$27,K215&lt;K$29,J$28,K215&lt;K$30,J$29,K215&lt;K$31,J$30,K215&lt;K$32,J$31,K215&lt;K$33,J$32,K215&lt;K$34,J$33,K215&lt;K$35,J$34,K215&lt;K$36,J$35,K215&lt;K$37,J$36,K215&lt;K$38,J$37,K215&lt;K$39,J$38,K215&lt;K$40,J$39,K215&lt;K$41,J$40,K215&lt;K$42,J$41,K215&lt;K$43,J$42,K215&lt;K$44,J$43,K215&lt;K$45,J$44,K215&lt;K$46,J$45,K215&lt;K$47,J$46,K215&gt;=K$47,J$47)</f>
        <v/>
      </c>
      <c r="K215" s="38" t="n">
        <v>165</v>
      </c>
      <c r="L215" s="31">
        <f>K215/52</f>
        <v/>
      </c>
      <c r="M215" s="39">
        <f>J215/1000000*52</f>
        <v/>
      </c>
      <c r="N215" s="33">
        <f>M215/$P$4+($I$22/$P$4)</f>
        <v/>
      </c>
      <c r="U215">
        <f>F214</f>
        <v/>
      </c>
      <c r="V215">
        <f>H214</f>
        <v/>
      </c>
      <c r="W215">
        <f>N214</f>
        <v/>
      </c>
    </row>
    <row r="216" ht="15.75" customHeight="1" s="40">
      <c r="C216" s="36">
        <f>_xlfn.IFS(E216&lt;E$24,0,E216&lt;E$26,C$24,E216&lt;E$28,C$26,E216&lt;E$30,C$28,E216&lt;E$32,C$30,E216&lt;E$34,C$32,E216&gt;=E$34,C$34)</f>
        <v/>
      </c>
      <c r="D216" s="37">
        <f>_xlfn.IFS(E216&lt;E$24,0,E216&lt;E$25,D$24,E216&lt;E$26,D$25,E216&lt;E$27,D$26,E216&lt;E$28,D$27,E216&lt;E$29,D$28,E216&lt;E$30,D$29,E216&lt;E$31,D$30,E216&lt;E$32,D$31,E216&lt;E$33,D$32,E216&lt;E$34,D$33,E216&lt;E$35,D$34,E216&gt;=E$35,D$35)</f>
        <v/>
      </c>
      <c r="E216" s="38" t="n">
        <v>166</v>
      </c>
      <c r="F216" s="31">
        <f>E216/52</f>
        <v/>
      </c>
      <c r="G216" s="39">
        <f>D216/1000000*52</f>
        <v/>
      </c>
      <c r="H216" s="33">
        <f>G216/$P$4+($C$22/$P$4)</f>
        <v/>
      </c>
      <c r="I216" s="36">
        <f>_xlfn.IFS(K216&lt;K$24,0,K216&lt;K$26,I$24,K216&lt;K$28,I$26,K216&lt;K$30,I$28,K216&lt;K$32,I$30,K216&lt;K$34,I$32,K216&lt;K$36,I$34,K216&lt;K$38,I$36,K216&lt;K$40,I$38,K216&lt;K$42,I$40,K216&lt;K$44,I$42,K216&lt;K$46,I$44,K216&gt;=K$46,I$46)</f>
        <v/>
      </c>
      <c r="J216" s="37">
        <f>_xlfn.IFS(K216&lt;K$24,0,K216&lt;K$25,J$24,K216&lt;K$26,J$25,K216&lt;K$27,J$26,K216&lt;K$28,J$27,K216&lt;K$29,J$28,K216&lt;K$30,J$29,K216&lt;K$31,J$30,K216&lt;K$32,J$31,K216&lt;K$33,J$32,K216&lt;K$34,J$33,K216&lt;K$35,J$34,K216&lt;K$36,J$35,K216&lt;K$37,J$36,K216&lt;K$38,J$37,K216&lt;K$39,J$38,K216&lt;K$40,J$39,K216&lt;K$41,J$40,K216&lt;K$42,J$41,K216&lt;K$43,J$42,K216&lt;K$44,J$43,K216&lt;K$45,J$44,K216&lt;K$46,J$45,K216&lt;K$47,J$46,K216&gt;=K$47,J$47)</f>
        <v/>
      </c>
      <c r="K216" s="38" t="n">
        <v>166</v>
      </c>
      <c r="L216" s="31">
        <f>K216/52</f>
        <v/>
      </c>
      <c r="M216" s="39">
        <f>J216/1000000*52</f>
        <v/>
      </c>
      <c r="N216" s="33">
        <f>M216/$P$4+($I$22/$P$4)</f>
        <v/>
      </c>
      <c r="U216">
        <f>F215</f>
        <v/>
      </c>
      <c r="V216">
        <f>H215</f>
        <v/>
      </c>
      <c r="W216">
        <f>N215</f>
        <v/>
      </c>
    </row>
    <row r="217" ht="15.75" customHeight="1" s="40">
      <c r="C217" s="36">
        <f>_xlfn.IFS(E217&lt;E$24,0,E217&lt;E$26,C$24,E217&lt;E$28,C$26,E217&lt;E$30,C$28,E217&lt;E$32,C$30,E217&lt;E$34,C$32,E217&gt;=E$34,C$34)</f>
        <v/>
      </c>
      <c r="D217" s="37">
        <f>_xlfn.IFS(E217&lt;E$24,0,E217&lt;E$25,D$24,E217&lt;E$26,D$25,E217&lt;E$27,D$26,E217&lt;E$28,D$27,E217&lt;E$29,D$28,E217&lt;E$30,D$29,E217&lt;E$31,D$30,E217&lt;E$32,D$31,E217&lt;E$33,D$32,E217&lt;E$34,D$33,E217&lt;E$35,D$34,E217&gt;=E$35,D$35)</f>
        <v/>
      </c>
      <c r="E217" s="38" t="n">
        <v>167</v>
      </c>
      <c r="F217" s="31">
        <f>E217/52</f>
        <v/>
      </c>
      <c r="G217" s="39">
        <f>D217/1000000*52</f>
        <v/>
      </c>
      <c r="H217" s="33">
        <f>G217/$P$4+($C$22/$P$4)</f>
        <v/>
      </c>
      <c r="I217" s="36">
        <f>_xlfn.IFS(K217&lt;K$24,0,K217&lt;K$26,I$24,K217&lt;K$28,I$26,K217&lt;K$30,I$28,K217&lt;K$32,I$30,K217&lt;K$34,I$32,K217&lt;K$36,I$34,K217&lt;K$38,I$36,K217&lt;K$40,I$38,K217&lt;K$42,I$40,K217&lt;K$44,I$42,K217&lt;K$46,I$44,K217&gt;=K$46,I$46)</f>
        <v/>
      </c>
      <c r="J217" s="37">
        <f>_xlfn.IFS(K217&lt;K$24,0,K217&lt;K$25,J$24,K217&lt;K$26,J$25,K217&lt;K$27,J$26,K217&lt;K$28,J$27,K217&lt;K$29,J$28,K217&lt;K$30,J$29,K217&lt;K$31,J$30,K217&lt;K$32,J$31,K217&lt;K$33,J$32,K217&lt;K$34,J$33,K217&lt;K$35,J$34,K217&lt;K$36,J$35,K217&lt;K$37,J$36,K217&lt;K$38,J$37,K217&lt;K$39,J$38,K217&lt;K$40,J$39,K217&lt;K$41,J$40,K217&lt;K$42,J$41,K217&lt;K$43,J$42,K217&lt;K$44,J$43,K217&lt;K$45,J$44,K217&lt;K$46,J$45,K217&lt;K$47,J$46,K217&gt;=K$47,J$47)</f>
        <v/>
      </c>
      <c r="K217" s="38" t="n">
        <v>167</v>
      </c>
      <c r="L217" s="31">
        <f>K217/52</f>
        <v/>
      </c>
      <c r="M217" s="39">
        <f>J217/1000000*52</f>
        <v/>
      </c>
      <c r="N217" s="33">
        <f>M217/$P$4+($I$22/$P$4)</f>
        <v/>
      </c>
      <c r="U217">
        <f>F216</f>
        <v/>
      </c>
      <c r="V217">
        <f>H216</f>
        <v/>
      </c>
      <c r="W217">
        <f>N216</f>
        <v/>
      </c>
    </row>
    <row r="218" ht="15.75" customHeight="1" s="40">
      <c r="C218" s="36">
        <f>_xlfn.IFS(E218&lt;E$24,0,E218&lt;E$26,C$24,E218&lt;E$28,C$26,E218&lt;E$30,C$28,E218&lt;E$32,C$30,E218&lt;E$34,C$32,E218&gt;=E$34,C$34)</f>
        <v/>
      </c>
      <c r="D218" s="37">
        <f>_xlfn.IFS(E218&lt;E$24,0,E218&lt;E$25,D$24,E218&lt;E$26,D$25,E218&lt;E$27,D$26,E218&lt;E$28,D$27,E218&lt;E$29,D$28,E218&lt;E$30,D$29,E218&lt;E$31,D$30,E218&lt;E$32,D$31,E218&lt;E$33,D$32,E218&lt;E$34,D$33,E218&lt;E$35,D$34,E218&gt;=E$35,D$35)</f>
        <v/>
      </c>
      <c r="E218" s="38" t="n">
        <v>168</v>
      </c>
      <c r="F218" s="31">
        <f>E218/52</f>
        <v/>
      </c>
      <c r="G218" s="39">
        <f>D218/1000000*52</f>
        <v/>
      </c>
      <c r="H218" s="33">
        <f>G218/$P$4+($C$22/$P$4)</f>
        <v/>
      </c>
      <c r="I218" s="36">
        <f>_xlfn.IFS(K218&lt;K$24,0,K218&lt;K$26,I$24,K218&lt;K$28,I$26,K218&lt;K$30,I$28,K218&lt;K$32,I$30,K218&lt;K$34,I$32,K218&lt;K$36,I$34,K218&lt;K$38,I$36,K218&lt;K$40,I$38,K218&lt;K$42,I$40,K218&lt;K$44,I$42,K218&lt;K$46,I$44,K218&gt;=K$46,I$46)</f>
        <v/>
      </c>
      <c r="J218" s="37">
        <f>_xlfn.IFS(K218&lt;K$24,0,K218&lt;K$25,J$24,K218&lt;K$26,J$25,K218&lt;K$27,J$26,K218&lt;K$28,J$27,K218&lt;K$29,J$28,K218&lt;K$30,J$29,K218&lt;K$31,J$30,K218&lt;K$32,J$31,K218&lt;K$33,J$32,K218&lt;K$34,J$33,K218&lt;K$35,J$34,K218&lt;K$36,J$35,K218&lt;K$37,J$36,K218&lt;K$38,J$37,K218&lt;K$39,J$38,K218&lt;K$40,J$39,K218&lt;K$41,J$40,K218&lt;K$42,J$41,K218&lt;K$43,J$42,K218&lt;K$44,J$43,K218&lt;K$45,J$44,K218&lt;K$46,J$45,K218&lt;K$47,J$46,K218&gt;=K$47,J$47)</f>
        <v/>
      </c>
      <c r="K218" s="38" t="n">
        <v>168</v>
      </c>
      <c r="L218" s="31">
        <f>K218/52</f>
        <v/>
      </c>
      <c r="M218" s="39">
        <f>J218/1000000*52</f>
        <v/>
      </c>
      <c r="N218" s="33">
        <f>M218/$P$4+($I$22/$P$4)</f>
        <v/>
      </c>
      <c r="U218">
        <f>F217</f>
        <v/>
      </c>
      <c r="V218">
        <f>H217</f>
        <v/>
      </c>
      <c r="W218">
        <f>N217</f>
        <v/>
      </c>
    </row>
    <row r="219" ht="15.75" customHeight="1" s="40">
      <c r="C219" s="36">
        <f>_xlfn.IFS(E219&lt;E$24,0,E219&lt;E$26,C$24,E219&lt;E$28,C$26,E219&lt;E$30,C$28,E219&lt;E$32,C$30,E219&lt;E$34,C$32,E219&gt;=E$34,C$34)</f>
        <v/>
      </c>
      <c r="D219" s="37">
        <f>_xlfn.IFS(E219&lt;E$24,0,E219&lt;E$25,D$24,E219&lt;E$26,D$25,E219&lt;E$27,D$26,E219&lt;E$28,D$27,E219&lt;E$29,D$28,E219&lt;E$30,D$29,E219&lt;E$31,D$30,E219&lt;E$32,D$31,E219&lt;E$33,D$32,E219&lt;E$34,D$33,E219&lt;E$35,D$34,E219&gt;=E$35,D$35)</f>
        <v/>
      </c>
      <c r="E219" s="38" t="n">
        <v>169</v>
      </c>
      <c r="F219" s="31">
        <f>E219/52</f>
        <v/>
      </c>
      <c r="G219" s="39">
        <f>D219/1000000*52</f>
        <v/>
      </c>
      <c r="H219" s="33">
        <f>G219/$P$4+($C$22/$P$4)</f>
        <v/>
      </c>
      <c r="I219" s="36">
        <f>_xlfn.IFS(K219&lt;K$24,0,K219&lt;K$26,I$24,K219&lt;K$28,I$26,K219&lt;K$30,I$28,K219&lt;K$32,I$30,K219&lt;K$34,I$32,K219&lt;K$36,I$34,K219&lt;K$38,I$36,K219&lt;K$40,I$38,K219&lt;K$42,I$40,K219&lt;K$44,I$42,K219&lt;K$46,I$44,K219&gt;=K$46,I$46)</f>
        <v/>
      </c>
      <c r="J219" s="37">
        <f>_xlfn.IFS(K219&lt;K$24,0,K219&lt;K$25,J$24,K219&lt;K$26,J$25,K219&lt;K$27,J$26,K219&lt;K$28,J$27,K219&lt;K$29,J$28,K219&lt;K$30,J$29,K219&lt;K$31,J$30,K219&lt;K$32,J$31,K219&lt;K$33,J$32,K219&lt;K$34,J$33,K219&lt;K$35,J$34,K219&lt;K$36,J$35,K219&lt;K$37,J$36,K219&lt;K$38,J$37,K219&lt;K$39,J$38,K219&lt;K$40,J$39,K219&lt;K$41,J$40,K219&lt;K$42,J$41,K219&lt;K$43,J$42,K219&lt;K$44,J$43,K219&lt;K$45,J$44,K219&lt;K$46,J$45,K219&lt;K$47,J$46,K219&gt;=K$47,J$47)</f>
        <v/>
      </c>
      <c r="K219" s="38" t="n">
        <v>169</v>
      </c>
      <c r="L219" s="31">
        <f>K219/52</f>
        <v/>
      </c>
      <c r="M219" s="39">
        <f>J219/1000000*52</f>
        <v/>
      </c>
      <c r="N219" s="33">
        <f>M219/$P$4+($I$22/$P$4)</f>
        <v/>
      </c>
      <c r="U219">
        <f>F218</f>
        <v/>
      </c>
      <c r="V219">
        <f>H218</f>
        <v/>
      </c>
      <c r="W219">
        <f>N218</f>
        <v/>
      </c>
    </row>
    <row r="220" ht="15.75" customHeight="1" s="40">
      <c r="C220" s="36">
        <f>_xlfn.IFS(E220&lt;E$24,0,E220&lt;E$26,C$24,E220&lt;E$28,C$26,E220&lt;E$30,C$28,E220&lt;E$32,C$30,E220&lt;E$34,C$32,E220&gt;=E$34,C$34)</f>
        <v/>
      </c>
      <c r="D220" s="37">
        <f>_xlfn.IFS(E220&lt;E$24,0,E220&lt;E$25,D$24,E220&lt;E$26,D$25,E220&lt;E$27,D$26,E220&lt;E$28,D$27,E220&lt;E$29,D$28,E220&lt;E$30,D$29,E220&lt;E$31,D$30,E220&lt;E$32,D$31,E220&lt;E$33,D$32,E220&lt;E$34,D$33,E220&lt;E$35,D$34,E220&gt;=E$35,D$35)</f>
        <v/>
      </c>
      <c r="E220" s="38" t="n">
        <v>170</v>
      </c>
      <c r="F220" s="31">
        <f>E220/52</f>
        <v/>
      </c>
      <c r="G220" s="39">
        <f>D220/1000000*52</f>
        <v/>
      </c>
      <c r="H220" s="33">
        <f>G220/$P$4+($C$22/$P$4)</f>
        <v/>
      </c>
      <c r="I220" s="36">
        <f>_xlfn.IFS(K220&lt;K$24,0,K220&lt;K$26,I$24,K220&lt;K$28,I$26,K220&lt;K$30,I$28,K220&lt;K$32,I$30,K220&lt;K$34,I$32,K220&lt;K$36,I$34,K220&lt;K$38,I$36,K220&lt;K$40,I$38,K220&lt;K$42,I$40,K220&lt;K$44,I$42,K220&lt;K$46,I$44,K220&gt;=K$46,I$46)</f>
        <v/>
      </c>
      <c r="J220" s="37">
        <f>_xlfn.IFS(K220&lt;K$24,0,K220&lt;K$25,J$24,K220&lt;K$26,J$25,K220&lt;K$27,J$26,K220&lt;K$28,J$27,K220&lt;K$29,J$28,K220&lt;K$30,J$29,K220&lt;K$31,J$30,K220&lt;K$32,J$31,K220&lt;K$33,J$32,K220&lt;K$34,J$33,K220&lt;K$35,J$34,K220&lt;K$36,J$35,K220&lt;K$37,J$36,K220&lt;K$38,J$37,K220&lt;K$39,J$38,K220&lt;K$40,J$39,K220&lt;K$41,J$40,K220&lt;K$42,J$41,K220&lt;K$43,J$42,K220&lt;K$44,J$43,K220&lt;K$45,J$44,K220&lt;K$46,J$45,K220&lt;K$47,J$46,K220&gt;=K$47,J$47)</f>
        <v/>
      </c>
      <c r="K220" s="38" t="n">
        <v>170</v>
      </c>
      <c r="L220" s="31">
        <f>K220/52</f>
        <v/>
      </c>
      <c r="M220" s="39">
        <f>J220/1000000*52</f>
        <v/>
      </c>
      <c r="N220" s="33">
        <f>M220/$P$4+($I$22/$P$4)</f>
        <v/>
      </c>
      <c r="U220">
        <f>F219</f>
        <v/>
      </c>
      <c r="V220">
        <f>H219</f>
        <v/>
      </c>
      <c r="W220">
        <f>N219</f>
        <v/>
      </c>
    </row>
    <row r="221" ht="15.75" customHeight="1" s="40">
      <c r="C221" s="36">
        <f>_xlfn.IFS(E221&lt;E$24,0,E221&lt;E$26,C$24,E221&lt;E$28,C$26,E221&lt;E$30,C$28,E221&lt;E$32,C$30,E221&lt;E$34,C$32,E221&gt;=E$34,C$34)</f>
        <v/>
      </c>
      <c r="D221" s="37">
        <f>_xlfn.IFS(E221&lt;E$24,0,E221&lt;E$25,D$24,E221&lt;E$26,D$25,E221&lt;E$27,D$26,E221&lt;E$28,D$27,E221&lt;E$29,D$28,E221&lt;E$30,D$29,E221&lt;E$31,D$30,E221&lt;E$32,D$31,E221&lt;E$33,D$32,E221&lt;E$34,D$33,E221&lt;E$35,D$34,E221&gt;=E$35,D$35)</f>
        <v/>
      </c>
      <c r="E221" s="38" t="n">
        <v>171</v>
      </c>
      <c r="F221" s="31">
        <f>E221/52</f>
        <v/>
      </c>
      <c r="G221" s="39">
        <f>D221/1000000*52</f>
        <v/>
      </c>
      <c r="H221" s="33">
        <f>G221/$P$4+($C$22/$P$4)</f>
        <v/>
      </c>
      <c r="I221" s="36">
        <f>_xlfn.IFS(K221&lt;K$24,0,K221&lt;K$26,I$24,K221&lt;K$28,I$26,K221&lt;K$30,I$28,K221&lt;K$32,I$30,K221&lt;K$34,I$32,K221&lt;K$36,I$34,K221&lt;K$38,I$36,K221&lt;K$40,I$38,K221&lt;K$42,I$40,K221&lt;K$44,I$42,K221&lt;K$46,I$44,K221&gt;=K$46,I$46)</f>
        <v/>
      </c>
      <c r="J221" s="37">
        <f>_xlfn.IFS(K221&lt;K$24,0,K221&lt;K$25,J$24,K221&lt;K$26,J$25,K221&lt;K$27,J$26,K221&lt;K$28,J$27,K221&lt;K$29,J$28,K221&lt;K$30,J$29,K221&lt;K$31,J$30,K221&lt;K$32,J$31,K221&lt;K$33,J$32,K221&lt;K$34,J$33,K221&lt;K$35,J$34,K221&lt;K$36,J$35,K221&lt;K$37,J$36,K221&lt;K$38,J$37,K221&lt;K$39,J$38,K221&lt;K$40,J$39,K221&lt;K$41,J$40,K221&lt;K$42,J$41,K221&lt;K$43,J$42,K221&lt;K$44,J$43,K221&lt;K$45,J$44,K221&lt;K$46,J$45,K221&lt;K$47,J$46,K221&gt;=K$47,J$47)</f>
        <v/>
      </c>
      <c r="K221" s="38" t="n">
        <v>171</v>
      </c>
      <c r="L221" s="31">
        <f>K221/52</f>
        <v/>
      </c>
      <c r="M221" s="39">
        <f>J221/1000000*52</f>
        <v/>
      </c>
      <c r="N221" s="33">
        <f>M221/$P$4+($I$22/$P$4)</f>
        <v/>
      </c>
      <c r="U221">
        <f>F220</f>
        <v/>
      </c>
      <c r="V221">
        <f>H220</f>
        <v/>
      </c>
      <c r="W221">
        <f>N220</f>
        <v/>
      </c>
    </row>
    <row r="222" ht="15.75" customHeight="1" s="40">
      <c r="C222" s="36">
        <f>_xlfn.IFS(E222&lt;E$24,0,E222&lt;E$26,C$24,E222&lt;E$28,C$26,E222&lt;E$30,C$28,E222&lt;E$32,C$30,E222&lt;E$34,C$32,E222&gt;=E$34,C$34)</f>
        <v/>
      </c>
      <c r="D222" s="37">
        <f>_xlfn.IFS(E222&lt;E$24,0,E222&lt;E$25,D$24,E222&lt;E$26,D$25,E222&lt;E$27,D$26,E222&lt;E$28,D$27,E222&lt;E$29,D$28,E222&lt;E$30,D$29,E222&lt;E$31,D$30,E222&lt;E$32,D$31,E222&lt;E$33,D$32,E222&lt;E$34,D$33,E222&lt;E$35,D$34,E222&gt;=E$35,D$35)</f>
        <v/>
      </c>
      <c r="E222" s="38" t="n">
        <v>172</v>
      </c>
      <c r="F222" s="31">
        <f>E222/52</f>
        <v/>
      </c>
      <c r="G222" s="39">
        <f>D222/1000000*52</f>
        <v/>
      </c>
      <c r="H222" s="33">
        <f>G222/$P$4+($C$22/$P$4)</f>
        <v/>
      </c>
      <c r="I222" s="36">
        <f>_xlfn.IFS(K222&lt;K$24,0,K222&lt;K$26,I$24,K222&lt;K$28,I$26,K222&lt;K$30,I$28,K222&lt;K$32,I$30,K222&lt;K$34,I$32,K222&lt;K$36,I$34,K222&lt;K$38,I$36,K222&lt;K$40,I$38,K222&lt;K$42,I$40,K222&lt;K$44,I$42,K222&lt;K$46,I$44,K222&gt;=K$46,I$46)</f>
        <v/>
      </c>
      <c r="J222" s="37">
        <f>_xlfn.IFS(K222&lt;K$24,0,K222&lt;K$25,J$24,K222&lt;K$26,J$25,K222&lt;K$27,J$26,K222&lt;K$28,J$27,K222&lt;K$29,J$28,K222&lt;K$30,J$29,K222&lt;K$31,J$30,K222&lt;K$32,J$31,K222&lt;K$33,J$32,K222&lt;K$34,J$33,K222&lt;K$35,J$34,K222&lt;K$36,J$35,K222&lt;K$37,J$36,K222&lt;K$38,J$37,K222&lt;K$39,J$38,K222&lt;K$40,J$39,K222&lt;K$41,J$40,K222&lt;K$42,J$41,K222&lt;K$43,J$42,K222&lt;K$44,J$43,K222&lt;K$45,J$44,K222&lt;K$46,J$45,K222&lt;K$47,J$46,K222&gt;=K$47,J$47)</f>
        <v/>
      </c>
      <c r="K222" s="38" t="n">
        <v>172</v>
      </c>
      <c r="L222" s="31">
        <f>K222/52</f>
        <v/>
      </c>
      <c r="M222" s="39">
        <f>J222/1000000*52</f>
        <v/>
      </c>
      <c r="N222" s="33">
        <f>M222/$P$4+($I$22/$P$4)</f>
        <v/>
      </c>
      <c r="U222">
        <f>F221</f>
        <v/>
      </c>
      <c r="V222">
        <f>H221</f>
        <v/>
      </c>
      <c r="W222">
        <f>N221</f>
        <v/>
      </c>
    </row>
    <row r="223" ht="15.75" customHeight="1" s="40">
      <c r="C223" s="36">
        <f>_xlfn.IFS(E223&lt;E$24,0,E223&lt;E$26,C$24,E223&lt;E$28,C$26,E223&lt;E$30,C$28,E223&lt;E$32,C$30,E223&lt;E$34,C$32,E223&gt;=E$34,C$34)</f>
        <v/>
      </c>
      <c r="D223" s="37">
        <f>_xlfn.IFS(E223&lt;E$24,0,E223&lt;E$25,D$24,E223&lt;E$26,D$25,E223&lt;E$27,D$26,E223&lt;E$28,D$27,E223&lt;E$29,D$28,E223&lt;E$30,D$29,E223&lt;E$31,D$30,E223&lt;E$32,D$31,E223&lt;E$33,D$32,E223&lt;E$34,D$33,E223&lt;E$35,D$34,E223&gt;=E$35,D$35)</f>
        <v/>
      </c>
      <c r="E223" s="38" t="n">
        <v>173</v>
      </c>
      <c r="F223" s="31">
        <f>E223/52</f>
        <v/>
      </c>
      <c r="G223" s="39">
        <f>D223/1000000*52</f>
        <v/>
      </c>
      <c r="H223" s="33">
        <f>G223/$P$4+($C$22/$P$4)</f>
        <v/>
      </c>
      <c r="I223" s="36">
        <f>_xlfn.IFS(K223&lt;K$24,0,K223&lt;K$26,I$24,K223&lt;K$28,I$26,K223&lt;K$30,I$28,K223&lt;K$32,I$30,K223&lt;K$34,I$32,K223&lt;K$36,I$34,K223&lt;K$38,I$36,K223&lt;K$40,I$38,K223&lt;K$42,I$40,K223&lt;K$44,I$42,K223&lt;K$46,I$44,K223&gt;=K$46,I$46)</f>
        <v/>
      </c>
      <c r="J223" s="37">
        <f>_xlfn.IFS(K223&lt;K$24,0,K223&lt;K$25,J$24,K223&lt;K$26,J$25,K223&lt;K$27,J$26,K223&lt;K$28,J$27,K223&lt;K$29,J$28,K223&lt;K$30,J$29,K223&lt;K$31,J$30,K223&lt;K$32,J$31,K223&lt;K$33,J$32,K223&lt;K$34,J$33,K223&lt;K$35,J$34,K223&lt;K$36,J$35,K223&lt;K$37,J$36,K223&lt;K$38,J$37,K223&lt;K$39,J$38,K223&lt;K$40,J$39,K223&lt;K$41,J$40,K223&lt;K$42,J$41,K223&lt;K$43,J$42,K223&lt;K$44,J$43,K223&lt;K$45,J$44,K223&lt;K$46,J$45,K223&lt;K$47,J$46,K223&gt;=K$47,J$47)</f>
        <v/>
      </c>
      <c r="K223" s="38" t="n">
        <v>173</v>
      </c>
      <c r="L223" s="31">
        <f>K223/52</f>
        <v/>
      </c>
      <c r="M223" s="39">
        <f>J223/1000000*52</f>
        <v/>
      </c>
      <c r="N223" s="33">
        <f>M223/$P$4+($I$22/$P$4)</f>
        <v/>
      </c>
      <c r="U223">
        <f>F222</f>
        <v/>
      </c>
      <c r="V223">
        <f>H222</f>
        <v/>
      </c>
      <c r="W223">
        <f>N222</f>
        <v/>
      </c>
    </row>
    <row r="224" ht="15.75" customHeight="1" s="40">
      <c r="C224" s="36">
        <f>_xlfn.IFS(E224&lt;E$24,0,E224&lt;E$26,C$24,E224&lt;E$28,C$26,E224&lt;E$30,C$28,E224&lt;E$32,C$30,E224&lt;E$34,C$32,E224&gt;=E$34,C$34)</f>
        <v/>
      </c>
      <c r="D224" s="37">
        <f>_xlfn.IFS(E224&lt;E$24,0,E224&lt;E$25,D$24,E224&lt;E$26,D$25,E224&lt;E$27,D$26,E224&lt;E$28,D$27,E224&lt;E$29,D$28,E224&lt;E$30,D$29,E224&lt;E$31,D$30,E224&lt;E$32,D$31,E224&lt;E$33,D$32,E224&lt;E$34,D$33,E224&lt;E$35,D$34,E224&gt;=E$35,D$35)</f>
        <v/>
      </c>
      <c r="E224" s="38" t="n">
        <v>174</v>
      </c>
      <c r="F224" s="31">
        <f>E224/52</f>
        <v/>
      </c>
      <c r="G224" s="39">
        <f>D224/1000000*52</f>
        <v/>
      </c>
      <c r="H224" s="33">
        <f>G224/$P$4+($C$22/$P$4)</f>
        <v/>
      </c>
      <c r="I224" s="36">
        <f>_xlfn.IFS(K224&lt;K$24,0,K224&lt;K$26,I$24,K224&lt;K$28,I$26,K224&lt;K$30,I$28,K224&lt;K$32,I$30,K224&lt;K$34,I$32,K224&lt;K$36,I$34,K224&lt;K$38,I$36,K224&lt;K$40,I$38,K224&lt;K$42,I$40,K224&lt;K$44,I$42,K224&lt;K$46,I$44,K224&gt;=K$46,I$46)</f>
        <v/>
      </c>
      <c r="J224" s="37">
        <f>_xlfn.IFS(K224&lt;K$24,0,K224&lt;K$25,J$24,K224&lt;K$26,J$25,K224&lt;K$27,J$26,K224&lt;K$28,J$27,K224&lt;K$29,J$28,K224&lt;K$30,J$29,K224&lt;K$31,J$30,K224&lt;K$32,J$31,K224&lt;K$33,J$32,K224&lt;K$34,J$33,K224&lt;K$35,J$34,K224&lt;K$36,J$35,K224&lt;K$37,J$36,K224&lt;K$38,J$37,K224&lt;K$39,J$38,K224&lt;K$40,J$39,K224&lt;K$41,J$40,K224&lt;K$42,J$41,K224&lt;K$43,J$42,K224&lt;K$44,J$43,K224&lt;K$45,J$44,K224&lt;K$46,J$45,K224&lt;K$47,J$46,K224&gt;=K$47,J$47)</f>
        <v/>
      </c>
      <c r="K224" s="38" t="n">
        <v>174</v>
      </c>
      <c r="L224" s="31">
        <f>K224/52</f>
        <v/>
      </c>
      <c r="M224" s="39">
        <f>J224/1000000*52</f>
        <v/>
      </c>
      <c r="N224" s="33">
        <f>M224/$P$4+($I$22/$P$4)</f>
        <v/>
      </c>
      <c r="U224">
        <f>F223</f>
        <v/>
      </c>
      <c r="V224">
        <f>H223</f>
        <v/>
      </c>
      <c r="W224">
        <f>N223</f>
        <v/>
      </c>
    </row>
    <row r="225" ht="15.75" customHeight="1" s="40">
      <c r="C225" s="36">
        <f>_xlfn.IFS(E225&lt;E$24,0,E225&lt;E$26,C$24,E225&lt;E$28,C$26,E225&lt;E$30,C$28,E225&lt;E$32,C$30,E225&lt;E$34,C$32,E225&gt;=E$34,C$34)</f>
        <v/>
      </c>
      <c r="D225" s="37">
        <f>_xlfn.IFS(E225&lt;E$24,0,E225&lt;E$25,D$24,E225&lt;E$26,D$25,E225&lt;E$27,D$26,E225&lt;E$28,D$27,E225&lt;E$29,D$28,E225&lt;E$30,D$29,E225&lt;E$31,D$30,E225&lt;E$32,D$31,E225&lt;E$33,D$32,E225&lt;E$34,D$33,E225&lt;E$35,D$34,E225&gt;=E$35,D$35)</f>
        <v/>
      </c>
      <c r="E225" s="38" t="n">
        <v>175</v>
      </c>
      <c r="F225" s="31">
        <f>E225/52</f>
        <v/>
      </c>
      <c r="G225" s="39">
        <f>D225/1000000*52</f>
        <v/>
      </c>
      <c r="H225" s="33">
        <f>G225/$P$4+($C$22/$P$4)</f>
        <v/>
      </c>
      <c r="I225" s="36">
        <f>_xlfn.IFS(K225&lt;K$24,0,K225&lt;K$26,I$24,K225&lt;K$28,I$26,K225&lt;K$30,I$28,K225&lt;K$32,I$30,K225&lt;K$34,I$32,K225&lt;K$36,I$34,K225&lt;K$38,I$36,K225&lt;K$40,I$38,K225&lt;K$42,I$40,K225&lt;K$44,I$42,K225&lt;K$46,I$44,K225&gt;=K$46,I$46)</f>
        <v/>
      </c>
      <c r="J225" s="37">
        <f>_xlfn.IFS(K225&lt;K$24,0,K225&lt;K$25,J$24,K225&lt;K$26,J$25,K225&lt;K$27,J$26,K225&lt;K$28,J$27,K225&lt;K$29,J$28,K225&lt;K$30,J$29,K225&lt;K$31,J$30,K225&lt;K$32,J$31,K225&lt;K$33,J$32,K225&lt;K$34,J$33,K225&lt;K$35,J$34,K225&lt;K$36,J$35,K225&lt;K$37,J$36,K225&lt;K$38,J$37,K225&lt;K$39,J$38,K225&lt;K$40,J$39,K225&lt;K$41,J$40,K225&lt;K$42,J$41,K225&lt;K$43,J$42,K225&lt;K$44,J$43,K225&lt;K$45,J$44,K225&lt;K$46,J$45,K225&lt;K$47,J$46,K225&gt;=K$47,J$47)</f>
        <v/>
      </c>
      <c r="K225" s="38" t="n">
        <v>175</v>
      </c>
      <c r="L225" s="31">
        <f>K225/52</f>
        <v/>
      </c>
      <c r="M225" s="39">
        <f>J225/1000000*52</f>
        <v/>
      </c>
      <c r="N225" s="33">
        <f>M225/$P$4+($I$22/$P$4)</f>
        <v/>
      </c>
      <c r="U225">
        <f>F224</f>
        <v/>
      </c>
      <c r="V225">
        <f>H224</f>
        <v/>
      </c>
      <c r="W225">
        <f>N224</f>
        <v/>
      </c>
    </row>
    <row r="226" ht="15.75" customHeight="1" s="40">
      <c r="C226" s="36">
        <f>_xlfn.IFS(E226&lt;E$24,0,E226&lt;E$26,C$24,E226&lt;E$28,C$26,E226&lt;E$30,C$28,E226&lt;E$32,C$30,E226&lt;E$34,C$32,E226&gt;=E$34,C$34)</f>
        <v/>
      </c>
      <c r="D226" s="37">
        <f>_xlfn.IFS(E226&lt;E$24,0,E226&lt;E$25,D$24,E226&lt;E$26,D$25,E226&lt;E$27,D$26,E226&lt;E$28,D$27,E226&lt;E$29,D$28,E226&lt;E$30,D$29,E226&lt;E$31,D$30,E226&lt;E$32,D$31,E226&lt;E$33,D$32,E226&lt;E$34,D$33,E226&lt;E$35,D$34,E226&gt;=E$35,D$35)</f>
        <v/>
      </c>
      <c r="E226" s="38" t="n">
        <v>176</v>
      </c>
      <c r="F226" s="31">
        <f>E226/52</f>
        <v/>
      </c>
      <c r="G226" s="39">
        <f>D226/1000000*52</f>
        <v/>
      </c>
      <c r="H226" s="33">
        <f>G226/$P$4+($C$22/$P$4)</f>
        <v/>
      </c>
      <c r="I226" s="36">
        <f>_xlfn.IFS(K226&lt;K$24,0,K226&lt;K$26,I$24,K226&lt;K$28,I$26,K226&lt;K$30,I$28,K226&lt;K$32,I$30,K226&lt;K$34,I$32,K226&lt;K$36,I$34,K226&lt;K$38,I$36,K226&lt;K$40,I$38,K226&lt;K$42,I$40,K226&lt;K$44,I$42,K226&lt;K$46,I$44,K226&gt;=K$46,I$46)</f>
        <v/>
      </c>
      <c r="J226" s="37">
        <f>_xlfn.IFS(K226&lt;K$24,0,K226&lt;K$25,J$24,K226&lt;K$26,J$25,K226&lt;K$27,J$26,K226&lt;K$28,J$27,K226&lt;K$29,J$28,K226&lt;K$30,J$29,K226&lt;K$31,J$30,K226&lt;K$32,J$31,K226&lt;K$33,J$32,K226&lt;K$34,J$33,K226&lt;K$35,J$34,K226&lt;K$36,J$35,K226&lt;K$37,J$36,K226&lt;K$38,J$37,K226&lt;K$39,J$38,K226&lt;K$40,J$39,K226&lt;K$41,J$40,K226&lt;K$42,J$41,K226&lt;K$43,J$42,K226&lt;K$44,J$43,K226&lt;K$45,J$44,K226&lt;K$46,J$45,K226&lt;K$47,J$46,K226&gt;=K$47,J$47)</f>
        <v/>
      </c>
      <c r="K226" s="38" t="n">
        <v>176</v>
      </c>
      <c r="L226" s="31">
        <f>K226/52</f>
        <v/>
      </c>
      <c r="M226" s="39">
        <f>J226/1000000*52</f>
        <v/>
      </c>
      <c r="N226" s="33">
        <f>M226/$P$4+($I$22/$P$4)</f>
        <v/>
      </c>
      <c r="U226">
        <f>F225</f>
        <v/>
      </c>
      <c r="V226">
        <f>H225</f>
        <v/>
      </c>
      <c r="W226">
        <f>N225</f>
        <v/>
      </c>
    </row>
    <row r="227" ht="15.75" customHeight="1" s="40">
      <c r="C227" s="36">
        <f>_xlfn.IFS(E227&lt;E$24,0,E227&lt;E$26,C$24,E227&lt;E$28,C$26,E227&lt;E$30,C$28,E227&lt;E$32,C$30,E227&lt;E$34,C$32,E227&gt;=E$34,C$34)</f>
        <v/>
      </c>
      <c r="D227" s="37">
        <f>_xlfn.IFS(E227&lt;E$24,0,E227&lt;E$25,D$24,E227&lt;E$26,D$25,E227&lt;E$27,D$26,E227&lt;E$28,D$27,E227&lt;E$29,D$28,E227&lt;E$30,D$29,E227&lt;E$31,D$30,E227&lt;E$32,D$31,E227&lt;E$33,D$32,E227&lt;E$34,D$33,E227&lt;E$35,D$34,E227&gt;=E$35,D$35)</f>
        <v/>
      </c>
      <c r="E227" s="38" t="n">
        <v>177</v>
      </c>
      <c r="F227" s="31">
        <f>E227/52</f>
        <v/>
      </c>
      <c r="G227" s="39">
        <f>D227/1000000*52</f>
        <v/>
      </c>
      <c r="H227" s="33">
        <f>G227/$P$4+($C$22/$P$4)</f>
        <v/>
      </c>
      <c r="I227" s="36">
        <f>_xlfn.IFS(K227&lt;K$24,0,K227&lt;K$26,I$24,K227&lt;K$28,I$26,K227&lt;K$30,I$28,K227&lt;K$32,I$30,K227&lt;K$34,I$32,K227&lt;K$36,I$34,K227&lt;K$38,I$36,K227&lt;K$40,I$38,K227&lt;K$42,I$40,K227&lt;K$44,I$42,K227&lt;K$46,I$44,K227&gt;=K$46,I$46)</f>
        <v/>
      </c>
      <c r="J227" s="37">
        <f>_xlfn.IFS(K227&lt;K$24,0,K227&lt;K$25,J$24,K227&lt;K$26,J$25,K227&lt;K$27,J$26,K227&lt;K$28,J$27,K227&lt;K$29,J$28,K227&lt;K$30,J$29,K227&lt;K$31,J$30,K227&lt;K$32,J$31,K227&lt;K$33,J$32,K227&lt;K$34,J$33,K227&lt;K$35,J$34,K227&lt;K$36,J$35,K227&lt;K$37,J$36,K227&lt;K$38,J$37,K227&lt;K$39,J$38,K227&lt;K$40,J$39,K227&lt;K$41,J$40,K227&lt;K$42,J$41,K227&lt;K$43,J$42,K227&lt;K$44,J$43,K227&lt;K$45,J$44,K227&lt;K$46,J$45,K227&lt;K$47,J$46,K227&gt;=K$47,J$47)</f>
        <v/>
      </c>
      <c r="K227" s="38" t="n">
        <v>177</v>
      </c>
      <c r="L227" s="31">
        <f>K227/52</f>
        <v/>
      </c>
      <c r="M227" s="39">
        <f>J227/1000000*52</f>
        <v/>
      </c>
      <c r="N227" s="33">
        <f>M227/$P$4+($I$22/$P$4)</f>
        <v/>
      </c>
      <c r="U227">
        <f>F226</f>
        <v/>
      </c>
      <c r="V227">
        <f>H226</f>
        <v/>
      </c>
      <c r="W227">
        <f>N226</f>
        <v/>
      </c>
    </row>
    <row r="228" ht="15.75" customHeight="1" s="40">
      <c r="C228" s="36">
        <f>_xlfn.IFS(E228&lt;E$24,0,E228&lt;E$26,C$24,E228&lt;E$28,C$26,E228&lt;E$30,C$28,E228&lt;E$32,C$30,E228&lt;E$34,C$32,E228&gt;=E$34,C$34)</f>
        <v/>
      </c>
      <c r="D228" s="37">
        <f>_xlfn.IFS(E228&lt;E$24,0,E228&lt;E$25,D$24,E228&lt;E$26,D$25,E228&lt;E$27,D$26,E228&lt;E$28,D$27,E228&lt;E$29,D$28,E228&lt;E$30,D$29,E228&lt;E$31,D$30,E228&lt;E$32,D$31,E228&lt;E$33,D$32,E228&lt;E$34,D$33,E228&lt;E$35,D$34,E228&gt;=E$35,D$35)</f>
        <v/>
      </c>
      <c r="E228" s="38" t="n">
        <v>178</v>
      </c>
      <c r="F228" s="31">
        <f>E228/52</f>
        <v/>
      </c>
      <c r="G228" s="39">
        <f>D228/1000000*52</f>
        <v/>
      </c>
      <c r="H228" s="33">
        <f>G228/$P$4+($C$22/$P$4)</f>
        <v/>
      </c>
      <c r="I228" s="36">
        <f>_xlfn.IFS(K228&lt;K$24,0,K228&lt;K$26,I$24,K228&lt;K$28,I$26,K228&lt;K$30,I$28,K228&lt;K$32,I$30,K228&lt;K$34,I$32,K228&lt;K$36,I$34,K228&lt;K$38,I$36,K228&lt;K$40,I$38,K228&lt;K$42,I$40,K228&lt;K$44,I$42,K228&lt;K$46,I$44,K228&gt;=K$46,I$46)</f>
        <v/>
      </c>
      <c r="J228" s="37">
        <f>_xlfn.IFS(K228&lt;K$24,0,K228&lt;K$25,J$24,K228&lt;K$26,J$25,K228&lt;K$27,J$26,K228&lt;K$28,J$27,K228&lt;K$29,J$28,K228&lt;K$30,J$29,K228&lt;K$31,J$30,K228&lt;K$32,J$31,K228&lt;K$33,J$32,K228&lt;K$34,J$33,K228&lt;K$35,J$34,K228&lt;K$36,J$35,K228&lt;K$37,J$36,K228&lt;K$38,J$37,K228&lt;K$39,J$38,K228&lt;K$40,J$39,K228&lt;K$41,J$40,K228&lt;K$42,J$41,K228&lt;K$43,J$42,K228&lt;K$44,J$43,K228&lt;K$45,J$44,K228&lt;K$46,J$45,K228&lt;K$47,J$46,K228&gt;=K$47,J$47)</f>
        <v/>
      </c>
      <c r="K228" s="38" t="n">
        <v>178</v>
      </c>
      <c r="L228" s="31">
        <f>K228/52</f>
        <v/>
      </c>
      <c r="M228" s="39">
        <f>J228/1000000*52</f>
        <v/>
      </c>
      <c r="N228" s="33">
        <f>M228/$P$4+($I$22/$P$4)</f>
        <v/>
      </c>
      <c r="U228">
        <f>F227</f>
        <v/>
      </c>
      <c r="V228">
        <f>H227</f>
        <v/>
      </c>
      <c r="W228">
        <f>N227</f>
        <v/>
      </c>
    </row>
    <row r="229" ht="15.75" customHeight="1" s="40">
      <c r="C229" s="36">
        <f>_xlfn.IFS(E229&lt;E$24,0,E229&lt;E$26,C$24,E229&lt;E$28,C$26,E229&lt;E$30,C$28,E229&lt;E$32,C$30,E229&lt;E$34,C$32,E229&gt;=E$34,C$34)</f>
        <v/>
      </c>
      <c r="D229" s="37">
        <f>_xlfn.IFS(E229&lt;E$24,0,E229&lt;E$25,D$24,E229&lt;E$26,D$25,E229&lt;E$27,D$26,E229&lt;E$28,D$27,E229&lt;E$29,D$28,E229&lt;E$30,D$29,E229&lt;E$31,D$30,E229&lt;E$32,D$31,E229&lt;E$33,D$32,E229&lt;E$34,D$33,E229&lt;E$35,D$34,E229&gt;=E$35,D$35)</f>
        <v/>
      </c>
      <c r="E229" s="38" t="n">
        <v>179</v>
      </c>
      <c r="F229" s="31">
        <f>E229/52</f>
        <v/>
      </c>
      <c r="G229" s="39">
        <f>D229/1000000*52</f>
        <v/>
      </c>
      <c r="H229" s="33">
        <f>G229/$P$4+($C$22/$P$4)</f>
        <v/>
      </c>
      <c r="I229" s="36">
        <f>_xlfn.IFS(K229&lt;K$24,0,K229&lt;K$26,I$24,K229&lt;K$28,I$26,K229&lt;K$30,I$28,K229&lt;K$32,I$30,K229&lt;K$34,I$32,K229&lt;K$36,I$34,K229&lt;K$38,I$36,K229&lt;K$40,I$38,K229&lt;K$42,I$40,K229&lt;K$44,I$42,K229&lt;K$46,I$44,K229&gt;=K$46,I$46)</f>
        <v/>
      </c>
      <c r="J229" s="37">
        <f>_xlfn.IFS(K229&lt;K$24,0,K229&lt;K$25,J$24,K229&lt;K$26,J$25,K229&lt;K$27,J$26,K229&lt;K$28,J$27,K229&lt;K$29,J$28,K229&lt;K$30,J$29,K229&lt;K$31,J$30,K229&lt;K$32,J$31,K229&lt;K$33,J$32,K229&lt;K$34,J$33,K229&lt;K$35,J$34,K229&lt;K$36,J$35,K229&lt;K$37,J$36,K229&lt;K$38,J$37,K229&lt;K$39,J$38,K229&lt;K$40,J$39,K229&lt;K$41,J$40,K229&lt;K$42,J$41,K229&lt;K$43,J$42,K229&lt;K$44,J$43,K229&lt;K$45,J$44,K229&lt;K$46,J$45,K229&lt;K$47,J$46,K229&gt;=K$47,J$47)</f>
        <v/>
      </c>
      <c r="K229" s="38" t="n">
        <v>179</v>
      </c>
      <c r="L229" s="31">
        <f>K229/52</f>
        <v/>
      </c>
      <c r="M229" s="39">
        <f>J229/1000000*52</f>
        <v/>
      </c>
      <c r="N229" s="33">
        <f>M229/$P$4+($I$22/$P$4)</f>
        <v/>
      </c>
      <c r="U229">
        <f>F228</f>
        <v/>
      </c>
      <c r="V229">
        <f>H228</f>
        <v/>
      </c>
      <c r="W229">
        <f>N228</f>
        <v/>
      </c>
    </row>
    <row r="230" ht="15.75" customHeight="1" s="40">
      <c r="C230" s="36">
        <f>_xlfn.IFS(E230&lt;E$24,0,E230&lt;E$26,C$24,E230&lt;E$28,C$26,E230&lt;E$30,C$28,E230&lt;E$32,C$30,E230&lt;E$34,C$32,E230&gt;=E$34,C$34)</f>
        <v/>
      </c>
      <c r="D230" s="37">
        <f>_xlfn.IFS(E230&lt;E$24,0,E230&lt;E$25,D$24,E230&lt;E$26,D$25,E230&lt;E$27,D$26,E230&lt;E$28,D$27,E230&lt;E$29,D$28,E230&lt;E$30,D$29,E230&lt;E$31,D$30,E230&lt;E$32,D$31,E230&lt;E$33,D$32,E230&lt;E$34,D$33,E230&lt;E$35,D$34,E230&gt;=E$35,D$35)</f>
        <v/>
      </c>
      <c r="E230" s="38" t="n">
        <v>180</v>
      </c>
      <c r="F230" s="31">
        <f>E230/52</f>
        <v/>
      </c>
      <c r="G230" s="39">
        <f>D230/1000000*52</f>
        <v/>
      </c>
      <c r="H230" s="33">
        <f>G230/$P$4+($C$22/$P$4)</f>
        <v/>
      </c>
      <c r="I230" s="36">
        <f>_xlfn.IFS(K230&lt;K$24,0,K230&lt;K$26,I$24,K230&lt;K$28,I$26,K230&lt;K$30,I$28,K230&lt;K$32,I$30,K230&lt;K$34,I$32,K230&lt;K$36,I$34,K230&lt;K$38,I$36,K230&lt;K$40,I$38,K230&lt;K$42,I$40,K230&lt;K$44,I$42,K230&lt;K$46,I$44,K230&gt;=K$46,I$46)</f>
        <v/>
      </c>
      <c r="J230" s="37">
        <f>_xlfn.IFS(K230&lt;K$24,0,K230&lt;K$25,J$24,K230&lt;K$26,J$25,K230&lt;K$27,J$26,K230&lt;K$28,J$27,K230&lt;K$29,J$28,K230&lt;K$30,J$29,K230&lt;K$31,J$30,K230&lt;K$32,J$31,K230&lt;K$33,J$32,K230&lt;K$34,J$33,K230&lt;K$35,J$34,K230&lt;K$36,J$35,K230&lt;K$37,J$36,K230&lt;K$38,J$37,K230&lt;K$39,J$38,K230&lt;K$40,J$39,K230&lt;K$41,J$40,K230&lt;K$42,J$41,K230&lt;K$43,J$42,K230&lt;K$44,J$43,K230&lt;K$45,J$44,K230&lt;K$46,J$45,K230&lt;K$47,J$46,K230&gt;=K$47,J$47)</f>
        <v/>
      </c>
      <c r="K230" s="38" t="n">
        <v>180</v>
      </c>
      <c r="L230" s="31">
        <f>K230/52</f>
        <v/>
      </c>
      <c r="M230" s="39">
        <f>J230/1000000*52</f>
        <v/>
      </c>
      <c r="N230" s="33">
        <f>M230/$P$4+($I$22/$P$4)</f>
        <v/>
      </c>
      <c r="U230">
        <f>F229</f>
        <v/>
      </c>
      <c r="V230">
        <f>H229</f>
        <v/>
      </c>
      <c r="W230">
        <f>N229</f>
        <v/>
      </c>
    </row>
    <row r="231" ht="15.75" customHeight="1" s="40">
      <c r="C231" s="36">
        <f>_xlfn.IFS(E231&lt;E$24,0,E231&lt;E$26,C$24,E231&lt;E$28,C$26,E231&lt;E$30,C$28,E231&lt;E$32,C$30,E231&lt;E$34,C$32,E231&gt;=E$34,C$34)</f>
        <v/>
      </c>
      <c r="D231" s="37">
        <f>_xlfn.IFS(E231&lt;E$24,0,E231&lt;E$25,D$24,E231&lt;E$26,D$25,E231&lt;E$27,D$26,E231&lt;E$28,D$27,E231&lt;E$29,D$28,E231&lt;E$30,D$29,E231&lt;E$31,D$30,E231&lt;E$32,D$31,E231&lt;E$33,D$32,E231&lt;E$34,D$33,E231&lt;E$35,D$34,E231&gt;=E$35,D$35)</f>
        <v/>
      </c>
      <c r="E231" s="38" t="n">
        <v>181</v>
      </c>
      <c r="F231" s="31">
        <f>E231/52</f>
        <v/>
      </c>
      <c r="G231" s="39">
        <f>D231/1000000*52</f>
        <v/>
      </c>
      <c r="H231" s="33">
        <f>G231/$P$4+($C$22/$P$4)</f>
        <v/>
      </c>
      <c r="I231" s="36">
        <f>_xlfn.IFS(K231&lt;K$24,0,K231&lt;K$26,I$24,K231&lt;K$28,I$26,K231&lt;K$30,I$28,K231&lt;K$32,I$30,K231&lt;K$34,I$32,K231&lt;K$36,I$34,K231&lt;K$38,I$36,K231&lt;K$40,I$38,K231&lt;K$42,I$40,K231&lt;K$44,I$42,K231&lt;K$46,I$44,K231&gt;=K$46,I$46)</f>
        <v/>
      </c>
      <c r="J231" s="37">
        <f>_xlfn.IFS(K231&lt;K$24,0,K231&lt;K$25,J$24,K231&lt;K$26,J$25,K231&lt;K$27,J$26,K231&lt;K$28,J$27,K231&lt;K$29,J$28,K231&lt;K$30,J$29,K231&lt;K$31,J$30,K231&lt;K$32,J$31,K231&lt;K$33,J$32,K231&lt;K$34,J$33,K231&lt;K$35,J$34,K231&lt;K$36,J$35,K231&lt;K$37,J$36,K231&lt;K$38,J$37,K231&lt;K$39,J$38,K231&lt;K$40,J$39,K231&lt;K$41,J$40,K231&lt;K$42,J$41,K231&lt;K$43,J$42,K231&lt;K$44,J$43,K231&lt;K$45,J$44,K231&lt;K$46,J$45,K231&lt;K$47,J$46,K231&gt;=K$47,J$47)</f>
        <v/>
      </c>
      <c r="K231" s="38" t="n">
        <v>181</v>
      </c>
      <c r="L231" s="31">
        <f>K231/52</f>
        <v/>
      </c>
      <c r="M231" s="39">
        <f>J231/1000000*52</f>
        <v/>
      </c>
      <c r="N231" s="33">
        <f>M231/$P$4+($I$22/$P$4)</f>
        <v/>
      </c>
      <c r="U231">
        <f>F230</f>
        <v/>
      </c>
      <c r="V231">
        <f>H230</f>
        <v/>
      </c>
      <c r="W231">
        <f>N230</f>
        <v/>
      </c>
    </row>
    <row r="232" ht="15.75" customHeight="1" s="40">
      <c r="C232" s="36">
        <f>_xlfn.IFS(E232&lt;E$24,0,E232&lt;E$26,C$24,E232&lt;E$28,C$26,E232&lt;E$30,C$28,E232&lt;E$32,C$30,E232&lt;E$34,C$32,E232&gt;=E$34,C$34)</f>
        <v/>
      </c>
      <c r="D232" s="37">
        <f>_xlfn.IFS(E232&lt;E$24,0,E232&lt;E$25,D$24,E232&lt;E$26,D$25,E232&lt;E$27,D$26,E232&lt;E$28,D$27,E232&lt;E$29,D$28,E232&lt;E$30,D$29,E232&lt;E$31,D$30,E232&lt;E$32,D$31,E232&lt;E$33,D$32,E232&lt;E$34,D$33,E232&lt;E$35,D$34,E232&gt;=E$35,D$35)</f>
        <v/>
      </c>
      <c r="E232" s="38" t="n">
        <v>182</v>
      </c>
      <c r="F232" s="31">
        <f>E232/52</f>
        <v/>
      </c>
      <c r="G232" s="39">
        <f>D232/1000000*52</f>
        <v/>
      </c>
      <c r="H232" s="33">
        <f>G232/$P$4+($C$22/$P$4)</f>
        <v/>
      </c>
      <c r="I232" s="36">
        <f>_xlfn.IFS(K232&lt;K$24,0,K232&lt;K$26,I$24,K232&lt;K$28,I$26,K232&lt;K$30,I$28,K232&lt;K$32,I$30,K232&lt;K$34,I$32,K232&lt;K$36,I$34,K232&lt;K$38,I$36,K232&lt;K$40,I$38,K232&lt;K$42,I$40,K232&lt;K$44,I$42,K232&lt;K$46,I$44,K232&gt;=K$46,I$46)</f>
        <v/>
      </c>
      <c r="J232" s="37">
        <f>_xlfn.IFS(K232&lt;K$24,0,K232&lt;K$25,J$24,K232&lt;K$26,J$25,K232&lt;K$27,J$26,K232&lt;K$28,J$27,K232&lt;K$29,J$28,K232&lt;K$30,J$29,K232&lt;K$31,J$30,K232&lt;K$32,J$31,K232&lt;K$33,J$32,K232&lt;K$34,J$33,K232&lt;K$35,J$34,K232&lt;K$36,J$35,K232&lt;K$37,J$36,K232&lt;K$38,J$37,K232&lt;K$39,J$38,K232&lt;K$40,J$39,K232&lt;K$41,J$40,K232&lt;K$42,J$41,K232&lt;K$43,J$42,K232&lt;K$44,J$43,K232&lt;K$45,J$44,K232&lt;K$46,J$45,K232&lt;K$47,J$46,K232&gt;=K$47,J$47)</f>
        <v/>
      </c>
      <c r="K232" s="38" t="n">
        <v>182</v>
      </c>
      <c r="L232" s="31">
        <f>K232/52</f>
        <v/>
      </c>
      <c r="M232" s="39">
        <f>J232/1000000*52</f>
        <v/>
      </c>
      <c r="N232" s="33">
        <f>M232/$P$4+($I$22/$P$4)</f>
        <v/>
      </c>
      <c r="U232">
        <f>F231</f>
        <v/>
      </c>
      <c r="V232">
        <f>H231</f>
        <v/>
      </c>
      <c r="W232">
        <f>N231</f>
        <v/>
      </c>
    </row>
    <row r="233" ht="15.75" customHeight="1" s="40">
      <c r="C233" s="36">
        <f>_xlfn.IFS(E233&lt;E$24,0,E233&lt;E$26,C$24,E233&lt;E$28,C$26,E233&lt;E$30,C$28,E233&lt;E$32,C$30,E233&lt;E$34,C$32,E233&gt;=E$34,C$34)</f>
        <v/>
      </c>
      <c r="D233" s="37">
        <f>_xlfn.IFS(E233&lt;E$24,0,E233&lt;E$25,D$24,E233&lt;E$26,D$25,E233&lt;E$27,D$26,E233&lt;E$28,D$27,E233&lt;E$29,D$28,E233&lt;E$30,D$29,E233&lt;E$31,D$30,E233&lt;E$32,D$31,E233&lt;E$33,D$32,E233&lt;E$34,D$33,E233&lt;E$35,D$34,E233&gt;=E$35,D$35)</f>
        <v/>
      </c>
      <c r="E233" s="38" t="n">
        <v>183</v>
      </c>
      <c r="F233" s="31">
        <f>E233/52</f>
        <v/>
      </c>
      <c r="G233" s="39">
        <f>D233/1000000*52</f>
        <v/>
      </c>
      <c r="H233" s="33">
        <f>G233/$P$4+($C$22/$P$4)</f>
        <v/>
      </c>
      <c r="I233" s="36">
        <f>_xlfn.IFS(K233&lt;K$24,0,K233&lt;K$26,I$24,K233&lt;K$28,I$26,K233&lt;K$30,I$28,K233&lt;K$32,I$30,K233&lt;K$34,I$32,K233&lt;K$36,I$34,K233&lt;K$38,I$36,K233&lt;K$40,I$38,K233&lt;K$42,I$40,K233&lt;K$44,I$42,K233&lt;K$46,I$44,K233&gt;=K$46,I$46)</f>
        <v/>
      </c>
      <c r="J233" s="37">
        <f>_xlfn.IFS(K233&lt;K$24,0,K233&lt;K$25,J$24,K233&lt;K$26,J$25,K233&lt;K$27,J$26,K233&lt;K$28,J$27,K233&lt;K$29,J$28,K233&lt;K$30,J$29,K233&lt;K$31,J$30,K233&lt;K$32,J$31,K233&lt;K$33,J$32,K233&lt;K$34,J$33,K233&lt;K$35,J$34,K233&lt;K$36,J$35,K233&lt;K$37,J$36,K233&lt;K$38,J$37,K233&lt;K$39,J$38,K233&lt;K$40,J$39,K233&lt;K$41,J$40,K233&lt;K$42,J$41,K233&lt;K$43,J$42,K233&lt;K$44,J$43,K233&lt;K$45,J$44,K233&lt;K$46,J$45,K233&lt;K$47,J$46,K233&gt;=K$47,J$47)</f>
        <v/>
      </c>
      <c r="K233" s="38" t="n">
        <v>183</v>
      </c>
      <c r="L233" s="31">
        <f>K233/52</f>
        <v/>
      </c>
      <c r="M233" s="39">
        <f>J233/1000000*52</f>
        <v/>
      </c>
      <c r="N233" s="33">
        <f>M233/$P$4+($I$22/$P$4)</f>
        <v/>
      </c>
      <c r="U233">
        <f>F232</f>
        <v/>
      </c>
      <c r="V233">
        <f>H232</f>
        <v/>
      </c>
      <c r="W233">
        <f>N232</f>
        <v/>
      </c>
    </row>
    <row r="234" ht="15.75" customHeight="1" s="40">
      <c r="C234" s="36">
        <f>_xlfn.IFS(E234&lt;E$24,0,E234&lt;E$26,C$24,E234&lt;E$28,C$26,E234&lt;E$30,C$28,E234&lt;E$32,C$30,E234&lt;E$34,C$32,E234&gt;=E$34,C$34)</f>
        <v/>
      </c>
      <c r="D234" s="37">
        <f>_xlfn.IFS(E234&lt;E$24,0,E234&lt;E$25,D$24,E234&lt;E$26,D$25,E234&lt;E$27,D$26,E234&lt;E$28,D$27,E234&lt;E$29,D$28,E234&lt;E$30,D$29,E234&lt;E$31,D$30,E234&lt;E$32,D$31,E234&lt;E$33,D$32,E234&lt;E$34,D$33,E234&lt;E$35,D$34,E234&gt;=E$35,D$35)</f>
        <v/>
      </c>
      <c r="E234" s="38" t="n">
        <v>184</v>
      </c>
      <c r="F234" s="31">
        <f>E234/52</f>
        <v/>
      </c>
      <c r="G234" s="39">
        <f>D234/1000000*52</f>
        <v/>
      </c>
      <c r="H234" s="33">
        <f>G234/$P$4+($C$22/$P$4)</f>
        <v/>
      </c>
      <c r="I234" s="36">
        <f>_xlfn.IFS(K234&lt;K$24,0,K234&lt;K$26,I$24,K234&lt;K$28,I$26,K234&lt;K$30,I$28,K234&lt;K$32,I$30,K234&lt;K$34,I$32,K234&lt;K$36,I$34,K234&lt;K$38,I$36,K234&lt;K$40,I$38,K234&lt;K$42,I$40,K234&lt;K$44,I$42,K234&lt;K$46,I$44,K234&gt;=K$46,I$46)</f>
        <v/>
      </c>
      <c r="J234" s="37">
        <f>_xlfn.IFS(K234&lt;K$24,0,K234&lt;K$25,J$24,K234&lt;K$26,J$25,K234&lt;K$27,J$26,K234&lt;K$28,J$27,K234&lt;K$29,J$28,K234&lt;K$30,J$29,K234&lt;K$31,J$30,K234&lt;K$32,J$31,K234&lt;K$33,J$32,K234&lt;K$34,J$33,K234&lt;K$35,J$34,K234&lt;K$36,J$35,K234&lt;K$37,J$36,K234&lt;K$38,J$37,K234&lt;K$39,J$38,K234&lt;K$40,J$39,K234&lt;K$41,J$40,K234&lt;K$42,J$41,K234&lt;K$43,J$42,K234&lt;K$44,J$43,K234&lt;K$45,J$44,K234&lt;K$46,J$45,K234&lt;K$47,J$46,K234&gt;=K$47,J$47)</f>
        <v/>
      </c>
      <c r="K234" s="38" t="n">
        <v>184</v>
      </c>
      <c r="L234" s="31">
        <f>K234/52</f>
        <v/>
      </c>
      <c r="M234" s="39">
        <f>J234/1000000*52</f>
        <v/>
      </c>
      <c r="N234" s="33">
        <f>M234/$P$4+($I$22/$P$4)</f>
        <v/>
      </c>
      <c r="U234">
        <f>F233</f>
        <v/>
      </c>
      <c r="V234">
        <f>H233</f>
        <v/>
      </c>
      <c r="W234">
        <f>N233</f>
        <v/>
      </c>
    </row>
    <row r="235" ht="15.75" customHeight="1" s="40">
      <c r="C235" s="36">
        <f>_xlfn.IFS(E235&lt;E$24,0,E235&lt;E$26,C$24,E235&lt;E$28,C$26,E235&lt;E$30,C$28,E235&lt;E$32,C$30,E235&lt;E$34,C$32,E235&gt;=E$34,C$34)</f>
        <v/>
      </c>
      <c r="D235" s="37">
        <f>_xlfn.IFS(E235&lt;E$24,0,E235&lt;E$25,D$24,E235&lt;E$26,D$25,E235&lt;E$27,D$26,E235&lt;E$28,D$27,E235&lt;E$29,D$28,E235&lt;E$30,D$29,E235&lt;E$31,D$30,E235&lt;E$32,D$31,E235&lt;E$33,D$32,E235&lt;E$34,D$33,E235&lt;E$35,D$34,E235&gt;=E$35,D$35)</f>
        <v/>
      </c>
      <c r="E235" s="38" t="n">
        <v>185</v>
      </c>
      <c r="F235" s="31">
        <f>E235/52</f>
        <v/>
      </c>
      <c r="G235" s="39">
        <f>D235/1000000*52</f>
        <v/>
      </c>
      <c r="H235" s="33">
        <f>G235/$P$4+($C$22/$P$4)</f>
        <v/>
      </c>
      <c r="I235" s="36">
        <f>_xlfn.IFS(K235&lt;K$24,0,K235&lt;K$26,I$24,K235&lt;K$28,I$26,K235&lt;K$30,I$28,K235&lt;K$32,I$30,K235&lt;K$34,I$32,K235&lt;K$36,I$34,K235&lt;K$38,I$36,K235&lt;K$40,I$38,K235&lt;K$42,I$40,K235&lt;K$44,I$42,K235&lt;K$46,I$44,K235&gt;=K$46,I$46)</f>
        <v/>
      </c>
      <c r="J235" s="37">
        <f>_xlfn.IFS(K235&lt;K$24,0,K235&lt;K$25,J$24,K235&lt;K$26,J$25,K235&lt;K$27,J$26,K235&lt;K$28,J$27,K235&lt;K$29,J$28,K235&lt;K$30,J$29,K235&lt;K$31,J$30,K235&lt;K$32,J$31,K235&lt;K$33,J$32,K235&lt;K$34,J$33,K235&lt;K$35,J$34,K235&lt;K$36,J$35,K235&lt;K$37,J$36,K235&lt;K$38,J$37,K235&lt;K$39,J$38,K235&lt;K$40,J$39,K235&lt;K$41,J$40,K235&lt;K$42,J$41,K235&lt;K$43,J$42,K235&lt;K$44,J$43,K235&lt;K$45,J$44,K235&lt;K$46,J$45,K235&lt;K$47,J$46,K235&gt;=K$47,J$47)</f>
        <v/>
      </c>
      <c r="K235" s="38" t="n">
        <v>185</v>
      </c>
      <c r="L235" s="31">
        <f>K235/52</f>
        <v/>
      </c>
      <c r="M235" s="39">
        <f>J235/1000000*52</f>
        <v/>
      </c>
      <c r="N235" s="33">
        <f>M235/$P$4+($I$22/$P$4)</f>
        <v/>
      </c>
      <c r="U235">
        <f>F234</f>
        <v/>
      </c>
      <c r="V235">
        <f>H234</f>
        <v/>
      </c>
      <c r="W235">
        <f>N234</f>
        <v/>
      </c>
    </row>
    <row r="236" ht="15.75" customHeight="1" s="40">
      <c r="C236" s="36">
        <f>_xlfn.IFS(E236&lt;E$24,0,E236&lt;E$26,C$24,E236&lt;E$28,C$26,E236&lt;E$30,C$28,E236&lt;E$32,C$30,E236&lt;E$34,C$32,E236&gt;=E$34,C$34)</f>
        <v/>
      </c>
      <c r="D236" s="37">
        <f>_xlfn.IFS(E236&lt;E$24,0,E236&lt;E$25,D$24,E236&lt;E$26,D$25,E236&lt;E$27,D$26,E236&lt;E$28,D$27,E236&lt;E$29,D$28,E236&lt;E$30,D$29,E236&lt;E$31,D$30,E236&lt;E$32,D$31,E236&lt;E$33,D$32,E236&lt;E$34,D$33,E236&lt;E$35,D$34,E236&gt;=E$35,D$35)</f>
        <v/>
      </c>
      <c r="E236" s="38" t="n">
        <v>186</v>
      </c>
      <c r="F236" s="31">
        <f>E236/52</f>
        <v/>
      </c>
      <c r="G236" s="39">
        <f>D236/1000000*52</f>
        <v/>
      </c>
      <c r="H236" s="33">
        <f>G236/$P$4+($C$22/$P$4)</f>
        <v/>
      </c>
      <c r="I236" s="36">
        <f>_xlfn.IFS(K236&lt;K$24,0,K236&lt;K$26,I$24,K236&lt;K$28,I$26,K236&lt;K$30,I$28,K236&lt;K$32,I$30,K236&lt;K$34,I$32,K236&lt;K$36,I$34,K236&lt;K$38,I$36,K236&lt;K$40,I$38,K236&lt;K$42,I$40,K236&lt;K$44,I$42,K236&lt;K$46,I$44,K236&gt;=K$46,I$46)</f>
        <v/>
      </c>
      <c r="J236" s="37">
        <f>_xlfn.IFS(K236&lt;K$24,0,K236&lt;K$25,J$24,K236&lt;K$26,J$25,K236&lt;K$27,J$26,K236&lt;K$28,J$27,K236&lt;K$29,J$28,K236&lt;K$30,J$29,K236&lt;K$31,J$30,K236&lt;K$32,J$31,K236&lt;K$33,J$32,K236&lt;K$34,J$33,K236&lt;K$35,J$34,K236&lt;K$36,J$35,K236&lt;K$37,J$36,K236&lt;K$38,J$37,K236&lt;K$39,J$38,K236&lt;K$40,J$39,K236&lt;K$41,J$40,K236&lt;K$42,J$41,K236&lt;K$43,J$42,K236&lt;K$44,J$43,K236&lt;K$45,J$44,K236&lt;K$46,J$45,K236&lt;K$47,J$46,K236&gt;=K$47,J$47)</f>
        <v/>
      </c>
      <c r="K236" s="38" t="n">
        <v>186</v>
      </c>
      <c r="L236" s="31">
        <f>K236/52</f>
        <v/>
      </c>
      <c r="M236" s="39">
        <f>J236/1000000*52</f>
        <v/>
      </c>
      <c r="N236" s="33">
        <f>M236/$P$4+($I$22/$P$4)</f>
        <v/>
      </c>
      <c r="U236">
        <f>F235</f>
        <v/>
      </c>
      <c r="V236">
        <f>H235</f>
        <v/>
      </c>
      <c r="W236">
        <f>N235</f>
        <v/>
      </c>
    </row>
    <row r="237" ht="15.75" customHeight="1" s="40">
      <c r="C237" s="36">
        <f>_xlfn.IFS(E237&lt;E$24,0,E237&lt;E$26,C$24,E237&lt;E$28,C$26,E237&lt;E$30,C$28,E237&lt;E$32,C$30,E237&lt;E$34,C$32,E237&gt;=E$34,C$34)</f>
        <v/>
      </c>
      <c r="D237" s="37">
        <f>_xlfn.IFS(E237&lt;E$24,0,E237&lt;E$25,D$24,E237&lt;E$26,D$25,E237&lt;E$27,D$26,E237&lt;E$28,D$27,E237&lt;E$29,D$28,E237&lt;E$30,D$29,E237&lt;E$31,D$30,E237&lt;E$32,D$31,E237&lt;E$33,D$32,E237&lt;E$34,D$33,E237&lt;E$35,D$34,E237&gt;=E$35,D$35)</f>
        <v/>
      </c>
      <c r="E237" s="38" t="n">
        <v>187</v>
      </c>
      <c r="F237" s="31">
        <f>E237/52</f>
        <v/>
      </c>
      <c r="G237" s="39">
        <f>D237/1000000*52</f>
        <v/>
      </c>
      <c r="H237" s="33">
        <f>G237/$P$4+($C$22/$P$4)</f>
        <v/>
      </c>
      <c r="I237" s="36">
        <f>_xlfn.IFS(K237&lt;K$24,0,K237&lt;K$26,I$24,K237&lt;K$28,I$26,K237&lt;K$30,I$28,K237&lt;K$32,I$30,K237&lt;K$34,I$32,K237&lt;K$36,I$34,K237&lt;K$38,I$36,K237&lt;K$40,I$38,K237&lt;K$42,I$40,K237&lt;K$44,I$42,K237&lt;K$46,I$44,K237&gt;=K$46,I$46)</f>
        <v/>
      </c>
      <c r="J237" s="37">
        <f>_xlfn.IFS(K237&lt;K$24,0,K237&lt;K$25,J$24,K237&lt;K$26,J$25,K237&lt;K$27,J$26,K237&lt;K$28,J$27,K237&lt;K$29,J$28,K237&lt;K$30,J$29,K237&lt;K$31,J$30,K237&lt;K$32,J$31,K237&lt;K$33,J$32,K237&lt;K$34,J$33,K237&lt;K$35,J$34,K237&lt;K$36,J$35,K237&lt;K$37,J$36,K237&lt;K$38,J$37,K237&lt;K$39,J$38,K237&lt;K$40,J$39,K237&lt;K$41,J$40,K237&lt;K$42,J$41,K237&lt;K$43,J$42,K237&lt;K$44,J$43,K237&lt;K$45,J$44,K237&lt;K$46,J$45,K237&lt;K$47,J$46,K237&gt;=K$47,J$47)</f>
        <v/>
      </c>
      <c r="K237" s="38" t="n">
        <v>187</v>
      </c>
      <c r="L237" s="31">
        <f>K237/52</f>
        <v/>
      </c>
      <c r="M237" s="39">
        <f>J237/1000000*52</f>
        <v/>
      </c>
      <c r="N237" s="33">
        <f>M237/$P$4+($I$22/$P$4)</f>
        <v/>
      </c>
      <c r="U237">
        <f>F236</f>
        <v/>
      </c>
      <c r="V237">
        <f>H236</f>
        <v/>
      </c>
      <c r="W237">
        <f>N236</f>
        <v/>
      </c>
    </row>
    <row r="238" ht="15.75" customHeight="1" s="40">
      <c r="C238" s="36">
        <f>_xlfn.IFS(E238&lt;E$24,0,E238&lt;E$26,C$24,E238&lt;E$28,C$26,E238&lt;E$30,C$28,E238&lt;E$32,C$30,E238&lt;E$34,C$32,E238&gt;=E$34,C$34)</f>
        <v/>
      </c>
      <c r="D238" s="37">
        <f>_xlfn.IFS(E238&lt;E$24,0,E238&lt;E$25,D$24,E238&lt;E$26,D$25,E238&lt;E$27,D$26,E238&lt;E$28,D$27,E238&lt;E$29,D$28,E238&lt;E$30,D$29,E238&lt;E$31,D$30,E238&lt;E$32,D$31,E238&lt;E$33,D$32,E238&lt;E$34,D$33,E238&lt;E$35,D$34,E238&gt;=E$35,D$35)</f>
        <v/>
      </c>
      <c r="E238" s="38" t="n">
        <v>188</v>
      </c>
      <c r="F238" s="31">
        <f>E238/52</f>
        <v/>
      </c>
      <c r="G238" s="39">
        <f>D238/1000000*52</f>
        <v/>
      </c>
      <c r="H238" s="33">
        <f>G238/$P$4+($C$22/$P$4)</f>
        <v/>
      </c>
      <c r="I238" s="36">
        <f>_xlfn.IFS(K238&lt;K$24,0,K238&lt;K$26,I$24,K238&lt;K$28,I$26,K238&lt;K$30,I$28,K238&lt;K$32,I$30,K238&lt;K$34,I$32,K238&lt;K$36,I$34,K238&lt;K$38,I$36,K238&lt;K$40,I$38,K238&lt;K$42,I$40,K238&lt;K$44,I$42,K238&lt;K$46,I$44,K238&gt;=K$46,I$46)</f>
        <v/>
      </c>
      <c r="J238" s="37">
        <f>_xlfn.IFS(K238&lt;K$24,0,K238&lt;K$25,J$24,K238&lt;K$26,J$25,K238&lt;K$27,J$26,K238&lt;K$28,J$27,K238&lt;K$29,J$28,K238&lt;K$30,J$29,K238&lt;K$31,J$30,K238&lt;K$32,J$31,K238&lt;K$33,J$32,K238&lt;K$34,J$33,K238&lt;K$35,J$34,K238&lt;K$36,J$35,K238&lt;K$37,J$36,K238&lt;K$38,J$37,K238&lt;K$39,J$38,K238&lt;K$40,J$39,K238&lt;K$41,J$40,K238&lt;K$42,J$41,K238&lt;K$43,J$42,K238&lt;K$44,J$43,K238&lt;K$45,J$44,K238&lt;K$46,J$45,K238&lt;K$47,J$46,K238&gt;=K$47,J$47)</f>
        <v/>
      </c>
      <c r="K238" s="38" t="n">
        <v>188</v>
      </c>
      <c r="L238" s="31">
        <f>K238/52</f>
        <v/>
      </c>
      <c r="M238" s="39">
        <f>J238/1000000*52</f>
        <v/>
      </c>
      <c r="N238" s="33">
        <f>M238/$P$4+($I$22/$P$4)</f>
        <v/>
      </c>
      <c r="U238">
        <f>F237</f>
        <v/>
      </c>
      <c r="V238">
        <f>H237</f>
        <v/>
      </c>
      <c r="W238">
        <f>N237</f>
        <v/>
      </c>
    </row>
    <row r="239" ht="15.75" customHeight="1" s="40">
      <c r="C239" s="36">
        <f>_xlfn.IFS(E239&lt;E$24,0,E239&lt;E$26,C$24,E239&lt;E$28,C$26,E239&lt;E$30,C$28,E239&lt;E$32,C$30,E239&lt;E$34,C$32,E239&gt;=E$34,C$34)</f>
        <v/>
      </c>
      <c r="D239" s="37">
        <f>_xlfn.IFS(E239&lt;E$24,0,E239&lt;E$25,D$24,E239&lt;E$26,D$25,E239&lt;E$27,D$26,E239&lt;E$28,D$27,E239&lt;E$29,D$28,E239&lt;E$30,D$29,E239&lt;E$31,D$30,E239&lt;E$32,D$31,E239&lt;E$33,D$32,E239&lt;E$34,D$33,E239&lt;E$35,D$34,E239&gt;=E$35,D$35)</f>
        <v/>
      </c>
      <c r="E239" s="38" t="n">
        <v>189</v>
      </c>
      <c r="F239" s="31">
        <f>E239/52</f>
        <v/>
      </c>
      <c r="G239" s="39">
        <f>D239/1000000*52</f>
        <v/>
      </c>
      <c r="H239" s="33">
        <f>G239/$P$4+($C$22/$P$4)</f>
        <v/>
      </c>
      <c r="I239" s="36">
        <f>_xlfn.IFS(K239&lt;K$24,0,K239&lt;K$26,I$24,K239&lt;K$28,I$26,K239&lt;K$30,I$28,K239&lt;K$32,I$30,K239&lt;K$34,I$32,K239&lt;K$36,I$34,K239&lt;K$38,I$36,K239&lt;K$40,I$38,K239&lt;K$42,I$40,K239&lt;K$44,I$42,K239&lt;K$46,I$44,K239&gt;=K$46,I$46)</f>
        <v/>
      </c>
      <c r="J239" s="37">
        <f>_xlfn.IFS(K239&lt;K$24,0,K239&lt;K$25,J$24,K239&lt;K$26,J$25,K239&lt;K$27,J$26,K239&lt;K$28,J$27,K239&lt;K$29,J$28,K239&lt;K$30,J$29,K239&lt;K$31,J$30,K239&lt;K$32,J$31,K239&lt;K$33,J$32,K239&lt;K$34,J$33,K239&lt;K$35,J$34,K239&lt;K$36,J$35,K239&lt;K$37,J$36,K239&lt;K$38,J$37,K239&lt;K$39,J$38,K239&lt;K$40,J$39,K239&lt;K$41,J$40,K239&lt;K$42,J$41,K239&lt;K$43,J$42,K239&lt;K$44,J$43,K239&lt;K$45,J$44,K239&lt;K$46,J$45,K239&lt;K$47,J$46,K239&gt;=K$47,J$47)</f>
        <v/>
      </c>
      <c r="K239" s="38" t="n">
        <v>189</v>
      </c>
      <c r="L239" s="31">
        <f>K239/52</f>
        <v/>
      </c>
      <c r="M239" s="39">
        <f>J239/1000000*52</f>
        <v/>
      </c>
      <c r="N239" s="33">
        <f>M239/$P$4+($I$22/$P$4)</f>
        <v/>
      </c>
      <c r="U239">
        <f>F238</f>
        <v/>
      </c>
      <c r="V239">
        <f>H238</f>
        <v/>
      </c>
      <c r="W239">
        <f>N238</f>
        <v/>
      </c>
    </row>
    <row r="240" ht="15.75" customHeight="1" s="40">
      <c r="C240" s="36">
        <f>_xlfn.IFS(E240&lt;E$24,0,E240&lt;E$26,C$24,E240&lt;E$28,C$26,E240&lt;E$30,C$28,E240&lt;E$32,C$30,E240&lt;E$34,C$32,E240&gt;=E$34,C$34)</f>
        <v/>
      </c>
      <c r="D240" s="37">
        <f>_xlfn.IFS(E240&lt;E$24,0,E240&lt;E$25,D$24,E240&lt;E$26,D$25,E240&lt;E$27,D$26,E240&lt;E$28,D$27,E240&lt;E$29,D$28,E240&lt;E$30,D$29,E240&lt;E$31,D$30,E240&lt;E$32,D$31,E240&lt;E$33,D$32,E240&lt;E$34,D$33,E240&lt;E$35,D$34,E240&gt;=E$35,D$35)</f>
        <v/>
      </c>
      <c r="E240" s="38" t="n">
        <v>190</v>
      </c>
      <c r="F240" s="31">
        <f>E240/52</f>
        <v/>
      </c>
      <c r="G240" s="39">
        <f>D240/1000000*52</f>
        <v/>
      </c>
      <c r="H240" s="33">
        <f>G240/$P$4+($C$22/$P$4)</f>
        <v/>
      </c>
      <c r="I240" s="36">
        <f>_xlfn.IFS(K240&lt;K$24,0,K240&lt;K$26,I$24,K240&lt;K$28,I$26,K240&lt;K$30,I$28,K240&lt;K$32,I$30,K240&lt;K$34,I$32,K240&lt;K$36,I$34,K240&lt;K$38,I$36,K240&lt;K$40,I$38,K240&lt;K$42,I$40,K240&lt;K$44,I$42,K240&lt;K$46,I$44,K240&gt;=K$46,I$46)</f>
        <v/>
      </c>
      <c r="J240" s="37">
        <f>_xlfn.IFS(K240&lt;K$24,0,K240&lt;K$25,J$24,K240&lt;K$26,J$25,K240&lt;K$27,J$26,K240&lt;K$28,J$27,K240&lt;K$29,J$28,K240&lt;K$30,J$29,K240&lt;K$31,J$30,K240&lt;K$32,J$31,K240&lt;K$33,J$32,K240&lt;K$34,J$33,K240&lt;K$35,J$34,K240&lt;K$36,J$35,K240&lt;K$37,J$36,K240&lt;K$38,J$37,K240&lt;K$39,J$38,K240&lt;K$40,J$39,K240&lt;K$41,J$40,K240&lt;K$42,J$41,K240&lt;K$43,J$42,K240&lt;K$44,J$43,K240&lt;K$45,J$44,K240&lt;K$46,J$45,K240&lt;K$47,J$46,K240&gt;=K$47,J$47)</f>
        <v/>
      </c>
      <c r="K240" s="38" t="n">
        <v>190</v>
      </c>
      <c r="L240" s="31">
        <f>K240/52</f>
        <v/>
      </c>
      <c r="M240" s="39">
        <f>J240/1000000*52</f>
        <v/>
      </c>
      <c r="N240" s="33">
        <f>M240/$P$4+($I$22/$P$4)</f>
        <v/>
      </c>
      <c r="U240">
        <f>F239</f>
        <v/>
      </c>
      <c r="V240">
        <f>H239</f>
        <v/>
      </c>
      <c r="W240">
        <f>N239</f>
        <v/>
      </c>
    </row>
    <row r="241" ht="15.75" customHeight="1" s="40">
      <c r="C241" s="36">
        <f>_xlfn.IFS(E241&lt;E$24,0,E241&lt;E$26,C$24,E241&lt;E$28,C$26,E241&lt;E$30,C$28,E241&lt;E$32,C$30,E241&lt;E$34,C$32,E241&gt;=E$34,C$34)</f>
        <v/>
      </c>
      <c r="D241" s="37">
        <f>_xlfn.IFS(E241&lt;E$24,0,E241&lt;E$25,D$24,E241&lt;E$26,D$25,E241&lt;E$27,D$26,E241&lt;E$28,D$27,E241&lt;E$29,D$28,E241&lt;E$30,D$29,E241&lt;E$31,D$30,E241&lt;E$32,D$31,E241&lt;E$33,D$32,E241&lt;E$34,D$33,E241&lt;E$35,D$34,E241&gt;=E$35,D$35)</f>
        <v/>
      </c>
      <c r="E241" s="38" t="n">
        <v>191</v>
      </c>
      <c r="F241" s="31">
        <f>E241/52</f>
        <v/>
      </c>
      <c r="G241" s="39">
        <f>D241/1000000*52</f>
        <v/>
      </c>
      <c r="H241" s="33">
        <f>G241/$P$4+($C$22/$P$4)</f>
        <v/>
      </c>
      <c r="I241" s="36">
        <f>_xlfn.IFS(K241&lt;K$24,0,K241&lt;K$26,I$24,K241&lt;K$28,I$26,K241&lt;K$30,I$28,K241&lt;K$32,I$30,K241&lt;K$34,I$32,K241&lt;K$36,I$34,K241&lt;K$38,I$36,K241&lt;K$40,I$38,K241&lt;K$42,I$40,K241&lt;K$44,I$42,K241&lt;K$46,I$44,K241&gt;=K$46,I$46)</f>
        <v/>
      </c>
      <c r="J241" s="37">
        <f>_xlfn.IFS(K241&lt;K$24,0,K241&lt;K$25,J$24,K241&lt;K$26,J$25,K241&lt;K$27,J$26,K241&lt;K$28,J$27,K241&lt;K$29,J$28,K241&lt;K$30,J$29,K241&lt;K$31,J$30,K241&lt;K$32,J$31,K241&lt;K$33,J$32,K241&lt;K$34,J$33,K241&lt;K$35,J$34,K241&lt;K$36,J$35,K241&lt;K$37,J$36,K241&lt;K$38,J$37,K241&lt;K$39,J$38,K241&lt;K$40,J$39,K241&lt;K$41,J$40,K241&lt;K$42,J$41,K241&lt;K$43,J$42,K241&lt;K$44,J$43,K241&lt;K$45,J$44,K241&lt;K$46,J$45,K241&lt;K$47,J$46,K241&gt;=K$47,J$47)</f>
        <v/>
      </c>
      <c r="K241" s="38" t="n">
        <v>191</v>
      </c>
      <c r="L241" s="31">
        <f>K241/52</f>
        <v/>
      </c>
      <c r="M241" s="39">
        <f>J241/1000000*52</f>
        <v/>
      </c>
      <c r="N241" s="33">
        <f>M241/$P$4+($I$22/$P$4)</f>
        <v/>
      </c>
      <c r="U241">
        <f>F240</f>
        <v/>
      </c>
      <c r="V241">
        <f>H240</f>
        <v/>
      </c>
      <c r="W241">
        <f>N240</f>
        <v/>
      </c>
    </row>
    <row r="242" ht="15.75" customHeight="1" s="40">
      <c r="C242" s="36">
        <f>_xlfn.IFS(E242&lt;E$24,0,E242&lt;E$26,C$24,E242&lt;E$28,C$26,E242&lt;E$30,C$28,E242&lt;E$32,C$30,E242&lt;E$34,C$32,E242&gt;=E$34,C$34)</f>
        <v/>
      </c>
      <c r="D242" s="37">
        <f>_xlfn.IFS(E242&lt;E$24,0,E242&lt;E$25,D$24,E242&lt;E$26,D$25,E242&lt;E$27,D$26,E242&lt;E$28,D$27,E242&lt;E$29,D$28,E242&lt;E$30,D$29,E242&lt;E$31,D$30,E242&lt;E$32,D$31,E242&lt;E$33,D$32,E242&lt;E$34,D$33,E242&lt;E$35,D$34,E242&gt;=E$35,D$35)</f>
        <v/>
      </c>
      <c r="E242" s="38" t="n">
        <v>192</v>
      </c>
      <c r="F242" s="31">
        <f>E242/52</f>
        <v/>
      </c>
      <c r="G242" s="39">
        <f>D242/1000000*52</f>
        <v/>
      </c>
      <c r="H242" s="33">
        <f>G242/$P$4+($C$22/$P$4)</f>
        <v/>
      </c>
      <c r="I242" s="36">
        <f>_xlfn.IFS(K242&lt;K$24,0,K242&lt;K$26,I$24,K242&lt;K$28,I$26,K242&lt;K$30,I$28,K242&lt;K$32,I$30,K242&lt;K$34,I$32,K242&lt;K$36,I$34,K242&lt;K$38,I$36,K242&lt;K$40,I$38,K242&lt;K$42,I$40,K242&lt;K$44,I$42,K242&lt;K$46,I$44,K242&gt;=K$46,I$46)</f>
        <v/>
      </c>
      <c r="J242" s="37">
        <f>_xlfn.IFS(K242&lt;K$24,0,K242&lt;K$25,J$24,K242&lt;K$26,J$25,K242&lt;K$27,J$26,K242&lt;K$28,J$27,K242&lt;K$29,J$28,K242&lt;K$30,J$29,K242&lt;K$31,J$30,K242&lt;K$32,J$31,K242&lt;K$33,J$32,K242&lt;K$34,J$33,K242&lt;K$35,J$34,K242&lt;K$36,J$35,K242&lt;K$37,J$36,K242&lt;K$38,J$37,K242&lt;K$39,J$38,K242&lt;K$40,J$39,K242&lt;K$41,J$40,K242&lt;K$42,J$41,K242&lt;K$43,J$42,K242&lt;K$44,J$43,K242&lt;K$45,J$44,K242&lt;K$46,J$45,K242&lt;K$47,J$46,K242&gt;=K$47,J$47)</f>
        <v/>
      </c>
      <c r="K242" s="38" t="n">
        <v>192</v>
      </c>
      <c r="L242" s="31">
        <f>K242/52</f>
        <v/>
      </c>
      <c r="M242" s="39">
        <f>J242/1000000*52</f>
        <v/>
      </c>
      <c r="N242" s="33">
        <f>M242/$P$4+($I$22/$P$4)</f>
        <v/>
      </c>
      <c r="U242">
        <f>F241</f>
        <v/>
      </c>
      <c r="V242">
        <f>H241</f>
        <v/>
      </c>
      <c r="W242">
        <f>N241</f>
        <v/>
      </c>
    </row>
    <row r="243" ht="15.75" customHeight="1" s="40">
      <c r="C243" s="36">
        <f>_xlfn.IFS(E243&lt;E$24,0,E243&lt;E$26,C$24,E243&lt;E$28,C$26,E243&lt;E$30,C$28,E243&lt;E$32,C$30,E243&lt;E$34,C$32,E243&gt;=E$34,C$34)</f>
        <v/>
      </c>
      <c r="D243" s="37">
        <f>_xlfn.IFS(E243&lt;E$24,0,E243&lt;E$25,D$24,E243&lt;E$26,D$25,E243&lt;E$27,D$26,E243&lt;E$28,D$27,E243&lt;E$29,D$28,E243&lt;E$30,D$29,E243&lt;E$31,D$30,E243&lt;E$32,D$31,E243&lt;E$33,D$32,E243&lt;E$34,D$33,E243&lt;E$35,D$34,E243&gt;=E$35,D$35)</f>
        <v/>
      </c>
      <c r="E243" s="38" t="n">
        <v>193</v>
      </c>
      <c r="F243" s="31">
        <f>E243/52</f>
        <v/>
      </c>
      <c r="G243" s="39">
        <f>D243/1000000*52</f>
        <v/>
      </c>
      <c r="H243" s="33">
        <f>G243/$P$4+($C$22/$P$4)</f>
        <v/>
      </c>
      <c r="I243" s="36">
        <f>_xlfn.IFS(K243&lt;K$24,0,K243&lt;K$26,I$24,K243&lt;K$28,I$26,K243&lt;K$30,I$28,K243&lt;K$32,I$30,K243&lt;K$34,I$32,K243&lt;K$36,I$34,K243&lt;K$38,I$36,K243&lt;K$40,I$38,K243&lt;K$42,I$40,K243&lt;K$44,I$42,K243&lt;K$46,I$44,K243&gt;=K$46,I$46)</f>
        <v/>
      </c>
      <c r="J243" s="37">
        <f>_xlfn.IFS(K243&lt;K$24,0,K243&lt;K$25,J$24,K243&lt;K$26,J$25,K243&lt;K$27,J$26,K243&lt;K$28,J$27,K243&lt;K$29,J$28,K243&lt;K$30,J$29,K243&lt;K$31,J$30,K243&lt;K$32,J$31,K243&lt;K$33,J$32,K243&lt;K$34,J$33,K243&lt;K$35,J$34,K243&lt;K$36,J$35,K243&lt;K$37,J$36,K243&lt;K$38,J$37,K243&lt;K$39,J$38,K243&lt;K$40,J$39,K243&lt;K$41,J$40,K243&lt;K$42,J$41,K243&lt;K$43,J$42,K243&lt;K$44,J$43,K243&lt;K$45,J$44,K243&lt;K$46,J$45,K243&lt;K$47,J$46,K243&gt;=K$47,J$47)</f>
        <v/>
      </c>
      <c r="K243" s="38" t="n">
        <v>193</v>
      </c>
      <c r="L243" s="31">
        <f>K243/52</f>
        <v/>
      </c>
      <c r="M243" s="39">
        <f>J243/1000000*52</f>
        <v/>
      </c>
      <c r="N243" s="33">
        <f>M243/$P$4+($I$22/$P$4)</f>
        <v/>
      </c>
      <c r="U243">
        <f>F242</f>
        <v/>
      </c>
      <c r="V243">
        <f>H242</f>
        <v/>
      </c>
      <c r="W243">
        <f>N242</f>
        <v/>
      </c>
    </row>
    <row r="244" ht="15.75" customHeight="1" s="40">
      <c r="C244" s="36">
        <f>_xlfn.IFS(E244&lt;E$24,0,E244&lt;E$26,C$24,E244&lt;E$28,C$26,E244&lt;E$30,C$28,E244&lt;E$32,C$30,E244&lt;E$34,C$32,E244&gt;=E$34,C$34)</f>
        <v/>
      </c>
      <c r="D244" s="37">
        <f>_xlfn.IFS(E244&lt;E$24,0,E244&lt;E$25,D$24,E244&lt;E$26,D$25,E244&lt;E$27,D$26,E244&lt;E$28,D$27,E244&lt;E$29,D$28,E244&lt;E$30,D$29,E244&lt;E$31,D$30,E244&lt;E$32,D$31,E244&lt;E$33,D$32,E244&lt;E$34,D$33,E244&lt;E$35,D$34,E244&gt;=E$35,D$35)</f>
        <v/>
      </c>
      <c r="E244" s="38" t="n">
        <v>194</v>
      </c>
      <c r="F244" s="31">
        <f>E244/52</f>
        <v/>
      </c>
      <c r="G244" s="39">
        <f>D244/1000000*52</f>
        <v/>
      </c>
      <c r="H244" s="33">
        <f>G244/$P$4+($C$22/$P$4)</f>
        <v/>
      </c>
      <c r="I244" s="36">
        <f>_xlfn.IFS(K244&lt;K$24,0,K244&lt;K$26,I$24,K244&lt;K$28,I$26,K244&lt;K$30,I$28,K244&lt;K$32,I$30,K244&lt;K$34,I$32,K244&lt;K$36,I$34,K244&lt;K$38,I$36,K244&lt;K$40,I$38,K244&lt;K$42,I$40,K244&lt;K$44,I$42,K244&lt;K$46,I$44,K244&gt;=K$46,I$46)</f>
        <v/>
      </c>
      <c r="J244" s="37">
        <f>_xlfn.IFS(K244&lt;K$24,0,K244&lt;K$25,J$24,K244&lt;K$26,J$25,K244&lt;K$27,J$26,K244&lt;K$28,J$27,K244&lt;K$29,J$28,K244&lt;K$30,J$29,K244&lt;K$31,J$30,K244&lt;K$32,J$31,K244&lt;K$33,J$32,K244&lt;K$34,J$33,K244&lt;K$35,J$34,K244&lt;K$36,J$35,K244&lt;K$37,J$36,K244&lt;K$38,J$37,K244&lt;K$39,J$38,K244&lt;K$40,J$39,K244&lt;K$41,J$40,K244&lt;K$42,J$41,K244&lt;K$43,J$42,K244&lt;K$44,J$43,K244&lt;K$45,J$44,K244&lt;K$46,J$45,K244&lt;K$47,J$46,K244&gt;=K$47,J$47)</f>
        <v/>
      </c>
      <c r="K244" s="38" t="n">
        <v>194</v>
      </c>
      <c r="L244" s="31">
        <f>K244/52</f>
        <v/>
      </c>
      <c r="M244" s="39">
        <f>J244/1000000*52</f>
        <v/>
      </c>
      <c r="N244" s="33">
        <f>M244/$P$4+($I$22/$P$4)</f>
        <v/>
      </c>
      <c r="U244">
        <f>F243</f>
        <v/>
      </c>
      <c r="V244">
        <f>H243</f>
        <v/>
      </c>
      <c r="W244">
        <f>N243</f>
        <v/>
      </c>
    </row>
    <row r="245" ht="15.75" customHeight="1" s="40">
      <c r="C245" s="36">
        <f>_xlfn.IFS(E245&lt;E$24,0,E245&lt;E$26,C$24,E245&lt;E$28,C$26,E245&lt;E$30,C$28,E245&lt;E$32,C$30,E245&lt;E$34,C$32,E245&gt;=E$34,C$34)</f>
        <v/>
      </c>
      <c r="D245" s="37">
        <f>_xlfn.IFS(E245&lt;E$24,0,E245&lt;E$25,D$24,E245&lt;E$26,D$25,E245&lt;E$27,D$26,E245&lt;E$28,D$27,E245&lt;E$29,D$28,E245&lt;E$30,D$29,E245&lt;E$31,D$30,E245&lt;E$32,D$31,E245&lt;E$33,D$32,E245&lt;E$34,D$33,E245&lt;E$35,D$34,E245&gt;=E$35,D$35)</f>
        <v/>
      </c>
      <c r="E245" s="38" t="n">
        <v>195</v>
      </c>
      <c r="F245" s="31">
        <f>E245/52</f>
        <v/>
      </c>
      <c r="G245" s="39">
        <f>D245/1000000*52</f>
        <v/>
      </c>
      <c r="H245" s="33">
        <f>G245/$P$4+($C$22/$P$4)</f>
        <v/>
      </c>
      <c r="I245" s="36">
        <f>_xlfn.IFS(K245&lt;K$24,0,K245&lt;K$26,I$24,K245&lt;K$28,I$26,K245&lt;K$30,I$28,K245&lt;K$32,I$30,K245&lt;K$34,I$32,K245&lt;K$36,I$34,K245&lt;K$38,I$36,K245&lt;K$40,I$38,K245&lt;K$42,I$40,K245&lt;K$44,I$42,K245&lt;K$46,I$44,K245&gt;=K$46,I$46)</f>
        <v/>
      </c>
      <c r="J245" s="37">
        <f>_xlfn.IFS(K245&lt;K$24,0,K245&lt;K$25,J$24,K245&lt;K$26,J$25,K245&lt;K$27,J$26,K245&lt;K$28,J$27,K245&lt;K$29,J$28,K245&lt;K$30,J$29,K245&lt;K$31,J$30,K245&lt;K$32,J$31,K245&lt;K$33,J$32,K245&lt;K$34,J$33,K245&lt;K$35,J$34,K245&lt;K$36,J$35,K245&lt;K$37,J$36,K245&lt;K$38,J$37,K245&lt;K$39,J$38,K245&lt;K$40,J$39,K245&lt;K$41,J$40,K245&lt;K$42,J$41,K245&lt;K$43,J$42,K245&lt;K$44,J$43,K245&lt;K$45,J$44,K245&lt;K$46,J$45,K245&lt;K$47,J$46,K245&gt;=K$47,J$47)</f>
        <v/>
      </c>
      <c r="K245" s="38" t="n">
        <v>195</v>
      </c>
      <c r="L245" s="31">
        <f>K245/52</f>
        <v/>
      </c>
      <c r="M245" s="39">
        <f>J245/1000000*52</f>
        <v/>
      </c>
      <c r="N245" s="33">
        <f>M245/$P$4+($I$22/$P$4)</f>
        <v/>
      </c>
      <c r="U245">
        <f>F244</f>
        <v/>
      </c>
      <c r="V245">
        <f>H244</f>
        <v/>
      </c>
      <c r="W245">
        <f>N244</f>
        <v/>
      </c>
    </row>
    <row r="246" ht="15.75" customHeight="1" s="40">
      <c r="C246" s="36">
        <f>_xlfn.IFS(E246&lt;E$24,0,E246&lt;E$26,C$24,E246&lt;E$28,C$26,E246&lt;E$30,C$28,E246&lt;E$32,C$30,E246&lt;E$34,C$32,E246&gt;=E$34,C$34)</f>
        <v/>
      </c>
      <c r="D246" s="37">
        <f>_xlfn.IFS(E246&lt;E$24,0,E246&lt;E$25,D$24,E246&lt;E$26,D$25,E246&lt;E$27,D$26,E246&lt;E$28,D$27,E246&lt;E$29,D$28,E246&lt;E$30,D$29,E246&lt;E$31,D$30,E246&lt;E$32,D$31,E246&lt;E$33,D$32,E246&lt;E$34,D$33,E246&lt;E$35,D$34,E246&gt;=E$35,D$35)</f>
        <v/>
      </c>
      <c r="E246" s="38" t="n">
        <v>196</v>
      </c>
      <c r="F246" s="31">
        <f>E246/52</f>
        <v/>
      </c>
      <c r="G246" s="39">
        <f>D246/1000000*52</f>
        <v/>
      </c>
      <c r="H246" s="33">
        <f>G246/$P$4+($C$22/$P$4)</f>
        <v/>
      </c>
      <c r="I246" s="36">
        <f>_xlfn.IFS(K246&lt;K$24,0,K246&lt;K$26,I$24,K246&lt;K$28,I$26,K246&lt;K$30,I$28,K246&lt;K$32,I$30,K246&lt;K$34,I$32,K246&lt;K$36,I$34,K246&lt;K$38,I$36,K246&lt;K$40,I$38,K246&lt;K$42,I$40,K246&lt;K$44,I$42,K246&lt;K$46,I$44,K246&gt;=K$46,I$46)</f>
        <v/>
      </c>
      <c r="J246" s="37">
        <f>_xlfn.IFS(K246&lt;K$24,0,K246&lt;K$25,J$24,K246&lt;K$26,J$25,K246&lt;K$27,J$26,K246&lt;K$28,J$27,K246&lt;K$29,J$28,K246&lt;K$30,J$29,K246&lt;K$31,J$30,K246&lt;K$32,J$31,K246&lt;K$33,J$32,K246&lt;K$34,J$33,K246&lt;K$35,J$34,K246&lt;K$36,J$35,K246&lt;K$37,J$36,K246&lt;K$38,J$37,K246&lt;K$39,J$38,K246&lt;K$40,J$39,K246&lt;K$41,J$40,K246&lt;K$42,J$41,K246&lt;K$43,J$42,K246&lt;K$44,J$43,K246&lt;K$45,J$44,K246&lt;K$46,J$45,K246&lt;K$47,J$46,K246&gt;=K$47,J$47)</f>
        <v/>
      </c>
      <c r="K246" s="38" t="n">
        <v>196</v>
      </c>
      <c r="L246" s="31">
        <f>K246/52</f>
        <v/>
      </c>
      <c r="M246" s="39">
        <f>J246/1000000*52</f>
        <v/>
      </c>
      <c r="N246" s="33">
        <f>M246/$P$4+($I$22/$P$4)</f>
        <v/>
      </c>
      <c r="U246">
        <f>F245</f>
        <v/>
      </c>
      <c r="V246">
        <f>H245</f>
        <v/>
      </c>
      <c r="W246">
        <f>N245</f>
        <v/>
      </c>
    </row>
    <row r="247" ht="15.75" customHeight="1" s="40">
      <c r="C247" s="36">
        <f>_xlfn.IFS(E247&lt;E$24,0,E247&lt;E$26,C$24,E247&lt;E$28,C$26,E247&lt;E$30,C$28,E247&lt;E$32,C$30,E247&lt;E$34,C$32,E247&gt;=E$34,C$34)</f>
        <v/>
      </c>
      <c r="D247" s="37">
        <f>_xlfn.IFS(E247&lt;E$24,0,E247&lt;E$25,D$24,E247&lt;E$26,D$25,E247&lt;E$27,D$26,E247&lt;E$28,D$27,E247&lt;E$29,D$28,E247&lt;E$30,D$29,E247&lt;E$31,D$30,E247&lt;E$32,D$31,E247&lt;E$33,D$32,E247&lt;E$34,D$33,E247&lt;E$35,D$34,E247&gt;=E$35,D$35)</f>
        <v/>
      </c>
      <c r="E247" s="38" t="n">
        <v>197</v>
      </c>
      <c r="F247" s="31">
        <f>E247/52</f>
        <v/>
      </c>
      <c r="G247" s="39">
        <f>D247/1000000*52</f>
        <v/>
      </c>
      <c r="H247" s="33">
        <f>G247/$P$4+($C$22/$P$4)</f>
        <v/>
      </c>
      <c r="I247" s="36">
        <f>_xlfn.IFS(K247&lt;K$24,0,K247&lt;K$26,I$24,K247&lt;K$28,I$26,K247&lt;K$30,I$28,K247&lt;K$32,I$30,K247&lt;K$34,I$32,K247&lt;K$36,I$34,K247&lt;K$38,I$36,K247&lt;K$40,I$38,K247&lt;K$42,I$40,K247&lt;K$44,I$42,K247&lt;K$46,I$44,K247&gt;=K$46,I$46)</f>
        <v/>
      </c>
      <c r="J247" s="37">
        <f>_xlfn.IFS(K247&lt;K$24,0,K247&lt;K$25,J$24,K247&lt;K$26,J$25,K247&lt;K$27,J$26,K247&lt;K$28,J$27,K247&lt;K$29,J$28,K247&lt;K$30,J$29,K247&lt;K$31,J$30,K247&lt;K$32,J$31,K247&lt;K$33,J$32,K247&lt;K$34,J$33,K247&lt;K$35,J$34,K247&lt;K$36,J$35,K247&lt;K$37,J$36,K247&lt;K$38,J$37,K247&lt;K$39,J$38,K247&lt;K$40,J$39,K247&lt;K$41,J$40,K247&lt;K$42,J$41,K247&lt;K$43,J$42,K247&lt;K$44,J$43,K247&lt;K$45,J$44,K247&lt;K$46,J$45,K247&lt;K$47,J$46,K247&gt;=K$47,J$47)</f>
        <v/>
      </c>
      <c r="K247" s="38" t="n">
        <v>197</v>
      </c>
      <c r="L247" s="31">
        <f>K247/52</f>
        <v/>
      </c>
      <c r="M247" s="39">
        <f>J247/1000000*52</f>
        <v/>
      </c>
      <c r="N247" s="33">
        <f>M247/$P$4+($I$22/$P$4)</f>
        <v/>
      </c>
      <c r="U247">
        <f>F246</f>
        <v/>
      </c>
      <c r="V247">
        <f>H246</f>
        <v/>
      </c>
      <c r="W247">
        <f>N246</f>
        <v/>
      </c>
    </row>
    <row r="248" ht="15.75" customHeight="1" s="40">
      <c r="C248" s="36">
        <f>_xlfn.IFS(E248&lt;E$24,0,E248&lt;E$26,C$24,E248&lt;E$28,C$26,E248&lt;E$30,C$28,E248&lt;E$32,C$30,E248&lt;E$34,C$32,E248&gt;=E$34,C$34)</f>
        <v/>
      </c>
      <c r="D248" s="37">
        <f>_xlfn.IFS(E248&lt;E$24,0,E248&lt;E$25,D$24,E248&lt;E$26,D$25,E248&lt;E$27,D$26,E248&lt;E$28,D$27,E248&lt;E$29,D$28,E248&lt;E$30,D$29,E248&lt;E$31,D$30,E248&lt;E$32,D$31,E248&lt;E$33,D$32,E248&lt;E$34,D$33,E248&lt;E$35,D$34,E248&gt;=E$35,D$35)</f>
        <v/>
      </c>
      <c r="E248" s="38" t="n">
        <v>198</v>
      </c>
      <c r="F248" s="31">
        <f>E248/52</f>
        <v/>
      </c>
      <c r="G248" s="39">
        <f>D248/1000000*52</f>
        <v/>
      </c>
      <c r="H248" s="33">
        <f>G248/$P$4+($C$22/$P$4)</f>
        <v/>
      </c>
      <c r="I248" s="36">
        <f>_xlfn.IFS(K248&lt;K$24,0,K248&lt;K$26,I$24,K248&lt;K$28,I$26,K248&lt;K$30,I$28,K248&lt;K$32,I$30,K248&lt;K$34,I$32,K248&lt;K$36,I$34,K248&lt;K$38,I$36,K248&lt;K$40,I$38,K248&lt;K$42,I$40,K248&lt;K$44,I$42,K248&lt;K$46,I$44,K248&gt;=K$46,I$46)</f>
        <v/>
      </c>
      <c r="J248" s="37">
        <f>_xlfn.IFS(K248&lt;K$24,0,K248&lt;K$25,J$24,K248&lt;K$26,J$25,K248&lt;K$27,J$26,K248&lt;K$28,J$27,K248&lt;K$29,J$28,K248&lt;K$30,J$29,K248&lt;K$31,J$30,K248&lt;K$32,J$31,K248&lt;K$33,J$32,K248&lt;K$34,J$33,K248&lt;K$35,J$34,K248&lt;K$36,J$35,K248&lt;K$37,J$36,K248&lt;K$38,J$37,K248&lt;K$39,J$38,K248&lt;K$40,J$39,K248&lt;K$41,J$40,K248&lt;K$42,J$41,K248&lt;K$43,J$42,K248&lt;K$44,J$43,K248&lt;K$45,J$44,K248&lt;K$46,J$45,K248&lt;K$47,J$46,K248&gt;=K$47,J$47)</f>
        <v/>
      </c>
      <c r="K248" s="38" t="n">
        <v>198</v>
      </c>
      <c r="L248" s="31">
        <f>K248/52</f>
        <v/>
      </c>
      <c r="M248" s="39">
        <f>J248/1000000*52</f>
        <v/>
      </c>
      <c r="N248" s="33">
        <f>M248/$P$4+($I$22/$P$4)</f>
        <v/>
      </c>
      <c r="U248">
        <f>F247</f>
        <v/>
      </c>
      <c r="V248">
        <f>H247</f>
        <v/>
      </c>
      <c r="W248">
        <f>N247</f>
        <v/>
      </c>
    </row>
    <row r="249" ht="15.75" customHeight="1" s="40">
      <c r="C249" s="36">
        <f>_xlfn.IFS(E249&lt;E$24,0,E249&lt;E$26,C$24,E249&lt;E$28,C$26,E249&lt;E$30,C$28,E249&lt;E$32,C$30,E249&lt;E$34,C$32,E249&gt;=E$34,C$34)</f>
        <v/>
      </c>
      <c r="D249" s="37">
        <f>_xlfn.IFS(E249&lt;E$24,0,E249&lt;E$25,D$24,E249&lt;E$26,D$25,E249&lt;E$27,D$26,E249&lt;E$28,D$27,E249&lt;E$29,D$28,E249&lt;E$30,D$29,E249&lt;E$31,D$30,E249&lt;E$32,D$31,E249&lt;E$33,D$32,E249&lt;E$34,D$33,E249&lt;E$35,D$34,E249&gt;=E$35,D$35)</f>
        <v/>
      </c>
      <c r="E249" s="38" t="n">
        <v>199</v>
      </c>
      <c r="F249" s="31">
        <f>E249/52</f>
        <v/>
      </c>
      <c r="G249" s="39">
        <f>D249/1000000*52</f>
        <v/>
      </c>
      <c r="H249" s="33">
        <f>G249/$P$4+($C$22/$P$4)</f>
        <v/>
      </c>
      <c r="I249" s="36">
        <f>_xlfn.IFS(K249&lt;K$24,0,K249&lt;K$26,I$24,K249&lt;K$28,I$26,K249&lt;K$30,I$28,K249&lt;K$32,I$30,K249&lt;K$34,I$32,K249&lt;K$36,I$34,K249&lt;K$38,I$36,K249&lt;K$40,I$38,K249&lt;K$42,I$40,K249&lt;K$44,I$42,K249&lt;K$46,I$44,K249&gt;=K$46,I$46)</f>
        <v/>
      </c>
      <c r="J249" s="37">
        <f>_xlfn.IFS(K249&lt;K$24,0,K249&lt;K$25,J$24,K249&lt;K$26,J$25,K249&lt;K$27,J$26,K249&lt;K$28,J$27,K249&lt;K$29,J$28,K249&lt;K$30,J$29,K249&lt;K$31,J$30,K249&lt;K$32,J$31,K249&lt;K$33,J$32,K249&lt;K$34,J$33,K249&lt;K$35,J$34,K249&lt;K$36,J$35,K249&lt;K$37,J$36,K249&lt;K$38,J$37,K249&lt;K$39,J$38,K249&lt;K$40,J$39,K249&lt;K$41,J$40,K249&lt;K$42,J$41,K249&lt;K$43,J$42,K249&lt;K$44,J$43,K249&lt;K$45,J$44,K249&lt;K$46,J$45,K249&lt;K$47,J$46,K249&gt;=K$47,J$47)</f>
        <v/>
      </c>
      <c r="K249" s="38" t="n">
        <v>199</v>
      </c>
      <c r="L249" s="31">
        <f>K249/52</f>
        <v/>
      </c>
      <c r="M249" s="39">
        <f>J249/1000000*52</f>
        <v/>
      </c>
      <c r="N249" s="33">
        <f>M249/$P$4+($I$22/$P$4)</f>
        <v/>
      </c>
      <c r="U249">
        <f>F248</f>
        <v/>
      </c>
      <c r="V249">
        <f>H248</f>
        <v/>
      </c>
      <c r="W249">
        <f>N248</f>
        <v/>
      </c>
    </row>
    <row r="250" ht="15.75" customHeight="1" s="40">
      <c r="C250" s="36">
        <f>_xlfn.IFS(E250&lt;E$24,0,E250&lt;E$26,C$24,E250&lt;E$28,C$26,E250&lt;E$30,C$28,E250&lt;E$32,C$30,E250&lt;E$34,C$32,E250&gt;=E$34,C$34)</f>
        <v/>
      </c>
      <c r="D250" s="37">
        <f>_xlfn.IFS(E250&lt;E$24,0,E250&lt;E$25,D$24,E250&lt;E$26,D$25,E250&lt;E$27,D$26,E250&lt;E$28,D$27,E250&lt;E$29,D$28,E250&lt;E$30,D$29,E250&lt;E$31,D$30,E250&lt;E$32,D$31,E250&lt;E$33,D$32,E250&lt;E$34,D$33,E250&lt;E$35,D$34,E250&gt;=E$35,D$35)</f>
        <v/>
      </c>
      <c r="E250" s="38" t="n">
        <v>200</v>
      </c>
      <c r="F250" s="31">
        <f>E250/52</f>
        <v/>
      </c>
      <c r="G250" s="39">
        <f>D250/1000000*52</f>
        <v/>
      </c>
      <c r="H250" s="33">
        <f>G250/$P$4+($C$22/$P$4)</f>
        <v/>
      </c>
      <c r="I250" s="36">
        <f>_xlfn.IFS(K250&lt;K$24,0,K250&lt;K$26,I$24,K250&lt;K$28,I$26,K250&lt;K$30,I$28,K250&lt;K$32,I$30,K250&lt;K$34,I$32,K250&lt;K$36,I$34,K250&lt;K$38,I$36,K250&lt;K$40,I$38,K250&lt;K$42,I$40,K250&lt;K$44,I$42,K250&lt;K$46,I$44,K250&gt;=K$46,I$46)</f>
        <v/>
      </c>
      <c r="J250" s="37">
        <f>_xlfn.IFS(K250&lt;K$24,0,K250&lt;K$25,J$24,K250&lt;K$26,J$25,K250&lt;K$27,J$26,K250&lt;K$28,J$27,K250&lt;K$29,J$28,K250&lt;K$30,J$29,K250&lt;K$31,J$30,K250&lt;K$32,J$31,K250&lt;K$33,J$32,K250&lt;K$34,J$33,K250&lt;K$35,J$34,K250&lt;K$36,J$35,K250&lt;K$37,J$36,K250&lt;K$38,J$37,K250&lt;K$39,J$38,K250&lt;K$40,J$39,K250&lt;K$41,J$40,K250&lt;K$42,J$41,K250&lt;K$43,J$42,K250&lt;K$44,J$43,K250&lt;K$45,J$44,K250&lt;K$46,J$45,K250&lt;K$47,J$46,K250&gt;=K$47,J$47)</f>
        <v/>
      </c>
      <c r="K250" s="38" t="n">
        <v>200</v>
      </c>
      <c r="L250" s="31">
        <f>K250/52</f>
        <v/>
      </c>
      <c r="M250" s="39">
        <f>J250/1000000*52</f>
        <v/>
      </c>
      <c r="N250" s="33">
        <f>M250/$P$4+($I$22/$P$4)</f>
        <v/>
      </c>
      <c r="U250">
        <f>F249</f>
        <v/>
      </c>
      <c r="V250">
        <f>H249</f>
        <v/>
      </c>
      <c r="W250">
        <f>N249</f>
        <v/>
      </c>
    </row>
    <row r="251" ht="15.75" customHeight="1" s="40">
      <c r="C251" s="36">
        <f>_xlfn.IFS(E251&lt;E$24,0,E251&lt;E$26,C$24,E251&lt;E$28,C$26,E251&lt;E$30,C$28,E251&lt;E$32,C$30,E251&lt;E$34,C$32,E251&gt;=E$34,C$34)</f>
        <v/>
      </c>
      <c r="D251" s="37">
        <f>_xlfn.IFS(E251&lt;E$24,0,E251&lt;E$25,D$24,E251&lt;E$26,D$25,E251&lt;E$27,D$26,E251&lt;E$28,D$27,E251&lt;E$29,D$28,E251&lt;E$30,D$29,E251&lt;E$31,D$30,E251&lt;E$32,D$31,E251&lt;E$33,D$32,E251&lt;E$34,D$33,E251&lt;E$35,D$34,E251&gt;=E$35,D$35)</f>
        <v/>
      </c>
      <c r="E251" s="38" t="n">
        <v>201</v>
      </c>
      <c r="F251" s="31">
        <f>E251/52</f>
        <v/>
      </c>
      <c r="G251" s="39">
        <f>D251/1000000*52</f>
        <v/>
      </c>
      <c r="H251" s="33">
        <f>G251/$P$4+($C$22/$P$4)</f>
        <v/>
      </c>
      <c r="I251" s="36">
        <f>_xlfn.IFS(K251&lt;K$24,0,K251&lt;K$26,I$24,K251&lt;K$28,I$26,K251&lt;K$30,I$28,K251&lt;K$32,I$30,K251&lt;K$34,I$32,K251&lt;K$36,I$34,K251&lt;K$38,I$36,K251&lt;K$40,I$38,K251&lt;K$42,I$40,K251&lt;K$44,I$42,K251&lt;K$46,I$44,K251&gt;=K$46,I$46)</f>
        <v/>
      </c>
      <c r="J251" s="37">
        <f>_xlfn.IFS(K251&lt;K$24,0,K251&lt;K$25,J$24,K251&lt;K$26,J$25,K251&lt;K$27,J$26,K251&lt;K$28,J$27,K251&lt;K$29,J$28,K251&lt;K$30,J$29,K251&lt;K$31,J$30,K251&lt;K$32,J$31,K251&lt;K$33,J$32,K251&lt;K$34,J$33,K251&lt;K$35,J$34,K251&lt;K$36,J$35,K251&lt;K$37,J$36,K251&lt;K$38,J$37,K251&lt;K$39,J$38,K251&lt;K$40,J$39,K251&lt;K$41,J$40,K251&lt;K$42,J$41,K251&lt;K$43,J$42,K251&lt;K$44,J$43,K251&lt;K$45,J$44,K251&lt;K$46,J$45,K251&lt;K$47,J$46,K251&gt;=K$47,J$47)</f>
        <v/>
      </c>
      <c r="K251" s="38" t="n">
        <v>201</v>
      </c>
      <c r="L251" s="31">
        <f>K251/52</f>
        <v/>
      </c>
      <c r="M251" s="39">
        <f>J251/1000000*52</f>
        <v/>
      </c>
      <c r="N251" s="33">
        <f>M251/$P$4+($I$22/$P$4)</f>
        <v/>
      </c>
      <c r="U251">
        <f>F250</f>
        <v/>
      </c>
      <c r="V251">
        <f>H250</f>
        <v/>
      </c>
      <c r="W251">
        <f>N250</f>
        <v/>
      </c>
    </row>
    <row r="252" ht="15.75" customHeight="1" s="40">
      <c r="C252" s="36">
        <f>_xlfn.IFS(E252&lt;E$24,0,E252&lt;E$26,C$24,E252&lt;E$28,C$26,E252&lt;E$30,C$28,E252&lt;E$32,C$30,E252&lt;E$34,C$32,E252&gt;=E$34,C$34)</f>
        <v/>
      </c>
      <c r="D252" s="37">
        <f>_xlfn.IFS(E252&lt;E$24,0,E252&lt;E$25,D$24,E252&lt;E$26,D$25,E252&lt;E$27,D$26,E252&lt;E$28,D$27,E252&lt;E$29,D$28,E252&lt;E$30,D$29,E252&lt;E$31,D$30,E252&lt;E$32,D$31,E252&lt;E$33,D$32,E252&lt;E$34,D$33,E252&lt;E$35,D$34,E252&gt;=E$35,D$35)</f>
        <v/>
      </c>
      <c r="E252" s="38" t="n">
        <v>202</v>
      </c>
      <c r="F252" s="31">
        <f>E252/52</f>
        <v/>
      </c>
      <c r="G252" s="39">
        <f>D252/1000000*52</f>
        <v/>
      </c>
      <c r="H252" s="33">
        <f>G252/$P$4+($C$22/$P$4)</f>
        <v/>
      </c>
      <c r="I252" s="36">
        <f>_xlfn.IFS(K252&lt;K$24,0,K252&lt;K$26,I$24,K252&lt;K$28,I$26,K252&lt;K$30,I$28,K252&lt;K$32,I$30,K252&lt;K$34,I$32,K252&lt;K$36,I$34,K252&lt;K$38,I$36,K252&lt;K$40,I$38,K252&lt;K$42,I$40,K252&lt;K$44,I$42,K252&lt;K$46,I$44,K252&gt;=K$46,I$46)</f>
        <v/>
      </c>
      <c r="J252" s="37">
        <f>_xlfn.IFS(K252&lt;K$24,0,K252&lt;K$25,J$24,K252&lt;K$26,J$25,K252&lt;K$27,J$26,K252&lt;K$28,J$27,K252&lt;K$29,J$28,K252&lt;K$30,J$29,K252&lt;K$31,J$30,K252&lt;K$32,J$31,K252&lt;K$33,J$32,K252&lt;K$34,J$33,K252&lt;K$35,J$34,K252&lt;K$36,J$35,K252&lt;K$37,J$36,K252&lt;K$38,J$37,K252&lt;K$39,J$38,K252&lt;K$40,J$39,K252&lt;K$41,J$40,K252&lt;K$42,J$41,K252&lt;K$43,J$42,K252&lt;K$44,J$43,K252&lt;K$45,J$44,K252&lt;K$46,J$45,K252&lt;K$47,J$46,K252&gt;=K$47,J$47)</f>
        <v/>
      </c>
      <c r="K252" s="38" t="n">
        <v>202</v>
      </c>
      <c r="L252" s="31">
        <f>K252/52</f>
        <v/>
      </c>
      <c r="M252" s="39">
        <f>J252/1000000*52</f>
        <v/>
      </c>
      <c r="N252" s="33">
        <f>M252/$P$4+($I$22/$P$4)</f>
        <v/>
      </c>
      <c r="U252">
        <f>F251</f>
        <v/>
      </c>
      <c r="V252">
        <f>H251</f>
        <v/>
      </c>
      <c r="W252">
        <f>N251</f>
        <v/>
      </c>
    </row>
    <row r="253" ht="15.75" customHeight="1" s="40">
      <c r="C253" s="36">
        <f>_xlfn.IFS(E253&lt;E$24,0,E253&lt;E$26,C$24,E253&lt;E$28,C$26,E253&lt;E$30,C$28,E253&lt;E$32,C$30,E253&lt;E$34,C$32,E253&gt;=E$34,C$34)</f>
        <v/>
      </c>
      <c r="D253" s="37">
        <f>_xlfn.IFS(E253&lt;E$24,0,E253&lt;E$25,D$24,E253&lt;E$26,D$25,E253&lt;E$27,D$26,E253&lt;E$28,D$27,E253&lt;E$29,D$28,E253&lt;E$30,D$29,E253&lt;E$31,D$30,E253&lt;E$32,D$31,E253&lt;E$33,D$32,E253&lt;E$34,D$33,E253&lt;E$35,D$34,E253&gt;=E$35,D$35)</f>
        <v/>
      </c>
      <c r="E253" s="38" t="n">
        <v>203</v>
      </c>
      <c r="F253" s="31">
        <f>E253/52</f>
        <v/>
      </c>
      <c r="G253" s="39">
        <f>D253/1000000*52</f>
        <v/>
      </c>
      <c r="H253" s="33">
        <f>G253/$P$4+($C$22/$P$4)</f>
        <v/>
      </c>
      <c r="I253" s="36">
        <f>_xlfn.IFS(K253&lt;K$24,0,K253&lt;K$26,I$24,K253&lt;K$28,I$26,K253&lt;K$30,I$28,K253&lt;K$32,I$30,K253&lt;K$34,I$32,K253&lt;K$36,I$34,K253&lt;K$38,I$36,K253&lt;K$40,I$38,K253&lt;K$42,I$40,K253&lt;K$44,I$42,K253&lt;K$46,I$44,K253&gt;=K$46,I$46)</f>
        <v/>
      </c>
      <c r="J253" s="37">
        <f>_xlfn.IFS(K253&lt;K$24,0,K253&lt;K$25,J$24,K253&lt;K$26,J$25,K253&lt;K$27,J$26,K253&lt;K$28,J$27,K253&lt;K$29,J$28,K253&lt;K$30,J$29,K253&lt;K$31,J$30,K253&lt;K$32,J$31,K253&lt;K$33,J$32,K253&lt;K$34,J$33,K253&lt;K$35,J$34,K253&lt;K$36,J$35,K253&lt;K$37,J$36,K253&lt;K$38,J$37,K253&lt;K$39,J$38,K253&lt;K$40,J$39,K253&lt;K$41,J$40,K253&lt;K$42,J$41,K253&lt;K$43,J$42,K253&lt;K$44,J$43,K253&lt;K$45,J$44,K253&lt;K$46,J$45,K253&lt;K$47,J$46,K253&gt;=K$47,J$47)</f>
        <v/>
      </c>
      <c r="K253" s="38" t="n">
        <v>203</v>
      </c>
      <c r="L253" s="31">
        <f>K253/52</f>
        <v/>
      </c>
      <c r="M253" s="39">
        <f>J253/1000000*52</f>
        <v/>
      </c>
      <c r="N253" s="33">
        <f>M253/$P$4+($I$22/$P$4)</f>
        <v/>
      </c>
      <c r="U253">
        <f>F252</f>
        <v/>
      </c>
      <c r="V253">
        <f>H252</f>
        <v/>
      </c>
      <c r="W253">
        <f>N252</f>
        <v/>
      </c>
    </row>
    <row r="254" ht="15.75" customHeight="1" s="40">
      <c r="C254" s="36">
        <f>_xlfn.IFS(E254&lt;E$24,0,E254&lt;E$26,C$24,E254&lt;E$28,C$26,E254&lt;E$30,C$28,E254&lt;E$32,C$30,E254&lt;E$34,C$32,E254&gt;=E$34,C$34)</f>
        <v/>
      </c>
      <c r="D254" s="37">
        <f>_xlfn.IFS(E254&lt;E$24,0,E254&lt;E$25,D$24,E254&lt;E$26,D$25,E254&lt;E$27,D$26,E254&lt;E$28,D$27,E254&lt;E$29,D$28,E254&lt;E$30,D$29,E254&lt;E$31,D$30,E254&lt;E$32,D$31,E254&lt;E$33,D$32,E254&lt;E$34,D$33,E254&lt;E$35,D$34,E254&gt;=E$35,D$35)</f>
        <v/>
      </c>
      <c r="E254" s="38" t="n">
        <v>204</v>
      </c>
      <c r="F254" s="31">
        <f>E254/52</f>
        <v/>
      </c>
      <c r="G254" s="39">
        <f>D254/1000000*52</f>
        <v/>
      </c>
      <c r="H254" s="33">
        <f>G254/$P$4+($C$22/$P$4)</f>
        <v/>
      </c>
      <c r="I254" s="36">
        <f>_xlfn.IFS(K254&lt;K$24,0,K254&lt;K$26,I$24,K254&lt;K$28,I$26,K254&lt;K$30,I$28,K254&lt;K$32,I$30,K254&lt;K$34,I$32,K254&lt;K$36,I$34,K254&lt;K$38,I$36,K254&lt;K$40,I$38,K254&lt;K$42,I$40,K254&lt;K$44,I$42,K254&lt;K$46,I$44,K254&gt;=K$46,I$46)</f>
        <v/>
      </c>
      <c r="J254" s="37">
        <f>_xlfn.IFS(K254&lt;K$24,0,K254&lt;K$25,J$24,K254&lt;K$26,J$25,K254&lt;K$27,J$26,K254&lt;K$28,J$27,K254&lt;K$29,J$28,K254&lt;K$30,J$29,K254&lt;K$31,J$30,K254&lt;K$32,J$31,K254&lt;K$33,J$32,K254&lt;K$34,J$33,K254&lt;K$35,J$34,K254&lt;K$36,J$35,K254&lt;K$37,J$36,K254&lt;K$38,J$37,K254&lt;K$39,J$38,K254&lt;K$40,J$39,K254&lt;K$41,J$40,K254&lt;K$42,J$41,K254&lt;K$43,J$42,K254&lt;K$44,J$43,K254&lt;K$45,J$44,K254&lt;K$46,J$45,K254&lt;K$47,J$46,K254&gt;=K$47,J$47)</f>
        <v/>
      </c>
      <c r="K254" s="38" t="n">
        <v>204</v>
      </c>
      <c r="L254" s="31">
        <f>K254/52</f>
        <v/>
      </c>
      <c r="M254" s="39">
        <f>J254/1000000*52</f>
        <v/>
      </c>
      <c r="N254" s="33">
        <f>M254/$P$4+($I$22/$P$4)</f>
        <v/>
      </c>
      <c r="U254">
        <f>F253</f>
        <v/>
      </c>
      <c r="V254">
        <f>H253</f>
        <v/>
      </c>
      <c r="W254">
        <f>N253</f>
        <v/>
      </c>
    </row>
    <row r="255" ht="15.75" customHeight="1" s="40">
      <c r="C255" s="36">
        <f>_xlfn.IFS(E255&lt;E$24,0,E255&lt;E$26,C$24,E255&lt;E$28,C$26,E255&lt;E$30,C$28,E255&lt;E$32,C$30,E255&lt;E$34,C$32,E255&gt;=E$34,C$34)</f>
        <v/>
      </c>
      <c r="D255" s="37">
        <f>_xlfn.IFS(E255&lt;E$24,0,E255&lt;E$25,D$24,E255&lt;E$26,D$25,E255&lt;E$27,D$26,E255&lt;E$28,D$27,E255&lt;E$29,D$28,E255&lt;E$30,D$29,E255&lt;E$31,D$30,E255&lt;E$32,D$31,E255&lt;E$33,D$32,E255&lt;E$34,D$33,E255&lt;E$35,D$34,E255&gt;=E$35,D$35)</f>
        <v/>
      </c>
      <c r="E255" s="38" t="n">
        <v>205</v>
      </c>
      <c r="F255" s="31">
        <f>E255/52</f>
        <v/>
      </c>
      <c r="G255" s="39">
        <f>D255/1000000*52</f>
        <v/>
      </c>
      <c r="H255" s="33">
        <f>G255/$P$4+($C$22/$P$4)</f>
        <v/>
      </c>
      <c r="I255" s="36">
        <f>_xlfn.IFS(K255&lt;K$24,0,K255&lt;K$26,I$24,K255&lt;K$28,I$26,K255&lt;K$30,I$28,K255&lt;K$32,I$30,K255&lt;K$34,I$32,K255&lt;K$36,I$34,K255&lt;K$38,I$36,K255&lt;K$40,I$38,K255&lt;K$42,I$40,K255&lt;K$44,I$42,K255&lt;K$46,I$44,K255&gt;=K$46,I$46)</f>
        <v/>
      </c>
      <c r="J255" s="37">
        <f>_xlfn.IFS(K255&lt;K$24,0,K255&lt;K$25,J$24,K255&lt;K$26,J$25,K255&lt;K$27,J$26,K255&lt;K$28,J$27,K255&lt;K$29,J$28,K255&lt;K$30,J$29,K255&lt;K$31,J$30,K255&lt;K$32,J$31,K255&lt;K$33,J$32,K255&lt;K$34,J$33,K255&lt;K$35,J$34,K255&lt;K$36,J$35,K255&lt;K$37,J$36,K255&lt;K$38,J$37,K255&lt;K$39,J$38,K255&lt;K$40,J$39,K255&lt;K$41,J$40,K255&lt;K$42,J$41,K255&lt;K$43,J$42,K255&lt;K$44,J$43,K255&lt;K$45,J$44,K255&lt;K$46,J$45,K255&lt;K$47,J$46,K255&gt;=K$47,J$47)</f>
        <v/>
      </c>
      <c r="K255" s="38" t="n">
        <v>205</v>
      </c>
      <c r="L255" s="31">
        <f>K255/52</f>
        <v/>
      </c>
      <c r="M255" s="39">
        <f>J255/1000000*52</f>
        <v/>
      </c>
      <c r="N255" s="33">
        <f>M255/$P$4+($I$22/$P$4)</f>
        <v/>
      </c>
      <c r="U255">
        <f>F254</f>
        <v/>
      </c>
      <c r="V255">
        <f>H254</f>
        <v/>
      </c>
      <c r="W255">
        <f>N254</f>
        <v/>
      </c>
    </row>
    <row r="256" ht="15.75" customHeight="1" s="40">
      <c r="C256" s="36">
        <f>_xlfn.IFS(E256&lt;E$24,0,E256&lt;E$26,C$24,E256&lt;E$28,C$26,E256&lt;E$30,C$28,E256&lt;E$32,C$30,E256&lt;E$34,C$32,E256&gt;=E$34,C$34)</f>
        <v/>
      </c>
      <c r="D256" s="37">
        <f>_xlfn.IFS(E256&lt;E$24,0,E256&lt;E$25,D$24,E256&lt;E$26,D$25,E256&lt;E$27,D$26,E256&lt;E$28,D$27,E256&lt;E$29,D$28,E256&lt;E$30,D$29,E256&lt;E$31,D$30,E256&lt;E$32,D$31,E256&lt;E$33,D$32,E256&lt;E$34,D$33,E256&lt;E$35,D$34,E256&gt;=E$35,D$35)</f>
        <v/>
      </c>
      <c r="E256" s="38" t="n">
        <v>206</v>
      </c>
      <c r="F256" s="31">
        <f>E256/52</f>
        <v/>
      </c>
      <c r="G256" s="39">
        <f>D256/1000000*52</f>
        <v/>
      </c>
      <c r="H256" s="33">
        <f>G256/$P$4+($C$22/$P$4)</f>
        <v/>
      </c>
      <c r="I256" s="36">
        <f>_xlfn.IFS(K256&lt;K$24,0,K256&lt;K$26,I$24,K256&lt;K$28,I$26,K256&lt;K$30,I$28,K256&lt;K$32,I$30,K256&lt;K$34,I$32,K256&lt;K$36,I$34,K256&lt;K$38,I$36,K256&lt;K$40,I$38,K256&lt;K$42,I$40,K256&lt;K$44,I$42,K256&lt;K$46,I$44,K256&gt;=K$46,I$46)</f>
        <v/>
      </c>
      <c r="J256" s="37">
        <f>_xlfn.IFS(K256&lt;K$24,0,K256&lt;K$25,J$24,K256&lt;K$26,J$25,K256&lt;K$27,J$26,K256&lt;K$28,J$27,K256&lt;K$29,J$28,K256&lt;K$30,J$29,K256&lt;K$31,J$30,K256&lt;K$32,J$31,K256&lt;K$33,J$32,K256&lt;K$34,J$33,K256&lt;K$35,J$34,K256&lt;K$36,J$35,K256&lt;K$37,J$36,K256&lt;K$38,J$37,K256&lt;K$39,J$38,K256&lt;K$40,J$39,K256&lt;K$41,J$40,K256&lt;K$42,J$41,K256&lt;K$43,J$42,K256&lt;K$44,J$43,K256&lt;K$45,J$44,K256&lt;K$46,J$45,K256&lt;K$47,J$46,K256&gt;=K$47,J$47)</f>
        <v/>
      </c>
      <c r="K256" s="38" t="n">
        <v>206</v>
      </c>
      <c r="L256" s="31">
        <f>K256/52</f>
        <v/>
      </c>
      <c r="M256" s="39">
        <f>J256/1000000*52</f>
        <v/>
      </c>
      <c r="N256" s="33">
        <f>M256/$P$4+($I$22/$P$4)</f>
        <v/>
      </c>
      <c r="U256">
        <f>F255</f>
        <v/>
      </c>
      <c r="V256">
        <f>H255</f>
        <v/>
      </c>
      <c r="W256">
        <f>N255</f>
        <v/>
      </c>
    </row>
    <row r="257" ht="15.75" customHeight="1" s="40">
      <c r="C257" s="36">
        <f>_xlfn.IFS(E257&lt;E$24,0,E257&lt;E$26,C$24,E257&lt;E$28,C$26,E257&lt;E$30,C$28,E257&lt;E$32,C$30,E257&lt;E$34,C$32,E257&gt;=E$34,C$34)</f>
        <v/>
      </c>
      <c r="D257" s="37">
        <f>_xlfn.IFS(E257&lt;E$24,0,E257&lt;E$25,D$24,E257&lt;E$26,D$25,E257&lt;E$27,D$26,E257&lt;E$28,D$27,E257&lt;E$29,D$28,E257&lt;E$30,D$29,E257&lt;E$31,D$30,E257&lt;E$32,D$31,E257&lt;E$33,D$32,E257&lt;E$34,D$33,E257&lt;E$35,D$34,E257&gt;=E$35,D$35)</f>
        <v/>
      </c>
      <c r="E257" s="38" t="n">
        <v>207</v>
      </c>
      <c r="F257" s="31">
        <f>E257/52</f>
        <v/>
      </c>
      <c r="G257" s="39">
        <f>D257/1000000*52</f>
        <v/>
      </c>
      <c r="H257" s="33">
        <f>G257/$P$4+($C$22/$P$4)</f>
        <v/>
      </c>
      <c r="I257" s="36">
        <f>_xlfn.IFS(K257&lt;K$24,0,K257&lt;K$26,I$24,K257&lt;K$28,I$26,K257&lt;K$30,I$28,K257&lt;K$32,I$30,K257&lt;K$34,I$32,K257&lt;K$36,I$34,K257&lt;K$38,I$36,K257&lt;K$40,I$38,K257&lt;K$42,I$40,K257&lt;K$44,I$42,K257&lt;K$46,I$44,K257&gt;=K$46,I$46)</f>
        <v/>
      </c>
      <c r="J257" s="37">
        <f>_xlfn.IFS(K257&lt;K$24,0,K257&lt;K$25,J$24,K257&lt;K$26,J$25,K257&lt;K$27,J$26,K257&lt;K$28,J$27,K257&lt;K$29,J$28,K257&lt;K$30,J$29,K257&lt;K$31,J$30,K257&lt;K$32,J$31,K257&lt;K$33,J$32,K257&lt;K$34,J$33,K257&lt;K$35,J$34,K257&lt;K$36,J$35,K257&lt;K$37,J$36,K257&lt;K$38,J$37,K257&lt;K$39,J$38,K257&lt;K$40,J$39,K257&lt;K$41,J$40,K257&lt;K$42,J$41,K257&lt;K$43,J$42,K257&lt;K$44,J$43,K257&lt;K$45,J$44,K257&lt;K$46,J$45,K257&lt;K$47,J$46,K257&gt;=K$47,J$47)</f>
        <v/>
      </c>
      <c r="K257" s="38" t="n">
        <v>207</v>
      </c>
      <c r="L257" s="31">
        <f>K257/52</f>
        <v/>
      </c>
      <c r="M257" s="39">
        <f>J257/1000000*52</f>
        <v/>
      </c>
      <c r="N257" s="33">
        <f>M257/$P$4+($I$22/$P$4)</f>
        <v/>
      </c>
      <c r="U257">
        <f>F256</f>
        <v/>
      </c>
      <c r="V257">
        <f>H256</f>
        <v/>
      </c>
      <c r="W257">
        <f>N256</f>
        <v/>
      </c>
    </row>
    <row r="258" ht="15.75" customHeight="1" s="40">
      <c r="C258" s="36">
        <f>_xlfn.IFS(E258&lt;E$24,0,E258&lt;E$26,C$24,E258&lt;E$28,C$26,E258&lt;E$30,C$28,E258&lt;E$32,C$30,E258&lt;E$34,C$32,E258&gt;=E$34,C$34)</f>
        <v/>
      </c>
      <c r="D258" s="37">
        <f>_xlfn.IFS(E258&lt;E$24,0,E258&lt;E$25,D$24,E258&lt;E$26,D$25,E258&lt;E$27,D$26,E258&lt;E$28,D$27,E258&lt;E$29,D$28,E258&lt;E$30,D$29,E258&lt;E$31,D$30,E258&lt;E$32,D$31,E258&lt;E$33,D$32,E258&lt;E$34,D$33,E258&lt;E$35,D$34,E258&gt;=E$35,D$35)</f>
        <v/>
      </c>
      <c r="E258" s="38" t="n">
        <v>208</v>
      </c>
      <c r="F258" s="31">
        <f>E258/52</f>
        <v/>
      </c>
      <c r="G258" s="39">
        <f>D258/1000000*52</f>
        <v/>
      </c>
      <c r="H258" s="33">
        <f>G258/$P$4+($C$22/$P$4)</f>
        <v/>
      </c>
      <c r="I258" s="36">
        <f>_xlfn.IFS(K258&lt;K$24,0,K258&lt;K$26,I$24,K258&lt;K$28,I$26,K258&lt;K$30,I$28,K258&lt;K$32,I$30,K258&lt;K$34,I$32,K258&lt;K$36,I$34,K258&lt;K$38,I$36,K258&lt;K$40,I$38,K258&lt;K$42,I$40,K258&lt;K$44,I$42,K258&lt;K$46,I$44,K258&gt;=K$46,I$46)</f>
        <v/>
      </c>
      <c r="J258" s="37">
        <f>_xlfn.IFS(K258&lt;K$24,0,K258&lt;K$25,J$24,K258&lt;K$26,J$25,K258&lt;K$27,J$26,K258&lt;K$28,J$27,K258&lt;K$29,J$28,K258&lt;K$30,J$29,K258&lt;K$31,J$30,K258&lt;K$32,J$31,K258&lt;K$33,J$32,K258&lt;K$34,J$33,K258&lt;K$35,J$34,K258&lt;K$36,J$35,K258&lt;K$37,J$36,K258&lt;K$38,J$37,K258&lt;K$39,J$38,K258&lt;K$40,J$39,K258&lt;K$41,J$40,K258&lt;K$42,J$41,K258&lt;K$43,J$42,K258&lt;K$44,J$43,K258&lt;K$45,J$44,K258&lt;K$46,J$45,K258&lt;K$47,J$46,K258&gt;=K$47,J$47)</f>
        <v/>
      </c>
      <c r="K258" s="38" t="n">
        <v>208</v>
      </c>
      <c r="L258" s="31">
        <f>K258/52</f>
        <v/>
      </c>
      <c r="M258" s="39">
        <f>J258/1000000*52</f>
        <v/>
      </c>
      <c r="N258" s="33">
        <f>M258/$P$4+($I$22/$P$4)</f>
        <v/>
      </c>
      <c r="U258">
        <f>F257</f>
        <v/>
      </c>
      <c r="V258">
        <f>H257</f>
        <v/>
      </c>
      <c r="W258">
        <f>N257</f>
        <v/>
      </c>
    </row>
    <row r="259" ht="15.75" customHeight="1" s="40">
      <c r="C259" s="36">
        <f>_xlfn.IFS(E259&lt;E$24,0,E259&lt;E$26,C$24,E259&lt;E$28,C$26,E259&lt;E$30,C$28,E259&lt;E$32,C$30,E259&lt;E$34,C$32,E259&gt;=E$34,C$34)</f>
        <v/>
      </c>
      <c r="D259" s="37">
        <f>_xlfn.IFS(E259&lt;E$24,0,E259&lt;E$25,D$24,E259&lt;E$26,D$25,E259&lt;E$27,D$26,E259&lt;E$28,D$27,E259&lt;E$29,D$28,E259&lt;E$30,D$29,E259&lt;E$31,D$30,E259&lt;E$32,D$31,E259&lt;E$33,D$32,E259&lt;E$34,D$33,E259&lt;E$35,D$34,E259&gt;=E$35,D$35)</f>
        <v/>
      </c>
      <c r="E259" s="38" t="n">
        <v>209</v>
      </c>
      <c r="F259" s="31">
        <f>E259/52</f>
        <v/>
      </c>
      <c r="G259" s="39">
        <f>D259/1000000*52</f>
        <v/>
      </c>
      <c r="H259" s="33">
        <f>G259/$P$4+($C$22/$P$4)</f>
        <v/>
      </c>
      <c r="I259" s="36">
        <f>_xlfn.IFS(K259&lt;K$24,0,K259&lt;K$26,I$24,K259&lt;K$28,I$26,K259&lt;K$30,I$28,K259&lt;K$32,I$30,K259&lt;K$34,I$32,K259&lt;K$36,I$34,K259&lt;K$38,I$36,K259&lt;K$40,I$38,K259&lt;K$42,I$40,K259&lt;K$44,I$42,K259&lt;K$46,I$44,K259&gt;=K$46,I$46)</f>
        <v/>
      </c>
      <c r="J259" s="37">
        <f>_xlfn.IFS(K259&lt;K$24,0,K259&lt;K$25,J$24,K259&lt;K$26,J$25,K259&lt;K$27,J$26,K259&lt;K$28,J$27,K259&lt;K$29,J$28,K259&lt;K$30,J$29,K259&lt;K$31,J$30,K259&lt;K$32,J$31,K259&lt;K$33,J$32,K259&lt;K$34,J$33,K259&lt;K$35,J$34,K259&lt;K$36,J$35,K259&lt;K$37,J$36,K259&lt;K$38,J$37,K259&lt;K$39,J$38,K259&lt;K$40,J$39,K259&lt;K$41,J$40,K259&lt;K$42,J$41,K259&lt;K$43,J$42,K259&lt;K$44,J$43,K259&lt;K$45,J$44,K259&lt;K$46,J$45,K259&lt;K$47,J$46,K259&gt;=K$47,J$47)</f>
        <v/>
      </c>
      <c r="K259" s="38" t="n">
        <v>209</v>
      </c>
      <c r="L259" s="31">
        <f>K259/52</f>
        <v/>
      </c>
      <c r="M259" s="39">
        <f>J259/1000000*52</f>
        <v/>
      </c>
      <c r="N259" s="33">
        <f>M259/$P$4+($I$22/$P$4)</f>
        <v/>
      </c>
      <c r="U259">
        <f>F258</f>
        <v/>
      </c>
      <c r="V259">
        <f>H258</f>
        <v/>
      </c>
      <c r="W259">
        <f>N258</f>
        <v/>
      </c>
    </row>
    <row r="260" ht="15.75" customHeight="1" s="40">
      <c r="C260" s="36">
        <f>_xlfn.IFS(E260&lt;E$24,0,E260&lt;E$26,C$24,E260&lt;E$28,C$26,E260&lt;E$30,C$28,E260&lt;E$32,C$30,E260&lt;E$34,C$32,E260&gt;=E$34,C$34)</f>
        <v/>
      </c>
      <c r="D260" s="37">
        <f>_xlfn.IFS(E260&lt;E$24,0,E260&lt;E$25,D$24,E260&lt;E$26,D$25,E260&lt;E$27,D$26,E260&lt;E$28,D$27,E260&lt;E$29,D$28,E260&lt;E$30,D$29,E260&lt;E$31,D$30,E260&lt;E$32,D$31,E260&lt;E$33,D$32,E260&lt;E$34,D$33,E260&lt;E$35,D$34,E260&gt;=E$35,D$35)</f>
        <v/>
      </c>
      <c r="E260" s="38" t="n">
        <v>210</v>
      </c>
      <c r="F260" s="31">
        <f>E260/52</f>
        <v/>
      </c>
      <c r="G260" s="39">
        <f>D260/1000000*52</f>
        <v/>
      </c>
      <c r="H260" s="33">
        <f>G260/$P$4+($C$22/$P$4)</f>
        <v/>
      </c>
      <c r="I260" s="36">
        <f>_xlfn.IFS(K260&lt;K$24,0,K260&lt;K$26,I$24,K260&lt;K$28,I$26,K260&lt;K$30,I$28,K260&lt;K$32,I$30,K260&lt;K$34,I$32,K260&lt;K$36,I$34,K260&lt;K$38,I$36,K260&lt;K$40,I$38,K260&lt;K$42,I$40,K260&lt;K$44,I$42,K260&lt;K$46,I$44,K260&gt;=K$46,I$46)</f>
        <v/>
      </c>
      <c r="J260" s="37">
        <f>_xlfn.IFS(K260&lt;K$24,0,K260&lt;K$25,J$24,K260&lt;K$26,J$25,K260&lt;K$27,J$26,K260&lt;K$28,J$27,K260&lt;K$29,J$28,K260&lt;K$30,J$29,K260&lt;K$31,J$30,K260&lt;K$32,J$31,K260&lt;K$33,J$32,K260&lt;K$34,J$33,K260&lt;K$35,J$34,K260&lt;K$36,J$35,K260&lt;K$37,J$36,K260&lt;K$38,J$37,K260&lt;K$39,J$38,K260&lt;K$40,J$39,K260&lt;K$41,J$40,K260&lt;K$42,J$41,K260&lt;K$43,J$42,K260&lt;K$44,J$43,K260&lt;K$45,J$44,K260&lt;K$46,J$45,K260&lt;K$47,J$46,K260&gt;=K$47,J$47)</f>
        <v/>
      </c>
      <c r="K260" s="38" t="n">
        <v>210</v>
      </c>
      <c r="L260" s="31">
        <f>K260/52</f>
        <v/>
      </c>
      <c r="M260" s="39">
        <f>J260/1000000*52</f>
        <v/>
      </c>
      <c r="N260" s="33">
        <f>M260/$P$4+($I$22/$P$4)</f>
        <v/>
      </c>
      <c r="U260">
        <f>F259</f>
        <v/>
      </c>
      <c r="V260">
        <f>H259</f>
        <v/>
      </c>
      <c r="W260">
        <f>N259</f>
        <v/>
      </c>
    </row>
    <row r="261" ht="15.75" customHeight="1" s="40">
      <c r="C261" s="36">
        <f>_xlfn.IFS(E261&lt;E$24,0,E261&lt;E$26,C$24,E261&lt;E$28,C$26,E261&lt;E$30,C$28,E261&lt;E$32,C$30,E261&lt;E$34,C$32,E261&gt;=E$34,C$34)</f>
        <v/>
      </c>
      <c r="D261" s="37">
        <f>_xlfn.IFS(E261&lt;E$24,0,E261&lt;E$25,D$24,E261&lt;E$26,D$25,E261&lt;E$27,D$26,E261&lt;E$28,D$27,E261&lt;E$29,D$28,E261&lt;E$30,D$29,E261&lt;E$31,D$30,E261&lt;E$32,D$31,E261&lt;E$33,D$32,E261&lt;E$34,D$33,E261&lt;E$35,D$34,E261&gt;=E$35,D$35)</f>
        <v/>
      </c>
      <c r="E261" s="38" t="n">
        <v>211</v>
      </c>
      <c r="F261" s="31">
        <f>E261/52</f>
        <v/>
      </c>
      <c r="G261" s="39">
        <f>D261/1000000*52</f>
        <v/>
      </c>
      <c r="H261" s="33">
        <f>G261/$P$4+($C$22/$P$4)</f>
        <v/>
      </c>
      <c r="I261" s="36">
        <f>_xlfn.IFS(K261&lt;K$24,0,K261&lt;K$26,I$24,K261&lt;K$28,I$26,K261&lt;K$30,I$28,K261&lt;K$32,I$30,K261&lt;K$34,I$32,K261&lt;K$36,I$34,K261&lt;K$38,I$36,K261&lt;K$40,I$38,K261&lt;K$42,I$40,K261&lt;K$44,I$42,K261&lt;K$46,I$44,K261&gt;=K$46,I$46)</f>
        <v/>
      </c>
      <c r="J261" s="37">
        <f>_xlfn.IFS(K261&lt;K$24,0,K261&lt;K$25,J$24,K261&lt;K$26,J$25,K261&lt;K$27,J$26,K261&lt;K$28,J$27,K261&lt;K$29,J$28,K261&lt;K$30,J$29,K261&lt;K$31,J$30,K261&lt;K$32,J$31,K261&lt;K$33,J$32,K261&lt;K$34,J$33,K261&lt;K$35,J$34,K261&lt;K$36,J$35,K261&lt;K$37,J$36,K261&lt;K$38,J$37,K261&lt;K$39,J$38,K261&lt;K$40,J$39,K261&lt;K$41,J$40,K261&lt;K$42,J$41,K261&lt;K$43,J$42,K261&lt;K$44,J$43,K261&lt;K$45,J$44,K261&lt;K$46,J$45,K261&lt;K$47,J$46,K261&gt;=K$47,J$47)</f>
        <v/>
      </c>
      <c r="K261" s="38" t="n">
        <v>211</v>
      </c>
      <c r="L261" s="31">
        <f>K261/52</f>
        <v/>
      </c>
      <c r="M261" s="39">
        <f>J261/1000000*52</f>
        <v/>
      </c>
      <c r="N261" s="33">
        <f>M261/$P$4+($I$22/$P$4)</f>
        <v/>
      </c>
      <c r="U261">
        <f>F260</f>
        <v/>
      </c>
      <c r="V261">
        <f>H260</f>
        <v/>
      </c>
      <c r="W261">
        <f>N260</f>
        <v/>
      </c>
    </row>
    <row r="262" ht="15.75" customHeight="1" s="40">
      <c r="C262" s="36">
        <f>_xlfn.IFS(E262&lt;E$24,0,E262&lt;E$26,C$24,E262&lt;E$28,C$26,E262&lt;E$30,C$28,E262&lt;E$32,C$30,E262&lt;E$34,C$32,E262&gt;=E$34,C$34)</f>
        <v/>
      </c>
      <c r="D262" s="37">
        <f>_xlfn.IFS(E262&lt;E$24,0,E262&lt;E$25,D$24,E262&lt;E$26,D$25,E262&lt;E$27,D$26,E262&lt;E$28,D$27,E262&lt;E$29,D$28,E262&lt;E$30,D$29,E262&lt;E$31,D$30,E262&lt;E$32,D$31,E262&lt;E$33,D$32,E262&lt;E$34,D$33,E262&lt;E$35,D$34,E262&gt;=E$35,D$35)</f>
        <v/>
      </c>
      <c r="E262" s="38" t="n">
        <v>212</v>
      </c>
      <c r="F262" s="31">
        <f>E262/52</f>
        <v/>
      </c>
      <c r="G262" s="39">
        <f>D262/1000000*52</f>
        <v/>
      </c>
      <c r="H262" s="33">
        <f>G262/$P$4+($C$22/$P$4)</f>
        <v/>
      </c>
      <c r="I262" s="36">
        <f>_xlfn.IFS(K262&lt;K$24,0,K262&lt;K$26,I$24,K262&lt;K$28,I$26,K262&lt;K$30,I$28,K262&lt;K$32,I$30,K262&lt;K$34,I$32,K262&lt;K$36,I$34,K262&lt;K$38,I$36,K262&lt;K$40,I$38,K262&lt;K$42,I$40,K262&lt;K$44,I$42,K262&lt;K$46,I$44,K262&gt;=K$46,I$46)</f>
        <v/>
      </c>
      <c r="J262" s="37">
        <f>_xlfn.IFS(K262&lt;K$24,0,K262&lt;K$25,J$24,K262&lt;K$26,J$25,K262&lt;K$27,J$26,K262&lt;K$28,J$27,K262&lt;K$29,J$28,K262&lt;K$30,J$29,K262&lt;K$31,J$30,K262&lt;K$32,J$31,K262&lt;K$33,J$32,K262&lt;K$34,J$33,K262&lt;K$35,J$34,K262&lt;K$36,J$35,K262&lt;K$37,J$36,K262&lt;K$38,J$37,K262&lt;K$39,J$38,K262&lt;K$40,J$39,K262&lt;K$41,J$40,K262&lt;K$42,J$41,K262&lt;K$43,J$42,K262&lt;K$44,J$43,K262&lt;K$45,J$44,K262&lt;K$46,J$45,K262&lt;K$47,J$46,K262&gt;=K$47,J$47)</f>
        <v/>
      </c>
      <c r="K262" s="38" t="n">
        <v>212</v>
      </c>
      <c r="L262" s="31">
        <f>K262/52</f>
        <v/>
      </c>
      <c r="M262" s="39">
        <f>J262/1000000*52</f>
        <v/>
      </c>
      <c r="N262" s="33">
        <f>M262/$P$4+($I$22/$P$4)</f>
        <v/>
      </c>
      <c r="U262">
        <f>F261</f>
        <v/>
      </c>
      <c r="V262">
        <f>H261</f>
        <v/>
      </c>
      <c r="W262">
        <f>N261</f>
        <v/>
      </c>
    </row>
    <row r="263" ht="15.75" customHeight="1" s="40">
      <c r="C263" s="36">
        <f>_xlfn.IFS(E263&lt;E$24,0,E263&lt;E$26,C$24,E263&lt;E$28,C$26,E263&lt;E$30,C$28,E263&lt;E$32,C$30,E263&lt;E$34,C$32,E263&gt;=E$34,C$34)</f>
        <v/>
      </c>
      <c r="D263" s="37">
        <f>_xlfn.IFS(E263&lt;E$24,0,E263&lt;E$25,D$24,E263&lt;E$26,D$25,E263&lt;E$27,D$26,E263&lt;E$28,D$27,E263&lt;E$29,D$28,E263&lt;E$30,D$29,E263&lt;E$31,D$30,E263&lt;E$32,D$31,E263&lt;E$33,D$32,E263&lt;E$34,D$33,E263&lt;E$35,D$34,E263&gt;=E$35,D$35)</f>
        <v/>
      </c>
      <c r="E263" s="38" t="n">
        <v>213</v>
      </c>
      <c r="F263" s="31">
        <f>E263/52</f>
        <v/>
      </c>
      <c r="G263" s="39">
        <f>D263/1000000*52</f>
        <v/>
      </c>
      <c r="H263" s="33">
        <f>G263/$P$4+($C$22/$P$4)</f>
        <v/>
      </c>
      <c r="I263" s="36">
        <f>_xlfn.IFS(K263&lt;K$24,0,K263&lt;K$26,I$24,K263&lt;K$28,I$26,K263&lt;K$30,I$28,K263&lt;K$32,I$30,K263&lt;K$34,I$32,K263&lt;K$36,I$34,K263&lt;K$38,I$36,K263&lt;K$40,I$38,K263&lt;K$42,I$40,K263&lt;K$44,I$42,K263&lt;K$46,I$44,K263&gt;=K$46,I$46)</f>
        <v/>
      </c>
      <c r="J263" s="37">
        <f>_xlfn.IFS(K263&lt;K$24,0,K263&lt;K$25,J$24,K263&lt;K$26,J$25,K263&lt;K$27,J$26,K263&lt;K$28,J$27,K263&lt;K$29,J$28,K263&lt;K$30,J$29,K263&lt;K$31,J$30,K263&lt;K$32,J$31,K263&lt;K$33,J$32,K263&lt;K$34,J$33,K263&lt;K$35,J$34,K263&lt;K$36,J$35,K263&lt;K$37,J$36,K263&lt;K$38,J$37,K263&lt;K$39,J$38,K263&lt;K$40,J$39,K263&lt;K$41,J$40,K263&lt;K$42,J$41,K263&lt;K$43,J$42,K263&lt;K$44,J$43,K263&lt;K$45,J$44,K263&lt;K$46,J$45,K263&lt;K$47,J$46,K263&gt;=K$47,J$47)</f>
        <v/>
      </c>
      <c r="K263" s="38" t="n">
        <v>213</v>
      </c>
      <c r="L263" s="31">
        <f>K263/52</f>
        <v/>
      </c>
      <c r="M263" s="39">
        <f>J263/1000000*52</f>
        <v/>
      </c>
      <c r="N263" s="33">
        <f>M263/$P$4+($I$22/$P$4)</f>
        <v/>
      </c>
      <c r="U263">
        <f>F262</f>
        <v/>
      </c>
      <c r="V263">
        <f>H262</f>
        <v/>
      </c>
      <c r="W263">
        <f>N262</f>
        <v/>
      </c>
    </row>
    <row r="264" ht="15.75" customHeight="1" s="40">
      <c r="C264" s="36">
        <f>_xlfn.IFS(E264&lt;E$24,0,E264&lt;E$26,C$24,E264&lt;E$28,C$26,E264&lt;E$30,C$28,E264&lt;E$32,C$30,E264&lt;E$34,C$32,E264&gt;=E$34,C$34)</f>
        <v/>
      </c>
      <c r="D264" s="37">
        <f>_xlfn.IFS(E264&lt;E$24,0,E264&lt;E$25,D$24,E264&lt;E$26,D$25,E264&lt;E$27,D$26,E264&lt;E$28,D$27,E264&lt;E$29,D$28,E264&lt;E$30,D$29,E264&lt;E$31,D$30,E264&lt;E$32,D$31,E264&lt;E$33,D$32,E264&lt;E$34,D$33,E264&lt;E$35,D$34,E264&gt;=E$35,D$35)</f>
        <v/>
      </c>
      <c r="E264" s="38" t="n">
        <v>214</v>
      </c>
      <c r="F264" s="31">
        <f>E264/52</f>
        <v/>
      </c>
      <c r="G264" s="39">
        <f>D264/1000000*52</f>
        <v/>
      </c>
      <c r="H264" s="33">
        <f>G264/$P$4+($C$22/$P$4)</f>
        <v/>
      </c>
      <c r="I264" s="36">
        <f>_xlfn.IFS(K264&lt;K$24,0,K264&lt;K$26,I$24,K264&lt;K$28,I$26,K264&lt;K$30,I$28,K264&lt;K$32,I$30,K264&lt;K$34,I$32,K264&lt;K$36,I$34,K264&lt;K$38,I$36,K264&lt;K$40,I$38,K264&lt;K$42,I$40,K264&lt;K$44,I$42,K264&lt;K$46,I$44,K264&gt;=K$46,I$46)</f>
        <v/>
      </c>
      <c r="J264" s="37">
        <f>_xlfn.IFS(K264&lt;K$24,0,K264&lt;K$25,J$24,K264&lt;K$26,J$25,K264&lt;K$27,J$26,K264&lt;K$28,J$27,K264&lt;K$29,J$28,K264&lt;K$30,J$29,K264&lt;K$31,J$30,K264&lt;K$32,J$31,K264&lt;K$33,J$32,K264&lt;K$34,J$33,K264&lt;K$35,J$34,K264&lt;K$36,J$35,K264&lt;K$37,J$36,K264&lt;K$38,J$37,K264&lt;K$39,J$38,K264&lt;K$40,J$39,K264&lt;K$41,J$40,K264&lt;K$42,J$41,K264&lt;K$43,J$42,K264&lt;K$44,J$43,K264&lt;K$45,J$44,K264&lt;K$46,J$45,K264&lt;K$47,J$46,K264&gt;=K$47,J$47)</f>
        <v/>
      </c>
      <c r="K264" s="38" t="n">
        <v>214</v>
      </c>
      <c r="L264" s="31">
        <f>K264/52</f>
        <v/>
      </c>
      <c r="M264" s="39">
        <f>J264/1000000*52</f>
        <v/>
      </c>
      <c r="N264" s="33">
        <f>M264/$P$4+($I$22/$P$4)</f>
        <v/>
      </c>
      <c r="U264">
        <f>F263</f>
        <v/>
      </c>
      <c r="V264">
        <f>H263</f>
        <v/>
      </c>
      <c r="W264">
        <f>N263</f>
        <v/>
      </c>
    </row>
    <row r="265" ht="15.75" customHeight="1" s="40">
      <c r="C265" s="36">
        <f>_xlfn.IFS(E265&lt;E$24,0,E265&lt;E$26,C$24,E265&lt;E$28,C$26,E265&lt;E$30,C$28,E265&lt;E$32,C$30,E265&lt;E$34,C$32,E265&gt;=E$34,C$34)</f>
        <v/>
      </c>
      <c r="D265" s="37">
        <f>_xlfn.IFS(E265&lt;E$24,0,E265&lt;E$25,D$24,E265&lt;E$26,D$25,E265&lt;E$27,D$26,E265&lt;E$28,D$27,E265&lt;E$29,D$28,E265&lt;E$30,D$29,E265&lt;E$31,D$30,E265&lt;E$32,D$31,E265&lt;E$33,D$32,E265&lt;E$34,D$33,E265&lt;E$35,D$34,E265&gt;=E$35,D$35)</f>
        <v/>
      </c>
      <c r="E265" s="38" t="n">
        <v>215</v>
      </c>
      <c r="F265" s="31">
        <f>E265/52</f>
        <v/>
      </c>
      <c r="G265" s="39">
        <f>D265/1000000*52</f>
        <v/>
      </c>
      <c r="H265" s="33">
        <f>G265/$P$4+($C$22/$P$4)</f>
        <v/>
      </c>
      <c r="I265" s="36">
        <f>_xlfn.IFS(K265&lt;K$24,0,K265&lt;K$26,I$24,K265&lt;K$28,I$26,K265&lt;K$30,I$28,K265&lt;K$32,I$30,K265&lt;K$34,I$32,K265&lt;K$36,I$34,K265&lt;K$38,I$36,K265&lt;K$40,I$38,K265&lt;K$42,I$40,K265&lt;K$44,I$42,K265&lt;K$46,I$44,K265&gt;=K$46,I$46)</f>
        <v/>
      </c>
      <c r="J265" s="37">
        <f>_xlfn.IFS(K265&lt;K$24,0,K265&lt;K$25,J$24,K265&lt;K$26,J$25,K265&lt;K$27,J$26,K265&lt;K$28,J$27,K265&lt;K$29,J$28,K265&lt;K$30,J$29,K265&lt;K$31,J$30,K265&lt;K$32,J$31,K265&lt;K$33,J$32,K265&lt;K$34,J$33,K265&lt;K$35,J$34,K265&lt;K$36,J$35,K265&lt;K$37,J$36,K265&lt;K$38,J$37,K265&lt;K$39,J$38,K265&lt;K$40,J$39,K265&lt;K$41,J$40,K265&lt;K$42,J$41,K265&lt;K$43,J$42,K265&lt;K$44,J$43,K265&lt;K$45,J$44,K265&lt;K$46,J$45,K265&lt;K$47,J$46,K265&gt;=K$47,J$47)</f>
        <v/>
      </c>
      <c r="K265" s="38" t="n">
        <v>215</v>
      </c>
      <c r="L265" s="31">
        <f>K265/52</f>
        <v/>
      </c>
      <c r="M265" s="39">
        <f>J265/1000000*52</f>
        <v/>
      </c>
      <c r="N265" s="33">
        <f>M265/$P$4+($I$22/$P$4)</f>
        <v/>
      </c>
      <c r="U265">
        <f>F264</f>
        <v/>
      </c>
      <c r="V265">
        <f>H264</f>
        <v/>
      </c>
      <c r="W265">
        <f>N264</f>
        <v/>
      </c>
    </row>
    <row r="266" ht="15.75" customHeight="1" s="40">
      <c r="C266" s="36">
        <f>_xlfn.IFS(E266&lt;E$24,0,E266&lt;E$26,C$24,E266&lt;E$28,C$26,E266&lt;E$30,C$28,E266&lt;E$32,C$30,E266&lt;E$34,C$32,E266&gt;=E$34,C$34)</f>
        <v/>
      </c>
      <c r="D266" s="37">
        <f>_xlfn.IFS(E266&lt;E$24,0,E266&lt;E$25,D$24,E266&lt;E$26,D$25,E266&lt;E$27,D$26,E266&lt;E$28,D$27,E266&lt;E$29,D$28,E266&lt;E$30,D$29,E266&lt;E$31,D$30,E266&lt;E$32,D$31,E266&lt;E$33,D$32,E266&lt;E$34,D$33,E266&lt;E$35,D$34,E266&gt;=E$35,D$35)</f>
        <v/>
      </c>
      <c r="E266" s="38" t="n">
        <v>216</v>
      </c>
      <c r="F266" s="31">
        <f>E266/52</f>
        <v/>
      </c>
      <c r="G266" s="39">
        <f>D266/1000000*52</f>
        <v/>
      </c>
      <c r="H266" s="33">
        <f>G266/$P$4+($C$22/$P$4)</f>
        <v/>
      </c>
      <c r="I266" s="36">
        <f>_xlfn.IFS(K266&lt;K$24,0,K266&lt;K$26,I$24,K266&lt;K$28,I$26,K266&lt;K$30,I$28,K266&lt;K$32,I$30,K266&lt;K$34,I$32,K266&lt;K$36,I$34,K266&lt;K$38,I$36,K266&lt;K$40,I$38,K266&lt;K$42,I$40,K266&lt;K$44,I$42,K266&lt;K$46,I$44,K266&gt;=K$46,I$46)</f>
        <v/>
      </c>
      <c r="J266" s="37">
        <f>_xlfn.IFS(K266&lt;K$24,0,K266&lt;K$25,J$24,K266&lt;K$26,J$25,K266&lt;K$27,J$26,K266&lt;K$28,J$27,K266&lt;K$29,J$28,K266&lt;K$30,J$29,K266&lt;K$31,J$30,K266&lt;K$32,J$31,K266&lt;K$33,J$32,K266&lt;K$34,J$33,K266&lt;K$35,J$34,K266&lt;K$36,J$35,K266&lt;K$37,J$36,K266&lt;K$38,J$37,K266&lt;K$39,J$38,K266&lt;K$40,J$39,K266&lt;K$41,J$40,K266&lt;K$42,J$41,K266&lt;K$43,J$42,K266&lt;K$44,J$43,K266&lt;K$45,J$44,K266&lt;K$46,J$45,K266&lt;K$47,J$46,K266&gt;=K$47,J$47)</f>
        <v/>
      </c>
      <c r="K266" s="38" t="n">
        <v>216</v>
      </c>
      <c r="L266" s="31">
        <f>K266/52</f>
        <v/>
      </c>
      <c r="M266" s="39">
        <f>J266/1000000*52</f>
        <v/>
      </c>
      <c r="N266" s="33">
        <f>M266/$P$4+($I$22/$P$4)</f>
        <v/>
      </c>
      <c r="U266">
        <f>F265</f>
        <v/>
      </c>
      <c r="V266">
        <f>H265</f>
        <v/>
      </c>
      <c r="W266">
        <f>N265</f>
        <v/>
      </c>
    </row>
    <row r="267" ht="15.75" customHeight="1" s="40">
      <c r="C267" s="36">
        <f>_xlfn.IFS(E267&lt;E$24,0,E267&lt;E$26,C$24,E267&lt;E$28,C$26,E267&lt;E$30,C$28,E267&lt;E$32,C$30,E267&lt;E$34,C$32,E267&gt;=E$34,C$34)</f>
        <v/>
      </c>
      <c r="D267" s="37">
        <f>_xlfn.IFS(E267&lt;E$24,0,E267&lt;E$25,D$24,E267&lt;E$26,D$25,E267&lt;E$27,D$26,E267&lt;E$28,D$27,E267&lt;E$29,D$28,E267&lt;E$30,D$29,E267&lt;E$31,D$30,E267&lt;E$32,D$31,E267&lt;E$33,D$32,E267&lt;E$34,D$33,E267&lt;E$35,D$34,E267&gt;=E$35,D$35)</f>
        <v/>
      </c>
      <c r="E267" s="38" t="n">
        <v>217</v>
      </c>
      <c r="F267" s="31">
        <f>E267/52</f>
        <v/>
      </c>
      <c r="G267" s="39">
        <f>D267/1000000*52</f>
        <v/>
      </c>
      <c r="H267" s="33">
        <f>G267/$P$4+($C$22/$P$4)</f>
        <v/>
      </c>
      <c r="I267" s="36">
        <f>_xlfn.IFS(K267&lt;K$24,0,K267&lt;K$26,I$24,K267&lt;K$28,I$26,K267&lt;K$30,I$28,K267&lt;K$32,I$30,K267&lt;K$34,I$32,K267&lt;K$36,I$34,K267&lt;K$38,I$36,K267&lt;K$40,I$38,K267&lt;K$42,I$40,K267&lt;K$44,I$42,K267&lt;K$46,I$44,K267&gt;=K$46,I$46)</f>
        <v/>
      </c>
      <c r="J267" s="37">
        <f>_xlfn.IFS(K267&lt;K$24,0,K267&lt;K$25,J$24,K267&lt;K$26,J$25,K267&lt;K$27,J$26,K267&lt;K$28,J$27,K267&lt;K$29,J$28,K267&lt;K$30,J$29,K267&lt;K$31,J$30,K267&lt;K$32,J$31,K267&lt;K$33,J$32,K267&lt;K$34,J$33,K267&lt;K$35,J$34,K267&lt;K$36,J$35,K267&lt;K$37,J$36,K267&lt;K$38,J$37,K267&lt;K$39,J$38,K267&lt;K$40,J$39,K267&lt;K$41,J$40,K267&lt;K$42,J$41,K267&lt;K$43,J$42,K267&lt;K$44,J$43,K267&lt;K$45,J$44,K267&lt;K$46,J$45,K267&lt;K$47,J$46,K267&gt;=K$47,J$47)</f>
        <v/>
      </c>
      <c r="K267" s="38" t="n">
        <v>217</v>
      </c>
      <c r="L267" s="31">
        <f>K267/52</f>
        <v/>
      </c>
      <c r="M267" s="39">
        <f>J267/1000000*52</f>
        <v/>
      </c>
      <c r="N267" s="33">
        <f>M267/$P$4+($I$22/$P$4)</f>
        <v/>
      </c>
      <c r="U267">
        <f>F266</f>
        <v/>
      </c>
      <c r="V267">
        <f>H266</f>
        <v/>
      </c>
      <c r="W267">
        <f>N266</f>
        <v/>
      </c>
    </row>
    <row r="268" ht="15.75" customHeight="1" s="40">
      <c r="C268" s="36">
        <f>_xlfn.IFS(E268&lt;E$24,0,E268&lt;E$26,C$24,E268&lt;E$28,C$26,E268&lt;E$30,C$28,E268&lt;E$32,C$30,E268&lt;E$34,C$32,E268&gt;=E$34,C$34)</f>
        <v/>
      </c>
      <c r="D268" s="37">
        <f>_xlfn.IFS(E268&lt;E$24,0,E268&lt;E$25,D$24,E268&lt;E$26,D$25,E268&lt;E$27,D$26,E268&lt;E$28,D$27,E268&lt;E$29,D$28,E268&lt;E$30,D$29,E268&lt;E$31,D$30,E268&lt;E$32,D$31,E268&lt;E$33,D$32,E268&lt;E$34,D$33,E268&lt;E$35,D$34,E268&gt;=E$35,D$35)</f>
        <v/>
      </c>
      <c r="E268" s="38" t="n">
        <v>218</v>
      </c>
      <c r="F268" s="31">
        <f>E268/52</f>
        <v/>
      </c>
      <c r="G268" s="39">
        <f>D268/1000000*52</f>
        <v/>
      </c>
      <c r="H268" s="33">
        <f>G268/$P$4+($C$22/$P$4)</f>
        <v/>
      </c>
      <c r="I268" s="36">
        <f>_xlfn.IFS(K268&lt;K$24,0,K268&lt;K$26,I$24,K268&lt;K$28,I$26,K268&lt;K$30,I$28,K268&lt;K$32,I$30,K268&lt;K$34,I$32,K268&lt;K$36,I$34,K268&lt;K$38,I$36,K268&lt;K$40,I$38,K268&lt;K$42,I$40,K268&lt;K$44,I$42,K268&lt;K$46,I$44,K268&gt;=K$46,I$46)</f>
        <v/>
      </c>
      <c r="J268" s="37">
        <f>_xlfn.IFS(K268&lt;K$24,0,K268&lt;K$25,J$24,K268&lt;K$26,J$25,K268&lt;K$27,J$26,K268&lt;K$28,J$27,K268&lt;K$29,J$28,K268&lt;K$30,J$29,K268&lt;K$31,J$30,K268&lt;K$32,J$31,K268&lt;K$33,J$32,K268&lt;K$34,J$33,K268&lt;K$35,J$34,K268&lt;K$36,J$35,K268&lt;K$37,J$36,K268&lt;K$38,J$37,K268&lt;K$39,J$38,K268&lt;K$40,J$39,K268&lt;K$41,J$40,K268&lt;K$42,J$41,K268&lt;K$43,J$42,K268&lt;K$44,J$43,K268&lt;K$45,J$44,K268&lt;K$46,J$45,K268&lt;K$47,J$46,K268&gt;=K$47,J$47)</f>
        <v/>
      </c>
      <c r="K268" s="38" t="n">
        <v>218</v>
      </c>
      <c r="L268" s="31">
        <f>K268/52</f>
        <v/>
      </c>
      <c r="M268" s="39">
        <f>J268/1000000*52</f>
        <v/>
      </c>
      <c r="N268" s="33">
        <f>M268/$P$4+($I$22/$P$4)</f>
        <v/>
      </c>
      <c r="U268">
        <f>F267</f>
        <v/>
      </c>
      <c r="V268">
        <f>H267</f>
        <v/>
      </c>
      <c r="W268">
        <f>N267</f>
        <v/>
      </c>
    </row>
    <row r="269" ht="15.75" customHeight="1" s="40">
      <c r="C269" s="36">
        <f>_xlfn.IFS(E269&lt;E$24,0,E269&lt;E$26,C$24,E269&lt;E$28,C$26,E269&lt;E$30,C$28,E269&lt;E$32,C$30,E269&lt;E$34,C$32,E269&gt;=E$34,C$34)</f>
        <v/>
      </c>
      <c r="D269" s="37">
        <f>_xlfn.IFS(E269&lt;E$24,0,E269&lt;E$25,D$24,E269&lt;E$26,D$25,E269&lt;E$27,D$26,E269&lt;E$28,D$27,E269&lt;E$29,D$28,E269&lt;E$30,D$29,E269&lt;E$31,D$30,E269&lt;E$32,D$31,E269&lt;E$33,D$32,E269&lt;E$34,D$33,E269&lt;E$35,D$34,E269&gt;=E$35,D$35)</f>
        <v/>
      </c>
      <c r="E269" s="38" t="n">
        <v>219</v>
      </c>
      <c r="F269" s="31">
        <f>E269/52</f>
        <v/>
      </c>
      <c r="G269" s="39">
        <f>D269/1000000*52</f>
        <v/>
      </c>
      <c r="H269" s="33">
        <f>G269/$P$4+($C$22/$P$4)</f>
        <v/>
      </c>
      <c r="I269" s="36">
        <f>_xlfn.IFS(K269&lt;K$24,0,K269&lt;K$26,I$24,K269&lt;K$28,I$26,K269&lt;K$30,I$28,K269&lt;K$32,I$30,K269&lt;K$34,I$32,K269&lt;K$36,I$34,K269&lt;K$38,I$36,K269&lt;K$40,I$38,K269&lt;K$42,I$40,K269&lt;K$44,I$42,K269&lt;K$46,I$44,K269&gt;=K$46,I$46)</f>
        <v/>
      </c>
      <c r="J269" s="37">
        <f>_xlfn.IFS(K269&lt;K$24,0,K269&lt;K$25,J$24,K269&lt;K$26,J$25,K269&lt;K$27,J$26,K269&lt;K$28,J$27,K269&lt;K$29,J$28,K269&lt;K$30,J$29,K269&lt;K$31,J$30,K269&lt;K$32,J$31,K269&lt;K$33,J$32,K269&lt;K$34,J$33,K269&lt;K$35,J$34,K269&lt;K$36,J$35,K269&lt;K$37,J$36,K269&lt;K$38,J$37,K269&lt;K$39,J$38,K269&lt;K$40,J$39,K269&lt;K$41,J$40,K269&lt;K$42,J$41,K269&lt;K$43,J$42,K269&lt;K$44,J$43,K269&lt;K$45,J$44,K269&lt;K$46,J$45,K269&lt;K$47,J$46,K269&gt;=K$47,J$47)</f>
        <v/>
      </c>
      <c r="K269" s="38" t="n">
        <v>219</v>
      </c>
      <c r="L269" s="31">
        <f>K269/52</f>
        <v/>
      </c>
      <c r="M269" s="39">
        <f>J269/1000000*52</f>
        <v/>
      </c>
      <c r="N269" s="33">
        <f>M269/$P$4+($I$22/$P$4)</f>
        <v/>
      </c>
      <c r="U269">
        <f>F268</f>
        <v/>
      </c>
      <c r="V269">
        <f>H268</f>
        <v/>
      </c>
      <c r="W269">
        <f>N268</f>
        <v/>
      </c>
    </row>
    <row r="270" ht="15.75" customHeight="1" s="40">
      <c r="C270" s="36">
        <f>_xlfn.IFS(E270&lt;E$24,0,E270&lt;E$26,C$24,E270&lt;E$28,C$26,E270&lt;E$30,C$28,E270&lt;E$32,C$30,E270&lt;E$34,C$32,E270&gt;=E$34,C$34)</f>
        <v/>
      </c>
      <c r="D270" s="37">
        <f>_xlfn.IFS(E270&lt;E$24,0,E270&lt;E$25,D$24,E270&lt;E$26,D$25,E270&lt;E$27,D$26,E270&lt;E$28,D$27,E270&lt;E$29,D$28,E270&lt;E$30,D$29,E270&lt;E$31,D$30,E270&lt;E$32,D$31,E270&lt;E$33,D$32,E270&lt;E$34,D$33,E270&lt;E$35,D$34,E270&gt;=E$35,D$35)</f>
        <v/>
      </c>
      <c r="E270" s="38" t="n">
        <v>220</v>
      </c>
      <c r="F270" s="31">
        <f>E270/52</f>
        <v/>
      </c>
      <c r="G270" s="39">
        <f>D270/1000000*52</f>
        <v/>
      </c>
      <c r="H270" s="33">
        <f>G270/$P$4+($C$22/$P$4)</f>
        <v/>
      </c>
      <c r="I270" s="36">
        <f>_xlfn.IFS(K270&lt;K$24,0,K270&lt;K$26,I$24,K270&lt;K$28,I$26,K270&lt;K$30,I$28,K270&lt;K$32,I$30,K270&lt;K$34,I$32,K270&lt;K$36,I$34,K270&lt;K$38,I$36,K270&lt;K$40,I$38,K270&lt;K$42,I$40,K270&lt;K$44,I$42,K270&lt;K$46,I$44,K270&gt;=K$46,I$46)</f>
        <v/>
      </c>
      <c r="J270" s="37">
        <f>_xlfn.IFS(K270&lt;K$24,0,K270&lt;K$25,J$24,K270&lt;K$26,J$25,K270&lt;K$27,J$26,K270&lt;K$28,J$27,K270&lt;K$29,J$28,K270&lt;K$30,J$29,K270&lt;K$31,J$30,K270&lt;K$32,J$31,K270&lt;K$33,J$32,K270&lt;K$34,J$33,K270&lt;K$35,J$34,K270&lt;K$36,J$35,K270&lt;K$37,J$36,K270&lt;K$38,J$37,K270&lt;K$39,J$38,K270&lt;K$40,J$39,K270&lt;K$41,J$40,K270&lt;K$42,J$41,K270&lt;K$43,J$42,K270&lt;K$44,J$43,K270&lt;K$45,J$44,K270&lt;K$46,J$45,K270&lt;K$47,J$46,K270&gt;=K$47,J$47)</f>
        <v/>
      </c>
      <c r="K270" s="38" t="n">
        <v>220</v>
      </c>
      <c r="L270" s="31">
        <f>K270/52</f>
        <v/>
      </c>
      <c r="M270" s="39">
        <f>J270/1000000*52</f>
        <v/>
      </c>
      <c r="N270" s="33">
        <f>M270/$P$4+($I$22/$P$4)</f>
        <v/>
      </c>
      <c r="U270">
        <f>F269</f>
        <v/>
      </c>
      <c r="V270">
        <f>H269</f>
        <v/>
      </c>
      <c r="W270">
        <f>N269</f>
        <v/>
      </c>
    </row>
    <row r="271" ht="15.75" customHeight="1" s="40">
      <c r="C271" s="36">
        <f>_xlfn.IFS(E271&lt;E$24,0,E271&lt;E$26,C$24,E271&lt;E$28,C$26,E271&lt;E$30,C$28,E271&lt;E$32,C$30,E271&lt;E$34,C$32,E271&gt;=E$34,C$34)</f>
        <v/>
      </c>
      <c r="D271" s="37">
        <f>_xlfn.IFS(E271&lt;E$24,0,E271&lt;E$25,D$24,E271&lt;E$26,D$25,E271&lt;E$27,D$26,E271&lt;E$28,D$27,E271&lt;E$29,D$28,E271&lt;E$30,D$29,E271&lt;E$31,D$30,E271&lt;E$32,D$31,E271&lt;E$33,D$32,E271&lt;E$34,D$33,E271&lt;E$35,D$34,E271&gt;=E$35,D$35)</f>
        <v/>
      </c>
      <c r="E271" s="38" t="n">
        <v>221</v>
      </c>
      <c r="F271" s="31">
        <f>E271/52</f>
        <v/>
      </c>
      <c r="G271" s="39">
        <f>D271/1000000*52</f>
        <v/>
      </c>
      <c r="H271" s="33">
        <f>G271/$P$4+($C$22/$P$4)</f>
        <v/>
      </c>
      <c r="I271" s="36">
        <f>_xlfn.IFS(K271&lt;K$24,0,K271&lt;K$26,I$24,K271&lt;K$28,I$26,K271&lt;K$30,I$28,K271&lt;K$32,I$30,K271&lt;K$34,I$32,K271&lt;K$36,I$34,K271&lt;K$38,I$36,K271&lt;K$40,I$38,K271&lt;K$42,I$40,K271&lt;K$44,I$42,K271&lt;K$46,I$44,K271&gt;=K$46,I$46)</f>
        <v/>
      </c>
      <c r="J271" s="37">
        <f>_xlfn.IFS(K271&lt;K$24,0,K271&lt;K$25,J$24,K271&lt;K$26,J$25,K271&lt;K$27,J$26,K271&lt;K$28,J$27,K271&lt;K$29,J$28,K271&lt;K$30,J$29,K271&lt;K$31,J$30,K271&lt;K$32,J$31,K271&lt;K$33,J$32,K271&lt;K$34,J$33,K271&lt;K$35,J$34,K271&lt;K$36,J$35,K271&lt;K$37,J$36,K271&lt;K$38,J$37,K271&lt;K$39,J$38,K271&lt;K$40,J$39,K271&lt;K$41,J$40,K271&lt;K$42,J$41,K271&lt;K$43,J$42,K271&lt;K$44,J$43,K271&lt;K$45,J$44,K271&lt;K$46,J$45,K271&lt;K$47,J$46,K271&gt;=K$47,J$47)</f>
        <v/>
      </c>
      <c r="K271" s="38" t="n">
        <v>221</v>
      </c>
      <c r="L271" s="31">
        <f>K271/52</f>
        <v/>
      </c>
      <c r="M271" s="39">
        <f>J271/1000000*52</f>
        <v/>
      </c>
      <c r="N271" s="33">
        <f>M271/$P$4+($I$22/$P$4)</f>
        <v/>
      </c>
      <c r="U271">
        <f>F270</f>
        <v/>
      </c>
      <c r="V271">
        <f>H270</f>
        <v/>
      </c>
      <c r="W271">
        <f>N270</f>
        <v/>
      </c>
    </row>
    <row r="272" ht="15.75" customHeight="1" s="40">
      <c r="C272" s="36">
        <f>_xlfn.IFS(E272&lt;E$24,0,E272&lt;E$26,C$24,E272&lt;E$28,C$26,E272&lt;E$30,C$28,E272&lt;E$32,C$30,E272&lt;E$34,C$32,E272&gt;=E$34,C$34)</f>
        <v/>
      </c>
      <c r="D272" s="37">
        <f>_xlfn.IFS(E272&lt;E$24,0,E272&lt;E$25,D$24,E272&lt;E$26,D$25,E272&lt;E$27,D$26,E272&lt;E$28,D$27,E272&lt;E$29,D$28,E272&lt;E$30,D$29,E272&lt;E$31,D$30,E272&lt;E$32,D$31,E272&lt;E$33,D$32,E272&lt;E$34,D$33,E272&lt;E$35,D$34,E272&gt;=E$35,D$35)</f>
        <v/>
      </c>
      <c r="E272" s="38" t="n">
        <v>222</v>
      </c>
      <c r="F272" s="31">
        <f>E272/52</f>
        <v/>
      </c>
      <c r="G272" s="39">
        <f>D272/1000000*52</f>
        <v/>
      </c>
      <c r="H272" s="33">
        <f>G272/$P$4+($C$22/$P$4)</f>
        <v/>
      </c>
      <c r="I272" s="36">
        <f>_xlfn.IFS(K272&lt;K$24,0,K272&lt;K$26,I$24,K272&lt;K$28,I$26,K272&lt;K$30,I$28,K272&lt;K$32,I$30,K272&lt;K$34,I$32,K272&lt;K$36,I$34,K272&lt;K$38,I$36,K272&lt;K$40,I$38,K272&lt;K$42,I$40,K272&lt;K$44,I$42,K272&lt;K$46,I$44,K272&gt;=K$46,I$46)</f>
        <v/>
      </c>
      <c r="J272" s="37">
        <f>_xlfn.IFS(K272&lt;K$24,0,K272&lt;K$25,J$24,K272&lt;K$26,J$25,K272&lt;K$27,J$26,K272&lt;K$28,J$27,K272&lt;K$29,J$28,K272&lt;K$30,J$29,K272&lt;K$31,J$30,K272&lt;K$32,J$31,K272&lt;K$33,J$32,K272&lt;K$34,J$33,K272&lt;K$35,J$34,K272&lt;K$36,J$35,K272&lt;K$37,J$36,K272&lt;K$38,J$37,K272&lt;K$39,J$38,K272&lt;K$40,J$39,K272&lt;K$41,J$40,K272&lt;K$42,J$41,K272&lt;K$43,J$42,K272&lt;K$44,J$43,K272&lt;K$45,J$44,K272&lt;K$46,J$45,K272&lt;K$47,J$46,K272&gt;=K$47,J$47)</f>
        <v/>
      </c>
      <c r="K272" s="38" t="n">
        <v>222</v>
      </c>
      <c r="L272" s="31">
        <f>K272/52</f>
        <v/>
      </c>
      <c r="M272" s="39">
        <f>J272/1000000*52</f>
        <v/>
      </c>
      <c r="N272" s="33">
        <f>M272/$P$4+($I$22/$P$4)</f>
        <v/>
      </c>
      <c r="U272">
        <f>F271</f>
        <v/>
      </c>
      <c r="V272">
        <f>H271</f>
        <v/>
      </c>
      <c r="W272">
        <f>N271</f>
        <v/>
      </c>
    </row>
    <row r="273" ht="15.75" customHeight="1" s="40">
      <c r="C273" s="36">
        <f>_xlfn.IFS(E273&lt;E$24,0,E273&lt;E$26,C$24,E273&lt;E$28,C$26,E273&lt;E$30,C$28,E273&lt;E$32,C$30,E273&lt;E$34,C$32,E273&gt;=E$34,C$34)</f>
        <v/>
      </c>
      <c r="D273" s="37">
        <f>_xlfn.IFS(E273&lt;E$24,0,E273&lt;E$25,D$24,E273&lt;E$26,D$25,E273&lt;E$27,D$26,E273&lt;E$28,D$27,E273&lt;E$29,D$28,E273&lt;E$30,D$29,E273&lt;E$31,D$30,E273&lt;E$32,D$31,E273&lt;E$33,D$32,E273&lt;E$34,D$33,E273&lt;E$35,D$34,E273&gt;=E$35,D$35)</f>
        <v/>
      </c>
      <c r="E273" s="38" t="n">
        <v>223</v>
      </c>
      <c r="F273" s="31">
        <f>E273/52</f>
        <v/>
      </c>
      <c r="G273" s="39">
        <f>D273/1000000*52</f>
        <v/>
      </c>
      <c r="H273" s="33">
        <f>G273/$P$4+($C$22/$P$4)</f>
        <v/>
      </c>
      <c r="I273" s="36">
        <f>_xlfn.IFS(K273&lt;K$24,0,K273&lt;K$26,I$24,K273&lt;K$28,I$26,K273&lt;K$30,I$28,K273&lt;K$32,I$30,K273&lt;K$34,I$32,K273&lt;K$36,I$34,K273&lt;K$38,I$36,K273&lt;K$40,I$38,K273&lt;K$42,I$40,K273&lt;K$44,I$42,K273&lt;K$46,I$44,K273&gt;=K$46,I$46)</f>
        <v/>
      </c>
      <c r="J273" s="37">
        <f>_xlfn.IFS(K273&lt;K$24,0,K273&lt;K$25,J$24,K273&lt;K$26,J$25,K273&lt;K$27,J$26,K273&lt;K$28,J$27,K273&lt;K$29,J$28,K273&lt;K$30,J$29,K273&lt;K$31,J$30,K273&lt;K$32,J$31,K273&lt;K$33,J$32,K273&lt;K$34,J$33,K273&lt;K$35,J$34,K273&lt;K$36,J$35,K273&lt;K$37,J$36,K273&lt;K$38,J$37,K273&lt;K$39,J$38,K273&lt;K$40,J$39,K273&lt;K$41,J$40,K273&lt;K$42,J$41,K273&lt;K$43,J$42,K273&lt;K$44,J$43,K273&lt;K$45,J$44,K273&lt;K$46,J$45,K273&lt;K$47,J$46,K273&gt;=K$47,J$47)</f>
        <v/>
      </c>
      <c r="K273" s="38" t="n">
        <v>223</v>
      </c>
      <c r="L273" s="31">
        <f>K273/52</f>
        <v/>
      </c>
      <c r="M273" s="39">
        <f>J273/1000000*52</f>
        <v/>
      </c>
      <c r="N273" s="33">
        <f>M273/$P$4+($I$22/$P$4)</f>
        <v/>
      </c>
      <c r="U273">
        <f>F272</f>
        <v/>
      </c>
      <c r="V273">
        <f>H272</f>
        <v/>
      </c>
      <c r="W273">
        <f>N272</f>
        <v/>
      </c>
    </row>
    <row r="274" ht="15.75" customHeight="1" s="40">
      <c r="C274" s="36">
        <f>_xlfn.IFS(E274&lt;E$24,0,E274&lt;E$26,C$24,E274&lt;E$28,C$26,E274&lt;E$30,C$28,E274&lt;E$32,C$30,E274&lt;E$34,C$32,E274&gt;=E$34,C$34)</f>
        <v/>
      </c>
      <c r="D274" s="37">
        <f>_xlfn.IFS(E274&lt;E$24,0,E274&lt;E$25,D$24,E274&lt;E$26,D$25,E274&lt;E$27,D$26,E274&lt;E$28,D$27,E274&lt;E$29,D$28,E274&lt;E$30,D$29,E274&lt;E$31,D$30,E274&lt;E$32,D$31,E274&lt;E$33,D$32,E274&lt;E$34,D$33,E274&lt;E$35,D$34,E274&gt;=E$35,D$35)</f>
        <v/>
      </c>
      <c r="E274" s="38" t="n">
        <v>224</v>
      </c>
      <c r="F274" s="31">
        <f>E274/52</f>
        <v/>
      </c>
      <c r="G274" s="39">
        <f>D274/1000000*52</f>
        <v/>
      </c>
      <c r="H274" s="33">
        <f>G274/$P$4+($C$22/$P$4)</f>
        <v/>
      </c>
      <c r="I274" s="36">
        <f>_xlfn.IFS(K274&lt;K$24,0,K274&lt;K$26,I$24,K274&lt;K$28,I$26,K274&lt;K$30,I$28,K274&lt;K$32,I$30,K274&lt;K$34,I$32,K274&lt;K$36,I$34,K274&lt;K$38,I$36,K274&lt;K$40,I$38,K274&lt;K$42,I$40,K274&lt;K$44,I$42,K274&lt;K$46,I$44,K274&gt;=K$46,I$46)</f>
        <v/>
      </c>
      <c r="J274" s="37">
        <f>_xlfn.IFS(K274&lt;K$24,0,K274&lt;K$25,J$24,K274&lt;K$26,J$25,K274&lt;K$27,J$26,K274&lt;K$28,J$27,K274&lt;K$29,J$28,K274&lt;K$30,J$29,K274&lt;K$31,J$30,K274&lt;K$32,J$31,K274&lt;K$33,J$32,K274&lt;K$34,J$33,K274&lt;K$35,J$34,K274&lt;K$36,J$35,K274&lt;K$37,J$36,K274&lt;K$38,J$37,K274&lt;K$39,J$38,K274&lt;K$40,J$39,K274&lt;K$41,J$40,K274&lt;K$42,J$41,K274&lt;K$43,J$42,K274&lt;K$44,J$43,K274&lt;K$45,J$44,K274&lt;K$46,J$45,K274&lt;K$47,J$46,K274&gt;=K$47,J$47)</f>
        <v/>
      </c>
      <c r="K274" s="38" t="n">
        <v>224</v>
      </c>
      <c r="L274" s="31">
        <f>K274/52</f>
        <v/>
      </c>
      <c r="M274" s="39">
        <f>J274/1000000*52</f>
        <v/>
      </c>
      <c r="N274" s="33">
        <f>M274/$P$4+($I$22/$P$4)</f>
        <v/>
      </c>
      <c r="U274">
        <f>F273</f>
        <v/>
      </c>
      <c r="V274">
        <f>H273</f>
        <v/>
      </c>
      <c r="W274">
        <f>N273</f>
        <v/>
      </c>
    </row>
    <row r="275" ht="15.75" customHeight="1" s="40">
      <c r="C275" s="36">
        <f>_xlfn.IFS(E275&lt;E$24,0,E275&lt;E$26,C$24,E275&lt;E$28,C$26,E275&lt;E$30,C$28,E275&lt;E$32,C$30,E275&lt;E$34,C$32,E275&gt;=E$34,C$34)</f>
        <v/>
      </c>
      <c r="D275" s="37">
        <f>_xlfn.IFS(E275&lt;E$24,0,E275&lt;E$25,D$24,E275&lt;E$26,D$25,E275&lt;E$27,D$26,E275&lt;E$28,D$27,E275&lt;E$29,D$28,E275&lt;E$30,D$29,E275&lt;E$31,D$30,E275&lt;E$32,D$31,E275&lt;E$33,D$32,E275&lt;E$34,D$33,E275&lt;E$35,D$34,E275&gt;=E$35,D$35)</f>
        <v/>
      </c>
      <c r="E275" s="38" t="n">
        <v>225</v>
      </c>
      <c r="F275" s="31">
        <f>E275/52</f>
        <v/>
      </c>
      <c r="G275" s="39">
        <f>D275/1000000*52</f>
        <v/>
      </c>
      <c r="H275" s="33">
        <f>G275/$P$4+($C$22/$P$4)</f>
        <v/>
      </c>
      <c r="I275" s="36">
        <f>_xlfn.IFS(K275&lt;K$24,0,K275&lt;K$26,I$24,K275&lt;K$28,I$26,K275&lt;K$30,I$28,K275&lt;K$32,I$30,K275&lt;K$34,I$32,K275&lt;K$36,I$34,K275&lt;K$38,I$36,K275&lt;K$40,I$38,K275&lt;K$42,I$40,K275&lt;K$44,I$42,K275&lt;K$46,I$44,K275&gt;=K$46,I$46)</f>
        <v/>
      </c>
      <c r="J275" s="37">
        <f>_xlfn.IFS(K275&lt;K$24,0,K275&lt;K$25,J$24,K275&lt;K$26,J$25,K275&lt;K$27,J$26,K275&lt;K$28,J$27,K275&lt;K$29,J$28,K275&lt;K$30,J$29,K275&lt;K$31,J$30,K275&lt;K$32,J$31,K275&lt;K$33,J$32,K275&lt;K$34,J$33,K275&lt;K$35,J$34,K275&lt;K$36,J$35,K275&lt;K$37,J$36,K275&lt;K$38,J$37,K275&lt;K$39,J$38,K275&lt;K$40,J$39,K275&lt;K$41,J$40,K275&lt;K$42,J$41,K275&lt;K$43,J$42,K275&lt;K$44,J$43,K275&lt;K$45,J$44,K275&lt;K$46,J$45,K275&lt;K$47,J$46,K275&gt;=K$47,J$47)</f>
        <v/>
      </c>
      <c r="K275" s="38" t="n">
        <v>225</v>
      </c>
      <c r="L275" s="31">
        <f>K275/52</f>
        <v/>
      </c>
      <c r="M275" s="39">
        <f>J275/1000000*52</f>
        <v/>
      </c>
      <c r="N275" s="33">
        <f>M275/$P$4+($I$22/$P$4)</f>
        <v/>
      </c>
      <c r="U275">
        <f>F274</f>
        <v/>
      </c>
      <c r="V275">
        <f>H274</f>
        <v/>
      </c>
      <c r="W275">
        <f>N274</f>
        <v/>
      </c>
    </row>
    <row r="276" ht="15.75" customHeight="1" s="40">
      <c r="C276" s="36">
        <f>_xlfn.IFS(E276&lt;E$24,0,E276&lt;E$26,C$24,E276&lt;E$28,C$26,E276&lt;E$30,C$28,E276&lt;E$32,C$30,E276&lt;E$34,C$32,E276&gt;=E$34,C$34)</f>
        <v/>
      </c>
      <c r="D276" s="37">
        <f>_xlfn.IFS(E276&lt;E$24,0,E276&lt;E$25,D$24,E276&lt;E$26,D$25,E276&lt;E$27,D$26,E276&lt;E$28,D$27,E276&lt;E$29,D$28,E276&lt;E$30,D$29,E276&lt;E$31,D$30,E276&lt;E$32,D$31,E276&lt;E$33,D$32,E276&lt;E$34,D$33,E276&lt;E$35,D$34,E276&gt;=E$35,D$35)</f>
        <v/>
      </c>
      <c r="E276" s="38" t="n">
        <v>226</v>
      </c>
      <c r="F276" s="31">
        <f>E276/52</f>
        <v/>
      </c>
      <c r="G276" s="39">
        <f>D276/1000000*52</f>
        <v/>
      </c>
      <c r="H276" s="33">
        <f>G276/$P$4+($C$22/$P$4)</f>
        <v/>
      </c>
      <c r="I276" s="36">
        <f>_xlfn.IFS(K276&lt;K$24,0,K276&lt;K$26,I$24,K276&lt;K$28,I$26,K276&lt;K$30,I$28,K276&lt;K$32,I$30,K276&lt;K$34,I$32,K276&lt;K$36,I$34,K276&lt;K$38,I$36,K276&lt;K$40,I$38,K276&lt;K$42,I$40,K276&lt;K$44,I$42,K276&lt;K$46,I$44,K276&gt;=K$46,I$46)</f>
        <v/>
      </c>
      <c r="J276" s="37">
        <f>_xlfn.IFS(K276&lt;K$24,0,K276&lt;K$25,J$24,K276&lt;K$26,J$25,K276&lt;K$27,J$26,K276&lt;K$28,J$27,K276&lt;K$29,J$28,K276&lt;K$30,J$29,K276&lt;K$31,J$30,K276&lt;K$32,J$31,K276&lt;K$33,J$32,K276&lt;K$34,J$33,K276&lt;K$35,J$34,K276&lt;K$36,J$35,K276&lt;K$37,J$36,K276&lt;K$38,J$37,K276&lt;K$39,J$38,K276&lt;K$40,J$39,K276&lt;K$41,J$40,K276&lt;K$42,J$41,K276&lt;K$43,J$42,K276&lt;K$44,J$43,K276&lt;K$45,J$44,K276&lt;K$46,J$45,K276&lt;K$47,J$46,K276&gt;=K$47,J$47)</f>
        <v/>
      </c>
      <c r="K276" s="38" t="n">
        <v>226</v>
      </c>
      <c r="L276" s="31">
        <f>K276/52</f>
        <v/>
      </c>
      <c r="M276" s="39">
        <f>J276/1000000*52</f>
        <v/>
      </c>
      <c r="N276" s="33">
        <f>M276/$P$4+($I$22/$P$4)</f>
        <v/>
      </c>
      <c r="U276">
        <f>F275</f>
        <v/>
      </c>
      <c r="V276">
        <f>H275</f>
        <v/>
      </c>
      <c r="W276">
        <f>N275</f>
        <v/>
      </c>
    </row>
    <row r="277" ht="15.75" customHeight="1" s="40">
      <c r="C277" s="36">
        <f>_xlfn.IFS(E277&lt;E$24,0,E277&lt;E$26,C$24,E277&lt;E$28,C$26,E277&lt;E$30,C$28,E277&lt;E$32,C$30,E277&lt;E$34,C$32,E277&gt;=E$34,C$34)</f>
        <v/>
      </c>
      <c r="D277" s="37">
        <f>_xlfn.IFS(E277&lt;E$24,0,E277&lt;E$25,D$24,E277&lt;E$26,D$25,E277&lt;E$27,D$26,E277&lt;E$28,D$27,E277&lt;E$29,D$28,E277&lt;E$30,D$29,E277&lt;E$31,D$30,E277&lt;E$32,D$31,E277&lt;E$33,D$32,E277&lt;E$34,D$33,E277&lt;E$35,D$34,E277&gt;=E$35,D$35)</f>
        <v/>
      </c>
      <c r="E277" s="38" t="n">
        <v>227</v>
      </c>
      <c r="F277" s="31">
        <f>E277/52</f>
        <v/>
      </c>
      <c r="G277" s="39">
        <f>D277/1000000*52</f>
        <v/>
      </c>
      <c r="H277" s="33">
        <f>G277/$P$4+($C$22/$P$4)</f>
        <v/>
      </c>
      <c r="I277" s="36">
        <f>_xlfn.IFS(K277&lt;K$24,0,K277&lt;K$26,I$24,K277&lt;K$28,I$26,K277&lt;K$30,I$28,K277&lt;K$32,I$30,K277&lt;K$34,I$32,K277&lt;K$36,I$34,K277&lt;K$38,I$36,K277&lt;K$40,I$38,K277&lt;K$42,I$40,K277&lt;K$44,I$42,K277&lt;K$46,I$44,K277&gt;=K$46,I$46)</f>
        <v/>
      </c>
      <c r="J277" s="37">
        <f>_xlfn.IFS(K277&lt;K$24,0,K277&lt;K$25,J$24,K277&lt;K$26,J$25,K277&lt;K$27,J$26,K277&lt;K$28,J$27,K277&lt;K$29,J$28,K277&lt;K$30,J$29,K277&lt;K$31,J$30,K277&lt;K$32,J$31,K277&lt;K$33,J$32,K277&lt;K$34,J$33,K277&lt;K$35,J$34,K277&lt;K$36,J$35,K277&lt;K$37,J$36,K277&lt;K$38,J$37,K277&lt;K$39,J$38,K277&lt;K$40,J$39,K277&lt;K$41,J$40,K277&lt;K$42,J$41,K277&lt;K$43,J$42,K277&lt;K$44,J$43,K277&lt;K$45,J$44,K277&lt;K$46,J$45,K277&lt;K$47,J$46,K277&gt;=K$47,J$47)</f>
        <v/>
      </c>
      <c r="K277" s="38" t="n">
        <v>227</v>
      </c>
      <c r="L277" s="31">
        <f>K277/52</f>
        <v/>
      </c>
      <c r="M277" s="39">
        <f>J277/1000000*52</f>
        <v/>
      </c>
      <c r="N277" s="33">
        <f>M277/$P$4+($I$22/$P$4)</f>
        <v/>
      </c>
      <c r="U277">
        <f>F276</f>
        <v/>
      </c>
      <c r="V277">
        <f>H276</f>
        <v/>
      </c>
      <c r="W277">
        <f>N276</f>
        <v/>
      </c>
    </row>
    <row r="278" ht="15.75" customHeight="1" s="40">
      <c r="C278" s="36">
        <f>_xlfn.IFS(E278&lt;E$24,0,E278&lt;E$26,C$24,E278&lt;E$28,C$26,E278&lt;E$30,C$28,E278&lt;E$32,C$30,E278&lt;E$34,C$32,E278&gt;=E$34,C$34)</f>
        <v/>
      </c>
      <c r="D278" s="37">
        <f>_xlfn.IFS(E278&lt;E$24,0,E278&lt;E$25,D$24,E278&lt;E$26,D$25,E278&lt;E$27,D$26,E278&lt;E$28,D$27,E278&lt;E$29,D$28,E278&lt;E$30,D$29,E278&lt;E$31,D$30,E278&lt;E$32,D$31,E278&lt;E$33,D$32,E278&lt;E$34,D$33,E278&lt;E$35,D$34,E278&gt;=E$35,D$35)</f>
        <v/>
      </c>
      <c r="E278" s="38" t="n">
        <v>228</v>
      </c>
      <c r="F278" s="31">
        <f>E278/52</f>
        <v/>
      </c>
      <c r="G278" s="39">
        <f>D278/1000000*52</f>
        <v/>
      </c>
      <c r="H278" s="33">
        <f>G278/$P$4+($C$22/$P$4)</f>
        <v/>
      </c>
      <c r="I278" s="36">
        <f>_xlfn.IFS(K278&lt;K$24,0,K278&lt;K$26,I$24,K278&lt;K$28,I$26,K278&lt;K$30,I$28,K278&lt;K$32,I$30,K278&lt;K$34,I$32,K278&lt;K$36,I$34,K278&lt;K$38,I$36,K278&lt;K$40,I$38,K278&lt;K$42,I$40,K278&lt;K$44,I$42,K278&lt;K$46,I$44,K278&gt;=K$46,I$46)</f>
        <v/>
      </c>
      <c r="J278" s="37">
        <f>_xlfn.IFS(K278&lt;K$24,0,K278&lt;K$25,J$24,K278&lt;K$26,J$25,K278&lt;K$27,J$26,K278&lt;K$28,J$27,K278&lt;K$29,J$28,K278&lt;K$30,J$29,K278&lt;K$31,J$30,K278&lt;K$32,J$31,K278&lt;K$33,J$32,K278&lt;K$34,J$33,K278&lt;K$35,J$34,K278&lt;K$36,J$35,K278&lt;K$37,J$36,K278&lt;K$38,J$37,K278&lt;K$39,J$38,K278&lt;K$40,J$39,K278&lt;K$41,J$40,K278&lt;K$42,J$41,K278&lt;K$43,J$42,K278&lt;K$44,J$43,K278&lt;K$45,J$44,K278&lt;K$46,J$45,K278&lt;K$47,J$46,K278&gt;=K$47,J$47)</f>
        <v/>
      </c>
      <c r="K278" s="38" t="n">
        <v>228</v>
      </c>
      <c r="L278" s="31">
        <f>K278/52</f>
        <v/>
      </c>
      <c r="M278" s="39">
        <f>J278/1000000*52</f>
        <v/>
      </c>
      <c r="N278" s="33">
        <f>M278/$P$4+($I$22/$P$4)</f>
        <v/>
      </c>
      <c r="U278">
        <f>F277</f>
        <v/>
      </c>
      <c r="V278">
        <f>H277</f>
        <v/>
      </c>
      <c r="W278">
        <f>N277</f>
        <v/>
      </c>
    </row>
    <row r="279" ht="15.75" customHeight="1" s="40">
      <c r="C279" s="36">
        <f>_xlfn.IFS(E279&lt;E$24,0,E279&lt;E$26,C$24,E279&lt;E$28,C$26,E279&lt;E$30,C$28,E279&lt;E$32,C$30,E279&lt;E$34,C$32,E279&gt;=E$34,C$34)</f>
        <v/>
      </c>
      <c r="D279" s="37">
        <f>_xlfn.IFS(E279&lt;E$24,0,E279&lt;E$25,D$24,E279&lt;E$26,D$25,E279&lt;E$27,D$26,E279&lt;E$28,D$27,E279&lt;E$29,D$28,E279&lt;E$30,D$29,E279&lt;E$31,D$30,E279&lt;E$32,D$31,E279&lt;E$33,D$32,E279&lt;E$34,D$33,E279&lt;E$35,D$34,E279&gt;=E$35,D$35)</f>
        <v/>
      </c>
      <c r="E279" s="38" t="n">
        <v>229</v>
      </c>
      <c r="F279" s="31">
        <f>E279/52</f>
        <v/>
      </c>
      <c r="G279" s="39">
        <f>D279/1000000*52</f>
        <v/>
      </c>
      <c r="H279" s="33">
        <f>G279/$P$4+($C$22/$P$4)</f>
        <v/>
      </c>
      <c r="I279" s="36">
        <f>_xlfn.IFS(K279&lt;K$24,0,K279&lt;K$26,I$24,K279&lt;K$28,I$26,K279&lt;K$30,I$28,K279&lt;K$32,I$30,K279&lt;K$34,I$32,K279&lt;K$36,I$34,K279&lt;K$38,I$36,K279&lt;K$40,I$38,K279&lt;K$42,I$40,K279&lt;K$44,I$42,K279&lt;K$46,I$44,K279&gt;=K$46,I$46)</f>
        <v/>
      </c>
      <c r="J279" s="37">
        <f>_xlfn.IFS(K279&lt;K$24,0,K279&lt;K$25,J$24,K279&lt;K$26,J$25,K279&lt;K$27,J$26,K279&lt;K$28,J$27,K279&lt;K$29,J$28,K279&lt;K$30,J$29,K279&lt;K$31,J$30,K279&lt;K$32,J$31,K279&lt;K$33,J$32,K279&lt;K$34,J$33,K279&lt;K$35,J$34,K279&lt;K$36,J$35,K279&lt;K$37,J$36,K279&lt;K$38,J$37,K279&lt;K$39,J$38,K279&lt;K$40,J$39,K279&lt;K$41,J$40,K279&lt;K$42,J$41,K279&lt;K$43,J$42,K279&lt;K$44,J$43,K279&lt;K$45,J$44,K279&lt;K$46,J$45,K279&lt;K$47,J$46,K279&gt;=K$47,J$47)</f>
        <v/>
      </c>
      <c r="K279" s="38" t="n">
        <v>229</v>
      </c>
      <c r="L279" s="31">
        <f>K279/52</f>
        <v/>
      </c>
      <c r="M279" s="39">
        <f>J279/1000000*52</f>
        <v/>
      </c>
      <c r="N279" s="33">
        <f>M279/$P$4+($I$22/$P$4)</f>
        <v/>
      </c>
      <c r="U279">
        <f>F278</f>
        <v/>
      </c>
      <c r="V279">
        <f>H278</f>
        <v/>
      </c>
      <c r="W279">
        <f>N278</f>
        <v/>
      </c>
    </row>
    <row r="280" ht="15.75" customHeight="1" s="40">
      <c r="C280" s="36">
        <f>_xlfn.IFS(E280&lt;E$24,0,E280&lt;E$26,C$24,E280&lt;E$28,C$26,E280&lt;E$30,C$28,E280&lt;E$32,C$30,E280&lt;E$34,C$32,E280&gt;=E$34,C$34)</f>
        <v/>
      </c>
      <c r="D280" s="37">
        <f>_xlfn.IFS(E280&lt;E$24,0,E280&lt;E$25,D$24,E280&lt;E$26,D$25,E280&lt;E$27,D$26,E280&lt;E$28,D$27,E280&lt;E$29,D$28,E280&lt;E$30,D$29,E280&lt;E$31,D$30,E280&lt;E$32,D$31,E280&lt;E$33,D$32,E280&lt;E$34,D$33,E280&lt;E$35,D$34,E280&gt;=E$35,D$35)</f>
        <v/>
      </c>
      <c r="E280" s="38" t="n">
        <v>230</v>
      </c>
      <c r="F280" s="31">
        <f>E280/52</f>
        <v/>
      </c>
      <c r="G280" s="39">
        <f>D280/1000000*52</f>
        <v/>
      </c>
      <c r="H280" s="33">
        <f>G280/$P$4+($C$22/$P$4)</f>
        <v/>
      </c>
      <c r="I280" s="36">
        <f>_xlfn.IFS(K280&lt;K$24,0,K280&lt;K$26,I$24,K280&lt;K$28,I$26,K280&lt;K$30,I$28,K280&lt;K$32,I$30,K280&lt;K$34,I$32,K280&lt;K$36,I$34,K280&lt;K$38,I$36,K280&lt;K$40,I$38,K280&lt;K$42,I$40,K280&lt;K$44,I$42,K280&lt;K$46,I$44,K280&gt;=K$46,I$46)</f>
        <v/>
      </c>
      <c r="J280" s="37">
        <f>_xlfn.IFS(K280&lt;K$24,0,K280&lt;K$25,J$24,K280&lt;K$26,J$25,K280&lt;K$27,J$26,K280&lt;K$28,J$27,K280&lt;K$29,J$28,K280&lt;K$30,J$29,K280&lt;K$31,J$30,K280&lt;K$32,J$31,K280&lt;K$33,J$32,K280&lt;K$34,J$33,K280&lt;K$35,J$34,K280&lt;K$36,J$35,K280&lt;K$37,J$36,K280&lt;K$38,J$37,K280&lt;K$39,J$38,K280&lt;K$40,J$39,K280&lt;K$41,J$40,K280&lt;K$42,J$41,K280&lt;K$43,J$42,K280&lt;K$44,J$43,K280&lt;K$45,J$44,K280&lt;K$46,J$45,K280&lt;K$47,J$46,K280&gt;=K$47,J$47)</f>
        <v/>
      </c>
      <c r="K280" s="38" t="n">
        <v>230</v>
      </c>
      <c r="L280" s="31">
        <f>K280/52</f>
        <v/>
      </c>
      <c r="M280" s="39">
        <f>J280/1000000*52</f>
        <v/>
      </c>
      <c r="N280" s="33">
        <f>M280/$P$4+($I$22/$P$4)</f>
        <v/>
      </c>
      <c r="U280">
        <f>F279</f>
        <v/>
      </c>
      <c r="V280">
        <f>H279</f>
        <v/>
      </c>
      <c r="W280">
        <f>N279</f>
        <v/>
      </c>
    </row>
    <row r="281" ht="15.75" customHeight="1" s="40">
      <c r="C281" s="36">
        <f>_xlfn.IFS(E281&lt;E$24,0,E281&lt;E$26,C$24,E281&lt;E$28,C$26,E281&lt;E$30,C$28,E281&lt;E$32,C$30,E281&lt;E$34,C$32,E281&gt;=E$34,C$34)</f>
        <v/>
      </c>
      <c r="D281" s="37">
        <f>_xlfn.IFS(E281&lt;E$24,0,E281&lt;E$25,D$24,E281&lt;E$26,D$25,E281&lt;E$27,D$26,E281&lt;E$28,D$27,E281&lt;E$29,D$28,E281&lt;E$30,D$29,E281&lt;E$31,D$30,E281&lt;E$32,D$31,E281&lt;E$33,D$32,E281&lt;E$34,D$33,E281&lt;E$35,D$34,E281&gt;=E$35,D$35)</f>
        <v/>
      </c>
      <c r="E281" s="38" t="n">
        <v>231</v>
      </c>
      <c r="F281" s="31">
        <f>E281/52</f>
        <v/>
      </c>
      <c r="G281" s="39">
        <f>D281/1000000*52</f>
        <v/>
      </c>
      <c r="H281" s="33">
        <f>G281/$P$4+($C$22/$P$4)</f>
        <v/>
      </c>
      <c r="I281" s="36">
        <f>_xlfn.IFS(K281&lt;K$24,0,K281&lt;K$26,I$24,K281&lt;K$28,I$26,K281&lt;K$30,I$28,K281&lt;K$32,I$30,K281&lt;K$34,I$32,K281&lt;K$36,I$34,K281&lt;K$38,I$36,K281&lt;K$40,I$38,K281&lt;K$42,I$40,K281&lt;K$44,I$42,K281&lt;K$46,I$44,K281&gt;=K$46,I$46)</f>
        <v/>
      </c>
      <c r="J281" s="37">
        <f>_xlfn.IFS(K281&lt;K$24,0,K281&lt;K$25,J$24,K281&lt;K$26,J$25,K281&lt;K$27,J$26,K281&lt;K$28,J$27,K281&lt;K$29,J$28,K281&lt;K$30,J$29,K281&lt;K$31,J$30,K281&lt;K$32,J$31,K281&lt;K$33,J$32,K281&lt;K$34,J$33,K281&lt;K$35,J$34,K281&lt;K$36,J$35,K281&lt;K$37,J$36,K281&lt;K$38,J$37,K281&lt;K$39,J$38,K281&lt;K$40,J$39,K281&lt;K$41,J$40,K281&lt;K$42,J$41,K281&lt;K$43,J$42,K281&lt;K$44,J$43,K281&lt;K$45,J$44,K281&lt;K$46,J$45,K281&lt;K$47,J$46,K281&gt;=K$47,J$47)</f>
        <v/>
      </c>
      <c r="K281" s="38" t="n">
        <v>231</v>
      </c>
      <c r="L281" s="31">
        <f>K281/52</f>
        <v/>
      </c>
      <c r="M281" s="39">
        <f>J281/1000000*52</f>
        <v/>
      </c>
      <c r="N281" s="33">
        <f>M281/$P$4+($I$22/$P$4)</f>
        <v/>
      </c>
      <c r="U281">
        <f>F280</f>
        <v/>
      </c>
      <c r="V281">
        <f>H280</f>
        <v/>
      </c>
      <c r="W281">
        <f>N280</f>
        <v/>
      </c>
    </row>
    <row r="282" ht="15.75" customHeight="1" s="40">
      <c r="C282" s="36">
        <f>_xlfn.IFS(E282&lt;E$24,0,E282&lt;E$26,C$24,E282&lt;E$28,C$26,E282&lt;E$30,C$28,E282&lt;E$32,C$30,E282&lt;E$34,C$32,E282&gt;=E$34,C$34)</f>
        <v/>
      </c>
      <c r="D282" s="37">
        <f>_xlfn.IFS(E282&lt;E$24,0,E282&lt;E$25,D$24,E282&lt;E$26,D$25,E282&lt;E$27,D$26,E282&lt;E$28,D$27,E282&lt;E$29,D$28,E282&lt;E$30,D$29,E282&lt;E$31,D$30,E282&lt;E$32,D$31,E282&lt;E$33,D$32,E282&lt;E$34,D$33,E282&lt;E$35,D$34,E282&gt;=E$35,D$35)</f>
        <v/>
      </c>
      <c r="E282" s="38" t="n">
        <v>232</v>
      </c>
      <c r="F282" s="31">
        <f>E282/52</f>
        <v/>
      </c>
      <c r="G282" s="39">
        <f>D282/1000000*52</f>
        <v/>
      </c>
      <c r="H282" s="33">
        <f>G282/$P$4+($C$22/$P$4)</f>
        <v/>
      </c>
      <c r="I282" s="36">
        <f>_xlfn.IFS(K282&lt;K$24,0,K282&lt;K$26,I$24,K282&lt;K$28,I$26,K282&lt;K$30,I$28,K282&lt;K$32,I$30,K282&lt;K$34,I$32,K282&lt;K$36,I$34,K282&lt;K$38,I$36,K282&lt;K$40,I$38,K282&lt;K$42,I$40,K282&lt;K$44,I$42,K282&lt;K$46,I$44,K282&gt;=K$46,I$46)</f>
        <v/>
      </c>
      <c r="J282" s="37">
        <f>_xlfn.IFS(K282&lt;K$24,0,K282&lt;K$25,J$24,K282&lt;K$26,J$25,K282&lt;K$27,J$26,K282&lt;K$28,J$27,K282&lt;K$29,J$28,K282&lt;K$30,J$29,K282&lt;K$31,J$30,K282&lt;K$32,J$31,K282&lt;K$33,J$32,K282&lt;K$34,J$33,K282&lt;K$35,J$34,K282&lt;K$36,J$35,K282&lt;K$37,J$36,K282&lt;K$38,J$37,K282&lt;K$39,J$38,K282&lt;K$40,J$39,K282&lt;K$41,J$40,K282&lt;K$42,J$41,K282&lt;K$43,J$42,K282&lt;K$44,J$43,K282&lt;K$45,J$44,K282&lt;K$46,J$45,K282&lt;K$47,J$46,K282&gt;=K$47,J$47)</f>
        <v/>
      </c>
      <c r="K282" s="38" t="n">
        <v>232</v>
      </c>
      <c r="L282" s="31">
        <f>K282/52</f>
        <v/>
      </c>
      <c r="M282" s="39">
        <f>J282/1000000*52</f>
        <v/>
      </c>
      <c r="N282" s="33">
        <f>M282/$P$4+($I$22/$P$4)</f>
        <v/>
      </c>
      <c r="U282">
        <f>F281</f>
        <v/>
      </c>
      <c r="V282">
        <f>H281</f>
        <v/>
      </c>
      <c r="W282">
        <f>N281</f>
        <v/>
      </c>
    </row>
    <row r="283" ht="15.75" customHeight="1" s="40">
      <c r="C283" s="36">
        <f>_xlfn.IFS(E283&lt;E$24,0,E283&lt;E$26,C$24,E283&lt;E$28,C$26,E283&lt;E$30,C$28,E283&lt;E$32,C$30,E283&lt;E$34,C$32,E283&gt;=E$34,C$34)</f>
        <v/>
      </c>
      <c r="D283" s="37">
        <f>_xlfn.IFS(E283&lt;E$24,0,E283&lt;E$25,D$24,E283&lt;E$26,D$25,E283&lt;E$27,D$26,E283&lt;E$28,D$27,E283&lt;E$29,D$28,E283&lt;E$30,D$29,E283&lt;E$31,D$30,E283&lt;E$32,D$31,E283&lt;E$33,D$32,E283&lt;E$34,D$33,E283&lt;E$35,D$34,E283&gt;=E$35,D$35)</f>
        <v/>
      </c>
      <c r="E283" s="38" t="n">
        <v>233</v>
      </c>
      <c r="F283" s="31">
        <f>E283/52</f>
        <v/>
      </c>
      <c r="G283" s="39">
        <f>D283/1000000*52</f>
        <v/>
      </c>
      <c r="H283" s="33">
        <f>G283/$P$4+($C$22/$P$4)</f>
        <v/>
      </c>
      <c r="I283" s="36">
        <f>_xlfn.IFS(K283&lt;K$24,0,K283&lt;K$26,I$24,K283&lt;K$28,I$26,K283&lt;K$30,I$28,K283&lt;K$32,I$30,K283&lt;K$34,I$32,K283&lt;K$36,I$34,K283&lt;K$38,I$36,K283&lt;K$40,I$38,K283&lt;K$42,I$40,K283&lt;K$44,I$42,K283&lt;K$46,I$44,K283&gt;=K$46,I$46)</f>
        <v/>
      </c>
      <c r="J283" s="37">
        <f>_xlfn.IFS(K283&lt;K$24,0,K283&lt;K$25,J$24,K283&lt;K$26,J$25,K283&lt;K$27,J$26,K283&lt;K$28,J$27,K283&lt;K$29,J$28,K283&lt;K$30,J$29,K283&lt;K$31,J$30,K283&lt;K$32,J$31,K283&lt;K$33,J$32,K283&lt;K$34,J$33,K283&lt;K$35,J$34,K283&lt;K$36,J$35,K283&lt;K$37,J$36,K283&lt;K$38,J$37,K283&lt;K$39,J$38,K283&lt;K$40,J$39,K283&lt;K$41,J$40,K283&lt;K$42,J$41,K283&lt;K$43,J$42,K283&lt;K$44,J$43,K283&lt;K$45,J$44,K283&lt;K$46,J$45,K283&lt;K$47,J$46,K283&gt;=K$47,J$47)</f>
        <v/>
      </c>
      <c r="K283" s="38" t="n">
        <v>233</v>
      </c>
      <c r="L283" s="31">
        <f>K283/52</f>
        <v/>
      </c>
      <c r="M283" s="39">
        <f>J283/1000000*52</f>
        <v/>
      </c>
      <c r="N283" s="33">
        <f>M283/$P$4+($I$22/$P$4)</f>
        <v/>
      </c>
      <c r="U283">
        <f>F282</f>
        <v/>
      </c>
      <c r="V283">
        <f>H282</f>
        <v/>
      </c>
      <c r="W283">
        <f>N282</f>
        <v/>
      </c>
    </row>
    <row r="284" ht="15.75" customHeight="1" s="40">
      <c r="C284" s="36">
        <f>_xlfn.IFS(E284&lt;E$24,0,E284&lt;E$26,C$24,E284&lt;E$28,C$26,E284&lt;E$30,C$28,E284&lt;E$32,C$30,E284&lt;E$34,C$32,E284&gt;=E$34,C$34)</f>
        <v/>
      </c>
      <c r="D284" s="37">
        <f>_xlfn.IFS(E284&lt;E$24,0,E284&lt;E$25,D$24,E284&lt;E$26,D$25,E284&lt;E$27,D$26,E284&lt;E$28,D$27,E284&lt;E$29,D$28,E284&lt;E$30,D$29,E284&lt;E$31,D$30,E284&lt;E$32,D$31,E284&lt;E$33,D$32,E284&lt;E$34,D$33,E284&lt;E$35,D$34,E284&gt;=E$35,D$35)</f>
        <v/>
      </c>
      <c r="E284" s="38" t="n">
        <v>234</v>
      </c>
      <c r="F284" s="31">
        <f>E284/52</f>
        <v/>
      </c>
      <c r="G284" s="39">
        <f>D284/1000000*52</f>
        <v/>
      </c>
      <c r="H284" s="33">
        <f>G284/$P$4+($C$22/$P$4)</f>
        <v/>
      </c>
      <c r="I284" s="36">
        <f>_xlfn.IFS(K284&lt;K$24,0,K284&lt;K$26,I$24,K284&lt;K$28,I$26,K284&lt;K$30,I$28,K284&lt;K$32,I$30,K284&lt;K$34,I$32,K284&lt;K$36,I$34,K284&lt;K$38,I$36,K284&lt;K$40,I$38,K284&lt;K$42,I$40,K284&lt;K$44,I$42,K284&lt;K$46,I$44,K284&gt;=K$46,I$46)</f>
        <v/>
      </c>
      <c r="J284" s="37">
        <f>_xlfn.IFS(K284&lt;K$24,0,K284&lt;K$25,J$24,K284&lt;K$26,J$25,K284&lt;K$27,J$26,K284&lt;K$28,J$27,K284&lt;K$29,J$28,K284&lt;K$30,J$29,K284&lt;K$31,J$30,K284&lt;K$32,J$31,K284&lt;K$33,J$32,K284&lt;K$34,J$33,K284&lt;K$35,J$34,K284&lt;K$36,J$35,K284&lt;K$37,J$36,K284&lt;K$38,J$37,K284&lt;K$39,J$38,K284&lt;K$40,J$39,K284&lt;K$41,J$40,K284&lt;K$42,J$41,K284&lt;K$43,J$42,K284&lt;K$44,J$43,K284&lt;K$45,J$44,K284&lt;K$46,J$45,K284&lt;K$47,J$46,K284&gt;=K$47,J$47)</f>
        <v/>
      </c>
      <c r="K284" s="38" t="n">
        <v>234</v>
      </c>
      <c r="L284" s="31">
        <f>K284/52</f>
        <v/>
      </c>
      <c r="M284" s="39">
        <f>J284/1000000*52</f>
        <v/>
      </c>
      <c r="N284" s="33">
        <f>M284/$P$4+($I$22/$P$4)</f>
        <v/>
      </c>
      <c r="U284">
        <f>F283</f>
        <v/>
      </c>
      <c r="V284">
        <f>H283</f>
        <v/>
      </c>
      <c r="W284">
        <f>N283</f>
        <v/>
      </c>
    </row>
    <row r="285" ht="15.75" customHeight="1" s="40">
      <c r="C285" s="36">
        <f>_xlfn.IFS(E285&lt;E$24,0,E285&lt;E$26,C$24,E285&lt;E$28,C$26,E285&lt;E$30,C$28,E285&lt;E$32,C$30,E285&lt;E$34,C$32,E285&gt;=E$34,C$34)</f>
        <v/>
      </c>
      <c r="D285" s="37">
        <f>_xlfn.IFS(E285&lt;E$24,0,E285&lt;E$25,D$24,E285&lt;E$26,D$25,E285&lt;E$27,D$26,E285&lt;E$28,D$27,E285&lt;E$29,D$28,E285&lt;E$30,D$29,E285&lt;E$31,D$30,E285&lt;E$32,D$31,E285&lt;E$33,D$32,E285&lt;E$34,D$33,E285&lt;E$35,D$34,E285&gt;=E$35,D$35)</f>
        <v/>
      </c>
      <c r="E285" s="38" t="n">
        <v>235</v>
      </c>
      <c r="F285" s="31">
        <f>E285/52</f>
        <v/>
      </c>
      <c r="G285" s="39">
        <f>D285/1000000*52</f>
        <v/>
      </c>
      <c r="H285" s="33">
        <f>G285/$P$4+($C$22/$P$4)</f>
        <v/>
      </c>
      <c r="I285" s="36">
        <f>_xlfn.IFS(K285&lt;K$24,0,K285&lt;K$26,I$24,K285&lt;K$28,I$26,K285&lt;K$30,I$28,K285&lt;K$32,I$30,K285&lt;K$34,I$32,K285&lt;K$36,I$34,K285&lt;K$38,I$36,K285&lt;K$40,I$38,K285&lt;K$42,I$40,K285&lt;K$44,I$42,K285&lt;K$46,I$44,K285&gt;=K$46,I$46)</f>
        <v/>
      </c>
      <c r="J285" s="37">
        <f>_xlfn.IFS(K285&lt;K$24,0,K285&lt;K$25,J$24,K285&lt;K$26,J$25,K285&lt;K$27,J$26,K285&lt;K$28,J$27,K285&lt;K$29,J$28,K285&lt;K$30,J$29,K285&lt;K$31,J$30,K285&lt;K$32,J$31,K285&lt;K$33,J$32,K285&lt;K$34,J$33,K285&lt;K$35,J$34,K285&lt;K$36,J$35,K285&lt;K$37,J$36,K285&lt;K$38,J$37,K285&lt;K$39,J$38,K285&lt;K$40,J$39,K285&lt;K$41,J$40,K285&lt;K$42,J$41,K285&lt;K$43,J$42,K285&lt;K$44,J$43,K285&lt;K$45,J$44,K285&lt;K$46,J$45,K285&lt;K$47,J$46,K285&gt;=K$47,J$47)</f>
        <v/>
      </c>
      <c r="K285" s="38" t="n">
        <v>235</v>
      </c>
      <c r="L285" s="31">
        <f>K285/52</f>
        <v/>
      </c>
      <c r="M285" s="39">
        <f>J285/1000000*52</f>
        <v/>
      </c>
      <c r="N285" s="33">
        <f>M285/$P$4+($I$22/$P$4)</f>
        <v/>
      </c>
      <c r="U285">
        <f>F284</f>
        <v/>
      </c>
      <c r="V285">
        <f>H284</f>
        <v/>
      </c>
      <c r="W285">
        <f>N284</f>
        <v/>
      </c>
    </row>
    <row r="286" ht="15.75" customHeight="1" s="40">
      <c r="C286" s="36">
        <f>_xlfn.IFS(E286&lt;E$24,0,E286&lt;E$26,C$24,E286&lt;E$28,C$26,E286&lt;E$30,C$28,E286&lt;E$32,C$30,E286&lt;E$34,C$32,E286&gt;=E$34,C$34)</f>
        <v/>
      </c>
      <c r="D286" s="37">
        <f>_xlfn.IFS(E286&lt;E$24,0,E286&lt;E$25,D$24,E286&lt;E$26,D$25,E286&lt;E$27,D$26,E286&lt;E$28,D$27,E286&lt;E$29,D$28,E286&lt;E$30,D$29,E286&lt;E$31,D$30,E286&lt;E$32,D$31,E286&lt;E$33,D$32,E286&lt;E$34,D$33,E286&lt;E$35,D$34,E286&gt;=E$35,D$35)</f>
        <v/>
      </c>
      <c r="E286" s="38" t="n">
        <v>236</v>
      </c>
      <c r="F286" s="31">
        <f>E286/52</f>
        <v/>
      </c>
      <c r="G286" s="39">
        <f>D286/1000000*52</f>
        <v/>
      </c>
      <c r="H286" s="33">
        <f>G286/$P$4+($C$22/$P$4)</f>
        <v/>
      </c>
      <c r="I286" s="36">
        <f>_xlfn.IFS(K286&lt;K$24,0,K286&lt;K$26,I$24,K286&lt;K$28,I$26,K286&lt;K$30,I$28,K286&lt;K$32,I$30,K286&lt;K$34,I$32,K286&lt;K$36,I$34,K286&lt;K$38,I$36,K286&lt;K$40,I$38,K286&lt;K$42,I$40,K286&lt;K$44,I$42,K286&lt;K$46,I$44,K286&gt;=K$46,I$46)</f>
        <v/>
      </c>
      <c r="J286" s="37">
        <f>_xlfn.IFS(K286&lt;K$24,0,K286&lt;K$25,J$24,K286&lt;K$26,J$25,K286&lt;K$27,J$26,K286&lt;K$28,J$27,K286&lt;K$29,J$28,K286&lt;K$30,J$29,K286&lt;K$31,J$30,K286&lt;K$32,J$31,K286&lt;K$33,J$32,K286&lt;K$34,J$33,K286&lt;K$35,J$34,K286&lt;K$36,J$35,K286&lt;K$37,J$36,K286&lt;K$38,J$37,K286&lt;K$39,J$38,K286&lt;K$40,J$39,K286&lt;K$41,J$40,K286&lt;K$42,J$41,K286&lt;K$43,J$42,K286&lt;K$44,J$43,K286&lt;K$45,J$44,K286&lt;K$46,J$45,K286&lt;K$47,J$46,K286&gt;=K$47,J$47)</f>
        <v/>
      </c>
      <c r="K286" s="38" t="n">
        <v>236</v>
      </c>
      <c r="L286" s="31">
        <f>K286/52</f>
        <v/>
      </c>
      <c r="M286" s="39">
        <f>J286/1000000*52</f>
        <v/>
      </c>
      <c r="N286" s="33">
        <f>M286/$P$4+($I$22/$P$4)</f>
        <v/>
      </c>
      <c r="U286">
        <f>F285</f>
        <v/>
      </c>
      <c r="V286">
        <f>H285</f>
        <v/>
      </c>
      <c r="W286">
        <f>N285</f>
        <v/>
      </c>
    </row>
    <row r="287" ht="15.75" customHeight="1" s="40">
      <c r="C287" s="36">
        <f>_xlfn.IFS(E287&lt;E$24,0,E287&lt;E$26,C$24,E287&lt;E$28,C$26,E287&lt;E$30,C$28,E287&lt;E$32,C$30,E287&lt;E$34,C$32,E287&gt;=E$34,C$34)</f>
        <v/>
      </c>
      <c r="D287" s="37">
        <f>_xlfn.IFS(E287&lt;E$24,0,E287&lt;E$25,D$24,E287&lt;E$26,D$25,E287&lt;E$27,D$26,E287&lt;E$28,D$27,E287&lt;E$29,D$28,E287&lt;E$30,D$29,E287&lt;E$31,D$30,E287&lt;E$32,D$31,E287&lt;E$33,D$32,E287&lt;E$34,D$33,E287&lt;E$35,D$34,E287&gt;=E$35,D$35)</f>
        <v/>
      </c>
      <c r="E287" s="38" t="n">
        <v>237</v>
      </c>
      <c r="F287" s="31">
        <f>E287/52</f>
        <v/>
      </c>
      <c r="G287" s="39">
        <f>D287/1000000*52</f>
        <v/>
      </c>
      <c r="H287" s="33">
        <f>G287/$P$4+($C$22/$P$4)</f>
        <v/>
      </c>
      <c r="I287" s="36">
        <f>_xlfn.IFS(K287&lt;K$24,0,K287&lt;K$26,I$24,K287&lt;K$28,I$26,K287&lt;K$30,I$28,K287&lt;K$32,I$30,K287&lt;K$34,I$32,K287&lt;K$36,I$34,K287&lt;K$38,I$36,K287&lt;K$40,I$38,K287&lt;K$42,I$40,K287&lt;K$44,I$42,K287&lt;K$46,I$44,K287&gt;=K$46,I$46)</f>
        <v/>
      </c>
      <c r="J287" s="37">
        <f>_xlfn.IFS(K287&lt;K$24,0,K287&lt;K$25,J$24,K287&lt;K$26,J$25,K287&lt;K$27,J$26,K287&lt;K$28,J$27,K287&lt;K$29,J$28,K287&lt;K$30,J$29,K287&lt;K$31,J$30,K287&lt;K$32,J$31,K287&lt;K$33,J$32,K287&lt;K$34,J$33,K287&lt;K$35,J$34,K287&lt;K$36,J$35,K287&lt;K$37,J$36,K287&lt;K$38,J$37,K287&lt;K$39,J$38,K287&lt;K$40,J$39,K287&lt;K$41,J$40,K287&lt;K$42,J$41,K287&lt;K$43,J$42,K287&lt;K$44,J$43,K287&lt;K$45,J$44,K287&lt;K$46,J$45,K287&lt;K$47,J$46,K287&gt;=K$47,J$47)</f>
        <v/>
      </c>
      <c r="K287" s="38" t="n">
        <v>237</v>
      </c>
      <c r="L287" s="31">
        <f>K287/52</f>
        <v/>
      </c>
      <c r="M287" s="39">
        <f>J287/1000000*52</f>
        <v/>
      </c>
      <c r="N287" s="33">
        <f>M287/$P$4+($I$22/$P$4)</f>
        <v/>
      </c>
      <c r="U287">
        <f>F286</f>
        <v/>
      </c>
      <c r="V287">
        <f>H286</f>
        <v/>
      </c>
      <c r="W287">
        <f>N286</f>
        <v/>
      </c>
    </row>
    <row r="288" ht="15.75" customHeight="1" s="40">
      <c r="C288" s="36">
        <f>_xlfn.IFS(E288&lt;E$24,0,E288&lt;E$26,C$24,E288&lt;E$28,C$26,E288&lt;E$30,C$28,E288&lt;E$32,C$30,E288&lt;E$34,C$32,E288&gt;=E$34,C$34)</f>
        <v/>
      </c>
      <c r="D288" s="37">
        <f>_xlfn.IFS(E288&lt;E$24,0,E288&lt;E$25,D$24,E288&lt;E$26,D$25,E288&lt;E$27,D$26,E288&lt;E$28,D$27,E288&lt;E$29,D$28,E288&lt;E$30,D$29,E288&lt;E$31,D$30,E288&lt;E$32,D$31,E288&lt;E$33,D$32,E288&lt;E$34,D$33,E288&lt;E$35,D$34,E288&gt;=E$35,D$35)</f>
        <v/>
      </c>
      <c r="E288" s="38" t="n">
        <v>238</v>
      </c>
      <c r="F288" s="31">
        <f>E288/52</f>
        <v/>
      </c>
      <c r="G288" s="39">
        <f>D288/1000000*52</f>
        <v/>
      </c>
      <c r="H288" s="33">
        <f>G288/$P$4+($C$22/$P$4)</f>
        <v/>
      </c>
      <c r="I288" s="36">
        <f>_xlfn.IFS(K288&lt;K$24,0,K288&lt;K$26,I$24,K288&lt;K$28,I$26,K288&lt;K$30,I$28,K288&lt;K$32,I$30,K288&lt;K$34,I$32,K288&lt;K$36,I$34,K288&lt;K$38,I$36,K288&lt;K$40,I$38,K288&lt;K$42,I$40,K288&lt;K$44,I$42,K288&lt;K$46,I$44,K288&gt;=K$46,I$46)</f>
        <v/>
      </c>
      <c r="J288" s="37">
        <f>_xlfn.IFS(K288&lt;K$24,0,K288&lt;K$25,J$24,K288&lt;K$26,J$25,K288&lt;K$27,J$26,K288&lt;K$28,J$27,K288&lt;K$29,J$28,K288&lt;K$30,J$29,K288&lt;K$31,J$30,K288&lt;K$32,J$31,K288&lt;K$33,J$32,K288&lt;K$34,J$33,K288&lt;K$35,J$34,K288&lt;K$36,J$35,K288&lt;K$37,J$36,K288&lt;K$38,J$37,K288&lt;K$39,J$38,K288&lt;K$40,J$39,K288&lt;K$41,J$40,K288&lt;K$42,J$41,K288&lt;K$43,J$42,K288&lt;K$44,J$43,K288&lt;K$45,J$44,K288&lt;K$46,J$45,K288&lt;K$47,J$46,K288&gt;=K$47,J$47)</f>
        <v/>
      </c>
      <c r="K288" s="38" t="n">
        <v>238</v>
      </c>
      <c r="L288" s="31">
        <f>K288/52</f>
        <v/>
      </c>
      <c r="M288" s="39">
        <f>J288/1000000*52</f>
        <v/>
      </c>
      <c r="N288" s="33">
        <f>M288/$P$4+($I$22/$P$4)</f>
        <v/>
      </c>
      <c r="U288">
        <f>F287</f>
        <v/>
      </c>
      <c r="V288">
        <f>H287</f>
        <v/>
      </c>
      <c r="W288">
        <f>N287</f>
        <v/>
      </c>
    </row>
    <row r="289" ht="15.75" customHeight="1" s="40">
      <c r="C289" s="36">
        <f>_xlfn.IFS(E289&lt;E$24,0,E289&lt;E$26,C$24,E289&lt;E$28,C$26,E289&lt;E$30,C$28,E289&lt;E$32,C$30,E289&lt;E$34,C$32,E289&gt;=E$34,C$34)</f>
        <v/>
      </c>
      <c r="D289" s="37">
        <f>_xlfn.IFS(E289&lt;E$24,0,E289&lt;E$25,D$24,E289&lt;E$26,D$25,E289&lt;E$27,D$26,E289&lt;E$28,D$27,E289&lt;E$29,D$28,E289&lt;E$30,D$29,E289&lt;E$31,D$30,E289&lt;E$32,D$31,E289&lt;E$33,D$32,E289&lt;E$34,D$33,E289&lt;E$35,D$34,E289&gt;=E$35,D$35)</f>
        <v/>
      </c>
      <c r="E289" s="38" t="n">
        <v>239</v>
      </c>
      <c r="F289" s="31">
        <f>E289/52</f>
        <v/>
      </c>
      <c r="G289" s="39">
        <f>D289/1000000*52</f>
        <v/>
      </c>
      <c r="H289" s="33">
        <f>G289/$P$4+($C$22/$P$4)</f>
        <v/>
      </c>
      <c r="I289" s="36">
        <f>_xlfn.IFS(K289&lt;K$24,0,K289&lt;K$26,I$24,K289&lt;K$28,I$26,K289&lt;K$30,I$28,K289&lt;K$32,I$30,K289&lt;K$34,I$32,K289&lt;K$36,I$34,K289&lt;K$38,I$36,K289&lt;K$40,I$38,K289&lt;K$42,I$40,K289&lt;K$44,I$42,K289&lt;K$46,I$44,K289&gt;=K$46,I$46)</f>
        <v/>
      </c>
      <c r="J289" s="37">
        <f>_xlfn.IFS(K289&lt;K$24,0,K289&lt;K$25,J$24,K289&lt;K$26,J$25,K289&lt;K$27,J$26,K289&lt;K$28,J$27,K289&lt;K$29,J$28,K289&lt;K$30,J$29,K289&lt;K$31,J$30,K289&lt;K$32,J$31,K289&lt;K$33,J$32,K289&lt;K$34,J$33,K289&lt;K$35,J$34,K289&lt;K$36,J$35,K289&lt;K$37,J$36,K289&lt;K$38,J$37,K289&lt;K$39,J$38,K289&lt;K$40,J$39,K289&lt;K$41,J$40,K289&lt;K$42,J$41,K289&lt;K$43,J$42,K289&lt;K$44,J$43,K289&lt;K$45,J$44,K289&lt;K$46,J$45,K289&lt;K$47,J$46,K289&gt;=K$47,J$47)</f>
        <v/>
      </c>
      <c r="K289" s="38" t="n">
        <v>239</v>
      </c>
      <c r="L289" s="31">
        <f>K289/52</f>
        <v/>
      </c>
      <c r="M289" s="39">
        <f>J289/1000000*52</f>
        <v/>
      </c>
      <c r="N289" s="33">
        <f>M289/$P$4+($I$22/$P$4)</f>
        <v/>
      </c>
      <c r="U289">
        <f>F288</f>
        <v/>
      </c>
      <c r="V289">
        <f>H288</f>
        <v/>
      </c>
      <c r="W289">
        <f>N288</f>
        <v/>
      </c>
    </row>
    <row r="290" ht="15.75" customHeight="1" s="40">
      <c r="C290" s="36">
        <f>_xlfn.IFS(E290&lt;E$24,0,E290&lt;E$26,C$24,E290&lt;E$28,C$26,E290&lt;E$30,C$28,E290&lt;E$32,C$30,E290&lt;E$34,C$32,E290&gt;=E$34,C$34)</f>
        <v/>
      </c>
      <c r="D290" s="37">
        <f>_xlfn.IFS(E290&lt;E$24,0,E290&lt;E$25,D$24,E290&lt;E$26,D$25,E290&lt;E$27,D$26,E290&lt;E$28,D$27,E290&lt;E$29,D$28,E290&lt;E$30,D$29,E290&lt;E$31,D$30,E290&lt;E$32,D$31,E290&lt;E$33,D$32,E290&lt;E$34,D$33,E290&lt;E$35,D$34,E290&gt;=E$35,D$35)</f>
        <v/>
      </c>
      <c r="E290" s="38" t="n">
        <v>240</v>
      </c>
      <c r="F290" s="31">
        <f>E290/52</f>
        <v/>
      </c>
      <c r="G290" s="39">
        <f>D290/1000000*52</f>
        <v/>
      </c>
      <c r="H290" s="33">
        <f>G290/$P$4+($C$22/$P$4)</f>
        <v/>
      </c>
      <c r="I290" s="36">
        <f>_xlfn.IFS(K290&lt;K$24,0,K290&lt;K$26,I$24,K290&lt;K$28,I$26,K290&lt;K$30,I$28,K290&lt;K$32,I$30,K290&lt;K$34,I$32,K290&lt;K$36,I$34,K290&lt;K$38,I$36,K290&lt;K$40,I$38,K290&lt;K$42,I$40,K290&lt;K$44,I$42,K290&lt;K$46,I$44,K290&gt;=K$46,I$46)</f>
        <v/>
      </c>
      <c r="J290" s="37">
        <f>_xlfn.IFS(K290&lt;K$24,0,K290&lt;K$25,J$24,K290&lt;K$26,J$25,K290&lt;K$27,J$26,K290&lt;K$28,J$27,K290&lt;K$29,J$28,K290&lt;K$30,J$29,K290&lt;K$31,J$30,K290&lt;K$32,J$31,K290&lt;K$33,J$32,K290&lt;K$34,J$33,K290&lt;K$35,J$34,K290&lt;K$36,J$35,K290&lt;K$37,J$36,K290&lt;K$38,J$37,K290&lt;K$39,J$38,K290&lt;K$40,J$39,K290&lt;K$41,J$40,K290&lt;K$42,J$41,K290&lt;K$43,J$42,K290&lt;K$44,J$43,K290&lt;K$45,J$44,K290&lt;K$46,J$45,K290&lt;K$47,J$46,K290&gt;=K$47,J$47)</f>
        <v/>
      </c>
      <c r="K290" s="38" t="n">
        <v>240</v>
      </c>
      <c r="L290" s="31">
        <f>K290/52</f>
        <v/>
      </c>
      <c r="M290" s="39">
        <f>J290/1000000*52</f>
        <v/>
      </c>
      <c r="N290" s="33">
        <f>M290/$P$4+($I$22/$P$4)</f>
        <v/>
      </c>
      <c r="U290">
        <f>F289</f>
        <v/>
      </c>
      <c r="V290">
        <f>H289</f>
        <v/>
      </c>
      <c r="W290">
        <f>N289</f>
        <v/>
      </c>
    </row>
    <row r="291" ht="15.75" customHeight="1" s="40">
      <c r="C291" s="36">
        <f>_xlfn.IFS(E291&lt;E$24,0,E291&lt;E$26,C$24,E291&lt;E$28,C$26,E291&lt;E$30,C$28,E291&lt;E$32,C$30,E291&lt;E$34,C$32,E291&gt;=E$34,C$34)</f>
        <v/>
      </c>
      <c r="D291" s="37">
        <f>_xlfn.IFS(E291&lt;E$24,0,E291&lt;E$25,D$24,E291&lt;E$26,D$25,E291&lt;E$27,D$26,E291&lt;E$28,D$27,E291&lt;E$29,D$28,E291&lt;E$30,D$29,E291&lt;E$31,D$30,E291&lt;E$32,D$31,E291&lt;E$33,D$32,E291&lt;E$34,D$33,E291&lt;E$35,D$34,E291&gt;=E$35,D$35)</f>
        <v/>
      </c>
      <c r="E291" s="38" t="n">
        <v>241</v>
      </c>
      <c r="F291" s="31">
        <f>E291/52</f>
        <v/>
      </c>
      <c r="G291" s="39">
        <f>D291/1000000*52</f>
        <v/>
      </c>
      <c r="H291" s="33">
        <f>G291/$P$4+($C$22/$P$4)</f>
        <v/>
      </c>
      <c r="I291" s="36">
        <f>_xlfn.IFS(K291&lt;K$24,0,K291&lt;K$26,I$24,K291&lt;K$28,I$26,K291&lt;K$30,I$28,K291&lt;K$32,I$30,K291&lt;K$34,I$32,K291&lt;K$36,I$34,K291&lt;K$38,I$36,K291&lt;K$40,I$38,K291&lt;K$42,I$40,K291&lt;K$44,I$42,K291&lt;K$46,I$44,K291&gt;=K$46,I$46)</f>
        <v/>
      </c>
      <c r="J291" s="37">
        <f>_xlfn.IFS(K291&lt;K$24,0,K291&lt;K$25,J$24,K291&lt;K$26,J$25,K291&lt;K$27,J$26,K291&lt;K$28,J$27,K291&lt;K$29,J$28,K291&lt;K$30,J$29,K291&lt;K$31,J$30,K291&lt;K$32,J$31,K291&lt;K$33,J$32,K291&lt;K$34,J$33,K291&lt;K$35,J$34,K291&lt;K$36,J$35,K291&lt;K$37,J$36,K291&lt;K$38,J$37,K291&lt;K$39,J$38,K291&lt;K$40,J$39,K291&lt;K$41,J$40,K291&lt;K$42,J$41,K291&lt;K$43,J$42,K291&lt;K$44,J$43,K291&lt;K$45,J$44,K291&lt;K$46,J$45,K291&lt;K$47,J$46,K291&gt;=K$47,J$47)</f>
        <v/>
      </c>
      <c r="K291" s="38" t="n">
        <v>241</v>
      </c>
      <c r="L291" s="31">
        <f>K291/52</f>
        <v/>
      </c>
      <c r="M291" s="39">
        <f>J291/1000000*52</f>
        <v/>
      </c>
      <c r="N291" s="33">
        <f>M291/$P$4+($I$22/$P$4)</f>
        <v/>
      </c>
      <c r="U291">
        <f>F290</f>
        <v/>
      </c>
      <c r="V291">
        <f>H290</f>
        <v/>
      </c>
      <c r="W291">
        <f>N290</f>
        <v/>
      </c>
    </row>
    <row r="292" ht="15.75" customHeight="1" s="40">
      <c r="C292" s="36">
        <f>_xlfn.IFS(E292&lt;E$24,0,E292&lt;E$26,C$24,E292&lt;E$28,C$26,E292&lt;E$30,C$28,E292&lt;E$32,C$30,E292&lt;E$34,C$32,E292&gt;=E$34,C$34)</f>
        <v/>
      </c>
      <c r="D292" s="37">
        <f>_xlfn.IFS(E292&lt;E$24,0,E292&lt;E$25,D$24,E292&lt;E$26,D$25,E292&lt;E$27,D$26,E292&lt;E$28,D$27,E292&lt;E$29,D$28,E292&lt;E$30,D$29,E292&lt;E$31,D$30,E292&lt;E$32,D$31,E292&lt;E$33,D$32,E292&lt;E$34,D$33,E292&lt;E$35,D$34,E292&gt;=E$35,D$35)</f>
        <v/>
      </c>
      <c r="E292" s="38" t="n">
        <v>242</v>
      </c>
      <c r="F292" s="31">
        <f>E292/52</f>
        <v/>
      </c>
      <c r="G292" s="39">
        <f>D292/1000000*52</f>
        <v/>
      </c>
      <c r="H292" s="33">
        <f>G292/$P$4+($C$22/$P$4)</f>
        <v/>
      </c>
      <c r="I292" s="36">
        <f>_xlfn.IFS(K292&lt;K$24,0,K292&lt;K$26,I$24,K292&lt;K$28,I$26,K292&lt;K$30,I$28,K292&lt;K$32,I$30,K292&lt;K$34,I$32,K292&lt;K$36,I$34,K292&lt;K$38,I$36,K292&lt;K$40,I$38,K292&lt;K$42,I$40,K292&lt;K$44,I$42,K292&lt;K$46,I$44,K292&gt;=K$46,I$46)</f>
        <v/>
      </c>
      <c r="J292" s="37">
        <f>_xlfn.IFS(K292&lt;K$24,0,K292&lt;K$25,J$24,K292&lt;K$26,J$25,K292&lt;K$27,J$26,K292&lt;K$28,J$27,K292&lt;K$29,J$28,K292&lt;K$30,J$29,K292&lt;K$31,J$30,K292&lt;K$32,J$31,K292&lt;K$33,J$32,K292&lt;K$34,J$33,K292&lt;K$35,J$34,K292&lt;K$36,J$35,K292&lt;K$37,J$36,K292&lt;K$38,J$37,K292&lt;K$39,J$38,K292&lt;K$40,J$39,K292&lt;K$41,J$40,K292&lt;K$42,J$41,K292&lt;K$43,J$42,K292&lt;K$44,J$43,K292&lt;K$45,J$44,K292&lt;K$46,J$45,K292&lt;K$47,J$46,K292&gt;=K$47,J$47)</f>
        <v/>
      </c>
      <c r="K292" s="38" t="n">
        <v>242</v>
      </c>
      <c r="L292" s="31">
        <f>K292/52</f>
        <v/>
      </c>
      <c r="M292" s="39">
        <f>J292/1000000*52</f>
        <v/>
      </c>
      <c r="N292" s="33">
        <f>M292/$P$4+($I$22/$P$4)</f>
        <v/>
      </c>
      <c r="U292">
        <f>F291</f>
        <v/>
      </c>
      <c r="V292">
        <f>H291</f>
        <v/>
      </c>
      <c r="W292">
        <f>N291</f>
        <v/>
      </c>
    </row>
    <row r="293" ht="15.75" customHeight="1" s="40">
      <c r="C293" s="36">
        <f>_xlfn.IFS(E293&lt;E$24,0,E293&lt;E$26,C$24,E293&lt;E$28,C$26,E293&lt;E$30,C$28,E293&lt;E$32,C$30,E293&lt;E$34,C$32,E293&gt;=E$34,C$34)</f>
        <v/>
      </c>
      <c r="D293" s="37">
        <f>_xlfn.IFS(E293&lt;E$24,0,E293&lt;E$25,D$24,E293&lt;E$26,D$25,E293&lt;E$27,D$26,E293&lt;E$28,D$27,E293&lt;E$29,D$28,E293&lt;E$30,D$29,E293&lt;E$31,D$30,E293&lt;E$32,D$31,E293&lt;E$33,D$32,E293&lt;E$34,D$33,E293&lt;E$35,D$34,E293&gt;=E$35,D$35)</f>
        <v/>
      </c>
      <c r="E293" s="38" t="n">
        <v>243</v>
      </c>
      <c r="F293" s="31">
        <f>E293/52</f>
        <v/>
      </c>
      <c r="G293" s="39">
        <f>D293/1000000*52</f>
        <v/>
      </c>
      <c r="H293" s="33">
        <f>G293/$P$4+($C$22/$P$4)</f>
        <v/>
      </c>
      <c r="I293" s="36">
        <f>_xlfn.IFS(K293&lt;K$24,0,K293&lt;K$26,I$24,K293&lt;K$28,I$26,K293&lt;K$30,I$28,K293&lt;K$32,I$30,K293&lt;K$34,I$32,K293&lt;K$36,I$34,K293&lt;K$38,I$36,K293&lt;K$40,I$38,K293&lt;K$42,I$40,K293&lt;K$44,I$42,K293&lt;K$46,I$44,K293&gt;=K$46,I$46)</f>
        <v/>
      </c>
      <c r="J293" s="37">
        <f>_xlfn.IFS(K293&lt;K$24,0,K293&lt;K$25,J$24,K293&lt;K$26,J$25,K293&lt;K$27,J$26,K293&lt;K$28,J$27,K293&lt;K$29,J$28,K293&lt;K$30,J$29,K293&lt;K$31,J$30,K293&lt;K$32,J$31,K293&lt;K$33,J$32,K293&lt;K$34,J$33,K293&lt;K$35,J$34,K293&lt;K$36,J$35,K293&lt;K$37,J$36,K293&lt;K$38,J$37,K293&lt;K$39,J$38,K293&lt;K$40,J$39,K293&lt;K$41,J$40,K293&lt;K$42,J$41,K293&lt;K$43,J$42,K293&lt;K$44,J$43,K293&lt;K$45,J$44,K293&lt;K$46,J$45,K293&lt;K$47,J$46,K293&gt;=K$47,J$47)</f>
        <v/>
      </c>
      <c r="K293" s="38" t="n">
        <v>243</v>
      </c>
      <c r="L293" s="31">
        <f>K293/52</f>
        <v/>
      </c>
      <c r="M293" s="39">
        <f>J293/1000000*52</f>
        <v/>
      </c>
      <c r="N293" s="33">
        <f>M293/$P$4+($I$22/$P$4)</f>
        <v/>
      </c>
      <c r="U293">
        <f>F292</f>
        <v/>
      </c>
      <c r="V293">
        <f>H292</f>
        <v/>
      </c>
      <c r="W293">
        <f>N292</f>
        <v/>
      </c>
    </row>
    <row r="294" ht="15.75" customHeight="1" s="40">
      <c r="C294" s="36">
        <f>_xlfn.IFS(E294&lt;E$24,0,E294&lt;E$26,C$24,E294&lt;E$28,C$26,E294&lt;E$30,C$28,E294&lt;E$32,C$30,E294&lt;E$34,C$32,E294&gt;=E$34,C$34)</f>
        <v/>
      </c>
      <c r="D294" s="37">
        <f>_xlfn.IFS(E294&lt;E$24,0,E294&lt;E$25,D$24,E294&lt;E$26,D$25,E294&lt;E$27,D$26,E294&lt;E$28,D$27,E294&lt;E$29,D$28,E294&lt;E$30,D$29,E294&lt;E$31,D$30,E294&lt;E$32,D$31,E294&lt;E$33,D$32,E294&lt;E$34,D$33,E294&lt;E$35,D$34,E294&gt;=E$35,D$35)</f>
        <v/>
      </c>
      <c r="E294" s="38" t="n">
        <v>244</v>
      </c>
      <c r="F294" s="31">
        <f>E294/52</f>
        <v/>
      </c>
      <c r="G294" s="39">
        <f>D294/1000000*52</f>
        <v/>
      </c>
      <c r="H294" s="33">
        <f>G294/$P$4+($C$22/$P$4)</f>
        <v/>
      </c>
      <c r="I294" s="36">
        <f>_xlfn.IFS(K294&lt;K$24,0,K294&lt;K$26,I$24,K294&lt;K$28,I$26,K294&lt;K$30,I$28,K294&lt;K$32,I$30,K294&lt;K$34,I$32,K294&lt;K$36,I$34,K294&lt;K$38,I$36,K294&lt;K$40,I$38,K294&lt;K$42,I$40,K294&lt;K$44,I$42,K294&lt;K$46,I$44,K294&gt;=K$46,I$46)</f>
        <v/>
      </c>
      <c r="J294" s="37">
        <f>_xlfn.IFS(K294&lt;K$24,0,K294&lt;K$25,J$24,K294&lt;K$26,J$25,K294&lt;K$27,J$26,K294&lt;K$28,J$27,K294&lt;K$29,J$28,K294&lt;K$30,J$29,K294&lt;K$31,J$30,K294&lt;K$32,J$31,K294&lt;K$33,J$32,K294&lt;K$34,J$33,K294&lt;K$35,J$34,K294&lt;K$36,J$35,K294&lt;K$37,J$36,K294&lt;K$38,J$37,K294&lt;K$39,J$38,K294&lt;K$40,J$39,K294&lt;K$41,J$40,K294&lt;K$42,J$41,K294&lt;K$43,J$42,K294&lt;K$44,J$43,K294&lt;K$45,J$44,K294&lt;K$46,J$45,K294&lt;K$47,J$46,K294&gt;=K$47,J$47)</f>
        <v/>
      </c>
      <c r="K294" s="38" t="n">
        <v>244</v>
      </c>
      <c r="L294" s="31">
        <f>K294/52</f>
        <v/>
      </c>
      <c r="M294" s="39">
        <f>J294/1000000*52</f>
        <v/>
      </c>
      <c r="N294" s="33">
        <f>M294/$P$4+($I$22/$P$4)</f>
        <v/>
      </c>
      <c r="U294">
        <f>F293</f>
        <v/>
      </c>
      <c r="V294">
        <f>H293</f>
        <v/>
      </c>
      <c r="W294">
        <f>N293</f>
        <v/>
      </c>
    </row>
    <row r="295" ht="15.75" customHeight="1" s="40">
      <c r="C295" s="36">
        <f>_xlfn.IFS(E295&lt;E$24,0,E295&lt;E$26,C$24,E295&lt;E$28,C$26,E295&lt;E$30,C$28,E295&lt;E$32,C$30,E295&lt;E$34,C$32,E295&gt;=E$34,C$34)</f>
        <v/>
      </c>
      <c r="D295" s="37">
        <f>_xlfn.IFS(E295&lt;E$24,0,E295&lt;E$25,D$24,E295&lt;E$26,D$25,E295&lt;E$27,D$26,E295&lt;E$28,D$27,E295&lt;E$29,D$28,E295&lt;E$30,D$29,E295&lt;E$31,D$30,E295&lt;E$32,D$31,E295&lt;E$33,D$32,E295&lt;E$34,D$33,E295&lt;E$35,D$34,E295&gt;=E$35,D$35)</f>
        <v/>
      </c>
      <c r="E295" s="38" t="n">
        <v>245</v>
      </c>
      <c r="F295" s="31">
        <f>E295/52</f>
        <v/>
      </c>
      <c r="G295" s="39">
        <f>D295/1000000*52</f>
        <v/>
      </c>
      <c r="H295" s="33">
        <f>G295/$P$4+($C$22/$P$4)</f>
        <v/>
      </c>
      <c r="I295" s="36">
        <f>_xlfn.IFS(K295&lt;K$24,0,K295&lt;K$26,I$24,K295&lt;K$28,I$26,K295&lt;K$30,I$28,K295&lt;K$32,I$30,K295&lt;K$34,I$32,K295&lt;K$36,I$34,K295&lt;K$38,I$36,K295&lt;K$40,I$38,K295&lt;K$42,I$40,K295&lt;K$44,I$42,K295&lt;K$46,I$44,K295&gt;=K$46,I$46)</f>
        <v/>
      </c>
      <c r="J295" s="37">
        <f>_xlfn.IFS(K295&lt;K$24,0,K295&lt;K$25,J$24,K295&lt;K$26,J$25,K295&lt;K$27,J$26,K295&lt;K$28,J$27,K295&lt;K$29,J$28,K295&lt;K$30,J$29,K295&lt;K$31,J$30,K295&lt;K$32,J$31,K295&lt;K$33,J$32,K295&lt;K$34,J$33,K295&lt;K$35,J$34,K295&lt;K$36,J$35,K295&lt;K$37,J$36,K295&lt;K$38,J$37,K295&lt;K$39,J$38,K295&lt;K$40,J$39,K295&lt;K$41,J$40,K295&lt;K$42,J$41,K295&lt;K$43,J$42,K295&lt;K$44,J$43,K295&lt;K$45,J$44,K295&lt;K$46,J$45,K295&lt;K$47,J$46,K295&gt;=K$47,J$47)</f>
        <v/>
      </c>
      <c r="K295" s="38" t="n">
        <v>245</v>
      </c>
      <c r="L295" s="31">
        <f>K295/52</f>
        <v/>
      </c>
      <c r="M295" s="39">
        <f>J295/1000000*52</f>
        <v/>
      </c>
      <c r="N295" s="33">
        <f>M295/$P$4+($I$22/$P$4)</f>
        <v/>
      </c>
      <c r="U295">
        <f>F294</f>
        <v/>
      </c>
      <c r="V295">
        <f>H294</f>
        <v/>
      </c>
      <c r="W295">
        <f>N294</f>
        <v/>
      </c>
    </row>
    <row r="296" ht="15.75" customHeight="1" s="40">
      <c r="C296" s="36">
        <f>_xlfn.IFS(E296&lt;E$24,0,E296&lt;E$26,C$24,E296&lt;E$28,C$26,E296&lt;E$30,C$28,E296&lt;E$32,C$30,E296&lt;E$34,C$32,E296&gt;=E$34,C$34)</f>
        <v/>
      </c>
      <c r="D296" s="37">
        <f>_xlfn.IFS(E296&lt;E$24,0,E296&lt;E$25,D$24,E296&lt;E$26,D$25,E296&lt;E$27,D$26,E296&lt;E$28,D$27,E296&lt;E$29,D$28,E296&lt;E$30,D$29,E296&lt;E$31,D$30,E296&lt;E$32,D$31,E296&lt;E$33,D$32,E296&lt;E$34,D$33,E296&lt;E$35,D$34,E296&gt;=E$35,D$35)</f>
        <v/>
      </c>
      <c r="E296" s="38" t="n">
        <v>246</v>
      </c>
      <c r="F296" s="31">
        <f>E296/52</f>
        <v/>
      </c>
      <c r="G296" s="39">
        <f>D296/1000000*52</f>
        <v/>
      </c>
      <c r="H296" s="33">
        <f>G296/$P$4+($C$22/$P$4)</f>
        <v/>
      </c>
      <c r="I296" s="36">
        <f>_xlfn.IFS(K296&lt;K$24,0,K296&lt;K$26,I$24,K296&lt;K$28,I$26,K296&lt;K$30,I$28,K296&lt;K$32,I$30,K296&lt;K$34,I$32,K296&lt;K$36,I$34,K296&lt;K$38,I$36,K296&lt;K$40,I$38,K296&lt;K$42,I$40,K296&lt;K$44,I$42,K296&lt;K$46,I$44,K296&gt;=K$46,I$46)</f>
        <v/>
      </c>
      <c r="J296" s="37">
        <f>_xlfn.IFS(K296&lt;K$24,0,K296&lt;K$25,J$24,K296&lt;K$26,J$25,K296&lt;K$27,J$26,K296&lt;K$28,J$27,K296&lt;K$29,J$28,K296&lt;K$30,J$29,K296&lt;K$31,J$30,K296&lt;K$32,J$31,K296&lt;K$33,J$32,K296&lt;K$34,J$33,K296&lt;K$35,J$34,K296&lt;K$36,J$35,K296&lt;K$37,J$36,K296&lt;K$38,J$37,K296&lt;K$39,J$38,K296&lt;K$40,J$39,K296&lt;K$41,J$40,K296&lt;K$42,J$41,K296&lt;K$43,J$42,K296&lt;K$44,J$43,K296&lt;K$45,J$44,K296&lt;K$46,J$45,K296&lt;K$47,J$46,K296&gt;=K$47,J$47)</f>
        <v/>
      </c>
      <c r="K296" s="38" t="n">
        <v>246</v>
      </c>
      <c r="L296" s="31">
        <f>K296/52</f>
        <v/>
      </c>
      <c r="M296" s="39">
        <f>J296/1000000*52</f>
        <v/>
      </c>
      <c r="N296" s="33">
        <f>M296/$P$4+($I$22/$P$4)</f>
        <v/>
      </c>
      <c r="U296">
        <f>F295</f>
        <v/>
      </c>
      <c r="V296">
        <f>H295</f>
        <v/>
      </c>
      <c r="W296">
        <f>N295</f>
        <v/>
      </c>
    </row>
    <row r="297" ht="15.75" customHeight="1" s="40">
      <c r="C297" s="36">
        <f>_xlfn.IFS(E297&lt;E$24,0,E297&lt;E$26,C$24,E297&lt;E$28,C$26,E297&lt;E$30,C$28,E297&lt;E$32,C$30,E297&lt;E$34,C$32,E297&gt;=E$34,C$34)</f>
        <v/>
      </c>
      <c r="D297" s="37">
        <f>_xlfn.IFS(E297&lt;E$24,0,E297&lt;E$25,D$24,E297&lt;E$26,D$25,E297&lt;E$27,D$26,E297&lt;E$28,D$27,E297&lt;E$29,D$28,E297&lt;E$30,D$29,E297&lt;E$31,D$30,E297&lt;E$32,D$31,E297&lt;E$33,D$32,E297&lt;E$34,D$33,E297&lt;E$35,D$34,E297&gt;=E$35,D$35)</f>
        <v/>
      </c>
      <c r="E297" s="38" t="n">
        <v>247</v>
      </c>
      <c r="F297" s="31">
        <f>E297/52</f>
        <v/>
      </c>
      <c r="G297" s="39">
        <f>D297/1000000*52</f>
        <v/>
      </c>
      <c r="H297" s="33">
        <f>G297/$P$4+($C$22/$P$4)</f>
        <v/>
      </c>
      <c r="I297" s="36">
        <f>_xlfn.IFS(K297&lt;K$24,0,K297&lt;K$26,I$24,K297&lt;K$28,I$26,K297&lt;K$30,I$28,K297&lt;K$32,I$30,K297&lt;K$34,I$32,K297&lt;K$36,I$34,K297&lt;K$38,I$36,K297&lt;K$40,I$38,K297&lt;K$42,I$40,K297&lt;K$44,I$42,K297&lt;K$46,I$44,K297&gt;=K$46,I$46)</f>
        <v/>
      </c>
      <c r="J297" s="37">
        <f>_xlfn.IFS(K297&lt;K$24,0,K297&lt;K$25,J$24,K297&lt;K$26,J$25,K297&lt;K$27,J$26,K297&lt;K$28,J$27,K297&lt;K$29,J$28,K297&lt;K$30,J$29,K297&lt;K$31,J$30,K297&lt;K$32,J$31,K297&lt;K$33,J$32,K297&lt;K$34,J$33,K297&lt;K$35,J$34,K297&lt;K$36,J$35,K297&lt;K$37,J$36,K297&lt;K$38,J$37,K297&lt;K$39,J$38,K297&lt;K$40,J$39,K297&lt;K$41,J$40,K297&lt;K$42,J$41,K297&lt;K$43,J$42,K297&lt;K$44,J$43,K297&lt;K$45,J$44,K297&lt;K$46,J$45,K297&lt;K$47,J$46,K297&gt;=K$47,J$47)</f>
        <v/>
      </c>
      <c r="K297" s="38" t="n">
        <v>247</v>
      </c>
      <c r="L297" s="31">
        <f>K297/52</f>
        <v/>
      </c>
      <c r="M297" s="39">
        <f>J297/1000000*52</f>
        <v/>
      </c>
      <c r="N297" s="33">
        <f>M297/$P$4+($I$22/$P$4)</f>
        <v/>
      </c>
      <c r="U297">
        <f>F296</f>
        <v/>
      </c>
      <c r="V297">
        <f>H296</f>
        <v/>
      </c>
      <c r="W297">
        <f>N296</f>
        <v/>
      </c>
    </row>
    <row r="298" ht="15.75" customHeight="1" s="40">
      <c r="C298" s="36">
        <f>_xlfn.IFS(E298&lt;E$24,0,E298&lt;E$26,C$24,E298&lt;E$28,C$26,E298&lt;E$30,C$28,E298&lt;E$32,C$30,E298&lt;E$34,C$32,E298&gt;=E$34,C$34)</f>
        <v/>
      </c>
      <c r="D298" s="37">
        <f>_xlfn.IFS(E298&lt;E$24,0,E298&lt;E$25,D$24,E298&lt;E$26,D$25,E298&lt;E$27,D$26,E298&lt;E$28,D$27,E298&lt;E$29,D$28,E298&lt;E$30,D$29,E298&lt;E$31,D$30,E298&lt;E$32,D$31,E298&lt;E$33,D$32,E298&lt;E$34,D$33,E298&lt;E$35,D$34,E298&gt;=E$35,D$35)</f>
        <v/>
      </c>
      <c r="E298" s="38" t="n">
        <v>248</v>
      </c>
      <c r="F298" s="31">
        <f>E298/52</f>
        <v/>
      </c>
      <c r="G298" s="39">
        <f>D298/1000000*52</f>
        <v/>
      </c>
      <c r="H298" s="33">
        <f>G298/$P$4+($C$22/$P$4)</f>
        <v/>
      </c>
      <c r="I298" s="36">
        <f>_xlfn.IFS(K298&lt;K$24,0,K298&lt;K$26,I$24,K298&lt;K$28,I$26,K298&lt;K$30,I$28,K298&lt;K$32,I$30,K298&lt;K$34,I$32,K298&lt;K$36,I$34,K298&lt;K$38,I$36,K298&lt;K$40,I$38,K298&lt;K$42,I$40,K298&lt;K$44,I$42,K298&lt;K$46,I$44,K298&gt;=K$46,I$46)</f>
        <v/>
      </c>
      <c r="J298" s="37">
        <f>_xlfn.IFS(K298&lt;K$24,0,K298&lt;K$25,J$24,K298&lt;K$26,J$25,K298&lt;K$27,J$26,K298&lt;K$28,J$27,K298&lt;K$29,J$28,K298&lt;K$30,J$29,K298&lt;K$31,J$30,K298&lt;K$32,J$31,K298&lt;K$33,J$32,K298&lt;K$34,J$33,K298&lt;K$35,J$34,K298&lt;K$36,J$35,K298&lt;K$37,J$36,K298&lt;K$38,J$37,K298&lt;K$39,J$38,K298&lt;K$40,J$39,K298&lt;K$41,J$40,K298&lt;K$42,J$41,K298&lt;K$43,J$42,K298&lt;K$44,J$43,K298&lt;K$45,J$44,K298&lt;K$46,J$45,K298&lt;K$47,J$46,K298&gt;=K$47,J$47)</f>
        <v/>
      </c>
      <c r="K298" s="38" t="n">
        <v>248</v>
      </c>
      <c r="L298" s="31">
        <f>K298/52</f>
        <v/>
      </c>
      <c r="M298" s="39">
        <f>J298/1000000*52</f>
        <v/>
      </c>
      <c r="N298" s="33">
        <f>M298/$P$4+($I$22/$P$4)</f>
        <v/>
      </c>
      <c r="U298">
        <f>F297</f>
        <v/>
      </c>
      <c r="V298">
        <f>H297</f>
        <v/>
      </c>
      <c r="W298">
        <f>N297</f>
        <v/>
      </c>
    </row>
    <row r="299" ht="15.75" customHeight="1" s="40">
      <c r="C299" s="36">
        <f>_xlfn.IFS(E299&lt;E$24,0,E299&lt;E$26,C$24,E299&lt;E$28,C$26,E299&lt;E$30,C$28,E299&lt;E$32,C$30,E299&lt;E$34,C$32,E299&gt;=E$34,C$34)</f>
        <v/>
      </c>
      <c r="D299" s="37">
        <f>_xlfn.IFS(E299&lt;E$24,0,E299&lt;E$25,D$24,E299&lt;E$26,D$25,E299&lt;E$27,D$26,E299&lt;E$28,D$27,E299&lt;E$29,D$28,E299&lt;E$30,D$29,E299&lt;E$31,D$30,E299&lt;E$32,D$31,E299&lt;E$33,D$32,E299&lt;E$34,D$33,E299&lt;E$35,D$34,E299&gt;=E$35,D$35)</f>
        <v/>
      </c>
      <c r="E299" s="38" t="n">
        <v>249</v>
      </c>
      <c r="F299" s="31">
        <f>E299/52</f>
        <v/>
      </c>
      <c r="G299" s="39">
        <f>D299/1000000*52</f>
        <v/>
      </c>
      <c r="H299" s="33">
        <f>G299/$P$4+($C$22/$P$4)</f>
        <v/>
      </c>
      <c r="I299" s="36">
        <f>_xlfn.IFS(K299&lt;K$24,0,K299&lt;K$26,I$24,K299&lt;K$28,I$26,K299&lt;K$30,I$28,K299&lt;K$32,I$30,K299&lt;K$34,I$32,K299&lt;K$36,I$34,K299&lt;K$38,I$36,K299&lt;K$40,I$38,K299&lt;K$42,I$40,K299&lt;K$44,I$42,K299&lt;K$46,I$44,K299&gt;=K$46,I$46)</f>
        <v/>
      </c>
      <c r="J299" s="37">
        <f>_xlfn.IFS(K299&lt;K$24,0,K299&lt;K$25,J$24,K299&lt;K$26,J$25,K299&lt;K$27,J$26,K299&lt;K$28,J$27,K299&lt;K$29,J$28,K299&lt;K$30,J$29,K299&lt;K$31,J$30,K299&lt;K$32,J$31,K299&lt;K$33,J$32,K299&lt;K$34,J$33,K299&lt;K$35,J$34,K299&lt;K$36,J$35,K299&lt;K$37,J$36,K299&lt;K$38,J$37,K299&lt;K$39,J$38,K299&lt;K$40,J$39,K299&lt;K$41,J$40,K299&lt;K$42,J$41,K299&lt;K$43,J$42,K299&lt;K$44,J$43,K299&lt;K$45,J$44,K299&lt;K$46,J$45,K299&lt;K$47,J$46,K299&gt;=K$47,J$47)</f>
        <v/>
      </c>
      <c r="K299" s="38" t="n">
        <v>249</v>
      </c>
      <c r="L299" s="31">
        <f>K299/52</f>
        <v/>
      </c>
      <c r="M299" s="39">
        <f>J299/1000000*52</f>
        <v/>
      </c>
      <c r="N299" s="33">
        <f>M299/$P$4+($I$22/$P$4)</f>
        <v/>
      </c>
      <c r="U299">
        <f>F298</f>
        <v/>
      </c>
      <c r="V299">
        <f>H298</f>
        <v/>
      </c>
      <c r="W299">
        <f>N298</f>
        <v/>
      </c>
    </row>
    <row r="300" ht="15.75" customHeight="1" s="40">
      <c r="C300" s="36">
        <f>_xlfn.IFS(E300&lt;E$24,0,E300&lt;E$26,C$24,E300&lt;E$28,C$26,E300&lt;E$30,C$28,E300&lt;E$32,C$30,E300&lt;E$34,C$32,E300&gt;=E$34,C$34)</f>
        <v/>
      </c>
      <c r="D300" s="37">
        <f>_xlfn.IFS(E300&lt;E$24,0,E300&lt;E$25,D$24,E300&lt;E$26,D$25,E300&lt;E$27,D$26,E300&lt;E$28,D$27,E300&lt;E$29,D$28,E300&lt;E$30,D$29,E300&lt;E$31,D$30,E300&lt;E$32,D$31,E300&lt;E$33,D$32,E300&lt;E$34,D$33,E300&lt;E$35,D$34,E300&gt;=E$35,D$35)</f>
        <v/>
      </c>
      <c r="E300" s="38" t="n">
        <v>250</v>
      </c>
      <c r="F300" s="31">
        <f>E300/52</f>
        <v/>
      </c>
      <c r="G300" s="39">
        <f>D300/1000000*52</f>
        <v/>
      </c>
      <c r="H300" s="33">
        <f>G300/$P$4+($C$22/$P$4)</f>
        <v/>
      </c>
      <c r="I300" s="36">
        <f>_xlfn.IFS(K300&lt;K$24,0,K300&lt;K$26,I$24,K300&lt;K$28,I$26,K300&lt;K$30,I$28,K300&lt;K$32,I$30,K300&lt;K$34,I$32,K300&lt;K$36,I$34,K300&lt;K$38,I$36,K300&lt;K$40,I$38,K300&lt;K$42,I$40,K300&lt;K$44,I$42,K300&lt;K$46,I$44,K300&gt;=K$46,I$46)</f>
        <v/>
      </c>
      <c r="J300" s="37">
        <f>_xlfn.IFS(K300&lt;K$24,0,K300&lt;K$25,J$24,K300&lt;K$26,J$25,K300&lt;K$27,J$26,K300&lt;K$28,J$27,K300&lt;K$29,J$28,K300&lt;K$30,J$29,K300&lt;K$31,J$30,K300&lt;K$32,J$31,K300&lt;K$33,J$32,K300&lt;K$34,J$33,K300&lt;K$35,J$34,K300&lt;K$36,J$35,K300&lt;K$37,J$36,K300&lt;K$38,J$37,K300&lt;K$39,J$38,K300&lt;K$40,J$39,K300&lt;K$41,J$40,K300&lt;K$42,J$41,K300&lt;K$43,J$42,K300&lt;K$44,J$43,K300&lt;K$45,J$44,K300&lt;K$46,J$45,K300&lt;K$47,J$46,K300&gt;=K$47,J$47)</f>
        <v/>
      </c>
      <c r="K300" s="38" t="n">
        <v>250</v>
      </c>
      <c r="L300" s="31">
        <f>K300/52</f>
        <v/>
      </c>
      <c r="M300" s="39">
        <f>J300/1000000*52</f>
        <v/>
      </c>
      <c r="N300" s="33">
        <f>M300/$P$4+($I$22/$P$4)</f>
        <v/>
      </c>
      <c r="U300">
        <f>F299</f>
        <v/>
      </c>
      <c r="V300">
        <f>H299</f>
        <v/>
      </c>
      <c r="W300">
        <f>N299</f>
        <v/>
      </c>
    </row>
    <row r="301" ht="15.75" customHeight="1" s="40">
      <c r="C301" s="36">
        <f>_xlfn.IFS(E301&lt;E$24,0,E301&lt;E$26,C$24,E301&lt;E$28,C$26,E301&lt;E$30,C$28,E301&lt;E$32,C$30,E301&lt;E$34,C$32,E301&gt;=E$34,C$34)</f>
        <v/>
      </c>
      <c r="D301" s="37">
        <f>_xlfn.IFS(E301&lt;E$24,0,E301&lt;E$25,D$24,E301&lt;E$26,D$25,E301&lt;E$27,D$26,E301&lt;E$28,D$27,E301&lt;E$29,D$28,E301&lt;E$30,D$29,E301&lt;E$31,D$30,E301&lt;E$32,D$31,E301&lt;E$33,D$32,E301&lt;E$34,D$33,E301&lt;E$35,D$34,E301&gt;=E$35,D$35)</f>
        <v/>
      </c>
      <c r="E301" s="38" t="n">
        <v>251</v>
      </c>
      <c r="F301" s="31">
        <f>E301/52</f>
        <v/>
      </c>
      <c r="G301" s="39">
        <f>D301/1000000*52</f>
        <v/>
      </c>
      <c r="H301" s="33">
        <f>G301/$P$4+($C$22/$P$4)</f>
        <v/>
      </c>
      <c r="I301" s="36">
        <f>_xlfn.IFS(K301&lt;K$24,0,K301&lt;K$26,I$24,K301&lt;K$28,I$26,K301&lt;K$30,I$28,K301&lt;K$32,I$30,K301&lt;K$34,I$32,K301&lt;K$36,I$34,K301&lt;K$38,I$36,K301&lt;K$40,I$38,K301&lt;K$42,I$40,K301&lt;K$44,I$42,K301&lt;K$46,I$44,K301&gt;=K$46,I$46)</f>
        <v/>
      </c>
      <c r="J301" s="37">
        <f>_xlfn.IFS(K301&lt;K$24,0,K301&lt;K$25,J$24,K301&lt;K$26,J$25,K301&lt;K$27,J$26,K301&lt;K$28,J$27,K301&lt;K$29,J$28,K301&lt;K$30,J$29,K301&lt;K$31,J$30,K301&lt;K$32,J$31,K301&lt;K$33,J$32,K301&lt;K$34,J$33,K301&lt;K$35,J$34,K301&lt;K$36,J$35,K301&lt;K$37,J$36,K301&lt;K$38,J$37,K301&lt;K$39,J$38,K301&lt;K$40,J$39,K301&lt;K$41,J$40,K301&lt;K$42,J$41,K301&lt;K$43,J$42,K301&lt;K$44,J$43,K301&lt;K$45,J$44,K301&lt;K$46,J$45,K301&lt;K$47,J$46,K301&gt;=K$47,J$47)</f>
        <v/>
      </c>
      <c r="K301" s="38" t="n">
        <v>251</v>
      </c>
      <c r="L301" s="31">
        <f>K301/52</f>
        <v/>
      </c>
      <c r="M301" s="39">
        <f>J301/1000000*52</f>
        <v/>
      </c>
      <c r="N301" s="33">
        <f>M301/$P$4+($I$22/$P$4)</f>
        <v/>
      </c>
      <c r="U301">
        <f>F300</f>
        <v/>
      </c>
      <c r="V301">
        <f>H300</f>
        <v/>
      </c>
      <c r="W301">
        <f>N300</f>
        <v/>
      </c>
    </row>
    <row r="302" ht="15.75" customHeight="1" s="40">
      <c r="C302" s="36">
        <f>_xlfn.IFS(E302&lt;E$24,0,E302&lt;E$26,C$24,E302&lt;E$28,C$26,E302&lt;E$30,C$28,E302&lt;E$32,C$30,E302&lt;E$34,C$32,E302&gt;=E$34,C$34)</f>
        <v/>
      </c>
      <c r="D302" s="37">
        <f>_xlfn.IFS(E302&lt;E$24,0,E302&lt;E$25,D$24,E302&lt;E$26,D$25,E302&lt;E$27,D$26,E302&lt;E$28,D$27,E302&lt;E$29,D$28,E302&lt;E$30,D$29,E302&lt;E$31,D$30,E302&lt;E$32,D$31,E302&lt;E$33,D$32,E302&lt;E$34,D$33,E302&lt;E$35,D$34,E302&gt;=E$35,D$35)</f>
        <v/>
      </c>
      <c r="E302" s="38" t="n">
        <v>252</v>
      </c>
      <c r="F302" s="31">
        <f>E302/52</f>
        <v/>
      </c>
      <c r="G302" s="39">
        <f>D302/1000000*52</f>
        <v/>
      </c>
      <c r="H302" s="33">
        <f>G302/$P$4+($C$22/$P$4)</f>
        <v/>
      </c>
      <c r="I302" s="36">
        <f>_xlfn.IFS(K302&lt;K$24,0,K302&lt;K$26,I$24,K302&lt;K$28,I$26,K302&lt;K$30,I$28,K302&lt;K$32,I$30,K302&lt;K$34,I$32,K302&lt;K$36,I$34,K302&lt;K$38,I$36,K302&lt;K$40,I$38,K302&lt;K$42,I$40,K302&lt;K$44,I$42,K302&lt;K$46,I$44,K302&gt;=K$46,I$46)</f>
        <v/>
      </c>
      <c r="J302" s="37">
        <f>_xlfn.IFS(K302&lt;K$24,0,K302&lt;K$25,J$24,K302&lt;K$26,J$25,K302&lt;K$27,J$26,K302&lt;K$28,J$27,K302&lt;K$29,J$28,K302&lt;K$30,J$29,K302&lt;K$31,J$30,K302&lt;K$32,J$31,K302&lt;K$33,J$32,K302&lt;K$34,J$33,K302&lt;K$35,J$34,K302&lt;K$36,J$35,K302&lt;K$37,J$36,K302&lt;K$38,J$37,K302&lt;K$39,J$38,K302&lt;K$40,J$39,K302&lt;K$41,J$40,K302&lt;K$42,J$41,K302&lt;K$43,J$42,K302&lt;K$44,J$43,K302&lt;K$45,J$44,K302&lt;K$46,J$45,K302&lt;K$47,J$46,K302&gt;=K$47,J$47)</f>
        <v/>
      </c>
      <c r="K302" s="38" t="n">
        <v>252</v>
      </c>
      <c r="L302" s="31">
        <f>K302/52</f>
        <v/>
      </c>
      <c r="M302" s="39">
        <f>J302/1000000*52</f>
        <v/>
      </c>
      <c r="N302" s="33">
        <f>M302/$P$4+($I$22/$P$4)</f>
        <v/>
      </c>
      <c r="U302">
        <f>F301</f>
        <v/>
      </c>
      <c r="V302">
        <f>H301</f>
        <v/>
      </c>
      <c r="W302">
        <f>N301</f>
        <v/>
      </c>
    </row>
    <row r="303" ht="15.75" customHeight="1" s="40">
      <c r="C303" s="36">
        <f>_xlfn.IFS(E303&lt;E$24,0,E303&lt;E$26,C$24,E303&lt;E$28,C$26,E303&lt;E$30,C$28,E303&lt;E$32,C$30,E303&lt;E$34,C$32,E303&gt;=E$34,C$34)</f>
        <v/>
      </c>
      <c r="D303" s="37">
        <f>_xlfn.IFS(E303&lt;E$24,0,E303&lt;E$25,D$24,E303&lt;E$26,D$25,E303&lt;E$27,D$26,E303&lt;E$28,D$27,E303&lt;E$29,D$28,E303&lt;E$30,D$29,E303&lt;E$31,D$30,E303&lt;E$32,D$31,E303&lt;E$33,D$32,E303&lt;E$34,D$33,E303&lt;E$35,D$34,E303&gt;=E$35,D$35)</f>
        <v/>
      </c>
      <c r="E303" s="38" t="n">
        <v>253</v>
      </c>
      <c r="F303" s="31">
        <f>E303/52</f>
        <v/>
      </c>
      <c r="G303" s="39">
        <f>D303/1000000*52</f>
        <v/>
      </c>
      <c r="H303" s="33">
        <f>G303/$P$4+($C$22/$P$4)</f>
        <v/>
      </c>
      <c r="I303" s="36">
        <f>_xlfn.IFS(K303&lt;K$24,0,K303&lt;K$26,I$24,K303&lt;K$28,I$26,K303&lt;K$30,I$28,K303&lt;K$32,I$30,K303&lt;K$34,I$32,K303&lt;K$36,I$34,K303&lt;K$38,I$36,K303&lt;K$40,I$38,K303&lt;K$42,I$40,K303&lt;K$44,I$42,K303&lt;K$46,I$44,K303&gt;=K$46,I$46)</f>
        <v/>
      </c>
      <c r="J303" s="37">
        <f>_xlfn.IFS(K303&lt;K$24,0,K303&lt;K$25,J$24,K303&lt;K$26,J$25,K303&lt;K$27,J$26,K303&lt;K$28,J$27,K303&lt;K$29,J$28,K303&lt;K$30,J$29,K303&lt;K$31,J$30,K303&lt;K$32,J$31,K303&lt;K$33,J$32,K303&lt;K$34,J$33,K303&lt;K$35,J$34,K303&lt;K$36,J$35,K303&lt;K$37,J$36,K303&lt;K$38,J$37,K303&lt;K$39,J$38,K303&lt;K$40,J$39,K303&lt;K$41,J$40,K303&lt;K$42,J$41,K303&lt;K$43,J$42,K303&lt;K$44,J$43,K303&lt;K$45,J$44,K303&lt;K$46,J$45,K303&lt;K$47,J$46,K303&gt;=K$47,J$47)</f>
        <v/>
      </c>
      <c r="K303" s="38" t="n">
        <v>253</v>
      </c>
      <c r="L303" s="31">
        <f>K303/52</f>
        <v/>
      </c>
      <c r="M303" s="39">
        <f>J303/1000000*52</f>
        <v/>
      </c>
      <c r="N303" s="33">
        <f>M303/$P$4+($I$22/$P$4)</f>
        <v/>
      </c>
      <c r="U303">
        <f>F302</f>
        <v/>
      </c>
      <c r="V303">
        <f>H302</f>
        <v/>
      </c>
      <c r="W303">
        <f>N302</f>
        <v/>
      </c>
    </row>
    <row r="304" ht="15.75" customHeight="1" s="40">
      <c r="C304" s="36">
        <f>_xlfn.IFS(E304&lt;E$24,0,E304&lt;E$26,C$24,E304&lt;E$28,C$26,E304&lt;E$30,C$28,E304&lt;E$32,C$30,E304&lt;E$34,C$32,E304&gt;=E$34,C$34)</f>
        <v/>
      </c>
      <c r="D304" s="37">
        <f>_xlfn.IFS(E304&lt;E$24,0,E304&lt;E$25,D$24,E304&lt;E$26,D$25,E304&lt;E$27,D$26,E304&lt;E$28,D$27,E304&lt;E$29,D$28,E304&lt;E$30,D$29,E304&lt;E$31,D$30,E304&lt;E$32,D$31,E304&lt;E$33,D$32,E304&lt;E$34,D$33,E304&lt;E$35,D$34,E304&gt;=E$35,D$35)</f>
        <v/>
      </c>
      <c r="E304" s="38" t="n">
        <v>254</v>
      </c>
      <c r="F304" s="31">
        <f>E304/52</f>
        <v/>
      </c>
      <c r="G304" s="39">
        <f>D304/1000000*52</f>
        <v/>
      </c>
      <c r="H304" s="33">
        <f>G304/$P$4+($C$22/$P$4)</f>
        <v/>
      </c>
      <c r="I304" s="36">
        <f>_xlfn.IFS(K304&lt;K$24,0,K304&lt;K$26,I$24,K304&lt;K$28,I$26,K304&lt;K$30,I$28,K304&lt;K$32,I$30,K304&lt;K$34,I$32,K304&lt;K$36,I$34,K304&lt;K$38,I$36,K304&lt;K$40,I$38,K304&lt;K$42,I$40,K304&lt;K$44,I$42,K304&lt;K$46,I$44,K304&gt;=K$46,I$46)</f>
        <v/>
      </c>
      <c r="J304" s="37">
        <f>_xlfn.IFS(K304&lt;K$24,0,K304&lt;K$25,J$24,K304&lt;K$26,J$25,K304&lt;K$27,J$26,K304&lt;K$28,J$27,K304&lt;K$29,J$28,K304&lt;K$30,J$29,K304&lt;K$31,J$30,K304&lt;K$32,J$31,K304&lt;K$33,J$32,K304&lt;K$34,J$33,K304&lt;K$35,J$34,K304&lt;K$36,J$35,K304&lt;K$37,J$36,K304&lt;K$38,J$37,K304&lt;K$39,J$38,K304&lt;K$40,J$39,K304&lt;K$41,J$40,K304&lt;K$42,J$41,K304&lt;K$43,J$42,K304&lt;K$44,J$43,K304&lt;K$45,J$44,K304&lt;K$46,J$45,K304&lt;K$47,J$46,K304&gt;=K$47,J$47)</f>
        <v/>
      </c>
      <c r="K304" s="38" t="n">
        <v>254</v>
      </c>
      <c r="L304" s="31">
        <f>K304/52</f>
        <v/>
      </c>
      <c r="M304" s="39">
        <f>J304/1000000*52</f>
        <v/>
      </c>
      <c r="N304" s="33">
        <f>M304/$P$4+($I$22/$P$4)</f>
        <v/>
      </c>
      <c r="U304">
        <f>F303</f>
        <v/>
      </c>
      <c r="V304">
        <f>H303</f>
        <v/>
      </c>
      <c r="W304">
        <f>N303</f>
        <v/>
      </c>
    </row>
    <row r="305" ht="15.75" customHeight="1" s="40">
      <c r="C305" s="36">
        <f>_xlfn.IFS(E305&lt;E$24,0,E305&lt;E$26,C$24,E305&lt;E$28,C$26,E305&lt;E$30,C$28,E305&lt;E$32,C$30,E305&lt;E$34,C$32,E305&gt;=E$34,C$34)</f>
        <v/>
      </c>
      <c r="D305" s="37">
        <f>_xlfn.IFS(E305&lt;E$24,0,E305&lt;E$25,D$24,E305&lt;E$26,D$25,E305&lt;E$27,D$26,E305&lt;E$28,D$27,E305&lt;E$29,D$28,E305&lt;E$30,D$29,E305&lt;E$31,D$30,E305&lt;E$32,D$31,E305&lt;E$33,D$32,E305&lt;E$34,D$33,E305&lt;E$35,D$34,E305&gt;=E$35,D$35)</f>
        <v/>
      </c>
      <c r="E305" s="38" t="n">
        <v>255</v>
      </c>
      <c r="F305" s="31">
        <f>E305/52</f>
        <v/>
      </c>
      <c r="G305" s="39">
        <f>D305/1000000*52</f>
        <v/>
      </c>
      <c r="H305" s="33">
        <f>G305/$P$4+($C$22/$P$4)</f>
        <v/>
      </c>
      <c r="I305" s="36">
        <f>_xlfn.IFS(K305&lt;K$24,0,K305&lt;K$26,I$24,K305&lt;K$28,I$26,K305&lt;K$30,I$28,K305&lt;K$32,I$30,K305&lt;K$34,I$32,K305&lt;K$36,I$34,K305&lt;K$38,I$36,K305&lt;K$40,I$38,K305&lt;K$42,I$40,K305&lt;K$44,I$42,K305&lt;K$46,I$44,K305&gt;=K$46,I$46)</f>
        <v/>
      </c>
      <c r="J305" s="37">
        <f>_xlfn.IFS(K305&lt;K$24,0,K305&lt;K$25,J$24,K305&lt;K$26,J$25,K305&lt;K$27,J$26,K305&lt;K$28,J$27,K305&lt;K$29,J$28,K305&lt;K$30,J$29,K305&lt;K$31,J$30,K305&lt;K$32,J$31,K305&lt;K$33,J$32,K305&lt;K$34,J$33,K305&lt;K$35,J$34,K305&lt;K$36,J$35,K305&lt;K$37,J$36,K305&lt;K$38,J$37,K305&lt;K$39,J$38,K305&lt;K$40,J$39,K305&lt;K$41,J$40,K305&lt;K$42,J$41,K305&lt;K$43,J$42,K305&lt;K$44,J$43,K305&lt;K$45,J$44,K305&lt;K$46,J$45,K305&lt;K$47,J$46,K305&gt;=K$47,J$47)</f>
        <v/>
      </c>
      <c r="K305" s="38" t="n">
        <v>255</v>
      </c>
      <c r="L305" s="31">
        <f>K305/52</f>
        <v/>
      </c>
      <c r="M305" s="39">
        <f>J305/1000000*52</f>
        <v/>
      </c>
      <c r="N305" s="33">
        <f>M305/$P$4+($I$22/$P$4)</f>
        <v/>
      </c>
      <c r="U305">
        <f>F304</f>
        <v/>
      </c>
      <c r="V305">
        <f>H304</f>
        <v/>
      </c>
      <c r="W305">
        <f>N304</f>
        <v/>
      </c>
    </row>
    <row r="306" ht="15.75" customHeight="1" s="40">
      <c r="C306" s="36">
        <f>_xlfn.IFS(E306&lt;E$24,0,E306&lt;E$26,C$24,E306&lt;E$28,C$26,E306&lt;E$30,C$28,E306&lt;E$32,C$30,E306&lt;E$34,C$32,E306&gt;=E$34,C$34)</f>
        <v/>
      </c>
      <c r="D306" s="37">
        <f>_xlfn.IFS(E306&lt;E$24,0,E306&lt;E$25,D$24,E306&lt;E$26,D$25,E306&lt;E$27,D$26,E306&lt;E$28,D$27,E306&lt;E$29,D$28,E306&lt;E$30,D$29,E306&lt;E$31,D$30,E306&lt;E$32,D$31,E306&lt;E$33,D$32,E306&lt;E$34,D$33,E306&lt;E$35,D$34,E306&gt;=E$35,D$35)</f>
        <v/>
      </c>
      <c r="E306" s="38" t="n">
        <v>256</v>
      </c>
      <c r="F306" s="31">
        <f>E306/52</f>
        <v/>
      </c>
      <c r="G306" s="39">
        <f>D306/1000000*52</f>
        <v/>
      </c>
      <c r="H306" s="33">
        <f>G306/$P$4+($C$22/$P$4)</f>
        <v/>
      </c>
      <c r="I306" s="36">
        <f>_xlfn.IFS(K306&lt;K$24,0,K306&lt;K$26,I$24,K306&lt;K$28,I$26,K306&lt;K$30,I$28,K306&lt;K$32,I$30,K306&lt;K$34,I$32,K306&lt;K$36,I$34,K306&lt;K$38,I$36,K306&lt;K$40,I$38,K306&lt;K$42,I$40,K306&lt;K$44,I$42,K306&lt;K$46,I$44,K306&gt;=K$46,I$46)</f>
        <v/>
      </c>
      <c r="J306" s="37">
        <f>_xlfn.IFS(K306&lt;K$24,0,K306&lt;K$25,J$24,K306&lt;K$26,J$25,K306&lt;K$27,J$26,K306&lt;K$28,J$27,K306&lt;K$29,J$28,K306&lt;K$30,J$29,K306&lt;K$31,J$30,K306&lt;K$32,J$31,K306&lt;K$33,J$32,K306&lt;K$34,J$33,K306&lt;K$35,J$34,K306&lt;K$36,J$35,K306&lt;K$37,J$36,K306&lt;K$38,J$37,K306&lt;K$39,J$38,K306&lt;K$40,J$39,K306&lt;K$41,J$40,K306&lt;K$42,J$41,K306&lt;K$43,J$42,K306&lt;K$44,J$43,K306&lt;K$45,J$44,K306&lt;K$46,J$45,K306&lt;K$47,J$46,K306&gt;=K$47,J$47)</f>
        <v/>
      </c>
      <c r="K306" s="38" t="n">
        <v>256</v>
      </c>
      <c r="L306" s="31">
        <f>K306/52</f>
        <v/>
      </c>
      <c r="M306" s="39">
        <f>J306/1000000*52</f>
        <v/>
      </c>
      <c r="N306" s="33">
        <f>M306/$P$4+($I$22/$P$4)</f>
        <v/>
      </c>
      <c r="U306">
        <f>F305</f>
        <v/>
      </c>
      <c r="V306">
        <f>H305</f>
        <v/>
      </c>
      <c r="W306">
        <f>N305</f>
        <v/>
      </c>
    </row>
    <row r="307" ht="15.75" customHeight="1" s="40">
      <c r="C307" s="36">
        <f>_xlfn.IFS(E307&lt;E$24,0,E307&lt;E$26,C$24,E307&lt;E$28,C$26,E307&lt;E$30,C$28,E307&lt;E$32,C$30,E307&lt;E$34,C$32,E307&gt;=E$34,C$34)</f>
        <v/>
      </c>
      <c r="D307" s="37">
        <f>_xlfn.IFS(E307&lt;E$24,0,E307&lt;E$25,D$24,E307&lt;E$26,D$25,E307&lt;E$27,D$26,E307&lt;E$28,D$27,E307&lt;E$29,D$28,E307&lt;E$30,D$29,E307&lt;E$31,D$30,E307&lt;E$32,D$31,E307&lt;E$33,D$32,E307&lt;E$34,D$33,E307&lt;E$35,D$34,E307&gt;=E$35,D$35)</f>
        <v/>
      </c>
      <c r="E307" s="38" t="n">
        <v>257</v>
      </c>
      <c r="F307" s="31">
        <f>E307/52</f>
        <v/>
      </c>
      <c r="G307" s="39">
        <f>D307/1000000*52</f>
        <v/>
      </c>
      <c r="H307" s="33">
        <f>G307/$P$4+($C$22/$P$4)</f>
        <v/>
      </c>
      <c r="I307" s="36">
        <f>_xlfn.IFS(K307&lt;K$24,0,K307&lt;K$26,I$24,K307&lt;K$28,I$26,K307&lt;K$30,I$28,K307&lt;K$32,I$30,K307&lt;K$34,I$32,K307&lt;K$36,I$34,K307&lt;K$38,I$36,K307&lt;K$40,I$38,K307&lt;K$42,I$40,K307&lt;K$44,I$42,K307&lt;K$46,I$44,K307&gt;=K$46,I$46)</f>
        <v/>
      </c>
      <c r="J307" s="37">
        <f>_xlfn.IFS(K307&lt;K$24,0,K307&lt;K$25,J$24,K307&lt;K$26,J$25,K307&lt;K$27,J$26,K307&lt;K$28,J$27,K307&lt;K$29,J$28,K307&lt;K$30,J$29,K307&lt;K$31,J$30,K307&lt;K$32,J$31,K307&lt;K$33,J$32,K307&lt;K$34,J$33,K307&lt;K$35,J$34,K307&lt;K$36,J$35,K307&lt;K$37,J$36,K307&lt;K$38,J$37,K307&lt;K$39,J$38,K307&lt;K$40,J$39,K307&lt;K$41,J$40,K307&lt;K$42,J$41,K307&lt;K$43,J$42,K307&lt;K$44,J$43,K307&lt;K$45,J$44,K307&lt;K$46,J$45,K307&lt;K$47,J$46,K307&gt;=K$47,J$47)</f>
        <v/>
      </c>
      <c r="K307" s="38" t="n">
        <v>257</v>
      </c>
      <c r="L307" s="31">
        <f>K307/52</f>
        <v/>
      </c>
      <c r="M307" s="39">
        <f>J307/1000000*52</f>
        <v/>
      </c>
      <c r="N307" s="33">
        <f>M307/$P$4+($I$22/$P$4)</f>
        <v/>
      </c>
      <c r="U307">
        <f>F306</f>
        <v/>
      </c>
      <c r="V307">
        <f>H306</f>
        <v/>
      </c>
      <c r="W307">
        <f>N306</f>
        <v/>
      </c>
    </row>
    <row r="308" ht="15.75" customHeight="1" s="40">
      <c r="C308" s="36">
        <f>_xlfn.IFS(E308&lt;E$24,0,E308&lt;E$26,C$24,E308&lt;E$28,C$26,E308&lt;E$30,C$28,E308&lt;E$32,C$30,E308&lt;E$34,C$32,E308&gt;=E$34,C$34)</f>
        <v/>
      </c>
      <c r="D308" s="37">
        <f>_xlfn.IFS(E308&lt;E$24,0,E308&lt;E$25,D$24,E308&lt;E$26,D$25,E308&lt;E$27,D$26,E308&lt;E$28,D$27,E308&lt;E$29,D$28,E308&lt;E$30,D$29,E308&lt;E$31,D$30,E308&lt;E$32,D$31,E308&lt;E$33,D$32,E308&lt;E$34,D$33,E308&lt;E$35,D$34,E308&gt;=E$35,D$35)</f>
        <v/>
      </c>
      <c r="E308" s="38" t="n">
        <v>258</v>
      </c>
      <c r="F308" s="31">
        <f>E308/52</f>
        <v/>
      </c>
      <c r="G308" s="39">
        <f>D308/1000000*52</f>
        <v/>
      </c>
      <c r="H308" s="33">
        <f>G308/$P$4+($C$22/$P$4)</f>
        <v/>
      </c>
      <c r="I308" s="36">
        <f>_xlfn.IFS(K308&lt;K$24,0,K308&lt;K$26,I$24,K308&lt;K$28,I$26,K308&lt;K$30,I$28,K308&lt;K$32,I$30,K308&lt;K$34,I$32,K308&lt;K$36,I$34,K308&lt;K$38,I$36,K308&lt;K$40,I$38,K308&lt;K$42,I$40,K308&lt;K$44,I$42,K308&lt;K$46,I$44,K308&gt;=K$46,I$46)</f>
        <v/>
      </c>
      <c r="J308" s="37">
        <f>_xlfn.IFS(K308&lt;K$24,0,K308&lt;K$25,J$24,K308&lt;K$26,J$25,K308&lt;K$27,J$26,K308&lt;K$28,J$27,K308&lt;K$29,J$28,K308&lt;K$30,J$29,K308&lt;K$31,J$30,K308&lt;K$32,J$31,K308&lt;K$33,J$32,K308&lt;K$34,J$33,K308&lt;K$35,J$34,K308&lt;K$36,J$35,K308&lt;K$37,J$36,K308&lt;K$38,J$37,K308&lt;K$39,J$38,K308&lt;K$40,J$39,K308&lt;K$41,J$40,K308&lt;K$42,J$41,K308&lt;K$43,J$42,K308&lt;K$44,J$43,K308&lt;K$45,J$44,K308&lt;K$46,J$45,K308&lt;K$47,J$46,K308&gt;=K$47,J$47)</f>
        <v/>
      </c>
      <c r="K308" s="38" t="n">
        <v>258</v>
      </c>
      <c r="L308" s="31">
        <f>K308/52</f>
        <v/>
      </c>
      <c r="M308" s="39">
        <f>J308/1000000*52</f>
        <v/>
      </c>
      <c r="N308" s="33">
        <f>M308/$P$4+($I$22/$P$4)</f>
        <v/>
      </c>
      <c r="U308">
        <f>F307</f>
        <v/>
      </c>
      <c r="V308">
        <f>H307</f>
        <v/>
      </c>
      <c r="W308">
        <f>N307</f>
        <v/>
      </c>
    </row>
    <row r="309" ht="15.75" customHeight="1" s="40">
      <c r="C309" s="36">
        <f>_xlfn.IFS(E309&lt;E$24,0,E309&lt;E$26,C$24,E309&lt;E$28,C$26,E309&lt;E$30,C$28,E309&lt;E$32,C$30,E309&lt;E$34,C$32,E309&gt;=E$34,C$34)</f>
        <v/>
      </c>
      <c r="D309" s="37">
        <f>_xlfn.IFS(E309&lt;E$24,0,E309&lt;E$25,D$24,E309&lt;E$26,D$25,E309&lt;E$27,D$26,E309&lt;E$28,D$27,E309&lt;E$29,D$28,E309&lt;E$30,D$29,E309&lt;E$31,D$30,E309&lt;E$32,D$31,E309&lt;E$33,D$32,E309&lt;E$34,D$33,E309&lt;E$35,D$34,E309&gt;=E$35,D$35)</f>
        <v/>
      </c>
      <c r="E309" s="38" t="n">
        <v>259</v>
      </c>
      <c r="F309" s="31">
        <f>E309/52</f>
        <v/>
      </c>
      <c r="G309" s="39">
        <f>D309/1000000*52</f>
        <v/>
      </c>
      <c r="H309" s="33">
        <f>G309/$P$4+($C$22/$P$4)</f>
        <v/>
      </c>
      <c r="I309" s="36">
        <f>_xlfn.IFS(K309&lt;K$24,0,K309&lt;K$26,I$24,K309&lt;K$28,I$26,K309&lt;K$30,I$28,K309&lt;K$32,I$30,K309&lt;K$34,I$32,K309&lt;K$36,I$34,K309&lt;K$38,I$36,K309&lt;K$40,I$38,K309&lt;K$42,I$40,K309&lt;K$44,I$42,K309&lt;K$46,I$44,K309&gt;=K$46,I$46)</f>
        <v/>
      </c>
      <c r="J309" s="37">
        <f>_xlfn.IFS(K309&lt;K$24,0,K309&lt;K$25,J$24,K309&lt;K$26,J$25,K309&lt;K$27,J$26,K309&lt;K$28,J$27,K309&lt;K$29,J$28,K309&lt;K$30,J$29,K309&lt;K$31,J$30,K309&lt;K$32,J$31,K309&lt;K$33,J$32,K309&lt;K$34,J$33,K309&lt;K$35,J$34,K309&lt;K$36,J$35,K309&lt;K$37,J$36,K309&lt;K$38,J$37,K309&lt;K$39,J$38,K309&lt;K$40,J$39,K309&lt;K$41,J$40,K309&lt;K$42,J$41,K309&lt;K$43,J$42,K309&lt;K$44,J$43,K309&lt;K$45,J$44,K309&lt;K$46,J$45,K309&lt;K$47,J$46,K309&gt;=K$47,J$47)</f>
        <v/>
      </c>
      <c r="K309" s="38" t="n">
        <v>259</v>
      </c>
      <c r="L309" s="31">
        <f>K309/52</f>
        <v/>
      </c>
      <c r="M309" s="39">
        <f>J309/1000000*52</f>
        <v/>
      </c>
      <c r="N309" s="33">
        <f>M309/$P$4+($I$22/$P$4)</f>
        <v/>
      </c>
      <c r="U309">
        <f>F308</f>
        <v/>
      </c>
      <c r="V309">
        <f>H308</f>
        <v/>
      </c>
      <c r="W309">
        <f>N308</f>
        <v/>
      </c>
    </row>
    <row r="310" ht="15.75" customHeight="1" s="40">
      <c r="C310" s="36">
        <f>_xlfn.IFS(E310&lt;E$24,0,E310&lt;E$26,C$24,E310&lt;E$28,C$26,E310&lt;E$30,C$28,E310&lt;E$32,C$30,E310&lt;E$34,C$32,E310&gt;=E$34,C$34)</f>
        <v/>
      </c>
      <c r="D310" s="37">
        <f>_xlfn.IFS(E310&lt;E$24,0,E310&lt;E$25,D$24,E310&lt;E$26,D$25,E310&lt;E$27,D$26,E310&lt;E$28,D$27,E310&lt;E$29,D$28,E310&lt;E$30,D$29,E310&lt;E$31,D$30,E310&lt;E$32,D$31,E310&lt;E$33,D$32,E310&lt;E$34,D$33,E310&lt;E$35,D$34,E310&gt;=E$35,D$35)</f>
        <v/>
      </c>
      <c r="E310" s="38" t="n">
        <v>260</v>
      </c>
      <c r="F310" s="31">
        <f>E310/52</f>
        <v/>
      </c>
      <c r="G310" s="39">
        <f>D310/1000000*52</f>
        <v/>
      </c>
      <c r="H310" s="33">
        <f>G310/$P$4+($C$22/$P$4)</f>
        <v/>
      </c>
      <c r="I310" s="36">
        <f>_xlfn.IFS(K310&lt;K$24,0,K310&lt;K$26,I$24,K310&lt;K$28,I$26,K310&lt;K$30,I$28,K310&lt;K$32,I$30,K310&lt;K$34,I$32,K310&lt;K$36,I$34,K310&lt;K$38,I$36,K310&lt;K$40,I$38,K310&lt;K$42,I$40,K310&lt;K$44,I$42,K310&lt;K$46,I$44,K310&gt;=K$46,I$46)</f>
        <v/>
      </c>
      <c r="J310" s="37">
        <f>_xlfn.IFS(K310&lt;K$24,0,K310&lt;K$25,J$24,K310&lt;K$26,J$25,K310&lt;K$27,J$26,K310&lt;K$28,J$27,K310&lt;K$29,J$28,K310&lt;K$30,J$29,K310&lt;K$31,J$30,K310&lt;K$32,J$31,K310&lt;K$33,J$32,K310&lt;K$34,J$33,K310&lt;K$35,J$34,K310&lt;K$36,J$35,K310&lt;K$37,J$36,K310&lt;K$38,J$37,K310&lt;K$39,J$38,K310&lt;K$40,J$39,K310&lt;K$41,J$40,K310&lt;K$42,J$41,K310&lt;K$43,J$42,K310&lt;K$44,J$43,K310&lt;K$45,J$44,K310&lt;K$46,J$45,K310&lt;K$47,J$46,K310&gt;=K$47,J$47)</f>
        <v/>
      </c>
      <c r="K310" s="38" t="n">
        <v>260</v>
      </c>
      <c r="L310" s="31">
        <f>K310/52</f>
        <v/>
      </c>
      <c r="M310" s="39">
        <f>J310/1000000*52</f>
        <v/>
      </c>
      <c r="N310" s="33">
        <f>M310/$P$4+($I$22/$P$4)</f>
        <v/>
      </c>
      <c r="U310">
        <f>F309</f>
        <v/>
      </c>
      <c r="V310">
        <f>H309</f>
        <v/>
      </c>
      <c r="W310">
        <f>N309</f>
        <v/>
      </c>
    </row>
    <row r="311" ht="15.75" customHeight="1" s="40">
      <c r="C311" s="36">
        <f>_xlfn.IFS(E311&lt;E$24,0,E311&lt;E$26,C$24,E311&lt;E$28,C$26,E311&lt;E$30,C$28,E311&lt;E$32,C$30,E311&lt;E$34,C$32,E311&gt;=E$34,C$34)</f>
        <v/>
      </c>
      <c r="D311" s="37">
        <f>_xlfn.IFS(E311&lt;E$24,0,E311&lt;E$25,D$24,E311&lt;E$26,D$25,E311&lt;E$27,D$26,E311&lt;E$28,D$27,E311&lt;E$29,D$28,E311&lt;E$30,D$29,E311&lt;E$31,D$30,E311&lt;E$32,D$31,E311&lt;E$33,D$32,E311&lt;E$34,D$33,E311&lt;E$35,D$34,E311&gt;=E$35,D$35)</f>
        <v/>
      </c>
      <c r="E311" s="38" t="n">
        <v>261</v>
      </c>
      <c r="F311" s="31">
        <f>E311/52</f>
        <v/>
      </c>
      <c r="G311" s="39">
        <f>D311/1000000*52</f>
        <v/>
      </c>
      <c r="H311" s="33">
        <f>G311/$P$4+($C$22/$P$4)</f>
        <v/>
      </c>
      <c r="I311" s="36">
        <f>_xlfn.IFS(K311&lt;K$24,0,K311&lt;K$26,I$24,K311&lt;K$28,I$26,K311&lt;K$30,I$28,K311&lt;K$32,I$30,K311&lt;K$34,I$32,K311&lt;K$36,I$34,K311&lt;K$38,I$36,K311&lt;K$40,I$38,K311&lt;K$42,I$40,K311&lt;K$44,I$42,K311&lt;K$46,I$44,K311&gt;=K$46,I$46)</f>
        <v/>
      </c>
      <c r="J311" s="37">
        <f>_xlfn.IFS(K311&lt;K$24,0,K311&lt;K$25,J$24,K311&lt;K$26,J$25,K311&lt;K$27,J$26,K311&lt;K$28,J$27,K311&lt;K$29,J$28,K311&lt;K$30,J$29,K311&lt;K$31,J$30,K311&lt;K$32,J$31,K311&lt;K$33,J$32,K311&lt;K$34,J$33,K311&lt;K$35,J$34,K311&lt;K$36,J$35,K311&lt;K$37,J$36,K311&lt;K$38,J$37,K311&lt;K$39,J$38,K311&lt;K$40,J$39,K311&lt;K$41,J$40,K311&lt;K$42,J$41,K311&lt;K$43,J$42,K311&lt;K$44,J$43,K311&lt;K$45,J$44,K311&lt;K$46,J$45,K311&lt;K$47,J$46,K311&gt;=K$47,J$47)</f>
        <v/>
      </c>
      <c r="K311" s="38" t="n">
        <v>261</v>
      </c>
      <c r="L311" s="31">
        <f>K311/52</f>
        <v/>
      </c>
      <c r="M311" s="39">
        <f>J311/1000000*52</f>
        <v/>
      </c>
      <c r="N311" s="33">
        <f>M311/$P$4+($I$22/$P$4)</f>
        <v/>
      </c>
      <c r="U311">
        <f>F310</f>
        <v/>
      </c>
      <c r="V311">
        <f>H310</f>
        <v/>
      </c>
      <c r="W311">
        <f>N310</f>
        <v/>
      </c>
    </row>
    <row r="312" ht="15.75" customHeight="1" s="40">
      <c r="C312" s="36">
        <f>_xlfn.IFS(E312&lt;E$24,0,E312&lt;E$26,C$24,E312&lt;E$28,C$26,E312&lt;E$30,C$28,E312&lt;E$32,C$30,E312&lt;E$34,C$32,E312&gt;=E$34,C$34)</f>
        <v/>
      </c>
      <c r="D312" s="37">
        <f>_xlfn.IFS(E312&lt;E$24,0,E312&lt;E$25,D$24,E312&lt;E$26,D$25,E312&lt;E$27,D$26,E312&lt;E$28,D$27,E312&lt;E$29,D$28,E312&lt;E$30,D$29,E312&lt;E$31,D$30,E312&lt;E$32,D$31,E312&lt;E$33,D$32,E312&lt;E$34,D$33,E312&lt;E$35,D$34,E312&gt;=E$35,D$35)</f>
        <v/>
      </c>
      <c r="E312" s="38" t="n">
        <v>262</v>
      </c>
      <c r="F312" s="31">
        <f>E312/52</f>
        <v/>
      </c>
      <c r="G312" s="39">
        <f>D312/1000000*52</f>
        <v/>
      </c>
      <c r="H312" s="33">
        <f>G312/$P$4+($C$22/$P$4)</f>
        <v/>
      </c>
      <c r="I312" s="36">
        <f>_xlfn.IFS(K312&lt;K$24,0,K312&lt;K$26,I$24,K312&lt;K$28,I$26,K312&lt;K$30,I$28,K312&lt;K$32,I$30,K312&lt;K$34,I$32,K312&lt;K$36,I$34,K312&lt;K$38,I$36,K312&lt;K$40,I$38,K312&lt;K$42,I$40,K312&lt;K$44,I$42,K312&lt;K$46,I$44,K312&gt;=K$46,I$46)</f>
        <v/>
      </c>
      <c r="J312" s="37">
        <f>_xlfn.IFS(K312&lt;K$24,0,K312&lt;K$25,J$24,K312&lt;K$26,J$25,K312&lt;K$27,J$26,K312&lt;K$28,J$27,K312&lt;K$29,J$28,K312&lt;K$30,J$29,K312&lt;K$31,J$30,K312&lt;K$32,J$31,K312&lt;K$33,J$32,K312&lt;K$34,J$33,K312&lt;K$35,J$34,K312&lt;K$36,J$35,K312&lt;K$37,J$36,K312&lt;K$38,J$37,K312&lt;K$39,J$38,K312&lt;K$40,J$39,K312&lt;K$41,J$40,K312&lt;K$42,J$41,K312&lt;K$43,J$42,K312&lt;K$44,J$43,K312&lt;K$45,J$44,K312&lt;K$46,J$45,K312&lt;K$47,J$46,K312&gt;=K$47,J$47)</f>
        <v/>
      </c>
      <c r="K312" s="38" t="n">
        <v>262</v>
      </c>
      <c r="L312" s="31">
        <f>K312/52</f>
        <v/>
      </c>
      <c r="M312" s="39">
        <f>J312/1000000*52</f>
        <v/>
      </c>
      <c r="N312" s="33">
        <f>M312/$P$4+($I$22/$P$4)</f>
        <v/>
      </c>
      <c r="U312">
        <f>F311</f>
        <v/>
      </c>
      <c r="V312">
        <f>H311</f>
        <v/>
      </c>
      <c r="W312">
        <f>N311</f>
        <v/>
      </c>
    </row>
    <row r="313" ht="15.75" customHeight="1" s="40">
      <c r="C313" s="36">
        <f>_xlfn.IFS(E313&lt;E$24,0,E313&lt;E$26,C$24,E313&lt;E$28,C$26,E313&lt;E$30,C$28,E313&lt;E$32,C$30,E313&lt;E$34,C$32,E313&gt;=E$34,C$34)</f>
        <v/>
      </c>
      <c r="D313" s="37">
        <f>_xlfn.IFS(E313&lt;E$24,0,E313&lt;E$25,D$24,E313&lt;E$26,D$25,E313&lt;E$27,D$26,E313&lt;E$28,D$27,E313&lt;E$29,D$28,E313&lt;E$30,D$29,E313&lt;E$31,D$30,E313&lt;E$32,D$31,E313&lt;E$33,D$32,E313&lt;E$34,D$33,E313&lt;E$35,D$34,E313&gt;=E$35,D$35)</f>
        <v/>
      </c>
      <c r="E313" s="38" t="n">
        <v>263</v>
      </c>
      <c r="F313" s="31">
        <f>E313/52</f>
        <v/>
      </c>
      <c r="G313" s="39">
        <f>D313/1000000*52</f>
        <v/>
      </c>
      <c r="H313" s="33">
        <f>G313/$P$4+($C$22/$P$4)</f>
        <v/>
      </c>
      <c r="I313" s="36">
        <f>_xlfn.IFS(K313&lt;K$24,0,K313&lt;K$26,I$24,K313&lt;K$28,I$26,K313&lt;K$30,I$28,K313&lt;K$32,I$30,K313&lt;K$34,I$32,K313&lt;K$36,I$34,K313&lt;K$38,I$36,K313&lt;K$40,I$38,K313&lt;K$42,I$40,K313&lt;K$44,I$42,K313&lt;K$46,I$44,K313&gt;=K$46,I$46)</f>
        <v/>
      </c>
      <c r="J313" s="37">
        <f>_xlfn.IFS(K313&lt;K$24,0,K313&lt;K$25,J$24,K313&lt;K$26,J$25,K313&lt;K$27,J$26,K313&lt;K$28,J$27,K313&lt;K$29,J$28,K313&lt;K$30,J$29,K313&lt;K$31,J$30,K313&lt;K$32,J$31,K313&lt;K$33,J$32,K313&lt;K$34,J$33,K313&lt;K$35,J$34,K313&lt;K$36,J$35,K313&lt;K$37,J$36,K313&lt;K$38,J$37,K313&lt;K$39,J$38,K313&lt;K$40,J$39,K313&lt;K$41,J$40,K313&lt;K$42,J$41,K313&lt;K$43,J$42,K313&lt;K$44,J$43,K313&lt;K$45,J$44,K313&lt;K$46,J$45,K313&lt;K$47,J$46,K313&gt;=K$47,J$47)</f>
        <v/>
      </c>
      <c r="K313" s="38" t="n">
        <v>263</v>
      </c>
      <c r="L313" s="31">
        <f>K313/52</f>
        <v/>
      </c>
      <c r="M313" s="39">
        <f>J313/1000000*52</f>
        <v/>
      </c>
      <c r="N313" s="33">
        <f>M313/$P$4+($I$22/$P$4)</f>
        <v/>
      </c>
      <c r="U313">
        <f>F312</f>
        <v/>
      </c>
      <c r="V313">
        <f>H312</f>
        <v/>
      </c>
      <c r="W313">
        <f>N312</f>
        <v/>
      </c>
    </row>
    <row r="314" ht="15.75" customHeight="1" s="40">
      <c r="C314" s="36">
        <f>_xlfn.IFS(E314&lt;E$24,0,E314&lt;E$26,C$24,E314&lt;E$28,C$26,E314&lt;E$30,C$28,E314&lt;E$32,C$30,E314&lt;E$34,C$32,E314&gt;=E$34,C$34)</f>
        <v/>
      </c>
      <c r="D314" s="37">
        <f>_xlfn.IFS(E314&lt;E$24,0,E314&lt;E$25,D$24,E314&lt;E$26,D$25,E314&lt;E$27,D$26,E314&lt;E$28,D$27,E314&lt;E$29,D$28,E314&lt;E$30,D$29,E314&lt;E$31,D$30,E314&lt;E$32,D$31,E314&lt;E$33,D$32,E314&lt;E$34,D$33,E314&lt;E$35,D$34,E314&gt;=E$35,D$35)</f>
        <v/>
      </c>
      <c r="E314" s="38" t="n">
        <v>264</v>
      </c>
      <c r="F314" s="31">
        <f>E314/52</f>
        <v/>
      </c>
      <c r="G314" s="39">
        <f>D314/1000000*52</f>
        <v/>
      </c>
      <c r="H314" s="33">
        <f>G314/$P$4+($C$22/$P$4)</f>
        <v/>
      </c>
      <c r="I314" s="36">
        <f>_xlfn.IFS(K314&lt;K$24,0,K314&lt;K$26,I$24,K314&lt;K$28,I$26,K314&lt;K$30,I$28,K314&lt;K$32,I$30,K314&lt;K$34,I$32,K314&lt;K$36,I$34,K314&lt;K$38,I$36,K314&lt;K$40,I$38,K314&lt;K$42,I$40,K314&lt;K$44,I$42,K314&lt;K$46,I$44,K314&gt;=K$46,I$46)</f>
        <v/>
      </c>
      <c r="J314" s="37">
        <f>_xlfn.IFS(K314&lt;K$24,0,K314&lt;K$25,J$24,K314&lt;K$26,J$25,K314&lt;K$27,J$26,K314&lt;K$28,J$27,K314&lt;K$29,J$28,K314&lt;K$30,J$29,K314&lt;K$31,J$30,K314&lt;K$32,J$31,K314&lt;K$33,J$32,K314&lt;K$34,J$33,K314&lt;K$35,J$34,K314&lt;K$36,J$35,K314&lt;K$37,J$36,K314&lt;K$38,J$37,K314&lt;K$39,J$38,K314&lt;K$40,J$39,K314&lt;K$41,J$40,K314&lt;K$42,J$41,K314&lt;K$43,J$42,K314&lt;K$44,J$43,K314&lt;K$45,J$44,K314&lt;K$46,J$45,K314&lt;K$47,J$46,K314&gt;=K$47,J$47)</f>
        <v/>
      </c>
      <c r="K314" s="38" t="n">
        <v>264</v>
      </c>
      <c r="L314" s="31">
        <f>K314/52</f>
        <v/>
      </c>
      <c r="M314" s="39">
        <f>J314/1000000*52</f>
        <v/>
      </c>
      <c r="N314" s="33">
        <f>M314/$P$4+($I$22/$P$4)</f>
        <v/>
      </c>
      <c r="U314">
        <f>F313</f>
        <v/>
      </c>
      <c r="V314">
        <f>H313</f>
        <v/>
      </c>
      <c r="W314">
        <f>N313</f>
        <v/>
      </c>
    </row>
    <row r="315" ht="15.75" customHeight="1" s="40">
      <c r="C315" s="36">
        <f>_xlfn.IFS(E315&lt;E$24,0,E315&lt;E$26,C$24,E315&lt;E$28,C$26,E315&lt;E$30,C$28,E315&lt;E$32,C$30,E315&lt;E$34,C$32,E315&gt;=E$34,C$34)</f>
        <v/>
      </c>
      <c r="D315" s="37">
        <f>_xlfn.IFS(E315&lt;E$24,0,E315&lt;E$25,D$24,E315&lt;E$26,D$25,E315&lt;E$27,D$26,E315&lt;E$28,D$27,E315&lt;E$29,D$28,E315&lt;E$30,D$29,E315&lt;E$31,D$30,E315&lt;E$32,D$31,E315&lt;E$33,D$32,E315&lt;E$34,D$33,E315&lt;E$35,D$34,E315&gt;=E$35,D$35)</f>
        <v/>
      </c>
      <c r="E315" s="38" t="n">
        <v>265</v>
      </c>
      <c r="F315" s="31">
        <f>E315/52</f>
        <v/>
      </c>
      <c r="G315" s="39">
        <f>D315/1000000*52</f>
        <v/>
      </c>
      <c r="H315" s="33">
        <f>G315/$P$4+($C$22/$P$4)</f>
        <v/>
      </c>
      <c r="I315" s="36">
        <f>_xlfn.IFS(K315&lt;K$24,0,K315&lt;K$26,I$24,K315&lt;K$28,I$26,K315&lt;K$30,I$28,K315&lt;K$32,I$30,K315&lt;K$34,I$32,K315&lt;K$36,I$34,K315&lt;K$38,I$36,K315&lt;K$40,I$38,K315&lt;K$42,I$40,K315&lt;K$44,I$42,K315&lt;K$46,I$44,K315&gt;=K$46,I$46)</f>
        <v/>
      </c>
      <c r="J315" s="37">
        <f>_xlfn.IFS(K315&lt;K$24,0,K315&lt;K$25,J$24,K315&lt;K$26,J$25,K315&lt;K$27,J$26,K315&lt;K$28,J$27,K315&lt;K$29,J$28,K315&lt;K$30,J$29,K315&lt;K$31,J$30,K315&lt;K$32,J$31,K315&lt;K$33,J$32,K315&lt;K$34,J$33,K315&lt;K$35,J$34,K315&lt;K$36,J$35,K315&lt;K$37,J$36,K315&lt;K$38,J$37,K315&lt;K$39,J$38,K315&lt;K$40,J$39,K315&lt;K$41,J$40,K315&lt;K$42,J$41,K315&lt;K$43,J$42,K315&lt;K$44,J$43,K315&lt;K$45,J$44,K315&lt;K$46,J$45,K315&lt;K$47,J$46,K315&gt;=K$47,J$47)</f>
        <v/>
      </c>
      <c r="K315" s="38" t="n">
        <v>265</v>
      </c>
      <c r="L315" s="31">
        <f>K315/52</f>
        <v/>
      </c>
      <c r="M315" s="39">
        <f>J315/1000000*52</f>
        <v/>
      </c>
      <c r="N315" s="33">
        <f>M315/$P$4+($I$22/$P$4)</f>
        <v/>
      </c>
      <c r="U315">
        <f>F314</f>
        <v/>
      </c>
      <c r="V315">
        <f>H314</f>
        <v/>
      </c>
      <c r="W315">
        <f>N314</f>
        <v/>
      </c>
    </row>
    <row r="316" ht="15.75" customHeight="1" s="40">
      <c r="C316" s="36">
        <f>_xlfn.IFS(E316&lt;E$24,0,E316&lt;E$26,C$24,E316&lt;E$28,C$26,E316&lt;E$30,C$28,E316&lt;E$32,C$30,E316&lt;E$34,C$32,E316&gt;=E$34,C$34)</f>
        <v/>
      </c>
      <c r="D316" s="37">
        <f>_xlfn.IFS(E316&lt;E$24,0,E316&lt;E$25,D$24,E316&lt;E$26,D$25,E316&lt;E$27,D$26,E316&lt;E$28,D$27,E316&lt;E$29,D$28,E316&lt;E$30,D$29,E316&lt;E$31,D$30,E316&lt;E$32,D$31,E316&lt;E$33,D$32,E316&lt;E$34,D$33,E316&lt;E$35,D$34,E316&gt;=E$35,D$35)</f>
        <v/>
      </c>
      <c r="E316" s="38" t="n">
        <v>266</v>
      </c>
      <c r="F316" s="31">
        <f>E316/52</f>
        <v/>
      </c>
      <c r="G316" s="39">
        <f>D316/1000000*52</f>
        <v/>
      </c>
      <c r="H316" s="33">
        <f>G316/$P$4+($C$22/$P$4)</f>
        <v/>
      </c>
      <c r="I316" s="36">
        <f>_xlfn.IFS(K316&lt;K$24,0,K316&lt;K$26,I$24,K316&lt;K$28,I$26,K316&lt;K$30,I$28,K316&lt;K$32,I$30,K316&lt;K$34,I$32,K316&lt;K$36,I$34,K316&lt;K$38,I$36,K316&lt;K$40,I$38,K316&lt;K$42,I$40,K316&lt;K$44,I$42,K316&lt;K$46,I$44,K316&gt;=K$46,I$46)</f>
        <v/>
      </c>
      <c r="J316" s="37">
        <f>_xlfn.IFS(K316&lt;K$24,0,K316&lt;K$25,J$24,K316&lt;K$26,J$25,K316&lt;K$27,J$26,K316&lt;K$28,J$27,K316&lt;K$29,J$28,K316&lt;K$30,J$29,K316&lt;K$31,J$30,K316&lt;K$32,J$31,K316&lt;K$33,J$32,K316&lt;K$34,J$33,K316&lt;K$35,J$34,K316&lt;K$36,J$35,K316&lt;K$37,J$36,K316&lt;K$38,J$37,K316&lt;K$39,J$38,K316&lt;K$40,J$39,K316&lt;K$41,J$40,K316&lt;K$42,J$41,K316&lt;K$43,J$42,K316&lt;K$44,J$43,K316&lt;K$45,J$44,K316&lt;K$46,J$45,K316&lt;K$47,J$46,K316&gt;=K$47,J$47)</f>
        <v/>
      </c>
      <c r="K316" s="38" t="n">
        <v>266</v>
      </c>
      <c r="L316" s="31">
        <f>K316/52</f>
        <v/>
      </c>
      <c r="M316" s="39">
        <f>J316/1000000*52</f>
        <v/>
      </c>
      <c r="N316" s="33">
        <f>M316/$P$4+($I$22/$P$4)</f>
        <v/>
      </c>
      <c r="U316">
        <f>F315</f>
        <v/>
      </c>
      <c r="V316">
        <f>H315</f>
        <v/>
      </c>
      <c r="W316">
        <f>N315</f>
        <v/>
      </c>
    </row>
    <row r="317" ht="15.75" customHeight="1" s="40">
      <c r="C317" s="36">
        <f>_xlfn.IFS(E317&lt;E$24,0,E317&lt;E$26,C$24,E317&lt;E$28,C$26,E317&lt;E$30,C$28,E317&lt;E$32,C$30,E317&lt;E$34,C$32,E317&gt;=E$34,C$34)</f>
        <v/>
      </c>
      <c r="D317" s="37">
        <f>_xlfn.IFS(E317&lt;E$24,0,E317&lt;E$25,D$24,E317&lt;E$26,D$25,E317&lt;E$27,D$26,E317&lt;E$28,D$27,E317&lt;E$29,D$28,E317&lt;E$30,D$29,E317&lt;E$31,D$30,E317&lt;E$32,D$31,E317&lt;E$33,D$32,E317&lt;E$34,D$33,E317&lt;E$35,D$34,E317&gt;=E$35,D$35)</f>
        <v/>
      </c>
      <c r="E317" s="38" t="n">
        <v>267</v>
      </c>
      <c r="F317" s="31">
        <f>E317/52</f>
        <v/>
      </c>
      <c r="G317" s="39">
        <f>D317/1000000*52</f>
        <v/>
      </c>
      <c r="H317" s="33">
        <f>G317/$P$4+($C$22/$P$4)</f>
        <v/>
      </c>
      <c r="I317" s="36">
        <f>_xlfn.IFS(K317&lt;K$24,0,K317&lt;K$26,I$24,K317&lt;K$28,I$26,K317&lt;K$30,I$28,K317&lt;K$32,I$30,K317&lt;K$34,I$32,K317&lt;K$36,I$34,K317&lt;K$38,I$36,K317&lt;K$40,I$38,K317&lt;K$42,I$40,K317&lt;K$44,I$42,K317&lt;K$46,I$44,K317&gt;=K$46,I$46)</f>
        <v/>
      </c>
      <c r="J317" s="37">
        <f>_xlfn.IFS(K317&lt;K$24,0,K317&lt;K$25,J$24,K317&lt;K$26,J$25,K317&lt;K$27,J$26,K317&lt;K$28,J$27,K317&lt;K$29,J$28,K317&lt;K$30,J$29,K317&lt;K$31,J$30,K317&lt;K$32,J$31,K317&lt;K$33,J$32,K317&lt;K$34,J$33,K317&lt;K$35,J$34,K317&lt;K$36,J$35,K317&lt;K$37,J$36,K317&lt;K$38,J$37,K317&lt;K$39,J$38,K317&lt;K$40,J$39,K317&lt;K$41,J$40,K317&lt;K$42,J$41,K317&lt;K$43,J$42,K317&lt;K$44,J$43,K317&lt;K$45,J$44,K317&lt;K$46,J$45,K317&lt;K$47,J$46,K317&gt;=K$47,J$47)</f>
        <v/>
      </c>
      <c r="K317" s="38" t="n">
        <v>267</v>
      </c>
      <c r="L317" s="31">
        <f>K317/52</f>
        <v/>
      </c>
      <c r="M317" s="39">
        <f>J317/1000000*52</f>
        <v/>
      </c>
      <c r="N317" s="33">
        <f>M317/$P$4+($I$22/$P$4)</f>
        <v/>
      </c>
      <c r="U317">
        <f>F316</f>
        <v/>
      </c>
      <c r="V317">
        <f>H316</f>
        <v/>
      </c>
      <c r="W317">
        <f>N316</f>
        <v/>
      </c>
    </row>
    <row r="318" ht="15.75" customHeight="1" s="40">
      <c r="C318" s="36">
        <f>_xlfn.IFS(E318&lt;E$24,0,E318&lt;E$26,C$24,E318&lt;E$28,C$26,E318&lt;E$30,C$28,E318&lt;E$32,C$30,E318&lt;E$34,C$32,E318&gt;=E$34,C$34)</f>
        <v/>
      </c>
      <c r="D318" s="37">
        <f>_xlfn.IFS(E318&lt;E$24,0,E318&lt;E$25,D$24,E318&lt;E$26,D$25,E318&lt;E$27,D$26,E318&lt;E$28,D$27,E318&lt;E$29,D$28,E318&lt;E$30,D$29,E318&lt;E$31,D$30,E318&lt;E$32,D$31,E318&lt;E$33,D$32,E318&lt;E$34,D$33,E318&lt;E$35,D$34,E318&gt;=E$35,D$35)</f>
        <v/>
      </c>
      <c r="E318" s="38" t="n">
        <v>268</v>
      </c>
      <c r="F318" s="31">
        <f>E318/52</f>
        <v/>
      </c>
      <c r="G318" s="39">
        <f>D318/1000000*52</f>
        <v/>
      </c>
      <c r="H318" s="33">
        <f>G318/$P$4+($C$22/$P$4)</f>
        <v/>
      </c>
      <c r="I318" s="36">
        <f>_xlfn.IFS(K318&lt;K$24,0,K318&lt;K$26,I$24,K318&lt;K$28,I$26,K318&lt;K$30,I$28,K318&lt;K$32,I$30,K318&lt;K$34,I$32,K318&lt;K$36,I$34,K318&lt;K$38,I$36,K318&lt;K$40,I$38,K318&lt;K$42,I$40,K318&lt;K$44,I$42,K318&lt;K$46,I$44,K318&gt;=K$46,I$46)</f>
        <v/>
      </c>
      <c r="J318" s="37">
        <f>_xlfn.IFS(K318&lt;K$24,0,K318&lt;K$25,J$24,K318&lt;K$26,J$25,K318&lt;K$27,J$26,K318&lt;K$28,J$27,K318&lt;K$29,J$28,K318&lt;K$30,J$29,K318&lt;K$31,J$30,K318&lt;K$32,J$31,K318&lt;K$33,J$32,K318&lt;K$34,J$33,K318&lt;K$35,J$34,K318&lt;K$36,J$35,K318&lt;K$37,J$36,K318&lt;K$38,J$37,K318&lt;K$39,J$38,K318&lt;K$40,J$39,K318&lt;K$41,J$40,K318&lt;K$42,J$41,K318&lt;K$43,J$42,K318&lt;K$44,J$43,K318&lt;K$45,J$44,K318&lt;K$46,J$45,K318&lt;K$47,J$46,K318&gt;=K$47,J$47)</f>
        <v/>
      </c>
      <c r="K318" s="38" t="n">
        <v>268</v>
      </c>
      <c r="L318" s="31">
        <f>K318/52</f>
        <v/>
      </c>
      <c r="M318" s="39">
        <f>J318/1000000*52</f>
        <v/>
      </c>
      <c r="N318" s="33">
        <f>M318/$P$4+($I$22/$P$4)</f>
        <v/>
      </c>
      <c r="U318">
        <f>F317</f>
        <v/>
      </c>
      <c r="V318">
        <f>H317</f>
        <v/>
      </c>
      <c r="W318">
        <f>N317</f>
        <v/>
      </c>
    </row>
    <row r="319" ht="15.75" customHeight="1" s="40">
      <c r="C319" s="36">
        <f>_xlfn.IFS(E319&lt;E$24,0,E319&lt;E$26,C$24,E319&lt;E$28,C$26,E319&lt;E$30,C$28,E319&lt;E$32,C$30,E319&lt;E$34,C$32,E319&gt;=E$34,C$34)</f>
        <v/>
      </c>
      <c r="D319" s="37">
        <f>_xlfn.IFS(E319&lt;E$24,0,E319&lt;E$25,D$24,E319&lt;E$26,D$25,E319&lt;E$27,D$26,E319&lt;E$28,D$27,E319&lt;E$29,D$28,E319&lt;E$30,D$29,E319&lt;E$31,D$30,E319&lt;E$32,D$31,E319&lt;E$33,D$32,E319&lt;E$34,D$33,E319&lt;E$35,D$34,E319&gt;=E$35,D$35)</f>
        <v/>
      </c>
      <c r="E319" s="38" t="n">
        <v>269</v>
      </c>
      <c r="F319" s="31">
        <f>E319/52</f>
        <v/>
      </c>
      <c r="G319" s="39">
        <f>D319/1000000*52</f>
        <v/>
      </c>
      <c r="H319" s="33">
        <f>G319/$P$4+($C$22/$P$4)</f>
        <v/>
      </c>
      <c r="I319" s="36">
        <f>_xlfn.IFS(K319&lt;K$24,0,K319&lt;K$26,I$24,K319&lt;K$28,I$26,K319&lt;K$30,I$28,K319&lt;K$32,I$30,K319&lt;K$34,I$32,K319&lt;K$36,I$34,K319&lt;K$38,I$36,K319&lt;K$40,I$38,K319&lt;K$42,I$40,K319&lt;K$44,I$42,K319&lt;K$46,I$44,K319&gt;=K$46,I$46)</f>
        <v/>
      </c>
      <c r="J319" s="37">
        <f>_xlfn.IFS(K319&lt;K$24,0,K319&lt;K$25,J$24,K319&lt;K$26,J$25,K319&lt;K$27,J$26,K319&lt;K$28,J$27,K319&lt;K$29,J$28,K319&lt;K$30,J$29,K319&lt;K$31,J$30,K319&lt;K$32,J$31,K319&lt;K$33,J$32,K319&lt;K$34,J$33,K319&lt;K$35,J$34,K319&lt;K$36,J$35,K319&lt;K$37,J$36,K319&lt;K$38,J$37,K319&lt;K$39,J$38,K319&lt;K$40,J$39,K319&lt;K$41,J$40,K319&lt;K$42,J$41,K319&lt;K$43,J$42,K319&lt;K$44,J$43,K319&lt;K$45,J$44,K319&lt;K$46,J$45,K319&lt;K$47,J$46,K319&gt;=K$47,J$47)</f>
        <v/>
      </c>
      <c r="K319" s="38" t="n">
        <v>269</v>
      </c>
      <c r="L319" s="31">
        <f>K319/52</f>
        <v/>
      </c>
      <c r="M319" s="39">
        <f>J319/1000000*52</f>
        <v/>
      </c>
      <c r="N319" s="33">
        <f>M319/$P$4+($I$22/$P$4)</f>
        <v/>
      </c>
      <c r="U319">
        <f>F318</f>
        <v/>
      </c>
      <c r="V319">
        <f>H318</f>
        <v/>
      </c>
      <c r="W319">
        <f>N318</f>
        <v/>
      </c>
    </row>
    <row r="320" ht="15.75" customHeight="1" s="40">
      <c r="C320" s="36">
        <f>_xlfn.IFS(E320&lt;E$24,0,E320&lt;E$26,C$24,E320&lt;E$28,C$26,E320&lt;E$30,C$28,E320&lt;E$32,C$30,E320&lt;E$34,C$32,E320&gt;=E$34,C$34)</f>
        <v/>
      </c>
      <c r="D320" s="37">
        <f>_xlfn.IFS(E320&lt;E$24,0,E320&lt;E$25,D$24,E320&lt;E$26,D$25,E320&lt;E$27,D$26,E320&lt;E$28,D$27,E320&lt;E$29,D$28,E320&lt;E$30,D$29,E320&lt;E$31,D$30,E320&lt;E$32,D$31,E320&lt;E$33,D$32,E320&lt;E$34,D$33,E320&lt;E$35,D$34,E320&gt;=E$35,D$35)</f>
        <v/>
      </c>
      <c r="E320" s="38" t="n">
        <v>270</v>
      </c>
      <c r="F320" s="31">
        <f>E320/52</f>
        <v/>
      </c>
      <c r="G320" s="39">
        <f>D320/1000000*52</f>
        <v/>
      </c>
      <c r="H320" s="33">
        <f>G320/$P$4+($C$22/$P$4)</f>
        <v/>
      </c>
      <c r="I320" s="36">
        <f>_xlfn.IFS(K320&lt;K$24,0,K320&lt;K$26,I$24,K320&lt;K$28,I$26,K320&lt;K$30,I$28,K320&lt;K$32,I$30,K320&lt;K$34,I$32,K320&lt;K$36,I$34,K320&lt;K$38,I$36,K320&lt;K$40,I$38,K320&lt;K$42,I$40,K320&lt;K$44,I$42,K320&lt;K$46,I$44,K320&gt;=K$46,I$46)</f>
        <v/>
      </c>
      <c r="J320" s="37">
        <f>_xlfn.IFS(K320&lt;K$24,0,K320&lt;K$25,J$24,K320&lt;K$26,J$25,K320&lt;K$27,J$26,K320&lt;K$28,J$27,K320&lt;K$29,J$28,K320&lt;K$30,J$29,K320&lt;K$31,J$30,K320&lt;K$32,J$31,K320&lt;K$33,J$32,K320&lt;K$34,J$33,K320&lt;K$35,J$34,K320&lt;K$36,J$35,K320&lt;K$37,J$36,K320&lt;K$38,J$37,K320&lt;K$39,J$38,K320&lt;K$40,J$39,K320&lt;K$41,J$40,K320&lt;K$42,J$41,K320&lt;K$43,J$42,K320&lt;K$44,J$43,K320&lt;K$45,J$44,K320&lt;K$46,J$45,K320&lt;K$47,J$46,K320&gt;=K$47,J$47)</f>
        <v/>
      </c>
      <c r="K320" s="38" t="n">
        <v>270</v>
      </c>
      <c r="L320" s="31">
        <f>K320/52</f>
        <v/>
      </c>
      <c r="M320" s="39">
        <f>J320/1000000*52</f>
        <v/>
      </c>
      <c r="N320" s="33">
        <f>M320/$P$4+($I$22/$P$4)</f>
        <v/>
      </c>
      <c r="U320">
        <f>F319</f>
        <v/>
      </c>
      <c r="V320">
        <f>H319</f>
        <v/>
      </c>
      <c r="W320">
        <f>N319</f>
        <v/>
      </c>
    </row>
    <row r="321" ht="15.75" customHeight="1" s="40">
      <c r="C321" s="36">
        <f>_xlfn.IFS(E321&lt;E$24,0,E321&lt;E$26,C$24,E321&lt;E$28,C$26,E321&lt;E$30,C$28,E321&lt;E$32,C$30,E321&lt;E$34,C$32,E321&gt;=E$34,C$34)</f>
        <v/>
      </c>
      <c r="D321" s="37">
        <f>_xlfn.IFS(E321&lt;E$24,0,E321&lt;E$25,D$24,E321&lt;E$26,D$25,E321&lt;E$27,D$26,E321&lt;E$28,D$27,E321&lt;E$29,D$28,E321&lt;E$30,D$29,E321&lt;E$31,D$30,E321&lt;E$32,D$31,E321&lt;E$33,D$32,E321&lt;E$34,D$33,E321&lt;E$35,D$34,E321&gt;=E$35,D$35)</f>
        <v/>
      </c>
      <c r="E321" s="38" t="n">
        <v>271</v>
      </c>
      <c r="F321" s="31">
        <f>E321/52</f>
        <v/>
      </c>
      <c r="G321" s="39">
        <f>D321/1000000*52</f>
        <v/>
      </c>
      <c r="H321" s="33">
        <f>G321/$P$4+($C$22/$P$4)</f>
        <v/>
      </c>
      <c r="I321" s="36">
        <f>_xlfn.IFS(K321&lt;K$24,0,K321&lt;K$26,I$24,K321&lt;K$28,I$26,K321&lt;K$30,I$28,K321&lt;K$32,I$30,K321&lt;K$34,I$32,K321&lt;K$36,I$34,K321&lt;K$38,I$36,K321&lt;K$40,I$38,K321&lt;K$42,I$40,K321&lt;K$44,I$42,K321&lt;K$46,I$44,K321&gt;=K$46,I$46)</f>
        <v/>
      </c>
      <c r="J321" s="37">
        <f>_xlfn.IFS(K321&lt;K$24,0,K321&lt;K$25,J$24,K321&lt;K$26,J$25,K321&lt;K$27,J$26,K321&lt;K$28,J$27,K321&lt;K$29,J$28,K321&lt;K$30,J$29,K321&lt;K$31,J$30,K321&lt;K$32,J$31,K321&lt;K$33,J$32,K321&lt;K$34,J$33,K321&lt;K$35,J$34,K321&lt;K$36,J$35,K321&lt;K$37,J$36,K321&lt;K$38,J$37,K321&lt;K$39,J$38,K321&lt;K$40,J$39,K321&lt;K$41,J$40,K321&lt;K$42,J$41,K321&lt;K$43,J$42,K321&lt;K$44,J$43,K321&lt;K$45,J$44,K321&lt;K$46,J$45,K321&lt;K$47,J$46,K321&gt;=K$47,J$47)</f>
        <v/>
      </c>
      <c r="K321" s="38" t="n">
        <v>271</v>
      </c>
      <c r="L321" s="31">
        <f>K321/52</f>
        <v/>
      </c>
      <c r="M321" s="39">
        <f>J321/1000000*52</f>
        <v/>
      </c>
      <c r="N321" s="33">
        <f>M321/$P$4+($I$22/$P$4)</f>
        <v/>
      </c>
      <c r="U321">
        <f>F320</f>
        <v/>
      </c>
      <c r="V321">
        <f>H320</f>
        <v/>
      </c>
      <c r="W321">
        <f>N320</f>
        <v/>
      </c>
    </row>
    <row r="322" ht="15.75" customHeight="1" s="40">
      <c r="C322" s="36">
        <f>_xlfn.IFS(E322&lt;E$24,0,E322&lt;E$26,C$24,E322&lt;E$28,C$26,E322&lt;E$30,C$28,E322&lt;E$32,C$30,E322&lt;E$34,C$32,E322&gt;=E$34,C$34)</f>
        <v/>
      </c>
      <c r="D322" s="37">
        <f>_xlfn.IFS(E322&lt;E$24,0,E322&lt;E$25,D$24,E322&lt;E$26,D$25,E322&lt;E$27,D$26,E322&lt;E$28,D$27,E322&lt;E$29,D$28,E322&lt;E$30,D$29,E322&lt;E$31,D$30,E322&lt;E$32,D$31,E322&lt;E$33,D$32,E322&lt;E$34,D$33,E322&lt;E$35,D$34,E322&gt;=E$35,D$35)</f>
        <v/>
      </c>
      <c r="E322" s="38" t="n">
        <v>272</v>
      </c>
      <c r="F322" s="31">
        <f>E322/52</f>
        <v/>
      </c>
      <c r="G322" s="39">
        <f>D322/1000000*52</f>
        <v/>
      </c>
      <c r="H322" s="33">
        <f>G322/$P$4+($C$22/$P$4)</f>
        <v/>
      </c>
      <c r="I322" s="36">
        <f>_xlfn.IFS(K322&lt;K$24,0,K322&lt;K$26,I$24,K322&lt;K$28,I$26,K322&lt;K$30,I$28,K322&lt;K$32,I$30,K322&lt;K$34,I$32,K322&lt;K$36,I$34,K322&lt;K$38,I$36,K322&lt;K$40,I$38,K322&lt;K$42,I$40,K322&lt;K$44,I$42,K322&lt;K$46,I$44,K322&gt;=K$46,I$46)</f>
        <v/>
      </c>
      <c r="J322" s="37">
        <f>_xlfn.IFS(K322&lt;K$24,0,K322&lt;K$25,J$24,K322&lt;K$26,J$25,K322&lt;K$27,J$26,K322&lt;K$28,J$27,K322&lt;K$29,J$28,K322&lt;K$30,J$29,K322&lt;K$31,J$30,K322&lt;K$32,J$31,K322&lt;K$33,J$32,K322&lt;K$34,J$33,K322&lt;K$35,J$34,K322&lt;K$36,J$35,K322&lt;K$37,J$36,K322&lt;K$38,J$37,K322&lt;K$39,J$38,K322&lt;K$40,J$39,K322&lt;K$41,J$40,K322&lt;K$42,J$41,K322&lt;K$43,J$42,K322&lt;K$44,J$43,K322&lt;K$45,J$44,K322&lt;K$46,J$45,K322&lt;K$47,J$46,K322&gt;=K$47,J$47)</f>
        <v/>
      </c>
      <c r="K322" s="38" t="n">
        <v>272</v>
      </c>
      <c r="L322" s="31">
        <f>K322/52</f>
        <v/>
      </c>
      <c r="M322" s="39">
        <f>J322/1000000*52</f>
        <v/>
      </c>
      <c r="N322" s="33">
        <f>M322/$P$4+($I$22/$P$4)</f>
        <v/>
      </c>
      <c r="U322">
        <f>F321</f>
        <v/>
      </c>
      <c r="V322">
        <f>H321</f>
        <v/>
      </c>
      <c r="W322">
        <f>N321</f>
        <v/>
      </c>
    </row>
    <row r="323" ht="15.75" customHeight="1" s="40">
      <c r="C323" s="36">
        <f>_xlfn.IFS(E323&lt;E$24,0,E323&lt;E$26,C$24,E323&lt;E$28,C$26,E323&lt;E$30,C$28,E323&lt;E$32,C$30,E323&lt;E$34,C$32,E323&gt;=E$34,C$34)</f>
        <v/>
      </c>
      <c r="D323" s="37">
        <f>_xlfn.IFS(E323&lt;E$24,0,E323&lt;E$25,D$24,E323&lt;E$26,D$25,E323&lt;E$27,D$26,E323&lt;E$28,D$27,E323&lt;E$29,D$28,E323&lt;E$30,D$29,E323&lt;E$31,D$30,E323&lt;E$32,D$31,E323&lt;E$33,D$32,E323&lt;E$34,D$33,E323&lt;E$35,D$34,E323&gt;=E$35,D$35)</f>
        <v/>
      </c>
      <c r="E323" s="38" t="n">
        <v>273</v>
      </c>
      <c r="F323" s="31">
        <f>E323/52</f>
        <v/>
      </c>
      <c r="G323" s="39">
        <f>D323/1000000*52</f>
        <v/>
      </c>
      <c r="H323" s="33">
        <f>G323/$P$4+($C$22/$P$4)</f>
        <v/>
      </c>
      <c r="I323" s="36">
        <f>_xlfn.IFS(K323&lt;K$24,0,K323&lt;K$26,I$24,K323&lt;K$28,I$26,K323&lt;K$30,I$28,K323&lt;K$32,I$30,K323&lt;K$34,I$32,K323&lt;K$36,I$34,K323&lt;K$38,I$36,K323&lt;K$40,I$38,K323&lt;K$42,I$40,K323&lt;K$44,I$42,K323&lt;K$46,I$44,K323&gt;=K$46,I$46)</f>
        <v/>
      </c>
      <c r="J323" s="37">
        <f>_xlfn.IFS(K323&lt;K$24,0,K323&lt;K$25,J$24,K323&lt;K$26,J$25,K323&lt;K$27,J$26,K323&lt;K$28,J$27,K323&lt;K$29,J$28,K323&lt;K$30,J$29,K323&lt;K$31,J$30,K323&lt;K$32,J$31,K323&lt;K$33,J$32,K323&lt;K$34,J$33,K323&lt;K$35,J$34,K323&lt;K$36,J$35,K323&lt;K$37,J$36,K323&lt;K$38,J$37,K323&lt;K$39,J$38,K323&lt;K$40,J$39,K323&lt;K$41,J$40,K323&lt;K$42,J$41,K323&lt;K$43,J$42,K323&lt;K$44,J$43,K323&lt;K$45,J$44,K323&lt;K$46,J$45,K323&lt;K$47,J$46,K323&gt;=K$47,J$47)</f>
        <v/>
      </c>
      <c r="K323" s="38" t="n">
        <v>273</v>
      </c>
      <c r="L323" s="31">
        <f>K323/52</f>
        <v/>
      </c>
      <c r="M323" s="39">
        <f>J323/1000000*52</f>
        <v/>
      </c>
      <c r="N323" s="33">
        <f>M323/$P$4+($I$22/$P$4)</f>
        <v/>
      </c>
      <c r="U323">
        <f>F322</f>
        <v/>
      </c>
      <c r="V323">
        <f>H322</f>
        <v/>
      </c>
      <c r="W323">
        <f>N322</f>
        <v/>
      </c>
    </row>
    <row r="324" ht="15.75" customHeight="1" s="40">
      <c r="C324" s="36">
        <f>_xlfn.IFS(E324&lt;E$24,0,E324&lt;E$26,C$24,E324&lt;E$28,C$26,E324&lt;E$30,C$28,E324&lt;E$32,C$30,E324&lt;E$34,C$32,E324&gt;=E$34,C$34)</f>
        <v/>
      </c>
      <c r="D324" s="37">
        <f>_xlfn.IFS(E324&lt;E$24,0,E324&lt;E$25,D$24,E324&lt;E$26,D$25,E324&lt;E$27,D$26,E324&lt;E$28,D$27,E324&lt;E$29,D$28,E324&lt;E$30,D$29,E324&lt;E$31,D$30,E324&lt;E$32,D$31,E324&lt;E$33,D$32,E324&lt;E$34,D$33,E324&lt;E$35,D$34,E324&gt;=E$35,D$35)</f>
        <v/>
      </c>
      <c r="E324" s="38" t="n">
        <v>274</v>
      </c>
      <c r="F324" s="31">
        <f>E324/52</f>
        <v/>
      </c>
      <c r="G324" s="39">
        <f>D324/1000000*52</f>
        <v/>
      </c>
      <c r="H324" s="33">
        <f>G324/$P$4+($C$22/$P$4)</f>
        <v/>
      </c>
      <c r="I324" s="36">
        <f>_xlfn.IFS(K324&lt;K$24,0,K324&lt;K$26,I$24,K324&lt;K$28,I$26,K324&lt;K$30,I$28,K324&lt;K$32,I$30,K324&lt;K$34,I$32,K324&lt;K$36,I$34,K324&lt;K$38,I$36,K324&lt;K$40,I$38,K324&lt;K$42,I$40,K324&lt;K$44,I$42,K324&lt;K$46,I$44,K324&gt;=K$46,I$46)</f>
        <v/>
      </c>
      <c r="J324" s="37">
        <f>_xlfn.IFS(K324&lt;K$24,0,K324&lt;K$25,J$24,K324&lt;K$26,J$25,K324&lt;K$27,J$26,K324&lt;K$28,J$27,K324&lt;K$29,J$28,K324&lt;K$30,J$29,K324&lt;K$31,J$30,K324&lt;K$32,J$31,K324&lt;K$33,J$32,K324&lt;K$34,J$33,K324&lt;K$35,J$34,K324&lt;K$36,J$35,K324&lt;K$37,J$36,K324&lt;K$38,J$37,K324&lt;K$39,J$38,K324&lt;K$40,J$39,K324&lt;K$41,J$40,K324&lt;K$42,J$41,K324&lt;K$43,J$42,K324&lt;K$44,J$43,K324&lt;K$45,J$44,K324&lt;K$46,J$45,K324&lt;K$47,J$46,K324&gt;=K$47,J$47)</f>
        <v/>
      </c>
      <c r="K324" s="38" t="n">
        <v>274</v>
      </c>
      <c r="L324" s="31">
        <f>K324/52</f>
        <v/>
      </c>
      <c r="M324" s="39">
        <f>J324/1000000*52</f>
        <v/>
      </c>
      <c r="N324" s="33">
        <f>M324/$P$4+($I$22/$P$4)</f>
        <v/>
      </c>
      <c r="U324">
        <f>F323</f>
        <v/>
      </c>
      <c r="V324">
        <f>H323</f>
        <v/>
      </c>
      <c r="W324">
        <f>N323</f>
        <v/>
      </c>
    </row>
    <row r="325" ht="15.75" customHeight="1" s="40">
      <c r="C325" s="36">
        <f>_xlfn.IFS(E325&lt;E$24,0,E325&lt;E$26,C$24,E325&lt;E$28,C$26,E325&lt;E$30,C$28,E325&lt;E$32,C$30,E325&lt;E$34,C$32,E325&gt;=E$34,C$34)</f>
        <v/>
      </c>
      <c r="D325" s="37">
        <f>_xlfn.IFS(E325&lt;E$24,0,E325&lt;E$25,D$24,E325&lt;E$26,D$25,E325&lt;E$27,D$26,E325&lt;E$28,D$27,E325&lt;E$29,D$28,E325&lt;E$30,D$29,E325&lt;E$31,D$30,E325&lt;E$32,D$31,E325&lt;E$33,D$32,E325&lt;E$34,D$33,E325&lt;E$35,D$34,E325&gt;=E$35,D$35)</f>
        <v/>
      </c>
      <c r="E325" s="38" t="n">
        <v>275</v>
      </c>
      <c r="F325" s="31">
        <f>E325/52</f>
        <v/>
      </c>
      <c r="G325" s="39">
        <f>D325/1000000*52</f>
        <v/>
      </c>
      <c r="H325" s="33">
        <f>G325/$P$4+($C$22/$P$4)</f>
        <v/>
      </c>
      <c r="I325" s="36">
        <f>_xlfn.IFS(K325&lt;K$24,0,K325&lt;K$26,I$24,K325&lt;K$28,I$26,K325&lt;K$30,I$28,K325&lt;K$32,I$30,K325&lt;K$34,I$32,K325&lt;K$36,I$34,K325&lt;K$38,I$36,K325&lt;K$40,I$38,K325&lt;K$42,I$40,K325&lt;K$44,I$42,K325&lt;K$46,I$44,K325&gt;=K$46,I$46)</f>
        <v/>
      </c>
      <c r="J325" s="37">
        <f>_xlfn.IFS(K325&lt;K$24,0,K325&lt;K$25,J$24,K325&lt;K$26,J$25,K325&lt;K$27,J$26,K325&lt;K$28,J$27,K325&lt;K$29,J$28,K325&lt;K$30,J$29,K325&lt;K$31,J$30,K325&lt;K$32,J$31,K325&lt;K$33,J$32,K325&lt;K$34,J$33,K325&lt;K$35,J$34,K325&lt;K$36,J$35,K325&lt;K$37,J$36,K325&lt;K$38,J$37,K325&lt;K$39,J$38,K325&lt;K$40,J$39,K325&lt;K$41,J$40,K325&lt;K$42,J$41,K325&lt;K$43,J$42,K325&lt;K$44,J$43,K325&lt;K$45,J$44,K325&lt;K$46,J$45,K325&lt;K$47,J$46,K325&gt;=K$47,J$47)</f>
        <v/>
      </c>
      <c r="K325" s="38" t="n">
        <v>275</v>
      </c>
      <c r="L325" s="31">
        <f>K325/52</f>
        <v/>
      </c>
      <c r="M325" s="39">
        <f>J325/1000000*52</f>
        <v/>
      </c>
      <c r="N325" s="33">
        <f>M325/$P$4+($I$22/$P$4)</f>
        <v/>
      </c>
      <c r="U325">
        <f>F324</f>
        <v/>
      </c>
      <c r="V325">
        <f>H324</f>
        <v/>
      </c>
      <c r="W325">
        <f>N324</f>
        <v/>
      </c>
    </row>
    <row r="326" ht="15.75" customHeight="1" s="40">
      <c r="C326" s="36">
        <f>_xlfn.IFS(E326&lt;E$24,0,E326&lt;E$26,C$24,E326&lt;E$28,C$26,E326&lt;E$30,C$28,E326&lt;E$32,C$30,E326&lt;E$34,C$32,E326&gt;=E$34,C$34)</f>
        <v/>
      </c>
      <c r="D326" s="37">
        <f>_xlfn.IFS(E326&lt;E$24,0,E326&lt;E$25,D$24,E326&lt;E$26,D$25,E326&lt;E$27,D$26,E326&lt;E$28,D$27,E326&lt;E$29,D$28,E326&lt;E$30,D$29,E326&lt;E$31,D$30,E326&lt;E$32,D$31,E326&lt;E$33,D$32,E326&lt;E$34,D$33,E326&lt;E$35,D$34,E326&gt;=E$35,D$35)</f>
        <v/>
      </c>
      <c r="E326" s="38" t="n">
        <v>276</v>
      </c>
      <c r="F326" s="31">
        <f>E326/52</f>
        <v/>
      </c>
      <c r="G326" s="39">
        <f>D326/1000000*52</f>
        <v/>
      </c>
      <c r="H326" s="33">
        <f>G326/$P$4+($C$22/$P$4)</f>
        <v/>
      </c>
      <c r="I326" s="36">
        <f>_xlfn.IFS(K326&lt;K$24,0,K326&lt;K$26,I$24,K326&lt;K$28,I$26,K326&lt;K$30,I$28,K326&lt;K$32,I$30,K326&lt;K$34,I$32,K326&lt;K$36,I$34,K326&lt;K$38,I$36,K326&lt;K$40,I$38,K326&lt;K$42,I$40,K326&lt;K$44,I$42,K326&lt;K$46,I$44,K326&gt;=K$46,I$46)</f>
        <v/>
      </c>
      <c r="J326" s="37">
        <f>_xlfn.IFS(K326&lt;K$24,0,K326&lt;K$25,J$24,K326&lt;K$26,J$25,K326&lt;K$27,J$26,K326&lt;K$28,J$27,K326&lt;K$29,J$28,K326&lt;K$30,J$29,K326&lt;K$31,J$30,K326&lt;K$32,J$31,K326&lt;K$33,J$32,K326&lt;K$34,J$33,K326&lt;K$35,J$34,K326&lt;K$36,J$35,K326&lt;K$37,J$36,K326&lt;K$38,J$37,K326&lt;K$39,J$38,K326&lt;K$40,J$39,K326&lt;K$41,J$40,K326&lt;K$42,J$41,K326&lt;K$43,J$42,K326&lt;K$44,J$43,K326&lt;K$45,J$44,K326&lt;K$46,J$45,K326&lt;K$47,J$46,K326&gt;=K$47,J$47)</f>
        <v/>
      </c>
      <c r="K326" s="38" t="n">
        <v>276</v>
      </c>
      <c r="L326" s="31">
        <f>K326/52</f>
        <v/>
      </c>
      <c r="M326" s="39">
        <f>J326/1000000*52</f>
        <v/>
      </c>
      <c r="N326" s="33">
        <f>M326/$P$4+($I$22/$P$4)</f>
        <v/>
      </c>
      <c r="U326">
        <f>F325</f>
        <v/>
      </c>
      <c r="V326">
        <f>H325</f>
        <v/>
      </c>
      <c r="W326">
        <f>N325</f>
        <v/>
      </c>
    </row>
    <row r="327" ht="15.75" customHeight="1" s="40">
      <c r="C327" s="36">
        <f>_xlfn.IFS(E327&lt;E$24,0,E327&lt;E$26,C$24,E327&lt;E$28,C$26,E327&lt;E$30,C$28,E327&lt;E$32,C$30,E327&lt;E$34,C$32,E327&gt;=E$34,C$34)</f>
        <v/>
      </c>
      <c r="D327" s="37">
        <f>_xlfn.IFS(E327&lt;E$24,0,E327&lt;E$25,D$24,E327&lt;E$26,D$25,E327&lt;E$27,D$26,E327&lt;E$28,D$27,E327&lt;E$29,D$28,E327&lt;E$30,D$29,E327&lt;E$31,D$30,E327&lt;E$32,D$31,E327&lt;E$33,D$32,E327&lt;E$34,D$33,E327&lt;E$35,D$34,E327&gt;=E$35,D$35)</f>
        <v/>
      </c>
      <c r="E327" s="38" t="n">
        <v>277</v>
      </c>
      <c r="F327" s="31">
        <f>E327/52</f>
        <v/>
      </c>
      <c r="G327" s="39">
        <f>D327/1000000*52</f>
        <v/>
      </c>
      <c r="H327" s="33">
        <f>G327/$P$4+($C$22/$P$4)</f>
        <v/>
      </c>
      <c r="I327" s="36">
        <f>_xlfn.IFS(K327&lt;K$24,0,K327&lt;K$26,I$24,K327&lt;K$28,I$26,K327&lt;K$30,I$28,K327&lt;K$32,I$30,K327&lt;K$34,I$32,K327&lt;K$36,I$34,K327&lt;K$38,I$36,K327&lt;K$40,I$38,K327&lt;K$42,I$40,K327&lt;K$44,I$42,K327&lt;K$46,I$44,K327&gt;=K$46,I$46)</f>
        <v/>
      </c>
      <c r="J327" s="37">
        <f>_xlfn.IFS(K327&lt;K$24,0,K327&lt;K$25,J$24,K327&lt;K$26,J$25,K327&lt;K$27,J$26,K327&lt;K$28,J$27,K327&lt;K$29,J$28,K327&lt;K$30,J$29,K327&lt;K$31,J$30,K327&lt;K$32,J$31,K327&lt;K$33,J$32,K327&lt;K$34,J$33,K327&lt;K$35,J$34,K327&lt;K$36,J$35,K327&lt;K$37,J$36,K327&lt;K$38,J$37,K327&lt;K$39,J$38,K327&lt;K$40,J$39,K327&lt;K$41,J$40,K327&lt;K$42,J$41,K327&lt;K$43,J$42,K327&lt;K$44,J$43,K327&lt;K$45,J$44,K327&lt;K$46,J$45,K327&lt;K$47,J$46,K327&gt;=K$47,J$47)</f>
        <v/>
      </c>
      <c r="K327" s="38" t="n">
        <v>277</v>
      </c>
      <c r="L327" s="31">
        <f>K327/52</f>
        <v/>
      </c>
      <c r="M327" s="39">
        <f>J327/1000000*52</f>
        <v/>
      </c>
      <c r="N327" s="33">
        <f>M327/$P$4+($I$22/$P$4)</f>
        <v/>
      </c>
      <c r="U327">
        <f>F326</f>
        <v/>
      </c>
      <c r="V327">
        <f>H326</f>
        <v/>
      </c>
      <c r="W327">
        <f>N326</f>
        <v/>
      </c>
    </row>
    <row r="328" ht="15.75" customHeight="1" s="40">
      <c r="C328" s="36">
        <f>_xlfn.IFS(E328&lt;E$24,0,E328&lt;E$26,C$24,E328&lt;E$28,C$26,E328&lt;E$30,C$28,E328&lt;E$32,C$30,E328&lt;E$34,C$32,E328&gt;=E$34,C$34)</f>
        <v/>
      </c>
      <c r="D328" s="37">
        <f>_xlfn.IFS(E328&lt;E$24,0,E328&lt;E$25,D$24,E328&lt;E$26,D$25,E328&lt;E$27,D$26,E328&lt;E$28,D$27,E328&lt;E$29,D$28,E328&lt;E$30,D$29,E328&lt;E$31,D$30,E328&lt;E$32,D$31,E328&lt;E$33,D$32,E328&lt;E$34,D$33,E328&lt;E$35,D$34,E328&gt;=E$35,D$35)</f>
        <v/>
      </c>
      <c r="E328" s="38" t="n">
        <v>278</v>
      </c>
      <c r="F328" s="31">
        <f>E328/52</f>
        <v/>
      </c>
      <c r="G328" s="39">
        <f>D328/1000000*52</f>
        <v/>
      </c>
      <c r="H328" s="33">
        <f>G328/$P$4+($C$22/$P$4)</f>
        <v/>
      </c>
      <c r="I328" s="36">
        <f>_xlfn.IFS(K328&lt;K$24,0,K328&lt;K$26,I$24,K328&lt;K$28,I$26,K328&lt;K$30,I$28,K328&lt;K$32,I$30,K328&lt;K$34,I$32,K328&lt;K$36,I$34,K328&lt;K$38,I$36,K328&lt;K$40,I$38,K328&lt;K$42,I$40,K328&lt;K$44,I$42,K328&lt;K$46,I$44,K328&gt;=K$46,I$46)</f>
        <v/>
      </c>
      <c r="J328" s="37">
        <f>_xlfn.IFS(K328&lt;K$24,0,K328&lt;K$25,J$24,K328&lt;K$26,J$25,K328&lt;K$27,J$26,K328&lt;K$28,J$27,K328&lt;K$29,J$28,K328&lt;K$30,J$29,K328&lt;K$31,J$30,K328&lt;K$32,J$31,K328&lt;K$33,J$32,K328&lt;K$34,J$33,K328&lt;K$35,J$34,K328&lt;K$36,J$35,K328&lt;K$37,J$36,K328&lt;K$38,J$37,K328&lt;K$39,J$38,K328&lt;K$40,J$39,K328&lt;K$41,J$40,K328&lt;K$42,J$41,K328&lt;K$43,J$42,K328&lt;K$44,J$43,K328&lt;K$45,J$44,K328&lt;K$46,J$45,K328&lt;K$47,J$46,K328&gt;=K$47,J$47)</f>
        <v/>
      </c>
      <c r="K328" s="38" t="n">
        <v>278</v>
      </c>
      <c r="L328" s="31">
        <f>K328/52</f>
        <v/>
      </c>
      <c r="M328" s="39">
        <f>J328/1000000*52</f>
        <v/>
      </c>
      <c r="N328" s="33">
        <f>M328/$P$4+($I$22/$P$4)</f>
        <v/>
      </c>
      <c r="U328">
        <f>F327</f>
        <v/>
      </c>
      <c r="V328">
        <f>H327</f>
        <v/>
      </c>
      <c r="W328">
        <f>N327</f>
        <v/>
      </c>
    </row>
    <row r="329" ht="15.75" customHeight="1" s="40">
      <c r="C329" s="36">
        <f>_xlfn.IFS(E329&lt;E$24,0,E329&lt;E$26,C$24,E329&lt;E$28,C$26,E329&lt;E$30,C$28,E329&lt;E$32,C$30,E329&lt;E$34,C$32,E329&gt;=E$34,C$34)</f>
        <v/>
      </c>
      <c r="D329" s="37">
        <f>_xlfn.IFS(E329&lt;E$24,0,E329&lt;E$25,D$24,E329&lt;E$26,D$25,E329&lt;E$27,D$26,E329&lt;E$28,D$27,E329&lt;E$29,D$28,E329&lt;E$30,D$29,E329&lt;E$31,D$30,E329&lt;E$32,D$31,E329&lt;E$33,D$32,E329&lt;E$34,D$33,E329&lt;E$35,D$34,E329&gt;=E$35,D$35)</f>
        <v/>
      </c>
      <c r="E329" s="38" t="n">
        <v>279</v>
      </c>
      <c r="F329" s="31">
        <f>E329/52</f>
        <v/>
      </c>
      <c r="G329" s="39">
        <f>D329/1000000*52</f>
        <v/>
      </c>
      <c r="H329" s="33">
        <f>G329/$P$4+($C$22/$P$4)</f>
        <v/>
      </c>
      <c r="I329" s="36">
        <f>_xlfn.IFS(K329&lt;K$24,0,K329&lt;K$26,I$24,K329&lt;K$28,I$26,K329&lt;K$30,I$28,K329&lt;K$32,I$30,K329&lt;K$34,I$32,K329&lt;K$36,I$34,K329&lt;K$38,I$36,K329&lt;K$40,I$38,K329&lt;K$42,I$40,K329&lt;K$44,I$42,K329&lt;K$46,I$44,K329&gt;=K$46,I$46)</f>
        <v/>
      </c>
      <c r="J329" s="37">
        <f>_xlfn.IFS(K329&lt;K$24,0,K329&lt;K$25,J$24,K329&lt;K$26,J$25,K329&lt;K$27,J$26,K329&lt;K$28,J$27,K329&lt;K$29,J$28,K329&lt;K$30,J$29,K329&lt;K$31,J$30,K329&lt;K$32,J$31,K329&lt;K$33,J$32,K329&lt;K$34,J$33,K329&lt;K$35,J$34,K329&lt;K$36,J$35,K329&lt;K$37,J$36,K329&lt;K$38,J$37,K329&lt;K$39,J$38,K329&lt;K$40,J$39,K329&lt;K$41,J$40,K329&lt;K$42,J$41,K329&lt;K$43,J$42,K329&lt;K$44,J$43,K329&lt;K$45,J$44,K329&lt;K$46,J$45,K329&lt;K$47,J$46,K329&gt;=K$47,J$47)</f>
        <v/>
      </c>
      <c r="K329" s="38" t="n">
        <v>279</v>
      </c>
      <c r="L329" s="31">
        <f>K329/52</f>
        <v/>
      </c>
      <c r="M329" s="39">
        <f>J329/1000000*52</f>
        <v/>
      </c>
      <c r="N329" s="33">
        <f>M329/$P$4+($I$22/$P$4)</f>
        <v/>
      </c>
      <c r="U329">
        <f>F328</f>
        <v/>
      </c>
      <c r="V329">
        <f>H328</f>
        <v/>
      </c>
      <c r="W329">
        <f>N328</f>
        <v/>
      </c>
    </row>
    <row r="330" ht="15.75" customHeight="1" s="40">
      <c r="C330" s="36">
        <f>_xlfn.IFS(E330&lt;E$24,0,E330&lt;E$26,C$24,E330&lt;E$28,C$26,E330&lt;E$30,C$28,E330&lt;E$32,C$30,E330&lt;E$34,C$32,E330&gt;=E$34,C$34)</f>
        <v/>
      </c>
      <c r="D330" s="37">
        <f>_xlfn.IFS(E330&lt;E$24,0,E330&lt;E$25,D$24,E330&lt;E$26,D$25,E330&lt;E$27,D$26,E330&lt;E$28,D$27,E330&lt;E$29,D$28,E330&lt;E$30,D$29,E330&lt;E$31,D$30,E330&lt;E$32,D$31,E330&lt;E$33,D$32,E330&lt;E$34,D$33,E330&lt;E$35,D$34,E330&gt;=E$35,D$35)</f>
        <v/>
      </c>
      <c r="E330" s="38" t="n">
        <v>280</v>
      </c>
      <c r="F330" s="31">
        <f>E330/52</f>
        <v/>
      </c>
      <c r="G330" s="39">
        <f>D330/1000000*52</f>
        <v/>
      </c>
      <c r="H330" s="33">
        <f>G330/$P$4+($C$22/$P$4)</f>
        <v/>
      </c>
      <c r="I330" s="36">
        <f>_xlfn.IFS(K330&lt;K$24,0,K330&lt;K$26,I$24,K330&lt;K$28,I$26,K330&lt;K$30,I$28,K330&lt;K$32,I$30,K330&lt;K$34,I$32,K330&lt;K$36,I$34,K330&lt;K$38,I$36,K330&lt;K$40,I$38,K330&lt;K$42,I$40,K330&lt;K$44,I$42,K330&lt;K$46,I$44,K330&gt;=K$46,I$46)</f>
        <v/>
      </c>
      <c r="J330" s="37">
        <f>_xlfn.IFS(K330&lt;K$24,0,K330&lt;K$25,J$24,K330&lt;K$26,J$25,K330&lt;K$27,J$26,K330&lt;K$28,J$27,K330&lt;K$29,J$28,K330&lt;K$30,J$29,K330&lt;K$31,J$30,K330&lt;K$32,J$31,K330&lt;K$33,J$32,K330&lt;K$34,J$33,K330&lt;K$35,J$34,K330&lt;K$36,J$35,K330&lt;K$37,J$36,K330&lt;K$38,J$37,K330&lt;K$39,J$38,K330&lt;K$40,J$39,K330&lt;K$41,J$40,K330&lt;K$42,J$41,K330&lt;K$43,J$42,K330&lt;K$44,J$43,K330&lt;K$45,J$44,K330&lt;K$46,J$45,K330&lt;K$47,J$46,K330&gt;=K$47,J$47)</f>
        <v/>
      </c>
      <c r="K330" s="38" t="n">
        <v>280</v>
      </c>
      <c r="L330" s="31">
        <f>K330/52</f>
        <v/>
      </c>
      <c r="M330" s="39">
        <f>J330/1000000*52</f>
        <v/>
      </c>
      <c r="N330" s="33">
        <f>M330/$P$4+($I$22/$P$4)</f>
        <v/>
      </c>
      <c r="U330">
        <f>F329</f>
        <v/>
      </c>
      <c r="V330">
        <f>H329</f>
        <v/>
      </c>
      <c r="W330">
        <f>N329</f>
        <v/>
      </c>
    </row>
    <row r="331" ht="15.75" customHeight="1" s="40">
      <c r="C331" s="36">
        <f>_xlfn.IFS(E331&lt;E$24,0,E331&lt;E$26,C$24,E331&lt;E$28,C$26,E331&lt;E$30,C$28,E331&lt;E$32,C$30,E331&lt;E$34,C$32,E331&gt;=E$34,C$34)</f>
        <v/>
      </c>
      <c r="D331" s="37">
        <f>_xlfn.IFS(E331&lt;E$24,0,E331&lt;E$25,D$24,E331&lt;E$26,D$25,E331&lt;E$27,D$26,E331&lt;E$28,D$27,E331&lt;E$29,D$28,E331&lt;E$30,D$29,E331&lt;E$31,D$30,E331&lt;E$32,D$31,E331&lt;E$33,D$32,E331&lt;E$34,D$33,E331&lt;E$35,D$34,E331&gt;=E$35,D$35)</f>
        <v/>
      </c>
      <c r="E331" s="38" t="n">
        <v>281</v>
      </c>
      <c r="F331" s="31">
        <f>E331/52</f>
        <v/>
      </c>
      <c r="G331" s="39">
        <f>D331/1000000*52</f>
        <v/>
      </c>
      <c r="H331" s="33">
        <f>G331/$P$4+($C$22/$P$4)</f>
        <v/>
      </c>
      <c r="I331" s="36">
        <f>_xlfn.IFS(K331&lt;K$24,0,K331&lt;K$26,I$24,K331&lt;K$28,I$26,K331&lt;K$30,I$28,K331&lt;K$32,I$30,K331&lt;K$34,I$32,K331&lt;K$36,I$34,K331&lt;K$38,I$36,K331&lt;K$40,I$38,K331&lt;K$42,I$40,K331&lt;K$44,I$42,K331&lt;K$46,I$44,K331&gt;=K$46,I$46)</f>
        <v/>
      </c>
      <c r="J331" s="37">
        <f>_xlfn.IFS(K331&lt;K$24,0,K331&lt;K$25,J$24,K331&lt;K$26,J$25,K331&lt;K$27,J$26,K331&lt;K$28,J$27,K331&lt;K$29,J$28,K331&lt;K$30,J$29,K331&lt;K$31,J$30,K331&lt;K$32,J$31,K331&lt;K$33,J$32,K331&lt;K$34,J$33,K331&lt;K$35,J$34,K331&lt;K$36,J$35,K331&lt;K$37,J$36,K331&lt;K$38,J$37,K331&lt;K$39,J$38,K331&lt;K$40,J$39,K331&lt;K$41,J$40,K331&lt;K$42,J$41,K331&lt;K$43,J$42,K331&lt;K$44,J$43,K331&lt;K$45,J$44,K331&lt;K$46,J$45,K331&lt;K$47,J$46,K331&gt;=K$47,J$47)</f>
        <v/>
      </c>
      <c r="K331" s="38" t="n">
        <v>281</v>
      </c>
      <c r="L331" s="31">
        <f>K331/52</f>
        <v/>
      </c>
      <c r="M331" s="39">
        <f>J331/1000000*52</f>
        <v/>
      </c>
      <c r="N331" s="33">
        <f>M331/$P$4+($I$22/$P$4)</f>
        <v/>
      </c>
      <c r="U331">
        <f>F330</f>
        <v/>
      </c>
      <c r="V331">
        <f>H330</f>
        <v/>
      </c>
      <c r="W331">
        <f>N330</f>
        <v/>
      </c>
    </row>
    <row r="332" ht="15.75" customHeight="1" s="40">
      <c r="C332" s="36">
        <f>_xlfn.IFS(E332&lt;E$24,0,E332&lt;E$26,C$24,E332&lt;E$28,C$26,E332&lt;E$30,C$28,E332&lt;E$32,C$30,E332&lt;E$34,C$32,E332&gt;=E$34,C$34)</f>
        <v/>
      </c>
      <c r="D332" s="37">
        <f>_xlfn.IFS(E332&lt;E$24,0,E332&lt;E$25,D$24,E332&lt;E$26,D$25,E332&lt;E$27,D$26,E332&lt;E$28,D$27,E332&lt;E$29,D$28,E332&lt;E$30,D$29,E332&lt;E$31,D$30,E332&lt;E$32,D$31,E332&lt;E$33,D$32,E332&lt;E$34,D$33,E332&lt;E$35,D$34,E332&gt;=E$35,D$35)</f>
        <v/>
      </c>
      <c r="E332" s="38" t="n">
        <v>282</v>
      </c>
      <c r="F332" s="31">
        <f>E332/52</f>
        <v/>
      </c>
      <c r="G332" s="39">
        <f>D332/1000000*52</f>
        <v/>
      </c>
      <c r="H332" s="33">
        <f>G332/$P$4+($C$22/$P$4)</f>
        <v/>
      </c>
      <c r="I332" s="36">
        <f>_xlfn.IFS(K332&lt;K$24,0,K332&lt;K$26,I$24,K332&lt;K$28,I$26,K332&lt;K$30,I$28,K332&lt;K$32,I$30,K332&lt;K$34,I$32,K332&lt;K$36,I$34,K332&lt;K$38,I$36,K332&lt;K$40,I$38,K332&lt;K$42,I$40,K332&lt;K$44,I$42,K332&lt;K$46,I$44,K332&gt;=K$46,I$46)</f>
        <v/>
      </c>
      <c r="J332" s="37">
        <f>_xlfn.IFS(K332&lt;K$24,0,K332&lt;K$25,J$24,K332&lt;K$26,J$25,K332&lt;K$27,J$26,K332&lt;K$28,J$27,K332&lt;K$29,J$28,K332&lt;K$30,J$29,K332&lt;K$31,J$30,K332&lt;K$32,J$31,K332&lt;K$33,J$32,K332&lt;K$34,J$33,K332&lt;K$35,J$34,K332&lt;K$36,J$35,K332&lt;K$37,J$36,K332&lt;K$38,J$37,K332&lt;K$39,J$38,K332&lt;K$40,J$39,K332&lt;K$41,J$40,K332&lt;K$42,J$41,K332&lt;K$43,J$42,K332&lt;K$44,J$43,K332&lt;K$45,J$44,K332&lt;K$46,J$45,K332&lt;K$47,J$46,K332&gt;=K$47,J$47)</f>
        <v/>
      </c>
      <c r="K332" s="38" t="n">
        <v>282</v>
      </c>
      <c r="L332" s="31">
        <f>K332/52</f>
        <v/>
      </c>
      <c r="M332" s="39">
        <f>J332/1000000*52</f>
        <v/>
      </c>
      <c r="N332" s="33">
        <f>M332/$P$4+($I$22/$P$4)</f>
        <v/>
      </c>
      <c r="U332">
        <f>F331</f>
        <v/>
      </c>
      <c r="V332">
        <f>H331</f>
        <v/>
      </c>
      <c r="W332">
        <f>N331</f>
        <v/>
      </c>
    </row>
    <row r="333" ht="15.75" customHeight="1" s="40">
      <c r="C333" s="36">
        <f>_xlfn.IFS(E333&lt;E$24,0,E333&lt;E$26,C$24,E333&lt;E$28,C$26,E333&lt;E$30,C$28,E333&lt;E$32,C$30,E333&lt;E$34,C$32,E333&gt;=E$34,C$34)</f>
        <v/>
      </c>
      <c r="D333" s="37">
        <f>_xlfn.IFS(E333&lt;E$24,0,E333&lt;E$25,D$24,E333&lt;E$26,D$25,E333&lt;E$27,D$26,E333&lt;E$28,D$27,E333&lt;E$29,D$28,E333&lt;E$30,D$29,E333&lt;E$31,D$30,E333&lt;E$32,D$31,E333&lt;E$33,D$32,E333&lt;E$34,D$33,E333&lt;E$35,D$34,E333&gt;=E$35,D$35)</f>
        <v/>
      </c>
      <c r="E333" s="38" t="n">
        <v>283</v>
      </c>
      <c r="F333" s="31">
        <f>E333/52</f>
        <v/>
      </c>
      <c r="G333" s="39">
        <f>D333/1000000*52</f>
        <v/>
      </c>
      <c r="H333" s="33">
        <f>G333/$P$4+($C$22/$P$4)</f>
        <v/>
      </c>
      <c r="I333" s="36">
        <f>_xlfn.IFS(K333&lt;K$24,0,K333&lt;K$26,I$24,K333&lt;K$28,I$26,K333&lt;K$30,I$28,K333&lt;K$32,I$30,K333&lt;K$34,I$32,K333&lt;K$36,I$34,K333&lt;K$38,I$36,K333&lt;K$40,I$38,K333&lt;K$42,I$40,K333&lt;K$44,I$42,K333&lt;K$46,I$44,K333&gt;=K$46,I$46)</f>
        <v/>
      </c>
      <c r="J333" s="37">
        <f>_xlfn.IFS(K333&lt;K$24,0,K333&lt;K$25,J$24,K333&lt;K$26,J$25,K333&lt;K$27,J$26,K333&lt;K$28,J$27,K333&lt;K$29,J$28,K333&lt;K$30,J$29,K333&lt;K$31,J$30,K333&lt;K$32,J$31,K333&lt;K$33,J$32,K333&lt;K$34,J$33,K333&lt;K$35,J$34,K333&lt;K$36,J$35,K333&lt;K$37,J$36,K333&lt;K$38,J$37,K333&lt;K$39,J$38,K333&lt;K$40,J$39,K333&lt;K$41,J$40,K333&lt;K$42,J$41,K333&lt;K$43,J$42,K333&lt;K$44,J$43,K333&lt;K$45,J$44,K333&lt;K$46,J$45,K333&lt;K$47,J$46,K333&gt;=K$47,J$47)</f>
        <v/>
      </c>
      <c r="K333" s="38" t="n">
        <v>283</v>
      </c>
      <c r="L333" s="31">
        <f>K333/52</f>
        <v/>
      </c>
      <c r="M333" s="39">
        <f>J333/1000000*52</f>
        <v/>
      </c>
      <c r="N333" s="33">
        <f>M333/$P$4+($I$22/$P$4)</f>
        <v/>
      </c>
      <c r="U333">
        <f>F332</f>
        <v/>
      </c>
      <c r="V333">
        <f>H332</f>
        <v/>
      </c>
      <c r="W333">
        <f>N332</f>
        <v/>
      </c>
    </row>
    <row r="334" ht="15.75" customHeight="1" s="40">
      <c r="C334" s="36">
        <f>_xlfn.IFS(E334&lt;E$24,0,E334&lt;E$26,C$24,E334&lt;E$28,C$26,E334&lt;E$30,C$28,E334&lt;E$32,C$30,E334&lt;E$34,C$32,E334&gt;=E$34,C$34)</f>
        <v/>
      </c>
      <c r="D334" s="37">
        <f>_xlfn.IFS(E334&lt;E$24,0,E334&lt;E$25,D$24,E334&lt;E$26,D$25,E334&lt;E$27,D$26,E334&lt;E$28,D$27,E334&lt;E$29,D$28,E334&lt;E$30,D$29,E334&lt;E$31,D$30,E334&lt;E$32,D$31,E334&lt;E$33,D$32,E334&lt;E$34,D$33,E334&lt;E$35,D$34,E334&gt;=E$35,D$35)</f>
        <v/>
      </c>
      <c r="E334" s="38" t="n">
        <v>284</v>
      </c>
      <c r="F334" s="31">
        <f>E334/52</f>
        <v/>
      </c>
      <c r="G334" s="39">
        <f>D334/1000000*52</f>
        <v/>
      </c>
      <c r="H334" s="33">
        <f>G334/$P$4+($C$22/$P$4)</f>
        <v/>
      </c>
      <c r="I334" s="36">
        <f>_xlfn.IFS(K334&lt;K$24,0,K334&lt;K$26,I$24,K334&lt;K$28,I$26,K334&lt;K$30,I$28,K334&lt;K$32,I$30,K334&lt;K$34,I$32,K334&lt;K$36,I$34,K334&lt;K$38,I$36,K334&lt;K$40,I$38,K334&lt;K$42,I$40,K334&lt;K$44,I$42,K334&lt;K$46,I$44,K334&gt;=K$46,I$46)</f>
        <v/>
      </c>
      <c r="J334" s="37">
        <f>_xlfn.IFS(K334&lt;K$24,0,K334&lt;K$25,J$24,K334&lt;K$26,J$25,K334&lt;K$27,J$26,K334&lt;K$28,J$27,K334&lt;K$29,J$28,K334&lt;K$30,J$29,K334&lt;K$31,J$30,K334&lt;K$32,J$31,K334&lt;K$33,J$32,K334&lt;K$34,J$33,K334&lt;K$35,J$34,K334&lt;K$36,J$35,K334&lt;K$37,J$36,K334&lt;K$38,J$37,K334&lt;K$39,J$38,K334&lt;K$40,J$39,K334&lt;K$41,J$40,K334&lt;K$42,J$41,K334&lt;K$43,J$42,K334&lt;K$44,J$43,K334&lt;K$45,J$44,K334&lt;K$46,J$45,K334&lt;K$47,J$46,K334&gt;=K$47,J$47)</f>
        <v/>
      </c>
      <c r="K334" s="38" t="n">
        <v>284</v>
      </c>
      <c r="L334" s="31">
        <f>K334/52</f>
        <v/>
      </c>
      <c r="M334" s="39">
        <f>J334/1000000*52</f>
        <v/>
      </c>
      <c r="N334" s="33">
        <f>M334/$P$4+($I$22/$P$4)</f>
        <v/>
      </c>
      <c r="U334">
        <f>F333</f>
        <v/>
      </c>
      <c r="V334">
        <f>H333</f>
        <v/>
      </c>
      <c r="W334">
        <f>N333</f>
        <v/>
      </c>
    </row>
    <row r="335" ht="15.75" customHeight="1" s="40">
      <c r="C335" s="36">
        <f>_xlfn.IFS(E335&lt;E$24,0,E335&lt;E$26,C$24,E335&lt;E$28,C$26,E335&lt;E$30,C$28,E335&lt;E$32,C$30,E335&lt;E$34,C$32,E335&gt;=E$34,C$34)</f>
        <v/>
      </c>
      <c r="D335" s="37">
        <f>_xlfn.IFS(E335&lt;E$24,0,E335&lt;E$25,D$24,E335&lt;E$26,D$25,E335&lt;E$27,D$26,E335&lt;E$28,D$27,E335&lt;E$29,D$28,E335&lt;E$30,D$29,E335&lt;E$31,D$30,E335&lt;E$32,D$31,E335&lt;E$33,D$32,E335&lt;E$34,D$33,E335&lt;E$35,D$34,E335&gt;=E$35,D$35)</f>
        <v/>
      </c>
      <c r="E335" s="38" t="n">
        <v>285</v>
      </c>
      <c r="F335" s="31">
        <f>E335/52</f>
        <v/>
      </c>
      <c r="G335" s="39">
        <f>D335/1000000*52</f>
        <v/>
      </c>
      <c r="H335" s="33">
        <f>G335/$P$4+($C$22/$P$4)</f>
        <v/>
      </c>
      <c r="I335" s="36">
        <f>_xlfn.IFS(K335&lt;K$24,0,K335&lt;K$26,I$24,K335&lt;K$28,I$26,K335&lt;K$30,I$28,K335&lt;K$32,I$30,K335&lt;K$34,I$32,K335&lt;K$36,I$34,K335&lt;K$38,I$36,K335&lt;K$40,I$38,K335&lt;K$42,I$40,K335&lt;K$44,I$42,K335&lt;K$46,I$44,K335&gt;=K$46,I$46)</f>
        <v/>
      </c>
      <c r="J335" s="37">
        <f>_xlfn.IFS(K335&lt;K$24,0,K335&lt;K$25,J$24,K335&lt;K$26,J$25,K335&lt;K$27,J$26,K335&lt;K$28,J$27,K335&lt;K$29,J$28,K335&lt;K$30,J$29,K335&lt;K$31,J$30,K335&lt;K$32,J$31,K335&lt;K$33,J$32,K335&lt;K$34,J$33,K335&lt;K$35,J$34,K335&lt;K$36,J$35,K335&lt;K$37,J$36,K335&lt;K$38,J$37,K335&lt;K$39,J$38,K335&lt;K$40,J$39,K335&lt;K$41,J$40,K335&lt;K$42,J$41,K335&lt;K$43,J$42,K335&lt;K$44,J$43,K335&lt;K$45,J$44,K335&lt;K$46,J$45,K335&lt;K$47,J$46,K335&gt;=K$47,J$47)</f>
        <v/>
      </c>
      <c r="K335" s="38" t="n">
        <v>285</v>
      </c>
      <c r="L335" s="31">
        <f>K335/52</f>
        <v/>
      </c>
      <c r="M335" s="39">
        <f>J335/1000000*52</f>
        <v/>
      </c>
      <c r="N335" s="33">
        <f>M335/$P$4+($I$22/$P$4)</f>
        <v/>
      </c>
      <c r="U335">
        <f>F334</f>
        <v/>
      </c>
      <c r="V335">
        <f>H334</f>
        <v/>
      </c>
      <c r="W335">
        <f>N334</f>
        <v/>
      </c>
    </row>
    <row r="336" ht="15.75" customHeight="1" s="40">
      <c r="C336" s="36">
        <f>_xlfn.IFS(E336&lt;E$24,0,E336&lt;E$26,C$24,E336&lt;E$28,C$26,E336&lt;E$30,C$28,E336&lt;E$32,C$30,E336&lt;E$34,C$32,E336&gt;=E$34,C$34)</f>
        <v/>
      </c>
      <c r="D336" s="37">
        <f>_xlfn.IFS(E336&lt;E$24,0,E336&lt;E$25,D$24,E336&lt;E$26,D$25,E336&lt;E$27,D$26,E336&lt;E$28,D$27,E336&lt;E$29,D$28,E336&lt;E$30,D$29,E336&lt;E$31,D$30,E336&lt;E$32,D$31,E336&lt;E$33,D$32,E336&lt;E$34,D$33,E336&lt;E$35,D$34,E336&gt;=E$35,D$35)</f>
        <v/>
      </c>
      <c r="E336" s="38" t="n">
        <v>286</v>
      </c>
      <c r="F336" s="31">
        <f>E336/52</f>
        <v/>
      </c>
      <c r="G336" s="39">
        <f>D336/1000000*52</f>
        <v/>
      </c>
      <c r="H336" s="33">
        <f>G336/$P$4+($C$22/$P$4)</f>
        <v/>
      </c>
      <c r="I336" s="36">
        <f>_xlfn.IFS(K336&lt;K$24,0,K336&lt;K$26,I$24,K336&lt;K$28,I$26,K336&lt;K$30,I$28,K336&lt;K$32,I$30,K336&lt;K$34,I$32,K336&lt;K$36,I$34,K336&lt;K$38,I$36,K336&lt;K$40,I$38,K336&lt;K$42,I$40,K336&lt;K$44,I$42,K336&lt;K$46,I$44,K336&gt;=K$46,I$46)</f>
        <v/>
      </c>
      <c r="J336" s="37">
        <f>_xlfn.IFS(K336&lt;K$24,0,K336&lt;K$25,J$24,K336&lt;K$26,J$25,K336&lt;K$27,J$26,K336&lt;K$28,J$27,K336&lt;K$29,J$28,K336&lt;K$30,J$29,K336&lt;K$31,J$30,K336&lt;K$32,J$31,K336&lt;K$33,J$32,K336&lt;K$34,J$33,K336&lt;K$35,J$34,K336&lt;K$36,J$35,K336&lt;K$37,J$36,K336&lt;K$38,J$37,K336&lt;K$39,J$38,K336&lt;K$40,J$39,K336&lt;K$41,J$40,K336&lt;K$42,J$41,K336&lt;K$43,J$42,K336&lt;K$44,J$43,K336&lt;K$45,J$44,K336&lt;K$46,J$45,K336&lt;K$47,J$46,K336&gt;=K$47,J$47)</f>
        <v/>
      </c>
      <c r="K336" s="38" t="n">
        <v>286</v>
      </c>
      <c r="L336" s="31">
        <f>K336/52</f>
        <v/>
      </c>
      <c r="M336" s="39">
        <f>J336/1000000*52</f>
        <v/>
      </c>
      <c r="N336" s="33">
        <f>M336/$P$4+($I$22/$P$4)</f>
        <v/>
      </c>
      <c r="U336">
        <f>F335</f>
        <v/>
      </c>
      <c r="V336">
        <f>H335</f>
        <v/>
      </c>
      <c r="W336">
        <f>N335</f>
        <v/>
      </c>
    </row>
    <row r="337" ht="15.75" customHeight="1" s="40">
      <c r="C337" s="36">
        <f>_xlfn.IFS(E337&lt;E$24,0,E337&lt;E$26,C$24,E337&lt;E$28,C$26,E337&lt;E$30,C$28,E337&lt;E$32,C$30,E337&lt;E$34,C$32,E337&gt;=E$34,C$34)</f>
        <v/>
      </c>
      <c r="D337" s="37">
        <f>_xlfn.IFS(E337&lt;E$24,0,E337&lt;E$25,D$24,E337&lt;E$26,D$25,E337&lt;E$27,D$26,E337&lt;E$28,D$27,E337&lt;E$29,D$28,E337&lt;E$30,D$29,E337&lt;E$31,D$30,E337&lt;E$32,D$31,E337&lt;E$33,D$32,E337&lt;E$34,D$33,E337&lt;E$35,D$34,E337&gt;=E$35,D$35)</f>
        <v/>
      </c>
      <c r="E337" s="38" t="n">
        <v>287</v>
      </c>
      <c r="F337" s="31">
        <f>E337/52</f>
        <v/>
      </c>
      <c r="G337" s="39">
        <f>D337/1000000*52</f>
        <v/>
      </c>
      <c r="H337" s="33">
        <f>G337/$P$4+($C$22/$P$4)</f>
        <v/>
      </c>
      <c r="I337" s="36">
        <f>_xlfn.IFS(K337&lt;K$24,0,K337&lt;K$26,I$24,K337&lt;K$28,I$26,K337&lt;K$30,I$28,K337&lt;K$32,I$30,K337&lt;K$34,I$32,K337&lt;K$36,I$34,K337&lt;K$38,I$36,K337&lt;K$40,I$38,K337&lt;K$42,I$40,K337&lt;K$44,I$42,K337&lt;K$46,I$44,K337&gt;=K$46,I$46)</f>
        <v/>
      </c>
      <c r="J337" s="37">
        <f>_xlfn.IFS(K337&lt;K$24,0,K337&lt;K$25,J$24,K337&lt;K$26,J$25,K337&lt;K$27,J$26,K337&lt;K$28,J$27,K337&lt;K$29,J$28,K337&lt;K$30,J$29,K337&lt;K$31,J$30,K337&lt;K$32,J$31,K337&lt;K$33,J$32,K337&lt;K$34,J$33,K337&lt;K$35,J$34,K337&lt;K$36,J$35,K337&lt;K$37,J$36,K337&lt;K$38,J$37,K337&lt;K$39,J$38,K337&lt;K$40,J$39,K337&lt;K$41,J$40,K337&lt;K$42,J$41,K337&lt;K$43,J$42,K337&lt;K$44,J$43,K337&lt;K$45,J$44,K337&lt;K$46,J$45,K337&lt;K$47,J$46,K337&gt;=K$47,J$47)</f>
        <v/>
      </c>
      <c r="K337" s="38" t="n">
        <v>287</v>
      </c>
      <c r="L337" s="31">
        <f>K337/52</f>
        <v/>
      </c>
      <c r="M337" s="39">
        <f>J337/1000000*52</f>
        <v/>
      </c>
      <c r="N337" s="33">
        <f>M337/$P$4+($I$22/$P$4)</f>
        <v/>
      </c>
      <c r="U337">
        <f>F336</f>
        <v/>
      </c>
      <c r="V337">
        <f>H336</f>
        <v/>
      </c>
      <c r="W337">
        <f>N336</f>
        <v/>
      </c>
    </row>
    <row r="338" ht="15.75" customHeight="1" s="40">
      <c r="C338" s="36">
        <f>_xlfn.IFS(E338&lt;E$24,0,E338&lt;E$26,C$24,E338&lt;E$28,C$26,E338&lt;E$30,C$28,E338&lt;E$32,C$30,E338&lt;E$34,C$32,E338&gt;=E$34,C$34)</f>
        <v/>
      </c>
      <c r="D338" s="37">
        <f>_xlfn.IFS(E338&lt;E$24,0,E338&lt;E$25,D$24,E338&lt;E$26,D$25,E338&lt;E$27,D$26,E338&lt;E$28,D$27,E338&lt;E$29,D$28,E338&lt;E$30,D$29,E338&lt;E$31,D$30,E338&lt;E$32,D$31,E338&lt;E$33,D$32,E338&lt;E$34,D$33,E338&lt;E$35,D$34,E338&gt;=E$35,D$35)</f>
        <v/>
      </c>
      <c r="E338" s="38" t="n">
        <v>288</v>
      </c>
      <c r="F338" s="31">
        <f>E338/52</f>
        <v/>
      </c>
      <c r="G338" s="39">
        <f>D338/1000000*52</f>
        <v/>
      </c>
      <c r="H338" s="33">
        <f>G338/$P$4+($C$22/$P$4)</f>
        <v/>
      </c>
      <c r="I338" s="36">
        <f>_xlfn.IFS(K338&lt;K$24,0,K338&lt;K$26,I$24,K338&lt;K$28,I$26,K338&lt;K$30,I$28,K338&lt;K$32,I$30,K338&lt;K$34,I$32,K338&lt;K$36,I$34,K338&lt;K$38,I$36,K338&lt;K$40,I$38,K338&lt;K$42,I$40,K338&lt;K$44,I$42,K338&lt;K$46,I$44,K338&gt;=K$46,I$46)</f>
        <v/>
      </c>
      <c r="J338" s="37">
        <f>_xlfn.IFS(K338&lt;K$24,0,K338&lt;K$25,J$24,K338&lt;K$26,J$25,K338&lt;K$27,J$26,K338&lt;K$28,J$27,K338&lt;K$29,J$28,K338&lt;K$30,J$29,K338&lt;K$31,J$30,K338&lt;K$32,J$31,K338&lt;K$33,J$32,K338&lt;K$34,J$33,K338&lt;K$35,J$34,K338&lt;K$36,J$35,K338&lt;K$37,J$36,K338&lt;K$38,J$37,K338&lt;K$39,J$38,K338&lt;K$40,J$39,K338&lt;K$41,J$40,K338&lt;K$42,J$41,K338&lt;K$43,J$42,K338&lt;K$44,J$43,K338&lt;K$45,J$44,K338&lt;K$46,J$45,K338&lt;K$47,J$46,K338&gt;=K$47,J$47)</f>
        <v/>
      </c>
      <c r="K338" s="38" t="n">
        <v>288</v>
      </c>
      <c r="L338" s="31">
        <f>K338/52</f>
        <v/>
      </c>
      <c r="M338" s="39">
        <f>J338/1000000*52</f>
        <v/>
      </c>
      <c r="N338" s="33">
        <f>M338/$P$4+($I$22/$P$4)</f>
        <v/>
      </c>
      <c r="U338">
        <f>F337</f>
        <v/>
      </c>
      <c r="V338">
        <f>H337</f>
        <v/>
      </c>
      <c r="W338">
        <f>N337</f>
        <v/>
      </c>
    </row>
    <row r="339" ht="15.75" customHeight="1" s="40">
      <c r="C339" s="36">
        <f>_xlfn.IFS(E339&lt;E$24,0,E339&lt;E$26,C$24,E339&lt;E$28,C$26,E339&lt;E$30,C$28,E339&lt;E$32,C$30,E339&lt;E$34,C$32,E339&gt;=E$34,C$34)</f>
        <v/>
      </c>
      <c r="D339" s="37">
        <f>_xlfn.IFS(E339&lt;E$24,0,E339&lt;E$25,D$24,E339&lt;E$26,D$25,E339&lt;E$27,D$26,E339&lt;E$28,D$27,E339&lt;E$29,D$28,E339&lt;E$30,D$29,E339&lt;E$31,D$30,E339&lt;E$32,D$31,E339&lt;E$33,D$32,E339&lt;E$34,D$33,E339&lt;E$35,D$34,E339&gt;=E$35,D$35)</f>
        <v/>
      </c>
      <c r="E339" s="38" t="n">
        <v>289</v>
      </c>
      <c r="F339" s="31">
        <f>E339/52</f>
        <v/>
      </c>
      <c r="G339" s="39">
        <f>D339/1000000*52</f>
        <v/>
      </c>
      <c r="H339" s="33">
        <f>G339/$P$4+($C$22/$P$4)</f>
        <v/>
      </c>
      <c r="I339" s="36">
        <f>_xlfn.IFS(K339&lt;K$24,0,K339&lt;K$26,I$24,K339&lt;K$28,I$26,K339&lt;K$30,I$28,K339&lt;K$32,I$30,K339&lt;K$34,I$32,K339&lt;K$36,I$34,K339&lt;K$38,I$36,K339&lt;K$40,I$38,K339&lt;K$42,I$40,K339&lt;K$44,I$42,K339&lt;K$46,I$44,K339&gt;=K$46,I$46)</f>
        <v/>
      </c>
      <c r="J339" s="37">
        <f>_xlfn.IFS(K339&lt;K$24,0,K339&lt;K$25,J$24,K339&lt;K$26,J$25,K339&lt;K$27,J$26,K339&lt;K$28,J$27,K339&lt;K$29,J$28,K339&lt;K$30,J$29,K339&lt;K$31,J$30,K339&lt;K$32,J$31,K339&lt;K$33,J$32,K339&lt;K$34,J$33,K339&lt;K$35,J$34,K339&lt;K$36,J$35,K339&lt;K$37,J$36,K339&lt;K$38,J$37,K339&lt;K$39,J$38,K339&lt;K$40,J$39,K339&lt;K$41,J$40,K339&lt;K$42,J$41,K339&lt;K$43,J$42,K339&lt;K$44,J$43,K339&lt;K$45,J$44,K339&lt;K$46,J$45,K339&lt;K$47,J$46,K339&gt;=K$47,J$47)</f>
        <v/>
      </c>
      <c r="K339" s="38" t="n">
        <v>289</v>
      </c>
      <c r="L339" s="31">
        <f>K339/52</f>
        <v/>
      </c>
      <c r="M339" s="39">
        <f>J339/1000000*52</f>
        <v/>
      </c>
      <c r="N339" s="33">
        <f>M339/$P$4+($I$22/$P$4)</f>
        <v/>
      </c>
      <c r="U339">
        <f>F338</f>
        <v/>
      </c>
      <c r="V339">
        <f>H338</f>
        <v/>
      </c>
      <c r="W339">
        <f>N338</f>
        <v/>
      </c>
    </row>
    <row r="340" ht="15.75" customHeight="1" s="40">
      <c r="C340" s="36">
        <f>_xlfn.IFS(E340&lt;E$24,0,E340&lt;E$26,C$24,E340&lt;E$28,C$26,E340&lt;E$30,C$28,E340&lt;E$32,C$30,E340&lt;E$34,C$32,E340&gt;=E$34,C$34)</f>
        <v/>
      </c>
      <c r="D340" s="37">
        <f>_xlfn.IFS(E340&lt;E$24,0,E340&lt;E$25,D$24,E340&lt;E$26,D$25,E340&lt;E$27,D$26,E340&lt;E$28,D$27,E340&lt;E$29,D$28,E340&lt;E$30,D$29,E340&lt;E$31,D$30,E340&lt;E$32,D$31,E340&lt;E$33,D$32,E340&lt;E$34,D$33,E340&lt;E$35,D$34,E340&gt;=E$35,D$35)</f>
        <v/>
      </c>
      <c r="E340" s="38" t="n">
        <v>290</v>
      </c>
      <c r="F340" s="31">
        <f>E340/52</f>
        <v/>
      </c>
      <c r="G340" s="39">
        <f>D340/1000000*52</f>
        <v/>
      </c>
      <c r="H340" s="33">
        <f>G340/$P$4+($C$22/$P$4)</f>
        <v/>
      </c>
      <c r="I340" s="36">
        <f>_xlfn.IFS(K340&lt;K$24,0,K340&lt;K$26,I$24,K340&lt;K$28,I$26,K340&lt;K$30,I$28,K340&lt;K$32,I$30,K340&lt;K$34,I$32,K340&lt;K$36,I$34,K340&lt;K$38,I$36,K340&lt;K$40,I$38,K340&lt;K$42,I$40,K340&lt;K$44,I$42,K340&lt;K$46,I$44,K340&gt;=K$46,I$46)</f>
        <v/>
      </c>
      <c r="J340" s="37">
        <f>_xlfn.IFS(K340&lt;K$24,0,K340&lt;K$25,J$24,K340&lt;K$26,J$25,K340&lt;K$27,J$26,K340&lt;K$28,J$27,K340&lt;K$29,J$28,K340&lt;K$30,J$29,K340&lt;K$31,J$30,K340&lt;K$32,J$31,K340&lt;K$33,J$32,K340&lt;K$34,J$33,K340&lt;K$35,J$34,K340&lt;K$36,J$35,K340&lt;K$37,J$36,K340&lt;K$38,J$37,K340&lt;K$39,J$38,K340&lt;K$40,J$39,K340&lt;K$41,J$40,K340&lt;K$42,J$41,K340&lt;K$43,J$42,K340&lt;K$44,J$43,K340&lt;K$45,J$44,K340&lt;K$46,J$45,K340&lt;K$47,J$46,K340&gt;=K$47,J$47)</f>
        <v/>
      </c>
      <c r="K340" s="38" t="n">
        <v>290</v>
      </c>
      <c r="L340" s="31">
        <f>K340/52</f>
        <v/>
      </c>
      <c r="M340" s="39">
        <f>J340/1000000*52</f>
        <v/>
      </c>
      <c r="N340" s="33">
        <f>M340/$P$4+($I$22/$P$4)</f>
        <v/>
      </c>
      <c r="U340">
        <f>F339</f>
        <v/>
      </c>
      <c r="V340">
        <f>H339</f>
        <v/>
      </c>
      <c r="W340">
        <f>N339</f>
        <v/>
      </c>
    </row>
    <row r="341" ht="15.75" customHeight="1" s="40">
      <c r="C341" s="36">
        <f>_xlfn.IFS(E341&lt;E$24,0,E341&lt;E$26,C$24,E341&lt;E$28,C$26,E341&lt;E$30,C$28,E341&lt;E$32,C$30,E341&lt;E$34,C$32,E341&gt;=E$34,C$34)</f>
        <v/>
      </c>
      <c r="D341" s="37">
        <f>_xlfn.IFS(E341&lt;E$24,0,E341&lt;E$25,D$24,E341&lt;E$26,D$25,E341&lt;E$27,D$26,E341&lt;E$28,D$27,E341&lt;E$29,D$28,E341&lt;E$30,D$29,E341&lt;E$31,D$30,E341&lt;E$32,D$31,E341&lt;E$33,D$32,E341&lt;E$34,D$33,E341&lt;E$35,D$34,E341&gt;=E$35,D$35)</f>
        <v/>
      </c>
      <c r="E341" s="38" t="n">
        <v>291</v>
      </c>
      <c r="F341" s="31">
        <f>E341/52</f>
        <v/>
      </c>
      <c r="G341" s="39">
        <f>D341/1000000*52</f>
        <v/>
      </c>
      <c r="H341" s="33">
        <f>G341/$P$4+($C$22/$P$4)</f>
        <v/>
      </c>
      <c r="I341" s="36">
        <f>_xlfn.IFS(K341&lt;K$24,0,K341&lt;K$26,I$24,K341&lt;K$28,I$26,K341&lt;K$30,I$28,K341&lt;K$32,I$30,K341&lt;K$34,I$32,K341&lt;K$36,I$34,K341&lt;K$38,I$36,K341&lt;K$40,I$38,K341&lt;K$42,I$40,K341&lt;K$44,I$42,K341&lt;K$46,I$44,K341&gt;=K$46,I$46)</f>
        <v/>
      </c>
      <c r="J341" s="37">
        <f>_xlfn.IFS(K341&lt;K$24,0,K341&lt;K$25,J$24,K341&lt;K$26,J$25,K341&lt;K$27,J$26,K341&lt;K$28,J$27,K341&lt;K$29,J$28,K341&lt;K$30,J$29,K341&lt;K$31,J$30,K341&lt;K$32,J$31,K341&lt;K$33,J$32,K341&lt;K$34,J$33,K341&lt;K$35,J$34,K341&lt;K$36,J$35,K341&lt;K$37,J$36,K341&lt;K$38,J$37,K341&lt;K$39,J$38,K341&lt;K$40,J$39,K341&lt;K$41,J$40,K341&lt;K$42,J$41,K341&lt;K$43,J$42,K341&lt;K$44,J$43,K341&lt;K$45,J$44,K341&lt;K$46,J$45,K341&lt;K$47,J$46,K341&gt;=K$47,J$47)</f>
        <v/>
      </c>
      <c r="K341" s="38" t="n">
        <v>291</v>
      </c>
      <c r="L341" s="31">
        <f>K341/52</f>
        <v/>
      </c>
      <c r="M341" s="39">
        <f>J341/1000000*52</f>
        <v/>
      </c>
      <c r="N341" s="33">
        <f>M341/$P$4+($I$22/$P$4)</f>
        <v/>
      </c>
      <c r="U341">
        <f>F340</f>
        <v/>
      </c>
      <c r="V341">
        <f>H340</f>
        <v/>
      </c>
      <c r="W341">
        <f>N340</f>
        <v/>
      </c>
    </row>
    <row r="342" ht="15.75" customHeight="1" s="40">
      <c r="C342" s="36">
        <f>_xlfn.IFS(E342&lt;E$24,0,E342&lt;E$26,C$24,E342&lt;E$28,C$26,E342&lt;E$30,C$28,E342&lt;E$32,C$30,E342&lt;E$34,C$32,E342&gt;=E$34,C$34)</f>
        <v/>
      </c>
      <c r="D342" s="37">
        <f>_xlfn.IFS(E342&lt;E$24,0,E342&lt;E$25,D$24,E342&lt;E$26,D$25,E342&lt;E$27,D$26,E342&lt;E$28,D$27,E342&lt;E$29,D$28,E342&lt;E$30,D$29,E342&lt;E$31,D$30,E342&lt;E$32,D$31,E342&lt;E$33,D$32,E342&lt;E$34,D$33,E342&lt;E$35,D$34,E342&gt;=E$35,D$35)</f>
        <v/>
      </c>
      <c r="E342" s="38" t="n">
        <v>292</v>
      </c>
      <c r="F342" s="31">
        <f>E342/52</f>
        <v/>
      </c>
      <c r="G342" s="39">
        <f>D342/1000000*52</f>
        <v/>
      </c>
      <c r="H342" s="33">
        <f>G342/$P$4+($C$22/$P$4)</f>
        <v/>
      </c>
      <c r="I342" s="36">
        <f>_xlfn.IFS(K342&lt;K$24,0,K342&lt;K$26,I$24,K342&lt;K$28,I$26,K342&lt;K$30,I$28,K342&lt;K$32,I$30,K342&lt;K$34,I$32,K342&lt;K$36,I$34,K342&lt;K$38,I$36,K342&lt;K$40,I$38,K342&lt;K$42,I$40,K342&lt;K$44,I$42,K342&lt;K$46,I$44,K342&gt;=K$46,I$46)</f>
        <v/>
      </c>
      <c r="J342" s="37">
        <f>_xlfn.IFS(K342&lt;K$24,0,K342&lt;K$25,J$24,K342&lt;K$26,J$25,K342&lt;K$27,J$26,K342&lt;K$28,J$27,K342&lt;K$29,J$28,K342&lt;K$30,J$29,K342&lt;K$31,J$30,K342&lt;K$32,J$31,K342&lt;K$33,J$32,K342&lt;K$34,J$33,K342&lt;K$35,J$34,K342&lt;K$36,J$35,K342&lt;K$37,J$36,K342&lt;K$38,J$37,K342&lt;K$39,J$38,K342&lt;K$40,J$39,K342&lt;K$41,J$40,K342&lt;K$42,J$41,K342&lt;K$43,J$42,K342&lt;K$44,J$43,K342&lt;K$45,J$44,K342&lt;K$46,J$45,K342&lt;K$47,J$46,K342&gt;=K$47,J$47)</f>
        <v/>
      </c>
      <c r="K342" s="38" t="n">
        <v>292</v>
      </c>
      <c r="L342" s="31">
        <f>K342/52</f>
        <v/>
      </c>
      <c r="M342" s="39">
        <f>J342/1000000*52</f>
        <v/>
      </c>
      <c r="N342" s="33">
        <f>M342/$P$4+($I$22/$P$4)</f>
        <v/>
      </c>
      <c r="U342">
        <f>F341</f>
        <v/>
      </c>
      <c r="V342">
        <f>H341</f>
        <v/>
      </c>
      <c r="W342">
        <f>N341</f>
        <v/>
      </c>
    </row>
    <row r="343" ht="15.75" customHeight="1" s="40">
      <c r="C343" s="36">
        <f>_xlfn.IFS(E343&lt;E$24,0,E343&lt;E$26,C$24,E343&lt;E$28,C$26,E343&lt;E$30,C$28,E343&lt;E$32,C$30,E343&lt;E$34,C$32,E343&gt;=E$34,C$34)</f>
        <v/>
      </c>
      <c r="D343" s="37">
        <f>_xlfn.IFS(E343&lt;E$24,0,E343&lt;E$25,D$24,E343&lt;E$26,D$25,E343&lt;E$27,D$26,E343&lt;E$28,D$27,E343&lt;E$29,D$28,E343&lt;E$30,D$29,E343&lt;E$31,D$30,E343&lt;E$32,D$31,E343&lt;E$33,D$32,E343&lt;E$34,D$33,E343&lt;E$35,D$34,E343&gt;=E$35,D$35)</f>
        <v/>
      </c>
      <c r="E343" s="38" t="n">
        <v>293</v>
      </c>
      <c r="F343" s="31">
        <f>E343/52</f>
        <v/>
      </c>
      <c r="G343" s="39">
        <f>D343/1000000*52</f>
        <v/>
      </c>
      <c r="H343" s="33">
        <f>G343/$P$4+($C$22/$P$4)</f>
        <v/>
      </c>
      <c r="I343" s="36">
        <f>_xlfn.IFS(K343&lt;K$24,0,K343&lt;K$26,I$24,K343&lt;K$28,I$26,K343&lt;K$30,I$28,K343&lt;K$32,I$30,K343&lt;K$34,I$32,K343&lt;K$36,I$34,K343&lt;K$38,I$36,K343&lt;K$40,I$38,K343&lt;K$42,I$40,K343&lt;K$44,I$42,K343&lt;K$46,I$44,K343&gt;=K$46,I$46)</f>
        <v/>
      </c>
      <c r="J343" s="37">
        <f>_xlfn.IFS(K343&lt;K$24,0,K343&lt;K$25,J$24,K343&lt;K$26,J$25,K343&lt;K$27,J$26,K343&lt;K$28,J$27,K343&lt;K$29,J$28,K343&lt;K$30,J$29,K343&lt;K$31,J$30,K343&lt;K$32,J$31,K343&lt;K$33,J$32,K343&lt;K$34,J$33,K343&lt;K$35,J$34,K343&lt;K$36,J$35,K343&lt;K$37,J$36,K343&lt;K$38,J$37,K343&lt;K$39,J$38,K343&lt;K$40,J$39,K343&lt;K$41,J$40,K343&lt;K$42,J$41,K343&lt;K$43,J$42,K343&lt;K$44,J$43,K343&lt;K$45,J$44,K343&lt;K$46,J$45,K343&lt;K$47,J$46,K343&gt;=K$47,J$47)</f>
        <v/>
      </c>
      <c r="K343" s="38" t="n">
        <v>293</v>
      </c>
      <c r="L343" s="31">
        <f>K343/52</f>
        <v/>
      </c>
      <c r="M343" s="39">
        <f>J343/1000000*52</f>
        <v/>
      </c>
      <c r="N343" s="33">
        <f>M343/$P$4+($I$22/$P$4)</f>
        <v/>
      </c>
      <c r="U343">
        <f>F342</f>
        <v/>
      </c>
      <c r="V343">
        <f>H342</f>
        <v/>
      </c>
      <c r="W343">
        <f>N342</f>
        <v/>
      </c>
    </row>
    <row r="344" ht="15.75" customHeight="1" s="40">
      <c r="C344" s="36">
        <f>_xlfn.IFS(E344&lt;E$24,0,E344&lt;E$26,C$24,E344&lt;E$28,C$26,E344&lt;E$30,C$28,E344&lt;E$32,C$30,E344&lt;E$34,C$32,E344&gt;=E$34,C$34)</f>
        <v/>
      </c>
      <c r="D344" s="37">
        <f>_xlfn.IFS(E344&lt;E$24,0,E344&lt;E$25,D$24,E344&lt;E$26,D$25,E344&lt;E$27,D$26,E344&lt;E$28,D$27,E344&lt;E$29,D$28,E344&lt;E$30,D$29,E344&lt;E$31,D$30,E344&lt;E$32,D$31,E344&lt;E$33,D$32,E344&lt;E$34,D$33,E344&lt;E$35,D$34,E344&gt;=E$35,D$35)</f>
        <v/>
      </c>
      <c r="E344" s="38" t="n">
        <v>294</v>
      </c>
      <c r="F344" s="31">
        <f>E344/52</f>
        <v/>
      </c>
      <c r="G344" s="39">
        <f>D344/1000000*52</f>
        <v/>
      </c>
      <c r="H344" s="33">
        <f>G344/$P$4+($C$22/$P$4)</f>
        <v/>
      </c>
      <c r="I344" s="36">
        <f>_xlfn.IFS(K344&lt;K$24,0,K344&lt;K$26,I$24,K344&lt;K$28,I$26,K344&lt;K$30,I$28,K344&lt;K$32,I$30,K344&lt;K$34,I$32,K344&lt;K$36,I$34,K344&lt;K$38,I$36,K344&lt;K$40,I$38,K344&lt;K$42,I$40,K344&lt;K$44,I$42,K344&lt;K$46,I$44,K344&gt;=K$46,I$46)</f>
        <v/>
      </c>
      <c r="J344" s="37">
        <f>_xlfn.IFS(K344&lt;K$24,0,K344&lt;K$25,J$24,K344&lt;K$26,J$25,K344&lt;K$27,J$26,K344&lt;K$28,J$27,K344&lt;K$29,J$28,K344&lt;K$30,J$29,K344&lt;K$31,J$30,K344&lt;K$32,J$31,K344&lt;K$33,J$32,K344&lt;K$34,J$33,K344&lt;K$35,J$34,K344&lt;K$36,J$35,K344&lt;K$37,J$36,K344&lt;K$38,J$37,K344&lt;K$39,J$38,K344&lt;K$40,J$39,K344&lt;K$41,J$40,K344&lt;K$42,J$41,K344&lt;K$43,J$42,K344&lt;K$44,J$43,K344&lt;K$45,J$44,K344&lt;K$46,J$45,K344&lt;K$47,J$46,K344&gt;=K$47,J$47)</f>
        <v/>
      </c>
      <c r="K344" s="38" t="n">
        <v>294</v>
      </c>
      <c r="L344" s="31">
        <f>K344/52</f>
        <v/>
      </c>
      <c r="M344" s="39">
        <f>J344/1000000*52</f>
        <v/>
      </c>
      <c r="N344" s="33">
        <f>M344/$P$4+($I$22/$P$4)</f>
        <v/>
      </c>
      <c r="U344">
        <f>F343</f>
        <v/>
      </c>
      <c r="V344">
        <f>H343</f>
        <v/>
      </c>
      <c r="W344">
        <f>N343</f>
        <v/>
      </c>
    </row>
    <row r="345" ht="15.75" customHeight="1" s="40">
      <c r="C345" s="36">
        <f>_xlfn.IFS(E345&lt;E$24,0,E345&lt;E$26,C$24,E345&lt;E$28,C$26,E345&lt;E$30,C$28,E345&lt;E$32,C$30,E345&lt;E$34,C$32,E345&gt;=E$34,C$34)</f>
        <v/>
      </c>
      <c r="D345" s="37">
        <f>_xlfn.IFS(E345&lt;E$24,0,E345&lt;E$25,D$24,E345&lt;E$26,D$25,E345&lt;E$27,D$26,E345&lt;E$28,D$27,E345&lt;E$29,D$28,E345&lt;E$30,D$29,E345&lt;E$31,D$30,E345&lt;E$32,D$31,E345&lt;E$33,D$32,E345&lt;E$34,D$33,E345&lt;E$35,D$34,E345&gt;=E$35,D$35)</f>
        <v/>
      </c>
      <c r="E345" s="38" t="n">
        <v>295</v>
      </c>
      <c r="F345" s="31">
        <f>E345/52</f>
        <v/>
      </c>
      <c r="G345" s="39">
        <f>D345/1000000*52</f>
        <v/>
      </c>
      <c r="H345" s="33">
        <f>G345/$P$4+($C$22/$P$4)</f>
        <v/>
      </c>
      <c r="I345" s="36">
        <f>_xlfn.IFS(K345&lt;K$24,0,K345&lt;K$26,I$24,K345&lt;K$28,I$26,K345&lt;K$30,I$28,K345&lt;K$32,I$30,K345&lt;K$34,I$32,K345&lt;K$36,I$34,K345&lt;K$38,I$36,K345&lt;K$40,I$38,K345&lt;K$42,I$40,K345&lt;K$44,I$42,K345&lt;K$46,I$44,K345&gt;=K$46,I$46)</f>
        <v/>
      </c>
      <c r="J345" s="37">
        <f>_xlfn.IFS(K345&lt;K$24,0,K345&lt;K$25,J$24,K345&lt;K$26,J$25,K345&lt;K$27,J$26,K345&lt;K$28,J$27,K345&lt;K$29,J$28,K345&lt;K$30,J$29,K345&lt;K$31,J$30,K345&lt;K$32,J$31,K345&lt;K$33,J$32,K345&lt;K$34,J$33,K345&lt;K$35,J$34,K345&lt;K$36,J$35,K345&lt;K$37,J$36,K345&lt;K$38,J$37,K345&lt;K$39,J$38,K345&lt;K$40,J$39,K345&lt;K$41,J$40,K345&lt;K$42,J$41,K345&lt;K$43,J$42,K345&lt;K$44,J$43,K345&lt;K$45,J$44,K345&lt;K$46,J$45,K345&lt;K$47,J$46,K345&gt;=K$47,J$47)</f>
        <v/>
      </c>
      <c r="K345" s="38" t="n">
        <v>295</v>
      </c>
      <c r="L345" s="31">
        <f>K345/52</f>
        <v/>
      </c>
      <c r="M345" s="39">
        <f>J345/1000000*52</f>
        <v/>
      </c>
      <c r="N345" s="33">
        <f>M345/$P$4+($I$22/$P$4)</f>
        <v/>
      </c>
      <c r="U345">
        <f>F344</f>
        <v/>
      </c>
      <c r="V345">
        <f>H344</f>
        <v/>
      </c>
      <c r="W345">
        <f>N344</f>
        <v/>
      </c>
    </row>
    <row r="346" ht="15.75" customHeight="1" s="40">
      <c r="C346" s="36">
        <f>_xlfn.IFS(E346&lt;E$24,0,E346&lt;E$26,C$24,E346&lt;E$28,C$26,E346&lt;E$30,C$28,E346&lt;E$32,C$30,E346&lt;E$34,C$32,E346&gt;=E$34,C$34)</f>
        <v/>
      </c>
      <c r="D346" s="37">
        <f>_xlfn.IFS(E346&lt;E$24,0,E346&lt;E$25,D$24,E346&lt;E$26,D$25,E346&lt;E$27,D$26,E346&lt;E$28,D$27,E346&lt;E$29,D$28,E346&lt;E$30,D$29,E346&lt;E$31,D$30,E346&lt;E$32,D$31,E346&lt;E$33,D$32,E346&lt;E$34,D$33,E346&lt;E$35,D$34,E346&gt;=E$35,D$35)</f>
        <v/>
      </c>
      <c r="E346" s="38" t="n">
        <v>296</v>
      </c>
      <c r="F346" s="31">
        <f>E346/52</f>
        <v/>
      </c>
      <c r="G346" s="39">
        <f>D346/1000000*52</f>
        <v/>
      </c>
      <c r="H346" s="33">
        <f>G346/$P$4+($C$22/$P$4)</f>
        <v/>
      </c>
      <c r="I346" s="36">
        <f>_xlfn.IFS(K346&lt;K$24,0,K346&lt;K$26,I$24,K346&lt;K$28,I$26,K346&lt;K$30,I$28,K346&lt;K$32,I$30,K346&lt;K$34,I$32,K346&lt;K$36,I$34,K346&lt;K$38,I$36,K346&lt;K$40,I$38,K346&lt;K$42,I$40,K346&lt;K$44,I$42,K346&lt;K$46,I$44,K346&gt;=K$46,I$46)</f>
        <v/>
      </c>
      <c r="J346" s="37">
        <f>_xlfn.IFS(K346&lt;K$24,0,K346&lt;K$25,J$24,K346&lt;K$26,J$25,K346&lt;K$27,J$26,K346&lt;K$28,J$27,K346&lt;K$29,J$28,K346&lt;K$30,J$29,K346&lt;K$31,J$30,K346&lt;K$32,J$31,K346&lt;K$33,J$32,K346&lt;K$34,J$33,K346&lt;K$35,J$34,K346&lt;K$36,J$35,K346&lt;K$37,J$36,K346&lt;K$38,J$37,K346&lt;K$39,J$38,K346&lt;K$40,J$39,K346&lt;K$41,J$40,K346&lt;K$42,J$41,K346&lt;K$43,J$42,K346&lt;K$44,J$43,K346&lt;K$45,J$44,K346&lt;K$46,J$45,K346&lt;K$47,J$46,K346&gt;=K$47,J$47)</f>
        <v/>
      </c>
      <c r="K346" s="38" t="n">
        <v>296</v>
      </c>
      <c r="L346" s="31">
        <f>K346/52</f>
        <v/>
      </c>
      <c r="M346" s="39">
        <f>J346/1000000*52</f>
        <v/>
      </c>
      <c r="N346" s="33">
        <f>M346/$P$4+($I$22/$P$4)</f>
        <v/>
      </c>
      <c r="U346">
        <f>F345</f>
        <v/>
      </c>
      <c r="V346">
        <f>H345</f>
        <v/>
      </c>
      <c r="W346">
        <f>N345</f>
        <v/>
      </c>
    </row>
    <row r="347" ht="15.75" customHeight="1" s="40">
      <c r="C347" s="36">
        <f>_xlfn.IFS(E347&lt;E$24,0,E347&lt;E$26,C$24,E347&lt;E$28,C$26,E347&lt;E$30,C$28,E347&lt;E$32,C$30,E347&lt;E$34,C$32,E347&gt;=E$34,C$34)</f>
        <v/>
      </c>
      <c r="D347" s="37">
        <f>_xlfn.IFS(E347&lt;E$24,0,E347&lt;E$25,D$24,E347&lt;E$26,D$25,E347&lt;E$27,D$26,E347&lt;E$28,D$27,E347&lt;E$29,D$28,E347&lt;E$30,D$29,E347&lt;E$31,D$30,E347&lt;E$32,D$31,E347&lt;E$33,D$32,E347&lt;E$34,D$33,E347&lt;E$35,D$34,E347&gt;=E$35,D$35)</f>
        <v/>
      </c>
      <c r="E347" s="38" t="n">
        <v>297</v>
      </c>
      <c r="F347" s="31">
        <f>E347/52</f>
        <v/>
      </c>
      <c r="G347" s="39">
        <f>D347/1000000*52</f>
        <v/>
      </c>
      <c r="H347" s="33">
        <f>G347/$P$4+($C$22/$P$4)</f>
        <v/>
      </c>
      <c r="I347" s="36">
        <f>_xlfn.IFS(K347&lt;K$24,0,K347&lt;K$26,I$24,K347&lt;K$28,I$26,K347&lt;K$30,I$28,K347&lt;K$32,I$30,K347&lt;K$34,I$32,K347&lt;K$36,I$34,K347&lt;K$38,I$36,K347&lt;K$40,I$38,K347&lt;K$42,I$40,K347&lt;K$44,I$42,K347&lt;K$46,I$44,K347&gt;=K$46,I$46)</f>
        <v/>
      </c>
      <c r="J347" s="37">
        <f>_xlfn.IFS(K347&lt;K$24,0,K347&lt;K$25,J$24,K347&lt;K$26,J$25,K347&lt;K$27,J$26,K347&lt;K$28,J$27,K347&lt;K$29,J$28,K347&lt;K$30,J$29,K347&lt;K$31,J$30,K347&lt;K$32,J$31,K347&lt;K$33,J$32,K347&lt;K$34,J$33,K347&lt;K$35,J$34,K347&lt;K$36,J$35,K347&lt;K$37,J$36,K347&lt;K$38,J$37,K347&lt;K$39,J$38,K347&lt;K$40,J$39,K347&lt;K$41,J$40,K347&lt;K$42,J$41,K347&lt;K$43,J$42,K347&lt;K$44,J$43,K347&lt;K$45,J$44,K347&lt;K$46,J$45,K347&lt;K$47,J$46,K347&gt;=K$47,J$47)</f>
        <v/>
      </c>
      <c r="K347" s="38" t="n">
        <v>297</v>
      </c>
      <c r="L347" s="31">
        <f>K347/52</f>
        <v/>
      </c>
      <c r="M347" s="39">
        <f>J347/1000000*52</f>
        <v/>
      </c>
      <c r="N347" s="33">
        <f>M347/$P$4+($I$22/$P$4)</f>
        <v/>
      </c>
      <c r="U347">
        <f>F346</f>
        <v/>
      </c>
      <c r="V347">
        <f>H346</f>
        <v/>
      </c>
      <c r="W347">
        <f>N346</f>
        <v/>
      </c>
    </row>
    <row r="348" ht="15.75" customHeight="1" s="40">
      <c r="C348" s="36">
        <f>_xlfn.IFS(E348&lt;E$24,0,E348&lt;E$26,C$24,E348&lt;E$28,C$26,E348&lt;E$30,C$28,E348&lt;E$32,C$30,E348&lt;E$34,C$32,E348&gt;=E$34,C$34)</f>
        <v/>
      </c>
      <c r="D348" s="37">
        <f>_xlfn.IFS(E348&lt;E$24,0,E348&lt;E$25,D$24,E348&lt;E$26,D$25,E348&lt;E$27,D$26,E348&lt;E$28,D$27,E348&lt;E$29,D$28,E348&lt;E$30,D$29,E348&lt;E$31,D$30,E348&lt;E$32,D$31,E348&lt;E$33,D$32,E348&lt;E$34,D$33,E348&lt;E$35,D$34,E348&gt;=E$35,D$35)</f>
        <v/>
      </c>
      <c r="E348" s="38" t="n">
        <v>298</v>
      </c>
      <c r="F348" s="31">
        <f>E348/52</f>
        <v/>
      </c>
      <c r="G348" s="39">
        <f>D348/1000000*52</f>
        <v/>
      </c>
      <c r="H348" s="33">
        <f>G348/$P$4+($C$22/$P$4)</f>
        <v/>
      </c>
      <c r="I348" s="36">
        <f>_xlfn.IFS(K348&lt;K$24,0,K348&lt;K$26,I$24,K348&lt;K$28,I$26,K348&lt;K$30,I$28,K348&lt;K$32,I$30,K348&lt;K$34,I$32,K348&lt;K$36,I$34,K348&lt;K$38,I$36,K348&lt;K$40,I$38,K348&lt;K$42,I$40,K348&lt;K$44,I$42,K348&lt;K$46,I$44,K348&gt;=K$46,I$46)</f>
        <v/>
      </c>
      <c r="J348" s="37">
        <f>_xlfn.IFS(K348&lt;K$24,0,K348&lt;K$25,J$24,K348&lt;K$26,J$25,K348&lt;K$27,J$26,K348&lt;K$28,J$27,K348&lt;K$29,J$28,K348&lt;K$30,J$29,K348&lt;K$31,J$30,K348&lt;K$32,J$31,K348&lt;K$33,J$32,K348&lt;K$34,J$33,K348&lt;K$35,J$34,K348&lt;K$36,J$35,K348&lt;K$37,J$36,K348&lt;K$38,J$37,K348&lt;K$39,J$38,K348&lt;K$40,J$39,K348&lt;K$41,J$40,K348&lt;K$42,J$41,K348&lt;K$43,J$42,K348&lt;K$44,J$43,K348&lt;K$45,J$44,K348&lt;K$46,J$45,K348&lt;K$47,J$46,K348&gt;=K$47,J$47)</f>
        <v/>
      </c>
      <c r="K348" s="38" t="n">
        <v>298</v>
      </c>
      <c r="L348" s="31">
        <f>K348/52</f>
        <v/>
      </c>
      <c r="M348" s="39">
        <f>J348/1000000*52</f>
        <v/>
      </c>
      <c r="N348" s="33">
        <f>M348/$P$4+($I$22/$P$4)</f>
        <v/>
      </c>
      <c r="U348">
        <f>F347</f>
        <v/>
      </c>
      <c r="V348">
        <f>H347</f>
        <v/>
      </c>
      <c r="W348">
        <f>N347</f>
        <v/>
      </c>
    </row>
    <row r="349" ht="15.75" customHeight="1" s="40">
      <c r="C349" s="36">
        <f>_xlfn.IFS(E349&lt;E$24,0,E349&lt;E$26,C$24,E349&lt;E$28,C$26,E349&lt;E$30,C$28,E349&lt;E$32,C$30,E349&lt;E$34,C$32,E349&gt;=E$34,C$34)</f>
        <v/>
      </c>
      <c r="D349" s="37">
        <f>_xlfn.IFS(E349&lt;E$24,0,E349&lt;E$25,D$24,E349&lt;E$26,D$25,E349&lt;E$27,D$26,E349&lt;E$28,D$27,E349&lt;E$29,D$28,E349&lt;E$30,D$29,E349&lt;E$31,D$30,E349&lt;E$32,D$31,E349&lt;E$33,D$32,E349&lt;E$34,D$33,E349&lt;E$35,D$34,E349&gt;=E$35,D$35)</f>
        <v/>
      </c>
      <c r="E349" s="38" t="n">
        <v>299</v>
      </c>
      <c r="F349" s="31">
        <f>E349/52</f>
        <v/>
      </c>
      <c r="G349" s="39">
        <f>D349/1000000*52</f>
        <v/>
      </c>
      <c r="H349" s="33">
        <f>G349/$P$4+($C$22/$P$4)</f>
        <v/>
      </c>
      <c r="I349" s="36">
        <f>_xlfn.IFS(K349&lt;K$24,0,K349&lt;K$26,I$24,K349&lt;K$28,I$26,K349&lt;K$30,I$28,K349&lt;K$32,I$30,K349&lt;K$34,I$32,K349&lt;K$36,I$34,K349&lt;K$38,I$36,K349&lt;K$40,I$38,K349&lt;K$42,I$40,K349&lt;K$44,I$42,K349&lt;K$46,I$44,K349&gt;=K$46,I$46)</f>
        <v/>
      </c>
      <c r="J349" s="37">
        <f>_xlfn.IFS(K349&lt;K$24,0,K349&lt;K$25,J$24,K349&lt;K$26,J$25,K349&lt;K$27,J$26,K349&lt;K$28,J$27,K349&lt;K$29,J$28,K349&lt;K$30,J$29,K349&lt;K$31,J$30,K349&lt;K$32,J$31,K349&lt;K$33,J$32,K349&lt;K$34,J$33,K349&lt;K$35,J$34,K349&lt;K$36,J$35,K349&lt;K$37,J$36,K349&lt;K$38,J$37,K349&lt;K$39,J$38,K349&lt;K$40,J$39,K349&lt;K$41,J$40,K349&lt;K$42,J$41,K349&lt;K$43,J$42,K349&lt;K$44,J$43,K349&lt;K$45,J$44,K349&lt;K$46,J$45,K349&lt;K$47,J$46,K349&gt;=K$47,J$47)</f>
        <v/>
      </c>
      <c r="K349" s="38" t="n">
        <v>299</v>
      </c>
      <c r="L349" s="31">
        <f>K349/52</f>
        <v/>
      </c>
      <c r="M349" s="39">
        <f>J349/1000000*52</f>
        <v/>
      </c>
      <c r="N349" s="33">
        <f>M349/$P$4+($I$22/$P$4)</f>
        <v/>
      </c>
      <c r="U349">
        <f>F348</f>
        <v/>
      </c>
      <c r="V349">
        <f>H348</f>
        <v/>
      </c>
      <c r="W349">
        <f>N348</f>
        <v/>
      </c>
    </row>
    <row r="350" ht="15.75" customHeight="1" s="40">
      <c r="C350" s="36">
        <f>_xlfn.IFS(E350&lt;E$24,0,E350&lt;E$26,C$24,E350&lt;E$28,C$26,E350&lt;E$30,C$28,E350&lt;E$32,C$30,E350&lt;E$34,C$32,E350&gt;=E$34,C$34)</f>
        <v/>
      </c>
      <c r="D350" s="37">
        <f>_xlfn.IFS(E350&lt;E$24,0,E350&lt;E$25,D$24,E350&lt;E$26,D$25,E350&lt;E$27,D$26,E350&lt;E$28,D$27,E350&lt;E$29,D$28,E350&lt;E$30,D$29,E350&lt;E$31,D$30,E350&lt;E$32,D$31,E350&lt;E$33,D$32,E350&lt;E$34,D$33,E350&lt;E$35,D$34,E350&gt;=E$35,D$35)</f>
        <v/>
      </c>
      <c r="E350" s="38" t="n">
        <v>300</v>
      </c>
      <c r="F350" s="31">
        <f>E350/52</f>
        <v/>
      </c>
      <c r="G350" s="39">
        <f>D350/1000000*52</f>
        <v/>
      </c>
      <c r="H350" s="33">
        <f>G350/$P$4+($C$22/$P$4)</f>
        <v/>
      </c>
      <c r="I350" s="36">
        <f>_xlfn.IFS(K350&lt;K$24,0,K350&lt;K$26,I$24,K350&lt;K$28,I$26,K350&lt;K$30,I$28,K350&lt;K$32,I$30,K350&lt;K$34,I$32,K350&lt;K$36,I$34,K350&lt;K$38,I$36,K350&lt;K$40,I$38,K350&lt;K$42,I$40,K350&lt;K$44,I$42,K350&lt;K$46,I$44,K350&gt;=K$46,I$46)</f>
        <v/>
      </c>
      <c r="J350" s="37">
        <f>_xlfn.IFS(K350&lt;K$24,0,K350&lt;K$25,J$24,K350&lt;K$26,J$25,K350&lt;K$27,J$26,K350&lt;K$28,J$27,K350&lt;K$29,J$28,K350&lt;K$30,J$29,K350&lt;K$31,J$30,K350&lt;K$32,J$31,K350&lt;K$33,J$32,K350&lt;K$34,J$33,K350&lt;K$35,J$34,K350&lt;K$36,J$35,K350&lt;K$37,J$36,K350&lt;K$38,J$37,K350&lt;K$39,J$38,K350&lt;K$40,J$39,K350&lt;K$41,J$40,K350&lt;K$42,J$41,K350&lt;K$43,J$42,K350&lt;K$44,J$43,K350&lt;K$45,J$44,K350&lt;K$46,J$45,K350&lt;K$47,J$46,K350&gt;=K$47,J$47)</f>
        <v/>
      </c>
      <c r="K350" s="38" t="n">
        <v>300</v>
      </c>
      <c r="L350" s="31">
        <f>K350/52</f>
        <v/>
      </c>
      <c r="M350" s="39">
        <f>J350/1000000*52</f>
        <v/>
      </c>
      <c r="N350" s="33">
        <f>M350/$P$4+($I$22/$P$4)</f>
        <v/>
      </c>
      <c r="U350">
        <f>F349</f>
        <v/>
      </c>
      <c r="V350">
        <f>H349</f>
        <v/>
      </c>
      <c r="W350">
        <f>N349</f>
        <v/>
      </c>
    </row>
    <row r="351" ht="15.75" customHeight="1" s="40">
      <c r="C351" s="36">
        <f>_xlfn.IFS(E351&lt;E$24,0,E351&lt;E$26,C$24,E351&lt;E$28,C$26,E351&lt;E$30,C$28,E351&lt;E$32,C$30,E351&lt;E$34,C$32,E351&gt;=E$34,C$34)</f>
        <v/>
      </c>
      <c r="D351" s="37">
        <f>_xlfn.IFS(E351&lt;E$24,0,E351&lt;E$25,D$24,E351&lt;E$26,D$25,E351&lt;E$27,D$26,E351&lt;E$28,D$27,E351&lt;E$29,D$28,E351&lt;E$30,D$29,E351&lt;E$31,D$30,E351&lt;E$32,D$31,E351&lt;E$33,D$32,E351&lt;E$34,D$33,E351&lt;E$35,D$34,E351&gt;=E$35,D$35)</f>
        <v/>
      </c>
      <c r="E351" s="38" t="n">
        <v>301</v>
      </c>
      <c r="F351" s="31">
        <f>E351/52</f>
        <v/>
      </c>
      <c r="G351" s="39">
        <f>D351/1000000*52</f>
        <v/>
      </c>
      <c r="H351" s="33">
        <f>G351/$P$4+($C$22/$P$4)</f>
        <v/>
      </c>
      <c r="I351" s="36">
        <f>_xlfn.IFS(K351&lt;K$24,0,K351&lt;K$26,I$24,K351&lt;K$28,I$26,K351&lt;K$30,I$28,K351&lt;K$32,I$30,K351&lt;K$34,I$32,K351&lt;K$36,I$34,K351&lt;K$38,I$36,K351&lt;K$40,I$38,K351&lt;K$42,I$40,K351&lt;K$44,I$42,K351&lt;K$46,I$44,K351&gt;=K$46,I$46)</f>
        <v/>
      </c>
      <c r="J351" s="37">
        <f>_xlfn.IFS(K351&lt;K$24,0,K351&lt;K$25,J$24,K351&lt;K$26,J$25,K351&lt;K$27,J$26,K351&lt;K$28,J$27,K351&lt;K$29,J$28,K351&lt;K$30,J$29,K351&lt;K$31,J$30,K351&lt;K$32,J$31,K351&lt;K$33,J$32,K351&lt;K$34,J$33,K351&lt;K$35,J$34,K351&lt;K$36,J$35,K351&lt;K$37,J$36,K351&lt;K$38,J$37,K351&lt;K$39,J$38,K351&lt;K$40,J$39,K351&lt;K$41,J$40,K351&lt;K$42,J$41,K351&lt;K$43,J$42,K351&lt;K$44,J$43,K351&lt;K$45,J$44,K351&lt;K$46,J$45,K351&lt;K$47,J$46,K351&gt;=K$47,J$47)</f>
        <v/>
      </c>
      <c r="K351" s="38" t="n">
        <v>301</v>
      </c>
      <c r="L351" s="31">
        <f>K351/52</f>
        <v/>
      </c>
      <c r="M351" s="39">
        <f>J351/1000000*52</f>
        <v/>
      </c>
      <c r="N351" s="33">
        <f>M351/$P$4+($I$22/$P$4)</f>
        <v/>
      </c>
      <c r="U351">
        <f>F350</f>
        <v/>
      </c>
      <c r="V351">
        <f>H350</f>
        <v/>
      </c>
      <c r="W351">
        <f>N350</f>
        <v/>
      </c>
    </row>
    <row r="352" ht="15.75" customHeight="1" s="40">
      <c r="C352" s="36">
        <f>_xlfn.IFS(E352&lt;E$24,0,E352&lt;E$26,C$24,E352&lt;E$28,C$26,E352&lt;E$30,C$28,E352&lt;E$32,C$30,E352&lt;E$34,C$32,E352&gt;=E$34,C$34)</f>
        <v/>
      </c>
      <c r="D352" s="37">
        <f>_xlfn.IFS(E352&lt;E$24,0,E352&lt;E$25,D$24,E352&lt;E$26,D$25,E352&lt;E$27,D$26,E352&lt;E$28,D$27,E352&lt;E$29,D$28,E352&lt;E$30,D$29,E352&lt;E$31,D$30,E352&lt;E$32,D$31,E352&lt;E$33,D$32,E352&lt;E$34,D$33,E352&lt;E$35,D$34,E352&gt;=E$35,D$35)</f>
        <v/>
      </c>
      <c r="E352" s="38" t="n">
        <v>302</v>
      </c>
      <c r="F352" s="31">
        <f>E352/52</f>
        <v/>
      </c>
      <c r="G352" s="39">
        <f>D352/1000000*52</f>
        <v/>
      </c>
      <c r="H352" s="33">
        <f>G352/$P$4+($C$22/$P$4)</f>
        <v/>
      </c>
      <c r="I352" s="36">
        <f>_xlfn.IFS(K352&lt;K$24,0,K352&lt;K$26,I$24,K352&lt;K$28,I$26,K352&lt;K$30,I$28,K352&lt;K$32,I$30,K352&lt;K$34,I$32,K352&lt;K$36,I$34,K352&lt;K$38,I$36,K352&lt;K$40,I$38,K352&lt;K$42,I$40,K352&lt;K$44,I$42,K352&lt;K$46,I$44,K352&gt;=K$46,I$46)</f>
        <v/>
      </c>
      <c r="J352" s="37">
        <f>_xlfn.IFS(K352&lt;K$24,0,K352&lt;K$25,J$24,K352&lt;K$26,J$25,K352&lt;K$27,J$26,K352&lt;K$28,J$27,K352&lt;K$29,J$28,K352&lt;K$30,J$29,K352&lt;K$31,J$30,K352&lt;K$32,J$31,K352&lt;K$33,J$32,K352&lt;K$34,J$33,K352&lt;K$35,J$34,K352&lt;K$36,J$35,K352&lt;K$37,J$36,K352&lt;K$38,J$37,K352&lt;K$39,J$38,K352&lt;K$40,J$39,K352&lt;K$41,J$40,K352&lt;K$42,J$41,K352&lt;K$43,J$42,K352&lt;K$44,J$43,K352&lt;K$45,J$44,K352&lt;K$46,J$45,K352&lt;K$47,J$46,K352&gt;=K$47,J$47)</f>
        <v/>
      </c>
      <c r="K352" s="38" t="n">
        <v>302</v>
      </c>
      <c r="L352" s="31">
        <f>K352/52</f>
        <v/>
      </c>
      <c r="M352" s="39">
        <f>J352/1000000*52</f>
        <v/>
      </c>
      <c r="N352" s="33">
        <f>M352/$P$4+($I$22/$P$4)</f>
        <v/>
      </c>
      <c r="U352">
        <f>F351</f>
        <v/>
      </c>
      <c r="V352">
        <f>H351</f>
        <v/>
      </c>
      <c r="W352">
        <f>N351</f>
        <v/>
      </c>
    </row>
    <row r="353" ht="15.75" customHeight="1" s="40">
      <c r="C353" s="36">
        <f>_xlfn.IFS(E353&lt;E$24,0,E353&lt;E$26,C$24,E353&lt;E$28,C$26,E353&lt;E$30,C$28,E353&lt;E$32,C$30,E353&lt;E$34,C$32,E353&gt;=E$34,C$34)</f>
        <v/>
      </c>
      <c r="D353" s="37">
        <f>_xlfn.IFS(E353&lt;E$24,0,E353&lt;E$25,D$24,E353&lt;E$26,D$25,E353&lt;E$27,D$26,E353&lt;E$28,D$27,E353&lt;E$29,D$28,E353&lt;E$30,D$29,E353&lt;E$31,D$30,E353&lt;E$32,D$31,E353&lt;E$33,D$32,E353&lt;E$34,D$33,E353&lt;E$35,D$34,E353&gt;=E$35,D$35)</f>
        <v/>
      </c>
      <c r="E353" s="38" t="n">
        <v>303</v>
      </c>
      <c r="F353" s="31">
        <f>E353/52</f>
        <v/>
      </c>
      <c r="G353" s="39">
        <f>D353/1000000*52</f>
        <v/>
      </c>
      <c r="H353" s="33">
        <f>G353/$P$4+($C$22/$P$4)</f>
        <v/>
      </c>
      <c r="I353" s="36">
        <f>_xlfn.IFS(K353&lt;K$24,0,K353&lt;K$26,I$24,K353&lt;K$28,I$26,K353&lt;K$30,I$28,K353&lt;K$32,I$30,K353&lt;K$34,I$32,K353&lt;K$36,I$34,K353&lt;K$38,I$36,K353&lt;K$40,I$38,K353&lt;K$42,I$40,K353&lt;K$44,I$42,K353&lt;K$46,I$44,K353&gt;=K$46,I$46)</f>
        <v/>
      </c>
      <c r="J353" s="37">
        <f>_xlfn.IFS(K353&lt;K$24,0,K353&lt;K$25,J$24,K353&lt;K$26,J$25,K353&lt;K$27,J$26,K353&lt;K$28,J$27,K353&lt;K$29,J$28,K353&lt;K$30,J$29,K353&lt;K$31,J$30,K353&lt;K$32,J$31,K353&lt;K$33,J$32,K353&lt;K$34,J$33,K353&lt;K$35,J$34,K353&lt;K$36,J$35,K353&lt;K$37,J$36,K353&lt;K$38,J$37,K353&lt;K$39,J$38,K353&lt;K$40,J$39,K353&lt;K$41,J$40,K353&lt;K$42,J$41,K353&lt;K$43,J$42,K353&lt;K$44,J$43,K353&lt;K$45,J$44,K353&lt;K$46,J$45,K353&lt;K$47,J$46,K353&gt;=K$47,J$47)</f>
        <v/>
      </c>
      <c r="K353" s="38" t="n">
        <v>303</v>
      </c>
      <c r="L353" s="31">
        <f>K353/52</f>
        <v/>
      </c>
      <c r="M353" s="39">
        <f>J353/1000000*52</f>
        <v/>
      </c>
      <c r="N353" s="33">
        <f>M353/$P$4+($I$22/$P$4)</f>
        <v/>
      </c>
      <c r="U353">
        <f>F352</f>
        <v/>
      </c>
      <c r="V353">
        <f>H352</f>
        <v/>
      </c>
      <c r="W353">
        <f>N352</f>
        <v/>
      </c>
    </row>
    <row r="354" ht="15.75" customHeight="1" s="40">
      <c r="C354" s="36">
        <f>_xlfn.IFS(E354&lt;E$24,0,E354&lt;E$26,C$24,E354&lt;E$28,C$26,E354&lt;E$30,C$28,E354&lt;E$32,C$30,E354&lt;E$34,C$32,E354&gt;=E$34,C$34)</f>
        <v/>
      </c>
      <c r="D354" s="37">
        <f>_xlfn.IFS(E354&lt;E$24,0,E354&lt;E$25,D$24,E354&lt;E$26,D$25,E354&lt;E$27,D$26,E354&lt;E$28,D$27,E354&lt;E$29,D$28,E354&lt;E$30,D$29,E354&lt;E$31,D$30,E354&lt;E$32,D$31,E354&lt;E$33,D$32,E354&lt;E$34,D$33,E354&lt;E$35,D$34,E354&gt;=E$35,D$35)</f>
        <v/>
      </c>
      <c r="E354" s="38" t="n">
        <v>304</v>
      </c>
      <c r="F354" s="31">
        <f>E354/52</f>
        <v/>
      </c>
      <c r="G354" s="39">
        <f>D354/1000000*52</f>
        <v/>
      </c>
      <c r="H354" s="33">
        <f>G354/$P$4+($C$22/$P$4)</f>
        <v/>
      </c>
      <c r="I354" s="36">
        <f>_xlfn.IFS(K354&lt;K$24,0,K354&lt;K$26,I$24,K354&lt;K$28,I$26,K354&lt;K$30,I$28,K354&lt;K$32,I$30,K354&lt;K$34,I$32,K354&lt;K$36,I$34,K354&lt;K$38,I$36,K354&lt;K$40,I$38,K354&lt;K$42,I$40,K354&lt;K$44,I$42,K354&lt;K$46,I$44,K354&gt;=K$46,I$46)</f>
        <v/>
      </c>
      <c r="J354" s="37">
        <f>_xlfn.IFS(K354&lt;K$24,0,K354&lt;K$25,J$24,K354&lt;K$26,J$25,K354&lt;K$27,J$26,K354&lt;K$28,J$27,K354&lt;K$29,J$28,K354&lt;K$30,J$29,K354&lt;K$31,J$30,K354&lt;K$32,J$31,K354&lt;K$33,J$32,K354&lt;K$34,J$33,K354&lt;K$35,J$34,K354&lt;K$36,J$35,K354&lt;K$37,J$36,K354&lt;K$38,J$37,K354&lt;K$39,J$38,K354&lt;K$40,J$39,K354&lt;K$41,J$40,K354&lt;K$42,J$41,K354&lt;K$43,J$42,K354&lt;K$44,J$43,K354&lt;K$45,J$44,K354&lt;K$46,J$45,K354&lt;K$47,J$46,K354&gt;=K$47,J$47)</f>
        <v/>
      </c>
      <c r="K354" s="38" t="n">
        <v>304</v>
      </c>
      <c r="L354" s="31">
        <f>K354/52</f>
        <v/>
      </c>
      <c r="M354" s="39">
        <f>J354/1000000*52</f>
        <v/>
      </c>
      <c r="N354" s="33">
        <f>M354/$P$4+($I$22/$P$4)</f>
        <v/>
      </c>
      <c r="U354">
        <f>F353</f>
        <v/>
      </c>
      <c r="V354">
        <f>H353</f>
        <v/>
      </c>
      <c r="W354">
        <f>N353</f>
        <v/>
      </c>
    </row>
    <row r="355" ht="15.75" customHeight="1" s="40">
      <c r="C355" s="36">
        <f>_xlfn.IFS(E355&lt;E$24,0,E355&lt;E$26,C$24,E355&lt;E$28,C$26,E355&lt;E$30,C$28,E355&lt;E$32,C$30,E355&lt;E$34,C$32,E355&gt;=E$34,C$34)</f>
        <v/>
      </c>
      <c r="D355" s="37">
        <f>_xlfn.IFS(E355&lt;E$24,0,E355&lt;E$25,D$24,E355&lt;E$26,D$25,E355&lt;E$27,D$26,E355&lt;E$28,D$27,E355&lt;E$29,D$28,E355&lt;E$30,D$29,E355&lt;E$31,D$30,E355&lt;E$32,D$31,E355&lt;E$33,D$32,E355&lt;E$34,D$33,E355&lt;E$35,D$34,E355&gt;=E$35,D$35)</f>
        <v/>
      </c>
      <c r="E355" s="38" t="n">
        <v>305</v>
      </c>
      <c r="F355" s="31">
        <f>E355/52</f>
        <v/>
      </c>
      <c r="G355" s="39">
        <f>D355/1000000*52</f>
        <v/>
      </c>
      <c r="H355" s="33">
        <f>G355/$P$4+($C$22/$P$4)</f>
        <v/>
      </c>
      <c r="I355" s="36">
        <f>_xlfn.IFS(K355&lt;K$24,0,K355&lt;K$26,I$24,K355&lt;K$28,I$26,K355&lt;K$30,I$28,K355&lt;K$32,I$30,K355&lt;K$34,I$32,K355&lt;K$36,I$34,K355&lt;K$38,I$36,K355&lt;K$40,I$38,K355&lt;K$42,I$40,K355&lt;K$44,I$42,K355&lt;K$46,I$44,K355&gt;=K$46,I$46)</f>
        <v/>
      </c>
      <c r="J355" s="37">
        <f>_xlfn.IFS(K355&lt;K$24,0,K355&lt;K$25,J$24,K355&lt;K$26,J$25,K355&lt;K$27,J$26,K355&lt;K$28,J$27,K355&lt;K$29,J$28,K355&lt;K$30,J$29,K355&lt;K$31,J$30,K355&lt;K$32,J$31,K355&lt;K$33,J$32,K355&lt;K$34,J$33,K355&lt;K$35,J$34,K355&lt;K$36,J$35,K355&lt;K$37,J$36,K355&lt;K$38,J$37,K355&lt;K$39,J$38,K355&lt;K$40,J$39,K355&lt;K$41,J$40,K355&lt;K$42,J$41,K355&lt;K$43,J$42,K355&lt;K$44,J$43,K355&lt;K$45,J$44,K355&lt;K$46,J$45,K355&lt;K$47,J$46,K355&gt;=K$47,J$47)</f>
        <v/>
      </c>
      <c r="K355" s="38" t="n">
        <v>305</v>
      </c>
      <c r="L355" s="31">
        <f>K355/52</f>
        <v/>
      </c>
      <c r="M355" s="39">
        <f>J355/1000000*52</f>
        <v/>
      </c>
      <c r="N355" s="33">
        <f>M355/$P$4+($I$22/$P$4)</f>
        <v/>
      </c>
      <c r="U355">
        <f>F354</f>
        <v/>
      </c>
      <c r="V355">
        <f>H354</f>
        <v/>
      </c>
      <c r="W355">
        <f>N354</f>
        <v/>
      </c>
    </row>
    <row r="356" ht="15.75" customHeight="1" s="40">
      <c r="C356" s="36">
        <f>_xlfn.IFS(E356&lt;E$24,0,E356&lt;E$26,C$24,E356&lt;E$28,C$26,E356&lt;E$30,C$28,E356&lt;E$32,C$30,E356&lt;E$34,C$32,E356&gt;=E$34,C$34)</f>
        <v/>
      </c>
      <c r="D356" s="37">
        <f>_xlfn.IFS(E356&lt;E$24,0,E356&lt;E$25,D$24,E356&lt;E$26,D$25,E356&lt;E$27,D$26,E356&lt;E$28,D$27,E356&lt;E$29,D$28,E356&lt;E$30,D$29,E356&lt;E$31,D$30,E356&lt;E$32,D$31,E356&lt;E$33,D$32,E356&lt;E$34,D$33,E356&lt;E$35,D$34,E356&gt;=E$35,D$35)</f>
        <v/>
      </c>
      <c r="E356" s="38" t="n">
        <v>306</v>
      </c>
      <c r="F356" s="31">
        <f>E356/52</f>
        <v/>
      </c>
      <c r="G356" s="39">
        <f>D356/1000000*52</f>
        <v/>
      </c>
      <c r="H356" s="33">
        <f>G356/$P$4+($C$22/$P$4)</f>
        <v/>
      </c>
      <c r="I356" s="36">
        <f>_xlfn.IFS(K356&lt;K$24,0,K356&lt;K$26,I$24,K356&lt;K$28,I$26,K356&lt;K$30,I$28,K356&lt;K$32,I$30,K356&lt;K$34,I$32,K356&lt;K$36,I$34,K356&lt;K$38,I$36,K356&lt;K$40,I$38,K356&lt;K$42,I$40,K356&lt;K$44,I$42,K356&lt;K$46,I$44,K356&gt;=K$46,I$46)</f>
        <v/>
      </c>
      <c r="J356" s="37">
        <f>_xlfn.IFS(K356&lt;K$24,0,K356&lt;K$25,J$24,K356&lt;K$26,J$25,K356&lt;K$27,J$26,K356&lt;K$28,J$27,K356&lt;K$29,J$28,K356&lt;K$30,J$29,K356&lt;K$31,J$30,K356&lt;K$32,J$31,K356&lt;K$33,J$32,K356&lt;K$34,J$33,K356&lt;K$35,J$34,K356&lt;K$36,J$35,K356&lt;K$37,J$36,K356&lt;K$38,J$37,K356&lt;K$39,J$38,K356&lt;K$40,J$39,K356&lt;K$41,J$40,K356&lt;K$42,J$41,K356&lt;K$43,J$42,K356&lt;K$44,J$43,K356&lt;K$45,J$44,K356&lt;K$46,J$45,K356&lt;K$47,J$46,K356&gt;=K$47,J$47)</f>
        <v/>
      </c>
      <c r="K356" s="38" t="n">
        <v>306</v>
      </c>
      <c r="L356" s="31">
        <f>K356/52</f>
        <v/>
      </c>
      <c r="M356" s="39">
        <f>J356/1000000*52</f>
        <v/>
      </c>
      <c r="N356" s="33">
        <f>M356/$P$4+($I$22/$P$4)</f>
        <v/>
      </c>
      <c r="U356">
        <f>F355</f>
        <v/>
      </c>
      <c r="V356">
        <f>H355</f>
        <v/>
      </c>
      <c r="W356">
        <f>N355</f>
        <v/>
      </c>
    </row>
    <row r="357" ht="15.75" customHeight="1" s="40">
      <c r="C357" s="36">
        <f>_xlfn.IFS(E357&lt;E$24,0,E357&lt;E$26,C$24,E357&lt;E$28,C$26,E357&lt;E$30,C$28,E357&lt;E$32,C$30,E357&lt;E$34,C$32,E357&gt;=E$34,C$34)</f>
        <v/>
      </c>
      <c r="D357" s="37">
        <f>_xlfn.IFS(E357&lt;E$24,0,E357&lt;E$25,D$24,E357&lt;E$26,D$25,E357&lt;E$27,D$26,E357&lt;E$28,D$27,E357&lt;E$29,D$28,E357&lt;E$30,D$29,E357&lt;E$31,D$30,E357&lt;E$32,D$31,E357&lt;E$33,D$32,E357&lt;E$34,D$33,E357&lt;E$35,D$34,E357&gt;=E$35,D$35)</f>
        <v/>
      </c>
      <c r="E357" s="38" t="n">
        <v>307</v>
      </c>
      <c r="F357" s="31">
        <f>E357/52</f>
        <v/>
      </c>
      <c r="G357" s="39">
        <f>D357/1000000*52</f>
        <v/>
      </c>
      <c r="H357" s="33">
        <f>G357/$P$4+($C$22/$P$4)</f>
        <v/>
      </c>
      <c r="I357" s="36">
        <f>_xlfn.IFS(K357&lt;K$24,0,K357&lt;K$26,I$24,K357&lt;K$28,I$26,K357&lt;K$30,I$28,K357&lt;K$32,I$30,K357&lt;K$34,I$32,K357&lt;K$36,I$34,K357&lt;K$38,I$36,K357&lt;K$40,I$38,K357&lt;K$42,I$40,K357&lt;K$44,I$42,K357&lt;K$46,I$44,K357&gt;=K$46,I$46)</f>
        <v/>
      </c>
      <c r="J357" s="37">
        <f>_xlfn.IFS(K357&lt;K$24,0,K357&lt;K$25,J$24,K357&lt;K$26,J$25,K357&lt;K$27,J$26,K357&lt;K$28,J$27,K357&lt;K$29,J$28,K357&lt;K$30,J$29,K357&lt;K$31,J$30,K357&lt;K$32,J$31,K357&lt;K$33,J$32,K357&lt;K$34,J$33,K357&lt;K$35,J$34,K357&lt;K$36,J$35,K357&lt;K$37,J$36,K357&lt;K$38,J$37,K357&lt;K$39,J$38,K357&lt;K$40,J$39,K357&lt;K$41,J$40,K357&lt;K$42,J$41,K357&lt;K$43,J$42,K357&lt;K$44,J$43,K357&lt;K$45,J$44,K357&lt;K$46,J$45,K357&lt;K$47,J$46,K357&gt;=K$47,J$47)</f>
        <v/>
      </c>
      <c r="K357" s="38" t="n">
        <v>307</v>
      </c>
      <c r="L357" s="31">
        <f>K357/52</f>
        <v/>
      </c>
      <c r="M357" s="39">
        <f>J357/1000000*52</f>
        <v/>
      </c>
      <c r="N357" s="33">
        <f>M357/$P$4+($I$22/$P$4)</f>
        <v/>
      </c>
      <c r="U357">
        <f>F356</f>
        <v/>
      </c>
      <c r="V357">
        <f>H356</f>
        <v/>
      </c>
      <c r="W357">
        <f>N356</f>
        <v/>
      </c>
    </row>
    <row r="358" ht="15.75" customHeight="1" s="40">
      <c r="C358" s="36">
        <f>_xlfn.IFS(E358&lt;E$24,0,E358&lt;E$26,C$24,E358&lt;E$28,C$26,E358&lt;E$30,C$28,E358&lt;E$32,C$30,E358&lt;E$34,C$32,E358&gt;=E$34,C$34)</f>
        <v/>
      </c>
      <c r="D358" s="37">
        <f>_xlfn.IFS(E358&lt;E$24,0,E358&lt;E$25,D$24,E358&lt;E$26,D$25,E358&lt;E$27,D$26,E358&lt;E$28,D$27,E358&lt;E$29,D$28,E358&lt;E$30,D$29,E358&lt;E$31,D$30,E358&lt;E$32,D$31,E358&lt;E$33,D$32,E358&lt;E$34,D$33,E358&lt;E$35,D$34,E358&gt;=E$35,D$35)</f>
        <v/>
      </c>
      <c r="E358" s="38" t="n">
        <v>308</v>
      </c>
      <c r="F358" s="31">
        <f>E358/52</f>
        <v/>
      </c>
      <c r="G358" s="39">
        <f>D358/1000000*52</f>
        <v/>
      </c>
      <c r="H358" s="33">
        <f>G358/$P$4+($C$22/$P$4)</f>
        <v/>
      </c>
      <c r="I358" s="36">
        <f>_xlfn.IFS(K358&lt;K$24,0,K358&lt;K$26,I$24,K358&lt;K$28,I$26,K358&lt;K$30,I$28,K358&lt;K$32,I$30,K358&lt;K$34,I$32,K358&lt;K$36,I$34,K358&lt;K$38,I$36,K358&lt;K$40,I$38,K358&lt;K$42,I$40,K358&lt;K$44,I$42,K358&lt;K$46,I$44,K358&gt;=K$46,I$46)</f>
        <v/>
      </c>
      <c r="J358" s="37">
        <f>_xlfn.IFS(K358&lt;K$24,0,K358&lt;K$25,J$24,K358&lt;K$26,J$25,K358&lt;K$27,J$26,K358&lt;K$28,J$27,K358&lt;K$29,J$28,K358&lt;K$30,J$29,K358&lt;K$31,J$30,K358&lt;K$32,J$31,K358&lt;K$33,J$32,K358&lt;K$34,J$33,K358&lt;K$35,J$34,K358&lt;K$36,J$35,K358&lt;K$37,J$36,K358&lt;K$38,J$37,K358&lt;K$39,J$38,K358&lt;K$40,J$39,K358&lt;K$41,J$40,K358&lt;K$42,J$41,K358&lt;K$43,J$42,K358&lt;K$44,J$43,K358&lt;K$45,J$44,K358&lt;K$46,J$45,K358&lt;K$47,J$46,K358&gt;=K$47,J$47)</f>
        <v/>
      </c>
      <c r="K358" s="38" t="n">
        <v>308</v>
      </c>
      <c r="L358" s="31">
        <f>K358/52</f>
        <v/>
      </c>
      <c r="M358" s="39">
        <f>J358/1000000*52</f>
        <v/>
      </c>
      <c r="N358" s="33">
        <f>M358/$P$4+($I$22/$P$4)</f>
        <v/>
      </c>
      <c r="U358">
        <f>F357</f>
        <v/>
      </c>
      <c r="V358">
        <f>H357</f>
        <v/>
      </c>
      <c r="W358">
        <f>N357</f>
        <v/>
      </c>
    </row>
    <row r="359" ht="15.75" customHeight="1" s="40">
      <c r="C359" s="36">
        <f>_xlfn.IFS(E359&lt;E$24,0,E359&lt;E$26,C$24,E359&lt;E$28,C$26,E359&lt;E$30,C$28,E359&lt;E$32,C$30,E359&lt;E$34,C$32,E359&gt;=E$34,C$34)</f>
        <v/>
      </c>
      <c r="D359" s="37">
        <f>_xlfn.IFS(E359&lt;E$24,0,E359&lt;E$25,D$24,E359&lt;E$26,D$25,E359&lt;E$27,D$26,E359&lt;E$28,D$27,E359&lt;E$29,D$28,E359&lt;E$30,D$29,E359&lt;E$31,D$30,E359&lt;E$32,D$31,E359&lt;E$33,D$32,E359&lt;E$34,D$33,E359&lt;E$35,D$34,E359&gt;=E$35,D$35)</f>
        <v/>
      </c>
      <c r="E359" s="38" t="n">
        <v>309</v>
      </c>
      <c r="F359" s="31">
        <f>E359/52</f>
        <v/>
      </c>
      <c r="G359" s="39">
        <f>D359/1000000*52</f>
        <v/>
      </c>
      <c r="H359" s="33">
        <f>G359/$P$4+($C$22/$P$4)</f>
        <v/>
      </c>
      <c r="I359" s="36">
        <f>_xlfn.IFS(K359&lt;K$24,0,K359&lt;K$26,I$24,K359&lt;K$28,I$26,K359&lt;K$30,I$28,K359&lt;K$32,I$30,K359&lt;K$34,I$32,K359&lt;K$36,I$34,K359&lt;K$38,I$36,K359&lt;K$40,I$38,K359&lt;K$42,I$40,K359&lt;K$44,I$42,K359&lt;K$46,I$44,K359&gt;=K$46,I$46)</f>
        <v/>
      </c>
      <c r="J359" s="37">
        <f>_xlfn.IFS(K359&lt;K$24,0,K359&lt;K$25,J$24,K359&lt;K$26,J$25,K359&lt;K$27,J$26,K359&lt;K$28,J$27,K359&lt;K$29,J$28,K359&lt;K$30,J$29,K359&lt;K$31,J$30,K359&lt;K$32,J$31,K359&lt;K$33,J$32,K359&lt;K$34,J$33,K359&lt;K$35,J$34,K359&lt;K$36,J$35,K359&lt;K$37,J$36,K359&lt;K$38,J$37,K359&lt;K$39,J$38,K359&lt;K$40,J$39,K359&lt;K$41,J$40,K359&lt;K$42,J$41,K359&lt;K$43,J$42,K359&lt;K$44,J$43,K359&lt;K$45,J$44,K359&lt;K$46,J$45,K359&lt;K$47,J$46,K359&gt;=K$47,J$47)</f>
        <v/>
      </c>
      <c r="K359" s="38" t="n">
        <v>309</v>
      </c>
      <c r="L359" s="31">
        <f>K359/52</f>
        <v/>
      </c>
      <c r="M359" s="39">
        <f>J359/1000000*52</f>
        <v/>
      </c>
      <c r="N359" s="33">
        <f>M359/$P$4+($I$22/$P$4)</f>
        <v/>
      </c>
      <c r="U359">
        <f>F358</f>
        <v/>
      </c>
      <c r="V359">
        <f>H358</f>
        <v/>
      </c>
      <c r="W359">
        <f>N358</f>
        <v/>
      </c>
    </row>
    <row r="360" ht="15.75" customHeight="1" s="40">
      <c r="C360" s="36">
        <f>_xlfn.IFS(E360&lt;E$24,0,E360&lt;E$26,C$24,E360&lt;E$28,C$26,E360&lt;E$30,C$28,E360&lt;E$32,C$30,E360&lt;E$34,C$32,E360&gt;=E$34,C$34)</f>
        <v/>
      </c>
      <c r="D360" s="37">
        <f>_xlfn.IFS(E360&lt;E$24,0,E360&lt;E$25,D$24,E360&lt;E$26,D$25,E360&lt;E$27,D$26,E360&lt;E$28,D$27,E360&lt;E$29,D$28,E360&lt;E$30,D$29,E360&lt;E$31,D$30,E360&lt;E$32,D$31,E360&lt;E$33,D$32,E360&lt;E$34,D$33,E360&lt;E$35,D$34,E360&gt;=E$35,D$35)</f>
        <v/>
      </c>
      <c r="E360" s="38" t="n">
        <v>310</v>
      </c>
      <c r="F360" s="31">
        <f>E360/52</f>
        <v/>
      </c>
      <c r="G360" s="39">
        <f>D360/1000000*52</f>
        <v/>
      </c>
      <c r="H360" s="33">
        <f>G360/$P$4+($C$22/$P$4)</f>
        <v/>
      </c>
      <c r="I360" s="36">
        <f>_xlfn.IFS(K360&lt;K$24,0,K360&lt;K$26,I$24,K360&lt;K$28,I$26,K360&lt;K$30,I$28,K360&lt;K$32,I$30,K360&lt;K$34,I$32,K360&lt;K$36,I$34,K360&lt;K$38,I$36,K360&lt;K$40,I$38,K360&lt;K$42,I$40,K360&lt;K$44,I$42,K360&lt;K$46,I$44,K360&gt;=K$46,I$46)</f>
        <v/>
      </c>
      <c r="J360" s="37">
        <f>_xlfn.IFS(K360&lt;K$24,0,K360&lt;K$25,J$24,K360&lt;K$26,J$25,K360&lt;K$27,J$26,K360&lt;K$28,J$27,K360&lt;K$29,J$28,K360&lt;K$30,J$29,K360&lt;K$31,J$30,K360&lt;K$32,J$31,K360&lt;K$33,J$32,K360&lt;K$34,J$33,K360&lt;K$35,J$34,K360&lt;K$36,J$35,K360&lt;K$37,J$36,K360&lt;K$38,J$37,K360&lt;K$39,J$38,K360&lt;K$40,J$39,K360&lt;K$41,J$40,K360&lt;K$42,J$41,K360&lt;K$43,J$42,K360&lt;K$44,J$43,K360&lt;K$45,J$44,K360&lt;K$46,J$45,K360&lt;K$47,J$46,K360&gt;=K$47,J$47)</f>
        <v/>
      </c>
      <c r="K360" s="38" t="n">
        <v>310</v>
      </c>
      <c r="L360" s="31">
        <f>K360/52</f>
        <v/>
      </c>
      <c r="M360" s="39">
        <f>J360/1000000*52</f>
        <v/>
      </c>
      <c r="N360" s="33">
        <f>M360/$P$4+($I$22/$P$4)</f>
        <v/>
      </c>
      <c r="U360">
        <f>F359</f>
        <v/>
      </c>
      <c r="V360">
        <f>H359</f>
        <v/>
      </c>
      <c r="W360">
        <f>N359</f>
        <v/>
      </c>
    </row>
    <row r="361" ht="15.75" customHeight="1" s="40">
      <c r="C361" s="36">
        <f>_xlfn.IFS(E361&lt;E$24,0,E361&lt;E$26,C$24,E361&lt;E$28,C$26,E361&lt;E$30,C$28,E361&lt;E$32,C$30,E361&lt;E$34,C$32,E361&gt;=E$34,C$34)</f>
        <v/>
      </c>
      <c r="D361" s="37">
        <f>_xlfn.IFS(E361&lt;E$24,0,E361&lt;E$25,D$24,E361&lt;E$26,D$25,E361&lt;E$27,D$26,E361&lt;E$28,D$27,E361&lt;E$29,D$28,E361&lt;E$30,D$29,E361&lt;E$31,D$30,E361&lt;E$32,D$31,E361&lt;E$33,D$32,E361&lt;E$34,D$33,E361&lt;E$35,D$34,E361&gt;=E$35,D$35)</f>
        <v/>
      </c>
      <c r="E361" s="38" t="n">
        <v>311</v>
      </c>
      <c r="F361" s="31">
        <f>E361/52</f>
        <v/>
      </c>
      <c r="G361" s="39">
        <f>D361/1000000*52</f>
        <v/>
      </c>
      <c r="H361" s="33">
        <f>G361/$P$4+($C$22/$P$4)</f>
        <v/>
      </c>
      <c r="I361" s="36">
        <f>_xlfn.IFS(K361&lt;K$24,0,K361&lt;K$26,I$24,K361&lt;K$28,I$26,K361&lt;K$30,I$28,K361&lt;K$32,I$30,K361&lt;K$34,I$32,K361&lt;K$36,I$34,K361&lt;K$38,I$36,K361&lt;K$40,I$38,K361&lt;K$42,I$40,K361&lt;K$44,I$42,K361&lt;K$46,I$44,K361&gt;=K$46,I$46)</f>
        <v/>
      </c>
      <c r="J361" s="37">
        <f>_xlfn.IFS(K361&lt;K$24,0,K361&lt;K$25,J$24,K361&lt;K$26,J$25,K361&lt;K$27,J$26,K361&lt;K$28,J$27,K361&lt;K$29,J$28,K361&lt;K$30,J$29,K361&lt;K$31,J$30,K361&lt;K$32,J$31,K361&lt;K$33,J$32,K361&lt;K$34,J$33,K361&lt;K$35,J$34,K361&lt;K$36,J$35,K361&lt;K$37,J$36,K361&lt;K$38,J$37,K361&lt;K$39,J$38,K361&lt;K$40,J$39,K361&lt;K$41,J$40,K361&lt;K$42,J$41,K361&lt;K$43,J$42,K361&lt;K$44,J$43,K361&lt;K$45,J$44,K361&lt;K$46,J$45,K361&lt;K$47,J$46,K361&gt;=K$47,J$47)</f>
        <v/>
      </c>
      <c r="K361" s="38" t="n">
        <v>311</v>
      </c>
      <c r="L361" s="31">
        <f>K361/52</f>
        <v/>
      </c>
      <c r="M361" s="39">
        <f>J361/1000000*52</f>
        <v/>
      </c>
      <c r="N361" s="33">
        <f>M361/$P$4+($I$22/$P$4)</f>
        <v/>
      </c>
      <c r="U361">
        <f>F360</f>
        <v/>
      </c>
      <c r="V361">
        <f>H360</f>
        <v/>
      </c>
      <c r="W361">
        <f>N360</f>
        <v/>
      </c>
    </row>
    <row r="362" ht="15.75" customHeight="1" s="40">
      <c r="C362" s="36">
        <f>_xlfn.IFS(E362&lt;E$24,0,E362&lt;E$26,C$24,E362&lt;E$28,C$26,E362&lt;E$30,C$28,E362&lt;E$32,C$30,E362&lt;E$34,C$32,E362&gt;=E$34,C$34)</f>
        <v/>
      </c>
      <c r="D362" s="37">
        <f>_xlfn.IFS(E362&lt;E$24,0,E362&lt;E$25,D$24,E362&lt;E$26,D$25,E362&lt;E$27,D$26,E362&lt;E$28,D$27,E362&lt;E$29,D$28,E362&lt;E$30,D$29,E362&lt;E$31,D$30,E362&lt;E$32,D$31,E362&lt;E$33,D$32,E362&lt;E$34,D$33,E362&lt;E$35,D$34,E362&gt;=E$35,D$35)</f>
        <v/>
      </c>
      <c r="E362" s="38" t="n">
        <v>312</v>
      </c>
      <c r="F362" s="31">
        <f>E362/52</f>
        <v/>
      </c>
      <c r="G362" s="39">
        <f>D362/1000000*52</f>
        <v/>
      </c>
      <c r="H362" s="33">
        <f>G362/$P$4+($C$22/$P$4)</f>
        <v/>
      </c>
      <c r="I362" s="36">
        <f>_xlfn.IFS(K362&lt;K$24,0,K362&lt;K$26,I$24,K362&lt;K$28,I$26,K362&lt;K$30,I$28,K362&lt;K$32,I$30,K362&lt;K$34,I$32,K362&lt;K$36,I$34,K362&lt;K$38,I$36,K362&lt;K$40,I$38,K362&lt;K$42,I$40,K362&lt;K$44,I$42,K362&lt;K$46,I$44,K362&gt;=K$46,I$46)</f>
        <v/>
      </c>
      <c r="J362" s="37">
        <f>_xlfn.IFS(K362&lt;K$24,0,K362&lt;K$25,J$24,K362&lt;K$26,J$25,K362&lt;K$27,J$26,K362&lt;K$28,J$27,K362&lt;K$29,J$28,K362&lt;K$30,J$29,K362&lt;K$31,J$30,K362&lt;K$32,J$31,K362&lt;K$33,J$32,K362&lt;K$34,J$33,K362&lt;K$35,J$34,K362&lt;K$36,J$35,K362&lt;K$37,J$36,K362&lt;K$38,J$37,K362&lt;K$39,J$38,K362&lt;K$40,J$39,K362&lt;K$41,J$40,K362&lt;K$42,J$41,K362&lt;K$43,J$42,K362&lt;K$44,J$43,K362&lt;K$45,J$44,K362&lt;K$46,J$45,K362&lt;K$47,J$46,K362&gt;=K$47,J$47)</f>
        <v/>
      </c>
      <c r="K362" s="38" t="n">
        <v>312</v>
      </c>
      <c r="L362" s="31">
        <f>K362/52</f>
        <v/>
      </c>
      <c r="M362" s="39">
        <f>J362/1000000*52</f>
        <v/>
      </c>
      <c r="N362" s="33">
        <f>M362/$P$4+($I$22/$P$4)</f>
        <v/>
      </c>
      <c r="U362">
        <f>F361</f>
        <v/>
      </c>
      <c r="V362">
        <f>H361</f>
        <v/>
      </c>
      <c r="W362">
        <f>N361</f>
        <v/>
      </c>
    </row>
    <row r="363" ht="15.75" customHeight="1" s="40">
      <c r="C363" s="36">
        <f>_xlfn.IFS(E363&lt;E$24,0,E363&lt;E$26,C$24,E363&lt;E$28,C$26,E363&lt;E$30,C$28,E363&lt;E$32,C$30,E363&lt;E$34,C$32,E363&gt;=E$34,C$34)</f>
        <v/>
      </c>
      <c r="D363" s="37">
        <f>_xlfn.IFS(E363&lt;E$24,0,E363&lt;E$25,D$24,E363&lt;E$26,D$25,E363&lt;E$27,D$26,E363&lt;E$28,D$27,E363&lt;E$29,D$28,E363&lt;E$30,D$29,E363&lt;E$31,D$30,E363&lt;E$32,D$31,E363&lt;E$33,D$32,E363&lt;E$34,D$33,E363&lt;E$35,D$34,E363&gt;=E$35,D$35)</f>
        <v/>
      </c>
      <c r="E363" s="38" t="n">
        <v>313</v>
      </c>
      <c r="F363" s="31">
        <f>E363/52</f>
        <v/>
      </c>
      <c r="G363" s="39">
        <f>D363/1000000*52</f>
        <v/>
      </c>
      <c r="H363" s="33">
        <f>G363/$P$4+($C$22/$P$4)</f>
        <v/>
      </c>
      <c r="I363" s="36">
        <f>_xlfn.IFS(K363&lt;K$24,0,K363&lt;K$26,I$24,K363&lt;K$28,I$26,K363&lt;K$30,I$28,K363&lt;K$32,I$30,K363&lt;K$34,I$32,K363&lt;K$36,I$34,K363&lt;K$38,I$36,K363&lt;K$40,I$38,K363&lt;K$42,I$40,K363&lt;K$44,I$42,K363&lt;K$46,I$44,K363&gt;=K$46,I$46)</f>
        <v/>
      </c>
      <c r="J363" s="37">
        <f>_xlfn.IFS(K363&lt;K$24,0,K363&lt;K$25,J$24,K363&lt;K$26,J$25,K363&lt;K$27,J$26,K363&lt;K$28,J$27,K363&lt;K$29,J$28,K363&lt;K$30,J$29,K363&lt;K$31,J$30,K363&lt;K$32,J$31,K363&lt;K$33,J$32,K363&lt;K$34,J$33,K363&lt;K$35,J$34,K363&lt;K$36,J$35,K363&lt;K$37,J$36,K363&lt;K$38,J$37,K363&lt;K$39,J$38,K363&lt;K$40,J$39,K363&lt;K$41,J$40,K363&lt;K$42,J$41,K363&lt;K$43,J$42,K363&lt;K$44,J$43,K363&lt;K$45,J$44,K363&lt;K$46,J$45,K363&lt;K$47,J$46,K363&gt;=K$47,J$47)</f>
        <v/>
      </c>
      <c r="K363" s="38" t="n">
        <v>313</v>
      </c>
      <c r="L363" s="31">
        <f>K363/52</f>
        <v/>
      </c>
      <c r="M363" s="39">
        <f>J363/1000000*52</f>
        <v/>
      </c>
      <c r="N363" s="33">
        <f>M363/$P$4+($I$22/$P$4)</f>
        <v/>
      </c>
      <c r="U363">
        <f>F362</f>
        <v/>
      </c>
      <c r="V363">
        <f>H362</f>
        <v/>
      </c>
      <c r="W363">
        <f>N362</f>
        <v/>
      </c>
    </row>
    <row r="364" ht="15.75" customHeight="1" s="40">
      <c r="C364" s="36">
        <f>_xlfn.IFS(E364&lt;E$24,0,E364&lt;E$26,C$24,E364&lt;E$28,C$26,E364&lt;E$30,C$28,E364&lt;E$32,C$30,E364&lt;E$34,C$32,E364&gt;=E$34,C$34)</f>
        <v/>
      </c>
      <c r="D364" s="37">
        <f>_xlfn.IFS(E364&lt;E$24,0,E364&lt;E$25,D$24,E364&lt;E$26,D$25,E364&lt;E$27,D$26,E364&lt;E$28,D$27,E364&lt;E$29,D$28,E364&lt;E$30,D$29,E364&lt;E$31,D$30,E364&lt;E$32,D$31,E364&lt;E$33,D$32,E364&lt;E$34,D$33,E364&lt;E$35,D$34,E364&gt;=E$35,D$35)</f>
        <v/>
      </c>
      <c r="E364" s="38" t="n">
        <v>314</v>
      </c>
      <c r="F364" s="31">
        <f>E364/52</f>
        <v/>
      </c>
      <c r="G364" s="39">
        <f>D364/1000000*52</f>
        <v/>
      </c>
      <c r="H364" s="33">
        <f>G364/$P$4+($C$22/$P$4)</f>
        <v/>
      </c>
      <c r="I364" s="36">
        <f>_xlfn.IFS(K364&lt;K$24,0,K364&lt;K$26,I$24,K364&lt;K$28,I$26,K364&lt;K$30,I$28,K364&lt;K$32,I$30,K364&lt;K$34,I$32,K364&lt;K$36,I$34,K364&lt;K$38,I$36,K364&lt;K$40,I$38,K364&lt;K$42,I$40,K364&lt;K$44,I$42,K364&lt;K$46,I$44,K364&gt;=K$46,I$46)</f>
        <v/>
      </c>
      <c r="J364" s="37">
        <f>_xlfn.IFS(K364&lt;K$24,0,K364&lt;K$25,J$24,K364&lt;K$26,J$25,K364&lt;K$27,J$26,K364&lt;K$28,J$27,K364&lt;K$29,J$28,K364&lt;K$30,J$29,K364&lt;K$31,J$30,K364&lt;K$32,J$31,K364&lt;K$33,J$32,K364&lt;K$34,J$33,K364&lt;K$35,J$34,K364&lt;K$36,J$35,K364&lt;K$37,J$36,K364&lt;K$38,J$37,K364&lt;K$39,J$38,K364&lt;K$40,J$39,K364&lt;K$41,J$40,K364&lt;K$42,J$41,K364&lt;K$43,J$42,K364&lt;K$44,J$43,K364&lt;K$45,J$44,K364&lt;K$46,J$45,K364&lt;K$47,J$46,K364&gt;=K$47,J$47)</f>
        <v/>
      </c>
      <c r="K364" s="38" t="n">
        <v>314</v>
      </c>
      <c r="L364" s="31">
        <f>K364/52</f>
        <v/>
      </c>
      <c r="M364" s="39">
        <f>J364/1000000*52</f>
        <v/>
      </c>
      <c r="N364" s="33">
        <f>M364/$P$4+($I$22/$P$4)</f>
        <v/>
      </c>
      <c r="U364">
        <f>F363</f>
        <v/>
      </c>
      <c r="V364">
        <f>H363</f>
        <v/>
      </c>
      <c r="W364">
        <f>N363</f>
        <v/>
      </c>
    </row>
    <row r="365" ht="15.75" customHeight="1" s="40">
      <c r="C365" s="36">
        <f>_xlfn.IFS(E365&lt;E$24,0,E365&lt;E$26,C$24,E365&lt;E$28,C$26,E365&lt;E$30,C$28,E365&lt;E$32,C$30,E365&lt;E$34,C$32,E365&gt;=E$34,C$34)</f>
        <v/>
      </c>
      <c r="D365" s="37">
        <f>_xlfn.IFS(E365&lt;E$24,0,E365&lt;E$25,D$24,E365&lt;E$26,D$25,E365&lt;E$27,D$26,E365&lt;E$28,D$27,E365&lt;E$29,D$28,E365&lt;E$30,D$29,E365&lt;E$31,D$30,E365&lt;E$32,D$31,E365&lt;E$33,D$32,E365&lt;E$34,D$33,E365&lt;E$35,D$34,E365&gt;=E$35,D$35)</f>
        <v/>
      </c>
      <c r="E365" s="38" t="n">
        <v>315</v>
      </c>
      <c r="F365" s="31">
        <f>E365/52</f>
        <v/>
      </c>
      <c r="G365" s="39">
        <f>D365/1000000*52</f>
        <v/>
      </c>
      <c r="H365" s="33">
        <f>G365/$P$4+($C$22/$P$4)</f>
        <v/>
      </c>
      <c r="I365" s="36">
        <f>_xlfn.IFS(K365&lt;K$24,0,K365&lt;K$26,I$24,K365&lt;K$28,I$26,K365&lt;K$30,I$28,K365&lt;K$32,I$30,K365&lt;K$34,I$32,K365&lt;K$36,I$34,K365&lt;K$38,I$36,K365&lt;K$40,I$38,K365&lt;K$42,I$40,K365&lt;K$44,I$42,K365&lt;K$46,I$44,K365&gt;=K$46,I$46)</f>
        <v/>
      </c>
      <c r="J365" s="37">
        <f>_xlfn.IFS(K365&lt;K$24,0,K365&lt;K$25,J$24,K365&lt;K$26,J$25,K365&lt;K$27,J$26,K365&lt;K$28,J$27,K365&lt;K$29,J$28,K365&lt;K$30,J$29,K365&lt;K$31,J$30,K365&lt;K$32,J$31,K365&lt;K$33,J$32,K365&lt;K$34,J$33,K365&lt;K$35,J$34,K365&lt;K$36,J$35,K365&lt;K$37,J$36,K365&lt;K$38,J$37,K365&lt;K$39,J$38,K365&lt;K$40,J$39,K365&lt;K$41,J$40,K365&lt;K$42,J$41,K365&lt;K$43,J$42,K365&lt;K$44,J$43,K365&lt;K$45,J$44,K365&lt;K$46,J$45,K365&lt;K$47,J$46,K365&gt;=K$47,J$47)</f>
        <v/>
      </c>
      <c r="K365" s="38" t="n">
        <v>315</v>
      </c>
      <c r="L365" s="31">
        <f>K365/52</f>
        <v/>
      </c>
      <c r="M365" s="39">
        <f>J365/1000000*52</f>
        <v/>
      </c>
      <c r="N365" s="33">
        <f>M365/$P$4+($I$22/$P$4)</f>
        <v/>
      </c>
      <c r="U365">
        <f>F364</f>
        <v/>
      </c>
      <c r="V365">
        <f>H364</f>
        <v/>
      </c>
      <c r="W365">
        <f>N364</f>
        <v/>
      </c>
    </row>
    <row r="366" ht="15.75" customHeight="1" s="40">
      <c r="C366" s="36">
        <f>_xlfn.IFS(E366&lt;E$24,0,E366&lt;E$26,C$24,E366&lt;E$28,C$26,E366&lt;E$30,C$28,E366&lt;E$32,C$30,E366&lt;E$34,C$32,E366&gt;=E$34,C$34)</f>
        <v/>
      </c>
      <c r="D366" s="37">
        <f>_xlfn.IFS(E366&lt;E$24,0,E366&lt;E$25,D$24,E366&lt;E$26,D$25,E366&lt;E$27,D$26,E366&lt;E$28,D$27,E366&lt;E$29,D$28,E366&lt;E$30,D$29,E366&lt;E$31,D$30,E366&lt;E$32,D$31,E366&lt;E$33,D$32,E366&lt;E$34,D$33,E366&lt;E$35,D$34,E366&gt;=E$35,D$35)</f>
        <v/>
      </c>
      <c r="E366" s="38" t="n">
        <v>316</v>
      </c>
      <c r="F366" s="31">
        <f>E366/52</f>
        <v/>
      </c>
      <c r="G366" s="39">
        <f>D366/1000000*52</f>
        <v/>
      </c>
      <c r="H366" s="33">
        <f>G366/$P$4+($C$22/$P$4)</f>
        <v/>
      </c>
      <c r="I366" s="36">
        <f>_xlfn.IFS(K366&lt;K$24,0,K366&lt;K$26,I$24,K366&lt;K$28,I$26,K366&lt;K$30,I$28,K366&lt;K$32,I$30,K366&lt;K$34,I$32,K366&lt;K$36,I$34,K366&lt;K$38,I$36,K366&lt;K$40,I$38,K366&lt;K$42,I$40,K366&lt;K$44,I$42,K366&lt;K$46,I$44,K366&gt;=K$46,I$46)</f>
        <v/>
      </c>
      <c r="J366" s="37">
        <f>_xlfn.IFS(K366&lt;K$24,0,K366&lt;K$25,J$24,K366&lt;K$26,J$25,K366&lt;K$27,J$26,K366&lt;K$28,J$27,K366&lt;K$29,J$28,K366&lt;K$30,J$29,K366&lt;K$31,J$30,K366&lt;K$32,J$31,K366&lt;K$33,J$32,K366&lt;K$34,J$33,K366&lt;K$35,J$34,K366&lt;K$36,J$35,K366&lt;K$37,J$36,K366&lt;K$38,J$37,K366&lt;K$39,J$38,K366&lt;K$40,J$39,K366&lt;K$41,J$40,K366&lt;K$42,J$41,K366&lt;K$43,J$42,K366&lt;K$44,J$43,K366&lt;K$45,J$44,K366&lt;K$46,J$45,K366&lt;K$47,J$46,K366&gt;=K$47,J$47)</f>
        <v/>
      </c>
      <c r="K366" s="38" t="n">
        <v>316</v>
      </c>
      <c r="L366" s="31">
        <f>K366/52</f>
        <v/>
      </c>
      <c r="M366" s="39">
        <f>J366/1000000*52</f>
        <v/>
      </c>
      <c r="N366" s="33">
        <f>M366/$P$4+($I$22/$P$4)</f>
        <v/>
      </c>
      <c r="U366">
        <f>F365</f>
        <v/>
      </c>
      <c r="V366">
        <f>H365</f>
        <v/>
      </c>
      <c r="W366">
        <f>N365</f>
        <v/>
      </c>
    </row>
    <row r="367" ht="15.75" customHeight="1" s="40">
      <c r="C367" s="36">
        <f>_xlfn.IFS(E367&lt;E$24,0,E367&lt;E$26,C$24,E367&lt;E$28,C$26,E367&lt;E$30,C$28,E367&lt;E$32,C$30,E367&lt;E$34,C$32,E367&gt;=E$34,C$34)</f>
        <v/>
      </c>
      <c r="D367" s="37">
        <f>_xlfn.IFS(E367&lt;E$24,0,E367&lt;E$25,D$24,E367&lt;E$26,D$25,E367&lt;E$27,D$26,E367&lt;E$28,D$27,E367&lt;E$29,D$28,E367&lt;E$30,D$29,E367&lt;E$31,D$30,E367&lt;E$32,D$31,E367&lt;E$33,D$32,E367&lt;E$34,D$33,E367&lt;E$35,D$34,E367&gt;=E$35,D$35)</f>
        <v/>
      </c>
      <c r="E367" s="38" t="n">
        <v>317</v>
      </c>
      <c r="F367" s="31">
        <f>E367/52</f>
        <v/>
      </c>
      <c r="G367" s="39">
        <f>D367/1000000*52</f>
        <v/>
      </c>
      <c r="H367" s="33">
        <f>G367/$P$4+($C$22/$P$4)</f>
        <v/>
      </c>
      <c r="I367" s="36">
        <f>_xlfn.IFS(K367&lt;K$24,0,K367&lt;K$26,I$24,K367&lt;K$28,I$26,K367&lt;K$30,I$28,K367&lt;K$32,I$30,K367&lt;K$34,I$32,K367&lt;K$36,I$34,K367&lt;K$38,I$36,K367&lt;K$40,I$38,K367&lt;K$42,I$40,K367&lt;K$44,I$42,K367&lt;K$46,I$44,K367&gt;=K$46,I$46)</f>
        <v/>
      </c>
      <c r="J367" s="37">
        <f>_xlfn.IFS(K367&lt;K$24,0,K367&lt;K$25,J$24,K367&lt;K$26,J$25,K367&lt;K$27,J$26,K367&lt;K$28,J$27,K367&lt;K$29,J$28,K367&lt;K$30,J$29,K367&lt;K$31,J$30,K367&lt;K$32,J$31,K367&lt;K$33,J$32,K367&lt;K$34,J$33,K367&lt;K$35,J$34,K367&lt;K$36,J$35,K367&lt;K$37,J$36,K367&lt;K$38,J$37,K367&lt;K$39,J$38,K367&lt;K$40,J$39,K367&lt;K$41,J$40,K367&lt;K$42,J$41,K367&lt;K$43,J$42,K367&lt;K$44,J$43,K367&lt;K$45,J$44,K367&lt;K$46,J$45,K367&lt;K$47,J$46,K367&gt;=K$47,J$47)</f>
        <v/>
      </c>
      <c r="K367" s="38" t="n">
        <v>317</v>
      </c>
      <c r="L367" s="31">
        <f>K367/52</f>
        <v/>
      </c>
      <c r="M367" s="39">
        <f>J367/1000000*52</f>
        <v/>
      </c>
      <c r="N367" s="33">
        <f>M367/$P$4+($I$22/$P$4)</f>
        <v/>
      </c>
      <c r="U367">
        <f>F366</f>
        <v/>
      </c>
      <c r="V367">
        <f>H366</f>
        <v/>
      </c>
      <c r="W367">
        <f>N366</f>
        <v/>
      </c>
    </row>
    <row r="368" ht="15.75" customHeight="1" s="40">
      <c r="C368" s="36">
        <f>_xlfn.IFS(E368&lt;E$24,0,E368&lt;E$26,C$24,E368&lt;E$28,C$26,E368&lt;E$30,C$28,E368&lt;E$32,C$30,E368&lt;E$34,C$32,E368&gt;=E$34,C$34)</f>
        <v/>
      </c>
      <c r="D368" s="37">
        <f>_xlfn.IFS(E368&lt;E$24,0,E368&lt;E$25,D$24,E368&lt;E$26,D$25,E368&lt;E$27,D$26,E368&lt;E$28,D$27,E368&lt;E$29,D$28,E368&lt;E$30,D$29,E368&lt;E$31,D$30,E368&lt;E$32,D$31,E368&lt;E$33,D$32,E368&lt;E$34,D$33,E368&lt;E$35,D$34,E368&gt;=E$35,D$35)</f>
        <v/>
      </c>
      <c r="E368" s="38" t="n">
        <v>318</v>
      </c>
      <c r="F368" s="31">
        <f>E368/52</f>
        <v/>
      </c>
      <c r="G368" s="39">
        <f>D368/1000000*52</f>
        <v/>
      </c>
      <c r="H368" s="33">
        <f>G368/$P$4+($C$22/$P$4)</f>
        <v/>
      </c>
      <c r="I368" s="36">
        <f>_xlfn.IFS(K368&lt;K$24,0,K368&lt;K$26,I$24,K368&lt;K$28,I$26,K368&lt;K$30,I$28,K368&lt;K$32,I$30,K368&lt;K$34,I$32,K368&lt;K$36,I$34,K368&lt;K$38,I$36,K368&lt;K$40,I$38,K368&lt;K$42,I$40,K368&lt;K$44,I$42,K368&lt;K$46,I$44,K368&gt;=K$46,I$46)</f>
        <v/>
      </c>
      <c r="J368" s="37">
        <f>_xlfn.IFS(K368&lt;K$24,0,K368&lt;K$25,J$24,K368&lt;K$26,J$25,K368&lt;K$27,J$26,K368&lt;K$28,J$27,K368&lt;K$29,J$28,K368&lt;K$30,J$29,K368&lt;K$31,J$30,K368&lt;K$32,J$31,K368&lt;K$33,J$32,K368&lt;K$34,J$33,K368&lt;K$35,J$34,K368&lt;K$36,J$35,K368&lt;K$37,J$36,K368&lt;K$38,J$37,K368&lt;K$39,J$38,K368&lt;K$40,J$39,K368&lt;K$41,J$40,K368&lt;K$42,J$41,K368&lt;K$43,J$42,K368&lt;K$44,J$43,K368&lt;K$45,J$44,K368&lt;K$46,J$45,K368&lt;K$47,J$46,K368&gt;=K$47,J$47)</f>
        <v/>
      </c>
      <c r="K368" s="38" t="n">
        <v>318</v>
      </c>
      <c r="L368" s="31">
        <f>K368/52</f>
        <v/>
      </c>
      <c r="M368" s="39">
        <f>J368/1000000*52</f>
        <v/>
      </c>
      <c r="N368" s="33">
        <f>M368/$P$4+($I$22/$P$4)</f>
        <v/>
      </c>
      <c r="U368">
        <f>F367</f>
        <v/>
      </c>
      <c r="V368">
        <f>H367</f>
        <v/>
      </c>
      <c r="W368">
        <f>N367</f>
        <v/>
      </c>
    </row>
    <row r="369" ht="15.75" customHeight="1" s="40">
      <c r="C369" s="36">
        <f>_xlfn.IFS(E369&lt;E$24,0,E369&lt;E$26,C$24,E369&lt;E$28,C$26,E369&lt;E$30,C$28,E369&lt;E$32,C$30,E369&lt;E$34,C$32,E369&gt;=E$34,C$34)</f>
        <v/>
      </c>
      <c r="D369" s="37">
        <f>_xlfn.IFS(E369&lt;E$24,0,E369&lt;E$25,D$24,E369&lt;E$26,D$25,E369&lt;E$27,D$26,E369&lt;E$28,D$27,E369&lt;E$29,D$28,E369&lt;E$30,D$29,E369&lt;E$31,D$30,E369&lt;E$32,D$31,E369&lt;E$33,D$32,E369&lt;E$34,D$33,E369&lt;E$35,D$34,E369&gt;=E$35,D$35)</f>
        <v/>
      </c>
      <c r="E369" s="38" t="n">
        <v>319</v>
      </c>
      <c r="F369" s="31">
        <f>E369/52</f>
        <v/>
      </c>
      <c r="G369" s="39">
        <f>D369/1000000*52</f>
        <v/>
      </c>
      <c r="H369" s="33">
        <f>G369/$P$4+($C$22/$P$4)</f>
        <v/>
      </c>
      <c r="I369" s="36">
        <f>_xlfn.IFS(K369&lt;K$24,0,K369&lt;K$26,I$24,K369&lt;K$28,I$26,K369&lt;K$30,I$28,K369&lt;K$32,I$30,K369&lt;K$34,I$32,K369&lt;K$36,I$34,K369&lt;K$38,I$36,K369&lt;K$40,I$38,K369&lt;K$42,I$40,K369&lt;K$44,I$42,K369&lt;K$46,I$44,K369&gt;=K$46,I$46)</f>
        <v/>
      </c>
      <c r="J369" s="37">
        <f>_xlfn.IFS(K369&lt;K$24,0,K369&lt;K$25,J$24,K369&lt;K$26,J$25,K369&lt;K$27,J$26,K369&lt;K$28,J$27,K369&lt;K$29,J$28,K369&lt;K$30,J$29,K369&lt;K$31,J$30,K369&lt;K$32,J$31,K369&lt;K$33,J$32,K369&lt;K$34,J$33,K369&lt;K$35,J$34,K369&lt;K$36,J$35,K369&lt;K$37,J$36,K369&lt;K$38,J$37,K369&lt;K$39,J$38,K369&lt;K$40,J$39,K369&lt;K$41,J$40,K369&lt;K$42,J$41,K369&lt;K$43,J$42,K369&lt;K$44,J$43,K369&lt;K$45,J$44,K369&lt;K$46,J$45,K369&lt;K$47,J$46,K369&gt;=K$47,J$47)</f>
        <v/>
      </c>
      <c r="K369" s="38" t="n">
        <v>319</v>
      </c>
      <c r="L369" s="31">
        <f>K369/52</f>
        <v/>
      </c>
      <c r="M369" s="39">
        <f>J369/1000000*52</f>
        <v/>
      </c>
      <c r="N369" s="33">
        <f>M369/$P$4+($I$22/$P$4)</f>
        <v/>
      </c>
      <c r="U369">
        <f>F368</f>
        <v/>
      </c>
      <c r="V369">
        <f>H368</f>
        <v/>
      </c>
      <c r="W369">
        <f>N368</f>
        <v/>
      </c>
    </row>
    <row r="370" ht="15.75" customHeight="1" s="40">
      <c r="C370" s="36">
        <f>_xlfn.IFS(E370&lt;E$24,0,E370&lt;E$26,C$24,E370&lt;E$28,C$26,E370&lt;E$30,C$28,E370&lt;E$32,C$30,E370&lt;E$34,C$32,E370&gt;=E$34,C$34)</f>
        <v/>
      </c>
      <c r="D370" s="37">
        <f>_xlfn.IFS(E370&lt;E$24,0,E370&lt;E$25,D$24,E370&lt;E$26,D$25,E370&lt;E$27,D$26,E370&lt;E$28,D$27,E370&lt;E$29,D$28,E370&lt;E$30,D$29,E370&lt;E$31,D$30,E370&lt;E$32,D$31,E370&lt;E$33,D$32,E370&lt;E$34,D$33,E370&lt;E$35,D$34,E370&gt;=E$35,D$35)</f>
        <v/>
      </c>
      <c r="E370" s="38" t="n">
        <v>320</v>
      </c>
      <c r="F370" s="31">
        <f>E370/52</f>
        <v/>
      </c>
      <c r="G370" s="39">
        <f>D370/1000000*52</f>
        <v/>
      </c>
      <c r="H370" s="33">
        <f>G370/$P$4+($C$22/$P$4)</f>
        <v/>
      </c>
      <c r="I370" s="36">
        <f>_xlfn.IFS(K370&lt;K$24,0,K370&lt;K$26,I$24,K370&lt;K$28,I$26,K370&lt;K$30,I$28,K370&lt;K$32,I$30,K370&lt;K$34,I$32,K370&lt;K$36,I$34,K370&lt;K$38,I$36,K370&lt;K$40,I$38,K370&lt;K$42,I$40,K370&lt;K$44,I$42,K370&lt;K$46,I$44,K370&gt;=K$46,I$46)</f>
        <v/>
      </c>
      <c r="J370" s="37">
        <f>_xlfn.IFS(K370&lt;K$24,0,K370&lt;K$25,J$24,K370&lt;K$26,J$25,K370&lt;K$27,J$26,K370&lt;K$28,J$27,K370&lt;K$29,J$28,K370&lt;K$30,J$29,K370&lt;K$31,J$30,K370&lt;K$32,J$31,K370&lt;K$33,J$32,K370&lt;K$34,J$33,K370&lt;K$35,J$34,K370&lt;K$36,J$35,K370&lt;K$37,J$36,K370&lt;K$38,J$37,K370&lt;K$39,J$38,K370&lt;K$40,J$39,K370&lt;K$41,J$40,K370&lt;K$42,J$41,K370&lt;K$43,J$42,K370&lt;K$44,J$43,K370&lt;K$45,J$44,K370&lt;K$46,J$45,K370&lt;K$47,J$46,K370&gt;=K$47,J$47)</f>
        <v/>
      </c>
      <c r="K370" s="38" t="n">
        <v>320</v>
      </c>
      <c r="L370" s="31">
        <f>K370/52</f>
        <v/>
      </c>
      <c r="M370" s="39">
        <f>J370/1000000*52</f>
        <v/>
      </c>
      <c r="N370" s="33">
        <f>M370/$P$4+($I$22/$P$4)</f>
        <v/>
      </c>
      <c r="U370">
        <f>F369</f>
        <v/>
      </c>
      <c r="V370">
        <f>H369</f>
        <v/>
      </c>
      <c r="W370">
        <f>N369</f>
        <v/>
      </c>
    </row>
    <row r="371" ht="15.75" customHeight="1" s="40">
      <c r="C371" s="36">
        <f>_xlfn.IFS(E371&lt;E$24,0,E371&lt;E$26,C$24,E371&lt;E$28,C$26,E371&lt;E$30,C$28,E371&lt;E$32,C$30,E371&lt;E$34,C$32,E371&gt;=E$34,C$34)</f>
        <v/>
      </c>
      <c r="D371" s="37">
        <f>_xlfn.IFS(E371&lt;E$24,0,E371&lt;E$25,D$24,E371&lt;E$26,D$25,E371&lt;E$27,D$26,E371&lt;E$28,D$27,E371&lt;E$29,D$28,E371&lt;E$30,D$29,E371&lt;E$31,D$30,E371&lt;E$32,D$31,E371&lt;E$33,D$32,E371&lt;E$34,D$33,E371&lt;E$35,D$34,E371&gt;=E$35,D$35)</f>
        <v/>
      </c>
      <c r="E371" s="38" t="n">
        <v>321</v>
      </c>
      <c r="F371" s="31">
        <f>E371/52</f>
        <v/>
      </c>
      <c r="G371" s="39">
        <f>D371/1000000*52</f>
        <v/>
      </c>
      <c r="H371" s="33">
        <f>G371/$P$4+($C$22/$P$4)</f>
        <v/>
      </c>
      <c r="I371" s="36">
        <f>_xlfn.IFS(K371&lt;K$24,0,K371&lt;K$26,I$24,K371&lt;K$28,I$26,K371&lt;K$30,I$28,K371&lt;K$32,I$30,K371&lt;K$34,I$32,K371&lt;K$36,I$34,K371&lt;K$38,I$36,K371&lt;K$40,I$38,K371&lt;K$42,I$40,K371&lt;K$44,I$42,K371&lt;K$46,I$44,K371&gt;=K$46,I$46)</f>
        <v/>
      </c>
      <c r="J371" s="37">
        <f>_xlfn.IFS(K371&lt;K$24,0,K371&lt;K$25,J$24,K371&lt;K$26,J$25,K371&lt;K$27,J$26,K371&lt;K$28,J$27,K371&lt;K$29,J$28,K371&lt;K$30,J$29,K371&lt;K$31,J$30,K371&lt;K$32,J$31,K371&lt;K$33,J$32,K371&lt;K$34,J$33,K371&lt;K$35,J$34,K371&lt;K$36,J$35,K371&lt;K$37,J$36,K371&lt;K$38,J$37,K371&lt;K$39,J$38,K371&lt;K$40,J$39,K371&lt;K$41,J$40,K371&lt;K$42,J$41,K371&lt;K$43,J$42,K371&lt;K$44,J$43,K371&lt;K$45,J$44,K371&lt;K$46,J$45,K371&lt;K$47,J$46,K371&gt;=K$47,J$47)</f>
        <v/>
      </c>
      <c r="K371" s="38" t="n">
        <v>321</v>
      </c>
      <c r="L371" s="31">
        <f>K371/52</f>
        <v/>
      </c>
      <c r="M371" s="39">
        <f>J371/1000000*52</f>
        <v/>
      </c>
      <c r="N371" s="33">
        <f>M371/$P$4+($I$22/$P$4)</f>
        <v/>
      </c>
      <c r="U371">
        <f>F370</f>
        <v/>
      </c>
      <c r="V371">
        <f>H370</f>
        <v/>
      </c>
      <c r="W371">
        <f>N370</f>
        <v/>
      </c>
    </row>
    <row r="372" ht="15.75" customHeight="1" s="40">
      <c r="C372" s="36">
        <f>_xlfn.IFS(E372&lt;E$24,0,E372&lt;E$26,C$24,E372&lt;E$28,C$26,E372&lt;E$30,C$28,E372&lt;E$32,C$30,E372&lt;E$34,C$32,E372&gt;=E$34,C$34)</f>
        <v/>
      </c>
      <c r="D372" s="37">
        <f>_xlfn.IFS(E372&lt;E$24,0,E372&lt;E$25,D$24,E372&lt;E$26,D$25,E372&lt;E$27,D$26,E372&lt;E$28,D$27,E372&lt;E$29,D$28,E372&lt;E$30,D$29,E372&lt;E$31,D$30,E372&lt;E$32,D$31,E372&lt;E$33,D$32,E372&lt;E$34,D$33,E372&lt;E$35,D$34,E372&gt;=E$35,D$35)</f>
        <v/>
      </c>
      <c r="E372" s="38" t="n">
        <v>322</v>
      </c>
      <c r="F372" s="31">
        <f>E372/52</f>
        <v/>
      </c>
      <c r="G372" s="39">
        <f>D372/1000000*52</f>
        <v/>
      </c>
      <c r="H372" s="33">
        <f>G372/$P$4+($C$22/$P$4)</f>
        <v/>
      </c>
      <c r="I372" s="36">
        <f>_xlfn.IFS(K372&lt;K$24,0,K372&lt;K$26,I$24,K372&lt;K$28,I$26,K372&lt;K$30,I$28,K372&lt;K$32,I$30,K372&lt;K$34,I$32,K372&lt;K$36,I$34,K372&lt;K$38,I$36,K372&lt;K$40,I$38,K372&lt;K$42,I$40,K372&lt;K$44,I$42,K372&lt;K$46,I$44,K372&gt;=K$46,I$46)</f>
        <v/>
      </c>
      <c r="J372" s="37">
        <f>_xlfn.IFS(K372&lt;K$24,0,K372&lt;K$25,J$24,K372&lt;K$26,J$25,K372&lt;K$27,J$26,K372&lt;K$28,J$27,K372&lt;K$29,J$28,K372&lt;K$30,J$29,K372&lt;K$31,J$30,K372&lt;K$32,J$31,K372&lt;K$33,J$32,K372&lt;K$34,J$33,K372&lt;K$35,J$34,K372&lt;K$36,J$35,K372&lt;K$37,J$36,K372&lt;K$38,J$37,K372&lt;K$39,J$38,K372&lt;K$40,J$39,K372&lt;K$41,J$40,K372&lt;K$42,J$41,K372&lt;K$43,J$42,K372&lt;K$44,J$43,K372&lt;K$45,J$44,K372&lt;K$46,J$45,K372&lt;K$47,J$46,K372&gt;=K$47,J$47)</f>
        <v/>
      </c>
      <c r="K372" s="38" t="n">
        <v>322</v>
      </c>
      <c r="L372" s="31">
        <f>K372/52</f>
        <v/>
      </c>
      <c r="M372" s="39">
        <f>J372/1000000*52</f>
        <v/>
      </c>
      <c r="N372" s="33">
        <f>M372/$P$4+($I$22/$P$4)</f>
        <v/>
      </c>
      <c r="U372">
        <f>F371</f>
        <v/>
      </c>
      <c r="V372">
        <f>H371</f>
        <v/>
      </c>
      <c r="W372">
        <f>N371</f>
        <v/>
      </c>
    </row>
    <row r="373" ht="15.75" customHeight="1" s="40">
      <c r="C373" s="36">
        <f>_xlfn.IFS(E373&lt;E$24,0,E373&lt;E$26,C$24,E373&lt;E$28,C$26,E373&lt;E$30,C$28,E373&lt;E$32,C$30,E373&lt;E$34,C$32,E373&gt;=E$34,C$34)</f>
        <v/>
      </c>
      <c r="D373" s="37">
        <f>_xlfn.IFS(E373&lt;E$24,0,E373&lt;E$25,D$24,E373&lt;E$26,D$25,E373&lt;E$27,D$26,E373&lt;E$28,D$27,E373&lt;E$29,D$28,E373&lt;E$30,D$29,E373&lt;E$31,D$30,E373&lt;E$32,D$31,E373&lt;E$33,D$32,E373&lt;E$34,D$33,E373&lt;E$35,D$34,E373&gt;=E$35,D$35)</f>
        <v/>
      </c>
      <c r="E373" s="38" t="n">
        <v>323</v>
      </c>
      <c r="F373" s="31">
        <f>E373/52</f>
        <v/>
      </c>
      <c r="G373" s="39">
        <f>D373/1000000*52</f>
        <v/>
      </c>
      <c r="H373" s="33">
        <f>G373/$P$4+($C$22/$P$4)</f>
        <v/>
      </c>
      <c r="I373" s="36">
        <f>_xlfn.IFS(K373&lt;K$24,0,K373&lt;K$26,I$24,K373&lt;K$28,I$26,K373&lt;K$30,I$28,K373&lt;K$32,I$30,K373&lt;K$34,I$32,K373&lt;K$36,I$34,K373&lt;K$38,I$36,K373&lt;K$40,I$38,K373&lt;K$42,I$40,K373&lt;K$44,I$42,K373&lt;K$46,I$44,K373&gt;=K$46,I$46)</f>
        <v/>
      </c>
      <c r="J373" s="37">
        <f>_xlfn.IFS(K373&lt;K$24,0,K373&lt;K$25,J$24,K373&lt;K$26,J$25,K373&lt;K$27,J$26,K373&lt;K$28,J$27,K373&lt;K$29,J$28,K373&lt;K$30,J$29,K373&lt;K$31,J$30,K373&lt;K$32,J$31,K373&lt;K$33,J$32,K373&lt;K$34,J$33,K373&lt;K$35,J$34,K373&lt;K$36,J$35,K373&lt;K$37,J$36,K373&lt;K$38,J$37,K373&lt;K$39,J$38,K373&lt;K$40,J$39,K373&lt;K$41,J$40,K373&lt;K$42,J$41,K373&lt;K$43,J$42,K373&lt;K$44,J$43,K373&lt;K$45,J$44,K373&lt;K$46,J$45,K373&lt;K$47,J$46,K373&gt;=K$47,J$47)</f>
        <v/>
      </c>
      <c r="K373" s="38" t="n">
        <v>323</v>
      </c>
      <c r="L373" s="31">
        <f>K373/52</f>
        <v/>
      </c>
      <c r="M373" s="39">
        <f>J373/1000000*52</f>
        <v/>
      </c>
      <c r="N373" s="33">
        <f>M373/$P$4+($I$22/$P$4)</f>
        <v/>
      </c>
      <c r="U373">
        <f>F372</f>
        <v/>
      </c>
      <c r="V373">
        <f>H372</f>
        <v/>
      </c>
      <c r="W373">
        <f>N372</f>
        <v/>
      </c>
    </row>
    <row r="374" ht="15.75" customHeight="1" s="40">
      <c r="C374" s="36">
        <f>_xlfn.IFS(E374&lt;E$24,0,E374&lt;E$26,C$24,E374&lt;E$28,C$26,E374&lt;E$30,C$28,E374&lt;E$32,C$30,E374&lt;E$34,C$32,E374&gt;=E$34,C$34)</f>
        <v/>
      </c>
      <c r="D374" s="37">
        <f>_xlfn.IFS(E374&lt;E$24,0,E374&lt;E$25,D$24,E374&lt;E$26,D$25,E374&lt;E$27,D$26,E374&lt;E$28,D$27,E374&lt;E$29,D$28,E374&lt;E$30,D$29,E374&lt;E$31,D$30,E374&lt;E$32,D$31,E374&lt;E$33,D$32,E374&lt;E$34,D$33,E374&lt;E$35,D$34,E374&gt;=E$35,D$35)</f>
        <v/>
      </c>
      <c r="E374" s="38" t="n">
        <v>324</v>
      </c>
      <c r="F374" s="31">
        <f>E374/52</f>
        <v/>
      </c>
      <c r="G374" s="39">
        <f>D374/1000000*52</f>
        <v/>
      </c>
      <c r="H374" s="33">
        <f>G374/$P$4+($C$22/$P$4)</f>
        <v/>
      </c>
      <c r="I374" s="36">
        <f>_xlfn.IFS(K374&lt;K$24,0,K374&lt;K$26,I$24,K374&lt;K$28,I$26,K374&lt;K$30,I$28,K374&lt;K$32,I$30,K374&lt;K$34,I$32,K374&lt;K$36,I$34,K374&lt;K$38,I$36,K374&lt;K$40,I$38,K374&lt;K$42,I$40,K374&lt;K$44,I$42,K374&lt;K$46,I$44,K374&gt;=K$46,I$46)</f>
        <v/>
      </c>
      <c r="J374" s="37">
        <f>_xlfn.IFS(K374&lt;K$24,0,K374&lt;K$25,J$24,K374&lt;K$26,J$25,K374&lt;K$27,J$26,K374&lt;K$28,J$27,K374&lt;K$29,J$28,K374&lt;K$30,J$29,K374&lt;K$31,J$30,K374&lt;K$32,J$31,K374&lt;K$33,J$32,K374&lt;K$34,J$33,K374&lt;K$35,J$34,K374&lt;K$36,J$35,K374&lt;K$37,J$36,K374&lt;K$38,J$37,K374&lt;K$39,J$38,K374&lt;K$40,J$39,K374&lt;K$41,J$40,K374&lt;K$42,J$41,K374&lt;K$43,J$42,K374&lt;K$44,J$43,K374&lt;K$45,J$44,K374&lt;K$46,J$45,K374&lt;K$47,J$46,K374&gt;=K$47,J$47)</f>
        <v/>
      </c>
      <c r="K374" s="38" t="n">
        <v>324</v>
      </c>
      <c r="L374" s="31">
        <f>K374/52</f>
        <v/>
      </c>
      <c r="M374" s="39">
        <f>J374/1000000*52</f>
        <v/>
      </c>
      <c r="N374" s="33">
        <f>M374/$P$4+($I$22/$P$4)</f>
        <v/>
      </c>
      <c r="U374">
        <f>F373</f>
        <v/>
      </c>
      <c r="V374">
        <f>H373</f>
        <v/>
      </c>
      <c r="W374">
        <f>N373</f>
        <v/>
      </c>
    </row>
    <row r="375" ht="15.75" customHeight="1" s="40">
      <c r="C375" s="36">
        <f>_xlfn.IFS(E375&lt;E$24,0,E375&lt;E$26,C$24,E375&lt;E$28,C$26,E375&lt;E$30,C$28,E375&lt;E$32,C$30,E375&lt;E$34,C$32,E375&gt;=E$34,C$34)</f>
        <v/>
      </c>
      <c r="D375" s="37">
        <f>_xlfn.IFS(E375&lt;E$24,0,E375&lt;E$25,D$24,E375&lt;E$26,D$25,E375&lt;E$27,D$26,E375&lt;E$28,D$27,E375&lt;E$29,D$28,E375&lt;E$30,D$29,E375&lt;E$31,D$30,E375&lt;E$32,D$31,E375&lt;E$33,D$32,E375&lt;E$34,D$33,E375&lt;E$35,D$34,E375&gt;=E$35,D$35)</f>
        <v/>
      </c>
      <c r="E375" s="38" t="n">
        <v>325</v>
      </c>
      <c r="F375" s="31">
        <f>E375/52</f>
        <v/>
      </c>
      <c r="G375" s="39">
        <f>D375/1000000*52</f>
        <v/>
      </c>
      <c r="H375" s="33">
        <f>G375/$P$4+($C$22/$P$4)</f>
        <v/>
      </c>
      <c r="I375" s="36">
        <f>_xlfn.IFS(K375&lt;K$24,0,K375&lt;K$26,I$24,K375&lt;K$28,I$26,K375&lt;K$30,I$28,K375&lt;K$32,I$30,K375&lt;K$34,I$32,K375&lt;K$36,I$34,K375&lt;K$38,I$36,K375&lt;K$40,I$38,K375&lt;K$42,I$40,K375&lt;K$44,I$42,K375&lt;K$46,I$44,K375&gt;=K$46,I$46)</f>
        <v/>
      </c>
      <c r="J375" s="37">
        <f>_xlfn.IFS(K375&lt;K$24,0,K375&lt;K$25,J$24,K375&lt;K$26,J$25,K375&lt;K$27,J$26,K375&lt;K$28,J$27,K375&lt;K$29,J$28,K375&lt;K$30,J$29,K375&lt;K$31,J$30,K375&lt;K$32,J$31,K375&lt;K$33,J$32,K375&lt;K$34,J$33,K375&lt;K$35,J$34,K375&lt;K$36,J$35,K375&lt;K$37,J$36,K375&lt;K$38,J$37,K375&lt;K$39,J$38,K375&lt;K$40,J$39,K375&lt;K$41,J$40,K375&lt;K$42,J$41,K375&lt;K$43,J$42,K375&lt;K$44,J$43,K375&lt;K$45,J$44,K375&lt;K$46,J$45,K375&lt;K$47,J$46,K375&gt;=K$47,J$47)</f>
        <v/>
      </c>
      <c r="K375" s="38" t="n">
        <v>325</v>
      </c>
      <c r="L375" s="31">
        <f>K375/52</f>
        <v/>
      </c>
      <c r="M375" s="39">
        <f>J375/1000000*52</f>
        <v/>
      </c>
      <c r="N375" s="33">
        <f>M375/$P$4+($I$22/$P$4)</f>
        <v/>
      </c>
      <c r="U375">
        <f>F374</f>
        <v/>
      </c>
      <c r="V375">
        <f>H374</f>
        <v/>
      </c>
      <c r="W375">
        <f>N374</f>
        <v/>
      </c>
    </row>
    <row r="376" ht="15.75" customHeight="1" s="40">
      <c r="C376" s="36">
        <f>_xlfn.IFS(E376&lt;E$24,0,E376&lt;E$26,C$24,E376&lt;E$28,C$26,E376&lt;E$30,C$28,E376&lt;E$32,C$30,E376&lt;E$34,C$32,E376&gt;=E$34,C$34)</f>
        <v/>
      </c>
      <c r="D376" s="37">
        <f>_xlfn.IFS(E376&lt;E$24,0,E376&lt;E$25,D$24,E376&lt;E$26,D$25,E376&lt;E$27,D$26,E376&lt;E$28,D$27,E376&lt;E$29,D$28,E376&lt;E$30,D$29,E376&lt;E$31,D$30,E376&lt;E$32,D$31,E376&lt;E$33,D$32,E376&lt;E$34,D$33,E376&lt;E$35,D$34,E376&gt;=E$35,D$35)</f>
        <v/>
      </c>
      <c r="E376" s="38" t="n">
        <v>326</v>
      </c>
      <c r="F376" s="31">
        <f>E376/52</f>
        <v/>
      </c>
      <c r="G376" s="39">
        <f>D376/1000000*52</f>
        <v/>
      </c>
      <c r="H376" s="33">
        <f>G376/$P$4+($C$22/$P$4)</f>
        <v/>
      </c>
      <c r="I376" s="36">
        <f>_xlfn.IFS(K376&lt;K$24,0,K376&lt;K$26,I$24,K376&lt;K$28,I$26,K376&lt;K$30,I$28,K376&lt;K$32,I$30,K376&lt;K$34,I$32,K376&lt;K$36,I$34,K376&lt;K$38,I$36,K376&lt;K$40,I$38,K376&lt;K$42,I$40,K376&lt;K$44,I$42,K376&lt;K$46,I$44,K376&gt;=K$46,I$46)</f>
        <v/>
      </c>
      <c r="J376" s="37">
        <f>_xlfn.IFS(K376&lt;K$24,0,K376&lt;K$25,J$24,K376&lt;K$26,J$25,K376&lt;K$27,J$26,K376&lt;K$28,J$27,K376&lt;K$29,J$28,K376&lt;K$30,J$29,K376&lt;K$31,J$30,K376&lt;K$32,J$31,K376&lt;K$33,J$32,K376&lt;K$34,J$33,K376&lt;K$35,J$34,K376&lt;K$36,J$35,K376&lt;K$37,J$36,K376&lt;K$38,J$37,K376&lt;K$39,J$38,K376&lt;K$40,J$39,K376&lt;K$41,J$40,K376&lt;K$42,J$41,K376&lt;K$43,J$42,K376&lt;K$44,J$43,K376&lt;K$45,J$44,K376&lt;K$46,J$45,K376&lt;K$47,J$46,K376&gt;=K$47,J$47)</f>
        <v/>
      </c>
      <c r="K376" s="38" t="n">
        <v>326</v>
      </c>
      <c r="L376" s="31">
        <f>K376/52</f>
        <v/>
      </c>
      <c r="M376" s="39">
        <f>J376/1000000*52</f>
        <v/>
      </c>
      <c r="N376" s="33">
        <f>M376/$P$4+($I$22/$P$4)</f>
        <v/>
      </c>
      <c r="U376">
        <f>F375</f>
        <v/>
      </c>
      <c r="V376">
        <f>H375</f>
        <v/>
      </c>
      <c r="W376">
        <f>N375</f>
        <v/>
      </c>
    </row>
    <row r="377" ht="15.75" customHeight="1" s="40">
      <c r="C377" s="36">
        <f>_xlfn.IFS(E377&lt;E$24,0,E377&lt;E$26,C$24,E377&lt;E$28,C$26,E377&lt;E$30,C$28,E377&lt;E$32,C$30,E377&lt;E$34,C$32,E377&gt;=E$34,C$34)</f>
        <v/>
      </c>
      <c r="D377" s="37">
        <f>_xlfn.IFS(E377&lt;E$24,0,E377&lt;E$25,D$24,E377&lt;E$26,D$25,E377&lt;E$27,D$26,E377&lt;E$28,D$27,E377&lt;E$29,D$28,E377&lt;E$30,D$29,E377&lt;E$31,D$30,E377&lt;E$32,D$31,E377&lt;E$33,D$32,E377&lt;E$34,D$33,E377&lt;E$35,D$34,E377&gt;=E$35,D$35)</f>
        <v/>
      </c>
      <c r="E377" s="38" t="n">
        <v>327</v>
      </c>
      <c r="F377" s="31">
        <f>E377/52</f>
        <v/>
      </c>
      <c r="G377" s="39">
        <f>D377/1000000*52</f>
        <v/>
      </c>
      <c r="H377" s="33">
        <f>G377/$P$4+($C$22/$P$4)</f>
        <v/>
      </c>
      <c r="I377" s="36">
        <f>_xlfn.IFS(K377&lt;K$24,0,K377&lt;K$26,I$24,K377&lt;K$28,I$26,K377&lt;K$30,I$28,K377&lt;K$32,I$30,K377&lt;K$34,I$32,K377&lt;K$36,I$34,K377&lt;K$38,I$36,K377&lt;K$40,I$38,K377&lt;K$42,I$40,K377&lt;K$44,I$42,K377&lt;K$46,I$44,K377&gt;=K$46,I$46)</f>
        <v/>
      </c>
      <c r="J377" s="37">
        <f>_xlfn.IFS(K377&lt;K$24,0,K377&lt;K$25,J$24,K377&lt;K$26,J$25,K377&lt;K$27,J$26,K377&lt;K$28,J$27,K377&lt;K$29,J$28,K377&lt;K$30,J$29,K377&lt;K$31,J$30,K377&lt;K$32,J$31,K377&lt;K$33,J$32,K377&lt;K$34,J$33,K377&lt;K$35,J$34,K377&lt;K$36,J$35,K377&lt;K$37,J$36,K377&lt;K$38,J$37,K377&lt;K$39,J$38,K377&lt;K$40,J$39,K377&lt;K$41,J$40,K377&lt;K$42,J$41,K377&lt;K$43,J$42,K377&lt;K$44,J$43,K377&lt;K$45,J$44,K377&lt;K$46,J$45,K377&lt;K$47,J$46,K377&gt;=K$47,J$47)</f>
        <v/>
      </c>
      <c r="K377" s="38" t="n">
        <v>327</v>
      </c>
      <c r="L377" s="31">
        <f>K377/52</f>
        <v/>
      </c>
      <c r="M377" s="39">
        <f>J377/1000000*52</f>
        <v/>
      </c>
      <c r="N377" s="33">
        <f>M377/$P$4+($I$22/$P$4)</f>
        <v/>
      </c>
      <c r="U377">
        <f>F376</f>
        <v/>
      </c>
      <c r="V377">
        <f>H376</f>
        <v/>
      </c>
      <c r="W377">
        <f>N376</f>
        <v/>
      </c>
    </row>
    <row r="378" ht="15.75" customHeight="1" s="40">
      <c r="C378" s="36">
        <f>_xlfn.IFS(E378&lt;E$24,0,E378&lt;E$26,C$24,E378&lt;E$28,C$26,E378&lt;E$30,C$28,E378&lt;E$32,C$30,E378&lt;E$34,C$32,E378&gt;=E$34,C$34)</f>
        <v/>
      </c>
      <c r="D378" s="37">
        <f>_xlfn.IFS(E378&lt;E$24,0,E378&lt;E$25,D$24,E378&lt;E$26,D$25,E378&lt;E$27,D$26,E378&lt;E$28,D$27,E378&lt;E$29,D$28,E378&lt;E$30,D$29,E378&lt;E$31,D$30,E378&lt;E$32,D$31,E378&lt;E$33,D$32,E378&lt;E$34,D$33,E378&lt;E$35,D$34,E378&gt;=E$35,D$35)</f>
        <v/>
      </c>
      <c r="E378" s="38" t="n">
        <v>328</v>
      </c>
      <c r="F378" s="31">
        <f>E378/52</f>
        <v/>
      </c>
      <c r="G378" s="39">
        <f>D378/1000000*52</f>
        <v/>
      </c>
      <c r="H378" s="33">
        <f>G378/$P$4+($C$22/$P$4)</f>
        <v/>
      </c>
      <c r="I378" s="36">
        <f>_xlfn.IFS(K378&lt;K$24,0,K378&lt;K$26,I$24,K378&lt;K$28,I$26,K378&lt;K$30,I$28,K378&lt;K$32,I$30,K378&lt;K$34,I$32,K378&lt;K$36,I$34,K378&lt;K$38,I$36,K378&lt;K$40,I$38,K378&lt;K$42,I$40,K378&lt;K$44,I$42,K378&lt;K$46,I$44,K378&gt;=K$46,I$46)</f>
        <v/>
      </c>
      <c r="J378" s="37">
        <f>_xlfn.IFS(K378&lt;K$24,0,K378&lt;K$25,J$24,K378&lt;K$26,J$25,K378&lt;K$27,J$26,K378&lt;K$28,J$27,K378&lt;K$29,J$28,K378&lt;K$30,J$29,K378&lt;K$31,J$30,K378&lt;K$32,J$31,K378&lt;K$33,J$32,K378&lt;K$34,J$33,K378&lt;K$35,J$34,K378&lt;K$36,J$35,K378&lt;K$37,J$36,K378&lt;K$38,J$37,K378&lt;K$39,J$38,K378&lt;K$40,J$39,K378&lt;K$41,J$40,K378&lt;K$42,J$41,K378&lt;K$43,J$42,K378&lt;K$44,J$43,K378&lt;K$45,J$44,K378&lt;K$46,J$45,K378&lt;K$47,J$46,K378&gt;=K$47,J$47)</f>
        <v/>
      </c>
      <c r="K378" s="38" t="n">
        <v>328</v>
      </c>
      <c r="L378" s="31">
        <f>K378/52</f>
        <v/>
      </c>
      <c r="M378" s="39">
        <f>J378/1000000*52</f>
        <v/>
      </c>
      <c r="N378" s="33">
        <f>M378/$P$4+($I$22/$P$4)</f>
        <v/>
      </c>
      <c r="U378">
        <f>F377</f>
        <v/>
      </c>
      <c r="V378">
        <f>H377</f>
        <v/>
      </c>
      <c r="W378">
        <f>N377</f>
        <v/>
      </c>
    </row>
    <row r="379" ht="15.75" customHeight="1" s="40">
      <c r="C379" s="36">
        <f>_xlfn.IFS(E379&lt;E$24,0,E379&lt;E$26,C$24,E379&lt;E$28,C$26,E379&lt;E$30,C$28,E379&lt;E$32,C$30,E379&lt;E$34,C$32,E379&gt;=E$34,C$34)</f>
        <v/>
      </c>
      <c r="D379" s="37">
        <f>_xlfn.IFS(E379&lt;E$24,0,E379&lt;E$25,D$24,E379&lt;E$26,D$25,E379&lt;E$27,D$26,E379&lt;E$28,D$27,E379&lt;E$29,D$28,E379&lt;E$30,D$29,E379&lt;E$31,D$30,E379&lt;E$32,D$31,E379&lt;E$33,D$32,E379&lt;E$34,D$33,E379&lt;E$35,D$34,E379&gt;=E$35,D$35)</f>
        <v/>
      </c>
      <c r="E379" s="38" t="n">
        <v>329</v>
      </c>
      <c r="F379" s="31">
        <f>E379/52</f>
        <v/>
      </c>
      <c r="G379" s="39">
        <f>D379/1000000*52</f>
        <v/>
      </c>
      <c r="H379" s="33">
        <f>G379/$P$4+($C$22/$P$4)</f>
        <v/>
      </c>
      <c r="I379" s="36">
        <f>_xlfn.IFS(K379&lt;K$24,0,K379&lt;K$26,I$24,K379&lt;K$28,I$26,K379&lt;K$30,I$28,K379&lt;K$32,I$30,K379&lt;K$34,I$32,K379&lt;K$36,I$34,K379&lt;K$38,I$36,K379&lt;K$40,I$38,K379&lt;K$42,I$40,K379&lt;K$44,I$42,K379&lt;K$46,I$44,K379&gt;=K$46,I$46)</f>
        <v/>
      </c>
      <c r="J379" s="37">
        <f>_xlfn.IFS(K379&lt;K$24,0,K379&lt;K$25,J$24,K379&lt;K$26,J$25,K379&lt;K$27,J$26,K379&lt;K$28,J$27,K379&lt;K$29,J$28,K379&lt;K$30,J$29,K379&lt;K$31,J$30,K379&lt;K$32,J$31,K379&lt;K$33,J$32,K379&lt;K$34,J$33,K379&lt;K$35,J$34,K379&lt;K$36,J$35,K379&lt;K$37,J$36,K379&lt;K$38,J$37,K379&lt;K$39,J$38,K379&lt;K$40,J$39,K379&lt;K$41,J$40,K379&lt;K$42,J$41,K379&lt;K$43,J$42,K379&lt;K$44,J$43,K379&lt;K$45,J$44,K379&lt;K$46,J$45,K379&lt;K$47,J$46,K379&gt;=K$47,J$47)</f>
        <v/>
      </c>
      <c r="K379" s="38" t="n">
        <v>329</v>
      </c>
      <c r="L379" s="31">
        <f>K379/52</f>
        <v/>
      </c>
      <c r="M379" s="39">
        <f>J379/1000000*52</f>
        <v/>
      </c>
      <c r="N379" s="33">
        <f>M379/$P$4+($I$22/$P$4)</f>
        <v/>
      </c>
      <c r="U379">
        <f>F378</f>
        <v/>
      </c>
      <c r="V379">
        <f>H378</f>
        <v/>
      </c>
      <c r="W379">
        <f>N378</f>
        <v/>
      </c>
    </row>
    <row r="380" ht="15.75" customHeight="1" s="40">
      <c r="C380" s="36">
        <f>_xlfn.IFS(E380&lt;E$24,0,E380&lt;E$26,C$24,E380&lt;E$28,C$26,E380&lt;E$30,C$28,E380&lt;E$32,C$30,E380&lt;E$34,C$32,E380&gt;=E$34,C$34)</f>
        <v/>
      </c>
      <c r="D380" s="37">
        <f>_xlfn.IFS(E380&lt;E$24,0,E380&lt;E$25,D$24,E380&lt;E$26,D$25,E380&lt;E$27,D$26,E380&lt;E$28,D$27,E380&lt;E$29,D$28,E380&lt;E$30,D$29,E380&lt;E$31,D$30,E380&lt;E$32,D$31,E380&lt;E$33,D$32,E380&lt;E$34,D$33,E380&lt;E$35,D$34,E380&gt;=E$35,D$35)</f>
        <v/>
      </c>
      <c r="E380" s="38" t="n">
        <v>330</v>
      </c>
      <c r="F380" s="31">
        <f>E380/52</f>
        <v/>
      </c>
      <c r="G380" s="39">
        <f>D380/1000000*52</f>
        <v/>
      </c>
      <c r="H380" s="33">
        <f>G380/$P$4+($C$22/$P$4)</f>
        <v/>
      </c>
      <c r="I380" s="36">
        <f>_xlfn.IFS(K380&lt;K$24,0,K380&lt;K$26,I$24,K380&lt;K$28,I$26,K380&lt;K$30,I$28,K380&lt;K$32,I$30,K380&lt;K$34,I$32,K380&lt;K$36,I$34,K380&lt;K$38,I$36,K380&lt;K$40,I$38,K380&lt;K$42,I$40,K380&lt;K$44,I$42,K380&lt;K$46,I$44,K380&gt;=K$46,I$46)</f>
        <v/>
      </c>
      <c r="J380" s="37">
        <f>_xlfn.IFS(K380&lt;K$24,0,K380&lt;K$25,J$24,K380&lt;K$26,J$25,K380&lt;K$27,J$26,K380&lt;K$28,J$27,K380&lt;K$29,J$28,K380&lt;K$30,J$29,K380&lt;K$31,J$30,K380&lt;K$32,J$31,K380&lt;K$33,J$32,K380&lt;K$34,J$33,K380&lt;K$35,J$34,K380&lt;K$36,J$35,K380&lt;K$37,J$36,K380&lt;K$38,J$37,K380&lt;K$39,J$38,K380&lt;K$40,J$39,K380&lt;K$41,J$40,K380&lt;K$42,J$41,K380&lt;K$43,J$42,K380&lt;K$44,J$43,K380&lt;K$45,J$44,K380&lt;K$46,J$45,K380&lt;K$47,J$46,K380&gt;=K$47,J$47)</f>
        <v/>
      </c>
      <c r="K380" s="38" t="n">
        <v>330</v>
      </c>
      <c r="L380" s="31">
        <f>K380/52</f>
        <v/>
      </c>
      <c r="M380" s="39">
        <f>J380/1000000*52</f>
        <v/>
      </c>
      <c r="N380" s="33">
        <f>M380/$P$4+($I$22/$P$4)</f>
        <v/>
      </c>
      <c r="U380">
        <f>F379</f>
        <v/>
      </c>
      <c r="V380">
        <f>H379</f>
        <v/>
      </c>
      <c r="W380">
        <f>N379</f>
        <v/>
      </c>
    </row>
    <row r="381" ht="15.75" customHeight="1" s="40">
      <c r="C381" s="36">
        <f>_xlfn.IFS(E381&lt;E$24,0,E381&lt;E$26,C$24,E381&lt;E$28,C$26,E381&lt;E$30,C$28,E381&lt;E$32,C$30,E381&lt;E$34,C$32,E381&gt;=E$34,C$34)</f>
        <v/>
      </c>
      <c r="D381" s="37">
        <f>_xlfn.IFS(E381&lt;E$24,0,E381&lt;E$25,D$24,E381&lt;E$26,D$25,E381&lt;E$27,D$26,E381&lt;E$28,D$27,E381&lt;E$29,D$28,E381&lt;E$30,D$29,E381&lt;E$31,D$30,E381&lt;E$32,D$31,E381&lt;E$33,D$32,E381&lt;E$34,D$33,E381&lt;E$35,D$34,E381&gt;=E$35,D$35)</f>
        <v/>
      </c>
      <c r="E381" s="38" t="n">
        <v>331</v>
      </c>
      <c r="F381" s="31">
        <f>E381/52</f>
        <v/>
      </c>
      <c r="G381" s="39">
        <f>D381/1000000*52</f>
        <v/>
      </c>
      <c r="H381" s="33">
        <f>G381/$P$4+($C$22/$P$4)</f>
        <v/>
      </c>
      <c r="I381" s="36">
        <f>_xlfn.IFS(K381&lt;K$24,0,K381&lt;K$26,I$24,K381&lt;K$28,I$26,K381&lt;K$30,I$28,K381&lt;K$32,I$30,K381&lt;K$34,I$32,K381&lt;K$36,I$34,K381&lt;K$38,I$36,K381&lt;K$40,I$38,K381&lt;K$42,I$40,K381&lt;K$44,I$42,K381&lt;K$46,I$44,K381&gt;=K$46,I$46)</f>
        <v/>
      </c>
      <c r="J381" s="37">
        <f>_xlfn.IFS(K381&lt;K$24,0,K381&lt;K$25,J$24,K381&lt;K$26,J$25,K381&lt;K$27,J$26,K381&lt;K$28,J$27,K381&lt;K$29,J$28,K381&lt;K$30,J$29,K381&lt;K$31,J$30,K381&lt;K$32,J$31,K381&lt;K$33,J$32,K381&lt;K$34,J$33,K381&lt;K$35,J$34,K381&lt;K$36,J$35,K381&lt;K$37,J$36,K381&lt;K$38,J$37,K381&lt;K$39,J$38,K381&lt;K$40,J$39,K381&lt;K$41,J$40,K381&lt;K$42,J$41,K381&lt;K$43,J$42,K381&lt;K$44,J$43,K381&lt;K$45,J$44,K381&lt;K$46,J$45,K381&lt;K$47,J$46,K381&gt;=K$47,J$47)</f>
        <v/>
      </c>
      <c r="K381" s="38" t="n">
        <v>331</v>
      </c>
      <c r="L381" s="31">
        <f>K381/52</f>
        <v/>
      </c>
      <c r="M381" s="39">
        <f>J381/1000000*52</f>
        <v/>
      </c>
      <c r="N381" s="33">
        <f>M381/$P$4+($I$22/$P$4)</f>
        <v/>
      </c>
      <c r="U381">
        <f>F380</f>
        <v/>
      </c>
      <c r="V381">
        <f>H380</f>
        <v/>
      </c>
      <c r="W381">
        <f>N380</f>
        <v/>
      </c>
    </row>
    <row r="382" ht="15.75" customHeight="1" s="40">
      <c r="C382" s="36">
        <f>_xlfn.IFS(E382&lt;E$24,0,E382&lt;E$26,C$24,E382&lt;E$28,C$26,E382&lt;E$30,C$28,E382&lt;E$32,C$30,E382&lt;E$34,C$32,E382&gt;=E$34,C$34)</f>
        <v/>
      </c>
      <c r="D382" s="37">
        <f>_xlfn.IFS(E382&lt;E$24,0,E382&lt;E$25,D$24,E382&lt;E$26,D$25,E382&lt;E$27,D$26,E382&lt;E$28,D$27,E382&lt;E$29,D$28,E382&lt;E$30,D$29,E382&lt;E$31,D$30,E382&lt;E$32,D$31,E382&lt;E$33,D$32,E382&lt;E$34,D$33,E382&lt;E$35,D$34,E382&gt;=E$35,D$35)</f>
        <v/>
      </c>
      <c r="E382" s="38" t="n">
        <v>332</v>
      </c>
      <c r="F382" s="31">
        <f>E382/52</f>
        <v/>
      </c>
      <c r="G382" s="39">
        <f>D382/1000000*52</f>
        <v/>
      </c>
      <c r="H382" s="33">
        <f>G382/$P$4+($C$22/$P$4)</f>
        <v/>
      </c>
      <c r="I382" s="36">
        <f>_xlfn.IFS(K382&lt;K$24,0,K382&lt;K$26,I$24,K382&lt;K$28,I$26,K382&lt;K$30,I$28,K382&lt;K$32,I$30,K382&lt;K$34,I$32,K382&lt;K$36,I$34,K382&lt;K$38,I$36,K382&lt;K$40,I$38,K382&lt;K$42,I$40,K382&lt;K$44,I$42,K382&lt;K$46,I$44,K382&gt;=K$46,I$46)</f>
        <v/>
      </c>
      <c r="J382" s="37">
        <f>_xlfn.IFS(K382&lt;K$24,0,K382&lt;K$25,J$24,K382&lt;K$26,J$25,K382&lt;K$27,J$26,K382&lt;K$28,J$27,K382&lt;K$29,J$28,K382&lt;K$30,J$29,K382&lt;K$31,J$30,K382&lt;K$32,J$31,K382&lt;K$33,J$32,K382&lt;K$34,J$33,K382&lt;K$35,J$34,K382&lt;K$36,J$35,K382&lt;K$37,J$36,K382&lt;K$38,J$37,K382&lt;K$39,J$38,K382&lt;K$40,J$39,K382&lt;K$41,J$40,K382&lt;K$42,J$41,K382&lt;K$43,J$42,K382&lt;K$44,J$43,K382&lt;K$45,J$44,K382&lt;K$46,J$45,K382&lt;K$47,J$46,K382&gt;=K$47,J$47)</f>
        <v/>
      </c>
      <c r="K382" s="38" t="n">
        <v>332</v>
      </c>
      <c r="L382" s="31">
        <f>K382/52</f>
        <v/>
      </c>
      <c r="M382" s="39">
        <f>J382/1000000*52</f>
        <v/>
      </c>
      <c r="N382" s="33">
        <f>M382/$P$4+($I$22/$P$4)</f>
        <v/>
      </c>
      <c r="U382">
        <f>F381</f>
        <v/>
      </c>
      <c r="V382">
        <f>H381</f>
        <v/>
      </c>
      <c r="W382">
        <f>N381</f>
        <v/>
      </c>
    </row>
    <row r="383" ht="15.75" customHeight="1" s="40">
      <c r="C383" s="36">
        <f>_xlfn.IFS(E383&lt;E$24,0,E383&lt;E$26,C$24,E383&lt;E$28,C$26,E383&lt;E$30,C$28,E383&lt;E$32,C$30,E383&lt;E$34,C$32,E383&gt;=E$34,C$34)</f>
        <v/>
      </c>
      <c r="D383" s="37">
        <f>_xlfn.IFS(E383&lt;E$24,0,E383&lt;E$25,D$24,E383&lt;E$26,D$25,E383&lt;E$27,D$26,E383&lt;E$28,D$27,E383&lt;E$29,D$28,E383&lt;E$30,D$29,E383&lt;E$31,D$30,E383&lt;E$32,D$31,E383&lt;E$33,D$32,E383&lt;E$34,D$33,E383&lt;E$35,D$34,E383&gt;=E$35,D$35)</f>
        <v/>
      </c>
      <c r="E383" s="38" t="n">
        <v>333</v>
      </c>
      <c r="F383" s="31">
        <f>E383/52</f>
        <v/>
      </c>
      <c r="G383" s="39">
        <f>D383/1000000*52</f>
        <v/>
      </c>
      <c r="H383" s="33">
        <f>G383/$P$4+($C$22/$P$4)</f>
        <v/>
      </c>
      <c r="I383" s="36">
        <f>_xlfn.IFS(K383&lt;K$24,0,K383&lt;K$26,I$24,K383&lt;K$28,I$26,K383&lt;K$30,I$28,K383&lt;K$32,I$30,K383&lt;K$34,I$32,K383&lt;K$36,I$34,K383&lt;K$38,I$36,K383&lt;K$40,I$38,K383&lt;K$42,I$40,K383&lt;K$44,I$42,K383&lt;K$46,I$44,K383&gt;=K$46,I$46)</f>
        <v/>
      </c>
      <c r="J383" s="37">
        <f>_xlfn.IFS(K383&lt;K$24,0,K383&lt;K$25,J$24,K383&lt;K$26,J$25,K383&lt;K$27,J$26,K383&lt;K$28,J$27,K383&lt;K$29,J$28,K383&lt;K$30,J$29,K383&lt;K$31,J$30,K383&lt;K$32,J$31,K383&lt;K$33,J$32,K383&lt;K$34,J$33,K383&lt;K$35,J$34,K383&lt;K$36,J$35,K383&lt;K$37,J$36,K383&lt;K$38,J$37,K383&lt;K$39,J$38,K383&lt;K$40,J$39,K383&lt;K$41,J$40,K383&lt;K$42,J$41,K383&lt;K$43,J$42,K383&lt;K$44,J$43,K383&lt;K$45,J$44,K383&lt;K$46,J$45,K383&lt;K$47,J$46,K383&gt;=K$47,J$47)</f>
        <v/>
      </c>
      <c r="K383" s="38" t="n">
        <v>333</v>
      </c>
      <c r="L383" s="31">
        <f>K383/52</f>
        <v/>
      </c>
      <c r="M383" s="39">
        <f>J383/1000000*52</f>
        <v/>
      </c>
      <c r="N383" s="33">
        <f>M383/$P$4+($I$22/$P$4)</f>
        <v/>
      </c>
      <c r="U383">
        <f>F382</f>
        <v/>
      </c>
      <c r="V383">
        <f>H382</f>
        <v/>
      </c>
      <c r="W383">
        <f>N382</f>
        <v/>
      </c>
    </row>
    <row r="384" ht="15.75" customHeight="1" s="40">
      <c r="C384" s="36">
        <f>_xlfn.IFS(E384&lt;E$24,0,E384&lt;E$26,C$24,E384&lt;E$28,C$26,E384&lt;E$30,C$28,E384&lt;E$32,C$30,E384&lt;E$34,C$32,E384&gt;=E$34,C$34)</f>
        <v/>
      </c>
      <c r="D384" s="37">
        <f>_xlfn.IFS(E384&lt;E$24,0,E384&lt;E$25,D$24,E384&lt;E$26,D$25,E384&lt;E$27,D$26,E384&lt;E$28,D$27,E384&lt;E$29,D$28,E384&lt;E$30,D$29,E384&lt;E$31,D$30,E384&lt;E$32,D$31,E384&lt;E$33,D$32,E384&lt;E$34,D$33,E384&lt;E$35,D$34,E384&gt;=E$35,D$35)</f>
        <v/>
      </c>
      <c r="E384" s="38" t="n">
        <v>334</v>
      </c>
      <c r="F384" s="31">
        <f>E384/52</f>
        <v/>
      </c>
      <c r="G384" s="39">
        <f>D384/1000000*52</f>
        <v/>
      </c>
      <c r="H384" s="33">
        <f>G384/$P$4+($C$22/$P$4)</f>
        <v/>
      </c>
      <c r="I384" s="36">
        <f>_xlfn.IFS(K384&lt;K$24,0,K384&lt;K$26,I$24,K384&lt;K$28,I$26,K384&lt;K$30,I$28,K384&lt;K$32,I$30,K384&lt;K$34,I$32,K384&lt;K$36,I$34,K384&lt;K$38,I$36,K384&lt;K$40,I$38,K384&lt;K$42,I$40,K384&lt;K$44,I$42,K384&lt;K$46,I$44,K384&gt;=K$46,I$46)</f>
        <v/>
      </c>
      <c r="J384" s="37">
        <f>_xlfn.IFS(K384&lt;K$24,0,K384&lt;K$25,J$24,K384&lt;K$26,J$25,K384&lt;K$27,J$26,K384&lt;K$28,J$27,K384&lt;K$29,J$28,K384&lt;K$30,J$29,K384&lt;K$31,J$30,K384&lt;K$32,J$31,K384&lt;K$33,J$32,K384&lt;K$34,J$33,K384&lt;K$35,J$34,K384&lt;K$36,J$35,K384&lt;K$37,J$36,K384&lt;K$38,J$37,K384&lt;K$39,J$38,K384&lt;K$40,J$39,K384&lt;K$41,J$40,K384&lt;K$42,J$41,K384&lt;K$43,J$42,K384&lt;K$44,J$43,K384&lt;K$45,J$44,K384&lt;K$46,J$45,K384&lt;K$47,J$46,K384&gt;=K$47,J$47)</f>
        <v/>
      </c>
      <c r="K384" s="38" t="n">
        <v>334</v>
      </c>
      <c r="L384" s="31">
        <f>K384/52</f>
        <v/>
      </c>
      <c r="M384" s="39">
        <f>J384/1000000*52</f>
        <v/>
      </c>
      <c r="N384" s="33">
        <f>M384/$P$4+($I$22/$P$4)</f>
        <v/>
      </c>
      <c r="U384">
        <f>F383</f>
        <v/>
      </c>
      <c r="V384">
        <f>H383</f>
        <v/>
      </c>
      <c r="W384">
        <f>N383</f>
        <v/>
      </c>
    </row>
    <row r="385" ht="15.75" customHeight="1" s="40">
      <c r="C385" s="36">
        <f>_xlfn.IFS(E385&lt;E$24,0,E385&lt;E$26,C$24,E385&lt;E$28,C$26,E385&lt;E$30,C$28,E385&lt;E$32,C$30,E385&lt;E$34,C$32,E385&gt;=E$34,C$34)</f>
        <v/>
      </c>
      <c r="D385" s="37">
        <f>_xlfn.IFS(E385&lt;E$24,0,E385&lt;E$25,D$24,E385&lt;E$26,D$25,E385&lt;E$27,D$26,E385&lt;E$28,D$27,E385&lt;E$29,D$28,E385&lt;E$30,D$29,E385&lt;E$31,D$30,E385&lt;E$32,D$31,E385&lt;E$33,D$32,E385&lt;E$34,D$33,E385&lt;E$35,D$34,E385&gt;=E$35,D$35)</f>
        <v/>
      </c>
      <c r="E385" s="38" t="n">
        <v>335</v>
      </c>
      <c r="F385" s="31">
        <f>E385/52</f>
        <v/>
      </c>
      <c r="G385" s="39">
        <f>D385/1000000*52</f>
        <v/>
      </c>
      <c r="H385" s="33">
        <f>G385/$P$4+($C$22/$P$4)</f>
        <v/>
      </c>
      <c r="I385" s="36">
        <f>_xlfn.IFS(K385&lt;K$24,0,K385&lt;K$26,I$24,K385&lt;K$28,I$26,K385&lt;K$30,I$28,K385&lt;K$32,I$30,K385&lt;K$34,I$32,K385&lt;K$36,I$34,K385&lt;K$38,I$36,K385&lt;K$40,I$38,K385&lt;K$42,I$40,K385&lt;K$44,I$42,K385&lt;K$46,I$44,K385&gt;=K$46,I$46)</f>
        <v/>
      </c>
      <c r="J385" s="37">
        <f>_xlfn.IFS(K385&lt;K$24,0,K385&lt;K$25,J$24,K385&lt;K$26,J$25,K385&lt;K$27,J$26,K385&lt;K$28,J$27,K385&lt;K$29,J$28,K385&lt;K$30,J$29,K385&lt;K$31,J$30,K385&lt;K$32,J$31,K385&lt;K$33,J$32,K385&lt;K$34,J$33,K385&lt;K$35,J$34,K385&lt;K$36,J$35,K385&lt;K$37,J$36,K385&lt;K$38,J$37,K385&lt;K$39,J$38,K385&lt;K$40,J$39,K385&lt;K$41,J$40,K385&lt;K$42,J$41,K385&lt;K$43,J$42,K385&lt;K$44,J$43,K385&lt;K$45,J$44,K385&lt;K$46,J$45,K385&lt;K$47,J$46,K385&gt;=K$47,J$47)</f>
        <v/>
      </c>
      <c r="K385" s="38" t="n">
        <v>335</v>
      </c>
      <c r="L385" s="31">
        <f>K385/52</f>
        <v/>
      </c>
      <c r="M385" s="39">
        <f>J385/1000000*52</f>
        <v/>
      </c>
      <c r="N385" s="33">
        <f>M385/$P$4+($I$22/$P$4)</f>
        <v/>
      </c>
      <c r="U385">
        <f>F384</f>
        <v/>
      </c>
      <c r="V385">
        <f>H384</f>
        <v/>
      </c>
      <c r="W385">
        <f>N384</f>
        <v/>
      </c>
    </row>
    <row r="386" ht="15.75" customHeight="1" s="40">
      <c r="C386" s="36">
        <f>_xlfn.IFS(E386&lt;E$24,0,E386&lt;E$26,C$24,E386&lt;E$28,C$26,E386&lt;E$30,C$28,E386&lt;E$32,C$30,E386&lt;E$34,C$32,E386&gt;=E$34,C$34)</f>
        <v/>
      </c>
      <c r="D386" s="37">
        <f>_xlfn.IFS(E386&lt;E$24,0,E386&lt;E$25,D$24,E386&lt;E$26,D$25,E386&lt;E$27,D$26,E386&lt;E$28,D$27,E386&lt;E$29,D$28,E386&lt;E$30,D$29,E386&lt;E$31,D$30,E386&lt;E$32,D$31,E386&lt;E$33,D$32,E386&lt;E$34,D$33,E386&lt;E$35,D$34,E386&gt;=E$35,D$35)</f>
        <v/>
      </c>
      <c r="E386" s="38" t="n">
        <v>336</v>
      </c>
      <c r="F386" s="31">
        <f>E386/52</f>
        <v/>
      </c>
      <c r="G386" s="39">
        <f>D386/1000000*52</f>
        <v/>
      </c>
      <c r="H386" s="33">
        <f>G386/$P$4+($C$22/$P$4)</f>
        <v/>
      </c>
      <c r="I386" s="36">
        <f>_xlfn.IFS(K386&lt;K$24,0,K386&lt;K$26,I$24,K386&lt;K$28,I$26,K386&lt;K$30,I$28,K386&lt;K$32,I$30,K386&lt;K$34,I$32,K386&lt;K$36,I$34,K386&lt;K$38,I$36,K386&lt;K$40,I$38,K386&lt;K$42,I$40,K386&lt;K$44,I$42,K386&lt;K$46,I$44,K386&gt;=K$46,I$46)</f>
        <v/>
      </c>
      <c r="J386" s="37">
        <f>_xlfn.IFS(K386&lt;K$24,0,K386&lt;K$25,J$24,K386&lt;K$26,J$25,K386&lt;K$27,J$26,K386&lt;K$28,J$27,K386&lt;K$29,J$28,K386&lt;K$30,J$29,K386&lt;K$31,J$30,K386&lt;K$32,J$31,K386&lt;K$33,J$32,K386&lt;K$34,J$33,K386&lt;K$35,J$34,K386&lt;K$36,J$35,K386&lt;K$37,J$36,K386&lt;K$38,J$37,K386&lt;K$39,J$38,K386&lt;K$40,J$39,K386&lt;K$41,J$40,K386&lt;K$42,J$41,K386&lt;K$43,J$42,K386&lt;K$44,J$43,K386&lt;K$45,J$44,K386&lt;K$46,J$45,K386&lt;K$47,J$46,K386&gt;=K$47,J$47)</f>
        <v/>
      </c>
      <c r="K386" s="38" t="n">
        <v>336</v>
      </c>
      <c r="L386" s="31">
        <f>K386/52</f>
        <v/>
      </c>
      <c r="M386" s="39">
        <f>J386/1000000*52</f>
        <v/>
      </c>
      <c r="N386" s="33">
        <f>M386/$P$4+($I$22/$P$4)</f>
        <v/>
      </c>
      <c r="U386">
        <f>F385</f>
        <v/>
      </c>
      <c r="V386">
        <f>H385</f>
        <v/>
      </c>
      <c r="W386">
        <f>N385</f>
        <v/>
      </c>
    </row>
    <row r="387" ht="15.75" customHeight="1" s="40">
      <c r="C387" s="36">
        <f>_xlfn.IFS(E387&lt;E$24,0,E387&lt;E$26,C$24,E387&lt;E$28,C$26,E387&lt;E$30,C$28,E387&lt;E$32,C$30,E387&lt;E$34,C$32,E387&gt;=E$34,C$34)</f>
        <v/>
      </c>
      <c r="D387" s="37">
        <f>_xlfn.IFS(E387&lt;E$24,0,E387&lt;E$25,D$24,E387&lt;E$26,D$25,E387&lt;E$27,D$26,E387&lt;E$28,D$27,E387&lt;E$29,D$28,E387&lt;E$30,D$29,E387&lt;E$31,D$30,E387&lt;E$32,D$31,E387&lt;E$33,D$32,E387&lt;E$34,D$33,E387&lt;E$35,D$34,E387&gt;=E$35,D$35)</f>
        <v/>
      </c>
      <c r="E387" s="38" t="n">
        <v>337</v>
      </c>
      <c r="F387" s="31">
        <f>E387/52</f>
        <v/>
      </c>
      <c r="G387" s="39">
        <f>D387/1000000*52</f>
        <v/>
      </c>
      <c r="H387" s="33">
        <f>G387/$P$4+($C$22/$P$4)</f>
        <v/>
      </c>
      <c r="I387" s="36">
        <f>_xlfn.IFS(K387&lt;K$24,0,K387&lt;K$26,I$24,K387&lt;K$28,I$26,K387&lt;K$30,I$28,K387&lt;K$32,I$30,K387&lt;K$34,I$32,K387&lt;K$36,I$34,K387&lt;K$38,I$36,K387&lt;K$40,I$38,K387&lt;K$42,I$40,K387&lt;K$44,I$42,K387&lt;K$46,I$44,K387&gt;=K$46,I$46)</f>
        <v/>
      </c>
      <c r="J387" s="37">
        <f>_xlfn.IFS(K387&lt;K$24,0,K387&lt;K$25,J$24,K387&lt;K$26,J$25,K387&lt;K$27,J$26,K387&lt;K$28,J$27,K387&lt;K$29,J$28,K387&lt;K$30,J$29,K387&lt;K$31,J$30,K387&lt;K$32,J$31,K387&lt;K$33,J$32,K387&lt;K$34,J$33,K387&lt;K$35,J$34,K387&lt;K$36,J$35,K387&lt;K$37,J$36,K387&lt;K$38,J$37,K387&lt;K$39,J$38,K387&lt;K$40,J$39,K387&lt;K$41,J$40,K387&lt;K$42,J$41,K387&lt;K$43,J$42,K387&lt;K$44,J$43,K387&lt;K$45,J$44,K387&lt;K$46,J$45,K387&lt;K$47,J$46,K387&gt;=K$47,J$47)</f>
        <v/>
      </c>
      <c r="K387" s="38" t="n">
        <v>337</v>
      </c>
      <c r="L387" s="31">
        <f>K387/52</f>
        <v/>
      </c>
      <c r="M387" s="39">
        <f>J387/1000000*52</f>
        <v/>
      </c>
      <c r="N387" s="33">
        <f>M387/$P$4+($I$22/$P$4)</f>
        <v/>
      </c>
      <c r="U387">
        <f>F386</f>
        <v/>
      </c>
      <c r="V387">
        <f>H386</f>
        <v/>
      </c>
      <c r="W387">
        <f>N386</f>
        <v/>
      </c>
    </row>
    <row r="388" ht="15.75" customHeight="1" s="40">
      <c r="C388" s="36">
        <f>_xlfn.IFS(E388&lt;E$24,0,E388&lt;E$26,C$24,E388&lt;E$28,C$26,E388&lt;E$30,C$28,E388&lt;E$32,C$30,E388&lt;E$34,C$32,E388&gt;=E$34,C$34)</f>
        <v/>
      </c>
      <c r="D388" s="37">
        <f>_xlfn.IFS(E388&lt;E$24,0,E388&lt;E$25,D$24,E388&lt;E$26,D$25,E388&lt;E$27,D$26,E388&lt;E$28,D$27,E388&lt;E$29,D$28,E388&lt;E$30,D$29,E388&lt;E$31,D$30,E388&lt;E$32,D$31,E388&lt;E$33,D$32,E388&lt;E$34,D$33,E388&lt;E$35,D$34,E388&gt;=E$35,D$35)</f>
        <v/>
      </c>
      <c r="E388" s="38" t="n">
        <v>338</v>
      </c>
      <c r="F388" s="31">
        <f>E388/52</f>
        <v/>
      </c>
      <c r="G388" s="39">
        <f>D388/1000000*52</f>
        <v/>
      </c>
      <c r="H388" s="33">
        <f>G388/$P$4+($C$22/$P$4)</f>
        <v/>
      </c>
      <c r="I388" s="36">
        <f>_xlfn.IFS(K388&lt;K$24,0,K388&lt;K$26,I$24,K388&lt;K$28,I$26,K388&lt;K$30,I$28,K388&lt;K$32,I$30,K388&lt;K$34,I$32,K388&lt;K$36,I$34,K388&lt;K$38,I$36,K388&lt;K$40,I$38,K388&lt;K$42,I$40,K388&lt;K$44,I$42,K388&lt;K$46,I$44,K388&gt;=K$46,I$46)</f>
        <v/>
      </c>
      <c r="J388" s="37">
        <f>_xlfn.IFS(K388&lt;K$24,0,K388&lt;K$25,J$24,K388&lt;K$26,J$25,K388&lt;K$27,J$26,K388&lt;K$28,J$27,K388&lt;K$29,J$28,K388&lt;K$30,J$29,K388&lt;K$31,J$30,K388&lt;K$32,J$31,K388&lt;K$33,J$32,K388&lt;K$34,J$33,K388&lt;K$35,J$34,K388&lt;K$36,J$35,K388&lt;K$37,J$36,K388&lt;K$38,J$37,K388&lt;K$39,J$38,K388&lt;K$40,J$39,K388&lt;K$41,J$40,K388&lt;K$42,J$41,K388&lt;K$43,J$42,K388&lt;K$44,J$43,K388&lt;K$45,J$44,K388&lt;K$46,J$45,K388&lt;K$47,J$46,K388&gt;=K$47,J$47)</f>
        <v/>
      </c>
      <c r="K388" s="38" t="n">
        <v>338</v>
      </c>
      <c r="L388" s="31">
        <f>K388/52</f>
        <v/>
      </c>
      <c r="M388" s="39">
        <f>J388/1000000*52</f>
        <v/>
      </c>
      <c r="N388" s="33">
        <f>M388/$P$4+($I$22/$P$4)</f>
        <v/>
      </c>
      <c r="U388">
        <f>F387</f>
        <v/>
      </c>
      <c r="V388">
        <f>H387</f>
        <v/>
      </c>
      <c r="W388">
        <f>N387</f>
        <v/>
      </c>
    </row>
    <row r="389" ht="15.75" customHeight="1" s="40">
      <c r="C389" s="36">
        <f>_xlfn.IFS(E389&lt;E$24,0,E389&lt;E$26,C$24,E389&lt;E$28,C$26,E389&lt;E$30,C$28,E389&lt;E$32,C$30,E389&lt;E$34,C$32,E389&gt;=E$34,C$34)</f>
        <v/>
      </c>
      <c r="D389" s="37">
        <f>_xlfn.IFS(E389&lt;E$24,0,E389&lt;E$25,D$24,E389&lt;E$26,D$25,E389&lt;E$27,D$26,E389&lt;E$28,D$27,E389&lt;E$29,D$28,E389&lt;E$30,D$29,E389&lt;E$31,D$30,E389&lt;E$32,D$31,E389&lt;E$33,D$32,E389&lt;E$34,D$33,E389&lt;E$35,D$34,E389&gt;=E$35,D$35)</f>
        <v/>
      </c>
      <c r="E389" s="38" t="n">
        <v>339</v>
      </c>
      <c r="F389" s="31">
        <f>E389/52</f>
        <v/>
      </c>
      <c r="G389" s="39">
        <f>D389/1000000*52</f>
        <v/>
      </c>
      <c r="H389" s="33">
        <f>G389/$P$4+($C$22/$P$4)</f>
        <v/>
      </c>
      <c r="I389" s="36">
        <f>_xlfn.IFS(K389&lt;K$24,0,K389&lt;K$26,I$24,K389&lt;K$28,I$26,K389&lt;K$30,I$28,K389&lt;K$32,I$30,K389&lt;K$34,I$32,K389&lt;K$36,I$34,K389&lt;K$38,I$36,K389&lt;K$40,I$38,K389&lt;K$42,I$40,K389&lt;K$44,I$42,K389&lt;K$46,I$44,K389&gt;=K$46,I$46)</f>
        <v/>
      </c>
      <c r="J389" s="37">
        <f>_xlfn.IFS(K389&lt;K$24,0,K389&lt;K$25,J$24,K389&lt;K$26,J$25,K389&lt;K$27,J$26,K389&lt;K$28,J$27,K389&lt;K$29,J$28,K389&lt;K$30,J$29,K389&lt;K$31,J$30,K389&lt;K$32,J$31,K389&lt;K$33,J$32,K389&lt;K$34,J$33,K389&lt;K$35,J$34,K389&lt;K$36,J$35,K389&lt;K$37,J$36,K389&lt;K$38,J$37,K389&lt;K$39,J$38,K389&lt;K$40,J$39,K389&lt;K$41,J$40,K389&lt;K$42,J$41,K389&lt;K$43,J$42,K389&lt;K$44,J$43,K389&lt;K$45,J$44,K389&lt;K$46,J$45,K389&lt;K$47,J$46,K389&gt;=K$47,J$47)</f>
        <v/>
      </c>
      <c r="K389" s="38" t="n">
        <v>339</v>
      </c>
      <c r="L389" s="31">
        <f>K389/52</f>
        <v/>
      </c>
      <c r="M389" s="39">
        <f>J389/1000000*52</f>
        <v/>
      </c>
      <c r="N389" s="33">
        <f>M389/$P$4+($I$22/$P$4)</f>
        <v/>
      </c>
      <c r="U389">
        <f>F388</f>
        <v/>
      </c>
      <c r="V389">
        <f>H388</f>
        <v/>
      </c>
      <c r="W389">
        <f>N388</f>
        <v/>
      </c>
    </row>
    <row r="390" ht="15.75" customHeight="1" s="40">
      <c r="C390" s="36">
        <f>_xlfn.IFS(E390&lt;E$24,0,E390&lt;E$26,C$24,E390&lt;E$28,C$26,E390&lt;E$30,C$28,E390&lt;E$32,C$30,E390&lt;E$34,C$32,E390&gt;=E$34,C$34)</f>
        <v/>
      </c>
      <c r="D390" s="37">
        <f>_xlfn.IFS(E390&lt;E$24,0,E390&lt;E$25,D$24,E390&lt;E$26,D$25,E390&lt;E$27,D$26,E390&lt;E$28,D$27,E390&lt;E$29,D$28,E390&lt;E$30,D$29,E390&lt;E$31,D$30,E390&lt;E$32,D$31,E390&lt;E$33,D$32,E390&lt;E$34,D$33,E390&lt;E$35,D$34,E390&gt;=E$35,D$35)</f>
        <v/>
      </c>
      <c r="E390" s="38" t="n">
        <v>340</v>
      </c>
      <c r="F390" s="31">
        <f>E390/52</f>
        <v/>
      </c>
      <c r="G390" s="39">
        <f>D390/1000000*52</f>
        <v/>
      </c>
      <c r="H390" s="33">
        <f>G390/$P$4+($C$22/$P$4)</f>
        <v/>
      </c>
      <c r="I390" s="36">
        <f>_xlfn.IFS(K390&lt;K$24,0,K390&lt;K$26,I$24,K390&lt;K$28,I$26,K390&lt;K$30,I$28,K390&lt;K$32,I$30,K390&lt;K$34,I$32,K390&lt;K$36,I$34,K390&lt;K$38,I$36,K390&lt;K$40,I$38,K390&lt;K$42,I$40,K390&lt;K$44,I$42,K390&lt;K$46,I$44,K390&gt;=K$46,I$46)</f>
        <v/>
      </c>
      <c r="J390" s="37">
        <f>_xlfn.IFS(K390&lt;K$24,0,K390&lt;K$25,J$24,K390&lt;K$26,J$25,K390&lt;K$27,J$26,K390&lt;K$28,J$27,K390&lt;K$29,J$28,K390&lt;K$30,J$29,K390&lt;K$31,J$30,K390&lt;K$32,J$31,K390&lt;K$33,J$32,K390&lt;K$34,J$33,K390&lt;K$35,J$34,K390&lt;K$36,J$35,K390&lt;K$37,J$36,K390&lt;K$38,J$37,K390&lt;K$39,J$38,K390&lt;K$40,J$39,K390&lt;K$41,J$40,K390&lt;K$42,J$41,K390&lt;K$43,J$42,K390&lt;K$44,J$43,K390&lt;K$45,J$44,K390&lt;K$46,J$45,K390&lt;K$47,J$46,K390&gt;=K$47,J$47)</f>
        <v/>
      </c>
      <c r="K390" s="38" t="n">
        <v>340</v>
      </c>
      <c r="L390" s="31">
        <f>K390/52</f>
        <v/>
      </c>
      <c r="M390" s="39">
        <f>J390/1000000*52</f>
        <v/>
      </c>
      <c r="N390" s="33">
        <f>M390/$P$4+($I$22/$P$4)</f>
        <v/>
      </c>
      <c r="U390">
        <f>F389</f>
        <v/>
      </c>
      <c r="V390">
        <f>H389</f>
        <v/>
      </c>
      <c r="W390">
        <f>N389</f>
        <v/>
      </c>
    </row>
    <row r="391" ht="15.75" customHeight="1" s="40">
      <c r="C391" s="36">
        <f>_xlfn.IFS(E391&lt;E$24,0,E391&lt;E$26,C$24,E391&lt;E$28,C$26,E391&lt;E$30,C$28,E391&lt;E$32,C$30,E391&lt;E$34,C$32,E391&gt;=E$34,C$34)</f>
        <v/>
      </c>
      <c r="D391" s="37">
        <f>_xlfn.IFS(E391&lt;E$24,0,E391&lt;E$25,D$24,E391&lt;E$26,D$25,E391&lt;E$27,D$26,E391&lt;E$28,D$27,E391&lt;E$29,D$28,E391&lt;E$30,D$29,E391&lt;E$31,D$30,E391&lt;E$32,D$31,E391&lt;E$33,D$32,E391&lt;E$34,D$33,E391&lt;E$35,D$34,E391&gt;=E$35,D$35)</f>
        <v/>
      </c>
      <c r="E391" s="38" t="n">
        <v>341</v>
      </c>
      <c r="F391" s="31">
        <f>E391/52</f>
        <v/>
      </c>
      <c r="G391" s="39">
        <f>D391/1000000*52</f>
        <v/>
      </c>
      <c r="H391" s="33">
        <f>G391/$P$4+($C$22/$P$4)</f>
        <v/>
      </c>
      <c r="I391" s="36">
        <f>_xlfn.IFS(K391&lt;K$24,0,K391&lt;K$26,I$24,K391&lt;K$28,I$26,K391&lt;K$30,I$28,K391&lt;K$32,I$30,K391&lt;K$34,I$32,K391&lt;K$36,I$34,K391&lt;K$38,I$36,K391&lt;K$40,I$38,K391&lt;K$42,I$40,K391&lt;K$44,I$42,K391&lt;K$46,I$44,K391&gt;=K$46,I$46)</f>
        <v/>
      </c>
      <c r="J391" s="37">
        <f>_xlfn.IFS(K391&lt;K$24,0,K391&lt;K$25,J$24,K391&lt;K$26,J$25,K391&lt;K$27,J$26,K391&lt;K$28,J$27,K391&lt;K$29,J$28,K391&lt;K$30,J$29,K391&lt;K$31,J$30,K391&lt;K$32,J$31,K391&lt;K$33,J$32,K391&lt;K$34,J$33,K391&lt;K$35,J$34,K391&lt;K$36,J$35,K391&lt;K$37,J$36,K391&lt;K$38,J$37,K391&lt;K$39,J$38,K391&lt;K$40,J$39,K391&lt;K$41,J$40,K391&lt;K$42,J$41,K391&lt;K$43,J$42,K391&lt;K$44,J$43,K391&lt;K$45,J$44,K391&lt;K$46,J$45,K391&lt;K$47,J$46,K391&gt;=K$47,J$47)</f>
        <v/>
      </c>
      <c r="K391" s="38" t="n">
        <v>341</v>
      </c>
      <c r="L391" s="31">
        <f>K391/52</f>
        <v/>
      </c>
      <c r="M391" s="39">
        <f>J391/1000000*52</f>
        <v/>
      </c>
      <c r="N391" s="33">
        <f>M391/$P$4+($I$22/$P$4)</f>
        <v/>
      </c>
      <c r="U391">
        <f>F390</f>
        <v/>
      </c>
      <c r="V391">
        <f>H390</f>
        <v/>
      </c>
      <c r="W391">
        <f>N390</f>
        <v/>
      </c>
    </row>
    <row r="392" ht="15.75" customHeight="1" s="40">
      <c r="C392" s="36">
        <f>_xlfn.IFS(E392&lt;E$24,0,E392&lt;E$26,C$24,E392&lt;E$28,C$26,E392&lt;E$30,C$28,E392&lt;E$32,C$30,E392&lt;E$34,C$32,E392&gt;=E$34,C$34)</f>
        <v/>
      </c>
      <c r="D392" s="37">
        <f>_xlfn.IFS(E392&lt;E$24,0,E392&lt;E$25,D$24,E392&lt;E$26,D$25,E392&lt;E$27,D$26,E392&lt;E$28,D$27,E392&lt;E$29,D$28,E392&lt;E$30,D$29,E392&lt;E$31,D$30,E392&lt;E$32,D$31,E392&lt;E$33,D$32,E392&lt;E$34,D$33,E392&lt;E$35,D$34,E392&gt;=E$35,D$35)</f>
        <v/>
      </c>
      <c r="E392" s="38" t="n">
        <v>342</v>
      </c>
      <c r="F392" s="31">
        <f>E392/52</f>
        <v/>
      </c>
      <c r="G392" s="39">
        <f>D392/1000000*52</f>
        <v/>
      </c>
      <c r="H392" s="33">
        <f>G392/$P$4+($C$22/$P$4)</f>
        <v/>
      </c>
      <c r="I392" s="36">
        <f>_xlfn.IFS(K392&lt;K$24,0,K392&lt;K$26,I$24,K392&lt;K$28,I$26,K392&lt;K$30,I$28,K392&lt;K$32,I$30,K392&lt;K$34,I$32,K392&lt;K$36,I$34,K392&lt;K$38,I$36,K392&lt;K$40,I$38,K392&lt;K$42,I$40,K392&lt;K$44,I$42,K392&lt;K$46,I$44,K392&gt;=K$46,I$46)</f>
        <v/>
      </c>
      <c r="J392" s="37">
        <f>_xlfn.IFS(K392&lt;K$24,0,K392&lt;K$25,J$24,K392&lt;K$26,J$25,K392&lt;K$27,J$26,K392&lt;K$28,J$27,K392&lt;K$29,J$28,K392&lt;K$30,J$29,K392&lt;K$31,J$30,K392&lt;K$32,J$31,K392&lt;K$33,J$32,K392&lt;K$34,J$33,K392&lt;K$35,J$34,K392&lt;K$36,J$35,K392&lt;K$37,J$36,K392&lt;K$38,J$37,K392&lt;K$39,J$38,K392&lt;K$40,J$39,K392&lt;K$41,J$40,K392&lt;K$42,J$41,K392&lt;K$43,J$42,K392&lt;K$44,J$43,K392&lt;K$45,J$44,K392&lt;K$46,J$45,K392&lt;K$47,J$46,K392&gt;=K$47,J$47)</f>
        <v/>
      </c>
      <c r="K392" s="38" t="n">
        <v>342</v>
      </c>
      <c r="L392" s="31">
        <f>K392/52</f>
        <v/>
      </c>
      <c r="M392" s="39">
        <f>J392/1000000*52</f>
        <v/>
      </c>
      <c r="N392" s="33">
        <f>M392/$P$4+($I$22/$P$4)</f>
        <v/>
      </c>
      <c r="U392">
        <f>F391</f>
        <v/>
      </c>
      <c r="V392">
        <f>H391</f>
        <v/>
      </c>
      <c r="W392">
        <f>N391</f>
        <v/>
      </c>
    </row>
    <row r="393" ht="15.75" customHeight="1" s="40">
      <c r="C393" s="36">
        <f>_xlfn.IFS(E393&lt;E$24,0,E393&lt;E$26,C$24,E393&lt;E$28,C$26,E393&lt;E$30,C$28,E393&lt;E$32,C$30,E393&lt;E$34,C$32,E393&gt;=E$34,C$34)</f>
        <v/>
      </c>
      <c r="D393" s="37">
        <f>_xlfn.IFS(E393&lt;E$24,0,E393&lt;E$25,D$24,E393&lt;E$26,D$25,E393&lt;E$27,D$26,E393&lt;E$28,D$27,E393&lt;E$29,D$28,E393&lt;E$30,D$29,E393&lt;E$31,D$30,E393&lt;E$32,D$31,E393&lt;E$33,D$32,E393&lt;E$34,D$33,E393&lt;E$35,D$34,E393&gt;=E$35,D$35)</f>
        <v/>
      </c>
      <c r="E393" s="38" t="n">
        <v>343</v>
      </c>
      <c r="F393" s="31">
        <f>E393/52</f>
        <v/>
      </c>
      <c r="G393" s="39">
        <f>D393/1000000*52</f>
        <v/>
      </c>
      <c r="H393" s="33">
        <f>G393/$P$4+($C$22/$P$4)</f>
        <v/>
      </c>
      <c r="I393" s="36">
        <f>_xlfn.IFS(K393&lt;K$24,0,K393&lt;K$26,I$24,K393&lt;K$28,I$26,K393&lt;K$30,I$28,K393&lt;K$32,I$30,K393&lt;K$34,I$32,K393&lt;K$36,I$34,K393&lt;K$38,I$36,K393&lt;K$40,I$38,K393&lt;K$42,I$40,K393&lt;K$44,I$42,K393&lt;K$46,I$44,K393&gt;=K$46,I$46)</f>
        <v/>
      </c>
      <c r="J393" s="37">
        <f>_xlfn.IFS(K393&lt;K$24,0,K393&lt;K$25,J$24,K393&lt;K$26,J$25,K393&lt;K$27,J$26,K393&lt;K$28,J$27,K393&lt;K$29,J$28,K393&lt;K$30,J$29,K393&lt;K$31,J$30,K393&lt;K$32,J$31,K393&lt;K$33,J$32,K393&lt;K$34,J$33,K393&lt;K$35,J$34,K393&lt;K$36,J$35,K393&lt;K$37,J$36,K393&lt;K$38,J$37,K393&lt;K$39,J$38,K393&lt;K$40,J$39,K393&lt;K$41,J$40,K393&lt;K$42,J$41,K393&lt;K$43,J$42,K393&lt;K$44,J$43,K393&lt;K$45,J$44,K393&lt;K$46,J$45,K393&lt;K$47,J$46,K393&gt;=K$47,J$47)</f>
        <v/>
      </c>
      <c r="K393" s="38" t="n">
        <v>343</v>
      </c>
      <c r="L393" s="31">
        <f>K393/52</f>
        <v/>
      </c>
      <c r="M393" s="39">
        <f>J393/1000000*52</f>
        <v/>
      </c>
      <c r="N393" s="33">
        <f>M393/$P$4+($I$22/$P$4)</f>
        <v/>
      </c>
      <c r="U393">
        <f>F392</f>
        <v/>
      </c>
      <c r="V393">
        <f>H392</f>
        <v/>
      </c>
      <c r="W393">
        <f>N392</f>
        <v/>
      </c>
    </row>
    <row r="394" ht="15.75" customHeight="1" s="40">
      <c r="C394" s="36">
        <f>_xlfn.IFS(E394&lt;E$24,0,E394&lt;E$26,C$24,E394&lt;E$28,C$26,E394&lt;E$30,C$28,E394&lt;E$32,C$30,E394&lt;E$34,C$32,E394&gt;=E$34,C$34)</f>
        <v/>
      </c>
      <c r="D394" s="37">
        <f>_xlfn.IFS(E394&lt;E$24,0,E394&lt;E$25,D$24,E394&lt;E$26,D$25,E394&lt;E$27,D$26,E394&lt;E$28,D$27,E394&lt;E$29,D$28,E394&lt;E$30,D$29,E394&lt;E$31,D$30,E394&lt;E$32,D$31,E394&lt;E$33,D$32,E394&lt;E$34,D$33,E394&lt;E$35,D$34,E394&gt;=E$35,D$35)</f>
        <v/>
      </c>
      <c r="E394" s="38" t="n">
        <v>344</v>
      </c>
      <c r="F394" s="31">
        <f>E394/52</f>
        <v/>
      </c>
      <c r="G394" s="39">
        <f>D394/1000000*52</f>
        <v/>
      </c>
      <c r="H394" s="33">
        <f>G394/$P$4+($C$22/$P$4)</f>
        <v/>
      </c>
      <c r="I394" s="36">
        <f>_xlfn.IFS(K394&lt;K$24,0,K394&lt;K$26,I$24,K394&lt;K$28,I$26,K394&lt;K$30,I$28,K394&lt;K$32,I$30,K394&lt;K$34,I$32,K394&lt;K$36,I$34,K394&lt;K$38,I$36,K394&lt;K$40,I$38,K394&lt;K$42,I$40,K394&lt;K$44,I$42,K394&lt;K$46,I$44,K394&gt;=K$46,I$46)</f>
        <v/>
      </c>
      <c r="J394" s="37">
        <f>_xlfn.IFS(K394&lt;K$24,0,K394&lt;K$25,J$24,K394&lt;K$26,J$25,K394&lt;K$27,J$26,K394&lt;K$28,J$27,K394&lt;K$29,J$28,K394&lt;K$30,J$29,K394&lt;K$31,J$30,K394&lt;K$32,J$31,K394&lt;K$33,J$32,K394&lt;K$34,J$33,K394&lt;K$35,J$34,K394&lt;K$36,J$35,K394&lt;K$37,J$36,K394&lt;K$38,J$37,K394&lt;K$39,J$38,K394&lt;K$40,J$39,K394&lt;K$41,J$40,K394&lt;K$42,J$41,K394&lt;K$43,J$42,K394&lt;K$44,J$43,K394&lt;K$45,J$44,K394&lt;K$46,J$45,K394&lt;K$47,J$46,K394&gt;=K$47,J$47)</f>
        <v/>
      </c>
      <c r="K394" s="38" t="n">
        <v>344</v>
      </c>
      <c r="L394" s="31">
        <f>K394/52</f>
        <v/>
      </c>
      <c r="M394" s="39">
        <f>J394/1000000*52</f>
        <v/>
      </c>
      <c r="N394" s="33">
        <f>M394/$P$4+($I$22/$P$4)</f>
        <v/>
      </c>
      <c r="U394">
        <f>F393</f>
        <v/>
      </c>
      <c r="V394">
        <f>H393</f>
        <v/>
      </c>
      <c r="W394">
        <f>N393</f>
        <v/>
      </c>
    </row>
    <row r="395" ht="15.75" customHeight="1" s="40">
      <c r="C395" s="36">
        <f>_xlfn.IFS(E395&lt;E$24,0,E395&lt;E$26,C$24,E395&lt;E$28,C$26,E395&lt;E$30,C$28,E395&lt;E$32,C$30,E395&lt;E$34,C$32,E395&gt;=E$34,C$34)</f>
        <v/>
      </c>
      <c r="D395" s="37">
        <f>_xlfn.IFS(E395&lt;E$24,0,E395&lt;E$25,D$24,E395&lt;E$26,D$25,E395&lt;E$27,D$26,E395&lt;E$28,D$27,E395&lt;E$29,D$28,E395&lt;E$30,D$29,E395&lt;E$31,D$30,E395&lt;E$32,D$31,E395&lt;E$33,D$32,E395&lt;E$34,D$33,E395&lt;E$35,D$34,E395&gt;=E$35,D$35)</f>
        <v/>
      </c>
      <c r="E395" s="38" t="n">
        <v>345</v>
      </c>
      <c r="F395" s="31">
        <f>E395/52</f>
        <v/>
      </c>
      <c r="G395" s="39">
        <f>D395/1000000*52</f>
        <v/>
      </c>
      <c r="H395" s="33">
        <f>G395/$P$4+($C$22/$P$4)</f>
        <v/>
      </c>
      <c r="I395" s="36">
        <f>_xlfn.IFS(K395&lt;K$24,0,K395&lt;K$26,I$24,K395&lt;K$28,I$26,K395&lt;K$30,I$28,K395&lt;K$32,I$30,K395&lt;K$34,I$32,K395&lt;K$36,I$34,K395&lt;K$38,I$36,K395&lt;K$40,I$38,K395&lt;K$42,I$40,K395&lt;K$44,I$42,K395&lt;K$46,I$44,K395&gt;=K$46,I$46)</f>
        <v/>
      </c>
      <c r="J395" s="37">
        <f>_xlfn.IFS(K395&lt;K$24,0,K395&lt;K$25,J$24,K395&lt;K$26,J$25,K395&lt;K$27,J$26,K395&lt;K$28,J$27,K395&lt;K$29,J$28,K395&lt;K$30,J$29,K395&lt;K$31,J$30,K395&lt;K$32,J$31,K395&lt;K$33,J$32,K395&lt;K$34,J$33,K395&lt;K$35,J$34,K395&lt;K$36,J$35,K395&lt;K$37,J$36,K395&lt;K$38,J$37,K395&lt;K$39,J$38,K395&lt;K$40,J$39,K395&lt;K$41,J$40,K395&lt;K$42,J$41,K395&lt;K$43,J$42,K395&lt;K$44,J$43,K395&lt;K$45,J$44,K395&lt;K$46,J$45,K395&lt;K$47,J$46,K395&gt;=K$47,J$47)</f>
        <v/>
      </c>
      <c r="K395" s="38" t="n">
        <v>345</v>
      </c>
      <c r="L395" s="31">
        <f>K395/52</f>
        <v/>
      </c>
      <c r="M395" s="39">
        <f>J395/1000000*52</f>
        <v/>
      </c>
      <c r="N395" s="33">
        <f>M395/$P$4+($I$22/$P$4)</f>
        <v/>
      </c>
      <c r="U395">
        <f>F394</f>
        <v/>
      </c>
      <c r="V395">
        <f>H394</f>
        <v/>
      </c>
      <c r="W395">
        <f>N394</f>
        <v/>
      </c>
    </row>
    <row r="396" ht="15.75" customHeight="1" s="40">
      <c r="C396" s="36">
        <f>_xlfn.IFS(E396&lt;E$24,0,E396&lt;E$26,C$24,E396&lt;E$28,C$26,E396&lt;E$30,C$28,E396&lt;E$32,C$30,E396&lt;E$34,C$32,E396&gt;=E$34,C$34)</f>
        <v/>
      </c>
      <c r="D396" s="37">
        <f>_xlfn.IFS(E396&lt;E$24,0,E396&lt;E$25,D$24,E396&lt;E$26,D$25,E396&lt;E$27,D$26,E396&lt;E$28,D$27,E396&lt;E$29,D$28,E396&lt;E$30,D$29,E396&lt;E$31,D$30,E396&lt;E$32,D$31,E396&lt;E$33,D$32,E396&lt;E$34,D$33,E396&lt;E$35,D$34,E396&gt;=E$35,D$35)</f>
        <v/>
      </c>
      <c r="E396" s="38" t="n">
        <v>346</v>
      </c>
      <c r="F396" s="31">
        <f>E396/52</f>
        <v/>
      </c>
      <c r="G396" s="39">
        <f>D396/1000000*52</f>
        <v/>
      </c>
      <c r="H396" s="33">
        <f>G396/$P$4+($C$22/$P$4)</f>
        <v/>
      </c>
      <c r="I396" s="36">
        <f>_xlfn.IFS(K396&lt;K$24,0,K396&lt;K$26,I$24,K396&lt;K$28,I$26,K396&lt;K$30,I$28,K396&lt;K$32,I$30,K396&lt;K$34,I$32,K396&lt;K$36,I$34,K396&lt;K$38,I$36,K396&lt;K$40,I$38,K396&lt;K$42,I$40,K396&lt;K$44,I$42,K396&lt;K$46,I$44,K396&gt;=K$46,I$46)</f>
        <v/>
      </c>
      <c r="J396" s="37">
        <f>_xlfn.IFS(K396&lt;K$24,0,K396&lt;K$25,J$24,K396&lt;K$26,J$25,K396&lt;K$27,J$26,K396&lt;K$28,J$27,K396&lt;K$29,J$28,K396&lt;K$30,J$29,K396&lt;K$31,J$30,K396&lt;K$32,J$31,K396&lt;K$33,J$32,K396&lt;K$34,J$33,K396&lt;K$35,J$34,K396&lt;K$36,J$35,K396&lt;K$37,J$36,K396&lt;K$38,J$37,K396&lt;K$39,J$38,K396&lt;K$40,J$39,K396&lt;K$41,J$40,K396&lt;K$42,J$41,K396&lt;K$43,J$42,K396&lt;K$44,J$43,K396&lt;K$45,J$44,K396&lt;K$46,J$45,K396&lt;K$47,J$46,K396&gt;=K$47,J$47)</f>
        <v/>
      </c>
      <c r="K396" s="38" t="n">
        <v>346</v>
      </c>
      <c r="L396" s="31">
        <f>K396/52</f>
        <v/>
      </c>
      <c r="M396" s="39">
        <f>J396/1000000*52</f>
        <v/>
      </c>
      <c r="N396" s="33">
        <f>M396/$P$4+($I$22/$P$4)</f>
        <v/>
      </c>
      <c r="U396">
        <f>F395</f>
        <v/>
      </c>
      <c r="V396">
        <f>H395</f>
        <v/>
      </c>
      <c r="W396">
        <f>N395</f>
        <v/>
      </c>
    </row>
    <row r="397" ht="15.75" customHeight="1" s="40">
      <c r="C397" s="36">
        <f>_xlfn.IFS(E397&lt;E$24,0,E397&lt;E$26,C$24,E397&lt;E$28,C$26,E397&lt;E$30,C$28,E397&lt;E$32,C$30,E397&lt;E$34,C$32,E397&gt;=E$34,C$34)</f>
        <v/>
      </c>
      <c r="D397" s="37">
        <f>_xlfn.IFS(E397&lt;E$24,0,E397&lt;E$25,D$24,E397&lt;E$26,D$25,E397&lt;E$27,D$26,E397&lt;E$28,D$27,E397&lt;E$29,D$28,E397&lt;E$30,D$29,E397&lt;E$31,D$30,E397&lt;E$32,D$31,E397&lt;E$33,D$32,E397&lt;E$34,D$33,E397&lt;E$35,D$34,E397&gt;=E$35,D$35)</f>
        <v/>
      </c>
      <c r="E397" s="38" t="n">
        <v>347</v>
      </c>
      <c r="F397" s="31">
        <f>E397/52</f>
        <v/>
      </c>
      <c r="G397" s="39">
        <f>D397/1000000*52</f>
        <v/>
      </c>
      <c r="H397" s="33">
        <f>G397/$P$4+($C$22/$P$4)</f>
        <v/>
      </c>
      <c r="I397" s="36">
        <f>_xlfn.IFS(K397&lt;K$24,0,K397&lt;K$26,I$24,K397&lt;K$28,I$26,K397&lt;K$30,I$28,K397&lt;K$32,I$30,K397&lt;K$34,I$32,K397&lt;K$36,I$34,K397&lt;K$38,I$36,K397&lt;K$40,I$38,K397&lt;K$42,I$40,K397&lt;K$44,I$42,K397&lt;K$46,I$44,K397&gt;=K$46,I$46)</f>
        <v/>
      </c>
      <c r="J397" s="37">
        <f>_xlfn.IFS(K397&lt;K$24,0,K397&lt;K$25,J$24,K397&lt;K$26,J$25,K397&lt;K$27,J$26,K397&lt;K$28,J$27,K397&lt;K$29,J$28,K397&lt;K$30,J$29,K397&lt;K$31,J$30,K397&lt;K$32,J$31,K397&lt;K$33,J$32,K397&lt;K$34,J$33,K397&lt;K$35,J$34,K397&lt;K$36,J$35,K397&lt;K$37,J$36,K397&lt;K$38,J$37,K397&lt;K$39,J$38,K397&lt;K$40,J$39,K397&lt;K$41,J$40,K397&lt;K$42,J$41,K397&lt;K$43,J$42,K397&lt;K$44,J$43,K397&lt;K$45,J$44,K397&lt;K$46,J$45,K397&lt;K$47,J$46,K397&gt;=K$47,J$47)</f>
        <v/>
      </c>
      <c r="K397" s="38" t="n">
        <v>347</v>
      </c>
      <c r="L397" s="31">
        <f>K397/52</f>
        <v/>
      </c>
      <c r="M397" s="39">
        <f>J397/1000000*52</f>
        <v/>
      </c>
      <c r="N397" s="33">
        <f>M397/$P$4+($I$22/$P$4)</f>
        <v/>
      </c>
      <c r="U397">
        <f>F396</f>
        <v/>
      </c>
      <c r="V397">
        <f>H396</f>
        <v/>
      </c>
      <c r="W397">
        <f>N396</f>
        <v/>
      </c>
    </row>
    <row r="398" ht="15.75" customHeight="1" s="40">
      <c r="C398" s="36">
        <f>_xlfn.IFS(E398&lt;E$24,0,E398&lt;E$26,C$24,E398&lt;E$28,C$26,E398&lt;E$30,C$28,E398&lt;E$32,C$30,E398&lt;E$34,C$32,E398&gt;=E$34,C$34)</f>
        <v/>
      </c>
      <c r="D398" s="37">
        <f>_xlfn.IFS(E398&lt;E$24,0,E398&lt;E$25,D$24,E398&lt;E$26,D$25,E398&lt;E$27,D$26,E398&lt;E$28,D$27,E398&lt;E$29,D$28,E398&lt;E$30,D$29,E398&lt;E$31,D$30,E398&lt;E$32,D$31,E398&lt;E$33,D$32,E398&lt;E$34,D$33,E398&lt;E$35,D$34,E398&gt;=E$35,D$35)</f>
        <v/>
      </c>
      <c r="E398" s="38" t="n">
        <v>348</v>
      </c>
      <c r="F398" s="31">
        <f>E398/52</f>
        <v/>
      </c>
      <c r="G398" s="39">
        <f>D398/1000000*52</f>
        <v/>
      </c>
      <c r="H398" s="33">
        <f>G398/$P$4+($C$22/$P$4)</f>
        <v/>
      </c>
      <c r="I398" s="36">
        <f>_xlfn.IFS(K398&lt;K$24,0,K398&lt;K$26,I$24,K398&lt;K$28,I$26,K398&lt;K$30,I$28,K398&lt;K$32,I$30,K398&lt;K$34,I$32,K398&lt;K$36,I$34,K398&lt;K$38,I$36,K398&lt;K$40,I$38,K398&lt;K$42,I$40,K398&lt;K$44,I$42,K398&lt;K$46,I$44,K398&gt;=K$46,I$46)</f>
        <v/>
      </c>
      <c r="J398" s="37">
        <f>_xlfn.IFS(K398&lt;K$24,0,K398&lt;K$25,J$24,K398&lt;K$26,J$25,K398&lt;K$27,J$26,K398&lt;K$28,J$27,K398&lt;K$29,J$28,K398&lt;K$30,J$29,K398&lt;K$31,J$30,K398&lt;K$32,J$31,K398&lt;K$33,J$32,K398&lt;K$34,J$33,K398&lt;K$35,J$34,K398&lt;K$36,J$35,K398&lt;K$37,J$36,K398&lt;K$38,J$37,K398&lt;K$39,J$38,K398&lt;K$40,J$39,K398&lt;K$41,J$40,K398&lt;K$42,J$41,K398&lt;K$43,J$42,K398&lt;K$44,J$43,K398&lt;K$45,J$44,K398&lt;K$46,J$45,K398&lt;K$47,J$46,K398&gt;=K$47,J$47)</f>
        <v/>
      </c>
      <c r="K398" s="38" t="n">
        <v>348</v>
      </c>
      <c r="L398" s="31">
        <f>K398/52</f>
        <v/>
      </c>
      <c r="M398" s="39">
        <f>J398/1000000*52</f>
        <v/>
      </c>
      <c r="N398" s="33">
        <f>M398/$P$4+($I$22/$P$4)</f>
        <v/>
      </c>
      <c r="U398">
        <f>F397</f>
        <v/>
      </c>
      <c r="V398">
        <f>H397</f>
        <v/>
      </c>
      <c r="W398">
        <f>N397</f>
        <v/>
      </c>
    </row>
    <row r="399" ht="15.75" customHeight="1" s="40">
      <c r="C399" s="36">
        <f>_xlfn.IFS(E399&lt;E$24,0,E399&lt;E$26,C$24,E399&lt;E$28,C$26,E399&lt;E$30,C$28,E399&lt;E$32,C$30,E399&lt;E$34,C$32,E399&gt;=E$34,C$34)</f>
        <v/>
      </c>
      <c r="D399" s="37">
        <f>_xlfn.IFS(E399&lt;E$24,0,E399&lt;E$25,D$24,E399&lt;E$26,D$25,E399&lt;E$27,D$26,E399&lt;E$28,D$27,E399&lt;E$29,D$28,E399&lt;E$30,D$29,E399&lt;E$31,D$30,E399&lt;E$32,D$31,E399&lt;E$33,D$32,E399&lt;E$34,D$33,E399&lt;E$35,D$34,E399&gt;=E$35,D$35)</f>
        <v/>
      </c>
      <c r="E399" s="38" t="n">
        <v>349</v>
      </c>
      <c r="F399" s="31">
        <f>E399/52</f>
        <v/>
      </c>
      <c r="G399" s="39">
        <f>D399/1000000*52</f>
        <v/>
      </c>
      <c r="H399" s="33">
        <f>G399/$P$4+($C$22/$P$4)</f>
        <v/>
      </c>
      <c r="I399" s="36">
        <f>_xlfn.IFS(K399&lt;K$24,0,K399&lt;K$26,I$24,K399&lt;K$28,I$26,K399&lt;K$30,I$28,K399&lt;K$32,I$30,K399&lt;K$34,I$32,K399&lt;K$36,I$34,K399&lt;K$38,I$36,K399&lt;K$40,I$38,K399&lt;K$42,I$40,K399&lt;K$44,I$42,K399&lt;K$46,I$44,K399&gt;=K$46,I$46)</f>
        <v/>
      </c>
      <c r="J399" s="37">
        <f>_xlfn.IFS(K399&lt;K$24,0,K399&lt;K$25,J$24,K399&lt;K$26,J$25,K399&lt;K$27,J$26,K399&lt;K$28,J$27,K399&lt;K$29,J$28,K399&lt;K$30,J$29,K399&lt;K$31,J$30,K399&lt;K$32,J$31,K399&lt;K$33,J$32,K399&lt;K$34,J$33,K399&lt;K$35,J$34,K399&lt;K$36,J$35,K399&lt;K$37,J$36,K399&lt;K$38,J$37,K399&lt;K$39,J$38,K399&lt;K$40,J$39,K399&lt;K$41,J$40,K399&lt;K$42,J$41,K399&lt;K$43,J$42,K399&lt;K$44,J$43,K399&lt;K$45,J$44,K399&lt;K$46,J$45,K399&lt;K$47,J$46,K399&gt;=K$47,J$47)</f>
        <v/>
      </c>
      <c r="K399" s="38" t="n">
        <v>349</v>
      </c>
      <c r="L399" s="31">
        <f>K399/52</f>
        <v/>
      </c>
      <c r="M399" s="39">
        <f>J399/1000000*52</f>
        <v/>
      </c>
      <c r="N399" s="33">
        <f>M399/$P$4+($I$22/$P$4)</f>
        <v/>
      </c>
      <c r="U399">
        <f>F398</f>
        <v/>
      </c>
      <c r="V399">
        <f>H398</f>
        <v/>
      </c>
      <c r="W399">
        <f>N398</f>
        <v/>
      </c>
    </row>
    <row r="400" ht="15.75" customHeight="1" s="40">
      <c r="C400" s="36">
        <f>_xlfn.IFS(E400&lt;E$24,0,E400&lt;E$26,C$24,E400&lt;E$28,C$26,E400&lt;E$30,C$28,E400&lt;E$32,C$30,E400&lt;E$34,C$32,E400&gt;=E$34,C$34)</f>
        <v/>
      </c>
      <c r="D400" s="37">
        <f>_xlfn.IFS(E400&lt;E$24,0,E400&lt;E$25,D$24,E400&lt;E$26,D$25,E400&lt;E$27,D$26,E400&lt;E$28,D$27,E400&lt;E$29,D$28,E400&lt;E$30,D$29,E400&lt;E$31,D$30,E400&lt;E$32,D$31,E400&lt;E$33,D$32,E400&lt;E$34,D$33,E400&lt;E$35,D$34,E400&gt;=E$35,D$35)</f>
        <v/>
      </c>
      <c r="E400" s="38" t="n">
        <v>350</v>
      </c>
      <c r="F400" s="31">
        <f>E400/52</f>
        <v/>
      </c>
      <c r="G400" s="39">
        <f>D400/1000000*52</f>
        <v/>
      </c>
      <c r="H400" s="33">
        <f>G400/$P$4+($C$22/$P$4)</f>
        <v/>
      </c>
      <c r="I400" s="36">
        <f>_xlfn.IFS(K400&lt;K$24,0,K400&lt;K$26,I$24,K400&lt;K$28,I$26,K400&lt;K$30,I$28,K400&lt;K$32,I$30,K400&lt;K$34,I$32,K400&lt;K$36,I$34,K400&lt;K$38,I$36,K400&lt;K$40,I$38,K400&lt;K$42,I$40,K400&lt;K$44,I$42,K400&lt;K$46,I$44,K400&gt;=K$46,I$46)</f>
        <v/>
      </c>
      <c r="J400" s="37">
        <f>_xlfn.IFS(K400&lt;K$24,0,K400&lt;K$25,J$24,K400&lt;K$26,J$25,K400&lt;K$27,J$26,K400&lt;K$28,J$27,K400&lt;K$29,J$28,K400&lt;K$30,J$29,K400&lt;K$31,J$30,K400&lt;K$32,J$31,K400&lt;K$33,J$32,K400&lt;K$34,J$33,K400&lt;K$35,J$34,K400&lt;K$36,J$35,K400&lt;K$37,J$36,K400&lt;K$38,J$37,K400&lt;K$39,J$38,K400&lt;K$40,J$39,K400&lt;K$41,J$40,K400&lt;K$42,J$41,K400&lt;K$43,J$42,K400&lt;K$44,J$43,K400&lt;K$45,J$44,K400&lt;K$46,J$45,K400&lt;K$47,J$46,K400&gt;=K$47,J$47)</f>
        <v/>
      </c>
      <c r="K400" s="38" t="n">
        <v>350</v>
      </c>
      <c r="L400" s="31">
        <f>K400/52</f>
        <v/>
      </c>
      <c r="M400" s="39">
        <f>J400/1000000*52</f>
        <v/>
      </c>
      <c r="N400" s="33">
        <f>M400/$P$4+($I$22/$P$4)</f>
        <v/>
      </c>
      <c r="U400">
        <f>F399</f>
        <v/>
      </c>
      <c r="V400">
        <f>H399</f>
        <v/>
      </c>
      <c r="W400">
        <f>N399</f>
        <v/>
      </c>
    </row>
    <row r="401" ht="15.75" customHeight="1" s="40">
      <c r="C401" s="36">
        <f>_xlfn.IFS(E401&lt;E$24,0,E401&lt;E$26,C$24,E401&lt;E$28,C$26,E401&lt;E$30,C$28,E401&lt;E$32,C$30,E401&lt;E$34,C$32,E401&gt;=E$34,C$34)</f>
        <v/>
      </c>
      <c r="D401" s="37">
        <f>_xlfn.IFS(E401&lt;E$24,0,E401&lt;E$25,D$24,E401&lt;E$26,D$25,E401&lt;E$27,D$26,E401&lt;E$28,D$27,E401&lt;E$29,D$28,E401&lt;E$30,D$29,E401&lt;E$31,D$30,E401&lt;E$32,D$31,E401&lt;E$33,D$32,E401&lt;E$34,D$33,E401&lt;E$35,D$34,E401&gt;=E$35,D$35)</f>
        <v/>
      </c>
      <c r="E401" s="38" t="n">
        <v>351</v>
      </c>
      <c r="F401" s="31">
        <f>E401/52</f>
        <v/>
      </c>
      <c r="G401" s="39">
        <f>D401/1000000*52</f>
        <v/>
      </c>
      <c r="H401" s="33">
        <f>G401/$P$4+($C$22/$P$4)</f>
        <v/>
      </c>
      <c r="I401" s="36">
        <f>_xlfn.IFS(K401&lt;K$24,0,K401&lt;K$26,I$24,K401&lt;K$28,I$26,K401&lt;K$30,I$28,K401&lt;K$32,I$30,K401&lt;K$34,I$32,K401&lt;K$36,I$34,K401&lt;K$38,I$36,K401&lt;K$40,I$38,K401&lt;K$42,I$40,K401&lt;K$44,I$42,K401&lt;K$46,I$44,K401&gt;=K$46,I$46)</f>
        <v/>
      </c>
      <c r="J401" s="37">
        <f>_xlfn.IFS(K401&lt;K$24,0,K401&lt;K$25,J$24,K401&lt;K$26,J$25,K401&lt;K$27,J$26,K401&lt;K$28,J$27,K401&lt;K$29,J$28,K401&lt;K$30,J$29,K401&lt;K$31,J$30,K401&lt;K$32,J$31,K401&lt;K$33,J$32,K401&lt;K$34,J$33,K401&lt;K$35,J$34,K401&lt;K$36,J$35,K401&lt;K$37,J$36,K401&lt;K$38,J$37,K401&lt;K$39,J$38,K401&lt;K$40,J$39,K401&lt;K$41,J$40,K401&lt;K$42,J$41,K401&lt;K$43,J$42,K401&lt;K$44,J$43,K401&lt;K$45,J$44,K401&lt;K$46,J$45,K401&lt;K$47,J$46,K401&gt;=K$47,J$47)</f>
        <v/>
      </c>
      <c r="K401" s="38" t="n">
        <v>351</v>
      </c>
      <c r="L401" s="31">
        <f>K401/52</f>
        <v/>
      </c>
      <c r="M401" s="39">
        <f>J401/1000000*52</f>
        <v/>
      </c>
      <c r="N401" s="33">
        <f>M401/$P$4+($I$22/$P$4)</f>
        <v/>
      </c>
      <c r="U401">
        <f>F400</f>
        <v/>
      </c>
      <c r="V401">
        <f>H400</f>
        <v/>
      </c>
      <c r="W401">
        <f>N400</f>
        <v/>
      </c>
    </row>
    <row r="402" ht="15.75" customHeight="1" s="40">
      <c r="C402" s="36">
        <f>_xlfn.IFS(E402&lt;E$24,0,E402&lt;E$26,C$24,E402&lt;E$28,C$26,E402&lt;E$30,C$28,E402&lt;E$32,C$30,E402&lt;E$34,C$32,E402&gt;=E$34,C$34)</f>
        <v/>
      </c>
      <c r="D402" s="37">
        <f>_xlfn.IFS(E402&lt;E$24,0,E402&lt;E$25,D$24,E402&lt;E$26,D$25,E402&lt;E$27,D$26,E402&lt;E$28,D$27,E402&lt;E$29,D$28,E402&lt;E$30,D$29,E402&lt;E$31,D$30,E402&lt;E$32,D$31,E402&lt;E$33,D$32,E402&lt;E$34,D$33,E402&lt;E$35,D$34,E402&gt;=E$35,D$35)</f>
        <v/>
      </c>
      <c r="E402" s="38" t="n">
        <v>352</v>
      </c>
      <c r="F402" s="31">
        <f>E402/52</f>
        <v/>
      </c>
      <c r="G402" s="39">
        <f>D402/1000000*52</f>
        <v/>
      </c>
      <c r="H402" s="33">
        <f>G402/$P$4+($C$22/$P$4)</f>
        <v/>
      </c>
      <c r="I402" s="36">
        <f>_xlfn.IFS(K402&lt;K$24,0,K402&lt;K$26,I$24,K402&lt;K$28,I$26,K402&lt;K$30,I$28,K402&lt;K$32,I$30,K402&lt;K$34,I$32,K402&lt;K$36,I$34,K402&lt;K$38,I$36,K402&lt;K$40,I$38,K402&lt;K$42,I$40,K402&lt;K$44,I$42,K402&lt;K$46,I$44,K402&gt;=K$46,I$46)</f>
        <v/>
      </c>
      <c r="J402" s="37">
        <f>_xlfn.IFS(K402&lt;K$24,0,K402&lt;K$25,J$24,K402&lt;K$26,J$25,K402&lt;K$27,J$26,K402&lt;K$28,J$27,K402&lt;K$29,J$28,K402&lt;K$30,J$29,K402&lt;K$31,J$30,K402&lt;K$32,J$31,K402&lt;K$33,J$32,K402&lt;K$34,J$33,K402&lt;K$35,J$34,K402&lt;K$36,J$35,K402&lt;K$37,J$36,K402&lt;K$38,J$37,K402&lt;K$39,J$38,K402&lt;K$40,J$39,K402&lt;K$41,J$40,K402&lt;K$42,J$41,K402&lt;K$43,J$42,K402&lt;K$44,J$43,K402&lt;K$45,J$44,K402&lt;K$46,J$45,K402&lt;K$47,J$46,K402&gt;=K$47,J$47)</f>
        <v/>
      </c>
      <c r="K402" s="38" t="n">
        <v>352</v>
      </c>
      <c r="L402" s="31">
        <f>K402/52</f>
        <v/>
      </c>
      <c r="M402" s="39">
        <f>J402/1000000*52</f>
        <v/>
      </c>
      <c r="N402" s="33">
        <f>M402/$P$4+($I$22/$P$4)</f>
        <v/>
      </c>
      <c r="U402">
        <f>F401</f>
        <v/>
      </c>
      <c r="V402">
        <f>H401</f>
        <v/>
      </c>
      <c r="W402">
        <f>N401</f>
        <v/>
      </c>
    </row>
    <row r="403" ht="15.75" customHeight="1" s="40">
      <c r="C403" s="36">
        <f>_xlfn.IFS(E403&lt;E$24,0,E403&lt;E$26,C$24,E403&lt;E$28,C$26,E403&lt;E$30,C$28,E403&lt;E$32,C$30,E403&lt;E$34,C$32,E403&gt;=E$34,C$34)</f>
        <v/>
      </c>
      <c r="D403" s="37">
        <f>_xlfn.IFS(E403&lt;E$24,0,E403&lt;E$25,D$24,E403&lt;E$26,D$25,E403&lt;E$27,D$26,E403&lt;E$28,D$27,E403&lt;E$29,D$28,E403&lt;E$30,D$29,E403&lt;E$31,D$30,E403&lt;E$32,D$31,E403&lt;E$33,D$32,E403&lt;E$34,D$33,E403&lt;E$35,D$34,E403&gt;=E$35,D$35)</f>
        <v/>
      </c>
      <c r="E403" s="38" t="n">
        <v>353</v>
      </c>
      <c r="F403" s="31">
        <f>E403/52</f>
        <v/>
      </c>
      <c r="G403" s="39">
        <f>D403/1000000*52</f>
        <v/>
      </c>
      <c r="H403" s="33">
        <f>G403/$P$4+($C$22/$P$4)</f>
        <v/>
      </c>
      <c r="I403" s="36">
        <f>_xlfn.IFS(K403&lt;K$24,0,K403&lt;K$26,I$24,K403&lt;K$28,I$26,K403&lt;K$30,I$28,K403&lt;K$32,I$30,K403&lt;K$34,I$32,K403&lt;K$36,I$34,K403&lt;K$38,I$36,K403&lt;K$40,I$38,K403&lt;K$42,I$40,K403&lt;K$44,I$42,K403&lt;K$46,I$44,K403&gt;=K$46,I$46)</f>
        <v/>
      </c>
      <c r="J403" s="37">
        <f>_xlfn.IFS(K403&lt;K$24,0,K403&lt;K$25,J$24,K403&lt;K$26,J$25,K403&lt;K$27,J$26,K403&lt;K$28,J$27,K403&lt;K$29,J$28,K403&lt;K$30,J$29,K403&lt;K$31,J$30,K403&lt;K$32,J$31,K403&lt;K$33,J$32,K403&lt;K$34,J$33,K403&lt;K$35,J$34,K403&lt;K$36,J$35,K403&lt;K$37,J$36,K403&lt;K$38,J$37,K403&lt;K$39,J$38,K403&lt;K$40,J$39,K403&lt;K$41,J$40,K403&lt;K$42,J$41,K403&lt;K$43,J$42,K403&lt;K$44,J$43,K403&lt;K$45,J$44,K403&lt;K$46,J$45,K403&lt;K$47,J$46,K403&gt;=K$47,J$47)</f>
        <v/>
      </c>
      <c r="K403" s="38" t="n">
        <v>353</v>
      </c>
      <c r="L403" s="31">
        <f>K403/52</f>
        <v/>
      </c>
      <c r="M403" s="39">
        <f>J403/1000000*52</f>
        <v/>
      </c>
      <c r="N403" s="33">
        <f>M403/$P$4+($I$22/$P$4)</f>
        <v/>
      </c>
      <c r="U403">
        <f>F402</f>
        <v/>
      </c>
      <c r="V403">
        <f>H402</f>
        <v/>
      </c>
      <c r="W403">
        <f>N402</f>
        <v/>
      </c>
    </row>
    <row r="404" ht="15.75" customHeight="1" s="40">
      <c r="C404" s="36">
        <f>_xlfn.IFS(E404&lt;E$24,0,E404&lt;E$26,C$24,E404&lt;E$28,C$26,E404&lt;E$30,C$28,E404&lt;E$32,C$30,E404&lt;E$34,C$32,E404&gt;=E$34,C$34)</f>
        <v/>
      </c>
      <c r="D404" s="37">
        <f>_xlfn.IFS(E404&lt;E$24,0,E404&lt;E$25,D$24,E404&lt;E$26,D$25,E404&lt;E$27,D$26,E404&lt;E$28,D$27,E404&lt;E$29,D$28,E404&lt;E$30,D$29,E404&lt;E$31,D$30,E404&lt;E$32,D$31,E404&lt;E$33,D$32,E404&lt;E$34,D$33,E404&lt;E$35,D$34,E404&gt;=E$35,D$35)</f>
        <v/>
      </c>
      <c r="E404" s="38" t="n">
        <v>354</v>
      </c>
      <c r="F404" s="31">
        <f>E404/52</f>
        <v/>
      </c>
      <c r="G404" s="39">
        <f>D404/1000000*52</f>
        <v/>
      </c>
      <c r="H404" s="33">
        <f>G404/$P$4+($C$22/$P$4)</f>
        <v/>
      </c>
      <c r="I404" s="36">
        <f>_xlfn.IFS(K404&lt;K$24,0,K404&lt;K$26,I$24,K404&lt;K$28,I$26,K404&lt;K$30,I$28,K404&lt;K$32,I$30,K404&lt;K$34,I$32,K404&lt;K$36,I$34,K404&lt;K$38,I$36,K404&lt;K$40,I$38,K404&lt;K$42,I$40,K404&lt;K$44,I$42,K404&lt;K$46,I$44,K404&gt;=K$46,I$46)</f>
        <v/>
      </c>
      <c r="J404" s="37">
        <f>_xlfn.IFS(K404&lt;K$24,0,K404&lt;K$25,J$24,K404&lt;K$26,J$25,K404&lt;K$27,J$26,K404&lt;K$28,J$27,K404&lt;K$29,J$28,K404&lt;K$30,J$29,K404&lt;K$31,J$30,K404&lt;K$32,J$31,K404&lt;K$33,J$32,K404&lt;K$34,J$33,K404&lt;K$35,J$34,K404&lt;K$36,J$35,K404&lt;K$37,J$36,K404&lt;K$38,J$37,K404&lt;K$39,J$38,K404&lt;K$40,J$39,K404&lt;K$41,J$40,K404&lt;K$42,J$41,K404&lt;K$43,J$42,K404&lt;K$44,J$43,K404&lt;K$45,J$44,K404&lt;K$46,J$45,K404&lt;K$47,J$46,K404&gt;=K$47,J$47)</f>
        <v/>
      </c>
      <c r="K404" s="38" t="n">
        <v>354</v>
      </c>
      <c r="L404" s="31">
        <f>K404/52</f>
        <v/>
      </c>
      <c r="M404" s="39">
        <f>J404/1000000*52</f>
        <v/>
      </c>
      <c r="N404" s="33">
        <f>M404/$P$4+($I$22/$P$4)</f>
        <v/>
      </c>
      <c r="U404">
        <f>F403</f>
        <v/>
      </c>
      <c r="V404">
        <f>H403</f>
        <v/>
      </c>
      <c r="W404">
        <f>N403</f>
        <v/>
      </c>
    </row>
    <row r="405" ht="15.75" customHeight="1" s="40">
      <c r="C405" s="36">
        <f>_xlfn.IFS(E405&lt;E$24,0,E405&lt;E$26,C$24,E405&lt;E$28,C$26,E405&lt;E$30,C$28,E405&lt;E$32,C$30,E405&lt;E$34,C$32,E405&gt;=E$34,C$34)</f>
        <v/>
      </c>
      <c r="D405" s="37">
        <f>_xlfn.IFS(E405&lt;E$24,0,E405&lt;E$25,D$24,E405&lt;E$26,D$25,E405&lt;E$27,D$26,E405&lt;E$28,D$27,E405&lt;E$29,D$28,E405&lt;E$30,D$29,E405&lt;E$31,D$30,E405&lt;E$32,D$31,E405&lt;E$33,D$32,E405&lt;E$34,D$33,E405&lt;E$35,D$34,E405&gt;=E$35,D$35)</f>
        <v/>
      </c>
      <c r="E405" s="38" t="n">
        <v>355</v>
      </c>
      <c r="F405" s="31">
        <f>E405/52</f>
        <v/>
      </c>
      <c r="G405" s="39">
        <f>D405/1000000*52</f>
        <v/>
      </c>
      <c r="H405" s="33">
        <f>G405/$P$4+($C$22/$P$4)</f>
        <v/>
      </c>
      <c r="I405" s="36">
        <f>_xlfn.IFS(K405&lt;K$24,0,K405&lt;K$26,I$24,K405&lt;K$28,I$26,K405&lt;K$30,I$28,K405&lt;K$32,I$30,K405&lt;K$34,I$32,K405&lt;K$36,I$34,K405&lt;K$38,I$36,K405&lt;K$40,I$38,K405&lt;K$42,I$40,K405&lt;K$44,I$42,K405&lt;K$46,I$44,K405&gt;=K$46,I$46)</f>
        <v/>
      </c>
      <c r="J405" s="37">
        <f>_xlfn.IFS(K405&lt;K$24,0,K405&lt;K$25,J$24,K405&lt;K$26,J$25,K405&lt;K$27,J$26,K405&lt;K$28,J$27,K405&lt;K$29,J$28,K405&lt;K$30,J$29,K405&lt;K$31,J$30,K405&lt;K$32,J$31,K405&lt;K$33,J$32,K405&lt;K$34,J$33,K405&lt;K$35,J$34,K405&lt;K$36,J$35,K405&lt;K$37,J$36,K405&lt;K$38,J$37,K405&lt;K$39,J$38,K405&lt;K$40,J$39,K405&lt;K$41,J$40,K405&lt;K$42,J$41,K405&lt;K$43,J$42,K405&lt;K$44,J$43,K405&lt;K$45,J$44,K405&lt;K$46,J$45,K405&lt;K$47,J$46,K405&gt;=K$47,J$47)</f>
        <v/>
      </c>
      <c r="K405" s="38" t="n">
        <v>355</v>
      </c>
      <c r="L405" s="31">
        <f>K405/52</f>
        <v/>
      </c>
      <c r="M405" s="39">
        <f>J405/1000000*52</f>
        <v/>
      </c>
      <c r="N405" s="33">
        <f>M405/$P$4+($I$22/$P$4)</f>
        <v/>
      </c>
      <c r="U405">
        <f>F404</f>
        <v/>
      </c>
      <c r="V405">
        <f>H404</f>
        <v/>
      </c>
      <c r="W405">
        <f>N404</f>
        <v/>
      </c>
    </row>
    <row r="406" ht="15.75" customHeight="1" s="40">
      <c r="C406" s="36">
        <f>_xlfn.IFS(E406&lt;E$24,0,E406&lt;E$26,C$24,E406&lt;E$28,C$26,E406&lt;E$30,C$28,E406&lt;E$32,C$30,E406&lt;E$34,C$32,E406&gt;=E$34,C$34)</f>
        <v/>
      </c>
      <c r="D406" s="37">
        <f>_xlfn.IFS(E406&lt;E$24,0,E406&lt;E$25,D$24,E406&lt;E$26,D$25,E406&lt;E$27,D$26,E406&lt;E$28,D$27,E406&lt;E$29,D$28,E406&lt;E$30,D$29,E406&lt;E$31,D$30,E406&lt;E$32,D$31,E406&lt;E$33,D$32,E406&lt;E$34,D$33,E406&lt;E$35,D$34,E406&gt;=E$35,D$35)</f>
        <v/>
      </c>
      <c r="E406" s="38" t="n">
        <v>356</v>
      </c>
      <c r="F406" s="31">
        <f>E406/52</f>
        <v/>
      </c>
      <c r="G406" s="39">
        <f>D406/1000000*52</f>
        <v/>
      </c>
      <c r="H406" s="33">
        <f>G406/$P$4+($C$22/$P$4)</f>
        <v/>
      </c>
      <c r="I406" s="36">
        <f>_xlfn.IFS(K406&lt;K$24,0,K406&lt;K$26,I$24,K406&lt;K$28,I$26,K406&lt;K$30,I$28,K406&lt;K$32,I$30,K406&lt;K$34,I$32,K406&lt;K$36,I$34,K406&lt;K$38,I$36,K406&lt;K$40,I$38,K406&lt;K$42,I$40,K406&lt;K$44,I$42,K406&lt;K$46,I$44,K406&gt;=K$46,I$46)</f>
        <v/>
      </c>
      <c r="J406" s="37">
        <f>_xlfn.IFS(K406&lt;K$24,0,K406&lt;K$25,J$24,K406&lt;K$26,J$25,K406&lt;K$27,J$26,K406&lt;K$28,J$27,K406&lt;K$29,J$28,K406&lt;K$30,J$29,K406&lt;K$31,J$30,K406&lt;K$32,J$31,K406&lt;K$33,J$32,K406&lt;K$34,J$33,K406&lt;K$35,J$34,K406&lt;K$36,J$35,K406&lt;K$37,J$36,K406&lt;K$38,J$37,K406&lt;K$39,J$38,K406&lt;K$40,J$39,K406&lt;K$41,J$40,K406&lt;K$42,J$41,K406&lt;K$43,J$42,K406&lt;K$44,J$43,K406&lt;K$45,J$44,K406&lt;K$46,J$45,K406&lt;K$47,J$46,K406&gt;=K$47,J$47)</f>
        <v/>
      </c>
      <c r="K406" s="38" t="n">
        <v>356</v>
      </c>
      <c r="L406" s="31">
        <f>K406/52</f>
        <v/>
      </c>
      <c r="M406" s="39">
        <f>J406/1000000*52</f>
        <v/>
      </c>
      <c r="N406" s="33">
        <f>M406/$P$4+($I$22/$P$4)</f>
        <v/>
      </c>
      <c r="U406">
        <f>F405</f>
        <v/>
      </c>
      <c r="V406">
        <f>H405</f>
        <v/>
      </c>
      <c r="W406">
        <f>N405</f>
        <v/>
      </c>
    </row>
    <row r="407" ht="15.75" customHeight="1" s="40">
      <c r="C407" s="36">
        <f>_xlfn.IFS(E407&lt;E$24,0,E407&lt;E$26,C$24,E407&lt;E$28,C$26,E407&lt;E$30,C$28,E407&lt;E$32,C$30,E407&lt;E$34,C$32,E407&gt;=E$34,C$34)</f>
        <v/>
      </c>
      <c r="D407" s="37">
        <f>_xlfn.IFS(E407&lt;E$24,0,E407&lt;E$25,D$24,E407&lt;E$26,D$25,E407&lt;E$27,D$26,E407&lt;E$28,D$27,E407&lt;E$29,D$28,E407&lt;E$30,D$29,E407&lt;E$31,D$30,E407&lt;E$32,D$31,E407&lt;E$33,D$32,E407&lt;E$34,D$33,E407&lt;E$35,D$34,E407&gt;=E$35,D$35)</f>
        <v/>
      </c>
      <c r="E407" s="38" t="n">
        <v>357</v>
      </c>
      <c r="F407" s="31">
        <f>E407/52</f>
        <v/>
      </c>
      <c r="G407" s="39">
        <f>D407/1000000*52</f>
        <v/>
      </c>
      <c r="H407" s="33">
        <f>G407/$P$4+($C$22/$P$4)</f>
        <v/>
      </c>
      <c r="I407" s="36">
        <f>_xlfn.IFS(K407&lt;K$24,0,K407&lt;K$26,I$24,K407&lt;K$28,I$26,K407&lt;K$30,I$28,K407&lt;K$32,I$30,K407&lt;K$34,I$32,K407&lt;K$36,I$34,K407&lt;K$38,I$36,K407&lt;K$40,I$38,K407&lt;K$42,I$40,K407&lt;K$44,I$42,K407&lt;K$46,I$44,K407&gt;=K$46,I$46)</f>
        <v/>
      </c>
      <c r="J407" s="37">
        <f>_xlfn.IFS(K407&lt;K$24,0,K407&lt;K$25,J$24,K407&lt;K$26,J$25,K407&lt;K$27,J$26,K407&lt;K$28,J$27,K407&lt;K$29,J$28,K407&lt;K$30,J$29,K407&lt;K$31,J$30,K407&lt;K$32,J$31,K407&lt;K$33,J$32,K407&lt;K$34,J$33,K407&lt;K$35,J$34,K407&lt;K$36,J$35,K407&lt;K$37,J$36,K407&lt;K$38,J$37,K407&lt;K$39,J$38,K407&lt;K$40,J$39,K407&lt;K$41,J$40,K407&lt;K$42,J$41,K407&lt;K$43,J$42,K407&lt;K$44,J$43,K407&lt;K$45,J$44,K407&lt;K$46,J$45,K407&lt;K$47,J$46,K407&gt;=K$47,J$47)</f>
        <v/>
      </c>
      <c r="K407" s="38" t="n">
        <v>357</v>
      </c>
      <c r="L407" s="31">
        <f>K407/52</f>
        <v/>
      </c>
      <c r="M407" s="39">
        <f>J407/1000000*52</f>
        <v/>
      </c>
      <c r="N407" s="33">
        <f>M407/$P$4+($I$22/$P$4)</f>
        <v/>
      </c>
      <c r="U407">
        <f>F406</f>
        <v/>
      </c>
      <c r="V407">
        <f>H406</f>
        <v/>
      </c>
      <c r="W407">
        <f>N406</f>
        <v/>
      </c>
    </row>
    <row r="408" ht="15.75" customHeight="1" s="40">
      <c r="C408" s="36">
        <f>_xlfn.IFS(E408&lt;E$24,0,E408&lt;E$26,C$24,E408&lt;E$28,C$26,E408&lt;E$30,C$28,E408&lt;E$32,C$30,E408&lt;E$34,C$32,E408&gt;=E$34,C$34)</f>
        <v/>
      </c>
      <c r="D408" s="37">
        <f>_xlfn.IFS(E408&lt;E$24,0,E408&lt;E$25,D$24,E408&lt;E$26,D$25,E408&lt;E$27,D$26,E408&lt;E$28,D$27,E408&lt;E$29,D$28,E408&lt;E$30,D$29,E408&lt;E$31,D$30,E408&lt;E$32,D$31,E408&lt;E$33,D$32,E408&lt;E$34,D$33,E408&lt;E$35,D$34,E408&gt;=E$35,D$35)</f>
        <v/>
      </c>
      <c r="E408" s="38" t="n">
        <v>358</v>
      </c>
      <c r="F408" s="31">
        <f>E408/52</f>
        <v/>
      </c>
      <c r="G408" s="39">
        <f>D408/1000000*52</f>
        <v/>
      </c>
      <c r="H408" s="33">
        <f>G408/$P$4+($C$22/$P$4)</f>
        <v/>
      </c>
      <c r="I408" s="36">
        <f>_xlfn.IFS(K408&lt;K$24,0,K408&lt;K$26,I$24,K408&lt;K$28,I$26,K408&lt;K$30,I$28,K408&lt;K$32,I$30,K408&lt;K$34,I$32,K408&lt;K$36,I$34,K408&lt;K$38,I$36,K408&lt;K$40,I$38,K408&lt;K$42,I$40,K408&lt;K$44,I$42,K408&lt;K$46,I$44,K408&gt;=K$46,I$46)</f>
        <v/>
      </c>
      <c r="J408" s="37">
        <f>_xlfn.IFS(K408&lt;K$24,0,K408&lt;K$25,J$24,K408&lt;K$26,J$25,K408&lt;K$27,J$26,K408&lt;K$28,J$27,K408&lt;K$29,J$28,K408&lt;K$30,J$29,K408&lt;K$31,J$30,K408&lt;K$32,J$31,K408&lt;K$33,J$32,K408&lt;K$34,J$33,K408&lt;K$35,J$34,K408&lt;K$36,J$35,K408&lt;K$37,J$36,K408&lt;K$38,J$37,K408&lt;K$39,J$38,K408&lt;K$40,J$39,K408&lt;K$41,J$40,K408&lt;K$42,J$41,K408&lt;K$43,J$42,K408&lt;K$44,J$43,K408&lt;K$45,J$44,K408&lt;K$46,J$45,K408&lt;K$47,J$46,K408&gt;=K$47,J$47)</f>
        <v/>
      </c>
      <c r="K408" s="38" t="n">
        <v>358</v>
      </c>
      <c r="L408" s="31">
        <f>K408/52</f>
        <v/>
      </c>
      <c r="M408" s="39">
        <f>J408/1000000*52</f>
        <v/>
      </c>
      <c r="N408" s="33">
        <f>M408/$P$4+($I$22/$P$4)</f>
        <v/>
      </c>
      <c r="U408">
        <f>F407</f>
        <v/>
      </c>
      <c r="V408">
        <f>H407</f>
        <v/>
      </c>
      <c r="W408">
        <f>N407</f>
        <v/>
      </c>
    </row>
    <row r="409" ht="15.75" customHeight="1" s="40">
      <c r="C409" s="36">
        <f>_xlfn.IFS(E409&lt;E$24,0,E409&lt;E$26,C$24,E409&lt;E$28,C$26,E409&lt;E$30,C$28,E409&lt;E$32,C$30,E409&lt;E$34,C$32,E409&gt;=E$34,C$34)</f>
        <v/>
      </c>
      <c r="D409" s="37">
        <f>_xlfn.IFS(E409&lt;E$24,0,E409&lt;E$25,D$24,E409&lt;E$26,D$25,E409&lt;E$27,D$26,E409&lt;E$28,D$27,E409&lt;E$29,D$28,E409&lt;E$30,D$29,E409&lt;E$31,D$30,E409&lt;E$32,D$31,E409&lt;E$33,D$32,E409&lt;E$34,D$33,E409&lt;E$35,D$34,E409&gt;=E$35,D$35)</f>
        <v/>
      </c>
      <c r="E409" s="38" t="n">
        <v>359</v>
      </c>
      <c r="F409" s="31">
        <f>E409/52</f>
        <v/>
      </c>
      <c r="G409" s="39">
        <f>D409/1000000*52</f>
        <v/>
      </c>
      <c r="H409" s="33">
        <f>G409/$P$4+($C$22/$P$4)</f>
        <v/>
      </c>
      <c r="I409" s="36">
        <f>_xlfn.IFS(K409&lt;K$24,0,K409&lt;K$26,I$24,K409&lt;K$28,I$26,K409&lt;K$30,I$28,K409&lt;K$32,I$30,K409&lt;K$34,I$32,K409&lt;K$36,I$34,K409&lt;K$38,I$36,K409&lt;K$40,I$38,K409&lt;K$42,I$40,K409&lt;K$44,I$42,K409&lt;K$46,I$44,K409&gt;=K$46,I$46)</f>
        <v/>
      </c>
      <c r="J409" s="37">
        <f>_xlfn.IFS(K409&lt;K$24,0,K409&lt;K$25,J$24,K409&lt;K$26,J$25,K409&lt;K$27,J$26,K409&lt;K$28,J$27,K409&lt;K$29,J$28,K409&lt;K$30,J$29,K409&lt;K$31,J$30,K409&lt;K$32,J$31,K409&lt;K$33,J$32,K409&lt;K$34,J$33,K409&lt;K$35,J$34,K409&lt;K$36,J$35,K409&lt;K$37,J$36,K409&lt;K$38,J$37,K409&lt;K$39,J$38,K409&lt;K$40,J$39,K409&lt;K$41,J$40,K409&lt;K$42,J$41,K409&lt;K$43,J$42,K409&lt;K$44,J$43,K409&lt;K$45,J$44,K409&lt;K$46,J$45,K409&lt;K$47,J$46,K409&gt;=K$47,J$47)</f>
        <v/>
      </c>
      <c r="K409" s="38" t="n">
        <v>359</v>
      </c>
      <c r="L409" s="31">
        <f>K409/52</f>
        <v/>
      </c>
      <c r="M409" s="39">
        <f>J409/1000000*52</f>
        <v/>
      </c>
      <c r="N409" s="33">
        <f>M409/$P$4+($I$22/$P$4)</f>
        <v/>
      </c>
      <c r="U409">
        <f>F408</f>
        <v/>
      </c>
      <c r="V409">
        <f>H408</f>
        <v/>
      </c>
      <c r="W409">
        <f>N408</f>
        <v/>
      </c>
    </row>
    <row r="410" ht="15.75" customHeight="1" s="40">
      <c r="C410" s="36">
        <f>_xlfn.IFS(E410&lt;E$24,0,E410&lt;E$26,C$24,E410&lt;E$28,C$26,E410&lt;E$30,C$28,E410&lt;E$32,C$30,E410&lt;E$34,C$32,E410&gt;=E$34,C$34)</f>
        <v/>
      </c>
      <c r="D410" s="37">
        <f>_xlfn.IFS(E410&lt;E$24,0,E410&lt;E$25,D$24,E410&lt;E$26,D$25,E410&lt;E$27,D$26,E410&lt;E$28,D$27,E410&lt;E$29,D$28,E410&lt;E$30,D$29,E410&lt;E$31,D$30,E410&lt;E$32,D$31,E410&lt;E$33,D$32,E410&lt;E$34,D$33,E410&lt;E$35,D$34,E410&gt;=E$35,D$35)</f>
        <v/>
      </c>
      <c r="E410" s="38" t="n">
        <v>360</v>
      </c>
      <c r="F410" s="31">
        <f>E410/52</f>
        <v/>
      </c>
      <c r="G410" s="39">
        <f>D410/1000000*52</f>
        <v/>
      </c>
      <c r="H410" s="33">
        <f>G410/$P$4+($C$22/$P$4)</f>
        <v/>
      </c>
      <c r="I410" s="36">
        <f>_xlfn.IFS(K410&lt;K$24,0,K410&lt;K$26,I$24,K410&lt;K$28,I$26,K410&lt;K$30,I$28,K410&lt;K$32,I$30,K410&lt;K$34,I$32,K410&lt;K$36,I$34,K410&lt;K$38,I$36,K410&lt;K$40,I$38,K410&lt;K$42,I$40,K410&lt;K$44,I$42,K410&lt;K$46,I$44,K410&gt;=K$46,I$46)</f>
        <v/>
      </c>
      <c r="J410" s="37">
        <f>_xlfn.IFS(K410&lt;K$24,0,K410&lt;K$25,J$24,K410&lt;K$26,J$25,K410&lt;K$27,J$26,K410&lt;K$28,J$27,K410&lt;K$29,J$28,K410&lt;K$30,J$29,K410&lt;K$31,J$30,K410&lt;K$32,J$31,K410&lt;K$33,J$32,K410&lt;K$34,J$33,K410&lt;K$35,J$34,K410&lt;K$36,J$35,K410&lt;K$37,J$36,K410&lt;K$38,J$37,K410&lt;K$39,J$38,K410&lt;K$40,J$39,K410&lt;K$41,J$40,K410&lt;K$42,J$41,K410&lt;K$43,J$42,K410&lt;K$44,J$43,K410&lt;K$45,J$44,K410&lt;K$46,J$45,K410&lt;K$47,J$46,K410&gt;=K$47,J$47)</f>
        <v/>
      </c>
      <c r="K410" s="38" t="n">
        <v>360</v>
      </c>
      <c r="L410" s="31">
        <f>K410/52</f>
        <v/>
      </c>
      <c r="M410" s="39">
        <f>J410/1000000*52</f>
        <v/>
      </c>
      <c r="N410" s="33">
        <f>M410/$P$4+($I$22/$P$4)</f>
        <v/>
      </c>
      <c r="U410">
        <f>F409</f>
        <v/>
      </c>
      <c r="V410">
        <f>H409</f>
        <v/>
      </c>
      <c r="W410">
        <f>N409</f>
        <v/>
      </c>
    </row>
    <row r="411" ht="15.75" customHeight="1" s="40">
      <c r="C411" s="36">
        <f>_xlfn.IFS(E411&lt;E$24,0,E411&lt;E$26,C$24,E411&lt;E$28,C$26,E411&lt;E$30,C$28,E411&lt;E$32,C$30,E411&lt;E$34,C$32,E411&gt;=E$34,C$34)</f>
        <v/>
      </c>
      <c r="D411" s="37">
        <f>_xlfn.IFS(E411&lt;E$24,0,E411&lt;E$25,D$24,E411&lt;E$26,D$25,E411&lt;E$27,D$26,E411&lt;E$28,D$27,E411&lt;E$29,D$28,E411&lt;E$30,D$29,E411&lt;E$31,D$30,E411&lt;E$32,D$31,E411&lt;E$33,D$32,E411&lt;E$34,D$33,E411&lt;E$35,D$34,E411&gt;=E$35,D$35)</f>
        <v/>
      </c>
      <c r="E411" s="38" t="n">
        <v>361</v>
      </c>
      <c r="F411" s="31">
        <f>E411/52</f>
        <v/>
      </c>
      <c r="G411" s="39">
        <f>D411/1000000*52</f>
        <v/>
      </c>
      <c r="H411" s="33">
        <f>G411/$P$4+($C$22/$P$4)</f>
        <v/>
      </c>
      <c r="I411" s="36">
        <f>_xlfn.IFS(K411&lt;K$24,0,K411&lt;K$26,I$24,K411&lt;K$28,I$26,K411&lt;K$30,I$28,K411&lt;K$32,I$30,K411&lt;K$34,I$32,K411&lt;K$36,I$34,K411&lt;K$38,I$36,K411&lt;K$40,I$38,K411&lt;K$42,I$40,K411&lt;K$44,I$42,K411&lt;K$46,I$44,K411&gt;=K$46,I$46)</f>
        <v/>
      </c>
      <c r="J411" s="37">
        <f>_xlfn.IFS(K411&lt;K$24,0,K411&lt;K$25,J$24,K411&lt;K$26,J$25,K411&lt;K$27,J$26,K411&lt;K$28,J$27,K411&lt;K$29,J$28,K411&lt;K$30,J$29,K411&lt;K$31,J$30,K411&lt;K$32,J$31,K411&lt;K$33,J$32,K411&lt;K$34,J$33,K411&lt;K$35,J$34,K411&lt;K$36,J$35,K411&lt;K$37,J$36,K411&lt;K$38,J$37,K411&lt;K$39,J$38,K411&lt;K$40,J$39,K411&lt;K$41,J$40,K411&lt;K$42,J$41,K411&lt;K$43,J$42,K411&lt;K$44,J$43,K411&lt;K$45,J$44,K411&lt;K$46,J$45,K411&lt;K$47,J$46,K411&gt;=K$47,J$47)</f>
        <v/>
      </c>
      <c r="K411" s="38" t="n">
        <v>361</v>
      </c>
      <c r="L411" s="31">
        <f>K411/52</f>
        <v/>
      </c>
      <c r="M411" s="39">
        <f>J411/1000000*52</f>
        <v/>
      </c>
      <c r="N411" s="33">
        <f>M411/$P$4+($I$22/$P$4)</f>
        <v/>
      </c>
      <c r="U411">
        <f>F410</f>
        <v/>
      </c>
      <c r="V411">
        <f>H410</f>
        <v/>
      </c>
      <c r="W411">
        <f>N410</f>
        <v/>
      </c>
    </row>
    <row r="412" ht="15.75" customHeight="1" s="40">
      <c r="C412" s="36">
        <f>_xlfn.IFS(E412&lt;E$24,0,E412&lt;E$26,C$24,E412&lt;E$28,C$26,E412&lt;E$30,C$28,E412&lt;E$32,C$30,E412&lt;E$34,C$32,E412&gt;=E$34,C$34)</f>
        <v/>
      </c>
      <c r="D412" s="37">
        <f>_xlfn.IFS(E412&lt;E$24,0,E412&lt;E$25,D$24,E412&lt;E$26,D$25,E412&lt;E$27,D$26,E412&lt;E$28,D$27,E412&lt;E$29,D$28,E412&lt;E$30,D$29,E412&lt;E$31,D$30,E412&lt;E$32,D$31,E412&lt;E$33,D$32,E412&lt;E$34,D$33,E412&lt;E$35,D$34,E412&gt;=E$35,D$35)</f>
        <v/>
      </c>
      <c r="E412" s="38" t="n">
        <v>362</v>
      </c>
      <c r="F412" s="31">
        <f>E412/52</f>
        <v/>
      </c>
      <c r="G412" s="39">
        <f>D412/1000000*52</f>
        <v/>
      </c>
      <c r="H412" s="33">
        <f>G412/$P$4+($C$22/$P$4)</f>
        <v/>
      </c>
      <c r="I412" s="36">
        <f>_xlfn.IFS(K412&lt;K$24,0,K412&lt;K$26,I$24,K412&lt;K$28,I$26,K412&lt;K$30,I$28,K412&lt;K$32,I$30,K412&lt;K$34,I$32,K412&lt;K$36,I$34,K412&lt;K$38,I$36,K412&lt;K$40,I$38,K412&lt;K$42,I$40,K412&lt;K$44,I$42,K412&lt;K$46,I$44,K412&gt;=K$46,I$46)</f>
        <v/>
      </c>
      <c r="J412" s="37">
        <f>_xlfn.IFS(K412&lt;K$24,0,K412&lt;K$25,J$24,K412&lt;K$26,J$25,K412&lt;K$27,J$26,K412&lt;K$28,J$27,K412&lt;K$29,J$28,K412&lt;K$30,J$29,K412&lt;K$31,J$30,K412&lt;K$32,J$31,K412&lt;K$33,J$32,K412&lt;K$34,J$33,K412&lt;K$35,J$34,K412&lt;K$36,J$35,K412&lt;K$37,J$36,K412&lt;K$38,J$37,K412&lt;K$39,J$38,K412&lt;K$40,J$39,K412&lt;K$41,J$40,K412&lt;K$42,J$41,K412&lt;K$43,J$42,K412&lt;K$44,J$43,K412&lt;K$45,J$44,K412&lt;K$46,J$45,K412&lt;K$47,J$46,K412&gt;=K$47,J$47)</f>
        <v/>
      </c>
      <c r="K412" s="38" t="n">
        <v>362</v>
      </c>
      <c r="L412" s="31">
        <f>K412/52</f>
        <v/>
      </c>
      <c r="M412" s="39">
        <f>J412/1000000*52</f>
        <v/>
      </c>
      <c r="N412" s="33">
        <f>M412/$P$4+($I$22/$P$4)</f>
        <v/>
      </c>
      <c r="U412">
        <f>F411</f>
        <v/>
      </c>
      <c r="V412">
        <f>H411</f>
        <v/>
      </c>
      <c r="W412">
        <f>N411</f>
        <v/>
      </c>
    </row>
    <row r="413" ht="15.75" customHeight="1" s="40">
      <c r="C413" s="36">
        <f>_xlfn.IFS(E413&lt;E$24,0,E413&lt;E$26,C$24,E413&lt;E$28,C$26,E413&lt;E$30,C$28,E413&lt;E$32,C$30,E413&lt;E$34,C$32,E413&gt;=E$34,C$34)</f>
        <v/>
      </c>
      <c r="D413" s="37">
        <f>_xlfn.IFS(E413&lt;E$24,0,E413&lt;E$25,D$24,E413&lt;E$26,D$25,E413&lt;E$27,D$26,E413&lt;E$28,D$27,E413&lt;E$29,D$28,E413&lt;E$30,D$29,E413&lt;E$31,D$30,E413&lt;E$32,D$31,E413&lt;E$33,D$32,E413&lt;E$34,D$33,E413&lt;E$35,D$34,E413&gt;=E$35,D$35)</f>
        <v/>
      </c>
      <c r="E413" s="38" t="n">
        <v>363</v>
      </c>
      <c r="F413" s="31">
        <f>E413/52</f>
        <v/>
      </c>
      <c r="G413" s="39">
        <f>D413/1000000*52</f>
        <v/>
      </c>
      <c r="H413" s="33">
        <f>G413/$P$4+($C$22/$P$4)</f>
        <v/>
      </c>
      <c r="I413" s="36">
        <f>_xlfn.IFS(K413&lt;K$24,0,K413&lt;K$26,I$24,K413&lt;K$28,I$26,K413&lt;K$30,I$28,K413&lt;K$32,I$30,K413&lt;K$34,I$32,K413&lt;K$36,I$34,K413&lt;K$38,I$36,K413&lt;K$40,I$38,K413&lt;K$42,I$40,K413&lt;K$44,I$42,K413&lt;K$46,I$44,K413&gt;=K$46,I$46)</f>
        <v/>
      </c>
      <c r="J413" s="37">
        <f>_xlfn.IFS(K413&lt;K$24,0,K413&lt;K$25,J$24,K413&lt;K$26,J$25,K413&lt;K$27,J$26,K413&lt;K$28,J$27,K413&lt;K$29,J$28,K413&lt;K$30,J$29,K413&lt;K$31,J$30,K413&lt;K$32,J$31,K413&lt;K$33,J$32,K413&lt;K$34,J$33,K413&lt;K$35,J$34,K413&lt;K$36,J$35,K413&lt;K$37,J$36,K413&lt;K$38,J$37,K413&lt;K$39,J$38,K413&lt;K$40,J$39,K413&lt;K$41,J$40,K413&lt;K$42,J$41,K413&lt;K$43,J$42,K413&lt;K$44,J$43,K413&lt;K$45,J$44,K413&lt;K$46,J$45,K413&lt;K$47,J$46,K413&gt;=K$47,J$47)</f>
        <v/>
      </c>
      <c r="K413" s="38" t="n">
        <v>363</v>
      </c>
      <c r="L413" s="31">
        <f>K413/52</f>
        <v/>
      </c>
      <c r="M413" s="39">
        <f>J413/1000000*52</f>
        <v/>
      </c>
      <c r="N413" s="33">
        <f>M413/$P$4+($I$22/$P$4)</f>
        <v/>
      </c>
      <c r="U413">
        <f>F412</f>
        <v/>
      </c>
      <c r="V413">
        <f>H412</f>
        <v/>
      </c>
      <c r="W413">
        <f>N412</f>
        <v/>
      </c>
    </row>
    <row r="414" ht="15.75" customHeight="1" s="40">
      <c r="C414" s="36">
        <f>_xlfn.IFS(E414&lt;E$24,0,E414&lt;E$26,C$24,E414&lt;E$28,C$26,E414&lt;E$30,C$28,E414&lt;E$32,C$30,E414&lt;E$34,C$32,E414&gt;=E$34,C$34)</f>
        <v/>
      </c>
      <c r="D414" s="37">
        <f>_xlfn.IFS(E414&lt;E$24,0,E414&lt;E$25,D$24,E414&lt;E$26,D$25,E414&lt;E$27,D$26,E414&lt;E$28,D$27,E414&lt;E$29,D$28,E414&lt;E$30,D$29,E414&lt;E$31,D$30,E414&lt;E$32,D$31,E414&lt;E$33,D$32,E414&lt;E$34,D$33,E414&lt;E$35,D$34,E414&gt;=E$35,D$35)</f>
        <v/>
      </c>
      <c r="E414" s="38" t="n">
        <v>364</v>
      </c>
      <c r="F414" s="31">
        <f>E414/52</f>
        <v/>
      </c>
      <c r="G414" s="39">
        <f>D414/1000000*52</f>
        <v/>
      </c>
      <c r="H414" s="33">
        <f>G414/$P$4+($C$22/$P$4)</f>
        <v/>
      </c>
      <c r="I414" s="36">
        <f>_xlfn.IFS(K414&lt;K$24,0,K414&lt;K$26,I$24,K414&lt;K$28,I$26,K414&lt;K$30,I$28,K414&lt;K$32,I$30,K414&lt;K$34,I$32,K414&lt;K$36,I$34,K414&lt;K$38,I$36,K414&lt;K$40,I$38,K414&lt;K$42,I$40,K414&lt;K$44,I$42,K414&lt;K$46,I$44,K414&gt;=K$46,I$46)</f>
        <v/>
      </c>
      <c r="J414" s="37">
        <f>_xlfn.IFS(K414&lt;K$24,0,K414&lt;K$25,J$24,K414&lt;K$26,J$25,K414&lt;K$27,J$26,K414&lt;K$28,J$27,K414&lt;K$29,J$28,K414&lt;K$30,J$29,K414&lt;K$31,J$30,K414&lt;K$32,J$31,K414&lt;K$33,J$32,K414&lt;K$34,J$33,K414&lt;K$35,J$34,K414&lt;K$36,J$35,K414&lt;K$37,J$36,K414&lt;K$38,J$37,K414&lt;K$39,J$38,K414&lt;K$40,J$39,K414&lt;K$41,J$40,K414&lt;K$42,J$41,K414&lt;K$43,J$42,K414&lt;K$44,J$43,K414&lt;K$45,J$44,K414&lt;K$46,J$45,K414&lt;K$47,J$46,K414&gt;=K$47,J$47)</f>
        <v/>
      </c>
      <c r="K414" s="38" t="n">
        <v>364</v>
      </c>
      <c r="L414" s="31">
        <f>K414/52</f>
        <v/>
      </c>
      <c r="M414" s="39">
        <f>J414/1000000*52</f>
        <v/>
      </c>
      <c r="N414" s="33">
        <f>M414/$P$4+($I$22/$P$4)</f>
        <v/>
      </c>
      <c r="U414">
        <f>F413</f>
        <v/>
      </c>
      <c r="V414">
        <f>H413</f>
        <v/>
      </c>
      <c r="W414">
        <f>N413</f>
        <v/>
      </c>
    </row>
    <row r="415" ht="15.75" customHeight="1" s="40">
      <c r="C415" s="36">
        <f>_xlfn.IFS(E415&lt;E$24,0,E415&lt;E$26,C$24,E415&lt;E$28,C$26,E415&lt;E$30,C$28,E415&lt;E$32,C$30,E415&lt;E$34,C$32,E415&gt;=E$34,C$34)</f>
        <v/>
      </c>
      <c r="D415" s="37">
        <f>_xlfn.IFS(E415&lt;E$24,0,E415&lt;E$25,D$24,E415&lt;E$26,D$25,E415&lt;E$27,D$26,E415&lt;E$28,D$27,E415&lt;E$29,D$28,E415&lt;E$30,D$29,E415&lt;E$31,D$30,E415&lt;E$32,D$31,E415&lt;E$33,D$32,E415&lt;E$34,D$33,E415&lt;E$35,D$34,E415&gt;=E$35,D$35)</f>
        <v/>
      </c>
      <c r="E415" s="38" t="n">
        <v>365</v>
      </c>
      <c r="F415" s="31">
        <f>E415/52</f>
        <v/>
      </c>
      <c r="G415" s="39">
        <f>D415/1000000*52</f>
        <v/>
      </c>
      <c r="H415" s="33">
        <f>G415/$P$4+($C$22/$P$4)</f>
        <v/>
      </c>
      <c r="I415" s="36">
        <f>_xlfn.IFS(K415&lt;K$24,0,K415&lt;K$26,I$24,K415&lt;K$28,I$26,K415&lt;K$30,I$28,K415&lt;K$32,I$30,K415&lt;K$34,I$32,K415&lt;K$36,I$34,K415&lt;K$38,I$36,K415&lt;K$40,I$38,K415&lt;K$42,I$40,K415&lt;K$44,I$42,K415&lt;K$46,I$44,K415&gt;=K$46,I$46)</f>
        <v/>
      </c>
      <c r="J415" s="37">
        <f>_xlfn.IFS(K415&lt;K$24,0,K415&lt;K$25,J$24,K415&lt;K$26,J$25,K415&lt;K$27,J$26,K415&lt;K$28,J$27,K415&lt;K$29,J$28,K415&lt;K$30,J$29,K415&lt;K$31,J$30,K415&lt;K$32,J$31,K415&lt;K$33,J$32,K415&lt;K$34,J$33,K415&lt;K$35,J$34,K415&lt;K$36,J$35,K415&lt;K$37,J$36,K415&lt;K$38,J$37,K415&lt;K$39,J$38,K415&lt;K$40,J$39,K415&lt;K$41,J$40,K415&lt;K$42,J$41,K415&lt;K$43,J$42,K415&lt;K$44,J$43,K415&lt;K$45,J$44,K415&lt;K$46,J$45,K415&lt;K$47,J$46,K415&gt;=K$47,J$47)</f>
        <v/>
      </c>
      <c r="K415" s="38" t="n">
        <v>365</v>
      </c>
      <c r="L415" s="31">
        <f>K415/52</f>
        <v/>
      </c>
      <c r="M415" s="39">
        <f>J415/1000000*52</f>
        <v/>
      </c>
      <c r="N415" s="33">
        <f>M415/$P$4+($I$22/$P$4)</f>
        <v/>
      </c>
      <c r="U415">
        <f>F414</f>
        <v/>
      </c>
      <c r="V415">
        <f>H414</f>
        <v/>
      </c>
      <c r="W415">
        <f>N414</f>
        <v/>
      </c>
    </row>
    <row r="416" ht="15.75" customHeight="1" s="40">
      <c r="C416" s="36">
        <f>_xlfn.IFS(E416&lt;E$24,0,E416&lt;E$26,C$24,E416&lt;E$28,C$26,E416&lt;E$30,C$28,E416&lt;E$32,C$30,E416&lt;E$34,C$32,E416&gt;=E$34,C$34)</f>
        <v/>
      </c>
      <c r="D416" s="37">
        <f>_xlfn.IFS(E416&lt;E$24,0,E416&lt;E$25,D$24,E416&lt;E$26,D$25,E416&lt;E$27,D$26,E416&lt;E$28,D$27,E416&lt;E$29,D$28,E416&lt;E$30,D$29,E416&lt;E$31,D$30,E416&lt;E$32,D$31,E416&lt;E$33,D$32,E416&lt;E$34,D$33,E416&lt;E$35,D$34,E416&gt;=E$35,D$35)</f>
        <v/>
      </c>
      <c r="E416" s="38" t="n">
        <v>366</v>
      </c>
      <c r="F416" s="31">
        <f>E416/52</f>
        <v/>
      </c>
      <c r="G416" s="39">
        <f>D416/1000000*52</f>
        <v/>
      </c>
      <c r="H416" s="33">
        <f>G416/$P$4+($C$22/$P$4)</f>
        <v/>
      </c>
      <c r="I416" s="36">
        <f>_xlfn.IFS(K416&lt;K$24,0,K416&lt;K$26,I$24,K416&lt;K$28,I$26,K416&lt;K$30,I$28,K416&lt;K$32,I$30,K416&lt;K$34,I$32,K416&lt;K$36,I$34,K416&lt;K$38,I$36,K416&lt;K$40,I$38,K416&lt;K$42,I$40,K416&lt;K$44,I$42,K416&lt;K$46,I$44,K416&gt;=K$46,I$46)</f>
        <v/>
      </c>
      <c r="J416" s="37">
        <f>_xlfn.IFS(K416&lt;K$24,0,K416&lt;K$25,J$24,K416&lt;K$26,J$25,K416&lt;K$27,J$26,K416&lt;K$28,J$27,K416&lt;K$29,J$28,K416&lt;K$30,J$29,K416&lt;K$31,J$30,K416&lt;K$32,J$31,K416&lt;K$33,J$32,K416&lt;K$34,J$33,K416&lt;K$35,J$34,K416&lt;K$36,J$35,K416&lt;K$37,J$36,K416&lt;K$38,J$37,K416&lt;K$39,J$38,K416&lt;K$40,J$39,K416&lt;K$41,J$40,K416&lt;K$42,J$41,K416&lt;K$43,J$42,K416&lt;K$44,J$43,K416&lt;K$45,J$44,K416&lt;K$46,J$45,K416&lt;K$47,J$46,K416&gt;=K$47,J$47)</f>
        <v/>
      </c>
      <c r="K416" s="38" t="n">
        <v>366</v>
      </c>
      <c r="L416" s="31">
        <f>K416/52</f>
        <v/>
      </c>
      <c r="M416" s="39">
        <f>J416/1000000*52</f>
        <v/>
      </c>
      <c r="N416" s="33">
        <f>M416/$P$4+($I$22/$P$4)</f>
        <v/>
      </c>
      <c r="U416">
        <f>F415</f>
        <v/>
      </c>
      <c r="V416">
        <f>H415</f>
        <v/>
      </c>
      <c r="W416">
        <f>N415</f>
        <v/>
      </c>
    </row>
    <row r="417" ht="15.75" customHeight="1" s="40">
      <c r="C417" s="36">
        <f>_xlfn.IFS(E417&lt;E$24,0,E417&lt;E$26,C$24,E417&lt;E$28,C$26,E417&lt;E$30,C$28,E417&lt;E$32,C$30,E417&lt;E$34,C$32,E417&gt;=E$34,C$34)</f>
        <v/>
      </c>
      <c r="D417" s="37">
        <f>_xlfn.IFS(E417&lt;E$24,0,E417&lt;E$25,D$24,E417&lt;E$26,D$25,E417&lt;E$27,D$26,E417&lt;E$28,D$27,E417&lt;E$29,D$28,E417&lt;E$30,D$29,E417&lt;E$31,D$30,E417&lt;E$32,D$31,E417&lt;E$33,D$32,E417&lt;E$34,D$33,E417&lt;E$35,D$34,E417&gt;=E$35,D$35)</f>
        <v/>
      </c>
      <c r="E417" s="38" t="n">
        <v>367</v>
      </c>
      <c r="F417" s="31">
        <f>E417/52</f>
        <v/>
      </c>
      <c r="G417" s="39">
        <f>D417/1000000*52</f>
        <v/>
      </c>
      <c r="H417" s="33">
        <f>G417/$P$4+($C$22/$P$4)</f>
        <v/>
      </c>
      <c r="I417" s="36">
        <f>_xlfn.IFS(K417&lt;K$24,0,K417&lt;K$26,I$24,K417&lt;K$28,I$26,K417&lt;K$30,I$28,K417&lt;K$32,I$30,K417&lt;K$34,I$32,K417&lt;K$36,I$34,K417&lt;K$38,I$36,K417&lt;K$40,I$38,K417&lt;K$42,I$40,K417&lt;K$44,I$42,K417&lt;K$46,I$44,K417&gt;=K$46,I$46)</f>
        <v/>
      </c>
      <c r="J417" s="37">
        <f>_xlfn.IFS(K417&lt;K$24,0,K417&lt;K$25,J$24,K417&lt;K$26,J$25,K417&lt;K$27,J$26,K417&lt;K$28,J$27,K417&lt;K$29,J$28,K417&lt;K$30,J$29,K417&lt;K$31,J$30,K417&lt;K$32,J$31,K417&lt;K$33,J$32,K417&lt;K$34,J$33,K417&lt;K$35,J$34,K417&lt;K$36,J$35,K417&lt;K$37,J$36,K417&lt;K$38,J$37,K417&lt;K$39,J$38,K417&lt;K$40,J$39,K417&lt;K$41,J$40,K417&lt;K$42,J$41,K417&lt;K$43,J$42,K417&lt;K$44,J$43,K417&lt;K$45,J$44,K417&lt;K$46,J$45,K417&lt;K$47,J$46,K417&gt;=K$47,J$47)</f>
        <v/>
      </c>
      <c r="K417" s="38" t="n">
        <v>367</v>
      </c>
      <c r="L417" s="31">
        <f>K417/52</f>
        <v/>
      </c>
      <c r="M417" s="39">
        <f>J417/1000000*52</f>
        <v/>
      </c>
      <c r="N417" s="33">
        <f>M417/$P$4+($I$22/$P$4)</f>
        <v/>
      </c>
      <c r="U417">
        <f>F416</f>
        <v/>
      </c>
      <c r="V417">
        <f>H416</f>
        <v/>
      </c>
      <c r="W417">
        <f>N416</f>
        <v/>
      </c>
    </row>
    <row r="418" ht="15.75" customHeight="1" s="40">
      <c r="C418" s="36">
        <f>_xlfn.IFS(E418&lt;E$24,0,E418&lt;E$26,C$24,E418&lt;E$28,C$26,E418&lt;E$30,C$28,E418&lt;E$32,C$30,E418&lt;E$34,C$32,E418&gt;=E$34,C$34)</f>
        <v/>
      </c>
      <c r="D418" s="37">
        <f>_xlfn.IFS(E418&lt;E$24,0,E418&lt;E$25,D$24,E418&lt;E$26,D$25,E418&lt;E$27,D$26,E418&lt;E$28,D$27,E418&lt;E$29,D$28,E418&lt;E$30,D$29,E418&lt;E$31,D$30,E418&lt;E$32,D$31,E418&lt;E$33,D$32,E418&lt;E$34,D$33,E418&lt;E$35,D$34,E418&gt;=E$35,D$35)</f>
        <v/>
      </c>
      <c r="E418" s="38" t="n">
        <v>368</v>
      </c>
      <c r="F418" s="31">
        <f>E418/52</f>
        <v/>
      </c>
      <c r="G418" s="39">
        <f>D418/1000000*52</f>
        <v/>
      </c>
      <c r="H418" s="33">
        <f>G418/$P$4+($C$22/$P$4)</f>
        <v/>
      </c>
      <c r="I418" s="36">
        <f>_xlfn.IFS(K418&lt;K$24,0,K418&lt;K$26,I$24,K418&lt;K$28,I$26,K418&lt;K$30,I$28,K418&lt;K$32,I$30,K418&lt;K$34,I$32,K418&lt;K$36,I$34,K418&lt;K$38,I$36,K418&lt;K$40,I$38,K418&lt;K$42,I$40,K418&lt;K$44,I$42,K418&lt;K$46,I$44,K418&gt;=K$46,I$46)</f>
        <v/>
      </c>
      <c r="J418" s="37">
        <f>_xlfn.IFS(K418&lt;K$24,0,K418&lt;K$25,J$24,K418&lt;K$26,J$25,K418&lt;K$27,J$26,K418&lt;K$28,J$27,K418&lt;K$29,J$28,K418&lt;K$30,J$29,K418&lt;K$31,J$30,K418&lt;K$32,J$31,K418&lt;K$33,J$32,K418&lt;K$34,J$33,K418&lt;K$35,J$34,K418&lt;K$36,J$35,K418&lt;K$37,J$36,K418&lt;K$38,J$37,K418&lt;K$39,J$38,K418&lt;K$40,J$39,K418&lt;K$41,J$40,K418&lt;K$42,J$41,K418&lt;K$43,J$42,K418&lt;K$44,J$43,K418&lt;K$45,J$44,K418&lt;K$46,J$45,K418&lt;K$47,J$46,K418&gt;=K$47,J$47)</f>
        <v/>
      </c>
      <c r="K418" s="38" t="n">
        <v>368</v>
      </c>
      <c r="L418" s="31">
        <f>K418/52</f>
        <v/>
      </c>
      <c r="M418" s="39">
        <f>J418/1000000*52</f>
        <v/>
      </c>
      <c r="N418" s="33">
        <f>M418/$P$4+($I$22/$P$4)</f>
        <v/>
      </c>
      <c r="U418">
        <f>F417</f>
        <v/>
      </c>
      <c r="V418">
        <f>H417</f>
        <v/>
      </c>
      <c r="W418">
        <f>N417</f>
        <v/>
      </c>
    </row>
    <row r="419" ht="15.75" customHeight="1" s="40">
      <c r="C419" s="36">
        <f>_xlfn.IFS(E419&lt;E$24,0,E419&lt;E$26,C$24,E419&lt;E$28,C$26,E419&lt;E$30,C$28,E419&lt;E$32,C$30,E419&lt;E$34,C$32,E419&gt;=E$34,C$34)</f>
        <v/>
      </c>
      <c r="D419" s="37">
        <f>_xlfn.IFS(E419&lt;E$24,0,E419&lt;E$25,D$24,E419&lt;E$26,D$25,E419&lt;E$27,D$26,E419&lt;E$28,D$27,E419&lt;E$29,D$28,E419&lt;E$30,D$29,E419&lt;E$31,D$30,E419&lt;E$32,D$31,E419&lt;E$33,D$32,E419&lt;E$34,D$33,E419&lt;E$35,D$34,E419&gt;=E$35,D$35)</f>
        <v/>
      </c>
      <c r="E419" s="38" t="n">
        <v>369</v>
      </c>
      <c r="F419" s="31">
        <f>E419/52</f>
        <v/>
      </c>
      <c r="G419" s="39">
        <f>D419/1000000*52</f>
        <v/>
      </c>
      <c r="H419" s="33">
        <f>G419/$P$4+($C$22/$P$4)</f>
        <v/>
      </c>
      <c r="I419" s="36">
        <f>_xlfn.IFS(K419&lt;K$24,0,K419&lt;K$26,I$24,K419&lt;K$28,I$26,K419&lt;K$30,I$28,K419&lt;K$32,I$30,K419&lt;K$34,I$32,K419&lt;K$36,I$34,K419&lt;K$38,I$36,K419&lt;K$40,I$38,K419&lt;K$42,I$40,K419&lt;K$44,I$42,K419&lt;K$46,I$44,K419&gt;=K$46,I$46)</f>
        <v/>
      </c>
      <c r="J419" s="37">
        <f>_xlfn.IFS(K419&lt;K$24,0,K419&lt;K$25,J$24,K419&lt;K$26,J$25,K419&lt;K$27,J$26,K419&lt;K$28,J$27,K419&lt;K$29,J$28,K419&lt;K$30,J$29,K419&lt;K$31,J$30,K419&lt;K$32,J$31,K419&lt;K$33,J$32,K419&lt;K$34,J$33,K419&lt;K$35,J$34,K419&lt;K$36,J$35,K419&lt;K$37,J$36,K419&lt;K$38,J$37,K419&lt;K$39,J$38,K419&lt;K$40,J$39,K419&lt;K$41,J$40,K419&lt;K$42,J$41,K419&lt;K$43,J$42,K419&lt;K$44,J$43,K419&lt;K$45,J$44,K419&lt;K$46,J$45,K419&lt;K$47,J$46,K419&gt;=K$47,J$47)</f>
        <v/>
      </c>
      <c r="K419" s="38" t="n">
        <v>369</v>
      </c>
      <c r="L419" s="31">
        <f>K419/52</f>
        <v/>
      </c>
      <c r="M419" s="39">
        <f>J419/1000000*52</f>
        <v/>
      </c>
      <c r="N419" s="33">
        <f>M419/$P$4+($I$22/$P$4)</f>
        <v/>
      </c>
      <c r="U419">
        <f>F418</f>
        <v/>
      </c>
      <c r="V419">
        <f>H418</f>
        <v/>
      </c>
      <c r="W419">
        <f>N418</f>
        <v/>
      </c>
    </row>
    <row r="420" ht="15.75" customHeight="1" s="40">
      <c r="C420" s="36">
        <f>_xlfn.IFS(E420&lt;E$24,0,E420&lt;E$26,C$24,E420&lt;E$28,C$26,E420&lt;E$30,C$28,E420&lt;E$32,C$30,E420&lt;E$34,C$32,E420&gt;=E$34,C$34)</f>
        <v/>
      </c>
      <c r="D420" s="37">
        <f>_xlfn.IFS(E420&lt;E$24,0,E420&lt;E$25,D$24,E420&lt;E$26,D$25,E420&lt;E$27,D$26,E420&lt;E$28,D$27,E420&lt;E$29,D$28,E420&lt;E$30,D$29,E420&lt;E$31,D$30,E420&lt;E$32,D$31,E420&lt;E$33,D$32,E420&lt;E$34,D$33,E420&lt;E$35,D$34,E420&gt;=E$35,D$35)</f>
        <v/>
      </c>
      <c r="E420" s="38" t="n">
        <v>370</v>
      </c>
      <c r="F420" s="31">
        <f>E420/52</f>
        <v/>
      </c>
      <c r="G420" s="39">
        <f>D420/1000000*52</f>
        <v/>
      </c>
      <c r="H420" s="33">
        <f>G420/$P$4+($C$22/$P$4)</f>
        <v/>
      </c>
      <c r="I420" s="36">
        <f>_xlfn.IFS(K420&lt;K$24,0,K420&lt;K$26,I$24,K420&lt;K$28,I$26,K420&lt;K$30,I$28,K420&lt;K$32,I$30,K420&lt;K$34,I$32,K420&lt;K$36,I$34,K420&lt;K$38,I$36,K420&lt;K$40,I$38,K420&lt;K$42,I$40,K420&lt;K$44,I$42,K420&lt;K$46,I$44,K420&gt;=K$46,I$46)</f>
        <v/>
      </c>
      <c r="J420" s="37">
        <f>_xlfn.IFS(K420&lt;K$24,0,K420&lt;K$25,J$24,K420&lt;K$26,J$25,K420&lt;K$27,J$26,K420&lt;K$28,J$27,K420&lt;K$29,J$28,K420&lt;K$30,J$29,K420&lt;K$31,J$30,K420&lt;K$32,J$31,K420&lt;K$33,J$32,K420&lt;K$34,J$33,K420&lt;K$35,J$34,K420&lt;K$36,J$35,K420&lt;K$37,J$36,K420&lt;K$38,J$37,K420&lt;K$39,J$38,K420&lt;K$40,J$39,K420&lt;K$41,J$40,K420&lt;K$42,J$41,K420&lt;K$43,J$42,K420&lt;K$44,J$43,K420&lt;K$45,J$44,K420&lt;K$46,J$45,K420&lt;K$47,J$46,K420&gt;=K$47,J$47)</f>
        <v/>
      </c>
      <c r="K420" s="38" t="n">
        <v>370</v>
      </c>
      <c r="L420" s="31">
        <f>K420/52</f>
        <v/>
      </c>
      <c r="M420" s="39">
        <f>J420/1000000*52</f>
        <v/>
      </c>
      <c r="N420" s="33">
        <f>M420/$P$4+($I$22/$P$4)</f>
        <v/>
      </c>
      <c r="U420">
        <f>F419</f>
        <v/>
      </c>
      <c r="V420">
        <f>H419</f>
        <v/>
      </c>
      <c r="W420">
        <f>N419</f>
        <v/>
      </c>
    </row>
    <row r="421" ht="15.75" customHeight="1" s="40">
      <c r="C421" s="36">
        <f>_xlfn.IFS(E421&lt;E$24,0,E421&lt;E$26,C$24,E421&lt;E$28,C$26,E421&lt;E$30,C$28,E421&lt;E$32,C$30,E421&lt;E$34,C$32,E421&gt;=E$34,C$34)</f>
        <v/>
      </c>
      <c r="D421" s="37">
        <f>_xlfn.IFS(E421&lt;E$24,0,E421&lt;E$25,D$24,E421&lt;E$26,D$25,E421&lt;E$27,D$26,E421&lt;E$28,D$27,E421&lt;E$29,D$28,E421&lt;E$30,D$29,E421&lt;E$31,D$30,E421&lt;E$32,D$31,E421&lt;E$33,D$32,E421&lt;E$34,D$33,E421&lt;E$35,D$34,E421&gt;=E$35,D$35)</f>
        <v/>
      </c>
      <c r="E421" s="38" t="n">
        <v>371</v>
      </c>
      <c r="F421" s="31">
        <f>E421/52</f>
        <v/>
      </c>
      <c r="G421" s="39">
        <f>D421/1000000*52</f>
        <v/>
      </c>
      <c r="H421" s="33">
        <f>G421/$P$4+($C$22/$P$4)</f>
        <v/>
      </c>
      <c r="I421" s="36">
        <f>_xlfn.IFS(K421&lt;K$24,0,K421&lt;K$26,I$24,K421&lt;K$28,I$26,K421&lt;K$30,I$28,K421&lt;K$32,I$30,K421&lt;K$34,I$32,K421&lt;K$36,I$34,K421&lt;K$38,I$36,K421&lt;K$40,I$38,K421&lt;K$42,I$40,K421&lt;K$44,I$42,K421&lt;K$46,I$44,K421&gt;=K$46,I$46)</f>
        <v/>
      </c>
      <c r="J421" s="37">
        <f>_xlfn.IFS(K421&lt;K$24,0,K421&lt;K$25,J$24,K421&lt;K$26,J$25,K421&lt;K$27,J$26,K421&lt;K$28,J$27,K421&lt;K$29,J$28,K421&lt;K$30,J$29,K421&lt;K$31,J$30,K421&lt;K$32,J$31,K421&lt;K$33,J$32,K421&lt;K$34,J$33,K421&lt;K$35,J$34,K421&lt;K$36,J$35,K421&lt;K$37,J$36,K421&lt;K$38,J$37,K421&lt;K$39,J$38,K421&lt;K$40,J$39,K421&lt;K$41,J$40,K421&lt;K$42,J$41,K421&lt;K$43,J$42,K421&lt;K$44,J$43,K421&lt;K$45,J$44,K421&lt;K$46,J$45,K421&lt;K$47,J$46,K421&gt;=K$47,J$47)</f>
        <v/>
      </c>
      <c r="K421" s="38" t="n">
        <v>371</v>
      </c>
      <c r="L421" s="31">
        <f>K421/52</f>
        <v/>
      </c>
      <c r="M421" s="39">
        <f>J421/1000000*52</f>
        <v/>
      </c>
      <c r="N421" s="33">
        <f>M421/$P$4+($I$22/$P$4)</f>
        <v/>
      </c>
      <c r="U421">
        <f>F420</f>
        <v/>
      </c>
      <c r="V421">
        <f>H420</f>
        <v/>
      </c>
      <c r="W421">
        <f>N420</f>
        <v/>
      </c>
    </row>
    <row r="422" ht="15.75" customHeight="1" s="40">
      <c r="C422" s="36">
        <f>_xlfn.IFS(E422&lt;E$24,0,E422&lt;E$26,C$24,E422&lt;E$28,C$26,E422&lt;E$30,C$28,E422&lt;E$32,C$30,E422&lt;E$34,C$32,E422&gt;=E$34,C$34)</f>
        <v/>
      </c>
      <c r="D422" s="37">
        <f>_xlfn.IFS(E422&lt;E$24,0,E422&lt;E$25,D$24,E422&lt;E$26,D$25,E422&lt;E$27,D$26,E422&lt;E$28,D$27,E422&lt;E$29,D$28,E422&lt;E$30,D$29,E422&lt;E$31,D$30,E422&lt;E$32,D$31,E422&lt;E$33,D$32,E422&lt;E$34,D$33,E422&lt;E$35,D$34,E422&gt;=E$35,D$35)</f>
        <v/>
      </c>
      <c r="E422" s="38" t="n">
        <v>372</v>
      </c>
      <c r="F422" s="31">
        <f>E422/52</f>
        <v/>
      </c>
      <c r="G422" s="39">
        <f>D422/1000000*52</f>
        <v/>
      </c>
      <c r="H422" s="33">
        <f>G422/$P$4+($C$22/$P$4)</f>
        <v/>
      </c>
      <c r="I422" s="36">
        <f>_xlfn.IFS(K422&lt;K$24,0,K422&lt;K$26,I$24,K422&lt;K$28,I$26,K422&lt;K$30,I$28,K422&lt;K$32,I$30,K422&lt;K$34,I$32,K422&lt;K$36,I$34,K422&lt;K$38,I$36,K422&lt;K$40,I$38,K422&lt;K$42,I$40,K422&lt;K$44,I$42,K422&lt;K$46,I$44,K422&gt;=K$46,I$46)</f>
        <v/>
      </c>
      <c r="J422" s="37">
        <f>_xlfn.IFS(K422&lt;K$24,0,K422&lt;K$25,J$24,K422&lt;K$26,J$25,K422&lt;K$27,J$26,K422&lt;K$28,J$27,K422&lt;K$29,J$28,K422&lt;K$30,J$29,K422&lt;K$31,J$30,K422&lt;K$32,J$31,K422&lt;K$33,J$32,K422&lt;K$34,J$33,K422&lt;K$35,J$34,K422&lt;K$36,J$35,K422&lt;K$37,J$36,K422&lt;K$38,J$37,K422&lt;K$39,J$38,K422&lt;K$40,J$39,K422&lt;K$41,J$40,K422&lt;K$42,J$41,K422&lt;K$43,J$42,K422&lt;K$44,J$43,K422&lt;K$45,J$44,K422&lt;K$46,J$45,K422&lt;K$47,J$46,K422&gt;=K$47,J$47)</f>
        <v/>
      </c>
      <c r="K422" s="38" t="n">
        <v>372</v>
      </c>
      <c r="L422" s="31">
        <f>K422/52</f>
        <v/>
      </c>
      <c r="M422" s="39">
        <f>J422/1000000*52</f>
        <v/>
      </c>
      <c r="N422" s="33">
        <f>M422/$P$4+($I$22/$P$4)</f>
        <v/>
      </c>
      <c r="U422">
        <f>F421</f>
        <v/>
      </c>
      <c r="V422">
        <f>H421</f>
        <v/>
      </c>
      <c r="W422">
        <f>N421</f>
        <v/>
      </c>
    </row>
    <row r="423" ht="15.75" customHeight="1" s="40">
      <c r="C423" s="36">
        <f>_xlfn.IFS(E423&lt;E$24,0,E423&lt;E$26,C$24,E423&lt;E$28,C$26,E423&lt;E$30,C$28,E423&lt;E$32,C$30,E423&lt;E$34,C$32,E423&gt;=E$34,C$34)</f>
        <v/>
      </c>
      <c r="D423" s="37">
        <f>_xlfn.IFS(E423&lt;E$24,0,E423&lt;E$25,D$24,E423&lt;E$26,D$25,E423&lt;E$27,D$26,E423&lt;E$28,D$27,E423&lt;E$29,D$28,E423&lt;E$30,D$29,E423&lt;E$31,D$30,E423&lt;E$32,D$31,E423&lt;E$33,D$32,E423&lt;E$34,D$33,E423&lt;E$35,D$34,E423&gt;=E$35,D$35)</f>
        <v/>
      </c>
      <c r="E423" s="38" t="n">
        <v>373</v>
      </c>
      <c r="F423" s="31">
        <f>E423/52</f>
        <v/>
      </c>
      <c r="G423" s="39">
        <f>D423/1000000*52</f>
        <v/>
      </c>
      <c r="H423" s="33">
        <f>G423/$P$4+($C$22/$P$4)</f>
        <v/>
      </c>
      <c r="I423" s="36">
        <f>_xlfn.IFS(K423&lt;K$24,0,K423&lt;K$26,I$24,K423&lt;K$28,I$26,K423&lt;K$30,I$28,K423&lt;K$32,I$30,K423&lt;K$34,I$32,K423&lt;K$36,I$34,K423&lt;K$38,I$36,K423&lt;K$40,I$38,K423&lt;K$42,I$40,K423&lt;K$44,I$42,K423&lt;K$46,I$44,K423&gt;=K$46,I$46)</f>
        <v/>
      </c>
      <c r="J423" s="37">
        <f>_xlfn.IFS(K423&lt;K$24,0,K423&lt;K$25,J$24,K423&lt;K$26,J$25,K423&lt;K$27,J$26,K423&lt;K$28,J$27,K423&lt;K$29,J$28,K423&lt;K$30,J$29,K423&lt;K$31,J$30,K423&lt;K$32,J$31,K423&lt;K$33,J$32,K423&lt;K$34,J$33,K423&lt;K$35,J$34,K423&lt;K$36,J$35,K423&lt;K$37,J$36,K423&lt;K$38,J$37,K423&lt;K$39,J$38,K423&lt;K$40,J$39,K423&lt;K$41,J$40,K423&lt;K$42,J$41,K423&lt;K$43,J$42,K423&lt;K$44,J$43,K423&lt;K$45,J$44,K423&lt;K$46,J$45,K423&lt;K$47,J$46,K423&gt;=K$47,J$47)</f>
        <v/>
      </c>
      <c r="K423" s="38" t="n">
        <v>373</v>
      </c>
      <c r="L423" s="31">
        <f>K423/52</f>
        <v/>
      </c>
      <c r="M423" s="39">
        <f>J423/1000000*52</f>
        <v/>
      </c>
      <c r="N423" s="33">
        <f>M423/$P$4+($I$22/$P$4)</f>
        <v/>
      </c>
      <c r="U423">
        <f>F422</f>
        <v/>
      </c>
      <c r="V423">
        <f>H422</f>
        <v/>
      </c>
      <c r="W423">
        <f>N422</f>
        <v/>
      </c>
    </row>
    <row r="424" ht="15.75" customHeight="1" s="40">
      <c r="C424" s="36">
        <f>_xlfn.IFS(E424&lt;E$24,0,E424&lt;E$26,C$24,E424&lt;E$28,C$26,E424&lt;E$30,C$28,E424&lt;E$32,C$30,E424&lt;E$34,C$32,E424&gt;=E$34,C$34)</f>
        <v/>
      </c>
      <c r="D424" s="37">
        <f>_xlfn.IFS(E424&lt;E$24,0,E424&lt;E$25,D$24,E424&lt;E$26,D$25,E424&lt;E$27,D$26,E424&lt;E$28,D$27,E424&lt;E$29,D$28,E424&lt;E$30,D$29,E424&lt;E$31,D$30,E424&lt;E$32,D$31,E424&lt;E$33,D$32,E424&lt;E$34,D$33,E424&lt;E$35,D$34,E424&gt;=E$35,D$35)</f>
        <v/>
      </c>
      <c r="E424" s="38" t="n">
        <v>374</v>
      </c>
      <c r="F424" s="31">
        <f>E424/52</f>
        <v/>
      </c>
      <c r="G424" s="39">
        <f>D424/1000000*52</f>
        <v/>
      </c>
      <c r="H424" s="33">
        <f>G424/$P$4+($C$22/$P$4)</f>
        <v/>
      </c>
      <c r="I424" s="36">
        <f>_xlfn.IFS(K424&lt;K$24,0,K424&lt;K$26,I$24,K424&lt;K$28,I$26,K424&lt;K$30,I$28,K424&lt;K$32,I$30,K424&lt;K$34,I$32,K424&lt;K$36,I$34,K424&lt;K$38,I$36,K424&lt;K$40,I$38,K424&lt;K$42,I$40,K424&lt;K$44,I$42,K424&lt;K$46,I$44,K424&gt;=K$46,I$46)</f>
        <v/>
      </c>
      <c r="J424" s="37">
        <f>_xlfn.IFS(K424&lt;K$24,0,K424&lt;K$25,J$24,K424&lt;K$26,J$25,K424&lt;K$27,J$26,K424&lt;K$28,J$27,K424&lt;K$29,J$28,K424&lt;K$30,J$29,K424&lt;K$31,J$30,K424&lt;K$32,J$31,K424&lt;K$33,J$32,K424&lt;K$34,J$33,K424&lt;K$35,J$34,K424&lt;K$36,J$35,K424&lt;K$37,J$36,K424&lt;K$38,J$37,K424&lt;K$39,J$38,K424&lt;K$40,J$39,K424&lt;K$41,J$40,K424&lt;K$42,J$41,K424&lt;K$43,J$42,K424&lt;K$44,J$43,K424&lt;K$45,J$44,K424&lt;K$46,J$45,K424&lt;K$47,J$46,K424&gt;=K$47,J$47)</f>
        <v/>
      </c>
      <c r="K424" s="38" t="n">
        <v>374</v>
      </c>
      <c r="L424" s="31">
        <f>K424/52</f>
        <v/>
      </c>
      <c r="M424" s="39">
        <f>J424/1000000*52</f>
        <v/>
      </c>
      <c r="N424" s="33">
        <f>M424/$P$4+($I$22/$P$4)</f>
        <v/>
      </c>
      <c r="U424">
        <f>F423</f>
        <v/>
      </c>
      <c r="V424">
        <f>H423</f>
        <v/>
      </c>
      <c r="W424">
        <f>N423</f>
        <v/>
      </c>
    </row>
    <row r="425" ht="15.75" customHeight="1" s="40">
      <c r="C425" s="36">
        <f>_xlfn.IFS(E425&lt;E$24,0,E425&lt;E$26,C$24,E425&lt;E$28,C$26,E425&lt;E$30,C$28,E425&lt;E$32,C$30,E425&lt;E$34,C$32,E425&gt;=E$34,C$34)</f>
        <v/>
      </c>
      <c r="D425" s="37">
        <f>_xlfn.IFS(E425&lt;E$24,0,E425&lt;E$25,D$24,E425&lt;E$26,D$25,E425&lt;E$27,D$26,E425&lt;E$28,D$27,E425&lt;E$29,D$28,E425&lt;E$30,D$29,E425&lt;E$31,D$30,E425&lt;E$32,D$31,E425&lt;E$33,D$32,E425&lt;E$34,D$33,E425&lt;E$35,D$34,E425&gt;=E$35,D$35)</f>
        <v/>
      </c>
      <c r="E425" s="38" t="n">
        <v>375</v>
      </c>
      <c r="F425" s="31">
        <f>E425/52</f>
        <v/>
      </c>
      <c r="G425" s="39">
        <f>D425/1000000*52</f>
        <v/>
      </c>
      <c r="H425" s="33">
        <f>G425/$P$4+($C$22/$P$4)</f>
        <v/>
      </c>
      <c r="I425" s="36">
        <f>_xlfn.IFS(K425&lt;K$24,0,K425&lt;K$26,I$24,K425&lt;K$28,I$26,K425&lt;K$30,I$28,K425&lt;K$32,I$30,K425&lt;K$34,I$32,K425&lt;K$36,I$34,K425&lt;K$38,I$36,K425&lt;K$40,I$38,K425&lt;K$42,I$40,K425&lt;K$44,I$42,K425&lt;K$46,I$44,K425&gt;=K$46,I$46)</f>
        <v/>
      </c>
      <c r="J425" s="37">
        <f>_xlfn.IFS(K425&lt;K$24,0,K425&lt;K$25,J$24,K425&lt;K$26,J$25,K425&lt;K$27,J$26,K425&lt;K$28,J$27,K425&lt;K$29,J$28,K425&lt;K$30,J$29,K425&lt;K$31,J$30,K425&lt;K$32,J$31,K425&lt;K$33,J$32,K425&lt;K$34,J$33,K425&lt;K$35,J$34,K425&lt;K$36,J$35,K425&lt;K$37,J$36,K425&lt;K$38,J$37,K425&lt;K$39,J$38,K425&lt;K$40,J$39,K425&lt;K$41,J$40,K425&lt;K$42,J$41,K425&lt;K$43,J$42,K425&lt;K$44,J$43,K425&lt;K$45,J$44,K425&lt;K$46,J$45,K425&lt;K$47,J$46,K425&gt;=K$47,J$47)</f>
        <v/>
      </c>
      <c r="K425" s="38" t="n">
        <v>375</v>
      </c>
      <c r="L425" s="31">
        <f>K425/52</f>
        <v/>
      </c>
      <c r="M425" s="39">
        <f>J425/1000000*52</f>
        <v/>
      </c>
      <c r="N425" s="33">
        <f>M425/$P$4+($I$22/$P$4)</f>
        <v/>
      </c>
      <c r="U425">
        <f>F424</f>
        <v/>
      </c>
      <c r="V425">
        <f>H424</f>
        <v/>
      </c>
      <c r="W425">
        <f>N424</f>
        <v/>
      </c>
    </row>
    <row r="426" ht="15.75" customHeight="1" s="40">
      <c r="C426" s="36">
        <f>_xlfn.IFS(E426&lt;E$24,0,E426&lt;E$26,C$24,E426&lt;E$28,C$26,E426&lt;E$30,C$28,E426&lt;E$32,C$30,E426&lt;E$34,C$32,E426&gt;=E$34,C$34)</f>
        <v/>
      </c>
      <c r="D426" s="37">
        <f>_xlfn.IFS(E426&lt;E$24,0,E426&lt;E$25,D$24,E426&lt;E$26,D$25,E426&lt;E$27,D$26,E426&lt;E$28,D$27,E426&lt;E$29,D$28,E426&lt;E$30,D$29,E426&lt;E$31,D$30,E426&lt;E$32,D$31,E426&lt;E$33,D$32,E426&lt;E$34,D$33,E426&lt;E$35,D$34,E426&gt;=E$35,D$35)</f>
        <v/>
      </c>
      <c r="E426" s="38" t="n">
        <v>376</v>
      </c>
      <c r="F426" s="31">
        <f>E426/52</f>
        <v/>
      </c>
      <c r="G426" s="39">
        <f>D426/1000000*52</f>
        <v/>
      </c>
      <c r="H426" s="33">
        <f>G426/$P$4+($C$22/$P$4)</f>
        <v/>
      </c>
      <c r="I426" s="36">
        <f>_xlfn.IFS(K426&lt;K$24,0,K426&lt;K$26,I$24,K426&lt;K$28,I$26,K426&lt;K$30,I$28,K426&lt;K$32,I$30,K426&lt;K$34,I$32,K426&lt;K$36,I$34,K426&lt;K$38,I$36,K426&lt;K$40,I$38,K426&lt;K$42,I$40,K426&lt;K$44,I$42,K426&lt;K$46,I$44,K426&gt;=K$46,I$46)</f>
        <v/>
      </c>
      <c r="J426" s="37">
        <f>_xlfn.IFS(K426&lt;K$24,0,K426&lt;K$25,J$24,K426&lt;K$26,J$25,K426&lt;K$27,J$26,K426&lt;K$28,J$27,K426&lt;K$29,J$28,K426&lt;K$30,J$29,K426&lt;K$31,J$30,K426&lt;K$32,J$31,K426&lt;K$33,J$32,K426&lt;K$34,J$33,K426&lt;K$35,J$34,K426&lt;K$36,J$35,K426&lt;K$37,J$36,K426&lt;K$38,J$37,K426&lt;K$39,J$38,K426&lt;K$40,J$39,K426&lt;K$41,J$40,K426&lt;K$42,J$41,K426&lt;K$43,J$42,K426&lt;K$44,J$43,K426&lt;K$45,J$44,K426&lt;K$46,J$45,K426&lt;K$47,J$46,K426&gt;=K$47,J$47)</f>
        <v/>
      </c>
      <c r="K426" s="38" t="n">
        <v>376</v>
      </c>
      <c r="L426" s="31">
        <f>K426/52</f>
        <v/>
      </c>
      <c r="M426" s="39">
        <f>J426/1000000*52</f>
        <v/>
      </c>
      <c r="N426" s="33">
        <f>M426/$P$4+($I$22/$P$4)</f>
        <v/>
      </c>
      <c r="U426">
        <f>F425</f>
        <v/>
      </c>
      <c r="V426">
        <f>H425</f>
        <v/>
      </c>
      <c r="W426">
        <f>N425</f>
        <v/>
      </c>
    </row>
    <row r="427" ht="15.75" customHeight="1" s="40">
      <c r="C427" s="36">
        <f>_xlfn.IFS(E427&lt;E$24,0,E427&lt;E$26,C$24,E427&lt;E$28,C$26,E427&lt;E$30,C$28,E427&lt;E$32,C$30,E427&lt;E$34,C$32,E427&gt;=E$34,C$34)</f>
        <v/>
      </c>
      <c r="D427" s="37">
        <f>_xlfn.IFS(E427&lt;E$24,0,E427&lt;E$25,D$24,E427&lt;E$26,D$25,E427&lt;E$27,D$26,E427&lt;E$28,D$27,E427&lt;E$29,D$28,E427&lt;E$30,D$29,E427&lt;E$31,D$30,E427&lt;E$32,D$31,E427&lt;E$33,D$32,E427&lt;E$34,D$33,E427&lt;E$35,D$34,E427&gt;=E$35,D$35)</f>
        <v/>
      </c>
      <c r="E427" s="38" t="n">
        <v>377</v>
      </c>
      <c r="F427" s="31">
        <f>E427/52</f>
        <v/>
      </c>
      <c r="G427" s="39">
        <f>D427/1000000*52</f>
        <v/>
      </c>
      <c r="H427" s="33">
        <f>G427/$P$4+($C$22/$P$4)</f>
        <v/>
      </c>
      <c r="I427" s="36">
        <f>_xlfn.IFS(K427&lt;K$24,0,K427&lt;K$26,I$24,K427&lt;K$28,I$26,K427&lt;K$30,I$28,K427&lt;K$32,I$30,K427&lt;K$34,I$32,K427&lt;K$36,I$34,K427&lt;K$38,I$36,K427&lt;K$40,I$38,K427&lt;K$42,I$40,K427&lt;K$44,I$42,K427&lt;K$46,I$44,K427&gt;=K$46,I$46)</f>
        <v/>
      </c>
      <c r="J427" s="37">
        <f>_xlfn.IFS(K427&lt;K$24,0,K427&lt;K$25,J$24,K427&lt;K$26,J$25,K427&lt;K$27,J$26,K427&lt;K$28,J$27,K427&lt;K$29,J$28,K427&lt;K$30,J$29,K427&lt;K$31,J$30,K427&lt;K$32,J$31,K427&lt;K$33,J$32,K427&lt;K$34,J$33,K427&lt;K$35,J$34,K427&lt;K$36,J$35,K427&lt;K$37,J$36,K427&lt;K$38,J$37,K427&lt;K$39,J$38,K427&lt;K$40,J$39,K427&lt;K$41,J$40,K427&lt;K$42,J$41,K427&lt;K$43,J$42,K427&lt;K$44,J$43,K427&lt;K$45,J$44,K427&lt;K$46,J$45,K427&lt;K$47,J$46,K427&gt;=K$47,J$47)</f>
        <v/>
      </c>
      <c r="K427" s="38" t="n">
        <v>377</v>
      </c>
      <c r="L427" s="31">
        <f>K427/52</f>
        <v/>
      </c>
      <c r="M427" s="39">
        <f>J427/1000000*52</f>
        <v/>
      </c>
      <c r="N427" s="33">
        <f>M427/$P$4+($I$22/$P$4)</f>
        <v/>
      </c>
      <c r="U427">
        <f>F426</f>
        <v/>
      </c>
      <c r="V427">
        <f>H426</f>
        <v/>
      </c>
      <c r="W427">
        <f>N426</f>
        <v/>
      </c>
    </row>
    <row r="428" ht="15.75" customHeight="1" s="40">
      <c r="C428" s="36">
        <f>_xlfn.IFS(E428&lt;E$24,0,E428&lt;E$26,C$24,E428&lt;E$28,C$26,E428&lt;E$30,C$28,E428&lt;E$32,C$30,E428&lt;E$34,C$32,E428&gt;=E$34,C$34)</f>
        <v/>
      </c>
      <c r="D428" s="37">
        <f>_xlfn.IFS(E428&lt;E$24,0,E428&lt;E$25,D$24,E428&lt;E$26,D$25,E428&lt;E$27,D$26,E428&lt;E$28,D$27,E428&lt;E$29,D$28,E428&lt;E$30,D$29,E428&lt;E$31,D$30,E428&lt;E$32,D$31,E428&lt;E$33,D$32,E428&lt;E$34,D$33,E428&lt;E$35,D$34,E428&gt;=E$35,D$35)</f>
        <v/>
      </c>
      <c r="E428" s="38" t="n">
        <v>378</v>
      </c>
      <c r="F428" s="31">
        <f>E428/52</f>
        <v/>
      </c>
      <c r="G428" s="39">
        <f>D428/1000000*52</f>
        <v/>
      </c>
      <c r="H428" s="33">
        <f>G428/$P$4+($C$22/$P$4)</f>
        <v/>
      </c>
      <c r="I428" s="36">
        <f>_xlfn.IFS(K428&lt;K$24,0,K428&lt;K$26,I$24,K428&lt;K$28,I$26,K428&lt;K$30,I$28,K428&lt;K$32,I$30,K428&lt;K$34,I$32,K428&lt;K$36,I$34,K428&lt;K$38,I$36,K428&lt;K$40,I$38,K428&lt;K$42,I$40,K428&lt;K$44,I$42,K428&lt;K$46,I$44,K428&gt;=K$46,I$46)</f>
        <v/>
      </c>
      <c r="J428" s="37">
        <f>_xlfn.IFS(K428&lt;K$24,0,K428&lt;K$25,J$24,K428&lt;K$26,J$25,K428&lt;K$27,J$26,K428&lt;K$28,J$27,K428&lt;K$29,J$28,K428&lt;K$30,J$29,K428&lt;K$31,J$30,K428&lt;K$32,J$31,K428&lt;K$33,J$32,K428&lt;K$34,J$33,K428&lt;K$35,J$34,K428&lt;K$36,J$35,K428&lt;K$37,J$36,K428&lt;K$38,J$37,K428&lt;K$39,J$38,K428&lt;K$40,J$39,K428&lt;K$41,J$40,K428&lt;K$42,J$41,K428&lt;K$43,J$42,K428&lt;K$44,J$43,K428&lt;K$45,J$44,K428&lt;K$46,J$45,K428&lt;K$47,J$46,K428&gt;=K$47,J$47)</f>
        <v/>
      </c>
      <c r="K428" s="38" t="n">
        <v>378</v>
      </c>
      <c r="L428" s="31">
        <f>K428/52</f>
        <v/>
      </c>
      <c r="M428" s="39">
        <f>J428/1000000*52</f>
        <v/>
      </c>
      <c r="N428" s="33">
        <f>M428/$P$4+($I$22/$P$4)</f>
        <v/>
      </c>
      <c r="U428">
        <f>F427</f>
        <v/>
      </c>
      <c r="V428">
        <f>H427</f>
        <v/>
      </c>
      <c r="W428">
        <f>N427</f>
        <v/>
      </c>
    </row>
    <row r="429" ht="15.75" customHeight="1" s="40">
      <c r="C429" s="36">
        <f>_xlfn.IFS(E429&lt;E$24,0,E429&lt;E$26,C$24,E429&lt;E$28,C$26,E429&lt;E$30,C$28,E429&lt;E$32,C$30,E429&lt;E$34,C$32,E429&gt;=E$34,C$34)</f>
        <v/>
      </c>
      <c r="D429" s="37">
        <f>_xlfn.IFS(E429&lt;E$24,0,E429&lt;E$25,D$24,E429&lt;E$26,D$25,E429&lt;E$27,D$26,E429&lt;E$28,D$27,E429&lt;E$29,D$28,E429&lt;E$30,D$29,E429&lt;E$31,D$30,E429&lt;E$32,D$31,E429&lt;E$33,D$32,E429&lt;E$34,D$33,E429&lt;E$35,D$34,E429&gt;=E$35,D$35)</f>
        <v/>
      </c>
      <c r="E429" s="38" t="n">
        <v>379</v>
      </c>
      <c r="F429" s="31">
        <f>E429/52</f>
        <v/>
      </c>
      <c r="G429" s="39">
        <f>D429/1000000*52</f>
        <v/>
      </c>
      <c r="H429" s="33">
        <f>G429/$P$4+($C$22/$P$4)</f>
        <v/>
      </c>
      <c r="I429" s="36">
        <f>_xlfn.IFS(K429&lt;K$24,0,K429&lt;K$26,I$24,K429&lt;K$28,I$26,K429&lt;K$30,I$28,K429&lt;K$32,I$30,K429&lt;K$34,I$32,K429&lt;K$36,I$34,K429&lt;K$38,I$36,K429&lt;K$40,I$38,K429&lt;K$42,I$40,K429&lt;K$44,I$42,K429&lt;K$46,I$44,K429&gt;=K$46,I$46)</f>
        <v/>
      </c>
      <c r="J429" s="37">
        <f>_xlfn.IFS(K429&lt;K$24,0,K429&lt;K$25,J$24,K429&lt;K$26,J$25,K429&lt;K$27,J$26,K429&lt;K$28,J$27,K429&lt;K$29,J$28,K429&lt;K$30,J$29,K429&lt;K$31,J$30,K429&lt;K$32,J$31,K429&lt;K$33,J$32,K429&lt;K$34,J$33,K429&lt;K$35,J$34,K429&lt;K$36,J$35,K429&lt;K$37,J$36,K429&lt;K$38,J$37,K429&lt;K$39,J$38,K429&lt;K$40,J$39,K429&lt;K$41,J$40,K429&lt;K$42,J$41,K429&lt;K$43,J$42,K429&lt;K$44,J$43,K429&lt;K$45,J$44,K429&lt;K$46,J$45,K429&lt;K$47,J$46,K429&gt;=K$47,J$47)</f>
        <v/>
      </c>
      <c r="K429" s="38" t="n">
        <v>379</v>
      </c>
      <c r="L429" s="31">
        <f>K429/52</f>
        <v/>
      </c>
      <c r="M429" s="39">
        <f>J429/1000000*52</f>
        <v/>
      </c>
      <c r="N429" s="33">
        <f>M429/$P$4+($I$22/$P$4)</f>
        <v/>
      </c>
      <c r="U429">
        <f>F428</f>
        <v/>
      </c>
      <c r="V429">
        <f>H428</f>
        <v/>
      </c>
      <c r="W429">
        <f>N428</f>
        <v/>
      </c>
    </row>
    <row r="430" ht="15.75" customHeight="1" s="40">
      <c r="C430" s="36">
        <f>_xlfn.IFS(E430&lt;E$24,0,E430&lt;E$26,C$24,E430&lt;E$28,C$26,E430&lt;E$30,C$28,E430&lt;E$32,C$30,E430&lt;E$34,C$32,E430&gt;=E$34,C$34)</f>
        <v/>
      </c>
      <c r="D430" s="37">
        <f>_xlfn.IFS(E430&lt;E$24,0,E430&lt;E$25,D$24,E430&lt;E$26,D$25,E430&lt;E$27,D$26,E430&lt;E$28,D$27,E430&lt;E$29,D$28,E430&lt;E$30,D$29,E430&lt;E$31,D$30,E430&lt;E$32,D$31,E430&lt;E$33,D$32,E430&lt;E$34,D$33,E430&lt;E$35,D$34,E430&gt;=E$35,D$35)</f>
        <v/>
      </c>
      <c r="E430" s="38" t="n">
        <v>380</v>
      </c>
      <c r="F430" s="31">
        <f>E430/52</f>
        <v/>
      </c>
      <c r="G430" s="39">
        <f>D430/1000000*52</f>
        <v/>
      </c>
      <c r="H430" s="33">
        <f>G430/$P$4+($C$22/$P$4)</f>
        <v/>
      </c>
      <c r="I430" s="36">
        <f>_xlfn.IFS(K430&lt;K$24,0,K430&lt;K$26,I$24,K430&lt;K$28,I$26,K430&lt;K$30,I$28,K430&lt;K$32,I$30,K430&lt;K$34,I$32,K430&lt;K$36,I$34,K430&lt;K$38,I$36,K430&lt;K$40,I$38,K430&lt;K$42,I$40,K430&lt;K$44,I$42,K430&lt;K$46,I$44,K430&gt;=K$46,I$46)</f>
        <v/>
      </c>
      <c r="J430" s="37">
        <f>_xlfn.IFS(K430&lt;K$24,0,K430&lt;K$25,J$24,K430&lt;K$26,J$25,K430&lt;K$27,J$26,K430&lt;K$28,J$27,K430&lt;K$29,J$28,K430&lt;K$30,J$29,K430&lt;K$31,J$30,K430&lt;K$32,J$31,K430&lt;K$33,J$32,K430&lt;K$34,J$33,K430&lt;K$35,J$34,K430&lt;K$36,J$35,K430&lt;K$37,J$36,K430&lt;K$38,J$37,K430&lt;K$39,J$38,K430&lt;K$40,J$39,K430&lt;K$41,J$40,K430&lt;K$42,J$41,K430&lt;K$43,J$42,K430&lt;K$44,J$43,K430&lt;K$45,J$44,K430&lt;K$46,J$45,K430&lt;K$47,J$46,K430&gt;=K$47,J$47)</f>
        <v/>
      </c>
      <c r="K430" s="38" t="n">
        <v>380</v>
      </c>
      <c r="L430" s="31">
        <f>K430/52</f>
        <v/>
      </c>
      <c r="M430" s="39">
        <f>J430/1000000*52</f>
        <v/>
      </c>
      <c r="N430" s="33">
        <f>M430/$P$4+($I$22/$P$4)</f>
        <v/>
      </c>
      <c r="U430">
        <f>F429</f>
        <v/>
      </c>
      <c r="V430">
        <f>H429</f>
        <v/>
      </c>
      <c r="W430">
        <f>N429</f>
        <v/>
      </c>
    </row>
    <row r="431" ht="15.75" customHeight="1" s="40">
      <c r="C431" s="36">
        <f>_xlfn.IFS(E431&lt;E$24,0,E431&lt;E$26,C$24,E431&lt;E$28,C$26,E431&lt;E$30,C$28,E431&lt;E$32,C$30,E431&lt;E$34,C$32,E431&gt;=E$34,C$34)</f>
        <v/>
      </c>
      <c r="D431" s="37">
        <f>_xlfn.IFS(E431&lt;E$24,0,E431&lt;E$25,D$24,E431&lt;E$26,D$25,E431&lt;E$27,D$26,E431&lt;E$28,D$27,E431&lt;E$29,D$28,E431&lt;E$30,D$29,E431&lt;E$31,D$30,E431&lt;E$32,D$31,E431&lt;E$33,D$32,E431&lt;E$34,D$33,E431&lt;E$35,D$34,E431&gt;=E$35,D$35)</f>
        <v/>
      </c>
      <c r="E431" s="38" t="n">
        <v>381</v>
      </c>
      <c r="F431" s="31">
        <f>E431/52</f>
        <v/>
      </c>
      <c r="G431" s="39">
        <f>D431/1000000*52</f>
        <v/>
      </c>
      <c r="H431" s="33">
        <f>G431/$P$4+($C$22/$P$4)</f>
        <v/>
      </c>
      <c r="I431" s="36">
        <f>_xlfn.IFS(K431&lt;K$24,0,K431&lt;K$26,I$24,K431&lt;K$28,I$26,K431&lt;K$30,I$28,K431&lt;K$32,I$30,K431&lt;K$34,I$32,K431&lt;K$36,I$34,K431&lt;K$38,I$36,K431&lt;K$40,I$38,K431&lt;K$42,I$40,K431&lt;K$44,I$42,K431&lt;K$46,I$44,K431&gt;=K$46,I$46)</f>
        <v/>
      </c>
      <c r="J431" s="37">
        <f>_xlfn.IFS(K431&lt;K$24,0,K431&lt;K$25,J$24,K431&lt;K$26,J$25,K431&lt;K$27,J$26,K431&lt;K$28,J$27,K431&lt;K$29,J$28,K431&lt;K$30,J$29,K431&lt;K$31,J$30,K431&lt;K$32,J$31,K431&lt;K$33,J$32,K431&lt;K$34,J$33,K431&lt;K$35,J$34,K431&lt;K$36,J$35,K431&lt;K$37,J$36,K431&lt;K$38,J$37,K431&lt;K$39,J$38,K431&lt;K$40,J$39,K431&lt;K$41,J$40,K431&lt;K$42,J$41,K431&lt;K$43,J$42,K431&lt;K$44,J$43,K431&lt;K$45,J$44,K431&lt;K$46,J$45,K431&lt;K$47,J$46,K431&gt;=K$47,J$47)</f>
        <v/>
      </c>
      <c r="K431" s="38" t="n">
        <v>381</v>
      </c>
      <c r="L431" s="31">
        <f>K431/52</f>
        <v/>
      </c>
      <c r="M431" s="39">
        <f>J431/1000000*52</f>
        <v/>
      </c>
      <c r="N431" s="33">
        <f>M431/$P$4+($I$22/$P$4)</f>
        <v/>
      </c>
      <c r="U431">
        <f>F430</f>
        <v/>
      </c>
      <c r="V431">
        <f>H430</f>
        <v/>
      </c>
      <c r="W431">
        <f>N430</f>
        <v/>
      </c>
    </row>
    <row r="432" ht="15.75" customHeight="1" s="40">
      <c r="C432" s="36">
        <f>_xlfn.IFS(E432&lt;E$24,0,E432&lt;E$26,C$24,E432&lt;E$28,C$26,E432&lt;E$30,C$28,E432&lt;E$32,C$30,E432&lt;E$34,C$32,E432&gt;=E$34,C$34)</f>
        <v/>
      </c>
      <c r="D432" s="37">
        <f>_xlfn.IFS(E432&lt;E$24,0,E432&lt;E$25,D$24,E432&lt;E$26,D$25,E432&lt;E$27,D$26,E432&lt;E$28,D$27,E432&lt;E$29,D$28,E432&lt;E$30,D$29,E432&lt;E$31,D$30,E432&lt;E$32,D$31,E432&lt;E$33,D$32,E432&lt;E$34,D$33,E432&lt;E$35,D$34,E432&gt;=E$35,D$35)</f>
        <v/>
      </c>
      <c r="E432" s="38" t="n">
        <v>382</v>
      </c>
      <c r="F432" s="31">
        <f>E432/52</f>
        <v/>
      </c>
      <c r="G432" s="39">
        <f>D432/1000000*52</f>
        <v/>
      </c>
      <c r="H432" s="33">
        <f>G432/$P$4+($C$22/$P$4)</f>
        <v/>
      </c>
      <c r="I432" s="36">
        <f>_xlfn.IFS(K432&lt;K$24,0,K432&lt;K$26,I$24,K432&lt;K$28,I$26,K432&lt;K$30,I$28,K432&lt;K$32,I$30,K432&lt;K$34,I$32,K432&lt;K$36,I$34,K432&lt;K$38,I$36,K432&lt;K$40,I$38,K432&lt;K$42,I$40,K432&lt;K$44,I$42,K432&lt;K$46,I$44,K432&gt;=K$46,I$46)</f>
        <v/>
      </c>
      <c r="J432" s="37">
        <f>_xlfn.IFS(K432&lt;K$24,0,K432&lt;K$25,J$24,K432&lt;K$26,J$25,K432&lt;K$27,J$26,K432&lt;K$28,J$27,K432&lt;K$29,J$28,K432&lt;K$30,J$29,K432&lt;K$31,J$30,K432&lt;K$32,J$31,K432&lt;K$33,J$32,K432&lt;K$34,J$33,K432&lt;K$35,J$34,K432&lt;K$36,J$35,K432&lt;K$37,J$36,K432&lt;K$38,J$37,K432&lt;K$39,J$38,K432&lt;K$40,J$39,K432&lt;K$41,J$40,K432&lt;K$42,J$41,K432&lt;K$43,J$42,K432&lt;K$44,J$43,K432&lt;K$45,J$44,K432&lt;K$46,J$45,K432&lt;K$47,J$46,K432&gt;=K$47,J$47)</f>
        <v/>
      </c>
      <c r="K432" s="38" t="n">
        <v>382</v>
      </c>
      <c r="L432" s="31">
        <f>K432/52</f>
        <v/>
      </c>
      <c r="M432" s="39">
        <f>J432/1000000*52</f>
        <v/>
      </c>
      <c r="N432" s="33">
        <f>M432/$P$4+($I$22/$P$4)</f>
        <v/>
      </c>
      <c r="U432">
        <f>F431</f>
        <v/>
      </c>
      <c r="V432">
        <f>H431</f>
        <v/>
      </c>
      <c r="W432">
        <f>N431</f>
        <v/>
      </c>
    </row>
    <row r="433" ht="15.75" customHeight="1" s="40">
      <c r="C433" s="36">
        <f>_xlfn.IFS(E433&lt;E$24,0,E433&lt;E$26,C$24,E433&lt;E$28,C$26,E433&lt;E$30,C$28,E433&lt;E$32,C$30,E433&lt;E$34,C$32,E433&gt;=E$34,C$34)</f>
        <v/>
      </c>
      <c r="D433" s="37">
        <f>_xlfn.IFS(E433&lt;E$24,0,E433&lt;E$25,D$24,E433&lt;E$26,D$25,E433&lt;E$27,D$26,E433&lt;E$28,D$27,E433&lt;E$29,D$28,E433&lt;E$30,D$29,E433&lt;E$31,D$30,E433&lt;E$32,D$31,E433&lt;E$33,D$32,E433&lt;E$34,D$33,E433&lt;E$35,D$34,E433&gt;=E$35,D$35)</f>
        <v/>
      </c>
      <c r="E433" s="38" t="n">
        <v>383</v>
      </c>
      <c r="F433" s="31">
        <f>E433/52</f>
        <v/>
      </c>
      <c r="G433" s="39">
        <f>D433/1000000*52</f>
        <v/>
      </c>
      <c r="H433" s="33">
        <f>G433/$P$4+($C$22/$P$4)</f>
        <v/>
      </c>
      <c r="I433" s="36">
        <f>_xlfn.IFS(K433&lt;K$24,0,K433&lt;K$26,I$24,K433&lt;K$28,I$26,K433&lt;K$30,I$28,K433&lt;K$32,I$30,K433&lt;K$34,I$32,K433&lt;K$36,I$34,K433&lt;K$38,I$36,K433&lt;K$40,I$38,K433&lt;K$42,I$40,K433&lt;K$44,I$42,K433&lt;K$46,I$44,K433&gt;=K$46,I$46)</f>
        <v/>
      </c>
      <c r="J433" s="37">
        <f>_xlfn.IFS(K433&lt;K$24,0,K433&lt;K$25,J$24,K433&lt;K$26,J$25,K433&lt;K$27,J$26,K433&lt;K$28,J$27,K433&lt;K$29,J$28,K433&lt;K$30,J$29,K433&lt;K$31,J$30,K433&lt;K$32,J$31,K433&lt;K$33,J$32,K433&lt;K$34,J$33,K433&lt;K$35,J$34,K433&lt;K$36,J$35,K433&lt;K$37,J$36,K433&lt;K$38,J$37,K433&lt;K$39,J$38,K433&lt;K$40,J$39,K433&lt;K$41,J$40,K433&lt;K$42,J$41,K433&lt;K$43,J$42,K433&lt;K$44,J$43,K433&lt;K$45,J$44,K433&lt;K$46,J$45,K433&lt;K$47,J$46,K433&gt;=K$47,J$47)</f>
        <v/>
      </c>
      <c r="K433" s="38" t="n">
        <v>383</v>
      </c>
      <c r="L433" s="31">
        <f>K433/52</f>
        <v/>
      </c>
      <c r="M433" s="39">
        <f>J433/1000000*52</f>
        <v/>
      </c>
      <c r="N433" s="33">
        <f>M433/$P$4+($I$22/$P$4)</f>
        <v/>
      </c>
      <c r="U433">
        <f>F432</f>
        <v/>
      </c>
      <c r="V433">
        <f>H432</f>
        <v/>
      </c>
      <c r="W433">
        <f>N432</f>
        <v/>
      </c>
    </row>
    <row r="434" ht="15.75" customHeight="1" s="40">
      <c r="C434" s="36">
        <f>_xlfn.IFS(E434&lt;E$24,0,E434&lt;E$26,C$24,E434&lt;E$28,C$26,E434&lt;E$30,C$28,E434&lt;E$32,C$30,E434&lt;E$34,C$32,E434&gt;=E$34,C$34)</f>
        <v/>
      </c>
      <c r="D434" s="37">
        <f>_xlfn.IFS(E434&lt;E$24,0,E434&lt;E$25,D$24,E434&lt;E$26,D$25,E434&lt;E$27,D$26,E434&lt;E$28,D$27,E434&lt;E$29,D$28,E434&lt;E$30,D$29,E434&lt;E$31,D$30,E434&lt;E$32,D$31,E434&lt;E$33,D$32,E434&lt;E$34,D$33,E434&lt;E$35,D$34,E434&gt;=E$35,D$35)</f>
        <v/>
      </c>
      <c r="E434" s="38" t="n">
        <v>384</v>
      </c>
      <c r="F434" s="31">
        <f>E434/52</f>
        <v/>
      </c>
      <c r="G434" s="39">
        <f>D434/1000000*52</f>
        <v/>
      </c>
      <c r="H434" s="33">
        <f>G434/$P$4+($C$22/$P$4)</f>
        <v/>
      </c>
      <c r="I434" s="36">
        <f>_xlfn.IFS(K434&lt;K$24,0,K434&lt;K$26,I$24,K434&lt;K$28,I$26,K434&lt;K$30,I$28,K434&lt;K$32,I$30,K434&lt;K$34,I$32,K434&lt;K$36,I$34,K434&lt;K$38,I$36,K434&lt;K$40,I$38,K434&lt;K$42,I$40,K434&lt;K$44,I$42,K434&lt;K$46,I$44,K434&gt;=K$46,I$46)</f>
        <v/>
      </c>
      <c r="J434" s="37">
        <f>_xlfn.IFS(K434&lt;K$24,0,K434&lt;K$25,J$24,K434&lt;K$26,J$25,K434&lt;K$27,J$26,K434&lt;K$28,J$27,K434&lt;K$29,J$28,K434&lt;K$30,J$29,K434&lt;K$31,J$30,K434&lt;K$32,J$31,K434&lt;K$33,J$32,K434&lt;K$34,J$33,K434&lt;K$35,J$34,K434&lt;K$36,J$35,K434&lt;K$37,J$36,K434&lt;K$38,J$37,K434&lt;K$39,J$38,K434&lt;K$40,J$39,K434&lt;K$41,J$40,K434&lt;K$42,J$41,K434&lt;K$43,J$42,K434&lt;K$44,J$43,K434&lt;K$45,J$44,K434&lt;K$46,J$45,K434&lt;K$47,J$46,K434&gt;=K$47,J$47)</f>
        <v/>
      </c>
      <c r="K434" s="38" t="n">
        <v>384</v>
      </c>
      <c r="L434" s="31">
        <f>K434/52</f>
        <v/>
      </c>
      <c r="M434" s="39">
        <f>J434/1000000*52</f>
        <v/>
      </c>
      <c r="N434" s="33">
        <f>M434/$P$4+($I$22/$P$4)</f>
        <v/>
      </c>
      <c r="U434">
        <f>F433</f>
        <v/>
      </c>
      <c r="V434">
        <f>H433</f>
        <v/>
      </c>
      <c r="W434">
        <f>N433</f>
        <v/>
      </c>
    </row>
    <row r="435" ht="15.75" customHeight="1" s="40">
      <c r="C435" s="36">
        <f>_xlfn.IFS(E435&lt;E$24,0,E435&lt;E$26,C$24,E435&lt;E$28,C$26,E435&lt;E$30,C$28,E435&lt;E$32,C$30,E435&lt;E$34,C$32,E435&gt;=E$34,C$34)</f>
        <v/>
      </c>
      <c r="D435" s="37">
        <f>_xlfn.IFS(E435&lt;E$24,0,E435&lt;E$25,D$24,E435&lt;E$26,D$25,E435&lt;E$27,D$26,E435&lt;E$28,D$27,E435&lt;E$29,D$28,E435&lt;E$30,D$29,E435&lt;E$31,D$30,E435&lt;E$32,D$31,E435&lt;E$33,D$32,E435&lt;E$34,D$33,E435&lt;E$35,D$34,E435&gt;=E$35,D$35)</f>
        <v/>
      </c>
      <c r="E435" s="38" t="n">
        <v>385</v>
      </c>
      <c r="F435" s="31">
        <f>E435/52</f>
        <v/>
      </c>
      <c r="G435" s="39">
        <f>D435/1000000*52</f>
        <v/>
      </c>
      <c r="H435" s="33">
        <f>G435/$P$4+($C$22/$P$4)</f>
        <v/>
      </c>
      <c r="I435" s="36">
        <f>_xlfn.IFS(K435&lt;K$24,0,K435&lt;K$26,I$24,K435&lt;K$28,I$26,K435&lt;K$30,I$28,K435&lt;K$32,I$30,K435&lt;K$34,I$32,K435&lt;K$36,I$34,K435&lt;K$38,I$36,K435&lt;K$40,I$38,K435&lt;K$42,I$40,K435&lt;K$44,I$42,K435&lt;K$46,I$44,K435&gt;=K$46,I$46)</f>
        <v/>
      </c>
      <c r="J435" s="37">
        <f>_xlfn.IFS(K435&lt;K$24,0,K435&lt;K$25,J$24,K435&lt;K$26,J$25,K435&lt;K$27,J$26,K435&lt;K$28,J$27,K435&lt;K$29,J$28,K435&lt;K$30,J$29,K435&lt;K$31,J$30,K435&lt;K$32,J$31,K435&lt;K$33,J$32,K435&lt;K$34,J$33,K435&lt;K$35,J$34,K435&lt;K$36,J$35,K435&lt;K$37,J$36,K435&lt;K$38,J$37,K435&lt;K$39,J$38,K435&lt;K$40,J$39,K435&lt;K$41,J$40,K435&lt;K$42,J$41,K435&lt;K$43,J$42,K435&lt;K$44,J$43,K435&lt;K$45,J$44,K435&lt;K$46,J$45,K435&lt;K$47,J$46,K435&gt;=K$47,J$47)</f>
        <v/>
      </c>
      <c r="K435" s="38" t="n">
        <v>385</v>
      </c>
      <c r="L435" s="31">
        <f>K435/52</f>
        <v/>
      </c>
      <c r="M435" s="39">
        <f>J435/1000000*52</f>
        <v/>
      </c>
      <c r="N435" s="33">
        <f>M435/$P$4+($I$22/$P$4)</f>
        <v/>
      </c>
      <c r="U435">
        <f>F434</f>
        <v/>
      </c>
      <c r="V435">
        <f>H434</f>
        <v/>
      </c>
      <c r="W435">
        <f>N434</f>
        <v/>
      </c>
    </row>
    <row r="436" ht="15.75" customHeight="1" s="40">
      <c r="C436" s="36">
        <f>_xlfn.IFS(E436&lt;E$24,0,E436&lt;E$26,C$24,E436&lt;E$28,C$26,E436&lt;E$30,C$28,E436&lt;E$32,C$30,E436&lt;E$34,C$32,E436&gt;=E$34,C$34)</f>
        <v/>
      </c>
      <c r="D436" s="37">
        <f>_xlfn.IFS(E436&lt;E$24,0,E436&lt;E$25,D$24,E436&lt;E$26,D$25,E436&lt;E$27,D$26,E436&lt;E$28,D$27,E436&lt;E$29,D$28,E436&lt;E$30,D$29,E436&lt;E$31,D$30,E436&lt;E$32,D$31,E436&lt;E$33,D$32,E436&lt;E$34,D$33,E436&lt;E$35,D$34,E436&gt;=E$35,D$35)</f>
        <v/>
      </c>
      <c r="E436" s="38" t="n">
        <v>386</v>
      </c>
      <c r="F436" s="31">
        <f>E436/52</f>
        <v/>
      </c>
      <c r="G436" s="39">
        <f>D436/1000000*52</f>
        <v/>
      </c>
      <c r="H436" s="33">
        <f>G436/$P$4+($C$22/$P$4)</f>
        <v/>
      </c>
      <c r="I436" s="36">
        <f>_xlfn.IFS(K436&lt;K$24,0,K436&lt;K$26,I$24,K436&lt;K$28,I$26,K436&lt;K$30,I$28,K436&lt;K$32,I$30,K436&lt;K$34,I$32,K436&lt;K$36,I$34,K436&lt;K$38,I$36,K436&lt;K$40,I$38,K436&lt;K$42,I$40,K436&lt;K$44,I$42,K436&lt;K$46,I$44,K436&gt;=K$46,I$46)</f>
        <v/>
      </c>
      <c r="J436" s="37">
        <f>_xlfn.IFS(K436&lt;K$24,0,K436&lt;K$25,J$24,K436&lt;K$26,J$25,K436&lt;K$27,J$26,K436&lt;K$28,J$27,K436&lt;K$29,J$28,K436&lt;K$30,J$29,K436&lt;K$31,J$30,K436&lt;K$32,J$31,K436&lt;K$33,J$32,K436&lt;K$34,J$33,K436&lt;K$35,J$34,K436&lt;K$36,J$35,K436&lt;K$37,J$36,K436&lt;K$38,J$37,K436&lt;K$39,J$38,K436&lt;K$40,J$39,K436&lt;K$41,J$40,K436&lt;K$42,J$41,K436&lt;K$43,J$42,K436&lt;K$44,J$43,K436&lt;K$45,J$44,K436&lt;K$46,J$45,K436&lt;K$47,J$46,K436&gt;=K$47,J$47)</f>
        <v/>
      </c>
      <c r="K436" s="38" t="n">
        <v>386</v>
      </c>
      <c r="L436" s="31">
        <f>K436/52</f>
        <v/>
      </c>
      <c r="M436" s="39">
        <f>J436/1000000*52</f>
        <v/>
      </c>
      <c r="N436" s="33">
        <f>M436/$P$4+($I$22/$P$4)</f>
        <v/>
      </c>
      <c r="U436">
        <f>F435</f>
        <v/>
      </c>
      <c r="V436">
        <f>H435</f>
        <v/>
      </c>
      <c r="W436">
        <f>N435</f>
        <v/>
      </c>
    </row>
    <row r="437" ht="15.75" customHeight="1" s="40">
      <c r="C437" s="36">
        <f>_xlfn.IFS(E437&lt;E$24,0,E437&lt;E$26,C$24,E437&lt;E$28,C$26,E437&lt;E$30,C$28,E437&lt;E$32,C$30,E437&lt;E$34,C$32,E437&gt;=E$34,C$34)</f>
        <v/>
      </c>
      <c r="D437" s="37">
        <f>_xlfn.IFS(E437&lt;E$24,0,E437&lt;E$25,D$24,E437&lt;E$26,D$25,E437&lt;E$27,D$26,E437&lt;E$28,D$27,E437&lt;E$29,D$28,E437&lt;E$30,D$29,E437&lt;E$31,D$30,E437&lt;E$32,D$31,E437&lt;E$33,D$32,E437&lt;E$34,D$33,E437&lt;E$35,D$34,E437&gt;=E$35,D$35)</f>
        <v/>
      </c>
      <c r="E437" s="38" t="n">
        <v>387</v>
      </c>
      <c r="F437" s="31">
        <f>E437/52</f>
        <v/>
      </c>
      <c r="G437" s="39">
        <f>D437/1000000*52</f>
        <v/>
      </c>
      <c r="H437" s="33">
        <f>G437/$P$4+($C$22/$P$4)</f>
        <v/>
      </c>
      <c r="I437" s="36">
        <f>_xlfn.IFS(K437&lt;K$24,0,K437&lt;K$26,I$24,K437&lt;K$28,I$26,K437&lt;K$30,I$28,K437&lt;K$32,I$30,K437&lt;K$34,I$32,K437&lt;K$36,I$34,K437&lt;K$38,I$36,K437&lt;K$40,I$38,K437&lt;K$42,I$40,K437&lt;K$44,I$42,K437&lt;K$46,I$44,K437&gt;=K$46,I$46)</f>
        <v/>
      </c>
      <c r="J437" s="37">
        <f>_xlfn.IFS(K437&lt;K$24,0,K437&lt;K$25,J$24,K437&lt;K$26,J$25,K437&lt;K$27,J$26,K437&lt;K$28,J$27,K437&lt;K$29,J$28,K437&lt;K$30,J$29,K437&lt;K$31,J$30,K437&lt;K$32,J$31,K437&lt;K$33,J$32,K437&lt;K$34,J$33,K437&lt;K$35,J$34,K437&lt;K$36,J$35,K437&lt;K$37,J$36,K437&lt;K$38,J$37,K437&lt;K$39,J$38,K437&lt;K$40,J$39,K437&lt;K$41,J$40,K437&lt;K$42,J$41,K437&lt;K$43,J$42,K437&lt;K$44,J$43,K437&lt;K$45,J$44,K437&lt;K$46,J$45,K437&lt;K$47,J$46,K437&gt;=K$47,J$47)</f>
        <v/>
      </c>
      <c r="K437" s="38" t="n">
        <v>387</v>
      </c>
      <c r="L437" s="31">
        <f>K437/52</f>
        <v/>
      </c>
      <c r="M437" s="39">
        <f>J437/1000000*52</f>
        <v/>
      </c>
      <c r="N437" s="33">
        <f>M437/$P$4+($I$22/$P$4)</f>
        <v/>
      </c>
      <c r="U437">
        <f>F436</f>
        <v/>
      </c>
      <c r="V437">
        <f>H436</f>
        <v/>
      </c>
      <c r="W437">
        <f>N436</f>
        <v/>
      </c>
    </row>
    <row r="438" ht="15.75" customHeight="1" s="40">
      <c r="C438" s="36">
        <f>_xlfn.IFS(E438&lt;E$24,0,E438&lt;E$26,C$24,E438&lt;E$28,C$26,E438&lt;E$30,C$28,E438&lt;E$32,C$30,E438&lt;E$34,C$32,E438&gt;=E$34,C$34)</f>
        <v/>
      </c>
      <c r="D438" s="37">
        <f>_xlfn.IFS(E438&lt;E$24,0,E438&lt;E$25,D$24,E438&lt;E$26,D$25,E438&lt;E$27,D$26,E438&lt;E$28,D$27,E438&lt;E$29,D$28,E438&lt;E$30,D$29,E438&lt;E$31,D$30,E438&lt;E$32,D$31,E438&lt;E$33,D$32,E438&lt;E$34,D$33,E438&lt;E$35,D$34,E438&gt;=E$35,D$35)</f>
        <v/>
      </c>
      <c r="E438" s="38" t="n">
        <v>388</v>
      </c>
      <c r="F438" s="31">
        <f>E438/52</f>
        <v/>
      </c>
      <c r="G438" s="39">
        <f>D438/1000000*52</f>
        <v/>
      </c>
      <c r="H438" s="33">
        <f>G438/$P$4+($C$22/$P$4)</f>
        <v/>
      </c>
      <c r="I438" s="36">
        <f>_xlfn.IFS(K438&lt;K$24,0,K438&lt;K$26,I$24,K438&lt;K$28,I$26,K438&lt;K$30,I$28,K438&lt;K$32,I$30,K438&lt;K$34,I$32,K438&lt;K$36,I$34,K438&lt;K$38,I$36,K438&lt;K$40,I$38,K438&lt;K$42,I$40,K438&lt;K$44,I$42,K438&lt;K$46,I$44,K438&gt;=K$46,I$46)</f>
        <v/>
      </c>
      <c r="J438" s="37">
        <f>_xlfn.IFS(K438&lt;K$24,0,K438&lt;K$25,J$24,K438&lt;K$26,J$25,K438&lt;K$27,J$26,K438&lt;K$28,J$27,K438&lt;K$29,J$28,K438&lt;K$30,J$29,K438&lt;K$31,J$30,K438&lt;K$32,J$31,K438&lt;K$33,J$32,K438&lt;K$34,J$33,K438&lt;K$35,J$34,K438&lt;K$36,J$35,K438&lt;K$37,J$36,K438&lt;K$38,J$37,K438&lt;K$39,J$38,K438&lt;K$40,J$39,K438&lt;K$41,J$40,K438&lt;K$42,J$41,K438&lt;K$43,J$42,K438&lt;K$44,J$43,K438&lt;K$45,J$44,K438&lt;K$46,J$45,K438&lt;K$47,J$46,K438&gt;=K$47,J$47)</f>
        <v/>
      </c>
      <c r="K438" s="38" t="n">
        <v>388</v>
      </c>
      <c r="L438" s="31">
        <f>K438/52</f>
        <v/>
      </c>
      <c r="M438" s="39">
        <f>J438/1000000*52</f>
        <v/>
      </c>
      <c r="N438" s="33">
        <f>M438/$P$4+($I$22/$P$4)</f>
        <v/>
      </c>
      <c r="U438">
        <f>F437</f>
        <v/>
      </c>
      <c r="V438">
        <f>H437</f>
        <v/>
      </c>
      <c r="W438">
        <f>N437</f>
        <v/>
      </c>
    </row>
    <row r="439" ht="15.75" customHeight="1" s="40">
      <c r="C439" s="36">
        <f>_xlfn.IFS(E439&lt;E$24,0,E439&lt;E$26,C$24,E439&lt;E$28,C$26,E439&lt;E$30,C$28,E439&lt;E$32,C$30,E439&lt;E$34,C$32,E439&gt;=E$34,C$34)</f>
        <v/>
      </c>
      <c r="D439" s="37">
        <f>_xlfn.IFS(E439&lt;E$24,0,E439&lt;E$25,D$24,E439&lt;E$26,D$25,E439&lt;E$27,D$26,E439&lt;E$28,D$27,E439&lt;E$29,D$28,E439&lt;E$30,D$29,E439&lt;E$31,D$30,E439&lt;E$32,D$31,E439&lt;E$33,D$32,E439&lt;E$34,D$33,E439&lt;E$35,D$34,E439&gt;=E$35,D$35)</f>
        <v/>
      </c>
      <c r="E439" s="38" t="n">
        <v>389</v>
      </c>
      <c r="F439" s="31">
        <f>E439/52</f>
        <v/>
      </c>
      <c r="G439" s="39">
        <f>D439/1000000*52</f>
        <v/>
      </c>
      <c r="H439" s="33">
        <f>G439/$P$4+($C$22/$P$4)</f>
        <v/>
      </c>
      <c r="I439" s="36">
        <f>_xlfn.IFS(K439&lt;K$24,0,K439&lt;K$26,I$24,K439&lt;K$28,I$26,K439&lt;K$30,I$28,K439&lt;K$32,I$30,K439&lt;K$34,I$32,K439&lt;K$36,I$34,K439&lt;K$38,I$36,K439&lt;K$40,I$38,K439&lt;K$42,I$40,K439&lt;K$44,I$42,K439&lt;K$46,I$44,K439&gt;=K$46,I$46)</f>
        <v/>
      </c>
      <c r="J439" s="37">
        <f>_xlfn.IFS(K439&lt;K$24,0,K439&lt;K$25,J$24,K439&lt;K$26,J$25,K439&lt;K$27,J$26,K439&lt;K$28,J$27,K439&lt;K$29,J$28,K439&lt;K$30,J$29,K439&lt;K$31,J$30,K439&lt;K$32,J$31,K439&lt;K$33,J$32,K439&lt;K$34,J$33,K439&lt;K$35,J$34,K439&lt;K$36,J$35,K439&lt;K$37,J$36,K439&lt;K$38,J$37,K439&lt;K$39,J$38,K439&lt;K$40,J$39,K439&lt;K$41,J$40,K439&lt;K$42,J$41,K439&lt;K$43,J$42,K439&lt;K$44,J$43,K439&lt;K$45,J$44,K439&lt;K$46,J$45,K439&lt;K$47,J$46,K439&gt;=K$47,J$47)</f>
        <v/>
      </c>
      <c r="K439" s="38" t="n">
        <v>389</v>
      </c>
      <c r="L439" s="31">
        <f>K439/52</f>
        <v/>
      </c>
      <c r="M439" s="39">
        <f>J439/1000000*52</f>
        <v/>
      </c>
      <c r="N439" s="33">
        <f>M439/$P$4+($I$22/$P$4)</f>
        <v/>
      </c>
      <c r="U439">
        <f>F438</f>
        <v/>
      </c>
      <c r="V439">
        <f>H438</f>
        <v/>
      </c>
      <c r="W439">
        <f>N438</f>
        <v/>
      </c>
    </row>
    <row r="440" ht="15.75" customHeight="1" s="40">
      <c r="C440" s="36">
        <f>_xlfn.IFS(E440&lt;E$24,0,E440&lt;E$26,C$24,E440&lt;E$28,C$26,E440&lt;E$30,C$28,E440&lt;E$32,C$30,E440&lt;E$34,C$32,E440&gt;=E$34,C$34)</f>
        <v/>
      </c>
      <c r="D440" s="37">
        <f>_xlfn.IFS(E440&lt;E$24,0,E440&lt;E$25,D$24,E440&lt;E$26,D$25,E440&lt;E$27,D$26,E440&lt;E$28,D$27,E440&lt;E$29,D$28,E440&lt;E$30,D$29,E440&lt;E$31,D$30,E440&lt;E$32,D$31,E440&lt;E$33,D$32,E440&lt;E$34,D$33,E440&lt;E$35,D$34,E440&gt;=E$35,D$35)</f>
        <v/>
      </c>
      <c r="E440" s="38" t="n">
        <v>390</v>
      </c>
      <c r="F440" s="31">
        <f>E440/52</f>
        <v/>
      </c>
      <c r="G440" s="39">
        <f>D440/1000000*52</f>
        <v/>
      </c>
      <c r="H440" s="33">
        <f>G440/$P$4+($C$22/$P$4)</f>
        <v/>
      </c>
      <c r="I440" s="36">
        <f>_xlfn.IFS(K440&lt;K$24,0,K440&lt;K$26,I$24,K440&lt;K$28,I$26,K440&lt;K$30,I$28,K440&lt;K$32,I$30,K440&lt;K$34,I$32,K440&lt;K$36,I$34,K440&lt;K$38,I$36,K440&lt;K$40,I$38,K440&lt;K$42,I$40,K440&lt;K$44,I$42,K440&lt;K$46,I$44,K440&gt;=K$46,I$46)</f>
        <v/>
      </c>
      <c r="J440" s="37">
        <f>_xlfn.IFS(K440&lt;K$24,0,K440&lt;K$25,J$24,K440&lt;K$26,J$25,K440&lt;K$27,J$26,K440&lt;K$28,J$27,K440&lt;K$29,J$28,K440&lt;K$30,J$29,K440&lt;K$31,J$30,K440&lt;K$32,J$31,K440&lt;K$33,J$32,K440&lt;K$34,J$33,K440&lt;K$35,J$34,K440&lt;K$36,J$35,K440&lt;K$37,J$36,K440&lt;K$38,J$37,K440&lt;K$39,J$38,K440&lt;K$40,J$39,K440&lt;K$41,J$40,K440&lt;K$42,J$41,K440&lt;K$43,J$42,K440&lt;K$44,J$43,K440&lt;K$45,J$44,K440&lt;K$46,J$45,K440&lt;K$47,J$46,K440&gt;=K$47,J$47)</f>
        <v/>
      </c>
      <c r="K440" s="38" t="n">
        <v>390</v>
      </c>
      <c r="L440" s="31">
        <f>K440/52</f>
        <v/>
      </c>
      <c r="M440" s="39">
        <f>J440/1000000*52</f>
        <v/>
      </c>
      <c r="N440" s="33">
        <f>M440/$P$4+($I$22/$P$4)</f>
        <v/>
      </c>
      <c r="U440">
        <f>F439</f>
        <v/>
      </c>
      <c r="V440">
        <f>H439</f>
        <v/>
      </c>
      <c r="W440">
        <f>N439</f>
        <v/>
      </c>
    </row>
    <row r="441" ht="15.75" customHeight="1" s="40">
      <c r="C441" s="36">
        <f>_xlfn.IFS(E441&lt;E$24,0,E441&lt;E$26,C$24,E441&lt;E$28,C$26,E441&lt;E$30,C$28,E441&lt;E$32,C$30,E441&lt;E$34,C$32,E441&gt;=E$34,C$34)</f>
        <v/>
      </c>
      <c r="D441" s="37">
        <f>_xlfn.IFS(E441&lt;E$24,0,E441&lt;E$25,D$24,E441&lt;E$26,D$25,E441&lt;E$27,D$26,E441&lt;E$28,D$27,E441&lt;E$29,D$28,E441&lt;E$30,D$29,E441&lt;E$31,D$30,E441&lt;E$32,D$31,E441&lt;E$33,D$32,E441&lt;E$34,D$33,E441&lt;E$35,D$34,E441&gt;=E$35,D$35)</f>
        <v/>
      </c>
      <c r="E441" s="38" t="n">
        <v>391</v>
      </c>
      <c r="F441" s="31">
        <f>E441/52</f>
        <v/>
      </c>
      <c r="G441" s="39">
        <f>D441/1000000*52</f>
        <v/>
      </c>
      <c r="H441" s="33">
        <f>G441/$P$4+($C$22/$P$4)</f>
        <v/>
      </c>
      <c r="I441" s="36">
        <f>_xlfn.IFS(K441&lt;K$24,0,K441&lt;K$26,I$24,K441&lt;K$28,I$26,K441&lt;K$30,I$28,K441&lt;K$32,I$30,K441&lt;K$34,I$32,K441&lt;K$36,I$34,K441&lt;K$38,I$36,K441&lt;K$40,I$38,K441&lt;K$42,I$40,K441&lt;K$44,I$42,K441&lt;K$46,I$44,K441&gt;=K$46,I$46)</f>
        <v/>
      </c>
      <c r="J441" s="37">
        <f>_xlfn.IFS(K441&lt;K$24,0,K441&lt;K$25,J$24,K441&lt;K$26,J$25,K441&lt;K$27,J$26,K441&lt;K$28,J$27,K441&lt;K$29,J$28,K441&lt;K$30,J$29,K441&lt;K$31,J$30,K441&lt;K$32,J$31,K441&lt;K$33,J$32,K441&lt;K$34,J$33,K441&lt;K$35,J$34,K441&lt;K$36,J$35,K441&lt;K$37,J$36,K441&lt;K$38,J$37,K441&lt;K$39,J$38,K441&lt;K$40,J$39,K441&lt;K$41,J$40,K441&lt;K$42,J$41,K441&lt;K$43,J$42,K441&lt;K$44,J$43,K441&lt;K$45,J$44,K441&lt;K$46,J$45,K441&lt;K$47,J$46,K441&gt;=K$47,J$47)</f>
        <v/>
      </c>
      <c r="K441" s="38" t="n">
        <v>391</v>
      </c>
      <c r="L441" s="31">
        <f>K441/52</f>
        <v/>
      </c>
      <c r="M441" s="39">
        <f>J441/1000000*52</f>
        <v/>
      </c>
      <c r="N441" s="33">
        <f>M441/$P$4+($I$22/$P$4)</f>
        <v/>
      </c>
      <c r="U441">
        <f>F440</f>
        <v/>
      </c>
      <c r="V441">
        <f>H440</f>
        <v/>
      </c>
      <c r="W441">
        <f>N440</f>
        <v/>
      </c>
    </row>
    <row r="442" ht="15.75" customHeight="1" s="40">
      <c r="C442" s="36">
        <f>_xlfn.IFS(E442&lt;E$24,0,E442&lt;E$26,C$24,E442&lt;E$28,C$26,E442&lt;E$30,C$28,E442&lt;E$32,C$30,E442&lt;E$34,C$32,E442&gt;=E$34,C$34)</f>
        <v/>
      </c>
      <c r="D442" s="37">
        <f>_xlfn.IFS(E442&lt;E$24,0,E442&lt;E$25,D$24,E442&lt;E$26,D$25,E442&lt;E$27,D$26,E442&lt;E$28,D$27,E442&lt;E$29,D$28,E442&lt;E$30,D$29,E442&lt;E$31,D$30,E442&lt;E$32,D$31,E442&lt;E$33,D$32,E442&lt;E$34,D$33,E442&lt;E$35,D$34,E442&gt;=E$35,D$35)</f>
        <v/>
      </c>
      <c r="E442" s="38" t="n">
        <v>392</v>
      </c>
      <c r="F442" s="31">
        <f>E442/52</f>
        <v/>
      </c>
      <c r="G442" s="39">
        <f>D442/1000000*52</f>
        <v/>
      </c>
      <c r="H442" s="33">
        <f>G442/$P$4+($C$22/$P$4)</f>
        <v/>
      </c>
      <c r="I442" s="36">
        <f>_xlfn.IFS(K442&lt;K$24,0,K442&lt;K$26,I$24,K442&lt;K$28,I$26,K442&lt;K$30,I$28,K442&lt;K$32,I$30,K442&lt;K$34,I$32,K442&lt;K$36,I$34,K442&lt;K$38,I$36,K442&lt;K$40,I$38,K442&lt;K$42,I$40,K442&lt;K$44,I$42,K442&lt;K$46,I$44,K442&gt;=K$46,I$46)</f>
        <v/>
      </c>
      <c r="J442" s="37">
        <f>_xlfn.IFS(K442&lt;K$24,0,K442&lt;K$25,J$24,K442&lt;K$26,J$25,K442&lt;K$27,J$26,K442&lt;K$28,J$27,K442&lt;K$29,J$28,K442&lt;K$30,J$29,K442&lt;K$31,J$30,K442&lt;K$32,J$31,K442&lt;K$33,J$32,K442&lt;K$34,J$33,K442&lt;K$35,J$34,K442&lt;K$36,J$35,K442&lt;K$37,J$36,K442&lt;K$38,J$37,K442&lt;K$39,J$38,K442&lt;K$40,J$39,K442&lt;K$41,J$40,K442&lt;K$42,J$41,K442&lt;K$43,J$42,K442&lt;K$44,J$43,K442&lt;K$45,J$44,K442&lt;K$46,J$45,K442&lt;K$47,J$46,K442&gt;=K$47,J$47)</f>
        <v/>
      </c>
      <c r="K442" s="38" t="n">
        <v>392</v>
      </c>
      <c r="L442" s="31">
        <f>K442/52</f>
        <v/>
      </c>
      <c r="M442" s="39">
        <f>J442/1000000*52</f>
        <v/>
      </c>
      <c r="N442" s="33">
        <f>M442/$P$4+($I$22/$P$4)</f>
        <v/>
      </c>
      <c r="U442">
        <f>F441</f>
        <v/>
      </c>
      <c r="V442">
        <f>H441</f>
        <v/>
      </c>
      <c r="W442">
        <f>N441</f>
        <v/>
      </c>
    </row>
    <row r="443" ht="15.75" customHeight="1" s="40">
      <c r="C443" s="36">
        <f>_xlfn.IFS(E443&lt;E$24,0,E443&lt;E$26,C$24,E443&lt;E$28,C$26,E443&lt;E$30,C$28,E443&lt;E$32,C$30,E443&lt;E$34,C$32,E443&gt;=E$34,C$34)</f>
        <v/>
      </c>
      <c r="D443" s="37">
        <f>_xlfn.IFS(E443&lt;E$24,0,E443&lt;E$25,D$24,E443&lt;E$26,D$25,E443&lt;E$27,D$26,E443&lt;E$28,D$27,E443&lt;E$29,D$28,E443&lt;E$30,D$29,E443&lt;E$31,D$30,E443&lt;E$32,D$31,E443&lt;E$33,D$32,E443&lt;E$34,D$33,E443&lt;E$35,D$34,E443&gt;=E$35,D$35)</f>
        <v/>
      </c>
      <c r="E443" s="38" t="n">
        <v>393</v>
      </c>
      <c r="F443" s="31">
        <f>E443/52</f>
        <v/>
      </c>
      <c r="G443" s="39">
        <f>D443/1000000*52</f>
        <v/>
      </c>
      <c r="H443" s="33">
        <f>G443/$P$4+($C$22/$P$4)</f>
        <v/>
      </c>
      <c r="I443" s="36">
        <f>_xlfn.IFS(K443&lt;K$24,0,K443&lt;K$26,I$24,K443&lt;K$28,I$26,K443&lt;K$30,I$28,K443&lt;K$32,I$30,K443&lt;K$34,I$32,K443&lt;K$36,I$34,K443&lt;K$38,I$36,K443&lt;K$40,I$38,K443&lt;K$42,I$40,K443&lt;K$44,I$42,K443&lt;K$46,I$44,K443&gt;=K$46,I$46)</f>
        <v/>
      </c>
      <c r="J443" s="37">
        <f>_xlfn.IFS(K443&lt;K$24,0,K443&lt;K$25,J$24,K443&lt;K$26,J$25,K443&lt;K$27,J$26,K443&lt;K$28,J$27,K443&lt;K$29,J$28,K443&lt;K$30,J$29,K443&lt;K$31,J$30,K443&lt;K$32,J$31,K443&lt;K$33,J$32,K443&lt;K$34,J$33,K443&lt;K$35,J$34,K443&lt;K$36,J$35,K443&lt;K$37,J$36,K443&lt;K$38,J$37,K443&lt;K$39,J$38,K443&lt;K$40,J$39,K443&lt;K$41,J$40,K443&lt;K$42,J$41,K443&lt;K$43,J$42,K443&lt;K$44,J$43,K443&lt;K$45,J$44,K443&lt;K$46,J$45,K443&lt;K$47,J$46,K443&gt;=K$47,J$47)</f>
        <v/>
      </c>
      <c r="K443" s="38" t="n">
        <v>393</v>
      </c>
      <c r="L443" s="31">
        <f>K443/52</f>
        <v/>
      </c>
      <c r="M443" s="39">
        <f>J443/1000000*52</f>
        <v/>
      </c>
      <c r="N443" s="33">
        <f>M443/$P$4+($I$22/$P$4)</f>
        <v/>
      </c>
      <c r="U443">
        <f>F442</f>
        <v/>
      </c>
      <c r="V443">
        <f>H442</f>
        <v/>
      </c>
      <c r="W443">
        <f>N442</f>
        <v/>
      </c>
    </row>
    <row r="444" ht="15.75" customHeight="1" s="40">
      <c r="C444" s="36">
        <f>_xlfn.IFS(E444&lt;E$24,0,E444&lt;E$26,C$24,E444&lt;E$28,C$26,E444&lt;E$30,C$28,E444&lt;E$32,C$30,E444&lt;E$34,C$32,E444&gt;=E$34,C$34)</f>
        <v/>
      </c>
      <c r="D444" s="37">
        <f>_xlfn.IFS(E444&lt;E$24,0,E444&lt;E$25,D$24,E444&lt;E$26,D$25,E444&lt;E$27,D$26,E444&lt;E$28,D$27,E444&lt;E$29,D$28,E444&lt;E$30,D$29,E444&lt;E$31,D$30,E444&lt;E$32,D$31,E444&lt;E$33,D$32,E444&lt;E$34,D$33,E444&lt;E$35,D$34,E444&gt;=E$35,D$35)</f>
        <v/>
      </c>
      <c r="E444" s="38" t="n">
        <v>394</v>
      </c>
      <c r="F444" s="31">
        <f>E444/52</f>
        <v/>
      </c>
      <c r="G444" s="39">
        <f>D444/1000000*52</f>
        <v/>
      </c>
      <c r="H444" s="33">
        <f>G444/$P$4+($C$22/$P$4)</f>
        <v/>
      </c>
      <c r="I444" s="36">
        <f>_xlfn.IFS(K444&lt;K$24,0,K444&lt;K$26,I$24,K444&lt;K$28,I$26,K444&lt;K$30,I$28,K444&lt;K$32,I$30,K444&lt;K$34,I$32,K444&lt;K$36,I$34,K444&lt;K$38,I$36,K444&lt;K$40,I$38,K444&lt;K$42,I$40,K444&lt;K$44,I$42,K444&lt;K$46,I$44,K444&gt;=K$46,I$46)</f>
        <v/>
      </c>
      <c r="J444" s="37">
        <f>_xlfn.IFS(K444&lt;K$24,0,K444&lt;K$25,J$24,K444&lt;K$26,J$25,K444&lt;K$27,J$26,K444&lt;K$28,J$27,K444&lt;K$29,J$28,K444&lt;K$30,J$29,K444&lt;K$31,J$30,K444&lt;K$32,J$31,K444&lt;K$33,J$32,K444&lt;K$34,J$33,K444&lt;K$35,J$34,K444&lt;K$36,J$35,K444&lt;K$37,J$36,K444&lt;K$38,J$37,K444&lt;K$39,J$38,K444&lt;K$40,J$39,K444&lt;K$41,J$40,K444&lt;K$42,J$41,K444&lt;K$43,J$42,K444&lt;K$44,J$43,K444&lt;K$45,J$44,K444&lt;K$46,J$45,K444&lt;K$47,J$46,K444&gt;=K$47,J$47)</f>
        <v/>
      </c>
      <c r="K444" s="38" t="n">
        <v>394</v>
      </c>
      <c r="L444" s="31">
        <f>K444/52</f>
        <v/>
      </c>
      <c r="M444" s="39">
        <f>J444/1000000*52</f>
        <v/>
      </c>
      <c r="N444" s="33">
        <f>M444/$P$4+($I$22/$P$4)</f>
        <v/>
      </c>
      <c r="U444">
        <f>F443</f>
        <v/>
      </c>
      <c r="V444">
        <f>H443</f>
        <v/>
      </c>
      <c r="W444">
        <f>N443</f>
        <v/>
      </c>
    </row>
    <row r="445" ht="15.75" customHeight="1" s="40">
      <c r="C445" s="36">
        <f>_xlfn.IFS(E445&lt;E$24,0,E445&lt;E$26,C$24,E445&lt;E$28,C$26,E445&lt;E$30,C$28,E445&lt;E$32,C$30,E445&lt;E$34,C$32,E445&gt;=E$34,C$34)</f>
        <v/>
      </c>
      <c r="D445" s="37">
        <f>_xlfn.IFS(E445&lt;E$24,0,E445&lt;E$25,D$24,E445&lt;E$26,D$25,E445&lt;E$27,D$26,E445&lt;E$28,D$27,E445&lt;E$29,D$28,E445&lt;E$30,D$29,E445&lt;E$31,D$30,E445&lt;E$32,D$31,E445&lt;E$33,D$32,E445&lt;E$34,D$33,E445&lt;E$35,D$34,E445&gt;=E$35,D$35)</f>
        <v/>
      </c>
      <c r="E445" s="38" t="n">
        <v>395</v>
      </c>
      <c r="F445" s="31">
        <f>E445/52</f>
        <v/>
      </c>
      <c r="G445" s="39">
        <f>D445/1000000*52</f>
        <v/>
      </c>
      <c r="H445" s="33">
        <f>G445/$P$4+($C$22/$P$4)</f>
        <v/>
      </c>
      <c r="I445" s="36">
        <f>_xlfn.IFS(K445&lt;K$24,0,K445&lt;K$26,I$24,K445&lt;K$28,I$26,K445&lt;K$30,I$28,K445&lt;K$32,I$30,K445&lt;K$34,I$32,K445&lt;K$36,I$34,K445&lt;K$38,I$36,K445&lt;K$40,I$38,K445&lt;K$42,I$40,K445&lt;K$44,I$42,K445&lt;K$46,I$44,K445&gt;=K$46,I$46)</f>
        <v/>
      </c>
      <c r="J445" s="37">
        <f>_xlfn.IFS(K445&lt;K$24,0,K445&lt;K$25,J$24,K445&lt;K$26,J$25,K445&lt;K$27,J$26,K445&lt;K$28,J$27,K445&lt;K$29,J$28,K445&lt;K$30,J$29,K445&lt;K$31,J$30,K445&lt;K$32,J$31,K445&lt;K$33,J$32,K445&lt;K$34,J$33,K445&lt;K$35,J$34,K445&lt;K$36,J$35,K445&lt;K$37,J$36,K445&lt;K$38,J$37,K445&lt;K$39,J$38,K445&lt;K$40,J$39,K445&lt;K$41,J$40,K445&lt;K$42,J$41,K445&lt;K$43,J$42,K445&lt;K$44,J$43,K445&lt;K$45,J$44,K445&lt;K$46,J$45,K445&lt;K$47,J$46,K445&gt;=K$47,J$47)</f>
        <v/>
      </c>
      <c r="K445" s="38" t="n">
        <v>395</v>
      </c>
      <c r="L445" s="31">
        <f>K445/52</f>
        <v/>
      </c>
      <c r="M445" s="39">
        <f>J445/1000000*52</f>
        <v/>
      </c>
      <c r="N445" s="33">
        <f>M445/$P$4+($I$22/$P$4)</f>
        <v/>
      </c>
      <c r="U445">
        <f>F444</f>
        <v/>
      </c>
      <c r="V445">
        <f>H444</f>
        <v/>
      </c>
      <c r="W445">
        <f>N444</f>
        <v/>
      </c>
    </row>
    <row r="446" ht="15.75" customHeight="1" s="40">
      <c r="C446" s="36">
        <f>_xlfn.IFS(E446&lt;E$24,0,E446&lt;E$26,C$24,E446&lt;E$28,C$26,E446&lt;E$30,C$28,E446&lt;E$32,C$30,E446&lt;E$34,C$32,E446&gt;=E$34,C$34)</f>
        <v/>
      </c>
      <c r="D446" s="37">
        <f>_xlfn.IFS(E446&lt;E$24,0,E446&lt;E$25,D$24,E446&lt;E$26,D$25,E446&lt;E$27,D$26,E446&lt;E$28,D$27,E446&lt;E$29,D$28,E446&lt;E$30,D$29,E446&lt;E$31,D$30,E446&lt;E$32,D$31,E446&lt;E$33,D$32,E446&lt;E$34,D$33,E446&lt;E$35,D$34,E446&gt;=E$35,D$35)</f>
        <v/>
      </c>
      <c r="E446" s="38" t="n">
        <v>396</v>
      </c>
      <c r="F446" s="31">
        <f>E446/52</f>
        <v/>
      </c>
      <c r="G446" s="39">
        <f>D446/1000000*52</f>
        <v/>
      </c>
      <c r="H446" s="33">
        <f>G446/$P$4+($C$22/$P$4)</f>
        <v/>
      </c>
      <c r="I446" s="36">
        <f>_xlfn.IFS(K446&lt;K$24,0,K446&lt;K$26,I$24,K446&lt;K$28,I$26,K446&lt;K$30,I$28,K446&lt;K$32,I$30,K446&lt;K$34,I$32,K446&lt;K$36,I$34,K446&lt;K$38,I$36,K446&lt;K$40,I$38,K446&lt;K$42,I$40,K446&lt;K$44,I$42,K446&lt;K$46,I$44,K446&gt;=K$46,I$46)</f>
        <v/>
      </c>
      <c r="J446" s="37">
        <f>_xlfn.IFS(K446&lt;K$24,0,K446&lt;K$25,J$24,K446&lt;K$26,J$25,K446&lt;K$27,J$26,K446&lt;K$28,J$27,K446&lt;K$29,J$28,K446&lt;K$30,J$29,K446&lt;K$31,J$30,K446&lt;K$32,J$31,K446&lt;K$33,J$32,K446&lt;K$34,J$33,K446&lt;K$35,J$34,K446&lt;K$36,J$35,K446&lt;K$37,J$36,K446&lt;K$38,J$37,K446&lt;K$39,J$38,K446&lt;K$40,J$39,K446&lt;K$41,J$40,K446&lt;K$42,J$41,K446&lt;K$43,J$42,K446&lt;K$44,J$43,K446&lt;K$45,J$44,K446&lt;K$46,J$45,K446&lt;K$47,J$46,K446&gt;=K$47,J$47)</f>
        <v/>
      </c>
      <c r="K446" s="38" t="n">
        <v>396</v>
      </c>
      <c r="L446" s="31">
        <f>K446/52</f>
        <v/>
      </c>
      <c r="M446" s="39">
        <f>J446/1000000*52</f>
        <v/>
      </c>
      <c r="N446" s="33">
        <f>M446/$P$4+($I$22/$P$4)</f>
        <v/>
      </c>
      <c r="U446">
        <f>F445</f>
        <v/>
      </c>
      <c r="V446">
        <f>H445</f>
        <v/>
      </c>
      <c r="W446">
        <f>N445</f>
        <v/>
      </c>
    </row>
    <row r="447" ht="15.75" customHeight="1" s="40">
      <c r="C447" s="36">
        <f>_xlfn.IFS(E447&lt;E$24,0,E447&lt;E$26,C$24,E447&lt;E$28,C$26,E447&lt;E$30,C$28,E447&lt;E$32,C$30,E447&lt;E$34,C$32,E447&gt;=E$34,C$34)</f>
        <v/>
      </c>
      <c r="D447" s="37">
        <f>_xlfn.IFS(E447&lt;E$24,0,E447&lt;E$25,D$24,E447&lt;E$26,D$25,E447&lt;E$27,D$26,E447&lt;E$28,D$27,E447&lt;E$29,D$28,E447&lt;E$30,D$29,E447&lt;E$31,D$30,E447&lt;E$32,D$31,E447&lt;E$33,D$32,E447&lt;E$34,D$33,E447&lt;E$35,D$34,E447&gt;=E$35,D$35)</f>
        <v/>
      </c>
      <c r="E447" s="38" t="n">
        <v>397</v>
      </c>
      <c r="F447" s="31">
        <f>E447/52</f>
        <v/>
      </c>
      <c r="G447" s="39">
        <f>D447/1000000*52</f>
        <v/>
      </c>
      <c r="H447" s="33">
        <f>G447/$P$4+($C$22/$P$4)</f>
        <v/>
      </c>
      <c r="I447" s="36">
        <f>_xlfn.IFS(K447&lt;K$24,0,K447&lt;K$26,I$24,K447&lt;K$28,I$26,K447&lt;K$30,I$28,K447&lt;K$32,I$30,K447&lt;K$34,I$32,K447&lt;K$36,I$34,K447&lt;K$38,I$36,K447&lt;K$40,I$38,K447&lt;K$42,I$40,K447&lt;K$44,I$42,K447&lt;K$46,I$44,K447&gt;=K$46,I$46)</f>
        <v/>
      </c>
      <c r="J447" s="37">
        <f>_xlfn.IFS(K447&lt;K$24,0,K447&lt;K$25,J$24,K447&lt;K$26,J$25,K447&lt;K$27,J$26,K447&lt;K$28,J$27,K447&lt;K$29,J$28,K447&lt;K$30,J$29,K447&lt;K$31,J$30,K447&lt;K$32,J$31,K447&lt;K$33,J$32,K447&lt;K$34,J$33,K447&lt;K$35,J$34,K447&lt;K$36,J$35,K447&lt;K$37,J$36,K447&lt;K$38,J$37,K447&lt;K$39,J$38,K447&lt;K$40,J$39,K447&lt;K$41,J$40,K447&lt;K$42,J$41,K447&lt;K$43,J$42,K447&lt;K$44,J$43,K447&lt;K$45,J$44,K447&lt;K$46,J$45,K447&lt;K$47,J$46,K447&gt;=K$47,J$47)</f>
        <v/>
      </c>
      <c r="K447" s="38" t="n">
        <v>397</v>
      </c>
      <c r="L447" s="31">
        <f>K447/52</f>
        <v/>
      </c>
      <c r="M447" s="39">
        <f>J447/1000000*52</f>
        <v/>
      </c>
      <c r="N447" s="33">
        <f>M447/$P$4+($I$22/$P$4)</f>
        <v/>
      </c>
      <c r="U447">
        <f>F446</f>
        <v/>
      </c>
      <c r="V447">
        <f>H446</f>
        <v/>
      </c>
      <c r="W447">
        <f>N446</f>
        <v/>
      </c>
    </row>
    <row r="448" ht="15.75" customHeight="1" s="40">
      <c r="C448" s="36">
        <f>_xlfn.IFS(E448&lt;E$24,0,E448&lt;E$26,C$24,E448&lt;E$28,C$26,E448&lt;E$30,C$28,E448&lt;E$32,C$30,E448&lt;E$34,C$32,E448&gt;=E$34,C$34)</f>
        <v/>
      </c>
      <c r="D448" s="37">
        <f>_xlfn.IFS(E448&lt;E$24,0,E448&lt;E$25,D$24,E448&lt;E$26,D$25,E448&lt;E$27,D$26,E448&lt;E$28,D$27,E448&lt;E$29,D$28,E448&lt;E$30,D$29,E448&lt;E$31,D$30,E448&lt;E$32,D$31,E448&lt;E$33,D$32,E448&lt;E$34,D$33,E448&lt;E$35,D$34,E448&gt;=E$35,D$35)</f>
        <v/>
      </c>
      <c r="E448" s="38" t="n">
        <v>398</v>
      </c>
      <c r="F448" s="31">
        <f>E448/52</f>
        <v/>
      </c>
      <c r="G448" s="39">
        <f>D448/1000000*52</f>
        <v/>
      </c>
      <c r="H448" s="33">
        <f>G448/$P$4+($C$22/$P$4)</f>
        <v/>
      </c>
      <c r="I448" s="36">
        <f>_xlfn.IFS(K448&lt;K$24,0,K448&lt;K$26,I$24,K448&lt;K$28,I$26,K448&lt;K$30,I$28,K448&lt;K$32,I$30,K448&lt;K$34,I$32,K448&lt;K$36,I$34,K448&lt;K$38,I$36,K448&lt;K$40,I$38,K448&lt;K$42,I$40,K448&lt;K$44,I$42,K448&lt;K$46,I$44,K448&gt;=K$46,I$46)</f>
        <v/>
      </c>
      <c r="J448" s="37">
        <f>_xlfn.IFS(K448&lt;K$24,0,K448&lt;K$25,J$24,K448&lt;K$26,J$25,K448&lt;K$27,J$26,K448&lt;K$28,J$27,K448&lt;K$29,J$28,K448&lt;K$30,J$29,K448&lt;K$31,J$30,K448&lt;K$32,J$31,K448&lt;K$33,J$32,K448&lt;K$34,J$33,K448&lt;K$35,J$34,K448&lt;K$36,J$35,K448&lt;K$37,J$36,K448&lt;K$38,J$37,K448&lt;K$39,J$38,K448&lt;K$40,J$39,K448&lt;K$41,J$40,K448&lt;K$42,J$41,K448&lt;K$43,J$42,K448&lt;K$44,J$43,K448&lt;K$45,J$44,K448&lt;K$46,J$45,K448&lt;K$47,J$46,K448&gt;=K$47,J$47)</f>
        <v/>
      </c>
      <c r="K448" s="38" t="n">
        <v>398</v>
      </c>
      <c r="L448" s="31">
        <f>K448/52</f>
        <v/>
      </c>
      <c r="M448" s="39">
        <f>J448/1000000*52</f>
        <v/>
      </c>
      <c r="N448" s="33">
        <f>M448/$P$4+($I$22/$P$4)</f>
        <v/>
      </c>
      <c r="U448">
        <f>F447</f>
        <v/>
      </c>
      <c r="V448">
        <f>H447</f>
        <v/>
      </c>
      <c r="W448">
        <f>N447</f>
        <v/>
      </c>
    </row>
    <row r="449" ht="15.75" customHeight="1" s="40">
      <c r="C449" s="36">
        <f>_xlfn.IFS(E449&lt;E$24,0,E449&lt;E$26,C$24,E449&lt;E$28,C$26,E449&lt;E$30,C$28,E449&lt;E$32,C$30,E449&lt;E$34,C$32,E449&gt;=E$34,C$34)</f>
        <v/>
      </c>
      <c r="D449" s="37">
        <f>_xlfn.IFS(E449&lt;E$24,0,E449&lt;E$25,D$24,E449&lt;E$26,D$25,E449&lt;E$27,D$26,E449&lt;E$28,D$27,E449&lt;E$29,D$28,E449&lt;E$30,D$29,E449&lt;E$31,D$30,E449&lt;E$32,D$31,E449&lt;E$33,D$32,E449&lt;E$34,D$33,E449&lt;E$35,D$34,E449&gt;=E$35,D$35)</f>
        <v/>
      </c>
      <c r="E449" s="38" t="n">
        <v>399</v>
      </c>
      <c r="F449" s="31">
        <f>E449/52</f>
        <v/>
      </c>
      <c r="G449" s="39">
        <f>D449/1000000*52</f>
        <v/>
      </c>
      <c r="H449" s="33">
        <f>G449/$P$4+($C$22/$P$4)</f>
        <v/>
      </c>
      <c r="I449" s="36">
        <f>_xlfn.IFS(K449&lt;K$24,0,K449&lt;K$26,I$24,K449&lt;K$28,I$26,K449&lt;K$30,I$28,K449&lt;K$32,I$30,K449&lt;K$34,I$32,K449&lt;K$36,I$34,K449&lt;K$38,I$36,K449&lt;K$40,I$38,K449&lt;K$42,I$40,K449&lt;K$44,I$42,K449&lt;K$46,I$44,K449&gt;=K$46,I$46)</f>
        <v/>
      </c>
      <c r="J449" s="37">
        <f>_xlfn.IFS(K449&lt;K$24,0,K449&lt;K$25,J$24,K449&lt;K$26,J$25,K449&lt;K$27,J$26,K449&lt;K$28,J$27,K449&lt;K$29,J$28,K449&lt;K$30,J$29,K449&lt;K$31,J$30,K449&lt;K$32,J$31,K449&lt;K$33,J$32,K449&lt;K$34,J$33,K449&lt;K$35,J$34,K449&lt;K$36,J$35,K449&lt;K$37,J$36,K449&lt;K$38,J$37,K449&lt;K$39,J$38,K449&lt;K$40,J$39,K449&lt;K$41,J$40,K449&lt;K$42,J$41,K449&lt;K$43,J$42,K449&lt;K$44,J$43,K449&lt;K$45,J$44,K449&lt;K$46,J$45,K449&lt;K$47,J$46,K449&gt;=K$47,J$47)</f>
        <v/>
      </c>
      <c r="K449" s="38" t="n">
        <v>399</v>
      </c>
      <c r="L449" s="31">
        <f>K449/52</f>
        <v/>
      </c>
      <c r="M449" s="39">
        <f>J449/1000000*52</f>
        <v/>
      </c>
      <c r="N449" s="33">
        <f>M449/$P$4+($I$22/$P$4)</f>
        <v/>
      </c>
      <c r="U449">
        <f>F448</f>
        <v/>
      </c>
      <c r="V449">
        <f>H448</f>
        <v/>
      </c>
      <c r="W449">
        <f>N448</f>
        <v/>
      </c>
    </row>
    <row r="450" ht="15.75" customHeight="1" s="40">
      <c r="C450" s="36">
        <f>_xlfn.IFS(E450&lt;E$24,0,E450&lt;E$26,C$24,E450&lt;E$28,C$26,E450&lt;E$30,C$28,E450&lt;E$32,C$30,E450&lt;E$34,C$32,E450&gt;=E$34,C$34)</f>
        <v/>
      </c>
      <c r="D450" s="37">
        <f>_xlfn.IFS(E450&lt;E$24,0,E450&lt;E$25,D$24,E450&lt;E$26,D$25,E450&lt;E$27,D$26,E450&lt;E$28,D$27,E450&lt;E$29,D$28,E450&lt;E$30,D$29,E450&lt;E$31,D$30,E450&lt;E$32,D$31,E450&lt;E$33,D$32,E450&lt;E$34,D$33,E450&lt;E$35,D$34,E450&gt;=E$35,D$35)</f>
        <v/>
      </c>
      <c r="E450" s="38" t="n">
        <v>400</v>
      </c>
      <c r="F450" s="31">
        <f>E450/52</f>
        <v/>
      </c>
      <c r="G450" s="39">
        <f>D450/1000000*52</f>
        <v/>
      </c>
      <c r="H450" s="33">
        <f>G450/$P$4+($C$22/$P$4)</f>
        <v/>
      </c>
      <c r="I450" s="36">
        <f>_xlfn.IFS(K450&lt;K$24,0,K450&lt;K$26,I$24,K450&lt;K$28,I$26,K450&lt;K$30,I$28,K450&lt;K$32,I$30,K450&lt;K$34,I$32,K450&lt;K$36,I$34,K450&lt;K$38,I$36,K450&lt;K$40,I$38,K450&lt;K$42,I$40,K450&lt;K$44,I$42,K450&lt;K$46,I$44,K450&gt;=K$46,I$46)</f>
        <v/>
      </c>
      <c r="J450" s="37">
        <f>_xlfn.IFS(K450&lt;K$24,0,K450&lt;K$25,J$24,K450&lt;K$26,J$25,K450&lt;K$27,J$26,K450&lt;K$28,J$27,K450&lt;K$29,J$28,K450&lt;K$30,J$29,K450&lt;K$31,J$30,K450&lt;K$32,J$31,K450&lt;K$33,J$32,K450&lt;K$34,J$33,K450&lt;K$35,J$34,K450&lt;K$36,J$35,K450&lt;K$37,J$36,K450&lt;K$38,J$37,K450&lt;K$39,J$38,K450&lt;K$40,J$39,K450&lt;K$41,J$40,K450&lt;K$42,J$41,K450&lt;K$43,J$42,K450&lt;K$44,J$43,K450&lt;K$45,J$44,K450&lt;K$46,J$45,K450&lt;K$47,J$46,K450&gt;=K$47,J$47)</f>
        <v/>
      </c>
      <c r="K450" s="38" t="n">
        <v>400</v>
      </c>
      <c r="L450" s="31">
        <f>K450/52</f>
        <v/>
      </c>
      <c r="M450" s="39">
        <f>J450/1000000*52</f>
        <v/>
      </c>
      <c r="N450" s="33">
        <f>M450/$P$4+($I$22/$P$4)</f>
        <v/>
      </c>
      <c r="U450">
        <f>F449</f>
        <v/>
      </c>
      <c r="V450">
        <f>H449</f>
        <v/>
      </c>
      <c r="W450">
        <f>N449</f>
        <v/>
      </c>
    </row>
    <row r="451" ht="15.75" customHeight="1" s="40">
      <c r="C451" s="36">
        <f>_xlfn.IFS(E451&lt;E$24,0,E451&lt;E$26,C$24,E451&lt;E$28,C$26,E451&lt;E$30,C$28,E451&lt;E$32,C$30,E451&lt;E$34,C$32,E451&gt;=E$34,C$34)</f>
        <v/>
      </c>
      <c r="D451" s="37">
        <f>_xlfn.IFS(E451&lt;E$24,0,E451&lt;E$25,D$24,E451&lt;E$26,D$25,E451&lt;E$27,D$26,E451&lt;E$28,D$27,E451&lt;E$29,D$28,E451&lt;E$30,D$29,E451&lt;E$31,D$30,E451&lt;E$32,D$31,E451&lt;E$33,D$32,E451&lt;E$34,D$33,E451&lt;E$35,D$34,E451&gt;=E$35,D$35)</f>
        <v/>
      </c>
      <c r="E451" s="38" t="n">
        <v>401</v>
      </c>
      <c r="F451" s="31">
        <f>E451/52</f>
        <v/>
      </c>
      <c r="G451" s="39">
        <f>D451/1000000*52</f>
        <v/>
      </c>
      <c r="H451" s="33">
        <f>G451/$P$4+($C$22/$P$4)</f>
        <v/>
      </c>
      <c r="I451" s="36">
        <f>_xlfn.IFS(K451&lt;K$24,0,K451&lt;K$26,I$24,K451&lt;K$28,I$26,K451&lt;K$30,I$28,K451&lt;K$32,I$30,K451&lt;K$34,I$32,K451&lt;K$36,I$34,K451&lt;K$38,I$36,K451&lt;K$40,I$38,K451&lt;K$42,I$40,K451&lt;K$44,I$42,K451&lt;K$46,I$44,K451&gt;=K$46,I$46)</f>
        <v/>
      </c>
      <c r="J451" s="37">
        <f>_xlfn.IFS(K451&lt;K$24,0,K451&lt;K$25,J$24,K451&lt;K$26,J$25,K451&lt;K$27,J$26,K451&lt;K$28,J$27,K451&lt;K$29,J$28,K451&lt;K$30,J$29,K451&lt;K$31,J$30,K451&lt;K$32,J$31,K451&lt;K$33,J$32,K451&lt;K$34,J$33,K451&lt;K$35,J$34,K451&lt;K$36,J$35,K451&lt;K$37,J$36,K451&lt;K$38,J$37,K451&lt;K$39,J$38,K451&lt;K$40,J$39,K451&lt;K$41,J$40,K451&lt;K$42,J$41,K451&lt;K$43,J$42,K451&lt;K$44,J$43,K451&lt;K$45,J$44,K451&lt;K$46,J$45,K451&lt;K$47,J$46,K451&gt;=K$47,J$47)</f>
        <v/>
      </c>
      <c r="K451" s="38" t="n">
        <v>401</v>
      </c>
      <c r="L451" s="31">
        <f>K451/52</f>
        <v/>
      </c>
      <c r="M451" s="39">
        <f>J451/1000000*52</f>
        <v/>
      </c>
      <c r="N451" s="33">
        <f>M451/$P$4+($I$22/$P$4)</f>
        <v/>
      </c>
      <c r="U451">
        <f>F450</f>
        <v/>
      </c>
      <c r="V451">
        <f>H450</f>
        <v/>
      </c>
      <c r="W451">
        <f>N450</f>
        <v/>
      </c>
    </row>
    <row r="452" ht="15.75" customHeight="1" s="40">
      <c r="C452" s="36">
        <f>_xlfn.IFS(E452&lt;E$24,0,E452&lt;E$26,C$24,E452&lt;E$28,C$26,E452&lt;E$30,C$28,E452&lt;E$32,C$30,E452&lt;E$34,C$32,E452&gt;=E$34,C$34)</f>
        <v/>
      </c>
      <c r="D452" s="37">
        <f>_xlfn.IFS(E452&lt;E$24,0,E452&lt;E$25,D$24,E452&lt;E$26,D$25,E452&lt;E$27,D$26,E452&lt;E$28,D$27,E452&lt;E$29,D$28,E452&lt;E$30,D$29,E452&lt;E$31,D$30,E452&lt;E$32,D$31,E452&lt;E$33,D$32,E452&lt;E$34,D$33,E452&lt;E$35,D$34,E452&gt;=E$35,D$35)</f>
        <v/>
      </c>
      <c r="E452" s="38" t="n">
        <v>402</v>
      </c>
      <c r="F452" s="31">
        <f>E452/52</f>
        <v/>
      </c>
      <c r="G452" s="39">
        <f>D452/1000000*52</f>
        <v/>
      </c>
      <c r="H452" s="33">
        <f>G452/$P$4+($C$22/$P$4)</f>
        <v/>
      </c>
      <c r="I452" s="36">
        <f>_xlfn.IFS(K452&lt;K$24,0,K452&lt;K$26,I$24,K452&lt;K$28,I$26,K452&lt;K$30,I$28,K452&lt;K$32,I$30,K452&lt;K$34,I$32,K452&lt;K$36,I$34,K452&lt;K$38,I$36,K452&lt;K$40,I$38,K452&lt;K$42,I$40,K452&lt;K$44,I$42,K452&lt;K$46,I$44,K452&gt;=K$46,I$46)</f>
        <v/>
      </c>
      <c r="J452" s="37">
        <f>_xlfn.IFS(K452&lt;K$24,0,K452&lt;K$25,J$24,K452&lt;K$26,J$25,K452&lt;K$27,J$26,K452&lt;K$28,J$27,K452&lt;K$29,J$28,K452&lt;K$30,J$29,K452&lt;K$31,J$30,K452&lt;K$32,J$31,K452&lt;K$33,J$32,K452&lt;K$34,J$33,K452&lt;K$35,J$34,K452&lt;K$36,J$35,K452&lt;K$37,J$36,K452&lt;K$38,J$37,K452&lt;K$39,J$38,K452&lt;K$40,J$39,K452&lt;K$41,J$40,K452&lt;K$42,J$41,K452&lt;K$43,J$42,K452&lt;K$44,J$43,K452&lt;K$45,J$44,K452&lt;K$46,J$45,K452&lt;K$47,J$46,K452&gt;=K$47,J$47)</f>
        <v/>
      </c>
      <c r="K452" s="38" t="n">
        <v>402</v>
      </c>
      <c r="L452" s="31">
        <f>K452/52</f>
        <v/>
      </c>
      <c r="M452" s="39">
        <f>J452/1000000*52</f>
        <v/>
      </c>
      <c r="N452" s="33">
        <f>M452/$P$4+($I$22/$P$4)</f>
        <v/>
      </c>
      <c r="U452">
        <f>F451</f>
        <v/>
      </c>
      <c r="V452">
        <f>H451</f>
        <v/>
      </c>
      <c r="W452">
        <f>N451</f>
        <v/>
      </c>
    </row>
    <row r="453" ht="15.75" customHeight="1" s="40">
      <c r="C453" s="36">
        <f>_xlfn.IFS(E453&lt;E$24,0,E453&lt;E$26,C$24,E453&lt;E$28,C$26,E453&lt;E$30,C$28,E453&lt;E$32,C$30,E453&lt;E$34,C$32,E453&gt;=E$34,C$34)</f>
        <v/>
      </c>
      <c r="D453" s="37">
        <f>_xlfn.IFS(E453&lt;E$24,0,E453&lt;E$25,D$24,E453&lt;E$26,D$25,E453&lt;E$27,D$26,E453&lt;E$28,D$27,E453&lt;E$29,D$28,E453&lt;E$30,D$29,E453&lt;E$31,D$30,E453&lt;E$32,D$31,E453&lt;E$33,D$32,E453&lt;E$34,D$33,E453&lt;E$35,D$34,E453&gt;=E$35,D$35)</f>
        <v/>
      </c>
      <c r="E453" s="38" t="n">
        <v>403</v>
      </c>
      <c r="F453" s="31">
        <f>E453/52</f>
        <v/>
      </c>
      <c r="G453" s="39">
        <f>D453/1000000*52</f>
        <v/>
      </c>
      <c r="H453" s="33">
        <f>G453/$P$4+($C$22/$P$4)</f>
        <v/>
      </c>
      <c r="I453" s="36">
        <f>_xlfn.IFS(K453&lt;K$24,0,K453&lt;K$26,I$24,K453&lt;K$28,I$26,K453&lt;K$30,I$28,K453&lt;K$32,I$30,K453&lt;K$34,I$32,K453&lt;K$36,I$34,K453&lt;K$38,I$36,K453&lt;K$40,I$38,K453&lt;K$42,I$40,K453&lt;K$44,I$42,K453&lt;K$46,I$44,K453&gt;=K$46,I$46)</f>
        <v/>
      </c>
      <c r="J453" s="37">
        <f>_xlfn.IFS(K453&lt;K$24,0,K453&lt;K$25,J$24,K453&lt;K$26,J$25,K453&lt;K$27,J$26,K453&lt;K$28,J$27,K453&lt;K$29,J$28,K453&lt;K$30,J$29,K453&lt;K$31,J$30,K453&lt;K$32,J$31,K453&lt;K$33,J$32,K453&lt;K$34,J$33,K453&lt;K$35,J$34,K453&lt;K$36,J$35,K453&lt;K$37,J$36,K453&lt;K$38,J$37,K453&lt;K$39,J$38,K453&lt;K$40,J$39,K453&lt;K$41,J$40,K453&lt;K$42,J$41,K453&lt;K$43,J$42,K453&lt;K$44,J$43,K453&lt;K$45,J$44,K453&lt;K$46,J$45,K453&lt;K$47,J$46,K453&gt;=K$47,J$47)</f>
        <v/>
      </c>
      <c r="K453" s="38" t="n">
        <v>403</v>
      </c>
      <c r="L453" s="31">
        <f>K453/52</f>
        <v/>
      </c>
      <c r="M453" s="39">
        <f>J453/1000000*52</f>
        <v/>
      </c>
      <c r="N453" s="33">
        <f>M453/$P$4+($I$22/$P$4)</f>
        <v/>
      </c>
      <c r="U453">
        <f>F452</f>
        <v/>
      </c>
      <c r="V453">
        <f>H452</f>
        <v/>
      </c>
      <c r="W453">
        <f>N452</f>
        <v/>
      </c>
    </row>
    <row r="454" ht="15.75" customHeight="1" s="40">
      <c r="C454" s="36">
        <f>_xlfn.IFS(E454&lt;E$24,0,E454&lt;E$26,C$24,E454&lt;E$28,C$26,E454&lt;E$30,C$28,E454&lt;E$32,C$30,E454&lt;E$34,C$32,E454&gt;=E$34,C$34)</f>
        <v/>
      </c>
      <c r="D454" s="37">
        <f>_xlfn.IFS(E454&lt;E$24,0,E454&lt;E$25,D$24,E454&lt;E$26,D$25,E454&lt;E$27,D$26,E454&lt;E$28,D$27,E454&lt;E$29,D$28,E454&lt;E$30,D$29,E454&lt;E$31,D$30,E454&lt;E$32,D$31,E454&lt;E$33,D$32,E454&lt;E$34,D$33,E454&lt;E$35,D$34,E454&gt;=E$35,D$35)</f>
        <v/>
      </c>
      <c r="E454" s="38" t="n">
        <v>404</v>
      </c>
      <c r="F454" s="31">
        <f>E454/52</f>
        <v/>
      </c>
      <c r="G454" s="39">
        <f>D454/1000000*52</f>
        <v/>
      </c>
      <c r="H454" s="33">
        <f>G454/$P$4+($C$22/$P$4)</f>
        <v/>
      </c>
      <c r="I454" s="36">
        <f>_xlfn.IFS(K454&lt;K$24,0,K454&lt;K$26,I$24,K454&lt;K$28,I$26,K454&lt;K$30,I$28,K454&lt;K$32,I$30,K454&lt;K$34,I$32,K454&lt;K$36,I$34,K454&lt;K$38,I$36,K454&lt;K$40,I$38,K454&lt;K$42,I$40,K454&lt;K$44,I$42,K454&lt;K$46,I$44,K454&gt;=K$46,I$46)</f>
        <v/>
      </c>
      <c r="J454" s="37">
        <f>_xlfn.IFS(K454&lt;K$24,0,K454&lt;K$25,J$24,K454&lt;K$26,J$25,K454&lt;K$27,J$26,K454&lt;K$28,J$27,K454&lt;K$29,J$28,K454&lt;K$30,J$29,K454&lt;K$31,J$30,K454&lt;K$32,J$31,K454&lt;K$33,J$32,K454&lt;K$34,J$33,K454&lt;K$35,J$34,K454&lt;K$36,J$35,K454&lt;K$37,J$36,K454&lt;K$38,J$37,K454&lt;K$39,J$38,K454&lt;K$40,J$39,K454&lt;K$41,J$40,K454&lt;K$42,J$41,K454&lt;K$43,J$42,K454&lt;K$44,J$43,K454&lt;K$45,J$44,K454&lt;K$46,J$45,K454&lt;K$47,J$46,K454&gt;=K$47,J$47)</f>
        <v/>
      </c>
      <c r="K454" s="38" t="n">
        <v>404</v>
      </c>
      <c r="L454" s="31">
        <f>K454/52</f>
        <v/>
      </c>
      <c r="M454" s="39">
        <f>J454/1000000*52</f>
        <v/>
      </c>
      <c r="N454" s="33">
        <f>M454/$P$4+($I$22/$P$4)</f>
        <v/>
      </c>
      <c r="U454">
        <f>F453</f>
        <v/>
      </c>
      <c r="V454">
        <f>H453</f>
        <v/>
      </c>
      <c r="W454">
        <f>N453</f>
        <v/>
      </c>
    </row>
    <row r="455" ht="15.75" customHeight="1" s="40">
      <c r="C455" s="36">
        <f>_xlfn.IFS(E455&lt;E$24,0,E455&lt;E$26,C$24,E455&lt;E$28,C$26,E455&lt;E$30,C$28,E455&lt;E$32,C$30,E455&lt;E$34,C$32,E455&gt;=E$34,C$34)</f>
        <v/>
      </c>
      <c r="D455" s="37">
        <f>_xlfn.IFS(E455&lt;E$24,0,E455&lt;E$25,D$24,E455&lt;E$26,D$25,E455&lt;E$27,D$26,E455&lt;E$28,D$27,E455&lt;E$29,D$28,E455&lt;E$30,D$29,E455&lt;E$31,D$30,E455&lt;E$32,D$31,E455&lt;E$33,D$32,E455&lt;E$34,D$33,E455&lt;E$35,D$34,E455&gt;=E$35,D$35)</f>
        <v/>
      </c>
      <c r="E455" s="38" t="n">
        <v>405</v>
      </c>
      <c r="F455" s="31">
        <f>E455/52</f>
        <v/>
      </c>
      <c r="G455" s="39">
        <f>D455/1000000*52</f>
        <v/>
      </c>
      <c r="H455" s="33">
        <f>G455/$P$4+($C$22/$P$4)</f>
        <v/>
      </c>
      <c r="I455" s="36">
        <f>_xlfn.IFS(K455&lt;K$24,0,K455&lt;K$26,I$24,K455&lt;K$28,I$26,K455&lt;K$30,I$28,K455&lt;K$32,I$30,K455&lt;K$34,I$32,K455&lt;K$36,I$34,K455&lt;K$38,I$36,K455&lt;K$40,I$38,K455&lt;K$42,I$40,K455&lt;K$44,I$42,K455&lt;K$46,I$44,K455&gt;=K$46,I$46)</f>
        <v/>
      </c>
      <c r="J455" s="37">
        <f>_xlfn.IFS(K455&lt;K$24,0,K455&lt;K$25,J$24,K455&lt;K$26,J$25,K455&lt;K$27,J$26,K455&lt;K$28,J$27,K455&lt;K$29,J$28,K455&lt;K$30,J$29,K455&lt;K$31,J$30,K455&lt;K$32,J$31,K455&lt;K$33,J$32,K455&lt;K$34,J$33,K455&lt;K$35,J$34,K455&lt;K$36,J$35,K455&lt;K$37,J$36,K455&lt;K$38,J$37,K455&lt;K$39,J$38,K455&lt;K$40,J$39,K455&lt;K$41,J$40,K455&lt;K$42,J$41,K455&lt;K$43,J$42,K455&lt;K$44,J$43,K455&lt;K$45,J$44,K455&lt;K$46,J$45,K455&lt;K$47,J$46,K455&gt;=K$47,J$47)</f>
        <v/>
      </c>
      <c r="K455" s="38" t="n">
        <v>405</v>
      </c>
      <c r="L455" s="31">
        <f>K455/52</f>
        <v/>
      </c>
      <c r="M455" s="39">
        <f>J455/1000000*52</f>
        <v/>
      </c>
      <c r="N455" s="33">
        <f>M455/$P$4+($I$22/$P$4)</f>
        <v/>
      </c>
      <c r="U455">
        <f>F454</f>
        <v/>
      </c>
      <c r="V455">
        <f>H454</f>
        <v/>
      </c>
      <c r="W455">
        <f>N454</f>
        <v/>
      </c>
    </row>
    <row r="456" ht="15.75" customHeight="1" s="40">
      <c r="C456" s="36">
        <f>_xlfn.IFS(E456&lt;E$24,0,E456&lt;E$26,C$24,E456&lt;E$28,C$26,E456&lt;E$30,C$28,E456&lt;E$32,C$30,E456&lt;E$34,C$32,E456&gt;=E$34,C$34)</f>
        <v/>
      </c>
      <c r="D456" s="37">
        <f>_xlfn.IFS(E456&lt;E$24,0,E456&lt;E$25,D$24,E456&lt;E$26,D$25,E456&lt;E$27,D$26,E456&lt;E$28,D$27,E456&lt;E$29,D$28,E456&lt;E$30,D$29,E456&lt;E$31,D$30,E456&lt;E$32,D$31,E456&lt;E$33,D$32,E456&lt;E$34,D$33,E456&lt;E$35,D$34,E456&gt;=E$35,D$35)</f>
        <v/>
      </c>
      <c r="E456" s="38" t="n">
        <v>406</v>
      </c>
      <c r="F456" s="31">
        <f>E456/52</f>
        <v/>
      </c>
      <c r="G456" s="39">
        <f>D456/1000000*52</f>
        <v/>
      </c>
      <c r="H456" s="33">
        <f>G456/$P$4+($C$22/$P$4)</f>
        <v/>
      </c>
      <c r="I456" s="36">
        <f>_xlfn.IFS(K456&lt;K$24,0,K456&lt;K$26,I$24,K456&lt;K$28,I$26,K456&lt;K$30,I$28,K456&lt;K$32,I$30,K456&lt;K$34,I$32,K456&lt;K$36,I$34,K456&lt;K$38,I$36,K456&lt;K$40,I$38,K456&lt;K$42,I$40,K456&lt;K$44,I$42,K456&lt;K$46,I$44,K456&gt;=K$46,I$46)</f>
        <v/>
      </c>
      <c r="J456" s="37">
        <f>_xlfn.IFS(K456&lt;K$24,0,K456&lt;K$25,J$24,K456&lt;K$26,J$25,K456&lt;K$27,J$26,K456&lt;K$28,J$27,K456&lt;K$29,J$28,K456&lt;K$30,J$29,K456&lt;K$31,J$30,K456&lt;K$32,J$31,K456&lt;K$33,J$32,K456&lt;K$34,J$33,K456&lt;K$35,J$34,K456&lt;K$36,J$35,K456&lt;K$37,J$36,K456&lt;K$38,J$37,K456&lt;K$39,J$38,K456&lt;K$40,J$39,K456&lt;K$41,J$40,K456&lt;K$42,J$41,K456&lt;K$43,J$42,K456&lt;K$44,J$43,K456&lt;K$45,J$44,K456&lt;K$46,J$45,K456&lt;K$47,J$46,K456&gt;=K$47,J$47)</f>
        <v/>
      </c>
      <c r="K456" s="38" t="n">
        <v>406</v>
      </c>
      <c r="L456" s="31">
        <f>K456/52</f>
        <v/>
      </c>
      <c r="M456" s="39">
        <f>J456/1000000*52</f>
        <v/>
      </c>
      <c r="N456" s="33">
        <f>M456/$P$4+($I$22/$P$4)</f>
        <v/>
      </c>
      <c r="U456">
        <f>F455</f>
        <v/>
      </c>
      <c r="V456">
        <f>H455</f>
        <v/>
      </c>
      <c r="W456">
        <f>N455</f>
        <v/>
      </c>
    </row>
    <row r="457" ht="15.75" customHeight="1" s="40">
      <c r="C457" s="36">
        <f>_xlfn.IFS(E457&lt;E$24,0,E457&lt;E$26,C$24,E457&lt;E$28,C$26,E457&lt;E$30,C$28,E457&lt;E$32,C$30,E457&lt;E$34,C$32,E457&gt;=E$34,C$34)</f>
        <v/>
      </c>
      <c r="D457" s="37">
        <f>_xlfn.IFS(E457&lt;E$24,0,E457&lt;E$25,D$24,E457&lt;E$26,D$25,E457&lt;E$27,D$26,E457&lt;E$28,D$27,E457&lt;E$29,D$28,E457&lt;E$30,D$29,E457&lt;E$31,D$30,E457&lt;E$32,D$31,E457&lt;E$33,D$32,E457&lt;E$34,D$33,E457&lt;E$35,D$34,E457&gt;=E$35,D$35)</f>
        <v/>
      </c>
      <c r="E457" s="38" t="n">
        <v>407</v>
      </c>
      <c r="F457" s="31">
        <f>E457/52</f>
        <v/>
      </c>
      <c r="G457" s="39">
        <f>D457/1000000*52</f>
        <v/>
      </c>
      <c r="H457" s="33">
        <f>G457/$P$4+($C$22/$P$4)</f>
        <v/>
      </c>
      <c r="I457" s="36">
        <f>_xlfn.IFS(K457&lt;K$24,0,K457&lt;K$26,I$24,K457&lt;K$28,I$26,K457&lt;K$30,I$28,K457&lt;K$32,I$30,K457&lt;K$34,I$32,K457&lt;K$36,I$34,K457&lt;K$38,I$36,K457&lt;K$40,I$38,K457&lt;K$42,I$40,K457&lt;K$44,I$42,K457&lt;K$46,I$44,K457&gt;=K$46,I$46)</f>
        <v/>
      </c>
      <c r="J457" s="37">
        <f>_xlfn.IFS(K457&lt;K$24,0,K457&lt;K$25,J$24,K457&lt;K$26,J$25,K457&lt;K$27,J$26,K457&lt;K$28,J$27,K457&lt;K$29,J$28,K457&lt;K$30,J$29,K457&lt;K$31,J$30,K457&lt;K$32,J$31,K457&lt;K$33,J$32,K457&lt;K$34,J$33,K457&lt;K$35,J$34,K457&lt;K$36,J$35,K457&lt;K$37,J$36,K457&lt;K$38,J$37,K457&lt;K$39,J$38,K457&lt;K$40,J$39,K457&lt;K$41,J$40,K457&lt;K$42,J$41,K457&lt;K$43,J$42,K457&lt;K$44,J$43,K457&lt;K$45,J$44,K457&lt;K$46,J$45,K457&lt;K$47,J$46,K457&gt;=K$47,J$47)</f>
        <v/>
      </c>
      <c r="K457" s="38" t="n">
        <v>407</v>
      </c>
      <c r="L457" s="31">
        <f>K457/52</f>
        <v/>
      </c>
      <c r="M457" s="39">
        <f>J457/1000000*52</f>
        <v/>
      </c>
      <c r="N457" s="33">
        <f>M457/$P$4+($I$22/$P$4)</f>
        <v/>
      </c>
      <c r="U457">
        <f>F456</f>
        <v/>
      </c>
      <c r="V457">
        <f>H456</f>
        <v/>
      </c>
      <c r="W457">
        <f>N456</f>
        <v/>
      </c>
    </row>
    <row r="458" ht="15.75" customHeight="1" s="40">
      <c r="C458" s="36">
        <f>_xlfn.IFS(E458&lt;E$24,0,E458&lt;E$26,C$24,E458&lt;E$28,C$26,E458&lt;E$30,C$28,E458&lt;E$32,C$30,E458&lt;E$34,C$32,E458&gt;=E$34,C$34)</f>
        <v/>
      </c>
      <c r="D458" s="37">
        <f>_xlfn.IFS(E458&lt;E$24,0,E458&lt;E$25,D$24,E458&lt;E$26,D$25,E458&lt;E$27,D$26,E458&lt;E$28,D$27,E458&lt;E$29,D$28,E458&lt;E$30,D$29,E458&lt;E$31,D$30,E458&lt;E$32,D$31,E458&lt;E$33,D$32,E458&lt;E$34,D$33,E458&lt;E$35,D$34,E458&gt;=E$35,D$35)</f>
        <v/>
      </c>
      <c r="E458" s="38" t="n">
        <v>408</v>
      </c>
      <c r="F458" s="31">
        <f>E458/52</f>
        <v/>
      </c>
      <c r="G458" s="39">
        <f>D458/1000000*52</f>
        <v/>
      </c>
      <c r="H458" s="33">
        <f>G458/$P$4+($C$22/$P$4)</f>
        <v/>
      </c>
      <c r="I458" s="36">
        <f>_xlfn.IFS(K458&lt;K$24,0,K458&lt;K$26,I$24,K458&lt;K$28,I$26,K458&lt;K$30,I$28,K458&lt;K$32,I$30,K458&lt;K$34,I$32,K458&lt;K$36,I$34,K458&lt;K$38,I$36,K458&lt;K$40,I$38,K458&lt;K$42,I$40,K458&lt;K$44,I$42,K458&lt;K$46,I$44,K458&gt;=K$46,I$46)</f>
        <v/>
      </c>
      <c r="J458" s="37">
        <f>_xlfn.IFS(K458&lt;K$24,0,K458&lt;K$25,J$24,K458&lt;K$26,J$25,K458&lt;K$27,J$26,K458&lt;K$28,J$27,K458&lt;K$29,J$28,K458&lt;K$30,J$29,K458&lt;K$31,J$30,K458&lt;K$32,J$31,K458&lt;K$33,J$32,K458&lt;K$34,J$33,K458&lt;K$35,J$34,K458&lt;K$36,J$35,K458&lt;K$37,J$36,K458&lt;K$38,J$37,K458&lt;K$39,J$38,K458&lt;K$40,J$39,K458&lt;K$41,J$40,K458&lt;K$42,J$41,K458&lt;K$43,J$42,K458&lt;K$44,J$43,K458&lt;K$45,J$44,K458&lt;K$46,J$45,K458&lt;K$47,J$46,K458&gt;=K$47,J$47)</f>
        <v/>
      </c>
      <c r="K458" s="38" t="n">
        <v>408</v>
      </c>
      <c r="L458" s="31">
        <f>K458/52</f>
        <v/>
      </c>
      <c r="M458" s="39">
        <f>J458/1000000*52</f>
        <v/>
      </c>
      <c r="N458" s="33">
        <f>M458/$P$4+($I$22/$P$4)</f>
        <v/>
      </c>
      <c r="U458">
        <f>F457</f>
        <v/>
      </c>
      <c r="V458">
        <f>H457</f>
        <v/>
      </c>
      <c r="W458">
        <f>N457</f>
        <v/>
      </c>
    </row>
    <row r="459" ht="15.75" customHeight="1" s="40">
      <c r="C459" s="36">
        <f>_xlfn.IFS(E459&lt;E$24,0,E459&lt;E$26,C$24,E459&lt;E$28,C$26,E459&lt;E$30,C$28,E459&lt;E$32,C$30,E459&lt;E$34,C$32,E459&gt;=E$34,C$34)</f>
        <v/>
      </c>
      <c r="D459" s="37">
        <f>_xlfn.IFS(E459&lt;E$24,0,E459&lt;E$25,D$24,E459&lt;E$26,D$25,E459&lt;E$27,D$26,E459&lt;E$28,D$27,E459&lt;E$29,D$28,E459&lt;E$30,D$29,E459&lt;E$31,D$30,E459&lt;E$32,D$31,E459&lt;E$33,D$32,E459&lt;E$34,D$33,E459&lt;E$35,D$34,E459&gt;=E$35,D$35)</f>
        <v/>
      </c>
      <c r="E459" s="38" t="n">
        <v>409</v>
      </c>
      <c r="F459" s="31">
        <f>E459/52</f>
        <v/>
      </c>
      <c r="G459" s="39">
        <f>D459/1000000*52</f>
        <v/>
      </c>
      <c r="H459" s="33">
        <f>G459/$P$4+($C$22/$P$4)</f>
        <v/>
      </c>
      <c r="I459" s="36">
        <f>_xlfn.IFS(K459&lt;K$24,0,K459&lt;K$26,I$24,K459&lt;K$28,I$26,K459&lt;K$30,I$28,K459&lt;K$32,I$30,K459&lt;K$34,I$32,K459&lt;K$36,I$34,K459&lt;K$38,I$36,K459&lt;K$40,I$38,K459&lt;K$42,I$40,K459&lt;K$44,I$42,K459&lt;K$46,I$44,K459&gt;=K$46,I$46)</f>
        <v/>
      </c>
      <c r="J459" s="37">
        <f>_xlfn.IFS(K459&lt;K$24,0,K459&lt;K$25,J$24,K459&lt;K$26,J$25,K459&lt;K$27,J$26,K459&lt;K$28,J$27,K459&lt;K$29,J$28,K459&lt;K$30,J$29,K459&lt;K$31,J$30,K459&lt;K$32,J$31,K459&lt;K$33,J$32,K459&lt;K$34,J$33,K459&lt;K$35,J$34,K459&lt;K$36,J$35,K459&lt;K$37,J$36,K459&lt;K$38,J$37,K459&lt;K$39,J$38,K459&lt;K$40,J$39,K459&lt;K$41,J$40,K459&lt;K$42,J$41,K459&lt;K$43,J$42,K459&lt;K$44,J$43,K459&lt;K$45,J$44,K459&lt;K$46,J$45,K459&lt;K$47,J$46,K459&gt;=K$47,J$47)</f>
        <v/>
      </c>
      <c r="K459" s="38" t="n">
        <v>409</v>
      </c>
      <c r="L459" s="31">
        <f>K459/52</f>
        <v/>
      </c>
      <c r="M459" s="39">
        <f>J459/1000000*52</f>
        <v/>
      </c>
      <c r="N459" s="33">
        <f>M459/$P$4+($I$22/$P$4)</f>
        <v/>
      </c>
      <c r="U459">
        <f>F458</f>
        <v/>
      </c>
      <c r="V459">
        <f>H458</f>
        <v/>
      </c>
      <c r="W459">
        <f>N458</f>
        <v/>
      </c>
    </row>
    <row r="460" ht="15.75" customHeight="1" s="40">
      <c r="C460" s="36">
        <f>_xlfn.IFS(E460&lt;E$24,0,E460&lt;E$26,C$24,E460&lt;E$28,C$26,E460&lt;E$30,C$28,E460&lt;E$32,C$30,E460&lt;E$34,C$32,E460&gt;=E$34,C$34)</f>
        <v/>
      </c>
      <c r="D460" s="37">
        <f>_xlfn.IFS(E460&lt;E$24,0,E460&lt;E$25,D$24,E460&lt;E$26,D$25,E460&lt;E$27,D$26,E460&lt;E$28,D$27,E460&lt;E$29,D$28,E460&lt;E$30,D$29,E460&lt;E$31,D$30,E460&lt;E$32,D$31,E460&lt;E$33,D$32,E460&lt;E$34,D$33,E460&lt;E$35,D$34,E460&gt;=E$35,D$35)</f>
        <v/>
      </c>
      <c r="E460" s="38" t="n">
        <v>410</v>
      </c>
      <c r="F460" s="31">
        <f>E460/52</f>
        <v/>
      </c>
      <c r="G460" s="39">
        <f>D460/1000000*52</f>
        <v/>
      </c>
      <c r="H460" s="33">
        <f>G460/$P$4+($C$22/$P$4)</f>
        <v/>
      </c>
      <c r="I460" s="36">
        <f>_xlfn.IFS(K460&lt;K$24,0,K460&lt;K$26,I$24,K460&lt;K$28,I$26,K460&lt;K$30,I$28,K460&lt;K$32,I$30,K460&lt;K$34,I$32,K460&lt;K$36,I$34,K460&lt;K$38,I$36,K460&lt;K$40,I$38,K460&lt;K$42,I$40,K460&lt;K$44,I$42,K460&lt;K$46,I$44,K460&gt;=K$46,I$46)</f>
        <v/>
      </c>
      <c r="J460" s="37">
        <f>_xlfn.IFS(K460&lt;K$24,0,K460&lt;K$25,J$24,K460&lt;K$26,J$25,K460&lt;K$27,J$26,K460&lt;K$28,J$27,K460&lt;K$29,J$28,K460&lt;K$30,J$29,K460&lt;K$31,J$30,K460&lt;K$32,J$31,K460&lt;K$33,J$32,K460&lt;K$34,J$33,K460&lt;K$35,J$34,K460&lt;K$36,J$35,K460&lt;K$37,J$36,K460&lt;K$38,J$37,K460&lt;K$39,J$38,K460&lt;K$40,J$39,K460&lt;K$41,J$40,K460&lt;K$42,J$41,K460&lt;K$43,J$42,K460&lt;K$44,J$43,K460&lt;K$45,J$44,K460&lt;K$46,J$45,K460&lt;K$47,J$46,K460&gt;=K$47,J$47)</f>
        <v/>
      </c>
      <c r="K460" s="38" t="n">
        <v>410</v>
      </c>
      <c r="L460" s="31">
        <f>K460/52</f>
        <v/>
      </c>
      <c r="M460" s="39">
        <f>J460/1000000*52</f>
        <v/>
      </c>
      <c r="N460" s="33">
        <f>M460/$P$4+($I$22/$P$4)</f>
        <v/>
      </c>
      <c r="U460">
        <f>F459</f>
        <v/>
      </c>
      <c r="V460">
        <f>H459</f>
        <v/>
      </c>
      <c r="W460">
        <f>N459</f>
        <v/>
      </c>
    </row>
    <row r="461" ht="15.75" customHeight="1" s="40">
      <c r="C461" s="36">
        <f>_xlfn.IFS(E461&lt;E$24,0,E461&lt;E$26,C$24,E461&lt;E$28,C$26,E461&lt;E$30,C$28,E461&lt;E$32,C$30,E461&lt;E$34,C$32,E461&gt;=E$34,C$34)</f>
        <v/>
      </c>
      <c r="D461" s="37">
        <f>_xlfn.IFS(E461&lt;E$24,0,E461&lt;E$25,D$24,E461&lt;E$26,D$25,E461&lt;E$27,D$26,E461&lt;E$28,D$27,E461&lt;E$29,D$28,E461&lt;E$30,D$29,E461&lt;E$31,D$30,E461&lt;E$32,D$31,E461&lt;E$33,D$32,E461&lt;E$34,D$33,E461&lt;E$35,D$34,E461&gt;=E$35,D$35)</f>
        <v/>
      </c>
      <c r="E461" s="38" t="n">
        <v>411</v>
      </c>
      <c r="F461" s="31">
        <f>E461/52</f>
        <v/>
      </c>
      <c r="G461" s="39">
        <f>D461/1000000*52</f>
        <v/>
      </c>
      <c r="H461" s="33">
        <f>G461/$P$4+($C$22/$P$4)</f>
        <v/>
      </c>
      <c r="I461" s="36">
        <f>_xlfn.IFS(K461&lt;K$24,0,K461&lt;K$26,I$24,K461&lt;K$28,I$26,K461&lt;K$30,I$28,K461&lt;K$32,I$30,K461&lt;K$34,I$32,K461&lt;K$36,I$34,K461&lt;K$38,I$36,K461&lt;K$40,I$38,K461&lt;K$42,I$40,K461&lt;K$44,I$42,K461&lt;K$46,I$44,K461&gt;=K$46,I$46)</f>
        <v/>
      </c>
      <c r="J461" s="37">
        <f>_xlfn.IFS(K461&lt;K$24,0,K461&lt;K$25,J$24,K461&lt;K$26,J$25,K461&lt;K$27,J$26,K461&lt;K$28,J$27,K461&lt;K$29,J$28,K461&lt;K$30,J$29,K461&lt;K$31,J$30,K461&lt;K$32,J$31,K461&lt;K$33,J$32,K461&lt;K$34,J$33,K461&lt;K$35,J$34,K461&lt;K$36,J$35,K461&lt;K$37,J$36,K461&lt;K$38,J$37,K461&lt;K$39,J$38,K461&lt;K$40,J$39,K461&lt;K$41,J$40,K461&lt;K$42,J$41,K461&lt;K$43,J$42,K461&lt;K$44,J$43,K461&lt;K$45,J$44,K461&lt;K$46,J$45,K461&lt;K$47,J$46,K461&gt;=K$47,J$47)</f>
        <v/>
      </c>
      <c r="K461" s="38" t="n">
        <v>411</v>
      </c>
      <c r="L461" s="31">
        <f>K461/52</f>
        <v/>
      </c>
      <c r="M461" s="39">
        <f>J461/1000000*52</f>
        <v/>
      </c>
      <c r="N461" s="33">
        <f>M461/$P$4+($I$22/$P$4)</f>
        <v/>
      </c>
      <c r="U461">
        <f>F460</f>
        <v/>
      </c>
      <c r="V461">
        <f>H460</f>
        <v/>
      </c>
      <c r="W461">
        <f>N460</f>
        <v/>
      </c>
    </row>
    <row r="462" ht="15.75" customHeight="1" s="40">
      <c r="C462" s="36">
        <f>_xlfn.IFS(E462&lt;E$24,0,E462&lt;E$26,C$24,E462&lt;E$28,C$26,E462&lt;E$30,C$28,E462&lt;E$32,C$30,E462&lt;E$34,C$32,E462&gt;=E$34,C$34)</f>
        <v/>
      </c>
      <c r="D462" s="37">
        <f>_xlfn.IFS(E462&lt;E$24,0,E462&lt;E$25,D$24,E462&lt;E$26,D$25,E462&lt;E$27,D$26,E462&lt;E$28,D$27,E462&lt;E$29,D$28,E462&lt;E$30,D$29,E462&lt;E$31,D$30,E462&lt;E$32,D$31,E462&lt;E$33,D$32,E462&lt;E$34,D$33,E462&lt;E$35,D$34,E462&gt;=E$35,D$35)</f>
        <v/>
      </c>
      <c r="E462" s="38" t="n">
        <v>412</v>
      </c>
      <c r="F462" s="31">
        <f>E462/52</f>
        <v/>
      </c>
      <c r="G462" s="39">
        <f>D462/1000000*52</f>
        <v/>
      </c>
      <c r="H462" s="33">
        <f>G462/$P$4+($C$22/$P$4)</f>
        <v/>
      </c>
      <c r="I462" s="36">
        <f>_xlfn.IFS(K462&lt;K$24,0,K462&lt;K$26,I$24,K462&lt;K$28,I$26,K462&lt;K$30,I$28,K462&lt;K$32,I$30,K462&lt;K$34,I$32,K462&lt;K$36,I$34,K462&lt;K$38,I$36,K462&lt;K$40,I$38,K462&lt;K$42,I$40,K462&lt;K$44,I$42,K462&lt;K$46,I$44,K462&gt;=K$46,I$46)</f>
        <v/>
      </c>
      <c r="J462" s="37">
        <f>_xlfn.IFS(K462&lt;K$24,0,K462&lt;K$25,J$24,K462&lt;K$26,J$25,K462&lt;K$27,J$26,K462&lt;K$28,J$27,K462&lt;K$29,J$28,K462&lt;K$30,J$29,K462&lt;K$31,J$30,K462&lt;K$32,J$31,K462&lt;K$33,J$32,K462&lt;K$34,J$33,K462&lt;K$35,J$34,K462&lt;K$36,J$35,K462&lt;K$37,J$36,K462&lt;K$38,J$37,K462&lt;K$39,J$38,K462&lt;K$40,J$39,K462&lt;K$41,J$40,K462&lt;K$42,J$41,K462&lt;K$43,J$42,K462&lt;K$44,J$43,K462&lt;K$45,J$44,K462&lt;K$46,J$45,K462&lt;K$47,J$46,K462&gt;=K$47,J$47)</f>
        <v/>
      </c>
      <c r="K462" s="38" t="n">
        <v>412</v>
      </c>
      <c r="L462" s="31">
        <f>K462/52</f>
        <v/>
      </c>
      <c r="M462" s="39">
        <f>J462/1000000*52</f>
        <v/>
      </c>
      <c r="N462" s="33">
        <f>M462/$P$4+($I$22/$P$4)</f>
        <v/>
      </c>
      <c r="U462">
        <f>F461</f>
        <v/>
      </c>
      <c r="V462">
        <f>H461</f>
        <v/>
      </c>
      <c r="W462">
        <f>N461</f>
        <v/>
      </c>
    </row>
    <row r="463" ht="15.75" customHeight="1" s="40">
      <c r="C463" s="36">
        <f>_xlfn.IFS(E463&lt;E$24,0,E463&lt;E$26,C$24,E463&lt;E$28,C$26,E463&lt;E$30,C$28,E463&lt;E$32,C$30,E463&lt;E$34,C$32,E463&gt;=E$34,C$34)</f>
        <v/>
      </c>
      <c r="D463" s="37">
        <f>_xlfn.IFS(E463&lt;E$24,0,E463&lt;E$25,D$24,E463&lt;E$26,D$25,E463&lt;E$27,D$26,E463&lt;E$28,D$27,E463&lt;E$29,D$28,E463&lt;E$30,D$29,E463&lt;E$31,D$30,E463&lt;E$32,D$31,E463&lt;E$33,D$32,E463&lt;E$34,D$33,E463&lt;E$35,D$34,E463&gt;=E$35,D$35)</f>
        <v/>
      </c>
      <c r="E463" s="38" t="n">
        <v>413</v>
      </c>
      <c r="F463" s="31">
        <f>E463/52</f>
        <v/>
      </c>
      <c r="G463" s="39">
        <f>D463/1000000*52</f>
        <v/>
      </c>
      <c r="H463" s="33">
        <f>G463/$P$4+($C$22/$P$4)</f>
        <v/>
      </c>
      <c r="I463" s="36">
        <f>_xlfn.IFS(K463&lt;K$24,0,K463&lt;K$26,I$24,K463&lt;K$28,I$26,K463&lt;K$30,I$28,K463&lt;K$32,I$30,K463&lt;K$34,I$32,K463&lt;K$36,I$34,K463&lt;K$38,I$36,K463&lt;K$40,I$38,K463&lt;K$42,I$40,K463&lt;K$44,I$42,K463&lt;K$46,I$44,K463&gt;=K$46,I$46)</f>
        <v/>
      </c>
      <c r="J463" s="37">
        <f>_xlfn.IFS(K463&lt;K$24,0,K463&lt;K$25,J$24,K463&lt;K$26,J$25,K463&lt;K$27,J$26,K463&lt;K$28,J$27,K463&lt;K$29,J$28,K463&lt;K$30,J$29,K463&lt;K$31,J$30,K463&lt;K$32,J$31,K463&lt;K$33,J$32,K463&lt;K$34,J$33,K463&lt;K$35,J$34,K463&lt;K$36,J$35,K463&lt;K$37,J$36,K463&lt;K$38,J$37,K463&lt;K$39,J$38,K463&lt;K$40,J$39,K463&lt;K$41,J$40,K463&lt;K$42,J$41,K463&lt;K$43,J$42,K463&lt;K$44,J$43,K463&lt;K$45,J$44,K463&lt;K$46,J$45,K463&lt;K$47,J$46,K463&gt;=K$47,J$47)</f>
        <v/>
      </c>
      <c r="K463" s="38" t="n">
        <v>413</v>
      </c>
      <c r="L463" s="31">
        <f>K463/52</f>
        <v/>
      </c>
      <c r="M463" s="39">
        <f>J463/1000000*52</f>
        <v/>
      </c>
      <c r="N463" s="33">
        <f>M463/$P$4+($I$22/$P$4)</f>
        <v/>
      </c>
      <c r="U463">
        <f>F462</f>
        <v/>
      </c>
      <c r="V463">
        <f>H462</f>
        <v/>
      </c>
      <c r="W463">
        <f>N462</f>
        <v/>
      </c>
    </row>
    <row r="464" ht="15.75" customHeight="1" s="40">
      <c r="C464" s="36">
        <f>_xlfn.IFS(E464&lt;E$24,0,E464&lt;E$26,C$24,E464&lt;E$28,C$26,E464&lt;E$30,C$28,E464&lt;E$32,C$30,E464&lt;E$34,C$32,E464&gt;=E$34,C$34)</f>
        <v/>
      </c>
      <c r="D464" s="37">
        <f>_xlfn.IFS(E464&lt;E$24,0,E464&lt;E$25,D$24,E464&lt;E$26,D$25,E464&lt;E$27,D$26,E464&lt;E$28,D$27,E464&lt;E$29,D$28,E464&lt;E$30,D$29,E464&lt;E$31,D$30,E464&lt;E$32,D$31,E464&lt;E$33,D$32,E464&lt;E$34,D$33,E464&lt;E$35,D$34,E464&gt;=E$35,D$35)</f>
        <v/>
      </c>
      <c r="E464" s="38" t="n">
        <v>414</v>
      </c>
      <c r="F464" s="31">
        <f>E464/52</f>
        <v/>
      </c>
      <c r="G464" s="39">
        <f>D464/1000000*52</f>
        <v/>
      </c>
      <c r="H464" s="33">
        <f>G464/$P$4+($C$22/$P$4)</f>
        <v/>
      </c>
      <c r="I464" s="36">
        <f>_xlfn.IFS(K464&lt;K$24,0,K464&lt;K$26,I$24,K464&lt;K$28,I$26,K464&lt;K$30,I$28,K464&lt;K$32,I$30,K464&lt;K$34,I$32,K464&lt;K$36,I$34,K464&lt;K$38,I$36,K464&lt;K$40,I$38,K464&lt;K$42,I$40,K464&lt;K$44,I$42,K464&lt;K$46,I$44,K464&gt;=K$46,I$46)</f>
        <v/>
      </c>
      <c r="J464" s="37">
        <f>_xlfn.IFS(K464&lt;K$24,0,K464&lt;K$25,J$24,K464&lt;K$26,J$25,K464&lt;K$27,J$26,K464&lt;K$28,J$27,K464&lt;K$29,J$28,K464&lt;K$30,J$29,K464&lt;K$31,J$30,K464&lt;K$32,J$31,K464&lt;K$33,J$32,K464&lt;K$34,J$33,K464&lt;K$35,J$34,K464&lt;K$36,J$35,K464&lt;K$37,J$36,K464&lt;K$38,J$37,K464&lt;K$39,J$38,K464&lt;K$40,J$39,K464&lt;K$41,J$40,K464&lt;K$42,J$41,K464&lt;K$43,J$42,K464&lt;K$44,J$43,K464&lt;K$45,J$44,K464&lt;K$46,J$45,K464&lt;K$47,J$46,K464&gt;=K$47,J$47)</f>
        <v/>
      </c>
      <c r="K464" s="38" t="n">
        <v>414</v>
      </c>
      <c r="L464" s="31">
        <f>K464/52</f>
        <v/>
      </c>
      <c r="M464" s="39">
        <f>J464/1000000*52</f>
        <v/>
      </c>
      <c r="N464" s="33">
        <f>M464/$P$4+($I$22/$P$4)</f>
        <v/>
      </c>
      <c r="U464">
        <f>F463</f>
        <v/>
      </c>
      <c r="V464">
        <f>H463</f>
        <v/>
      </c>
      <c r="W464">
        <f>N463</f>
        <v/>
      </c>
    </row>
    <row r="465" ht="15.75" customHeight="1" s="40">
      <c r="C465" s="36">
        <f>_xlfn.IFS(E465&lt;E$24,0,E465&lt;E$26,C$24,E465&lt;E$28,C$26,E465&lt;E$30,C$28,E465&lt;E$32,C$30,E465&lt;E$34,C$32,E465&gt;=E$34,C$34)</f>
        <v/>
      </c>
      <c r="D465" s="37">
        <f>_xlfn.IFS(E465&lt;E$24,0,E465&lt;E$25,D$24,E465&lt;E$26,D$25,E465&lt;E$27,D$26,E465&lt;E$28,D$27,E465&lt;E$29,D$28,E465&lt;E$30,D$29,E465&lt;E$31,D$30,E465&lt;E$32,D$31,E465&lt;E$33,D$32,E465&lt;E$34,D$33,E465&lt;E$35,D$34,E465&gt;=E$35,D$35)</f>
        <v/>
      </c>
      <c r="E465" s="38" t="n">
        <v>415</v>
      </c>
      <c r="F465" s="31">
        <f>E465/52</f>
        <v/>
      </c>
      <c r="G465" s="39">
        <f>D465/1000000*52</f>
        <v/>
      </c>
      <c r="H465" s="33">
        <f>G465/$P$4+($C$22/$P$4)</f>
        <v/>
      </c>
      <c r="I465" s="36">
        <f>_xlfn.IFS(K465&lt;K$24,0,K465&lt;K$26,I$24,K465&lt;K$28,I$26,K465&lt;K$30,I$28,K465&lt;K$32,I$30,K465&lt;K$34,I$32,K465&lt;K$36,I$34,K465&lt;K$38,I$36,K465&lt;K$40,I$38,K465&lt;K$42,I$40,K465&lt;K$44,I$42,K465&lt;K$46,I$44,K465&gt;=K$46,I$46)</f>
        <v/>
      </c>
      <c r="J465" s="37">
        <f>_xlfn.IFS(K465&lt;K$24,0,K465&lt;K$25,J$24,K465&lt;K$26,J$25,K465&lt;K$27,J$26,K465&lt;K$28,J$27,K465&lt;K$29,J$28,K465&lt;K$30,J$29,K465&lt;K$31,J$30,K465&lt;K$32,J$31,K465&lt;K$33,J$32,K465&lt;K$34,J$33,K465&lt;K$35,J$34,K465&lt;K$36,J$35,K465&lt;K$37,J$36,K465&lt;K$38,J$37,K465&lt;K$39,J$38,K465&lt;K$40,J$39,K465&lt;K$41,J$40,K465&lt;K$42,J$41,K465&lt;K$43,J$42,K465&lt;K$44,J$43,K465&lt;K$45,J$44,K465&lt;K$46,J$45,K465&lt;K$47,J$46,K465&gt;=K$47,J$47)</f>
        <v/>
      </c>
      <c r="K465" s="38" t="n">
        <v>415</v>
      </c>
      <c r="L465" s="31">
        <f>K465/52</f>
        <v/>
      </c>
      <c r="M465" s="39">
        <f>J465/1000000*52</f>
        <v/>
      </c>
      <c r="N465" s="33">
        <f>M465/$P$4+($I$22/$P$4)</f>
        <v/>
      </c>
      <c r="U465">
        <f>F464</f>
        <v/>
      </c>
      <c r="V465">
        <f>H464</f>
        <v/>
      </c>
      <c r="W465">
        <f>N464</f>
        <v/>
      </c>
    </row>
    <row r="466" ht="15.75" customHeight="1" s="40">
      <c r="C466" s="36">
        <f>_xlfn.IFS(E466&lt;E$24,0,E466&lt;E$26,C$24,E466&lt;E$28,C$26,E466&lt;E$30,C$28,E466&lt;E$32,C$30,E466&lt;E$34,C$32,E466&gt;=E$34,C$34)</f>
        <v/>
      </c>
      <c r="D466" s="37">
        <f>_xlfn.IFS(E466&lt;E$24,0,E466&lt;E$25,D$24,E466&lt;E$26,D$25,E466&lt;E$27,D$26,E466&lt;E$28,D$27,E466&lt;E$29,D$28,E466&lt;E$30,D$29,E466&lt;E$31,D$30,E466&lt;E$32,D$31,E466&lt;E$33,D$32,E466&lt;E$34,D$33,E466&lt;E$35,D$34,E466&gt;=E$35,D$35)</f>
        <v/>
      </c>
      <c r="E466" s="38" t="n">
        <v>416</v>
      </c>
      <c r="F466" s="31">
        <f>E466/52</f>
        <v/>
      </c>
      <c r="G466" s="39">
        <f>D466/1000000*52</f>
        <v/>
      </c>
      <c r="H466" s="33">
        <f>G466/$P$4+($C$22/$P$4)</f>
        <v/>
      </c>
      <c r="I466" s="36">
        <f>_xlfn.IFS(K466&lt;K$24,0,K466&lt;K$26,I$24,K466&lt;K$28,I$26,K466&lt;K$30,I$28,K466&lt;K$32,I$30,K466&lt;K$34,I$32,K466&lt;K$36,I$34,K466&lt;K$38,I$36,K466&lt;K$40,I$38,K466&lt;K$42,I$40,K466&lt;K$44,I$42,K466&lt;K$46,I$44,K466&gt;=K$46,I$46)</f>
        <v/>
      </c>
      <c r="J466" s="37">
        <f>_xlfn.IFS(K466&lt;K$24,0,K466&lt;K$25,J$24,K466&lt;K$26,J$25,K466&lt;K$27,J$26,K466&lt;K$28,J$27,K466&lt;K$29,J$28,K466&lt;K$30,J$29,K466&lt;K$31,J$30,K466&lt;K$32,J$31,K466&lt;K$33,J$32,K466&lt;K$34,J$33,K466&lt;K$35,J$34,K466&lt;K$36,J$35,K466&lt;K$37,J$36,K466&lt;K$38,J$37,K466&lt;K$39,J$38,K466&lt;K$40,J$39,K466&lt;K$41,J$40,K466&lt;K$42,J$41,K466&lt;K$43,J$42,K466&lt;K$44,J$43,K466&lt;K$45,J$44,K466&lt;K$46,J$45,K466&lt;K$47,J$46,K466&gt;=K$47,J$47)</f>
        <v/>
      </c>
      <c r="K466" s="38" t="n">
        <v>416</v>
      </c>
      <c r="L466" s="31">
        <f>K466/52</f>
        <v/>
      </c>
      <c r="M466" s="39">
        <f>J466/1000000*52</f>
        <v/>
      </c>
      <c r="N466" s="33">
        <f>M466/$P$4+($I$22/$P$4)</f>
        <v/>
      </c>
      <c r="U466">
        <f>F465</f>
        <v/>
      </c>
      <c r="V466">
        <f>H465</f>
        <v/>
      </c>
      <c r="W466">
        <f>N465</f>
        <v/>
      </c>
    </row>
    <row r="467" ht="15.75" customHeight="1" s="40">
      <c r="C467" s="36">
        <f>_xlfn.IFS(E467&lt;E$24,0,E467&lt;E$26,C$24,E467&lt;E$28,C$26,E467&lt;E$30,C$28,E467&lt;E$32,C$30,E467&lt;E$34,C$32,E467&gt;=E$34,C$34)</f>
        <v/>
      </c>
      <c r="D467" s="37">
        <f>_xlfn.IFS(E467&lt;E$24,0,E467&lt;E$25,D$24,E467&lt;E$26,D$25,E467&lt;E$27,D$26,E467&lt;E$28,D$27,E467&lt;E$29,D$28,E467&lt;E$30,D$29,E467&lt;E$31,D$30,E467&lt;E$32,D$31,E467&lt;E$33,D$32,E467&lt;E$34,D$33,E467&lt;E$35,D$34,E467&gt;=E$35,D$35)</f>
        <v/>
      </c>
      <c r="E467" s="38" t="n">
        <v>417</v>
      </c>
      <c r="F467" s="31">
        <f>E467/52</f>
        <v/>
      </c>
      <c r="G467" s="39">
        <f>D467/1000000*52</f>
        <v/>
      </c>
      <c r="H467" s="33">
        <f>G467/$P$4+($C$22/$P$4)</f>
        <v/>
      </c>
      <c r="I467" s="36">
        <f>_xlfn.IFS(K467&lt;K$24,0,K467&lt;K$26,I$24,K467&lt;K$28,I$26,K467&lt;K$30,I$28,K467&lt;K$32,I$30,K467&lt;K$34,I$32,K467&lt;K$36,I$34,K467&lt;K$38,I$36,K467&lt;K$40,I$38,K467&lt;K$42,I$40,K467&lt;K$44,I$42,K467&lt;K$46,I$44,K467&gt;=K$46,I$46)</f>
        <v/>
      </c>
      <c r="J467" s="37">
        <f>_xlfn.IFS(K467&lt;K$24,0,K467&lt;K$25,J$24,K467&lt;K$26,J$25,K467&lt;K$27,J$26,K467&lt;K$28,J$27,K467&lt;K$29,J$28,K467&lt;K$30,J$29,K467&lt;K$31,J$30,K467&lt;K$32,J$31,K467&lt;K$33,J$32,K467&lt;K$34,J$33,K467&lt;K$35,J$34,K467&lt;K$36,J$35,K467&lt;K$37,J$36,K467&lt;K$38,J$37,K467&lt;K$39,J$38,K467&lt;K$40,J$39,K467&lt;K$41,J$40,K467&lt;K$42,J$41,K467&lt;K$43,J$42,K467&lt;K$44,J$43,K467&lt;K$45,J$44,K467&lt;K$46,J$45,K467&lt;K$47,J$46,K467&gt;=K$47,J$47)</f>
        <v/>
      </c>
      <c r="K467" s="38" t="n">
        <v>417</v>
      </c>
      <c r="L467" s="31">
        <f>K467/52</f>
        <v/>
      </c>
      <c r="M467" s="39">
        <f>J467/1000000*52</f>
        <v/>
      </c>
      <c r="N467" s="33">
        <f>M467/$P$4+($I$22/$P$4)</f>
        <v/>
      </c>
      <c r="U467">
        <f>F466</f>
        <v/>
      </c>
      <c r="V467">
        <f>H466</f>
        <v/>
      </c>
      <c r="W467">
        <f>N466</f>
        <v/>
      </c>
    </row>
    <row r="468" ht="15.75" customHeight="1" s="40">
      <c r="C468" s="36">
        <f>_xlfn.IFS(E468&lt;E$24,0,E468&lt;E$26,C$24,E468&lt;E$28,C$26,E468&lt;E$30,C$28,E468&lt;E$32,C$30,E468&lt;E$34,C$32,E468&gt;=E$34,C$34)</f>
        <v/>
      </c>
      <c r="D468" s="37">
        <f>_xlfn.IFS(E468&lt;E$24,0,E468&lt;E$25,D$24,E468&lt;E$26,D$25,E468&lt;E$27,D$26,E468&lt;E$28,D$27,E468&lt;E$29,D$28,E468&lt;E$30,D$29,E468&lt;E$31,D$30,E468&lt;E$32,D$31,E468&lt;E$33,D$32,E468&lt;E$34,D$33,E468&lt;E$35,D$34,E468&gt;=E$35,D$35)</f>
        <v/>
      </c>
      <c r="E468" s="38" t="n">
        <v>418</v>
      </c>
      <c r="F468" s="31">
        <f>E468/52</f>
        <v/>
      </c>
      <c r="G468" s="39">
        <f>D468/1000000*52</f>
        <v/>
      </c>
      <c r="H468" s="33">
        <f>G468/$P$4+($C$22/$P$4)</f>
        <v/>
      </c>
      <c r="I468" s="36">
        <f>_xlfn.IFS(K468&lt;K$24,0,K468&lt;K$26,I$24,K468&lt;K$28,I$26,K468&lt;K$30,I$28,K468&lt;K$32,I$30,K468&lt;K$34,I$32,K468&lt;K$36,I$34,K468&lt;K$38,I$36,K468&lt;K$40,I$38,K468&lt;K$42,I$40,K468&lt;K$44,I$42,K468&lt;K$46,I$44,K468&gt;=K$46,I$46)</f>
        <v/>
      </c>
      <c r="J468" s="37">
        <f>_xlfn.IFS(K468&lt;K$24,0,K468&lt;K$25,J$24,K468&lt;K$26,J$25,K468&lt;K$27,J$26,K468&lt;K$28,J$27,K468&lt;K$29,J$28,K468&lt;K$30,J$29,K468&lt;K$31,J$30,K468&lt;K$32,J$31,K468&lt;K$33,J$32,K468&lt;K$34,J$33,K468&lt;K$35,J$34,K468&lt;K$36,J$35,K468&lt;K$37,J$36,K468&lt;K$38,J$37,K468&lt;K$39,J$38,K468&lt;K$40,J$39,K468&lt;K$41,J$40,K468&lt;K$42,J$41,K468&lt;K$43,J$42,K468&lt;K$44,J$43,K468&lt;K$45,J$44,K468&lt;K$46,J$45,K468&lt;K$47,J$46,K468&gt;=K$47,J$47)</f>
        <v/>
      </c>
      <c r="K468" s="38" t="n">
        <v>418</v>
      </c>
      <c r="L468" s="31">
        <f>K468/52</f>
        <v/>
      </c>
      <c r="M468" s="39">
        <f>J468/1000000*52</f>
        <v/>
      </c>
      <c r="N468" s="33">
        <f>M468/$P$4+($I$22/$P$4)</f>
        <v/>
      </c>
      <c r="U468">
        <f>F467</f>
        <v/>
      </c>
      <c r="V468">
        <f>H467</f>
        <v/>
      </c>
      <c r="W468">
        <f>N467</f>
        <v/>
      </c>
    </row>
    <row r="469" ht="15.75" customHeight="1" s="40">
      <c r="C469" s="36">
        <f>_xlfn.IFS(E469&lt;E$24,0,E469&lt;E$26,C$24,E469&lt;E$28,C$26,E469&lt;E$30,C$28,E469&lt;E$32,C$30,E469&lt;E$34,C$32,E469&gt;=E$34,C$34)</f>
        <v/>
      </c>
      <c r="D469" s="37">
        <f>_xlfn.IFS(E469&lt;E$24,0,E469&lt;E$25,D$24,E469&lt;E$26,D$25,E469&lt;E$27,D$26,E469&lt;E$28,D$27,E469&lt;E$29,D$28,E469&lt;E$30,D$29,E469&lt;E$31,D$30,E469&lt;E$32,D$31,E469&lt;E$33,D$32,E469&lt;E$34,D$33,E469&lt;E$35,D$34,E469&gt;=E$35,D$35)</f>
        <v/>
      </c>
      <c r="E469" s="38" t="n">
        <v>419</v>
      </c>
      <c r="F469" s="31">
        <f>E469/52</f>
        <v/>
      </c>
      <c r="G469" s="39">
        <f>D469/1000000*52</f>
        <v/>
      </c>
      <c r="H469" s="33">
        <f>G469/$P$4+($C$22/$P$4)</f>
        <v/>
      </c>
      <c r="I469" s="36">
        <f>_xlfn.IFS(K469&lt;K$24,0,K469&lt;K$26,I$24,K469&lt;K$28,I$26,K469&lt;K$30,I$28,K469&lt;K$32,I$30,K469&lt;K$34,I$32,K469&lt;K$36,I$34,K469&lt;K$38,I$36,K469&lt;K$40,I$38,K469&lt;K$42,I$40,K469&lt;K$44,I$42,K469&lt;K$46,I$44,K469&gt;=K$46,I$46)</f>
        <v/>
      </c>
      <c r="J469" s="37">
        <f>_xlfn.IFS(K469&lt;K$24,0,K469&lt;K$25,J$24,K469&lt;K$26,J$25,K469&lt;K$27,J$26,K469&lt;K$28,J$27,K469&lt;K$29,J$28,K469&lt;K$30,J$29,K469&lt;K$31,J$30,K469&lt;K$32,J$31,K469&lt;K$33,J$32,K469&lt;K$34,J$33,K469&lt;K$35,J$34,K469&lt;K$36,J$35,K469&lt;K$37,J$36,K469&lt;K$38,J$37,K469&lt;K$39,J$38,K469&lt;K$40,J$39,K469&lt;K$41,J$40,K469&lt;K$42,J$41,K469&lt;K$43,J$42,K469&lt;K$44,J$43,K469&lt;K$45,J$44,K469&lt;K$46,J$45,K469&lt;K$47,J$46,K469&gt;=K$47,J$47)</f>
        <v/>
      </c>
      <c r="K469" s="38" t="n">
        <v>419</v>
      </c>
      <c r="L469" s="31">
        <f>K469/52</f>
        <v/>
      </c>
      <c r="M469" s="39">
        <f>J469/1000000*52</f>
        <v/>
      </c>
      <c r="N469" s="33">
        <f>M469/$P$4+($I$22/$P$4)</f>
        <v/>
      </c>
      <c r="U469">
        <f>F468</f>
        <v/>
      </c>
      <c r="V469">
        <f>H468</f>
        <v/>
      </c>
      <c r="W469">
        <f>N468</f>
        <v/>
      </c>
    </row>
    <row r="470" ht="15.75" customHeight="1" s="40">
      <c r="C470" s="36">
        <f>_xlfn.IFS(E470&lt;E$24,0,E470&lt;E$26,C$24,E470&lt;E$28,C$26,E470&lt;E$30,C$28,E470&lt;E$32,C$30,E470&lt;E$34,C$32,E470&gt;=E$34,C$34)</f>
        <v/>
      </c>
      <c r="D470" s="37">
        <f>_xlfn.IFS(E470&lt;E$24,0,E470&lt;E$25,D$24,E470&lt;E$26,D$25,E470&lt;E$27,D$26,E470&lt;E$28,D$27,E470&lt;E$29,D$28,E470&lt;E$30,D$29,E470&lt;E$31,D$30,E470&lt;E$32,D$31,E470&lt;E$33,D$32,E470&lt;E$34,D$33,E470&lt;E$35,D$34,E470&gt;=E$35,D$35)</f>
        <v/>
      </c>
      <c r="E470" s="38" t="n">
        <v>420</v>
      </c>
      <c r="F470" s="31">
        <f>E470/52</f>
        <v/>
      </c>
      <c r="G470" s="39">
        <f>D470/1000000*52</f>
        <v/>
      </c>
      <c r="H470" s="33">
        <f>G470/$P$4+($C$22/$P$4)</f>
        <v/>
      </c>
      <c r="I470" s="36">
        <f>_xlfn.IFS(K470&lt;K$24,0,K470&lt;K$26,I$24,K470&lt;K$28,I$26,K470&lt;K$30,I$28,K470&lt;K$32,I$30,K470&lt;K$34,I$32,K470&lt;K$36,I$34,K470&lt;K$38,I$36,K470&lt;K$40,I$38,K470&lt;K$42,I$40,K470&lt;K$44,I$42,K470&lt;K$46,I$44,K470&gt;=K$46,I$46)</f>
        <v/>
      </c>
      <c r="J470" s="37">
        <f>_xlfn.IFS(K470&lt;K$24,0,K470&lt;K$25,J$24,K470&lt;K$26,J$25,K470&lt;K$27,J$26,K470&lt;K$28,J$27,K470&lt;K$29,J$28,K470&lt;K$30,J$29,K470&lt;K$31,J$30,K470&lt;K$32,J$31,K470&lt;K$33,J$32,K470&lt;K$34,J$33,K470&lt;K$35,J$34,K470&lt;K$36,J$35,K470&lt;K$37,J$36,K470&lt;K$38,J$37,K470&lt;K$39,J$38,K470&lt;K$40,J$39,K470&lt;K$41,J$40,K470&lt;K$42,J$41,K470&lt;K$43,J$42,K470&lt;K$44,J$43,K470&lt;K$45,J$44,K470&lt;K$46,J$45,K470&lt;K$47,J$46,K470&gt;=K$47,J$47)</f>
        <v/>
      </c>
      <c r="K470" s="38" t="n">
        <v>420</v>
      </c>
      <c r="L470" s="31">
        <f>K470/52</f>
        <v/>
      </c>
      <c r="M470" s="39">
        <f>J470/1000000*52</f>
        <v/>
      </c>
      <c r="N470" s="33">
        <f>M470/$P$4+($I$22/$P$4)</f>
        <v/>
      </c>
      <c r="U470">
        <f>F469</f>
        <v/>
      </c>
      <c r="V470">
        <f>H469</f>
        <v/>
      </c>
      <c r="W470">
        <f>N469</f>
        <v/>
      </c>
    </row>
    <row r="471" ht="15.75" customHeight="1" s="40">
      <c r="C471" s="36">
        <f>_xlfn.IFS(E471&lt;E$24,0,E471&lt;E$26,C$24,E471&lt;E$28,C$26,E471&lt;E$30,C$28,E471&lt;E$32,C$30,E471&lt;E$34,C$32,E471&gt;=E$34,C$34)</f>
        <v/>
      </c>
      <c r="D471" s="37">
        <f>_xlfn.IFS(E471&lt;E$24,0,E471&lt;E$25,D$24,E471&lt;E$26,D$25,E471&lt;E$27,D$26,E471&lt;E$28,D$27,E471&lt;E$29,D$28,E471&lt;E$30,D$29,E471&lt;E$31,D$30,E471&lt;E$32,D$31,E471&lt;E$33,D$32,E471&lt;E$34,D$33,E471&lt;E$35,D$34,E471&gt;=E$35,D$35)</f>
        <v/>
      </c>
      <c r="E471" s="38" t="n">
        <v>421</v>
      </c>
      <c r="F471" s="31">
        <f>E471/52</f>
        <v/>
      </c>
      <c r="G471" s="39">
        <f>D471/1000000*52</f>
        <v/>
      </c>
      <c r="H471" s="33">
        <f>G471/$P$4+($C$22/$P$4)</f>
        <v/>
      </c>
      <c r="I471" s="36">
        <f>_xlfn.IFS(K471&lt;K$24,0,K471&lt;K$26,I$24,K471&lt;K$28,I$26,K471&lt;K$30,I$28,K471&lt;K$32,I$30,K471&lt;K$34,I$32,K471&lt;K$36,I$34,K471&lt;K$38,I$36,K471&lt;K$40,I$38,K471&lt;K$42,I$40,K471&lt;K$44,I$42,K471&lt;K$46,I$44,K471&gt;=K$46,I$46)</f>
        <v/>
      </c>
      <c r="J471" s="37">
        <f>_xlfn.IFS(K471&lt;K$24,0,K471&lt;K$25,J$24,K471&lt;K$26,J$25,K471&lt;K$27,J$26,K471&lt;K$28,J$27,K471&lt;K$29,J$28,K471&lt;K$30,J$29,K471&lt;K$31,J$30,K471&lt;K$32,J$31,K471&lt;K$33,J$32,K471&lt;K$34,J$33,K471&lt;K$35,J$34,K471&lt;K$36,J$35,K471&lt;K$37,J$36,K471&lt;K$38,J$37,K471&lt;K$39,J$38,K471&lt;K$40,J$39,K471&lt;K$41,J$40,K471&lt;K$42,J$41,K471&lt;K$43,J$42,K471&lt;K$44,J$43,K471&lt;K$45,J$44,K471&lt;K$46,J$45,K471&lt;K$47,J$46,K471&gt;=K$47,J$47)</f>
        <v/>
      </c>
      <c r="K471" s="38" t="n">
        <v>421</v>
      </c>
      <c r="L471" s="31">
        <f>K471/52</f>
        <v/>
      </c>
      <c r="M471" s="39">
        <f>J471/1000000*52</f>
        <v/>
      </c>
      <c r="N471" s="33">
        <f>M471/$P$4+($I$22/$P$4)</f>
        <v/>
      </c>
      <c r="U471">
        <f>F470</f>
        <v/>
      </c>
      <c r="V471">
        <f>H470</f>
        <v/>
      </c>
      <c r="W471">
        <f>N470</f>
        <v/>
      </c>
    </row>
    <row r="472" ht="15.75" customHeight="1" s="40">
      <c r="C472" s="36">
        <f>_xlfn.IFS(E472&lt;E$24,0,E472&lt;E$26,C$24,E472&lt;E$28,C$26,E472&lt;E$30,C$28,E472&lt;E$32,C$30,E472&lt;E$34,C$32,E472&gt;=E$34,C$34)</f>
        <v/>
      </c>
      <c r="D472" s="37">
        <f>_xlfn.IFS(E472&lt;E$24,0,E472&lt;E$25,D$24,E472&lt;E$26,D$25,E472&lt;E$27,D$26,E472&lt;E$28,D$27,E472&lt;E$29,D$28,E472&lt;E$30,D$29,E472&lt;E$31,D$30,E472&lt;E$32,D$31,E472&lt;E$33,D$32,E472&lt;E$34,D$33,E472&lt;E$35,D$34,E472&gt;=E$35,D$35)</f>
        <v/>
      </c>
      <c r="E472" s="38" t="n">
        <v>422</v>
      </c>
      <c r="F472" s="31">
        <f>E472/52</f>
        <v/>
      </c>
      <c r="G472" s="39">
        <f>D472/1000000*52</f>
        <v/>
      </c>
      <c r="H472" s="33">
        <f>G472/$P$4+($C$22/$P$4)</f>
        <v/>
      </c>
      <c r="I472" s="36">
        <f>_xlfn.IFS(K472&lt;K$24,0,K472&lt;K$26,I$24,K472&lt;K$28,I$26,K472&lt;K$30,I$28,K472&lt;K$32,I$30,K472&lt;K$34,I$32,K472&lt;K$36,I$34,K472&lt;K$38,I$36,K472&lt;K$40,I$38,K472&lt;K$42,I$40,K472&lt;K$44,I$42,K472&lt;K$46,I$44,K472&gt;=K$46,I$46)</f>
        <v/>
      </c>
      <c r="J472" s="37">
        <f>_xlfn.IFS(K472&lt;K$24,0,K472&lt;K$25,J$24,K472&lt;K$26,J$25,K472&lt;K$27,J$26,K472&lt;K$28,J$27,K472&lt;K$29,J$28,K472&lt;K$30,J$29,K472&lt;K$31,J$30,K472&lt;K$32,J$31,K472&lt;K$33,J$32,K472&lt;K$34,J$33,K472&lt;K$35,J$34,K472&lt;K$36,J$35,K472&lt;K$37,J$36,K472&lt;K$38,J$37,K472&lt;K$39,J$38,K472&lt;K$40,J$39,K472&lt;K$41,J$40,K472&lt;K$42,J$41,K472&lt;K$43,J$42,K472&lt;K$44,J$43,K472&lt;K$45,J$44,K472&lt;K$46,J$45,K472&lt;K$47,J$46,K472&gt;=K$47,J$47)</f>
        <v/>
      </c>
      <c r="K472" s="38" t="n">
        <v>422</v>
      </c>
      <c r="L472" s="31">
        <f>K472/52</f>
        <v/>
      </c>
      <c r="M472" s="39">
        <f>J472/1000000*52</f>
        <v/>
      </c>
      <c r="N472" s="33">
        <f>M472/$P$4+($I$22/$P$4)</f>
        <v/>
      </c>
      <c r="U472">
        <f>F471</f>
        <v/>
      </c>
      <c r="V472">
        <f>H471</f>
        <v/>
      </c>
      <c r="W472">
        <f>N471</f>
        <v/>
      </c>
    </row>
    <row r="473" ht="15.75" customHeight="1" s="40">
      <c r="C473" s="36">
        <f>_xlfn.IFS(E473&lt;E$24,0,E473&lt;E$26,C$24,E473&lt;E$28,C$26,E473&lt;E$30,C$28,E473&lt;E$32,C$30,E473&lt;E$34,C$32,E473&gt;=E$34,C$34)</f>
        <v/>
      </c>
      <c r="D473" s="37">
        <f>_xlfn.IFS(E473&lt;E$24,0,E473&lt;E$25,D$24,E473&lt;E$26,D$25,E473&lt;E$27,D$26,E473&lt;E$28,D$27,E473&lt;E$29,D$28,E473&lt;E$30,D$29,E473&lt;E$31,D$30,E473&lt;E$32,D$31,E473&lt;E$33,D$32,E473&lt;E$34,D$33,E473&lt;E$35,D$34,E473&gt;=E$35,D$35)</f>
        <v/>
      </c>
      <c r="E473" s="38" t="n">
        <v>423</v>
      </c>
      <c r="F473" s="31">
        <f>E473/52</f>
        <v/>
      </c>
      <c r="G473" s="39">
        <f>D473/1000000*52</f>
        <v/>
      </c>
      <c r="H473" s="33">
        <f>G473/$P$4+($C$22/$P$4)</f>
        <v/>
      </c>
      <c r="I473" s="36">
        <f>_xlfn.IFS(K473&lt;K$24,0,K473&lt;K$26,I$24,K473&lt;K$28,I$26,K473&lt;K$30,I$28,K473&lt;K$32,I$30,K473&lt;K$34,I$32,K473&lt;K$36,I$34,K473&lt;K$38,I$36,K473&lt;K$40,I$38,K473&lt;K$42,I$40,K473&lt;K$44,I$42,K473&lt;K$46,I$44,K473&gt;=K$46,I$46)</f>
        <v/>
      </c>
      <c r="J473" s="37">
        <f>_xlfn.IFS(K473&lt;K$24,0,K473&lt;K$25,J$24,K473&lt;K$26,J$25,K473&lt;K$27,J$26,K473&lt;K$28,J$27,K473&lt;K$29,J$28,K473&lt;K$30,J$29,K473&lt;K$31,J$30,K473&lt;K$32,J$31,K473&lt;K$33,J$32,K473&lt;K$34,J$33,K473&lt;K$35,J$34,K473&lt;K$36,J$35,K473&lt;K$37,J$36,K473&lt;K$38,J$37,K473&lt;K$39,J$38,K473&lt;K$40,J$39,K473&lt;K$41,J$40,K473&lt;K$42,J$41,K473&lt;K$43,J$42,K473&lt;K$44,J$43,K473&lt;K$45,J$44,K473&lt;K$46,J$45,K473&lt;K$47,J$46,K473&gt;=K$47,J$47)</f>
        <v/>
      </c>
      <c r="K473" s="38" t="n">
        <v>423</v>
      </c>
      <c r="L473" s="31">
        <f>K473/52</f>
        <v/>
      </c>
      <c r="M473" s="39">
        <f>J473/1000000*52</f>
        <v/>
      </c>
      <c r="N473" s="33">
        <f>M473/$P$4+($I$22/$P$4)</f>
        <v/>
      </c>
      <c r="U473">
        <f>F472</f>
        <v/>
      </c>
      <c r="V473">
        <f>H472</f>
        <v/>
      </c>
      <c r="W473">
        <f>N472</f>
        <v/>
      </c>
    </row>
    <row r="474" ht="15.75" customHeight="1" s="40">
      <c r="C474" s="36">
        <f>_xlfn.IFS(E474&lt;E$24,0,E474&lt;E$26,C$24,E474&lt;E$28,C$26,E474&lt;E$30,C$28,E474&lt;E$32,C$30,E474&lt;E$34,C$32,E474&gt;=E$34,C$34)</f>
        <v/>
      </c>
      <c r="D474" s="37">
        <f>_xlfn.IFS(E474&lt;E$24,0,E474&lt;E$25,D$24,E474&lt;E$26,D$25,E474&lt;E$27,D$26,E474&lt;E$28,D$27,E474&lt;E$29,D$28,E474&lt;E$30,D$29,E474&lt;E$31,D$30,E474&lt;E$32,D$31,E474&lt;E$33,D$32,E474&lt;E$34,D$33,E474&lt;E$35,D$34,E474&gt;=E$35,D$35)</f>
        <v/>
      </c>
      <c r="E474" s="38" t="n">
        <v>424</v>
      </c>
      <c r="F474" s="31">
        <f>E474/52</f>
        <v/>
      </c>
      <c r="G474" s="39">
        <f>D474/1000000*52</f>
        <v/>
      </c>
      <c r="H474" s="33">
        <f>G474/$P$4+($C$22/$P$4)</f>
        <v/>
      </c>
      <c r="I474" s="36">
        <f>_xlfn.IFS(K474&lt;K$24,0,K474&lt;K$26,I$24,K474&lt;K$28,I$26,K474&lt;K$30,I$28,K474&lt;K$32,I$30,K474&lt;K$34,I$32,K474&lt;K$36,I$34,K474&lt;K$38,I$36,K474&lt;K$40,I$38,K474&lt;K$42,I$40,K474&lt;K$44,I$42,K474&lt;K$46,I$44,K474&gt;=K$46,I$46)</f>
        <v/>
      </c>
      <c r="J474" s="37">
        <f>_xlfn.IFS(K474&lt;K$24,0,K474&lt;K$25,J$24,K474&lt;K$26,J$25,K474&lt;K$27,J$26,K474&lt;K$28,J$27,K474&lt;K$29,J$28,K474&lt;K$30,J$29,K474&lt;K$31,J$30,K474&lt;K$32,J$31,K474&lt;K$33,J$32,K474&lt;K$34,J$33,K474&lt;K$35,J$34,K474&lt;K$36,J$35,K474&lt;K$37,J$36,K474&lt;K$38,J$37,K474&lt;K$39,J$38,K474&lt;K$40,J$39,K474&lt;K$41,J$40,K474&lt;K$42,J$41,K474&lt;K$43,J$42,K474&lt;K$44,J$43,K474&lt;K$45,J$44,K474&lt;K$46,J$45,K474&lt;K$47,J$46,K474&gt;=K$47,J$47)</f>
        <v/>
      </c>
      <c r="K474" s="38" t="n">
        <v>424</v>
      </c>
      <c r="L474" s="31">
        <f>K474/52</f>
        <v/>
      </c>
      <c r="M474" s="39">
        <f>J474/1000000*52</f>
        <v/>
      </c>
      <c r="N474" s="33">
        <f>M474/$P$4+($I$22/$P$4)</f>
        <v/>
      </c>
      <c r="U474">
        <f>F473</f>
        <v/>
      </c>
      <c r="V474">
        <f>H473</f>
        <v/>
      </c>
      <c r="W474">
        <f>N473</f>
        <v/>
      </c>
    </row>
    <row r="475" ht="15.75" customHeight="1" s="40">
      <c r="C475" s="36">
        <f>_xlfn.IFS(E475&lt;E$24,0,E475&lt;E$26,C$24,E475&lt;E$28,C$26,E475&lt;E$30,C$28,E475&lt;E$32,C$30,E475&lt;E$34,C$32,E475&gt;=E$34,C$34)</f>
        <v/>
      </c>
      <c r="D475" s="37">
        <f>_xlfn.IFS(E475&lt;E$24,0,E475&lt;E$25,D$24,E475&lt;E$26,D$25,E475&lt;E$27,D$26,E475&lt;E$28,D$27,E475&lt;E$29,D$28,E475&lt;E$30,D$29,E475&lt;E$31,D$30,E475&lt;E$32,D$31,E475&lt;E$33,D$32,E475&lt;E$34,D$33,E475&lt;E$35,D$34,E475&gt;=E$35,D$35)</f>
        <v/>
      </c>
      <c r="E475" s="38" t="n">
        <v>425</v>
      </c>
      <c r="F475" s="31">
        <f>E475/52</f>
        <v/>
      </c>
      <c r="G475" s="39">
        <f>D475/1000000*52</f>
        <v/>
      </c>
      <c r="H475" s="33">
        <f>G475/$P$4+($C$22/$P$4)</f>
        <v/>
      </c>
      <c r="I475" s="36">
        <f>_xlfn.IFS(K475&lt;K$24,0,K475&lt;K$26,I$24,K475&lt;K$28,I$26,K475&lt;K$30,I$28,K475&lt;K$32,I$30,K475&lt;K$34,I$32,K475&lt;K$36,I$34,K475&lt;K$38,I$36,K475&lt;K$40,I$38,K475&lt;K$42,I$40,K475&lt;K$44,I$42,K475&lt;K$46,I$44,K475&gt;=K$46,I$46)</f>
        <v/>
      </c>
      <c r="J475" s="37">
        <f>_xlfn.IFS(K475&lt;K$24,0,K475&lt;K$25,J$24,K475&lt;K$26,J$25,K475&lt;K$27,J$26,K475&lt;K$28,J$27,K475&lt;K$29,J$28,K475&lt;K$30,J$29,K475&lt;K$31,J$30,K475&lt;K$32,J$31,K475&lt;K$33,J$32,K475&lt;K$34,J$33,K475&lt;K$35,J$34,K475&lt;K$36,J$35,K475&lt;K$37,J$36,K475&lt;K$38,J$37,K475&lt;K$39,J$38,K475&lt;K$40,J$39,K475&lt;K$41,J$40,K475&lt;K$42,J$41,K475&lt;K$43,J$42,K475&lt;K$44,J$43,K475&lt;K$45,J$44,K475&lt;K$46,J$45,K475&lt;K$47,J$46,K475&gt;=K$47,J$47)</f>
        <v/>
      </c>
      <c r="K475" s="38" t="n">
        <v>425</v>
      </c>
      <c r="L475" s="31">
        <f>K475/52</f>
        <v/>
      </c>
      <c r="M475" s="39">
        <f>J475/1000000*52</f>
        <v/>
      </c>
      <c r="N475" s="33">
        <f>M475/$P$4+($I$22/$P$4)</f>
        <v/>
      </c>
      <c r="U475">
        <f>F474</f>
        <v/>
      </c>
      <c r="V475">
        <f>H474</f>
        <v/>
      </c>
      <c r="W475">
        <f>N474</f>
        <v/>
      </c>
    </row>
    <row r="476" ht="15.75" customHeight="1" s="40">
      <c r="C476" s="36">
        <f>_xlfn.IFS(E476&lt;E$24,0,E476&lt;E$26,C$24,E476&lt;E$28,C$26,E476&lt;E$30,C$28,E476&lt;E$32,C$30,E476&lt;E$34,C$32,E476&gt;=E$34,C$34)</f>
        <v/>
      </c>
      <c r="D476" s="37">
        <f>_xlfn.IFS(E476&lt;E$24,0,E476&lt;E$25,D$24,E476&lt;E$26,D$25,E476&lt;E$27,D$26,E476&lt;E$28,D$27,E476&lt;E$29,D$28,E476&lt;E$30,D$29,E476&lt;E$31,D$30,E476&lt;E$32,D$31,E476&lt;E$33,D$32,E476&lt;E$34,D$33,E476&lt;E$35,D$34,E476&gt;=E$35,D$35)</f>
        <v/>
      </c>
      <c r="E476" s="38" t="n">
        <v>426</v>
      </c>
      <c r="F476" s="31">
        <f>E476/52</f>
        <v/>
      </c>
      <c r="G476" s="39">
        <f>D476/1000000*52</f>
        <v/>
      </c>
      <c r="H476" s="33">
        <f>G476/$P$4+($C$22/$P$4)</f>
        <v/>
      </c>
      <c r="I476" s="36">
        <f>_xlfn.IFS(K476&lt;K$24,0,K476&lt;K$26,I$24,K476&lt;K$28,I$26,K476&lt;K$30,I$28,K476&lt;K$32,I$30,K476&lt;K$34,I$32,K476&lt;K$36,I$34,K476&lt;K$38,I$36,K476&lt;K$40,I$38,K476&lt;K$42,I$40,K476&lt;K$44,I$42,K476&lt;K$46,I$44,K476&gt;=K$46,I$46)</f>
        <v/>
      </c>
      <c r="J476" s="37">
        <f>_xlfn.IFS(K476&lt;K$24,0,K476&lt;K$25,J$24,K476&lt;K$26,J$25,K476&lt;K$27,J$26,K476&lt;K$28,J$27,K476&lt;K$29,J$28,K476&lt;K$30,J$29,K476&lt;K$31,J$30,K476&lt;K$32,J$31,K476&lt;K$33,J$32,K476&lt;K$34,J$33,K476&lt;K$35,J$34,K476&lt;K$36,J$35,K476&lt;K$37,J$36,K476&lt;K$38,J$37,K476&lt;K$39,J$38,K476&lt;K$40,J$39,K476&lt;K$41,J$40,K476&lt;K$42,J$41,K476&lt;K$43,J$42,K476&lt;K$44,J$43,K476&lt;K$45,J$44,K476&lt;K$46,J$45,K476&lt;K$47,J$46,K476&gt;=K$47,J$47)</f>
        <v/>
      </c>
      <c r="K476" s="38" t="n">
        <v>426</v>
      </c>
      <c r="L476" s="31">
        <f>K476/52</f>
        <v/>
      </c>
      <c r="M476" s="39">
        <f>J476/1000000*52</f>
        <v/>
      </c>
      <c r="N476" s="33">
        <f>M476/$P$4+($I$22/$P$4)</f>
        <v/>
      </c>
      <c r="U476">
        <f>F475</f>
        <v/>
      </c>
      <c r="V476">
        <f>H475</f>
        <v/>
      </c>
      <c r="W476">
        <f>N475</f>
        <v/>
      </c>
    </row>
    <row r="477" ht="15.75" customHeight="1" s="40">
      <c r="C477" s="36">
        <f>_xlfn.IFS(E477&lt;E$24,0,E477&lt;E$26,C$24,E477&lt;E$28,C$26,E477&lt;E$30,C$28,E477&lt;E$32,C$30,E477&lt;E$34,C$32,E477&gt;=E$34,C$34)</f>
        <v/>
      </c>
      <c r="D477" s="37">
        <f>_xlfn.IFS(E477&lt;E$24,0,E477&lt;E$25,D$24,E477&lt;E$26,D$25,E477&lt;E$27,D$26,E477&lt;E$28,D$27,E477&lt;E$29,D$28,E477&lt;E$30,D$29,E477&lt;E$31,D$30,E477&lt;E$32,D$31,E477&lt;E$33,D$32,E477&lt;E$34,D$33,E477&lt;E$35,D$34,E477&gt;=E$35,D$35)</f>
        <v/>
      </c>
      <c r="E477" s="38" t="n">
        <v>427</v>
      </c>
      <c r="F477" s="31">
        <f>E477/52</f>
        <v/>
      </c>
      <c r="G477" s="39">
        <f>D477/1000000*52</f>
        <v/>
      </c>
      <c r="H477" s="33">
        <f>G477/$P$4+($C$22/$P$4)</f>
        <v/>
      </c>
      <c r="I477" s="36">
        <f>_xlfn.IFS(K477&lt;K$24,0,K477&lt;K$26,I$24,K477&lt;K$28,I$26,K477&lt;K$30,I$28,K477&lt;K$32,I$30,K477&lt;K$34,I$32,K477&lt;K$36,I$34,K477&lt;K$38,I$36,K477&lt;K$40,I$38,K477&lt;K$42,I$40,K477&lt;K$44,I$42,K477&lt;K$46,I$44,K477&gt;=K$46,I$46)</f>
        <v/>
      </c>
      <c r="J477" s="37">
        <f>_xlfn.IFS(K477&lt;K$24,0,K477&lt;K$25,J$24,K477&lt;K$26,J$25,K477&lt;K$27,J$26,K477&lt;K$28,J$27,K477&lt;K$29,J$28,K477&lt;K$30,J$29,K477&lt;K$31,J$30,K477&lt;K$32,J$31,K477&lt;K$33,J$32,K477&lt;K$34,J$33,K477&lt;K$35,J$34,K477&lt;K$36,J$35,K477&lt;K$37,J$36,K477&lt;K$38,J$37,K477&lt;K$39,J$38,K477&lt;K$40,J$39,K477&lt;K$41,J$40,K477&lt;K$42,J$41,K477&lt;K$43,J$42,K477&lt;K$44,J$43,K477&lt;K$45,J$44,K477&lt;K$46,J$45,K477&lt;K$47,J$46,K477&gt;=K$47,J$47)</f>
        <v/>
      </c>
      <c r="K477" s="38" t="n">
        <v>427</v>
      </c>
      <c r="L477" s="31">
        <f>K477/52</f>
        <v/>
      </c>
      <c r="M477" s="39">
        <f>J477/1000000*52</f>
        <v/>
      </c>
      <c r="N477" s="33">
        <f>M477/$P$4+($I$22/$P$4)</f>
        <v/>
      </c>
      <c r="U477">
        <f>F476</f>
        <v/>
      </c>
      <c r="V477">
        <f>H476</f>
        <v/>
      </c>
      <c r="W477">
        <f>N476</f>
        <v/>
      </c>
    </row>
    <row r="478" ht="15.75" customHeight="1" s="40">
      <c r="C478" s="36">
        <f>_xlfn.IFS(E478&lt;E$24,0,E478&lt;E$26,C$24,E478&lt;E$28,C$26,E478&lt;E$30,C$28,E478&lt;E$32,C$30,E478&lt;E$34,C$32,E478&gt;=E$34,C$34)</f>
        <v/>
      </c>
      <c r="D478" s="37">
        <f>_xlfn.IFS(E478&lt;E$24,0,E478&lt;E$25,D$24,E478&lt;E$26,D$25,E478&lt;E$27,D$26,E478&lt;E$28,D$27,E478&lt;E$29,D$28,E478&lt;E$30,D$29,E478&lt;E$31,D$30,E478&lt;E$32,D$31,E478&lt;E$33,D$32,E478&lt;E$34,D$33,E478&lt;E$35,D$34,E478&gt;=E$35,D$35)</f>
        <v/>
      </c>
      <c r="E478" s="38" t="n">
        <v>428</v>
      </c>
      <c r="F478" s="31">
        <f>E478/52</f>
        <v/>
      </c>
      <c r="G478" s="39">
        <f>D478/1000000*52</f>
        <v/>
      </c>
      <c r="H478" s="33">
        <f>G478/$P$4+($C$22/$P$4)</f>
        <v/>
      </c>
      <c r="I478" s="36">
        <f>_xlfn.IFS(K478&lt;K$24,0,K478&lt;K$26,I$24,K478&lt;K$28,I$26,K478&lt;K$30,I$28,K478&lt;K$32,I$30,K478&lt;K$34,I$32,K478&lt;K$36,I$34,K478&lt;K$38,I$36,K478&lt;K$40,I$38,K478&lt;K$42,I$40,K478&lt;K$44,I$42,K478&lt;K$46,I$44,K478&gt;=K$46,I$46)</f>
        <v/>
      </c>
      <c r="J478" s="37">
        <f>_xlfn.IFS(K478&lt;K$24,0,K478&lt;K$25,J$24,K478&lt;K$26,J$25,K478&lt;K$27,J$26,K478&lt;K$28,J$27,K478&lt;K$29,J$28,K478&lt;K$30,J$29,K478&lt;K$31,J$30,K478&lt;K$32,J$31,K478&lt;K$33,J$32,K478&lt;K$34,J$33,K478&lt;K$35,J$34,K478&lt;K$36,J$35,K478&lt;K$37,J$36,K478&lt;K$38,J$37,K478&lt;K$39,J$38,K478&lt;K$40,J$39,K478&lt;K$41,J$40,K478&lt;K$42,J$41,K478&lt;K$43,J$42,K478&lt;K$44,J$43,K478&lt;K$45,J$44,K478&lt;K$46,J$45,K478&lt;K$47,J$46,K478&gt;=K$47,J$47)</f>
        <v/>
      </c>
      <c r="K478" s="38" t="n">
        <v>428</v>
      </c>
      <c r="L478" s="31">
        <f>K478/52</f>
        <v/>
      </c>
      <c r="M478" s="39">
        <f>J478/1000000*52</f>
        <v/>
      </c>
      <c r="N478" s="33">
        <f>M478/$P$4+($I$22/$P$4)</f>
        <v/>
      </c>
      <c r="U478">
        <f>F477</f>
        <v/>
      </c>
      <c r="V478">
        <f>H477</f>
        <v/>
      </c>
      <c r="W478">
        <f>N477</f>
        <v/>
      </c>
    </row>
    <row r="479" ht="15.75" customHeight="1" s="40">
      <c r="C479" s="36">
        <f>_xlfn.IFS(E479&lt;E$24,0,E479&lt;E$26,C$24,E479&lt;E$28,C$26,E479&lt;E$30,C$28,E479&lt;E$32,C$30,E479&lt;E$34,C$32,E479&gt;=E$34,C$34)</f>
        <v/>
      </c>
      <c r="D479" s="37">
        <f>_xlfn.IFS(E479&lt;E$24,0,E479&lt;E$25,D$24,E479&lt;E$26,D$25,E479&lt;E$27,D$26,E479&lt;E$28,D$27,E479&lt;E$29,D$28,E479&lt;E$30,D$29,E479&lt;E$31,D$30,E479&lt;E$32,D$31,E479&lt;E$33,D$32,E479&lt;E$34,D$33,E479&lt;E$35,D$34,E479&gt;=E$35,D$35)</f>
        <v/>
      </c>
      <c r="E479" s="38" t="n">
        <v>429</v>
      </c>
      <c r="F479" s="31">
        <f>E479/52</f>
        <v/>
      </c>
      <c r="G479" s="39">
        <f>D479/1000000*52</f>
        <v/>
      </c>
      <c r="H479" s="33">
        <f>G479/$P$4+($C$22/$P$4)</f>
        <v/>
      </c>
      <c r="I479" s="36">
        <f>_xlfn.IFS(K479&lt;K$24,0,K479&lt;K$26,I$24,K479&lt;K$28,I$26,K479&lt;K$30,I$28,K479&lt;K$32,I$30,K479&lt;K$34,I$32,K479&lt;K$36,I$34,K479&lt;K$38,I$36,K479&lt;K$40,I$38,K479&lt;K$42,I$40,K479&lt;K$44,I$42,K479&lt;K$46,I$44,K479&gt;=K$46,I$46)</f>
        <v/>
      </c>
      <c r="J479" s="37">
        <f>_xlfn.IFS(K479&lt;K$24,0,K479&lt;K$25,J$24,K479&lt;K$26,J$25,K479&lt;K$27,J$26,K479&lt;K$28,J$27,K479&lt;K$29,J$28,K479&lt;K$30,J$29,K479&lt;K$31,J$30,K479&lt;K$32,J$31,K479&lt;K$33,J$32,K479&lt;K$34,J$33,K479&lt;K$35,J$34,K479&lt;K$36,J$35,K479&lt;K$37,J$36,K479&lt;K$38,J$37,K479&lt;K$39,J$38,K479&lt;K$40,J$39,K479&lt;K$41,J$40,K479&lt;K$42,J$41,K479&lt;K$43,J$42,K479&lt;K$44,J$43,K479&lt;K$45,J$44,K479&lt;K$46,J$45,K479&lt;K$47,J$46,K479&gt;=K$47,J$47)</f>
        <v/>
      </c>
      <c r="K479" s="38" t="n">
        <v>429</v>
      </c>
      <c r="L479" s="31">
        <f>K479/52</f>
        <v/>
      </c>
      <c r="M479" s="39">
        <f>J479/1000000*52</f>
        <v/>
      </c>
      <c r="N479" s="33">
        <f>M479/$P$4+($I$22/$P$4)</f>
        <v/>
      </c>
      <c r="U479">
        <f>F478</f>
        <v/>
      </c>
      <c r="V479">
        <f>H478</f>
        <v/>
      </c>
      <c r="W479">
        <f>N478</f>
        <v/>
      </c>
    </row>
    <row r="480" ht="15.75" customHeight="1" s="40">
      <c r="C480" s="36">
        <f>_xlfn.IFS(E480&lt;E$24,0,E480&lt;E$26,C$24,E480&lt;E$28,C$26,E480&lt;E$30,C$28,E480&lt;E$32,C$30,E480&lt;E$34,C$32,E480&gt;=E$34,C$34)</f>
        <v/>
      </c>
      <c r="D480" s="37">
        <f>_xlfn.IFS(E480&lt;E$24,0,E480&lt;E$25,D$24,E480&lt;E$26,D$25,E480&lt;E$27,D$26,E480&lt;E$28,D$27,E480&lt;E$29,D$28,E480&lt;E$30,D$29,E480&lt;E$31,D$30,E480&lt;E$32,D$31,E480&lt;E$33,D$32,E480&lt;E$34,D$33,E480&lt;E$35,D$34,E480&gt;=E$35,D$35)</f>
        <v/>
      </c>
      <c r="E480" s="38" t="n">
        <v>430</v>
      </c>
      <c r="F480" s="31">
        <f>E480/52</f>
        <v/>
      </c>
      <c r="G480" s="39">
        <f>D480/1000000*52</f>
        <v/>
      </c>
      <c r="H480" s="33">
        <f>G480/$P$4+($C$22/$P$4)</f>
        <v/>
      </c>
      <c r="I480" s="36">
        <f>_xlfn.IFS(K480&lt;K$24,0,K480&lt;K$26,I$24,K480&lt;K$28,I$26,K480&lt;K$30,I$28,K480&lt;K$32,I$30,K480&lt;K$34,I$32,K480&lt;K$36,I$34,K480&lt;K$38,I$36,K480&lt;K$40,I$38,K480&lt;K$42,I$40,K480&lt;K$44,I$42,K480&lt;K$46,I$44,K480&gt;=K$46,I$46)</f>
        <v/>
      </c>
      <c r="J480" s="37">
        <f>_xlfn.IFS(K480&lt;K$24,0,K480&lt;K$25,J$24,K480&lt;K$26,J$25,K480&lt;K$27,J$26,K480&lt;K$28,J$27,K480&lt;K$29,J$28,K480&lt;K$30,J$29,K480&lt;K$31,J$30,K480&lt;K$32,J$31,K480&lt;K$33,J$32,K480&lt;K$34,J$33,K480&lt;K$35,J$34,K480&lt;K$36,J$35,K480&lt;K$37,J$36,K480&lt;K$38,J$37,K480&lt;K$39,J$38,K480&lt;K$40,J$39,K480&lt;K$41,J$40,K480&lt;K$42,J$41,K480&lt;K$43,J$42,K480&lt;K$44,J$43,K480&lt;K$45,J$44,K480&lt;K$46,J$45,K480&lt;K$47,J$46,K480&gt;=K$47,J$47)</f>
        <v/>
      </c>
      <c r="K480" s="38" t="n">
        <v>430</v>
      </c>
      <c r="L480" s="31">
        <f>K480/52</f>
        <v/>
      </c>
      <c r="M480" s="39">
        <f>J480/1000000*52</f>
        <v/>
      </c>
      <c r="N480" s="33">
        <f>M480/$P$4+($I$22/$P$4)</f>
        <v/>
      </c>
      <c r="U480">
        <f>F479</f>
        <v/>
      </c>
      <c r="V480">
        <f>H479</f>
        <v/>
      </c>
      <c r="W480">
        <f>N479</f>
        <v/>
      </c>
    </row>
    <row r="481" ht="15.75" customHeight="1" s="40">
      <c r="C481" s="36">
        <f>_xlfn.IFS(E481&lt;E$24,0,E481&lt;E$26,C$24,E481&lt;E$28,C$26,E481&lt;E$30,C$28,E481&lt;E$32,C$30,E481&lt;E$34,C$32,E481&gt;=E$34,C$34)</f>
        <v/>
      </c>
      <c r="D481" s="37">
        <f>_xlfn.IFS(E481&lt;E$24,0,E481&lt;E$25,D$24,E481&lt;E$26,D$25,E481&lt;E$27,D$26,E481&lt;E$28,D$27,E481&lt;E$29,D$28,E481&lt;E$30,D$29,E481&lt;E$31,D$30,E481&lt;E$32,D$31,E481&lt;E$33,D$32,E481&lt;E$34,D$33,E481&lt;E$35,D$34,E481&gt;=E$35,D$35)</f>
        <v/>
      </c>
      <c r="E481" s="38" t="n">
        <v>431</v>
      </c>
      <c r="F481" s="31">
        <f>E481/52</f>
        <v/>
      </c>
      <c r="G481" s="39">
        <f>D481/1000000*52</f>
        <v/>
      </c>
      <c r="H481" s="33">
        <f>G481/$P$4+($C$22/$P$4)</f>
        <v/>
      </c>
      <c r="I481" s="36">
        <f>_xlfn.IFS(K481&lt;K$24,0,K481&lt;K$26,I$24,K481&lt;K$28,I$26,K481&lt;K$30,I$28,K481&lt;K$32,I$30,K481&lt;K$34,I$32,K481&lt;K$36,I$34,K481&lt;K$38,I$36,K481&lt;K$40,I$38,K481&lt;K$42,I$40,K481&lt;K$44,I$42,K481&lt;K$46,I$44,K481&gt;=K$46,I$46)</f>
        <v/>
      </c>
      <c r="J481" s="37">
        <f>_xlfn.IFS(K481&lt;K$24,0,K481&lt;K$25,J$24,K481&lt;K$26,J$25,K481&lt;K$27,J$26,K481&lt;K$28,J$27,K481&lt;K$29,J$28,K481&lt;K$30,J$29,K481&lt;K$31,J$30,K481&lt;K$32,J$31,K481&lt;K$33,J$32,K481&lt;K$34,J$33,K481&lt;K$35,J$34,K481&lt;K$36,J$35,K481&lt;K$37,J$36,K481&lt;K$38,J$37,K481&lt;K$39,J$38,K481&lt;K$40,J$39,K481&lt;K$41,J$40,K481&lt;K$42,J$41,K481&lt;K$43,J$42,K481&lt;K$44,J$43,K481&lt;K$45,J$44,K481&lt;K$46,J$45,K481&lt;K$47,J$46,K481&gt;=K$47,J$47)</f>
        <v/>
      </c>
      <c r="K481" s="38" t="n">
        <v>431</v>
      </c>
      <c r="L481" s="31">
        <f>K481/52</f>
        <v/>
      </c>
      <c r="M481" s="39">
        <f>J481/1000000*52</f>
        <v/>
      </c>
      <c r="N481" s="33">
        <f>M481/$P$4+($I$22/$P$4)</f>
        <v/>
      </c>
      <c r="U481">
        <f>F480</f>
        <v/>
      </c>
      <c r="V481">
        <f>H480</f>
        <v/>
      </c>
      <c r="W481">
        <f>N480</f>
        <v/>
      </c>
    </row>
    <row r="482" ht="15.75" customHeight="1" s="40">
      <c r="C482" s="36">
        <f>_xlfn.IFS(E482&lt;E$24,0,E482&lt;E$26,C$24,E482&lt;E$28,C$26,E482&lt;E$30,C$28,E482&lt;E$32,C$30,E482&lt;E$34,C$32,E482&gt;=E$34,C$34)</f>
        <v/>
      </c>
      <c r="D482" s="37">
        <f>_xlfn.IFS(E482&lt;E$24,0,E482&lt;E$25,D$24,E482&lt;E$26,D$25,E482&lt;E$27,D$26,E482&lt;E$28,D$27,E482&lt;E$29,D$28,E482&lt;E$30,D$29,E482&lt;E$31,D$30,E482&lt;E$32,D$31,E482&lt;E$33,D$32,E482&lt;E$34,D$33,E482&lt;E$35,D$34,E482&gt;=E$35,D$35)</f>
        <v/>
      </c>
      <c r="E482" s="38" t="n">
        <v>432</v>
      </c>
      <c r="F482" s="31">
        <f>E482/52</f>
        <v/>
      </c>
      <c r="G482" s="39">
        <f>D482/1000000*52</f>
        <v/>
      </c>
      <c r="H482" s="33">
        <f>G482/$P$4+($C$22/$P$4)</f>
        <v/>
      </c>
      <c r="I482" s="36">
        <f>_xlfn.IFS(K482&lt;K$24,0,K482&lt;K$26,I$24,K482&lt;K$28,I$26,K482&lt;K$30,I$28,K482&lt;K$32,I$30,K482&lt;K$34,I$32,K482&lt;K$36,I$34,K482&lt;K$38,I$36,K482&lt;K$40,I$38,K482&lt;K$42,I$40,K482&lt;K$44,I$42,K482&lt;K$46,I$44,K482&gt;=K$46,I$46)</f>
        <v/>
      </c>
      <c r="J482" s="37">
        <f>_xlfn.IFS(K482&lt;K$24,0,K482&lt;K$25,J$24,K482&lt;K$26,J$25,K482&lt;K$27,J$26,K482&lt;K$28,J$27,K482&lt;K$29,J$28,K482&lt;K$30,J$29,K482&lt;K$31,J$30,K482&lt;K$32,J$31,K482&lt;K$33,J$32,K482&lt;K$34,J$33,K482&lt;K$35,J$34,K482&lt;K$36,J$35,K482&lt;K$37,J$36,K482&lt;K$38,J$37,K482&lt;K$39,J$38,K482&lt;K$40,J$39,K482&lt;K$41,J$40,K482&lt;K$42,J$41,K482&lt;K$43,J$42,K482&lt;K$44,J$43,K482&lt;K$45,J$44,K482&lt;K$46,J$45,K482&lt;K$47,J$46,K482&gt;=K$47,J$47)</f>
        <v/>
      </c>
      <c r="K482" s="38" t="n">
        <v>432</v>
      </c>
      <c r="L482" s="31">
        <f>K482/52</f>
        <v/>
      </c>
      <c r="M482" s="39">
        <f>J482/1000000*52</f>
        <v/>
      </c>
      <c r="N482" s="33">
        <f>M482/$P$4+($I$22/$P$4)</f>
        <v/>
      </c>
      <c r="U482">
        <f>F481</f>
        <v/>
      </c>
      <c r="V482">
        <f>H481</f>
        <v/>
      </c>
      <c r="W482">
        <f>N481</f>
        <v/>
      </c>
    </row>
    <row r="483" ht="15.75" customHeight="1" s="40">
      <c r="C483" s="36">
        <f>_xlfn.IFS(E483&lt;E$24,0,E483&lt;E$26,C$24,E483&lt;E$28,C$26,E483&lt;E$30,C$28,E483&lt;E$32,C$30,E483&lt;E$34,C$32,E483&gt;=E$34,C$34)</f>
        <v/>
      </c>
      <c r="D483" s="37">
        <f>_xlfn.IFS(E483&lt;E$24,0,E483&lt;E$25,D$24,E483&lt;E$26,D$25,E483&lt;E$27,D$26,E483&lt;E$28,D$27,E483&lt;E$29,D$28,E483&lt;E$30,D$29,E483&lt;E$31,D$30,E483&lt;E$32,D$31,E483&lt;E$33,D$32,E483&lt;E$34,D$33,E483&lt;E$35,D$34,E483&gt;=E$35,D$35)</f>
        <v/>
      </c>
      <c r="E483" s="38" t="n">
        <v>433</v>
      </c>
      <c r="F483" s="31">
        <f>E483/52</f>
        <v/>
      </c>
      <c r="G483" s="39">
        <f>D483/1000000*52</f>
        <v/>
      </c>
      <c r="H483" s="33">
        <f>G483/$P$4+($C$22/$P$4)</f>
        <v/>
      </c>
      <c r="I483" s="36">
        <f>_xlfn.IFS(K483&lt;K$24,0,K483&lt;K$26,I$24,K483&lt;K$28,I$26,K483&lt;K$30,I$28,K483&lt;K$32,I$30,K483&lt;K$34,I$32,K483&lt;K$36,I$34,K483&lt;K$38,I$36,K483&lt;K$40,I$38,K483&lt;K$42,I$40,K483&lt;K$44,I$42,K483&lt;K$46,I$44,K483&gt;=K$46,I$46)</f>
        <v/>
      </c>
      <c r="J483" s="37">
        <f>_xlfn.IFS(K483&lt;K$24,0,K483&lt;K$25,J$24,K483&lt;K$26,J$25,K483&lt;K$27,J$26,K483&lt;K$28,J$27,K483&lt;K$29,J$28,K483&lt;K$30,J$29,K483&lt;K$31,J$30,K483&lt;K$32,J$31,K483&lt;K$33,J$32,K483&lt;K$34,J$33,K483&lt;K$35,J$34,K483&lt;K$36,J$35,K483&lt;K$37,J$36,K483&lt;K$38,J$37,K483&lt;K$39,J$38,K483&lt;K$40,J$39,K483&lt;K$41,J$40,K483&lt;K$42,J$41,K483&lt;K$43,J$42,K483&lt;K$44,J$43,K483&lt;K$45,J$44,K483&lt;K$46,J$45,K483&lt;K$47,J$46,K483&gt;=K$47,J$47)</f>
        <v/>
      </c>
      <c r="K483" s="38" t="n">
        <v>433</v>
      </c>
      <c r="L483" s="31">
        <f>K483/52</f>
        <v/>
      </c>
      <c r="M483" s="39">
        <f>J483/1000000*52</f>
        <v/>
      </c>
      <c r="N483" s="33">
        <f>M483/$P$4+($I$22/$P$4)</f>
        <v/>
      </c>
      <c r="U483">
        <f>F482</f>
        <v/>
      </c>
      <c r="V483">
        <f>H482</f>
        <v/>
      </c>
      <c r="W483">
        <f>N482</f>
        <v/>
      </c>
    </row>
    <row r="484" ht="15.75" customHeight="1" s="40">
      <c r="C484" s="36">
        <f>_xlfn.IFS(E484&lt;E$24,0,E484&lt;E$26,C$24,E484&lt;E$28,C$26,E484&lt;E$30,C$28,E484&lt;E$32,C$30,E484&lt;E$34,C$32,E484&gt;=E$34,C$34)</f>
        <v/>
      </c>
      <c r="D484" s="37">
        <f>_xlfn.IFS(E484&lt;E$24,0,E484&lt;E$25,D$24,E484&lt;E$26,D$25,E484&lt;E$27,D$26,E484&lt;E$28,D$27,E484&lt;E$29,D$28,E484&lt;E$30,D$29,E484&lt;E$31,D$30,E484&lt;E$32,D$31,E484&lt;E$33,D$32,E484&lt;E$34,D$33,E484&lt;E$35,D$34,E484&gt;=E$35,D$35)</f>
        <v/>
      </c>
      <c r="E484" s="38" t="n">
        <v>434</v>
      </c>
      <c r="F484" s="31">
        <f>E484/52</f>
        <v/>
      </c>
      <c r="G484" s="39">
        <f>D484/1000000*52</f>
        <v/>
      </c>
      <c r="H484" s="33">
        <f>G484/$P$4+($C$22/$P$4)</f>
        <v/>
      </c>
      <c r="I484" s="36">
        <f>_xlfn.IFS(K484&lt;K$24,0,K484&lt;K$26,I$24,K484&lt;K$28,I$26,K484&lt;K$30,I$28,K484&lt;K$32,I$30,K484&lt;K$34,I$32,K484&lt;K$36,I$34,K484&lt;K$38,I$36,K484&lt;K$40,I$38,K484&lt;K$42,I$40,K484&lt;K$44,I$42,K484&lt;K$46,I$44,K484&gt;=K$46,I$46)</f>
        <v/>
      </c>
      <c r="J484" s="37">
        <f>_xlfn.IFS(K484&lt;K$24,0,K484&lt;K$25,J$24,K484&lt;K$26,J$25,K484&lt;K$27,J$26,K484&lt;K$28,J$27,K484&lt;K$29,J$28,K484&lt;K$30,J$29,K484&lt;K$31,J$30,K484&lt;K$32,J$31,K484&lt;K$33,J$32,K484&lt;K$34,J$33,K484&lt;K$35,J$34,K484&lt;K$36,J$35,K484&lt;K$37,J$36,K484&lt;K$38,J$37,K484&lt;K$39,J$38,K484&lt;K$40,J$39,K484&lt;K$41,J$40,K484&lt;K$42,J$41,K484&lt;K$43,J$42,K484&lt;K$44,J$43,K484&lt;K$45,J$44,K484&lt;K$46,J$45,K484&lt;K$47,J$46,K484&gt;=K$47,J$47)</f>
        <v/>
      </c>
      <c r="K484" s="38" t="n">
        <v>434</v>
      </c>
      <c r="L484" s="31">
        <f>K484/52</f>
        <v/>
      </c>
      <c r="M484" s="39">
        <f>J484/1000000*52</f>
        <v/>
      </c>
      <c r="N484" s="33">
        <f>M484/$P$4+($I$22/$P$4)</f>
        <v/>
      </c>
      <c r="U484">
        <f>F483</f>
        <v/>
      </c>
      <c r="V484">
        <f>H483</f>
        <v/>
      </c>
      <c r="W484">
        <f>N483</f>
        <v/>
      </c>
    </row>
    <row r="485" ht="15.75" customHeight="1" s="40">
      <c r="C485" s="36">
        <f>_xlfn.IFS(E485&lt;E$24,0,E485&lt;E$26,C$24,E485&lt;E$28,C$26,E485&lt;E$30,C$28,E485&lt;E$32,C$30,E485&lt;E$34,C$32,E485&gt;=E$34,C$34)</f>
        <v/>
      </c>
      <c r="D485" s="37">
        <f>_xlfn.IFS(E485&lt;E$24,0,E485&lt;E$25,D$24,E485&lt;E$26,D$25,E485&lt;E$27,D$26,E485&lt;E$28,D$27,E485&lt;E$29,D$28,E485&lt;E$30,D$29,E485&lt;E$31,D$30,E485&lt;E$32,D$31,E485&lt;E$33,D$32,E485&lt;E$34,D$33,E485&lt;E$35,D$34,E485&gt;=E$35,D$35)</f>
        <v/>
      </c>
      <c r="E485" s="38" t="n">
        <v>435</v>
      </c>
      <c r="F485" s="31">
        <f>E485/52</f>
        <v/>
      </c>
      <c r="G485" s="39">
        <f>D485/1000000*52</f>
        <v/>
      </c>
      <c r="H485" s="33">
        <f>G485/$P$4+($C$22/$P$4)</f>
        <v/>
      </c>
      <c r="I485" s="36">
        <f>_xlfn.IFS(K485&lt;K$24,0,K485&lt;K$26,I$24,K485&lt;K$28,I$26,K485&lt;K$30,I$28,K485&lt;K$32,I$30,K485&lt;K$34,I$32,K485&lt;K$36,I$34,K485&lt;K$38,I$36,K485&lt;K$40,I$38,K485&lt;K$42,I$40,K485&lt;K$44,I$42,K485&lt;K$46,I$44,K485&gt;=K$46,I$46)</f>
        <v/>
      </c>
      <c r="J485" s="37">
        <f>_xlfn.IFS(K485&lt;K$24,0,K485&lt;K$25,J$24,K485&lt;K$26,J$25,K485&lt;K$27,J$26,K485&lt;K$28,J$27,K485&lt;K$29,J$28,K485&lt;K$30,J$29,K485&lt;K$31,J$30,K485&lt;K$32,J$31,K485&lt;K$33,J$32,K485&lt;K$34,J$33,K485&lt;K$35,J$34,K485&lt;K$36,J$35,K485&lt;K$37,J$36,K485&lt;K$38,J$37,K485&lt;K$39,J$38,K485&lt;K$40,J$39,K485&lt;K$41,J$40,K485&lt;K$42,J$41,K485&lt;K$43,J$42,K485&lt;K$44,J$43,K485&lt;K$45,J$44,K485&lt;K$46,J$45,K485&lt;K$47,J$46,K485&gt;=K$47,J$47)</f>
        <v/>
      </c>
      <c r="K485" s="38" t="n">
        <v>435</v>
      </c>
      <c r="L485" s="31">
        <f>K485/52</f>
        <v/>
      </c>
      <c r="M485" s="39">
        <f>J485/1000000*52</f>
        <v/>
      </c>
      <c r="N485" s="33">
        <f>M485/$P$4+($I$22/$P$4)</f>
        <v/>
      </c>
      <c r="U485">
        <f>F484</f>
        <v/>
      </c>
      <c r="V485">
        <f>H484</f>
        <v/>
      </c>
      <c r="W485">
        <f>N484</f>
        <v/>
      </c>
    </row>
    <row r="486" ht="15.75" customHeight="1" s="40">
      <c r="C486" s="36">
        <f>_xlfn.IFS(E486&lt;E$24,0,E486&lt;E$26,C$24,E486&lt;E$28,C$26,E486&lt;E$30,C$28,E486&lt;E$32,C$30,E486&lt;E$34,C$32,E486&gt;=E$34,C$34)</f>
        <v/>
      </c>
      <c r="D486" s="37">
        <f>_xlfn.IFS(E486&lt;E$24,0,E486&lt;E$25,D$24,E486&lt;E$26,D$25,E486&lt;E$27,D$26,E486&lt;E$28,D$27,E486&lt;E$29,D$28,E486&lt;E$30,D$29,E486&lt;E$31,D$30,E486&lt;E$32,D$31,E486&lt;E$33,D$32,E486&lt;E$34,D$33,E486&lt;E$35,D$34,E486&gt;=E$35,D$35)</f>
        <v/>
      </c>
      <c r="E486" s="38" t="n">
        <v>436</v>
      </c>
      <c r="F486" s="31">
        <f>E486/52</f>
        <v/>
      </c>
      <c r="G486" s="39">
        <f>D486/1000000*52</f>
        <v/>
      </c>
      <c r="H486" s="33">
        <f>G486/$P$4+($C$22/$P$4)</f>
        <v/>
      </c>
      <c r="I486" s="36">
        <f>_xlfn.IFS(K486&lt;K$24,0,K486&lt;K$26,I$24,K486&lt;K$28,I$26,K486&lt;K$30,I$28,K486&lt;K$32,I$30,K486&lt;K$34,I$32,K486&lt;K$36,I$34,K486&lt;K$38,I$36,K486&lt;K$40,I$38,K486&lt;K$42,I$40,K486&lt;K$44,I$42,K486&lt;K$46,I$44,K486&gt;=K$46,I$46)</f>
        <v/>
      </c>
      <c r="J486" s="37">
        <f>_xlfn.IFS(K486&lt;K$24,0,K486&lt;K$25,J$24,K486&lt;K$26,J$25,K486&lt;K$27,J$26,K486&lt;K$28,J$27,K486&lt;K$29,J$28,K486&lt;K$30,J$29,K486&lt;K$31,J$30,K486&lt;K$32,J$31,K486&lt;K$33,J$32,K486&lt;K$34,J$33,K486&lt;K$35,J$34,K486&lt;K$36,J$35,K486&lt;K$37,J$36,K486&lt;K$38,J$37,K486&lt;K$39,J$38,K486&lt;K$40,J$39,K486&lt;K$41,J$40,K486&lt;K$42,J$41,K486&lt;K$43,J$42,K486&lt;K$44,J$43,K486&lt;K$45,J$44,K486&lt;K$46,J$45,K486&lt;K$47,J$46,K486&gt;=K$47,J$47)</f>
        <v/>
      </c>
      <c r="K486" s="38" t="n">
        <v>436</v>
      </c>
      <c r="L486" s="31">
        <f>K486/52</f>
        <v/>
      </c>
      <c r="M486" s="39">
        <f>J486/1000000*52</f>
        <v/>
      </c>
      <c r="N486" s="33">
        <f>M486/$P$4+($I$22/$P$4)</f>
        <v/>
      </c>
      <c r="U486">
        <f>F485</f>
        <v/>
      </c>
      <c r="V486">
        <f>H485</f>
        <v/>
      </c>
      <c r="W486">
        <f>N485</f>
        <v/>
      </c>
    </row>
    <row r="487" ht="15.75" customHeight="1" s="40">
      <c r="C487" s="36">
        <f>_xlfn.IFS(E487&lt;E$24,0,E487&lt;E$26,C$24,E487&lt;E$28,C$26,E487&lt;E$30,C$28,E487&lt;E$32,C$30,E487&lt;E$34,C$32,E487&gt;=E$34,C$34)</f>
        <v/>
      </c>
      <c r="D487" s="37">
        <f>_xlfn.IFS(E487&lt;E$24,0,E487&lt;E$25,D$24,E487&lt;E$26,D$25,E487&lt;E$27,D$26,E487&lt;E$28,D$27,E487&lt;E$29,D$28,E487&lt;E$30,D$29,E487&lt;E$31,D$30,E487&lt;E$32,D$31,E487&lt;E$33,D$32,E487&lt;E$34,D$33,E487&lt;E$35,D$34,E487&gt;=E$35,D$35)</f>
        <v/>
      </c>
      <c r="E487" s="38" t="n">
        <v>437</v>
      </c>
      <c r="F487" s="31">
        <f>E487/52</f>
        <v/>
      </c>
      <c r="G487" s="39">
        <f>D487/1000000*52</f>
        <v/>
      </c>
      <c r="H487" s="33">
        <f>G487/$P$4+($C$22/$P$4)</f>
        <v/>
      </c>
      <c r="I487" s="36">
        <f>_xlfn.IFS(K487&lt;K$24,0,K487&lt;K$26,I$24,K487&lt;K$28,I$26,K487&lt;K$30,I$28,K487&lt;K$32,I$30,K487&lt;K$34,I$32,K487&lt;K$36,I$34,K487&lt;K$38,I$36,K487&lt;K$40,I$38,K487&lt;K$42,I$40,K487&lt;K$44,I$42,K487&lt;K$46,I$44,K487&gt;=K$46,I$46)</f>
        <v/>
      </c>
      <c r="J487" s="37">
        <f>_xlfn.IFS(K487&lt;K$24,0,K487&lt;K$25,J$24,K487&lt;K$26,J$25,K487&lt;K$27,J$26,K487&lt;K$28,J$27,K487&lt;K$29,J$28,K487&lt;K$30,J$29,K487&lt;K$31,J$30,K487&lt;K$32,J$31,K487&lt;K$33,J$32,K487&lt;K$34,J$33,K487&lt;K$35,J$34,K487&lt;K$36,J$35,K487&lt;K$37,J$36,K487&lt;K$38,J$37,K487&lt;K$39,J$38,K487&lt;K$40,J$39,K487&lt;K$41,J$40,K487&lt;K$42,J$41,K487&lt;K$43,J$42,K487&lt;K$44,J$43,K487&lt;K$45,J$44,K487&lt;K$46,J$45,K487&lt;K$47,J$46,K487&gt;=K$47,J$47)</f>
        <v/>
      </c>
      <c r="K487" s="38" t="n">
        <v>437</v>
      </c>
      <c r="L487" s="31">
        <f>K487/52</f>
        <v/>
      </c>
      <c r="M487" s="39">
        <f>J487/1000000*52</f>
        <v/>
      </c>
      <c r="N487" s="33">
        <f>M487/$P$4+($I$22/$P$4)</f>
        <v/>
      </c>
      <c r="U487">
        <f>F486</f>
        <v/>
      </c>
      <c r="V487">
        <f>H486</f>
        <v/>
      </c>
      <c r="W487">
        <f>N486</f>
        <v/>
      </c>
    </row>
    <row r="488" ht="15.75" customHeight="1" s="40">
      <c r="C488" s="36">
        <f>_xlfn.IFS(E488&lt;E$24,0,E488&lt;E$26,C$24,E488&lt;E$28,C$26,E488&lt;E$30,C$28,E488&lt;E$32,C$30,E488&lt;E$34,C$32,E488&gt;=E$34,C$34)</f>
        <v/>
      </c>
      <c r="D488" s="37">
        <f>_xlfn.IFS(E488&lt;E$24,0,E488&lt;E$25,D$24,E488&lt;E$26,D$25,E488&lt;E$27,D$26,E488&lt;E$28,D$27,E488&lt;E$29,D$28,E488&lt;E$30,D$29,E488&lt;E$31,D$30,E488&lt;E$32,D$31,E488&lt;E$33,D$32,E488&lt;E$34,D$33,E488&lt;E$35,D$34,E488&gt;=E$35,D$35)</f>
        <v/>
      </c>
      <c r="E488" s="38" t="n">
        <v>438</v>
      </c>
      <c r="F488" s="31">
        <f>E488/52</f>
        <v/>
      </c>
      <c r="G488" s="39">
        <f>D488/1000000*52</f>
        <v/>
      </c>
      <c r="H488" s="33">
        <f>G488/$P$4+($C$22/$P$4)</f>
        <v/>
      </c>
      <c r="I488" s="36">
        <f>_xlfn.IFS(K488&lt;K$24,0,K488&lt;K$26,I$24,K488&lt;K$28,I$26,K488&lt;K$30,I$28,K488&lt;K$32,I$30,K488&lt;K$34,I$32,K488&lt;K$36,I$34,K488&lt;K$38,I$36,K488&lt;K$40,I$38,K488&lt;K$42,I$40,K488&lt;K$44,I$42,K488&lt;K$46,I$44,K488&gt;=K$46,I$46)</f>
        <v/>
      </c>
      <c r="J488" s="37">
        <f>_xlfn.IFS(K488&lt;K$24,0,K488&lt;K$25,J$24,K488&lt;K$26,J$25,K488&lt;K$27,J$26,K488&lt;K$28,J$27,K488&lt;K$29,J$28,K488&lt;K$30,J$29,K488&lt;K$31,J$30,K488&lt;K$32,J$31,K488&lt;K$33,J$32,K488&lt;K$34,J$33,K488&lt;K$35,J$34,K488&lt;K$36,J$35,K488&lt;K$37,J$36,K488&lt;K$38,J$37,K488&lt;K$39,J$38,K488&lt;K$40,J$39,K488&lt;K$41,J$40,K488&lt;K$42,J$41,K488&lt;K$43,J$42,K488&lt;K$44,J$43,K488&lt;K$45,J$44,K488&lt;K$46,J$45,K488&lt;K$47,J$46,K488&gt;=K$47,J$47)</f>
        <v/>
      </c>
      <c r="K488" s="38" t="n">
        <v>438</v>
      </c>
      <c r="L488" s="31">
        <f>K488/52</f>
        <v/>
      </c>
      <c r="M488" s="39">
        <f>J488/1000000*52</f>
        <v/>
      </c>
      <c r="N488" s="33">
        <f>M488/$P$4+($I$22/$P$4)</f>
        <v/>
      </c>
      <c r="U488">
        <f>F487</f>
        <v/>
      </c>
      <c r="V488">
        <f>H487</f>
        <v/>
      </c>
      <c r="W488">
        <f>N487</f>
        <v/>
      </c>
    </row>
    <row r="489" ht="15.75" customHeight="1" s="40">
      <c r="C489" s="36">
        <f>_xlfn.IFS(E489&lt;E$24,0,E489&lt;E$26,C$24,E489&lt;E$28,C$26,E489&lt;E$30,C$28,E489&lt;E$32,C$30,E489&lt;E$34,C$32,E489&gt;=E$34,C$34)</f>
        <v/>
      </c>
      <c r="D489" s="37">
        <f>_xlfn.IFS(E489&lt;E$24,0,E489&lt;E$25,D$24,E489&lt;E$26,D$25,E489&lt;E$27,D$26,E489&lt;E$28,D$27,E489&lt;E$29,D$28,E489&lt;E$30,D$29,E489&lt;E$31,D$30,E489&lt;E$32,D$31,E489&lt;E$33,D$32,E489&lt;E$34,D$33,E489&lt;E$35,D$34,E489&gt;=E$35,D$35)</f>
        <v/>
      </c>
      <c r="E489" s="38" t="n">
        <v>439</v>
      </c>
      <c r="F489" s="31">
        <f>E489/52</f>
        <v/>
      </c>
      <c r="G489" s="39">
        <f>D489/1000000*52</f>
        <v/>
      </c>
      <c r="H489" s="33">
        <f>G489/$P$4+($C$22/$P$4)</f>
        <v/>
      </c>
      <c r="I489" s="36">
        <f>_xlfn.IFS(K489&lt;K$24,0,K489&lt;K$26,I$24,K489&lt;K$28,I$26,K489&lt;K$30,I$28,K489&lt;K$32,I$30,K489&lt;K$34,I$32,K489&lt;K$36,I$34,K489&lt;K$38,I$36,K489&lt;K$40,I$38,K489&lt;K$42,I$40,K489&lt;K$44,I$42,K489&lt;K$46,I$44,K489&gt;=K$46,I$46)</f>
        <v/>
      </c>
      <c r="J489" s="37">
        <f>_xlfn.IFS(K489&lt;K$24,0,K489&lt;K$25,J$24,K489&lt;K$26,J$25,K489&lt;K$27,J$26,K489&lt;K$28,J$27,K489&lt;K$29,J$28,K489&lt;K$30,J$29,K489&lt;K$31,J$30,K489&lt;K$32,J$31,K489&lt;K$33,J$32,K489&lt;K$34,J$33,K489&lt;K$35,J$34,K489&lt;K$36,J$35,K489&lt;K$37,J$36,K489&lt;K$38,J$37,K489&lt;K$39,J$38,K489&lt;K$40,J$39,K489&lt;K$41,J$40,K489&lt;K$42,J$41,K489&lt;K$43,J$42,K489&lt;K$44,J$43,K489&lt;K$45,J$44,K489&lt;K$46,J$45,K489&lt;K$47,J$46,K489&gt;=K$47,J$47)</f>
        <v/>
      </c>
      <c r="K489" s="38" t="n">
        <v>439</v>
      </c>
      <c r="L489" s="31">
        <f>K489/52</f>
        <v/>
      </c>
      <c r="M489" s="39">
        <f>J489/1000000*52</f>
        <v/>
      </c>
      <c r="N489" s="33">
        <f>M489/$P$4+($I$22/$P$4)</f>
        <v/>
      </c>
      <c r="U489">
        <f>F488</f>
        <v/>
      </c>
      <c r="V489">
        <f>H488</f>
        <v/>
      </c>
      <c r="W489">
        <f>N488</f>
        <v/>
      </c>
    </row>
    <row r="490" ht="15.75" customHeight="1" s="40">
      <c r="C490" s="36">
        <f>_xlfn.IFS(E490&lt;E$24,0,E490&lt;E$26,C$24,E490&lt;E$28,C$26,E490&lt;E$30,C$28,E490&lt;E$32,C$30,E490&lt;E$34,C$32,E490&gt;=E$34,C$34)</f>
        <v/>
      </c>
      <c r="D490" s="37">
        <f>_xlfn.IFS(E490&lt;E$24,0,E490&lt;E$25,D$24,E490&lt;E$26,D$25,E490&lt;E$27,D$26,E490&lt;E$28,D$27,E490&lt;E$29,D$28,E490&lt;E$30,D$29,E490&lt;E$31,D$30,E490&lt;E$32,D$31,E490&lt;E$33,D$32,E490&lt;E$34,D$33,E490&lt;E$35,D$34,E490&gt;=E$35,D$35)</f>
        <v/>
      </c>
      <c r="E490" s="38" t="n">
        <v>440</v>
      </c>
      <c r="F490" s="31">
        <f>E490/52</f>
        <v/>
      </c>
      <c r="G490" s="39">
        <f>D490/1000000*52</f>
        <v/>
      </c>
      <c r="H490" s="33">
        <f>G490/$P$4+($C$22/$P$4)</f>
        <v/>
      </c>
      <c r="I490" s="36">
        <f>_xlfn.IFS(K490&lt;K$24,0,K490&lt;K$26,I$24,K490&lt;K$28,I$26,K490&lt;K$30,I$28,K490&lt;K$32,I$30,K490&lt;K$34,I$32,K490&lt;K$36,I$34,K490&lt;K$38,I$36,K490&lt;K$40,I$38,K490&lt;K$42,I$40,K490&lt;K$44,I$42,K490&lt;K$46,I$44,K490&gt;=K$46,I$46)</f>
        <v/>
      </c>
      <c r="J490" s="37">
        <f>_xlfn.IFS(K490&lt;K$24,0,K490&lt;K$25,J$24,K490&lt;K$26,J$25,K490&lt;K$27,J$26,K490&lt;K$28,J$27,K490&lt;K$29,J$28,K490&lt;K$30,J$29,K490&lt;K$31,J$30,K490&lt;K$32,J$31,K490&lt;K$33,J$32,K490&lt;K$34,J$33,K490&lt;K$35,J$34,K490&lt;K$36,J$35,K490&lt;K$37,J$36,K490&lt;K$38,J$37,K490&lt;K$39,J$38,K490&lt;K$40,J$39,K490&lt;K$41,J$40,K490&lt;K$42,J$41,K490&lt;K$43,J$42,K490&lt;K$44,J$43,K490&lt;K$45,J$44,K490&lt;K$46,J$45,K490&lt;K$47,J$46,K490&gt;=K$47,J$47)</f>
        <v/>
      </c>
      <c r="K490" s="38" t="n">
        <v>440</v>
      </c>
      <c r="L490" s="31">
        <f>K490/52</f>
        <v/>
      </c>
      <c r="M490" s="39">
        <f>J490/1000000*52</f>
        <v/>
      </c>
      <c r="N490" s="33">
        <f>M490/$P$4+($I$22/$P$4)</f>
        <v/>
      </c>
      <c r="U490">
        <f>F489</f>
        <v/>
      </c>
      <c r="V490">
        <f>H489</f>
        <v/>
      </c>
      <c r="W490">
        <f>N489</f>
        <v/>
      </c>
    </row>
    <row r="491" ht="15.75" customHeight="1" s="40">
      <c r="C491" s="36">
        <f>_xlfn.IFS(E491&lt;E$24,0,E491&lt;E$26,C$24,E491&lt;E$28,C$26,E491&lt;E$30,C$28,E491&lt;E$32,C$30,E491&lt;E$34,C$32,E491&gt;=E$34,C$34)</f>
        <v/>
      </c>
      <c r="D491" s="37">
        <f>_xlfn.IFS(E491&lt;E$24,0,E491&lt;E$25,D$24,E491&lt;E$26,D$25,E491&lt;E$27,D$26,E491&lt;E$28,D$27,E491&lt;E$29,D$28,E491&lt;E$30,D$29,E491&lt;E$31,D$30,E491&lt;E$32,D$31,E491&lt;E$33,D$32,E491&lt;E$34,D$33,E491&lt;E$35,D$34,E491&gt;=E$35,D$35)</f>
        <v/>
      </c>
      <c r="E491" s="38" t="n">
        <v>441</v>
      </c>
      <c r="F491" s="31">
        <f>E491/52</f>
        <v/>
      </c>
      <c r="G491" s="39">
        <f>D491/1000000*52</f>
        <v/>
      </c>
      <c r="H491" s="33">
        <f>G491/$P$4+($C$22/$P$4)</f>
        <v/>
      </c>
      <c r="I491" s="36">
        <f>_xlfn.IFS(K491&lt;K$24,0,K491&lt;K$26,I$24,K491&lt;K$28,I$26,K491&lt;K$30,I$28,K491&lt;K$32,I$30,K491&lt;K$34,I$32,K491&lt;K$36,I$34,K491&lt;K$38,I$36,K491&lt;K$40,I$38,K491&lt;K$42,I$40,K491&lt;K$44,I$42,K491&lt;K$46,I$44,K491&gt;=K$46,I$46)</f>
        <v/>
      </c>
      <c r="J491" s="37">
        <f>_xlfn.IFS(K491&lt;K$24,0,K491&lt;K$25,J$24,K491&lt;K$26,J$25,K491&lt;K$27,J$26,K491&lt;K$28,J$27,K491&lt;K$29,J$28,K491&lt;K$30,J$29,K491&lt;K$31,J$30,K491&lt;K$32,J$31,K491&lt;K$33,J$32,K491&lt;K$34,J$33,K491&lt;K$35,J$34,K491&lt;K$36,J$35,K491&lt;K$37,J$36,K491&lt;K$38,J$37,K491&lt;K$39,J$38,K491&lt;K$40,J$39,K491&lt;K$41,J$40,K491&lt;K$42,J$41,K491&lt;K$43,J$42,K491&lt;K$44,J$43,K491&lt;K$45,J$44,K491&lt;K$46,J$45,K491&lt;K$47,J$46,K491&gt;=K$47,J$47)</f>
        <v/>
      </c>
      <c r="K491" s="38" t="n">
        <v>441</v>
      </c>
      <c r="L491" s="31">
        <f>K491/52</f>
        <v/>
      </c>
      <c r="M491" s="39">
        <f>J491/1000000*52</f>
        <v/>
      </c>
      <c r="N491" s="33">
        <f>M491/$P$4+($I$22/$P$4)</f>
        <v/>
      </c>
      <c r="U491">
        <f>F490</f>
        <v/>
      </c>
      <c r="V491">
        <f>H490</f>
        <v/>
      </c>
      <c r="W491">
        <f>N490</f>
        <v/>
      </c>
    </row>
    <row r="492" ht="15.75" customHeight="1" s="40">
      <c r="C492" s="36">
        <f>_xlfn.IFS(E492&lt;E$24,0,E492&lt;E$26,C$24,E492&lt;E$28,C$26,E492&lt;E$30,C$28,E492&lt;E$32,C$30,E492&lt;E$34,C$32,E492&gt;=E$34,C$34)</f>
        <v/>
      </c>
      <c r="D492" s="37">
        <f>_xlfn.IFS(E492&lt;E$24,0,E492&lt;E$25,D$24,E492&lt;E$26,D$25,E492&lt;E$27,D$26,E492&lt;E$28,D$27,E492&lt;E$29,D$28,E492&lt;E$30,D$29,E492&lt;E$31,D$30,E492&lt;E$32,D$31,E492&lt;E$33,D$32,E492&lt;E$34,D$33,E492&lt;E$35,D$34,E492&gt;=E$35,D$35)</f>
        <v/>
      </c>
      <c r="E492" s="38" t="n">
        <v>442</v>
      </c>
      <c r="F492" s="31">
        <f>E492/52</f>
        <v/>
      </c>
      <c r="G492" s="39">
        <f>D492/1000000*52</f>
        <v/>
      </c>
      <c r="H492" s="33">
        <f>G492/$P$4+($C$22/$P$4)</f>
        <v/>
      </c>
      <c r="I492" s="36">
        <f>_xlfn.IFS(K492&lt;K$24,0,K492&lt;K$26,I$24,K492&lt;K$28,I$26,K492&lt;K$30,I$28,K492&lt;K$32,I$30,K492&lt;K$34,I$32,K492&lt;K$36,I$34,K492&lt;K$38,I$36,K492&lt;K$40,I$38,K492&lt;K$42,I$40,K492&lt;K$44,I$42,K492&lt;K$46,I$44,K492&gt;=K$46,I$46)</f>
        <v/>
      </c>
      <c r="J492" s="37">
        <f>_xlfn.IFS(K492&lt;K$24,0,K492&lt;K$25,J$24,K492&lt;K$26,J$25,K492&lt;K$27,J$26,K492&lt;K$28,J$27,K492&lt;K$29,J$28,K492&lt;K$30,J$29,K492&lt;K$31,J$30,K492&lt;K$32,J$31,K492&lt;K$33,J$32,K492&lt;K$34,J$33,K492&lt;K$35,J$34,K492&lt;K$36,J$35,K492&lt;K$37,J$36,K492&lt;K$38,J$37,K492&lt;K$39,J$38,K492&lt;K$40,J$39,K492&lt;K$41,J$40,K492&lt;K$42,J$41,K492&lt;K$43,J$42,K492&lt;K$44,J$43,K492&lt;K$45,J$44,K492&lt;K$46,J$45,K492&lt;K$47,J$46,K492&gt;=K$47,J$47)</f>
        <v/>
      </c>
      <c r="K492" s="38" t="n">
        <v>442</v>
      </c>
      <c r="L492" s="31">
        <f>K492/52</f>
        <v/>
      </c>
      <c r="M492" s="39">
        <f>J492/1000000*52</f>
        <v/>
      </c>
      <c r="N492" s="33">
        <f>M492/$P$4+($I$22/$P$4)</f>
        <v/>
      </c>
      <c r="U492">
        <f>F491</f>
        <v/>
      </c>
      <c r="V492">
        <f>H491</f>
        <v/>
      </c>
      <c r="W492">
        <f>N491</f>
        <v/>
      </c>
    </row>
    <row r="493" ht="15.75" customHeight="1" s="40">
      <c r="C493" s="36">
        <f>_xlfn.IFS(E493&lt;E$24,0,E493&lt;E$26,C$24,E493&lt;E$28,C$26,E493&lt;E$30,C$28,E493&lt;E$32,C$30,E493&lt;E$34,C$32,E493&gt;=E$34,C$34)</f>
        <v/>
      </c>
      <c r="D493" s="37">
        <f>_xlfn.IFS(E493&lt;E$24,0,E493&lt;E$25,D$24,E493&lt;E$26,D$25,E493&lt;E$27,D$26,E493&lt;E$28,D$27,E493&lt;E$29,D$28,E493&lt;E$30,D$29,E493&lt;E$31,D$30,E493&lt;E$32,D$31,E493&lt;E$33,D$32,E493&lt;E$34,D$33,E493&lt;E$35,D$34,E493&gt;=E$35,D$35)</f>
        <v/>
      </c>
      <c r="E493" s="38" t="n">
        <v>443</v>
      </c>
      <c r="F493" s="31">
        <f>E493/52</f>
        <v/>
      </c>
      <c r="G493" s="39">
        <f>D493/1000000*52</f>
        <v/>
      </c>
      <c r="H493" s="33">
        <f>G493/$P$4+($C$22/$P$4)</f>
        <v/>
      </c>
      <c r="I493" s="36">
        <f>_xlfn.IFS(K493&lt;K$24,0,K493&lt;K$26,I$24,K493&lt;K$28,I$26,K493&lt;K$30,I$28,K493&lt;K$32,I$30,K493&lt;K$34,I$32,K493&lt;K$36,I$34,K493&lt;K$38,I$36,K493&lt;K$40,I$38,K493&lt;K$42,I$40,K493&lt;K$44,I$42,K493&lt;K$46,I$44,K493&gt;=K$46,I$46)</f>
        <v/>
      </c>
      <c r="J493" s="37">
        <f>_xlfn.IFS(K493&lt;K$24,0,K493&lt;K$25,J$24,K493&lt;K$26,J$25,K493&lt;K$27,J$26,K493&lt;K$28,J$27,K493&lt;K$29,J$28,K493&lt;K$30,J$29,K493&lt;K$31,J$30,K493&lt;K$32,J$31,K493&lt;K$33,J$32,K493&lt;K$34,J$33,K493&lt;K$35,J$34,K493&lt;K$36,J$35,K493&lt;K$37,J$36,K493&lt;K$38,J$37,K493&lt;K$39,J$38,K493&lt;K$40,J$39,K493&lt;K$41,J$40,K493&lt;K$42,J$41,K493&lt;K$43,J$42,K493&lt;K$44,J$43,K493&lt;K$45,J$44,K493&lt;K$46,J$45,K493&lt;K$47,J$46,K493&gt;=K$47,J$47)</f>
        <v/>
      </c>
      <c r="K493" s="38" t="n">
        <v>443</v>
      </c>
      <c r="L493" s="31">
        <f>K493/52</f>
        <v/>
      </c>
      <c r="M493" s="39">
        <f>J493/1000000*52</f>
        <v/>
      </c>
      <c r="N493" s="33">
        <f>M493/$P$4+($I$22/$P$4)</f>
        <v/>
      </c>
      <c r="U493">
        <f>F492</f>
        <v/>
      </c>
      <c r="V493">
        <f>H492</f>
        <v/>
      </c>
      <c r="W493">
        <f>N492</f>
        <v/>
      </c>
    </row>
    <row r="494" ht="15.75" customHeight="1" s="40">
      <c r="C494" s="36">
        <f>_xlfn.IFS(E494&lt;E$24,0,E494&lt;E$26,C$24,E494&lt;E$28,C$26,E494&lt;E$30,C$28,E494&lt;E$32,C$30,E494&lt;E$34,C$32,E494&gt;=E$34,C$34)</f>
        <v/>
      </c>
      <c r="D494" s="37">
        <f>_xlfn.IFS(E494&lt;E$24,0,E494&lt;E$25,D$24,E494&lt;E$26,D$25,E494&lt;E$27,D$26,E494&lt;E$28,D$27,E494&lt;E$29,D$28,E494&lt;E$30,D$29,E494&lt;E$31,D$30,E494&lt;E$32,D$31,E494&lt;E$33,D$32,E494&lt;E$34,D$33,E494&lt;E$35,D$34,E494&gt;=E$35,D$35)</f>
        <v/>
      </c>
      <c r="E494" s="38" t="n">
        <v>444</v>
      </c>
      <c r="F494" s="31">
        <f>E494/52</f>
        <v/>
      </c>
      <c r="G494" s="39">
        <f>D494/1000000*52</f>
        <v/>
      </c>
      <c r="H494" s="33">
        <f>G494/$P$4+($C$22/$P$4)</f>
        <v/>
      </c>
      <c r="I494" s="36">
        <f>_xlfn.IFS(K494&lt;K$24,0,K494&lt;K$26,I$24,K494&lt;K$28,I$26,K494&lt;K$30,I$28,K494&lt;K$32,I$30,K494&lt;K$34,I$32,K494&lt;K$36,I$34,K494&lt;K$38,I$36,K494&lt;K$40,I$38,K494&lt;K$42,I$40,K494&lt;K$44,I$42,K494&lt;K$46,I$44,K494&gt;=K$46,I$46)</f>
        <v/>
      </c>
      <c r="J494" s="37">
        <f>_xlfn.IFS(K494&lt;K$24,0,K494&lt;K$25,J$24,K494&lt;K$26,J$25,K494&lt;K$27,J$26,K494&lt;K$28,J$27,K494&lt;K$29,J$28,K494&lt;K$30,J$29,K494&lt;K$31,J$30,K494&lt;K$32,J$31,K494&lt;K$33,J$32,K494&lt;K$34,J$33,K494&lt;K$35,J$34,K494&lt;K$36,J$35,K494&lt;K$37,J$36,K494&lt;K$38,J$37,K494&lt;K$39,J$38,K494&lt;K$40,J$39,K494&lt;K$41,J$40,K494&lt;K$42,J$41,K494&lt;K$43,J$42,K494&lt;K$44,J$43,K494&lt;K$45,J$44,K494&lt;K$46,J$45,K494&lt;K$47,J$46,K494&gt;=K$47,J$47)</f>
        <v/>
      </c>
      <c r="K494" s="38" t="n">
        <v>444</v>
      </c>
      <c r="L494" s="31">
        <f>K494/52</f>
        <v/>
      </c>
      <c r="M494" s="39">
        <f>J494/1000000*52</f>
        <v/>
      </c>
      <c r="N494" s="33">
        <f>M494/$P$4+($I$22/$P$4)</f>
        <v/>
      </c>
      <c r="U494">
        <f>F493</f>
        <v/>
      </c>
      <c r="V494">
        <f>H493</f>
        <v/>
      </c>
      <c r="W494">
        <f>N493</f>
        <v/>
      </c>
    </row>
    <row r="495" ht="15.75" customHeight="1" s="40">
      <c r="C495" s="36">
        <f>_xlfn.IFS(E495&lt;E$24,0,E495&lt;E$26,C$24,E495&lt;E$28,C$26,E495&lt;E$30,C$28,E495&lt;E$32,C$30,E495&lt;E$34,C$32,E495&gt;=E$34,C$34)</f>
        <v/>
      </c>
      <c r="D495" s="37">
        <f>_xlfn.IFS(E495&lt;E$24,0,E495&lt;E$25,D$24,E495&lt;E$26,D$25,E495&lt;E$27,D$26,E495&lt;E$28,D$27,E495&lt;E$29,D$28,E495&lt;E$30,D$29,E495&lt;E$31,D$30,E495&lt;E$32,D$31,E495&lt;E$33,D$32,E495&lt;E$34,D$33,E495&lt;E$35,D$34,E495&gt;=E$35,D$35)</f>
        <v/>
      </c>
      <c r="E495" s="38" t="n">
        <v>445</v>
      </c>
      <c r="F495" s="31">
        <f>E495/52</f>
        <v/>
      </c>
      <c r="G495" s="39">
        <f>D495/1000000*52</f>
        <v/>
      </c>
      <c r="H495" s="33">
        <f>G495/$P$4+($C$22/$P$4)</f>
        <v/>
      </c>
      <c r="I495" s="36">
        <f>_xlfn.IFS(K495&lt;K$24,0,K495&lt;K$26,I$24,K495&lt;K$28,I$26,K495&lt;K$30,I$28,K495&lt;K$32,I$30,K495&lt;K$34,I$32,K495&lt;K$36,I$34,K495&lt;K$38,I$36,K495&lt;K$40,I$38,K495&lt;K$42,I$40,K495&lt;K$44,I$42,K495&lt;K$46,I$44,K495&gt;=K$46,I$46)</f>
        <v/>
      </c>
      <c r="J495" s="37">
        <f>_xlfn.IFS(K495&lt;K$24,0,K495&lt;K$25,J$24,K495&lt;K$26,J$25,K495&lt;K$27,J$26,K495&lt;K$28,J$27,K495&lt;K$29,J$28,K495&lt;K$30,J$29,K495&lt;K$31,J$30,K495&lt;K$32,J$31,K495&lt;K$33,J$32,K495&lt;K$34,J$33,K495&lt;K$35,J$34,K495&lt;K$36,J$35,K495&lt;K$37,J$36,K495&lt;K$38,J$37,K495&lt;K$39,J$38,K495&lt;K$40,J$39,K495&lt;K$41,J$40,K495&lt;K$42,J$41,K495&lt;K$43,J$42,K495&lt;K$44,J$43,K495&lt;K$45,J$44,K495&lt;K$46,J$45,K495&lt;K$47,J$46,K495&gt;=K$47,J$47)</f>
        <v/>
      </c>
      <c r="K495" s="38" t="n">
        <v>445</v>
      </c>
      <c r="L495" s="31">
        <f>K495/52</f>
        <v/>
      </c>
      <c r="M495" s="39">
        <f>J495/1000000*52</f>
        <v/>
      </c>
      <c r="N495" s="33">
        <f>M495/$P$4+($I$22/$P$4)</f>
        <v/>
      </c>
      <c r="U495">
        <f>F494</f>
        <v/>
      </c>
      <c r="V495">
        <f>H494</f>
        <v/>
      </c>
      <c r="W495">
        <f>N494</f>
        <v/>
      </c>
    </row>
    <row r="496" ht="15.75" customHeight="1" s="40">
      <c r="C496" s="36">
        <f>_xlfn.IFS(E496&lt;E$24,0,E496&lt;E$26,C$24,E496&lt;E$28,C$26,E496&lt;E$30,C$28,E496&lt;E$32,C$30,E496&lt;E$34,C$32,E496&gt;=E$34,C$34)</f>
        <v/>
      </c>
      <c r="D496" s="37">
        <f>_xlfn.IFS(E496&lt;E$24,0,E496&lt;E$25,D$24,E496&lt;E$26,D$25,E496&lt;E$27,D$26,E496&lt;E$28,D$27,E496&lt;E$29,D$28,E496&lt;E$30,D$29,E496&lt;E$31,D$30,E496&lt;E$32,D$31,E496&lt;E$33,D$32,E496&lt;E$34,D$33,E496&lt;E$35,D$34,E496&gt;=E$35,D$35)</f>
        <v/>
      </c>
      <c r="E496" s="38" t="n">
        <v>446</v>
      </c>
      <c r="F496" s="31">
        <f>E496/52</f>
        <v/>
      </c>
      <c r="G496" s="39">
        <f>D496/1000000*52</f>
        <v/>
      </c>
      <c r="H496" s="33">
        <f>G496/$P$4+($C$22/$P$4)</f>
        <v/>
      </c>
      <c r="I496" s="36">
        <f>_xlfn.IFS(K496&lt;K$24,0,K496&lt;K$26,I$24,K496&lt;K$28,I$26,K496&lt;K$30,I$28,K496&lt;K$32,I$30,K496&lt;K$34,I$32,K496&lt;K$36,I$34,K496&lt;K$38,I$36,K496&lt;K$40,I$38,K496&lt;K$42,I$40,K496&lt;K$44,I$42,K496&lt;K$46,I$44,K496&gt;=K$46,I$46)</f>
        <v/>
      </c>
      <c r="J496" s="37">
        <f>_xlfn.IFS(K496&lt;K$24,0,K496&lt;K$25,J$24,K496&lt;K$26,J$25,K496&lt;K$27,J$26,K496&lt;K$28,J$27,K496&lt;K$29,J$28,K496&lt;K$30,J$29,K496&lt;K$31,J$30,K496&lt;K$32,J$31,K496&lt;K$33,J$32,K496&lt;K$34,J$33,K496&lt;K$35,J$34,K496&lt;K$36,J$35,K496&lt;K$37,J$36,K496&lt;K$38,J$37,K496&lt;K$39,J$38,K496&lt;K$40,J$39,K496&lt;K$41,J$40,K496&lt;K$42,J$41,K496&lt;K$43,J$42,K496&lt;K$44,J$43,K496&lt;K$45,J$44,K496&lt;K$46,J$45,K496&lt;K$47,J$46,K496&gt;=K$47,J$47)</f>
        <v/>
      </c>
      <c r="K496" s="38" t="n">
        <v>446</v>
      </c>
      <c r="L496" s="31">
        <f>K496/52</f>
        <v/>
      </c>
      <c r="M496" s="39">
        <f>J496/1000000*52</f>
        <v/>
      </c>
      <c r="N496" s="33">
        <f>M496/$P$4+($I$22/$P$4)</f>
        <v/>
      </c>
      <c r="U496">
        <f>F495</f>
        <v/>
      </c>
      <c r="V496">
        <f>H495</f>
        <v/>
      </c>
      <c r="W496">
        <f>N495</f>
        <v/>
      </c>
    </row>
    <row r="497" ht="15.75" customHeight="1" s="40">
      <c r="C497" s="36">
        <f>_xlfn.IFS(E497&lt;E$24,0,E497&lt;E$26,C$24,E497&lt;E$28,C$26,E497&lt;E$30,C$28,E497&lt;E$32,C$30,E497&lt;E$34,C$32,E497&gt;=E$34,C$34)</f>
        <v/>
      </c>
      <c r="D497" s="37">
        <f>_xlfn.IFS(E497&lt;E$24,0,E497&lt;E$25,D$24,E497&lt;E$26,D$25,E497&lt;E$27,D$26,E497&lt;E$28,D$27,E497&lt;E$29,D$28,E497&lt;E$30,D$29,E497&lt;E$31,D$30,E497&lt;E$32,D$31,E497&lt;E$33,D$32,E497&lt;E$34,D$33,E497&lt;E$35,D$34,E497&gt;=E$35,D$35)</f>
        <v/>
      </c>
      <c r="E497" s="38" t="n">
        <v>447</v>
      </c>
      <c r="F497" s="31">
        <f>E497/52</f>
        <v/>
      </c>
      <c r="G497" s="39">
        <f>D497/1000000*52</f>
        <v/>
      </c>
      <c r="H497" s="33">
        <f>G497/$P$4+($C$22/$P$4)</f>
        <v/>
      </c>
      <c r="I497" s="36">
        <f>_xlfn.IFS(K497&lt;K$24,0,K497&lt;K$26,I$24,K497&lt;K$28,I$26,K497&lt;K$30,I$28,K497&lt;K$32,I$30,K497&lt;K$34,I$32,K497&lt;K$36,I$34,K497&lt;K$38,I$36,K497&lt;K$40,I$38,K497&lt;K$42,I$40,K497&lt;K$44,I$42,K497&lt;K$46,I$44,K497&gt;=K$46,I$46)</f>
        <v/>
      </c>
      <c r="J497" s="37">
        <f>_xlfn.IFS(K497&lt;K$24,0,K497&lt;K$25,J$24,K497&lt;K$26,J$25,K497&lt;K$27,J$26,K497&lt;K$28,J$27,K497&lt;K$29,J$28,K497&lt;K$30,J$29,K497&lt;K$31,J$30,K497&lt;K$32,J$31,K497&lt;K$33,J$32,K497&lt;K$34,J$33,K497&lt;K$35,J$34,K497&lt;K$36,J$35,K497&lt;K$37,J$36,K497&lt;K$38,J$37,K497&lt;K$39,J$38,K497&lt;K$40,J$39,K497&lt;K$41,J$40,K497&lt;K$42,J$41,K497&lt;K$43,J$42,K497&lt;K$44,J$43,K497&lt;K$45,J$44,K497&lt;K$46,J$45,K497&lt;K$47,J$46,K497&gt;=K$47,J$47)</f>
        <v/>
      </c>
      <c r="K497" s="38" t="n">
        <v>447</v>
      </c>
      <c r="L497" s="31">
        <f>K497/52</f>
        <v/>
      </c>
      <c r="M497" s="39">
        <f>J497/1000000*52</f>
        <v/>
      </c>
      <c r="N497" s="33">
        <f>M497/$P$4+($I$22/$P$4)</f>
        <v/>
      </c>
      <c r="U497">
        <f>F496</f>
        <v/>
      </c>
      <c r="V497">
        <f>H496</f>
        <v/>
      </c>
      <c r="W497">
        <f>N496</f>
        <v/>
      </c>
    </row>
    <row r="498" ht="15.75" customHeight="1" s="40">
      <c r="C498" s="36">
        <f>_xlfn.IFS(E498&lt;E$24,0,E498&lt;E$26,C$24,E498&lt;E$28,C$26,E498&lt;E$30,C$28,E498&lt;E$32,C$30,E498&lt;E$34,C$32,E498&gt;=E$34,C$34)</f>
        <v/>
      </c>
      <c r="D498" s="37">
        <f>_xlfn.IFS(E498&lt;E$24,0,E498&lt;E$25,D$24,E498&lt;E$26,D$25,E498&lt;E$27,D$26,E498&lt;E$28,D$27,E498&lt;E$29,D$28,E498&lt;E$30,D$29,E498&lt;E$31,D$30,E498&lt;E$32,D$31,E498&lt;E$33,D$32,E498&lt;E$34,D$33,E498&lt;E$35,D$34,E498&gt;=E$35,D$35)</f>
        <v/>
      </c>
      <c r="E498" s="38" t="n">
        <v>448</v>
      </c>
      <c r="F498" s="31">
        <f>E498/52</f>
        <v/>
      </c>
      <c r="G498" s="39">
        <f>D498/1000000*52</f>
        <v/>
      </c>
      <c r="H498" s="33">
        <f>G498/$P$4+($C$22/$P$4)</f>
        <v/>
      </c>
      <c r="I498" s="36">
        <f>_xlfn.IFS(K498&lt;K$24,0,K498&lt;K$26,I$24,K498&lt;K$28,I$26,K498&lt;K$30,I$28,K498&lt;K$32,I$30,K498&lt;K$34,I$32,K498&lt;K$36,I$34,K498&lt;K$38,I$36,K498&lt;K$40,I$38,K498&lt;K$42,I$40,K498&lt;K$44,I$42,K498&lt;K$46,I$44,K498&gt;=K$46,I$46)</f>
        <v/>
      </c>
      <c r="J498" s="37">
        <f>_xlfn.IFS(K498&lt;K$24,0,K498&lt;K$25,J$24,K498&lt;K$26,J$25,K498&lt;K$27,J$26,K498&lt;K$28,J$27,K498&lt;K$29,J$28,K498&lt;K$30,J$29,K498&lt;K$31,J$30,K498&lt;K$32,J$31,K498&lt;K$33,J$32,K498&lt;K$34,J$33,K498&lt;K$35,J$34,K498&lt;K$36,J$35,K498&lt;K$37,J$36,K498&lt;K$38,J$37,K498&lt;K$39,J$38,K498&lt;K$40,J$39,K498&lt;K$41,J$40,K498&lt;K$42,J$41,K498&lt;K$43,J$42,K498&lt;K$44,J$43,K498&lt;K$45,J$44,K498&lt;K$46,J$45,K498&lt;K$47,J$46,K498&gt;=K$47,J$47)</f>
        <v/>
      </c>
      <c r="K498" s="38" t="n">
        <v>448</v>
      </c>
      <c r="L498" s="31">
        <f>K498/52</f>
        <v/>
      </c>
      <c r="M498" s="39">
        <f>J498/1000000*52</f>
        <v/>
      </c>
      <c r="N498" s="33">
        <f>M498/$P$4+($I$22/$P$4)</f>
        <v/>
      </c>
      <c r="U498">
        <f>F497</f>
        <v/>
      </c>
      <c r="V498">
        <f>H497</f>
        <v/>
      </c>
      <c r="W498">
        <f>N497</f>
        <v/>
      </c>
    </row>
    <row r="499" ht="15.75" customHeight="1" s="40">
      <c r="C499" s="36">
        <f>_xlfn.IFS(E499&lt;E$24,0,E499&lt;E$26,C$24,E499&lt;E$28,C$26,E499&lt;E$30,C$28,E499&lt;E$32,C$30,E499&lt;E$34,C$32,E499&gt;=E$34,C$34)</f>
        <v/>
      </c>
      <c r="D499" s="37">
        <f>_xlfn.IFS(E499&lt;E$24,0,E499&lt;E$25,D$24,E499&lt;E$26,D$25,E499&lt;E$27,D$26,E499&lt;E$28,D$27,E499&lt;E$29,D$28,E499&lt;E$30,D$29,E499&lt;E$31,D$30,E499&lt;E$32,D$31,E499&lt;E$33,D$32,E499&lt;E$34,D$33,E499&lt;E$35,D$34,E499&gt;=E$35,D$35)</f>
        <v/>
      </c>
      <c r="E499" s="38" t="n">
        <v>449</v>
      </c>
      <c r="F499" s="31">
        <f>E499/52</f>
        <v/>
      </c>
      <c r="G499" s="39">
        <f>D499/1000000*52</f>
        <v/>
      </c>
      <c r="H499" s="33">
        <f>G499/$P$4+($C$22/$P$4)</f>
        <v/>
      </c>
      <c r="I499" s="36">
        <f>_xlfn.IFS(K499&lt;K$24,0,K499&lt;K$26,I$24,K499&lt;K$28,I$26,K499&lt;K$30,I$28,K499&lt;K$32,I$30,K499&lt;K$34,I$32,K499&lt;K$36,I$34,K499&lt;K$38,I$36,K499&lt;K$40,I$38,K499&lt;K$42,I$40,K499&lt;K$44,I$42,K499&lt;K$46,I$44,K499&gt;=K$46,I$46)</f>
        <v/>
      </c>
      <c r="J499" s="37">
        <f>_xlfn.IFS(K499&lt;K$24,0,K499&lt;K$25,J$24,K499&lt;K$26,J$25,K499&lt;K$27,J$26,K499&lt;K$28,J$27,K499&lt;K$29,J$28,K499&lt;K$30,J$29,K499&lt;K$31,J$30,K499&lt;K$32,J$31,K499&lt;K$33,J$32,K499&lt;K$34,J$33,K499&lt;K$35,J$34,K499&lt;K$36,J$35,K499&lt;K$37,J$36,K499&lt;K$38,J$37,K499&lt;K$39,J$38,K499&lt;K$40,J$39,K499&lt;K$41,J$40,K499&lt;K$42,J$41,K499&lt;K$43,J$42,K499&lt;K$44,J$43,K499&lt;K$45,J$44,K499&lt;K$46,J$45,K499&lt;K$47,J$46,K499&gt;=K$47,J$47)</f>
        <v/>
      </c>
      <c r="K499" s="38" t="n">
        <v>449</v>
      </c>
      <c r="L499" s="31">
        <f>K499/52</f>
        <v/>
      </c>
      <c r="M499" s="39">
        <f>J499/1000000*52</f>
        <v/>
      </c>
      <c r="N499" s="33">
        <f>M499/$P$4+($I$22/$P$4)</f>
        <v/>
      </c>
      <c r="U499">
        <f>F498</f>
        <v/>
      </c>
      <c r="V499">
        <f>H498</f>
        <v/>
      </c>
      <c r="W499">
        <f>N498</f>
        <v/>
      </c>
    </row>
    <row r="500" ht="15.75" customHeight="1" s="40">
      <c r="C500" s="36">
        <f>_xlfn.IFS(E500&lt;E$24,0,E500&lt;E$26,C$24,E500&lt;E$28,C$26,E500&lt;E$30,C$28,E500&lt;E$32,C$30,E500&lt;E$34,C$32,E500&gt;=E$34,C$34)</f>
        <v/>
      </c>
      <c r="D500" s="37">
        <f>_xlfn.IFS(E500&lt;E$24,0,E500&lt;E$25,D$24,E500&lt;E$26,D$25,E500&lt;E$27,D$26,E500&lt;E$28,D$27,E500&lt;E$29,D$28,E500&lt;E$30,D$29,E500&lt;E$31,D$30,E500&lt;E$32,D$31,E500&lt;E$33,D$32,E500&lt;E$34,D$33,E500&lt;E$35,D$34,E500&gt;=E$35,D$35)</f>
        <v/>
      </c>
      <c r="E500" s="38" t="n">
        <v>450</v>
      </c>
      <c r="F500" s="31">
        <f>E500/52</f>
        <v/>
      </c>
      <c r="G500" s="39">
        <f>D500/1000000*52</f>
        <v/>
      </c>
      <c r="H500" s="33">
        <f>G500/$P$4+($C$22/$P$4)</f>
        <v/>
      </c>
      <c r="I500" s="36">
        <f>_xlfn.IFS(K500&lt;K$24,0,K500&lt;K$26,I$24,K500&lt;K$28,I$26,K500&lt;K$30,I$28,K500&lt;K$32,I$30,K500&lt;K$34,I$32,K500&lt;K$36,I$34,K500&lt;K$38,I$36,K500&lt;K$40,I$38,K500&lt;K$42,I$40,K500&lt;K$44,I$42,K500&lt;K$46,I$44,K500&gt;=K$46,I$46)</f>
        <v/>
      </c>
      <c r="J500" s="37">
        <f>_xlfn.IFS(K500&lt;K$24,0,K500&lt;K$25,J$24,K500&lt;K$26,J$25,K500&lt;K$27,J$26,K500&lt;K$28,J$27,K500&lt;K$29,J$28,K500&lt;K$30,J$29,K500&lt;K$31,J$30,K500&lt;K$32,J$31,K500&lt;K$33,J$32,K500&lt;K$34,J$33,K500&lt;K$35,J$34,K500&lt;K$36,J$35,K500&lt;K$37,J$36,K500&lt;K$38,J$37,K500&lt;K$39,J$38,K500&lt;K$40,J$39,K500&lt;K$41,J$40,K500&lt;K$42,J$41,K500&lt;K$43,J$42,K500&lt;K$44,J$43,K500&lt;K$45,J$44,K500&lt;K$46,J$45,K500&lt;K$47,J$46,K500&gt;=K$47,J$47)</f>
        <v/>
      </c>
      <c r="K500" s="38" t="n">
        <v>450</v>
      </c>
      <c r="L500" s="31">
        <f>K500/52</f>
        <v/>
      </c>
      <c r="M500" s="39">
        <f>J500/1000000*52</f>
        <v/>
      </c>
      <c r="N500" s="33">
        <f>M500/$P$4+($I$22/$P$4)</f>
        <v/>
      </c>
      <c r="U500">
        <f>F499</f>
        <v/>
      </c>
      <c r="V500">
        <f>H499</f>
        <v/>
      </c>
      <c r="W500">
        <f>N499</f>
        <v/>
      </c>
    </row>
    <row r="501" ht="15.75" customHeight="1" s="40">
      <c r="C501" s="36">
        <f>_xlfn.IFS(E501&lt;E$24,0,E501&lt;E$26,C$24,E501&lt;E$28,C$26,E501&lt;E$30,C$28,E501&lt;E$32,C$30,E501&lt;E$34,C$32,E501&gt;=E$34,C$34)</f>
        <v/>
      </c>
      <c r="D501" s="37">
        <f>_xlfn.IFS(E501&lt;E$24,0,E501&lt;E$25,D$24,E501&lt;E$26,D$25,E501&lt;E$27,D$26,E501&lt;E$28,D$27,E501&lt;E$29,D$28,E501&lt;E$30,D$29,E501&lt;E$31,D$30,E501&lt;E$32,D$31,E501&lt;E$33,D$32,E501&lt;E$34,D$33,E501&lt;E$35,D$34,E501&gt;=E$35,D$35)</f>
        <v/>
      </c>
      <c r="E501" s="38" t="n">
        <v>451</v>
      </c>
      <c r="F501" s="31">
        <f>E501/52</f>
        <v/>
      </c>
      <c r="G501" s="39">
        <f>D501/1000000*52</f>
        <v/>
      </c>
      <c r="H501" s="33">
        <f>G501/$P$4+($C$22/$P$4)</f>
        <v/>
      </c>
      <c r="I501" s="36">
        <f>_xlfn.IFS(K501&lt;K$24,0,K501&lt;K$26,I$24,K501&lt;K$28,I$26,K501&lt;K$30,I$28,K501&lt;K$32,I$30,K501&lt;K$34,I$32,K501&lt;K$36,I$34,K501&lt;K$38,I$36,K501&lt;K$40,I$38,K501&lt;K$42,I$40,K501&lt;K$44,I$42,K501&lt;K$46,I$44,K501&gt;=K$46,I$46)</f>
        <v/>
      </c>
      <c r="J501" s="37">
        <f>_xlfn.IFS(K501&lt;K$24,0,K501&lt;K$25,J$24,K501&lt;K$26,J$25,K501&lt;K$27,J$26,K501&lt;K$28,J$27,K501&lt;K$29,J$28,K501&lt;K$30,J$29,K501&lt;K$31,J$30,K501&lt;K$32,J$31,K501&lt;K$33,J$32,K501&lt;K$34,J$33,K501&lt;K$35,J$34,K501&lt;K$36,J$35,K501&lt;K$37,J$36,K501&lt;K$38,J$37,K501&lt;K$39,J$38,K501&lt;K$40,J$39,K501&lt;K$41,J$40,K501&lt;K$42,J$41,K501&lt;K$43,J$42,K501&lt;K$44,J$43,K501&lt;K$45,J$44,K501&lt;K$46,J$45,K501&lt;K$47,J$46,K501&gt;=K$47,J$47)</f>
        <v/>
      </c>
      <c r="K501" s="38" t="n">
        <v>451</v>
      </c>
      <c r="L501" s="31">
        <f>K501/52</f>
        <v/>
      </c>
      <c r="M501" s="39">
        <f>J501/1000000*52</f>
        <v/>
      </c>
      <c r="N501" s="33">
        <f>M501/$P$4+($I$22/$P$4)</f>
        <v/>
      </c>
      <c r="U501">
        <f>F500</f>
        <v/>
      </c>
      <c r="V501">
        <f>H500</f>
        <v/>
      </c>
      <c r="W501">
        <f>N500</f>
        <v/>
      </c>
    </row>
    <row r="502" ht="15.75" customHeight="1" s="40">
      <c r="C502" s="36">
        <f>_xlfn.IFS(E502&lt;E$24,0,E502&lt;E$26,C$24,E502&lt;E$28,C$26,E502&lt;E$30,C$28,E502&lt;E$32,C$30,E502&lt;E$34,C$32,E502&gt;=E$34,C$34)</f>
        <v/>
      </c>
      <c r="D502" s="37">
        <f>_xlfn.IFS(E502&lt;E$24,0,E502&lt;E$25,D$24,E502&lt;E$26,D$25,E502&lt;E$27,D$26,E502&lt;E$28,D$27,E502&lt;E$29,D$28,E502&lt;E$30,D$29,E502&lt;E$31,D$30,E502&lt;E$32,D$31,E502&lt;E$33,D$32,E502&lt;E$34,D$33,E502&lt;E$35,D$34,E502&gt;=E$35,D$35)</f>
        <v/>
      </c>
      <c r="E502" s="38" t="n">
        <v>452</v>
      </c>
      <c r="F502" s="31">
        <f>E502/52</f>
        <v/>
      </c>
      <c r="G502" s="39">
        <f>D502/1000000*52</f>
        <v/>
      </c>
      <c r="H502" s="33">
        <f>G502/$P$4+($C$22/$P$4)</f>
        <v/>
      </c>
      <c r="I502" s="36">
        <f>_xlfn.IFS(K502&lt;K$24,0,K502&lt;K$26,I$24,K502&lt;K$28,I$26,K502&lt;K$30,I$28,K502&lt;K$32,I$30,K502&lt;K$34,I$32,K502&lt;K$36,I$34,K502&lt;K$38,I$36,K502&lt;K$40,I$38,K502&lt;K$42,I$40,K502&lt;K$44,I$42,K502&lt;K$46,I$44,K502&gt;=K$46,I$46)</f>
        <v/>
      </c>
      <c r="J502" s="37">
        <f>_xlfn.IFS(K502&lt;K$24,0,K502&lt;K$25,J$24,K502&lt;K$26,J$25,K502&lt;K$27,J$26,K502&lt;K$28,J$27,K502&lt;K$29,J$28,K502&lt;K$30,J$29,K502&lt;K$31,J$30,K502&lt;K$32,J$31,K502&lt;K$33,J$32,K502&lt;K$34,J$33,K502&lt;K$35,J$34,K502&lt;K$36,J$35,K502&lt;K$37,J$36,K502&lt;K$38,J$37,K502&lt;K$39,J$38,K502&lt;K$40,J$39,K502&lt;K$41,J$40,K502&lt;K$42,J$41,K502&lt;K$43,J$42,K502&lt;K$44,J$43,K502&lt;K$45,J$44,K502&lt;K$46,J$45,K502&lt;K$47,J$46,K502&gt;=K$47,J$47)</f>
        <v/>
      </c>
      <c r="K502" s="38" t="n">
        <v>452</v>
      </c>
      <c r="L502" s="31">
        <f>K502/52</f>
        <v/>
      </c>
      <c r="M502" s="39">
        <f>J502/1000000*52</f>
        <v/>
      </c>
      <c r="N502" s="33">
        <f>M502/$P$4+($I$22/$P$4)</f>
        <v/>
      </c>
      <c r="U502">
        <f>F501</f>
        <v/>
      </c>
      <c r="V502">
        <f>H501</f>
        <v/>
      </c>
      <c r="W502">
        <f>N501</f>
        <v/>
      </c>
    </row>
    <row r="503" ht="15.75" customHeight="1" s="40">
      <c r="C503" s="36">
        <f>_xlfn.IFS(E503&lt;E$24,0,E503&lt;E$26,C$24,E503&lt;E$28,C$26,E503&lt;E$30,C$28,E503&lt;E$32,C$30,E503&lt;E$34,C$32,E503&gt;=E$34,C$34)</f>
        <v/>
      </c>
      <c r="D503" s="37">
        <f>_xlfn.IFS(E503&lt;E$24,0,E503&lt;E$25,D$24,E503&lt;E$26,D$25,E503&lt;E$27,D$26,E503&lt;E$28,D$27,E503&lt;E$29,D$28,E503&lt;E$30,D$29,E503&lt;E$31,D$30,E503&lt;E$32,D$31,E503&lt;E$33,D$32,E503&lt;E$34,D$33,E503&lt;E$35,D$34,E503&gt;=E$35,D$35)</f>
        <v/>
      </c>
      <c r="E503" s="38" t="n">
        <v>453</v>
      </c>
      <c r="F503" s="31">
        <f>E503/52</f>
        <v/>
      </c>
      <c r="G503" s="39">
        <f>D503/1000000*52</f>
        <v/>
      </c>
      <c r="H503" s="33">
        <f>G503/$P$4+($C$22/$P$4)</f>
        <v/>
      </c>
      <c r="I503" s="36">
        <f>_xlfn.IFS(K503&lt;K$24,0,K503&lt;K$26,I$24,K503&lt;K$28,I$26,K503&lt;K$30,I$28,K503&lt;K$32,I$30,K503&lt;K$34,I$32,K503&lt;K$36,I$34,K503&lt;K$38,I$36,K503&lt;K$40,I$38,K503&lt;K$42,I$40,K503&lt;K$44,I$42,K503&lt;K$46,I$44,K503&gt;=K$46,I$46)</f>
        <v/>
      </c>
      <c r="J503" s="37">
        <f>_xlfn.IFS(K503&lt;K$24,0,K503&lt;K$25,J$24,K503&lt;K$26,J$25,K503&lt;K$27,J$26,K503&lt;K$28,J$27,K503&lt;K$29,J$28,K503&lt;K$30,J$29,K503&lt;K$31,J$30,K503&lt;K$32,J$31,K503&lt;K$33,J$32,K503&lt;K$34,J$33,K503&lt;K$35,J$34,K503&lt;K$36,J$35,K503&lt;K$37,J$36,K503&lt;K$38,J$37,K503&lt;K$39,J$38,K503&lt;K$40,J$39,K503&lt;K$41,J$40,K503&lt;K$42,J$41,K503&lt;K$43,J$42,K503&lt;K$44,J$43,K503&lt;K$45,J$44,K503&lt;K$46,J$45,K503&lt;K$47,J$46,K503&gt;=K$47,J$47)</f>
        <v/>
      </c>
      <c r="K503" s="38" t="n">
        <v>453</v>
      </c>
      <c r="L503" s="31">
        <f>K503/52</f>
        <v/>
      </c>
      <c r="M503" s="39">
        <f>J503/1000000*52</f>
        <v/>
      </c>
      <c r="N503" s="33">
        <f>M503/$P$4+($I$22/$P$4)</f>
        <v/>
      </c>
      <c r="U503">
        <f>F502</f>
        <v/>
      </c>
      <c r="V503">
        <f>H502</f>
        <v/>
      </c>
      <c r="W503">
        <f>N502</f>
        <v/>
      </c>
    </row>
    <row r="504" ht="15.75" customHeight="1" s="40">
      <c r="C504" s="36">
        <f>_xlfn.IFS(E504&lt;E$24,0,E504&lt;E$26,C$24,E504&lt;E$28,C$26,E504&lt;E$30,C$28,E504&lt;E$32,C$30,E504&lt;E$34,C$32,E504&gt;=E$34,C$34)</f>
        <v/>
      </c>
      <c r="D504" s="37">
        <f>_xlfn.IFS(E504&lt;E$24,0,E504&lt;E$25,D$24,E504&lt;E$26,D$25,E504&lt;E$27,D$26,E504&lt;E$28,D$27,E504&lt;E$29,D$28,E504&lt;E$30,D$29,E504&lt;E$31,D$30,E504&lt;E$32,D$31,E504&lt;E$33,D$32,E504&lt;E$34,D$33,E504&lt;E$35,D$34,E504&gt;=E$35,D$35)</f>
        <v/>
      </c>
      <c r="E504" s="38" t="n">
        <v>454</v>
      </c>
      <c r="F504" s="31">
        <f>E504/52</f>
        <v/>
      </c>
      <c r="G504" s="39">
        <f>D504/1000000*52</f>
        <v/>
      </c>
      <c r="H504" s="33">
        <f>G504/$P$4+($C$22/$P$4)</f>
        <v/>
      </c>
      <c r="I504" s="36">
        <f>_xlfn.IFS(K504&lt;K$24,0,K504&lt;K$26,I$24,K504&lt;K$28,I$26,K504&lt;K$30,I$28,K504&lt;K$32,I$30,K504&lt;K$34,I$32,K504&lt;K$36,I$34,K504&lt;K$38,I$36,K504&lt;K$40,I$38,K504&lt;K$42,I$40,K504&lt;K$44,I$42,K504&lt;K$46,I$44,K504&gt;=K$46,I$46)</f>
        <v/>
      </c>
      <c r="J504" s="37">
        <f>_xlfn.IFS(K504&lt;K$24,0,K504&lt;K$25,J$24,K504&lt;K$26,J$25,K504&lt;K$27,J$26,K504&lt;K$28,J$27,K504&lt;K$29,J$28,K504&lt;K$30,J$29,K504&lt;K$31,J$30,K504&lt;K$32,J$31,K504&lt;K$33,J$32,K504&lt;K$34,J$33,K504&lt;K$35,J$34,K504&lt;K$36,J$35,K504&lt;K$37,J$36,K504&lt;K$38,J$37,K504&lt;K$39,J$38,K504&lt;K$40,J$39,K504&lt;K$41,J$40,K504&lt;K$42,J$41,K504&lt;K$43,J$42,K504&lt;K$44,J$43,K504&lt;K$45,J$44,K504&lt;K$46,J$45,K504&lt;K$47,J$46,K504&gt;=K$47,J$47)</f>
        <v/>
      </c>
      <c r="K504" s="38" t="n">
        <v>454</v>
      </c>
      <c r="L504" s="31">
        <f>K504/52</f>
        <v/>
      </c>
      <c r="M504" s="39">
        <f>J504/1000000*52</f>
        <v/>
      </c>
      <c r="N504" s="33">
        <f>M504/$P$4+($I$22/$P$4)</f>
        <v/>
      </c>
      <c r="U504">
        <f>F503</f>
        <v/>
      </c>
      <c r="V504">
        <f>H503</f>
        <v/>
      </c>
      <c r="W504">
        <f>N503</f>
        <v/>
      </c>
    </row>
    <row r="505" ht="15.75" customHeight="1" s="40">
      <c r="C505" s="36">
        <f>_xlfn.IFS(E505&lt;E$24,0,E505&lt;E$26,C$24,E505&lt;E$28,C$26,E505&lt;E$30,C$28,E505&lt;E$32,C$30,E505&lt;E$34,C$32,E505&gt;=E$34,C$34)</f>
        <v/>
      </c>
      <c r="D505" s="37">
        <f>_xlfn.IFS(E505&lt;E$24,0,E505&lt;E$25,D$24,E505&lt;E$26,D$25,E505&lt;E$27,D$26,E505&lt;E$28,D$27,E505&lt;E$29,D$28,E505&lt;E$30,D$29,E505&lt;E$31,D$30,E505&lt;E$32,D$31,E505&lt;E$33,D$32,E505&lt;E$34,D$33,E505&lt;E$35,D$34,E505&gt;=E$35,D$35)</f>
        <v/>
      </c>
      <c r="E505" s="38" t="n">
        <v>455</v>
      </c>
      <c r="F505" s="31">
        <f>E505/52</f>
        <v/>
      </c>
      <c r="G505" s="39">
        <f>D505/1000000*52</f>
        <v/>
      </c>
      <c r="H505" s="33">
        <f>G505/$P$4+($C$22/$P$4)</f>
        <v/>
      </c>
      <c r="I505" s="36">
        <f>_xlfn.IFS(K505&lt;K$24,0,K505&lt;K$26,I$24,K505&lt;K$28,I$26,K505&lt;K$30,I$28,K505&lt;K$32,I$30,K505&lt;K$34,I$32,K505&lt;K$36,I$34,K505&lt;K$38,I$36,K505&lt;K$40,I$38,K505&lt;K$42,I$40,K505&lt;K$44,I$42,K505&lt;K$46,I$44,K505&gt;=K$46,I$46)</f>
        <v/>
      </c>
      <c r="J505" s="37">
        <f>_xlfn.IFS(K505&lt;K$24,0,K505&lt;K$25,J$24,K505&lt;K$26,J$25,K505&lt;K$27,J$26,K505&lt;K$28,J$27,K505&lt;K$29,J$28,K505&lt;K$30,J$29,K505&lt;K$31,J$30,K505&lt;K$32,J$31,K505&lt;K$33,J$32,K505&lt;K$34,J$33,K505&lt;K$35,J$34,K505&lt;K$36,J$35,K505&lt;K$37,J$36,K505&lt;K$38,J$37,K505&lt;K$39,J$38,K505&lt;K$40,J$39,K505&lt;K$41,J$40,K505&lt;K$42,J$41,K505&lt;K$43,J$42,K505&lt;K$44,J$43,K505&lt;K$45,J$44,K505&lt;K$46,J$45,K505&lt;K$47,J$46,K505&gt;=K$47,J$47)</f>
        <v/>
      </c>
      <c r="K505" s="38" t="n">
        <v>455</v>
      </c>
      <c r="L505" s="31">
        <f>K505/52</f>
        <v/>
      </c>
      <c r="M505" s="39">
        <f>J505/1000000*52</f>
        <v/>
      </c>
      <c r="N505" s="33">
        <f>M505/$P$4+($I$22/$P$4)</f>
        <v/>
      </c>
      <c r="U505">
        <f>F504</f>
        <v/>
      </c>
      <c r="V505">
        <f>H504</f>
        <v/>
      </c>
      <c r="W505">
        <f>N504</f>
        <v/>
      </c>
    </row>
    <row r="506" ht="15.75" customHeight="1" s="40">
      <c r="C506" s="36">
        <f>_xlfn.IFS(E506&lt;E$24,0,E506&lt;E$26,C$24,E506&lt;E$28,C$26,E506&lt;E$30,C$28,E506&lt;E$32,C$30,E506&lt;E$34,C$32,E506&gt;=E$34,C$34)</f>
        <v/>
      </c>
      <c r="D506" s="37">
        <f>_xlfn.IFS(E506&lt;E$24,0,E506&lt;E$25,D$24,E506&lt;E$26,D$25,E506&lt;E$27,D$26,E506&lt;E$28,D$27,E506&lt;E$29,D$28,E506&lt;E$30,D$29,E506&lt;E$31,D$30,E506&lt;E$32,D$31,E506&lt;E$33,D$32,E506&lt;E$34,D$33,E506&lt;E$35,D$34,E506&gt;=E$35,D$35)</f>
        <v/>
      </c>
      <c r="E506" s="38" t="n">
        <v>456</v>
      </c>
      <c r="F506" s="31">
        <f>E506/52</f>
        <v/>
      </c>
      <c r="G506" s="39">
        <f>D506/1000000*52</f>
        <v/>
      </c>
      <c r="H506" s="33">
        <f>G506/$P$4+($C$22/$P$4)</f>
        <v/>
      </c>
      <c r="I506" s="36">
        <f>_xlfn.IFS(K506&lt;K$24,0,K506&lt;K$26,I$24,K506&lt;K$28,I$26,K506&lt;K$30,I$28,K506&lt;K$32,I$30,K506&lt;K$34,I$32,K506&lt;K$36,I$34,K506&lt;K$38,I$36,K506&lt;K$40,I$38,K506&lt;K$42,I$40,K506&lt;K$44,I$42,K506&lt;K$46,I$44,K506&gt;=K$46,I$46)</f>
        <v/>
      </c>
      <c r="J506" s="37">
        <f>_xlfn.IFS(K506&lt;K$24,0,K506&lt;K$25,J$24,K506&lt;K$26,J$25,K506&lt;K$27,J$26,K506&lt;K$28,J$27,K506&lt;K$29,J$28,K506&lt;K$30,J$29,K506&lt;K$31,J$30,K506&lt;K$32,J$31,K506&lt;K$33,J$32,K506&lt;K$34,J$33,K506&lt;K$35,J$34,K506&lt;K$36,J$35,K506&lt;K$37,J$36,K506&lt;K$38,J$37,K506&lt;K$39,J$38,K506&lt;K$40,J$39,K506&lt;K$41,J$40,K506&lt;K$42,J$41,K506&lt;K$43,J$42,K506&lt;K$44,J$43,K506&lt;K$45,J$44,K506&lt;K$46,J$45,K506&lt;K$47,J$46,K506&gt;=K$47,J$47)</f>
        <v/>
      </c>
      <c r="K506" s="38" t="n">
        <v>456</v>
      </c>
      <c r="L506" s="31">
        <f>K506/52</f>
        <v/>
      </c>
      <c r="M506" s="39">
        <f>J506/1000000*52</f>
        <v/>
      </c>
      <c r="N506" s="33">
        <f>M506/$P$4+($I$22/$P$4)</f>
        <v/>
      </c>
      <c r="U506">
        <f>F505</f>
        <v/>
      </c>
      <c r="V506">
        <f>H505</f>
        <v/>
      </c>
      <c r="W506">
        <f>N505</f>
        <v/>
      </c>
    </row>
    <row r="507" ht="15.75" customHeight="1" s="40">
      <c r="C507" s="36">
        <f>_xlfn.IFS(E507&lt;E$24,0,E507&lt;E$26,C$24,E507&lt;E$28,C$26,E507&lt;E$30,C$28,E507&lt;E$32,C$30,E507&lt;E$34,C$32,E507&gt;=E$34,C$34)</f>
        <v/>
      </c>
      <c r="D507" s="37">
        <f>_xlfn.IFS(E507&lt;E$24,0,E507&lt;E$25,D$24,E507&lt;E$26,D$25,E507&lt;E$27,D$26,E507&lt;E$28,D$27,E507&lt;E$29,D$28,E507&lt;E$30,D$29,E507&lt;E$31,D$30,E507&lt;E$32,D$31,E507&lt;E$33,D$32,E507&lt;E$34,D$33,E507&lt;E$35,D$34,E507&gt;=E$35,D$35)</f>
        <v/>
      </c>
      <c r="E507" s="38" t="n">
        <v>457</v>
      </c>
      <c r="F507" s="31">
        <f>E507/52</f>
        <v/>
      </c>
      <c r="G507" s="39">
        <f>D507/1000000*52</f>
        <v/>
      </c>
      <c r="H507" s="33">
        <f>G507/$P$4+($C$22/$P$4)</f>
        <v/>
      </c>
      <c r="I507" s="36">
        <f>_xlfn.IFS(K507&lt;K$24,0,K507&lt;K$26,I$24,K507&lt;K$28,I$26,K507&lt;K$30,I$28,K507&lt;K$32,I$30,K507&lt;K$34,I$32,K507&lt;K$36,I$34,K507&lt;K$38,I$36,K507&lt;K$40,I$38,K507&lt;K$42,I$40,K507&lt;K$44,I$42,K507&lt;K$46,I$44,K507&gt;=K$46,I$46)</f>
        <v/>
      </c>
      <c r="J507" s="37">
        <f>_xlfn.IFS(K507&lt;K$24,0,K507&lt;K$25,J$24,K507&lt;K$26,J$25,K507&lt;K$27,J$26,K507&lt;K$28,J$27,K507&lt;K$29,J$28,K507&lt;K$30,J$29,K507&lt;K$31,J$30,K507&lt;K$32,J$31,K507&lt;K$33,J$32,K507&lt;K$34,J$33,K507&lt;K$35,J$34,K507&lt;K$36,J$35,K507&lt;K$37,J$36,K507&lt;K$38,J$37,K507&lt;K$39,J$38,K507&lt;K$40,J$39,K507&lt;K$41,J$40,K507&lt;K$42,J$41,K507&lt;K$43,J$42,K507&lt;K$44,J$43,K507&lt;K$45,J$44,K507&lt;K$46,J$45,K507&lt;K$47,J$46,K507&gt;=K$47,J$47)</f>
        <v/>
      </c>
      <c r="K507" s="38" t="n">
        <v>457</v>
      </c>
      <c r="L507" s="31">
        <f>K507/52</f>
        <v/>
      </c>
      <c r="M507" s="39">
        <f>J507/1000000*52</f>
        <v/>
      </c>
      <c r="N507" s="33">
        <f>M507/$P$4+($I$22/$P$4)</f>
        <v/>
      </c>
      <c r="U507">
        <f>F506</f>
        <v/>
      </c>
      <c r="V507">
        <f>H506</f>
        <v/>
      </c>
      <c r="W507">
        <f>N506</f>
        <v/>
      </c>
    </row>
    <row r="508" ht="15.75" customHeight="1" s="40">
      <c r="C508" s="36">
        <f>_xlfn.IFS(E508&lt;E$24,0,E508&lt;E$26,C$24,E508&lt;E$28,C$26,E508&lt;E$30,C$28,E508&lt;E$32,C$30,E508&lt;E$34,C$32,E508&gt;=E$34,C$34)</f>
        <v/>
      </c>
      <c r="D508" s="37">
        <f>_xlfn.IFS(E508&lt;E$24,0,E508&lt;E$25,D$24,E508&lt;E$26,D$25,E508&lt;E$27,D$26,E508&lt;E$28,D$27,E508&lt;E$29,D$28,E508&lt;E$30,D$29,E508&lt;E$31,D$30,E508&lt;E$32,D$31,E508&lt;E$33,D$32,E508&lt;E$34,D$33,E508&lt;E$35,D$34,E508&gt;=E$35,D$35)</f>
        <v/>
      </c>
      <c r="E508" s="38" t="n">
        <v>458</v>
      </c>
      <c r="F508" s="31">
        <f>E508/52</f>
        <v/>
      </c>
      <c r="G508" s="39">
        <f>D508/1000000*52</f>
        <v/>
      </c>
      <c r="H508" s="33">
        <f>G508/$P$4+($C$22/$P$4)</f>
        <v/>
      </c>
      <c r="I508" s="36">
        <f>_xlfn.IFS(K508&lt;K$24,0,K508&lt;K$26,I$24,K508&lt;K$28,I$26,K508&lt;K$30,I$28,K508&lt;K$32,I$30,K508&lt;K$34,I$32,K508&lt;K$36,I$34,K508&lt;K$38,I$36,K508&lt;K$40,I$38,K508&lt;K$42,I$40,K508&lt;K$44,I$42,K508&lt;K$46,I$44,K508&gt;=K$46,I$46)</f>
        <v/>
      </c>
      <c r="J508" s="37">
        <f>_xlfn.IFS(K508&lt;K$24,0,K508&lt;K$25,J$24,K508&lt;K$26,J$25,K508&lt;K$27,J$26,K508&lt;K$28,J$27,K508&lt;K$29,J$28,K508&lt;K$30,J$29,K508&lt;K$31,J$30,K508&lt;K$32,J$31,K508&lt;K$33,J$32,K508&lt;K$34,J$33,K508&lt;K$35,J$34,K508&lt;K$36,J$35,K508&lt;K$37,J$36,K508&lt;K$38,J$37,K508&lt;K$39,J$38,K508&lt;K$40,J$39,K508&lt;K$41,J$40,K508&lt;K$42,J$41,K508&lt;K$43,J$42,K508&lt;K$44,J$43,K508&lt;K$45,J$44,K508&lt;K$46,J$45,K508&lt;K$47,J$46,K508&gt;=K$47,J$47)</f>
        <v/>
      </c>
      <c r="K508" s="38" t="n">
        <v>458</v>
      </c>
      <c r="L508" s="31">
        <f>K508/52</f>
        <v/>
      </c>
      <c r="M508" s="39">
        <f>J508/1000000*52</f>
        <v/>
      </c>
      <c r="N508" s="33">
        <f>M508/$P$4+($I$22/$P$4)</f>
        <v/>
      </c>
      <c r="U508">
        <f>F507</f>
        <v/>
      </c>
      <c r="V508">
        <f>H507</f>
        <v/>
      </c>
      <c r="W508">
        <f>N507</f>
        <v/>
      </c>
    </row>
    <row r="509" ht="15.75" customHeight="1" s="40">
      <c r="C509" s="36">
        <f>_xlfn.IFS(E509&lt;E$24,0,E509&lt;E$26,C$24,E509&lt;E$28,C$26,E509&lt;E$30,C$28,E509&lt;E$32,C$30,E509&lt;E$34,C$32,E509&gt;=E$34,C$34)</f>
        <v/>
      </c>
      <c r="D509" s="37">
        <f>_xlfn.IFS(E509&lt;E$24,0,E509&lt;E$25,D$24,E509&lt;E$26,D$25,E509&lt;E$27,D$26,E509&lt;E$28,D$27,E509&lt;E$29,D$28,E509&lt;E$30,D$29,E509&lt;E$31,D$30,E509&lt;E$32,D$31,E509&lt;E$33,D$32,E509&lt;E$34,D$33,E509&lt;E$35,D$34,E509&gt;=E$35,D$35)</f>
        <v/>
      </c>
      <c r="E509" s="38" t="n">
        <v>459</v>
      </c>
      <c r="F509" s="31">
        <f>E509/52</f>
        <v/>
      </c>
      <c r="G509" s="39">
        <f>D509/1000000*52</f>
        <v/>
      </c>
      <c r="H509" s="33">
        <f>G509/$P$4+($C$22/$P$4)</f>
        <v/>
      </c>
      <c r="I509" s="36">
        <f>_xlfn.IFS(K509&lt;K$24,0,K509&lt;K$26,I$24,K509&lt;K$28,I$26,K509&lt;K$30,I$28,K509&lt;K$32,I$30,K509&lt;K$34,I$32,K509&lt;K$36,I$34,K509&lt;K$38,I$36,K509&lt;K$40,I$38,K509&lt;K$42,I$40,K509&lt;K$44,I$42,K509&lt;K$46,I$44,K509&gt;=K$46,I$46)</f>
        <v/>
      </c>
      <c r="J509" s="37">
        <f>_xlfn.IFS(K509&lt;K$24,0,K509&lt;K$25,J$24,K509&lt;K$26,J$25,K509&lt;K$27,J$26,K509&lt;K$28,J$27,K509&lt;K$29,J$28,K509&lt;K$30,J$29,K509&lt;K$31,J$30,K509&lt;K$32,J$31,K509&lt;K$33,J$32,K509&lt;K$34,J$33,K509&lt;K$35,J$34,K509&lt;K$36,J$35,K509&lt;K$37,J$36,K509&lt;K$38,J$37,K509&lt;K$39,J$38,K509&lt;K$40,J$39,K509&lt;K$41,J$40,K509&lt;K$42,J$41,K509&lt;K$43,J$42,K509&lt;K$44,J$43,K509&lt;K$45,J$44,K509&lt;K$46,J$45,K509&lt;K$47,J$46,K509&gt;=K$47,J$47)</f>
        <v/>
      </c>
      <c r="K509" s="38" t="n">
        <v>459</v>
      </c>
      <c r="L509" s="31">
        <f>K509/52</f>
        <v/>
      </c>
      <c r="M509" s="39">
        <f>J509/1000000*52</f>
        <v/>
      </c>
      <c r="N509" s="33">
        <f>M509/$P$4+($I$22/$P$4)</f>
        <v/>
      </c>
      <c r="U509">
        <f>F508</f>
        <v/>
      </c>
      <c r="V509">
        <f>H508</f>
        <v/>
      </c>
      <c r="W509">
        <f>N508</f>
        <v/>
      </c>
    </row>
    <row r="510" ht="15.75" customHeight="1" s="40">
      <c r="C510" s="36">
        <f>_xlfn.IFS(E510&lt;E$24,0,E510&lt;E$26,C$24,E510&lt;E$28,C$26,E510&lt;E$30,C$28,E510&lt;E$32,C$30,E510&lt;E$34,C$32,E510&gt;=E$34,C$34)</f>
        <v/>
      </c>
      <c r="D510" s="37">
        <f>_xlfn.IFS(E510&lt;E$24,0,E510&lt;E$25,D$24,E510&lt;E$26,D$25,E510&lt;E$27,D$26,E510&lt;E$28,D$27,E510&lt;E$29,D$28,E510&lt;E$30,D$29,E510&lt;E$31,D$30,E510&lt;E$32,D$31,E510&lt;E$33,D$32,E510&lt;E$34,D$33,E510&lt;E$35,D$34,E510&gt;=E$35,D$35)</f>
        <v/>
      </c>
      <c r="E510" s="38" t="n">
        <v>460</v>
      </c>
      <c r="F510" s="31">
        <f>E510/52</f>
        <v/>
      </c>
      <c r="G510" s="39">
        <f>D510/1000000*52</f>
        <v/>
      </c>
      <c r="H510" s="33">
        <f>G510/$P$4+($C$22/$P$4)</f>
        <v/>
      </c>
      <c r="I510" s="36">
        <f>_xlfn.IFS(K510&lt;K$24,0,K510&lt;K$26,I$24,K510&lt;K$28,I$26,K510&lt;K$30,I$28,K510&lt;K$32,I$30,K510&lt;K$34,I$32,K510&lt;K$36,I$34,K510&lt;K$38,I$36,K510&lt;K$40,I$38,K510&lt;K$42,I$40,K510&lt;K$44,I$42,K510&lt;K$46,I$44,K510&gt;=K$46,I$46)</f>
        <v/>
      </c>
      <c r="J510" s="37">
        <f>_xlfn.IFS(K510&lt;K$24,0,K510&lt;K$25,J$24,K510&lt;K$26,J$25,K510&lt;K$27,J$26,K510&lt;K$28,J$27,K510&lt;K$29,J$28,K510&lt;K$30,J$29,K510&lt;K$31,J$30,K510&lt;K$32,J$31,K510&lt;K$33,J$32,K510&lt;K$34,J$33,K510&lt;K$35,J$34,K510&lt;K$36,J$35,K510&lt;K$37,J$36,K510&lt;K$38,J$37,K510&lt;K$39,J$38,K510&lt;K$40,J$39,K510&lt;K$41,J$40,K510&lt;K$42,J$41,K510&lt;K$43,J$42,K510&lt;K$44,J$43,K510&lt;K$45,J$44,K510&lt;K$46,J$45,K510&lt;K$47,J$46,K510&gt;=K$47,J$47)</f>
        <v/>
      </c>
      <c r="K510" s="38" t="n">
        <v>460</v>
      </c>
      <c r="L510" s="31">
        <f>K510/52</f>
        <v/>
      </c>
      <c r="M510" s="39">
        <f>J510/1000000*52</f>
        <v/>
      </c>
      <c r="N510" s="33">
        <f>M510/$P$4+($I$22/$P$4)</f>
        <v/>
      </c>
      <c r="U510">
        <f>F509</f>
        <v/>
      </c>
      <c r="V510">
        <f>H509</f>
        <v/>
      </c>
      <c r="W510">
        <f>N509</f>
        <v/>
      </c>
    </row>
    <row r="511" ht="15.75" customHeight="1" s="40">
      <c r="C511" s="36">
        <f>_xlfn.IFS(E511&lt;E$24,0,E511&lt;E$26,C$24,E511&lt;E$28,C$26,E511&lt;E$30,C$28,E511&lt;E$32,C$30,E511&lt;E$34,C$32,E511&gt;=E$34,C$34)</f>
        <v/>
      </c>
      <c r="D511" s="37">
        <f>_xlfn.IFS(E511&lt;E$24,0,E511&lt;E$25,D$24,E511&lt;E$26,D$25,E511&lt;E$27,D$26,E511&lt;E$28,D$27,E511&lt;E$29,D$28,E511&lt;E$30,D$29,E511&lt;E$31,D$30,E511&lt;E$32,D$31,E511&lt;E$33,D$32,E511&lt;E$34,D$33,E511&lt;E$35,D$34,E511&gt;=E$35,D$35)</f>
        <v/>
      </c>
      <c r="E511" s="38" t="n">
        <v>461</v>
      </c>
      <c r="F511" s="31">
        <f>E511/52</f>
        <v/>
      </c>
      <c r="G511" s="39">
        <f>D511/1000000*52</f>
        <v/>
      </c>
      <c r="H511" s="33">
        <f>G511/$P$4+($C$22/$P$4)</f>
        <v/>
      </c>
      <c r="I511" s="36">
        <f>_xlfn.IFS(K511&lt;K$24,0,K511&lt;K$26,I$24,K511&lt;K$28,I$26,K511&lt;K$30,I$28,K511&lt;K$32,I$30,K511&lt;K$34,I$32,K511&lt;K$36,I$34,K511&lt;K$38,I$36,K511&lt;K$40,I$38,K511&lt;K$42,I$40,K511&lt;K$44,I$42,K511&lt;K$46,I$44,K511&gt;=K$46,I$46)</f>
        <v/>
      </c>
      <c r="J511" s="37">
        <f>_xlfn.IFS(K511&lt;K$24,0,K511&lt;K$25,J$24,K511&lt;K$26,J$25,K511&lt;K$27,J$26,K511&lt;K$28,J$27,K511&lt;K$29,J$28,K511&lt;K$30,J$29,K511&lt;K$31,J$30,K511&lt;K$32,J$31,K511&lt;K$33,J$32,K511&lt;K$34,J$33,K511&lt;K$35,J$34,K511&lt;K$36,J$35,K511&lt;K$37,J$36,K511&lt;K$38,J$37,K511&lt;K$39,J$38,K511&lt;K$40,J$39,K511&lt;K$41,J$40,K511&lt;K$42,J$41,K511&lt;K$43,J$42,K511&lt;K$44,J$43,K511&lt;K$45,J$44,K511&lt;K$46,J$45,K511&lt;K$47,J$46,K511&gt;=K$47,J$47)</f>
        <v/>
      </c>
      <c r="K511" s="38" t="n">
        <v>461</v>
      </c>
      <c r="L511" s="31">
        <f>K511/52</f>
        <v/>
      </c>
      <c r="M511" s="39">
        <f>J511/1000000*52</f>
        <v/>
      </c>
      <c r="N511" s="33">
        <f>M511/$P$4+($I$22/$P$4)</f>
        <v/>
      </c>
      <c r="U511">
        <f>F510</f>
        <v/>
      </c>
      <c r="V511">
        <f>H510</f>
        <v/>
      </c>
      <c r="W511">
        <f>N510</f>
        <v/>
      </c>
    </row>
    <row r="512" ht="15.75" customHeight="1" s="40">
      <c r="C512" s="36">
        <f>_xlfn.IFS(E512&lt;E$24,0,E512&lt;E$26,C$24,E512&lt;E$28,C$26,E512&lt;E$30,C$28,E512&lt;E$32,C$30,E512&lt;E$34,C$32,E512&gt;=E$34,C$34)</f>
        <v/>
      </c>
      <c r="D512" s="37">
        <f>_xlfn.IFS(E512&lt;E$24,0,E512&lt;E$25,D$24,E512&lt;E$26,D$25,E512&lt;E$27,D$26,E512&lt;E$28,D$27,E512&lt;E$29,D$28,E512&lt;E$30,D$29,E512&lt;E$31,D$30,E512&lt;E$32,D$31,E512&lt;E$33,D$32,E512&lt;E$34,D$33,E512&lt;E$35,D$34,E512&gt;=E$35,D$35)</f>
        <v/>
      </c>
      <c r="E512" s="38" t="n">
        <v>462</v>
      </c>
      <c r="F512" s="31">
        <f>E512/52</f>
        <v/>
      </c>
      <c r="G512" s="39">
        <f>D512/1000000*52</f>
        <v/>
      </c>
      <c r="H512" s="33">
        <f>G512/$P$4+($C$22/$P$4)</f>
        <v/>
      </c>
      <c r="I512" s="36">
        <f>_xlfn.IFS(K512&lt;K$24,0,K512&lt;K$26,I$24,K512&lt;K$28,I$26,K512&lt;K$30,I$28,K512&lt;K$32,I$30,K512&lt;K$34,I$32,K512&lt;K$36,I$34,K512&lt;K$38,I$36,K512&lt;K$40,I$38,K512&lt;K$42,I$40,K512&lt;K$44,I$42,K512&lt;K$46,I$44,K512&gt;=K$46,I$46)</f>
        <v/>
      </c>
      <c r="J512" s="37">
        <f>_xlfn.IFS(K512&lt;K$24,0,K512&lt;K$25,J$24,K512&lt;K$26,J$25,K512&lt;K$27,J$26,K512&lt;K$28,J$27,K512&lt;K$29,J$28,K512&lt;K$30,J$29,K512&lt;K$31,J$30,K512&lt;K$32,J$31,K512&lt;K$33,J$32,K512&lt;K$34,J$33,K512&lt;K$35,J$34,K512&lt;K$36,J$35,K512&lt;K$37,J$36,K512&lt;K$38,J$37,K512&lt;K$39,J$38,K512&lt;K$40,J$39,K512&lt;K$41,J$40,K512&lt;K$42,J$41,K512&lt;K$43,J$42,K512&lt;K$44,J$43,K512&lt;K$45,J$44,K512&lt;K$46,J$45,K512&lt;K$47,J$46,K512&gt;=K$47,J$47)</f>
        <v/>
      </c>
      <c r="K512" s="38" t="n">
        <v>462</v>
      </c>
      <c r="L512" s="31">
        <f>K512/52</f>
        <v/>
      </c>
      <c r="M512" s="39">
        <f>J512/1000000*52</f>
        <v/>
      </c>
      <c r="N512" s="33">
        <f>M512/$P$4+($I$22/$P$4)</f>
        <v/>
      </c>
      <c r="U512">
        <f>F511</f>
        <v/>
      </c>
      <c r="V512">
        <f>H511</f>
        <v/>
      </c>
      <c r="W512">
        <f>N511</f>
        <v/>
      </c>
    </row>
    <row r="513" ht="15.75" customHeight="1" s="40">
      <c r="C513" s="36">
        <f>_xlfn.IFS(E513&lt;E$24,0,E513&lt;E$26,C$24,E513&lt;E$28,C$26,E513&lt;E$30,C$28,E513&lt;E$32,C$30,E513&lt;E$34,C$32,E513&gt;=E$34,C$34)</f>
        <v/>
      </c>
      <c r="D513" s="37">
        <f>_xlfn.IFS(E513&lt;E$24,0,E513&lt;E$25,D$24,E513&lt;E$26,D$25,E513&lt;E$27,D$26,E513&lt;E$28,D$27,E513&lt;E$29,D$28,E513&lt;E$30,D$29,E513&lt;E$31,D$30,E513&lt;E$32,D$31,E513&lt;E$33,D$32,E513&lt;E$34,D$33,E513&lt;E$35,D$34,E513&gt;=E$35,D$35)</f>
        <v/>
      </c>
      <c r="E513" s="38" t="n">
        <v>463</v>
      </c>
      <c r="F513" s="31">
        <f>E513/52</f>
        <v/>
      </c>
      <c r="G513" s="39">
        <f>D513/1000000*52</f>
        <v/>
      </c>
      <c r="H513" s="33">
        <f>G513/$P$4+($C$22/$P$4)</f>
        <v/>
      </c>
      <c r="I513" s="36">
        <f>_xlfn.IFS(K513&lt;K$24,0,K513&lt;K$26,I$24,K513&lt;K$28,I$26,K513&lt;K$30,I$28,K513&lt;K$32,I$30,K513&lt;K$34,I$32,K513&lt;K$36,I$34,K513&lt;K$38,I$36,K513&lt;K$40,I$38,K513&lt;K$42,I$40,K513&lt;K$44,I$42,K513&lt;K$46,I$44,K513&gt;=K$46,I$46)</f>
        <v/>
      </c>
      <c r="J513" s="37">
        <f>_xlfn.IFS(K513&lt;K$24,0,K513&lt;K$25,J$24,K513&lt;K$26,J$25,K513&lt;K$27,J$26,K513&lt;K$28,J$27,K513&lt;K$29,J$28,K513&lt;K$30,J$29,K513&lt;K$31,J$30,K513&lt;K$32,J$31,K513&lt;K$33,J$32,K513&lt;K$34,J$33,K513&lt;K$35,J$34,K513&lt;K$36,J$35,K513&lt;K$37,J$36,K513&lt;K$38,J$37,K513&lt;K$39,J$38,K513&lt;K$40,J$39,K513&lt;K$41,J$40,K513&lt;K$42,J$41,K513&lt;K$43,J$42,K513&lt;K$44,J$43,K513&lt;K$45,J$44,K513&lt;K$46,J$45,K513&lt;K$47,J$46,K513&gt;=K$47,J$47)</f>
        <v/>
      </c>
      <c r="K513" s="38" t="n">
        <v>463</v>
      </c>
      <c r="L513" s="31">
        <f>K513/52</f>
        <v/>
      </c>
      <c r="M513" s="39">
        <f>J513/1000000*52</f>
        <v/>
      </c>
      <c r="N513" s="33">
        <f>M513/$P$4+($I$22/$P$4)</f>
        <v/>
      </c>
      <c r="U513">
        <f>F512</f>
        <v/>
      </c>
      <c r="V513">
        <f>H512</f>
        <v/>
      </c>
      <c r="W513">
        <f>N512</f>
        <v/>
      </c>
    </row>
    <row r="514" ht="15.75" customHeight="1" s="40">
      <c r="C514" s="36">
        <f>_xlfn.IFS(E514&lt;E$24,0,E514&lt;E$26,C$24,E514&lt;E$28,C$26,E514&lt;E$30,C$28,E514&lt;E$32,C$30,E514&lt;E$34,C$32,E514&gt;=E$34,C$34)</f>
        <v/>
      </c>
      <c r="D514" s="37">
        <f>_xlfn.IFS(E514&lt;E$24,0,E514&lt;E$25,D$24,E514&lt;E$26,D$25,E514&lt;E$27,D$26,E514&lt;E$28,D$27,E514&lt;E$29,D$28,E514&lt;E$30,D$29,E514&lt;E$31,D$30,E514&lt;E$32,D$31,E514&lt;E$33,D$32,E514&lt;E$34,D$33,E514&lt;E$35,D$34,E514&gt;=E$35,D$35)</f>
        <v/>
      </c>
      <c r="E514" s="38" t="n">
        <v>464</v>
      </c>
      <c r="F514" s="31">
        <f>E514/52</f>
        <v/>
      </c>
      <c r="G514" s="39">
        <f>D514/1000000*52</f>
        <v/>
      </c>
      <c r="H514" s="33">
        <f>G514/$P$4+($C$22/$P$4)</f>
        <v/>
      </c>
      <c r="I514" s="36">
        <f>_xlfn.IFS(K514&lt;K$24,0,K514&lt;K$26,I$24,K514&lt;K$28,I$26,K514&lt;K$30,I$28,K514&lt;K$32,I$30,K514&lt;K$34,I$32,K514&lt;K$36,I$34,K514&lt;K$38,I$36,K514&lt;K$40,I$38,K514&lt;K$42,I$40,K514&lt;K$44,I$42,K514&lt;K$46,I$44,K514&gt;=K$46,I$46)</f>
        <v/>
      </c>
      <c r="J514" s="37">
        <f>_xlfn.IFS(K514&lt;K$24,0,K514&lt;K$25,J$24,K514&lt;K$26,J$25,K514&lt;K$27,J$26,K514&lt;K$28,J$27,K514&lt;K$29,J$28,K514&lt;K$30,J$29,K514&lt;K$31,J$30,K514&lt;K$32,J$31,K514&lt;K$33,J$32,K514&lt;K$34,J$33,K514&lt;K$35,J$34,K514&lt;K$36,J$35,K514&lt;K$37,J$36,K514&lt;K$38,J$37,K514&lt;K$39,J$38,K514&lt;K$40,J$39,K514&lt;K$41,J$40,K514&lt;K$42,J$41,K514&lt;K$43,J$42,K514&lt;K$44,J$43,K514&lt;K$45,J$44,K514&lt;K$46,J$45,K514&lt;K$47,J$46,K514&gt;=K$47,J$47)</f>
        <v/>
      </c>
      <c r="K514" s="38" t="n">
        <v>464</v>
      </c>
      <c r="L514" s="31">
        <f>K514/52</f>
        <v/>
      </c>
      <c r="M514" s="39">
        <f>J514/1000000*52</f>
        <v/>
      </c>
      <c r="N514" s="33">
        <f>M514/$P$4+($I$22/$P$4)</f>
        <v/>
      </c>
      <c r="U514">
        <f>F513</f>
        <v/>
      </c>
      <c r="V514">
        <f>H513</f>
        <v/>
      </c>
      <c r="W514">
        <f>N513</f>
        <v/>
      </c>
    </row>
    <row r="515" ht="15.75" customHeight="1" s="40">
      <c r="C515" s="36">
        <f>_xlfn.IFS(E515&lt;E$24,0,E515&lt;E$26,C$24,E515&lt;E$28,C$26,E515&lt;E$30,C$28,E515&lt;E$32,C$30,E515&lt;E$34,C$32,E515&gt;=E$34,C$34)</f>
        <v/>
      </c>
      <c r="D515" s="37">
        <f>_xlfn.IFS(E515&lt;E$24,0,E515&lt;E$25,D$24,E515&lt;E$26,D$25,E515&lt;E$27,D$26,E515&lt;E$28,D$27,E515&lt;E$29,D$28,E515&lt;E$30,D$29,E515&lt;E$31,D$30,E515&lt;E$32,D$31,E515&lt;E$33,D$32,E515&lt;E$34,D$33,E515&lt;E$35,D$34,E515&gt;=E$35,D$35)</f>
        <v/>
      </c>
      <c r="E515" s="38" t="n">
        <v>465</v>
      </c>
      <c r="F515" s="31">
        <f>E515/52</f>
        <v/>
      </c>
      <c r="G515" s="39">
        <f>D515/1000000*52</f>
        <v/>
      </c>
      <c r="H515" s="33">
        <f>G515/$P$4+($C$22/$P$4)</f>
        <v/>
      </c>
      <c r="I515" s="36">
        <f>_xlfn.IFS(K515&lt;K$24,0,K515&lt;K$26,I$24,K515&lt;K$28,I$26,K515&lt;K$30,I$28,K515&lt;K$32,I$30,K515&lt;K$34,I$32,K515&lt;K$36,I$34,K515&lt;K$38,I$36,K515&lt;K$40,I$38,K515&lt;K$42,I$40,K515&lt;K$44,I$42,K515&lt;K$46,I$44,K515&gt;=K$46,I$46)</f>
        <v/>
      </c>
      <c r="J515" s="37">
        <f>_xlfn.IFS(K515&lt;K$24,0,K515&lt;K$25,J$24,K515&lt;K$26,J$25,K515&lt;K$27,J$26,K515&lt;K$28,J$27,K515&lt;K$29,J$28,K515&lt;K$30,J$29,K515&lt;K$31,J$30,K515&lt;K$32,J$31,K515&lt;K$33,J$32,K515&lt;K$34,J$33,K515&lt;K$35,J$34,K515&lt;K$36,J$35,K515&lt;K$37,J$36,K515&lt;K$38,J$37,K515&lt;K$39,J$38,K515&lt;K$40,J$39,K515&lt;K$41,J$40,K515&lt;K$42,J$41,K515&lt;K$43,J$42,K515&lt;K$44,J$43,K515&lt;K$45,J$44,K515&lt;K$46,J$45,K515&lt;K$47,J$46,K515&gt;=K$47,J$47)</f>
        <v/>
      </c>
      <c r="K515" s="38" t="n">
        <v>465</v>
      </c>
      <c r="L515" s="31">
        <f>K515/52</f>
        <v/>
      </c>
      <c r="M515" s="39">
        <f>J515/1000000*52</f>
        <v/>
      </c>
      <c r="N515" s="33">
        <f>M515/$P$4+($I$22/$P$4)</f>
        <v/>
      </c>
      <c r="U515">
        <f>F514</f>
        <v/>
      </c>
      <c r="V515">
        <f>H514</f>
        <v/>
      </c>
      <c r="W515">
        <f>N514</f>
        <v/>
      </c>
    </row>
    <row r="516" ht="15.75" customHeight="1" s="40">
      <c r="C516" s="36">
        <f>_xlfn.IFS(E516&lt;E$24,0,E516&lt;E$26,C$24,E516&lt;E$28,C$26,E516&lt;E$30,C$28,E516&lt;E$32,C$30,E516&lt;E$34,C$32,E516&gt;=E$34,C$34)</f>
        <v/>
      </c>
      <c r="D516" s="37">
        <f>_xlfn.IFS(E516&lt;E$24,0,E516&lt;E$25,D$24,E516&lt;E$26,D$25,E516&lt;E$27,D$26,E516&lt;E$28,D$27,E516&lt;E$29,D$28,E516&lt;E$30,D$29,E516&lt;E$31,D$30,E516&lt;E$32,D$31,E516&lt;E$33,D$32,E516&lt;E$34,D$33,E516&lt;E$35,D$34,E516&gt;=E$35,D$35)</f>
        <v/>
      </c>
      <c r="E516" s="38" t="n">
        <v>466</v>
      </c>
      <c r="F516" s="31">
        <f>E516/52</f>
        <v/>
      </c>
      <c r="G516" s="39">
        <f>D516/1000000*52</f>
        <v/>
      </c>
      <c r="H516" s="33">
        <f>G516/$P$4+($C$22/$P$4)</f>
        <v/>
      </c>
      <c r="I516" s="36">
        <f>_xlfn.IFS(K516&lt;K$24,0,K516&lt;K$26,I$24,K516&lt;K$28,I$26,K516&lt;K$30,I$28,K516&lt;K$32,I$30,K516&lt;K$34,I$32,K516&lt;K$36,I$34,K516&lt;K$38,I$36,K516&lt;K$40,I$38,K516&lt;K$42,I$40,K516&lt;K$44,I$42,K516&lt;K$46,I$44,K516&gt;=K$46,I$46)</f>
        <v/>
      </c>
      <c r="J516" s="37">
        <f>_xlfn.IFS(K516&lt;K$24,0,K516&lt;K$25,J$24,K516&lt;K$26,J$25,K516&lt;K$27,J$26,K516&lt;K$28,J$27,K516&lt;K$29,J$28,K516&lt;K$30,J$29,K516&lt;K$31,J$30,K516&lt;K$32,J$31,K516&lt;K$33,J$32,K516&lt;K$34,J$33,K516&lt;K$35,J$34,K516&lt;K$36,J$35,K516&lt;K$37,J$36,K516&lt;K$38,J$37,K516&lt;K$39,J$38,K516&lt;K$40,J$39,K516&lt;K$41,J$40,K516&lt;K$42,J$41,K516&lt;K$43,J$42,K516&lt;K$44,J$43,K516&lt;K$45,J$44,K516&lt;K$46,J$45,K516&lt;K$47,J$46,K516&gt;=K$47,J$47)</f>
        <v/>
      </c>
      <c r="K516" s="38" t="n">
        <v>466</v>
      </c>
      <c r="L516" s="31">
        <f>K516/52</f>
        <v/>
      </c>
      <c r="M516" s="39">
        <f>J516/1000000*52</f>
        <v/>
      </c>
      <c r="N516" s="33">
        <f>M516/$P$4+($I$22/$P$4)</f>
        <v/>
      </c>
      <c r="U516">
        <f>F515</f>
        <v/>
      </c>
      <c r="V516">
        <f>H515</f>
        <v/>
      </c>
      <c r="W516">
        <f>N515</f>
        <v/>
      </c>
    </row>
    <row r="517" ht="15.75" customHeight="1" s="40">
      <c r="C517" s="36">
        <f>_xlfn.IFS(E517&lt;E$24,0,E517&lt;E$26,C$24,E517&lt;E$28,C$26,E517&lt;E$30,C$28,E517&lt;E$32,C$30,E517&lt;E$34,C$32,E517&gt;=E$34,C$34)</f>
        <v/>
      </c>
      <c r="D517" s="37">
        <f>_xlfn.IFS(E517&lt;E$24,0,E517&lt;E$25,D$24,E517&lt;E$26,D$25,E517&lt;E$27,D$26,E517&lt;E$28,D$27,E517&lt;E$29,D$28,E517&lt;E$30,D$29,E517&lt;E$31,D$30,E517&lt;E$32,D$31,E517&lt;E$33,D$32,E517&lt;E$34,D$33,E517&lt;E$35,D$34,E517&gt;=E$35,D$35)</f>
        <v/>
      </c>
      <c r="E517" s="38" t="n">
        <v>467</v>
      </c>
      <c r="F517" s="31">
        <f>E517/52</f>
        <v/>
      </c>
      <c r="G517" s="39">
        <f>D517/1000000*52</f>
        <v/>
      </c>
      <c r="H517" s="33">
        <f>G517/$P$4+($C$22/$P$4)</f>
        <v/>
      </c>
      <c r="I517" s="36">
        <f>_xlfn.IFS(K517&lt;K$24,0,K517&lt;K$26,I$24,K517&lt;K$28,I$26,K517&lt;K$30,I$28,K517&lt;K$32,I$30,K517&lt;K$34,I$32,K517&lt;K$36,I$34,K517&lt;K$38,I$36,K517&lt;K$40,I$38,K517&lt;K$42,I$40,K517&lt;K$44,I$42,K517&lt;K$46,I$44,K517&gt;=K$46,I$46)</f>
        <v/>
      </c>
      <c r="J517" s="37">
        <f>_xlfn.IFS(K517&lt;K$24,0,K517&lt;K$25,J$24,K517&lt;K$26,J$25,K517&lt;K$27,J$26,K517&lt;K$28,J$27,K517&lt;K$29,J$28,K517&lt;K$30,J$29,K517&lt;K$31,J$30,K517&lt;K$32,J$31,K517&lt;K$33,J$32,K517&lt;K$34,J$33,K517&lt;K$35,J$34,K517&lt;K$36,J$35,K517&lt;K$37,J$36,K517&lt;K$38,J$37,K517&lt;K$39,J$38,K517&lt;K$40,J$39,K517&lt;K$41,J$40,K517&lt;K$42,J$41,K517&lt;K$43,J$42,K517&lt;K$44,J$43,K517&lt;K$45,J$44,K517&lt;K$46,J$45,K517&lt;K$47,J$46,K517&gt;=K$47,J$47)</f>
        <v/>
      </c>
      <c r="K517" s="38" t="n">
        <v>467</v>
      </c>
      <c r="L517" s="31">
        <f>K517/52</f>
        <v/>
      </c>
      <c r="M517" s="39">
        <f>J517/1000000*52</f>
        <v/>
      </c>
      <c r="N517" s="33">
        <f>M517/$P$4+($I$22/$P$4)</f>
        <v/>
      </c>
      <c r="U517">
        <f>F516</f>
        <v/>
      </c>
      <c r="V517">
        <f>H516</f>
        <v/>
      </c>
      <c r="W517">
        <f>N516</f>
        <v/>
      </c>
    </row>
    <row r="518" ht="15.75" customHeight="1" s="40">
      <c r="C518" s="36">
        <f>_xlfn.IFS(E518&lt;E$24,0,E518&lt;E$26,C$24,E518&lt;E$28,C$26,E518&lt;E$30,C$28,E518&lt;E$32,C$30,E518&lt;E$34,C$32,E518&gt;=E$34,C$34)</f>
        <v/>
      </c>
      <c r="D518" s="37">
        <f>_xlfn.IFS(E518&lt;E$24,0,E518&lt;E$25,D$24,E518&lt;E$26,D$25,E518&lt;E$27,D$26,E518&lt;E$28,D$27,E518&lt;E$29,D$28,E518&lt;E$30,D$29,E518&lt;E$31,D$30,E518&lt;E$32,D$31,E518&lt;E$33,D$32,E518&lt;E$34,D$33,E518&lt;E$35,D$34,E518&gt;=E$35,D$35)</f>
        <v/>
      </c>
      <c r="E518" s="38" t="n">
        <v>468</v>
      </c>
      <c r="F518" s="31">
        <f>E518/52</f>
        <v/>
      </c>
      <c r="G518" s="39">
        <f>D518/1000000*52</f>
        <v/>
      </c>
      <c r="H518" s="33">
        <f>G518/$P$4+($C$22/$P$4)</f>
        <v/>
      </c>
      <c r="I518" s="36">
        <f>_xlfn.IFS(K518&lt;K$24,0,K518&lt;K$26,I$24,K518&lt;K$28,I$26,K518&lt;K$30,I$28,K518&lt;K$32,I$30,K518&lt;K$34,I$32,K518&lt;K$36,I$34,K518&lt;K$38,I$36,K518&lt;K$40,I$38,K518&lt;K$42,I$40,K518&lt;K$44,I$42,K518&lt;K$46,I$44,K518&gt;=K$46,I$46)</f>
        <v/>
      </c>
      <c r="J518" s="37">
        <f>_xlfn.IFS(K518&lt;K$24,0,K518&lt;K$25,J$24,K518&lt;K$26,J$25,K518&lt;K$27,J$26,K518&lt;K$28,J$27,K518&lt;K$29,J$28,K518&lt;K$30,J$29,K518&lt;K$31,J$30,K518&lt;K$32,J$31,K518&lt;K$33,J$32,K518&lt;K$34,J$33,K518&lt;K$35,J$34,K518&lt;K$36,J$35,K518&lt;K$37,J$36,K518&lt;K$38,J$37,K518&lt;K$39,J$38,K518&lt;K$40,J$39,K518&lt;K$41,J$40,K518&lt;K$42,J$41,K518&lt;K$43,J$42,K518&lt;K$44,J$43,K518&lt;K$45,J$44,K518&lt;K$46,J$45,K518&lt;K$47,J$46,K518&gt;=K$47,J$47)</f>
        <v/>
      </c>
      <c r="K518" s="38" t="n">
        <v>468</v>
      </c>
      <c r="L518" s="31">
        <f>K518/52</f>
        <v/>
      </c>
      <c r="M518" s="39">
        <f>J518/1000000*52</f>
        <v/>
      </c>
      <c r="N518" s="33">
        <f>M518/$P$4+($I$22/$P$4)</f>
        <v/>
      </c>
      <c r="U518">
        <f>F517</f>
        <v/>
      </c>
      <c r="V518">
        <f>H517</f>
        <v/>
      </c>
      <c r="W518">
        <f>N517</f>
        <v/>
      </c>
    </row>
    <row r="519" ht="15.75" customHeight="1" s="40">
      <c r="C519" s="36">
        <f>_xlfn.IFS(E519&lt;E$24,0,E519&lt;E$26,C$24,E519&lt;E$28,C$26,E519&lt;E$30,C$28,E519&lt;E$32,C$30,E519&lt;E$34,C$32,E519&gt;=E$34,C$34)</f>
        <v/>
      </c>
      <c r="D519" s="37">
        <f>_xlfn.IFS(E519&lt;E$24,0,E519&lt;E$25,D$24,E519&lt;E$26,D$25,E519&lt;E$27,D$26,E519&lt;E$28,D$27,E519&lt;E$29,D$28,E519&lt;E$30,D$29,E519&lt;E$31,D$30,E519&lt;E$32,D$31,E519&lt;E$33,D$32,E519&lt;E$34,D$33,E519&lt;E$35,D$34,E519&gt;=E$35,D$35)</f>
        <v/>
      </c>
      <c r="E519" s="38" t="n">
        <v>469</v>
      </c>
      <c r="F519" s="31">
        <f>E519/52</f>
        <v/>
      </c>
      <c r="G519" s="39">
        <f>D519/1000000*52</f>
        <v/>
      </c>
      <c r="H519" s="33">
        <f>G519/$P$4+($C$22/$P$4)</f>
        <v/>
      </c>
      <c r="I519" s="36">
        <f>_xlfn.IFS(K519&lt;K$24,0,K519&lt;K$26,I$24,K519&lt;K$28,I$26,K519&lt;K$30,I$28,K519&lt;K$32,I$30,K519&lt;K$34,I$32,K519&lt;K$36,I$34,K519&lt;K$38,I$36,K519&lt;K$40,I$38,K519&lt;K$42,I$40,K519&lt;K$44,I$42,K519&lt;K$46,I$44,K519&gt;=K$46,I$46)</f>
        <v/>
      </c>
      <c r="J519" s="37">
        <f>_xlfn.IFS(K519&lt;K$24,0,K519&lt;K$25,J$24,K519&lt;K$26,J$25,K519&lt;K$27,J$26,K519&lt;K$28,J$27,K519&lt;K$29,J$28,K519&lt;K$30,J$29,K519&lt;K$31,J$30,K519&lt;K$32,J$31,K519&lt;K$33,J$32,K519&lt;K$34,J$33,K519&lt;K$35,J$34,K519&lt;K$36,J$35,K519&lt;K$37,J$36,K519&lt;K$38,J$37,K519&lt;K$39,J$38,K519&lt;K$40,J$39,K519&lt;K$41,J$40,K519&lt;K$42,J$41,K519&lt;K$43,J$42,K519&lt;K$44,J$43,K519&lt;K$45,J$44,K519&lt;K$46,J$45,K519&lt;K$47,J$46,K519&gt;=K$47,J$47)</f>
        <v/>
      </c>
      <c r="K519" s="38" t="n">
        <v>469</v>
      </c>
      <c r="L519" s="31">
        <f>K519/52</f>
        <v/>
      </c>
      <c r="M519" s="39">
        <f>J519/1000000*52</f>
        <v/>
      </c>
      <c r="N519" s="33">
        <f>M519/$P$4+($I$22/$P$4)</f>
        <v/>
      </c>
      <c r="U519">
        <f>F518</f>
        <v/>
      </c>
      <c r="V519">
        <f>H518</f>
        <v/>
      </c>
      <c r="W519">
        <f>N518</f>
        <v/>
      </c>
    </row>
    <row r="520" ht="15.75" customHeight="1" s="40">
      <c r="C520" s="36">
        <f>_xlfn.IFS(E520&lt;E$24,0,E520&lt;E$26,C$24,E520&lt;E$28,C$26,E520&lt;E$30,C$28,E520&lt;E$32,C$30,E520&lt;E$34,C$32,E520&gt;=E$34,C$34)</f>
        <v/>
      </c>
      <c r="D520" s="37">
        <f>_xlfn.IFS(E520&lt;E$24,0,E520&lt;E$25,D$24,E520&lt;E$26,D$25,E520&lt;E$27,D$26,E520&lt;E$28,D$27,E520&lt;E$29,D$28,E520&lt;E$30,D$29,E520&lt;E$31,D$30,E520&lt;E$32,D$31,E520&lt;E$33,D$32,E520&lt;E$34,D$33,E520&lt;E$35,D$34,E520&gt;=E$35,D$35)</f>
        <v/>
      </c>
      <c r="E520" s="38" t="n">
        <v>470</v>
      </c>
      <c r="F520" s="31">
        <f>E520/52</f>
        <v/>
      </c>
      <c r="G520" s="39">
        <f>D520/1000000*52</f>
        <v/>
      </c>
      <c r="H520" s="33">
        <f>G520/$P$4+($C$22/$P$4)</f>
        <v/>
      </c>
      <c r="I520" s="36">
        <f>_xlfn.IFS(K520&lt;K$24,0,K520&lt;K$26,I$24,K520&lt;K$28,I$26,K520&lt;K$30,I$28,K520&lt;K$32,I$30,K520&lt;K$34,I$32,K520&lt;K$36,I$34,K520&lt;K$38,I$36,K520&lt;K$40,I$38,K520&lt;K$42,I$40,K520&lt;K$44,I$42,K520&lt;K$46,I$44,K520&gt;=K$46,I$46)</f>
        <v/>
      </c>
      <c r="J520" s="37">
        <f>_xlfn.IFS(K520&lt;K$24,0,K520&lt;K$25,J$24,K520&lt;K$26,J$25,K520&lt;K$27,J$26,K520&lt;K$28,J$27,K520&lt;K$29,J$28,K520&lt;K$30,J$29,K520&lt;K$31,J$30,K520&lt;K$32,J$31,K520&lt;K$33,J$32,K520&lt;K$34,J$33,K520&lt;K$35,J$34,K520&lt;K$36,J$35,K520&lt;K$37,J$36,K520&lt;K$38,J$37,K520&lt;K$39,J$38,K520&lt;K$40,J$39,K520&lt;K$41,J$40,K520&lt;K$42,J$41,K520&lt;K$43,J$42,K520&lt;K$44,J$43,K520&lt;K$45,J$44,K520&lt;K$46,J$45,K520&lt;K$47,J$46,K520&gt;=K$47,J$47)</f>
        <v/>
      </c>
      <c r="K520" s="38" t="n">
        <v>470</v>
      </c>
      <c r="L520" s="31">
        <f>K520/52</f>
        <v/>
      </c>
      <c r="M520" s="39">
        <f>J520/1000000*52</f>
        <v/>
      </c>
      <c r="N520" s="33">
        <f>M520/$P$4+($I$22/$P$4)</f>
        <v/>
      </c>
      <c r="U520">
        <f>F519</f>
        <v/>
      </c>
      <c r="V520">
        <f>H519</f>
        <v/>
      </c>
      <c r="W520">
        <f>N519</f>
        <v/>
      </c>
    </row>
    <row r="521" ht="15.75" customHeight="1" s="40">
      <c r="C521" s="36">
        <f>_xlfn.IFS(E521&lt;E$24,0,E521&lt;E$26,C$24,E521&lt;E$28,C$26,E521&lt;E$30,C$28,E521&lt;E$32,C$30,E521&lt;E$34,C$32,E521&gt;=E$34,C$34)</f>
        <v/>
      </c>
      <c r="D521" s="37">
        <f>_xlfn.IFS(E521&lt;E$24,0,E521&lt;E$25,D$24,E521&lt;E$26,D$25,E521&lt;E$27,D$26,E521&lt;E$28,D$27,E521&lt;E$29,D$28,E521&lt;E$30,D$29,E521&lt;E$31,D$30,E521&lt;E$32,D$31,E521&lt;E$33,D$32,E521&lt;E$34,D$33,E521&lt;E$35,D$34,E521&gt;=E$35,D$35)</f>
        <v/>
      </c>
      <c r="E521" s="38" t="n">
        <v>471</v>
      </c>
      <c r="F521" s="31">
        <f>E521/52</f>
        <v/>
      </c>
      <c r="G521" s="39">
        <f>D521/1000000*52</f>
        <v/>
      </c>
      <c r="H521" s="33">
        <f>G521/$P$4+($C$22/$P$4)</f>
        <v/>
      </c>
      <c r="I521" s="36">
        <f>_xlfn.IFS(K521&lt;K$24,0,K521&lt;K$26,I$24,K521&lt;K$28,I$26,K521&lt;K$30,I$28,K521&lt;K$32,I$30,K521&lt;K$34,I$32,K521&lt;K$36,I$34,K521&lt;K$38,I$36,K521&lt;K$40,I$38,K521&lt;K$42,I$40,K521&lt;K$44,I$42,K521&lt;K$46,I$44,K521&gt;=K$46,I$46)</f>
        <v/>
      </c>
      <c r="J521" s="37">
        <f>_xlfn.IFS(K521&lt;K$24,0,K521&lt;K$25,J$24,K521&lt;K$26,J$25,K521&lt;K$27,J$26,K521&lt;K$28,J$27,K521&lt;K$29,J$28,K521&lt;K$30,J$29,K521&lt;K$31,J$30,K521&lt;K$32,J$31,K521&lt;K$33,J$32,K521&lt;K$34,J$33,K521&lt;K$35,J$34,K521&lt;K$36,J$35,K521&lt;K$37,J$36,K521&lt;K$38,J$37,K521&lt;K$39,J$38,K521&lt;K$40,J$39,K521&lt;K$41,J$40,K521&lt;K$42,J$41,K521&lt;K$43,J$42,K521&lt;K$44,J$43,K521&lt;K$45,J$44,K521&lt;K$46,J$45,K521&lt;K$47,J$46,K521&gt;=K$47,J$47)</f>
        <v/>
      </c>
      <c r="K521" s="38" t="n">
        <v>471</v>
      </c>
      <c r="L521" s="31">
        <f>K521/52</f>
        <v/>
      </c>
      <c r="M521" s="39">
        <f>J521/1000000*52</f>
        <v/>
      </c>
      <c r="N521" s="33">
        <f>M521/$P$4+($I$22/$P$4)</f>
        <v/>
      </c>
      <c r="U521">
        <f>F520</f>
        <v/>
      </c>
      <c r="V521">
        <f>H520</f>
        <v/>
      </c>
      <c r="W521">
        <f>N520</f>
        <v/>
      </c>
    </row>
    <row r="522" ht="15.75" customHeight="1" s="40">
      <c r="C522" s="36">
        <f>_xlfn.IFS(E522&lt;E$24,0,E522&lt;E$26,C$24,E522&lt;E$28,C$26,E522&lt;E$30,C$28,E522&lt;E$32,C$30,E522&lt;E$34,C$32,E522&gt;=E$34,C$34)</f>
        <v/>
      </c>
      <c r="D522" s="37">
        <f>_xlfn.IFS(E522&lt;E$24,0,E522&lt;E$25,D$24,E522&lt;E$26,D$25,E522&lt;E$27,D$26,E522&lt;E$28,D$27,E522&lt;E$29,D$28,E522&lt;E$30,D$29,E522&lt;E$31,D$30,E522&lt;E$32,D$31,E522&lt;E$33,D$32,E522&lt;E$34,D$33,E522&lt;E$35,D$34,E522&gt;=E$35,D$35)</f>
        <v/>
      </c>
      <c r="E522" s="38" t="n">
        <v>472</v>
      </c>
      <c r="F522" s="31">
        <f>E522/52</f>
        <v/>
      </c>
      <c r="G522" s="39">
        <f>D522/1000000*52</f>
        <v/>
      </c>
      <c r="H522" s="33">
        <f>G522/$P$4+($C$22/$P$4)</f>
        <v/>
      </c>
      <c r="I522" s="36">
        <f>_xlfn.IFS(K522&lt;K$24,0,K522&lt;K$26,I$24,K522&lt;K$28,I$26,K522&lt;K$30,I$28,K522&lt;K$32,I$30,K522&lt;K$34,I$32,K522&lt;K$36,I$34,K522&lt;K$38,I$36,K522&lt;K$40,I$38,K522&lt;K$42,I$40,K522&lt;K$44,I$42,K522&lt;K$46,I$44,K522&gt;=K$46,I$46)</f>
        <v/>
      </c>
      <c r="J522" s="37">
        <f>_xlfn.IFS(K522&lt;K$24,0,K522&lt;K$25,J$24,K522&lt;K$26,J$25,K522&lt;K$27,J$26,K522&lt;K$28,J$27,K522&lt;K$29,J$28,K522&lt;K$30,J$29,K522&lt;K$31,J$30,K522&lt;K$32,J$31,K522&lt;K$33,J$32,K522&lt;K$34,J$33,K522&lt;K$35,J$34,K522&lt;K$36,J$35,K522&lt;K$37,J$36,K522&lt;K$38,J$37,K522&lt;K$39,J$38,K522&lt;K$40,J$39,K522&lt;K$41,J$40,K522&lt;K$42,J$41,K522&lt;K$43,J$42,K522&lt;K$44,J$43,K522&lt;K$45,J$44,K522&lt;K$46,J$45,K522&lt;K$47,J$46,K522&gt;=K$47,J$47)</f>
        <v/>
      </c>
      <c r="K522" s="38" t="n">
        <v>472</v>
      </c>
      <c r="L522" s="31">
        <f>K522/52</f>
        <v/>
      </c>
      <c r="M522" s="39">
        <f>J522/1000000*52</f>
        <v/>
      </c>
      <c r="N522" s="33">
        <f>M522/$P$4+($I$22/$P$4)</f>
        <v/>
      </c>
      <c r="U522">
        <f>F521</f>
        <v/>
      </c>
      <c r="V522">
        <f>H521</f>
        <v/>
      </c>
      <c r="W522">
        <f>N521</f>
        <v/>
      </c>
    </row>
    <row r="523" ht="15.75" customHeight="1" s="40">
      <c r="C523" s="36">
        <f>_xlfn.IFS(E523&lt;E$24,0,E523&lt;E$26,C$24,E523&lt;E$28,C$26,E523&lt;E$30,C$28,E523&lt;E$32,C$30,E523&lt;E$34,C$32,E523&gt;=E$34,C$34)</f>
        <v/>
      </c>
      <c r="D523" s="37">
        <f>_xlfn.IFS(E523&lt;E$24,0,E523&lt;E$25,D$24,E523&lt;E$26,D$25,E523&lt;E$27,D$26,E523&lt;E$28,D$27,E523&lt;E$29,D$28,E523&lt;E$30,D$29,E523&lt;E$31,D$30,E523&lt;E$32,D$31,E523&lt;E$33,D$32,E523&lt;E$34,D$33,E523&lt;E$35,D$34,E523&gt;=E$35,D$35)</f>
        <v/>
      </c>
      <c r="E523" s="38" t="n">
        <v>473</v>
      </c>
      <c r="F523" s="31">
        <f>E523/52</f>
        <v/>
      </c>
      <c r="G523" s="39">
        <f>D523/1000000*52</f>
        <v/>
      </c>
      <c r="H523" s="33">
        <f>G523/$P$4+($C$22/$P$4)</f>
        <v/>
      </c>
      <c r="I523" s="36">
        <f>_xlfn.IFS(K523&lt;K$24,0,K523&lt;K$26,I$24,K523&lt;K$28,I$26,K523&lt;K$30,I$28,K523&lt;K$32,I$30,K523&lt;K$34,I$32,K523&lt;K$36,I$34,K523&lt;K$38,I$36,K523&lt;K$40,I$38,K523&lt;K$42,I$40,K523&lt;K$44,I$42,K523&lt;K$46,I$44,K523&gt;=K$46,I$46)</f>
        <v/>
      </c>
      <c r="J523" s="37">
        <f>_xlfn.IFS(K523&lt;K$24,0,K523&lt;K$25,J$24,K523&lt;K$26,J$25,K523&lt;K$27,J$26,K523&lt;K$28,J$27,K523&lt;K$29,J$28,K523&lt;K$30,J$29,K523&lt;K$31,J$30,K523&lt;K$32,J$31,K523&lt;K$33,J$32,K523&lt;K$34,J$33,K523&lt;K$35,J$34,K523&lt;K$36,J$35,K523&lt;K$37,J$36,K523&lt;K$38,J$37,K523&lt;K$39,J$38,K523&lt;K$40,J$39,K523&lt;K$41,J$40,K523&lt;K$42,J$41,K523&lt;K$43,J$42,K523&lt;K$44,J$43,K523&lt;K$45,J$44,K523&lt;K$46,J$45,K523&lt;K$47,J$46,K523&gt;=K$47,J$47)</f>
        <v/>
      </c>
      <c r="K523" s="38" t="n">
        <v>473</v>
      </c>
      <c r="L523" s="31">
        <f>K523/52</f>
        <v/>
      </c>
      <c r="M523" s="39">
        <f>J523/1000000*52</f>
        <v/>
      </c>
      <c r="N523" s="33">
        <f>M523/$P$4+($I$22/$P$4)</f>
        <v/>
      </c>
      <c r="U523">
        <f>F522</f>
        <v/>
      </c>
      <c r="V523">
        <f>H522</f>
        <v/>
      </c>
      <c r="W523">
        <f>N522</f>
        <v/>
      </c>
    </row>
    <row r="524" ht="15.75" customHeight="1" s="40">
      <c r="C524" s="36">
        <f>_xlfn.IFS(E524&lt;E$24,0,E524&lt;E$26,C$24,E524&lt;E$28,C$26,E524&lt;E$30,C$28,E524&lt;E$32,C$30,E524&lt;E$34,C$32,E524&gt;=E$34,C$34)</f>
        <v/>
      </c>
      <c r="D524" s="37">
        <f>_xlfn.IFS(E524&lt;E$24,0,E524&lt;E$25,D$24,E524&lt;E$26,D$25,E524&lt;E$27,D$26,E524&lt;E$28,D$27,E524&lt;E$29,D$28,E524&lt;E$30,D$29,E524&lt;E$31,D$30,E524&lt;E$32,D$31,E524&lt;E$33,D$32,E524&lt;E$34,D$33,E524&lt;E$35,D$34,E524&gt;=E$35,D$35)</f>
        <v/>
      </c>
      <c r="E524" s="38" t="n">
        <v>474</v>
      </c>
      <c r="F524" s="31">
        <f>E524/52</f>
        <v/>
      </c>
      <c r="G524" s="39">
        <f>D524/1000000*52</f>
        <v/>
      </c>
      <c r="H524" s="33">
        <f>G524/$P$4+($C$22/$P$4)</f>
        <v/>
      </c>
      <c r="I524" s="36">
        <f>_xlfn.IFS(K524&lt;K$24,0,K524&lt;K$26,I$24,K524&lt;K$28,I$26,K524&lt;K$30,I$28,K524&lt;K$32,I$30,K524&lt;K$34,I$32,K524&lt;K$36,I$34,K524&lt;K$38,I$36,K524&lt;K$40,I$38,K524&lt;K$42,I$40,K524&lt;K$44,I$42,K524&lt;K$46,I$44,K524&gt;=K$46,I$46)</f>
        <v/>
      </c>
      <c r="J524" s="37">
        <f>_xlfn.IFS(K524&lt;K$24,0,K524&lt;K$25,J$24,K524&lt;K$26,J$25,K524&lt;K$27,J$26,K524&lt;K$28,J$27,K524&lt;K$29,J$28,K524&lt;K$30,J$29,K524&lt;K$31,J$30,K524&lt;K$32,J$31,K524&lt;K$33,J$32,K524&lt;K$34,J$33,K524&lt;K$35,J$34,K524&lt;K$36,J$35,K524&lt;K$37,J$36,K524&lt;K$38,J$37,K524&lt;K$39,J$38,K524&lt;K$40,J$39,K524&lt;K$41,J$40,K524&lt;K$42,J$41,K524&lt;K$43,J$42,K524&lt;K$44,J$43,K524&lt;K$45,J$44,K524&lt;K$46,J$45,K524&lt;K$47,J$46,K524&gt;=K$47,J$47)</f>
        <v/>
      </c>
      <c r="K524" s="38" t="n">
        <v>474</v>
      </c>
      <c r="L524" s="31">
        <f>K524/52</f>
        <v/>
      </c>
      <c r="M524" s="39">
        <f>J524/1000000*52</f>
        <v/>
      </c>
      <c r="N524" s="33">
        <f>M524/$P$4+($I$22/$P$4)</f>
        <v/>
      </c>
      <c r="U524">
        <f>F523</f>
        <v/>
      </c>
      <c r="V524">
        <f>H523</f>
        <v/>
      </c>
      <c r="W524">
        <f>N523</f>
        <v/>
      </c>
    </row>
    <row r="525" ht="15.75" customHeight="1" s="40">
      <c r="C525" s="36">
        <f>_xlfn.IFS(E525&lt;E$24,0,E525&lt;E$26,C$24,E525&lt;E$28,C$26,E525&lt;E$30,C$28,E525&lt;E$32,C$30,E525&lt;E$34,C$32,E525&gt;=E$34,C$34)</f>
        <v/>
      </c>
      <c r="D525" s="37">
        <f>_xlfn.IFS(E525&lt;E$24,0,E525&lt;E$25,D$24,E525&lt;E$26,D$25,E525&lt;E$27,D$26,E525&lt;E$28,D$27,E525&lt;E$29,D$28,E525&lt;E$30,D$29,E525&lt;E$31,D$30,E525&lt;E$32,D$31,E525&lt;E$33,D$32,E525&lt;E$34,D$33,E525&lt;E$35,D$34,E525&gt;=E$35,D$35)</f>
        <v/>
      </c>
      <c r="E525" s="38" t="n">
        <v>475</v>
      </c>
      <c r="F525" s="31">
        <f>E525/52</f>
        <v/>
      </c>
      <c r="G525" s="39">
        <f>D525/1000000*52</f>
        <v/>
      </c>
      <c r="H525" s="33">
        <f>G525/$P$4+($C$22/$P$4)</f>
        <v/>
      </c>
      <c r="I525" s="36">
        <f>_xlfn.IFS(K525&lt;K$24,0,K525&lt;K$26,I$24,K525&lt;K$28,I$26,K525&lt;K$30,I$28,K525&lt;K$32,I$30,K525&lt;K$34,I$32,K525&lt;K$36,I$34,K525&lt;K$38,I$36,K525&lt;K$40,I$38,K525&lt;K$42,I$40,K525&lt;K$44,I$42,K525&lt;K$46,I$44,K525&gt;=K$46,I$46)</f>
        <v/>
      </c>
      <c r="J525" s="37">
        <f>_xlfn.IFS(K525&lt;K$24,0,K525&lt;K$25,J$24,K525&lt;K$26,J$25,K525&lt;K$27,J$26,K525&lt;K$28,J$27,K525&lt;K$29,J$28,K525&lt;K$30,J$29,K525&lt;K$31,J$30,K525&lt;K$32,J$31,K525&lt;K$33,J$32,K525&lt;K$34,J$33,K525&lt;K$35,J$34,K525&lt;K$36,J$35,K525&lt;K$37,J$36,K525&lt;K$38,J$37,K525&lt;K$39,J$38,K525&lt;K$40,J$39,K525&lt;K$41,J$40,K525&lt;K$42,J$41,K525&lt;K$43,J$42,K525&lt;K$44,J$43,K525&lt;K$45,J$44,K525&lt;K$46,J$45,K525&lt;K$47,J$46,K525&gt;=K$47,J$47)</f>
        <v/>
      </c>
      <c r="K525" s="38" t="n">
        <v>475</v>
      </c>
      <c r="L525" s="31">
        <f>K525/52</f>
        <v/>
      </c>
      <c r="M525" s="39">
        <f>J525/1000000*52</f>
        <v/>
      </c>
      <c r="N525" s="33">
        <f>M525/$P$4+($I$22/$P$4)</f>
        <v/>
      </c>
      <c r="U525">
        <f>F524</f>
        <v/>
      </c>
      <c r="V525">
        <f>H524</f>
        <v/>
      </c>
      <c r="W525">
        <f>N524</f>
        <v/>
      </c>
    </row>
    <row r="526" ht="15.75" customHeight="1" s="40">
      <c r="C526" s="36">
        <f>_xlfn.IFS(E526&lt;E$24,0,E526&lt;E$26,C$24,E526&lt;E$28,C$26,E526&lt;E$30,C$28,E526&lt;E$32,C$30,E526&lt;E$34,C$32,E526&gt;=E$34,C$34)</f>
        <v/>
      </c>
      <c r="D526" s="37">
        <f>_xlfn.IFS(E526&lt;E$24,0,E526&lt;E$25,D$24,E526&lt;E$26,D$25,E526&lt;E$27,D$26,E526&lt;E$28,D$27,E526&lt;E$29,D$28,E526&lt;E$30,D$29,E526&lt;E$31,D$30,E526&lt;E$32,D$31,E526&lt;E$33,D$32,E526&lt;E$34,D$33,E526&lt;E$35,D$34,E526&gt;=E$35,D$35)</f>
        <v/>
      </c>
      <c r="E526" s="38" t="n">
        <v>476</v>
      </c>
      <c r="F526" s="31">
        <f>E526/52</f>
        <v/>
      </c>
      <c r="G526" s="39">
        <f>D526/1000000*52</f>
        <v/>
      </c>
      <c r="H526" s="33">
        <f>G526/$P$4+($C$22/$P$4)</f>
        <v/>
      </c>
      <c r="I526" s="36">
        <f>_xlfn.IFS(K526&lt;K$24,0,K526&lt;K$26,I$24,K526&lt;K$28,I$26,K526&lt;K$30,I$28,K526&lt;K$32,I$30,K526&lt;K$34,I$32,K526&lt;K$36,I$34,K526&lt;K$38,I$36,K526&lt;K$40,I$38,K526&lt;K$42,I$40,K526&lt;K$44,I$42,K526&lt;K$46,I$44,K526&gt;=K$46,I$46)</f>
        <v/>
      </c>
      <c r="J526" s="37">
        <f>_xlfn.IFS(K526&lt;K$24,0,K526&lt;K$25,J$24,K526&lt;K$26,J$25,K526&lt;K$27,J$26,K526&lt;K$28,J$27,K526&lt;K$29,J$28,K526&lt;K$30,J$29,K526&lt;K$31,J$30,K526&lt;K$32,J$31,K526&lt;K$33,J$32,K526&lt;K$34,J$33,K526&lt;K$35,J$34,K526&lt;K$36,J$35,K526&lt;K$37,J$36,K526&lt;K$38,J$37,K526&lt;K$39,J$38,K526&lt;K$40,J$39,K526&lt;K$41,J$40,K526&lt;K$42,J$41,K526&lt;K$43,J$42,K526&lt;K$44,J$43,K526&lt;K$45,J$44,K526&lt;K$46,J$45,K526&lt;K$47,J$46,K526&gt;=K$47,J$47)</f>
        <v/>
      </c>
      <c r="K526" s="38" t="n">
        <v>476</v>
      </c>
      <c r="L526" s="31">
        <f>K526/52</f>
        <v/>
      </c>
      <c r="M526" s="39">
        <f>J526/1000000*52</f>
        <v/>
      </c>
      <c r="N526" s="33">
        <f>M526/$P$4+($I$22/$P$4)</f>
        <v/>
      </c>
      <c r="U526">
        <f>F525</f>
        <v/>
      </c>
      <c r="V526">
        <f>H525</f>
        <v/>
      </c>
      <c r="W526">
        <f>N525</f>
        <v/>
      </c>
    </row>
    <row r="527" ht="15.75" customHeight="1" s="40">
      <c r="C527" s="36">
        <f>_xlfn.IFS(E527&lt;E$24,0,E527&lt;E$26,C$24,E527&lt;E$28,C$26,E527&lt;E$30,C$28,E527&lt;E$32,C$30,E527&lt;E$34,C$32,E527&gt;=E$34,C$34)</f>
        <v/>
      </c>
      <c r="D527" s="37">
        <f>_xlfn.IFS(E527&lt;E$24,0,E527&lt;E$25,D$24,E527&lt;E$26,D$25,E527&lt;E$27,D$26,E527&lt;E$28,D$27,E527&lt;E$29,D$28,E527&lt;E$30,D$29,E527&lt;E$31,D$30,E527&lt;E$32,D$31,E527&lt;E$33,D$32,E527&lt;E$34,D$33,E527&lt;E$35,D$34,E527&gt;=E$35,D$35)</f>
        <v/>
      </c>
      <c r="E527" s="38" t="n">
        <v>477</v>
      </c>
      <c r="F527" s="31">
        <f>E527/52</f>
        <v/>
      </c>
      <c r="G527" s="39">
        <f>D527/1000000*52</f>
        <v/>
      </c>
      <c r="H527" s="33">
        <f>G527/$P$4+($C$22/$P$4)</f>
        <v/>
      </c>
      <c r="I527" s="36">
        <f>_xlfn.IFS(K527&lt;K$24,0,K527&lt;K$26,I$24,K527&lt;K$28,I$26,K527&lt;K$30,I$28,K527&lt;K$32,I$30,K527&lt;K$34,I$32,K527&lt;K$36,I$34,K527&lt;K$38,I$36,K527&lt;K$40,I$38,K527&lt;K$42,I$40,K527&lt;K$44,I$42,K527&lt;K$46,I$44,K527&gt;=K$46,I$46)</f>
        <v/>
      </c>
      <c r="J527" s="37">
        <f>_xlfn.IFS(K527&lt;K$24,0,K527&lt;K$25,J$24,K527&lt;K$26,J$25,K527&lt;K$27,J$26,K527&lt;K$28,J$27,K527&lt;K$29,J$28,K527&lt;K$30,J$29,K527&lt;K$31,J$30,K527&lt;K$32,J$31,K527&lt;K$33,J$32,K527&lt;K$34,J$33,K527&lt;K$35,J$34,K527&lt;K$36,J$35,K527&lt;K$37,J$36,K527&lt;K$38,J$37,K527&lt;K$39,J$38,K527&lt;K$40,J$39,K527&lt;K$41,J$40,K527&lt;K$42,J$41,K527&lt;K$43,J$42,K527&lt;K$44,J$43,K527&lt;K$45,J$44,K527&lt;K$46,J$45,K527&lt;K$47,J$46,K527&gt;=K$47,J$47)</f>
        <v/>
      </c>
      <c r="K527" s="38" t="n">
        <v>477</v>
      </c>
      <c r="L527" s="31">
        <f>K527/52</f>
        <v/>
      </c>
      <c r="M527" s="39">
        <f>J527/1000000*52</f>
        <v/>
      </c>
      <c r="N527" s="33">
        <f>M527/$P$4+($I$22/$P$4)</f>
        <v/>
      </c>
      <c r="U527">
        <f>F526</f>
        <v/>
      </c>
      <c r="V527">
        <f>H526</f>
        <v/>
      </c>
      <c r="W527">
        <f>N526</f>
        <v/>
      </c>
    </row>
    <row r="528" ht="15.75" customHeight="1" s="40">
      <c r="C528" s="36">
        <f>_xlfn.IFS(E528&lt;E$24,0,E528&lt;E$26,C$24,E528&lt;E$28,C$26,E528&lt;E$30,C$28,E528&lt;E$32,C$30,E528&lt;E$34,C$32,E528&gt;=E$34,C$34)</f>
        <v/>
      </c>
      <c r="D528" s="37">
        <f>_xlfn.IFS(E528&lt;E$24,0,E528&lt;E$25,D$24,E528&lt;E$26,D$25,E528&lt;E$27,D$26,E528&lt;E$28,D$27,E528&lt;E$29,D$28,E528&lt;E$30,D$29,E528&lt;E$31,D$30,E528&lt;E$32,D$31,E528&lt;E$33,D$32,E528&lt;E$34,D$33,E528&lt;E$35,D$34,E528&gt;=E$35,D$35)</f>
        <v/>
      </c>
      <c r="E528" s="38" t="n">
        <v>478</v>
      </c>
      <c r="F528" s="31">
        <f>E528/52</f>
        <v/>
      </c>
      <c r="G528" s="39">
        <f>D528/1000000*52</f>
        <v/>
      </c>
      <c r="H528" s="33">
        <f>G528/$P$4+($C$22/$P$4)</f>
        <v/>
      </c>
      <c r="I528" s="36">
        <f>_xlfn.IFS(K528&lt;K$24,0,K528&lt;K$26,I$24,K528&lt;K$28,I$26,K528&lt;K$30,I$28,K528&lt;K$32,I$30,K528&lt;K$34,I$32,K528&lt;K$36,I$34,K528&lt;K$38,I$36,K528&lt;K$40,I$38,K528&lt;K$42,I$40,K528&lt;K$44,I$42,K528&lt;K$46,I$44,K528&gt;=K$46,I$46)</f>
        <v/>
      </c>
      <c r="J528" s="37">
        <f>_xlfn.IFS(K528&lt;K$24,0,K528&lt;K$25,J$24,K528&lt;K$26,J$25,K528&lt;K$27,J$26,K528&lt;K$28,J$27,K528&lt;K$29,J$28,K528&lt;K$30,J$29,K528&lt;K$31,J$30,K528&lt;K$32,J$31,K528&lt;K$33,J$32,K528&lt;K$34,J$33,K528&lt;K$35,J$34,K528&lt;K$36,J$35,K528&lt;K$37,J$36,K528&lt;K$38,J$37,K528&lt;K$39,J$38,K528&lt;K$40,J$39,K528&lt;K$41,J$40,K528&lt;K$42,J$41,K528&lt;K$43,J$42,K528&lt;K$44,J$43,K528&lt;K$45,J$44,K528&lt;K$46,J$45,K528&lt;K$47,J$46,K528&gt;=K$47,J$47)</f>
        <v/>
      </c>
      <c r="K528" s="38" t="n">
        <v>478</v>
      </c>
      <c r="L528" s="31">
        <f>K528/52</f>
        <v/>
      </c>
      <c r="M528" s="39">
        <f>J528/1000000*52</f>
        <v/>
      </c>
      <c r="N528" s="33">
        <f>M528/$P$4+($I$22/$P$4)</f>
        <v/>
      </c>
      <c r="U528">
        <f>F527</f>
        <v/>
      </c>
      <c r="V528">
        <f>H527</f>
        <v/>
      </c>
      <c r="W528">
        <f>N527</f>
        <v/>
      </c>
    </row>
    <row r="529" ht="15.75" customHeight="1" s="40">
      <c r="C529" s="36">
        <f>_xlfn.IFS(E529&lt;E$24,0,E529&lt;E$26,C$24,E529&lt;E$28,C$26,E529&lt;E$30,C$28,E529&lt;E$32,C$30,E529&lt;E$34,C$32,E529&gt;=E$34,C$34)</f>
        <v/>
      </c>
      <c r="D529" s="37">
        <f>_xlfn.IFS(E529&lt;E$24,0,E529&lt;E$25,D$24,E529&lt;E$26,D$25,E529&lt;E$27,D$26,E529&lt;E$28,D$27,E529&lt;E$29,D$28,E529&lt;E$30,D$29,E529&lt;E$31,D$30,E529&lt;E$32,D$31,E529&lt;E$33,D$32,E529&lt;E$34,D$33,E529&lt;E$35,D$34,E529&gt;=E$35,D$35)</f>
        <v/>
      </c>
      <c r="E529" s="38" t="n">
        <v>479</v>
      </c>
      <c r="F529" s="31">
        <f>E529/52</f>
        <v/>
      </c>
      <c r="G529" s="39">
        <f>D529/1000000*52</f>
        <v/>
      </c>
      <c r="H529" s="33">
        <f>G529/$P$4+($C$22/$P$4)</f>
        <v/>
      </c>
      <c r="I529" s="36">
        <f>_xlfn.IFS(K529&lt;K$24,0,K529&lt;K$26,I$24,K529&lt;K$28,I$26,K529&lt;K$30,I$28,K529&lt;K$32,I$30,K529&lt;K$34,I$32,K529&lt;K$36,I$34,K529&lt;K$38,I$36,K529&lt;K$40,I$38,K529&lt;K$42,I$40,K529&lt;K$44,I$42,K529&lt;K$46,I$44,K529&gt;=K$46,I$46)</f>
        <v/>
      </c>
      <c r="J529" s="37">
        <f>_xlfn.IFS(K529&lt;K$24,0,K529&lt;K$25,J$24,K529&lt;K$26,J$25,K529&lt;K$27,J$26,K529&lt;K$28,J$27,K529&lt;K$29,J$28,K529&lt;K$30,J$29,K529&lt;K$31,J$30,K529&lt;K$32,J$31,K529&lt;K$33,J$32,K529&lt;K$34,J$33,K529&lt;K$35,J$34,K529&lt;K$36,J$35,K529&lt;K$37,J$36,K529&lt;K$38,J$37,K529&lt;K$39,J$38,K529&lt;K$40,J$39,K529&lt;K$41,J$40,K529&lt;K$42,J$41,K529&lt;K$43,J$42,K529&lt;K$44,J$43,K529&lt;K$45,J$44,K529&lt;K$46,J$45,K529&lt;K$47,J$46,K529&gt;=K$47,J$47)</f>
        <v/>
      </c>
      <c r="K529" s="38" t="n">
        <v>479</v>
      </c>
      <c r="L529" s="31">
        <f>K529/52</f>
        <v/>
      </c>
      <c r="M529" s="39">
        <f>J529/1000000*52</f>
        <v/>
      </c>
      <c r="N529" s="33">
        <f>M529/$P$4+($I$22/$P$4)</f>
        <v/>
      </c>
      <c r="U529">
        <f>F528</f>
        <v/>
      </c>
      <c r="V529">
        <f>H528</f>
        <v/>
      </c>
      <c r="W529">
        <f>N528</f>
        <v/>
      </c>
    </row>
    <row r="530" ht="15.75" customHeight="1" s="40">
      <c r="C530" s="36">
        <f>_xlfn.IFS(E530&lt;E$24,0,E530&lt;E$26,C$24,E530&lt;E$28,C$26,E530&lt;E$30,C$28,E530&lt;E$32,C$30,E530&lt;E$34,C$32,E530&gt;=E$34,C$34)</f>
        <v/>
      </c>
      <c r="D530" s="37">
        <f>_xlfn.IFS(E530&lt;E$24,0,E530&lt;E$25,D$24,E530&lt;E$26,D$25,E530&lt;E$27,D$26,E530&lt;E$28,D$27,E530&lt;E$29,D$28,E530&lt;E$30,D$29,E530&lt;E$31,D$30,E530&lt;E$32,D$31,E530&lt;E$33,D$32,E530&lt;E$34,D$33,E530&lt;E$35,D$34,E530&gt;=E$35,D$35)</f>
        <v/>
      </c>
      <c r="E530" s="38" t="n">
        <v>480</v>
      </c>
      <c r="F530" s="31">
        <f>E530/52</f>
        <v/>
      </c>
      <c r="G530" s="39">
        <f>D530/1000000*52</f>
        <v/>
      </c>
      <c r="H530" s="33">
        <f>G530/$P$4+($C$22/$P$4)</f>
        <v/>
      </c>
      <c r="I530" s="36">
        <f>_xlfn.IFS(K530&lt;K$24,0,K530&lt;K$26,I$24,K530&lt;K$28,I$26,K530&lt;K$30,I$28,K530&lt;K$32,I$30,K530&lt;K$34,I$32,K530&lt;K$36,I$34,K530&lt;K$38,I$36,K530&lt;K$40,I$38,K530&lt;K$42,I$40,K530&lt;K$44,I$42,K530&lt;K$46,I$44,K530&gt;=K$46,I$46)</f>
        <v/>
      </c>
      <c r="J530" s="37">
        <f>_xlfn.IFS(K530&lt;K$24,0,K530&lt;K$25,J$24,K530&lt;K$26,J$25,K530&lt;K$27,J$26,K530&lt;K$28,J$27,K530&lt;K$29,J$28,K530&lt;K$30,J$29,K530&lt;K$31,J$30,K530&lt;K$32,J$31,K530&lt;K$33,J$32,K530&lt;K$34,J$33,K530&lt;K$35,J$34,K530&lt;K$36,J$35,K530&lt;K$37,J$36,K530&lt;K$38,J$37,K530&lt;K$39,J$38,K530&lt;K$40,J$39,K530&lt;K$41,J$40,K530&lt;K$42,J$41,K530&lt;K$43,J$42,K530&lt;K$44,J$43,K530&lt;K$45,J$44,K530&lt;K$46,J$45,K530&lt;K$47,J$46,K530&gt;=K$47,J$47)</f>
        <v/>
      </c>
      <c r="K530" s="38" t="n">
        <v>480</v>
      </c>
      <c r="L530" s="31">
        <f>K530/52</f>
        <v/>
      </c>
      <c r="M530" s="39">
        <f>J530/1000000*52</f>
        <v/>
      </c>
      <c r="N530" s="33">
        <f>M530/$P$4+($I$22/$P$4)</f>
        <v/>
      </c>
      <c r="U530">
        <f>F529</f>
        <v/>
      </c>
      <c r="V530">
        <f>H529</f>
        <v/>
      </c>
      <c r="W530">
        <f>N529</f>
        <v/>
      </c>
    </row>
    <row r="531" ht="15.75" customHeight="1" s="40">
      <c r="C531" s="36">
        <f>_xlfn.IFS(E531&lt;E$24,0,E531&lt;E$26,C$24,E531&lt;E$28,C$26,E531&lt;E$30,C$28,E531&lt;E$32,C$30,E531&lt;E$34,C$32,E531&gt;=E$34,C$34)</f>
        <v/>
      </c>
      <c r="D531" s="37">
        <f>_xlfn.IFS(E531&lt;E$24,0,E531&lt;E$25,D$24,E531&lt;E$26,D$25,E531&lt;E$27,D$26,E531&lt;E$28,D$27,E531&lt;E$29,D$28,E531&lt;E$30,D$29,E531&lt;E$31,D$30,E531&lt;E$32,D$31,E531&lt;E$33,D$32,E531&lt;E$34,D$33,E531&lt;E$35,D$34,E531&gt;=E$35,D$35)</f>
        <v/>
      </c>
      <c r="E531" s="38" t="n">
        <v>481</v>
      </c>
      <c r="F531" s="31">
        <f>E531/52</f>
        <v/>
      </c>
      <c r="G531" s="39">
        <f>D531/1000000*52</f>
        <v/>
      </c>
      <c r="H531" s="33">
        <f>G531/$P$4+($C$22/$P$4)</f>
        <v/>
      </c>
      <c r="I531" s="36">
        <f>_xlfn.IFS(K531&lt;K$24,0,K531&lt;K$26,I$24,K531&lt;K$28,I$26,K531&lt;K$30,I$28,K531&lt;K$32,I$30,K531&lt;K$34,I$32,K531&lt;K$36,I$34,K531&lt;K$38,I$36,K531&lt;K$40,I$38,K531&lt;K$42,I$40,K531&lt;K$44,I$42,K531&lt;K$46,I$44,K531&gt;=K$46,I$46)</f>
        <v/>
      </c>
      <c r="J531" s="37">
        <f>_xlfn.IFS(K531&lt;K$24,0,K531&lt;K$25,J$24,K531&lt;K$26,J$25,K531&lt;K$27,J$26,K531&lt;K$28,J$27,K531&lt;K$29,J$28,K531&lt;K$30,J$29,K531&lt;K$31,J$30,K531&lt;K$32,J$31,K531&lt;K$33,J$32,K531&lt;K$34,J$33,K531&lt;K$35,J$34,K531&lt;K$36,J$35,K531&lt;K$37,J$36,K531&lt;K$38,J$37,K531&lt;K$39,J$38,K531&lt;K$40,J$39,K531&lt;K$41,J$40,K531&lt;K$42,J$41,K531&lt;K$43,J$42,K531&lt;K$44,J$43,K531&lt;K$45,J$44,K531&lt;K$46,J$45,K531&lt;K$47,J$46,K531&gt;=K$47,J$47)</f>
        <v/>
      </c>
      <c r="K531" s="38" t="n">
        <v>481</v>
      </c>
      <c r="L531" s="31">
        <f>K531/52</f>
        <v/>
      </c>
      <c r="M531" s="39">
        <f>J531/1000000*52</f>
        <v/>
      </c>
      <c r="N531" s="33">
        <f>M531/$P$4+($I$22/$P$4)</f>
        <v/>
      </c>
      <c r="U531">
        <f>F530</f>
        <v/>
      </c>
      <c r="V531">
        <f>H530</f>
        <v/>
      </c>
      <c r="W531">
        <f>N530</f>
        <v/>
      </c>
    </row>
    <row r="532" ht="15.75" customHeight="1" s="40">
      <c r="C532" s="36">
        <f>_xlfn.IFS(E532&lt;E$24,0,E532&lt;E$26,C$24,E532&lt;E$28,C$26,E532&lt;E$30,C$28,E532&lt;E$32,C$30,E532&lt;E$34,C$32,E532&gt;=E$34,C$34)</f>
        <v/>
      </c>
      <c r="D532" s="37">
        <f>_xlfn.IFS(E532&lt;E$24,0,E532&lt;E$25,D$24,E532&lt;E$26,D$25,E532&lt;E$27,D$26,E532&lt;E$28,D$27,E532&lt;E$29,D$28,E532&lt;E$30,D$29,E532&lt;E$31,D$30,E532&lt;E$32,D$31,E532&lt;E$33,D$32,E532&lt;E$34,D$33,E532&lt;E$35,D$34,E532&gt;=E$35,D$35)</f>
        <v/>
      </c>
      <c r="E532" s="38" t="n">
        <v>482</v>
      </c>
      <c r="F532" s="31">
        <f>E532/52</f>
        <v/>
      </c>
      <c r="G532" s="39">
        <f>D532/1000000*52</f>
        <v/>
      </c>
      <c r="H532" s="33">
        <f>G532/$P$4+($C$22/$P$4)</f>
        <v/>
      </c>
      <c r="I532" s="36">
        <f>_xlfn.IFS(K532&lt;K$24,0,K532&lt;K$26,I$24,K532&lt;K$28,I$26,K532&lt;K$30,I$28,K532&lt;K$32,I$30,K532&lt;K$34,I$32,K532&lt;K$36,I$34,K532&lt;K$38,I$36,K532&lt;K$40,I$38,K532&lt;K$42,I$40,K532&lt;K$44,I$42,K532&lt;K$46,I$44,K532&gt;=K$46,I$46)</f>
        <v/>
      </c>
      <c r="J532" s="37">
        <f>_xlfn.IFS(K532&lt;K$24,0,K532&lt;K$25,J$24,K532&lt;K$26,J$25,K532&lt;K$27,J$26,K532&lt;K$28,J$27,K532&lt;K$29,J$28,K532&lt;K$30,J$29,K532&lt;K$31,J$30,K532&lt;K$32,J$31,K532&lt;K$33,J$32,K532&lt;K$34,J$33,K532&lt;K$35,J$34,K532&lt;K$36,J$35,K532&lt;K$37,J$36,K532&lt;K$38,J$37,K532&lt;K$39,J$38,K532&lt;K$40,J$39,K532&lt;K$41,J$40,K532&lt;K$42,J$41,K532&lt;K$43,J$42,K532&lt;K$44,J$43,K532&lt;K$45,J$44,K532&lt;K$46,J$45,K532&lt;K$47,J$46,K532&gt;=K$47,J$47)</f>
        <v/>
      </c>
      <c r="K532" s="38" t="n">
        <v>482</v>
      </c>
      <c r="L532" s="31">
        <f>K532/52</f>
        <v/>
      </c>
      <c r="M532" s="39">
        <f>J532/1000000*52</f>
        <v/>
      </c>
      <c r="N532" s="33">
        <f>M532/$P$4+($I$22/$P$4)</f>
        <v/>
      </c>
      <c r="U532">
        <f>F531</f>
        <v/>
      </c>
      <c r="V532">
        <f>H531</f>
        <v/>
      </c>
      <c r="W532">
        <f>N531</f>
        <v/>
      </c>
    </row>
    <row r="533" ht="15.75" customHeight="1" s="40">
      <c r="C533" s="36">
        <f>_xlfn.IFS(E533&lt;E$24,0,E533&lt;E$26,C$24,E533&lt;E$28,C$26,E533&lt;E$30,C$28,E533&lt;E$32,C$30,E533&lt;E$34,C$32,E533&gt;=E$34,C$34)</f>
        <v/>
      </c>
      <c r="D533" s="37">
        <f>_xlfn.IFS(E533&lt;E$24,0,E533&lt;E$25,D$24,E533&lt;E$26,D$25,E533&lt;E$27,D$26,E533&lt;E$28,D$27,E533&lt;E$29,D$28,E533&lt;E$30,D$29,E533&lt;E$31,D$30,E533&lt;E$32,D$31,E533&lt;E$33,D$32,E533&lt;E$34,D$33,E533&lt;E$35,D$34,E533&gt;=E$35,D$35)</f>
        <v/>
      </c>
      <c r="E533" s="38" t="n">
        <v>483</v>
      </c>
      <c r="F533" s="31">
        <f>E533/52</f>
        <v/>
      </c>
      <c r="G533" s="39">
        <f>D533/1000000*52</f>
        <v/>
      </c>
      <c r="H533" s="33">
        <f>G533/$P$4+($C$22/$P$4)</f>
        <v/>
      </c>
      <c r="I533" s="36">
        <f>_xlfn.IFS(K533&lt;K$24,0,K533&lt;K$26,I$24,K533&lt;K$28,I$26,K533&lt;K$30,I$28,K533&lt;K$32,I$30,K533&lt;K$34,I$32,K533&lt;K$36,I$34,K533&lt;K$38,I$36,K533&lt;K$40,I$38,K533&lt;K$42,I$40,K533&lt;K$44,I$42,K533&lt;K$46,I$44,K533&gt;=K$46,I$46)</f>
        <v/>
      </c>
      <c r="J533" s="37">
        <f>_xlfn.IFS(K533&lt;K$24,0,K533&lt;K$25,J$24,K533&lt;K$26,J$25,K533&lt;K$27,J$26,K533&lt;K$28,J$27,K533&lt;K$29,J$28,K533&lt;K$30,J$29,K533&lt;K$31,J$30,K533&lt;K$32,J$31,K533&lt;K$33,J$32,K533&lt;K$34,J$33,K533&lt;K$35,J$34,K533&lt;K$36,J$35,K533&lt;K$37,J$36,K533&lt;K$38,J$37,K533&lt;K$39,J$38,K533&lt;K$40,J$39,K533&lt;K$41,J$40,K533&lt;K$42,J$41,K533&lt;K$43,J$42,K533&lt;K$44,J$43,K533&lt;K$45,J$44,K533&lt;K$46,J$45,K533&lt;K$47,J$46,K533&gt;=K$47,J$47)</f>
        <v/>
      </c>
      <c r="K533" s="38" t="n">
        <v>483</v>
      </c>
      <c r="L533" s="31">
        <f>K533/52</f>
        <v/>
      </c>
      <c r="M533" s="39">
        <f>J533/1000000*52</f>
        <v/>
      </c>
      <c r="N533" s="33">
        <f>M533/$P$4+($I$22/$P$4)</f>
        <v/>
      </c>
      <c r="U533">
        <f>F532</f>
        <v/>
      </c>
      <c r="V533">
        <f>H532</f>
        <v/>
      </c>
      <c r="W533">
        <f>N532</f>
        <v/>
      </c>
    </row>
    <row r="534" ht="15.75" customHeight="1" s="40">
      <c r="C534" s="36">
        <f>_xlfn.IFS(E534&lt;E$24,0,E534&lt;E$26,C$24,E534&lt;E$28,C$26,E534&lt;E$30,C$28,E534&lt;E$32,C$30,E534&lt;E$34,C$32,E534&gt;=E$34,C$34)</f>
        <v/>
      </c>
      <c r="D534" s="37">
        <f>_xlfn.IFS(E534&lt;E$24,0,E534&lt;E$25,D$24,E534&lt;E$26,D$25,E534&lt;E$27,D$26,E534&lt;E$28,D$27,E534&lt;E$29,D$28,E534&lt;E$30,D$29,E534&lt;E$31,D$30,E534&lt;E$32,D$31,E534&lt;E$33,D$32,E534&lt;E$34,D$33,E534&lt;E$35,D$34,E534&gt;=E$35,D$35)</f>
        <v/>
      </c>
      <c r="E534" s="38" t="n">
        <v>484</v>
      </c>
      <c r="F534" s="31">
        <f>E534/52</f>
        <v/>
      </c>
      <c r="G534" s="39">
        <f>D534/1000000*52</f>
        <v/>
      </c>
      <c r="H534" s="33">
        <f>G534/$P$4+($C$22/$P$4)</f>
        <v/>
      </c>
      <c r="I534" s="36">
        <f>_xlfn.IFS(K534&lt;K$24,0,K534&lt;K$26,I$24,K534&lt;K$28,I$26,K534&lt;K$30,I$28,K534&lt;K$32,I$30,K534&lt;K$34,I$32,K534&lt;K$36,I$34,K534&lt;K$38,I$36,K534&lt;K$40,I$38,K534&lt;K$42,I$40,K534&lt;K$44,I$42,K534&lt;K$46,I$44,K534&gt;=K$46,I$46)</f>
        <v/>
      </c>
      <c r="J534" s="37">
        <f>_xlfn.IFS(K534&lt;K$24,0,K534&lt;K$25,J$24,K534&lt;K$26,J$25,K534&lt;K$27,J$26,K534&lt;K$28,J$27,K534&lt;K$29,J$28,K534&lt;K$30,J$29,K534&lt;K$31,J$30,K534&lt;K$32,J$31,K534&lt;K$33,J$32,K534&lt;K$34,J$33,K534&lt;K$35,J$34,K534&lt;K$36,J$35,K534&lt;K$37,J$36,K534&lt;K$38,J$37,K534&lt;K$39,J$38,K534&lt;K$40,J$39,K534&lt;K$41,J$40,K534&lt;K$42,J$41,K534&lt;K$43,J$42,K534&lt;K$44,J$43,K534&lt;K$45,J$44,K534&lt;K$46,J$45,K534&lt;K$47,J$46,K534&gt;=K$47,J$47)</f>
        <v/>
      </c>
      <c r="K534" s="38" t="n">
        <v>484</v>
      </c>
      <c r="L534" s="31">
        <f>K534/52</f>
        <v/>
      </c>
      <c r="M534" s="39">
        <f>J534/1000000*52</f>
        <v/>
      </c>
      <c r="N534" s="33">
        <f>M534/$P$4+($I$22/$P$4)</f>
        <v/>
      </c>
      <c r="U534">
        <f>F533</f>
        <v/>
      </c>
      <c r="V534">
        <f>H533</f>
        <v/>
      </c>
      <c r="W534">
        <f>N533</f>
        <v/>
      </c>
    </row>
    <row r="535" ht="15.75" customHeight="1" s="40">
      <c r="C535" s="36">
        <f>_xlfn.IFS(E535&lt;E$24,0,E535&lt;E$26,C$24,E535&lt;E$28,C$26,E535&lt;E$30,C$28,E535&lt;E$32,C$30,E535&lt;E$34,C$32,E535&gt;=E$34,C$34)</f>
        <v/>
      </c>
      <c r="D535" s="37">
        <f>_xlfn.IFS(E535&lt;E$24,0,E535&lt;E$25,D$24,E535&lt;E$26,D$25,E535&lt;E$27,D$26,E535&lt;E$28,D$27,E535&lt;E$29,D$28,E535&lt;E$30,D$29,E535&lt;E$31,D$30,E535&lt;E$32,D$31,E535&lt;E$33,D$32,E535&lt;E$34,D$33,E535&lt;E$35,D$34,E535&gt;=E$35,D$35)</f>
        <v/>
      </c>
      <c r="E535" s="38" t="n">
        <v>485</v>
      </c>
      <c r="F535" s="31">
        <f>E535/52</f>
        <v/>
      </c>
      <c r="G535" s="39">
        <f>D535/1000000*52</f>
        <v/>
      </c>
      <c r="H535" s="33">
        <f>G535/$P$4+($C$22/$P$4)</f>
        <v/>
      </c>
      <c r="I535" s="36">
        <f>_xlfn.IFS(K535&lt;K$24,0,K535&lt;K$26,I$24,K535&lt;K$28,I$26,K535&lt;K$30,I$28,K535&lt;K$32,I$30,K535&lt;K$34,I$32,K535&lt;K$36,I$34,K535&lt;K$38,I$36,K535&lt;K$40,I$38,K535&lt;K$42,I$40,K535&lt;K$44,I$42,K535&lt;K$46,I$44,K535&gt;=K$46,I$46)</f>
        <v/>
      </c>
      <c r="J535" s="37">
        <f>_xlfn.IFS(K535&lt;K$24,0,K535&lt;K$25,J$24,K535&lt;K$26,J$25,K535&lt;K$27,J$26,K535&lt;K$28,J$27,K535&lt;K$29,J$28,K535&lt;K$30,J$29,K535&lt;K$31,J$30,K535&lt;K$32,J$31,K535&lt;K$33,J$32,K535&lt;K$34,J$33,K535&lt;K$35,J$34,K535&lt;K$36,J$35,K535&lt;K$37,J$36,K535&lt;K$38,J$37,K535&lt;K$39,J$38,K535&lt;K$40,J$39,K535&lt;K$41,J$40,K535&lt;K$42,J$41,K535&lt;K$43,J$42,K535&lt;K$44,J$43,K535&lt;K$45,J$44,K535&lt;K$46,J$45,K535&lt;K$47,J$46,K535&gt;=K$47,J$47)</f>
        <v/>
      </c>
      <c r="K535" s="38" t="n">
        <v>485</v>
      </c>
      <c r="L535" s="31">
        <f>K535/52</f>
        <v/>
      </c>
      <c r="M535" s="39">
        <f>J535/1000000*52</f>
        <v/>
      </c>
      <c r="N535" s="33">
        <f>M535/$P$4+($I$22/$P$4)</f>
        <v/>
      </c>
      <c r="U535">
        <f>F534</f>
        <v/>
      </c>
      <c r="V535">
        <f>H534</f>
        <v/>
      </c>
      <c r="W535">
        <f>N534</f>
        <v/>
      </c>
    </row>
    <row r="536" ht="15.75" customHeight="1" s="40">
      <c r="C536" s="36">
        <f>_xlfn.IFS(E536&lt;E$24,0,E536&lt;E$26,C$24,E536&lt;E$28,C$26,E536&lt;E$30,C$28,E536&lt;E$32,C$30,E536&lt;E$34,C$32,E536&gt;=E$34,C$34)</f>
        <v/>
      </c>
      <c r="D536" s="37">
        <f>_xlfn.IFS(E536&lt;E$24,0,E536&lt;E$25,D$24,E536&lt;E$26,D$25,E536&lt;E$27,D$26,E536&lt;E$28,D$27,E536&lt;E$29,D$28,E536&lt;E$30,D$29,E536&lt;E$31,D$30,E536&lt;E$32,D$31,E536&lt;E$33,D$32,E536&lt;E$34,D$33,E536&lt;E$35,D$34,E536&gt;=E$35,D$35)</f>
        <v/>
      </c>
      <c r="E536" s="38" t="n">
        <v>486</v>
      </c>
      <c r="F536" s="31">
        <f>E536/52</f>
        <v/>
      </c>
      <c r="G536" s="39">
        <f>D536/1000000*52</f>
        <v/>
      </c>
      <c r="H536" s="33">
        <f>G536/$P$4+($C$22/$P$4)</f>
        <v/>
      </c>
      <c r="I536" s="36">
        <f>_xlfn.IFS(K536&lt;K$24,0,K536&lt;K$26,I$24,K536&lt;K$28,I$26,K536&lt;K$30,I$28,K536&lt;K$32,I$30,K536&lt;K$34,I$32,K536&lt;K$36,I$34,K536&lt;K$38,I$36,K536&lt;K$40,I$38,K536&lt;K$42,I$40,K536&lt;K$44,I$42,K536&lt;K$46,I$44,K536&gt;=K$46,I$46)</f>
        <v/>
      </c>
      <c r="J536" s="37">
        <f>_xlfn.IFS(K536&lt;K$24,0,K536&lt;K$25,J$24,K536&lt;K$26,J$25,K536&lt;K$27,J$26,K536&lt;K$28,J$27,K536&lt;K$29,J$28,K536&lt;K$30,J$29,K536&lt;K$31,J$30,K536&lt;K$32,J$31,K536&lt;K$33,J$32,K536&lt;K$34,J$33,K536&lt;K$35,J$34,K536&lt;K$36,J$35,K536&lt;K$37,J$36,K536&lt;K$38,J$37,K536&lt;K$39,J$38,K536&lt;K$40,J$39,K536&lt;K$41,J$40,K536&lt;K$42,J$41,K536&lt;K$43,J$42,K536&lt;K$44,J$43,K536&lt;K$45,J$44,K536&lt;K$46,J$45,K536&lt;K$47,J$46,K536&gt;=K$47,J$47)</f>
        <v/>
      </c>
      <c r="K536" s="38" t="n">
        <v>486</v>
      </c>
      <c r="L536" s="31">
        <f>K536/52</f>
        <v/>
      </c>
      <c r="M536" s="39">
        <f>J536/1000000*52</f>
        <v/>
      </c>
      <c r="N536" s="33">
        <f>M536/$P$4+($I$22/$P$4)</f>
        <v/>
      </c>
      <c r="U536">
        <f>F535</f>
        <v/>
      </c>
      <c r="V536">
        <f>H535</f>
        <v/>
      </c>
      <c r="W536">
        <f>N535</f>
        <v/>
      </c>
    </row>
    <row r="537" ht="15.75" customHeight="1" s="40">
      <c r="C537" s="36">
        <f>_xlfn.IFS(E537&lt;E$24,0,E537&lt;E$26,C$24,E537&lt;E$28,C$26,E537&lt;E$30,C$28,E537&lt;E$32,C$30,E537&lt;E$34,C$32,E537&gt;=E$34,C$34)</f>
        <v/>
      </c>
      <c r="D537" s="37">
        <f>_xlfn.IFS(E537&lt;E$24,0,E537&lt;E$25,D$24,E537&lt;E$26,D$25,E537&lt;E$27,D$26,E537&lt;E$28,D$27,E537&lt;E$29,D$28,E537&lt;E$30,D$29,E537&lt;E$31,D$30,E537&lt;E$32,D$31,E537&lt;E$33,D$32,E537&lt;E$34,D$33,E537&lt;E$35,D$34,E537&gt;=E$35,D$35)</f>
        <v/>
      </c>
      <c r="E537" s="38" t="n">
        <v>487</v>
      </c>
      <c r="F537" s="31">
        <f>E537/52</f>
        <v/>
      </c>
      <c r="G537" s="39">
        <f>D537/1000000*52</f>
        <v/>
      </c>
      <c r="H537" s="33">
        <f>G537/$P$4+($C$22/$P$4)</f>
        <v/>
      </c>
      <c r="I537" s="36">
        <f>_xlfn.IFS(K537&lt;K$24,0,K537&lt;K$26,I$24,K537&lt;K$28,I$26,K537&lt;K$30,I$28,K537&lt;K$32,I$30,K537&lt;K$34,I$32,K537&lt;K$36,I$34,K537&lt;K$38,I$36,K537&lt;K$40,I$38,K537&lt;K$42,I$40,K537&lt;K$44,I$42,K537&lt;K$46,I$44,K537&gt;=K$46,I$46)</f>
        <v/>
      </c>
      <c r="J537" s="37">
        <f>_xlfn.IFS(K537&lt;K$24,0,K537&lt;K$25,J$24,K537&lt;K$26,J$25,K537&lt;K$27,J$26,K537&lt;K$28,J$27,K537&lt;K$29,J$28,K537&lt;K$30,J$29,K537&lt;K$31,J$30,K537&lt;K$32,J$31,K537&lt;K$33,J$32,K537&lt;K$34,J$33,K537&lt;K$35,J$34,K537&lt;K$36,J$35,K537&lt;K$37,J$36,K537&lt;K$38,J$37,K537&lt;K$39,J$38,K537&lt;K$40,J$39,K537&lt;K$41,J$40,K537&lt;K$42,J$41,K537&lt;K$43,J$42,K537&lt;K$44,J$43,K537&lt;K$45,J$44,K537&lt;K$46,J$45,K537&lt;K$47,J$46,K537&gt;=K$47,J$47)</f>
        <v/>
      </c>
      <c r="K537" s="38" t="n">
        <v>487</v>
      </c>
      <c r="L537" s="31">
        <f>K537/52</f>
        <v/>
      </c>
      <c r="M537" s="39">
        <f>J537/1000000*52</f>
        <v/>
      </c>
      <c r="N537" s="33">
        <f>M537/$P$4+($I$22/$P$4)</f>
        <v/>
      </c>
      <c r="U537">
        <f>F536</f>
        <v/>
      </c>
      <c r="V537">
        <f>H536</f>
        <v/>
      </c>
      <c r="W537">
        <f>N536</f>
        <v/>
      </c>
    </row>
    <row r="538" ht="15.75" customHeight="1" s="40">
      <c r="C538" s="36">
        <f>_xlfn.IFS(E538&lt;E$24,0,E538&lt;E$26,C$24,E538&lt;E$28,C$26,E538&lt;E$30,C$28,E538&lt;E$32,C$30,E538&lt;E$34,C$32,E538&gt;=E$34,C$34)</f>
        <v/>
      </c>
      <c r="D538" s="37">
        <f>_xlfn.IFS(E538&lt;E$24,0,E538&lt;E$25,D$24,E538&lt;E$26,D$25,E538&lt;E$27,D$26,E538&lt;E$28,D$27,E538&lt;E$29,D$28,E538&lt;E$30,D$29,E538&lt;E$31,D$30,E538&lt;E$32,D$31,E538&lt;E$33,D$32,E538&lt;E$34,D$33,E538&lt;E$35,D$34,E538&gt;=E$35,D$35)</f>
        <v/>
      </c>
      <c r="E538" s="38" t="n">
        <v>488</v>
      </c>
      <c r="F538" s="31">
        <f>E538/52</f>
        <v/>
      </c>
      <c r="G538" s="39">
        <f>D538/1000000*52</f>
        <v/>
      </c>
      <c r="H538" s="33">
        <f>G538/$P$4+($C$22/$P$4)</f>
        <v/>
      </c>
      <c r="I538" s="36">
        <f>_xlfn.IFS(K538&lt;K$24,0,K538&lt;K$26,I$24,K538&lt;K$28,I$26,K538&lt;K$30,I$28,K538&lt;K$32,I$30,K538&lt;K$34,I$32,K538&lt;K$36,I$34,K538&lt;K$38,I$36,K538&lt;K$40,I$38,K538&lt;K$42,I$40,K538&lt;K$44,I$42,K538&lt;K$46,I$44,K538&gt;=K$46,I$46)</f>
        <v/>
      </c>
      <c r="J538" s="37">
        <f>_xlfn.IFS(K538&lt;K$24,0,K538&lt;K$25,J$24,K538&lt;K$26,J$25,K538&lt;K$27,J$26,K538&lt;K$28,J$27,K538&lt;K$29,J$28,K538&lt;K$30,J$29,K538&lt;K$31,J$30,K538&lt;K$32,J$31,K538&lt;K$33,J$32,K538&lt;K$34,J$33,K538&lt;K$35,J$34,K538&lt;K$36,J$35,K538&lt;K$37,J$36,K538&lt;K$38,J$37,K538&lt;K$39,J$38,K538&lt;K$40,J$39,K538&lt;K$41,J$40,K538&lt;K$42,J$41,K538&lt;K$43,J$42,K538&lt;K$44,J$43,K538&lt;K$45,J$44,K538&lt;K$46,J$45,K538&lt;K$47,J$46,K538&gt;=K$47,J$47)</f>
        <v/>
      </c>
      <c r="K538" s="38" t="n">
        <v>488</v>
      </c>
      <c r="L538" s="31">
        <f>K538/52</f>
        <v/>
      </c>
      <c r="M538" s="39">
        <f>J538/1000000*52</f>
        <v/>
      </c>
      <c r="N538" s="33">
        <f>M538/$P$4+($I$22/$P$4)</f>
        <v/>
      </c>
      <c r="U538">
        <f>F537</f>
        <v/>
      </c>
      <c r="V538">
        <f>H537</f>
        <v/>
      </c>
      <c r="W538">
        <f>N537</f>
        <v/>
      </c>
    </row>
    <row r="539" ht="15.75" customHeight="1" s="40">
      <c r="C539" s="36">
        <f>_xlfn.IFS(E539&lt;E$24,0,E539&lt;E$26,C$24,E539&lt;E$28,C$26,E539&lt;E$30,C$28,E539&lt;E$32,C$30,E539&lt;E$34,C$32,E539&gt;=E$34,C$34)</f>
        <v/>
      </c>
      <c r="D539" s="37">
        <f>_xlfn.IFS(E539&lt;E$24,0,E539&lt;E$25,D$24,E539&lt;E$26,D$25,E539&lt;E$27,D$26,E539&lt;E$28,D$27,E539&lt;E$29,D$28,E539&lt;E$30,D$29,E539&lt;E$31,D$30,E539&lt;E$32,D$31,E539&lt;E$33,D$32,E539&lt;E$34,D$33,E539&lt;E$35,D$34,E539&gt;=E$35,D$35)</f>
        <v/>
      </c>
      <c r="E539" s="38" t="n">
        <v>489</v>
      </c>
      <c r="F539" s="31">
        <f>E539/52</f>
        <v/>
      </c>
      <c r="G539" s="39">
        <f>D539/1000000*52</f>
        <v/>
      </c>
      <c r="H539" s="33">
        <f>G539/$P$4+($C$22/$P$4)</f>
        <v/>
      </c>
      <c r="I539" s="36">
        <f>_xlfn.IFS(K539&lt;K$24,0,K539&lt;K$26,I$24,K539&lt;K$28,I$26,K539&lt;K$30,I$28,K539&lt;K$32,I$30,K539&lt;K$34,I$32,K539&lt;K$36,I$34,K539&lt;K$38,I$36,K539&lt;K$40,I$38,K539&lt;K$42,I$40,K539&lt;K$44,I$42,K539&lt;K$46,I$44,K539&gt;=K$46,I$46)</f>
        <v/>
      </c>
      <c r="J539" s="37">
        <f>_xlfn.IFS(K539&lt;K$24,0,K539&lt;K$25,J$24,K539&lt;K$26,J$25,K539&lt;K$27,J$26,K539&lt;K$28,J$27,K539&lt;K$29,J$28,K539&lt;K$30,J$29,K539&lt;K$31,J$30,K539&lt;K$32,J$31,K539&lt;K$33,J$32,K539&lt;K$34,J$33,K539&lt;K$35,J$34,K539&lt;K$36,J$35,K539&lt;K$37,J$36,K539&lt;K$38,J$37,K539&lt;K$39,J$38,K539&lt;K$40,J$39,K539&lt;K$41,J$40,K539&lt;K$42,J$41,K539&lt;K$43,J$42,K539&lt;K$44,J$43,K539&lt;K$45,J$44,K539&lt;K$46,J$45,K539&lt;K$47,J$46,K539&gt;=K$47,J$47)</f>
        <v/>
      </c>
      <c r="K539" s="38" t="n">
        <v>489</v>
      </c>
      <c r="L539" s="31">
        <f>K539/52</f>
        <v/>
      </c>
      <c r="M539" s="39">
        <f>J539/1000000*52</f>
        <v/>
      </c>
      <c r="N539" s="33">
        <f>M539/$P$4+($I$22/$P$4)</f>
        <v/>
      </c>
      <c r="U539">
        <f>F538</f>
        <v/>
      </c>
      <c r="V539">
        <f>H538</f>
        <v/>
      </c>
      <c r="W539">
        <f>N538</f>
        <v/>
      </c>
    </row>
    <row r="540" ht="15.75" customHeight="1" s="40">
      <c r="C540" s="36">
        <f>_xlfn.IFS(E540&lt;E$24,0,E540&lt;E$26,C$24,E540&lt;E$28,C$26,E540&lt;E$30,C$28,E540&lt;E$32,C$30,E540&lt;E$34,C$32,E540&gt;=E$34,C$34)</f>
        <v/>
      </c>
      <c r="D540" s="37">
        <f>_xlfn.IFS(E540&lt;E$24,0,E540&lt;E$25,D$24,E540&lt;E$26,D$25,E540&lt;E$27,D$26,E540&lt;E$28,D$27,E540&lt;E$29,D$28,E540&lt;E$30,D$29,E540&lt;E$31,D$30,E540&lt;E$32,D$31,E540&lt;E$33,D$32,E540&lt;E$34,D$33,E540&lt;E$35,D$34,E540&gt;=E$35,D$35)</f>
        <v/>
      </c>
      <c r="E540" s="38" t="n">
        <v>490</v>
      </c>
      <c r="F540" s="31">
        <f>E540/52</f>
        <v/>
      </c>
      <c r="G540" s="39">
        <f>D540/1000000*52</f>
        <v/>
      </c>
      <c r="H540" s="33">
        <f>G540/$P$4+($C$22/$P$4)</f>
        <v/>
      </c>
      <c r="I540" s="36">
        <f>_xlfn.IFS(K540&lt;K$24,0,K540&lt;K$26,I$24,K540&lt;K$28,I$26,K540&lt;K$30,I$28,K540&lt;K$32,I$30,K540&lt;K$34,I$32,K540&lt;K$36,I$34,K540&lt;K$38,I$36,K540&lt;K$40,I$38,K540&lt;K$42,I$40,K540&lt;K$44,I$42,K540&lt;K$46,I$44,K540&gt;=K$46,I$46)</f>
        <v/>
      </c>
      <c r="J540" s="37">
        <f>_xlfn.IFS(K540&lt;K$24,0,K540&lt;K$25,J$24,K540&lt;K$26,J$25,K540&lt;K$27,J$26,K540&lt;K$28,J$27,K540&lt;K$29,J$28,K540&lt;K$30,J$29,K540&lt;K$31,J$30,K540&lt;K$32,J$31,K540&lt;K$33,J$32,K540&lt;K$34,J$33,K540&lt;K$35,J$34,K540&lt;K$36,J$35,K540&lt;K$37,J$36,K540&lt;K$38,J$37,K540&lt;K$39,J$38,K540&lt;K$40,J$39,K540&lt;K$41,J$40,K540&lt;K$42,J$41,K540&lt;K$43,J$42,K540&lt;K$44,J$43,K540&lt;K$45,J$44,K540&lt;K$46,J$45,K540&lt;K$47,J$46,K540&gt;=K$47,J$47)</f>
        <v/>
      </c>
      <c r="K540" s="38" t="n">
        <v>490</v>
      </c>
      <c r="L540" s="31">
        <f>K540/52</f>
        <v/>
      </c>
      <c r="M540" s="39">
        <f>J540/1000000*52</f>
        <v/>
      </c>
      <c r="N540" s="33">
        <f>M540/$P$4+($I$22/$P$4)</f>
        <v/>
      </c>
      <c r="U540">
        <f>F539</f>
        <v/>
      </c>
      <c r="V540">
        <f>H539</f>
        <v/>
      </c>
      <c r="W540">
        <f>N539</f>
        <v/>
      </c>
    </row>
    <row r="541" ht="15.75" customHeight="1" s="40">
      <c r="H541" s="33" t="n"/>
      <c r="U541">
        <f>F540</f>
        <v/>
      </c>
      <c r="V541">
        <f>H540</f>
        <v/>
      </c>
      <c r="W541">
        <f>N540</f>
        <v/>
      </c>
    </row>
    <row r="542" ht="15.75" customHeight="1" s="40">
      <c r="H542" s="33" t="n"/>
    </row>
    <row r="543" ht="15.75" customHeight="1" s="40">
      <c r="H543" s="33" t="n"/>
    </row>
    <row r="544" ht="15.75" customHeight="1" s="40">
      <c r="H544" s="33" t="n"/>
    </row>
    <row r="545" ht="15.75" customHeight="1" s="40">
      <c r="H545" s="33" t="n"/>
    </row>
    <row r="546" ht="15.75" customHeight="1" s="40">
      <c r="H546" s="33" t="n"/>
    </row>
    <row r="547" ht="15.75" customHeight="1" s="40">
      <c r="H547" s="33" t="n"/>
    </row>
    <row r="548" ht="15.75" customHeight="1" s="40">
      <c r="H548" s="33" t="n"/>
    </row>
    <row r="549" ht="15.75" customHeight="1" s="40">
      <c r="H549" s="33" t="n"/>
    </row>
    <row r="550" ht="15.75" customHeight="1" s="40">
      <c r="H550" s="33" t="n"/>
    </row>
    <row r="551" ht="15.75" customHeight="1" s="40">
      <c r="H551" s="33" t="n"/>
    </row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mergeCells count="59">
    <mergeCell ref="I7:N7"/>
    <mergeCell ref="C10:H10"/>
    <mergeCell ref="C16:H16"/>
    <mergeCell ref="A15:B15"/>
    <mergeCell ref="C22:H22"/>
    <mergeCell ref="I22:N22"/>
    <mergeCell ref="C9:H9"/>
    <mergeCell ref="A11:B11"/>
    <mergeCell ref="I18:N18"/>
    <mergeCell ref="I3:N3"/>
    <mergeCell ref="C12:H12"/>
    <mergeCell ref="I12:N12"/>
    <mergeCell ref="C21:H21"/>
    <mergeCell ref="I21:N21"/>
    <mergeCell ref="C11:H11"/>
    <mergeCell ref="A16:B16"/>
    <mergeCell ref="C2:H2"/>
    <mergeCell ref="A7:B7"/>
    <mergeCell ref="I5:N5"/>
    <mergeCell ref="C1:G1"/>
    <mergeCell ref="I14:N14"/>
    <mergeCell ref="I17:N17"/>
    <mergeCell ref="C8:H8"/>
    <mergeCell ref="I8:N8"/>
    <mergeCell ref="C17:H17"/>
    <mergeCell ref="A18:B18"/>
    <mergeCell ref="I4:N4"/>
    <mergeCell ref="A3:B3"/>
    <mergeCell ref="I20:N20"/>
    <mergeCell ref="C7:H7"/>
    <mergeCell ref="A21:B21"/>
    <mergeCell ref="C19:H19"/>
    <mergeCell ref="I19:N19"/>
    <mergeCell ref="A2:B2"/>
    <mergeCell ref="I10:N10"/>
    <mergeCell ref="C13:H13"/>
    <mergeCell ref="I13:N13"/>
    <mergeCell ref="I9:N9"/>
    <mergeCell ref="A14:B14"/>
    <mergeCell ref="C18:H18"/>
    <mergeCell ref="A17:B17"/>
    <mergeCell ref="C3:H3"/>
    <mergeCell ref="I1:M1"/>
    <mergeCell ref="A8:B8"/>
    <mergeCell ref="C15:H15"/>
    <mergeCell ref="A4:B4"/>
    <mergeCell ref="I15:N15"/>
    <mergeCell ref="A20:B20"/>
    <mergeCell ref="I11:N11"/>
    <mergeCell ref="C14:H14"/>
    <mergeCell ref="I2:N2"/>
    <mergeCell ref="A19:B19"/>
    <mergeCell ref="C5:H5"/>
    <mergeCell ref="A10:B10"/>
    <mergeCell ref="A13:B13"/>
    <mergeCell ref="C4:H4"/>
    <mergeCell ref="C20:H20"/>
    <mergeCell ref="A9:B9"/>
    <mergeCell ref="I16:N16"/>
  </mergeCells>
  <hyperlinks>
    <hyperlink xmlns:r="http://schemas.openxmlformats.org/officeDocument/2006/relationships" ref="Q2" r:id="rId1"/>
    <hyperlink xmlns:r="http://schemas.openxmlformats.org/officeDocument/2006/relationships" ref="Q3" r:id="rId2"/>
  </hyperlinks>
  <pageMargins left="0.75" right="0.75" top="1" bottom="1" header="0.5" footer="0.5"/>
  <drawing xmlns:r="http://schemas.openxmlformats.org/officeDocument/2006/relationships" r:id="rId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H31"/>
  <sheetViews>
    <sheetView workbookViewId="0">
      <selection activeCell="A1" sqref="A1"/>
    </sheetView>
  </sheetViews>
  <sheetFormatPr baseColWidth="8" defaultColWidth="12.6328125" defaultRowHeight="15" customHeight="1"/>
  <cols>
    <col width="41.90625" customWidth="1" style="40" min="1" max="1"/>
    <col width="16.6328125" customWidth="1" style="40" min="2" max="2"/>
    <col width="17.90625" customWidth="1" style="40" min="3" max="3"/>
    <col width="12.6328125" customWidth="1" style="40" min="4" max="5"/>
    <col width="26.7265625" bestFit="1" customWidth="1" style="40" min="6" max="6"/>
  </cols>
  <sheetData>
    <row r="1" ht="15.75" customHeight="1" s="40">
      <c r="A1" s="53" t="inlineStr">
        <is>
          <t>Insecticide CAPEX Calcs</t>
        </is>
      </c>
      <c r="B1" s="39" t="n"/>
      <c r="D1" s="1" t="n"/>
    </row>
    <row r="2" ht="15.75" customHeight="1" s="40">
      <c r="A2" s="3" t="inlineStr">
        <is>
          <t>Pesticide scale-up assumptions 2026</t>
        </is>
      </c>
      <c r="B2" s="3" t="n"/>
    </row>
    <row r="3" ht="15.75" customHeight="1" s="40">
      <c r="A3" s="39" t="n"/>
      <c r="B3" s="39" t="n"/>
      <c r="C3" s="4" t="n"/>
      <c r="D3" s="39" t="n"/>
      <c r="F3" s="5" t="n"/>
    </row>
    <row r="4" ht="15.75" customHeight="1" s="40">
      <c r="A4" s="39" t="n"/>
      <c r="B4" s="39" t="n"/>
      <c r="C4" s="4" t="n"/>
      <c r="D4" s="39" t="n"/>
      <c r="F4" s="6" t="n"/>
    </row>
    <row r="5" ht="15.75" customHeight="1" s="40">
      <c r="A5" s="39" t="n"/>
      <c r="B5" s="39" t="n"/>
      <c r="C5" s="4" t="n"/>
      <c r="D5" s="39" t="inlineStr">
        <is>
          <t>Target Plant Size (tonneInsecticide/day)</t>
        </is>
      </c>
      <c r="F5" s="39">
        <f>B16</f>
        <v/>
      </c>
    </row>
    <row r="6" ht="15.75" customHeight="1" s="40">
      <c r="A6" s="39" t="n"/>
      <c r="B6" s="39" t="n"/>
      <c r="C6" s="4" t="n"/>
      <c r="D6" s="39" t="n"/>
      <c r="F6" s="7" t="n"/>
    </row>
    <row r="7" ht="15.75" customHeight="1" s="40">
      <c r="A7" s="39" t="n"/>
    </row>
    <row r="8" ht="15.75" customHeight="1" s="40"/>
    <row r="9" ht="15.75" customHeight="1" s="40">
      <c r="A9" s="1" t="n"/>
    </row>
    <row r="10" ht="15.75" customHeight="1" s="40"/>
    <row r="11" ht="15.75" customHeight="1" s="40">
      <c r="A11" s="8" t="n"/>
      <c r="B11" s="9" t="n"/>
      <c r="C11" s="10" t="n"/>
      <c r="F11" s="39" t="inlineStr">
        <is>
          <t>Fast construction cost factor</t>
        </is>
      </c>
      <c r="G11" s="39" t="n"/>
      <c r="H11" s="11" t="n">
        <v>1.47</v>
      </c>
    </row>
    <row r="12" ht="15.75" customHeight="1" s="40">
      <c r="A12" s="45" t="inlineStr">
        <is>
          <t>Reference capacity (t/yr)</t>
        </is>
      </c>
      <c r="B12" s="39" t="n">
        <v>2000</v>
      </c>
      <c r="C12" s="13" t="n"/>
      <c r="F12" s="39" t="inlineStr">
        <is>
          <t>Fast construction speed factor</t>
        </is>
      </c>
      <c r="H12" s="14" t="n">
        <v>0.32</v>
      </c>
    </row>
    <row r="13" ht="15.75" customHeight="1" s="40">
      <c r="A13" s="45" t="inlineStr">
        <is>
          <t>Reference CAPEX (USD)</t>
        </is>
      </c>
      <c r="B13" s="39" t="n">
        <v>12467000</v>
      </c>
      <c r="C13" s="15" t="n"/>
    </row>
    <row r="14" ht="15.75" customHeight="1" s="40">
      <c r="A14" s="45" t="inlineStr">
        <is>
          <t>Target plant size (t/yr)</t>
        </is>
      </c>
      <c r="B14" s="16" t="n">
        <v>2100</v>
      </c>
      <c r="C14" s="15" t="n"/>
      <c r="F14" s="39" t="inlineStr">
        <is>
          <t>Fast construction (24/7) CAPEX</t>
        </is>
      </c>
      <c r="H14" s="7">
        <f>H11*B19</f>
        <v/>
      </c>
    </row>
    <row r="15" ht="15.75" customHeight="1" s="40">
      <c r="A15" s="45" t="inlineStr">
        <is>
          <t>Plant scale factor</t>
        </is>
      </c>
      <c r="B15" s="1">
        <f>B14/B12</f>
        <v/>
      </c>
      <c r="C15" s="15" t="n"/>
    </row>
    <row r="16" ht="15.75" customHeight="1" s="40">
      <c r="A16" s="45" t="inlineStr">
        <is>
          <t>Target Plant Size (tonnes/day) [= t/yr / 365]</t>
        </is>
      </c>
      <c r="B16" s="39">
        <f>B14/365</f>
        <v/>
      </c>
      <c r="C16" s="13" t="n"/>
    </row>
    <row r="17" ht="15.75" customHeight="1" s="40">
      <c r="A17" s="45" t="inlineStr">
        <is>
          <t>Cost-Capacity Exponent</t>
        </is>
      </c>
      <c r="B17" s="16" t="n">
        <v>0.7</v>
      </c>
      <c r="C17" s="13" t="n"/>
    </row>
    <row r="18" ht="15.75" customHeight="1" s="40">
      <c r="A18" s="17" t="inlineStr">
        <is>
          <t>(for reference)</t>
        </is>
      </c>
      <c r="B18" s="16" t="n"/>
      <c r="C18" s="13" t="n"/>
    </row>
    <row r="19" ht="15.75" customHeight="1" s="40">
      <c r="A19" s="45" t="inlineStr">
        <is>
          <t>Target Plant CAPEX (USD)</t>
        </is>
      </c>
      <c r="B19" s="18">
        <f>B13*(B14/B12)^B17</f>
        <v/>
      </c>
      <c r="C19" s="13" t="n"/>
      <c r="D19" s="39" t="inlineStr">
        <is>
          <t>&lt;-- Using this estimate</t>
        </is>
      </c>
    </row>
    <row r="20" ht="15.75" customHeight="1" s="40">
      <c r="A20" s="45" t="n"/>
      <c r="C20" s="13" t="n"/>
    </row>
    <row r="21" ht="15.75" customHeight="1" s="40">
      <c r="A21" s="19" t="inlineStr">
        <is>
          <t>Capital efficiency</t>
        </is>
      </c>
      <c r="B21" s="20">
        <f>B19/B16/365</f>
        <v/>
      </c>
      <c r="C21" s="21" t="inlineStr">
        <is>
          <t>$/tpa installed</t>
        </is>
      </c>
    </row>
    <row r="22" ht="15.75" customHeight="1" s="40"/>
    <row r="23" ht="15.75" customHeight="1" s="40">
      <c r="E23" s="22" t="n"/>
    </row>
    <row r="24" ht="15.75" customHeight="1" s="40">
      <c r="A24" s="1" t="n"/>
    </row>
    <row r="25" ht="15.75" customHeight="1" s="40">
      <c r="A25" s="39" t="n"/>
      <c r="B25" s="7" t="n"/>
      <c r="D25" s="22" t="n"/>
    </row>
    <row r="26" ht="15.75" customHeight="1" s="40">
      <c r="A26" s="39" t="n"/>
      <c r="B26" s="39" t="n"/>
    </row>
    <row r="27" ht="15.75" customHeight="1" s="40">
      <c r="A27" s="39" t="n"/>
      <c r="B27" s="39" t="n"/>
      <c r="D27" s="22" t="n"/>
    </row>
    <row r="28" ht="15.75" customHeight="1" s="40">
      <c r="A28" s="39" t="n"/>
      <c r="B28" s="16" t="n"/>
      <c r="D28" s="22" t="n"/>
    </row>
    <row r="29" ht="15.75" customHeight="1" s="40">
      <c r="A29" s="39" t="n"/>
      <c r="B29" s="7" t="n"/>
      <c r="D29" s="23" t="n"/>
    </row>
    <row r="30" ht="15.75" customHeight="1" s="40"/>
    <row r="31" ht="15.75" customHeight="1" s="40">
      <c r="E31" s="22" t="n"/>
    </row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hyperlinks>
    <hyperlink xmlns:r="http://schemas.openxmlformats.org/officeDocument/2006/relationships" ref="A1" r:id="rId1"/>
    <hyperlink xmlns:r="http://schemas.openxmlformats.org/officeDocument/2006/relationships" ref="D1" r:id="rId2"/>
    <hyperlink xmlns:r="http://schemas.openxmlformats.org/officeDocument/2006/relationships" ref="A9" r:id="rId3"/>
    <hyperlink xmlns:r="http://schemas.openxmlformats.org/officeDocument/2006/relationships" ref="A11" r:id="rId4"/>
    <hyperlink xmlns:r="http://schemas.openxmlformats.org/officeDocument/2006/relationships" ref="B15" display="https://www.exchange-rates.org/converter/eur-usd" r:id="rId5"/>
    <hyperlink xmlns:r="http://schemas.openxmlformats.org/officeDocument/2006/relationships" ref="A24" r:id="rId6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W551"/>
  <sheetViews>
    <sheetView workbookViewId="0">
      <selection activeCell="A1" sqref="A1"/>
    </sheetView>
  </sheetViews>
  <sheetFormatPr baseColWidth="8" defaultColWidth="12.6328125" defaultRowHeight="15" customHeight="1"/>
  <cols>
    <col width="12.6328125" customWidth="1" style="40" min="1" max="1"/>
    <col width="25.36328125" customWidth="1" style="40" min="2" max="2"/>
    <col width="12.6328125" customWidth="1" style="40" min="3" max="6"/>
    <col width="19.7265625" customWidth="1" style="40" min="7" max="7"/>
  </cols>
  <sheetData>
    <row r="1" ht="15.75" customHeight="1" s="40">
      <c r="C1" s="39" t="inlineStr">
        <is>
          <t>INSECTICIDE REGULAR CONSTRUCTION</t>
        </is>
      </c>
      <c r="H1" s="39" t="n"/>
      <c r="I1" s="39" t="inlineStr">
        <is>
          <t>INSECTICIDE FAST CONSTRUCTION</t>
        </is>
      </c>
      <c r="N1" s="39" t="n"/>
      <c r="R1" s="22" t="inlineStr">
        <is>
          <t>fraction_functioning_after_disruption</t>
        </is>
      </c>
      <c r="U1" t="inlineStr">
        <is>
          <t>CODE-MATCHED (current model)</t>
        </is>
      </c>
    </row>
    <row r="2" ht="15.75" customHeight="1" s="40">
      <c r="A2" s="39" t="inlineStr">
        <is>
          <t>Annual World Construction Budget</t>
        </is>
      </c>
      <c r="C2" s="44" t="n">
        <v>8555549338.396442</v>
      </c>
      <c r="H2" s="42" t="n"/>
      <c r="I2" s="44" t="n">
        <v>8555549338.396442</v>
      </c>
      <c r="N2" s="42" t="n"/>
      <c r="P2" s="39" t="inlineStr">
        <is>
          <t>Sanity check:</t>
        </is>
      </c>
      <c r="Q2" s="1" t="inlineStr">
        <is>
          <t>the AEA’s datasets track 490 production plants in development, comprising a total of 438.1 million tons of low-emission and transitional ammonia capacity</t>
        </is>
      </c>
      <c r="U2" t="inlineStr">
        <is>
          <t>C16/I16 = 0.4; startup% = 0.5; budget = equal-pace default</t>
        </is>
      </c>
    </row>
    <row r="3" ht="15.75" customHeight="1" s="40">
      <c r="A3" s="39" t="inlineStr">
        <is>
          <t>Total Capital Investment Per Plant</t>
        </is>
      </c>
      <c r="C3" s="50">
        <f>'Ins CAPEX'!B19</f>
        <v/>
      </c>
      <c r="H3" s="42" t="n"/>
      <c r="I3" s="50">
        <f>'Ins CAPEX'!H14</f>
        <v/>
      </c>
      <c r="N3" s="42" t="n"/>
      <c r="P3" s="4">
        <f>P4*1000000/('Ins CAPEX'!B16*365.25)</f>
        <v/>
      </c>
      <c r="Q3" s="1" t="inlineStr">
        <is>
          <t>plants needed to make 240million metric tonnes per year assuming an average of 2000 metric tonnes/day plant capacity</t>
        </is>
      </c>
      <c r="U3" t="inlineStr">
        <is>
          <t>Multiple = (new Mt/yr + surviving Mt/yr) / current Mt/yr</t>
        </is>
      </c>
    </row>
    <row r="4" ht="15.75" customHeight="1" s="40">
      <c r="A4" s="39" t="inlineStr">
        <is>
          <t>Number of Plants Per Year</t>
        </is>
      </c>
      <c r="C4" s="41">
        <f>(C2/C3)*C16</f>
        <v/>
      </c>
      <c r="H4" s="42" t="n"/>
      <c r="I4" s="41">
        <f>(I2/I3)*I16</f>
        <v/>
      </c>
      <c r="N4" s="42" t="n"/>
      <c r="P4" s="39" t="n">
        <v>0.8232</v>
      </c>
      <c r="Q4" s="39" t="inlineStr">
        <is>
          <t>Current Insecticide production in million metric tonnes</t>
        </is>
      </c>
      <c r="U4" t="inlineStr">
        <is>
          <t>Surviving Mt/yr in C22/I22</t>
        </is>
      </c>
    </row>
    <row r="5" ht="15.75" customHeight="1" s="40">
      <c r="A5" s="39" t="n"/>
      <c r="B5" s="39" t="n"/>
      <c r="C5" s="45" t="n"/>
      <c r="I5" s="46" t="n"/>
      <c r="N5" s="42" t="n"/>
      <c r="U5" t="inlineStr">
        <is>
          <t>Multiple chart uses U50:W (1.0 before t=0, then drops to 0.4)</t>
        </is>
      </c>
    </row>
    <row r="6" ht="15.75" customHeight="1" s="40">
      <c r="A6" s="39" t="inlineStr">
        <is>
          <t>Corrected CAPEX for construction time method</t>
        </is>
      </c>
      <c r="B6" s="39" t="n"/>
      <c r="C6" s="24" t="n"/>
      <c r="D6" s="4" t="n"/>
      <c r="E6" s="4" t="n"/>
      <c r="F6" s="4" t="n"/>
      <c r="G6" s="25">
        <f>C3*(1-9.1%-6.6%)</f>
        <v/>
      </c>
      <c r="H6" s="26" t="n"/>
      <c r="I6" s="24" t="n"/>
      <c r="J6" s="4" t="n"/>
      <c r="K6" s="4" t="n"/>
      <c r="L6" s="4" t="n"/>
      <c r="M6" s="25">
        <f>I3*(1-9.1%-6.6%)</f>
        <v/>
      </c>
      <c r="N6" s="25" t="n"/>
      <c r="U6" t="inlineStr">
        <is>
          <t>Production chart (G/M) = NEW factory Mt/yr only (starts at 0)</t>
        </is>
      </c>
    </row>
    <row r="7" ht="15.75" customHeight="1" s="40">
      <c r="A7" s="39" t="inlineStr">
        <is>
          <t>Weeks to Build at Facility Costs</t>
        </is>
      </c>
      <c r="C7" s="41">
        <f>10.774*LN(0.8*G6)-121.45</f>
        <v/>
      </c>
      <c r="H7" s="42" t="n"/>
      <c r="I7" s="41">
        <f>C7*'Ins CAPEX'!H12</f>
        <v/>
      </c>
      <c r="N7" s="42" t="n"/>
    </row>
    <row r="8" ht="15.75" customHeight="1" s="40">
      <c r="A8" s="39" t="inlineStr">
        <is>
          <t>Waves Per Year</t>
        </is>
      </c>
      <c r="C8" s="47">
        <f>52/C7</f>
        <v/>
      </c>
      <c r="H8" s="42" t="n"/>
      <c r="I8" s="47">
        <f>52/I7</f>
        <v/>
      </c>
      <c r="N8" s="42" t="n"/>
    </row>
    <row r="9" ht="15.75" customHeight="1" s="40">
      <c r="A9" s="39" t="inlineStr">
        <is>
          <t>Plants Per Wave</t>
        </is>
      </c>
      <c r="C9" s="49">
        <f>(C4/C8)</f>
        <v/>
      </c>
      <c r="H9" s="42" t="n"/>
      <c r="I9" s="49">
        <f>(I4/I8)</f>
        <v/>
      </c>
      <c r="N9" s="42" t="n"/>
    </row>
    <row r="10" ht="15.75" customHeight="1" s="40">
      <c r="A10" s="39" t="inlineStr">
        <is>
          <t>Plants Per Year</t>
        </is>
      </c>
      <c r="C10" s="41">
        <f>C9*C8</f>
        <v/>
      </c>
      <c r="H10" s="42" t="n"/>
      <c r="I10" s="41">
        <f>I9*I8</f>
        <v/>
      </c>
      <c r="N10" s="42" t="n"/>
    </row>
    <row r="11" ht="15.75" customHeight="1" s="40">
      <c r="A11" s="39" t="inlineStr">
        <is>
          <t>Plants Per Week</t>
        </is>
      </c>
      <c r="C11" s="41">
        <f>C10/52</f>
        <v/>
      </c>
      <c r="H11" s="42" t="n"/>
      <c r="I11" s="41">
        <f>I10/52</f>
        <v/>
      </c>
      <c r="N11" s="42" t="n"/>
    </row>
    <row r="12" ht="15.75" customHeight="1" s="40">
      <c r="B12" s="39" t="n"/>
      <c r="C12" s="45" t="n"/>
      <c r="I12" s="46" t="n"/>
      <c r="N12" s="42" t="n"/>
    </row>
    <row r="13" ht="15.75" customHeight="1" s="40">
      <c r="A13" s="39" t="inlineStr">
        <is>
          <t>Single Facility Scaled Production (tonnes/week)</t>
        </is>
      </c>
      <c r="C13" s="48">
        <f>'Ins CAPEX'!$F5*7</f>
        <v/>
      </c>
      <c r="H13" s="42" t="n"/>
      <c r="I13" s="48">
        <f>'Ins CAPEX'!$F5*7</f>
        <v/>
      </c>
      <c r="N13" s="42" t="n"/>
    </row>
    <row r="14" ht="15.75" customHeight="1" s="40">
      <c r="A14" s="39" t="inlineStr">
        <is>
          <t>Startup % of Fully Scaled Production (break in period)</t>
        </is>
      </c>
      <c r="C14" s="43" t="n">
        <v>0.5</v>
      </c>
      <c r="H14" s="42" t="n"/>
      <c r="I14" s="43" t="n">
        <v>0.5</v>
      </c>
      <c r="N14" s="42" t="n"/>
    </row>
    <row r="15" ht="15.75" customHeight="1" s="40">
      <c r="A15" s="39" t="inlineStr">
        <is>
          <t>Single Facility Startup Production (tonnes/week)</t>
        </is>
      </c>
      <c r="C15" s="41">
        <f>C13*C14</f>
        <v/>
      </c>
      <c r="H15" s="42" t="n"/>
      <c r="I15" s="41">
        <f>I13*I14</f>
        <v/>
      </c>
      <c r="N15" s="42" t="n"/>
    </row>
    <row r="16" ht="15.75" customHeight="1" s="40">
      <c r="A16" s="39" t="inlineStr">
        <is>
          <t>fraction_functioning_after_disruption (surviving existing + new build share)</t>
        </is>
      </c>
      <c r="C16" s="43" t="n">
        <v>0.4</v>
      </c>
      <c r="H16" s="42" t="n"/>
      <c r="I16" s="43" t="n">
        <v>0.4</v>
      </c>
      <c r="N16" s="42" t="n"/>
    </row>
    <row r="17" ht="15.75" customHeight="1" s="40">
      <c r="A17" s="39" t="inlineStr">
        <is>
          <t>Time to construct a wave (years)</t>
        </is>
      </c>
      <c r="C17" s="51">
        <f>C7/52</f>
        <v/>
      </c>
      <c r="H17" s="42" t="n"/>
      <c r="I17" s="51">
        <f>I7/52</f>
        <v/>
      </c>
      <c r="N17" s="42" t="n"/>
    </row>
    <row r="18" ht="15.75" customHeight="1" s="40">
      <c r="A18" s="39" t="inlineStr">
        <is>
          <t>Startup time (weeks)</t>
        </is>
      </c>
      <c r="C18" s="51">
        <f>C7/4</f>
        <v/>
      </c>
      <c r="H18" s="42" t="n"/>
      <c r="I18" s="51">
        <f>I7/4</f>
        <v/>
      </c>
      <c r="N18" s="42" t="n"/>
    </row>
    <row r="19" ht="15.75" customHeight="1" s="40">
      <c r="A19" s="39" t="inlineStr">
        <is>
          <t>Startup time (years)</t>
        </is>
      </c>
      <c r="C19" s="51">
        <f>C18/52</f>
        <v/>
      </c>
      <c r="H19" s="42" t="n"/>
      <c r="I19" s="51">
        <f>I18/52</f>
        <v/>
      </c>
      <c r="N19" s="42" t="n"/>
    </row>
    <row r="20" ht="15.75" customHeight="1" s="40">
      <c r="A20" s="39" t="inlineStr">
        <is>
          <t>Planning time (weeks)</t>
        </is>
      </c>
      <c r="C20" s="52" t="n">
        <v>4</v>
      </c>
      <c r="H20" s="42" t="n"/>
      <c r="I20" s="52" t="n">
        <v>4</v>
      </c>
      <c r="N20" s="42" t="n"/>
    </row>
    <row r="21" ht="15.75" customHeight="1" s="40">
      <c r="A21" s="39" t="inlineStr">
        <is>
          <t>Planning time (years)</t>
        </is>
      </c>
      <c r="C21" s="51">
        <f>C20/52</f>
        <v/>
      </c>
      <c r="H21" s="42" t="n"/>
      <c r="I21" s="51">
        <f>I20/52</f>
        <v/>
      </c>
      <c r="N21" s="42" t="n"/>
    </row>
    <row r="22" ht="15.75" customHeight="1" s="40">
      <c r="A22" s="39" t="inlineStr">
        <is>
          <t>Surviving Mt/yr (= fraction_functioning * current Mt/yr)</t>
        </is>
      </c>
      <c r="B22" s="39" t="n"/>
      <c r="C22" s="45">
        <f>C16*$P$4</f>
        <v/>
      </c>
      <c r="I22" s="45">
        <f>I16*$P$4</f>
        <v/>
      </c>
    </row>
    <row r="23" ht="15.75" customHeight="1" s="40">
      <c r="A23" s="27" t="inlineStr">
        <is>
          <t>Wave</t>
        </is>
      </c>
      <c r="B23" s="27" t="inlineStr">
        <is>
          <t>Production Level</t>
        </is>
      </c>
      <c r="C23" s="19" t="inlineStr">
        <is>
          <t>Plants</t>
        </is>
      </c>
      <c r="D23" s="27" t="inlineStr">
        <is>
          <t>tonnes/week</t>
        </is>
      </c>
      <c r="E23" s="27" t="inlineStr">
        <is>
          <t>Weeks</t>
        </is>
      </c>
      <c r="F23" s="28" t="inlineStr">
        <is>
          <t>Years</t>
        </is>
      </c>
      <c r="G23" s="39" t="inlineStr">
        <is>
          <t>Megatonnes/year</t>
        </is>
      </c>
      <c r="H23" s="21" t="inlineStr">
        <is>
          <t>Multiple of Current Insecticide Production</t>
        </is>
      </c>
      <c r="I23" s="19" t="inlineStr">
        <is>
          <t>Plants</t>
        </is>
      </c>
      <c r="J23" s="27" t="inlineStr">
        <is>
          <t>tonnes/week</t>
        </is>
      </c>
      <c r="K23" s="27" t="inlineStr">
        <is>
          <t>Weeks</t>
        </is>
      </c>
      <c r="L23" s="28" t="inlineStr">
        <is>
          <t>Years</t>
        </is>
      </c>
      <c r="M23" s="39" t="inlineStr">
        <is>
          <t>Megatonnes/year</t>
        </is>
      </c>
      <c r="N23" s="21" t="inlineStr">
        <is>
          <t>Multiple of Current Insecticide Production</t>
        </is>
      </c>
      <c r="S23" s="22" t="inlineStr">
        <is>
          <t>Required</t>
        </is>
      </c>
      <c r="T23" s="22" t="inlineStr">
        <is>
          <t>Current</t>
        </is>
      </c>
      <c r="U23" s="22" t="inlineStr">
        <is>
          <t>New</t>
        </is>
      </c>
    </row>
    <row r="24" ht="15.75" customHeight="1" s="40">
      <c r="A24" s="39" t="n">
        <v>1</v>
      </c>
      <c r="B24" s="39" t="inlineStr">
        <is>
          <t>startup production</t>
        </is>
      </c>
      <c r="C24" s="29">
        <f>C$9*$A24</f>
        <v/>
      </c>
      <c r="D24" s="30">
        <f>C15*C24</f>
        <v/>
      </c>
      <c r="E24" s="30">
        <f>F24*52</f>
        <v/>
      </c>
      <c r="F24" s="31">
        <f>C$17*$A24+C$21</f>
        <v/>
      </c>
      <c r="G24" s="32">
        <f>D24/1000000*52</f>
        <v/>
      </c>
      <c r="H24" s="33">
        <f>G24/$P$4+($C$22/$P$4)</f>
        <v/>
      </c>
      <c r="I24" s="29">
        <f>I$9*$A24</f>
        <v/>
      </c>
      <c r="J24" s="30">
        <f>I15*I24</f>
        <v/>
      </c>
      <c r="K24" s="30">
        <f>L24*52</f>
        <v/>
      </c>
      <c r="L24" s="31">
        <f>I$17*$A24+I$21</f>
        <v/>
      </c>
      <c r="M24" s="32">
        <f>J24/1000000*52</f>
        <v/>
      </c>
      <c r="N24" s="33">
        <f>M24/$P$4+($I$22/$P$4)</f>
        <v/>
      </c>
      <c r="R24" s="22" t="inlineStr">
        <is>
          <t>N</t>
        </is>
      </c>
      <c r="S24" s="22" t="n">
        <v>1000</v>
      </c>
      <c r="T24" s="22" t="n">
        <v>1000</v>
      </c>
      <c r="U24" s="22" t="n">
        <v>0</v>
      </c>
    </row>
    <row r="25" ht="15.75" customHeight="1" s="40">
      <c r="A25" s="39" t="n">
        <v>1</v>
      </c>
      <c r="B25" s="39" t="inlineStr">
        <is>
          <t>full production</t>
        </is>
      </c>
      <c r="C25" s="29">
        <f>C$9*$A25</f>
        <v/>
      </c>
      <c r="D25" s="30">
        <f>C25*C$13</f>
        <v/>
      </c>
      <c r="E25" s="30">
        <f>F25*52</f>
        <v/>
      </c>
      <c r="F25" s="31">
        <f>F24+C$19</f>
        <v/>
      </c>
      <c r="G25" s="4">
        <f>D25/1000000*52</f>
        <v/>
      </c>
      <c r="H25" s="33">
        <f>G25/$P$4+($C$22/$P$4)</f>
        <v/>
      </c>
      <c r="I25" s="29">
        <f>I$9*$A25</f>
        <v/>
      </c>
      <c r="J25" s="30">
        <f>I25*I$13</f>
        <v/>
      </c>
      <c r="K25" s="30">
        <f>L25*52</f>
        <v/>
      </c>
      <c r="L25" s="31">
        <f>L24+I$19</f>
        <v/>
      </c>
      <c r="M25" s="4">
        <f>J25/1000000*52</f>
        <v/>
      </c>
      <c r="N25" s="33">
        <f>M25/$P$4+($I$22/$P$4)</f>
        <v/>
      </c>
      <c r="R25" s="34" t="n">
        <v>0.7</v>
      </c>
      <c r="T25" s="22" t="n">
        <v>700</v>
      </c>
    </row>
    <row r="26" ht="15.75" customHeight="1" s="40">
      <c r="A26" s="39" t="n">
        <v>2</v>
      </c>
      <c r="B26" s="39" t="inlineStr">
        <is>
          <t>startup production</t>
        </is>
      </c>
      <c r="C26" s="29">
        <f>C$9*$A26</f>
        <v/>
      </c>
      <c r="D26" s="30">
        <f>D25+C$15*C$9</f>
        <v/>
      </c>
      <c r="E26" s="30">
        <f>F26*52</f>
        <v/>
      </c>
      <c r="F26" s="31">
        <f>C$17*$A26+C$21</f>
        <v/>
      </c>
      <c r="G26" s="4">
        <f>D26/1000000*52</f>
        <v/>
      </c>
      <c r="H26" s="33">
        <f>G26/$P$4+($C$22/$P$4)</f>
        <v/>
      </c>
      <c r="I26" s="29">
        <f>I$9*$A26</f>
        <v/>
      </c>
      <c r="J26" s="30">
        <f>J25+I$15*I$9</f>
        <v/>
      </c>
      <c r="K26" s="30">
        <f>L26*52</f>
        <v/>
      </c>
      <c r="L26" s="31">
        <f>I$17*$A26+I$21</f>
        <v/>
      </c>
      <c r="M26" s="4">
        <f>J26/1000000*52</f>
        <v/>
      </c>
      <c r="N26" s="33">
        <f>M26/$P$4+($I$22/$P$4)</f>
        <v/>
      </c>
    </row>
    <row r="27" ht="15.75" customHeight="1" s="40">
      <c r="A27" s="39" t="n">
        <v>2</v>
      </c>
      <c r="B27" s="39" t="inlineStr">
        <is>
          <t>full production</t>
        </is>
      </c>
      <c r="C27" s="29">
        <f>C$9*$A27</f>
        <v/>
      </c>
      <c r="D27" s="30">
        <f>C27*C$13</f>
        <v/>
      </c>
      <c r="E27" s="30">
        <f>F27*52</f>
        <v/>
      </c>
      <c r="F27" s="31">
        <f>F26+C$19</f>
        <v/>
      </c>
      <c r="G27" s="4">
        <f>D27/1000000*52</f>
        <v/>
      </c>
      <c r="H27" s="33">
        <f>G27/$P$4+($C$22/$P$4)</f>
        <v/>
      </c>
      <c r="I27" s="29">
        <f>I$9*$A27</f>
        <v/>
      </c>
      <c r="J27" s="30">
        <f>I27*I$13</f>
        <v/>
      </c>
      <c r="K27" s="30">
        <f>L27*52</f>
        <v/>
      </c>
      <c r="L27" s="31">
        <f>L26+I$19</f>
        <v/>
      </c>
      <c r="M27" s="4">
        <f>J27/1000000*52</f>
        <v/>
      </c>
      <c r="N27" s="33">
        <f>M27/$P$4+($I$22/$P$4)</f>
        <v/>
      </c>
    </row>
    <row r="28" ht="15.75" customHeight="1" s="40">
      <c r="A28" s="39" t="n">
        <v>3</v>
      </c>
      <c r="B28" s="39" t="inlineStr">
        <is>
          <t>startup production</t>
        </is>
      </c>
      <c r="C28" s="29">
        <f>C$9*$A28</f>
        <v/>
      </c>
      <c r="D28" s="30">
        <f>D27+C$15*C$9</f>
        <v/>
      </c>
      <c r="E28" s="30">
        <f>F28*52</f>
        <v/>
      </c>
      <c r="F28" s="31">
        <f>C$17*$A28+C$21</f>
        <v/>
      </c>
      <c r="G28" s="4">
        <f>D28/1000000*52</f>
        <v/>
      </c>
      <c r="H28" s="33">
        <f>G28/$P$4+($C$22/$P$4)</f>
        <v/>
      </c>
      <c r="I28" s="29">
        <f>I$9*$A28</f>
        <v/>
      </c>
      <c r="J28" s="30">
        <f>J27+I$15*I$9</f>
        <v/>
      </c>
      <c r="K28" s="30">
        <f>L28*52</f>
        <v/>
      </c>
      <c r="L28" s="31">
        <f>I$17*$A28+I$21</f>
        <v/>
      </c>
      <c r="M28" s="4">
        <f>J28/1000000*52</f>
        <v/>
      </c>
      <c r="N28" s="33">
        <f>M28/$P$4+($I$22/$P$4)</f>
        <v/>
      </c>
    </row>
    <row r="29" ht="15.75" customHeight="1" s="40">
      <c r="A29" s="39" t="n">
        <v>3</v>
      </c>
      <c r="B29" s="39" t="inlineStr">
        <is>
          <t>full production</t>
        </is>
      </c>
      <c r="C29" s="29">
        <f>C$9*$A29</f>
        <v/>
      </c>
      <c r="D29" s="30">
        <f>C29*C$13</f>
        <v/>
      </c>
      <c r="E29" s="30">
        <f>F29*52</f>
        <v/>
      </c>
      <c r="F29" s="31">
        <f>F28+C$19</f>
        <v/>
      </c>
      <c r="G29" s="4">
        <f>D29/1000000*52</f>
        <v/>
      </c>
      <c r="H29" s="33">
        <f>G29/$P$4+($C$22/$P$4)</f>
        <v/>
      </c>
      <c r="I29" s="29">
        <f>I$9*$A29</f>
        <v/>
      </c>
      <c r="J29" s="30">
        <f>I29*I$13</f>
        <v/>
      </c>
      <c r="K29" s="30">
        <f>L29*52</f>
        <v/>
      </c>
      <c r="L29" s="31">
        <f>L28+I$19</f>
        <v/>
      </c>
      <c r="M29" s="4">
        <f>J29/1000000*52</f>
        <v/>
      </c>
      <c r="N29" s="33">
        <f>M29/$P$4+($I$22/$P$4)</f>
        <v/>
      </c>
    </row>
    <row r="30" ht="15.75" customHeight="1" s="40">
      <c r="A30" s="39" t="n">
        <v>4</v>
      </c>
      <c r="B30" s="39" t="inlineStr">
        <is>
          <t>startup production</t>
        </is>
      </c>
      <c r="C30" s="29">
        <f>C$9*$A30</f>
        <v/>
      </c>
      <c r="D30" s="30">
        <f>D29+C$15*C$9</f>
        <v/>
      </c>
      <c r="E30" s="30">
        <f>F30*52</f>
        <v/>
      </c>
      <c r="F30" s="31">
        <f>C$17*$A30+C$21</f>
        <v/>
      </c>
      <c r="G30" s="4">
        <f>D30/1000000*52</f>
        <v/>
      </c>
      <c r="H30" s="33">
        <f>G30/$P$4+($C$22/$P$4)</f>
        <v/>
      </c>
      <c r="I30" s="29">
        <f>I$9*$A30</f>
        <v/>
      </c>
      <c r="J30" s="30">
        <f>J29+I$15*I$9</f>
        <v/>
      </c>
      <c r="K30" s="30">
        <f>L30*52</f>
        <v/>
      </c>
      <c r="L30" s="31">
        <f>I$17*$A30+I$21</f>
        <v/>
      </c>
      <c r="M30" s="4">
        <f>J30/1000000*52</f>
        <v/>
      </c>
      <c r="N30" s="33">
        <f>M30/$P$4+($I$22/$P$4)</f>
        <v/>
      </c>
    </row>
    <row r="31" ht="15.75" customHeight="1" s="40">
      <c r="A31" s="39" t="n">
        <v>4</v>
      </c>
      <c r="B31" s="39" t="inlineStr">
        <is>
          <t>full production</t>
        </is>
      </c>
      <c r="C31" s="29">
        <f>C$9*$A31</f>
        <v/>
      </c>
      <c r="D31" s="30">
        <f>C31*C$13</f>
        <v/>
      </c>
      <c r="E31" s="30">
        <f>F31*52</f>
        <v/>
      </c>
      <c r="F31" s="31">
        <f>F30+C$19</f>
        <v/>
      </c>
      <c r="G31" s="4">
        <f>D31/1000000*52</f>
        <v/>
      </c>
      <c r="H31" s="33">
        <f>G31/$P$4+($C$22/$P$4)</f>
        <v/>
      </c>
      <c r="I31" s="29">
        <f>I$9*$A31</f>
        <v/>
      </c>
      <c r="J31" s="30">
        <f>I31*I$13</f>
        <v/>
      </c>
      <c r="K31" s="30">
        <f>L31*52</f>
        <v/>
      </c>
      <c r="L31" s="31">
        <f>L30+I$19</f>
        <v/>
      </c>
      <c r="M31" s="4">
        <f>J31/1000000*52</f>
        <v/>
      </c>
      <c r="N31" s="33">
        <f>M31/$P$4+($I$22/$P$4)</f>
        <v/>
      </c>
    </row>
    <row r="32" ht="15.75" customHeight="1" s="40">
      <c r="A32" s="39" t="n">
        <v>5</v>
      </c>
      <c r="B32" s="39" t="inlineStr">
        <is>
          <t>startup production</t>
        </is>
      </c>
      <c r="C32" s="29">
        <f>C$9*$A32</f>
        <v/>
      </c>
      <c r="D32" s="30">
        <f>D31+C$15*C$9</f>
        <v/>
      </c>
      <c r="E32" s="30">
        <f>F32*52</f>
        <v/>
      </c>
      <c r="F32" s="31">
        <f>C$17*$A32+C$21</f>
        <v/>
      </c>
      <c r="G32" s="4">
        <f>D32/1000000*52</f>
        <v/>
      </c>
      <c r="H32" s="33">
        <f>G32/$P$4+($C$22/$P$4)</f>
        <v/>
      </c>
      <c r="I32" s="29">
        <f>I$9*$A32</f>
        <v/>
      </c>
      <c r="J32" s="30">
        <f>J31+I$15*I$9</f>
        <v/>
      </c>
      <c r="K32" s="30">
        <f>L32*52</f>
        <v/>
      </c>
      <c r="L32" s="31">
        <f>I$17*$A32+I$21</f>
        <v/>
      </c>
      <c r="M32" s="4">
        <f>J32/1000000*52</f>
        <v/>
      </c>
      <c r="N32" s="33">
        <f>M32/$P$4+($I$22/$P$4)</f>
        <v/>
      </c>
    </row>
    <row r="33" ht="15.75" customHeight="1" s="40">
      <c r="A33" s="39" t="n">
        <v>5</v>
      </c>
      <c r="B33" s="39" t="inlineStr">
        <is>
          <t>full production</t>
        </is>
      </c>
      <c r="C33" s="29">
        <f>C$9*$A33</f>
        <v/>
      </c>
      <c r="D33" s="30">
        <f>C33*C$13</f>
        <v/>
      </c>
      <c r="E33" s="30">
        <f>F33*52</f>
        <v/>
      </c>
      <c r="F33" s="31">
        <f>F32+C$19</f>
        <v/>
      </c>
      <c r="G33" s="4">
        <f>D33/1000000*52</f>
        <v/>
      </c>
      <c r="H33" s="33">
        <f>G33/$P$4+($C$22/$P$4)</f>
        <v/>
      </c>
      <c r="I33" s="29">
        <f>I$9*$A33</f>
        <v/>
      </c>
      <c r="J33" s="30">
        <f>I33*I$13</f>
        <v/>
      </c>
      <c r="K33" s="30">
        <f>L33*52</f>
        <v/>
      </c>
      <c r="L33" s="31">
        <f>L32+I$19</f>
        <v/>
      </c>
      <c r="M33" s="4">
        <f>J33/1000000*52</f>
        <v/>
      </c>
      <c r="N33" s="33">
        <f>M33/$P$4+($I$22/$P$4)</f>
        <v/>
      </c>
    </row>
    <row r="34" ht="15.75" customHeight="1" s="40">
      <c r="A34" s="39" t="n">
        <v>6</v>
      </c>
      <c r="B34" s="39" t="inlineStr">
        <is>
          <t>startup production</t>
        </is>
      </c>
      <c r="C34" s="29">
        <f>C$9*$A34</f>
        <v/>
      </c>
      <c r="D34" s="30">
        <f>D33+C$15*C$9</f>
        <v/>
      </c>
      <c r="E34" s="30">
        <f>F34*52</f>
        <v/>
      </c>
      <c r="F34" s="31">
        <f>C$17*$A34+C$21</f>
        <v/>
      </c>
      <c r="G34" s="4">
        <f>D34/1000000*52</f>
        <v/>
      </c>
      <c r="H34" s="33">
        <f>G34/$P$4+($C$22/$P$4)</f>
        <v/>
      </c>
      <c r="I34" s="29">
        <f>I$9*$A34</f>
        <v/>
      </c>
      <c r="J34" s="30">
        <f>J33+I$15*I$9</f>
        <v/>
      </c>
      <c r="K34" s="30">
        <f>L34*52</f>
        <v/>
      </c>
      <c r="L34" s="31">
        <f>I$17*$A34+I$21</f>
        <v/>
      </c>
      <c r="M34" s="4">
        <f>J34/1000000*52</f>
        <v/>
      </c>
      <c r="N34" s="33">
        <f>M34/$P$4+($I$22/$P$4)</f>
        <v/>
      </c>
    </row>
    <row r="35" ht="15.75" customHeight="1" s="40">
      <c r="A35" s="39" t="n">
        <v>6</v>
      </c>
      <c r="B35" s="39" t="inlineStr">
        <is>
          <t>full production</t>
        </is>
      </c>
      <c r="C35" s="29">
        <f>C$9*$A35</f>
        <v/>
      </c>
      <c r="D35" s="30">
        <f>C35*C$13</f>
        <v/>
      </c>
      <c r="E35" s="30">
        <f>F35*52</f>
        <v/>
      </c>
      <c r="F35" s="31">
        <f>F34+C$19</f>
        <v/>
      </c>
      <c r="G35" s="4">
        <f>D35/1000000*52</f>
        <v/>
      </c>
      <c r="H35" s="33">
        <f>G35/$P$4+($C$22/$P$4)</f>
        <v/>
      </c>
      <c r="I35" s="29">
        <f>I$9*$A35</f>
        <v/>
      </c>
      <c r="J35" s="30">
        <f>I35*I$13</f>
        <v/>
      </c>
      <c r="K35" s="30">
        <f>L35*52</f>
        <v/>
      </c>
      <c r="L35" s="31">
        <f>L34+I$19</f>
        <v/>
      </c>
      <c r="M35" s="4">
        <f>J35/1000000*52</f>
        <v/>
      </c>
      <c r="N35" s="33">
        <f>M35/$P$4+($I$22/$P$4)</f>
        <v/>
      </c>
    </row>
    <row r="36" ht="15.75" customHeight="1" s="40">
      <c r="A36" s="39" t="n">
        <v>7</v>
      </c>
      <c r="B36" s="39" t="inlineStr">
        <is>
          <t>startup production</t>
        </is>
      </c>
      <c r="C36" s="29">
        <f>C$9*$A36</f>
        <v/>
      </c>
      <c r="D36" s="30">
        <f>D35+C$15*C$9</f>
        <v/>
      </c>
      <c r="E36" s="30">
        <f>F36*52</f>
        <v/>
      </c>
      <c r="F36" s="31">
        <f>C$17*$A36+C$21</f>
        <v/>
      </c>
      <c r="G36" s="4">
        <f>D36/1000000*52</f>
        <v/>
      </c>
      <c r="H36" s="33">
        <f>G36/$P$4+($C$22/$P$4)</f>
        <v/>
      </c>
      <c r="I36" s="29">
        <f>I$9*$A36</f>
        <v/>
      </c>
      <c r="J36" s="30">
        <f>J35+I$15*I$9</f>
        <v/>
      </c>
      <c r="K36" s="30">
        <f>L36*52</f>
        <v/>
      </c>
      <c r="L36" s="31">
        <f>I$17*$A36+I$21</f>
        <v/>
      </c>
      <c r="M36" s="4">
        <f>J36/1000000*52</f>
        <v/>
      </c>
      <c r="N36" s="33">
        <f>M36/$P$4+($I$22/$P$4)</f>
        <v/>
      </c>
    </row>
    <row r="37" ht="15.75" customHeight="1" s="40">
      <c r="A37" s="39" t="n">
        <v>7</v>
      </c>
      <c r="B37" s="39" t="inlineStr">
        <is>
          <t>full production</t>
        </is>
      </c>
      <c r="C37" s="29">
        <f>C$9*$A37</f>
        <v/>
      </c>
      <c r="D37" s="30">
        <f>C37*C$13</f>
        <v/>
      </c>
      <c r="E37" s="30">
        <f>F37*52</f>
        <v/>
      </c>
      <c r="F37" s="31">
        <f>F36+C$19</f>
        <v/>
      </c>
      <c r="G37" s="4">
        <f>D37/1000000*52</f>
        <v/>
      </c>
      <c r="H37" s="33">
        <f>G37/$P$4+($C$22/$P$4)</f>
        <v/>
      </c>
      <c r="I37" s="29">
        <f>I$9*$A37</f>
        <v/>
      </c>
      <c r="J37" s="30">
        <f>I37*I$13</f>
        <v/>
      </c>
      <c r="K37" s="30">
        <f>L37*52</f>
        <v/>
      </c>
      <c r="L37" s="31">
        <f>L36+I$19</f>
        <v/>
      </c>
      <c r="M37" s="4">
        <f>J37/1000000*52</f>
        <v/>
      </c>
      <c r="N37" s="33">
        <f>M37/$P$4+($I$22/$P$4)</f>
        <v/>
      </c>
    </row>
    <row r="38" ht="15.75" customHeight="1" s="40">
      <c r="A38" s="39" t="n">
        <v>8</v>
      </c>
      <c r="B38" s="39" t="inlineStr">
        <is>
          <t>startup production</t>
        </is>
      </c>
      <c r="C38" s="29">
        <f>C$9*$A38</f>
        <v/>
      </c>
      <c r="D38" s="30">
        <f>D37+C$15*C$9</f>
        <v/>
      </c>
      <c r="E38" s="30">
        <f>F38*52</f>
        <v/>
      </c>
      <c r="F38" s="31">
        <f>C$17*$A38+C$21</f>
        <v/>
      </c>
      <c r="G38" s="4">
        <f>D38/1000000*52</f>
        <v/>
      </c>
      <c r="H38" s="33">
        <f>G38/$P$4+($C$22/$P$4)</f>
        <v/>
      </c>
      <c r="I38" s="29">
        <f>I$9*$A38</f>
        <v/>
      </c>
      <c r="J38" s="30">
        <f>J37+I$15*I$9</f>
        <v/>
      </c>
      <c r="K38" s="30">
        <f>L38*52</f>
        <v/>
      </c>
      <c r="L38" s="31">
        <f>I$17*$A38+I$21</f>
        <v/>
      </c>
      <c r="M38" s="4">
        <f>J38/1000000*52</f>
        <v/>
      </c>
      <c r="N38" s="33">
        <f>M38/$P$4+($I$22/$P$4)</f>
        <v/>
      </c>
    </row>
    <row r="39" ht="15.75" customHeight="1" s="40">
      <c r="A39" s="39" t="n">
        <v>8</v>
      </c>
      <c r="B39" s="39" t="inlineStr">
        <is>
          <t>full production</t>
        </is>
      </c>
      <c r="C39" s="29">
        <f>C$9*$A39</f>
        <v/>
      </c>
      <c r="D39" s="30">
        <f>C39*C$13</f>
        <v/>
      </c>
      <c r="E39" s="30">
        <f>F39*52</f>
        <v/>
      </c>
      <c r="F39" s="31">
        <f>F38+C$19</f>
        <v/>
      </c>
      <c r="G39" s="4">
        <f>D39/1000000*52</f>
        <v/>
      </c>
      <c r="H39" s="33">
        <f>G39/$P$4+($C$22/$P$4)</f>
        <v/>
      </c>
      <c r="I39" s="29">
        <f>I$9*$A39</f>
        <v/>
      </c>
      <c r="J39" s="30">
        <f>I39*I$13</f>
        <v/>
      </c>
      <c r="K39" s="30">
        <f>L39*52</f>
        <v/>
      </c>
      <c r="L39" s="31">
        <f>L38+I$19</f>
        <v/>
      </c>
      <c r="M39" s="4">
        <f>J39/1000000*52</f>
        <v/>
      </c>
      <c r="N39" s="33">
        <f>M39/$P$4+($I$22/$P$4)</f>
        <v/>
      </c>
    </row>
    <row r="40" ht="15.75" customHeight="1" s="40">
      <c r="A40" s="39" t="n">
        <v>9</v>
      </c>
      <c r="B40" s="39" t="inlineStr">
        <is>
          <t>startup production</t>
        </is>
      </c>
      <c r="C40" s="29">
        <f>C$9*$A40</f>
        <v/>
      </c>
      <c r="D40" s="30">
        <f>D39+C$15*C$9</f>
        <v/>
      </c>
      <c r="E40" s="30">
        <f>F40*52</f>
        <v/>
      </c>
      <c r="F40" s="31">
        <f>C$17*$A40+C$21</f>
        <v/>
      </c>
      <c r="G40" s="4">
        <f>D40/1000000*52</f>
        <v/>
      </c>
      <c r="H40" s="33">
        <f>G40/$P$4+($C$22/$P$4)</f>
        <v/>
      </c>
      <c r="I40" s="29">
        <f>I$9*$A40</f>
        <v/>
      </c>
      <c r="J40" s="30">
        <f>J39+I$15*I$9</f>
        <v/>
      </c>
      <c r="K40" s="30">
        <f>L40*52</f>
        <v/>
      </c>
      <c r="L40" s="31">
        <f>I$17*$A40+I$21</f>
        <v/>
      </c>
      <c r="M40" s="4">
        <f>J40/1000000*52</f>
        <v/>
      </c>
      <c r="N40" s="33">
        <f>M40/$P$4+($I$22/$P$4)</f>
        <v/>
      </c>
    </row>
    <row r="41" ht="15.75" customHeight="1" s="40">
      <c r="A41" s="39" t="n">
        <v>9</v>
      </c>
      <c r="B41" s="39" t="inlineStr">
        <is>
          <t>full production</t>
        </is>
      </c>
      <c r="C41" s="29">
        <f>C$9*$A41</f>
        <v/>
      </c>
      <c r="D41" s="30">
        <f>C41*C$13</f>
        <v/>
      </c>
      <c r="E41" s="30">
        <f>F41*52</f>
        <v/>
      </c>
      <c r="F41" s="31">
        <f>F40+C$19</f>
        <v/>
      </c>
      <c r="G41" s="4">
        <f>D41/1000000*52</f>
        <v/>
      </c>
      <c r="H41" s="33">
        <f>G41/$P$4+($C$22/$P$4)</f>
        <v/>
      </c>
      <c r="I41" s="29">
        <f>I$9*$A41</f>
        <v/>
      </c>
      <c r="J41" s="30">
        <f>I41*I$13</f>
        <v/>
      </c>
      <c r="K41" s="30">
        <f>L41*52</f>
        <v/>
      </c>
      <c r="L41" s="31">
        <f>L40+I$19</f>
        <v/>
      </c>
      <c r="M41" s="4">
        <f>J41/1000000*52</f>
        <v/>
      </c>
      <c r="N41" s="33">
        <f>M41/$P$4+($I$22/$P$4)</f>
        <v/>
      </c>
    </row>
    <row r="42" ht="15.75" customHeight="1" s="40">
      <c r="A42" s="39" t="n">
        <v>10</v>
      </c>
      <c r="B42" s="39" t="inlineStr">
        <is>
          <t>startup production</t>
        </is>
      </c>
      <c r="C42" s="29">
        <f>C$9*$A42</f>
        <v/>
      </c>
      <c r="D42" s="30">
        <f>D41+C$15*C$9</f>
        <v/>
      </c>
      <c r="E42" s="30">
        <f>F42*52</f>
        <v/>
      </c>
      <c r="F42" s="31">
        <f>C$17*$A42+C$21</f>
        <v/>
      </c>
      <c r="G42" s="4">
        <f>D42/1000000*52</f>
        <v/>
      </c>
      <c r="H42" s="33">
        <f>G42/$P$4+($C$22/$P$4)</f>
        <v/>
      </c>
      <c r="I42" s="29">
        <f>I$9*$A42</f>
        <v/>
      </c>
      <c r="J42" s="30">
        <f>J41+I$15*I$9</f>
        <v/>
      </c>
      <c r="K42" s="30">
        <f>L42*52</f>
        <v/>
      </c>
      <c r="L42" s="31">
        <f>I$17*$A42+I$21</f>
        <v/>
      </c>
      <c r="M42" s="4">
        <f>J42/1000000*52</f>
        <v/>
      </c>
      <c r="N42" s="33">
        <f>M42/$P$4+($I$22/$P$4)</f>
        <v/>
      </c>
    </row>
    <row r="43" ht="15.75" customHeight="1" s="40">
      <c r="A43" s="39" t="n">
        <v>10</v>
      </c>
      <c r="B43" s="39" t="inlineStr">
        <is>
          <t>full production</t>
        </is>
      </c>
      <c r="C43" s="29">
        <f>C$9*$A43</f>
        <v/>
      </c>
      <c r="D43" s="30">
        <f>C43*C$13</f>
        <v/>
      </c>
      <c r="E43" s="30">
        <f>F43*52</f>
        <v/>
      </c>
      <c r="F43" s="31">
        <f>F42+C$19</f>
        <v/>
      </c>
      <c r="G43" s="4">
        <f>D43/1000000*52</f>
        <v/>
      </c>
      <c r="H43" s="33">
        <f>G43/$P$4+($C$22/$P$4)</f>
        <v/>
      </c>
      <c r="I43" s="29">
        <f>I$9*$A43</f>
        <v/>
      </c>
      <c r="J43" s="30">
        <f>I43*I$13</f>
        <v/>
      </c>
      <c r="K43" s="30">
        <f>L43*52</f>
        <v/>
      </c>
      <c r="L43" s="31">
        <f>L42+I$19</f>
        <v/>
      </c>
      <c r="M43" s="4">
        <f>J43/1000000*52</f>
        <v/>
      </c>
      <c r="N43" s="33">
        <f>M43/$P$4+($I$22/$P$4)</f>
        <v/>
      </c>
    </row>
    <row r="44" ht="15.75" customHeight="1" s="40">
      <c r="A44" s="39" t="n">
        <v>11</v>
      </c>
      <c r="B44" s="39" t="inlineStr">
        <is>
          <t>startup production</t>
        </is>
      </c>
      <c r="C44" s="29">
        <f>C$9*$A44</f>
        <v/>
      </c>
      <c r="D44" s="30">
        <f>D43+C$15*C$9</f>
        <v/>
      </c>
      <c r="E44" s="30">
        <f>F44*52</f>
        <v/>
      </c>
      <c r="F44" s="31">
        <f>C$17*$A44+C$21</f>
        <v/>
      </c>
      <c r="G44" s="4">
        <f>D44/1000000*52</f>
        <v/>
      </c>
      <c r="H44" s="33">
        <f>G44/$P$4+($C$22/$P$4)</f>
        <v/>
      </c>
      <c r="I44" s="29">
        <f>I$9*$A44</f>
        <v/>
      </c>
      <c r="J44" s="30">
        <f>J43+I$15*I$9</f>
        <v/>
      </c>
      <c r="K44" s="30">
        <f>L44*52</f>
        <v/>
      </c>
      <c r="L44" s="31">
        <f>I$17*$A44+I$21</f>
        <v/>
      </c>
      <c r="M44" s="4">
        <f>J44/1000000*52</f>
        <v/>
      </c>
      <c r="N44" s="33">
        <f>M44/$P$4+($I$22/$P$4)</f>
        <v/>
      </c>
    </row>
    <row r="45" ht="15.75" customHeight="1" s="40">
      <c r="A45" s="39" t="n">
        <v>11</v>
      </c>
      <c r="B45" s="39" t="inlineStr">
        <is>
          <t>full production</t>
        </is>
      </c>
      <c r="C45" s="29">
        <f>C$9*$A45</f>
        <v/>
      </c>
      <c r="D45" s="30">
        <f>C45*C$13</f>
        <v/>
      </c>
      <c r="E45" s="30">
        <f>F45*52</f>
        <v/>
      </c>
      <c r="F45" s="31">
        <f>F44+C$19</f>
        <v/>
      </c>
      <c r="G45" s="4">
        <f>D45/1000000*52</f>
        <v/>
      </c>
      <c r="H45" s="33">
        <f>G45/$P$4+($C$22/$P$4)</f>
        <v/>
      </c>
      <c r="I45" s="29">
        <f>I$9*$A45</f>
        <v/>
      </c>
      <c r="J45" s="30">
        <f>I45*I$13</f>
        <v/>
      </c>
      <c r="K45" s="30">
        <f>L45*52</f>
        <v/>
      </c>
      <c r="L45" s="31">
        <f>L44+I$19</f>
        <v/>
      </c>
      <c r="M45" s="4">
        <f>J45/1000000*52</f>
        <v/>
      </c>
      <c r="N45" s="33">
        <f>M45/$P$4+($I$22/$P$4)</f>
        <v/>
      </c>
    </row>
    <row r="46" ht="15.75" customHeight="1" s="40">
      <c r="A46" s="39" t="n">
        <v>12</v>
      </c>
      <c r="B46" s="39" t="inlineStr">
        <is>
          <t>startup production</t>
        </is>
      </c>
      <c r="C46" s="29">
        <f>C$9*$A46</f>
        <v/>
      </c>
      <c r="D46" s="30">
        <f>D45+C$15*C$9</f>
        <v/>
      </c>
      <c r="E46" s="30">
        <f>F46*52</f>
        <v/>
      </c>
      <c r="F46" s="31">
        <f>C$17*$A46+C$21</f>
        <v/>
      </c>
      <c r="G46" s="4">
        <f>D46/1000000*52</f>
        <v/>
      </c>
      <c r="H46" s="33">
        <f>G46/$P$4+($C$22/$P$4)</f>
        <v/>
      </c>
      <c r="I46" s="29">
        <f>I$9*$A46</f>
        <v/>
      </c>
      <c r="J46" s="30">
        <f>J45+I$15*I$9</f>
        <v/>
      </c>
      <c r="K46" s="30">
        <f>L46*52</f>
        <v/>
      </c>
      <c r="L46" s="31">
        <f>I$17*$A46+I$21</f>
        <v/>
      </c>
      <c r="M46" s="4">
        <f>J46/1000000*52</f>
        <v/>
      </c>
      <c r="N46" s="33">
        <f>M46/$P$4+($I$22/$P$4)</f>
        <v/>
      </c>
    </row>
    <row r="47" ht="15.75" customHeight="1" s="40">
      <c r="A47" s="39" t="n">
        <v>12</v>
      </c>
      <c r="B47" s="39" t="inlineStr">
        <is>
          <t>full production</t>
        </is>
      </c>
      <c r="C47" s="29">
        <f>C$9*$A47</f>
        <v/>
      </c>
      <c r="D47" s="30">
        <f>C47*C$13</f>
        <v/>
      </c>
      <c r="E47" s="30">
        <f>F47*52</f>
        <v/>
      </c>
      <c r="F47" s="31">
        <f>F46+C$19</f>
        <v/>
      </c>
      <c r="G47" s="4">
        <f>D47/1000000*52</f>
        <v/>
      </c>
      <c r="H47" s="33">
        <f>G47/$P$4+($C$22/$P$4)</f>
        <v/>
      </c>
      <c r="I47" s="29">
        <f>I$9*$A47</f>
        <v/>
      </c>
      <c r="J47" s="30">
        <f>I47*I$13</f>
        <v/>
      </c>
      <c r="K47" s="30">
        <f>L47*52</f>
        <v/>
      </c>
      <c r="L47" s="31">
        <f>L46+I$19</f>
        <v/>
      </c>
      <c r="M47" s="4">
        <f>J47/1000000*52</f>
        <v/>
      </c>
      <c r="N47" s="33">
        <f>M47/$P$4+($I$22/$P$4)</f>
        <v/>
      </c>
    </row>
    <row r="48" ht="15.75" customHeight="1" s="40">
      <c r="C48" s="45" t="n"/>
      <c r="D48" s="39" t="n"/>
      <c r="E48" s="39" t="n"/>
      <c r="F48" s="35" t="n"/>
      <c r="G48" s="39" t="n"/>
      <c r="H48" s="39" t="n"/>
      <c r="I48" s="45" t="n"/>
      <c r="J48" s="39" t="n"/>
      <c r="K48" s="39" t="n"/>
      <c r="L48" s="35" t="n"/>
      <c r="M48" s="39" t="n"/>
      <c r="N48" s="39" t="n"/>
      <c r="U48" t="inlineStr">
        <is>
          <t>MULTIPLE CHART DATA (includes pre-disruption = 1)</t>
        </is>
      </c>
    </row>
    <row r="49" ht="15.75" customHeight="1" s="40">
      <c r="C49" s="45" t="inlineStr">
        <is>
          <t>Plants</t>
        </is>
      </c>
      <c r="D49" s="39" t="inlineStr">
        <is>
          <t>tonnes/week</t>
        </is>
      </c>
      <c r="E49" s="39" t="inlineStr">
        <is>
          <t>Weeks</t>
        </is>
      </c>
      <c r="F49" s="35" t="inlineStr">
        <is>
          <t>Years</t>
        </is>
      </c>
      <c r="G49" s="39" t="inlineStr">
        <is>
          <t>Regular Construction</t>
        </is>
      </c>
      <c r="H49" s="39" t="inlineStr">
        <is>
          <t>Regular Construction</t>
        </is>
      </c>
      <c r="I49" s="45" t="inlineStr">
        <is>
          <t>Plants</t>
        </is>
      </c>
      <c r="J49" s="39" t="inlineStr">
        <is>
          <t>tonnes/week</t>
        </is>
      </c>
      <c r="K49" s="39" t="inlineStr">
        <is>
          <t>Weeks</t>
        </is>
      </c>
      <c r="L49" s="35" t="inlineStr">
        <is>
          <t>Years</t>
        </is>
      </c>
      <c r="M49" s="39" t="inlineStr">
        <is>
          <t>Fast Construction</t>
        </is>
      </c>
      <c r="N49" s="39" t="inlineStr">
        <is>
          <t>Fast Construction</t>
        </is>
      </c>
      <c r="U49" t="inlineStr">
        <is>
          <t>Years</t>
        </is>
      </c>
      <c r="V49" t="inlineStr">
        <is>
          <t>Regular Construction</t>
        </is>
      </c>
      <c r="W49" t="inlineStr">
        <is>
          <t>Fast Construction</t>
        </is>
      </c>
    </row>
    <row r="50" ht="15.75" customHeight="1" s="40">
      <c r="C50" s="24" t="n"/>
      <c r="D50" s="4" t="n"/>
      <c r="E50" s="39" t="n"/>
      <c r="F50" s="35" t="n"/>
      <c r="G50" s="39" t="inlineStr">
        <is>
          <t>new megatonnes/year</t>
        </is>
      </c>
      <c r="H50" s="13" t="inlineStr">
        <is>
          <t>Multiple of Current Insecticide Production</t>
        </is>
      </c>
      <c r="I50" s="24" t="n"/>
      <c r="J50" s="4" t="n"/>
      <c r="K50" s="39" t="n"/>
      <c r="L50" s="35" t="n"/>
      <c r="M50" s="39" t="inlineStr">
        <is>
          <t>new megatonnes/year</t>
        </is>
      </c>
      <c r="N50" s="13" t="inlineStr">
        <is>
          <t>Multiple of Current Insecticide Production</t>
        </is>
      </c>
      <c r="U50" t="n">
        <v>-0.25</v>
      </c>
      <c r="V50" t="n">
        <v>1</v>
      </c>
      <c r="W50" t="n">
        <v>1</v>
      </c>
    </row>
    <row r="51" ht="15.75" customHeight="1" s="40">
      <c r="C51" s="36">
        <f>_xlfn.IFS(E51&lt;E$24,0,E51&lt;E$26,C$24,E51&lt;E$28,C$26,E51&lt;E$30,C$28,E51&lt;E$32,C$30,E51&lt;E$34,C$32,E51&gt;=E$34,C$34)</f>
        <v/>
      </c>
      <c r="D51" s="37">
        <f>_xlfn.IFS(E51&lt;E$24,0,E51&lt;E$25,D$24,E51&lt;E$26,D$25,E51&lt;E$27,D$26,E51&lt;E$28,D$27,E51&lt;E$29,D$28,E51&lt;E$30,D$29,E51&lt;E$31,D$30,E51&lt;E$32,D$31,E51&lt;E$33,D$32,E51&lt;E$34,D$33,E51&lt;E$35,D$34,E51&gt;=E$35,D$35)</f>
        <v/>
      </c>
      <c r="E51" s="38" t="n">
        <v>1</v>
      </c>
      <c r="F51" s="31" t="n">
        <v>0</v>
      </c>
      <c r="G51" s="39">
        <f>D51/1000000*52</f>
        <v/>
      </c>
      <c r="H51" s="33">
        <f>G51/$P$4+($C$22/$P$4)</f>
        <v/>
      </c>
      <c r="I51" s="36">
        <f>_xlfn.IFS(K51&lt;K$24,0,K51&lt;K$26,I$24,K51&lt;K$28,I$26,K51&lt;K$30,I$28,K51&lt;K$32,I$30,K51&lt;K$34,I$32,K51&lt;K$36,I$34,K51&lt;K$38,I$36,K51&lt;K$40,I$38,K51&lt;K$42,I$40,K51&lt;K$44,I$42,K51&lt;K$46,I$44,K51&gt;=K$46,I$46)</f>
        <v/>
      </c>
      <c r="J51" s="37">
        <f>_xlfn.IFS(K51&lt;K$24,0,K51&lt;K$25,J$24,K51&lt;K$26,J$25,K51&lt;K$27,J$26,K51&lt;K$28,J$27,K51&lt;K$29,J$28,K51&lt;K$30,J$29,K51&lt;K$31,J$30,K51&lt;K$32,J$31,K51&lt;K$33,J$32,K51&lt;K$34,J$33,K51&lt;K$35,J$34,K51&lt;K$36,J$35,K51&lt;K$37,J$36,K51&lt;K$38,J$37,K51&lt;K$39,J$38,K51&lt;K$40,J$39,K51&lt;K$41,J$40,K51&lt;K$42,J$41,K51&lt;K$43,J$42,K51&lt;K$44,J$43,K51&lt;K$45,J$44,K51&lt;K$46,J$45,K51&lt;K$47,J$46,K51&gt;=K$47,J$47)</f>
        <v/>
      </c>
      <c r="K51" s="38" t="n">
        <v>1</v>
      </c>
      <c r="L51" s="31" t="n">
        <v>0</v>
      </c>
      <c r="M51" s="39">
        <f>J51/1000000*52</f>
        <v/>
      </c>
      <c r="N51" s="33">
        <f>M51/$P$4+($I$22/$P$4)</f>
        <v/>
      </c>
      <c r="U51" t="n">
        <v>0</v>
      </c>
      <c r="V51" t="n">
        <v>1</v>
      </c>
      <c r="W51" t="n">
        <v>1</v>
      </c>
    </row>
    <row r="52" ht="15.75" customHeight="1" s="40">
      <c r="C52" s="36">
        <f>_xlfn.IFS(E52&lt;E$24,0,E52&lt;E$26,C$24,E52&lt;E$28,C$26,E52&lt;E$30,C$28,E52&lt;E$32,C$30,E52&lt;E$34,C$32,E52&gt;=E$34,C$34)</f>
        <v/>
      </c>
      <c r="D52" s="37">
        <f>_xlfn.IFS(E52&lt;E$24,0,E52&lt;E$25,D$24,E52&lt;E$26,D$25,E52&lt;E$27,D$26,E52&lt;E$28,D$27,E52&lt;E$29,D$28,E52&lt;E$30,D$29,E52&lt;E$31,D$30,E52&lt;E$32,D$31,E52&lt;E$33,D$32,E52&lt;E$34,D$33,E52&lt;E$35,D$34,E52&gt;=E$35,D$35)</f>
        <v/>
      </c>
      <c r="E52" s="38" t="n">
        <v>2</v>
      </c>
      <c r="F52" s="31">
        <f>E52/52</f>
        <v/>
      </c>
      <c r="G52" s="39">
        <f>D52/1000000*52</f>
        <v/>
      </c>
      <c r="H52" s="33">
        <f>G52/$P$4+($C$22/$P$4)</f>
        <v/>
      </c>
      <c r="I52" s="36">
        <f>_xlfn.IFS(K52&lt;K$24,0,K52&lt;K$26,I$24,K52&lt;K$28,I$26,K52&lt;K$30,I$28,K52&lt;K$32,I$30,K52&lt;K$34,I$32,K52&lt;K$36,I$34,K52&lt;K$38,I$36,K52&lt;K$40,I$38,K52&lt;K$42,I$40,K52&lt;K$44,I$42,K52&lt;K$46,I$44,K52&gt;=K$46,I$46)</f>
        <v/>
      </c>
      <c r="J52" s="37">
        <f>_xlfn.IFS(K52&lt;K$24,0,K52&lt;K$25,J$24,K52&lt;K$26,J$25,K52&lt;K$27,J$26,K52&lt;K$28,J$27,K52&lt;K$29,J$28,K52&lt;K$30,J$29,K52&lt;K$31,J$30,K52&lt;K$32,J$31,K52&lt;K$33,J$32,K52&lt;K$34,J$33,K52&lt;K$35,J$34,K52&lt;K$36,J$35,K52&lt;K$37,J$36,K52&lt;K$38,J$37,K52&lt;K$39,J$38,K52&lt;K$40,J$39,K52&lt;K$41,J$40,K52&lt;K$42,J$41,K52&lt;K$43,J$42,K52&lt;K$44,J$43,K52&lt;K$45,J$44,K52&lt;K$46,J$45,K52&lt;K$47,J$46,K52&gt;=K$47,J$47)</f>
        <v/>
      </c>
      <c r="K52" s="38" t="n">
        <v>2</v>
      </c>
      <c r="L52" s="31">
        <f>K52/52</f>
        <v/>
      </c>
      <c r="M52" s="39">
        <f>J52/1000000*52</f>
        <v/>
      </c>
      <c r="N52" s="33">
        <f>M52/$P$4+($I$22/$P$4)</f>
        <v/>
      </c>
      <c r="U52">
        <f>F51</f>
        <v/>
      </c>
      <c r="V52">
        <f>H51</f>
        <v/>
      </c>
      <c r="W52">
        <f>N51</f>
        <v/>
      </c>
    </row>
    <row r="53" ht="15.75" customHeight="1" s="40">
      <c r="C53" s="36">
        <f>_xlfn.IFS(E53&lt;E$24,0,E53&lt;E$26,C$24,E53&lt;E$28,C$26,E53&lt;E$30,C$28,E53&lt;E$32,C$30,E53&lt;E$34,C$32,E53&gt;=E$34,C$34)</f>
        <v/>
      </c>
      <c r="D53" s="37">
        <f>_xlfn.IFS(E53&lt;E$24,0,E53&lt;E$25,D$24,E53&lt;E$26,D$25,E53&lt;E$27,D$26,E53&lt;E$28,D$27,E53&lt;E$29,D$28,E53&lt;E$30,D$29,E53&lt;E$31,D$30,E53&lt;E$32,D$31,E53&lt;E$33,D$32,E53&lt;E$34,D$33,E53&lt;E$35,D$34,E53&gt;=E$35,D$35)</f>
        <v/>
      </c>
      <c r="E53" s="38" t="n">
        <v>3</v>
      </c>
      <c r="F53" s="31">
        <f>E53/52</f>
        <v/>
      </c>
      <c r="G53" s="39">
        <f>D53/1000000*52</f>
        <v/>
      </c>
      <c r="H53" s="33">
        <f>G53/$P$4+($C$22/$P$4)</f>
        <v/>
      </c>
      <c r="I53" s="36">
        <f>_xlfn.IFS(K53&lt;K$24,0,K53&lt;K$26,I$24,K53&lt;K$28,I$26,K53&lt;K$30,I$28,K53&lt;K$32,I$30,K53&lt;K$34,I$32,K53&lt;K$36,I$34,K53&lt;K$38,I$36,K53&lt;K$40,I$38,K53&lt;K$42,I$40,K53&lt;K$44,I$42,K53&lt;K$46,I$44,K53&gt;=K$46,I$46)</f>
        <v/>
      </c>
      <c r="J53" s="37">
        <f>_xlfn.IFS(K53&lt;K$24,0,K53&lt;K$25,J$24,K53&lt;K$26,J$25,K53&lt;K$27,J$26,K53&lt;K$28,J$27,K53&lt;K$29,J$28,K53&lt;K$30,J$29,K53&lt;K$31,J$30,K53&lt;K$32,J$31,K53&lt;K$33,J$32,K53&lt;K$34,J$33,K53&lt;K$35,J$34,K53&lt;K$36,J$35,K53&lt;K$37,J$36,K53&lt;K$38,J$37,K53&lt;K$39,J$38,K53&lt;K$40,J$39,K53&lt;K$41,J$40,K53&lt;K$42,J$41,K53&lt;K$43,J$42,K53&lt;K$44,J$43,K53&lt;K$45,J$44,K53&lt;K$46,J$45,K53&lt;K$47,J$46,K53&gt;=K$47,J$47)</f>
        <v/>
      </c>
      <c r="K53" s="38" t="n">
        <v>3</v>
      </c>
      <c r="L53" s="31">
        <f>K53/52</f>
        <v/>
      </c>
      <c r="M53" s="39">
        <f>J53/1000000*52</f>
        <v/>
      </c>
      <c r="N53" s="33">
        <f>M53/$P$4+($I$22/$P$4)</f>
        <v/>
      </c>
      <c r="U53">
        <f>F52</f>
        <v/>
      </c>
      <c r="V53">
        <f>H52</f>
        <v/>
      </c>
      <c r="W53">
        <f>N52</f>
        <v/>
      </c>
    </row>
    <row r="54" ht="15.75" customHeight="1" s="40">
      <c r="C54" s="36">
        <f>_xlfn.IFS(E54&lt;E$24,0,E54&lt;E$26,C$24,E54&lt;E$28,C$26,E54&lt;E$30,C$28,E54&lt;E$32,C$30,E54&lt;E$34,C$32,E54&gt;=E$34,C$34)</f>
        <v/>
      </c>
      <c r="D54" s="37">
        <f>_xlfn.IFS(E54&lt;E$24,0,E54&lt;E$25,D$24,E54&lt;E$26,D$25,E54&lt;E$27,D$26,E54&lt;E$28,D$27,E54&lt;E$29,D$28,E54&lt;E$30,D$29,E54&lt;E$31,D$30,E54&lt;E$32,D$31,E54&lt;E$33,D$32,E54&lt;E$34,D$33,E54&lt;E$35,D$34,E54&gt;=E$35,D$35)</f>
        <v/>
      </c>
      <c r="E54" s="38" t="n">
        <v>4</v>
      </c>
      <c r="F54" s="31">
        <f>E54/52</f>
        <v/>
      </c>
      <c r="G54" s="39">
        <f>D54/1000000*52</f>
        <v/>
      </c>
      <c r="H54" s="33">
        <f>G54/$P$4+($C$22/$P$4)</f>
        <v/>
      </c>
      <c r="I54" s="36">
        <f>_xlfn.IFS(K54&lt;K$24,0,K54&lt;K$26,I$24,K54&lt;K$28,I$26,K54&lt;K$30,I$28,K54&lt;K$32,I$30,K54&lt;K$34,I$32,K54&lt;K$36,I$34,K54&lt;K$38,I$36,K54&lt;K$40,I$38,K54&lt;K$42,I$40,K54&lt;K$44,I$42,K54&lt;K$46,I$44,K54&gt;=K$46,I$46)</f>
        <v/>
      </c>
      <c r="J54" s="37">
        <f>_xlfn.IFS(K54&lt;K$24,0,K54&lt;K$25,J$24,K54&lt;K$26,J$25,K54&lt;K$27,J$26,K54&lt;K$28,J$27,K54&lt;K$29,J$28,K54&lt;K$30,J$29,K54&lt;K$31,J$30,K54&lt;K$32,J$31,K54&lt;K$33,J$32,K54&lt;K$34,J$33,K54&lt;K$35,J$34,K54&lt;K$36,J$35,K54&lt;K$37,J$36,K54&lt;K$38,J$37,K54&lt;K$39,J$38,K54&lt;K$40,J$39,K54&lt;K$41,J$40,K54&lt;K$42,J$41,K54&lt;K$43,J$42,K54&lt;K$44,J$43,K54&lt;K$45,J$44,K54&lt;K$46,J$45,K54&lt;K$47,J$46,K54&gt;=K$47,J$47)</f>
        <v/>
      </c>
      <c r="K54" s="38" t="n">
        <v>4</v>
      </c>
      <c r="L54" s="31">
        <f>K54/52</f>
        <v/>
      </c>
      <c r="M54" s="39">
        <f>J54/1000000*52</f>
        <v/>
      </c>
      <c r="N54" s="33">
        <f>M54/$P$4+($I$22/$P$4)</f>
        <v/>
      </c>
      <c r="U54">
        <f>F53</f>
        <v/>
      </c>
      <c r="V54">
        <f>H53</f>
        <v/>
      </c>
      <c r="W54">
        <f>N53</f>
        <v/>
      </c>
    </row>
    <row r="55" ht="15.75" customHeight="1" s="40">
      <c r="C55" s="36">
        <f>_xlfn.IFS(E55&lt;E$24,0,E55&lt;E$26,C$24,E55&lt;E$28,C$26,E55&lt;E$30,C$28,E55&lt;E$32,C$30,E55&lt;E$34,C$32,E55&gt;=E$34,C$34)</f>
        <v/>
      </c>
      <c r="D55" s="37">
        <f>_xlfn.IFS(E55&lt;E$24,0,E55&lt;E$25,D$24,E55&lt;E$26,D$25,E55&lt;E$27,D$26,E55&lt;E$28,D$27,E55&lt;E$29,D$28,E55&lt;E$30,D$29,E55&lt;E$31,D$30,E55&lt;E$32,D$31,E55&lt;E$33,D$32,E55&lt;E$34,D$33,E55&lt;E$35,D$34,E55&gt;=E$35,D$35)</f>
        <v/>
      </c>
      <c r="E55" s="38" t="n">
        <v>5</v>
      </c>
      <c r="F55" s="31">
        <f>E55/52</f>
        <v/>
      </c>
      <c r="G55" s="39">
        <f>D55/1000000*52</f>
        <v/>
      </c>
      <c r="H55" s="33">
        <f>G55/$P$4+($C$22/$P$4)</f>
        <v/>
      </c>
      <c r="I55" s="36">
        <f>_xlfn.IFS(K55&lt;K$24,0,K55&lt;K$26,I$24,K55&lt;K$28,I$26,K55&lt;K$30,I$28,K55&lt;K$32,I$30,K55&lt;K$34,I$32,K55&lt;K$36,I$34,K55&lt;K$38,I$36,K55&lt;K$40,I$38,K55&lt;K$42,I$40,K55&lt;K$44,I$42,K55&lt;K$46,I$44,K55&gt;=K$46,I$46)</f>
        <v/>
      </c>
      <c r="J55" s="37">
        <f>_xlfn.IFS(K55&lt;K$24,0,K55&lt;K$25,J$24,K55&lt;K$26,J$25,K55&lt;K$27,J$26,K55&lt;K$28,J$27,K55&lt;K$29,J$28,K55&lt;K$30,J$29,K55&lt;K$31,J$30,K55&lt;K$32,J$31,K55&lt;K$33,J$32,K55&lt;K$34,J$33,K55&lt;K$35,J$34,K55&lt;K$36,J$35,K55&lt;K$37,J$36,K55&lt;K$38,J$37,K55&lt;K$39,J$38,K55&lt;K$40,J$39,K55&lt;K$41,J$40,K55&lt;K$42,J$41,K55&lt;K$43,J$42,K55&lt;K$44,J$43,K55&lt;K$45,J$44,K55&lt;K$46,J$45,K55&lt;K$47,J$46,K55&gt;=K$47,J$47)</f>
        <v/>
      </c>
      <c r="K55" s="38" t="n">
        <v>5</v>
      </c>
      <c r="L55" s="31">
        <f>K55/52</f>
        <v/>
      </c>
      <c r="M55" s="39">
        <f>J55/1000000*52</f>
        <v/>
      </c>
      <c r="N55" s="33">
        <f>M55/$P$4+($I$22/$P$4)</f>
        <v/>
      </c>
      <c r="U55">
        <f>F54</f>
        <v/>
      </c>
      <c r="V55">
        <f>H54</f>
        <v/>
      </c>
      <c r="W55">
        <f>N54</f>
        <v/>
      </c>
    </row>
    <row r="56" ht="15.75" customHeight="1" s="40">
      <c r="C56" s="36">
        <f>_xlfn.IFS(E56&lt;E$24,0,E56&lt;E$26,C$24,E56&lt;E$28,C$26,E56&lt;E$30,C$28,E56&lt;E$32,C$30,E56&lt;E$34,C$32,E56&gt;=E$34,C$34)</f>
        <v/>
      </c>
      <c r="D56" s="37">
        <f>_xlfn.IFS(E56&lt;E$24,0,E56&lt;E$25,D$24,E56&lt;E$26,D$25,E56&lt;E$27,D$26,E56&lt;E$28,D$27,E56&lt;E$29,D$28,E56&lt;E$30,D$29,E56&lt;E$31,D$30,E56&lt;E$32,D$31,E56&lt;E$33,D$32,E56&lt;E$34,D$33,E56&lt;E$35,D$34,E56&gt;=E$35,D$35)</f>
        <v/>
      </c>
      <c r="E56" s="38" t="n">
        <v>6</v>
      </c>
      <c r="F56" s="31">
        <f>E56/52</f>
        <v/>
      </c>
      <c r="G56" s="39">
        <f>D56/1000000*52</f>
        <v/>
      </c>
      <c r="H56" s="33">
        <f>G56/$P$4+($C$22/$P$4)</f>
        <v/>
      </c>
      <c r="I56" s="36">
        <f>_xlfn.IFS(K56&lt;K$24,0,K56&lt;K$26,I$24,K56&lt;K$28,I$26,K56&lt;K$30,I$28,K56&lt;K$32,I$30,K56&lt;K$34,I$32,K56&lt;K$36,I$34,K56&lt;K$38,I$36,K56&lt;K$40,I$38,K56&lt;K$42,I$40,K56&lt;K$44,I$42,K56&lt;K$46,I$44,K56&gt;=K$46,I$46)</f>
        <v/>
      </c>
      <c r="J56" s="37">
        <f>_xlfn.IFS(K56&lt;K$24,0,K56&lt;K$25,J$24,K56&lt;K$26,J$25,K56&lt;K$27,J$26,K56&lt;K$28,J$27,K56&lt;K$29,J$28,K56&lt;K$30,J$29,K56&lt;K$31,J$30,K56&lt;K$32,J$31,K56&lt;K$33,J$32,K56&lt;K$34,J$33,K56&lt;K$35,J$34,K56&lt;K$36,J$35,K56&lt;K$37,J$36,K56&lt;K$38,J$37,K56&lt;K$39,J$38,K56&lt;K$40,J$39,K56&lt;K$41,J$40,K56&lt;K$42,J$41,K56&lt;K$43,J$42,K56&lt;K$44,J$43,K56&lt;K$45,J$44,K56&lt;K$46,J$45,K56&lt;K$47,J$46,K56&gt;=K$47,J$47)</f>
        <v/>
      </c>
      <c r="K56" s="38" t="n">
        <v>6</v>
      </c>
      <c r="L56" s="31">
        <f>K56/52</f>
        <v/>
      </c>
      <c r="M56" s="39">
        <f>J56/1000000*52</f>
        <v/>
      </c>
      <c r="N56" s="33">
        <f>M56/$P$4+($I$22/$P$4)</f>
        <v/>
      </c>
      <c r="U56">
        <f>F55</f>
        <v/>
      </c>
      <c r="V56">
        <f>H55</f>
        <v/>
      </c>
      <c r="W56">
        <f>N55</f>
        <v/>
      </c>
    </row>
    <row r="57" ht="15.75" customHeight="1" s="40">
      <c r="C57" s="36">
        <f>_xlfn.IFS(E57&lt;E$24,0,E57&lt;E$26,C$24,E57&lt;E$28,C$26,E57&lt;E$30,C$28,E57&lt;E$32,C$30,E57&lt;E$34,C$32,E57&gt;=E$34,C$34)</f>
        <v/>
      </c>
      <c r="D57" s="37">
        <f>_xlfn.IFS(E57&lt;E$24,0,E57&lt;E$25,D$24,E57&lt;E$26,D$25,E57&lt;E$27,D$26,E57&lt;E$28,D$27,E57&lt;E$29,D$28,E57&lt;E$30,D$29,E57&lt;E$31,D$30,E57&lt;E$32,D$31,E57&lt;E$33,D$32,E57&lt;E$34,D$33,E57&lt;E$35,D$34,E57&gt;=E$35,D$35)</f>
        <v/>
      </c>
      <c r="E57" s="38" t="n">
        <v>7</v>
      </c>
      <c r="F57" s="31">
        <f>E57/52</f>
        <v/>
      </c>
      <c r="G57" s="39">
        <f>D57/1000000*52</f>
        <v/>
      </c>
      <c r="H57" s="33">
        <f>G57/$P$4+($C$22/$P$4)</f>
        <v/>
      </c>
      <c r="I57" s="36">
        <f>_xlfn.IFS(K57&lt;K$24,0,K57&lt;K$26,I$24,K57&lt;K$28,I$26,K57&lt;K$30,I$28,K57&lt;K$32,I$30,K57&lt;K$34,I$32,K57&lt;K$36,I$34,K57&lt;K$38,I$36,K57&lt;K$40,I$38,K57&lt;K$42,I$40,K57&lt;K$44,I$42,K57&lt;K$46,I$44,K57&gt;=K$46,I$46)</f>
        <v/>
      </c>
      <c r="J57" s="37">
        <f>_xlfn.IFS(K57&lt;K$24,0,K57&lt;K$25,J$24,K57&lt;K$26,J$25,K57&lt;K$27,J$26,K57&lt;K$28,J$27,K57&lt;K$29,J$28,K57&lt;K$30,J$29,K57&lt;K$31,J$30,K57&lt;K$32,J$31,K57&lt;K$33,J$32,K57&lt;K$34,J$33,K57&lt;K$35,J$34,K57&lt;K$36,J$35,K57&lt;K$37,J$36,K57&lt;K$38,J$37,K57&lt;K$39,J$38,K57&lt;K$40,J$39,K57&lt;K$41,J$40,K57&lt;K$42,J$41,K57&lt;K$43,J$42,K57&lt;K$44,J$43,K57&lt;K$45,J$44,K57&lt;K$46,J$45,K57&lt;K$47,J$46,K57&gt;=K$47,J$47)</f>
        <v/>
      </c>
      <c r="K57" s="38" t="n">
        <v>7</v>
      </c>
      <c r="L57" s="31">
        <f>K57/52</f>
        <v/>
      </c>
      <c r="M57" s="39">
        <f>J57/1000000*52</f>
        <v/>
      </c>
      <c r="N57" s="33">
        <f>M57/$P$4+($I$22/$P$4)</f>
        <v/>
      </c>
      <c r="U57">
        <f>F56</f>
        <v/>
      </c>
      <c r="V57">
        <f>H56</f>
        <v/>
      </c>
      <c r="W57">
        <f>N56</f>
        <v/>
      </c>
    </row>
    <row r="58" ht="15.75" customHeight="1" s="40">
      <c r="C58" s="36">
        <f>_xlfn.IFS(E58&lt;E$24,0,E58&lt;E$26,C$24,E58&lt;E$28,C$26,E58&lt;E$30,C$28,E58&lt;E$32,C$30,E58&lt;E$34,C$32,E58&gt;=E$34,C$34)</f>
        <v/>
      </c>
      <c r="D58" s="37">
        <f>_xlfn.IFS(E58&lt;E$24,0,E58&lt;E$25,D$24,E58&lt;E$26,D$25,E58&lt;E$27,D$26,E58&lt;E$28,D$27,E58&lt;E$29,D$28,E58&lt;E$30,D$29,E58&lt;E$31,D$30,E58&lt;E$32,D$31,E58&lt;E$33,D$32,E58&lt;E$34,D$33,E58&lt;E$35,D$34,E58&gt;=E$35,D$35)</f>
        <v/>
      </c>
      <c r="E58" s="38" t="n">
        <v>8</v>
      </c>
      <c r="F58" s="31">
        <f>E58/52</f>
        <v/>
      </c>
      <c r="G58" s="39">
        <f>D58/1000000*52</f>
        <v/>
      </c>
      <c r="H58" s="33">
        <f>G58/$P$4+($C$22/$P$4)</f>
        <v/>
      </c>
      <c r="I58" s="36">
        <f>_xlfn.IFS(K58&lt;K$24,0,K58&lt;K$26,I$24,K58&lt;K$28,I$26,K58&lt;K$30,I$28,K58&lt;K$32,I$30,K58&lt;K$34,I$32,K58&lt;K$36,I$34,K58&lt;K$38,I$36,K58&lt;K$40,I$38,K58&lt;K$42,I$40,K58&lt;K$44,I$42,K58&lt;K$46,I$44,K58&gt;=K$46,I$46)</f>
        <v/>
      </c>
      <c r="J58" s="37">
        <f>_xlfn.IFS(K58&lt;K$24,0,K58&lt;K$25,J$24,K58&lt;K$26,J$25,K58&lt;K$27,J$26,K58&lt;K$28,J$27,K58&lt;K$29,J$28,K58&lt;K$30,J$29,K58&lt;K$31,J$30,K58&lt;K$32,J$31,K58&lt;K$33,J$32,K58&lt;K$34,J$33,K58&lt;K$35,J$34,K58&lt;K$36,J$35,K58&lt;K$37,J$36,K58&lt;K$38,J$37,K58&lt;K$39,J$38,K58&lt;K$40,J$39,K58&lt;K$41,J$40,K58&lt;K$42,J$41,K58&lt;K$43,J$42,K58&lt;K$44,J$43,K58&lt;K$45,J$44,K58&lt;K$46,J$45,K58&lt;K$47,J$46,K58&gt;=K$47,J$47)</f>
        <v/>
      </c>
      <c r="K58" s="38" t="n">
        <v>8</v>
      </c>
      <c r="L58" s="31">
        <f>K58/52</f>
        <v/>
      </c>
      <c r="M58" s="39">
        <f>J58/1000000*52</f>
        <v/>
      </c>
      <c r="N58" s="33">
        <f>M58/$P$4+($I$22/$P$4)</f>
        <v/>
      </c>
      <c r="U58">
        <f>F57</f>
        <v/>
      </c>
      <c r="V58">
        <f>H57</f>
        <v/>
      </c>
      <c r="W58">
        <f>N57</f>
        <v/>
      </c>
    </row>
    <row r="59" ht="15.75" customHeight="1" s="40">
      <c r="C59" s="36">
        <f>_xlfn.IFS(E59&lt;E$24,0,E59&lt;E$26,C$24,E59&lt;E$28,C$26,E59&lt;E$30,C$28,E59&lt;E$32,C$30,E59&lt;E$34,C$32,E59&gt;=E$34,C$34)</f>
        <v/>
      </c>
      <c r="D59" s="37">
        <f>_xlfn.IFS(E59&lt;E$24,0,E59&lt;E$25,D$24,E59&lt;E$26,D$25,E59&lt;E$27,D$26,E59&lt;E$28,D$27,E59&lt;E$29,D$28,E59&lt;E$30,D$29,E59&lt;E$31,D$30,E59&lt;E$32,D$31,E59&lt;E$33,D$32,E59&lt;E$34,D$33,E59&lt;E$35,D$34,E59&gt;=E$35,D$35)</f>
        <v/>
      </c>
      <c r="E59" s="38" t="n">
        <v>9</v>
      </c>
      <c r="F59" s="31">
        <f>E59/52</f>
        <v/>
      </c>
      <c r="G59" s="39">
        <f>D59/1000000*52</f>
        <v/>
      </c>
      <c r="H59" s="33">
        <f>G59/$P$4+($C$22/$P$4)</f>
        <v/>
      </c>
      <c r="I59" s="36">
        <f>_xlfn.IFS(K59&lt;K$24,0,K59&lt;K$26,I$24,K59&lt;K$28,I$26,K59&lt;K$30,I$28,K59&lt;K$32,I$30,K59&lt;K$34,I$32,K59&lt;K$36,I$34,K59&lt;K$38,I$36,K59&lt;K$40,I$38,K59&lt;K$42,I$40,K59&lt;K$44,I$42,K59&lt;K$46,I$44,K59&gt;=K$46,I$46)</f>
        <v/>
      </c>
      <c r="J59" s="37">
        <f>_xlfn.IFS(K59&lt;K$24,0,K59&lt;K$25,J$24,K59&lt;K$26,J$25,K59&lt;K$27,J$26,K59&lt;K$28,J$27,K59&lt;K$29,J$28,K59&lt;K$30,J$29,K59&lt;K$31,J$30,K59&lt;K$32,J$31,K59&lt;K$33,J$32,K59&lt;K$34,J$33,K59&lt;K$35,J$34,K59&lt;K$36,J$35,K59&lt;K$37,J$36,K59&lt;K$38,J$37,K59&lt;K$39,J$38,K59&lt;K$40,J$39,K59&lt;K$41,J$40,K59&lt;K$42,J$41,K59&lt;K$43,J$42,K59&lt;K$44,J$43,K59&lt;K$45,J$44,K59&lt;K$46,J$45,K59&lt;K$47,J$46,K59&gt;=K$47,J$47)</f>
        <v/>
      </c>
      <c r="K59" s="38" t="n">
        <v>9</v>
      </c>
      <c r="L59" s="31">
        <f>K59/52</f>
        <v/>
      </c>
      <c r="M59" s="39">
        <f>J59/1000000*52</f>
        <v/>
      </c>
      <c r="N59" s="33">
        <f>M59/$P$4+($I$22/$P$4)</f>
        <v/>
      </c>
      <c r="U59">
        <f>F58</f>
        <v/>
      </c>
      <c r="V59">
        <f>H58</f>
        <v/>
      </c>
      <c r="W59">
        <f>N58</f>
        <v/>
      </c>
    </row>
    <row r="60" ht="15.75" customHeight="1" s="40">
      <c r="C60" s="36">
        <f>_xlfn.IFS(E60&lt;E$24,0,E60&lt;E$26,C$24,E60&lt;E$28,C$26,E60&lt;E$30,C$28,E60&lt;E$32,C$30,E60&lt;E$34,C$32,E60&gt;=E$34,C$34)</f>
        <v/>
      </c>
      <c r="D60" s="37">
        <f>_xlfn.IFS(E60&lt;E$24,0,E60&lt;E$25,D$24,E60&lt;E$26,D$25,E60&lt;E$27,D$26,E60&lt;E$28,D$27,E60&lt;E$29,D$28,E60&lt;E$30,D$29,E60&lt;E$31,D$30,E60&lt;E$32,D$31,E60&lt;E$33,D$32,E60&lt;E$34,D$33,E60&lt;E$35,D$34,E60&gt;=E$35,D$35)</f>
        <v/>
      </c>
      <c r="E60" s="38" t="n">
        <v>10</v>
      </c>
      <c r="F60" s="31">
        <f>E60/52</f>
        <v/>
      </c>
      <c r="G60" s="39">
        <f>D60/1000000*52</f>
        <v/>
      </c>
      <c r="H60" s="33">
        <f>G60/$P$4+($C$22/$P$4)</f>
        <v/>
      </c>
      <c r="I60" s="36">
        <f>_xlfn.IFS(K60&lt;K$24,0,K60&lt;K$26,I$24,K60&lt;K$28,I$26,K60&lt;K$30,I$28,K60&lt;K$32,I$30,K60&lt;K$34,I$32,K60&lt;K$36,I$34,K60&lt;K$38,I$36,K60&lt;K$40,I$38,K60&lt;K$42,I$40,K60&lt;K$44,I$42,K60&lt;K$46,I$44,K60&gt;=K$46,I$46)</f>
        <v/>
      </c>
      <c r="J60" s="37">
        <f>_xlfn.IFS(K60&lt;K$24,0,K60&lt;K$25,J$24,K60&lt;K$26,J$25,K60&lt;K$27,J$26,K60&lt;K$28,J$27,K60&lt;K$29,J$28,K60&lt;K$30,J$29,K60&lt;K$31,J$30,K60&lt;K$32,J$31,K60&lt;K$33,J$32,K60&lt;K$34,J$33,K60&lt;K$35,J$34,K60&lt;K$36,J$35,K60&lt;K$37,J$36,K60&lt;K$38,J$37,K60&lt;K$39,J$38,K60&lt;K$40,J$39,K60&lt;K$41,J$40,K60&lt;K$42,J$41,K60&lt;K$43,J$42,K60&lt;K$44,J$43,K60&lt;K$45,J$44,K60&lt;K$46,J$45,K60&lt;K$47,J$46,K60&gt;=K$47,J$47)</f>
        <v/>
      </c>
      <c r="K60" s="38" t="n">
        <v>10</v>
      </c>
      <c r="L60" s="31">
        <f>K60/52</f>
        <v/>
      </c>
      <c r="M60" s="39">
        <f>J60/1000000*52</f>
        <v/>
      </c>
      <c r="N60" s="33">
        <f>M60/$P$4+($I$22/$P$4)</f>
        <v/>
      </c>
      <c r="U60">
        <f>F59</f>
        <v/>
      </c>
      <c r="V60">
        <f>H59</f>
        <v/>
      </c>
      <c r="W60">
        <f>N59</f>
        <v/>
      </c>
    </row>
    <row r="61" ht="15.75" customHeight="1" s="40">
      <c r="C61" s="36">
        <f>_xlfn.IFS(E61&lt;E$24,0,E61&lt;E$26,C$24,E61&lt;E$28,C$26,E61&lt;E$30,C$28,E61&lt;E$32,C$30,E61&lt;E$34,C$32,E61&gt;=E$34,C$34)</f>
        <v/>
      </c>
      <c r="D61" s="37">
        <f>_xlfn.IFS(E61&lt;E$24,0,E61&lt;E$25,D$24,E61&lt;E$26,D$25,E61&lt;E$27,D$26,E61&lt;E$28,D$27,E61&lt;E$29,D$28,E61&lt;E$30,D$29,E61&lt;E$31,D$30,E61&lt;E$32,D$31,E61&lt;E$33,D$32,E61&lt;E$34,D$33,E61&lt;E$35,D$34,E61&gt;=E$35,D$35)</f>
        <v/>
      </c>
      <c r="E61" s="38" t="n">
        <v>11</v>
      </c>
      <c r="F61" s="31">
        <f>E61/52</f>
        <v/>
      </c>
      <c r="G61" s="39">
        <f>D61/1000000*52</f>
        <v/>
      </c>
      <c r="H61" s="33">
        <f>G61/$P$4+($C$22/$P$4)</f>
        <v/>
      </c>
      <c r="I61" s="36">
        <f>_xlfn.IFS(K61&lt;K$24,0,K61&lt;K$26,I$24,K61&lt;K$28,I$26,K61&lt;K$30,I$28,K61&lt;K$32,I$30,K61&lt;K$34,I$32,K61&lt;K$36,I$34,K61&lt;K$38,I$36,K61&lt;K$40,I$38,K61&lt;K$42,I$40,K61&lt;K$44,I$42,K61&lt;K$46,I$44,K61&gt;=K$46,I$46)</f>
        <v/>
      </c>
      <c r="J61" s="37">
        <f>_xlfn.IFS(K61&lt;K$24,0,K61&lt;K$25,J$24,K61&lt;K$26,J$25,K61&lt;K$27,J$26,K61&lt;K$28,J$27,K61&lt;K$29,J$28,K61&lt;K$30,J$29,K61&lt;K$31,J$30,K61&lt;K$32,J$31,K61&lt;K$33,J$32,K61&lt;K$34,J$33,K61&lt;K$35,J$34,K61&lt;K$36,J$35,K61&lt;K$37,J$36,K61&lt;K$38,J$37,K61&lt;K$39,J$38,K61&lt;K$40,J$39,K61&lt;K$41,J$40,K61&lt;K$42,J$41,K61&lt;K$43,J$42,K61&lt;K$44,J$43,K61&lt;K$45,J$44,K61&lt;K$46,J$45,K61&lt;K$47,J$46,K61&gt;=K$47,J$47)</f>
        <v/>
      </c>
      <c r="K61" s="38" t="n">
        <v>11</v>
      </c>
      <c r="L61" s="31">
        <f>K61/52</f>
        <v/>
      </c>
      <c r="M61" s="39">
        <f>J61/1000000*52</f>
        <v/>
      </c>
      <c r="N61" s="33">
        <f>M61/$P$4+($I$22/$P$4)</f>
        <v/>
      </c>
      <c r="U61">
        <f>F60</f>
        <v/>
      </c>
      <c r="V61">
        <f>H60</f>
        <v/>
      </c>
      <c r="W61">
        <f>N60</f>
        <v/>
      </c>
    </row>
    <row r="62" ht="15.75" customHeight="1" s="40">
      <c r="C62" s="36">
        <f>_xlfn.IFS(E62&lt;E$24,0,E62&lt;E$26,C$24,E62&lt;E$28,C$26,E62&lt;E$30,C$28,E62&lt;E$32,C$30,E62&lt;E$34,C$32,E62&gt;=E$34,C$34)</f>
        <v/>
      </c>
      <c r="D62" s="37">
        <f>_xlfn.IFS(E62&lt;E$24,0,E62&lt;E$25,D$24,E62&lt;E$26,D$25,E62&lt;E$27,D$26,E62&lt;E$28,D$27,E62&lt;E$29,D$28,E62&lt;E$30,D$29,E62&lt;E$31,D$30,E62&lt;E$32,D$31,E62&lt;E$33,D$32,E62&lt;E$34,D$33,E62&lt;E$35,D$34,E62&gt;=E$35,D$35)</f>
        <v/>
      </c>
      <c r="E62" s="38" t="n">
        <v>12</v>
      </c>
      <c r="F62" s="31">
        <f>E62/52</f>
        <v/>
      </c>
      <c r="G62" s="39">
        <f>D62/1000000*52</f>
        <v/>
      </c>
      <c r="H62" s="33">
        <f>G62/$P$4+($C$22/$P$4)</f>
        <v/>
      </c>
      <c r="I62" s="36">
        <f>_xlfn.IFS(K62&lt;K$24,0,K62&lt;K$26,I$24,K62&lt;K$28,I$26,K62&lt;K$30,I$28,K62&lt;K$32,I$30,K62&lt;K$34,I$32,K62&lt;K$36,I$34,K62&lt;K$38,I$36,K62&lt;K$40,I$38,K62&lt;K$42,I$40,K62&lt;K$44,I$42,K62&lt;K$46,I$44,K62&gt;=K$46,I$46)</f>
        <v/>
      </c>
      <c r="J62" s="37">
        <f>_xlfn.IFS(K62&lt;K$24,0,K62&lt;K$25,J$24,K62&lt;K$26,J$25,K62&lt;K$27,J$26,K62&lt;K$28,J$27,K62&lt;K$29,J$28,K62&lt;K$30,J$29,K62&lt;K$31,J$30,K62&lt;K$32,J$31,K62&lt;K$33,J$32,K62&lt;K$34,J$33,K62&lt;K$35,J$34,K62&lt;K$36,J$35,K62&lt;K$37,J$36,K62&lt;K$38,J$37,K62&lt;K$39,J$38,K62&lt;K$40,J$39,K62&lt;K$41,J$40,K62&lt;K$42,J$41,K62&lt;K$43,J$42,K62&lt;K$44,J$43,K62&lt;K$45,J$44,K62&lt;K$46,J$45,K62&lt;K$47,J$46,K62&gt;=K$47,J$47)</f>
        <v/>
      </c>
      <c r="K62" s="38" t="n">
        <v>12</v>
      </c>
      <c r="L62" s="31">
        <f>K62/52</f>
        <v/>
      </c>
      <c r="M62" s="39">
        <f>J62/1000000*52</f>
        <v/>
      </c>
      <c r="N62" s="33">
        <f>M62/$P$4+($I$22/$P$4)</f>
        <v/>
      </c>
      <c r="U62">
        <f>F61</f>
        <v/>
      </c>
      <c r="V62">
        <f>H61</f>
        <v/>
      </c>
      <c r="W62">
        <f>N61</f>
        <v/>
      </c>
    </row>
    <row r="63" ht="15.75" customHeight="1" s="40">
      <c r="C63" s="36">
        <f>_xlfn.IFS(E63&lt;E$24,0,E63&lt;E$26,C$24,E63&lt;E$28,C$26,E63&lt;E$30,C$28,E63&lt;E$32,C$30,E63&lt;E$34,C$32,E63&gt;=E$34,C$34)</f>
        <v/>
      </c>
      <c r="D63" s="37">
        <f>_xlfn.IFS(E63&lt;E$24,0,E63&lt;E$25,D$24,E63&lt;E$26,D$25,E63&lt;E$27,D$26,E63&lt;E$28,D$27,E63&lt;E$29,D$28,E63&lt;E$30,D$29,E63&lt;E$31,D$30,E63&lt;E$32,D$31,E63&lt;E$33,D$32,E63&lt;E$34,D$33,E63&lt;E$35,D$34,E63&gt;=E$35,D$35)</f>
        <v/>
      </c>
      <c r="E63" s="38" t="n">
        <v>13</v>
      </c>
      <c r="F63" s="31">
        <f>E63/52</f>
        <v/>
      </c>
      <c r="G63" s="39">
        <f>D63/1000000*52</f>
        <v/>
      </c>
      <c r="H63" s="33">
        <f>G63/$P$4+($C$22/$P$4)</f>
        <v/>
      </c>
      <c r="I63" s="36">
        <f>_xlfn.IFS(K63&lt;K$24,0,K63&lt;K$26,I$24,K63&lt;K$28,I$26,K63&lt;K$30,I$28,K63&lt;K$32,I$30,K63&lt;K$34,I$32,K63&lt;K$36,I$34,K63&lt;K$38,I$36,K63&lt;K$40,I$38,K63&lt;K$42,I$40,K63&lt;K$44,I$42,K63&lt;K$46,I$44,K63&gt;=K$46,I$46)</f>
        <v/>
      </c>
      <c r="J63" s="37">
        <f>_xlfn.IFS(K63&lt;K$24,0,K63&lt;K$25,J$24,K63&lt;K$26,J$25,K63&lt;K$27,J$26,K63&lt;K$28,J$27,K63&lt;K$29,J$28,K63&lt;K$30,J$29,K63&lt;K$31,J$30,K63&lt;K$32,J$31,K63&lt;K$33,J$32,K63&lt;K$34,J$33,K63&lt;K$35,J$34,K63&lt;K$36,J$35,K63&lt;K$37,J$36,K63&lt;K$38,J$37,K63&lt;K$39,J$38,K63&lt;K$40,J$39,K63&lt;K$41,J$40,K63&lt;K$42,J$41,K63&lt;K$43,J$42,K63&lt;K$44,J$43,K63&lt;K$45,J$44,K63&lt;K$46,J$45,K63&lt;K$47,J$46,K63&gt;=K$47,J$47)</f>
        <v/>
      </c>
      <c r="K63" s="38" t="n">
        <v>13</v>
      </c>
      <c r="L63" s="31">
        <f>K63/52</f>
        <v/>
      </c>
      <c r="M63" s="39">
        <f>J63/1000000*52</f>
        <v/>
      </c>
      <c r="N63" s="33">
        <f>M63/$P$4+($I$22/$P$4)</f>
        <v/>
      </c>
      <c r="U63">
        <f>F62</f>
        <v/>
      </c>
      <c r="V63">
        <f>H62</f>
        <v/>
      </c>
      <c r="W63">
        <f>N62</f>
        <v/>
      </c>
    </row>
    <row r="64" ht="15.75" customHeight="1" s="40">
      <c r="C64" s="36">
        <f>_xlfn.IFS(E64&lt;E$24,0,E64&lt;E$26,C$24,E64&lt;E$28,C$26,E64&lt;E$30,C$28,E64&lt;E$32,C$30,E64&lt;E$34,C$32,E64&gt;=E$34,C$34)</f>
        <v/>
      </c>
      <c r="D64" s="37">
        <f>_xlfn.IFS(E64&lt;E$24,0,E64&lt;E$25,D$24,E64&lt;E$26,D$25,E64&lt;E$27,D$26,E64&lt;E$28,D$27,E64&lt;E$29,D$28,E64&lt;E$30,D$29,E64&lt;E$31,D$30,E64&lt;E$32,D$31,E64&lt;E$33,D$32,E64&lt;E$34,D$33,E64&lt;E$35,D$34,E64&gt;=E$35,D$35)</f>
        <v/>
      </c>
      <c r="E64" s="38" t="n">
        <v>14</v>
      </c>
      <c r="F64" s="31">
        <f>E64/52</f>
        <v/>
      </c>
      <c r="G64" s="39">
        <f>D64/1000000*52</f>
        <v/>
      </c>
      <c r="H64" s="33">
        <f>G64/$P$4+($C$22/$P$4)</f>
        <v/>
      </c>
      <c r="I64" s="36">
        <f>_xlfn.IFS(K64&lt;K$24,0,K64&lt;K$26,I$24,K64&lt;K$28,I$26,K64&lt;K$30,I$28,K64&lt;K$32,I$30,K64&lt;K$34,I$32,K64&lt;K$36,I$34,K64&lt;K$38,I$36,K64&lt;K$40,I$38,K64&lt;K$42,I$40,K64&lt;K$44,I$42,K64&lt;K$46,I$44,K64&gt;=K$46,I$46)</f>
        <v/>
      </c>
      <c r="J64" s="37">
        <f>_xlfn.IFS(K64&lt;K$24,0,K64&lt;K$25,J$24,K64&lt;K$26,J$25,K64&lt;K$27,J$26,K64&lt;K$28,J$27,K64&lt;K$29,J$28,K64&lt;K$30,J$29,K64&lt;K$31,J$30,K64&lt;K$32,J$31,K64&lt;K$33,J$32,K64&lt;K$34,J$33,K64&lt;K$35,J$34,K64&lt;K$36,J$35,K64&lt;K$37,J$36,K64&lt;K$38,J$37,K64&lt;K$39,J$38,K64&lt;K$40,J$39,K64&lt;K$41,J$40,K64&lt;K$42,J$41,K64&lt;K$43,J$42,K64&lt;K$44,J$43,K64&lt;K$45,J$44,K64&lt;K$46,J$45,K64&lt;K$47,J$46,K64&gt;=K$47,J$47)</f>
        <v/>
      </c>
      <c r="K64" s="38" t="n">
        <v>14</v>
      </c>
      <c r="L64" s="31">
        <f>K64/52</f>
        <v/>
      </c>
      <c r="M64" s="39">
        <f>J64/1000000*52</f>
        <v/>
      </c>
      <c r="N64" s="33">
        <f>M64/$P$4+($I$22/$P$4)</f>
        <v/>
      </c>
      <c r="U64">
        <f>F63</f>
        <v/>
      </c>
      <c r="V64">
        <f>H63</f>
        <v/>
      </c>
      <c r="W64">
        <f>N63</f>
        <v/>
      </c>
    </row>
    <row r="65" ht="15.75" customHeight="1" s="40">
      <c r="C65" s="36">
        <f>_xlfn.IFS(E65&lt;E$24,0,E65&lt;E$26,C$24,E65&lt;E$28,C$26,E65&lt;E$30,C$28,E65&lt;E$32,C$30,E65&lt;E$34,C$32,E65&gt;=E$34,C$34)</f>
        <v/>
      </c>
      <c r="D65" s="37">
        <f>_xlfn.IFS(E65&lt;E$24,0,E65&lt;E$25,D$24,E65&lt;E$26,D$25,E65&lt;E$27,D$26,E65&lt;E$28,D$27,E65&lt;E$29,D$28,E65&lt;E$30,D$29,E65&lt;E$31,D$30,E65&lt;E$32,D$31,E65&lt;E$33,D$32,E65&lt;E$34,D$33,E65&lt;E$35,D$34,E65&gt;=E$35,D$35)</f>
        <v/>
      </c>
      <c r="E65" s="38" t="n">
        <v>15</v>
      </c>
      <c r="F65" s="31">
        <f>E65/52</f>
        <v/>
      </c>
      <c r="G65" s="39">
        <f>D65/1000000*52</f>
        <v/>
      </c>
      <c r="H65" s="33">
        <f>G65/$P$4+($C$22/$P$4)</f>
        <v/>
      </c>
      <c r="I65" s="36">
        <f>_xlfn.IFS(K65&lt;K$24,0,K65&lt;K$26,I$24,K65&lt;K$28,I$26,K65&lt;K$30,I$28,K65&lt;K$32,I$30,K65&lt;K$34,I$32,K65&lt;K$36,I$34,K65&lt;K$38,I$36,K65&lt;K$40,I$38,K65&lt;K$42,I$40,K65&lt;K$44,I$42,K65&lt;K$46,I$44,K65&gt;=K$46,I$46)</f>
        <v/>
      </c>
      <c r="J65" s="37">
        <f>_xlfn.IFS(K65&lt;K$24,0,K65&lt;K$25,J$24,K65&lt;K$26,J$25,K65&lt;K$27,J$26,K65&lt;K$28,J$27,K65&lt;K$29,J$28,K65&lt;K$30,J$29,K65&lt;K$31,J$30,K65&lt;K$32,J$31,K65&lt;K$33,J$32,K65&lt;K$34,J$33,K65&lt;K$35,J$34,K65&lt;K$36,J$35,K65&lt;K$37,J$36,K65&lt;K$38,J$37,K65&lt;K$39,J$38,K65&lt;K$40,J$39,K65&lt;K$41,J$40,K65&lt;K$42,J$41,K65&lt;K$43,J$42,K65&lt;K$44,J$43,K65&lt;K$45,J$44,K65&lt;K$46,J$45,K65&lt;K$47,J$46,K65&gt;=K$47,J$47)</f>
        <v/>
      </c>
      <c r="K65" s="38" t="n">
        <v>15</v>
      </c>
      <c r="L65" s="31">
        <f>K65/52</f>
        <v/>
      </c>
      <c r="M65" s="39">
        <f>J65/1000000*52</f>
        <v/>
      </c>
      <c r="N65" s="33">
        <f>M65/$P$4+($I$22/$P$4)</f>
        <v/>
      </c>
      <c r="U65">
        <f>F64</f>
        <v/>
      </c>
      <c r="V65">
        <f>H64</f>
        <v/>
      </c>
      <c r="W65">
        <f>N64</f>
        <v/>
      </c>
    </row>
    <row r="66" ht="15.75" customHeight="1" s="40">
      <c r="C66" s="36">
        <f>_xlfn.IFS(E66&lt;E$24,0,E66&lt;E$26,C$24,E66&lt;E$28,C$26,E66&lt;E$30,C$28,E66&lt;E$32,C$30,E66&lt;E$34,C$32,E66&gt;=E$34,C$34)</f>
        <v/>
      </c>
      <c r="D66" s="37">
        <f>_xlfn.IFS(E66&lt;E$24,0,E66&lt;E$25,D$24,E66&lt;E$26,D$25,E66&lt;E$27,D$26,E66&lt;E$28,D$27,E66&lt;E$29,D$28,E66&lt;E$30,D$29,E66&lt;E$31,D$30,E66&lt;E$32,D$31,E66&lt;E$33,D$32,E66&lt;E$34,D$33,E66&lt;E$35,D$34,E66&gt;=E$35,D$35)</f>
        <v/>
      </c>
      <c r="E66" s="38" t="n">
        <v>16</v>
      </c>
      <c r="F66" s="31">
        <f>E66/52</f>
        <v/>
      </c>
      <c r="G66" s="39">
        <f>D66/1000000*52</f>
        <v/>
      </c>
      <c r="H66" s="33">
        <f>G66/$P$4+($C$22/$P$4)</f>
        <v/>
      </c>
      <c r="I66" s="36">
        <f>_xlfn.IFS(K66&lt;K$24,0,K66&lt;K$26,I$24,K66&lt;K$28,I$26,K66&lt;K$30,I$28,K66&lt;K$32,I$30,K66&lt;K$34,I$32,K66&lt;K$36,I$34,K66&lt;K$38,I$36,K66&lt;K$40,I$38,K66&lt;K$42,I$40,K66&lt;K$44,I$42,K66&lt;K$46,I$44,K66&gt;=K$46,I$46)</f>
        <v/>
      </c>
      <c r="J66" s="37">
        <f>_xlfn.IFS(K66&lt;K$24,0,K66&lt;K$25,J$24,K66&lt;K$26,J$25,K66&lt;K$27,J$26,K66&lt;K$28,J$27,K66&lt;K$29,J$28,K66&lt;K$30,J$29,K66&lt;K$31,J$30,K66&lt;K$32,J$31,K66&lt;K$33,J$32,K66&lt;K$34,J$33,K66&lt;K$35,J$34,K66&lt;K$36,J$35,K66&lt;K$37,J$36,K66&lt;K$38,J$37,K66&lt;K$39,J$38,K66&lt;K$40,J$39,K66&lt;K$41,J$40,K66&lt;K$42,J$41,K66&lt;K$43,J$42,K66&lt;K$44,J$43,K66&lt;K$45,J$44,K66&lt;K$46,J$45,K66&lt;K$47,J$46,K66&gt;=K$47,J$47)</f>
        <v/>
      </c>
      <c r="K66" s="38" t="n">
        <v>16</v>
      </c>
      <c r="L66" s="31">
        <f>K66/52</f>
        <v/>
      </c>
      <c r="M66" s="39">
        <f>J66/1000000*52</f>
        <v/>
      </c>
      <c r="N66" s="33">
        <f>M66/$P$4+($I$22/$P$4)</f>
        <v/>
      </c>
      <c r="U66">
        <f>F65</f>
        <v/>
      </c>
      <c r="V66">
        <f>H65</f>
        <v/>
      </c>
      <c r="W66">
        <f>N65</f>
        <v/>
      </c>
    </row>
    <row r="67" ht="15.75" customHeight="1" s="40">
      <c r="C67" s="36">
        <f>_xlfn.IFS(E67&lt;E$24,0,E67&lt;E$26,C$24,E67&lt;E$28,C$26,E67&lt;E$30,C$28,E67&lt;E$32,C$30,E67&lt;E$34,C$32,E67&gt;=E$34,C$34)</f>
        <v/>
      </c>
      <c r="D67" s="37">
        <f>_xlfn.IFS(E67&lt;E$24,0,E67&lt;E$25,D$24,E67&lt;E$26,D$25,E67&lt;E$27,D$26,E67&lt;E$28,D$27,E67&lt;E$29,D$28,E67&lt;E$30,D$29,E67&lt;E$31,D$30,E67&lt;E$32,D$31,E67&lt;E$33,D$32,E67&lt;E$34,D$33,E67&lt;E$35,D$34,E67&gt;=E$35,D$35)</f>
        <v/>
      </c>
      <c r="E67" s="38" t="n">
        <v>17</v>
      </c>
      <c r="F67" s="31">
        <f>E67/52</f>
        <v/>
      </c>
      <c r="G67" s="39">
        <f>D67/1000000*52</f>
        <v/>
      </c>
      <c r="H67" s="33">
        <f>G67/$P$4+($C$22/$P$4)</f>
        <v/>
      </c>
      <c r="I67" s="36">
        <f>_xlfn.IFS(K67&lt;K$24,0,K67&lt;K$26,I$24,K67&lt;K$28,I$26,K67&lt;K$30,I$28,K67&lt;K$32,I$30,K67&lt;K$34,I$32,K67&lt;K$36,I$34,K67&lt;K$38,I$36,K67&lt;K$40,I$38,K67&lt;K$42,I$40,K67&lt;K$44,I$42,K67&lt;K$46,I$44,K67&gt;=K$46,I$46)</f>
        <v/>
      </c>
      <c r="J67" s="37">
        <f>_xlfn.IFS(K67&lt;K$24,0,K67&lt;K$25,J$24,K67&lt;K$26,J$25,K67&lt;K$27,J$26,K67&lt;K$28,J$27,K67&lt;K$29,J$28,K67&lt;K$30,J$29,K67&lt;K$31,J$30,K67&lt;K$32,J$31,K67&lt;K$33,J$32,K67&lt;K$34,J$33,K67&lt;K$35,J$34,K67&lt;K$36,J$35,K67&lt;K$37,J$36,K67&lt;K$38,J$37,K67&lt;K$39,J$38,K67&lt;K$40,J$39,K67&lt;K$41,J$40,K67&lt;K$42,J$41,K67&lt;K$43,J$42,K67&lt;K$44,J$43,K67&lt;K$45,J$44,K67&lt;K$46,J$45,K67&lt;K$47,J$46,K67&gt;=K$47,J$47)</f>
        <v/>
      </c>
      <c r="K67" s="38" t="n">
        <v>17</v>
      </c>
      <c r="L67" s="31">
        <f>K67/52</f>
        <v/>
      </c>
      <c r="M67" s="39">
        <f>J67/1000000*52</f>
        <v/>
      </c>
      <c r="N67" s="33">
        <f>M67/$P$4+($I$22/$P$4)</f>
        <v/>
      </c>
      <c r="U67">
        <f>F66</f>
        <v/>
      </c>
      <c r="V67">
        <f>H66</f>
        <v/>
      </c>
      <c r="W67">
        <f>N66</f>
        <v/>
      </c>
    </row>
    <row r="68" ht="15.75" customHeight="1" s="40">
      <c r="C68" s="36">
        <f>_xlfn.IFS(E68&lt;E$24,0,E68&lt;E$26,C$24,E68&lt;E$28,C$26,E68&lt;E$30,C$28,E68&lt;E$32,C$30,E68&lt;E$34,C$32,E68&gt;=E$34,C$34)</f>
        <v/>
      </c>
      <c r="D68" s="37">
        <f>_xlfn.IFS(E68&lt;E$24,0,E68&lt;E$25,D$24,E68&lt;E$26,D$25,E68&lt;E$27,D$26,E68&lt;E$28,D$27,E68&lt;E$29,D$28,E68&lt;E$30,D$29,E68&lt;E$31,D$30,E68&lt;E$32,D$31,E68&lt;E$33,D$32,E68&lt;E$34,D$33,E68&lt;E$35,D$34,E68&gt;=E$35,D$35)</f>
        <v/>
      </c>
      <c r="E68" s="38" t="n">
        <v>18</v>
      </c>
      <c r="F68" s="31">
        <f>E68/52</f>
        <v/>
      </c>
      <c r="G68" s="39">
        <f>D68/1000000*52</f>
        <v/>
      </c>
      <c r="H68" s="33">
        <f>G68/$P$4+($C$22/$P$4)</f>
        <v/>
      </c>
      <c r="I68" s="36">
        <f>_xlfn.IFS(K68&lt;K$24,0,K68&lt;K$26,I$24,K68&lt;K$28,I$26,K68&lt;K$30,I$28,K68&lt;K$32,I$30,K68&lt;K$34,I$32,K68&lt;K$36,I$34,K68&lt;K$38,I$36,K68&lt;K$40,I$38,K68&lt;K$42,I$40,K68&lt;K$44,I$42,K68&lt;K$46,I$44,K68&gt;=K$46,I$46)</f>
        <v/>
      </c>
      <c r="J68" s="37">
        <f>_xlfn.IFS(K68&lt;K$24,0,K68&lt;K$25,J$24,K68&lt;K$26,J$25,K68&lt;K$27,J$26,K68&lt;K$28,J$27,K68&lt;K$29,J$28,K68&lt;K$30,J$29,K68&lt;K$31,J$30,K68&lt;K$32,J$31,K68&lt;K$33,J$32,K68&lt;K$34,J$33,K68&lt;K$35,J$34,K68&lt;K$36,J$35,K68&lt;K$37,J$36,K68&lt;K$38,J$37,K68&lt;K$39,J$38,K68&lt;K$40,J$39,K68&lt;K$41,J$40,K68&lt;K$42,J$41,K68&lt;K$43,J$42,K68&lt;K$44,J$43,K68&lt;K$45,J$44,K68&lt;K$46,J$45,K68&lt;K$47,J$46,K68&gt;=K$47,J$47)</f>
        <v/>
      </c>
      <c r="K68" s="38" t="n">
        <v>18</v>
      </c>
      <c r="L68" s="31">
        <f>K68/52</f>
        <v/>
      </c>
      <c r="M68" s="39">
        <f>J68/1000000*52</f>
        <v/>
      </c>
      <c r="N68" s="33">
        <f>M68/$P$4+($I$22/$P$4)</f>
        <v/>
      </c>
      <c r="U68">
        <f>F67</f>
        <v/>
      </c>
      <c r="V68">
        <f>H67</f>
        <v/>
      </c>
      <c r="W68">
        <f>N67</f>
        <v/>
      </c>
    </row>
    <row r="69" ht="15.75" customHeight="1" s="40">
      <c r="C69" s="36">
        <f>_xlfn.IFS(E69&lt;E$24,0,E69&lt;E$26,C$24,E69&lt;E$28,C$26,E69&lt;E$30,C$28,E69&lt;E$32,C$30,E69&lt;E$34,C$32,E69&gt;=E$34,C$34)</f>
        <v/>
      </c>
      <c r="D69" s="37">
        <f>_xlfn.IFS(E69&lt;E$24,0,E69&lt;E$25,D$24,E69&lt;E$26,D$25,E69&lt;E$27,D$26,E69&lt;E$28,D$27,E69&lt;E$29,D$28,E69&lt;E$30,D$29,E69&lt;E$31,D$30,E69&lt;E$32,D$31,E69&lt;E$33,D$32,E69&lt;E$34,D$33,E69&lt;E$35,D$34,E69&gt;=E$35,D$35)</f>
        <v/>
      </c>
      <c r="E69" s="38" t="n">
        <v>19</v>
      </c>
      <c r="F69" s="31">
        <f>E69/52</f>
        <v/>
      </c>
      <c r="G69" s="39">
        <f>D69/1000000*52</f>
        <v/>
      </c>
      <c r="H69" s="33">
        <f>G69/$P$4+($C$22/$P$4)</f>
        <v/>
      </c>
      <c r="I69" s="36">
        <f>_xlfn.IFS(K69&lt;K$24,0,K69&lt;K$26,I$24,K69&lt;K$28,I$26,K69&lt;K$30,I$28,K69&lt;K$32,I$30,K69&lt;K$34,I$32,K69&lt;K$36,I$34,K69&lt;K$38,I$36,K69&lt;K$40,I$38,K69&lt;K$42,I$40,K69&lt;K$44,I$42,K69&lt;K$46,I$44,K69&gt;=K$46,I$46)</f>
        <v/>
      </c>
      <c r="J69" s="37">
        <f>_xlfn.IFS(K69&lt;K$24,0,K69&lt;K$25,J$24,K69&lt;K$26,J$25,K69&lt;K$27,J$26,K69&lt;K$28,J$27,K69&lt;K$29,J$28,K69&lt;K$30,J$29,K69&lt;K$31,J$30,K69&lt;K$32,J$31,K69&lt;K$33,J$32,K69&lt;K$34,J$33,K69&lt;K$35,J$34,K69&lt;K$36,J$35,K69&lt;K$37,J$36,K69&lt;K$38,J$37,K69&lt;K$39,J$38,K69&lt;K$40,J$39,K69&lt;K$41,J$40,K69&lt;K$42,J$41,K69&lt;K$43,J$42,K69&lt;K$44,J$43,K69&lt;K$45,J$44,K69&lt;K$46,J$45,K69&lt;K$47,J$46,K69&gt;=K$47,J$47)</f>
        <v/>
      </c>
      <c r="K69" s="38" t="n">
        <v>19</v>
      </c>
      <c r="L69" s="31">
        <f>K69/52</f>
        <v/>
      </c>
      <c r="M69" s="39">
        <f>J69/1000000*52</f>
        <v/>
      </c>
      <c r="N69" s="33">
        <f>M69/$P$4+($I$22/$P$4)</f>
        <v/>
      </c>
      <c r="U69">
        <f>F68</f>
        <v/>
      </c>
      <c r="V69">
        <f>H68</f>
        <v/>
      </c>
      <c r="W69">
        <f>N68</f>
        <v/>
      </c>
    </row>
    <row r="70" ht="15.75" customHeight="1" s="40">
      <c r="C70" s="36">
        <f>_xlfn.IFS(E70&lt;E$24,0,E70&lt;E$26,C$24,E70&lt;E$28,C$26,E70&lt;E$30,C$28,E70&lt;E$32,C$30,E70&lt;E$34,C$32,E70&gt;=E$34,C$34)</f>
        <v/>
      </c>
      <c r="D70" s="37">
        <f>_xlfn.IFS(E70&lt;E$24,0,E70&lt;E$25,D$24,E70&lt;E$26,D$25,E70&lt;E$27,D$26,E70&lt;E$28,D$27,E70&lt;E$29,D$28,E70&lt;E$30,D$29,E70&lt;E$31,D$30,E70&lt;E$32,D$31,E70&lt;E$33,D$32,E70&lt;E$34,D$33,E70&lt;E$35,D$34,E70&gt;=E$35,D$35)</f>
        <v/>
      </c>
      <c r="E70" s="38" t="n">
        <v>20</v>
      </c>
      <c r="F70" s="31">
        <f>E70/52</f>
        <v/>
      </c>
      <c r="G70" s="39">
        <f>D70/1000000*52</f>
        <v/>
      </c>
      <c r="H70" s="33">
        <f>G70/$P$4+($C$22/$P$4)</f>
        <v/>
      </c>
      <c r="I70" s="36">
        <f>_xlfn.IFS(K70&lt;K$24,0,K70&lt;K$26,I$24,K70&lt;K$28,I$26,K70&lt;K$30,I$28,K70&lt;K$32,I$30,K70&lt;K$34,I$32,K70&lt;K$36,I$34,K70&lt;K$38,I$36,K70&lt;K$40,I$38,K70&lt;K$42,I$40,K70&lt;K$44,I$42,K70&lt;K$46,I$44,K70&gt;=K$46,I$46)</f>
        <v/>
      </c>
      <c r="J70" s="37">
        <f>_xlfn.IFS(K70&lt;K$24,0,K70&lt;K$25,J$24,K70&lt;K$26,J$25,K70&lt;K$27,J$26,K70&lt;K$28,J$27,K70&lt;K$29,J$28,K70&lt;K$30,J$29,K70&lt;K$31,J$30,K70&lt;K$32,J$31,K70&lt;K$33,J$32,K70&lt;K$34,J$33,K70&lt;K$35,J$34,K70&lt;K$36,J$35,K70&lt;K$37,J$36,K70&lt;K$38,J$37,K70&lt;K$39,J$38,K70&lt;K$40,J$39,K70&lt;K$41,J$40,K70&lt;K$42,J$41,K70&lt;K$43,J$42,K70&lt;K$44,J$43,K70&lt;K$45,J$44,K70&lt;K$46,J$45,K70&lt;K$47,J$46,K70&gt;=K$47,J$47)</f>
        <v/>
      </c>
      <c r="K70" s="38" t="n">
        <v>20</v>
      </c>
      <c r="L70" s="31">
        <f>K70/52</f>
        <v/>
      </c>
      <c r="M70" s="39">
        <f>J70/1000000*52</f>
        <v/>
      </c>
      <c r="N70" s="33">
        <f>M70/$P$4+($I$22/$P$4)</f>
        <v/>
      </c>
      <c r="U70">
        <f>F69</f>
        <v/>
      </c>
      <c r="V70">
        <f>H69</f>
        <v/>
      </c>
      <c r="W70">
        <f>N69</f>
        <v/>
      </c>
    </row>
    <row r="71" ht="15.75" customHeight="1" s="40">
      <c r="C71" s="36">
        <f>_xlfn.IFS(E71&lt;E$24,0,E71&lt;E$26,C$24,E71&lt;E$28,C$26,E71&lt;E$30,C$28,E71&lt;E$32,C$30,E71&lt;E$34,C$32,E71&gt;=E$34,C$34)</f>
        <v/>
      </c>
      <c r="D71" s="37">
        <f>_xlfn.IFS(E71&lt;E$24,0,E71&lt;E$25,D$24,E71&lt;E$26,D$25,E71&lt;E$27,D$26,E71&lt;E$28,D$27,E71&lt;E$29,D$28,E71&lt;E$30,D$29,E71&lt;E$31,D$30,E71&lt;E$32,D$31,E71&lt;E$33,D$32,E71&lt;E$34,D$33,E71&lt;E$35,D$34,E71&gt;=E$35,D$35)</f>
        <v/>
      </c>
      <c r="E71" s="38" t="n">
        <v>21</v>
      </c>
      <c r="F71" s="31">
        <f>E71/52</f>
        <v/>
      </c>
      <c r="G71" s="39">
        <f>D71/1000000*52</f>
        <v/>
      </c>
      <c r="H71" s="33">
        <f>G71/$P$4+($C$22/$P$4)</f>
        <v/>
      </c>
      <c r="I71" s="36">
        <f>_xlfn.IFS(K71&lt;K$24,0,K71&lt;K$26,I$24,K71&lt;K$28,I$26,K71&lt;K$30,I$28,K71&lt;K$32,I$30,K71&lt;K$34,I$32,K71&lt;K$36,I$34,K71&lt;K$38,I$36,K71&lt;K$40,I$38,K71&lt;K$42,I$40,K71&lt;K$44,I$42,K71&lt;K$46,I$44,K71&gt;=K$46,I$46)</f>
        <v/>
      </c>
      <c r="J71" s="37">
        <f>_xlfn.IFS(K71&lt;K$24,0,K71&lt;K$25,J$24,K71&lt;K$26,J$25,K71&lt;K$27,J$26,K71&lt;K$28,J$27,K71&lt;K$29,J$28,K71&lt;K$30,J$29,K71&lt;K$31,J$30,K71&lt;K$32,J$31,K71&lt;K$33,J$32,K71&lt;K$34,J$33,K71&lt;K$35,J$34,K71&lt;K$36,J$35,K71&lt;K$37,J$36,K71&lt;K$38,J$37,K71&lt;K$39,J$38,K71&lt;K$40,J$39,K71&lt;K$41,J$40,K71&lt;K$42,J$41,K71&lt;K$43,J$42,K71&lt;K$44,J$43,K71&lt;K$45,J$44,K71&lt;K$46,J$45,K71&lt;K$47,J$46,K71&gt;=K$47,J$47)</f>
        <v/>
      </c>
      <c r="K71" s="38" t="n">
        <v>21</v>
      </c>
      <c r="L71" s="31">
        <f>K71/52</f>
        <v/>
      </c>
      <c r="M71" s="39">
        <f>J71/1000000*52</f>
        <v/>
      </c>
      <c r="N71" s="33">
        <f>M71/$P$4+($I$22/$P$4)</f>
        <v/>
      </c>
      <c r="U71">
        <f>F70</f>
        <v/>
      </c>
      <c r="V71">
        <f>H70</f>
        <v/>
      </c>
      <c r="W71">
        <f>N70</f>
        <v/>
      </c>
    </row>
    <row r="72" ht="15.75" customHeight="1" s="40">
      <c r="C72" s="36">
        <f>_xlfn.IFS(E72&lt;E$24,0,E72&lt;E$26,C$24,E72&lt;E$28,C$26,E72&lt;E$30,C$28,E72&lt;E$32,C$30,E72&lt;E$34,C$32,E72&gt;=E$34,C$34)</f>
        <v/>
      </c>
      <c r="D72" s="37">
        <f>_xlfn.IFS(E72&lt;E$24,0,E72&lt;E$25,D$24,E72&lt;E$26,D$25,E72&lt;E$27,D$26,E72&lt;E$28,D$27,E72&lt;E$29,D$28,E72&lt;E$30,D$29,E72&lt;E$31,D$30,E72&lt;E$32,D$31,E72&lt;E$33,D$32,E72&lt;E$34,D$33,E72&lt;E$35,D$34,E72&gt;=E$35,D$35)</f>
        <v/>
      </c>
      <c r="E72" s="38" t="n">
        <v>22</v>
      </c>
      <c r="F72" s="31">
        <f>E72/52</f>
        <v/>
      </c>
      <c r="G72" s="39">
        <f>D72/1000000*52</f>
        <v/>
      </c>
      <c r="H72" s="33">
        <f>G72/$P$4+($C$22/$P$4)</f>
        <v/>
      </c>
      <c r="I72" s="36">
        <f>_xlfn.IFS(K72&lt;K$24,0,K72&lt;K$26,I$24,K72&lt;K$28,I$26,K72&lt;K$30,I$28,K72&lt;K$32,I$30,K72&lt;K$34,I$32,K72&lt;K$36,I$34,K72&lt;K$38,I$36,K72&lt;K$40,I$38,K72&lt;K$42,I$40,K72&lt;K$44,I$42,K72&lt;K$46,I$44,K72&gt;=K$46,I$46)</f>
        <v/>
      </c>
      <c r="J72" s="37">
        <f>_xlfn.IFS(K72&lt;K$24,0,K72&lt;K$25,J$24,K72&lt;K$26,J$25,K72&lt;K$27,J$26,K72&lt;K$28,J$27,K72&lt;K$29,J$28,K72&lt;K$30,J$29,K72&lt;K$31,J$30,K72&lt;K$32,J$31,K72&lt;K$33,J$32,K72&lt;K$34,J$33,K72&lt;K$35,J$34,K72&lt;K$36,J$35,K72&lt;K$37,J$36,K72&lt;K$38,J$37,K72&lt;K$39,J$38,K72&lt;K$40,J$39,K72&lt;K$41,J$40,K72&lt;K$42,J$41,K72&lt;K$43,J$42,K72&lt;K$44,J$43,K72&lt;K$45,J$44,K72&lt;K$46,J$45,K72&lt;K$47,J$46,K72&gt;=K$47,J$47)</f>
        <v/>
      </c>
      <c r="K72" s="38" t="n">
        <v>22</v>
      </c>
      <c r="L72" s="31">
        <f>K72/52</f>
        <v/>
      </c>
      <c r="M72" s="39">
        <f>J72/1000000*52</f>
        <v/>
      </c>
      <c r="N72" s="33">
        <f>M72/$P$4+($I$22/$P$4)</f>
        <v/>
      </c>
      <c r="U72">
        <f>F71</f>
        <v/>
      </c>
      <c r="V72">
        <f>H71</f>
        <v/>
      </c>
      <c r="W72">
        <f>N71</f>
        <v/>
      </c>
    </row>
    <row r="73" ht="15.75" customHeight="1" s="40">
      <c r="C73" s="36">
        <f>_xlfn.IFS(E73&lt;E$24,0,E73&lt;E$26,C$24,E73&lt;E$28,C$26,E73&lt;E$30,C$28,E73&lt;E$32,C$30,E73&lt;E$34,C$32,E73&gt;=E$34,C$34)</f>
        <v/>
      </c>
      <c r="D73" s="37">
        <f>_xlfn.IFS(E73&lt;E$24,0,E73&lt;E$25,D$24,E73&lt;E$26,D$25,E73&lt;E$27,D$26,E73&lt;E$28,D$27,E73&lt;E$29,D$28,E73&lt;E$30,D$29,E73&lt;E$31,D$30,E73&lt;E$32,D$31,E73&lt;E$33,D$32,E73&lt;E$34,D$33,E73&lt;E$35,D$34,E73&gt;=E$35,D$35)</f>
        <v/>
      </c>
      <c r="E73" s="38" t="n">
        <v>23</v>
      </c>
      <c r="F73" s="31">
        <f>E73/52</f>
        <v/>
      </c>
      <c r="G73" s="39">
        <f>D73/1000000*52</f>
        <v/>
      </c>
      <c r="H73" s="33">
        <f>G73/$P$4+($C$22/$P$4)</f>
        <v/>
      </c>
      <c r="I73" s="36">
        <f>_xlfn.IFS(K73&lt;K$24,0,K73&lt;K$26,I$24,K73&lt;K$28,I$26,K73&lt;K$30,I$28,K73&lt;K$32,I$30,K73&lt;K$34,I$32,K73&lt;K$36,I$34,K73&lt;K$38,I$36,K73&lt;K$40,I$38,K73&lt;K$42,I$40,K73&lt;K$44,I$42,K73&lt;K$46,I$44,K73&gt;=K$46,I$46)</f>
        <v/>
      </c>
      <c r="J73" s="37">
        <f>_xlfn.IFS(K73&lt;K$24,0,K73&lt;K$25,J$24,K73&lt;K$26,J$25,K73&lt;K$27,J$26,K73&lt;K$28,J$27,K73&lt;K$29,J$28,K73&lt;K$30,J$29,K73&lt;K$31,J$30,K73&lt;K$32,J$31,K73&lt;K$33,J$32,K73&lt;K$34,J$33,K73&lt;K$35,J$34,K73&lt;K$36,J$35,K73&lt;K$37,J$36,K73&lt;K$38,J$37,K73&lt;K$39,J$38,K73&lt;K$40,J$39,K73&lt;K$41,J$40,K73&lt;K$42,J$41,K73&lt;K$43,J$42,K73&lt;K$44,J$43,K73&lt;K$45,J$44,K73&lt;K$46,J$45,K73&lt;K$47,J$46,K73&gt;=K$47,J$47)</f>
        <v/>
      </c>
      <c r="K73" s="38" t="n">
        <v>23</v>
      </c>
      <c r="L73" s="31">
        <f>K73/52</f>
        <v/>
      </c>
      <c r="M73" s="39">
        <f>J73/1000000*52</f>
        <v/>
      </c>
      <c r="N73" s="33">
        <f>M73/$P$4+($I$22/$P$4)</f>
        <v/>
      </c>
      <c r="U73">
        <f>F72</f>
        <v/>
      </c>
      <c r="V73">
        <f>H72</f>
        <v/>
      </c>
      <c r="W73">
        <f>N72</f>
        <v/>
      </c>
    </row>
    <row r="74" ht="15.75" customHeight="1" s="40">
      <c r="C74" s="36">
        <f>_xlfn.IFS(E74&lt;E$24,0,E74&lt;E$26,C$24,E74&lt;E$28,C$26,E74&lt;E$30,C$28,E74&lt;E$32,C$30,E74&lt;E$34,C$32,E74&gt;=E$34,C$34)</f>
        <v/>
      </c>
      <c r="D74" s="37">
        <f>_xlfn.IFS(E74&lt;E$24,0,E74&lt;E$25,D$24,E74&lt;E$26,D$25,E74&lt;E$27,D$26,E74&lt;E$28,D$27,E74&lt;E$29,D$28,E74&lt;E$30,D$29,E74&lt;E$31,D$30,E74&lt;E$32,D$31,E74&lt;E$33,D$32,E74&lt;E$34,D$33,E74&lt;E$35,D$34,E74&gt;=E$35,D$35)</f>
        <v/>
      </c>
      <c r="E74" s="38" t="n">
        <v>24</v>
      </c>
      <c r="F74" s="31">
        <f>E74/52</f>
        <v/>
      </c>
      <c r="G74" s="39">
        <f>D74/1000000*52</f>
        <v/>
      </c>
      <c r="H74" s="33">
        <f>G74/$P$4+($C$22/$P$4)</f>
        <v/>
      </c>
      <c r="I74" s="36">
        <f>_xlfn.IFS(K74&lt;K$24,0,K74&lt;K$26,I$24,K74&lt;K$28,I$26,K74&lt;K$30,I$28,K74&lt;K$32,I$30,K74&lt;K$34,I$32,K74&lt;K$36,I$34,K74&lt;K$38,I$36,K74&lt;K$40,I$38,K74&lt;K$42,I$40,K74&lt;K$44,I$42,K74&lt;K$46,I$44,K74&gt;=K$46,I$46)</f>
        <v/>
      </c>
      <c r="J74" s="37">
        <f>_xlfn.IFS(K74&lt;K$24,0,K74&lt;K$25,J$24,K74&lt;K$26,J$25,K74&lt;K$27,J$26,K74&lt;K$28,J$27,K74&lt;K$29,J$28,K74&lt;K$30,J$29,K74&lt;K$31,J$30,K74&lt;K$32,J$31,K74&lt;K$33,J$32,K74&lt;K$34,J$33,K74&lt;K$35,J$34,K74&lt;K$36,J$35,K74&lt;K$37,J$36,K74&lt;K$38,J$37,K74&lt;K$39,J$38,K74&lt;K$40,J$39,K74&lt;K$41,J$40,K74&lt;K$42,J$41,K74&lt;K$43,J$42,K74&lt;K$44,J$43,K74&lt;K$45,J$44,K74&lt;K$46,J$45,K74&lt;K$47,J$46,K74&gt;=K$47,J$47)</f>
        <v/>
      </c>
      <c r="K74" s="38" t="n">
        <v>24</v>
      </c>
      <c r="L74" s="31">
        <f>K74/52</f>
        <v/>
      </c>
      <c r="M74" s="39">
        <f>J74/1000000*52</f>
        <v/>
      </c>
      <c r="N74" s="33">
        <f>M74/$P$4+($I$22/$P$4)</f>
        <v/>
      </c>
      <c r="U74">
        <f>F73</f>
        <v/>
      </c>
      <c r="V74">
        <f>H73</f>
        <v/>
      </c>
      <c r="W74">
        <f>N73</f>
        <v/>
      </c>
    </row>
    <row r="75" ht="15.75" customHeight="1" s="40">
      <c r="C75" s="36">
        <f>_xlfn.IFS(E75&lt;E$24,0,E75&lt;E$26,C$24,E75&lt;E$28,C$26,E75&lt;E$30,C$28,E75&lt;E$32,C$30,E75&lt;E$34,C$32,E75&gt;=E$34,C$34)</f>
        <v/>
      </c>
      <c r="D75" s="37">
        <f>_xlfn.IFS(E75&lt;E$24,0,E75&lt;E$25,D$24,E75&lt;E$26,D$25,E75&lt;E$27,D$26,E75&lt;E$28,D$27,E75&lt;E$29,D$28,E75&lt;E$30,D$29,E75&lt;E$31,D$30,E75&lt;E$32,D$31,E75&lt;E$33,D$32,E75&lt;E$34,D$33,E75&lt;E$35,D$34,E75&gt;=E$35,D$35)</f>
        <v/>
      </c>
      <c r="E75" s="38" t="n">
        <v>25</v>
      </c>
      <c r="F75" s="31">
        <f>E75/52</f>
        <v/>
      </c>
      <c r="G75" s="39">
        <f>D75/1000000*52</f>
        <v/>
      </c>
      <c r="H75" s="33">
        <f>G75/$P$4+($C$22/$P$4)</f>
        <v/>
      </c>
      <c r="I75" s="36">
        <f>_xlfn.IFS(K75&lt;K$24,0,K75&lt;K$26,I$24,K75&lt;K$28,I$26,K75&lt;K$30,I$28,K75&lt;K$32,I$30,K75&lt;K$34,I$32,K75&lt;K$36,I$34,K75&lt;K$38,I$36,K75&lt;K$40,I$38,K75&lt;K$42,I$40,K75&lt;K$44,I$42,K75&lt;K$46,I$44,K75&gt;=K$46,I$46)</f>
        <v/>
      </c>
      <c r="J75" s="37">
        <f>_xlfn.IFS(K75&lt;K$24,0,K75&lt;K$25,J$24,K75&lt;K$26,J$25,K75&lt;K$27,J$26,K75&lt;K$28,J$27,K75&lt;K$29,J$28,K75&lt;K$30,J$29,K75&lt;K$31,J$30,K75&lt;K$32,J$31,K75&lt;K$33,J$32,K75&lt;K$34,J$33,K75&lt;K$35,J$34,K75&lt;K$36,J$35,K75&lt;K$37,J$36,K75&lt;K$38,J$37,K75&lt;K$39,J$38,K75&lt;K$40,J$39,K75&lt;K$41,J$40,K75&lt;K$42,J$41,K75&lt;K$43,J$42,K75&lt;K$44,J$43,K75&lt;K$45,J$44,K75&lt;K$46,J$45,K75&lt;K$47,J$46,K75&gt;=K$47,J$47)</f>
        <v/>
      </c>
      <c r="K75" s="38" t="n">
        <v>25</v>
      </c>
      <c r="L75" s="31">
        <f>K75/52</f>
        <v/>
      </c>
      <c r="M75" s="39">
        <f>J75/1000000*52</f>
        <v/>
      </c>
      <c r="N75" s="33">
        <f>M75/$P$4+($I$22/$P$4)</f>
        <v/>
      </c>
      <c r="U75">
        <f>F74</f>
        <v/>
      </c>
      <c r="V75">
        <f>H74</f>
        <v/>
      </c>
      <c r="W75">
        <f>N74</f>
        <v/>
      </c>
    </row>
    <row r="76" ht="15.75" customHeight="1" s="40">
      <c r="C76" s="36">
        <f>_xlfn.IFS(E76&lt;E$24,0,E76&lt;E$26,C$24,E76&lt;E$28,C$26,E76&lt;E$30,C$28,E76&lt;E$32,C$30,E76&lt;E$34,C$32,E76&gt;=E$34,C$34)</f>
        <v/>
      </c>
      <c r="D76" s="37">
        <f>_xlfn.IFS(E76&lt;E$24,0,E76&lt;E$25,D$24,E76&lt;E$26,D$25,E76&lt;E$27,D$26,E76&lt;E$28,D$27,E76&lt;E$29,D$28,E76&lt;E$30,D$29,E76&lt;E$31,D$30,E76&lt;E$32,D$31,E76&lt;E$33,D$32,E76&lt;E$34,D$33,E76&lt;E$35,D$34,E76&gt;=E$35,D$35)</f>
        <v/>
      </c>
      <c r="E76" s="38" t="n">
        <v>26</v>
      </c>
      <c r="F76" s="31">
        <f>E76/52</f>
        <v/>
      </c>
      <c r="G76" s="39">
        <f>D76/1000000*52</f>
        <v/>
      </c>
      <c r="H76" s="33">
        <f>G76/$P$4+($C$22/$P$4)</f>
        <v/>
      </c>
      <c r="I76" s="36">
        <f>_xlfn.IFS(K76&lt;K$24,0,K76&lt;K$26,I$24,K76&lt;K$28,I$26,K76&lt;K$30,I$28,K76&lt;K$32,I$30,K76&lt;K$34,I$32,K76&lt;K$36,I$34,K76&lt;K$38,I$36,K76&lt;K$40,I$38,K76&lt;K$42,I$40,K76&lt;K$44,I$42,K76&lt;K$46,I$44,K76&gt;=K$46,I$46)</f>
        <v/>
      </c>
      <c r="J76" s="37">
        <f>_xlfn.IFS(K76&lt;K$24,0,K76&lt;K$25,J$24,K76&lt;K$26,J$25,K76&lt;K$27,J$26,K76&lt;K$28,J$27,K76&lt;K$29,J$28,K76&lt;K$30,J$29,K76&lt;K$31,J$30,K76&lt;K$32,J$31,K76&lt;K$33,J$32,K76&lt;K$34,J$33,K76&lt;K$35,J$34,K76&lt;K$36,J$35,K76&lt;K$37,J$36,K76&lt;K$38,J$37,K76&lt;K$39,J$38,K76&lt;K$40,J$39,K76&lt;K$41,J$40,K76&lt;K$42,J$41,K76&lt;K$43,J$42,K76&lt;K$44,J$43,K76&lt;K$45,J$44,K76&lt;K$46,J$45,K76&lt;K$47,J$46,K76&gt;=K$47,J$47)</f>
        <v/>
      </c>
      <c r="K76" s="38" t="n">
        <v>26</v>
      </c>
      <c r="L76" s="31">
        <f>K76/52</f>
        <v/>
      </c>
      <c r="M76" s="39">
        <f>J76/1000000*52</f>
        <v/>
      </c>
      <c r="N76" s="33">
        <f>M76/$P$4+($I$22/$P$4)</f>
        <v/>
      </c>
      <c r="U76">
        <f>F75</f>
        <v/>
      </c>
      <c r="V76">
        <f>H75</f>
        <v/>
      </c>
      <c r="W76">
        <f>N75</f>
        <v/>
      </c>
    </row>
    <row r="77" ht="15.75" customHeight="1" s="40">
      <c r="C77" s="36">
        <f>_xlfn.IFS(E77&lt;E$24,0,E77&lt;E$26,C$24,E77&lt;E$28,C$26,E77&lt;E$30,C$28,E77&lt;E$32,C$30,E77&lt;E$34,C$32,E77&gt;=E$34,C$34)</f>
        <v/>
      </c>
      <c r="D77" s="37">
        <f>_xlfn.IFS(E77&lt;E$24,0,E77&lt;E$25,D$24,E77&lt;E$26,D$25,E77&lt;E$27,D$26,E77&lt;E$28,D$27,E77&lt;E$29,D$28,E77&lt;E$30,D$29,E77&lt;E$31,D$30,E77&lt;E$32,D$31,E77&lt;E$33,D$32,E77&lt;E$34,D$33,E77&lt;E$35,D$34,E77&gt;=E$35,D$35)</f>
        <v/>
      </c>
      <c r="E77" s="38" t="n">
        <v>27</v>
      </c>
      <c r="F77" s="31">
        <f>E77/52</f>
        <v/>
      </c>
      <c r="G77" s="39">
        <f>D77/1000000*52</f>
        <v/>
      </c>
      <c r="H77" s="33">
        <f>G77/$P$4+($C$22/$P$4)</f>
        <v/>
      </c>
      <c r="I77" s="36">
        <f>_xlfn.IFS(K77&lt;K$24,0,K77&lt;K$26,I$24,K77&lt;K$28,I$26,K77&lt;K$30,I$28,K77&lt;K$32,I$30,K77&lt;K$34,I$32,K77&lt;K$36,I$34,K77&lt;K$38,I$36,K77&lt;K$40,I$38,K77&lt;K$42,I$40,K77&lt;K$44,I$42,K77&lt;K$46,I$44,K77&gt;=K$46,I$46)</f>
        <v/>
      </c>
      <c r="J77" s="37">
        <f>_xlfn.IFS(K77&lt;K$24,0,K77&lt;K$25,J$24,K77&lt;K$26,J$25,K77&lt;K$27,J$26,K77&lt;K$28,J$27,K77&lt;K$29,J$28,K77&lt;K$30,J$29,K77&lt;K$31,J$30,K77&lt;K$32,J$31,K77&lt;K$33,J$32,K77&lt;K$34,J$33,K77&lt;K$35,J$34,K77&lt;K$36,J$35,K77&lt;K$37,J$36,K77&lt;K$38,J$37,K77&lt;K$39,J$38,K77&lt;K$40,J$39,K77&lt;K$41,J$40,K77&lt;K$42,J$41,K77&lt;K$43,J$42,K77&lt;K$44,J$43,K77&lt;K$45,J$44,K77&lt;K$46,J$45,K77&lt;K$47,J$46,K77&gt;=K$47,J$47)</f>
        <v/>
      </c>
      <c r="K77" s="38" t="n">
        <v>27</v>
      </c>
      <c r="L77" s="31">
        <f>K77/52</f>
        <v/>
      </c>
      <c r="M77" s="39">
        <f>J77/1000000*52</f>
        <v/>
      </c>
      <c r="N77" s="33">
        <f>M77/$P$4+($I$22/$P$4)</f>
        <v/>
      </c>
      <c r="U77">
        <f>F76</f>
        <v/>
      </c>
      <c r="V77">
        <f>H76</f>
        <v/>
      </c>
      <c r="W77">
        <f>N76</f>
        <v/>
      </c>
    </row>
    <row r="78" ht="15.75" customHeight="1" s="40">
      <c r="C78" s="36">
        <f>_xlfn.IFS(E78&lt;E$24,0,E78&lt;E$26,C$24,E78&lt;E$28,C$26,E78&lt;E$30,C$28,E78&lt;E$32,C$30,E78&lt;E$34,C$32,E78&gt;=E$34,C$34)</f>
        <v/>
      </c>
      <c r="D78" s="37">
        <f>_xlfn.IFS(E78&lt;E$24,0,E78&lt;E$25,D$24,E78&lt;E$26,D$25,E78&lt;E$27,D$26,E78&lt;E$28,D$27,E78&lt;E$29,D$28,E78&lt;E$30,D$29,E78&lt;E$31,D$30,E78&lt;E$32,D$31,E78&lt;E$33,D$32,E78&lt;E$34,D$33,E78&lt;E$35,D$34,E78&gt;=E$35,D$35)</f>
        <v/>
      </c>
      <c r="E78" s="38" t="n">
        <v>28</v>
      </c>
      <c r="F78" s="31">
        <f>E78/52</f>
        <v/>
      </c>
      <c r="G78" s="39">
        <f>D78/1000000*52</f>
        <v/>
      </c>
      <c r="H78" s="33">
        <f>G78/$P$4+($C$22/$P$4)</f>
        <v/>
      </c>
      <c r="I78" s="36">
        <f>_xlfn.IFS(K78&lt;K$24,0,K78&lt;K$26,I$24,K78&lt;K$28,I$26,K78&lt;K$30,I$28,K78&lt;K$32,I$30,K78&lt;K$34,I$32,K78&lt;K$36,I$34,K78&lt;K$38,I$36,K78&lt;K$40,I$38,K78&lt;K$42,I$40,K78&lt;K$44,I$42,K78&lt;K$46,I$44,K78&gt;=K$46,I$46)</f>
        <v/>
      </c>
      <c r="J78" s="37">
        <f>_xlfn.IFS(K78&lt;K$24,0,K78&lt;K$25,J$24,K78&lt;K$26,J$25,K78&lt;K$27,J$26,K78&lt;K$28,J$27,K78&lt;K$29,J$28,K78&lt;K$30,J$29,K78&lt;K$31,J$30,K78&lt;K$32,J$31,K78&lt;K$33,J$32,K78&lt;K$34,J$33,K78&lt;K$35,J$34,K78&lt;K$36,J$35,K78&lt;K$37,J$36,K78&lt;K$38,J$37,K78&lt;K$39,J$38,K78&lt;K$40,J$39,K78&lt;K$41,J$40,K78&lt;K$42,J$41,K78&lt;K$43,J$42,K78&lt;K$44,J$43,K78&lt;K$45,J$44,K78&lt;K$46,J$45,K78&lt;K$47,J$46,K78&gt;=K$47,J$47)</f>
        <v/>
      </c>
      <c r="K78" s="38" t="n">
        <v>28</v>
      </c>
      <c r="L78" s="31">
        <f>K78/52</f>
        <v/>
      </c>
      <c r="M78" s="39">
        <f>J78/1000000*52</f>
        <v/>
      </c>
      <c r="N78" s="33">
        <f>M78/$P$4+($I$22/$P$4)</f>
        <v/>
      </c>
      <c r="U78">
        <f>F77</f>
        <v/>
      </c>
      <c r="V78">
        <f>H77</f>
        <v/>
      </c>
      <c r="W78">
        <f>N77</f>
        <v/>
      </c>
    </row>
    <row r="79" ht="15.75" customHeight="1" s="40">
      <c r="C79" s="36">
        <f>_xlfn.IFS(E79&lt;E$24,0,E79&lt;E$26,C$24,E79&lt;E$28,C$26,E79&lt;E$30,C$28,E79&lt;E$32,C$30,E79&lt;E$34,C$32,E79&gt;=E$34,C$34)</f>
        <v/>
      </c>
      <c r="D79" s="37">
        <f>_xlfn.IFS(E79&lt;E$24,0,E79&lt;E$25,D$24,E79&lt;E$26,D$25,E79&lt;E$27,D$26,E79&lt;E$28,D$27,E79&lt;E$29,D$28,E79&lt;E$30,D$29,E79&lt;E$31,D$30,E79&lt;E$32,D$31,E79&lt;E$33,D$32,E79&lt;E$34,D$33,E79&lt;E$35,D$34,E79&gt;=E$35,D$35)</f>
        <v/>
      </c>
      <c r="E79" s="38" t="n">
        <v>29</v>
      </c>
      <c r="F79" s="31">
        <f>E79/52</f>
        <v/>
      </c>
      <c r="G79" s="39">
        <f>D79/1000000*52</f>
        <v/>
      </c>
      <c r="H79" s="33">
        <f>G79/$P$4+($C$22/$P$4)</f>
        <v/>
      </c>
      <c r="I79" s="36">
        <f>_xlfn.IFS(K79&lt;K$24,0,K79&lt;K$26,I$24,K79&lt;K$28,I$26,K79&lt;K$30,I$28,K79&lt;K$32,I$30,K79&lt;K$34,I$32,K79&lt;K$36,I$34,K79&lt;K$38,I$36,K79&lt;K$40,I$38,K79&lt;K$42,I$40,K79&lt;K$44,I$42,K79&lt;K$46,I$44,K79&gt;=K$46,I$46)</f>
        <v/>
      </c>
      <c r="J79" s="37">
        <f>_xlfn.IFS(K79&lt;K$24,0,K79&lt;K$25,J$24,K79&lt;K$26,J$25,K79&lt;K$27,J$26,K79&lt;K$28,J$27,K79&lt;K$29,J$28,K79&lt;K$30,J$29,K79&lt;K$31,J$30,K79&lt;K$32,J$31,K79&lt;K$33,J$32,K79&lt;K$34,J$33,K79&lt;K$35,J$34,K79&lt;K$36,J$35,K79&lt;K$37,J$36,K79&lt;K$38,J$37,K79&lt;K$39,J$38,K79&lt;K$40,J$39,K79&lt;K$41,J$40,K79&lt;K$42,J$41,K79&lt;K$43,J$42,K79&lt;K$44,J$43,K79&lt;K$45,J$44,K79&lt;K$46,J$45,K79&lt;K$47,J$46,K79&gt;=K$47,J$47)</f>
        <v/>
      </c>
      <c r="K79" s="38" t="n">
        <v>29</v>
      </c>
      <c r="L79" s="31">
        <f>K79/52</f>
        <v/>
      </c>
      <c r="M79" s="39">
        <f>J79/1000000*52</f>
        <v/>
      </c>
      <c r="N79" s="33">
        <f>M79/$P$4+($I$22/$P$4)</f>
        <v/>
      </c>
      <c r="U79">
        <f>F78</f>
        <v/>
      </c>
      <c r="V79">
        <f>H78</f>
        <v/>
      </c>
      <c r="W79">
        <f>N78</f>
        <v/>
      </c>
    </row>
    <row r="80" ht="15.75" customHeight="1" s="40">
      <c r="C80" s="36">
        <f>_xlfn.IFS(E80&lt;E$24,0,E80&lt;E$26,C$24,E80&lt;E$28,C$26,E80&lt;E$30,C$28,E80&lt;E$32,C$30,E80&lt;E$34,C$32,E80&gt;=E$34,C$34)</f>
        <v/>
      </c>
      <c r="D80" s="37">
        <f>_xlfn.IFS(E80&lt;E$24,0,E80&lt;E$25,D$24,E80&lt;E$26,D$25,E80&lt;E$27,D$26,E80&lt;E$28,D$27,E80&lt;E$29,D$28,E80&lt;E$30,D$29,E80&lt;E$31,D$30,E80&lt;E$32,D$31,E80&lt;E$33,D$32,E80&lt;E$34,D$33,E80&lt;E$35,D$34,E80&gt;=E$35,D$35)</f>
        <v/>
      </c>
      <c r="E80" s="38" t="n">
        <v>30</v>
      </c>
      <c r="F80" s="31">
        <f>E80/52</f>
        <v/>
      </c>
      <c r="G80" s="39">
        <f>D80/1000000*52</f>
        <v/>
      </c>
      <c r="H80" s="33">
        <f>G80/$P$4+($C$22/$P$4)</f>
        <v/>
      </c>
      <c r="I80" s="36">
        <f>_xlfn.IFS(K80&lt;K$24,0,K80&lt;K$26,I$24,K80&lt;K$28,I$26,K80&lt;K$30,I$28,K80&lt;K$32,I$30,K80&lt;K$34,I$32,K80&lt;K$36,I$34,K80&lt;K$38,I$36,K80&lt;K$40,I$38,K80&lt;K$42,I$40,K80&lt;K$44,I$42,K80&lt;K$46,I$44,K80&gt;=K$46,I$46)</f>
        <v/>
      </c>
      <c r="J80" s="37">
        <f>_xlfn.IFS(K80&lt;K$24,0,K80&lt;K$25,J$24,K80&lt;K$26,J$25,K80&lt;K$27,J$26,K80&lt;K$28,J$27,K80&lt;K$29,J$28,K80&lt;K$30,J$29,K80&lt;K$31,J$30,K80&lt;K$32,J$31,K80&lt;K$33,J$32,K80&lt;K$34,J$33,K80&lt;K$35,J$34,K80&lt;K$36,J$35,K80&lt;K$37,J$36,K80&lt;K$38,J$37,K80&lt;K$39,J$38,K80&lt;K$40,J$39,K80&lt;K$41,J$40,K80&lt;K$42,J$41,K80&lt;K$43,J$42,K80&lt;K$44,J$43,K80&lt;K$45,J$44,K80&lt;K$46,J$45,K80&lt;K$47,J$46,K80&gt;=K$47,J$47)</f>
        <v/>
      </c>
      <c r="K80" s="38" t="n">
        <v>30</v>
      </c>
      <c r="L80" s="31">
        <f>K80/52</f>
        <v/>
      </c>
      <c r="M80" s="39">
        <f>J80/1000000*52</f>
        <v/>
      </c>
      <c r="N80" s="33">
        <f>M80/$P$4+($I$22/$P$4)</f>
        <v/>
      </c>
      <c r="U80">
        <f>F79</f>
        <v/>
      </c>
      <c r="V80">
        <f>H79</f>
        <v/>
      </c>
      <c r="W80">
        <f>N79</f>
        <v/>
      </c>
    </row>
    <row r="81" ht="15.75" customHeight="1" s="40">
      <c r="C81" s="36">
        <f>_xlfn.IFS(E81&lt;E$24,0,E81&lt;E$26,C$24,E81&lt;E$28,C$26,E81&lt;E$30,C$28,E81&lt;E$32,C$30,E81&lt;E$34,C$32,E81&gt;=E$34,C$34)</f>
        <v/>
      </c>
      <c r="D81" s="37">
        <f>_xlfn.IFS(E81&lt;E$24,0,E81&lt;E$25,D$24,E81&lt;E$26,D$25,E81&lt;E$27,D$26,E81&lt;E$28,D$27,E81&lt;E$29,D$28,E81&lt;E$30,D$29,E81&lt;E$31,D$30,E81&lt;E$32,D$31,E81&lt;E$33,D$32,E81&lt;E$34,D$33,E81&lt;E$35,D$34,E81&gt;=E$35,D$35)</f>
        <v/>
      </c>
      <c r="E81" s="38" t="n">
        <v>31</v>
      </c>
      <c r="F81" s="31">
        <f>E81/52</f>
        <v/>
      </c>
      <c r="G81" s="39">
        <f>D81/1000000*52</f>
        <v/>
      </c>
      <c r="H81" s="33">
        <f>G81/$P$4+($C$22/$P$4)</f>
        <v/>
      </c>
      <c r="I81" s="36">
        <f>_xlfn.IFS(K81&lt;K$24,0,K81&lt;K$26,I$24,K81&lt;K$28,I$26,K81&lt;K$30,I$28,K81&lt;K$32,I$30,K81&lt;K$34,I$32,K81&lt;K$36,I$34,K81&lt;K$38,I$36,K81&lt;K$40,I$38,K81&lt;K$42,I$40,K81&lt;K$44,I$42,K81&lt;K$46,I$44,K81&gt;=K$46,I$46)</f>
        <v/>
      </c>
      <c r="J81" s="37">
        <f>_xlfn.IFS(K81&lt;K$24,0,K81&lt;K$25,J$24,K81&lt;K$26,J$25,K81&lt;K$27,J$26,K81&lt;K$28,J$27,K81&lt;K$29,J$28,K81&lt;K$30,J$29,K81&lt;K$31,J$30,K81&lt;K$32,J$31,K81&lt;K$33,J$32,K81&lt;K$34,J$33,K81&lt;K$35,J$34,K81&lt;K$36,J$35,K81&lt;K$37,J$36,K81&lt;K$38,J$37,K81&lt;K$39,J$38,K81&lt;K$40,J$39,K81&lt;K$41,J$40,K81&lt;K$42,J$41,K81&lt;K$43,J$42,K81&lt;K$44,J$43,K81&lt;K$45,J$44,K81&lt;K$46,J$45,K81&lt;K$47,J$46,K81&gt;=K$47,J$47)</f>
        <v/>
      </c>
      <c r="K81" s="38" t="n">
        <v>31</v>
      </c>
      <c r="L81" s="31">
        <f>K81/52</f>
        <v/>
      </c>
      <c r="M81" s="39">
        <f>J81/1000000*52</f>
        <v/>
      </c>
      <c r="N81" s="33">
        <f>M81/$P$4+($I$22/$P$4)</f>
        <v/>
      </c>
      <c r="U81">
        <f>F80</f>
        <v/>
      </c>
      <c r="V81">
        <f>H80</f>
        <v/>
      </c>
      <c r="W81">
        <f>N80</f>
        <v/>
      </c>
    </row>
    <row r="82" ht="15.75" customHeight="1" s="40">
      <c r="C82" s="36">
        <f>_xlfn.IFS(E82&lt;E$24,0,E82&lt;E$26,C$24,E82&lt;E$28,C$26,E82&lt;E$30,C$28,E82&lt;E$32,C$30,E82&lt;E$34,C$32,E82&gt;=E$34,C$34)</f>
        <v/>
      </c>
      <c r="D82" s="37">
        <f>_xlfn.IFS(E82&lt;E$24,0,E82&lt;E$25,D$24,E82&lt;E$26,D$25,E82&lt;E$27,D$26,E82&lt;E$28,D$27,E82&lt;E$29,D$28,E82&lt;E$30,D$29,E82&lt;E$31,D$30,E82&lt;E$32,D$31,E82&lt;E$33,D$32,E82&lt;E$34,D$33,E82&lt;E$35,D$34,E82&gt;=E$35,D$35)</f>
        <v/>
      </c>
      <c r="E82" s="38" t="n">
        <v>32</v>
      </c>
      <c r="F82" s="31">
        <f>E82/52</f>
        <v/>
      </c>
      <c r="G82" s="39">
        <f>D82/1000000*52</f>
        <v/>
      </c>
      <c r="H82" s="33">
        <f>G82/$P$4+($C$22/$P$4)</f>
        <v/>
      </c>
      <c r="I82" s="36">
        <f>_xlfn.IFS(K82&lt;K$24,0,K82&lt;K$26,I$24,K82&lt;K$28,I$26,K82&lt;K$30,I$28,K82&lt;K$32,I$30,K82&lt;K$34,I$32,K82&lt;K$36,I$34,K82&lt;K$38,I$36,K82&lt;K$40,I$38,K82&lt;K$42,I$40,K82&lt;K$44,I$42,K82&lt;K$46,I$44,K82&gt;=K$46,I$46)</f>
        <v/>
      </c>
      <c r="J82" s="37">
        <f>_xlfn.IFS(K82&lt;K$24,0,K82&lt;K$25,J$24,K82&lt;K$26,J$25,K82&lt;K$27,J$26,K82&lt;K$28,J$27,K82&lt;K$29,J$28,K82&lt;K$30,J$29,K82&lt;K$31,J$30,K82&lt;K$32,J$31,K82&lt;K$33,J$32,K82&lt;K$34,J$33,K82&lt;K$35,J$34,K82&lt;K$36,J$35,K82&lt;K$37,J$36,K82&lt;K$38,J$37,K82&lt;K$39,J$38,K82&lt;K$40,J$39,K82&lt;K$41,J$40,K82&lt;K$42,J$41,K82&lt;K$43,J$42,K82&lt;K$44,J$43,K82&lt;K$45,J$44,K82&lt;K$46,J$45,K82&lt;K$47,J$46,K82&gt;=K$47,J$47)</f>
        <v/>
      </c>
      <c r="K82" s="38" t="n">
        <v>32</v>
      </c>
      <c r="L82" s="31">
        <f>K82/52</f>
        <v/>
      </c>
      <c r="M82" s="39">
        <f>J82/1000000*52</f>
        <v/>
      </c>
      <c r="N82" s="33">
        <f>M82/$P$4+($I$22/$P$4)</f>
        <v/>
      </c>
      <c r="U82">
        <f>F81</f>
        <v/>
      </c>
      <c r="V82">
        <f>H81</f>
        <v/>
      </c>
      <c r="W82">
        <f>N81</f>
        <v/>
      </c>
    </row>
    <row r="83" ht="15.75" customHeight="1" s="40">
      <c r="C83" s="36">
        <f>_xlfn.IFS(E83&lt;E$24,0,E83&lt;E$26,C$24,E83&lt;E$28,C$26,E83&lt;E$30,C$28,E83&lt;E$32,C$30,E83&lt;E$34,C$32,E83&gt;=E$34,C$34)</f>
        <v/>
      </c>
      <c r="D83" s="37">
        <f>_xlfn.IFS(E83&lt;E$24,0,E83&lt;E$25,D$24,E83&lt;E$26,D$25,E83&lt;E$27,D$26,E83&lt;E$28,D$27,E83&lt;E$29,D$28,E83&lt;E$30,D$29,E83&lt;E$31,D$30,E83&lt;E$32,D$31,E83&lt;E$33,D$32,E83&lt;E$34,D$33,E83&lt;E$35,D$34,E83&gt;=E$35,D$35)</f>
        <v/>
      </c>
      <c r="E83" s="38" t="n">
        <v>33</v>
      </c>
      <c r="F83" s="31">
        <f>E83/52</f>
        <v/>
      </c>
      <c r="G83" s="39">
        <f>D83/1000000*52</f>
        <v/>
      </c>
      <c r="H83" s="33">
        <f>G83/$P$4+($C$22/$P$4)</f>
        <v/>
      </c>
      <c r="I83" s="36">
        <f>_xlfn.IFS(K83&lt;K$24,0,K83&lt;K$26,I$24,K83&lt;K$28,I$26,K83&lt;K$30,I$28,K83&lt;K$32,I$30,K83&lt;K$34,I$32,K83&lt;K$36,I$34,K83&lt;K$38,I$36,K83&lt;K$40,I$38,K83&lt;K$42,I$40,K83&lt;K$44,I$42,K83&lt;K$46,I$44,K83&gt;=K$46,I$46)</f>
        <v/>
      </c>
      <c r="J83" s="37">
        <f>_xlfn.IFS(K83&lt;K$24,0,K83&lt;K$25,J$24,K83&lt;K$26,J$25,K83&lt;K$27,J$26,K83&lt;K$28,J$27,K83&lt;K$29,J$28,K83&lt;K$30,J$29,K83&lt;K$31,J$30,K83&lt;K$32,J$31,K83&lt;K$33,J$32,K83&lt;K$34,J$33,K83&lt;K$35,J$34,K83&lt;K$36,J$35,K83&lt;K$37,J$36,K83&lt;K$38,J$37,K83&lt;K$39,J$38,K83&lt;K$40,J$39,K83&lt;K$41,J$40,K83&lt;K$42,J$41,K83&lt;K$43,J$42,K83&lt;K$44,J$43,K83&lt;K$45,J$44,K83&lt;K$46,J$45,K83&lt;K$47,J$46,K83&gt;=K$47,J$47)</f>
        <v/>
      </c>
      <c r="K83" s="38" t="n">
        <v>33</v>
      </c>
      <c r="L83" s="31">
        <f>K83/52</f>
        <v/>
      </c>
      <c r="M83" s="39">
        <f>J83/1000000*52</f>
        <v/>
      </c>
      <c r="N83" s="33">
        <f>M83/$P$4+($I$22/$P$4)</f>
        <v/>
      </c>
      <c r="U83">
        <f>F82</f>
        <v/>
      </c>
      <c r="V83">
        <f>H82</f>
        <v/>
      </c>
      <c r="W83">
        <f>N82</f>
        <v/>
      </c>
    </row>
    <row r="84" ht="15.75" customHeight="1" s="40">
      <c r="C84" s="36">
        <f>_xlfn.IFS(E84&lt;E$24,0,E84&lt;E$26,C$24,E84&lt;E$28,C$26,E84&lt;E$30,C$28,E84&lt;E$32,C$30,E84&lt;E$34,C$32,E84&gt;=E$34,C$34)</f>
        <v/>
      </c>
      <c r="D84" s="37">
        <f>_xlfn.IFS(E84&lt;E$24,0,E84&lt;E$25,D$24,E84&lt;E$26,D$25,E84&lt;E$27,D$26,E84&lt;E$28,D$27,E84&lt;E$29,D$28,E84&lt;E$30,D$29,E84&lt;E$31,D$30,E84&lt;E$32,D$31,E84&lt;E$33,D$32,E84&lt;E$34,D$33,E84&lt;E$35,D$34,E84&gt;=E$35,D$35)</f>
        <v/>
      </c>
      <c r="E84" s="38" t="n">
        <v>34</v>
      </c>
      <c r="F84" s="31">
        <f>E84/52</f>
        <v/>
      </c>
      <c r="G84" s="39">
        <f>D84/1000000*52</f>
        <v/>
      </c>
      <c r="H84" s="33">
        <f>G84/$P$4+($C$22/$P$4)</f>
        <v/>
      </c>
      <c r="I84" s="36">
        <f>_xlfn.IFS(K84&lt;K$24,0,K84&lt;K$26,I$24,K84&lt;K$28,I$26,K84&lt;K$30,I$28,K84&lt;K$32,I$30,K84&lt;K$34,I$32,K84&lt;K$36,I$34,K84&lt;K$38,I$36,K84&lt;K$40,I$38,K84&lt;K$42,I$40,K84&lt;K$44,I$42,K84&lt;K$46,I$44,K84&gt;=K$46,I$46)</f>
        <v/>
      </c>
      <c r="J84" s="37">
        <f>_xlfn.IFS(K84&lt;K$24,0,K84&lt;K$25,J$24,K84&lt;K$26,J$25,K84&lt;K$27,J$26,K84&lt;K$28,J$27,K84&lt;K$29,J$28,K84&lt;K$30,J$29,K84&lt;K$31,J$30,K84&lt;K$32,J$31,K84&lt;K$33,J$32,K84&lt;K$34,J$33,K84&lt;K$35,J$34,K84&lt;K$36,J$35,K84&lt;K$37,J$36,K84&lt;K$38,J$37,K84&lt;K$39,J$38,K84&lt;K$40,J$39,K84&lt;K$41,J$40,K84&lt;K$42,J$41,K84&lt;K$43,J$42,K84&lt;K$44,J$43,K84&lt;K$45,J$44,K84&lt;K$46,J$45,K84&lt;K$47,J$46,K84&gt;=K$47,J$47)</f>
        <v/>
      </c>
      <c r="K84" s="38" t="n">
        <v>34</v>
      </c>
      <c r="L84" s="31">
        <f>K84/52</f>
        <v/>
      </c>
      <c r="M84" s="39">
        <f>J84/1000000*52</f>
        <v/>
      </c>
      <c r="N84" s="33">
        <f>M84/$P$4+($I$22/$P$4)</f>
        <v/>
      </c>
      <c r="U84">
        <f>F83</f>
        <v/>
      </c>
      <c r="V84">
        <f>H83</f>
        <v/>
      </c>
      <c r="W84">
        <f>N83</f>
        <v/>
      </c>
    </row>
    <row r="85" ht="15.75" customHeight="1" s="40">
      <c r="C85" s="36">
        <f>_xlfn.IFS(E85&lt;E$24,0,E85&lt;E$26,C$24,E85&lt;E$28,C$26,E85&lt;E$30,C$28,E85&lt;E$32,C$30,E85&lt;E$34,C$32,E85&gt;=E$34,C$34)</f>
        <v/>
      </c>
      <c r="D85" s="37">
        <f>_xlfn.IFS(E85&lt;E$24,0,E85&lt;E$25,D$24,E85&lt;E$26,D$25,E85&lt;E$27,D$26,E85&lt;E$28,D$27,E85&lt;E$29,D$28,E85&lt;E$30,D$29,E85&lt;E$31,D$30,E85&lt;E$32,D$31,E85&lt;E$33,D$32,E85&lt;E$34,D$33,E85&lt;E$35,D$34,E85&gt;=E$35,D$35)</f>
        <v/>
      </c>
      <c r="E85" s="38" t="n">
        <v>35</v>
      </c>
      <c r="F85" s="31">
        <f>E85/52</f>
        <v/>
      </c>
      <c r="G85" s="39">
        <f>D85/1000000*52</f>
        <v/>
      </c>
      <c r="H85" s="33">
        <f>G85/$P$4+($C$22/$P$4)</f>
        <v/>
      </c>
      <c r="I85" s="36">
        <f>_xlfn.IFS(K85&lt;K$24,0,K85&lt;K$26,I$24,K85&lt;K$28,I$26,K85&lt;K$30,I$28,K85&lt;K$32,I$30,K85&lt;K$34,I$32,K85&lt;K$36,I$34,K85&lt;K$38,I$36,K85&lt;K$40,I$38,K85&lt;K$42,I$40,K85&lt;K$44,I$42,K85&lt;K$46,I$44,K85&gt;=K$46,I$46)</f>
        <v/>
      </c>
      <c r="J85" s="37">
        <f>_xlfn.IFS(K85&lt;K$24,0,K85&lt;K$25,J$24,K85&lt;K$26,J$25,K85&lt;K$27,J$26,K85&lt;K$28,J$27,K85&lt;K$29,J$28,K85&lt;K$30,J$29,K85&lt;K$31,J$30,K85&lt;K$32,J$31,K85&lt;K$33,J$32,K85&lt;K$34,J$33,K85&lt;K$35,J$34,K85&lt;K$36,J$35,K85&lt;K$37,J$36,K85&lt;K$38,J$37,K85&lt;K$39,J$38,K85&lt;K$40,J$39,K85&lt;K$41,J$40,K85&lt;K$42,J$41,K85&lt;K$43,J$42,K85&lt;K$44,J$43,K85&lt;K$45,J$44,K85&lt;K$46,J$45,K85&lt;K$47,J$46,K85&gt;=K$47,J$47)</f>
        <v/>
      </c>
      <c r="K85" s="38" t="n">
        <v>35</v>
      </c>
      <c r="L85" s="31">
        <f>K85/52</f>
        <v/>
      </c>
      <c r="M85" s="39">
        <f>J85/1000000*52</f>
        <v/>
      </c>
      <c r="N85" s="33">
        <f>M85/$P$4+($I$22/$P$4)</f>
        <v/>
      </c>
      <c r="U85">
        <f>F84</f>
        <v/>
      </c>
      <c r="V85">
        <f>H84</f>
        <v/>
      </c>
      <c r="W85">
        <f>N84</f>
        <v/>
      </c>
    </row>
    <row r="86" ht="15.75" customHeight="1" s="40">
      <c r="C86" s="36">
        <f>_xlfn.IFS(E86&lt;E$24,0,E86&lt;E$26,C$24,E86&lt;E$28,C$26,E86&lt;E$30,C$28,E86&lt;E$32,C$30,E86&lt;E$34,C$32,E86&gt;=E$34,C$34)</f>
        <v/>
      </c>
      <c r="D86" s="37">
        <f>_xlfn.IFS(E86&lt;E$24,0,E86&lt;E$25,D$24,E86&lt;E$26,D$25,E86&lt;E$27,D$26,E86&lt;E$28,D$27,E86&lt;E$29,D$28,E86&lt;E$30,D$29,E86&lt;E$31,D$30,E86&lt;E$32,D$31,E86&lt;E$33,D$32,E86&lt;E$34,D$33,E86&lt;E$35,D$34,E86&gt;=E$35,D$35)</f>
        <v/>
      </c>
      <c r="E86" s="38" t="n">
        <v>36</v>
      </c>
      <c r="F86" s="31">
        <f>E86/52</f>
        <v/>
      </c>
      <c r="G86" s="39">
        <f>D86/1000000*52</f>
        <v/>
      </c>
      <c r="H86" s="33">
        <f>G86/$P$4+($C$22/$P$4)</f>
        <v/>
      </c>
      <c r="I86" s="36">
        <f>_xlfn.IFS(K86&lt;K$24,0,K86&lt;K$26,I$24,K86&lt;K$28,I$26,K86&lt;K$30,I$28,K86&lt;K$32,I$30,K86&lt;K$34,I$32,K86&lt;K$36,I$34,K86&lt;K$38,I$36,K86&lt;K$40,I$38,K86&lt;K$42,I$40,K86&lt;K$44,I$42,K86&lt;K$46,I$44,K86&gt;=K$46,I$46)</f>
        <v/>
      </c>
      <c r="J86" s="37">
        <f>_xlfn.IFS(K86&lt;K$24,0,K86&lt;K$25,J$24,K86&lt;K$26,J$25,K86&lt;K$27,J$26,K86&lt;K$28,J$27,K86&lt;K$29,J$28,K86&lt;K$30,J$29,K86&lt;K$31,J$30,K86&lt;K$32,J$31,K86&lt;K$33,J$32,K86&lt;K$34,J$33,K86&lt;K$35,J$34,K86&lt;K$36,J$35,K86&lt;K$37,J$36,K86&lt;K$38,J$37,K86&lt;K$39,J$38,K86&lt;K$40,J$39,K86&lt;K$41,J$40,K86&lt;K$42,J$41,K86&lt;K$43,J$42,K86&lt;K$44,J$43,K86&lt;K$45,J$44,K86&lt;K$46,J$45,K86&lt;K$47,J$46,K86&gt;=K$47,J$47)</f>
        <v/>
      </c>
      <c r="K86" s="38" t="n">
        <v>36</v>
      </c>
      <c r="L86" s="31">
        <f>K86/52</f>
        <v/>
      </c>
      <c r="M86" s="39">
        <f>J86/1000000*52</f>
        <v/>
      </c>
      <c r="N86" s="33">
        <f>M86/$P$4+($I$22/$P$4)</f>
        <v/>
      </c>
      <c r="U86">
        <f>F85</f>
        <v/>
      </c>
      <c r="V86">
        <f>H85</f>
        <v/>
      </c>
      <c r="W86">
        <f>N85</f>
        <v/>
      </c>
    </row>
    <row r="87" ht="15.75" customHeight="1" s="40">
      <c r="C87" s="36">
        <f>_xlfn.IFS(E87&lt;E$24,0,E87&lt;E$26,C$24,E87&lt;E$28,C$26,E87&lt;E$30,C$28,E87&lt;E$32,C$30,E87&lt;E$34,C$32,E87&gt;=E$34,C$34)</f>
        <v/>
      </c>
      <c r="D87" s="37">
        <f>_xlfn.IFS(E87&lt;E$24,0,E87&lt;E$25,D$24,E87&lt;E$26,D$25,E87&lt;E$27,D$26,E87&lt;E$28,D$27,E87&lt;E$29,D$28,E87&lt;E$30,D$29,E87&lt;E$31,D$30,E87&lt;E$32,D$31,E87&lt;E$33,D$32,E87&lt;E$34,D$33,E87&lt;E$35,D$34,E87&gt;=E$35,D$35)</f>
        <v/>
      </c>
      <c r="E87" s="38" t="n">
        <v>37</v>
      </c>
      <c r="F87" s="31">
        <f>E87/52</f>
        <v/>
      </c>
      <c r="G87" s="39">
        <f>D87/1000000*52</f>
        <v/>
      </c>
      <c r="H87" s="33">
        <f>G87/$P$4+($C$22/$P$4)</f>
        <v/>
      </c>
      <c r="I87" s="36">
        <f>_xlfn.IFS(K87&lt;K$24,0,K87&lt;K$26,I$24,K87&lt;K$28,I$26,K87&lt;K$30,I$28,K87&lt;K$32,I$30,K87&lt;K$34,I$32,K87&lt;K$36,I$34,K87&lt;K$38,I$36,K87&lt;K$40,I$38,K87&lt;K$42,I$40,K87&lt;K$44,I$42,K87&lt;K$46,I$44,K87&gt;=K$46,I$46)</f>
        <v/>
      </c>
      <c r="J87" s="37">
        <f>_xlfn.IFS(K87&lt;K$24,0,K87&lt;K$25,J$24,K87&lt;K$26,J$25,K87&lt;K$27,J$26,K87&lt;K$28,J$27,K87&lt;K$29,J$28,K87&lt;K$30,J$29,K87&lt;K$31,J$30,K87&lt;K$32,J$31,K87&lt;K$33,J$32,K87&lt;K$34,J$33,K87&lt;K$35,J$34,K87&lt;K$36,J$35,K87&lt;K$37,J$36,K87&lt;K$38,J$37,K87&lt;K$39,J$38,K87&lt;K$40,J$39,K87&lt;K$41,J$40,K87&lt;K$42,J$41,K87&lt;K$43,J$42,K87&lt;K$44,J$43,K87&lt;K$45,J$44,K87&lt;K$46,J$45,K87&lt;K$47,J$46,K87&gt;=K$47,J$47)</f>
        <v/>
      </c>
      <c r="K87" s="38" t="n">
        <v>37</v>
      </c>
      <c r="L87" s="31">
        <f>K87/52</f>
        <v/>
      </c>
      <c r="M87" s="39">
        <f>J87/1000000*52</f>
        <v/>
      </c>
      <c r="N87" s="33">
        <f>M87/$P$4+($I$22/$P$4)</f>
        <v/>
      </c>
      <c r="U87">
        <f>F86</f>
        <v/>
      </c>
      <c r="V87">
        <f>H86</f>
        <v/>
      </c>
      <c r="W87">
        <f>N86</f>
        <v/>
      </c>
    </row>
    <row r="88" ht="15.75" customHeight="1" s="40">
      <c r="C88" s="36">
        <f>_xlfn.IFS(E88&lt;E$24,0,E88&lt;E$26,C$24,E88&lt;E$28,C$26,E88&lt;E$30,C$28,E88&lt;E$32,C$30,E88&lt;E$34,C$32,E88&gt;=E$34,C$34)</f>
        <v/>
      </c>
      <c r="D88" s="37">
        <f>_xlfn.IFS(E88&lt;E$24,0,E88&lt;E$25,D$24,E88&lt;E$26,D$25,E88&lt;E$27,D$26,E88&lt;E$28,D$27,E88&lt;E$29,D$28,E88&lt;E$30,D$29,E88&lt;E$31,D$30,E88&lt;E$32,D$31,E88&lt;E$33,D$32,E88&lt;E$34,D$33,E88&lt;E$35,D$34,E88&gt;=E$35,D$35)</f>
        <v/>
      </c>
      <c r="E88" s="38" t="n">
        <v>38</v>
      </c>
      <c r="F88" s="31">
        <f>E88/52</f>
        <v/>
      </c>
      <c r="G88" s="39">
        <f>D88/1000000*52</f>
        <v/>
      </c>
      <c r="H88" s="33">
        <f>G88/$P$4+($C$22/$P$4)</f>
        <v/>
      </c>
      <c r="I88" s="36">
        <f>_xlfn.IFS(K88&lt;K$24,0,K88&lt;K$26,I$24,K88&lt;K$28,I$26,K88&lt;K$30,I$28,K88&lt;K$32,I$30,K88&lt;K$34,I$32,K88&lt;K$36,I$34,K88&lt;K$38,I$36,K88&lt;K$40,I$38,K88&lt;K$42,I$40,K88&lt;K$44,I$42,K88&lt;K$46,I$44,K88&gt;=K$46,I$46)</f>
        <v/>
      </c>
      <c r="J88" s="37">
        <f>_xlfn.IFS(K88&lt;K$24,0,K88&lt;K$25,J$24,K88&lt;K$26,J$25,K88&lt;K$27,J$26,K88&lt;K$28,J$27,K88&lt;K$29,J$28,K88&lt;K$30,J$29,K88&lt;K$31,J$30,K88&lt;K$32,J$31,K88&lt;K$33,J$32,K88&lt;K$34,J$33,K88&lt;K$35,J$34,K88&lt;K$36,J$35,K88&lt;K$37,J$36,K88&lt;K$38,J$37,K88&lt;K$39,J$38,K88&lt;K$40,J$39,K88&lt;K$41,J$40,K88&lt;K$42,J$41,K88&lt;K$43,J$42,K88&lt;K$44,J$43,K88&lt;K$45,J$44,K88&lt;K$46,J$45,K88&lt;K$47,J$46,K88&gt;=K$47,J$47)</f>
        <v/>
      </c>
      <c r="K88" s="38" t="n">
        <v>38</v>
      </c>
      <c r="L88" s="31">
        <f>K88/52</f>
        <v/>
      </c>
      <c r="M88" s="39">
        <f>J88/1000000*52</f>
        <v/>
      </c>
      <c r="N88" s="33">
        <f>M88/$P$4+($I$22/$P$4)</f>
        <v/>
      </c>
      <c r="U88">
        <f>F87</f>
        <v/>
      </c>
      <c r="V88">
        <f>H87</f>
        <v/>
      </c>
      <c r="W88">
        <f>N87</f>
        <v/>
      </c>
    </row>
    <row r="89" ht="15.75" customHeight="1" s="40">
      <c r="C89" s="36">
        <f>_xlfn.IFS(E89&lt;E$24,0,E89&lt;E$26,C$24,E89&lt;E$28,C$26,E89&lt;E$30,C$28,E89&lt;E$32,C$30,E89&lt;E$34,C$32,E89&gt;=E$34,C$34)</f>
        <v/>
      </c>
      <c r="D89" s="37">
        <f>_xlfn.IFS(E89&lt;E$24,0,E89&lt;E$25,D$24,E89&lt;E$26,D$25,E89&lt;E$27,D$26,E89&lt;E$28,D$27,E89&lt;E$29,D$28,E89&lt;E$30,D$29,E89&lt;E$31,D$30,E89&lt;E$32,D$31,E89&lt;E$33,D$32,E89&lt;E$34,D$33,E89&lt;E$35,D$34,E89&gt;=E$35,D$35)</f>
        <v/>
      </c>
      <c r="E89" s="38" t="n">
        <v>39</v>
      </c>
      <c r="F89" s="31">
        <f>E89/52</f>
        <v/>
      </c>
      <c r="G89" s="39">
        <f>D89/1000000*52</f>
        <v/>
      </c>
      <c r="H89" s="33">
        <f>G89/$P$4+($C$22/$P$4)</f>
        <v/>
      </c>
      <c r="I89" s="36">
        <f>_xlfn.IFS(K89&lt;K$24,0,K89&lt;K$26,I$24,K89&lt;K$28,I$26,K89&lt;K$30,I$28,K89&lt;K$32,I$30,K89&lt;K$34,I$32,K89&lt;K$36,I$34,K89&lt;K$38,I$36,K89&lt;K$40,I$38,K89&lt;K$42,I$40,K89&lt;K$44,I$42,K89&lt;K$46,I$44,K89&gt;=K$46,I$46)</f>
        <v/>
      </c>
      <c r="J89" s="37">
        <f>_xlfn.IFS(K89&lt;K$24,0,K89&lt;K$25,J$24,K89&lt;K$26,J$25,K89&lt;K$27,J$26,K89&lt;K$28,J$27,K89&lt;K$29,J$28,K89&lt;K$30,J$29,K89&lt;K$31,J$30,K89&lt;K$32,J$31,K89&lt;K$33,J$32,K89&lt;K$34,J$33,K89&lt;K$35,J$34,K89&lt;K$36,J$35,K89&lt;K$37,J$36,K89&lt;K$38,J$37,K89&lt;K$39,J$38,K89&lt;K$40,J$39,K89&lt;K$41,J$40,K89&lt;K$42,J$41,K89&lt;K$43,J$42,K89&lt;K$44,J$43,K89&lt;K$45,J$44,K89&lt;K$46,J$45,K89&lt;K$47,J$46,K89&gt;=K$47,J$47)</f>
        <v/>
      </c>
      <c r="K89" s="38" t="n">
        <v>39</v>
      </c>
      <c r="L89" s="31">
        <f>K89/52</f>
        <v/>
      </c>
      <c r="M89" s="39">
        <f>J89/1000000*52</f>
        <v/>
      </c>
      <c r="N89" s="33">
        <f>M89/$P$4+($I$22/$P$4)</f>
        <v/>
      </c>
      <c r="U89">
        <f>F88</f>
        <v/>
      </c>
      <c r="V89">
        <f>H88</f>
        <v/>
      </c>
      <c r="W89">
        <f>N88</f>
        <v/>
      </c>
    </row>
    <row r="90" ht="15.75" customHeight="1" s="40">
      <c r="C90" s="36">
        <f>_xlfn.IFS(E90&lt;E$24,0,E90&lt;E$26,C$24,E90&lt;E$28,C$26,E90&lt;E$30,C$28,E90&lt;E$32,C$30,E90&lt;E$34,C$32,E90&gt;=E$34,C$34)</f>
        <v/>
      </c>
      <c r="D90" s="37">
        <f>_xlfn.IFS(E90&lt;E$24,0,E90&lt;E$25,D$24,E90&lt;E$26,D$25,E90&lt;E$27,D$26,E90&lt;E$28,D$27,E90&lt;E$29,D$28,E90&lt;E$30,D$29,E90&lt;E$31,D$30,E90&lt;E$32,D$31,E90&lt;E$33,D$32,E90&lt;E$34,D$33,E90&lt;E$35,D$34,E90&gt;=E$35,D$35)</f>
        <v/>
      </c>
      <c r="E90" s="38" t="n">
        <v>40</v>
      </c>
      <c r="F90" s="31">
        <f>E90/52</f>
        <v/>
      </c>
      <c r="G90" s="39">
        <f>D90/1000000*52</f>
        <v/>
      </c>
      <c r="H90" s="33">
        <f>G90/$P$4+($C$22/$P$4)</f>
        <v/>
      </c>
      <c r="I90" s="36">
        <f>_xlfn.IFS(K90&lt;K$24,0,K90&lt;K$26,I$24,K90&lt;K$28,I$26,K90&lt;K$30,I$28,K90&lt;K$32,I$30,K90&lt;K$34,I$32,K90&lt;K$36,I$34,K90&lt;K$38,I$36,K90&lt;K$40,I$38,K90&lt;K$42,I$40,K90&lt;K$44,I$42,K90&lt;K$46,I$44,K90&gt;=K$46,I$46)</f>
        <v/>
      </c>
      <c r="J90" s="37">
        <f>_xlfn.IFS(K90&lt;K$24,0,K90&lt;K$25,J$24,K90&lt;K$26,J$25,K90&lt;K$27,J$26,K90&lt;K$28,J$27,K90&lt;K$29,J$28,K90&lt;K$30,J$29,K90&lt;K$31,J$30,K90&lt;K$32,J$31,K90&lt;K$33,J$32,K90&lt;K$34,J$33,K90&lt;K$35,J$34,K90&lt;K$36,J$35,K90&lt;K$37,J$36,K90&lt;K$38,J$37,K90&lt;K$39,J$38,K90&lt;K$40,J$39,K90&lt;K$41,J$40,K90&lt;K$42,J$41,K90&lt;K$43,J$42,K90&lt;K$44,J$43,K90&lt;K$45,J$44,K90&lt;K$46,J$45,K90&lt;K$47,J$46,K90&gt;=K$47,J$47)</f>
        <v/>
      </c>
      <c r="K90" s="38" t="n">
        <v>40</v>
      </c>
      <c r="L90" s="31">
        <f>K90/52</f>
        <v/>
      </c>
      <c r="M90" s="39">
        <f>J90/1000000*52</f>
        <v/>
      </c>
      <c r="N90" s="33">
        <f>M90/$P$4+($I$22/$P$4)</f>
        <v/>
      </c>
      <c r="U90">
        <f>F89</f>
        <v/>
      </c>
      <c r="V90">
        <f>H89</f>
        <v/>
      </c>
      <c r="W90">
        <f>N89</f>
        <v/>
      </c>
    </row>
    <row r="91" ht="15.75" customHeight="1" s="40">
      <c r="C91" s="36">
        <f>_xlfn.IFS(E91&lt;E$24,0,E91&lt;E$26,C$24,E91&lt;E$28,C$26,E91&lt;E$30,C$28,E91&lt;E$32,C$30,E91&lt;E$34,C$32,E91&gt;=E$34,C$34)</f>
        <v/>
      </c>
      <c r="D91" s="37">
        <f>_xlfn.IFS(E91&lt;E$24,0,E91&lt;E$25,D$24,E91&lt;E$26,D$25,E91&lt;E$27,D$26,E91&lt;E$28,D$27,E91&lt;E$29,D$28,E91&lt;E$30,D$29,E91&lt;E$31,D$30,E91&lt;E$32,D$31,E91&lt;E$33,D$32,E91&lt;E$34,D$33,E91&lt;E$35,D$34,E91&gt;=E$35,D$35)</f>
        <v/>
      </c>
      <c r="E91" s="38" t="n">
        <v>41</v>
      </c>
      <c r="F91" s="31">
        <f>E91/52</f>
        <v/>
      </c>
      <c r="G91" s="39">
        <f>D91/1000000*52</f>
        <v/>
      </c>
      <c r="H91" s="33">
        <f>G91/$P$4+($C$22/$P$4)</f>
        <v/>
      </c>
      <c r="I91" s="36">
        <f>_xlfn.IFS(K91&lt;K$24,0,K91&lt;K$26,I$24,K91&lt;K$28,I$26,K91&lt;K$30,I$28,K91&lt;K$32,I$30,K91&lt;K$34,I$32,K91&lt;K$36,I$34,K91&lt;K$38,I$36,K91&lt;K$40,I$38,K91&lt;K$42,I$40,K91&lt;K$44,I$42,K91&lt;K$46,I$44,K91&gt;=K$46,I$46)</f>
        <v/>
      </c>
      <c r="J91" s="37">
        <f>_xlfn.IFS(K91&lt;K$24,0,K91&lt;K$25,J$24,K91&lt;K$26,J$25,K91&lt;K$27,J$26,K91&lt;K$28,J$27,K91&lt;K$29,J$28,K91&lt;K$30,J$29,K91&lt;K$31,J$30,K91&lt;K$32,J$31,K91&lt;K$33,J$32,K91&lt;K$34,J$33,K91&lt;K$35,J$34,K91&lt;K$36,J$35,K91&lt;K$37,J$36,K91&lt;K$38,J$37,K91&lt;K$39,J$38,K91&lt;K$40,J$39,K91&lt;K$41,J$40,K91&lt;K$42,J$41,K91&lt;K$43,J$42,K91&lt;K$44,J$43,K91&lt;K$45,J$44,K91&lt;K$46,J$45,K91&lt;K$47,J$46,K91&gt;=K$47,J$47)</f>
        <v/>
      </c>
      <c r="K91" s="38" t="n">
        <v>41</v>
      </c>
      <c r="L91" s="31">
        <f>K91/52</f>
        <v/>
      </c>
      <c r="M91" s="39">
        <f>J91/1000000*52</f>
        <v/>
      </c>
      <c r="N91" s="33">
        <f>M91/$P$4+($I$22/$P$4)</f>
        <v/>
      </c>
      <c r="U91">
        <f>F90</f>
        <v/>
      </c>
      <c r="V91">
        <f>H90</f>
        <v/>
      </c>
      <c r="W91">
        <f>N90</f>
        <v/>
      </c>
    </row>
    <row r="92" ht="15.75" customHeight="1" s="40">
      <c r="C92" s="36">
        <f>_xlfn.IFS(E92&lt;E$24,0,E92&lt;E$26,C$24,E92&lt;E$28,C$26,E92&lt;E$30,C$28,E92&lt;E$32,C$30,E92&lt;E$34,C$32,E92&gt;=E$34,C$34)</f>
        <v/>
      </c>
      <c r="D92" s="37">
        <f>_xlfn.IFS(E92&lt;E$24,0,E92&lt;E$25,D$24,E92&lt;E$26,D$25,E92&lt;E$27,D$26,E92&lt;E$28,D$27,E92&lt;E$29,D$28,E92&lt;E$30,D$29,E92&lt;E$31,D$30,E92&lt;E$32,D$31,E92&lt;E$33,D$32,E92&lt;E$34,D$33,E92&lt;E$35,D$34,E92&gt;=E$35,D$35)</f>
        <v/>
      </c>
      <c r="E92" s="38" t="n">
        <v>42</v>
      </c>
      <c r="F92" s="31">
        <f>E92/52</f>
        <v/>
      </c>
      <c r="G92" s="39">
        <f>D92/1000000*52</f>
        <v/>
      </c>
      <c r="H92" s="33">
        <f>G92/$P$4+($C$22/$P$4)</f>
        <v/>
      </c>
      <c r="I92" s="36">
        <f>_xlfn.IFS(K92&lt;K$24,0,K92&lt;K$26,I$24,K92&lt;K$28,I$26,K92&lt;K$30,I$28,K92&lt;K$32,I$30,K92&lt;K$34,I$32,K92&lt;K$36,I$34,K92&lt;K$38,I$36,K92&lt;K$40,I$38,K92&lt;K$42,I$40,K92&lt;K$44,I$42,K92&lt;K$46,I$44,K92&gt;=K$46,I$46)</f>
        <v/>
      </c>
      <c r="J92" s="37">
        <f>_xlfn.IFS(K92&lt;K$24,0,K92&lt;K$25,J$24,K92&lt;K$26,J$25,K92&lt;K$27,J$26,K92&lt;K$28,J$27,K92&lt;K$29,J$28,K92&lt;K$30,J$29,K92&lt;K$31,J$30,K92&lt;K$32,J$31,K92&lt;K$33,J$32,K92&lt;K$34,J$33,K92&lt;K$35,J$34,K92&lt;K$36,J$35,K92&lt;K$37,J$36,K92&lt;K$38,J$37,K92&lt;K$39,J$38,K92&lt;K$40,J$39,K92&lt;K$41,J$40,K92&lt;K$42,J$41,K92&lt;K$43,J$42,K92&lt;K$44,J$43,K92&lt;K$45,J$44,K92&lt;K$46,J$45,K92&lt;K$47,J$46,K92&gt;=K$47,J$47)</f>
        <v/>
      </c>
      <c r="K92" s="38" t="n">
        <v>42</v>
      </c>
      <c r="L92" s="31">
        <f>K92/52</f>
        <v/>
      </c>
      <c r="M92" s="39">
        <f>J92/1000000*52</f>
        <v/>
      </c>
      <c r="N92" s="33">
        <f>M92/$P$4+($I$22/$P$4)</f>
        <v/>
      </c>
      <c r="U92">
        <f>F91</f>
        <v/>
      </c>
      <c r="V92">
        <f>H91</f>
        <v/>
      </c>
      <c r="W92">
        <f>N91</f>
        <v/>
      </c>
    </row>
    <row r="93" ht="15.75" customHeight="1" s="40">
      <c r="C93" s="36">
        <f>_xlfn.IFS(E93&lt;E$24,0,E93&lt;E$26,C$24,E93&lt;E$28,C$26,E93&lt;E$30,C$28,E93&lt;E$32,C$30,E93&lt;E$34,C$32,E93&gt;=E$34,C$34)</f>
        <v/>
      </c>
      <c r="D93" s="37">
        <f>_xlfn.IFS(E93&lt;E$24,0,E93&lt;E$25,D$24,E93&lt;E$26,D$25,E93&lt;E$27,D$26,E93&lt;E$28,D$27,E93&lt;E$29,D$28,E93&lt;E$30,D$29,E93&lt;E$31,D$30,E93&lt;E$32,D$31,E93&lt;E$33,D$32,E93&lt;E$34,D$33,E93&lt;E$35,D$34,E93&gt;=E$35,D$35)</f>
        <v/>
      </c>
      <c r="E93" s="38" t="n">
        <v>43</v>
      </c>
      <c r="F93" s="31">
        <f>E93/52</f>
        <v/>
      </c>
      <c r="G93" s="39">
        <f>D93/1000000*52</f>
        <v/>
      </c>
      <c r="H93" s="33">
        <f>G93/$P$4+($C$22/$P$4)</f>
        <v/>
      </c>
      <c r="I93" s="36">
        <f>_xlfn.IFS(K93&lt;K$24,0,K93&lt;K$26,I$24,K93&lt;K$28,I$26,K93&lt;K$30,I$28,K93&lt;K$32,I$30,K93&lt;K$34,I$32,K93&lt;K$36,I$34,K93&lt;K$38,I$36,K93&lt;K$40,I$38,K93&lt;K$42,I$40,K93&lt;K$44,I$42,K93&lt;K$46,I$44,K93&gt;=K$46,I$46)</f>
        <v/>
      </c>
      <c r="J93" s="37">
        <f>_xlfn.IFS(K93&lt;K$24,0,K93&lt;K$25,J$24,K93&lt;K$26,J$25,K93&lt;K$27,J$26,K93&lt;K$28,J$27,K93&lt;K$29,J$28,K93&lt;K$30,J$29,K93&lt;K$31,J$30,K93&lt;K$32,J$31,K93&lt;K$33,J$32,K93&lt;K$34,J$33,K93&lt;K$35,J$34,K93&lt;K$36,J$35,K93&lt;K$37,J$36,K93&lt;K$38,J$37,K93&lt;K$39,J$38,K93&lt;K$40,J$39,K93&lt;K$41,J$40,K93&lt;K$42,J$41,K93&lt;K$43,J$42,K93&lt;K$44,J$43,K93&lt;K$45,J$44,K93&lt;K$46,J$45,K93&lt;K$47,J$46,K93&gt;=K$47,J$47)</f>
        <v/>
      </c>
      <c r="K93" s="38" t="n">
        <v>43</v>
      </c>
      <c r="L93" s="31">
        <f>K93/52</f>
        <v/>
      </c>
      <c r="M93" s="39">
        <f>J93/1000000*52</f>
        <v/>
      </c>
      <c r="N93" s="33">
        <f>M93/$P$4+($I$22/$P$4)</f>
        <v/>
      </c>
      <c r="U93">
        <f>F92</f>
        <v/>
      </c>
      <c r="V93">
        <f>H92</f>
        <v/>
      </c>
      <c r="W93">
        <f>N92</f>
        <v/>
      </c>
    </row>
    <row r="94" ht="15.75" customHeight="1" s="40">
      <c r="C94" s="36">
        <f>_xlfn.IFS(E94&lt;E$24,0,E94&lt;E$26,C$24,E94&lt;E$28,C$26,E94&lt;E$30,C$28,E94&lt;E$32,C$30,E94&lt;E$34,C$32,E94&gt;=E$34,C$34)</f>
        <v/>
      </c>
      <c r="D94" s="37">
        <f>_xlfn.IFS(E94&lt;E$24,0,E94&lt;E$25,D$24,E94&lt;E$26,D$25,E94&lt;E$27,D$26,E94&lt;E$28,D$27,E94&lt;E$29,D$28,E94&lt;E$30,D$29,E94&lt;E$31,D$30,E94&lt;E$32,D$31,E94&lt;E$33,D$32,E94&lt;E$34,D$33,E94&lt;E$35,D$34,E94&gt;=E$35,D$35)</f>
        <v/>
      </c>
      <c r="E94" s="38" t="n">
        <v>44</v>
      </c>
      <c r="F94" s="31">
        <f>E94/52</f>
        <v/>
      </c>
      <c r="G94" s="39">
        <f>D94/1000000*52</f>
        <v/>
      </c>
      <c r="H94" s="33">
        <f>G94/$P$4+($C$22/$P$4)</f>
        <v/>
      </c>
      <c r="I94" s="36">
        <f>_xlfn.IFS(K94&lt;K$24,0,K94&lt;K$26,I$24,K94&lt;K$28,I$26,K94&lt;K$30,I$28,K94&lt;K$32,I$30,K94&lt;K$34,I$32,K94&lt;K$36,I$34,K94&lt;K$38,I$36,K94&lt;K$40,I$38,K94&lt;K$42,I$40,K94&lt;K$44,I$42,K94&lt;K$46,I$44,K94&gt;=K$46,I$46)</f>
        <v/>
      </c>
      <c r="J94" s="37">
        <f>_xlfn.IFS(K94&lt;K$24,0,K94&lt;K$25,J$24,K94&lt;K$26,J$25,K94&lt;K$27,J$26,K94&lt;K$28,J$27,K94&lt;K$29,J$28,K94&lt;K$30,J$29,K94&lt;K$31,J$30,K94&lt;K$32,J$31,K94&lt;K$33,J$32,K94&lt;K$34,J$33,K94&lt;K$35,J$34,K94&lt;K$36,J$35,K94&lt;K$37,J$36,K94&lt;K$38,J$37,K94&lt;K$39,J$38,K94&lt;K$40,J$39,K94&lt;K$41,J$40,K94&lt;K$42,J$41,K94&lt;K$43,J$42,K94&lt;K$44,J$43,K94&lt;K$45,J$44,K94&lt;K$46,J$45,K94&lt;K$47,J$46,K94&gt;=K$47,J$47)</f>
        <v/>
      </c>
      <c r="K94" s="38" t="n">
        <v>44</v>
      </c>
      <c r="L94" s="31">
        <f>K94/52</f>
        <v/>
      </c>
      <c r="M94" s="39">
        <f>J94/1000000*52</f>
        <v/>
      </c>
      <c r="N94" s="33">
        <f>M94/$P$4+($I$22/$P$4)</f>
        <v/>
      </c>
      <c r="U94">
        <f>F93</f>
        <v/>
      </c>
      <c r="V94">
        <f>H93</f>
        <v/>
      </c>
      <c r="W94">
        <f>N93</f>
        <v/>
      </c>
    </row>
    <row r="95" ht="15.75" customHeight="1" s="40">
      <c r="C95" s="36">
        <f>_xlfn.IFS(E95&lt;E$24,0,E95&lt;E$26,C$24,E95&lt;E$28,C$26,E95&lt;E$30,C$28,E95&lt;E$32,C$30,E95&lt;E$34,C$32,E95&gt;=E$34,C$34)</f>
        <v/>
      </c>
      <c r="D95" s="37">
        <f>_xlfn.IFS(E95&lt;E$24,0,E95&lt;E$25,D$24,E95&lt;E$26,D$25,E95&lt;E$27,D$26,E95&lt;E$28,D$27,E95&lt;E$29,D$28,E95&lt;E$30,D$29,E95&lt;E$31,D$30,E95&lt;E$32,D$31,E95&lt;E$33,D$32,E95&lt;E$34,D$33,E95&lt;E$35,D$34,E95&gt;=E$35,D$35)</f>
        <v/>
      </c>
      <c r="E95" s="38" t="n">
        <v>45</v>
      </c>
      <c r="F95" s="31">
        <f>E95/52</f>
        <v/>
      </c>
      <c r="G95" s="39">
        <f>D95/1000000*52</f>
        <v/>
      </c>
      <c r="H95" s="33">
        <f>G95/$P$4+($C$22/$P$4)</f>
        <v/>
      </c>
      <c r="I95" s="36">
        <f>_xlfn.IFS(K95&lt;K$24,0,K95&lt;K$26,I$24,K95&lt;K$28,I$26,K95&lt;K$30,I$28,K95&lt;K$32,I$30,K95&lt;K$34,I$32,K95&lt;K$36,I$34,K95&lt;K$38,I$36,K95&lt;K$40,I$38,K95&lt;K$42,I$40,K95&lt;K$44,I$42,K95&lt;K$46,I$44,K95&gt;=K$46,I$46)</f>
        <v/>
      </c>
      <c r="J95" s="37">
        <f>_xlfn.IFS(K95&lt;K$24,0,K95&lt;K$25,J$24,K95&lt;K$26,J$25,K95&lt;K$27,J$26,K95&lt;K$28,J$27,K95&lt;K$29,J$28,K95&lt;K$30,J$29,K95&lt;K$31,J$30,K95&lt;K$32,J$31,K95&lt;K$33,J$32,K95&lt;K$34,J$33,K95&lt;K$35,J$34,K95&lt;K$36,J$35,K95&lt;K$37,J$36,K95&lt;K$38,J$37,K95&lt;K$39,J$38,K95&lt;K$40,J$39,K95&lt;K$41,J$40,K95&lt;K$42,J$41,K95&lt;K$43,J$42,K95&lt;K$44,J$43,K95&lt;K$45,J$44,K95&lt;K$46,J$45,K95&lt;K$47,J$46,K95&gt;=K$47,J$47)</f>
        <v/>
      </c>
      <c r="K95" s="38" t="n">
        <v>45</v>
      </c>
      <c r="L95" s="31">
        <f>K95/52</f>
        <v/>
      </c>
      <c r="M95" s="39">
        <f>J95/1000000*52</f>
        <v/>
      </c>
      <c r="N95" s="33">
        <f>M95/$P$4+($I$22/$P$4)</f>
        <v/>
      </c>
      <c r="U95">
        <f>F94</f>
        <v/>
      </c>
      <c r="V95">
        <f>H94</f>
        <v/>
      </c>
      <c r="W95">
        <f>N94</f>
        <v/>
      </c>
    </row>
    <row r="96" ht="15.75" customHeight="1" s="40">
      <c r="C96" s="36">
        <f>_xlfn.IFS(E96&lt;E$24,0,E96&lt;E$26,C$24,E96&lt;E$28,C$26,E96&lt;E$30,C$28,E96&lt;E$32,C$30,E96&lt;E$34,C$32,E96&gt;=E$34,C$34)</f>
        <v/>
      </c>
      <c r="D96" s="37">
        <f>_xlfn.IFS(E96&lt;E$24,0,E96&lt;E$25,D$24,E96&lt;E$26,D$25,E96&lt;E$27,D$26,E96&lt;E$28,D$27,E96&lt;E$29,D$28,E96&lt;E$30,D$29,E96&lt;E$31,D$30,E96&lt;E$32,D$31,E96&lt;E$33,D$32,E96&lt;E$34,D$33,E96&lt;E$35,D$34,E96&gt;=E$35,D$35)</f>
        <v/>
      </c>
      <c r="E96" s="38" t="n">
        <v>46</v>
      </c>
      <c r="F96" s="31">
        <f>E96/52</f>
        <v/>
      </c>
      <c r="G96" s="39">
        <f>D96/1000000*52</f>
        <v/>
      </c>
      <c r="H96" s="33">
        <f>G96/$P$4+($C$22/$P$4)</f>
        <v/>
      </c>
      <c r="I96" s="36">
        <f>_xlfn.IFS(K96&lt;K$24,0,K96&lt;K$26,I$24,K96&lt;K$28,I$26,K96&lt;K$30,I$28,K96&lt;K$32,I$30,K96&lt;K$34,I$32,K96&lt;K$36,I$34,K96&lt;K$38,I$36,K96&lt;K$40,I$38,K96&lt;K$42,I$40,K96&lt;K$44,I$42,K96&lt;K$46,I$44,K96&gt;=K$46,I$46)</f>
        <v/>
      </c>
      <c r="J96" s="37">
        <f>_xlfn.IFS(K96&lt;K$24,0,K96&lt;K$25,J$24,K96&lt;K$26,J$25,K96&lt;K$27,J$26,K96&lt;K$28,J$27,K96&lt;K$29,J$28,K96&lt;K$30,J$29,K96&lt;K$31,J$30,K96&lt;K$32,J$31,K96&lt;K$33,J$32,K96&lt;K$34,J$33,K96&lt;K$35,J$34,K96&lt;K$36,J$35,K96&lt;K$37,J$36,K96&lt;K$38,J$37,K96&lt;K$39,J$38,K96&lt;K$40,J$39,K96&lt;K$41,J$40,K96&lt;K$42,J$41,K96&lt;K$43,J$42,K96&lt;K$44,J$43,K96&lt;K$45,J$44,K96&lt;K$46,J$45,K96&lt;K$47,J$46,K96&gt;=K$47,J$47)</f>
        <v/>
      </c>
      <c r="K96" s="38" t="n">
        <v>46</v>
      </c>
      <c r="L96" s="31">
        <f>K96/52</f>
        <v/>
      </c>
      <c r="M96" s="39">
        <f>J96/1000000*52</f>
        <v/>
      </c>
      <c r="N96" s="33">
        <f>M96/$P$4+($I$22/$P$4)</f>
        <v/>
      </c>
      <c r="U96">
        <f>F95</f>
        <v/>
      </c>
      <c r="V96">
        <f>H95</f>
        <v/>
      </c>
      <c r="W96">
        <f>N95</f>
        <v/>
      </c>
    </row>
    <row r="97" ht="15.75" customHeight="1" s="40">
      <c r="C97" s="36">
        <f>_xlfn.IFS(E97&lt;E$24,0,E97&lt;E$26,C$24,E97&lt;E$28,C$26,E97&lt;E$30,C$28,E97&lt;E$32,C$30,E97&lt;E$34,C$32,E97&gt;=E$34,C$34)</f>
        <v/>
      </c>
      <c r="D97" s="37">
        <f>_xlfn.IFS(E97&lt;E$24,0,E97&lt;E$25,D$24,E97&lt;E$26,D$25,E97&lt;E$27,D$26,E97&lt;E$28,D$27,E97&lt;E$29,D$28,E97&lt;E$30,D$29,E97&lt;E$31,D$30,E97&lt;E$32,D$31,E97&lt;E$33,D$32,E97&lt;E$34,D$33,E97&lt;E$35,D$34,E97&gt;=E$35,D$35)</f>
        <v/>
      </c>
      <c r="E97" s="38" t="n">
        <v>47</v>
      </c>
      <c r="F97" s="31">
        <f>E97/52</f>
        <v/>
      </c>
      <c r="G97" s="39">
        <f>D97/1000000*52</f>
        <v/>
      </c>
      <c r="H97" s="33">
        <f>G97/$P$4+($C$22/$P$4)</f>
        <v/>
      </c>
      <c r="I97" s="36">
        <f>_xlfn.IFS(K97&lt;K$24,0,K97&lt;K$26,I$24,K97&lt;K$28,I$26,K97&lt;K$30,I$28,K97&lt;K$32,I$30,K97&lt;K$34,I$32,K97&lt;K$36,I$34,K97&lt;K$38,I$36,K97&lt;K$40,I$38,K97&lt;K$42,I$40,K97&lt;K$44,I$42,K97&lt;K$46,I$44,K97&gt;=K$46,I$46)</f>
        <v/>
      </c>
      <c r="J97" s="37">
        <f>_xlfn.IFS(K97&lt;K$24,0,K97&lt;K$25,J$24,K97&lt;K$26,J$25,K97&lt;K$27,J$26,K97&lt;K$28,J$27,K97&lt;K$29,J$28,K97&lt;K$30,J$29,K97&lt;K$31,J$30,K97&lt;K$32,J$31,K97&lt;K$33,J$32,K97&lt;K$34,J$33,K97&lt;K$35,J$34,K97&lt;K$36,J$35,K97&lt;K$37,J$36,K97&lt;K$38,J$37,K97&lt;K$39,J$38,K97&lt;K$40,J$39,K97&lt;K$41,J$40,K97&lt;K$42,J$41,K97&lt;K$43,J$42,K97&lt;K$44,J$43,K97&lt;K$45,J$44,K97&lt;K$46,J$45,K97&lt;K$47,J$46,K97&gt;=K$47,J$47)</f>
        <v/>
      </c>
      <c r="K97" s="38" t="n">
        <v>47</v>
      </c>
      <c r="L97" s="31">
        <f>K97/52</f>
        <v/>
      </c>
      <c r="M97" s="39">
        <f>J97/1000000*52</f>
        <v/>
      </c>
      <c r="N97" s="33">
        <f>M97/$P$4+($I$22/$P$4)</f>
        <v/>
      </c>
      <c r="U97">
        <f>F96</f>
        <v/>
      </c>
      <c r="V97">
        <f>H96</f>
        <v/>
      </c>
      <c r="W97">
        <f>N96</f>
        <v/>
      </c>
    </row>
    <row r="98" ht="15.75" customHeight="1" s="40">
      <c r="C98" s="36">
        <f>_xlfn.IFS(E98&lt;E$24,0,E98&lt;E$26,C$24,E98&lt;E$28,C$26,E98&lt;E$30,C$28,E98&lt;E$32,C$30,E98&lt;E$34,C$32,E98&gt;=E$34,C$34)</f>
        <v/>
      </c>
      <c r="D98" s="37">
        <f>_xlfn.IFS(E98&lt;E$24,0,E98&lt;E$25,D$24,E98&lt;E$26,D$25,E98&lt;E$27,D$26,E98&lt;E$28,D$27,E98&lt;E$29,D$28,E98&lt;E$30,D$29,E98&lt;E$31,D$30,E98&lt;E$32,D$31,E98&lt;E$33,D$32,E98&lt;E$34,D$33,E98&lt;E$35,D$34,E98&gt;=E$35,D$35)</f>
        <v/>
      </c>
      <c r="E98" s="38" t="n">
        <v>48</v>
      </c>
      <c r="F98" s="31">
        <f>E98/52</f>
        <v/>
      </c>
      <c r="G98" s="39">
        <f>D98/1000000*52</f>
        <v/>
      </c>
      <c r="H98" s="33">
        <f>G98/$P$4+($C$22/$P$4)</f>
        <v/>
      </c>
      <c r="I98" s="36">
        <f>_xlfn.IFS(K98&lt;K$24,0,K98&lt;K$26,I$24,K98&lt;K$28,I$26,K98&lt;K$30,I$28,K98&lt;K$32,I$30,K98&lt;K$34,I$32,K98&lt;K$36,I$34,K98&lt;K$38,I$36,K98&lt;K$40,I$38,K98&lt;K$42,I$40,K98&lt;K$44,I$42,K98&lt;K$46,I$44,K98&gt;=K$46,I$46)</f>
        <v/>
      </c>
      <c r="J98" s="37">
        <f>_xlfn.IFS(K98&lt;K$24,0,K98&lt;K$25,J$24,K98&lt;K$26,J$25,K98&lt;K$27,J$26,K98&lt;K$28,J$27,K98&lt;K$29,J$28,K98&lt;K$30,J$29,K98&lt;K$31,J$30,K98&lt;K$32,J$31,K98&lt;K$33,J$32,K98&lt;K$34,J$33,K98&lt;K$35,J$34,K98&lt;K$36,J$35,K98&lt;K$37,J$36,K98&lt;K$38,J$37,K98&lt;K$39,J$38,K98&lt;K$40,J$39,K98&lt;K$41,J$40,K98&lt;K$42,J$41,K98&lt;K$43,J$42,K98&lt;K$44,J$43,K98&lt;K$45,J$44,K98&lt;K$46,J$45,K98&lt;K$47,J$46,K98&gt;=K$47,J$47)</f>
        <v/>
      </c>
      <c r="K98" s="38" t="n">
        <v>48</v>
      </c>
      <c r="L98" s="31">
        <f>K98/52</f>
        <v/>
      </c>
      <c r="M98" s="39">
        <f>J98/1000000*52</f>
        <v/>
      </c>
      <c r="N98" s="33">
        <f>M98/$P$4+($I$22/$P$4)</f>
        <v/>
      </c>
      <c r="U98">
        <f>F97</f>
        <v/>
      </c>
      <c r="V98">
        <f>H97</f>
        <v/>
      </c>
      <c r="W98">
        <f>N97</f>
        <v/>
      </c>
    </row>
    <row r="99" ht="15.75" customHeight="1" s="40">
      <c r="C99" s="36">
        <f>_xlfn.IFS(E99&lt;E$24,0,E99&lt;E$26,C$24,E99&lt;E$28,C$26,E99&lt;E$30,C$28,E99&lt;E$32,C$30,E99&lt;E$34,C$32,E99&gt;=E$34,C$34)</f>
        <v/>
      </c>
      <c r="D99" s="37">
        <f>_xlfn.IFS(E99&lt;E$24,0,E99&lt;E$25,D$24,E99&lt;E$26,D$25,E99&lt;E$27,D$26,E99&lt;E$28,D$27,E99&lt;E$29,D$28,E99&lt;E$30,D$29,E99&lt;E$31,D$30,E99&lt;E$32,D$31,E99&lt;E$33,D$32,E99&lt;E$34,D$33,E99&lt;E$35,D$34,E99&gt;=E$35,D$35)</f>
        <v/>
      </c>
      <c r="E99" s="38" t="n">
        <v>49</v>
      </c>
      <c r="F99" s="31">
        <f>E99/52</f>
        <v/>
      </c>
      <c r="G99" s="39">
        <f>D99/1000000*52</f>
        <v/>
      </c>
      <c r="H99" s="33">
        <f>G99/$P$4+($C$22/$P$4)</f>
        <v/>
      </c>
      <c r="I99" s="36">
        <f>_xlfn.IFS(K99&lt;K$24,0,K99&lt;K$26,I$24,K99&lt;K$28,I$26,K99&lt;K$30,I$28,K99&lt;K$32,I$30,K99&lt;K$34,I$32,K99&lt;K$36,I$34,K99&lt;K$38,I$36,K99&lt;K$40,I$38,K99&lt;K$42,I$40,K99&lt;K$44,I$42,K99&lt;K$46,I$44,K99&gt;=K$46,I$46)</f>
        <v/>
      </c>
      <c r="J99" s="37">
        <f>_xlfn.IFS(K99&lt;K$24,0,K99&lt;K$25,J$24,K99&lt;K$26,J$25,K99&lt;K$27,J$26,K99&lt;K$28,J$27,K99&lt;K$29,J$28,K99&lt;K$30,J$29,K99&lt;K$31,J$30,K99&lt;K$32,J$31,K99&lt;K$33,J$32,K99&lt;K$34,J$33,K99&lt;K$35,J$34,K99&lt;K$36,J$35,K99&lt;K$37,J$36,K99&lt;K$38,J$37,K99&lt;K$39,J$38,K99&lt;K$40,J$39,K99&lt;K$41,J$40,K99&lt;K$42,J$41,K99&lt;K$43,J$42,K99&lt;K$44,J$43,K99&lt;K$45,J$44,K99&lt;K$46,J$45,K99&lt;K$47,J$46,K99&gt;=K$47,J$47)</f>
        <v/>
      </c>
      <c r="K99" s="38" t="n">
        <v>49</v>
      </c>
      <c r="L99" s="31">
        <f>K99/52</f>
        <v/>
      </c>
      <c r="M99" s="39">
        <f>J99/1000000*52</f>
        <v/>
      </c>
      <c r="N99" s="33">
        <f>M99/$P$4+($I$22/$P$4)</f>
        <v/>
      </c>
      <c r="U99">
        <f>F98</f>
        <v/>
      </c>
      <c r="V99">
        <f>H98</f>
        <v/>
      </c>
      <c r="W99">
        <f>N98</f>
        <v/>
      </c>
    </row>
    <row r="100" ht="15.75" customHeight="1" s="40">
      <c r="C100" s="36">
        <f>_xlfn.IFS(E100&lt;E$24,0,E100&lt;E$26,C$24,E100&lt;E$28,C$26,E100&lt;E$30,C$28,E100&lt;E$32,C$30,E100&lt;E$34,C$32,E100&gt;=E$34,C$34)</f>
        <v/>
      </c>
      <c r="D100" s="37">
        <f>_xlfn.IFS(E100&lt;E$24,0,E100&lt;E$25,D$24,E100&lt;E$26,D$25,E100&lt;E$27,D$26,E100&lt;E$28,D$27,E100&lt;E$29,D$28,E100&lt;E$30,D$29,E100&lt;E$31,D$30,E100&lt;E$32,D$31,E100&lt;E$33,D$32,E100&lt;E$34,D$33,E100&lt;E$35,D$34,E100&gt;=E$35,D$35)</f>
        <v/>
      </c>
      <c r="E100" s="38" t="n">
        <v>50</v>
      </c>
      <c r="F100" s="31">
        <f>E100/52</f>
        <v/>
      </c>
      <c r="G100" s="39">
        <f>D100/1000000*52</f>
        <v/>
      </c>
      <c r="H100" s="33">
        <f>G100/$P$4+($C$22/$P$4)</f>
        <v/>
      </c>
      <c r="I100" s="36">
        <f>_xlfn.IFS(K100&lt;K$24,0,K100&lt;K$26,I$24,K100&lt;K$28,I$26,K100&lt;K$30,I$28,K100&lt;K$32,I$30,K100&lt;K$34,I$32,K100&lt;K$36,I$34,K100&lt;K$38,I$36,K100&lt;K$40,I$38,K100&lt;K$42,I$40,K100&lt;K$44,I$42,K100&lt;K$46,I$44,K100&gt;=K$46,I$46)</f>
        <v/>
      </c>
      <c r="J100" s="37">
        <f>_xlfn.IFS(K100&lt;K$24,0,K100&lt;K$25,J$24,K100&lt;K$26,J$25,K100&lt;K$27,J$26,K100&lt;K$28,J$27,K100&lt;K$29,J$28,K100&lt;K$30,J$29,K100&lt;K$31,J$30,K100&lt;K$32,J$31,K100&lt;K$33,J$32,K100&lt;K$34,J$33,K100&lt;K$35,J$34,K100&lt;K$36,J$35,K100&lt;K$37,J$36,K100&lt;K$38,J$37,K100&lt;K$39,J$38,K100&lt;K$40,J$39,K100&lt;K$41,J$40,K100&lt;K$42,J$41,K100&lt;K$43,J$42,K100&lt;K$44,J$43,K100&lt;K$45,J$44,K100&lt;K$46,J$45,K100&lt;K$47,J$46,K100&gt;=K$47,J$47)</f>
        <v/>
      </c>
      <c r="K100" s="38" t="n">
        <v>50</v>
      </c>
      <c r="L100" s="31">
        <f>K100/52</f>
        <v/>
      </c>
      <c r="M100" s="39">
        <f>J100/1000000*52</f>
        <v/>
      </c>
      <c r="N100" s="33">
        <f>M100/$P$4+($I$22/$P$4)</f>
        <v/>
      </c>
      <c r="U100">
        <f>F99</f>
        <v/>
      </c>
      <c r="V100">
        <f>H99</f>
        <v/>
      </c>
      <c r="W100">
        <f>N99</f>
        <v/>
      </c>
    </row>
    <row r="101" ht="15.75" customHeight="1" s="40">
      <c r="C101" s="36">
        <f>_xlfn.IFS(E101&lt;E$24,0,E101&lt;E$26,C$24,E101&lt;E$28,C$26,E101&lt;E$30,C$28,E101&lt;E$32,C$30,E101&lt;E$34,C$32,E101&gt;=E$34,C$34)</f>
        <v/>
      </c>
      <c r="D101" s="37">
        <f>_xlfn.IFS(E101&lt;E$24,0,E101&lt;E$25,D$24,E101&lt;E$26,D$25,E101&lt;E$27,D$26,E101&lt;E$28,D$27,E101&lt;E$29,D$28,E101&lt;E$30,D$29,E101&lt;E$31,D$30,E101&lt;E$32,D$31,E101&lt;E$33,D$32,E101&lt;E$34,D$33,E101&lt;E$35,D$34,E101&gt;=E$35,D$35)</f>
        <v/>
      </c>
      <c r="E101" s="38" t="n">
        <v>51</v>
      </c>
      <c r="F101" s="31">
        <f>E101/52</f>
        <v/>
      </c>
      <c r="G101" s="39">
        <f>D101/1000000*52</f>
        <v/>
      </c>
      <c r="H101" s="33">
        <f>G101/$P$4+($C$22/$P$4)</f>
        <v/>
      </c>
      <c r="I101" s="36">
        <f>_xlfn.IFS(K101&lt;K$24,0,K101&lt;K$26,I$24,K101&lt;K$28,I$26,K101&lt;K$30,I$28,K101&lt;K$32,I$30,K101&lt;K$34,I$32,K101&lt;K$36,I$34,K101&lt;K$38,I$36,K101&lt;K$40,I$38,K101&lt;K$42,I$40,K101&lt;K$44,I$42,K101&lt;K$46,I$44,K101&gt;=K$46,I$46)</f>
        <v/>
      </c>
      <c r="J101" s="37">
        <f>_xlfn.IFS(K101&lt;K$24,0,K101&lt;K$25,J$24,K101&lt;K$26,J$25,K101&lt;K$27,J$26,K101&lt;K$28,J$27,K101&lt;K$29,J$28,K101&lt;K$30,J$29,K101&lt;K$31,J$30,K101&lt;K$32,J$31,K101&lt;K$33,J$32,K101&lt;K$34,J$33,K101&lt;K$35,J$34,K101&lt;K$36,J$35,K101&lt;K$37,J$36,K101&lt;K$38,J$37,K101&lt;K$39,J$38,K101&lt;K$40,J$39,K101&lt;K$41,J$40,K101&lt;K$42,J$41,K101&lt;K$43,J$42,K101&lt;K$44,J$43,K101&lt;K$45,J$44,K101&lt;K$46,J$45,K101&lt;K$47,J$46,K101&gt;=K$47,J$47)</f>
        <v/>
      </c>
      <c r="K101" s="38" t="n">
        <v>51</v>
      </c>
      <c r="L101" s="31">
        <f>K101/52</f>
        <v/>
      </c>
      <c r="M101" s="39">
        <f>J101/1000000*52</f>
        <v/>
      </c>
      <c r="N101" s="33">
        <f>M101/$P$4+($I$22/$P$4)</f>
        <v/>
      </c>
      <c r="U101">
        <f>F100</f>
        <v/>
      </c>
      <c r="V101">
        <f>H100</f>
        <v/>
      </c>
      <c r="W101">
        <f>N100</f>
        <v/>
      </c>
    </row>
    <row r="102" ht="15.75" customHeight="1" s="40">
      <c r="C102" s="36">
        <f>_xlfn.IFS(E102&lt;E$24,0,E102&lt;E$26,C$24,E102&lt;E$28,C$26,E102&lt;E$30,C$28,E102&lt;E$32,C$30,E102&lt;E$34,C$32,E102&gt;=E$34,C$34)</f>
        <v/>
      </c>
      <c r="D102" s="37">
        <f>_xlfn.IFS(E102&lt;E$24,0,E102&lt;E$25,D$24,E102&lt;E$26,D$25,E102&lt;E$27,D$26,E102&lt;E$28,D$27,E102&lt;E$29,D$28,E102&lt;E$30,D$29,E102&lt;E$31,D$30,E102&lt;E$32,D$31,E102&lt;E$33,D$32,E102&lt;E$34,D$33,E102&lt;E$35,D$34,E102&gt;=E$35,D$35)</f>
        <v/>
      </c>
      <c r="E102" s="38" t="n">
        <v>52</v>
      </c>
      <c r="F102" s="31">
        <f>E102/52</f>
        <v/>
      </c>
      <c r="G102" s="39">
        <f>D102/1000000*52</f>
        <v/>
      </c>
      <c r="H102" s="33">
        <f>G102/$P$4+($C$22/$P$4)</f>
        <v/>
      </c>
      <c r="I102" s="36">
        <f>_xlfn.IFS(K102&lt;K$24,0,K102&lt;K$26,I$24,K102&lt;K$28,I$26,K102&lt;K$30,I$28,K102&lt;K$32,I$30,K102&lt;K$34,I$32,K102&lt;K$36,I$34,K102&lt;K$38,I$36,K102&lt;K$40,I$38,K102&lt;K$42,I$40,K102&lt;K$44,I$42,K102&lt;K$46,I$44,K102&gt;=K$46,I$46)</f>
        <v/>
      </c>
      <c r="J102" s="37">
        <f>_xlfn.IFS(K102&lt;K$24,0,K102&lt;K$25,J$24,K102&lt;K$26,J$25,K102&lt;K$27,J$26,K102&lt;K$28,J$27,K102&lt;K$29,J$28,K102&lt;K$30,J$29,K102&lt;K$31,J$30,K102&lt;K$32,J$31,K102&lt;K$33,J$32,K102&lt;K$34,J$33,K102&lt;K$35,J$34,K102&lt;K$36,J$35,K102&lt;K$37,J$36,K102&lt;K$38,J$37,K102&lt;K$39,J$38,K102&lt;K$40,J$39,K102&lt;K$41,J$40,K102&lt;K$42,J$41,K102&lt;K$43,J$42,K102&lt;K$44,J$43,K102&lt;K$45,J$44,K102&lt;K$46,J$45,K102&lt;K$47,J$46,K102&gt;=K$47,J$47)</f>
        <v/>
      </c>
      <c r="K102" s="38" t="n">
        <v>52</v>
      </c>
      <c r="L102" s="31">
        <f>K102/52</f>
        <v/>
      </c>
      <c r="M102" s="39">
        <f>J102/1000000*52</f>
        <v/>
      </c>
      <c r="N102" s="33">
        <f>M102/$P$4+($I$22/$P$4)</f>
        <v/>
      </c>
      <c r="U102">
        <f>F101</f>
        <v/>
      </c>
      <c r="V102">
        <f>H101</f>
        <v/>
      </c>
      <c r="W102">
        <f>N101</f>
        <v/>
      </c>
    </row>
    <row r="103" ht="15.75" customHeight="1" s="40">
      <c r="C103" s="36">
        <f>_xlfn.IFS(E103&lt;E$24,0,E103&lt;E$26,C$24,E103&lt;E$28,C$26,E103&lt;E$30,C$28,E103&lt;E$32,C$30,E103&lt;E$34,C$32,E103&gt;=E$34,C$34)</f>
        <v/>
      </c>
      <c r="D103" s="37">
        <f>_xlfn.IFS(E103&lt;E$24,0,E103&lt;E$25,D$24,E103&lt;E$26,D$25,E103&lt;E$27,D$26,E103&lt;E$28,D$27,E103&lt;E$29,D$28,E103&lt;E$30,D$29,E103&lt;E$31,D$30,E103&lt;E$32,D$31,E103&lt;E$33,D$32,E103&lt;E$34,D$33,E103&lt;E$35,D$34,E103&gt;=E$35,D$35)</f>
        <v/>
      </c>
      <c r="E103" s="38" t="n">
        <v>53</v>
      </c>
      <c r="F103" s="31">
        <f>E103/52</f>
        <v/>
      </c>
      <c r="G103" s="39">
        <f>D103/1000000*52</f>
        <v/>
      </c>
      <c r="H103" s="33">
        <f>G103/$P$4+($C$22/$P$4)</f>
        <v/>
      </c>
      <c r="I103" s="36">
        <f>_xlfn.IFS(K103&lt;K$24,0,K103&lt;K$26,I$24,K103&lt;K$28,I$26,K103&lt;K$30,I$28,K103&lt;K$32,I$30,K103&lt;K$34,I$32,K103&lt;K$36,I$34,K103&lt;K$38,I$36,K103&lt;K$40,I$38,K103&lt;K$42,I$40,K103&lt;K$44,I$42,K103&lt;K$46,I$44,K103&gt;=K$46,I$46)</f>
        <v/>
      </c>
      <c r="J103" s="37">
        <f>_xlfn.IFS(K103&lt;K$24,0,K103&lt;K$25,J$24,K103&lt;K$26,J$25,K103&lt;K$27,J$26,K103&lt;K$28,J$27,K103&lt;K$29,J$28,K103&lt;K$30,J$29,K103&lt;K$31,J$30,K103&lt;K$32,J$31,K103&lt;K$33,J$32,K103&lt;K$34,J$33,K103&lt;K$35,J$34,K103&lt;K$36,J$35,K103&lt;K$37,J$36,K103&lt;K$38,J$37,K103&lt;K$39,J$38,K103&lt;K$40,J$39,K103&lt;K$41,J$40,K103&lt;K$42,J$41,K103&lt;K$43,J$42,K103&lt;K$44,J$43,K103&lt;K$45,J$44,K103&lt;K$46,J$45,K103&lt;K$47,J$46,K103&gt;=K$47,J$47)</f>
        <v/>
      </c>
      <c r="K103" s="38" t="n">
        <v>53</v>
      </c>
      <c r="L103" s="31">
        <f>K103/52</f>
        <v/>
      </c>
      <c r="M103" s="39">
        <f>J103/1000000*52</f>
        <v/>
      </c>
      <c r="N103" s="33">
        <f>M103/$P$4+($I$22/$P$4)</f>
        <v/>
      </c>
      <c r="U103">
        <f>F102</f>
        <v/>
      </c>
      <c r="V103">
        <f>H102</f>
        <v/>
      </c>
      <c r="W103">
        <f>N102</f>
        <v/>
      </c>
    </row>
    <row r="104" ht="15.75" customHeight="1" s="40">
      <c r="C104" s="36">
        <f>_xlfn.IFS(E104&lt;E$24,0,E104&lt;E$26,C$24,E104&lt;E$28,C$26,E104&lt;E$30,C$28,E104&lt;E$32,C$30,E104&lt;E$34,C$32,E104&gt;=E$34,C$34)</f>
        <v/>
      </c>
      <c r="D104" s="37">
        <f>_xlfn.IFS(E104&lt;E$24,0,E104&lt;E$25,D$24,E104&lt;E$26,D$25,E104&lt;E$27,D$26,E104&lt;E$28,D$27,E104&lt;E$29,D$28,E104&lt;E$30,D$29,E104&lt;E$31,D$30,E104&lt;E$32,D$31,E104&lt;E$33,D$32,E104&lt;E$34,D$33,E104&lt;E$35,D$34,E104&gt;=E$35,D$35)</f>
        <v/>
      </c>
      <c r="E104" s="38" t="n">
        <v>54</v>
      </c>
      <c r="F104" s="31">
        <f>E104/52</f>
        <v/>
      </c>
      <c r="G104" s="39">
        <f>D104/1000000*52</f>
        <v/>
      </c>
      <c r="H104" s="33">
        <f>G104/$P$4+($C$22/$P$4)</f>
        <v/>
      </c>
      <c r="I104" s="36">
        <f>_xlfn.IFS(K104&lt;K$24,0,K104&lt;K$26,I$24,K104&lt;K$28,I$26,K104&lt;K$30,I$28,K104&lt;K$32,I$30,K104&lt;K$34,I$32,K104&lt;K$36,I$34,K104&lt;K$38,I$36,K104&lt;K$40,I$38,K104&lt;K$42,I$40,K104&lt;K$44,I$42,K104&lt;K$46,I$44,K104&gt;=K$46,I$46)</f>
        <v/>
      </c>
      <c r="J104" s="37">
        <f>_xlfn.IFS(K104&lt;K$24,0,K104&lt;K$25,J$24,K104&lt;K$26,J$25,K104&lt;K$27,J$26,K104&lt;K$28,J$27,K104&lt;K$29,J$28,K104&lt;K$30,J$29,K104&lt;K$31,J$30,K104&lt;K$32,J$31,K104&lt;K$33,J$32,K104&lt;K$34,J$33,K104&lt;K$35,J$34,K104&lt;K$36,J$35,K104&lt;K$37,J$36,K104&lt;K$38,J$37,K104&lt;K$39,J$38,K104&lt;K$40,J$39,K104&lt;K$41,J$40,K104&lt;K$42,J$41,K104&lt;K$43,J$42,K104&lt;K$44,J$43,K104&lt;K$45,J$44,K104&lt;K$46,J$45,K104&lt;K$47,J$46,K104&gt;=K$47,J$47)</f>
        <v/>
      </c>
      <c r="K104" s="38" t="n">
        <v>54</v>
      </c>
      <c r="L104" s="31">
        <f>K104/52</f>
        <v/>
      </c>
      <c r="M104" s="39">
        <f>J104/1000000*52</f>
        <v/>
      </c>
      <c r="N104" s="33">
        <f>M104/$P$4+($I$22/$P$4)</f>
        <v/>
      </c>
      <c r="U104">
        <f>F103</f>
        <v/>
      </c>
      <c r="V104">
        <f>H103</f>
        <v/>
      </c>
      <c r="W104">
        <f>N103</f>
        <v/>
      </c>
    </row>
    <row r="105" ht="15.75" customHeight="1" s="40">
      <c r="C105" s="36">
        <f>_xlfn.IFS(E105&lt;E$24,0,E105&lt;E$26,C$24,E105&lt;E$28,C$26,E105&lt;E$30,C$28,E105&lt;E$32,C$30,E105&lt;E$34,C$32,E105&gt;=E$34,C$34)</f>
        <v/>
      </c>
      <c r="D105" s="37">
        <f>_xlfn.IFS(E105&lt;E$24,0,E105&lt;E$25,D$24,E105&lt;E$26,D$25,E105&lt;E$27,D$26,E105&lt;E$28,D$27,E105&lt;E$29,D$28,E105&lt;E$30,D$29,E105&lt;E$31,D$30,E105&lt;E$32,D$31,E105&lt;E$33,D$32,E105&lt;E$34,D$33,E105&lt;E$35,D$34,E105&gt;=E$35,D$35)</f>
        <v/>
      </c>
      <c r="E105" s="38" t="n">
        <v>55</v>
      </c>
      <c r="F105" s="31">
        <f>E105/52</f>
        <v/>
      </c>
      <c r="G105" s="39">
        <f>D105/1000000*52</f>
        <v/>
      </c>
      <c r="H105" s="33">
        <f>G105/$P$4+($C$22/$P$4)</f>
        <v/>
      </c>
      <c r="I105" s="36">
        <f>_xlfn.IFS(K105&lt;K$24,0,K105&lt;K$26,I$24,K105&lt;K$28,I$26,K105&lt;K$30,I$28,K105&lt;K$32,I$30,K105&lt;K$34,I$32,K105&lt;K$36,I$34,K105&lt;K$38,I$36,K105&lt;K$40,I$38,K105&lt;K$42,I$40,K105&lt;K$44,I$42,K105&lt;K$46,I$44,K105&gt;=K$46,I$46)</f>
        <v/>
      </c>
      <c r="J105" s="37">
        <f>_xlfn.IFS(K105&lt;K$24,0,K105&lt;K$25,J$24,K105&lt;K$26,J$25,K105&lt;K$27,J$26,K105&lt;K$28,J$27,K105&lt;K$29,J$28,K105&lt;K$30,J$29,K105&lt;K$31,J$30,K105&lt;K$32,J$31,K105&lt;K$33,J$32,K105&lt;K$34,J$33,K105&lt;K$35,J$34,K105&lt;K$36,J$35,K105&lt;K$37,J$36,K105&lt;K$38,J$37,K105&lt;K$39,J$38,K105&lt;K$40,J$39,K105&lt;K$41,J$40,K105&lt;K$42,J$41,K105&lt;K$43,J$42,K105&lt;K$44,J$43,K105&lt;K$45,J$44,K105&lt;K$46,J$45,K105&lt;K$47,J$46,K105&gt;=K$47,J$47)</f>
        <v/>
      </c>
      <c r="K105" s="38" t="n">
        <v>55</v>
      </c>
      <c r="L105" s="31">
        <f>K105/52</f>
        <v/>
      </c>
      <c r="M105" s="39">
        <f>J105/1000000*52</f>
        <v/>
      </c>
      <c r="N105" s="33">
        <f>M105/$P$4+($I$22/$P$4)</f>
        <v/>
      </c>
      <c r="U105">
        <f>F104</f>
        <v/>
      </c>
      <c r="V105">
        <f>H104</f>
        <v/>
      </c>
      <c r="W105">
        <f>N104</f>
        <v/>
      </c>
    </row>
    <row r="106" ht="15.75" customHeight="1" s="40">
      <c r="C106" s="36">
        <f>_xlfn.IFS(E106&lt;E$24,0,E106&lt;E$26,C$24,E106&lt;E$28,C$26,E106&lt;E$30,C$28,E106&lt;E$32,C$30,E106&lt;E$34,C$32,E106&gt;=E$34,C$34)</f>
        <v/>
      </c>
      <c r="D106" s="37">
        <f>_xlfn.IFS(E106&lt;E$24,0,E106&lt;E$25,D$24,E106&lt;E$26,D$25,E106&lt;E$27,D$26,E106&lt;E$28,D$27,E106&lt;E$29,D$28,E106&lt;E$30,D$29,E106&lt;E$31,D$30,E106&lt;E$32,D$31,E106&lt;E$33,D$32,E106&lt;E$34,D$33,E106&lt;E$35,D$34,E106&gt;=E$35,D$35)</f>
        <v/>
      </c>
      <c r="E106" s="38" t="n">
        <v>56</v>
      </c>
      <c r="F106" s="31">
        <f>E106/52</f>
        <v/>
      </c>
      <c r="G106" s="39">
        <f>D106/1000000*52</f>
        <v/>
      </c>
      <c r="H106" s="33">
        <f>G106/$P$4+($C$22/$P$4)</f>
        <v/>
      </c>
      <c r="I106" s="36">
        <f>_xlfn.IFS(K106&lt;K$24,0,K106&lt;K$26,I$24,K106&lt;K$28,I$26,K106&lt;K$30,I$28,K106&lt;K$32,I$30,K106&lt;K$34,I$32,K106&lt;K$36,I$34,K106&lt;K$38,I$36,K106&lt;K$40,I$38,K106&lt;K$42,I$40,K106&lt;K$44,I$42,K106&lt;K$46,I$44,K106&gt;=K$46,I$46)</f>
        <v/>
      </c>
      <c r="J106" s="37">
        <f>_xlfn.IFS(K106&lt;K$24,0,K106&lt;K$25,J$24,K106&lt;K$26,J$25,K106&lt;K$27,J$26,K106&lt;K$28,J$27,K106&lt;K$29,J$28,K106&lt;K$30,J$29,K106&lt;K$31,J$30,K106&lt;K$32,J$31,K106&lt;K$33,J$32,K106&lt;K$34,J$33,K106&lt;K$35,J$34,K106&lt;K$36,J$35,K106&lt;K$37,J$36,K106&lt;K$38,J$37,K106&lt;K$39,J$38,K106&lt;K$40,J$39,K106&lt;K$41,J$40,K106&lt;K$42,J$41,K106&lt;K$43,J$42,K106&lt;K$44,J$43,K106&lt;K$45,J$44,K106&lt;K$46,J$45,K106&lt;K$47,J$46,K106&gt;=K$47,J$47)</f>
        <v/>
      </c>
      <c r="K106" s="38" t="n">
        <v>56</v>
      </c>
      <c r="L106" s="31">
        <f>K106/52</f>
        <v/>
      </c>
      <c r="M106" s="39">
        <f>J106/1000000*52</f>
        <v/>
      </c>
      <c r="N106" s="33">
        <f>M106/$P$4+($I$22/$P$4)</f>
        <v/>
      </c>
      <c r="U106">
        <f>F105</f>
        <v/>
      </c>
      <c r="V106">
        <f>H105</f>
        <v/>
      </c>
      <c r="W106">
        <f>N105</f>
        <v/>
      </c>
    </row>
    <row r="107" ht="15.75" customHeight="1" s="40">
      <c r="C107" s="36">
        <f>_xlfn.IFS(E107&lt;E$24,0,E107&lt;E$26,C$24,E107&lt;E$28,C$26,E107&lt;E$30,C$28,E107&lt;E$32,C$30,E107&lt;E$34,C$32,E107&gt;=E$34,C$34)</f>
        <v/>
      </c>
      <c r="D107" s="37">
        <f>_xlfn.IFS(E107&lt;E$24,0,E107&lt;E$25,D$24,E107&lt;E$26,D$25,E107&lt;E$27,D$26,E107&lt;E$28,D$27,E107&lt;E$29,D$28,E107&lt;E$30,D$29,E107&lt;E$31,D$30,E107&lt;E$32,D$31,E107&lt;E$33,D$32,E107&lt;E$34,D$33,E107&lt;E$35,D$34,E107&gt;=E$35,D$35)</f>
        <v/>
      </c>
      <c r="E107" s="38" t="n">
        <v>57</v>
      </c>
      <c r="F107" s="31">
        <f>E107/52</f>
        <v/>
      </c>
      <c r="G107" s="39">
        <f>D107/1000000*52</f>
        <v/>
      </c>
      <c r="H107" s="33">
        <f>G107/$P$4+($C$22/$P$4)</f>
        <v/>
      </c>
      <c r="I107" s="36">
        <f>_xlfn.IFS(K107&lt;K$24,0,K107&lt;K$26,I$24,K107&lt;K$28,I$26,K107&lt;K$30,I$28,K107&lt;K$32,I$30,K107&lt;K$34,I$32,K107&lt;K$36,I$34,K107&lt;K$38,I$36,K107&lt;K$40,I$38,K107&lt;K$42,I$40,K107&lt;K$44,I$42,K107&lt;K$46,I$44,K107&gt;=K$46,I$46)</f>
        <v/>
      </c>
      <c r="J107" s="37">
        <f>_xlfn.IFS(K107&lt;K$24,0,K107&lt;K$25,J$24,K107&lt;K$26,J$25,K107&lt;K$27,J$26,K107&lt;K$28,J$27,K107&lt;K$29,J$28,K107&lt;K$30,J$29,K107&lt;K$31,J$30,K107&lt;K$32,J$31,K107&lt;K$33,J$32,K107&lt;K$34,J$33,K107&lt;K$35,J$34,K107&lt;K$36,J$35,K107&lt;K$37,J$36,K107&lt;K$38,J$37,K107&lt;K$39,J$38,K107&lt;K$40,J$39,K107&lt;K$41,J$40,K107&lt;K$42,J$41,K107&lt;K$43,J$42,K107&lt;K$44,J$43,K107&lt;K$45,J$44,K107&lt;K$46,J$45,K107&lt;K$47,J$46,K107&gt;=K$47,J$47)</f>
        <v/>
      </c>
      <c r="K107" s="38" t="n">
        <v>57</v>
      </c>
      <c r="L107" s="31">
        <f>K107/52</f>
        <v/>
      </c>
      <c r="M107" s="39">
        <f>J107/1000000*52</f>
        <v/>
      </c>
      <c r="N107" s="33">
        <f>M107/$P$4+($I$22/$P$4)</f>
        <v/>
      </c>
      <c r="U107">
        <f>F106</f>
        <v/>
      </c>
      <c r="V107">
        <f>H106</f>
        <v/>
      </c>
      <c r="W107">
        <f>N106</f>
        <v/>
      </c>
    </row>
    <row r="108" ht="15.75" customHeight="1" s="40">
      <c r="C108" s="36">
        <f>_xlfn.IFS(E108&lt;E$24,0,E108&lt;E$26,C$24,E108&lt;E$28,C$26,E108&lt;E$30,C$28,E108&lt;E$32,C$30,E108&lt;E$34,C$32,E108&gt;=E$34,C$34)</f>
        <v/>
      </c>
      <c r="D108" s="37">
        <f>_xlfn.IFS(E108&lt;E$24,0,E108&lt;E$25,D$24,E108&lt;E$26,D$25,E108&lt;E$27,D$26,E108&lt;E$28,D$27,E108&lt;E$29,D$28,E108&lt;E$30,D$29,E108&lt;E$31,D$30,E108&lt;E$32,D$31,E108&lt;E$33,D$32,E108&lt;E$34,D$33,E108&lt;E$35,D$34,E108&gt;=E$35,D$35)</f>
        <v/>
      </c>
      <c r="E108" s="38" t="n">
        <v>58</v>
      </c>
      <c r="F108" s="31">
        <f>E108/52</f>
        <v/>
      </c>
      <c r="G108" s="39">
        <f>D108/1000000*52</f>
        <v/>
      </c>
      <c r="H108" s="33">
        <f>G108/$P$4+($C$22/$P$4)</f>
        <v/>
      </c>
      <c r="I108" s="36">
        <f>_xlfn.IFS(K108&lt;K$24,0,K108&lt;K$26,I$24,K108&lt;K$28,I$26,K108&lt;K$30,I$28,K108&lt;K$32,I$30,K108&lt;K$34,I$32,K108&lt;K$36,I$34,K108&lt;K$38,I$36,K108&lt;K$40,I$38,K108&lt;K$42,I$40,K108&lt;K$44,I$42,K108&lt;K$46,I$44,K108&gt;=K$46,I$46)</f>
        <v/>
      </c>
      <c r="J108" s="37">
        <f>_xlfn.IFS(K108&lt;K$24,0,K108&lt;K$25,J$24,K108&lt;K$26,J$25,K108&lt;K$27,J$26,K108&lt;K$28,J$27,K108&lt;K$29,J$28,K108&lt;K$30,J$29,K108&lt;K$31,J$30,K108&lt;K$32,J$31,K108&lt;K$33,J$32,K108&lt;K$34,J$33,K108&lt;K$35,J$34,K108&lt;K$36,J$35,K108&lt;K$37,J$36,K108&lt;K$38,J$37,K108&lt;K$39,J$38,K108&lt;K$40,J$39,K108&lt;K$41,J$40,K108&lt;K$42,J$41,K108&lt;K$43,J$42,K108&lt;K$44,J$43,K108&lt;K$45,J$44,K108&lt;K$46,J$45,K108&lt;K$47,J$46,K108&gt;=K$47,J$47)</f>
        <v/>
      </c>
      <c r="K108" s="38" t="n">
        <v>58</v>
      </c>
      <c r="L108" s="31">
        <f>K108/52</f>
        <v/>
      </c>
      <c r="M108" s="39">
        <f>J108/1000000*52</f>
        <v/>
      </c>
      <c r="N108" s="33">
        <f>M108/$P$4+($I$22/$P$4)</f>
        <v/>
      </c>
      <c r="U108">
        <f>F107</f>
        <v/>
      </c>
      <c r="V108">
        <f>H107</f>
        <v/>
      </c>
      <c r="W108">
        <f>N107</f>
        <v/>
      </c>
    </row>
    <row r="109" ht="15.75" customHeight="1" s="40">
      <c r="C109" s="36">
        <f>_xlfn.IFS(E109&lt;E$24,0,E109&lt;E$26,C$24,E109&lt;E$28,C$26,E109&lt;E$30,C$28,E109&lt;E$32,C$30,E109&lt;E$34,C$32,E109&gt;=E$34,C$34)</f>
        <v/>
      </c>
      <c r="D109" s="37">
        <f>_xlfn.IFS(E109&lt;E$24,0,E109&lt;E$25,D$24,E109&lt;E$26,D$25,E109&lt;E$27,D$26,E109&lt;E$28,D$27,E109&lt;E$29,D$28,E109&lt;E$30,D$29,E109&lt;E$31,D$30,E109&lt;E$32,D$31,E109&lt;E$33,D$32,E109&lt;E$34,D$33,E109&lt;E$35,D$34,E109&gt;=E$35,D$35)</f>
        <v/>
      </c>
      <c r="E109" s="38" t="n">
        <v>59</v>
      </c>
      <c r="F109" s="31">
        <f>E109/52</f>
        <v/>
      </c>
      <c r="G109" s="39">
        <f>D109/1000000*52</f>
        <v/>
      </c>
      <c r="H109" s="33">
        <f>G109/$P$4+($C$22/$P$4)</f>
        <v/>
      </c>
      <c r="I109" s="36">
        <f>_xlfn.IFS(K109&lt;K$24,0,K109&lt;K$26,I$24,K109&lt;K$28,I$26,K109&lt;K$30,I$28,K109&lt;K$32,I$30,K109&lt;K$34,I$32,K109&lt;K$36,I$34,K109&lt;K$38,I$36,K109&lt;K$40,I$38,K109&lt;K$42,I$40,K109&lt;K$44,I$42,K109&lt;K$46,I$44,K109&gt;=K$46,I$46)</f>
        <v/>
      </c>
      <c r="J109" s="37">
        <f>_xlfn.IFS(K109&lt;K$24,0,K109&lt;K$25,J$24,K109&lt;K$26,J$25,K109&lt;K$27,J$26,K109&lt;K$28,J$27,K109&lt;K$29,J$28,K109&lt;K$30,J$29,K109&lt;K$31,J$30,K109&lt;K$32,J$31,K109&lt;K$33,J$32,K109&lt;K$34,J$33,K109&lt;K$35,J$34,K109&lt;K$36,J$35,K109&lt;K$37,J$36,K109&lt;K$38,J$37,K109&lt;K$39,J$38,K109&lt;K$40,J$39,K109&lt;K$41,J$40,K109&lt;K$42,J$41,K109&lt;K$43,J$42,K109&lt;K$44,J$43,K109&lt;K$45,J$44,K109&lt;K$46,J$45,K109&lt;K$47,J$46,K109&gt;=K$47,J$47)</f>
        <v/>
      </c>
      <c r="K109" s="38" t="n">
        <v>59</v>
      </c>
      <c r="L109" s="31">
        <f>K109/52</f>
        <v/>
      </c>
      <c r="M109" s="39">
        <f>J109/1000000*52</f>
        <v/>
      </c>
      <c r="N109" s="33">
        <f>M109/$P$4+($I$22/$P$4)</f>
        <v/>
      </c>
      <c r="U109">
        <f>F108</f>
        <v/>
      </c>
      <c r="V109">
        <f>H108</f>
        <v/>
      </c>
      <c r="W109">
        <f>N108</f>
        <v/>
      </c>
    </row>
    <row r="110" ht="15.75" customHeight="1" s="40">
      <c r="C110" s="36">
        <f>_xlfn.IFS(E110&lt;E$24,0,E110&lt;E$26,C$24,E110&lt;E$28,C$26,E110&lt;E$30,C$28,E110&lt;E$32,C$30,E110&lt;E$34,C$32,E110&gt;=E$34,C$34)</f>
        <v/>
      </c>
      <c r="D110" s="37">
        <f>_xlfn.IFS(E110&lt;E$24,0,E110&lt;E$25,D$24,E110&lt;E$26,D$25,E110&lt;E$27,D$26,E110&lt;E$28,D$27,E110&lt;E$29,D$28,E110&lt;E$30,D$29,E110&lt;E$31,D$30,E110&lt;E$32,D$31,E110&lt;E$33,D$32,E110&lt;E$34,D$33,E110&lt;E$35,D$34,E110&gt;=E$35,D$35)</f>
        <v/>
      </c>
      <c r="E110" s="38" t="n">
        <v>60</v>
      </c>
      <c r="F110" s="31">
        <f>E110/52</f>
        <v/>
      </c>
      <c r="G110" s="39">
        <f>D110/1000000*52</f>
        <v/>
      </c>
      <c r="H110" s="33">
        <f>G110/$P$4+($C$22/$P$4)</f>
        <v/>
      </c>
      <c r="I110" s="36">
        <f>_xlfn.IFS(K110&lt;K$24,0,K110&lt;K$26,I$24,K110&lt;K$28,I$26,K110&lt;K$30,I$28,K110&lt;K$32,I$30,K110&lt;K$34,I$32,K110&lt;K$36,I$34,K110&lt;K$38,I$36,K110&lt;K$40,I$38,K110&lt;K$42,I$40,K110&lt;K$44,I$42,K110&lt;K$46,I$44,K110&gt;=K$46,I$46)</f>
        <v/>
      </c>
      <c r="J110" s="37">
        <f>_xlfn.IFS(K110&lt;K$24,0,K110&lt;K$25,J$24,K110&lt;K$26,J$25,K110&lt;K$27,J$26,K110&lt;K$28,J$27,K110&lt;K$29,J$28,K110&lt;K$30,J$29,K110&lt;K$31,J$30,K110&lt;K$32,J$31,K110&lt;K$33,J$32,K110&lt;K$34,J$33,K110&lt;K$35,J$34,K110&lt;K$36,J$35,K110&lt;K$37,J$36,K110&lt;K$38,J$37,K110&lt;K$39,J$38,K110&lt;K$40,J$39,K110&lt;K$41,J$40,K110&lt;K$42,J$41,K110&lt;K$43,J$42,K110&lt;K$44,J$43,K110&lt;K$45,J$44,K110&lt;K$46,J$45,K110&lt;K$47,J$46,K110&gt;=K$47,J$47)</f>
        <v/>
      </c>
      <c r="K110" s="38" t="n">
        <v>60</v>
      </c>
      <c r="L110" s="31">
        <f>K110/52</f>
        <v/>
      </c>
      <c r="M110" s="39">
        <f>J110/1000000*52</f>
        <v/>
      </c>
      <c r="N110" s="33">
        <f>M110/$P$4+($I$22/$P$4)</f>
        <v/>
      </c>
      <c r="U110">
        <f>F109</f>
        <v/>
      </c>
      <c r="V110">
        <f>H109</f>
        <v/>
      </c>
      <c r="W110">
        <f>N109</f>
        <v/>
      </c>
    </row>
    <row r="111" ht="15.75" customHeight="1" s="40">
      <c r="C111" s="36">
        <f>_xlfn.IFS(E111&lt;E$24,0,E111&lt;E$26,C$24,E111&lt;E$28,C$26,E111&lt;E$30,C$28,E111&lt;E$32,C$30,E111&lt;E$34,C$32,E111&gt;=E$34,C$34)</f>
        <v/>
      </c>
      <c r="D111" s="37">
        <f>_xlfn.IFS(E111&lt;E$24,0,E111&lt;E$25,D$24,E111&lt;E$26,D$25,E111&lt;E$27,D$26,E111&lt;E$28,D$27,E111&lt;E$29,D$28,E111&lt;E$30,D$29,E111&lt;E$31,D$30,E111&lt;E$32,D$31,E111&lt;E$33,D$32,E111&lt;E$34,D$33,E111&lt;E$35,D$34,E111&gt;=E$35,D$35)</f>
        <v/>
      </c>
      <c r="E111" s="38" t="n">
        <v>61</v>
      </c>
      <c r="F111" s="31">
        <f>E111/52</f>
        <v/>
      </c>
      <c r="G111" s="39">
        <f>D111/1000000*52</f>
        <v/>
      </c>
      <c r="H111" s="33">
        <f>G111/$P$4+($C$22/$P$4)</f>
        <v/>
      </c>
      <c r="I111" s="36">
        <f>_xlfn.IFS(K111&lt;K$24,0,K111&lt;K$26,I$24,K111&lt;K$28,I$26,K111&lt;K$30,I$28,K111&lt;K$32,I$30,K111&lt;K$34,I$32,K111&lt;K$36,I$34,K111&lt;K$38,I$36,K111&lt;K$40,I$38,K111&lt;K$42,I$40,K111&lt;K$44,I$42,K111&lt;K$46,I$44,K111&gt;=K$46,I$46)</f>
        <v/>
      </c>
      <c r="J111" s="37">
        <f>_xlfn.IFS(K111&lt;K$24,0,K111&lt;K$25,J$24,K111&lt;K$26,J$25,K111&lt;K$27,J$26,K111&lt;K$28,J$27,K111&lt;K$29,J$28,K111&lt;K$30,J$29,K111&lt;K$31,J$30,K111&lt;K$32,J$31,K111&lt;K$33,J$32,K111&lt;K$34,J$33,K111&lt;K$35,J$34,K111&lt;K$36,J$35,K111&lt;K$37,J$36,K111&lt;K$38,J$37,K111&lt;K$39,J$38,K111&lt;K$40,J$39,K111&lt;K$41,J$40,K111&lt;K$42,J$41,K111&lt;K$43,J$42,K111&lt;K$44,J$43,K111&lt;K$45,J$44,K111&lt;K$46,J$45,K111&lt;K$47,J$46,K111&gt;=K$47,J$47)</f>
        <v/>
      </c>
      <c r="K111" s="38" t="n">
        <v>61</v>
      </c>
      <c r="L111" s="31">
        <f>K111/52</f>
        <v/>
      </c>
      <c r="M111" s="39">
        <f>J111/1000000*52</f>
        <v/>
      </c>
      <c r="N111" s="33">
        <f>M111/$P$4+($I$22/$P$4)</f>
        <v/>
      </c>
      <c r="U111">
        <f>F110</f>
        <v/>
      </c>
      <c r="V111">
        <f>H110</f>
        <v/>
      </c>
      <c r="W111">
        <f>N110</f>
        <v/>
      </c>
    </row>
    <row r="112" ht="15.75" customHeight="1" s="40">
      <c r="C112" s="36">
        <f>_xlfn.IFS(E112&lt;E$24,0,E112&lt;E$26,C$24,E112&lt;E$28,C$26,E112&lt;E$30,C$28,E112&lt;E$32,C$30,E112&lt;E$34,C$32,E112&gt;=E$34,C$34)</f>
        <v/>
      </c>
      <c r="D112" s="37">
        <f>_xlfn.IFS(E112&lt;E$24,0,E112&lt;E$25,D$24,E112&lt;E$26,D$25,E112&lt;E$27,D$26,E112&lt;E$28,D$27,E112&lt;E$29,D$28,E112&lt;E$30,D$29,E112&lt;E$31,D$30,E112&lt;E$32,D$31,E112&lt;E$33,D$32,E112&lt;E$34,D$33,E112&lt;E$35,D$34,E112&gt;=E$35,D$35)</f>
        <v/>
      </c>
      <c r="E112" s="38" t="n">
        <v>62</v>
      </c>
      <c r="F112" s="31">
        <f>E112/52</f>
        <v/>
      </c>
      <c r="G112" s="39">
        <f>D112/1000000*52</f>
        <v/>
      </c>
      <c r="H112" s="33">
        <f>G112/$P$4+($C$22/$P$4)</f>
        <v/>
      </c>
      <c r="I112" s="36">
        <f>_xlfn.IFS(K112&lt;K$24,0,K112&lt;K$26,I$24,K112&lt;K$28,I$26,K112&lt;K$30,I$28,K112&lt;K$32,I$30,K112&lt;K$34,I$32,K112&lt;K$36,I$34,K112&lt;K$38,I$36,K112&lt;K$40,I$38,K112&lt;K$42,I$40,K112&lt;K$44,I$42,K112&lt;K$46,I$44,K112&gt;=K$46,I$46)</f>
        <v/>
      </c>
      <c r="J112" s="37">
        <f>_xlfn.IFS(K112&lt;K$24,0,K112&lt;K$25,J$24,K112&lt;K$26,J$25,K112&lt;K$27,J$26,K112&lt;K$28,J$27,K112&lt;K$29,J$28,K112&lt;K$30,J$29,K112&lt;K$31,J$30,K112&lt;K$32,J$31,K112&lt;K$33,J$32,K112&lt;K$34,J$33,K112&lt;K$35,J$34,K112&lt;K$36,J$35,K112&lt;K$37,J$36,K112&lt;K$38,J$37,K112&lt;K$39,J$38,K112&lt;K$40,J$39,K112&lt;K$41,J$40,K112&lt;K$42,J$41,K112&lt;K$43,J$42,K112&lt;K$44,J$43,K112&lt;K$45,J$44,K112&lt;K$46,J$45,K112&lt;K$47,J$46,K112&gt;=K$47,J$47)</f>
        <v/>
      </c>
      <c r="K112" s="38" t="n">
        <v>62</v>
      </c>
      <c r="L112" s="31">
        <f>K112/52</f>
        <v/>
      </c>
      <c r="M112" s="39">
        <f>J112/1000000*52</f>
        <v/>
      </c>
      <c r="N112" s="33">
        <f>M112/$P$4+($I$22/$P$4)</f>
        <v/>
      </c>
      <c r="U112">
        <f>F111</f>
        <v/>
      </c>
      <c r="V112">
        <f>H111</f>
        <v/>
      </c>
      <c r="W112">
        <f>N111</f>
        <v/>
      </c>
    </row>
    <row r="113" ht="15.75" customHeight="1" s="40">
      <c r="C113" s="36">
        <f>_xlfn.IFS(E113&lt;E$24,0,E113&lt;E$26,C$24,E113&lt;E$28,C$26,E113&lt;E$30,C$28,E113&lt;E$32,C$30,E113&lt;E$34,C$32,E113&gt;=E$34,C$34)</f>
        <v/>
      </c>
      <c r="D113" s="37">
        <f>_xlfn.IFS(E113&lt;E$24,0,E113&lt;E$25,D$24,E113&lt;E$26,D$25,E113&lt;E$27,D$26,E113&lt;E$28,D$27,E113&lt;E$29,D$28,E113&lt;E$30,D$29,E113&lt;E$31,D$30,E113&lt;E$32,D$31,E113&lt;E$33,D$32,E113&lt;E$34,D$33,E113&lt;E$35,D$34,E113&gt;=E$35,D$35)</f>
        <v/>
      </c>
      <c r="E113" s="38" t="n">
        <v>63</v>
      </c>
      <c r="F113" s="31">
        <f>E113/52</f>
        <v/>
      </c>
      <c r="G113" s="39">
        <f>D113/1000000*52</f>
        <v/>
      </c>
      <c r="H113" s="33">
        <f>G113/$P$4+($C$22/$P$4)</f>
        <v/>
      </c>
      <c r="I113" s="36">
        <f>_xlfn.IFS(K113&lt;K$24,0,K113&lt;K$26,I$24,K113&lt;K$28,I$26,K113&lt;K$30,I$28,K113&lt;K$32,I$30,K113&lt;K$34,I$32,K113&lt;K$36,I$34,K113&lt;K$38,I$36,K113&lt;K$40,I$38,K113&lt;K$42,I$40,K113&lt;K$44,I$42,K113&lt;K$46,I$44,K113&gt;=K$46,I$46)</f>
        <v/>
      </c>
      <c r="J113" s="37">
        <f>_xlfn.IFS(K113&lt;K$24,0,K113&lt;K$25,J$24,K113&lt;K$26,J$25,K113&lt;K$27,J$26,K113&lt;K$28,J$27,K113&lt;K$29,J$28,K113&lt;K$30,J$29,K113&lt;K$31,J$30,K113&lt;K$32,J$31,K113&lt;K$33,J$32,K113&lt;K$34,J$33,K113&lt;K$35,J$34,K113&lt;K$36,J$35,K113&lt;K$37,J$36,K113&lt;K$38,J$37,K113&lt;K$39,J$38,K113&lt;K$40,J$39,K113&lt;K$41,J$40,K113&lt;K$42,J$41,K113&lt;K$43,J$42,K113&lt;K$44,J$43,K113&lt;K$45,J$44,K113&lt;K$46,J$45,K113&lt;K$47,J$46,K113&gt;=K$47,J$47)</f>
        <v/>
      </c>
      <c r="K113" s="38" t="n">
        <v>63</v>
      </c>
      <c r="L113" s="31">
        <f>K113/52</f>
        <v/>
      </c>
      <c r="M113" s="39">
        <f>J113/1000000*52</f>
        <v/>
      </c>
      <c r="N113" s="33">
        <f>M113/$P$4+($I$22/$P$4)</f>
        <v/>
      </c>
      <c r="U113">
        <f>F112</f>
        <v/>
      </c>
      <c r="V113">
        <f>H112</f>
        <v/>
      </c>
      <c r="W113">
        <f>N112</f>
        <v/>
      </c>
    </row>
    <row r="114" ht="15.75" customHeight="1" s="40">
      <c r="C114" s="36">
        <f>_xlfn.IFS(E114&lt;E$24,0,E114&lt;E$26,C$24,E114&lt;E$28,C$26,E114&lt;E$30,C$28,E114&lt;E$32,C$30,E114&lt;E$34,C$32,E114&gt;=E$34,C$34)</f>
        <v/>
      </c>
      <c r="D114" s="37">
        <f>_xlfn.IFS(E114&lt;E$24,0,E114&lt;E$25,D$24,E114&lt;E$26,D$25,E114&lt;E$27,D$26,E114&lt;E$28,D$27,E114&lt;E$29,D$28,E114&lt;E$30,D$29,E114&lt;E$31,D$30,E114&lt;E$32,D$31,E114&lt;E$33,D$32,E114&lt;E$34,D$33,E114&lt;E$35,D$34,E114&gt;=E$35,D$35)</f>
        <v/>
      </c>
      <c r="E114" s="38" t="n">
        <v>64</v>
      </c>
      <c r="F114" s="31">
        <f>E114/52</f>
        <v/>
      </c>
      <c r="G114" s="39">
        <f>D114/1000000*52</f>
        <v/>
      </c>
      <c r="H114" s="33">
        <f>G114/$P$4+($C$22/$P$4)</f>
        <v/>
      </c>
      <c r="I114" s="36">
        <f>_xlfn.IFS(K114&lt;K$24,0,K114&lt;K$26,I$24,K114&lt;K$28,I$26,K114&lt;K$30,I$28,K114&lt;K$32,I$30,K114&lt;K$34,I$32,K114&lt;K$36,I$34,K114&lt;K$38,I$36,K114&lt;K$40,I$38,K114&lt;K$42,I$40,K114&lt;K$44,I$42,K114&lt;K$46,I$44,K114&gt;=K$46,I$46)</f>
        <v/>
      </c>
      <c r="J114" s="37">
        <f>_xlfn.IFS(K114&lt;K$24,0,K114&lt;K$25,J$24,K114&lt;K$26,J$25,K114&lt;K$27,J$26,K114&lt;K$28,J$27,K114&lt;K$29,J$28,K114&lt;K$30,J$29,K114&lt;K$31,J$30,K114&lt;K$32,J$31,K114&lt;K$33,J$32,K114&lt;K$34,J$33,K114&lt;K$35,J$34,K114&lt;K$36,J$35,K114&lt;K$37,J$36,K114&lt;K$38,J$37,K114&lt;K$39,J$38,K114&lt;K$40,J$39,K114&lt;K$41,J$40,K114&lt;K$42,J$41,K114&lt;K$43,J$42,K114&lt;K$44,J$43,K114&lt;K$45,J$44,K114&lt;K$46,J$45,K114&lt;K$47,J$46,K114&gt;=K$47,J$47)</f>
        <v/>
      </c>
      <c r="K114" s="38" t="n">
        <v>64</v>
      </c>
      <c r="L114" s="31">
        <f>K114/52</f>
        <v/>
      </c>
      <c r="M114" s="39">
        <f>J114/1000000*52</f>
        <v/>
      </c>
      <c r="N114" s="33">
        <f>M114/$P$4+($I$22/$P$4)</f>
        <v/>
      </c>
      <c r="U114">
        <f>F113</f>
        <v/>
      </c>
      <c r="V114">
        <f>H113</f>
        <v/>
      </c>
      <c r="W114">
        <f>N113</f>
        <v/>
      </c>
    </row>
    <row r="115" ht="15.75" customHeight="1" s="40">
      <c r="C115" s="36">
        <f>_xlfn.IFS(E115&lt;E$24,0,E115&lt;E$26,C$24,E115&lt;E$28,C$26,E115&lt;E$30,C$28,E115&lt;E$32,C$30,E115&lt;E$34,C$32,E115&gt;=E$34,C$34)</f>
        <v/>
      </c>
      <c r="D115" s="37">
        <f>_xlfn.IFS(E115&lt;E$24,0,E115&lt;E$25,D$24,E115&lt;E$26,D$25,E115&lt;E$27,D$26,E115&lt;E$28,D$27,E115&lt;E$29,D$28,E115&lt;E$30,D$29,E115&lt;E$31,D$30,E115&lt;E$32,D$31,E115&lt;E$33,D$32,E115&lt;E$34,D$33,E115&lt;E$35,D$34,E115&gt;=E$35,D$35)</f>
        <v/>
      </c>
      <c r="E115" s="38" t="n">
        <v>65</v>
      </c>
      <c r="F115" s="31">
        <f>E115/52</f>
        <v/>
      </c>
      <c r="G115" s="39">
        <f>D115/1000000*52</f>
        <v/>
      </c>
      <c r="H115" s="33">
        <f>G115/$P$4+($C$22/$P$4)</f>
        <v/>
      </c>
      <c r="I115" s="36">
        <f>_xlfn.IFS(K115&lt;K$24,0,K115&lt;K$26,I$24,K115&lt;K$28,I$26,K115&lt;K$30,I$28,K115&lt;K$32,I$30,K115&lt;K$34,I$32,K115&lt;K$36,I$34,K115&lt;K$38,I$36,K115&lt;K$40,I$38,K115&lt;K$42,I$40,K115&lt;K$44,I$42,K115&lt;K$46,I$44,K115&gt;=K$46,I$46)</f>
        <v/>
      </c>
      <c r="J115" s="37">
        <f>_xlfn.IFS(K115&lt;K$24,0,K115&lt;K$25,J$24,K115&lt;K$26,J$25,K115&lt;K$27,J$26,K115&lt;K$28,J$27,K115&lt;K$29,J$28,K115&lt;K$30,J$29,K115&lt;K$31,J$30,K115&lt;K$32,J$31,K115&lt;K$33,J$32,K115&lt;K$34,J$33,K115&lt;K$35,J$34,K115&lt;K$36,J$35,K115&lt;K$37,J$36,K115&lt;K$38,J$37,K115&lt;K$39,J$38,K115&lt;K$40,J$39,K115&lt;K$41,J$40,K115&lt;K$42,J$41,K115&lt;K$43,J$42,K115&lt;K$44,J$43,K115&lt;K$45,J$44,K115&lt;K$46,J$45,K115&lt;K$47,J$46,K115&gt;=K$47,J$47)</f>
        <v/>
      </c>
      <c r="K115" s="38" t="n">
        <v>65</v>
      </c>
      <c r="L115" s="31">
        <f>K115/52</f>
        <v/>
      </c>
      <c r="M115" s="39">
        <f>J115/1000000*52</f>
        <v/>
      </c>
      <c r="N115" s="33">
        <f>M115/$P$4+($I$22/$P$4)</f>
        <v/>
      </c>
      <c r="U115">
        <f>F114</f>
        <v/>
      </c>
      <c r="V115">
        <f>H114</f>
        <v/>
      </c>
      <c r="W115">
        <f>N114</f>
        <v/>
      </c>
    </row>
    <row r="116" ht="15.75" customHeight="1" s="40">
      <c r="C116" s="36">
        <f>_xlfn.IFS(E116&lt;E$24,0,E116&lt;E$26,C$24,E116&lt;E$28,C$26,E116&lt;E$30,C$28,E116&lt;E$32,C$30,E116&lt;E$34,C$32,E116&gt;=E$34,C$34)</f>
        <v/>
      </c>
      <c r="D116" s="37">
        <f>_xlfn.IFS(E116&lt;E$24,0,E116&lt;E$25,D$24,E116&lt;E$26,D$25,E116&lt;E$27,D$26,E116&lt;E$28,D$27,E116&lt;E$29,D$28,E116&lt;E$30,D$29,E116&lt;E$31,D$30,E116&lt;E$32,D$31,E116&lt;E$33,D$32,E116&lt;E$34,D$33,E116&lt;E$35,D$34,E116&gt;=E$35,D$35)</f>
        <v/>
      </c>
      <c r="E116" s="38" t="n">
        <v>66</v>
      </c>
      <c r="F116" s="31">
        <f>E116/52</f>
        <v/>
      </c>
      <c r="G116" s="39">
        <f>D116/1000000*52</f>
        <v/>
      </c>
      <c r="H116" s="33">
        <f>G116/$P$4+($C$22/$P$4)</f>
        <v/>
      </c>
      <c r="I116" s="36">
        <f>_xlfn.IFS(K116&lt;K$24,0,K116&lt;K$26,I$24,K116&lt;K$28,I$26,K116&lt;K$30,I$28,K116&lt;K$32,I$30,K116&lt;K$34,I$32,K116&lt;K$36,I$34,K116&lt;K$38,I$36,K116&lt;K$40,I$38,K116&lt;K$42,I$40,K116&lt;K$44,I$42,K116&lt;K$46,I$44,K116&gt;=K$46,I$46)</f>
        <v/>
      </c>
      <c r="J116" s="37">
        <f>_xlfn.IFS(K116&lt;K$24,0,K116&lt;K$25,J$24,K116&lt;K$26,J$25,K116&lt;K$27,J$26,K116&lt;K$28,J$27,K116&lt;K$29,J$28,K116&lt;K$30,J$29,K116&lt;K$31,J$30,K116&lt;K$32,J$31,K116&lt;K$33,J$32,K116&lt;K$34,J$33,K116&lt;K$35,J$34,K116&lt;K$36,J$35,K116&lt;K$37,J$36,K116&lt;K$38,J$37,K116&lt;K$39,J$38,K116&lt;K$40,J$39,K116&lt;K$41,J$40,K116&lt;K$42,J$41,K116&lt;K$43,J$42,K116&lt;K$44,J$43,K116&lt;K$45,J$44,K116&lt;K$46,J$45,K116&lt;K$47,J$46,K116&gt;=K$47,J$47)</f>
        <v/>
      </c>
      <c r="K116" s="38" t="n">
        <v>66</v>
      </c>
      <c r="L116" s="31">
        <f>K116/52</f>
        <v/>
      </c>
      <c r="M116" s="39">
        <f>J116/1000000*52</f>
        <v/>
      </c>
      <c r="N116" s="33">
        <f>M116/$P$4+($I$22/$P$4)</f>
        <v/>
      </c>
      <c r="U116">
        <f>F115</f>
        <v/>
      </c>
      <c r="V116">
        <f>H115</f>
        <v/>
      </c>
      <c r="W116">
        <f>N115</f>
        <v/>
      </c>
    </row>
    <row r="117" ht="15.75" customHeight="1" s="40">
      <c r="C117" s="36">
        <f>_xlfn.IFS(E117&lt;E$24,0,E117&lt;E$26,C$24,E117&lt;E$28,C$26,E117&lt;E$30,C$28,E117&lt;E$32,C$30,E117&lt;E$34,C$32,E117&gt;=E$34,C$34)</f>
        <v/>
      </c>
      <c r="D117" s="37">
        <f>_xlfn.IFS(E117&lt;E$24,0,E117&lt;E$25,D$24,E117&lt;E$26,D$25,E117&lt;E$27,D$26,E117&lt;E$28,D$27,E117&lt;E$29,D$28,E117&lt;E$30,D$29,E117&lt;E$31,D$30,E117&lt;E$32,D$31,E117&lt;E$33,D$32,E117&lt;E$34,D$33,E117&lt;E$35,D$34,E117&gt;=E$35,D$35)</f>
        <v/>
      </c>
      <c r="E117" s="38" t="n">
        <v>67</v>
      </c>
      <c r="F117" s="31">
        <f>E117/52</f>
        <v/>
      </c>
      <c r="G117" s="39">
        <f>D117/1000000*52</f>
        <v/>
      </c>
      <c r="H117" s="33">
        <f>G117/$P$4+($C$22/$P$4)</f>
        <v/>
      </c>
      <c r="I117" s="36">
        <f>_xlfn.IFS(K117&lt;K$24,0,K117&lt;K$26,I$24,K117&lt;K$28,I$26,K117&lt;K$30,I$28,K117&lt;K$32,I$30,K117&lt;K$34,I$32,K117&lt;K$36,I$34,K117&lt;K$38,I$36,K117&lt;K$40,I$38,K117&lt;K$42,I$40,K117&lt;K$44,I$42,K117&lt;K$46,I$44,K117&gt;=K$46,I$46)</f>
        <v/>
      </c>
      <c r="J117" s="37">
        <f>_xlfn.IFS(K117&lt;K$24,0,K117&lt;K$25,J$24,K117&lt;K$26,J$25,K117&lt;K$27,J$26,K117&lt;K$28,J$27,K117&lt;K$29,J$28,K117&lt;K$30,J$29,K117&lt;K$31,J$30,K117&lt;K$32,J$31,K117&lt;K$33,J$32,K117&lt;K$34,J$33,K117&lt;K$35,J$34,K117&lt;K$36,J$35,K117&lt;K$37,J$36,K117&lt;K$38,J$37,K117&lt;K$39,J$38,K117&lt;K$40,J$39,K117&lt;K$41,J$40,K117&lt;K$42,J$41,K117&lt;K$43,J$42,K117&lt;K$44,J$43,K117&lt;K$45,J$44,K117&lt;K$46,J$45,K117&lt;K$47,J$46,K117&gt;=K$47,J$47)</f>
        <v/>
      </c>
      <c r="K117" s="38" t="n">
        <v>67</v>
      </c>
      <c r="L117" s="31">
        <f>K117/52</f>
        <v/>
      </c>
      <c r="M117" s="39">
        <f>J117/1000000*52</f>
        <v/>
      </c>
      <c r="N117" s="33">
        <f>M117/$P$4+($I$22/$P$4)</f>
        <v/>
      </c>
      <c r="U117">
        <f>F116</f>
        <v/>
      </c>
      <c r="V117">
        <f>H116</f>
        <v/>
      </c>
      <c r="W117">
        <f>N116</f>
        <v/>
      </c>
    </row>
    <row r="118" ht="15.75" customHeight="1" s="40">
      <c r="C118" s="36">
        <f>_xlfn.IFS(E118&lt;E$24,0,E118&lt;E$26,C$24,E118&lt;E$28,C$26,E118&lt;E$30,C$28,E118&lt;E$32,C$30,E118&lt;E$34,C$32,E118&gt;=E$34,C$34)</f>
        <v/>
      </c>
      <c r="D118" s="37">
        <f>_xlfn.IFS(E118&lt;E$24,0,E118&lt;E$25,D$24,E118&lt;E$26,D$25,E118&lt;E$27,D$26,E118&lt;E$28,D$27,E118&lt;E$29,D$28,E118&lt;E$30,D$29,E118&lt;E$31,D$30,E118&lt;E$32,D$31,E118&lt;E$33,D$32,E118&lt;E$34,D$33,E118&lt;E$35,D$34,E118&gt;=E$35,D$35)</f>
        <v/>
      </c>
      <c r="E118" s="38" t="n">
        <v>68</v>
      </c>
      <c r="F118" s="31">
        <f>E118/52</f>
        <v/>
      </c>
      <c r="G118" s="39">
        <f>D118/1000000*52</f>
        <v/>
      </c>
      <c r="H118" s="33">
        <f>G118/$P$4+($C$22/$P$4)</f>
        <v/>
      </c>
      <c r="I118" s="36">
        <f>_xlfn.IFS(K118&lt;K$24,0,K118&lt;K$26,I$24,K118&lt;K$28,I$26,K118&lt;K$30,I$28,K118&lt;K$32,I$30,K118&lt;K$34,I$32,K118&lt;K$36,I$34,K118&lt;K$38,I$36,K118&lt;K$40,I$38,K118&lt;K$42,I$40,K118&lt;K$44,I$42,K118&lt;K$46,I$44,K118&gt;=K$46,I$46)</f>
        <v/>
      </c>
      <c r="J118" s="37">
        <f>_xlfn.IFS(K118&lt;K$24,0,K118&lt;K$25,J$24,K118&lt;K$26,J$25,K118&lt;K$27,J$26,K118&lt;K$28,J$27,K118&lt;K$29,J$28,K118&lt;K$30,J$29,K118&lt;K$31,J$30,K118&lt;K$32,J$31,K118&lt;K$33,J$32,K118&lt;K$34,J$33,K118&lt;K$35,J$34,K118&lt;K$36,J$35,K118&lt;K$37,J$36,K118&lt;K$38,J$37,K118&lt;K$39,J$38,K118&lt;K$40,J$39,K118&lt;K$41,J$40,K118&lt;K$42,J$41,K118&lt;K$43,J$42,K118&lt;K$44,J$43,K118&lt;K$45,J$44,K118&lt;K$46,J$45,K118&lt;K$47,J$46,K118&gt;=K$47,J$47)</f>
        <v/>
      </c>
      <c r="K118" s="38" t="n">
        <v>68</v>
      </c>
      <c r="L118" s="31">
        <f>K118/52</f>
        <v/>
      </c>
      <c r="M118" s="39">
        <f>J118/1000000*52</f>
        <v/>
      </c>
      <c r="N118" s="33">
        <f>M118/$P$4+($I$22/$P$4)</f>
        <v/>
      </c>
      <c r="U118">
        <f>F117</f>
        <v/>
      </c>
      <c r="V118">
        <f>H117</f>
        <v/>
      </c>
      <c r="W118">
        <f>N117</f>
        <v/>
      </c>
    </row>
    <row r="119" ht="15.75" customHeight="1" s="40">
      <c r="C119" s="36">
        <f>_xlfn.IFS(E119&lt;E$24,0,E119&lt;E$26,C$24,E119&lt;E$28,C$26,E119&lt;E$30,C$28,E119&lt;E$32,C$30,E119&lt;E$34,C$32,E119&gt;=E$34,C$34)</f>
        <v/>
      </c>
      <c r="D119" s="37">
        <f>_xlfn.IFS(E119&lt;E$24,0,E119&lt;E$25,D$24,E119&lt;E$26,D$25,E119&lt;E$27,D$26,E119&lt;E$28,D$27,E119&lt;E$29,D$28,E119&lt;E$30,D$29,E119&lt;E$31,D$30,E119&lt;E$32,D$31,E119&lt;E$33,D$32,E119&lt;E$34,D$33,E119&lt;E$35,D$34,E119&gt;=E$35,D$35)</f>
        <v/>
      </c>
      <c r="E119" s="38" t="n">
        <v>69</v>
      </c>
      <c r="F119" s="31">
        <f>E119/52</f>
        <v/>
      </c>
      <c r="G119" s="39">
        <f>D119/1000000*52</f>
        <v/>
      </c>
      <c r="H119" s="33">
        <f>G119/$P$4+($C$22/$P$4)</f>
        <v/>
      </c>
      <c r="I119" s="36">
        <f>_xlfn.IFS(K119&lt;K$24,0,K119&lt;K$26,I$24,K119&lt;K$28,I$26,K119&lt;K$30,I$28,K119&lt;K$32,I$30,K119&lt;K$34,I$32,K119&lt;K$36,I$34,K119&lt;K$38,I$36,K119&lt;K$40,I$38,K119&lt;K$42,I$40,K119&lt;K$44,I$42,K119&lt;K$46,I$44,K119&gt;=K$46,I$46)</f>
        <v/>
      </c>
      <c r="J119" s="37">
        <f>_xlfn.IFS(K119&lt;K$24,0,K119&lt;K$25,J$24,K119&lt;K$26,J$25,K119&lt;K$27,J$26,K119&lt;K$28,J$27,K119&lt;K$29,J$28,K119&lt;K$30,J$29,K119&lt;K$31,J$30,K119&lt;K$32,J$31,K119&lt;K$33,J$32,K119&lt;K$34,J$33,K119&lt;K$35,J$34,K119&lt;K$36,J$35,K119&lt;K$37,J$36,K119&lt;K$38,J$37,K119&lt;K$39,J$38,K119&lt;K$40,J$39,K119&lt;K$41,J$40,K119&lt;K$42,J$41,K119&lt;K$43,J$42,K119&lt;K$44,J$43,K119&lt;K$45,J$44,K119&lt;K$46,J$45,K119&lt;K$47,J$46,K119&gt;=K$47,J$47)</f>
        <v/>
      </c>
      <c r="K119" s="38" t="n">
        <v>69</v>
      </c>
      <c r="L119" s="31">
        <f>K119/52</f>
        <v/>
      </c>
      <c r="M119" s="39">
        <f>J119/1000000*52</f>
        <v/>
      </c>
      <c r="N119" s="33">
        <f>M119/$P$4+($I$22/$P$4)</f>
        <v/>
      </c>
      <c r="U119">
        <f>F118</f>
        <v/>
      </c>
      <c r="V119">
        <f>H118</f>
        <v/>
      </c>
      <c r="W119">
        <f>N118</f>
        <v/>
      </c>
    </row>
    <row r="120" ht="15.75" customHeight="1" s="40">
      <c r="C120" s="36">
        <f>_xlfn.IFS(E120&lt;E$24,0,E120&lt;E$26,C$24,E120&lt;E$28,C$26,E120&lt;E$30,C$28,E120&lt;E$32,C$30,E120&lt;E$34,C$32,E120&gt;=E$34,C$34)</f>
        <v/>
      </c>
      <c r="D120" s="37">
        <f>_xlfn.IFS(E120&lt;E$24,0,E120&lt;E$25,D$24,E120&lt;E$26,D$25,E120&lt;E$27,D$26,E120&lt;E$28,D$27,E120&lt;E$29,D$28,E120&lt;E$30,D$29,E120&lt;E$31,D$30,E120&lt;E$32,D$31,E120&lt;E$33,D$32,E120&lt;E$34,D$33,E120&lt;E$35,D$34,E120&gt;=E$35,D$35)</f>
        <v/>
      </c>
      <c r="E120" s="38" t="n">
        <v>70</v>
      </c>
      <c r="F120" s="31">
        <f>E120/52</f>
        <v/>
      </c>
      <c r="G120" s="39">
        <f>D120/1000000*52</f>
        <v/>
      </c>
      <c r="H120" s="33">
        <f>G120/$P$4+($C$22/$P$4)</f>
        <v/>
      </c>
      <c r="I120" s="36">
        <f>_xlfn.IFS(K120&lt;K$24,0,K120&lt;K$26,I$24,K120&lt;K$28,I$26,K120&lt;K$30,I$28,K120&lt;K$32,I$30,K120&lt;K$34,I$32,K120&lt;K$36,I$34,K120&lt;K$38,I$36,K120&lt;K$40,I$38,K120&lt;K$42,I$40,K120&lt;K$44,I$42,K120&lt;K$46,I$44,K120&gt;=K$46,I$46)</f>
        <v/>
      </c>
      <c r="J120" s="37">
        <f>_xlfn.IFS(K120&lt;K$24,0,K120&lt;K$25,J$24,K120&lt;K$26,J$25,K120&lt;K$27,J$26,K120&lt;K$28,J$27,K120&lt;K$29,J$28,K120&lt;K$30,J$29,K120&lt;K$31,J$30,K120&lt;K$32,J$31,K120&lt;K$33,J$32,K120&lt;K$34,J$33,K120&lt;K$35,J$34,K120&lt;K$36,J$35,K120&lt;K$37,J$36,K120&lt;K$38,J$37,K120&lt;K$39,J$38,K120&lt;K$40,J$39,K120&lt;K$41,J$40,K120&lt;K$42,J$41,K120&lt;K$43,J$42,K120&lt;K$44,J$43,K120&lt;K$45,J$44,K120&lt;K$46,J$45,K120&lt;K$47,J$46,K120&gt;=K$47,J$47)</f>
        <v/>
      </c>
      <c r="K120" s="38" t="n">
        <v>70</v>
      </c>
      <c r="L120" s="31">
        <f>K120/52</f>
        <v/>
      </c>
      <c r="M120" s="39">
        <f>J120/1000000*52</f>
        <v/>
      </c>
      <c r="N120" s="33">
        <f>M120/$P$4+($I$22/$P$4)</f>
        <v/>
      </c>
      <c r="U120">
        <f>F119</f>
        <v/>
      </c>
      <c r="V120">
        <f>H119</f>
        <v/>
      </c>
      <c r="W120">
        <f>N119</f>
        <v/>
      </c>
    </row>
    <row r="121" ht="15.75" customHeight="1" s="40">
      <c r="C121" s="36">
        <f>_xlfn.IFS(E121&lt;E$24,0,E121&lt;E$26,C$24,E121&lt;E$28,C$26,E121&lt;E$30,C$28,E121&lt;E$32,C$30,E121&lt;E$34,C$32,E121&gt;=E$34,C$34)</f>
        <v/>
      </c>
      <c r="D121" s="37">
        <f>_xlfn.IFS(E121&lt;E$24,0,E121&lt;E$25,D$24,E121&lt;E$26,D$25,E121&lt;E$27,D$26,E121&lt;E$28,D$27,E121&lt;E$29,D$28,E121&lt;E$30,D$29,E121&lt;E$31,D$30,E121&lt;E$32,D$31,E121&lt;E$33,D$32,E121&lt;E$34,D$33,E121&lt;E$35,D$34,E121&gt;=E$35,D$35)</f>
        <v/>
      </c>
      <c r="E121" s="38" t="n">
        <v>71</v>
      </c>
      <c r="F121" s="31">
        <f>E121/52</f>
        <v/>
      </c>
      <c r="G121" s="39">
        <f>D121/1000000*52</f>
        <v/>
      </c>
      <c r="H121" s="33">
        <f>G121/$P$4+($C$22/$P$4)</f>
        <v/>
      </c>
      <c r="I121" s="36">
        <f>_xlfn.IFS(K121&lt;K$24,0,K121&lt;K$26,I$24,K121&lt;K$28,I$26,K121&lt;K$30,I$28,K121&lt;K$32,I$30,K121&lt;K$34,I$32,K121&lt;K$36,I$34,K121&lt;K$38,I$36,K121&lt;K$40,I$38,K121&lt;K$42,I$40,K121&lt;K$44,I$42,K121&lt;K$46,I$44,K121&gt;=K$46,I$46)</f>
        <v/>
      </c>
      <c r="J121" s="37">
        <f>_xlfn.IFS(K121&lt;K$24,0,K121&lt;K$25,J$24,K121&lt;K$26,J$25,K121&lt;K$27,J$26,K121&lt;K$28,J$27,K121&lt;K$29,J$28,K121&lt;K$30,J$29,K121&lt;K$31,J$30,K121&lt;K$32,J$31,K121&lt;K$33,J$32,K121&lt;K$34,J$33,K121&lt;K$35,J$34,K121&lt;K$36,J$35,K121&lt;K$37,J$36,K121&lt;K$38,J$37,K121&lt;K$39,J$38,K121&lt;K$40,J$39,K121&lt;K$41,J$40,K121&lt;K$42,J$41,K121&lt;K$43,J$42,K121&lt;K$44,J$43,K121&lt;K$45,J$44,K121&lt;K$46,J$45,K121&lt;K$47,J$46,K121&gt;=K$47,J$47)</f>
        <v/>
      </c>
      <c r="K121" s="38" t="n">
        <v>71</v>
      </c>
      <c r="L121" s="31">
        <f>K121/52</f>
        <v/>
      </c>
      <c r="M121" s="39">
        <f>J121/1000000*52</f>
        <v/>
      </c>
      <c r="N121" s="33">
        <f>M121/$P$4+($I$22/$P$4)</f>
        <v/>
      </c>
      <c r="U121">
        <f>F120</f>
        <v/>
      </c>
      <c r="V121">
        <f>H120</f>
        <v/>
      </c>
      <c r="W121">
        <f>N120</f>
        <v/>
      </c>
    </row>
    <row r="122" ht="15.75" customHeight="1" s="40">
      <c r="C122" s="36">
        <f>_xlfn.IFS(E122&lt;E$24,0,E122&lt;E$26,C$24,E122&lt;E$28,C$26,E122&lt;E$30,C$28,E122&lt;E$32,C$30,E122&lt;E$34,C$32,E122&gt;=E$34,C$34)</f>
        <v/>
      </c>
      <c r="D122" s="37">
        <f>_xlfn.IFS(E122&lt;E$24,0,E122&lt;E$25,D$24,E122&lt;E$26,D$25,E122&lt;E$27,D$26,E122&lt;E$28,D$27,E122&lt;E$29,D$28,E122&lt;E$30,D$29,E122&lt;E$31,D$30,E122&lt;E$32,D$31,E122&lt;E$33,D$32,E122&lt;E$34,D$33,E122&lt;E$35,D$34,E122&gt;=E$35,D$35)</f>
        <v/>
      </c>
      <c r="E122" s="38" t="n">
        <v>72</v>
      </c>
      <c r="F122" s="31">
        <f>E122/52</f>
        <v/>
      </c>
      <c r="G122" s="39">
        <f>D122/1000000*52</f>
        <v/>
      </c>
      <c r="H122" s="33">
        <f>G122/$P$4+($C$22/$P$4)</f>
        <v/>
      </c>
      <c r="I122" s="36">
        <f>_xlfn.IFS(K122&lt;K$24,0,K122&lt;K$26,I$24,K122&lt;K$28,I$26,K122&lt;K$30,I$28,K122&lt;K$32,I$30,K122&lt;K$34,I$32,K122&lt;K$36,I$34,K122&lt;K$38,I$36,K122&lt;K$40,I$38,K122&lt;K$42,I$40,K122&lt;K$44,I$42,K122&lt;K$46,I$44,K122&gt;=K$46,I$46)</f>
        <v/>
      </c>
      <c r="J122" s="37">
        <f>_xlfn.IFS(K122&lt;K$24,0,K122&lt;K$25,J$24,K122&lt;K$26,J$25,K122&lt;K$27,J$26,K122&lt;K$28,J$27,K122&lt;K$29,J$28,K122&lt;K$30,J$29,K122&lt;K$31,J$30,K122&lt;K$32,J$31,K122&lt;K$33,J$32,K122&lt;K$34,J$33,K122&lt;K$35,J$34,K122&lt;K$36,J$35,K122&lt;K$37,J$36,K122&lt;K$38,J$37,K122&lt;K$39,J$38,K122&lt;K$40,J$39,K122&lt;K$41,J$40,K122&lt;K$42,J$41,K122&lt;K$43,J$42,K122&lt;K$44,J$43,K122&lt;K$45,J$44,K122&lt;K$46,J$45,K122&lt;K$47,J$46,K122&gt;=K$47,J$47)</f>
        <v/>
      </c>
      <c r="K122" s="38" t="n">
        <v>72</v>
      </c>
      <c r="L122" s="31">
        <f>K122/52</f>
        <v/>
      </c>
      <c r="M122" s="39">
        <f>J122/1000000*52</f>
        <v/>
      </c>
      <c r="N122" s="33">
        <f>M122/$P$4+($I$22/$P$4)</f>
        <v/>
      </c>
      <c r="U122">
        <f>F121</f>
        <v/>
      </c>
      <c r="V122">
        <f>H121</f>
        <v/>
      </c>
      <c r="W122">
        <f>N121</f>
        <v/>
      </c>
    </row>
    <row r="123" ht="15.75" customHeight="1" s="40">
      <c r="C123" s="36">
        <f>_xlfn.IFS(E123&lt;E$24,0,E123&lt;E$26,C$24,E123&lt;E$28,C$26,E123&lt;E$30,C$28,E123&lt;E$32,C$30,E123&lt;E$34,C$32,E123&gt;=E$34,C$34)</f>
        <v/>
      </c>
      <c r="D123" s="37">
        <f>_xlfn.IFS(E123&lt;E$24,0,E123&lt;E$25,D$24,E123&lt;E$26,D$25,E123&lt;E$27,D$26,E123&lt;E$28,D$27,E123&lt;E$29,D$28,E123&lt;E$30,D$29,E123&lt;E$31,D$30,E123&lt;E$32,D$31,E123&lt;E$33,D$32,E123&lt;E$34,D$33,E123&lt;E$35,D$34,E123&gt;=E$35,D$35)</f>
        <v/>
      </c>
      <c r="E123" s="38" t="n">
        <v>73</v>
      </c>
      <c r="F123" s="31">
        <f>E123/52</f>
        <v/>
      </c>
      <c r="G123" s="39">
        <f>D123/1000000*52</f>
        <v/>
      </c>
      <c r="H123" s="33">
        <f>G123/$P$4+($C$22/$P$4)</f>
        <v/>
      </c>
      <c r="I123" s="36">
        <f>_xlfn.IFS(K123&lt;K$24,0,K123&lt;K$26,I$24,K123&lt;K$28,I$26,K123&lt;K$30,I$28,K123&lt;K$32,I$30,K123&lt;K$34,I$32,K123&lt;K$36,I$34,K123&lt;K$38,I$36,K123&lt;K$40,I$38,K123&lt;K$42,I$40,K123&lt;K$44,I$42,K123&lt;K$46,I$44,K123&gt;=K$46,I$46)</f>
        <v/>
      </c>
      <c r="J123" s="37">
        <f>_xlfn.IFS(K123&lt;K$24,0,K123&lt;K$25,J$24,K123&lt;K$26,J$25,K123&lt;K$27,J$26,K123&lt;K$28,J$27,K123&lt;K$29,J$28,K123&lt;K$30,J$29,K123&lt;K$31,J$30,K123&lt;K$32,J$31,K123&lt;K$33,J$32,K123&lt;K$34,J$33,K123&lt;K$35,J$34,K123&lt;K$36,J$35,K123&lt;K$37,J$36,K123&lt;K$38,J$37,K123&lt;K$39,J$38,K123&lt;K$40,J$39,K123&lt;K$41,J$40,K123&lt;K$42,J$41,K123&lt;K$43,J$42,K123&lt;K$44,J$43,K123&lt;K$45,J$44,K123&lt;K$46,J$45,K123&lt;K$47,J$46,K123&gt;=K$47,J$47)</f>
        <v/>
      </c>
      <c r="K123" s="38" t="n">
        <v>73</v>
      </c>
      <c r="L123" s="31">
        <f>K123/52</f>
        <v/>
      </c>
      <c r="M123" s="39">
        <f>J123/1000000*52</f>
        <v/>
      </c>
      <c r="N123" s="33">
        <f>M123/$P$4+($I$22/$P$4)</f>
        <v/>
      </c>
      <c r="U123">
        <f>F122</f>
        <v/>
      </c>
      <c r="V123">
        <f>H122</f>
        <v/>
      </c>
      <c r="W123">
        <f>N122</f>
        <v/>
      </c>
    </row>
    <row r="124" ht="15.75" customHeight="1" s="40">
      <c r="C124" s="36">
        <f>_xlfn.IFS(E124&lt;E$24,0,E124&lt;E$26,C$24,E124&lt;E$28,C$26,E124&lt;E$30,C$28,E124&lt;E$32,C$30,E124&lt;E$34,C$32,E124&gt;=E$34,C$34)</f>
        <v/>
      </c>
      <c r="D124" s="37">
        <f>_xlfn.IFS(E124&lt;E$24,0,E124&lt;E$25,D$24,E124&lt;E$26,D$25,E124&lt;E$27,D$26,E124&lt;E$28,D$27,E124&lt;E$29,D$28,E124&lt;E$30,D$29,E124&lt;E$31,D$30,E124&lt;E$32,D$31,E124&lt;E$33,D$32,E124&lt;E$34,D$33,E124&lt;E$35,D$34,E124&gt;=E$35,D$35)</f>
        <v/>
      </c>
      <c r="E124" s="38" t="n">
        <v>74</v>
      </c>
      <c r="F124" s="31">
        <f>E124/52</f>
        <v/>
      </c>
      <c r="G124" s="39">
        <f>D124/1000000*52</f>
        <v/>
      </c>
      <c r="H124" s="33">
        <f>G124/$P$4+($C$22/$P$4)</f>
        <v/>
      </c>
      <c r="I124" s="36">
        <f>_xlfn.IFS(K124&lt;K$24,0,K124&lt;K$26,I$24,K124&lt;K$28,I$26,K124&lt;K$30,I$28,K124&lt;K$32,I$30,K124&lt;K$34,I$32,K124&lt;K$36,I$34,K124&lt;K$38,I$36,K124&lt;K$40,I$38,K124&lt;K$42,I$40,K124&lt;K$44,I$42,K124&lt;K$46,I$44,K124&gt;=K$46,I$46)</f>
        <v/>
      </c>
      <c r="J124" s="37">
        <f>_xlfn.IFS(K124&lt;K$24,0,K124&lt;K$25,J$24,K124&lt;K$26,J$25,K124&lt;K$27,J$26,K124&lt;K$28,J$27,K124&lt;K$29,J$28,K124&lt;K$30,J$29,K124&lt;K$31,J$30,K124&lt;K$32,J$31,K124&lt;K$33,J$32,K124&lt;K$34,J$33,K124&lt;K$35,J$34,K124&lt;K$36,J$35,K124&lt;K$37,J$36,K124&lt;K$38,J$37,K124&lt;K$39,J$38,K124&lt;K$40,J$39,K124&lt;K$41,J$40,K124&lt;K$42,J$41,K124&lt;K$43,J$42,K124&lt;K$44,J$43,K124&lt;K$45,J$44,K124&lt;K$46,J$45,K124&lt;K$47,J$46,K124&gt;=K$47,J$47)</f>
        <v/>
      </c>
      <c r="K124" s="38" t="n">
        <v>74</v>
      </c>
      <c r="L124" s="31">
        <f>K124/52</f>
        <v/>
      </c>
      <c r="M124" s="39">
        <f>J124/1000000*52</f>
        <v/>
      </c>
      <c r="N124" s="33">
        <f>M124/$P$4+($I$22/$P$4)</f>
        <v/>
      </c>
      <c r="U124">
        <f>F123</f>
        <v/>
      </c>
      <c r="V124">
        <f>H123</f>
        <v/>
      </c>
      <c r="W124">
        <f>N123</f>
        <v/>
      </c>
    </row>
    <row r="125" ht="15.75" customHeight="1" s="40">
      <c r="C125" s="36">
        <f>_xlfn.IFS(E125&lt;E$24,0,E125&lt;E$26,C$24,E125&lt;E$28,C$26,E125&lt;E$30,C$28,E125&lt;E$32,C$30,E125&lt;E$34,C$32,E125&gt;=E$34,C$34)</f>
        <v/>
      </c>
      <c r="D125" s="37">
        <f>_xlfn.IFS(E125&lt;E$24,0,E125&lt;E$25,D$24,E125&lt;E$26,D$25,E125&lt;E$27,D$26,E125&lt;E$28,D$27,E125&lt;E$29,D$28,E125&lt;E$30,D$29,E125&lt;E$31,D$30,E125&lt;E$32,D$31,E125&lt;E$33,D$32,E125&lt;E$34,D$33,E125&lt;E$35,D$34,E125&gt;=E$35,D$35)</f>
        <v/>
      </c>
      <c r="E125" s="38" t="n">
        <v>75</v>
      </c>
      <c r="F125" s="31">
        <f>E125/52</f>
        <v/>
      </c>
      <c r="G125" s="39">
        <f>D125/1000000*52</f>
        <v/>
      </c>
      <c r="H125" s="33">
        <f>G125/$P$4+($C$22/$P$4)</f>
        <v/>
      </c>
      <c r="I125" s="36">
        <f>_xlfn.IFS(K125&lt;K$24,0,K125&lt;K$26,I$24,K125&lt;K$28,I$26,K125&lt;K$30,I$28,K125&lt;K$32,I$30,K125&lt;K$34,I$32,K125&lt;K$36,I$34,K125&lt;K$38,I$36,K125&lt;K$40,I$38,K125&lt;K$42,I$40,K125&lt;K$44,I$42,K125&lt;K$46,I$44,K125&gt;=K$46,I$46)</f>
        <v/>
      </c>
      <c r="J125" s="37">
        <f>_xlfn.IFS(K125&lt;K$24,0,K125&lt;K$25,J$24,K125&lt;K$26,J$25,K125&lt;K$27,J$26,K125&lt;K$28,J$27,K125&lt;K$29,J$28,K125&lt;K$30,J$29,K125&lt;K$31,J$30,K125&lt;K$32,J$31,K125&lt;K$33,J$32,K125&lt;K$34,J$33,K125&lt;K$35,J$34,K125&lt;K$36,J$35,K125&lt;K$37,J$36,K125&lt;K$38,J$37,K125&lt;K$39,J$38,K125&lt;K$40,J$39,K125&lt;K$41,J$40,K125&lt;K$42,J$41,K125&lt;K$43,J$42,K125&lt;K$44,J$43,K125&lt;K$45,J$44,K125&lt;K$46,J$45,K125&lt;K$47,J$46,K125&gt;=K$47,J$47)</f>
        <v/>
      </c>
      <c r="K125" s="38" t="n">
        <v>75</v>
      </c>
      <c r="L125" s="31">
        <f>K125/52</f>
        <v/>
      </c>
      <c r="M125" s="39">
        <f>J125/1000000*52</f>
        <v/>
      </c>
      <c r="N125" s="33">
        <f>M125/$P$4+($I$22/$P$4)</f>
        <v/>
      </c>
      <c r="U125">
        <f>F124</f>
        <v/>
      </c>
      <c r="V125">
        <f>H124</f>
        <v/>
      </c>
      <c r="W125">
        <f>N124</f>
        <v/>
      </c>
    </row>
    <row r="126" ht="15.75" customHeight="1" s="40">
      <c r="C126" s="36">
        <f>_xlfn.IFS(E126&lt;E$24,0,E126&lt;E$26,C$24,E126&lt;E$28,C$26,E126&lt;E$30,C$28,E126&lt;E$32,C$30,E126&lt;E$34,C$32,E126&gt;=E$34,C$34)</f>
        <v/>
      </c>
      <c r="D126" s="37">
        <f>_xlfn.IFS(E126&lt;E$24,0,E126&lt;E$25,D$24,E126&lt;E$26,D$25,E126&lt;E$27,D$26,E126&lt;E$28,D$27,E126&lt;E$29,D$28,E126&lt;E$30,D$29,E126&lt;E$31,D$30,E126&lt;E$32,D$31,E126&lt;E$33,D$32,E126&lt;E$34,D$33,E126&lt;E$35,D$34,E126&gt;=E$35,D$35)</f>
        <v/>
      </c>
      <c r="E126" s="38" t="n">
        <v>76</v>
      </c>
      <c r="F126" s="31">
        <f>E126/52</f>
        <v/>
      </c>
      <c r="G126" s="39">
        <f>D126/1000000*52</f>
        <v/>
      </c>
      <c r="H126" s="33">
        <f>G126/$P$4+($C$22/$P$4)</f>
        <v/>
      </c>
      <c r="I126" s="36">
        <f>_xlfn.IFS(K126&lt;K$24,0,K126&lt;K$26,I$24,K126&lt;K$28,I$26,K126&lt;K$30,I$28,K126&lt;K$32,I$30,K126&lt;K$34,I$32,K126&lt;K$36,I$34,K126&lt;K$38,I$36,K126&lt;K$40,I$38,K126&lt;K$42,I$40,K126&lt;K$44,I$42,K126&lt;K$46,I$44,K126&gt;=K$46,I$46)</f>
        <v/>
      </c>
      <c r="J126" s="37">
        <f>_xlfn.IFS(K126&lt;K$24,0,K126&lt;K$25,J$24,K126&lt;K$26,J$25,K126&lt;K$27,J$26,K126&lt;K$28,J$27,K126&lt;K$29,J$28,K126&lt;K$30,J$29,K126&lt;K$31,J$30,K126&lt;K$32,J$31,K126&lt;K$33,J$32,K126&lt;K$34,J$33,K126&lt;K$35,J$34,K126&lt;K$36,J$35,K126&lt;K$37,J$36,K126&lt;K$38,J$37,K126&lt;K$39,J$38,K126&lt;K$40,J$39,K126&lt;K$41,J$40,K126&lt;K$42,J$41,K126&lt;K$43,J$42,K126&lt;K$44,J$43,K126&lt;K$45,J$44,K126&lt;K$46,J$45,K126&lt;K$47,J$46,K126&gt;=K$47,J$47)</f>
        <v/>
      </c>
      <c r="K126" s="38" t="n">
        <v>76</v>
      </c>
      <c r="L126" s="31">
        <f>K126/52</f>
        <v/>
      </c>
      <c r="M126" s="39">
        <f>J126/1000000*52</f>
        <v/>
      </c>
      <c r="N126" s="33">
        <f>M126/$P$4+($I$22/$P$4)</f>
        <v/>
      </c>
      <c r="U126">
        <f>F125</f>
        <v/>
      </c>
      <c r="V126">
        <f>H125</f>
        <v/>
      </c>
      <c r="W126">
        <f>N125</f>
        <v/>
      </c>
    </row>
    <row r="127" ht="15.75" customHeight="1" s="40">
      <c r="C127" s="36">
        <f>_xlfn.IFS(E127&lt;E$24,0,E127&lt;E$26,C$24,E127&lt;E$28,C$26,E127&lt;E$30,C$28,E127&lt;E$32,C$30,E127&lt;E$34,C$32,E127&gt;=E$34,C$34)</f>
        <v/>
      </c>
      <c r="D127" s="37">
        <f>_xlfn.IFS(E127&lt;E$24,0,E127&lt;E$25,D$24,E127&lt;E$26,D$25,E127&lt;E$27,D$26,E127&lt;E$28,D$27,E127&lt;E$29,D$28,E127&lt;E$30,D$29,E127&lt;E$31,D$30,E127&lt;E$32,D$31,E127&lt;E$33,D$32,E127&lt;E$34,D$33,E127&lt;E$35,D$34,E127&gt;=E$35,D$35)</f>
        <v/>
      </c>
      <c r="E127" s="38" t="n">
        <v>77</v>
      </c>
      <c r="F127" s="31">
        <f>E127/52</f>
        <v/>
      </c>
      <c r="G127" s="39">
        <f>D127/1000000*52</f>
        <v/>
      </c>
      <c r="H127" s="33">
        <f>G127/$P$4+($C$22/$P$4)</f>
        <v/>
      </c>
      <c r="I127" s="36">
        <f>_xlfn.IFS(K127&lt;K$24,0,K127&lt;K$26,I$24,K127&lt;K$28,I$26,K127&lt;K$30,I$28,K127&lt;K$32,I$30,K127&lt;K$34,I$32,K127&lt;K$36,I$34,K127&lt;K$38,I$36,K127&lt;K$40,I$38,K127&lt;K$42,I$40,K127&lt;K$44,I$42,K127&lt;K$46,I$44,K127&gt;=K$46,I$46)</f>
        <v/>
      </c>
      <c r="J127" s="37">
        <f>_xlfn.IFS(K127&lt;K$24,0,K127&lt;K$25,J$24,K127&lt;K$26,J$25,K127&lt;K$27,J$26,K127&lt;K$28,J$27,K127&lt;K$29,J$28,K127&lt;K$30,J$29,K127&lt;K$31,J$30,K127&lt;K$32,J$31,K127&lt;K$33,J$32,K127&lt;K$34,J$33,K127&lt;K$35,J$34,K127&lt;K$36,J$35,K127&lt;K$37,J$36,K127&lt;K$38,J$37,K127&lt;K$39,J$38,K127&lt;K$40,J$39,K127&lt;K$41,J$40,K127&lt;K$42,J$41,K127&lt;K$43,J$42,K127&lt;K$44,J$43,K127&lt;K$45,J$44,K127&lt;K$46,J$45,K127&lt;K$47,J$46,K127&gt;=K$47,J$47)</f>
        <v/>
      </c>
      <c r="K127" s="38" t="n">
        <v>77</v>
      </c>
      <c r="L127" s="31">
        <f>K127/52</f>
        <v/>
      </c>
      <c r="M127" s="39">
        <f>J127/1000000*52</f>
        <v/>
      </c>
      <c r="N127" s="33">
        <f>M127/$P$4+($I$22/$P$4)</f>
        <v/>
      </c>
      <c r="U127">
        <f>F126</f>
        <v/>
      </c>
      <c r="V127">
        <f>H126</f>
        <v/>
      </c>
      <c r="W127">
        <f>N126</f>
        <v/>
      </c>
    </row>
    <row r="128" ht="15.75" customHeight="1" s="40">
      <c r="C128" s="36">
        <f>_xlfn.IFS(E128&lt;E$24,0,E128&lt;E$26,C$24,E128&lt;E$28,C$26,E128&lt;E$30,C$28,E128&lt;E$32,C$30,E128&lt;E$34,C$32,E128&gt;=E$34,C$34)</f>
        <v/>
      </c>
      <c r="D128" s="37">
        <f>_xlfn.IFS(E128&lt;E$24,0,E128&lt;E$25,D$24,E128&lt;E$26,D$25,E128&lt;E$27,D$26,E128&lt;E$28,D$27,E128&lt;E$29,D$28,E128&lt;E$30,D$29,E128&lt;E$31,D$30,E128&lt;E$32,D$31,E128&lt;E$33,D$32,E128&lt;E$34,D$33,E128&lt;E$35,D$34,E128&gt;=E$35,D$35)</f>
        <v/>
      </c>
      <c r="E128" s="38" t="n">
        <v>78</v>
      </c>
      <c r="F128" s="31">
        <f>E128/52</f>
        <v/>
      </c>
      <c r="G128" s="39">
        <f>D128/1000000*52</f>
        <v/>
      </c>
      <c r="H128" s="33">
        <f>G128/$P$4+($C$22/$P$4)</f>
        <v/>
      </c>
      <c r="I128" s="36">
        <f>_xlfn.IFS(K128&lt;K$24,0,K128&lt;K$26,I$24,K128&lt;K$28,I$26,K128&lt;K$30,I$28,K128&lt;K$32,I$30,K128&lt;K$34,I$32,K128&lt;K$36,I$34,K128&lt;K$38,I$36,K128&lt;K$40,I$38,K128&lt;K$42,I$40,K128&lt;K$44,I$42,K128&lt;K$46,I$44,K128&gt;=K$46,I$46)</f>
        <v/>
      </c>
      <c r="J128" s="37">
        <f>_xlfn.IFS(K128&lt;K$24,0,K128&lt;K$25,J$24,K128&lt;K$26,J$25,K128&lt;K$27,J$26,K128&lt;K$28,J$27,K128&lt;K$29,J$28,K128&lt;K$30,J$29,K128&lt;K$31,J$30,K128&lt;K$32,J$31,K128&lt;K$33,J$32,K128&lt;K$34,J$33,K128&lt;K$35,J$34,K128&lt;K$36,J$35,K128&lt;K$37,J$36,K128&lt;K$38,J$37,K128&lt;K$39,J$38,K128&lt;K$40,J$39,K128&lt;K$41,J$40,K128&lt;K$42,J$41,K128&lt;K$43,J$42,K128&lt;K$44,J$43,K128&lt;K$45,J$44,K128&lt;K$46,J$45,K128&lt;K$47,J$46,K128&gt;=K$47,J$47)</f>
        <v/>
      </c>
      <c r="K128" s="38" t="n">
        <v>78</v>
      </c>
      <c r="L128" s="31">
        <f>K128/52</f>
        <v/>
      </c>
      <c r="M128" s="39">
        <f>J128/1000000*52</f>
        <v/>
      </c>
      <c r="N128" s="33">
        <f>M128/$P$4+($I$22/$P$4)</f>
        <v/>
      </c>
      <c r="U128">
        <f>F127</f>
        <v/>
      </c>
      <c r="V128">
        <f>H127</f>
        <v/>
      </c>
      <c r="W128">
        <f>N127</f>
        <v/>
      </c>
    </row>
    <row r="129" ht="15.75" customHeight="1" s="40">
      <c r="C129" s="36">
        <f>_xlfn.IFS(E129&lt;E$24,0,E129&lt;E$26,C$24,E129&lt;E$28,C$26,E129&lt;E$30,C$28,E129&lt;E$32,C$30,E129&lt;E$34,C$32,E129&gt;=E$34,C$34)</f>
        <v/>
      </c>
      <c r="D129" s="37">
        <f>_xlfn.IFS(E129&lt;E$24,0,E129&lt;E$25,D$24,E129&lt;E$26,D$25,E129&lt;E$27,D$26,E129&lt;E$28,D$27,E129&lt;E$29,D$28,E129&lt;E$30,D$29,E129&lt;E$31,D$30,E129&lt;E$32,D$31,E129&lt;E$33,D$32,E129&lt;E$34,D$33,E129&lt;E$35,D$34,E129&gt;=E$35,D$35)</f>
        <v/>
      </c>
      <c r="E129" s="38" t="n">
        <v>79</v>
      </c>
      <c r="F129" s="31">
        <f>E129/52</f>
        <v/>
      </c>
      <c r="G129" s="39">
        <f>D129/1000000*52</f>
        <v/>
      </c>
      <c r="H129" s="33">
        <f>G129/$P$4+($C$22/$P$4)</f>
        <v/>
      </c>
      <c r="I129" s="36">
        <f>_xlfn.IFS(K129&lt;K$24,0,K129&lt;K$26,I$24,K129&lt;K$28,I$26,K129&lt;K$30,I$28,K129&lt;K$32,I$30,K129&lt;K$34,I$32,K129&lt;K$36,I$34,K129&lt;K$38,I$36,K129&lt;K$40,I$38,K129&lt;K$42,I$40,K129&lt;K$44,I$42,K129&lt;K$46,I$44,K129&gt;=K$46,I$46)</f>
        <v/>
      </c>
      <c r="J129" s="37">
        <f>_xlfn.IFS(K129&lt;K$24,0,K129&lt;K$25,J$24,K129&lt;K$26,J$25,K129&lt;K$27,J$26,K129&lt;K$28,J$27,K129&lt;K$29,J$28,K129&lt;K$30,J$29,K129&lt;K$31,J$30,K129&lt;K$32,J$31,K129&lt;K$33,J$32,K129&lt;K$34,J$33,K129&lt;K$35,J$34,K129&lt;K$36,J$35,K129&lt;K$37,J$36,K129&lt;K$38,J$37,K129&lt;K$39,J$38,K129&lt;K$40,J$39,K129&lt;K$41,J$40,K129&lt;K$42,J$41,K129&lt;K$43,J$42,K129&lt;K$44,J$43,K129&lt;K$45,J$44,K129&lt;K$46,J$45,K129&lt;K$47,J$46,K129&gt;=K$47,J$47)</f>
        <v/>
      </c>
      <c r="K129" s="38" t="n">
        <v>79</v>
      </c>
      <c r="L129" s="31">
        <f>K129/52</f>
        <v/>
      </c>
      <c r="M129" s="39">
        <f>J129/1000000*52</f>
        <v/>
      </c>
      <c r="N129" s="33">
        <f>M129/$P$4+($I$22/$P$4)</f>
        <v/>
      </c>
      <c r="U129">
        <f>F128</f>
        <v/>
      </c>
      <c r="V129">
        <f>H128</f>
        <v/>
      </c>
      <c r="W129">
        <f>N128</f>
        <v/>
      </c>
    </row>
    <row r="130" ht="15.75" customHeight="1" s="40">
      <c r="C130" s="36">
        <f>_xlfn.IFS(E130&lt;E$24,0,E130&lt;E$26,C$24,E130&lt;E$28,C$26,E130&lt;E$30,C$28,E130&lt;E$32,C$30,E130&lt;E$34,C$32,E130&gt;=E$34,C$34)</f>
        <v/>
      </c>
      <c r="D130" s="37">
        <f>_xlfn.IFS(E130&lt;E$24,0,E130&lt;E$25,D$24,E130&lt;E$26,D$25,E130&lt;E$27,D$26,E130&lt;E$28,D$27,E130&lt;E$29,D$28,E130&lt;E$30,D$29,E130&lt;E$31,D$30,E130&lt;E$32,D$31,E130&lt;E$33,D$32,E130&lt;E$34,D$33,E130&lt;E$35,D$34,E130&gt;=E$35,D$35)</f>
        <v/>
      </c>
      <c r="E130" s="38" t="n">
        <v>80</v>
      </c>
      <c r="F130" s="31">
        <f>E130/52</f>
        <v/>
      </c>
      <c r="G130" s="39">
        <f>D130/1000000*52</f>
        <v/>
      </c>
      <c r="H130" s="33">
        <f>G130/$P$4+($C$22/$P$4)</f>
        <v/>
      </c>
      <c r="I130" s="36">
        <f>_xlfn.IFS(K130&lt;K$24,0,K130&lt;K$26,I$24,K130&lt;K$28,I$26,K130&lt;K$30,I$28,K130&lt;K$32,I$30,K130&lt;K$34,I$32,K130&lt;K$36,I$34,K130&lt;K$38,I$36,K130&lt;K$40,I$38,K130&lt;K$42,I$40,K130&lt;K$44,I$42,K130&lt;K$46,I$44,K130&gt;=K$46,I$46)</f>
        <v/>
      </c>
      <c r="J130" s="37">
        <f>_xlfn.IFS(K130&lt;K$24,0,K130&lt;K$25,J$24,K130&lt;K$26,J$25,K130&lt;K$27,J$26,K130&lt;K$28,J$27,K130&lt;K$29,J$28,K130&lt;K$30,J$29,K130&lt;K$31,J$30,K130&lt;K$32,J$31,K130&lt;K$33,J$32,K130&lt;K$34,J$33,K130&lt;K$35,J$34,K130&lt;K$36,J$35,K130&lt;K$37,J$36,K130&lt;K$38,J$37,K130&lt;K$39,J$38,K130&lt;K$40,J$39,K130&lt;K$41,J$40,K130&lt;K$42,J$41,K130&lt;K$43,J$42,K130&lt;K$44,J$43,K130&lt;K$45,J$44,K130&lt;K$46,J$45,K130&lt;K$47,J$46,K130&gt;=K$47,J$47)</f>
        <v/>
      </c>
      <c r="K130" s="38" t="n">
        <v>80</v>
      </c>
      <c r="L130" s="31">
        <f>K130/52</f>
        <v/>
      </c>
      <c r="M130" s="39">
        <f>J130/1000000*52</f>
        <v/>
      </c>
      <c r="N130" s="33">
        <f>M130/$P$4+($I$22/$P$4)</f>
        <v/>
      </c>
      <c r="U130">
        <f>F129</f>
        <v/>
      </c>
      <c r="V130">
        <f>H129</f>
        <v/>
      </c>
      <c r="W130">
        <f>N129</f>
        <v/>
      </c>
    </row>
    <row r="131" ht="15.75" customHeight="1" s="40">
      <c r="C131" s="36">
        <f>_xlfn.IFS(E131&lt;E$24,0,E131&lt;E$26,C$24,E131&lt;E$28,C$26,E131&lt;E$30,C$28,E131&lt;E$32,C$30,E131&lt;E$34,C$32,E131&gt;=E$34,C$34)</f>
        <v/>
      </c>
      <c r="D131" s="37">
        <f>_xlfn.IFS(E131&lt;E$24,0,E131&lt;E$25,D$24,E131&lt;E$26,D$25,E131&lt;E$27,D$26,E131&lt;E$28,D$27,E131&lt;E$29,D$28,E131&lt;E$30,D$29,E131&lt;E$31,D$30,E131&lt;E$32,D$31,E131&lt;E$33,D$32,E131&lt;E$34,D$33,E131&lt;E$35,D$34,E131&gt;=E$35,D$35)</f>
        <v/>
      </c>
      <c r="E131" s="38" t="n">
        <v>81</v>
      </c>
      <c r="F131" s="31">
        <f>E131/52</f>
        <v/>
      </c>
      <c r="G131" s="39">
        <f>D131/1000000*52</f>
        <v/>
      </c>
      <c r="H131" s="33">
        <f>G131/$P$4+($C$22/$P$4)</f>
        <v/>
      </c>
      <c r="I131" s="36">
        <f>_xlfn.IFS(K131&lt;K$24,0,K131&lt;K$26,I$24,K131&lt;K$28,I$26,K131&lt;K$30,I$28,K131&lt;K$32,I$30,K131&lt;K$34,I$32,K131&lt;K$36,I$34,K131&lt;K$38,I$36,K131&lt;K$40,I$38,K131&lt;K$42,I$40,K131&lt;K$44,I$42,K131&lt;K$46,I$44,K131&gt;=K$46,I$46)</f>
        <v/>
      </c>
      <c r="J131" s="37">
        <f>_xlfn.IFS(K131&lt;K$24,0,K131&lt;K$25,J$24,K131&lt;K$26,J$25,K131&lt;K$27,J$26,K131&lt;K$28,J$27,K131&lt;K$29,J$28,K131&lt;K$30,J$29,K131&lt;K$31,J$30,K131&lt;K$32,J$31,K131&lt;K$33,J$32,K131&lt;K$34,J$33,K131&lt;K$35,J$34,K131&lt;K$36,J$35,K131&lt;K$37,J$36,K131&lt;K$38,J$37,K131&lt;K$39,J$38,K131&lt;K$40,J$39,K131&lt;K$41,J$40,K131&lt;K$42,J$41,K131&lt;K$43,J$42,K131&lt;K$44,J$43,K131&lt;K$45,J$44,K131&lt;K$46,J$45,K131&lt;K$47,J$46,K131&gt;=K$47,J$47)</f>
        <v/>
      </c>
      <c r="K131" s="38" t="n">
        <v>81</v>
      </c>
      <c r="L131" s="31">
        <f>K131/52</f>
        <v/>
      </c>
      <c r="M131" s="39">
        <f>J131/1000000*52</f>
        <v/>
      </c>
      <c r="N131" s="33">
        <f>M131/$P$4+($I$22/$P$4)</f>
        <v/>
      </c>
      <c r="U131">
        <f>F130</f>
        <v/>
      </c>
      <c r="V131">
        <f>H130</f>
        <v/>
      </c>
      <c r="W131">
        <f>N130</f>
        <v/>
      </c>
    </row>
    <row r="132" ht="15.75" customHeight="1" s="40">
      <c r="C132" s="36">
        <f>_xlfn.IFS(E132&lt;E$24,0,E132&lt;E$26,C$24,E132&lt;E$28,C$26,E132&lt;E$30,C$28,E132&lt;E$32,C$30,E132&lt;E$34,C$32,E132&gt;=E$34,C$34)</f>
        <v/>
      </c>
      <c r="D132" s="37">
        <f>_xlfn.IFS(E132&lt;E$24,0,E132&lt;E$25,D$24,E132&lt;E$26,D$25,E132&lt;E$27,D$26,E132&lt;E$28,D$27,E132&lt;E$29,D$28,E132&lt;E$30,D$29,E132&lt;E$31,D$30,E132&lt;E$32,D$31,E132&lt;E$33,D$32,E132&lt;E$34,D$33,E132&lt;E$35,D$34,E132&gt;=E$35,D$35)</f>
        <v/>
      </c>
      <c r="E132" s="38" t="n">
        <v>82</v>
      </c>
      <c r="F132" s="31">
        <f>E132/52</f>
        <v/>
      </c>
      <c r="G132" s="39">
        <f>D132/1000000*52</f>
        <v/>
      </c>
      <c r="H132" s="33">
        <f>G132/$P$4+($C$22/$P$4)</f>
        <v/>
      </c>
      <c r="I132" s="36">
        <f>_xlfn.IFS(K132&lt;K$24,0,K132&lt;K$26,I$24,K132&lt;K$28,I$26,K132&lt;K$30,I$28,K132&lt;K$32,I$30,K132&lt;K$34,I$32,K132&lt;K$36,I$34,K132&lt;K$38,I$36,K132&lt;K$40,I$38,K132&lt;K$42,I$40,K132&lt;K$44,I$42,K132&lt;K$46,I$44,K132&gt;=K$46,I$46)</f>
        <v/>
      </c>
      <c r="J132" s="37">
        <f>_xlfn.IFS(K132&lt;K$24,0,K132&lt;K$25,J$24,K132&lt;K$26,J$25,K132&lt;K$27,J$26,K132&lt;K$28,J$27,K132&lt;K$29,J$28,K132&lt;K$30,J$29,K132&lt;K$31,J$30,K132&lt;K$32,J$31,K132&lt;K$33,J$32,K132&lt;K$34,J$33,K132&lt;K$35,J$34,K132&lt;K$36,J$35,K132&lt;K$37,J$36,K132&lt;K$38,J$37,K132&lt;K$39,J$38,K132&lt;K$40,J$39,K132&lt;K$41,J$40,K132&lt;K$42,J$41,K132&lt;K$43,J$42,K132&lt;K$44,J$43,K132&lt;K$45,J$44,K132&lt;K$46,J$45,K132&lt;K$47,J$46,K132&gt;=K$47,J$47)</f>
        <v/>
      </c>
      <c r="K132" s="38" t="n">
        <v>82</v>
      </c>
      <c r="L132" s="31">
        <f>K132/52</f>
        <v/>
      </c>
      <c r="M132" s="39">
        <f>J132/1000000*52</f>
        <v/>
      </c>
      <c r="N132" s="33">
        <f>M132/$P$4+($I$22/$P$4)</f>
        <v/>
      </c>
      <c r="U132">
        <f>F131</f>
        <v/>
      </c>
      <c r="V132">
        <f>H131</f>
        <v/>
      </c>
      <c r="W132">
        <f>N131</f>
        <v/>
      </c>
    </row>
    <row r="133" ht="15.75" customHeight="1" s="40">
      <c r="C133" s="36">
        <f>_xlfn.IFS(E133&lt;E$24,0,E133&lt;E$26,C$24,E133&lt;E$28,C$26,E133&lt;E$30,C$28,E133&lt;E$32,C$30,E133&lt;E$34,C$32,E133&gt;=E$34,C$34)</f>
        <v/>
      </c>
      <c r="D133" s="37">
        <f>_xlfn.IFS(E133&lt;E$24,0,E133&lt;E$25,D$24,E133&lt;E$26,D$25,E133&lt;E$27,D$26,E133&lt;E$28,D$27,E133&lt;E$29,D$28,E133&lt;E$30,D$29,E133&lt;E$31,D$30,E133&lt;E$32,D$31,E133&lt;E$33,D$32,E133&lt;E$34,D$33,E133&lt;E$35,D$34,E133&gt;=E$35,D$35)</f>
        <v/>
      </c>
      <c r="E133" s="38" t="n">
        <v>83</v>
      </c>
      <c r="F133" s="31">
        <f>E133/52</f>
        <v/>
      </c>
      <c r="G133" s="39">
        <f>D133/1000000*52</f>
        <v/>
      </c>
      <c r="H133" s="33">
        <f>G133/$P$4+($C$22/$P$4)</f>
        <v/>
      </c>
      <c r="I133" s="36">
        <f>_xlfn.IFS(K133&lt;K$24,0,K133&lt;K$26,I$24,K133&lt;K$28,I$26,K133&lt;K$30,I$28,K133&lt;K$32,I$30,K133&lt;K$34,I$32,K133&lt;K$36,I$34,K133&lt;K$38,I$36,K133&lt;K$40,I$38,K133&lt;K$42,I$40,K133&lt;K$44,I$42,K133&lt;K$46,I$44,K133&gt;=K$46,I$46)</f>
        <v/>
      </c>
      <c r="J133" s="37">
        <f>_xlfn.IFS(K133&lt;K$24,0,K133&lt;K$25,J$24,K133&lt;K$26,J$25,K133&lt;K$27,J$26,K133&lt;K$28,J$27,K133&lt;K$29,J$28,K133&lt;K$30,J$29,K133&lt;K$31,J$30,K133&lt;K$32,J$31,K133&lt;K$33,J$32,K133&lt;K$34,J$33,K133&lt;K$35,J$34,K133&lt;K$36,J$35,K133&lt;K$37,J$36,K133&lt;K$38,J$37,K133&lt;K$39,J$38,K133&lt;K$40,J$39,K133&lt;K$41,J$40,K133&lt;K$42,J$41,K133&lt;K$43,J$42,K133&lt;K$44,J$43,K133&lt;K$45,J$44,K133&lt;K$46,J$45,K133&lt;K$47,J$46,K133&gt;=K$47,J$47)</f>
        <v/>
      </c>
      <c r="K133" s="38" t="n">
        <v>83</v>
      </c>
      <c r="L133" s="31">
        <f>K133/52</f>
        <v/>
      </c>
      <c r="M133" s="39">
        <f>J133/1000000*52</f>
        <v/>
      </c>
      <c r="N133" s="33">
        <f>M133/$P$4+($I$22/$P$4)</f>
        <v/>
      </c>
      <c r="U133">
        <f>F132</f>
        <v/>
      </c>
      <c r="V133">
        <f>H132</f>
        <v/>
      </c>
      <c r="W133">
        <f>N132</f>
        <v/>
      </c>
    </row>
    <row r="134" ht="15.75" customHeight="1" s="40">
      <c r="C134" s="36">
        <f>_xlfn.IFS(E134&lt;E$24,0,E134&lt;E$26,C$24,E134&lt;E$28,C$26,E134&lt;E$30,C$28,E134&lt;E$32,C$30,E134&lt;E$34,C$32,E134&gt;=E$34,C$34)</f>
        <v/>
      </c>
      <c r="D134" s="37">
        <f>_xlfn.IFS(E134&lt;E$24,0,E134&lt;E$25,D$24,E134&lt;E$26,D$25,E134&lt;E$27,D$26,E134&lt;E$28,D$27,E134&lt;E$29,D$28,E134&lt;E$30,D$29,E134&lt;E$31,D$30,E134&lt;E$32,D$31,E134&lt;E$33,D$32,E134&lt;E$34,D$33,E134&lt;E$35,D$34,E134&gt;=E$35,D$35)</f>
        <v/>
      </c>
      <c r="E134" s="38" t="n">
        <v>84</v>
      </c>
      <c r="F134" s="31">
        <f>E134/52</f>
        <v/>
      </c>
      <c r="G134" s="39">
        <f>D134/1000000*52</f>
        <v/>
      </c>
      <c r="H134" s="33">
        <f>G134/$P$4+($C$22/$P$4)</f>
        <v/>
      </c>
      <c r="I134" s="36">
        <f>_xlfn.IFS(K134&lt;K$24,0,K134&lt;K$26,I$24,K134&lt;K$28,I$26,K134&lt;K$30,I$28,K134&lt;K$32,I$30,K134&lt;K$34,I$32,K134&lt;K$36,I$34,K134&lt;K$38,I$36,K134&lt;K$40,I$38,K134&lt;K$42,I$40,K134&lt;K$44,I$42,K134&lt;K$46,I$44,K134&gt;=K$46,I$46)</f>
        <v/>
      </c>
      <c r="J134" s="37">
        <f>_xlfn.IFS(K134&lt;K$24,0,K134&lt;K$25,J$24,K134&lt;K$26,J$25,K134&lt;K$27,J$26,K134&lt;K$28,J$27,K134&lt;K$29,J$28,K134&lt;K$30,J$29,K134&lt;K$31,J$30,K134&lt;K$32,J$31,K134&lt;K$33,J$32,K134&lt;K$34,J$33,K134&lt;K$35,J$34,K134&lt;K$36,J$35,K134&lt;K$37,J$36,K134&lt;K$38,J$37,K134&lt;K$39,J$38,K134&lt;K$40,J$39,K134&lt;K$41,J$40,K134&lt;K$42,J$41,K134&lt;K$43,J$42,K134&lt;K$44,J$43,K134&lt;K$45,J$44,K134&lt;K$46,J$45,K134&lt;K$47,J$46,K134&gt;=K$47,J$47)</f>
        <v/>
      </c>
      <c r="K134" s="38" t="n">
        <v>84</v>
      </c>
      <c r="L134" s="31">
        <f>K134/52</f>
        <v/>
      </c>
      <c r="M134" s="39">
        <f>J134/1000000*52</f>
        <v/>
      </c>
      <c r="N134" s="33">
        <f>M134/$P$4+($I$22/$P$4)</f>
        <v/>
      </c>
      <c r="U134">
        <f>F133</f>
        <v/>
      </c>
      <c r="V134">
        <f>H133</f>
        <v/>
      </c>
      <c r="W134">
        <f>N133</f>
        <v/>
      </c>
    </row>
    <row r="135" ht="15.75" customHeight="1" s="40">
      <c r="C135" s="36">
        <f>_xlfn.IFS(E135&lt;E$24,0,E135&lt;E$26,C$24,E135&lt;E$28,C$26,E135&lt;E$30,C$28,E135&lt;E$32,C$30,E135&lt;E$34,C$32,E135&gt;=E$34,C$34)</f>
        <v/>
      </c>
      <c r="D135" s="37">
        <f>_xlfn.IFS(E135&lt;E$24,0,E135&lt;E$25,D$24,E135&lt;E$26,D$25,E135&lt;E$27,D$26,E135&lt;E$28,D$27,E135&lt;E$29,D$28,E135&lt;E$30,D$29,E135&lt;E$31,D$30,E135&lt;E$32,D$31,E135&lt;E$33,D$32,E135&lt;E$34,D$33,E135&lt;E$35,D$34,E135&gt;=E$35,D$35)</f>
        <v/>
      </c>
      <c r="E135" s="38" t="n">
        <v>85</v>
      </c>
      <c r="F135" s="31">
        <f>E135/52</f>
        <v/>
      </c>
      <c r="G135" s="39">
        <f>D135/1000000*52</f>
        <v/>
      </c>
      <c r="H135" s="33">
        <f>G135/$P$4+($C$22/$P$4)</f>
        <v/>
      </c>
      <c r="I135" s="36">
        <f>_xlfn.IFS(K135&lt;K$24,0,K135&lt;K$26,I$24,K135&lt;K$28,I$26,K135&lt;K$30,I$28,K135&lt;K$32,I$30,K135&lt;K$34,I$32,K135&lt;K$36,I$34,K135&lt;K$38,I$36,K135&lt;K$40,I$38,K135&lt;K$42,I$40,K135&lt;K$44,I$42,K135&lt;K$46,I$44,K135&gt;=K$46,I$46)</f>
        <v/>
      </c>
      <c r="J135" s="37">
        <f>_xlfn.IFS(K135&lt;K$24,0,K135&lt;K$25,J$24,K135&lt;K$26,J$25,K135&lt;K$27,J$26,K135&lt;K$28,J$27,K135&lt;K$29,J$28,K135&lt;K$30,J$29,K135&lt;K$31,J$30,K135&lt;K$32,J$31,K135&lt;K$33,J$32,K135&lt;K$34,J$33,K135&lt;K$35,J$34,K135&lt;K$36,J$35,K135&lt;K$37,J$36,K135&lt;K$38,J$37,K135&lt;K$39,J$38,K135&lt;K$40,J$39,K135&lt;K$41,J$40,K135&lt;K$42,J$41,K135&lt;K$43,J$42,K135&lt;K$44,J$43,K135&lt;K$45,J$44,K135&lt;K$46,J$45,K135&lt;K$47,J$46,K135&gt;=K$47,J$47)</f>
        <v/>
      </c>
      <c r="K135" s="38" t="n">
        <v>85</v>
      </c>
      <c r="L135" s="31">
        <f>K135/52</f>
        <v/>
      </c>
      <c r="M135" s="39">
        <f>J135/1000000*52</f>
        <v/>
      </c>
      <c r="N135" s="33">
        <f>M135/$P$4+($I$22/$P$4)</f>
        <v/>
      </c>
      <c r="U135">
        <f>F134</f>
        <v/>
      </c>
      <c r="V135">
        <f>H134</f>
        <v/>
      </c>
      <c r="W135">
        <f>N134</f>
        <v/>
      </c>
    </row>
    <row r="136" ht="15.75" customHeight="1" s="40">
      <c r="C136" s="36">
        <f>_xlfn.IFS(E136&lt;E$24,0,E136&lt;E$26,C$24,E136&lt;E$28,C$26,E136&lt;E$30,C$28,E136&lt;E$32,C$30,E136&lt;E$34,C$32,E136&gt;=E$34,C$34)</f>
        <v/>
      </c>
      <c r="D136" s="37">
        <f>_xlfn.IFS(E136&lt;E$24,0,E136&lt;E$25,D$24,E136&lt;E$26,D$25,E136&lt;E$27,D$26,E136&lt;E$28,D$27,E136&lt;E$29,D$28,E136&lt;E$30,D$29,E136&lt;E$31,D$30,E136&lt;E$32,D$31,E136&lt;E$33,D$32,E136&lt;E$34,D$33,E136&lt;E$35,D$34,E136&gt;=E$35,D$35)</f>
        <v/>
      </c>
      <c r="E136" s="38" t="n">
        <v>86</v>
      </c>
      <c r="F136" s="31">
        <f>E136/52</f>
        <v/>
      </c>
      <c r="G136" s="39">
        <f>D136/1000000*52</f>
        <v/>
      </c>
      <c r="H136" s="33">
        <f>G136/$P$4+($C$22/$P$4)</f>
        <v/>
      </c>
      <c r="I136" s="36">
        <f>_xlfn.IFS(K136&lt;K$24,0,K136&lt;K$26,I$24,K136&lt;K$28,I$26,K136&lt;K$30,I$28,K136&lt;K$32,I$30,K136&lt;K$34,I$32,K136&lt;K$36,I$34,K136&lt;K$38,I$36,K136&lt;K$40,I$38,K136&lt;K$42,I$40,K136&lt;K$44,I$42,K136&lt;K$46,I$44,K136&gt;=K$46,I$46)</f>
        <v/>
      </c>
      <c r="J136" s="37">
        <f>_xlfn.IFS(K136&lt;K$24,0,K136&lt;K$25,J$24,K136&lt;K$26,J$25,K136&lt;K$27,J$26,K136&lt;K$28,J$27,K136&lt;K$29,J$28,K136&lt;K$30,J$29,K136&lt;K$31,J$30,K136&lt;K$32,J$31,K136&lt;K$33,J$32,K136&lt;K$34,J$33,K136&lt;K$35,J$34,K136&lt;K$36,J$35,K136&lt;K$37,J$36,K136&lt;K$38,J$37,K136&lt;K$39,J$38,K136&lt;K$40,J$39,K136&lt;K$41,J$40,K136&lt;K$42,J$41,K136&lt;K$43,J$42,K136&lt;K$44,J$43,K136&lt;K$45,J$44,K136&lt;K$46,J$45,K136&lt;K$47,J$46,K136&gt;=K$47,J$47)</f>
        <v/>
      </c>
      <c r="K136" s="38" t="n">
        <v>86</v>
      </c>
      <c r="L136" s="31">
        <f>K136/52</f>
        <v/>
      </c>
      <c r="M136" s="39">
        <f>J136/1000000*52</f>
        <v/>
      </c>
      <c r="N136" s="33">
        <f>M136/$P$4+($I$22/$P$4)</f>
        <v/>
      </c>
      <c r="U136">
        <f>F135</f>
        <v/>
      </c>
      <c r="V136">
        <f>H135</f>
        <v/>
      </c>
      <c r="W136">
        <f>N135</f>
        <v/>
      </c>
    </row>
    <row r="137" ht="15.75" customHeight="1" s="40">
      <c r="C137" s="36">
        <f>_xlfn.IFS(E137&lt;E$24,0,E137&lt;E$26,C$24,E137&lt;E$28,C$26,E137&lt;E$30,C$28,E137&lt;E$32,C$30,E137&lt;E$34,C$32,E137&gt;=E$34,C$34)</f>
        <v/>
      </c>
      <c r="D137" s="37">
        <f>_xlfn.IFS(E137&lt;E$24,0,E137&lt;E$25,D$24,E137&lt;E$26,D$25,E137&lt;E$27,D$26,E137&lt;E$28,D$27,E137&lt;E$29,D$28,E137&lt;E$30,D$29,E137&lt;E$31,D$30,E137&lt;E$32,D$31,E137&lt;E$33,D$32,E137&lt;E$34,D$33,E137&lt;E$35,D$34,E137&gt;=E$35,D$35)</f>
        <v/>
      </c>
      <c r="E137" s="38" t="n">
        <v>87</v>
      </c>
      <c r="F137" s="31">
        <f>E137/52</f>
        <v/>
      </c>
      <c r="G137" s="39">
        <f>D137/1000000*52</f>
        <v/>
      </c>
      <c r="H137" s="33">
        <f>G137/$P$4+($C$22/$P$4)</f>
        <v/>
      </c>
      <c r="I137" s="36">
        <f>_xlfn.IFS(K137&lt;K$24,0,K137&lt;K$26,I$24,K137&lt;K$28,I$26,K137&lt;K$30,I$28,K137&lt;K$32,I$30,K137&lt;K$34,I$32,K137&lt;K$36,I$34,K137&lt;K$38,I$36,K137&lt;K$40,I$38,K137&lt;K$42,I$40,K137&lt;K$44,I$42,K137&lt;K$46,I$44,K137&gt;=K$46,I$46)</f>
        <v/>
      </c>
      <c r="J137" s="37">
        <f>_xlfn.IFS(K137&lt;K$24,0,K137&lt;K$25,J$24,K137&lt;K$26,J$25,K137&lt;K$27,J$26,K137&lt;K$28,J$27,K137&lt;K$29,J$28,K137&lt;K$30,J$29,K137&lt;K$31,J$30,K137&lt;K$32,J$31,K137&lt;K$33,J$32,K137&lt;K$34,J$33,K137&lt;K$35,J$34,K137&lt;K$36,J$35,K137&lt;K$37,J$36,K137&lt;K$38,J$37,K137&lt;K$39,J$38,K137&lt;K$40,J$39,K137&lt;K$41,J$40,K137&lt;K$42,J$41,K137&lt;K$43,J$42,K137&lt;K$44,J$43,K137&lt;K$45,J$44,K137&lt;K$46,J$45,K137&lt;K$47,J$46,K137&gt;=K$47,J$47)</f>
        <v/>
      </c>
      <c r="K137" s="38" t="n">
        <v>87</v>
      </c>
      <c r="L137" s="31">
        <f>K137/52</f>
        <v/>
      </c>
      <c r="M137" s="39">
        <f>J137/1000000*52</f>
        <v/>
      </c>
      <c r="N137" s="33">
        <f>M137/$P$4+($I$22/$P$4)</f>
        <v/>
      </c>
      <c r="U137">
        <f>F136</f>
        <v/>
      </c>
      <c r="V137">
        <f>H136</f>
        <v/>
      </c>
      <c r="W137">
        <f>N136</f>
        <v/>
      </c>
    </row>
    <row r="138" ht="15.75" customHeight="1" s="40">
      <c r="C138" s="36">
        <f>_xlfn.IFS(E138&lt;E$24,0,E138&lt;E$26,C$24,E138&lt;E$28,C$26,E138&lt;E$30,C$28,E138&lt;E$32,C$30,E138&lt;E$34,C$32,E138&gt;=E$34,C$34)</f>
        <v/>
      </c>
      <c r="D138" s="37">
        <f>_xlfn.IFS(E138&lt;E$24,0,E138&lt;E$25,D$24,E138&lt;E$26,D$25,E138&lt;E$27,D$26,E138&lt;E$28,D$27,E138&lt;E$29,D$28,E138&lt;E$30,D$29,E138&lt;E$31,D$30,E138&lt;E$32,D$31,E138&lt;E$33,D$32,E138&lt;E$34,D$33,E138&lt;E$35,D$34,E138&gt;=E$35,D$35)</f>
        <v/>
      </c>
      <c r="E138" s="38" t="n">
        <v>88</v>
      </c>
      <c r="F138" s="31">
        <f>E138/52</f>
        <v/>
      </c>
      <c r="G138" s="39">
        <f>D138/1000000*52</f>
        <v/>
      </c>
      <c r="H138" s="33">
        <f>G138/$P$4+($C$22/$P$4)</f>
        <v/>
      </c>
      <c r="I138" s="36">
        <f>_xlfn.IFS(K138&lt;K$24,0,K138&lt;K$26,I$24,K138&lt;K$28,I$26,K138&lt;K$30,I$28,K138&lt;K$32,I$30,K138&lt;K$34,I$32,K138&lt;K$36,I$34,K138&lt;K$38,I$36,K138&lt;K$40,I$38,K138&lt;K$42,I$40,K138&lt;K$44,I$42,K138&lt;K$46,I$44,K138&gt;=K$46,I$46)</f>
        <v/>
      </c>
      <c r="J138" s="37">
        <f>_xlfn.IFS(K138&lt;K$24,0,K138&lt;K$25,J$24,K138&lt;K$26,J$25,K138&lt;K$27,J$26,K138&lt;K$28,J$27,K138&lt;K$29,J$28,K138&lt;K$30,J$29,K138&lt;K$31,J$30,K138&lt;K$32,J$31,K138&lt;K$33,J$32,K138&lt;K$34,J$33,K138&lt;K$35,J$34,K138&lt;K$36,J$35,K138&lt;K$37,J$36,K138&lt;K$38,J$37,K138&lt;K$39,J$38,K138&lt;K$40,J$39,K138&lt;K$41,J$40,K138&lt;K$42,J$41,K138&lt;K$43,J$42,K138&lt;K$44,J$43,K138&lt;K$45,J$44,K138&lt;K$46,J$45,K138&lt;K$47,J$46,K138&gt;=K$47,J$47)</f>
        <v/>
      </c>
      <c r="K138" s="38" t="n">
        <v>88</v>
      </c>
      <c r="L138" s="31">
        <f>K138/52</f>
        <v/>
      </c>
      <c r="M138" s="39">
        <f>J138/1000000*52</f>
        <v/>
      </c>
      <c r="N138" s="33">
        <f>M138/$P$4+($I$22/$P$4)</f>
        <v/>
      </c>
      <c r="U138">
        <f>F137</f>
        <v/>
      </c>
      <c r="V138">
        <f>H137</f>
        <v/>
      </c>
      <c r="W138">
        <f>N137</f>
        <v/>
      </c>
    </row>
    <row r="139" ht="15.75" customHeight="1" s="40">
      <c r="C139" s="36">
        <f>_xlfn.IFS(E139&lt;E$24,0,E139&lt;E$26,C$24,E139&lt;E$28,C$26,E139&lt;E$30,C$28,E139&lt;E$32,C$30,E139&lt;E$34,C$32,E139&gt;=E$34,C$34)</f>
        <v/>
      </c>
      <c r="D139" s="37">
        <f>_xlfn.IFS(E139&lt;E$24,0,E139&lt;E$25,D$24,E139&lt;E$26,D$25,E139&lt;E$27,D$26,E139&lt;E$28,D$27,E139&lt;E$29,D$28,E139&lt;E$30,D$29,E139&lt;E$31,D$30,E139&lt;E$32,D$31,E139&lt;E$33,D$32,E139&lt;E$34,D$33,E139&lt;E$35,D$34,E139&gt;=E$35,D$35)</f>
        <v/>
      </c>
      <c r="E139" s="38" t="n">
        <v>89</v>
      </c>
      <c r="F139" s="31">
        <f>E139/52</f>
        <v/>
      </c>
      <c r="G139" s="39">
        <f>D139/1000000*52</f>
        <v/>
      </c>
      <c r="H139" s="33">
        <f>G139/$P$4+($C$22/$P$4)</f>
        <v/>
      </c>
      <c r="I139" s="36">
        <f>_xlfn.IFS(K139&lt;K$24,0,K139&lt;K$26,I$24,K139&lt;K$28,I$26,K139&lt;K$30,I$28,K139&lt;K$32,I$30,K139&lt;K$34,I$32,K139&lt;K$36,I$34,K139&lt;K$38,I$36,K139&lt;K$40,I$38,K139&lt;K$42,I$40,K139&lt;K$44,I$42,K139&lt;K$46,I$44,K139&gt;=K$46,I$46)</f>
        <v/>
      </c>
      <c r="J139" s="37">
        <f>_xlfn.IFS(K139&lt;K$24,0,K139&lt;K$25,J$24,K139&lt;K$26,J$25,K139&lt;K$27,J$26,K139&lt;K$28,J$27,K139&lt;K$29,J$28,K139&lt;K$30,J$29,K139&lt;K$31,J$30,K139&lt;K$32,J$31,K139&lt;K$33,J$32,K139&lt;K$34,J$33,K139&lt;K$35,J$34,K139&lt;K$36,J$35,K139&lt;K$37,J$36,K139&lt;K$38,J$37,K139&lt;K$39,J$38,K139&lt;K$40,J$39,K139&lt;K$41,J$40,K139&lt;K$42,J$41,K139&lt;K$43,J$42,K139&lt;K$44,J$43,K139&lt;K$45,J$44,K139&lt;K$46,J$45,K139&lt;K$47,J$46,K139&gt;=K$47,J$47)</f>
        <v/>
      </c>
      <c r="K139" s="38" t="n">
        <v>89</v>
      </c>
      <c r="L139" s="31">
        <f>K139/52</f>
        <v/>
      </c>
      <c r="M139" s="39">
        <f>J139/1000000*52</f>
        <v/>
      </c>
      <c r="N139" s="33">
        <f>M139/$P$4+($I$22/$P$4)</f>
        <v/>
      </c>
      <c r="U139">
        <f>F138</f>
        <v/>
      </c>
      <c r="V139">
        <f>H138</f>
        <v/>
      </c>
      <c r="W139">
        <f>N138</f>
        <v/>
      </c>
    </row>
    <row r="140" ht="15.75" customHeight="1" s="40">
      <c r="C140" s="36">
        <f>_xlfn.IFS(E140&lt;E$24,0,E140&lt;E$26,C$24,E140&lt;E$28,C$26,E140&lt;E$30,C$28,E140&lt;E$32,C$30,E140&lt;E$34,C$32,E140&gt;=E$34,C$34)</f>
        <v/>
      </c>
      <c r="D140" s="37">
        <f>_xlfn.IFS(E140&lt;E$24,0,E140&lt;E$25,D$24,E140&lt;E$26,D$25,E140&lt;E$27,D$26,E140&lt;E$28,D$27,E140&lt;E$29,D$28,E140&lt;E$30,D$29,E140&lt;E$31,D$30,E140&lt;E$32,D$31,E140&lt;E$33,D$32,E140&lt;E$34,D$33,E140&lt;E$35,D$34,E140&gt;=E$35,D$35)</f>
        <v/>
      </c>
      <c r="E140" s="38" t="n">
        <v>90</v>
      </c>
      <c r="F140" s="31">
        <f>E140/52</f>
        <v/>
      </c>
      <c r="G140" s="39">
        <f>D140/1000000*52</f>
        <v/>
      </c>
      <c r="H140" s="33">
        <f>G140/$P$4+($C$22/$P$4)</f>
        <v/>
      </c>
      <c r="I140" s="36">
        <f>_xlfn.IFS(K140&lt;K$24,0,K140&lt;K$26,I$24,K140&lt;K$28,I$26,K140&lt;K$30,I$28,K140&lt;K$32,I$30,K140&lt;K$34,I$32,K140&lt;K$36,I$34,K140&lt;K$38,I$36,K140&lt;K$40,I$38,K140&lt;K$42,I$40,K140&lt;K$44,I$42,K140&lt;K$46,I$44,K140&gt;=K$46,I$46)</f>
        <v/>
      </c>
      <c r="J140" s="37">
        <f>_xlfn.IFS(K140&lt;K$24,0,K140&lt;K$25,J$24,K140&lt;K$26,J$25,K140&lt;K$27,J$26,K140&lt;K$28,J$27,K140&lt;K$29,J$28,K140&lt;K$30,J$29,K140&lt;K$31,J$30,K140&lt;K$32,J$31,K140&lt;K$33,J$32,K140&lt;K$34,J$33,K140&lt;K$35,J$34,K140&lt;K$36,J$35,K140&lt;K$37,J$36,K140&lt;K$38,J$37,K140&lt;K$39,J$38,K140&lt;K$40,J$39,K140&lt;K$41,J$40,K140&lt;K$42,J$41,K140&lt;K$43,J$42,K140&lt;K$44,J$43,K140&lt;K$45,J$44,K140&lt;K$46,J$45,K140&lt;K$47,J$46,K140&gt;=K$47,J$47)</f>
        <v/>
      </c>
      <c r="K140" s="38" t="n">
        <v>90</v>
      </c>
      <c r="L140" s="31">
        <f>K140/52</f>
        <v/>
      </c>
      <c r="M140" s="39">
        <f>J140/1000000*52</f>
        <v/>
      </c>
      <c r="N140" s="33">
        <f>M140/$P$4+($I$22/$P$4)</f>
        <v/>
      </c>
      <c r="U140">
        <f>F139</f>
        <v/>
      </c>
      <c r="V140">
        <f>H139</f>
        <v/>
      </c>
      <c r="W140">
        <f>N139</f>
        <v/>
      </c>
    </row>
    <row r="141" ht="15.75" customHeight="1" s="40">
      <c r="C141" s="36">
        <f>_xlfn.IFS(E141&lt;E$24,0,E141&lt;E$26,C$24,E141&lt;E$28,C$26,E141&lt;E$30,C$28,E141&lt;E$32,C$30,E141&lt;E$34,C$32,E141&gt;=E$34,C$34)</f>
        <v/>
      </c>
      <c r="D141" s="37">
        <f>_xlfn.IFS(E141&lt;E$24,0,E141&lt;E$25,D$24,E141&lt;E$26,D$25,E141&lt;E$27,D$26,E141&lt;E$28,D$27,E141&lt;E$29,D$28,E141&lt;E$30,D$29,E141&lt;E$31,D$30,E141&lt;E$32,D$31,E141&lt;E$33,D$32,E141&lt;E$34,D$33,E141&lt;E$35,D$34,E141&gt;=E$35,D$35)</f>
        <v/>
      </c>
      <c r="E141" s="38" t="n">
        <v>91</v>
      </c>
      <c r="F141" s="31">
        <f>E141/52</f>
        <v/>
      </c>
      <c r="G141" s="39">
        <f>D141/1000000*52</f>
        <v/>
      </c>
      <c r="H141" s="33">
        <f>G141/$P$4+($C$22/$P$4)</f>
        <v/>
      </c>
      <c r="I141" s="36">
        <f>_xlfn.IFS(K141&lt;K$24,0,K141&lt;K$26,I$24,K141&lt;K$28,I$26,K141&lt;K$30,I$28,K141&lt;K$32,I$30,K141&lt;K$34,I$32,K141&lt;K$36,I$34,K141&lt;K$38,I$36,K141&lt;K$40,I$38,K141&lt;K$42,I$40,K141&lt;K$44,I$42,K141&lt;K$46,I$44,K141&gt;=K$46,I$46)</f>
        <v/>
      </c>
      <c r="J141" s="37">
        <f>_xlfn.IFS(K141&lt;K$24,0,K141&lt;K$25,J$24,K141&lt;K$26,J$25,K141&lt;K$27,J$26,K141&lt;K$28,J$27,K141&lt;K$29,J$28,K141&lt;K$30,J$29,K141&lt;K$31,J$30,K141&lt;K$32,J$31,K141&lt;K$33,J$32,K141&lt;K$34,J$33,K141&lt;K$35,J$34,K141&lt;K$36,J$35,K141&lt;K$37,J$36,K141&lt;K$38,J$37,K141&lt;K$39,J$38,K141&lt;K$40,J$39,K141&lt;K$41,J$40,K141&lt;K$42,J$41,K141&lt;K$43,J$42,K141&lt;K$44,J$43,K141&lt;K$45,J$44,K141&lt;K$46,J$45,K141&lt;K$47,J$46,K141&gt;=K$47,J$47)</f>
        <v/>
      </c>
      <c r="K141" s="38" t="n">
        <v>91</v>
      </c>
      <c r="L141" s="31">
        <f>K141/52</f>
        <v/>
      </c>
      <c r="M141" s="39">
        <f>J141/1000000*52</f>
        <v/>
      </c>
      <c r="N141" s="33">
        <f>M141/$P$4+($I$22/$P$4)</f>
        <v/>
      </c>
      <c r="U141">
        <f>F140</f>
        <v/>
      </c>
      <c r="V141">
        <f>H140</f>
        <v/>
      </c>
      <c r="W141">
        <f>N140</f>
        <v/>
      </c>
    </row>
    <row r="142" ht="15.75" customHeight="1" s="40">
      <c r="C142" s="36">
        <f>_xlfn.IFS(E142&lt;E$24,0,E142&lt;E$26,C$24,E142&lt;E$28,C$26,E142&lt;E$30,C$28,E142&lt;E$32,C$30,E142&lt;E$34,C$32,E142&gt;=E$34,C$34)</f>
        <v/>
      </c>
      <c r="D142" s="37">
        <f>_xlfn.IFS(E142&lt;E$24,0,E142&lt;E$25,D$24,E142&lt;E$26,D$25,E142&lt;E$27,D$26,E142&lt;E$28,D$27,E142&lt;E$29,D$28,E142&lt;E$30,D$29,E142&lt;E$31,D$30,E142&lt;E$32,D$31,E142&lt;E$33,D$32,E142&lt;E$34,D$33,E142&lt;E$35,D$34,E142&gt;=E$35,D$35)</f>
        <v/>
      </c>
      <c r="E142" s="38" t="n">
        <v>92</v>
      </c>
      <c r="F142" s="31">
        <f>E142/52</f>
        <v/>
      </c>
      <c r="G142" s="39">
        <f>D142/1000000*52</f>
        <v/>
      </c>
      <c r="H142" s="33">
        <f>G142/$P$4+($C$22/$P$4)</f>
        <v/>
      </c>
      <c r="I142" s="36">
        <f>_xlfn.IFS(K142&lt;K$24,0,K142&lt;K$26,I$24,K142&lt;K$28,I$26,K142&lt;K$30,I$28,K142&lt;K$32,I$30,K142&lt;K$34,I$32,K142&lt;K$36,I$34,K142&lt;K$38,I$36,K142&lt;K$40,I$38,K142&lt;K$42,I$40,K142&lt;K$44,I$42,K142&lt;K$46,I$44,K142&gt;=K$46,I$46)</f>
        <v/>
      </c>
      <c r="J142" s="37">
        <f>_xlfn.IFS(K142&lt;K$24,0,K142&lt;K$25,J$24,K142&lt;K$26,J$25,K142&lt;K$27,J$26,K142&lt;K$28,J$27,K142&lt;K$29,J$28,K142&lt;K$30,J$29,K142&lt;K$31,J$30,K142&lt;K$32,J$31,K142&lt;K$33,J$32,K142&lt;K$34,J$33,K142&lt;K$35,J$34,K142&lt;K$36,J$35,K142&lt;K$37,J$36,K142&lt;K$38,J$37,K142&lt;K$39,J$38,K142&lt;K$40,J$39,K142&lt;K$41,J$40,K142&lt;K$42,J$41,K142&lt;K$43,J$42,K142&lt;K$44,J$43,K142&lt;K$45,J$44,K142&lt;K$46,J$45,K142&lt;K$47,J$46,K142&gt;=K$47,J$47)</f>
        <v/>
      </c>
      <c r="K142" s="38" t="n">
        <v>92</v>
      </c>
      <c r="L142" s="31">
        <f>K142/52</f>
        <v/>
      </c>
      <c r="M142" s="39">
        <f>J142/1000000*52</f>
        <v/>
      </c>
      <c r="N142" s="33">
        <f>M142/$P$4+($I$22/$P$4)</f>
        <v/>
      </c>
      <c r="U142">
        <f>F141</f>
        <v/>
      </c>
      <c r="V142">
        <f>H141</f>
        <v/>
      </c>
      <c r="W142">
        <f>N141</f>
        <v/>
      </c>
    </row>
    <row r="143" ht="15.75" customHeight="1" s="40">
      <c r="C143" s="36">
        <f>_xlfn.IFS(E143&lt;E$24,0,E143&lt;E$26,C$24,E143&lt;E$28,C$26,E143&lt;E$30,C$28,E143&lt;E$32,C$30,E143&lt;E$34,C$32,E143&gt;=E$34,C$34)</f>
        <v/>
      </c>
      <c r="D143" s="37">
        <f>_xlfn.IFS(E143&lt;E$24,0,E143&lt;E$25,D$24,E143&lt;E$26,D$25,E143&lt;E$27,D$26,E143&lt;E$28,D$27,E143&lt;E$29,D$28,E143&lt;E$30,D$29,E143&lt;E$31,D$30,E143&lt;E$32,D$31,E143&lt;E$33,D$32,E143&lt;E$34,D$33,E143&lt;E$35,D$34,E143&gt;=E$35,D$35)</f>
        <v/>
      </c>
      <c r="E143" s="38" t="n">
        <v>93</v>
      </c>
      <c r="F143" s="31">
        <f>E143/52</f>
        <v/>
      </c>
      <c r="G143" s="39">
        <f>D143/1000000*52</f>
        <v/>
      </c>
      <c r="H143" s="33">
        <f>G143/$P$4+($C$22/$P$4)</f>
        <v/>
      </c>
      <c r="I143" s="36">
        <f>_xlfn.IFS(K143&lt;K$24,0,K143&lt;K$26,I$24,K143&lt;K$28,I$26,K143&lt;K$30,I$28,K143&lt;K$32,I$30,K143&lt;K$34,I$32,K143&lt;K$36,I$34,K143&lt;K$38,I$36,K143&lt;K$40,I$38,K143&lt;K$42,I$40,K143&lt;K$44,I$42,K143&lt;K$46,I$44,K143&gt;=K$46,I$46)</f>
        <v/>
      </c>
      <c r="J143" s="37">
        <f>_xlfn.IFS(K143&lt;K$24,0,K143&lt;K$25,J$24,K143&lt;K$26,J$25,K143&lt;K$27,J$26,K143&lt;K$28,J$27,K143&lt;K$29,J$28,K143&lt;K$30,J$29,K143&lt;K$31,J$30,K143&lt;K$32,J$31,K143&lt;K$33,J$32,K143&lt;K$34,J$33,K143&lt;K$35,J$34,K143&lt;K$36,J$35,K143&lt;K$37,J$36,K143&lt;K$38,J$37,K143&lt;K$39,J$38,K143&lt;K$40,J$39,K143&lt;K$41,J$40,K143&lt;K$42,J$41,K143&lt;K$43,J$42,K143&lt;K$44,J$43,K143&lt;K$45,J$44,K143&lt;K$46,J$45,K143&lt;K$47,J$46,K143&gt;=K$47,J$47)</f>
        <v/>
      </c>
      <c r="K143" s="38" t="n">
        <v>93</v>
      </c>
      <c r="L143" s="31">
        <f>K143/52</f>
        <v/>
      </c>
      <c r="M143" s="39">
        <f>J143/1000000*52</f>
        <v/>
      </c>
      <c r="N143" s="33">
        <f>M143/$P$4+($I$22/$P$4)</f>
        <v/>
      </c>
      <c r="U143">
        <f>F142</f>
        <v/>
      </c>
      <c r="V143">
        <f>H142</f>
        <v/>
      </c>
      <c r="W143">
        <f>N142</f>
        <v/>
      </c>
    </row>
    <row r="144" ht="15.75" customHeight="1" s="40">
      <c r="C144" s="36">
        <f>_xlfn.IFS(E144&lt;E$24,0,E144&lt;E$26,C$24,E144&lt;E$28,C$26,E144&lt;E$30,C$28,E144&lt;E$32,C$30,E144&lt;E$34,C$32,E144&gt;=E$34,C$34)</f>
        <v/>
      </c>
      <c r="D144" s="37">
        <f>_xlfn.IFS(E144&lt;E$24,0,E144&lt;E$25,D$24,E144&lt;E$26,D$25,E144&lt;E$27,D$26,E144&lt;E$28,D$27,E144&lt;E$29,D$28,E144&lt;E$30,D$29,E144&lt;E$31,D$30,E144&lt;E$32,D$31,E144&lt;E$33,D$32,E144&lt;E$34,D$33,E144&lt;E$35,D$34,E144&gt;=E$35,D$35)</f>
        <v/>
      </c>
      <c r="E144" s="38" t="n">
        <v>94</v>
      </c>
      <c r="F144" s="31">
        <f>E144/52</f>
        <v/>
      </c>
      <c r="G144" s="39">
        <f>D144/1000000*52</f>
        <v/>
      </c>
      <c r="H144" s="33">
        <f>G144/$P$4+($C$22/$P$4)</f>
        <v/>
      </c>
      <c r="I144" s="36">
        <f>_xlfn.IFS(K144&lt;K$24,0,K144&lt;K$26,I$24,K144&lt;K$28,I$26,K144&lt;K$30,I$28,K144&lt;K$32,I$30,K144&lt;K$34,I$32,K144&lt;K$36,I$34,K144&lt;K$38,I$36,K144&lt;K$40,I$38,K144&lt;K$42,I$40,K144&lt;K$44,I$42,K144&lt;K$46,I$44,K144&gt;=K$46,I$46)</f>
        <v/>
      </c>
      <c r="J144" s="37">
        <f>_xlfn.IFS(K144&lt;K$24,0,K144&lt;K$25,J$24,K144&lt;K$26,J$25,K144&lt;K$27,J$26,K144&lt;K$28,J$27,K144&lt;K$29,J$28,K144&lt;K$30,J$29,K144&lt;K$31,J$30,K144&lt;K$32,J$31,K144&lt;K$33,J$32,K144&lt;K$34,J$33,K144&lt;K$35,J$34,K144&lt;K$36,J$35,K144&lt;K$37,J$36,K144&lt;K$38,J$37,K144&lt;K$39,J$38,K144&lt;K$40,J$39,K144&lt;K$41,J$40,K144&lt;K$42,J$41,K144&lt;K$43,J$42,K144&lt;K$44,J$43,K144&lt;K$45,J$44,K144&lt;K$46,J$45,K144&lt;K$47,J$46,K144&gt;=K$47,J$47)</f>
        <v/>
      </c>
      <c r="K144" s="38" t="n">
        <v>94</v>
      </c>
      <c r="L144" s="31">
        <f>K144/52</f>
        <v/>
      </c>
      <c r="M144" s="39">
        <f>J144/1000000*52</f>
        <v/>
      </c>
      <c r="N144" s="33">
        <f>M144/$P$4+($I$22/$P$4)</f>
        <v/>
      </c>
      <c r="U144">
        <f>F143</f>
        <v/>
      </c>
      <c r="V144">
        <f>H143</f>
        <v/>
      </c>
      <c r="W144">
        <f>N143</f>
        <v/>
      </c>
    </row>
    <row r="145" ht="15.75" customHeight="1" s="40">
      <c r="C145" s="36">
        <f>_xlfn.IFS(E145&lt;E$24,0,E145&lt;E$26,C$24,E145&lt;E$28,C$26,E145&lt;E$30,C$28,E145&lt;E$32,C$30,E145&lt;E$34,C$32,E145&gt;=E$34,C$34)</f>
        <v/>
      </c>
      <c r="D145" s="37">
        <f>_xlfn.IFS(E145&lt;E$24,0,E145&lt;E$25,D$24,E145&lt;E$26,D$25,E145&lt;E$27,D$26,E145&lt;E$28,D$27,E145&lt;E$29,D$28,E145&lt;E$30,D$29,E145&lt;E$31,D$30,E145&lt;E$32,D$31,E145&lt;E$33,D$32,E145&lt;E$34,D$33,E145&lt;E$35,D$34,E145&gt;=E$35,D$35)</f>
        <v/>
      </c>
      <c r="E145" s="38" t="n">
        <v>95</v>
      </c>
      <c r="F145" s="31">
        <f>E145/52</f>
        <v/>
      </c>
      <c r="G145" s="39">
        <f>D145/1000000*52</f>
        <v/>
      </c>
      <c r="H145" s="33">
        <f>G145/$P$4+($C$22/$P$4)</f>
        <v/>
      </c>
      <c r="I145" s="36">
        <f>_xlfn.IFS(K145&lt;K$24,0,K145&lt;K$26,I$24,K145&lt;K$28,I$26,K145&lt;K$30,I$28,K145&lt;K$32,I$30,K145&lt;K$34,I$32,K145&lt;K$36,I$34,K145&lt;K$38,I$36,K145&lt;K$40,I$38,K145&lt;K$42,I$40,K145&lt;K$44,I$42,K145&lt;K$46,I$44,K145&gt;=K$46,I$46)</f>
        <v/>
      </c>
      <c r="J145" s="37">
        <f>_xlfn.IFS(K145&lt;K$24,0,K145&lt;K$25,J$24,K145&lt;K$26,J$25,K145&lt;K$27,J$26,K145&lt;K$28,J$27,K145&lt;K$29,J$28,K145&lt;K$30,J$29,K145&lt;K$31,J$30,K145&lt;K$32,J$31,K145&lt;K$33,J$32,K145&lt;K$34,J$33,K145&lt;K$35,J$34,K145&lt;K$36,J$35,K145&lt;K$37,J$36,K145&lt;K$38,J$37,K145&lt;K$39,J$38,K145&lt;K$40,J$39,K145&lt;K$41,J$40,K145&lt;K$42,J$41,K145&lt;K$43,J$42,K145&lt;K$44,J$43,K145&lt;K$45,J$44,K145&lt;K$46,J$45,K145&lt;K$47,J$46,K145&gt;=K$47,J$47)</f>
        <v/>
      </c>
      <c r="K145" s="38" t="n">
        <v>95</v>
      </c>
      <c r="L145" s="31">
        <f>K145/52</f>
        <v/>
      </c>
      <c r="M145" s="39">
        <f>J145/1000000*52</f>
        <v/>
      </c>
      <c r="N145" s="33">
        <f>M145/$P$4+($I$22/$P$4)</f>
        <v/>
      </c>
      <c r="U145">
        <f>F144</f>
        <v/>
      </c>
      <c r="V145">
        <f>H144</f>
        <v/>
      </c>
      <c r="W145">
        <f>N144</f>
        <v/>
      </c>
    </row>
    <row r="146" ht="15.75" customHeight="1" s="40">
      <c r="C146" s="36">
        <f>_xlfn.IFS(E146&lt;E$24,0,E146&lt;E$26,C$24,E146&lt;E$28,C$26,E146&lt;E$30,C$28,E146&lt;E$32,C$30,E146&lt;E$34,C$32,E146&gt;=E$34,C$34)</f>
        <v/>
      </c>
      <c r="D146" s="37">
        <f>_xlfn.IFS(E146&lt;E$24,0,E146&lt;E$25,D$24,E146&lt;E$26,D$25,E146&lt;E$27,D$26,E146&lt;E$28,D$27,E146&lt;E$29,D$28,E146&lt;E$30,D$29,E146&lt;E$31,D$30,E146&lt;E$32,D$31,E146&lt;E$33,D$32,E146&lt;E$34,D$33,E146&lt;E$35,D$34,E146&gt;=E$35,D$35)</f>
        <v/>
      </c>
      <c r="E146" s="38" t="n">
        <v>96</v>
      </c>
      <c r="F146" s="31">
        <f>E146/52</f>
        <v/>
      </c>
      <c r="G146" s="39">
        <f>D146/1000000*52</f>
        <v/>
      </c>
      <c r="H146" s="33">
        <f>G146/$P$4+($C$22/$P$4)</f>
        <v/>
      </c>
      <c r="I146" s="36">
        <f>_xlfn.IFS(K146&lt;K$24,0,K146&lt;K$26,I$24,K146&lt;K$28,I$26,K146&lt;K$30,I$28,K146&lt;K$32,I$30,K146&lt;K$34,I$32,K146&lt;K$36,I$34,K146&lt;K$38,I$36,K146&lt;K$40,I$38,K146&lt;K$42,I$40,K146&lt;K$44,I$42,K146&lt;K$46,I$44,K146&gt;=K$46,I$46)</f>
        <v/>
      </c>
      <c r="J146" s="37">
        <f>_xlfn.IFS(K146&lt;K$24,0,K146&lt;K$25,J$24,K146&lt;K$26,J$25,K146&lt;K$27,J$26,K146&lt;K$28,J$27,K146&lt;K$29,J$28,K146&lt;K$30,J$29,K146&lt;K$31,J$30,K146&lt;K$32,J$31,K146&lt;K$33,J$32,K146&lt;K$34,J$33,K146&lt;K$35,J$34,K146&lt;K$36,J$35,K146&lt;K$37,J$36,K146&lt;K$38,J$37,K146&lt;K$39,J$38,K146&lt;K$40,J$39,K146&lt;K$41,J$40,K146&lt;K$42,J$41,K146&lt;K$43,J$42,K146&lt;K$44,J$43,K146&lt;K$45,J$44,K146&lt;K$46,J$45,K146&lt;K$47,J$46,K146&gt;=K$47,J$47)</f>
        <v/>
      </c>
      <c r="K146" s="38" t="n">
        <v>96</v>
      </c>
      <c r="L146" s="31">
        <f>K146/52</f>
        <v/>
      </c>
      <c r="M146" s="39">
        <f>J146/1000000*52</f>
        <v/>
      </c>
      <c r="N146" s="33">
        <f>M146/$P$4+($I$22/$P$4)</f>
        <v/>
      </c>
      <c r="U146">
        <f>F145</f>
        <v/>
      </c>
      <c r="V146">
        <f>H145</f>
        <v/>
      </c>
      <c r="W146">
        <f>N145</f>
        <v/>
      </c>
    </row>
    <row r="147" ht="15.75" customHeight="1" s="40">
      <c r="C147" s="36">
        <f>_xlfn.IFS(E147&lt;E$24,0,E147&lt;E$26,C$24,E147&lt;E$28,C$26,E147&lt;E$30,C$28,E147&lt;E$32,C$30,E147&lt;E$34,C$32,E147&gt;=E$34,C$34)</f>
        <v/>
      </c>
      <c r="D147" s="37">
        <f>_xlfn.IFS(E147&lt;E$24,0,E147&lt;E$25,D$24,E147&lt;E$26,D$25,E147&lt;E$27,D$26,E147&lt;E$28,D$27,E147&lt;E$29,D$28,E147&lt;E$30,D$29,E147&lt;E$31,D$30,E147&lt;E$32,D$31,E147&lt;E$33,D$32,E147&lt;E$34,D$33,E147&lt;E$35,D$34,E147&gt;=E$35,D$35)</f>
        <v/>
      </c>
      <c r="E147" s="38" t="n">
        <v>97</v>
      </c>
      <c r="F147" s="31">
        <f>E147/52</f>
        <v/>
      </c>
      <c r="G147" s="39">
        <f>D147/1000000*52</f>
        <v/>
      </c>
      <c r="H147" s="33">
        <f>G147/$P$4+($C$22/$P$4)</f>
        <v/>
      </c>
      <c r="I147" s="36">
        <f>_xlfn.IFS(K147&lt;K$24,0,K147&lt;K$26,I$24,K147&lt;K$28,I$26,K147&lt;K$30,I$28,K147&lt;K$32,I$30,K147&lt;K$34,I$32,K147&lt;K$36,I$34,K147&lt;K$38,I$36,K147&lt;K$40,I$38,K147&lt;K$42,I$40,K147&lt;K$44,I$42,K147&lt;K$46,I$44,K147&gt;=K$46,I$46)</f>
        <v/>
      </c>
      <c r="J147" s="37">
        <f>_xlfn.IFS(K147&lt;K$24,0,K147&lt;K$25,J$24,K147&lt;K$26,J$25,K147&lt;K$27,J$26,K147&lt;K$28,J$27,K147&lt;K$29,J$28,K147&lt;K$30,J$29,K147&lt;K$31,J$30,K147&lt;K$32,J$31,K147&lt;K$33,J$32,K147&lt;K$34,J$33,K147&lt;K$35,J$34,K147&lt;K$36,J$35,K147&lt;K$37,J$36,K147&lt;K$38,J$37,K147&lt;K$39,J$38,K147&lt;K$40,J$39,K147&lt;K$41,J$40,K147&lt;K$42,J$41,K147&lt;K$43,J$42,K147&lt;K$44,J$43,K147&lt;K$45,J$44,K147&lt;K$46,J$45,K147&lt;K$47,J$46,K147&gt;=K$47,J$47)</f>
        <v/>
      </c>
      <c r="K147" s="38" t="n">
        <v>97</v>
      </c>
      <c r="L147" s="31">
        <f>K147/52</f>
        <v/>
      </c>
      <c r="M147" s="39">
        <f>J147/1000000*52</f>
        <v/>
      </c>
      <c r="N147" s="33">
        <f>M147/$P$4+($I$22/$P$4)</f>
        <v/>
      </c>
      <c r="U147">
        <f>F146</f>
        <v/>
      </c>
      <c r="V147">
        <f>H146</f>
        <v/>
      </c>
      <c r="W147">
        <f>N146</f>
        <v/>
      </c>
    </row>
    <row r="148" ht="15.75" customHeight="1" s="40">
      <c r="C148" s="36">
        <f>_xlfn.IFS(E148&lt;E$24,0,E148&lt;E$26,C$24,E148&lt;E$28,C$26,E148&lt;E$30,C$28,E148&lt;E$32,C$30,E148&lt;E$34,C$32,E148&gt;=E$34,C$34)</f>
        <v/>
      </c>
      <c r="D148" s="37">
        <f>_xlfn.IFS(E148&lt;E$24,0,E148&lt;E$25,D$24,E148&lt;E$26,D$25,E148&lt;E$27,D$26,E148&lt;E$28,D$27,E148&lt;E$29,D$28,E148&lt;E$30,D$29,E148&lt;E$31,D$30,E148&lt;E$32,D$31,E148&lt;E$33,D$32,E148&lt;E$34,D$33,E148&lt;E$35,D$34,E148&gt;=E$35,D$35)</f>
        <v/>
      </c>
      <c r="E148" s="38" t="n">
        <v>98</v>
      </c>
      <c r="F148" s="31">
        <f>E148/52</f>
        <v/>
      </c>
      <c r="G148" s="39">
        <f>D148/1000000*52</f>
        <v/>
      </c>
      <c r="H148" s="33">
        <f>G148/$P$4+($C$22/$P$4)</f>
        <v/>
      </c>
      <c r="I148" s="36">
        <f>_xlfn.IFS(K148&lt;K$24,0,K148&lt;K$26,I$24,K148&lt;K$28,I$26,K148&lt;K$30,I$28,K148&lt;K$32,I$30,K148&lt;K$34,I$32,K148&lt;K$36,I$34,K148&lt;K$38,I$36,K148&lt;K$40,I$38,K148&lt;K$42,I$40,K148&lt;K$44,I$42,K148&lt;K$46,I$44,K148&gt;=K$46,I$46)</f>
        <v/>
      </c>
      <c r="J148" s="37">
        <f>_xlfn.IFS(K148&lt;K$24,0,K148&lt;K$25,J$24,K148&lt;K$26,J$25,K148&lt;K$27,J$26,K148&lt;K$28,J$27,K148&lt;K$29,J$28,K148&lt;K$30,J$29,K148&lt;K$31,J$30,K148&lt;K$32,J$31,K148&lt;K$33,J$32,K148&lt;K$34,J$33,K148&lt;K$35,J$34,K148&lt;K$36,J$35,K148&lt;K$37,J$36,K148&lt;K$38,J$37,K148&lt;K$39,J$38,K148&lt;K$40,J$39,K148&lt;K$41,J$40,K148&lt;K$42,J$41,K148&lt;K$43,J$42,K148&lt;K$44,J$43,K148&lt;K$45,J$44,K148&lt;K$46,J$45,K148&lt;K$47,J$46,K148&gt;=K$47,J$47)</f>
        <v/>
      </c>
      <c r="K148" s="38" t="n">
        <v>98</v>
      </c>
      <c r="L148" s="31">
        <f>K148/52</f>
        <v/>
      </c>
      <c r="M148" s="39">
        <f>J148/1000000*52</f>
        <v/>
      </c>
      <c r="N148" s="33">
        <f>M148/$P$4+($I$22/$P$4)</f>
        <v/>
      </c>
      <c r="U148">
        <f>F147</f>
        <v/>
      </c>
      <c r="V148">
        <f>H147</f>
        <v/>
      </c>
      <c r="W148">
        <f>N147</f>
        <v/>
      </c>
    </row>
    <row r="149" ht="15.75" customHeight="1" s="40">
      <c r="C149" s="36">
        <f>_xlfn.IFS(E149&lt;E$24,0,E149&lt;E$26,C$24,E149&lt;E$28,C$26,E149&lt;E$30,C$28,E149&lt;E$32,C$30,E149&lt;E$34,C$32,E149&gt;=E$34,C$34)</f>
        <v/>
      </c>
      <c r="D149" s="37">
        <f>_xlfn.IFS(E149&lt;E$24,0,E149&lt;E$25,D$24,E149&lt;E$26,D$25,E149&lt;E$27,D$26,E149&lt;E$28,D$27,E149&lt;E$29,D$28,E149&lt;E$30,D$29,E149&lt;E$31,D$30,E149&lt;E$32,D$31,E149&lt;E$33,D$32,E149&lt;E$34,D$33,E149&lt;E$35,D$34,E149&gt;=E$35,D$35)</f>
        <v/>
      </c>
      <c r="E149" s="38" t="n">
        <v>99</v>
      </c>
      <c r="F149" s="31">
        <f>E149/52</f>
        <v/>
      </c>
      <c r="G149" s="39">
        <f>D149/1000000*52</f>
        <v/>
      </c>
      <c r="H149" s="33">
        <f>G149/$P$4+($C$22/$P$4)</f>
        <v/>
      </c>
      <c r="I149" s="36">
        <f>_xlfn.IFS(K149&lt;K$24,0,K149&lt;K$26,I$24,K149&lt;K$28,I$26,K149&lt;K$30,I$28,K149&lt;K$32,I$30,K149&lt;K$34,I$32,K149&lt;K$36,I$34,K149&lt;K$38,I$36,K149&lt;K$40,I$38,K149&lt;K$42,I$40,K149&lt;K$44,I$42,K149&lt;K$46,I$44,K149&gt;=K$46,I$46)</f>
        <v/>
      </c>
      <c r="J149" s="37">
        <f>_xlfn.IFS(K149&lt;K$24,0,K149&lt;K$25,J$24,K149&lt;K$26,J$25,K149&lt;K$27,J$26,K149&lt;K$28,J$27,K149&lt;K$29,J$28,K149&lt;K$30,J$29,K149&lt;K$31,J$30,K149&lt;K$32,J$31,K149&lt;K$33,J$32,K149&lt;K$34,J$33,K149&lt;K$35,J$34,K149&lt;K$36,J$35,K149&lt;K$37,J$36,K149&lt;K$38,J$37,K149&lt;K$39,J$38,K149&lt;K$40,J$39,K149&lt;K$41,J$40,K149&lt;K$42,J$41,K149&lt;K$43,J$42,K149&lt;K$44,J$43,K149&lt;K$45,J$44,K149&lt;K$46,J$45,K149&lt;K$47,J$46,K149&gt;=K$47,J$47)</f>
        <v/>
      </c>
      <c r="K149" s="38" t="n">
        <v>99</v>
      </c>
      <c r="L149" s="31">
        <f>K149/52</f>
        <v/>
      </c>
      <c r="M149" s="39">
        <f>J149/1000000*52</f>
        <v/>
      </c>
      <c r="N149" s="33">
        <f>M149/$P$4+($I$22/$P$4)</f>
        <v/>
      </c>
      <c r="U149">
        <f>F148</f>
        <v/>
      </c>
      <c r="V149">
        <f>H148</f>
        <v/>
      </c>
      <c r="W149">
        <f>N148</f>
        <v/>
      </c>
    </row>
    <row r="150" ht="15.75" customHeight="1" s="40">
      <c r="C150" s="36">
        <f>_xlfn.IFS(E150&lt;E$24,0,E150&lt;E$26,C$24,E150&lt;E$28,C$26,E150&lt;E$30,C$28,E150&lt;E$32,C$30,E150&lt;E$34,C$32,E150&gt;=E$34,C$34)</f>
        <v/>
      </c>
      <c r="D150" s="37">
        <f>_xlfn.IFS(E150&lt;E$24,0,E150&lt;E$25,D$24,E150&lt;E$26,D$25,E150&lt;E$27,D$26,E150&lt;E$28,D$27,E150&lt;E$29,D$28,E150&lt;E$30,D$29,E150&lt;E$31,D$30,E150&lt;E$32,D$31,E150&lt;E$33,D$32,E150&lt;E$34,D$33,E150&lt;E$35,D$34,E150&gt;=E$35,D$35)</f>
        <v/>
      </c>
      <c r="E150" s="38" t="n">
        <v>100</v>
      </c>
      <c r="F150" s="31">
        <f>E150/52</f>
        <v/>
      </c>
      <c r="G150" s="39">
        <f>D150/1000000*52</f>
        <v/>
      </c>
      <c r="H150" s="33">
        <f>G150/$P$4+($C$22/$P$4)</f>
        <v/>
      </c>
      <c r="I150" s="36">
        <f>_xlfn.IFS(K150&lt;K$24,0,K150&lt;K$26,I$24,K150&lt;K$28,I$26,K150&lt;K$30,I$28,K150&lt;K$32,I$30,K150&lt;K$34,I$32,K150&lt;K$36,I$34,K150&lt;K$38,I$36,K150&lt;K$40,I$38,K150&lt;K$42,I$40,K150&lt;K$44,I$42,K150&lt;K$46,I$44,K150&gt;=K$46,I$46)</f>
        <v/>
      </c>
      <c r="J150" s="37">
        <f>_xlfn.IFS(K150&lt;K$24,0,K150&lt;K$25,J$24,K150&lt;K$26,J$25,K150&lt;K$27,J$26,K150&lt;K$28,J$27,K150&lt;K$29,J$28,K150&lt;K$30,J$29,K150&lt;K$31,J$30,K150&lt;K$32,J$31,K150&lt;K$33,J$32,K150&lt;K$34,J$33,K150&lt;K$35,J$34,K150&lt;K$36,J$35,K150&lt;K$37,J$36,K150&lt;K$38,J$37,K150&lt;K$39,J$38,K150&lt;K$40,J$39,K150&lt;K$41,J$40,K150&lt;K$42,J$41,K150&lt;K$43,J$42,K150&lt;K$44,J$43,K150&lt;K$45,J$44,K150&lt;K$46,J$45,K150&lt;K$47,J$46,K150&gt;=K$47,J$47)</f>
        <v/>
      </c>
      <c r="K150" s="38" t="n">
        <v>100</v>
      </c>
      <c r="L150" s="31">
        <f>K150/52</f>
        <v/>
      </c>
      <c r="M150" s="39">
        <f>J150/1000000*52</f>
        <v/>
      </c>
      <c r="N150" s="33">
        <f>M150/$P$4+($I$22/$P$4)</f>
        <v/>
      </c>
      <c r="U150">
        <f>F149</f>
        <v/>
      </c>
      <c r="V150">
        <f>H149</f>
        <v/>
      </c>
      <c r="W150">
        <f>N149</f>
        <v/>
      </c>
    </row>
    <row r="151" ht="15.75" customHeight="1" s="40">
      <c r="C151" s="36">
        <f>_xlfn.IFS(E151&lt;E$24,0,E151&lt;E$26,C$24,E151&lt;E$28,C$26,E151&lt;E$30,C$28,E151&lt;E$32,C$30,E151&lt;E$34,C$32,E151&gt;=E$34,C$34)</f>
        <v/>
      </c>
      <c r="D151" s="37">
        <f>_xlfn.IFS(E151&lt;E$24,0,E151&lt;E$25,D$24,E151&lt;E$26,D$25,E151&lt;E$27,D$26,E151&lt;E$28,D$27,E151&lt;E$29,D$28,E151&lt;E$30,D$29,E151&lt;E$31,D$30,E151&lt;E$32,D$31,E151&lt;E$33,D$32,E151&lt;E$34,D$33,E151&lt;E$35,D$34,E151&gt;=E$35,D$35)</f>
        <v/>
      </c>
      <c r="E151" s="38" t="n">
        <v>101</v>
      </c>
      <c r="F151" s="31">
        <f>E151/52</f>
        <v/>
      </c>
      <c r="G151" s="39">
        <f>D151/1000000*52</f>
        <v/>
      </c>
      <c r="H151" s="33">
        <f>G151/$P$4+($C$22/$P$4)</f>
        <v/>
      </c>
      <c r="I151" s="36">
        <f>_xlfn.IFS(K151&lt;K$24,0,K151&lt;K$26,I$24,K151&lt;K$28,I$26,K151&lt;K$30,I$28,K151&lt;K$32,I$30,K151&lt;K$34,I$32,K151&lt;K$36,I$34,K151&lt;K$38,I$36,K151&lt;K$40,I$38,K151&lt;K$42,I$40,K151&lt;K$44,I$42,K151&lt;K$46,I$44,K151&gt;=K$46,I$46)</f>
        <v/>
      </c>
      <c r="J151" s="37">
        <f>_xlfn.IFS(K151&lt;K$24,0,K151&lt;K$25,J$24,K151&lt;K$26,J$25,K151&lt;K$27,J$26,K151&lt;K$28,J$27,K151&lt;K$29,J$28,K151&lt;K$30,J$29,K151&lt;K$31,J$30,K151&lt;K$32,J$31,K151&lt;K$33,J$32,K151&lt;K$34,J$33,K151&lt;K$35,J$34,K151&lt;K$36,J$35,K151&lt;K$37,J$36,K151&lt;K$38,J$37,K151&lt;K$39,J$38,K151&lt;K$40,J$39,K151&lt;K$41,J$40,K151&lt;K$42,J$41,K151&lt;K$43,J$42,K151&lt;K$44,J$43,K151&lt;K$45,J$44,K151&lt;K$46,J$45,K151&lt;K$47,J$46,K151&gt;=K$47,J$47)</f>
        <v/>
      </c>
      <c r="K151" s="38" t="n">
        <v>101</v>
      </c>
      <c r="L151" s="31">
        <f>K151/52</f>
        <v/>
      </c>
      <c r="M151" s="39">
        <f>J151/1000000*52</f>
        <v/>
      </c>
      <c r="N151" s="33">
        <f>M151/$P$4+($I$22/$P$4)</f>
        <v/>
      </c>
      <c r="U151">
        <f>F150</f>
        <v/>
      </c>
      <c r="V151">
        <f>H150</f>
        <v/>
      </c>
      <c r="W151">
        <f>N150</f>
        <v/>
      </c>
    </row>
    <row r="152" ht="15.75" customHeight="1" s="40">
      <c r="C152" s="36">
        <f>_xlfn.IFS(E152&lt;E$24,0,E152&lt;E$26,C$24,E152&lt;E$28,C$26,E152&lt;E$30,C$28,E152&lt;E$32,C$30,E152&lt;E$34,C$32,E152&gt;=E$34,C$34)</f>
        <v/>
      </c>
      <c r="D152" s="37">
        <f>_xlfn.IFS(E152&lt;E$24,0,E152&lt;E$25,D$24,E152&lt;E$26,D$25,E152&lt;E$27,D$26,E152&lt;E$28,D$27,E152&lt;E$29,D$28,E152&lt;E$30,D$29,E152&lt;E$31,D$30,E152&lt;E$32,D$31,E152&lt;E$33,D$32,E152&lt;E$34,D$33,E152&lt;E$35,D$34,E152&gt;=E$35,D$35)</f>
        <v/>
      </c>
      <c r="E152" s="38" t="n">
        <v>102</v>
      </c>
      <c r="F152" s="31">
        <f>E152/52</f>
        <v/>
      </c>
      <c r="G152" s="39">
        <f>D152/1000000*52</f>
        <v/>
      </c>
      <c r="H152" s="33">
        <f>G152/$P$4+($C$22/$P$4)</f>
        <v/>
      </c>
      <c r="I152" s="36">
        <f>_xlfn.IFS(K152&lt;K$24,0,K152&lt;K$26,I$24,K152&lt;K$28,I$26,K152&lt;K$30,I$28,K152&lt;K$32,I$30,K152&lt;K$34,I$32,K152&lt;K$36,I$34,K152&lt;K$38,I$36,K152&lt;K$40,I$38,K152&lt;K$42,I$40,K152&lt;K$44,I$42,K152&lt;K$46,I$44,K152&gt;=K$46,I$46)</f>
        <v/>
      </c>
      <c r="J152" s="37">
        <f>_xlfn.IFS(K152&lt;K$24,0,K152&lt;K$25,J$24,K152&lt;K$26,J$25,K152&lt;K$27,J$26,K152&lt;K$28,J$27,K152&lt;K$29,J$28,K152&lt;K$30,J$29,K152&lt;K$31,J$30,K152&lt;K$32,J$31,K152&lt;K$33,J$32,K152&lt;K$34,J$33,K152&lt;K$35,J$34,K152&lt;K$36,J$35,K152&lt;K$37,J$36,K152&lt;K$38,J$37,K152&lt;K$39,J$38,K152&lt;K$40,J$39,K152&lt;K$41,J$40,K152&lt;K$42,J$41,K152&lt;K$43,J$42,K152&lt;K$44,J$43,K152&lt;K$45,J$44,K152&lt;K$46,J$45,K152&lt;K$47,J$46,K152&gt;=K$47,J$47)</f>
        <v/>
      </c>
      <c r="K152" s="38" t="n">
        <v>102</v>
      </c>
      <c r="L152" s="31">
        <f>K152/52</f>
        <v/>
      </c>
      <c r="M152" s="39">
        <f>J152/1000000*52</f>
        <v/>
      </c>
      <c r="N152" s="33">
        <f>M152/$P$4+($I$22/$P$4)</f>
        <v/>
      </c>
      <c r="U152">
        <f>F151</f>
        <v/>
      </c>
      <c r="V152">
        <f>H151</f>
        <v/>
      </c>
      <c r="W152">
        <f>N151</f>
        <v/>
      </c>
    </row>
    <row r="153" ht="15.75" customHeight="1" s="40">
      <c r="C153" s="36">
        <f>_xlfn.IFS(E153&lt;E$24,0,E153&lt;E$26,C$24,E153&lt;E$28,C$26,E153&lt;E$30,C$28,E153&lt;E$32,C$30,E153&lt;E$34,C$32,E153&gt;=E$34,C$34)</f>
        <v/>
      </c>
      <c r="D153" s="37">
        <f>_xlfn.IFS(E153&lt;E$24,0,E153&lt;E$25,D$24,E153&lt;E$26,D$25,E153&lt;E$27,D$26,E153&lt;E$28,D$27,E153&lt;E$29,D$28,E153&lt;E$30,D$29,E153&lt;E$31,D$30,E153&lt;E$32,D$31,E153&lt;E$33,D$32,E153&lt;E$34,D$33,E153&lt;E$35,D$34,E153&gt;=E$35,D$35)</f>
        <v/>
      </c>
      <c r="E153" s="38" t="n">
        <v>103</v>
      </c>
      <c r="F153" s="31">
        <f>E153/52</f>
        <v/>
      </c>
      <c r="G153" s="39">
        <f>D153/1000000*52</f>
        <v/>
      </c>
      <c r="H153" s="33">
        <f>G153/$P$4+($C$22/$P$4)</f>
        <v/>
      </c>
      <c r="I153" s="36">
        <f>_xlfn.IFS(K153&lt;K$24,0,K153&lt;K$26,I$24,K153&lt;K$28,I$26,K153&lt;K$30,I$28,K153&lt;K$32,I$30,K153&lt;K$34,I$32,K153&lt;K$36,I$34,K153&lt;K$38,I$36,K153&lt;K$40,I$38,K153&lt;K$42,I$40,K153&lt;K$44,I$42,K153&lt;K$46,I$44,K153&gt;=K$46,I$46)</f>
        <v/>
      </c>
      <c r="J153" s="37">
        <f>_xlfn.IFS(K153&lt;K$24,0,K153&lt;K$25,J$24,K153&lt;K$26,J$25,K153&lt;K$27,J$26,K153&lt;K$28,J$27,K153&lt;K$29,J$28,K153&lt;K$30,J$29,K153&lt;K$31,J$30,K153&lt;K$32,J$31,K153&lt;K$33,J$32,K153&lt;K$34,J$33,K153&lt;K$35,J$34,K153&lt;K$36,J$35,K153&lt;K$37,J$36,K153&lt;K$38,J$37,K153&lt;K$39,J$38,K153&lt;K$40,J$39,K153&lt;K$41,J$40,K153&lt;K$42,J$41,K153&lt;K$43,J$42,K153&lt;K$44,J$43,K153&lt;K$45,J$44,K153&lt;K$46,J$45,K153&lt;K$47,J$46,K153&gt;=K$47,J$47)</f>
        <v/>
      </c>
      <c r="K153" s="38" t="n">
        <v>103</v>
      </c>
      <c r="L153" s="31">
        <f>K153/52</f>
        <v/>
      </c>
      <c r="M153" s="39">
        <f>J153/1000000*52</f>
        <v/>
      </c>
      <c r="N153" s="33">
        <f>M153/$P$4+($I$22/$P$4)</f>
        <v/>
      </c>
      <c r="U153">
        <f>F152</f>
        <v/>
      </c>
      <c r="V153">
        <f>H152</f>
        <v/>
      </c>
      <c r="W153">
        <f>N152</f>
        <v/>
      </c>
    </row>
    <row r="154" ht="15.75" customHeight="1" s="40">
      <c r="C154" s="36">
        <f>_xlfn.IFS(E154&lt;E$24,0,E154&lt;E$26,C$24,E154&lt;E$28,C$26,E154&lt;E$30,C$28,E154&lt;E$32,C$30,E154&lt;E$34,C$32,E154&gt;=E$34,C$34)</f>
        <v/>
      </c>
      <c r="D154" s="37">
        <f>_xlfn.IFS(E154&lt;E$24,0,E154&lt;E$25,D$24,E154&lt;E$26,D$25,E154&lt;E$27,D$26,E154&lt;E$28,D$27,E154&lt;E$29,D$28,E154&lt;E$30,D$29,E154&lt;E$31,D$30,E154&lt;E$32,D$31,E154&lt;E$33,D$32,E154&lt;E$34,D$33,E154&lt;E$35,D$34,E154&gt;=E$35,D$35)</f>
        <v/>
      </c>
      <c r="E154" s="38" t="n">
        <v>104</v>
      </c>
      <c r="F154" s="31">
        <f>E154/52</f>
        <v/>
      </c>
      <c r="G154" s="39">
        <f>D154/1000000*52</f>
        <v/>
      </c>
      <c r="H154" s="33">
        <f>G154/$P$4+($C$22/$P$4)</f>
        <v/>
      </c>
      <c r="I154" s="36">
        <f>_xlfn.IFS(K154&lt;K$24,0,K154&lt;K$26,I$24,K154&lt;K$28,I$26,K154&lt;K$30,I$28,K154&lt;K$32,I$30,K154&lt;K$34,I$32,K154&lt;K$36,I$34,K154&lt;K$38,I$36,K154&lt;K$40,I$38,K154&lt;K$42,I$40,K154&lt;K$44,I$42,K154&lt;K$46,I$44,K154&gt;=K$46,I$46)</f>
        <v/>
      </c>
      <c r="J154" s="37">
        <f>_xlfn.IFS(K154&lt;K$24,0,K154&lt;K$25,J$24,K154&lt;K$26,J$25,K154&lt;K$27,J$26,K154&lt;K$28,J$27,K154&lt;K$29,J$28,K154&lt;K$30,J$29,K154&lt;K$31,J$30,K154&lt;K$32,J$31,K154&lt;K$33,J$32,K154&lt;K$34,J$33,K154&lt;K$35,J$34,K154&lt;K$36,J$35,K154&lt;K$37,J$36,K154&lt;K$38,J$37,K154&lt;K$39,J$38,K154&lt;K$40,J$39,K154&lt;K$41,J$40,K154&lt;K$42,J$41,K154&lt;K$43,J$42,K154&lt;K$44,J$43,K154&lt;K$45,J$44,K154&lt;K$46,J$45,K154&lt;K$47,J$46,K154&gt;=K$47,J$47)</f>
        <v/>
      </c>
      <c r="K154" s="38" t="n">
        <v>104</v>
      </c>
      <c r="L154" s="31">
        <f>K154/52</f>
        <v/>
      </c>
      <c r="M154" s="39">
        <f>J154/1000000*52</f>
        <v/>
      </c>
      <c r="N154" s="33">
        <f>M154/$P$4+($I$22/$P$4)</f>
        <v/>
      </c>
      <c r="U154">
        <f>F153</f>
        <v/>
      </c>
      <c r="V154">
        <f>H153</f>
        <v/>
      </c>
      <c r="W154">
        <f>N153</f>
        <v/>
      </c>
    </row>
    <row r="155" ht="15.75" customHeight="1" s="40">
      <c r="C155" s="36">
        <f>_xlfn.IFS(E155&lt;E$24,0,E155&lt;E$26,C$24,E155&lt;E$28,C$26,E155&lt;E$30,C$28,E155&lt;E$32,C$30,E155&lt;E$34,C$32,E155&gt;=E$34,C$34)</f>
        <v/>
      </c>
      <c r="D155" s="37">
        <f>_xlfn.IFS(E155&lt;E$24,0,E155&lt;E$25,D$24,E155&lt;E$26,D$25,E155&lt;E$27,D$26,E155&lt;E$28,D$27,E155&lt;E$29,D$28,E155&lt;E$30,D$29,E155&lt;E$31,D$30,E155&lt;E$32,D$31,E155&lt;E$33,D$32,E155&lt;E$34,D$33,E155&lt;E$35,D$34,E155&gt;=E$35,D$35)</f>
        <v/>
      </c>
      <c r="E155" s="38" t="n">
        <v>105</v>
      </c>
      <c r="F155" s="31">
        <f>E155/52</f>
        <v/>
      </c>
      <c r="G155" s="39">
        <f>D155/1000000*52</f>
        <v/>
      </c>
      <c r="H155" s="33">
        <f>G155/$P$4+($C$22/$P$4)</f>
        <v/>
      </c>
      <c r="I155" s="36">
        <f>_xlfn.IFS(K155&lt;K$24,0,K155&lt;K$26,I$24,K155&lt;K$28,I$26,K155&lt;K$30,I$28,K155&lt;K$32,I$30,K155&lt;K$34,I$32,K155&lt;K$36,I$34,K155&lt;K$38,I$36,K155&lt;K$40,I$38,K155&lt;K$42,I$40,K155&lt;K$44,I$42,K155&lt;K$46,I$44,K155&gt;=K$46,I$46)</f>
        <v/>
      </c>
      <c r="J155" s="37">
        <f>_xlfn.IFS(K155&lt;K$24,0,K155&lt;K$25,J$24,K155&lt;K$26,J$25,K155&lt;K$27,J$26,K155&lt;K$28,J$27,K155&lt;K$29,J$28,K155&lt;K$30,J$29,K155&lt;K$31,J$30,K155&lt;K$32,J$31,K155&lt;K$33,J$32,K155&lt;K$34,J$33,K155&lt;K$35,J$34,K155&lt;K$36,J$35,K155&lt;K$37,J$36,K155&lt;K$38,J$37,K155&lt;K$39,J$38,K155&lt;K$40,J$39,K155&lt;K$41,J$40,K155&lt;K$42,J$41,K155&lt;K$43,J$42,K155&lt;K$44,J$43,K155&lt;K$45,J$44,K155&lt;K$46,J$45,K155&lt;K$47,J$46,K155&gt;=K$47,J$47)</f>
        <v/>
      </c>
      <c r="K155" s="38" t="n">
        <v>105</v>
      </c>
      <c r="L155" s="31">
        <f>K155/52</f>
        <v/>
      </c>
      <c r="M155" s="39">
        <f>J155/1000000*52</f>
        <v/>
      </c>
      <c r="N155" s="33">
        <f>M155/$P$4+($I$22/$P$4)</f>
        <v/>
      </c>
      <c r="U155">
        <f>F154</f>
        <v/>
      </c>
      <c r="V155">
        <f>H154</f>
        <v/>
      </c>
      <c r="W155">
        <f>N154</f>
        <v/>
      </c>
    </row>
    <row r="156" ht="15.75" customHeight="1" s="40">
      <c r="C156" s="36">
        <f>_xlfn.IFS(E156&lt;E$24,0,E156&lt;E$26,C$24,E156&lt;E$28,C$26,E156&lt;E$30,C$28,E156&lt;E$32,C$30,E156&lt;E$34,C$32,E156&gt;=E$34,C$34)</f>
        <v/>
      </c>
      <c r="D156" s="37">
        <f>_xlfn.IFS(E156&lt;E$24,0,E156&lt;E$25,D$24,E156&lt;E$26,D$25,E156&lt;E$27,D$26,E156&lt;E$28,D$27,E156&lt;E$29,D$28,E156&lt;E$30,D$29,E156&lt;E$31,D$30,E156&lt;E$32,D$31,E156&lt;E$33,D$32,E156&lt;E$34,D$33,E156&lt;E$35,D$34,E156&gt;=E$35,D$35)</f>
        <v/>
      </c>
      <c r="E156" s="38" t="n">
        <v>106</v>
      </c>
      <c r="F156" s="31">
        <f>E156/52</f>
        <v/>
      </c>
      <c r="G156" s="39">
        <f>D156/1000000*52</f>
        <v/>
      </c>
      <c r="H156" s="33">
        <f>G156/$P$4+($C$22/$P$4)</f>
        <v/>
      </c>
      <c r="I156" s="36">
        <f>_xlfn.IFS(K156&lt;K$24,0,K156&lt;K$26,I$24,K156&lt;K$28,I$26,K156&lt;K$30,I$28,K156&lt;K$32,I$30,K156&lt;K$34,I$32,K156&lt;K$36,I$34,K156&lt;K$38,I$36,K156&lt;K$40,I$38,K156&lt;K$42,I$40,K156&lt;K$44,I$42,K156&lt;K$46,I$44,K156&gt;=K$46,I$46)</f>
        <v/>
      </c>
      <c r="J156" s="37">
        <f>_xlfn.IFS(K156&lt;K$24,0,K156&lt;K$25,J$24,K156&lt;K$26,J$25,K156&lt;K$27,J$26,K156&lt;K$28,J$27,K156&lt;K$29,J$28,K156&lt;K$30,J$29,K156&lt;K$31,J$30,K156&lt;K$32,J$31,K156&lt;K$33,J$32,K156&lt;K$34,J$33,K156&lt;K$35,J$34,K156&lt;K$36,J$35,K156&lt;K$37,J$36,K156&lt;K$38,J$37,K156&lt;K$39,J$38,K156&lt;K$40,J$39,K156&lt;K$41,J$40,K156&lt;K$42,J$41,K156&lt;K$43,J$42,K156&lt;K$44,J$43,K156&lt;K$45,J$44,K156&lt;K$46,J$45,K156&lt;K$47,J$46,K156&gt;=K$47,J$47)</f>
        <v/>
      </c>
      <c r="K156" s="38" t="n">
        <v>106</v>
      </c>
      <c r="L156" s="31">
        <f>K156/52</f>
        <v/>
      </c>
      <c r="M156" s="39">
        <f>J156/1000000*52</f>
        <v/>
      </c>
      <c r="N156" s="33">
        <f>M156/$P$4+($I$22/$P$4)</f>
        <v/>
      </c>
      <c r="U156">
        <f>F155</f>
        <v/>
      </c>
      <c r="V156">
        <f>H155</f>
        <v/>
      </c>
      <c r="W156">
        <f>N155</f>
        <v/>
      </c>
    </row>
    <row r="157" ht="15.75" customHeight="1" s="40">
      <c r="C157" s="36">
        <f>_xlfn.IFS(E157&lt;E$24,0,E157&lt;E$26,C$24,E157&lt;E$28,C$26,E157&lt;E$30,C$28,E157&lt;E$32,C$30,E157&lt;E$34,C$32,E157&gt;=E$34,C$34)</f>
        <v/>
      </c>
      <c r="D157" s="37">
        <f>_xlfn.IFS(E157&lt;E$24,0,E157&lt;E$25,D$24,E157&lt;E$26,D$25,E157&lt;E$27,D$26,E157&lt;E$28,D$27,E157&lt;E$29,D$28,E157&lt;E$30,D$29,E157&lt;E$31,D$30,E157&lt;E$32,D$31,E157&lt;E$33,D$32,E157&lt;E$34,D$33,E157&lt;E$35,D$34,E157&gt;=E$35,D$35)</f>
        <v/>
      </c>
      <c r="E157" s="38" t="n">
        <v>107</v>
      </c>
      <c r="F157" s="31">
        <f>E157/52</f>
        <v/>
      </c>
      <c r="G157" s="39">
        <f>D157/1000000*52</f>
        <v/>
      </c>
      <c r="H157" s="33">
        <f>G157/$P$4+($C$22/$P$4)</f>
        <v/>
      </c>
      <c r="I157" s="36">
        <f>_xlfn.IFS(K157&lt;K$24,0,K157&lt;K$26,I$24,K157&lt;K$28,I$26,K157&lt;K$30,I$28,K157&lt;K$32,I$30,K157&lt;K$34,I$32,K157&lt;K$36,I$34,K157&lt;K$38,I$36,K157&lt;K$40,I$38,K157&lt;K$42,I$40,K157&lt;K$44,I$42,K157&lt;K$46,I$44,K157&gt;=K$46,I$46)</f>
        <v/>
      </c>
      <c r="J157" s="37">
        <f>_xlfn.IFS(K157&lt;K$24,0,K157&lt;K$25,J$24,K157&lt;K$26,J$25,K157&lt;K$27,J$26,K157&lt;K$28,J$27,K157&lt;K$29,J$28,K157&lt;K$30,J$29,K157&lt;K$31,J$30,K157&lt;K$32,J$31,K157&lt;K$33,J$32,K157&lt;K$34,J$33,K157&lt;K$35,J$34,K157&lt;K$36,J$35,K157&lt;K$37,J$36,K157&lt;K$38,J$37,K157&lt;K$39,J$38,K157&lt;K$40,J$39,K157&lt;K$41,J$40,K157&lt;K$42,J$41,K157&lt;K$43,J$42,K157&lt;K$44,J$43,K157&lt;K$45,J$44,K157&lt;K$46,J$45,K157&lt;K$47,J$46,K157&gt;=K$47,J$47)</f>
        <v/>
      </c>
      <c r="K157" s="38" t="n">
        <v>107</v>
      </c>
      <c r="L157" s="31">
        <f>K157/52</f>
        <v/>
      </c>
      <c r="M157" s="39">
        <f>J157/1000000*52</f>
        <v/>
      </c>
      <c r="N157" s="33">
        <f>M157/$P$4+($I$22/$P$4)</f>
        <v/>
      </c>
      <c r="U157">
        <f>F156</f>
        <v/>
      </c>
      <c r="V157">
        <f>H156</f>
        <v/>
      </c>
      <c r="W157">
        <f>N156</f>
        <v/>
      </c>
    </row>
    <row r="158" ht="15.75" customHeight="1" s="40">
      <c r="C158" s="36">
        <f>_xlfn.IFS(E158&lt;E$24,0,E158&lt;E$26,C$24,E158&lt;E$28,C$26,E158&lt;E$30,C$28,E158&lt;E$32,C$30,E158&lt;E$34,C$32,E158&gt;=E$34,C$34)</f>
        <v/>
      </c>
      <c r="D158" s="37">
        <f>_xlfn.IFS(E158&lt;E$24,0,E158&lt;E$25,D$24,E158&lt;E$26,D$25,E158&lt;E$27,D$26,E158&lt;E$28,D$27,E158&lt;E$29,D$28,E158&lt;E$30,D$29,E158&lt;E$31,D$30,E158&lt;E$32,D$31,E158&lt;E$33,D$32,E158&lt;E$34,D$33,E158&lt;E$35,D$34,E158&gt;=E$35,D$35)</f>
        <v/>
      </c>
      <c r="E158" s="38" t="n">
        <v>108</v>
      </c>
      <c r="F158" s="31">
        <f>E158/52</f>
        <v/>
      </c>
      <c r="G158" s="39">
        <f>D158/1000000*52</f>
        <v/>
      </c>
      <c r="H158" s="33">
        <f>G158/$P$4+($C$22/$P$4)</f>
        <v/>
      </c>
      <c r="I158" s="36">
        <f>_xlfn.IFS(K158&lt;K$24,0,K158&lt;K$26,I$24,K158&lt;K$28,I$26,K158&lt;K$30,I$28,K158&lt;K$32,I$30,K158&lt;K$34,I$32,K158&lt;K$36,I$34,K158&lt;K$38,I$36,K158&lt;K$40,I$38,K158&lt;K$42,I$40,K158&lt;K$44,I$42,K158&lt;K$46,I$44,K158&gt;=K$46,I$46)</f>
        <v/>
      </c>
      <c r="J158" s="37">
        <f>_xlfn.IFS(K158&lt;K$24,0,K158&lt;K$25,J$24,K158&lt;K$26,J$25,K158&lt;K$27,J$26,K158&lt;K$28,J$27,K158&lt;K$29,J$28,K158&lt;K$30,J$29,K158&lt;K$31,J$30,K158&lt;K$32,J$31,K158&lt;K$33,J$32,K158&lt;K$34,J$33,K158&lt;K$35,J$34,K158&lt;K$36,J$35,K158&lt;K$37,J$36,K158&lt;K$38,J$37,K158&lt;K$39,J$38,K158&lt;K$40,J$39,K158&lt;K$41,J$40,K158&lt;K$42,J$41,K158&lt;K$43,J$42,K158&lt;K$44,J$43,K158&lt;K$45,J$44,K158&lt;K$46,J$45,K158&lt;K$47,J$46,K158&gt;=K$47,J$47)</f>
        <v/>
      </c>
      <c r="K158" s="38" t="n">
        <v>108</v>
      </c>
      <c r="L158" s="31">
        <f>K158/52</f>
        <v/>
      </c>
      <c r="M158" s="39">
        <f>J158/1000000*52</f>
        <v/>
      </c>
      <c r="N158" s="33">
        <f>M158/$P$4+($I$22/$P$4)</f>
        <v/>
      </c>
      <c r="U158">
        <f>F157</f>
        <v/>
      </c>
      <c r="V158">
        <f>H157</f>
        <v/>
      </c>
      <c r="W158">
        <f>N157</f>
        <v/>
      </c>
    </row>
    <row r="159" ht="15.75" customHeight="1" s="40">
      <c r="C159" s="36">
        <f>_xlfn.IFS(E159&lt;E$24,0,E159&lt;E$26,C$24,E159&lt;E$28,C$26,E159&lt;E$30,C$28,E159&lt;E$32,C$30,E159&lt;E$34,C$32,E159&gt;=E$34,C$34)</f>
        <v/>
      </c>
      <c r="D159" s="37">
        <f>_xlfn.IFS(E159&lt;E$24,0,E159&lt;E$25,D$24,E159&lt;E$26,D$25,E159&lt;E$27,D$26,E159&lt;E$28,D$27,E159&lt;E$29,D$28,E159&lt;E$30,D$29,E159&lt;E$31,D$30,E159&lt;E$32,D$31,E159&lt;E$33,D$32,E159&lt;E$34,D$33,E159&lt;E$35,D$34,E159&gt;=E$35,D$35)</f>
        <v/>
      </c>
      <c r="E159" s="38" t="n">
        <v>109</v>
      </c>
      <c r="F159" s="31">
        <f>E159/52</f>
        <v/>
      </c>
      <c r="G159" s="39">
        <f>D159/1000000*52</f>
        <v/>
      </c>
      <c r="H159" s="33">
        <f>G159/$P$4+($C$22/$P$4)</f>
        <v/>
      </c>
      <c r="I159" s="36">
        <f>_xlfn.IFS(K159&lt;K$24,0,K159&lt;K$26,I$24,K159&lt;K$28,I$26,K159&lt;K$30,I$28,K159&lt;K$32,I$30,K159&lt;K$34,I$32,K159&lt;K$36,I$34,K159&lt;K$38,I$36,K159&lt;K$40,I$38,K159&lt;K$42,I$40,K159&lt;K$44,I$42,K159&lt;K$46,I$44,K159&gt;=K$46,I$46)</f>
        <v/>
      </c>
      <c r="J159" s="37">
        <f>_xlfn.IFS(K159&lt;K$24,0,K159&lt;K$25,J$24,K159&lt;K$26,J$25,K159&lt;K$27,J$26,K159&lt;K$28,J$27,K159&lt;K$29,J$28,K159&lt;K$30,J$29,K159&lt;K$31,J$30,K159&lt;K$32,J$31,K159&lt;K$33,J$32,K159&lt;K$34,J$33,K159&lt;K$35,J$34,K159&lt;K$36,J$35,K159&lt;K$37,J$36,K159&lt;K$38,J$37,K159&lt;K$39,J$38,K159&lt;K$40,J$39,K159&lt;K$41,J$40,K159&lt;K$42,J$41,K159&lt;K$43,J$42,K159&lt;K$44,J$43,K159&lt;K$45,J$44,K159&lt;K$46,J$45,K159&lt;K$47,J$46,K159&gt;=K$47,J$47)</f>
        <v/>
      </c>
      <c r="K159" s="38" t="n">
        <v>109</v>
      </c>
      <c r="L159" s="31">
        <f>K159/52</f>
        <v/>
      </c>
      <c r="M159" s="39">
        <f>J159/1000000*52</f>
        <v/>
      </c>
      <c r="N159" s="33">
        <f>M159/$P$4+($I$22/$P$4)</f>
        <v/>
      </c>
      <c r="U159">
        <f>F158</f>
        <v/>
      </c>
      <c r="V159">
        <f>H158</f>
        <v/>
      </c>
      <c r="W159">
        <f>N158</f>
        <v/>
      </c>
    </row>
    <row r="160" ht="15.75" customHeight="1" s="40">
      <c r="C160" s="36">
        <f>_xlfn.IFS(E160&lt;E$24,0,E160&lt;E$26,C$24,E160&lt;E$28,C$26,E160&lt;E$30,C$28,E160&lt;E$32,C$30,E160&lt;E$34,C$32,E160&gt;=E$34,C$34)</f>
        <v/>
      </c>
      <c r="D160" s="37">
        <f>_xlfn.IFS(E160&lt;E$24,0,E160&lt;E$25,D$24,E160&lt;E$26,D$25,E160&lt;E$27,D$26,E160&lt;E$28,D$27,E160&lt;E$29,D$28,E160&lt;E$30,D$29,E160&lt;E$31,D$30,E160&lt;E$32,D$31,E160&lt;E$33,D$32,E160&lt;E$34,D$33,E160&lt;E$35,D$34,E160&gt;=E$35,D$35)</f>
        <v/>
      </c>
      <c r="E160" s="38" t="n">
        <v>110</v>
      </c>
      <c r="F160" s="31">
        <f>E160/52</f>
        <v/>
      </c>
      <c r="G160" s="39">
        <f>D160/1000000*52</f>
        <v/>
      </c>
      <c r="H160" s="33">
        <f>G160/$P$4+($C$22/$P$4)</f>
        <v/>
      </c>
      <c r="I160" s="36">
        <f>_xlfn.IFS(K160&lt;K$24,0,K160&lt;K$26,I$24,K160&lt;K$28,I$26,K160&lt;K$30,I$28,K160&lt;K$32,I$30,K160&lt;K$34,I$32,K160&lt;K$36,I$34,K160&lt;K$38,I$36,K160&lt;K$40,I$38,K160&lt;K$42,I$40,K160&lt;K$44,I$42,K160&lt;K$46,I$44,K160&gt;=K$46,I$46)</f>
        <v/>
      </c>
      <c r="J160" s="37">
        <f>_xlfn.IFS(K160&lt;K$24,0,K160&lt;K$25,J$24,K160&lt;K$26,J$25,K160&lt;K$27,J$26,K160&lt;K$28,J$27,K160&lt;K$29,J$28,K160&lt;K$30,J$29,K160&lt;K$31,J$30,K160&lt;K$32,J$31,K160&lt;K$33,J$32,K160&lt;K$34,J$33,K160&lt;K$35,J$34,K160&lt;K$36,J$35,K160&lt;K$37,J$36,K160&lt;K$38,J$37,K160&lt;K$39,J$38,K160&lt;K$40,J$39,K160&lt;K$41,J$40,K160&lt;K$42,J$41,K160&lt;K$43,J$42,K160&lt;K$44,J$43,K160&lt;K$45,J$44,K160&lt;K$46,J$45,K160&lt;K$47,J$46,K160&gt;=K$47,J$47)</f>
        <v/>
      </c>
      <c r="K160" s="38" t="n">
        <v>110</v>
      </c>
      <c r="L160" s="31">
        <f>K160/52</f>
        <v/>
      </c>
      <c r="M160" s="39">
        <f>J160/1000000*52</f>
        <v/>
      </c>
      <c r="N160" s="33">
        <f>M160/$P$4+($I$22/$P$4)</f>
        <v/>
      </c>
      <c r="U160">
        <f>F159</f>
        <v/>
      </c>
      <c r="V160">
        <f>H159</f>
        <v/>
      </c>
      <c r="W160">
        <f>N159</f>
        <v/>
      </c>
    </row>
    <row r="161" ht="15.75" customHeight="1" s="40">
      <c r="C161" s="36">
        <f>_xlfn.IFS(E161&lt;E$24,0,E161&lt;E$26,C$24,E161&lt;E$28,C$26,E161&lt;E$30,C$28,E161&lt;E$32,C$30,E161&lt;E$34,C$32,E161&gt;=E$34,C$34)</f>
        <v/>
      </c>
      <c r="D161" s="37">
        <f>_xlfn.IFS(E161&lt;E$24,0,E161&lt;E$25,D$24,E161&lt;E$26,D$25,E161&lt;E$27,D$26,E161&lt;E$28,D$27,E161&lt;E$29,D$28,E161&lt;E$30,D$29,E161&lt;E$31,D$30,E161&lt;E$32,D$31,E161&lt;E$33,D$32,E161&lt;E$34,D$33,E161&lt;E$35,D$34,E161&gt;=E$35,D$35)</f>
        <v/>
      </c>
      <c r="E161" s="38" t="n">
        <v>111</v>
      </c>
      <c r="F161" s="31">
        <f>E161/52</f>
        <v/>
      </c>
      <c r="G161" s="39">
        <f>D161/1000000*52</f>
        <v/>
      </c>
      <c r="H161" s="33">
        <f>G161/$P$4+($C$22/$P$4)</f>
        <v/>
      </c>
      <c r="I161" s="36">
        <f>_xlfn.IFS(K161&lt;K$24,0,K161&lt;K$26,I$24,K161&lt;K$28,I$26,K161&lt;K$30,I$28,K161&lt;K$32,I$30,K161&lt;K$34,I$32,K161&lt;K$36,I$34,K161&lt;K$38,I$36,K161&lt;K$40,I$38,K161&lt;K$42,I$40,K161&lt;K$44,I$42,K161&lt;K$46,I$44,K161&gt;=K$46,I$46)</f>
        <v/>
      </c>
      <c r="J161" s="37">
        <f>_xlfn.IFS(K161&lt;K$24,0,K161&lt;K$25,J$24,K161&lt;K$26,J$25,K161&lt;K$27,J$26,K161&lt;K$28,J$27,K161&lt;K$29,J$28,K161&lt;K$30,J$29,K161&lt;K$31,J$30,K161&lt;K$32,J$31,K161&lt;K$33,J$32,K161&lt;K$34,J$33,K161&lt;K$35,J$34,K161&lt;K$36,J$35,K161&lt;K$37,J$36,K161&lt;K$38,J$37,K161&lt;K$39,J$38,K161&lt;K$40,J$39,K161&lt;K$41,J$40,K161&lt;K$42,J$41,K161&lt;K$43,J$42,K161&lt;K$44,J$43,K161&lt;K$45,J$44,K161&lt;K$46,J$45,K161&lt;K$47,J$46,K161&gt;=K$47,J$47)</f>
        <v/>
      </c>
      <c r="K161" s="38" t="n">
        <v>111</v>
      </c>
      <c r="L161" s="31">
        <f>K161/52</f>
        <v/>
      </c>
      <c r="M161" s="39">
        <f>J161/1000000*52</f>
        <v/>
      </c>
      <c r="N161" s="33">
        <f>M161/$P$4+($I$22/$P$4)</f>
        <v/>
      </c>
      <c r="U161">
        <f>F160</f>
        <v/>
      </c>
      <c r="V161">
        <f>H160</f>
        <v/>
      </c>
      <c r="W161">
        <f>N160</f>
        <v/>
      </c>
    </row>
    <row r="162" ht="15.75" customHeight="1" s="40">
      <c r="C162" s="36">
        <f>_xlfn.IFS(E162&lt;E$24,0,E162&lt;E$26,C$24,E162&lt;E$28,C$26,E162&lt;E$30,C$28,E162&lt;E$32,C$30,E162&lt;E$34,C$32,E162&gt;=E$34,C$34)</f>
        <v/>
      </c>
      <c r="D162" s="37">
        <f>_xlfn.IFS(E162&lt;E$24,0,E162&lt;E$25,D$24,E162&lt;E$26,D$25,E162&lt;E$27,D$26,E162&lt;E$28,D$27,E162&lt;E$29,D$28,E162&lt;E$30,D$29,E162&lt;E$31,D$30,E162&lt;E$32,D$31,E162&lt;E$33,D$32,E162&lt;E$34,D$33,E162&lt;E$35,D$34,E162&gt;=E$35,D$35)</f>
        <v/>
      </c>
      <c r="E162" s="38" t="n">
        <v>112</v>
      </c>
      <c r="F162" s="31">
        <f>E162/52</f>
        <v/>
      </c>
      <c r="G162" s="39">
        <f>D162/1000000*52</f>
        <v/>
      </c>
      <c r="H162" s="33">
        <f>G162/$P$4+($C$22/$P$4)</f>
        <v/>
      </c>
      <c r="I162" s="36">
        <f>_xlfn.IFS(K162&lt;K$24,0,K162&lt;K$26,I$24,K162&lt;K$28,I$26,K162&lt;K$30,I$28,K162&lt;K$32,I$30,K162&lt;K$34,I$32,K162&lt;K$36,I$34,K162&lt;K$38,I$36,K162&lt;K$40,I$38,K162&lt;K$42,I$40,K162&lt;K$44,I$42,K162&lt;K$46,I$44,K162&gt;=K$46,I$46)</f>
        <v/>
      </c>
      <c r="J162" s="37">
        <f>_xlfn.IFS(K162&lt;K$24,0,K162&lt;K$25,J$24,K162&lt;K$26,J$25,K162&lt;K$27,J$26,K162&lt;K$28,J$27,K162&lt;K$29,J$28,K162&lt;K$30,J$29,K162&lt;K$31,J$30,K162&lt;K$32,J$31,K162&lt;K$33,J$32,K162&lt;K$34,J$33,K162&lt;K$35,J$34,K162&lt;K$36,J$35,K162&lt;K$37,J$36,K162&lt;K$38,J$37,K162&lt;K$39,J$38,K162&lt;K$40,J$39,K162&lt;K$41,J$40,K162&lt;K$42,J$41,K162&lt;K$43,J$42,K162&lt;K$44,J$43,K162&lt;K$45,J$44,K162&lt;K$46,J$45,K162&lt;K$47,J$46,K162&gt;=K$47,J$47)</f>
        <v/>
      </c>
      <c r="K162" s="38" t="n">
        <v>112</v>
      </c>
      <c r="L162" s="31">
        <f>K162/52</f>
        <v/>
      </c>
      <c r="M162" s="39">
        <f>J162/1000000*52</f>
        <v/>
      </c>
      <c r="N162" s="33">
        <f>M162/$P$4+($I$22/$P$4)</f>
        <v/>
      </c>
      <c r="U162">
        <f>F161</f>
        <v/>
      </c>
      <c r="V162">
        <f>H161</f>
        <v/>
      </c>
      <c r="W162">
        <f>N161</f>
        <v/>
      </c>
    </row>
    <row r="163" ht="15.75" customHeight="1" s="40">
      <c r="C163" s="36">
        <f>_xlfn.IFS(E163&lt;E$24,0,E163&lt;E$26,C$24,E163&lt;E$28,C$26,E163&lt;E$30,C$28,E163&lt;E$32,C$30,E163&lt;E$34,C$32,E163&gt;=E$34,C$34)</f>
        <v/>
      </c>
      <c r="D163" s="37">
        <f>_xlfn.IFS(E163&lt;E$24,0,E163&lt;E$25,D$24,E163&lt;E$26,D$25,E163&lt;E$27,D$26,E163&lt;E$28,D$27,E163&lt;E$29,D$28,E163&lt;E$30,D$29,E163&lt;E$31,D$30,E163&lt;E$32,D$31,E163&lt;E$33,D$32,E163&lt;E$34,D$33,E163&lt;E$35,D$34,E163&gt;=E$35,D$35)</f>
        <v/>
      </c>
      <c r="E163" s="38" t="n">
        <v>113</v>
      </c>
      <c r="F163" s="31">
        <f>E163/52</f>
        <v/>
      </c>
      <c r="G163" s="39">
        <f>D163/1000000*52</f>
        <v/>
      </c>
      <c r="H163" s="33">
        <f>G163/$P$4+($C$22/$P$4)</f>
        <v/>
      </c>
      <c r="I163" s="36">
        <f>_xlfn.IFS(K163&lt;K$24,0,K163&lt;K$26,I$24,K163&lt;K$28,I$26,K163&lt;K$30,I$28,K163&lt;K$32,I$30,K163&lt;K$34,I$32,K163&lt;K$36,I$34,K163&lt;K$38,I$36,K163&lt;K$40,I$38,K163&lt;K$42,I$40,K163&lt;K$44,I$42,K163&lt;K$46,I$44,K163&gt;=K$46,I$46)</f>
        <v/>
      </c>
      <c r="J163" s="37">
        <f>_xlfn.IFS(K163&lt;K$24,0,K163&lt;K$25,J$24,K163&lt;K$26,J$25,K163&lt;K$27,J$26,K163&lt;K$28,J$27,K163&lt;K$29,J$28,K163&lt;K$30,J$29,K163&lt;K$31,J$30,K163&lt;K$32,J$31,K163&lt;K$33,J$32,K163&lt;K$34,J$33,K163&lt;K$35,J$34,K163&lt;K$36,J$35,K163&lt;K$37,J$36,K163&lt;K$38,J$37,K163&lt;K$39,J$38,K163&lt;K$40,J$39,K163&lt;K$41,J$40,K163&lt;K$42,J$41,K163&lt;K$43,J$42,K163&lt;K$44,J$43,K163&lt;K$45,J$44,K163&lt;K$46,J$45,K163&lt;K$47,J$46,K163&gt;=K$47,J$47)</f>
        <v/>
      </c>
      <c r="K163" s="38" t="n">
        <v>113</v>
      </c>
      <c r="L163" s="31">
        <f>K163/52</f>
        <v/>
      </c>
      <c r="M163" s="39">
        <f>J163/1000000*52</f>
        <v/>
      </c>
      <c r="N163" s="33">
        <f>M163/$P$4+($I$22/$P$4)</f>
        <v/>
      </c>
      <c r="U163">
        <f>F162</f>
        <v/>
      </c>
      <c r="V163">
        <f>H162</f>
        <v/>
      </c>
      <c r="W163">
        <f>N162</f>
        <v/>
      </c>
    </row>
    <row r="164" ht="15.75" customHeight="1" s="40">
      <c r="C164" s="36">
        <f>_xlfn.IFS(E164&lt;E$24,0,E164&lt;E$26,C$24,E164&lt;E$28,C$26,E164&lt;E$30,C$28,E164&lt;E$32,C$30,E164&lt;E$34,C$32,E164&gt;=E$34,C$34)</f>
        <v/>
      </c>
      <c r="D164" s="37">
        <f>_xlfn.IFS(E164&lt;E$24,0,E164&lt;E$25,D$24,E164&lt;E$26,D$25,E164&lt;E$27,D$26,E164&lt;E$28,D$27,E164&lt;E$29,D$28,E164&lt;E$30,D$29,E164&lt;E$31,D$30,E164&lt;E$32,D$31,E164&lt;E$33,D$32,E164&lt;E$34,D$33,E164&lt;E$35,D$34,E164&gt;=E$35,D$35)</f>
        <v/>
      </c>
      <c r="E164" s="38" t="n">
        <v>114</v>
      </c>
      <c r="F164" s="31">
        <f>E164/52</f>
        <v/>
      </c>
      <c r="G164" s="39">
        <f>D164/1000000*52</f>
        <v/>
      </c>
      <c r="H164" s="33">
        <f>G164/$P$4+($C$22/$P$4)</f>
        <v/>
      </c>
      <c r="I164" s="36">
        <f>_xlfn.IFS(K164&lt;K$24,0,K164&lt;K$26,I$24,K164&lt;K$28,I$26,K164&lt;K$30,I$28,K164&lt;K$32,I$30,K164&lt;K$34,I$32,K164&lt;K$36,I$34,K164&lt;K$38,I$36,K164&lt;K$40,I$38,K164&lt;K$42,I$40,K164&lt;K$44,I$42,K164&lt;K$46,I$44,K164&gt;=K$46,I$46)</f>
        <v/>
      </c>
      <c r="J164" s="37">
        <f>_xlfn.IFS(K164&lt;K$24,0,K164&lt;K$25,J$24,K164&lt;K$26,J$25,K164&lt;K$27,J$26,K164&lt;K$28,J$27,K164&lt;K$29,J$28,K164&lt;K$30,J$29,K164&lt;K$31,J$30,K164&lt;K$32,J$31,K164&lt;K$33,J$32,K164&lt;K$34,J$33,K164&lt;K$35,J$34,K164&lt;K$36,J$35,K164&lt;K$37,J$36,K164&lt;K$38,J$37,K164&lt;K$39,J$38,K164&lt;K$40,J$39,K164&lt;K$41,J$40,K164&lt;K$42,J$41,K164&lt;K$43,J$42,K164&lt;K$44,J$43,K164&lt;K$45,J$44,K164&lt;K$46,J$45,K164&lt;K$47,J$46,K164&gt;=K$47,J$47)</f>
        <v/>
      </c>
      <c r="K164" s="38" t="n">
        <v>114</v>
      </c>
      <c r="L164" s="31">
        <f>K164/52</f>
        <v/>
      </c>
      <c r="M164" s="39">
        <f>J164/1000000*52</f>
        <v/>
      </c>
      <c r="N164" s="33">
        <f>M164/$P$4+($I$22/$P$4)</f>
        <v/>
      </c>
      <c r="U164">
        <f>F163</f>
        <v/>
      </c>
      <c r="V164">
        <f>H163</f>
        <v/>
      </c>
      <c r="W164">
        <f>N163</f>
        <v/>
      </c>
    </row>
    <row r="165" ht="15.75" customHeight="1" s="40">
      <c r="C165" s="36">
        <f>_xlfn.IFS(E165&lt;E$24,0,E165&lt;E$26,C$24,E165&lt;E$28,C$26,E165&lt;E$30,C$28,E165&lt;E$32,C$30,E165&lt;E$34,C$32,E165&gt;=E$34,C$34)</f>
        <v/>
      </c>
      <c r="D165" s="37">
        <f>_xlfn.IFS(E165&lt;E$24,0,E165&lt;E$25,D$24,E165&lt;E$26,D$25,E165&lt;E$27,D$26,E165&lt;E$28,D$27,E165&lt;E$29,D$28,E165&lt;E$30,D$29,E165&lt;E$31,D$30,E165&lt;E$32,D$31,E165&lt;E$33,D$32,E165&lt;E$34,D$33,E165&lt;E$35,D$34,E165&gt;=E$35,D$35)</f>
        <v/>
      </c>
      <c r="E165" s="38" t="n">
        <v>115</v>
      </c>
      <c r="F165" s="31">
        <f>E165/52</f>
        <v/>
      </c>
      <c r="G165" s="39">
        <f>D165/1000000*52</f>
        <v/>
      </c>
      <c r="H165" s="33">
        <f>G165/$P$4+($C$22/$P$4)</f>
        <v/>
      </c>
      <c r="I165" s="36">
        <f>_xlfn.IFS(K165&lt;K$24,0,K165&lt;K$26,I$24,K165&lt;K$28,I$26,K165&lt;K$30,I$28,K165&lt;K$32,I$30,K165&lt;K$34,I$32,K165&lt;K$36,I$34,K165&lt;K$38,I$36,K165&lt;K$40,I$38,K165&lt;K$42,I$40,K165&lt;K$44,I$42,K165&lt;K$46,I$44,K165&gt;=K$46,I$46)</f>
        <v/>
      </c>
      <c r="J165" s="37">
        <f>_xlfn.IFS(K165&lt;K$24,0,K165&lt;K$25,J$24,K165&lt;K$26,J$25,K165&lt;K$27,J$26,K165&lt;K$28,J$27,K165&lt;K$29,J$28,K165&lt;K$30,J$29,K165&lt;K$31,J$30,K165&lt;K$32,J$31,K165&lt;K$33,J$32,K165&lt;K$34,J$33,K165&lt;K$35,J$34,K165&lt;K$36,J$35,K165&lt;K$37,J$36,K165&lt;K$38,J$37,K165&lt;K$39,J$38,K165&lt;K$40,J$39,K165&lt;K$41,J$40,K165&lt;K$42,J$41,K165&lt;K$43,J$42,K165&lt;K$44,J$43,K165&lt;K$45,J$44,K165&lt;K$46,J$45,K165&lt;K$47,J$46,K165&gt;=K$47,J$47)</f>
        <v/>
      </c>
      <c r="K165" s="38" t="n">
        <v>115</v>
      </c>
      <c r="L165" s="31">
        <f>K165/52</f>
        <v/>
      </c>
      <c r="M165" s="39">
        <f>J165/1000000*52</f>
        <v/>
      </c>
      <c r="N165" s="33">
        <f>M165/$P$4+($I$22/$P$4)</f>
        <v/>
      </c>
      <c r="U165">
        <f>F164</f>
        <v/>
      </c>
      <c r="V165">
        <f>H164</f>
        <v/>
      </c>
      <c r="W165">
        <f>N164</f>
        <v/>
      </c>
    </row>
    <row r="166" ht="15.75" customHeight="1" s="40">
      <c r="C166" s="36">
        <f>_xlfn.IFS(E166&lt;E$24,0,E166&lt;E$26,C$24,E166&lt;E$28,C$26,E166&lt;E$30,C$28,E166&lt;E$32,C$30,E166&lt;E$34,C$32,E166&gt;=E$34,C$34)</f>
        <v/>
      </c>
      <c r="D166" s="37">
        <f>_xlfn.IFS(E166&lt;E$24,0,E166&lt;E$25,D$24,E166&lt;E$26,D$25,E166&lt;E$27,D$26,E166&lt;E$28,D$27,E166&lt;E$29,D$28,E166&lt;E$30,D$29,E166&lt;E$31,D$30,E166&lt;E$32,D$31,E166&lt;E$33,D$32,E166&lt;E$34,D$33,E166&lt;E$35,D$34,E166&gt;=E$35,D$35)</f>
        <v/>
      </c>
      <c r="E166" s="38" t="n">
        <v>116</v>
      </c>
      <c r="F166" s="31">
        <f>E166/52</f>
        <v/>
      </c>
      <c r="G166" s="39">
        <f>D166/1000000*52</f>
        <v/>
      </c>
      <c r="H166" s="33">
        <f>G166/$P$4+($C$22/$P$4)</f>
        <v/>
      </c>
      <c r="I166" s="36">
        <f>_xlfn.IFS(K166&lt;K$24,0,K166&lt;K$26,I$24,K166&lt;K$28,I$26,K166&lt;K$30,I$28,K166&lt;K$32,I$30,K166&lt;K$34,I$32,K166&lt;K$36,I$34,K166&lt;K$38,I$36,K166&lt;K$40,I$38,K166&lt;K$42,I$40,K166&lt;K$44,I$42,K166&lt;K$46,I$44,K166&gt;=K$46,I$46)</f>
        <v/>
      </c>
      <c r="J166" s="37">
        <f>_xlfn.IFS(K166&lt;K$24,0,K166&lt;K$25,J$24,K166&lt;K$26,J$25,K166&lt;K$27,J$26,K166&lt;K$28,J$27,K166&lt;K$29,J$28,K166&lt;K$30,J$29,K166&lt;K$31,J$30,K166&lt;K$32,J$31,K166&lt;K$33,J$32,K166&lt;K$34,J$33,K166&lt;K$35,J$34,K166&lt;K$36,J$35,K166&lt;K$37,J$36,K166&lt;K$38,J$37,K166&lt;K$39,J$38,K166&lt;K$40,J$39,K166&lt;K$41,J$40,K166&lt;K$42,J$41,K166&lt;K$43,J$42,K166&lt;K$44,J$43,K166&lt;K$45,J$44,K166&lt;K$46,J$45,K166&lt;K$47,J$46,K166&gt;=K$47,J$47)</f>
        <v/>
      </c>
      <c r="K166" s="38" t="n">
        <v>116</v>
      </c>
      <c r="L166" s="31">
        <f>K166/52</f>
        <v/>
      </c>
      <c r="M166" s="39">
        <f>J166/1000000*52</f>
        <v/>
      </c>
      <c r="N166" s="33">
        <f>M166/$P$4+($I$22/$P$4)</f>
        <v/>
      </c>
      <c r="U166">
        <f>F165</f>
        <v/>
      </c>
      <c r="V166">
        <f>H165</f>
        <v/>
      </c>
      <c r="W166">
        <f>N165</f>
        <v/>
      </c>
    </row>
    <row r="167" ht="15.75" customHeight="1" s="40">
      <c r="C167" s="36">
        <f>_xlfn.IFS(E167&lt;E$24,0,E167&lt;E$26,C$24,E167&lt;E$28,C$26,E167&lt;E$30,C$28,E167&lt;E$32,C$30,E167&lt;E$34,C$32,E167&gt;=E$34,C$34)</f>
        <v/>
      </c>
      <c r="D167" s="37">
        <f>_xlfn.IFS(E167&lt;E$24,0,E167&lt;E$25,D$24,E167&lt;E$26,D$25,E167&lt;E$27,D$26,E167&lt;E$28,D$27,E167&lt;E$29,D$28,E167&lt;E$30,D$29,E167&lt;E$31,D$30,E167&lt;E$32,D$31,E167&lt;E$33,D$32,E167&lt;E$34,D$33,E167&lt;E$35,D$34,E167&gt;=E$35,D$35)</f>
        <v/>
      </c>
      <c r="E167" s="38" t="n">
        <v>117</v>
      </c>
      <c r="F167" s="31">
        <f>E167/52</f>
        <v/>
      </c>
      <c r="G167" s="39">
        <f>D167/1000000*52</f>
        <v/>
      </c>
      <c r="H167" s="33">
        <f>G167/$P$4+($C$22/$P$4)</f>
        <v/>
      </c>
      <c r="I167" s="36">
        <f>_xlfn.IFS(K167&lt;K$24,0,K167&lt;K$26,I$24,K167&lt;K$28,I$26,K167&lt;K$30,I$28,K167&lt;K$32,I$30,K167&lt;K$34,I$32,K167&lt;K$36,I$34,K167&lt;K$38,I$36,K167&lt;K$40,I$38,K167&lt;K$42,I$40,K167&lt;K$44,I$42,K167&lt;K$46,I$44,K167&gt;=K$46,I$46)</f>
        <v/>
      </c>
      <c r="J167" s="37">
        <f>_xlfn.IFS(K167&lt;K$24,0,K167&lt;K$25,J$24,K167&lt;K$26,J$25,K167&lt;K$27,J$26,K167&lt;K$28,J$27,K167&lt;K$29,J$28,K167&lt;K$30,J$29,K167&lt;K$31,J$30,K167&lt;K$32,J$31,K167&lt;K$33,J$32,K167&lt;K$34,J$33,K167&lt;K$35,J$34,K167&lt;K$36,J$35,K167&lt;K$37,J$36,K167&lt;K$38,J$37,K167&lt;K$39,J$38,K167&lt;K$40,J$39,K167&lt;K$41,J$40,K167&lt;K$42,J$41,K167&lt;K$43,J$42,K167&lt;K$44,J$43,K167&lt;K$45,J$44,K167&lt;K$46,J$45,K167&lt;K$47,J$46,K167&gt;=K$47,J$47)</f>
        <v/>
      </c>
      <c r="K167" s="38" t="n">
        <v>117</v>
      </c>
      <c r="L167" s="31">
        <f>K167/52</f>
        <v/>
      </c>
      <c r="M167" s="39">
        <f>J167/1000000*52</f>
        <v/>
      </c>
      <c r="N167" s="33">
        <f>M167/$P$4+($I$22/$P$4)</f>
        <v/>
      </c>
      <c r="U167">
        <f>F166</f>
        <v/>
      </c>
      <c r="V167">
        <f>H166</f>
        <v/>
      </c>
      <c r="W167">
        <f>N166</f>
        <v/>
      </c>
    </row>
    <row r="168" ht="15.75" customHeight="1" s="40">
      <c r="C168" s="36">
        <f>_xlfn.IFS(E168&lt;E$24,0,E168&lt;E$26,C$24,E168&lt;E$28,C$26,E168&lt;E$30,C$28,E168&lt;E$32,C$30,E168&lt;E$34,C$32,E168&gt;=E$34,C$34)</f>
        <v/>
      </c>
      <c r="D168" s="37">
        <f>_xlfn.IFS(E168&lt;E$24,0,E168&lt;E$25,D$24,E168&lt;E$26,D$25,E168&lt;E$27,D$26,E168&lt;E$28,D$27,E168&lt;E$29,D$28,E168&lt;E$30,D$29,E168&lt;E$31,D$30,E168&lt;E$32,D$31,E168&lt;E$33,D$32,E168&lt;E$34,D$33,E168&lt;E$35,D$34,E168&gt;=E$35,D$35)</f>
        <v/>
      </c>
      <c r="E168" s="38" t="n">
        <v>118</v>
      </c>
      <c r="F168" s="31">
        <f>E168/52</f>
        <v/>
      </c>
      <c r="G168" s="39">
        <f>D168/1000000*52</f>
        <v/>
      </c>
      <c r="H168" s="33">
        <f>G168/$P$4+($C$22/$P$4)</f>
        <v/>
      </c>
      <c r="I168" s="36">
        <f>_xlfn.IFS(K168&lt;K$24,0,K168&lt;K$26,I$24,K168&lt;K$28,I$26,K168&lt;K$30,I$28,K168&lt;K$32,I$30,K168&lt;K$34,I$32,K168&lt;K$36,I$34,K168&lt;K$38,I$36,K168&lt;K$40,I$38,K168&lt;K$42,I$40,K168&lt;K$44,I$42,K168&lt;K$46,I$44,K168&gt;=K$46,I$46)</f>
        <v/>
      </c>
      <c r="J168" s="37">
        <f>_xlfn.IFS(K168&lt;K$24,0,K168&lt;K$25,J$24,K168&lt;K$26,J$25,K168&lt;K$27,J$26,K168&lt;K$28,J$27,K168&lt;K$29,J$28,K168&lt;K$30,J$29,K168&lt;K$31,J$30,K168&lt;K$32,J$31,K168&lt;K$33,J$32,K168&lt;K$34,J$33,K168&lt;K$35,J$34,K168&lt;K$36,J$35,K168&lt;K$37,J$36,K168&lt;K$38,J$37,K168&lt;K$39,J$38,K168&lt;K$40,J$39,K168&lt;K$41,J$40,K168&lt;K$42,J$41,K168&lt;K$43,J$42,K168&lt;K$44,J$43,K168&lt;K$45,J$44,K168&lt;K$46,J$45,K168&lt;K$47,J$46,K168&gt;=K$47,J$47)</f>
        <v/>
      </c>
      <c r="K168" s="38" t="n">
        <v>118</v>
      </c>
      <c r="L168" s="31">
        <f>K168/52</f>
        <v/>
      </c>
      <c r="M168" s="39">
        <f>J168/1000000*52</f>
        <v/>
      </c>
      <c r="N168" s="33">
        <f>M168/$P$4+($I$22/$P$4)</f>
        <v/>
      </c>
      <c r="U168">
        <f>F167</f>
        <v/>
      </c>
      <c r="V168">
        <f>H167</f>
        <v/>
      </c>
      <c r="W168">
        <f>N167</f>
        <v/>
      </c>
    </row>
    <row r="169" ht="15.75" customHeight="1" s="40">
      <c r="C169" s="36">
        <f>_xlfn.IFS(E169&lt;E$24,0,E169&lt;E$26,C$24,E169&lt;E$28,C$26,E169&lt;E$30,C$28,E169&lt;E$32,C$30,E169&lt;E$34,C$32,E169&gt;=E$34,C$34)</f>
        <v/>
      </c>
      <c r="D169" s="37">
        <f>_xlfn.IFS(E169&lt;E$24,0,E169&lt;E$25,D$24,E169&lt;E$26,D$25,E169&lt;E$27,D$26,E169&lt;E$28,D$27,E169&lt;E$29,D$28,E169&lt;E$30,D$29,E169&lt;E$31,D$30,E169&lt;E$32,D$31,E169&lt;E$33,D$32,E169&lt;E$34,D$33,E169&lt;E$35,D$34,E169&gt;=E$35,D$35)</f>
        <v/>
      </c>
      <c r="E169" s="38" t="n">
        <v>119</v>
      </c>
      <c r="F169" s="31">
        <f>E169/52</f>
        <v/>
      </c>
      <c r="G169" s="39">
        <f>D169/1000000*52</f>
        <v/>
      </c>
      <c r="H169" s="33">
        <f>G169/$P$4+($C$22/$P$4)</f>
        <v/>
      </c>
      <c r="I169" s="36">
        <f>_xlfn.IFS(K169&lt;K$24,0,K169&lt;K$26,I$24,K169&lt;K$28,I$26,K169&lt;K$30,I$28,K169&lt;K$32,I$30,K169&lt;K$34,I$32,K169&lt;K$36,I$34,K169&lt;K$38,I$36,K169&lt;K$40,I$38,K169&lt;K$42,I$40,K169&lt;K$44,I$42,K169&lt;K$46,I$44,K169&gt;=K$46,I$46)</f>
        <v/>
      </c>
      <c r="J169" s="37">
        <f>_xlfn.IFS(K169&lt;K$24,0,K169&lt;K$25,J$24,K169&lt;K$26,J$25,K169&lt;K$27,J$26,K169&lt;K$28,J$27,K169&lt;K$29,J$28,K169&lt;K$30,J$29,K169&lt;K$31,J$30,K169&lt;K$32,J$31,K169&lt;K$33,J$32,K169&lt;K$34,J$33,K169&lt;K$35,J$34,K169&lt;K$36,J$35,K169&lt;K$37,J$36,K169&lt;K$38,J$37,K169&lt;K$39,J$38,K169&lt;K$40,J$39,K169&lt;K$41,J$40,K169&lt;K$42,J$41,K169&lt;K$43,J$42,K169&lt;K$44,J$43,K169&lt;K$45,J$44,K169&lt;K$46,J$45,K169&lt;K$47,J$46,K169&gt;=K$47,J$47)</f>
        <v/>
      </c>
      <c r="K169" s="38" t="n">
        <v>119</v>
      </c>
      <c r="L169" s="31">
        <f>K169/52</f>
        <v/>
      </c>
      <c r="M169" s="39">
        <f>J169/1000000*52</f>
        <v/>
      </c>
      <c r="N169" s="33">
        <f>M169/$P$4+($I$22/$P$4)</f>
        <v/>
      </c>
      <c r="U169">
        <f>F168</f>
        <v/>
      </c>
      <c r="V169">
        <f>H168</f>
        <v/>
      </c>
      <c r="W169">
        <f>N168</f>
        <v/>
      </c>
    </row>
    <row r="170" ht="15.75" customHeight="1" s="40">
      <c r="C170" s="36">
        <f>_xlfn.IFS(E170&lt;E$24,0,E170&lt;E$26,C$24,E170&lt;E$28,C$26,E170&lt;E$30,C$28,E170&lt;E$32,C$30,E170&lt;E$34,C$32,E170&gt;=E$34,C$34)</f>
        <v/>
      </c>
      <c r="D170" s="37">
        <f>_xlfn.IFS(E170&lt;E$24,0,E170&lt;E$25,D$24,E170&lt;E$26,D$25,E170&lt;E$27,D$26,E170&lt;E$28,D$27,E170&lt;E$29,D$28,E170&lt;E$30,D$29,E170&lt;E$31,D$30,E170&lt;E$32,D$31,E170&lt;E$33,D$32,E170&lt;E$34,D$33,E170&lt;E$35,D$34,E170&gt;=E$35,D$35)</f>
        <v/>
      </c>
      <c r="E170" s="38" t="n">
        <v>120</v>
      </c>
      <c r="F170" s="31">
        <f>E170/52</f>
        <v/>
      </c>
      <c r="G170" s="39">
        <f>D170/1000000*52</f>
        <v/>
      </c>
      <c r="H170" s="33">
        <f>G170/$P$4+($C$22/$P$4)</f>
        <v/>
      </c>
      <c r="I170" s="36">
        <f>_xlfn.IFS(K170&lt;K$24,0,K170&lt;K$26,I$24,K170&lt;K$28,I$26,K170&lt;K$30,I$28,K170&lt;K$32,I$30,K170&lt;K$34,I$32,K170&lt;K$36,I$34,K170&lt;K$38,I$36,K170&lt;K$40,I$38,K170&lt;K$42,I$40,K170&lt;K$44,I$42,K170&lt;K$46,I$44,K170&gt;=K$46,I$46)</f>
        <v/>
      </c>
      <c r="J170" s="37">
        <f>_xlfn.IFS(K170&lt;K$24,0,K170&lt;K$25,J$24,K170&lt;K$26,J$25,K170&lt;K$27,J$26,K170&lt;K$28,J$27,K170&lt;K$29,J$28,K170&lt;K$30,J$29,K170&lt;K$31,J$30,K170&lt;K$32,J$31,K170&lt;K$33,J$32,K170&lt;K$34,J$33,K170&lt;K$35,J$34,K170&lt;K$36,J$35,K170&lt;K$37,J$36,K170&lt;K$38,J$37,K170&lt;K$39,J$38,K170&lt;K$40,J$39,K170&lt;K$41,J$40,K170&lt;K$42,J$41,K170&lt;K$43,J$42,K170&lt;K$44,J$43,K170&lt;K$45,J$44,K170&lt;K$46,J$45,K170&lt;K$47,J$46,K170&gt;=K$47,J$47)</f>
        <v/>
      </c>
      <c r="K170" s="38" t="n">
        <v>120</v>
      </c>
      <c r="L170" s="31">
        <f>K170/52</f>
        <v/>
      </c>
      <c r="M170" s="39">
        <f>J170/1000000*52</f>
        <v/>
      </c>
      <c r="N170" s="33">
        <f>M170/$P$4+($I$22/$P$4)</f>
        <v/>
      </c>
      <c r="U170">
        <f>F169</f>
        <v/>
      </c>
      <c r="V170">
        <f>H169</f>
        <v/>
      </c>
      <c r="W170">
        <f>N169</f>
        <v/>
      </c>
    </row>
    <row r="171" ht="15.75" customHeight="1" s="40">
      <c r="C171" s="36">
        <f>_xlfn.IFS(E171&lt;E$24,0,E171&lt;E$26,C$24,E171&lt;E$28,C$26,E171&lt;E$30,C$28,E171&lt;E$32,C$30,E171&lt;E$34,C$32,E171&gt;=E$34,C$34)</f>
        <v/>
      </c>
      <c r="D171" s="37">
        <f>_xlfn.IFS(E171&lt;E$24,0,E171&lt;E$25,D$24,E171&lt;E$26,D$25,E171&lt;E$27,D$26,E171&lt;E$28,D$27,E171&lt;E$29,D$28,E171&lt;E$30,D$29,E171&lt;E$31,D$30,E171&lt;E$32,D$31,E171&lt;E$33,D$32,E171&lt;E$34,D$33,E171&lt;E$35,D$34,E171&gt;=E$35,D$35)</f>
        <v/>
      </c>
      <c r="E171" s="38" t="n">
        <v>121</v>
      </c>
      <c r="F171" s="31">
        <f>E171/52</f>
        <v/>
      </c>
      <c r="G171" s="39">
        <f>D171/1000000*52</f>
        <v/>
      </c>
      <c r="H171" s="33">
        <f>G171/$P$4+($C$22/$P$4)</f>
        <v/>
      </c>
      <c r="I171" s="36">
        <f>_xlfn.IFS(K171&lt;K$24,0,K171&lt;K$26,I$24,K171&lt;K$28,I$26,K171&lt;K$30,I$28,K171&lt;K$32,I$30,K171&lt;K$34,I$32,K171&lt;K$36,I$34,K171&lt;K$38,I$36,K171&lt;K$40,I$38,K171&lt;K$42,I$40,K171&lt;K$44,I$42,K171&lt;K$46,I$44,K171&gt;=K$46,I$46)</f>
        <v/>
      </c>
      <c r="J171" s="37">
        <f>_xlfn.IFS(K171&lt;K$24,0,K171&lt;K$25,J$24,K171&lt;K$26,J$25,K171&lt;K$27,J$26,K171&lt;K$28,J$27,K171&lt;K$29,J$28,K171&lt;K$30,J$29,K171&lt;K$31,J$30,K171&lt;K$32,J$31,K171&lt;K$33,J$32,K171&lt;K$34,J$33,K171&lt;K$35,J$34,K171&lt;K$36,J$35,K171&lt;K$37,J$36,K171&lt;K$38,J$37,K171&lt;K$39,J$38,K171&lt;K$40,J$39,K171&lt;K$41,J$40,K171&lt;K$42,J$41,K171&lt;K$43,J$42,K171&lt;K$44,J$43,K171&lt;K$45,J$44,K171&lt;K$46,J$45,K171&lt;K$47,J$46,K171&gt;=K$47,J$47)</f>
        <v/>
      </c>
      <c r="K171" s="38" t="n">
        <v>121</v>
      </c>
      <c r="L171" s="31">
        <f>K171/52</f>
        <v/>
      </c>
      <c r="M171" s="39">
        <f>J171/1000000*52</f>
        <v/>
      </c>
      <c r="N171" s="33">
        <f>M171/$P$4+($I$22/$P$4)</f>
        <v/>
      </c>
      <c r="U171">
        <f>F170</f>
        <v/>
      </c>
      <c r="V171">
        <f>H170</f>
        <v/>
      </c>
      <c r="W171">
        <f>N170</f>
        <v/>
      </c>
    </row>
    <row r="172" ht="15.75" customHeight="1" s="40">
      <c r="C172" s="36">
        <f>_xlfn.IFS(E172&lt;E$24,0,E172&lt;E$26,C$24,E172&lt;E$28,C$26,E172&lt;E$30,C$28,E172&lt;E$32,C$30,E172&lt;E$34,C$32,E172&gt;=E$34,C$34)</f>
        <v/>
      </c>
      <c r="D172" s="37">
        <f>_xlfn.IFS(E172&lt;E$24,0,E172&lt;E$25,D$24,E172&lt;E$26,D$25,E172&lt;E$27,D$26,E172&lt;E$28,D$27,E172&lt;E$29,D$28,E172&lt;E$30,D$29,E172&lt;E$31,D$30,E172&lt;E$32,D$31,E172&lt;E$33,D$32,E172&lt;E$34,D$33,E172&lt;E$35,D$34,E172&gt;=E$35,D$35)</f>
        <v/>
      </c>
      <c r="E172" s="38" t="n">
        <v>122</v>
      </c>
      <c r="F172" s="31">
        <f>E172/52</f>
        <v/>
      </c>
      <c r="G172" s="39">
        <f>D172/1000000*52</f>
        <v/>
      </c>
      <c r="H172" s="33">
        <f>G172/$P$4+($C$22/$P$4)</f>
        <v/>
      </c>
      <c r="I172" s="36">
        <f>_xlfn.IFS(K172&lt;K$24,0,K172&lt;K$26,I$24,K172&lt;K$28,I$26,K172&lt;K$30,I$28,K172&lt;K$32,I$30,K172&lt;K$34,I$32,K172&lt;K$36,I$34,K172&lt;K$38,I$36,K172&lt;K$40,I$38,K172&lt;K$42,I$40,K172&lt;K$44,I$42,K172&lt;K$46,I$44,K172&gt;=K$46,I$46)</f>
        <v/>
      </c>
      <c r="J172" s="37">
        <f>_xlfn.IFS(K172&lt;K$24,0,K172&lt;K$25,J$24,K172&lt;K$26,J$25,K172&lt;K$27,J$26,K172&lt;K$28,J$27,K172&lt;K$29,J$28,K172&lt;K$30,J$29,K172&lt;K$31,J$30,K172&lt;K$32,J$31,K172&lt;K$33,J$32,K172&lt;K$34,J$33,K172&lt;K$35,J$34,K172&lt;K$36,J$35,K172&lt;K$37,J$36,K172&lt;K$38,J$37,K172&lt;K$39,J$38,K172&lt;K$40,J$39,K172&lt;K$41,J$40,K172&lt;K$42,J$41,K172&lt;K$43,J$42,K172&lt;K$44,J$43,K172&lt;K$45,J$44,K172&lt;K$46,J$45,K172&lt;K$47,J$46,K172&gt;=K$47,J$47)</f>
        <v/>
      </c>
      <c r="K172" s="38" t="n">
        <v>122</v>
      </c>
      <c r="L172" s="31">
        <f>K172/52</f>
        <v/>
      </c>
      <c r="M172" s="39">
        <f>J172/1000000*52</f>
        <v/>
      </c>
      <c r="N172" s="33">
        <f>M172/$P$4+($I$22/$P$4)</f>
        <v/>
      </c>
      <c r="U172">
        <f>F171</f>
        <v/>
      </c>
      <c r="V172">
        <f>H171</f>
        <v/>
      </c>
      <c r="W172">
        <f>N171</f>
        <v/>
      </c>
    </row>
    <row r="173" ht="15.75" customHeight="1" s="40">
      <c r="C173" s="36">
        <f>_xlfn.IFS(E173&lt;E$24,0,E173&lt;E$26,C$24,E173&lt;E$28,C$26,E173&lt;E$30,C$28,E173&lt;E$32,C$30,E173&lt;E$34,C$32,E173&gt;=E$34,C$34)</f>
        <v/>
      </c>
      <c r="D173" s="37">
        <f>_xlfn.IFS(E173&lt;E$24,0,E173&lt;E$25,D$24,E173&lt;E$26,D$25,E173&lt;E$27,D$26,E173&lt;E$28,D$27,E173&lt;E$29,D$28,E173&lt;E$30,D$29,E173&lt;E$31,D$30,E173&lt;E$32,D$31,E173&lt;E$33,D$32,E173&lt;E$34,D$33,E173&lt;E$35,D$34,E173&gt;=E$35,D$35)</f>
        <v/>
      </c>
      <c r="E173" s="38" t="n">
        <v>123</v>
      </c>
      <c r="F173" s="31">
        <f>E173/52</f>
        <v/>
      </c>
      <c r="G173" s="39">
        <f>D173/1000000*52</f>
        <v/>
      </c>
      <c r="H173" s="33">
        <f>G173/$P$4+($C$22/$P$4)</f>
        <v/>
      </c>
      <c r="I173" s="36">
        <f>_xlfn.IFS(K173&lt;K$24,0,K173&lt;K$26,I$24,K173&lt;K$28,I$26,K173&lt;K$30,I$28,K173&lt;K$32,I$30,K173&lt;K$34,I$32,K173&lt;K$36,I$34,K173&lt;K$38,I$36,K173&lt;K$40,I$38,K173&lt;K$42,I$40,K173&lt;K$44,I$42,K173&lt;K$46,I$44,K173&gt;=K$46,I$46)</f>
        <v/>
      </c>
      <c r="J173" s="37">
        <f>_xlfn.IFS(K173&lt;K$24,0,K173&lt;K$25,J$24,K173&lt;K$26,J$25,K173&lt;K$27,J$26,K173&lt;K$28,J$27,K173&lt;K$29,J$28,K173&lt;K$30,J$29,K173&lt;K$31,J$30,K173&lt;K$32,J$31,K173&lt;K$33,J$32,K173&lt;K$34,J$33,K173&lt;K$35,J$34,K173&lt;K$36,J$35,K173&lt;K$37,J$36,K173&lt;K$38,J$37,K173&lt;K$39,J$38,K173&lt;K$40,J$39,K173&lt;K$41,J$40,K173&lt;K$42,J$41,K173&lt;K$43,J$42,K173&lt;K$44,J$43,K173&lt;K$45,J$44,K173&lt;K$46,J$45,K173&lt;K$47,J$46,K173&gt;=K$47,J$47)</f>
        <v/>
      </c>
      <c r="K173" s="38" t="n">
        <v>123</v>
      </c>
      <c r="L173" s="31">
        <f>K173/52</f>
        <v/>
      </c>
      <c r="M173" s="39">
        <f>J173/1000000*52</f>
        <v/>
      </c>
      <c r="N173" s="33">
        <f>M173/$P$4+($I$22/$P$4)</f>
        <v/>
      </c>
      <c r="U173">
        <f>F172</f>
        <v/>
      </c>
      <c r="V173">
        <f>H172</f>
        <v/>
      </c>
      <c r="W173">
        <f>N172</f>
        <v/>
      </c>
    </row>
    <row r="174" ht="15.75" customHeight="1" s="40">
      <c r="C174" s="36">
        <f>_xlfn.IFS(E174&lt;E$24,0,E174&lt;E$26,C$24,E174&lt;E$28,C$26,E174&lt;E$30,C$28,E174&lt;E$32,C$30,E174&lt;E$34,C$32,E174&gt;=E$34,C$34)</f>
        <v/>
      </c>
      <c r="D174" s="37">
        <f>_xlfn.IFS(E174&lt;E$24,0,E174&lt;E$25,D$24,E174&lt;E$26,D$25,E174&lt;E$27,D$26,E174&lt;E$28,D$27,E174&lt;E$29,D$28,E174&lt;E$30,D$29,E174&lt;E$31,D$30,E174&lt;E$32,D$31,E174&lt;E$33,D$32,E174&lt;E$34,D$33,E174&lt;E$35,D$34,E174&gt;=E$35,D$35)</f>
        <v/>
      </c>
      <c r="E174" s="38" t="n">
        <v>124</v>
      </c>
      <c r="F174" s="31">
        <f>E174/52</f>
        <v/>
      </c>
      <c r="G174" s="39">
        <f>D174/1000000*52</f>
        <v/>
      </c>
      <c r="H174" s="33">
        <f>G174/$P$4+($C$22/$P$4)</f>
        <v/>
      </c>
      <c r="I174" s="36">
        <f>_xlfn.IFS(K174&lt;K$24,0,K174&lt;K$26,I$24,K174&lt;K$28,I$26,K174&lt;K$30,I$28,K174&lt;K$32,I$30,K174&lt;K$34,I$32,K174&lt;K$36,I$34,K174&lt;K$38,I$36,K174&lt;K$40,I$38,K174&lt;K$42,I$40,K174&lt;K$44,I$42,K174&lt;K$46,I$44,K174&gt;=K$46,I$46)</f>
        <v/>
      </c>
      <c r="J174" s="37">
        <f>_xlfn.IFS(K174&lt;K$24,0,K174&lt;K$25,J$24,K174&lt;K$26,J$25,K174&lt;K$27,J$26,K174&lt;K$28,J$27,K174&lt;K$29,J$28,K174&lt;K$30,J$29,K174&lt;K$31,J$30,K174&lt;K$32,J$31,K174&lt;K$33,J$32,K174&lt;K$34,J$33,K174&lt;K$35,J$34,K174&lt;K$36,J$35,K174&lt;K$37,J$36,K174&lt;K$38,J$37,K174&lt;K$39,J$38,K174&lt;K$40,J$39,K174&lt;K$41,J$40,K174&lt;K$42,J$41,K174&lt;K$43,J$42,K174&lt;K$44,J$43,K174&lt;K$45,J$44,K174&lt;K$46,J$45,K174&lt;K$47,J$46,K174&gt;=K$47,J$47)</f>
        <v/>
      </c>
      <c r="K174" s="38" t="n">
        <v>124</v>
      </c>
      <c r="L174" s="31">
        <f>K174/52</f>
        <v/>
      </c>
      <c r="M174" s="39">
        <f>J174/1000000*52</f>
        <v/>
      </c>
      <c r="N174" s="33">
        <f>M174/$P$4+($I$22/$P$4)</f>
        <v/>
      </c>
      <c r="U174">
        <f>F173</f>
        <v/>
      </c>
      <c r="V174">
        <f>H173</f>
        <v/>
      </c>
      <c r="W174">
        <f>N173</f>
        <v/>
      </c>
    </row>
    <row r="175" ht="15.75" customHeight="1" s="40">
      <c r="C175" s="36">
        <f>_xlfn.IFS(E175&lt;E$24,0,E175&lt;E$26,C$24,E175&lt;E$28,C$26,E175&lt;E$30,C$28,E175&lt;E$32,C$30,E175&lt;E$34,C$32,E175&gt;=E$34,C$34)</f>
        <v/>
      </c>
      <c r="D175" s="37">
        <f>_xlfn.IFS(E175&lt;E$24,0,E175&lt;E$25,D$24,E175&lt;E$26,D$25,E175&lt;E$27,D$26,E175&lt;E$28,D$27,E175&lt;E$29,D$28,E175&lt;E$30,D$29,E175&lt;E$31,D$30,E175&lt;E$32,D$31,E175&lt;E$33,D$32,E175&lt;E$34,D$33,E175&lt;E$35,D$34,E175&gt;=E$35,D$35)</f>
        <v/>
      </c>
      <c r="E175" s="38" t="n">
        <v>125</v>
      </c>
      <c r="F175" s="31">
        <f>E175/52</f>
        <v/>
      </c>
      <c r="G175" s="39">
        <f>D175/1000000*52</f>
        <v/>
      </c>
      <c r="H175" s="33">
        <f>G175/$P$4+($C$22/$P$4)</f>
        <v/>
      </c>
      <c r="I175" s="36">
        <f>_xlfn.IFS(K175&lt;K$24,0,K175&lt;K$26,I$24,K175&lt;K$28,I$26,K175&lt;K$30,I$28,K175&lt;K$32,I$30,K175&lt;K$34,I$32,K175&lt;K$36,I$34,K175&lt;K$38,I$36,K175&lt;K$40,I$38,K175&lt;K$42,I$40,K175&lt;K$44,I$42,K175&lt;K$46,I$44,K175&gt;=K$46,I$46)</f>
        <v/>
      </c>
      <c r="J175" s="37">
        <f>_xlfn.IFS(K175&lt;K$24,0,K175&lt;K$25,J$24,K175&lt;K$26,J$25,K175&lt;K$27,J$26,K175&lt;K$28,J$27,K175&lt;K$29,J$28,K175&lt;K$30,J$29,K175&lt;K$31,J$30,K175&lt;K$32,J$31,K175&lt;K$33,J$32,K175&lt;K$34,J$33,K175&lt;K$35,J$34,K175&lt;K$36,J$35,K175&lt;K$37,J$36,K175&lt;K$38,J$37,K175&lt;K$39,J$38,K175&lt;K$40,J$39,K175&lt;K$41,J$40,K175&lt;K$42,J$41,K175&lt;K$43,J$42,K175&lt;K$44,J$43,K175&lt;K$45,J$44,K175&lt;K$46,J$45,K175&lt;K$47,J$46,K175&gt;=K$47,J$47)</f>
        <v/>
      </c>
      <c r="K175" s="38" t="n">
        <v>125</v>
      </c>
      <c r="L175" s="31">
        <f>K175/52</f>
        <v/>
      </c>
      <c r="M175" s="39">
        <f>J175/1000000*52</f>
        <v/>
      </c>
      <c r="N175" s="33">
        <f>M175/$P$4+($I$22/$P$4)</f>
        <v/>
      </c>
      <c r="U175">
        <f>F174</f>
        <v/>
      </c>
      <c r="V175">
        <f>H174</f>
        <v/>
      </c>
      <c r="W175">
        <f>N174</f>
        <v/>
      </c>
    </row>
    <row r="176" ht="15.75" customHeight="1" s="40">
      <c r="C176" s="36">
        <f>_xlfn.IFS(E176&lt;E$24,0,E176&lt;E$26,C$24,E176&lt;E$28,C$26,E176&lt;E$30,C$28,E176&lt;E$32,C$30,E176&lt;E$34,C$32,E176&gt;=E$34,C$34)</f>
        <v/>
      </c>
      <c r="D176" s="37">
        <f>_xlfn.IFS(E176&lt;E$24,0,E176&lt;E$25,D$24,E176&lt;E$26,D$25,E176&lt;E$27,D$26,E176&lt;E$28,D$27,E176&lt;E$29,D$28,E176&lt;E$30,D$29,E176&lt;E$31,D$30,E176&lt;E$32,D$31,E176&lt;E$33,D$32,E176&lt;E$34,D$33,E176&lt;E$35,D$34,E176&gt;=E$35,D$35)</f>
        <v/>
      </c>
      <c r="E176" s="38" t="n">
        <v>126</v>
      </c>
      <c r="F176" s="31">
        <f>E176/52</f>
        <v/>
      </c>
      <c r="G176" s="39">
        <f>D176/1000000*52</f>
        <v/>
      </c>
      <c r="H176" s="33">
        <f>G176/$P$4+($C$22/$P$4)</f>
        <v/>
      </c>
      <c r="I176" s="36">
        <f>_xlfn.IFS(K176&lt;K$24,0,K176&lt;K$26,I$24,K176&lt;K$28,I$26,K176&lt;K$30,I$28,K176&lt;K$32,I$30,K176&lt;K$34,I$32,K176&lt;K$36,I$34,K176&lt;K$38,I$36,K176&lt;K$40,I$38,K176&lt;K$42,I$40,K176&lt;K$44,I$42,K176&lt;K$46,I$44,K176&gt;=K$46,I$46)</f>
        <v/>
      </c>
      <c r="J176" s="37">
        <f>_xlfn.IFS(K176&lt;K$24,0,K176&lt;K$25,J$24,K176&lt;K$26,J$25,K176&lt;K$27,J$26,K176&lt;K$28,J$27,K176&lt;K$29,J$28,K176&lt;K$30,J$29,K176&lt;K$31,J$30,K176&lt;K$32,J$31,K176&lt;K$33,J$32,K176&lt;K$34,J$33,K176&lt;K$35,J$34,K176&lt;K$36,J$35,K176&lt;K$37,J$36,K176&lt;K$38,J$37,K176&lt;K$39,J$38,K176&lt;K$40,J$39,K176&lt;K$41,J$40,K176&lt;K$42,J$41,K176&lt;K$43,J$42,K176&lt;K$44,J$43,K176&lt;K$45,J$44,K176&lt;K$46,J$45,K176&lt;K$47,J$46,K176&gt;=K$47,J$47)</f>
        <v/>
      </c>
      <c r="K176" s="38" t="n">
        <v>126</v>
      </c>
      <c r="L176" s="31">
        <f>K176/52</f>
        <v/>
      </c>
      <c r="M176" s="39">
        <f>J176/1000000*52</f>
        <v/>
      </c>
      <c r="N176" s="33">
        <f>M176/$P$4+($I$22/$P$4)</f>
        <v/>
      </c>
      <c r="U176">
        <f>F175</f>
        <v/>
      </c>
      <c r="V176">
        <f>H175</f>
        <v/>
      </c>
      <c r="W176">
        <f>N175</f>
        <v/>
      </c>
    </row>
    <row r="177" ht="15.75" customHeight="1" s="40">
      <c r="C177" s="36">
        <f>_xlfn.IFS(E177&lt;E$24,0,E177&lt;E$26,C$24,E177&lt;E$28,C$26,E177&lt;E$30,C$28,E177&lt;E$32,C$30,E177&lt;E$34,C$32,E177&gt;=E$34,C$34)</f>
        <v/>
      </c>
      <c r="D177" s="37">
        <f>_xlfn.IFS(E177&lt;E$24,0,E177&lt;E$25,D$24,E177&lt;E$26,D$25,E177&lt;E$27,D$26,E177&lt;E$28,D$27,E177&lt;E$29,D$28,E177&lt;E$30,D$29,E177&lt;E$31,D$30,E177&lt;E$32,D$31,E177&lt;E$33,D$32,E177&lt;E$34,D$33,E177&lt;E$35,D$34,E177&gt;=E$35,D$35)</f>
        <v/>
      </c>
      <c r="E177" s="38" t="n">
        <v>127</v>
      </c>
      <c r="F177" s="31">
        <f>E177/52</f>
        <v/>
      </c>
      <c r="G177" s="39">
        <f>D177/1000000*52</f>
        <v/>
      </c>
      <c r="H177" s="33">
        <f>G177/$P$4+($C$22/$P$4)</f>
        <v/>
      </c>
      <c r="I177" s="36">
        <f>_xlfn.IFS(K177&lt;K$24,0,K177&lt;K$26,I$24,K177&lt;K$28,I$26,K177&lt;K$30,I$28,K177&lt;K$32,I$30,K177&lt;K$34,I$32,K177&lt;K$36,I$34,K177&lt;K$38,I$36,K177&lt;K$40,I$38,K177&lt;K$42,I$40,K177&lt;K$44,I$42,K177&lt;K$46,I$44,K177&gt;=K$46,I$46)</f>
        <v/>
      </c>
      <c r="J177" s="37">
        <f>_xlfn.IFS(K177&lt;K$24,0,K177&lt;K$25,J$24,K177&lt;K$26,J$25,K177&lt;K$27,J$26,K177&lt;K$28,J$27,K177&lt;K$29,J$28,K177&lt;K$30,J$29,K177&lt;K$31,J$30,K177&lt;K$32,J$31,K177&lt;K$33,J$32,K177&lt;K$34,J$33,K177&lt;K$35,J$34,K177&lt;K$36,J$35,K177&lt;K$37,J$36,K177&lt;K$38,J$37,K177&lt;K$39,J$38,K177&lt;K$40,J$39,K177&lt;K$41,J$40,K177&lt;K$42,J$41,K177&lt;K$43,J$42,K177&lt;K$44,J$43,K177&lt;K$45,J$44,K177&lt;K$46,J$45,K177&lt;K$47,J$46,K177&gt;=K$47,J$47)</f>
        <v/>
      </c>
      <c r="K177" s="38" t="n">
        <v>127</v>
      </c>
      <c r="L177" s="31">
        <f>K177/52</f>
        <v/>
      </c>
      <c r="M177" s="39">
        <f>J177/1000000*52</f>
        <v/>
      </c>
      <c r="N177" s="33">
        <f>M177/$P$4+($I$22/$P$4)</f>
        <v/>
      </c>
      <c r="U177">
        <f>F176</f>
        <v/>
      </c>
      <c r="V177">
        <f>H176</f>
        <v/>
      </c>
      <c r="W177">
        <f>N176</f>
        <v/>
      </c>
    </row>
    <row r="178" ht="15.75" customHeight="1" s="40">
      <c r="C178" s="36">
        <f>_xlfn.IFS(E178&lt;E$24,0,E178&lt;E$26,C$24,E178&lt;E$28,C$26,E178&lt;E$30,C$28,E178&lt;E$32,C$30,E178&lt;E$34,C$32,E178&gt;=E$34,C$34)</f>
        <v/>
      </c>
      <c r="D178" s="37">
        <f>_xlfn.IFS(E178&lt;E$24,0,E178&lt;E$25,D$24,E178&lt;E$26,D$25,E178&lt;E$27,D$26,E178&lt;E$28,D$27,E178&lt;E$29,D$28,E178&lt;E$30,D$29,E178&lt;E$31,D$30,E178&lt;E$32,D$31,E178&lt;E$33,D$32,E178&lt;E$34,D$33,E178&lt;E$35,D$34,E178&gt;=E$35,D$35)</f>
        <v/>
      </c>
      <c r="E178" s="38" t="n">
        <v>128</v>
      </c>
      <c r="F178" s="31">
        <f>E178/52</f>
        <v/>
      </c>
      <c r="G178" s="39">
        <f>D178/1000000*52</f>
        <v/>
      </c>
      <c r="H178" s="33">
        <f>G178/$P$4+($C$22/$P$4)</f>
        <v/>
      </c>
      <c r="I178" s="36">
        <f>_xlfn.IFS(K178&lt;K$24,0,K178&lt;K$26,I$24,K178&lt;K$28,I$26,K178&lt;K$30,I$28,K178&lt;K$32,I$30,K178&lt;K$34,I$32,K178&lt;K$36,I$34,K178&lt;K$38,I$36,K178&lt;K$40,I$38,K178&lt;K$42,I$40,K178&lt;K$44,I$42,K178&lt;K$46,I$44,K178&gt;=K$46,I$46)</f>
        <v/>
      </c>
      <c r="J178" s="37">
        <f>_xlfn.IFS(K178&lt;K$24,0,K178&lt;K$25,J$24,K178&lt;K$26,J$25,K178&lt;K$27,J$26,K178&lt;K$28,J$27,K178&lt;K$29,J$28,K178&lt;K$30,J$29,K178&lt;K$31,J$30,K178&lt;K$32,J$31,K178&lt;K$33,J$32,K178&lt;K$34,J$33,K178&lt;K$35,J$34,K178&lt;K$36,J$35,K178&lt;K$37,J$36,K178&lt;K$38,J$37,K178&lt;K$39,J$38,K178&lt;K$40,J$39,K178&lt;K$41,J$40,K178&lt;K$42,J$41,K178&lt;K$43,J$42,K178&lt;K$44,J$43,K178&lt;K$45,J$44,K178&lt;K$46,J$45,K178&lt;K$47,J$46,K178&gt;=K$47,J$47)</f>
        <v/>
      </c>
      <c r="K178" s="38" t="n">
        <v>128</v>
      </c>
      <c r="L178" s="31">
        <f>K178/52</f>
        <v/>
      </c>
      <c r="M178" s="39">
        <f>J178/1000000*52</f>
        <v/>
      </c>
      <c r="N178" s="33">
        <f>M178/$P$4+($I$22/$P$4)</f>
        <v/>
      </c>
      <c r="U178">
        <f>F177</f>
        <v/>
      </c>
      <c r="V178">
        <f>H177</f>
        <v/>
      </c>
      <c r="W178">
        <f>N177</f>
        <v/>
      </c>
    </row>
    <row r="179" ht="15.75" customHeight="1" s="40">
      <c r="C179" s="36">
        <f>_xlfn.IFS(E179&lt;E$24,0,E179&lt;E$26,C$24,E179&lt;E$28,C$26,E179&lt;E$30,C$28,E179&lt;E$32,C$30,E179&lt;E$34,C$32,E179&gt;=E$34,C$34)</f>
        <v/>
      </c>
      <c r="D179" s="37">
        <f>_xlfn.IFS(E179&lt;E$24,0,E179&lt;E$25,D$24,E179&lt;E$26,D$25,E179&lt;E$27,D$26,E179&lt;E$28,D$27,E179&lt;E$29,D$28,E179&lt;E$30,D$29,E179&lt;E$31,D$30,E179&lt;E$32,D$31,E179&lt;E$33,D$32,E179&lt;E$34,D$33,E179&lt;E$35,D$34,E179&gt;=E$35,D$35)</f>
        <v/>
      </c>
      <c r="E179" s="38" t="n">
        <v>129</v>
      </c>
      <c r="F179" s="31">
        <f>E179/52</f>
        <v/>
      </c>
      <c r="G179" s="39">
        <f>D179/1000000*52</f>
        <v/>
      </c>
      <c r="H179" s="33">
        <f>G179/$P$4+($C$22/$P$4)</f>
        <v/>
      </c>
      <c r="I179" s="36">
        <f>_xlfn.IFS(K179&lt;K$24,0,K179&lt;K$26,I$24,K179&lt;K$28,I$26,K179&lt;K$30,I$28,K179&lt;K$32,I$30,K179&lt;K$34,I$32,K179&lt;K$36,I$34,K179&lt;K$38,I$36,K179&lt;K$40,I$38,K179&lt;K$42,I$40,K179&lt;K$44,I$42,K179&lt;K$46,I$44,K179&gt;=K$46,I$46)</f>
        <v/>
      </c>
      <c r="J179" s="37">
        <f>_xlfn.IFS(K179&lt;K$24,0,K179&lt;K$25,J$24,K179&lt;K$26,J$25,K179&lt;K$27,J$26,K179&lt;K$28,J$27,K179&lt;K$29,J$28,K179&lt;K$30,J$29,K179&lt;K$31,J$30,K179&lt;K$32,J$31,K179&lt;K$33,J$32,K179&lt;K$34,J$33,K179&lt;K$35,J$34,K179&lt;K$36,J$35,K179&lt;K$37,J$36,K179&lt;K$38,J$37,K179&lt;K$39,J$38,K179&lt;K$40,J$39,K179&lt;K$41,J$40,K179&lt;K$42,J$41,K179&lt;K$43,J$42,K179&lt;K$44,J$43,K179&lt;K$45,J$44,K179&lt;K$46,J$45,K179&lt;K$47,J$46,K179&gt;=K$47,J$47)</f>
        <v/>
      </c>
      <c r="K179" s="38" t="n">
        <v>129</v>
      </c>
      <c r="L179" s="31">
        <f>K179/52</f>
        <v/>
      </c>
      <c r="M179" s="39">
        <f>J179/1000000*52</f>
        <v/>
      </c>
      <c r="N179" s="33">
        <f>M179/$P$4+($I$22/$P$4)</f>
        <v/>
      </c>
      <c r="U179">
        <f>F178</f>
        <v/>
      </c>
      <c r="V179">
        <f>H178</f>
        <v/>
      </c>
      <c r="W179">
        <f>N178</f>
        <v/>
      </c>
    </row>
    <row r="180" ht="15.75" customHeight="1" s="40">
      <c r="C180" s="36">
        <f>_xlfn.IFS(E180&lt;E$24,0,E180&lt;E$26,C$24,E180&lt;E$28,C$26,E180&lt;E$30,C$28,E180&lt;E$32,C$30,E180&lt;E$34,C$32,E180&gt;=E$34,C$34)</f>
        <v/>
      </c>
      <c r="D180" s="37">
        <f>_xlfn.IFS(E180&lt;E$24,0,E180&lt;E$25,D$24,E180&lt;E$26,D$25,E180&lt;E$27,D$26,E180&lt;E$28,D$27,E180&lt;E$29,D$28,E180&lt;E$30,D$29,E180&lt;E$31,D$30,E180&lt;E$32,D$31,E180&lt;E$33,D$32,E180&lt;E$34,D$33,E180&lt;E$35,D$34,E180&gt;=E$35,D$35)</f>
        <v/>
      </c>
      <c r="E180" s="38" t="n">
        <v>130</v>
      </c>
      <c r="F180" s="31">
        <f>E180/52</f>
        <v/>
      </c>
      <c r="G180" s="39">
        <f>D180/1000000*52</f>
        <v/>
      </c>
      <c r="H180" s="33">
        <f>G180/$P$4+($C$22/$P$4)</f>
        <v/>
      </c>
      <c r="I180" s="36">
        <f>_xlfn.IFS(K180&lt;K$24,0,K180&lt;K$26,I$24,K180&lt;K$28,I$26,K180&lt;K$30,I$28,K180&lt;K$32,I$30,K180&lt;K$34,I$32,K180&lt;K$36,I$34,K180&lt;K$38,I$36,K180&lt;K$40,I$38,K180&lt;K$42,I$40,K180&lt;K$44,I$42,K180&lt;K$46,I$44,K180&gt;=K$46,I$46)</f>
        <v/>
      </c>
      <c r="J180" s="37">
        <f>_xlfn.IFS(K180&lt;K$24,0,K180&lt;K$25,J$24,K180&lt;K$26,J$25,K180&lt;K$27,J$26,K180&lt;K$28,J$27,K180&lt;K$29,J$28,K180&lt;K$30,J$29,K180&lt;K$31,J$30,K180&lt;K$32,J$31,K180&lt;K$33,J$32,K180&lt;K$34,J$33,K180&lt;K$35,J$34,K180&lt;K$36,J$35,K180&lt;K$37,J$36,K180&lt;K$38,J$37,K180&lt;K$39,J$38,K180&lt;K$40,J$39,K180&lt;K$41,J$40,K180&lt;K$42,J$41,K180&lt;K$43,J$42,K180&lt;K$44,J$43,K180&lt;K$45,J$44,K180&lt;K$46,J$45,K180&lt;K$47,J$46,K180&gt;=K$47,J$47)</f>
        <v/>
      </c>
      <c r="K180" s="38" t="n">
        <v>130</v>
      </c>
      <c r="L180" s="31">
        <f>K180/52</f>
        <v/>
      </c>
      <c r="M180" s="39">
        <f>J180/1000000*52</f>
        <v/>
      </c>
      <c r="N180" s="33">
        <f>M180/$P$4+($I$22/$P$4)</f>
        <v/>
      </c>
      <c r="U180">
        <f>F179</f>
        <v/>
      </c>
      <c r="V180">
        <f>H179</f>
        <v/>
      </c>
      <c r="W180">
        <f>N179</f>
        <v/>
      </c>
    </row>
    <row r="181" ht="15.75" customHeight="1" s="40">
      <c r="C181" s="36">
        <f>_xlfn.IFS(E181&lt;E$24,0,E181&lt;E$26,C$24,E181&lt;E$28,C$26,E181&lt;E$30,C$28,E181&lt;E$32,C$30,E181&lt;E$34,C$32,E181&gt;=E$34,C$34)</f>
        <v/>
      </c>
      <c r="D181" s="37">
        <f>_xlfn.IFS(E181&lt;E$24,0,E181&lt;E$25,D$24,E181&lt;E$26,D$25,E181&lt;E$27,D$26,E181&lt;E$28,D$27,E181&lt;E$29,D$28,E181&lt;E$30,D$29,E181&lt;E$31,D$30,E181&lt;E$32,D$31,E181&lt;E$33,D$32,E181&lt;E$34,D$33,E181&lt;E$35,D$34,E181&gt;=E$35,D$35)</f>
        <v/>
      </c>
      <c r="E181" s="38" t="n">
        <v>131</v>
      </c>
      <c r="F181" s="31">
        <f>E181/52</f>
        <v/>
      </c>
      <c r="G181" s="39">
        <f>D181/1000000*52</f>
        <v/>
      </c>
      <c r="H181" s="33">
        <f>G181/$P$4+($C$22/$P$4)</f>
        <v/>
      </c>
      <c r="I181" s="36">
        <f>_xlfn.IFS(K181&lt;K$24,0,K181&lt;K$26,I$24,K181&lt;K$28,I$26,K181&lt;K$30,I$28,K181&lt;K$32,I$30,K181&lt;K$34,I$32,K181&lt;K$36,I$34,K181&lt;K$38,I$36,K181&lt;K$40,I$38,K181&lt;K$42,I$40,K181&lt;K$44,I$42,K181&lt;K$46,I$44,K181&gt;=K$46,I$46)</f>
        <v/>
      </c>
      <c r="J181" s="37">
        <f>_xlfn.IFS(K181&lt;K$24,0,K181&lt;K$25,J$24,K181&lt;K$26,J$25,K181&lt;K$27,J$26,K181&lt;K$28,J$27,K181&lt;K$29,J$28,K181&lt;K$30,J$29,K181&lt;K$31,J$30,K181&lt;K$32,J$31,K181&lt;K$33,J$32,K181&lt;K$34,J$33,K181&lt;K$35,J$34,K181&lt;K$36,J$35,K181&lt;K$37,J$36,K181&lt;K$38,J$37,K181&lt;K$39,J$38,K181&lt;K$40,J$39,K181&lt;K$41,J$40,K181&lt;K$42,J$41,K181&lt;K$43,J$42,K181&lt;K$44,J$43,K181&lt;K$45,J$44,K181&lt;K$46,J$45,K181&lt;K$47,J$46,K181&gt;=K$47,J$47)</f>
        <v/>
      </c>
      <c r="K181" s="38" t="n">
        <v>131</v>
      </c>
      <c r="L181" s="31">
        <f>K181/52</f>
        <v/>
      </c>
      <c r="M181" s="39">
        <f>J181/1000000*52</f>
        <v/>
      </c>
      <c r="N181" s="33">
        <f>M181/$P$4+($I$22/$P$4)</f>
        <v/>
      </c>
      <c r="U181">
        <f>F180</f>
        <v/>
      </c>
      <c r="V181">
        <f>H180</f>
        <v/>
      </c>
      <c r="W181">
        <f>N180</f>
        <v/>
      </c>
    </row>
    <row r="182" ht="15.75" customHeight="1" s="40">
      <c r="C182" s="36">
        <f>_xlfn.IFS(E182&lt;E$24,0,E182&lt;E$26,C$24,E182&lt;E$28,C$26,E182&lt;E$30,C$28,E182&lt;E$32,C$30,E182&lt;E$34,C$32,E182&gt;=E$34,C$34)</f>
        <v/>
      </c>
      <c r="D182" s="37">
        <f>_xlfn.IFS(E182&lt;E$24,0,E182&lt;E$25,D$24,E182&lt;E$26,D$25,E182&lt;E$27,D$26,E182&lt;E$28,D$27,E182&lt;E$29,D$28,E182&lt;E$30,D$29,E182&lt;E$31,D$30,E182&lt;E$32,D$31,E182&lt;E$33,D$32,E182&lt;E$34,D$33,E182&lt;E$35,D$34,E182&gt;=E$35,D$35)</f>
        <v/>
      </c>
      <c r="E182" s="38" t="n">
        <v>132</v>
      </c>
      <c r="F182" s="31">
        <f>E182/52</f>
        <v/>
      </c>
      <c r="G182" s="39">
        <f>D182/1000000*52</f>
        <v/>
      </c>
      <c r="H182" s="33">
        <f>G182/$P$4+($C$22/$P$4)</f>
        <v/>
      </c>
      <c r="I182" s="36">
        <f>_xlfn.IFS(K182&lt;K$24,0,K182&lt;K$26,I$24,K182&lt;K$28,I$26,K182&lt;K$30,I$28,K182&lt;K$32,I$30,K182&lt;K$34,I$32,K182&lt;K$36,I$34,K182&lt;K$38,I$36,K182&lt;K$40,I$38,K182&lt;K$42,I$40,K182&lt;K$44,I$42,K182&lt;K$46,I$44,K182&gt;=K$46,I$46)</f>
        <v/>
      </c>
      <c r="J182" s="37">
        <f>_xlfn.IFS(K182&lt;K$24,0,K182&lt;K$25,J$24,K182&lt;K$26,J$25,K182&lt;K$27,J$26,K182&lt;K$28,J$27,K182&lt;K$29,J$28,K182&lt;K$30,J$29,K182&lt;K$31,J$30,K182&lt;K$32,J$31,K182&lt;K$33,J$32,K182&lt;K$34,J$33,K182&lt;K$35,J$34,K182&lt;K$36,J$35,K182&lt;K$37,J$36,K182&lt;K$38,J$37,K182&lt;K$39,J$38,K182&lt;K$40,J$39,K182&lt;K$41,J$40,K182&lt;K$42,J$41,K182&lt;K$43,J$42,K182&lt;K$44,J$43,K182&lt;K$45,J$44,K182&lt;K$46,J$45,K182&lt;K$47,J$46,K182&gt;=K$47,J$47)</f>
        <v/>
      </c>
      <c r="K182" s="38" t="n">
        <v>132</v>
      </c>
      <c r="L182" s="31">
        <f>K182/52</f>
        <v/>
      </c>
      <c r="M182" s="39">
        <f>J182/1000000*52</f>
        <v/>
      </c>
      <c r="N182" s="33">
        <f>M182/$P$4+($I$22/$P$4)</f>
        <v/>
      </c>
      <c r="U182">
        <f>F181</f>
        <v/>
      </c>
      <c r="V182">
        <f>H181</f>
        <v/>
      </c>
      <c r="W182">
        <f>N181</f>
        <v/>
      </c>
    </row>
    <row r="183" ht="15.75" customHeight="1" s="40">
      <c r="C183" s="36">
        <f>_xlfn.IFS(E183&lt;E$24,0,E183&lt;E$26,C$24,E183&lt;E$28,C$26,E183&lt;E$30,C$28,E183&lt;E$32,C$30,E183&lt;E$34,C$32,E183&gt;=E$34,C$34)</f>
        <v/>
      </c>
      <c r="D183" s="37">
        <f>_xlfn.IFS(E183&lt;E$24,0,E183&lt;E$25,D$24,E183&lt;E$26,D$25,E183&lt;E$27,D$26,E183&lt;E$28,D$27,E183&lt;E$29,D$28,E183&lt;E$30,D$29,E183&lt;E$31,D$30,E183&lt;E$32,D$31,E183&lt;E$33,D$32,E183&lt;E$34,D$33,E183&lt;E$35,D$34,E183&gt;=E$35,D$35)</f>
        <v/>
      </c>
      <c r="E183" s="38" t="n">
        <v>133</v>
      </c>
      <c r="F183" s="31">
        <f>E183/52</f>
        <v/>
      </c>
      <c r="G183" s="39">
        <f>D183/1000000*52</f>
        <v/>
      </c>
      <c r="H183" s="33">
        <f>G183/$P$4+($C$22/$P$4)</f>
        <v/>
      </c>
      <c r="I183" s="36">
        <f>_xlfn.IFS(K183&lt;K$24,0,K183&lt;K$26,I$24,K183&lt;K$28,I$26,K183&lt;K$30,I$28,K183&lt;K$32,I$30,K183&lt;K$34,I$32,K183&lt;K$36,I$34,K183&lt;K$38,I$36,K183&lt;K$40,I$38,K183&lt;K$42,I$40,K183&lt;K$44,I$42,K183&lt;K$46,I$44,K183&gt;=K$46,I$46)</f>
        <v/>
      </c>
      <c r="J183" s="37">
        <f>_xlfn.IFS(K183&lt;K$24,0,K183&lt;K$25,J$24,K183&lt;K$26,J$25,K183&lt;K$27,J$26,K183&lt;K$28,J$27,K183&lt;K$29,J$28,K183&lt;K$30,J$29,K183&lt;K$31,J$30,K183&lt;K$32,J$31,K183&lt;K$33,J$32,K183&lt;K$34,J$33,K183&lt;K$35,J$34,K183&lt;K$36,J$35,K183&lt;K$37,J$36,K183&lt;K$38,J$37,K183&lt;K$39,J$38,K183&lt;K$40,J$39,K183&lt;K$41,J$40,K183&lt;K$42,J$41,K183&lt;K$43,J$42,K183&lt;K$44,J$43,K183&lt;K$45,J$44,K183&lt;K$46,J$45,K183&lt;K$47,J$46,K183&gt;=K$47,J$47)</f>
        <v/>
      </c>
      <c r="K183" s="38" t="n">
        <v>133</v>
      </c>
      <c r="L183" s="31">
        <f>K183/52</f>
        <v/>
      </c>
      <c r="M183" s="39">
        <f>J183/1000000*52</f>
        <v/>
      </c>
      <c r="N183" s="33">
        <f>M183/$P$4+($I$22/$P$4)</f>
        <v/>
      </c>
      <c r="U183">
        <f>F182</f>
        <v/>
      </c>
      <c r="V183">
        <f>H182</f>
        <v/>
      </c>
      <c r="W183">
        <f>N182</f>
        <v/>
      </c>
    </row>
    <row r="184" ht="15.75" customHeight="1" s="40">
      <c r="C184" s="36">
        <f>_xlfn.IFS(E184&lt;E$24,0,E184&lt;E$26,C$24,E184&lt;E$28,C$26,E184&lt;E$30,C$28,E184&lt;E$32,C$30,E184&lt;E$34,C$32,E184&gt;=E$34,C$34)</f>
        <v/>
      </c>
      <c r="D184" s="37">
        <f>_xlfn.IFS(E184&lt;E$24,0,E184&lt;E$25,D$24,E184&lt;E$26,D$25,E184&lt;E$27,D$26,E184&lt;E$28,D$27,E184&lt;E$29,D$28,E184&lt;E$30,D$29,E184&lt;E$31,D$30,E184&lt;E$32,D$31,E184&lt;E$33,D$32,E184&lt;E$34,D$33,E184&lt;E$35,D$34,E184&gt;=E$35,D$35)</f>
        <v/>
      </c>
      <c r="E184" s="38" t="n">
        <v>134</v>
      </c>
      <c r="F184" s="31">
        <f>E184/52</f>
        <v/>
      </c>
      <c r="G184" s="39">
        <f>D184/1000000*52</f>
        <v/>
      </c>
      <c r="H184" s="33">
        <f>G184/$P$4+($C$22/$P$4)</f>
        <v/>
      </c>
      <c r="I184" s="36">
        <f>_xlfn.IFS(K184&lt;K$24,0,K184&lt;K$26,I$24,K184&lt;K$28,I$26,K184&lt;K$30,I$28,K184&lt;K$32,I$30,K184&lt;K$34,I$32,K184&lt;K$36,I$34,K184&lt;K$38,I$36,K184&lt;K$40,I$38,K184&lt;K$42,I$40,K184&lt;K$44,I$42,K184&lt;K$46,I$44,K184&gt;=K$46,I$46)</f>
        <v/>
      </c>
      <c r="J184" s="37">
        <f>_xlfn.IFS(K184&lt;K$24,0,K184&lt;K$25,J$24,K184&lt;K$26,J$25,K184&lt;K$27,J$26,K184&lt;K$28,J$27,K184&lt;K$29,J$28,K184&lt;K$30,J$29,K184&lt;K$31,J$30,K184&lt;K$32,J$31,K184&lt;K$33,J$32,K184&lt;K$34,J$33,K184&lt;K$35,J$34,K184&lt;K$36,J$35,K184&lt;K$37,J$36,K184&lt;K$38,J$37,K184&lt;K$39,J$38,K184&lt;K$40,J$39,K184&lt;K$41,J$40,K184&lt;K$42,J$41,K184&lt;K$43,J$42,K184&lt;K$44,J$43,K184&lt;K$45,J$44,K184&lt;K$46,J$45,K184&lt;K$47,J$46,K184&gt;=K$47,J$47)</f>
        <v/>
      </c>
      <c r="K184" s="38" t="n">
        <v>134</v>
      </c>
      <c r="L184" s="31">
        <f>K184/52</f>
        <v/>
      </c>
      <c r="M184" s="39">
        <f>J184/1000000*52</f>
        <v/>
      </c>
      <c r="N184" s="33">
        <f>M184/$P$4+($I$22/$P$4)</f>
        <v/>
      </c>
      <c r="U184">
        <f>F183</f>
        <v/>
      </c>
      <c r="V184">
        <f>H183</f>
        <v/>
      </c>
      <c r="W184">
        <f>N183</f>
        <v/>
      </c>
    </row>
    <row r="185" ht="15.75" customHeight="1" s="40">
      <c r="C185" s="36">
        <f>_xlfn.IFS(E185&lt;E$24,0,E185&lt;E$26,C$24,E185&lt;E$28,C$26,E185&lt;E$30,C$28,E185&lt;E$32,C$30,E185&lt;E$34,C$32,E185&gt;=E$34,C$34)</f>
        <v/>
      </c>
      <c r="D185" s="37">
        <f>_xlfn.IFS(E185&lt;E$24,0,E185&lt;E$25,D$24,E185&lt;E$26,D$25,E185&lt;E$27,D$26,E185&lt;E$28,D$27,E185&lt;E$29,D$28,E185&lt;E$30,D$29,E185&lt;E$31,D$30,E185&lt;E$32,D$31,E185&lt;E$33,D$32,E185&lt;E$34,D$33,E185&lt;E$35,D$34,E185&gt;=E$35,D$35)</f>
        <v/>
      </c>
      <c r="E185" s="38" t="n">
        <v>135</v>
      </c>
      <c r="F185" s="31">
        <f>E185/52</f>
        <v/>
      </c>
      <c r="G185" s="39">
        <f>D185/1000000*52</f>
        <v/>
      </c>
      <c r="H185" s="33">
        <f>G185/$P$4+($C$22/$P$4)</f>
        <v/>
      </c>
      <c r="I185" s="36">
        <f>_xlfn.IFS(K185&lt;K$24,0,K185&lt;K$26,I$24,K185&lt;K$28,I$26,K185&lt;K$30,I$28,K185&lt;K$32,I$30,K185&lt;K$34,I$32,K185&lt;K$36,I$34,K185&lt;K$38,I$36,K185&lt;K$40,I$38,K185&lt;K$42,I$40,K185&lt;K$44,I$42,K185&lt;K$46,I$44,K185&gt;=K$46,I$46)</f>
        <v/>
      </c>
      <c r="J185" s="37">
        <f>_xlfn.IFS(K185&lt;K$24,0,K185&lt;K$25,J$24,K185&lt;K$26,J$25,K185&lt;K$27,J$26,K185&lt;K$28,J$27,K185&lt;K$29,J$28,K185&lt;K$30,J$29,K185&lt;K$31,J$30,K185&lt;K$32,J$31,K185&lt;K$33,J$32,K185&lt;K$34,J$33,K185&lt;K$35,J$34,K185&lt;K$36,J$35,K185&lt;K$37,J$36,K185&lt;K$38,J$37,K185&lt;K$39,J$38,K185&lt;K$40,J$39,K185&lt;K$41,J$40,K185&lt;K$42,J$41,K185&lt;K$43,J$42,K185&lt;K$44,J$43,K185&lt;K$45,J$44,K185&lt;K$46,J$45,K185&lt;K$47,J$46,K185&gt;=K$47,J$47)</f>
        <v/>
      </c>
      <c r="K185" s="38" t="n">
        <v>135</v>
      </c>
      <c r="L185" s="31">
        <f>K185/52</f>
        <v/>
      </c>
      <c r="M185" s="39">
        <f>J185/1000000*52</f>
        <v/>
      </c>
      <c r="N185" s="33">
        <f>M185/$P$4+($I$22/$P$4)</f>
        <v/>
      </c>
      <c r="U185">
        <f>F184</f>
        <v/>
      </c>
      <c r="V185">
        <f>H184</f>
        <v/>
      </c>
      <c r="W185">
        <f>N184</f>
        <v/>
      </c>
    </row>
    <row r="186" ht="15.75" customHeight="1" s="40">
      <c r="C186" s="36">
        <f>_xlfn.IFS(E186&lt;E$24,0,E186&lt;E$26,C$24,E186&lt;E$28,C$26,E186&lt;E$30,C$28,E186&lt;E$32,C$30,E186&lt;E$34,C$32,E186&gt;=E$34,C$34)</f>
        <v/>
      </c>
      <c r="D186" s="37">
        <f>_xlfn.IFS(E186&lt;E$24,0,E186&lt;E$25,D$24,E186&lt;E$26,D$25,E186&lt;E$27,D$26,E186&lt;E$28,D$27,E186&lt;E$29,D$28,E186&lt;E$30,D$29,E186&lt;E$31,D$30,E186&lt;E$32,D$31,E186&lt;E$33,D$32,E186&lt;E$34,D$33,E186&lt;E$35,D$34,E186&gt;=E$35,D$35)</f>
        <v/>
      </c>
      <c r="E186" s="38" t="n">
        <v>136</v>
      </c>
      <c r="F186" s="31">
        <f>E186/52</f>
        <v/>
      </c>
      <c r="G186" s="39">
        <f>D186/1000000*52</f>
        <v/>
      </c>
      <c r="H186" s="33">
        <f>G186/$P$4+($C$22/$P$4)</f>
        <v/>
      </c>
      <c r="I186" s="36">
        <f>_xlfn.IFS(K186&lt;K$24,0,K186&lt;K$26,I$24,K186&lt;K$28,I$26,K186&lt;K$30,I$28,K186&lt;K$32,I$30,K186&lt;K$34,I$32,K186&lt;K$36,I$34,K186&lt;K$38,I$36,K186&lt;K$40,I$38,K186&lt;K$42,I$40,K186&lt;K$44,I$42,K186&lt;K$46,I$44,K186&gt;=K$46,I$46)</f>
        <v/>
      </c>
      <c r="J186" s="37">
        <f>_xlfn.IFS(K186&lt;K$24,0,K186&lt;K$25,J$24,K186&lt;K$26,J$25,K186&lt;K$27,J$26,K186&lt;K$28,J$27,K186&lt;K$29,J$28,K186&lt;K$30,J$29,K186&lt;K$31,J$30,K186&lt;K$32,J$31,K186&lt;K$33,J$32,K186&lt;K$34,J$33,K186&lt;K$35,J$34,K186&lt;K$36,J$35,K186&lt;K$37,J$36,K186&lt;K$38,J$37,K186&lt;K$39,J$38,K186&lt;K$40,J$39,K186&lt;K$41,J$40,K186&lt;K$42,J$41,K186&lt;K$43,J$42,K186&lt;K$44,J$43,K186&lt;K$45,J$44,K186&lt;K$46,J$45,K186&lt;K$47,J$46,K186&gt;=K$47,J$47)</f>
        <v/>
      </c>
      <c r="K186" s="38" t="n">
        <v>136</v>
      </c>
      <c r="L186" s="31">
        <f>K186/52</f>
        <v/>
      </c>
      <c r="M186" s="39">
        <f>J186/1000000*52</f>
        <v/>
      </c>
      <c r="N186" s="33">
        <f>M186/$P$4+($I$22/$P$4)</f>
        <v/>
      </c>
      <c r="U186">
        <f>F185</f>
        <v/>
      </c>
      <c r="V186">
        <f>H185</f>
        <v/>
      </c>
      <c r="W186">
        <f>N185</f>
        <v/>
      </c>
    </row>
    <row r="187" ht="15.75" customHeight="1" s="40">
      <c r="C187" s="36">
        <f>_xlfn.IFS(E187&lt;E$24,0,E187&lt;E$26,C$24,E187&lt;E$28,C$26,E187&lt;E$30,C$28,E187&lt;E$32,C$30,E187&lt;E$34,C$32,E187&gt;=E$34,C$34)</f>
        <v/>
      </c>
      <c r="D187" s="37">
        <f>_xlfn.IFS(E187&lt;E$24,0,E187&lt;E$25,D$24,E187&lt;E$26,D$25,E187&lt;E$27,D$26,E187&lt;E$28,D$27,E187&lt;E$29,D$28,E187&lt;E$30,D$29,E187&lt;E$31,D$30,E187&lt;E$32,D$31,E187&lt;E$33,D$32,E187&lt;E$34,D$33,E187&lt;E$35,D$34,E187&gt;=E$35,D$35)</f>
        <v/>
      </c>
      <c r="E187" s="38" t="n">
        <v>137</v>
      </c>
      <c r="F187" s="31">
        <f>E187/52</f>
        <v/>
      </c>
      <c r="G187" s="39">
        <f>D187/1000000*52</f>
        <v/>
      </c>
      <c r="H187" s="33">
        <f>G187/$P$4+($C$22/$P$4)</f>
        <v/>
      </c>
      <c r="I187" s="36">
        <f>_xlfn.IFS(K187&lt;K$24,0,K187&lt;K$26,I$24,K187&lt;K$28,I$26,K187&lt;K$30,I$28,K187&lt;K$32,I$30,K187&lt;K$34,I$32,K187&lt;K$36,I$34,K187&lt;K$38,I$36,K187&lt;K$40,I$38,K187&lt;K$42,I$40,K187&lt;K$44,I$42,K187&lt;K$46,I$44,K187&gt;=K$46,I$46)</f>
        <v/>
      </c>
      <c r="J187" s="37">
        <f>_xlfn.IFS(K187&lt;K$24,0,K187&lt;K$25,J$24,K187&lt;K$26,J$25,K187&lt;K$27,J$26,K187&lt;K$28,J$27,K187&lt;K$29,J$28,K187&lt;K$30,J$29,K187&lt;K$31,J$30,K187&lt;K$32,J$31,K187&lt;K$33,J$32,K187&lt;K$34,J$33,K187&lt;K$35,J$34,K187&lt;K$36,J$35,K187&lt;K$37,J$36,K187&lt;K$38,J$37,K187&lt;K$39,J$38,K187&lt;K$40,J$39,K187&lt;K$41,J$40,K187&lt;K$42,J$41,K187&lt;K$43,J$42,K187&lt;K$44,J$43,K187&lt;K$45,J$44,K187&lt;K$46,J$45,K187&lt;K$47,J$46,K187&gt;=K$47,J$47)</f>
        <v/>
      </c>
      <c r="K187" s="38" t="n">
        <v>137</v>
      </c>
      <c r="L187" s="31">
        <f>K187/52</f>
        <v/>
      </c>
      <c r="M187" s="39">
        <f>J187/1000000*52</f>
        <v/>
      </c>
      <c r="N187" s="33">
        <f>M187/$P$4+($I$22/$P$4)</f>
        <v/>
      </c>
      <c r="U187">
        <f>F186</f>
        <v/>
      </c>
      <c r="V187">
        <f>H186</f>
        <v/>
      </c>
      <c r="W187">
        <f>N186</f>
        <v/>
      </c>
    </row>
    <row r="188" ht="15.75" customHeight="1" s="40">
      <c r="C188" s="36">
        <f>_xlfn.IFS(E188&lt;E$24,0,E188&lt;E$26,C$24,E188&lt;E$28,C$26,E188&lt;E$30,C$28,E188&lt;E$32,C$30,E188&lt;E$34,C$32,E188&gt;=E$34,C$34)</f>
        <v/>
      </c>
      <c r="D188" s="37">
        <f>_xlfn.IFS(E188&lt;E$24,0,E188&lt;E$25,D$24,E188&lt;E$26,D$25,E188&lt;E$27,D$26,E188&lt;E$28,D$27,E188&lt;E$29,D$28,E188&lt;E$30,D$29,E188&lt;E$31,D$30,E188&lt;E$32,D$31,E188&lt;E$33,D$32,E188&lt;E$34,D$33,E188&lt;E$35,D$34,E188&gt;=E$35,D$35)</f>
        <v/>
      </c>
      <c r="E188" s="38" t="n">
        <v>138</v>
      </c>
      <c r="F188" s="31">
        <f>E188/52</f>
        <v/>
      </c>
      <c r="G188" s="39">
        <f>D188/1000000*52</f>
        <v/>
      </c>
      <c r="H188" s="33">
        <f>G188/$P$4+($C$22/$P$4)</f>
        <v/>
      </c>
      <c r="I188" s="36">
        <f>_xlfn.IFS(K188&lt;K$24,0,K188&lt;K$26,I$24,K188&lt;K$28,I$26,K188&lt;K$30,I$28,K188&lt;K$32,I$30,K188&lt;K$34,I$32,K188&lt;K$36,I$34,K188&lt;K$38,I$36,K188&lt;K$40,I$38,K188&lt;K$42,I$40,K188&lt;K$44,I$42,K188&lt;K$46,I$44,K188&gt;=K$46,I$46)</f>
        <v/>
      </c>
      <c r="J188" s="37">
        <f>_xlfn.IFS(K188&lt;K$24,0,K188&lt;K$25,J$24,K188&lt;K$26,J$25,K188&lt;K$27,J$26,K188&lt;K$28,J$27,K188&lt;K$29,J$28,K188&lt;K$30,J$29,K188&lt;K$31,J$30,K188&lt;K$32,J$31,K188&lt;K$33,J$32,K188&lt;K$34,J$33,K188&lt;K$35,J$34,K188&lt;K$36,J$35,K188&lt;K$37,J$36,K188&lt;K$38,J$37,K188&lt;K$39,J$38,K188&lt;K$40,J$39,K188&lt;K$41,J$40,K188&lt;K$42,J$41,K188&lt;K$43,J$42,K188&lt;K$44,J$43,K188&lt;K$45,J$44,K188&lt;K$46,J$45,K188&lt;K$47,J$46,K188&gt;=K$47,J$47)</f>
        <v/>
      </c>
      <c r="K188" s="38" t="n">
        <v>138</v>
      </c>
      <c r="L188" s="31">
        <f>K188/52</f>
        <v/>
      </c>
      <c r="M188" s="39">
        <f>J188/1000000*52</f>
        <v/>
      </c>
      <c r="N188" s="33">
        <f>M188/$P$4+($I$22/$P$4)</f>
        <v/>
      </c>
      <c r="U188">
        <f>F187</f>
        <v/>
      </c>
      <c r="V188">
        <f>H187</f>
        <v/>
      </c>
      <c r="W188">
        <f>N187</f>
        <v/>
      </c>
    </row>
    <row r="189" ht="15.75" customHeight="1" s="40">
      <c r="C189" s="36">
        <f>_xlfn.IFS(E189&lt;E$24,0,E189&lt;E$26,C$24,E189&lt;E$28,C$26,E189&lt;E$30,C$28,E189&lt;E$32,C$30,E189&lt;E$34,C$32,E189&gt;=E$34,C$34)</f>
        <v/>
      </c>
      <c r="D189" s="37">
        <f>_xlfn.IFS(E189&lt;E$24,0,E189&lt;E$25,D$24,E189&lt;E$26,D$25,E189&lt;E$27,D$26,E189&lt;E$28,D$27,E189&lt;E$29,D$28,E189&lt;E$30,D$29,E189&lt;E$31,D$30,E189&lt;E$32,D$31,E189&lt;E$33,D$32,E189&lt;E$34,D$33,E189&lt;E$35,D$34,E189&gt;=E$35,D$35)</f>
        <v/>
      </c>
      <c r="E189" s="38" t="n">
        <v>139</v>
      </c>
      <c r="F189" s="31">
        <f>E189/52</f>
        <v/>
      </c>
      <c r="G189" s="39">
        <f>D189/1000000*52</f>
        <v/>
      </c>
      <c r="H189" s="33">
        <f>G189/$P$4+($C$22/$P$4)</f>
        <v/>
      </c>
      <c r="I189" s="36">
        <f>_xlfn.IFS(K189&lt;K$24,0,K189&lt;K$26,I$24,K189&lt;K$28,I$26,K189&lt;K$30,I$28,K189&lt;K$32,I$30,K189&lt;K$34,I$32,K189&lt;K$36,I$34,K189&lt;K$38,I$36,K189&lt;K$40,I$38,K189&lt;K$42,I$40,K189&lt;K$44,I$42,K189&lt;K$46,I$44,K189&gt;=K$46,I$46)</f>
        <v/>
      </c>
      <c r="J189" s="37">
        <f>_xlfn.IFS(K189&lt;K$24,0,K189&lt;K$25,J$24,K189&lt;K$26,J$25,K189&lt;K$27,J$26,K189&lt;K$28,J$27,K189&lt;K$29,J$28,K189&lt;K$30,J$29,K189&lt;K$31,J$30,K189&lt;K$32,J$31,K189&lt;K$33,J$32,K189&lt;K$34,J$33,K189&lt;K$35,J$34,K189&lt;K$36,J$35,K189&lt;K$37,J$36,K189&lt;K$38,J$37,K189&lt;K$39,J$38,K189&lt;K$40,J$39,K189&lt;K$41,J$40,K189&lt;K$42,J$41,K189&lt;K$43,J$42,K189&lt;K$44,J$43,K189&lt;K$45,J$44,K189&lt;K$46,J$45,K189&lt;K$47,J$46,K189&gt;=K$47,J$47)</f>
        <v/>
      </c>
      <c r="K189" s="38" t="n">
        <v>139</v>
      </c>
      <c r="L189" s="31">
        <f>K189/52</f>
        <v/>
      </c>
      <c r="M189" s="39">
        <f>J189/1000000*52</f>
        <v/>
      </c>
      <c r="N189" s="33">
        <f>M189/$P$4+($I$22/$P$4)</f>
        <v/>
      </c>
      <c r="U189">
        <f>F188</f>
        <v/>
      </c>
      <c r="V189">
        <f>H188</f>
        <v/>
      </c>
      <c r="W189">
        <f>N188</f>
        <v/>
      </c>
    </row>
    <row r="190" ht="15.75" customHeight="1" s="40">
      <c r="C190" s="36">
        <f>_xlfn.IFS(E190&lt;E$24,0,E190&lt;E$26,C$24,E190&lt;E$28,C$26,E190&lt;E$30,C$28,E190&lt;E$32,C$30,E190&lt;E$34,C$32,E190&gt;=E$34,C$34)</f>
        <v/>
      </c>
      <c r="D190" s="37">
        <f>_xlfn.IFS(E190&lt;E$24,0,E190&lt;E$25,D$24,E190&lt;E$26,D$25,E190&lt;E$27,D$26,E190&lt;E$28,D$27,E190&lt;E$29,D$28,E190&lt;E$30,D$29,E190&lt;E$31,D$30,E190&lt;E$32,D$31,E190&lt;E$33,D$32,E190&lt;E$34,D$33,E190&lt;E$35,D$34,E190&gt;=E$35,D$35)</f>
        <v/>
      </c>
      <c r="E190" s="38" t="n">
        <v>140</v>
      </c>
      <c r="F190" s="31">
        <f>E190/52</f>
        <v/>
      </c>
      <c r="G190" s="39">
        <f>D190/1000000*52</f>
        <v/>
      </c>
      <c r="H190" s="33">
        <f>G190/$P$4+($C$22/$P$4)</f>
        <v/>
      </c>
      <c r="I190" s="36">
        <f>_xlfn.IFS(K190&lt;K$24,0,K190&lt;K$26,I$24,K190&lt;K$28,I$26,K190&lt;K$30,I$28,K190&lt;K$32,I$30,K190&lt;K$34,I$32,K190&lt;K$36,I$34,K190&lt;K$38,I$36,K190&lt;K$40,I$38,K190&lt;K$42,I$40,K190&lt;K$44,I$42,K190&lt;K$46,I$44,K190&gt;=K$46,I$46)</f>
        <v/>
      </c>
      <c r="J190" s="37">
        <f>_xlfn.IFS(K190&lt;K$24,0,K190&lt;K$25,J$24,K190&lt;K$26,J$25,K190&lt;K$27,J$26,K190&lt;K$28,J$27,K190&lt;K$29,J$28,K190&lt;K$30,J$29,K190&lt;K$31,J$30,K190&lt;K$32,J$31,K190&lt;K$33,J$32,K190&lt;K$34,J$33,K190&lt;K$35,J$34,K190&lt;K$36,J$35,K190&lt;K$37,J$36,K190&lt;K$38,J$37,K190&lt;K$39,J$38,K190&lt;K$40,J$39,K190&lt;K$41,J$40,K190&lt;K$42,J$41,K190&lt;K$43,J$42,K190&lt;K$44,J$43,K190&lt;K$45,J$44,K190&lt;K$46,J$45,K190&lt;K$47,J$46,K190&gt;=K$47,J$47)</f>
        <v/>
      </c>
      <c r="K190" s="38" t="n">
        <v>140</v>
      </c>
      <c r="L190" s="31">
        <f>K190/52</f>
        <v/>
      </c>
      <c r="M190" s="39">
        <f>J190/1000000*52</f>
        <v/>
      </c>
      <c r="N190" s="33">
        <f>M190/$P$4+($I$22/$P$4)</f>
        <v/>
      </c>
      <c r="U190">
        <f>F189</f>
        <v/>
      </c>
      <c r="V190">
        <f>H189</f>
        <v/>
      </c>
      <c r="W190">
        <f>N189</f>
        <v/>
      </c>
    </row>
    <row r="191" ht="15.75" customHeight="1" s="40">
      <c r="C191" s="36">
        <f>_xlfn.IFS(E191&lt;E$24,0,E191&lt;E$26,C$24,E191&lt;E$28,C$26,E191&lt;E$30,C$28,E191&lt;E$32,C$30,E191&lt;E$34,C$32,E191&gt;=E$34,C$34)</f>
        <v/>
      </c>
      <c r="D191" s="37">
        <f>_xlfn.IFS(E191&lt;E$24,0,E191&lt;E$25,D$24,E191&lt;E$26,D$25,E191&lt;E$27,D$26,E191&lt;E$28,D$27,E191&lt;E$29,D$28,E191&lt;E$30,D$29,E191&lt;E$31,D$30,E191&lt;E$32,D$31,E191&lt;E$33,D$32,E191&lt;E$34,D$33,E191&lt;E$35,D$34,E191&gt;=E$35,D$35)</f>
        <v/>
      </c>
      <c r="E191" s="38" t="n">
        <v>141</v>
      </c>
      <c r="F191" s="31">
        <f>E191/52</f>
        <v/>
      </c>
      <c r="G191" s="39">
        <f>D191/1000000*52</f>
        <v/>
      </c>
      <c r="H191" s="33">
        <f>G191/$P$4+($C$22/$P$4)</f>
        <v/>
      </c>
      <c r="I191" s="36">
        <f>_xlfn.IFS(K191&lt;K$24,0,K191&lt;K$26,I$24,K191&lt;K$28,I$26,K191&lt;K$30,I$28,K191&lt;K$32,I$30,K191&lt;K$34,I$32,K191&lt;K$36,I$34,K191&lt;K$38,I$36,K191&lt;K$40,I$38,K191&lt;K$42,I$40,K191&lt;K$44,I$42,K191&lt;K$46,I$44,K191&gt;=K$46,I$46)</f>
        <v/>
      </c>
      <c r="J191" s="37">
        <f>_xlfn.IFS(K191&lt;K$24,0,K191&lt;K$25,J$24,K191&lt;K$26,J$25,K191&lt;K$27,J$26,K191&lt;K$28,J$27,K191&lt;K$29,J$28,K191&lt;K$30,J$29,K191&lt;K$31,J$30,K191&lt;K$32,J$31,K191&lt;K$33,J$32,K191&lt;K$34,J$33,K191&lt;K$35,J$34,K191&lt;K$36,J$35,K191&lt;K$37,J$36,K191&lt;K$38,J$37,K191&lt;K$39,J$38,K191&lt;K$40,J$39,K191&lt;K$41,J$40,K191&lt;K$42,J$41,K191&lt;K$43,J$42,K191&lt;K$44,J$43,K191&lt;K$45,J$44,K191&lt;K$46,J$45,K191&lt;K$47,J$46,K191&gt;=K$47,J$47)</f>
        <v/>
      </c>
      <c r="K191" s="38" t="n">
        <v>141</v>
      </c>
      <c r="L191" s="31">
        <f>K191/52</f>
        <v/>
      </c>
      <c r="M191" s="39">
        <f>J191/1000000*52</f>
        <v/>
      </c>
      <c r="N191" s="33">
        <f>M191/$P$4+($I$22/$P$4)</f>
        <v/>
      </c>
      <c r="U191">
        <f>F190</f>
        <v/>
      </c>
      <c r="V191">
        <f>H190</f>
        <v/>
      </c>
      <c r="W191">
        <f>N190</f>
        <v/>
      </c>
    </row>
    <row r="192" ht="15.75" customHeight="1" s="40">
      <c r="C192" s="36">
        <f>_xlfn.IFS(E192&lt;E$24,0,E192&lt;E$26,C$24,E192&lt;E$28,C$26,E192&lt;E$30,C$28,E192&lt;E$32,C$30,E192&lt;E$34,C$32,E192&gt;=E$34,C$34)</f>
        <v/>
      </c>
      <c r="D192" s="37">
        <f>_xlfn.IFS(E192&lt;E$24,0,E192&lt;E$25,D$24,E192&lt;E$26,D$25,E192&lt;E$27,D$26,E192&lt;E$28,D$27,E192&lt;E$29,D$28,E192&lt;E$30,D$29,E192&lt;E$31,D$30,E192&lt;E$32,D$31,E192&lt;E$33,D$32,E192&lt;E$34,D$33,E192&lt;E$35,D$34,E192&gt;=E$35,D$35)</f>
        <v/>
      </c>
      <c r="E192" s="38" t="n">
        <v>142</v>
      </c>
      <c r="F192" s="31">
        <f>E192/52</f>
        <v/>
      </c>
      <c r="G192" s="39">
        <f>D192/1000000*52</f>
        <v/>
      </c>
      <c r="H192" s="33">
        <f>G192/$P$4+($C$22/$P$4)</f>
        <v/>
      </c>
      <c r="I192" s="36">
        <f>_xlfn.IFS(K192&lt;K$24,0,K192&lt;K$26,I$24,K192&lt;K$28,I$26,K192&lt;K$30,I$28,K192&lt;K$32,I$30,K192&lt;K$34,I$32,K192&lt;K$36,I$34,K192&lt;K$38,I$36,K192&lt;K$40,I$38,K192&lt;K$42,I$40,K192&lt;K$44,I$42,K192&lt;K$46,I$44,K192&gt;=K$46,I$46)</f>
        <v/>
      </c>
      <c r="J192" s="37">
        <f>_xlfn.IFS(K192&lt;K$24,0,K192&lt;K$25,J$24,K192&lt;K$26,J$25,K192&lt;K$27,J$26,K192&lt;K$28,J$27,K192&lt;K$29,J$28,K192&lt;K$30,J$29,K192&lt;K$31,J$30,K192&lt;K$32,J$31,K192&lt;K$33,J$32,K192&lt;K$34,J$33,K192&lt;K$35,J$34,K192&lt;K$36,J$35,K192&lt;K$37,J$36,K192&lt;K$38,J$37,K192&lt;K$39,J$38,K192&lt;K$40,J$39,K192&lt;K$41,J$40,K192&lt;K$42,J$41,K192&lt;K$43,J$42,K192&lt;K$44,J$43,K192&lt;K$45,J$44,K192&lt;K$46,J$45,K192&lt;K$47,J$46,K192&gt;=K$47,J$47)</f>
        <v/>
      </c>
      <c r="K192" s="38" t="n">
        <v>142</v>
      </c>
      <c r="L192" s="31">
        <f>K192/52</f>
        <v/>
      </c>
      <c r="M192" s="39">
        <f>J192/1000000*52</f>
        <v/>
      </c>
      <c r="N192" s="33">
        <f>M192/$P$4+($I$22/$P$4)</f>
        <v/>
      </c>
      <c r="U192">
        <f>F191</f>
        <v/>
      </c>
      <c r="V192">
        <f>H191</f>
        <v/>
      </c>
      <c r="W192">
        <f>N191</f>
        <v/>
      </c>
    </row>
    <row r="193" ht="15.75" customHeight="1" s="40">
      <c r="C193" s="36">
        <f>_xlfn.IFS(E193&lt;E$24,0,E193&lt;E$26,C$24,E193&lt;E$28,C$26,E193&lt;E$30,C$28,E193&lt;E$32,C$30,E193&lt;E$34,C$32,E193&gt;=E$34,C$34)</f>
        <v/>
      </c>
      <c r="D193" s="37">
        <f>_xlfn.IFS(E193&lt;E$24,0,E193&lt;E$25,D$24,E193&lt;E$26,D$25,E193&lt;E$27,D$26,E193&lt;E$28,D$27,E193&lt;E$29,D$28,E193&lt;E$30,D$29,E193&lt;E$31,D$30,E193&lt;E$32,D$31,E193&lt;E$33,D$32,E193&lt;E$34,D$33,E193&lt;E$35,D$34,E193&gt;=E$35,D$35)</f>
        <v/>
      </c>
      <c r="E193" s="38" t="n">
        <v>143</v>
      </c>
      <c r="F193" s="31">
        <f>E193/52</f>
        <v/>
      </c>
      <c r="G193" s="39">
        <f>D193/1000000*52</f>
        <v/>
      </c>
      <c r="H193" s="33">
        <f>G193/$P$4+($C$22/$P$4)</f>
        <v/>
      </c>
      <c r="I193" s="36">
        <f>_xlfn.IFS(K193&lt;K$24,0,K193&lt;K$26,I$24,K193&lt;K$28,I$26,K193&lt;K$30,I$28,K193&lt;K$32,I$30,K193&lt;K$34,I$32,K193&lt;K$36,I$34,K193&lt;K$38,I$36,K193&lt;K$40,I$38,K193&lt;K$42,I$40,K193&lt;K$44,I$42,K193&lt;K$46,I$44,K193&gt;=K$46,I$46)</f>
        <v/>
      </c>
      <c r="J193" s="37">
        <f>_xlfn.IFS(K193&lt;K$24,0,K193&lt;K$25,J$24,K193&lt;K$26,J$25,K193&lt;K$27,J$26,K193&lt;K$28,J$27,K193&lt;K$29,J$28,K193&lt;K$30,J$29,K193&lt;K$31,J$30,K193&lt;K$32,J$31,K193&lt;K$33,J$32,K193&lt;K$34,J$33,K193&lt;K$35,J$34,K193&lt;K$36,J$35,K193&lt;K$37,J$36,K193&lt;K$38,J$37,K193&lt;K$39,J$38,K193&lt;K$40,J$39,K193&lt;K$41,J$40,K193&lt;K$42,J$41,K193&lt;K$43,J$42,K193&lt;K$44,J$43,K193&lt;K$45,J$44,K193&lt;K$46,J$45,K193&lt;K$47,J$46,K193&gt;=K$47,J$47)</f>
        <v/>
      </c>
      <c r="K193" s="38" t="n">
        <v>143</v>
      </c>
      <c r="L193" s="31">
        <f>K193/52</f>
        <v/>
      </c>
      <c r="M193" s="39">
        <f>J193/1000000*52</f>
        <v/>
      </c>
      <c r="N193" s="33">
        <f>M193/$P$4+($I$22/$P$4)</f>
        <v/>
      </c>
      <c r="U193">
        <f>F192</f>
        <v/>
      </c>
      <c r="V193">
        <f>H192</f>
        <v/>
      </c>
      <c r="W193">
        <f>N192</f>
        <v/>
      </c>
    </row>
    <row r="194" ht="15.75" customHeight="1" s="40">
      <c r="C194" s="36">
        <f>_xlfn.IFS(E194&lt;E$24,0,E194&lt;E$26,C$24,E194&lt;E$28,C$26,E194&lt;E$30,C$28,E194&lt;E$32,C$30,E194&lt;E$34,C$32,E194&gt;=E$34,C$34)</f>
        <v/>
      </c>
      <c r="D194" s="37">
        <f>_xlfn.IFS(E194&lt;E$24,0,E194&lt;E$25,D$24,E194&lt;E$26,D$25,E194&lt;E$27,D$26,E194&lt;E$28,D$27,E194&lt;E$29,D$28,E194&lt;E$30,D$29,E194&lt;E$31,D$30,E194&lt;E$32,D$31,E194&lt;E$33,D$32,E194&lt;E$34,D$33,E194&lt;E$35,D$34,E194&gt;=E$35,D$35)</f>
        <v/>
      </c>
      <c r="E194" s="38" t="n">
        <v>144</v>
      </c>
      <c r="F194" s="31">
        <f>E194/52</f>
        <v/>
      </c>
      <c r="G194" s="39">
        <f>D194/1000000*52</f>
        <v/>
      </c>
      <c r="H194" s="33">
        <f>G194/$P$4+($C$22/$P$4)</f>
        <v/>
      </c>
      <c r="I194" s="36">
        <f>_xlfn.IFS(K194&lt;K$24,0,K194&lt;K$26,I$24,K194&lt;K$28,I$26,K194&lt;K$30,I$28,K194&lt;K$32,I$30,K194&lt;K$34,I$32,K194&lt;K$36,I$34,K194&lt;K$38,I$36,K194&lt;K$40,I$38,K194&lt;K$42,I$40,K194&lt;K$44,I$42,K194&lt;K$46,I$44,K194&gt;=K$46,I$46)</f>
        <v/>
      </c>
      <c r="J194" s="37">
        <f>_xlfn.IFS(K194&lt;K$24,0,K194&lt;K$25,J$24,K194&lt;K$26,J$25,K194&lt;K$27,J$26,K194&lt;K$28,J$27,K194&lt;K$29,J$28,K194&lt;K$30,J$29,K194&lt;K$31,J$30,K194&lt;K$32,J$31,K194&lt;K$33,J$32,K194&lt;K$34,J$33,K194&lt;K$35,J$34,K194&lt;K$36,J$35,K194&lt;K$37,J$36,K194&lt;K$38,J$37,K194&lt;K$39,J$38,K194&lt;K$40,J$39,K194&lt;K$41,J$40,K194&lt;K$42,J$41,K194&lt;K$43,J$42,K194&lt;K$44,J$43,K194&lt;K$45,J$44,K194&lt;K$46,J$45,K194&lt;K$47,J$46,K194&gt;=K$47,J$47)</f>
        <v/>
      </c>
      <c r="K194" s="38" t="n">
        <v>144</v>
      </c>
      <c r="L194" s="31">
        <f>K194/52</f>
        <v/>
      </c>
      <c r="M194" s="39">
        <f>J194/1000000*52</f>
        <v/>
      </c>
      <c r="N194" s="33">
        <f>M194/$P$4+($I$22/$P$4)</f>
        <v/>
      </c>
      <c r="U194">
        <f>F193</f>
        <v/>
      </c>
      <c r="V194">
        <f>H193</f>
        <v/>
      </c>
      <c r="W194">
        <f>N193</f>
        <v/>
      </c>
    </row>
    <row r="195" ht="15.75" customHeight="1" s="40">
      <c r="C195" s="36">
        <f>_xlfn.IFS(E195&lt;E$24,0,E195&lt;E$26,C$24,E195&lt;E$28,C$26,E195&lt;E$30,C$28,E195&lt;E$32,C$30,E195&lt;E$34,C$32,E195&gt;=E$34,C$34)</f>
        <v/>
      </c>
      <c r="D195" s="37">
        <f>_xlfn.IFS(E195&lt;E$24,0,E195&lt;E$25,D$24,E195&lt;E$26,D$25,E195&lt;E$27,D$26,E195&lt;E$28,D$27,E195&lt;E$29,D$28,E195&lt;E$30,D$29,E195&lt;E$31,D$30,E195&lt;E$32,D$31,E195&lt;E$33,D$32,E195&lt;E$34,D$33,E195&lt;E$35,D$34,E195&gt;=E$35,D$35)</f>
        <v/>
      </c>
      <c r="E195" s="38" t="n">
        <v>145</v>
      </c>
      <c r="F195" s="31">
        <f>E195/52</f>
        <v/>
      </c>
      <c r="G195" s="39">
        <f>D195/1000000*52</f>
        <v/>
      </c>
      <c r="H195" s="33">
        <f>G195/$P$4+($C$22/$P$4)</f>
        <v/>
      </c>
      <c r="I195" s="36">
        <f>_xlfn.IFS(K195&lt;K$24,0,K195&lt;K$26,I$24,K195&lt;K$28,I$26,K195&lt;K$30,I$28,K195&lt;K$32,I$30,K195&lt;K$34,I$32,K195&lt;K$36,I$34,K195&lt;K$38,I$36,K195&lt;K$40,I$38,K195&lt;K$42,I$40,K195&lt;K$44,I$42,K195&lt;K$46,I$44,K195&gt;=K$46,I$46)</f>
        <v/>
      </c>
      <c r="J195" s="37">
        <f>_xlfn.IFS(K195&lt;K$24,0,K195&lt;K$25,J$24,K195&lt;K$26,J$25,K195&lt;K$27,J$26,K195&lt;K$28,J$27,K195&lt;K$29,J$28,K195&lt;K$30,J$29,K195&lt;K$31,J$30,K195&lt;K$32,J$31,K195&lt;K$33,J$32,K195&lt;K$34,J$33,K195&lt;K$35,J$34,K195&lt;K$36,J$35,K195&lt;K$37,J$36,K195&lt;K$38,J$37,K195&lt;K$39,J$38,K195&lt;K$40,J$39,K195&lt;K$41,J$40,K195&lt;K$42,J$41,K195&lt;K$43,J$42,K195&lt;K$44,J$43,K195&lt;K$45,J$44,K195&lt;K$46,J$45,K195&lt;K$47,J$46,K195&gt;=K$47,J$47)</f>
        <v/>
      </c>
      <c r="K195" s="38" t="n">
        <v>145</v>
      </c>
      <c r="L195" s="31">
        <f>K195/52</f>
        <v/>
      </c>
      <c r="M195" s="39">
        <f>J195/1000000*52</f>
        <v/>
      </c>
      <c r="N195" s="33">
        <f>M195/$P$4+($I$22/$P$4)</f>
        <v/>
      </c>
      <c r="U195">
        <f>F194</f>
        <v/>
      </c>
      <c r="V195">
        <f>H194</f>
        <v/>
      </c>
      <c r="W195">
        <f>N194</f>
        <v/>
      </c>
    </row>
    <row r="196" ht="15.75" customHeight="1" s="40">
      <c r="C196" s="36">
        <f>_xlfn.IFS(E196&lt;E$24,0,E196&lt;E$26,C$24,E196&lt;E$28,C$26,E196&lt;E$30,C$28,E196&lt;E$32,C$30,E196&lt;E$34,C$32,E196&gt;=E$34,C$34)</f>
        <v/>
      </c>
      <c r="D196" s="37">
        <f>_xlfn.IFS(E196&lt;E$24,0,E196&lt;E$25,D$24,E196&lt;E$26,D$25,E196&lt;E$27,D$26,E196&lt;E$28,D$27,E196&lt;E$29,D$28,E196&lt;E$30,D$29,E196&lt;E$31,D$30,E196&lt;E$32,D$31,E196&lt;E$33,D$32,E196&lt;E$34,D$33,E196&lt;E$35,D$34,E196&gt;=E$35,D$35)</f>
        <v/>
      </c>
      <c r="E196" s="38" t="n">
        <v>146</v>
      </c>
      <c r="F196" s="31">
        <f>E196/52</f>
        <v/>
      </c>
      <c r="G196" s="39">
        <f>D196/1000000*52</f>
        <v/>
      </c>
      <c r="H196" s="33">
        <f>G196/$P$4+($C$22/$P$4)</f>
        <v/>
      </c>
      <c r="I196" s="36">
        <f>_xlfn.IFS(K196&lt;K$24,0,K196&lt;K$26,I$24,K196&lt;K$28,I$26,K196&lt;K$30,I$28,K196&lt;K$32,I$30,K196&lt;K$34,I$32,K196&lt;K$36,I$34,K196&lt;K$38,I$36,K196&lt;K$40,I$38,K196&lt;K$42,I$40,K196&lt;K$44,I$42,K196&lt;K$46,I$44,K196&gt;=K$46,I$46)</f>
        <v/>
      </c>
      <c r="J196" s="37">
        <f>_xlfn.IFS(K196&lt;K$24,0,K196&lt;K$25,J$24,K196&lt;K$26,J$25,K196&lt;K$27,J$26,K196&lt;K$28,J$27,K196&lt;K$29,J$28,K196&lt;K$30,J$29,K196&lt;K$31,J$30,K196&lt;K$32,J$31,K196&lt;K$33,J$32,K196&lt;K$34,J$33,K196&lt;K$35,J$34,K196&lt;K$36,J$35,K196&lt;K$37,J$36,K196&lt;K$38,J$37,K196&lt;K$39,J$38,K196&lt;K$40,J$39,K196&lt;K$41,J$40,K196&lt;K$42,J$41,K196&lt;K$43,J$42,K196&lt;K$44,J$43,K196&lt;K$45,J$44,K196&lt;K$46,J$45,K196&lt;K$47,J$46,K196&gt;=K$47,J$47)</f>
        <v/>
      </c>
      <c r="K196" s="38" t="n">
        <v>146</v>
      </c>
      <c r="L196" s="31">
        <f>K196/52</f>
        <v/>
      </c>
      <c r="M196" s="39">
        <f>J196/1000000*52</f>
        <v/>
      </c>
      <c r="N196" s="33">
        <f>M196/$P$4+($I$22/$P$4)</f>
        <v/>
      </c>
      <c r="U196">
        <f>F195</f>
        <v/>
      </c>
      <c r="V196">
        <f>H195</f>
        <v/>
      </c>
      <c r="W196">
        <f>N195</f>
        <v/>
      </c>
    </row>
    <row r="197" ht="15.75" customHeight="1" s="40">
      <c r="C197" s="36">
        <f>_xlfn.IFS(E197&lt;E$24,0,E197&lt;E$26,C$24,E197&lt;E$28,C$26,E197&lt;E$30,C$28,E197&lt;E$32,C$30,E197&lt;E$34,C$32,E197&gt;=E$34,C$34)</f>
        <v/>
      </c>
      <c r="D197" s="37">
        <f>_xlfn.IFS(E197&lt;E$24,0,E197&lt;E$25,D$24,E197&lt;E$26,D$25,E197&lt;E$27,D$26,E197&lt;E$28,D$27,E197&lt;E$29,D$28,E197&lt;E$30,D$29,E197&lt;E$31,D$30,E197&lt;E$32,D$31,E197&lt;E$33,D$32,E197&lt;E$34,D$33,E197&lt;E$35,D$34,E197&gt;=E$35,D$35)</f>
        <v/>
      </c>
      <c r="E197" s="38" t="n">
        <v>147</v>
      </c>
      <c r="F197" s="31">
        <f>E197/52</f>
        <v/>
      </c>
      <c r="G197" s="39">
        <f>D197/1000000*52</f>
        <v/>
      </c>
      <c r="H197" s="33">
        <f>G197/$P$4+($C$22/$P$4)</f>
        <v/>
      </c>
      <c r="I197" s="36">
        <f>_xlfn.IFS(K197&lt;K$24,0,K197&lt;K$26,I$24,K197&lt;K$28,I$26,K197&lt;K$30,I$28,K197&lt;K$32,I$30,K197&lt;K$34,I$32,K197&lt;K$36,I$34,K197&lt;K$38,I$36,K197&lt;K$40,I$38,K197&lt;K$42,I$40,K197&lt;K$44,I$42,K197&lt;K$46,I$44,K197&gt;=K$46,I$46)</f>
        <v/>
      </c>
      <c r="J197" s="37">
        <f>_xlfn.IFS(K197&lt;K$24,0,K197&lt;K$25,J$24,K197&lt;K$26,J$25,K197&lt;K$27,J$26,K197&lt;K$28,J$27,K197&lt;K$29,J$28,K197&lt;K$30,J$29,K197&lt;K$31,J$30,K197&lt;K$32,J$31,K197&lt;K$33,J$32,K197&lt;K$34,J$33,K197&lt;K$35,J$34,K197&lt;K$36,J$35,K197&lt;K$37,J$36,K197&lt;K$38,J$37,K197&lt;K$39,J$38,K197&lt;K$40,J$39,K197&lt;K$41,J$40,K197&lt;K$42,J$41,K197&lt;K$43,J$42,K197&lt;K$44,J$43,K197&lt;K$45,J$44,K197&lt;K$46,J$45,K197&lt;K$47,J$46,K197&gt;=K$47,J$47)</f>
        <v/>
      </c>
      <c r="K197" s="38" t="n">
        <v>147</v>
      </c>
      <c r="L197" s="31">
        <f>K197/52</f>
        <v/>
      </c>
      <c r="M197" s="39">
        <f>J197/1000000*52</f>
        <v/>
      </c>
      <c r="N197" s="33">
        <f>M197/$P$4+($I$22/$P$4)</f>
        <v/>
      </c>
      <c r="U197">
        <f>F196</f>
        <v/>
      </c>
      <c r="V197">
        <f>H196</f>
        <v/>
      </c>
      <c r="W197">
        <f>N196</f>
        <v/>
      </c>
    </row>
    <row r="198" ht="15.75" customHeight="1" s="40">
      <c r="C198" s="36">
        <f>_xlfn.IFS(E198&lt;E$24,0,E198&lt;E$26,C$24,E198&lt;E$28,C$26,E198&lt;E$30,C$28,E198&lt;E$32,C$30,E198&lt;E$34,C$32,E198&gt;=E$34,C$34)</f>
        <v/>
      </c>
      <c r="D198" s="37">
        <f>_xlfn.IFS(E198&lt;E$24,0,E198&lt;E$25,D$24,E198&lt;E$26,D$25,E198&lt;E$27,D$26,E198&lt;E$28,D$27,E198&lt;E$29,D$28,E198&lt;E$30,D$29,E198&lt;E$31,D$30,E198&lt;E$32,D$31,E198&lt;E$33,D$32,E198&lt;E$34,D$33,E198&lt;E$35,D$34,E198&gt;=E$35,D$35)</f>
        <v/>
      </c>
      <c r="E198" s="38" t="n">
        <v>148</v>
      </c>
      <c r="F198" s="31">
        <f>E198/52</f>
        <v/>
      </c>
      <c r="G198" s="39">
        <f>D198/1000000*52</f>
        <v/>
      </c>
      <c r="H198" s="33">
        <f>G198/$P$4+($C$22/$P$4)</f>
        <v/>
      </c>
      <c r="I198" s="36">
        <f>_xlfn.IFS(K198&lt;K$24,0,K198&lt;K$26,I$24,K198&lt;K$28,I$26,K198&lt;K$30,I$28,K198&lt;K$32,I$30,K198&lt;K$34,I$32,K198&lt;K$36,I$34,K198&lt;K$38,I$36,K198&lt;K$40,I$38,K198&lt;K$42,I$40,K198&lt;K$44,I$42,K198&lt;K$46,I$44,K198&gt;=K$46,I$46)</f>
        <v/>
      </c>
      <c r="J198" s="37">
        <f>_xlfn.IFS(K198&lt;K$24,0,K198&lt;K$25,J$24,K198&lt;K$26,J$25,K198&lt;K$27,J$26,K198&lt;K$28,J$27,K198&lt;K$29,J$28,K198&lt;K$30,J$29,K198&lt;K$31,J$30,K198&lt;K$32,J$31,K198&lt;K$33,J$32,K198&lt;K$34,J$33,K198&lt;K$35,J$34,K198&lt;K$36,J$35,K198&lt;K$37,J$36,K198&lt;K$38,J$37,K198&lt;K$39,J$38,K198&lt;K$40,J$39,K198&lt;K$41,J$40,K198&lt;K$42,J$41,K198&lt;K$43,J$42,K198&lt;K$44,J$43,K198&lt;K$45,J$44,K198&lt;K$46,J$45,K198&lt;K$47,J$46,K198&gt;=K$47,J$47)</f>
        <v/>
      </c>
      <c r="K198" s="38" t="n">
        <v>148</v>
      </c>
      <c r="L198" s="31">
        <f>K198/52</f>
        <v/>
      </c>
      <c r="M198" s="39">
        <f>J198/1000000*52</f>
        <v/>
      </c>
      <c r="N198" s="33">
        <f>M198/$P$4+($I$22/$P$4)</f>
        <v/>
      </c>
      <c r="U198">
        <f>F197</f>
        <v/>
      </c>
      <c r="V198">
        <f>H197</f>
        <v/>
      </c>
      <c r="W198">
        <f>N197</f>
        <v/>
      </c>
    </row>
    <row r="199" ht="15.75" customHeight="1" s="40">
      <c r="C199" s="36">
        <f>_xlfn.IFS(E199&lt;E$24,0,E199&lt;E$26,C$24,E199&lt;E$28,C$26,E199&lt;E$30,C$28,E199&lt;E$32,C$30,E199&lt;E$34,C$32,E199&gt;=E$34,C$34)</f>
        <v/>
      </c>
      <c r="D199" s="37">
        <f>_xlfn.IFS(E199&lt;E$24,0,E199&lt;E$25,D$24,E199&lt;E$26,D$25,E199&lt;E$27,D$26,E199&lt;E$28,D$27,E199&lt;E$29,D$28,E199&lt;E$30,D$29,E199&lt;E$31,D$30,E199&lt;E$32,D$31,E199&lt;E$33,D$32,E199&lt;E$34,D$33,E199&lt;E$35,D$34,E199&gt;=E$35,D$35)</f>
        <v/>
      </c>
      <c r="E199" s="38" t="n">
        <v>149</v>
      </c>
      <c r="F199" s="31">
        <f>E199/52</f>
        <v/>
      </c>
      <c r="G199" s="39">
        <f>D199/1000000*52</f>
        <v/>
      </c>
      <c r="H199" s="33">
        <f>G199/$P$4+($C$22/$P$4)</f>
        <v/>
      </c>
      <c r="I199" s="36">
        <f>_xlfn.IFS(K199&lt;K$24,0,K199&lt;K$26,I$24,K199&lt;K$28,I$26,K199&lt;K$30,I$28,K199&lt;K$32,I$30,K199&lt;K$34,I$32,K199&lt;K$36,I$34,K199&lt;K$38,I$36,K199&lt;K$40,I$38,K199&lt;K$42,I$40,K199&lt;K$44,I$42,K199&lt;K$46,I$44,K199&gt;=K$46,I$46)</f>
        <v/>
      </c>
      <c r="J199" s="37">
        <f>_xlfn.IFS(K199&lt;K$24,0,K199&lt;K$25,J$24,K199&lt;K$26,J$25,K199&lt;K$27,J$26,K199&lt;K$28,J$27,K199&lt;K$29,J$28,K199&lt;K$30,J$29,K199&lt;K$31,J$30,K199&lt;K$32,J$31,K199&lt;K$33,J$32,K199&lt;K$34,J$33,K199&lt;K$35,J$34,K199&lt;K$36,J$35,K199&lt;K$37,J$36,K199&lt;K$38,J$37,K199&lt;K$39,J$38,K199&lt;K$40,J$39,K199&lt;K$41,J$40,K199&lt;K$42,J$41,K199&lt;K$43,J$42,K199&lt;K$44,J$43,K199&lt;K$45,J$44,K199&lt;K$46,J$45,K199&lt;K$47,J$46,K199&gt;=K$47,J$47)</f>
        <v/>
      </c>
      <c r="K199" s="38" t="n">
        <v>149</v>
      </c>
      <c r="L199" s="31">
        <f>K199/52</f>
        <v/>
      </c>
      <c r="M199" s="39">
        <f>J199/1000000*52</f>
        <v/>
      </c>
      <c r="N199" s="33">
        <f>M199/$P$4+($I$22/$P$4)</f>
        <v/>
      </c>
      <c r="U199">
        <f>F198</f>
        <v/>
      </c>
      <c r="V199">
        <f>H198</f>
        <v/>
      </c>
      <c r="W199">
        <f>N198</f>
        <v/>
      </c>
    </row>
    <row r="200" ht="15.75" customHeight="1" s="40">
      <c r="C200" s="36">
        <f>_xlfn.IFS(E200&lt;E$24,0,E200&lt;E$26,C$24,E200&lt;E$28,C$26,E200&lt;E$30,C$28,E200&lt;E$32,C$30,E200&lt;E$34,C$32,E200&gt;=E$34,C$34)</f>
        <v/>
      </c>
      <c r="D200" s="37">
        <f>_xlfn.IFS(E200&lt;E$24,0,E200&lt;E$25,D$24,E200&lt;E$26,D$25,E200&lt;E$27,D$26,E200&lt;E$28,D$27,E200&lt;E$29,D$28,E200&lt;E$30,D$29,E200&lt;E$31,D$30,E200&lt;E$32,D$31,E200&lt;E$33,D$32,E200&lt;E$34,D$33,E200&lt;E$35,D$34,E200&gt;=E$35,D$35)</f>
        <v/>
      </c>
      <c r="E200" s="38" t="n">
        <v>150</v>
      </c>
      <c r="F200" s="31">
        <f>E200/52</f>
        <v/>
      </c>
      <c r="G200" s="39">
        <f>D200/1000000*52</f>
        <v/>
      </c>
      <c r="H200" s="33">
        <f>G200/$P$4+($C$22/$P$4)</f>
        <v/>
      </c>
      <c r="I200" s="36">
        <f>_xlfn.IFS(K200&lt;K$24,0,K200&lt;K$26,I$24,K200&lt;K$28,I$26,K200&lt;K$30,I$28,K200&lt;K$32,I$30,K200&lt;K$34,I$32,K200&lt;K$36,I$34,K200&lt;K$38,I$36,K200&lt;K$40,I$38,K200&lt;K$42,I$40,K200&lt;K$44,I$42,K200&lt;K$46,I$44,K200&gt;=K$46,I$46)</f>
        <v/>
      </c>
      <c r="J200" s="37">
        <f>_xlfn.IFS(K200&lt;K$24,0,K200&lt;K$25,J$24,K200&lt;K$26,J$25,K200&lt;K$27,J$26,K200&lt;K$28,J$27,K200&lt;K$29,J$28,K200&lt;K$30,J$29,K200&lt;K$31,J$30,K200&lt;K$32,J$31,K200&lt;K$33,J$32,K200&lt;K$34,J$33,K200&lt;K$35,J$34,K200&lt;K$36,J$35,K200&lt;K$37,J$36,K200&lt;K$38,J$37,K200&lt;K$39,J$38,K200&lt;K$40,J$39,K200&lt;K$41,J$40,K200&lt;K$42,J$41,K200&lt;K$43,J$42,K200&lt;K$44,J$43,K200&lt;K$45,J$44,K200&lt;K$46,J$45,K200&lt;K$47,J$46,K200&gt;=K$47,J$47)</f>
        <v/>
      </c>
      <c r="K200" s="38" t="n">
        <v>150</v>
      </c>
      <c r="L200" s="31">
        <f>K200/52</f>
        <v/>
      </c>
      <c r="M200" s="39">
        <f>J200/1000000*52</f>
        <v/>
      </c>
      <c r="N200" s="33">
        <f>M200/$P$4+($I$22/$P$4)</f>
        <v/>
      </c>
      <c r="U200">
        <f>F199</f>
        <v/>
      </c>
      <c r="V200">
        <f>H199</f>
        <v/>
      </c>
      <c r="W200">
        <f>N199</f>
        <v/>
      </c>
    </row>
    <row r="201" ht="15.75" customHeight="1" s="40">
      <c r="C201" s="36">
        <f>_xlfn.IFS(E201&lt;E$24,0,E201&lt;E$26,C$24,E201&lt;E$28,C$26,E201&lt;E$30,C$28,E201&lt;E$32,C$30,E201&lt;E$34,C$32,E201&gt;=E$34,C$34)</f>
        <v/>
      </c>
      <c r="D201" s="37">
        <f>_xlfn.IFS(E201&lt;E$24,0,E201&lt;E$25,D$24,E201&lt;E$26,D$25,E201&lt;E$27,D$26,E201&lt;E$28,D$27,E201&lt;E$29,D$28,E201&lt;E$30,D$29,E201&lt;E$31,D$30,E201&lt;E$32,D$31,E201&lt;E$33,D$32,E201&lt;E$34,D$33,E201&lt;E$35,D$34,E201&gt;=E$35,D$35)</f>
        <v/>
      </c>
      <c r="E201" s="38" t="n">
        <v>151</v>
      </c>
      <c r="F201" s="31">
        <f>E201/52</f>
        <v/>
      </c>
      <c r="G201" s="39">
        <f>D201/1000000*52</f>
        <v/>
      </c>
      <c r="H201" s="33">
        <f>G201/$P$4+($C$22/$P$4)</f>
        <v/>
      </c>
      <c r="I201" s="36">
        <f>_xlfn.IFS(K201&lt;K$24,0,K201&lt;K$26,I$24,K201&lt;K$28,I$26,K201&lt;K$30,I$28,K201&lt;K$32,I$30,K201&lt;K$34,I$32,K201&lt;K$36,I$34,K201&lt;K$38,I$36,K201&lt;K$40,I$38,K201&lt;K$42,I$40,K201&lt;K$44,I$42,K201&lt;K$46,I$44,K201&gt;=K$46,I$46)</f>
        <v/>
      </c>
      <c r="J201" s="37">
        <f>_xlfn.IFS(K201&lt;K$24,0,K201&lt;K$25,J$24,K201&lt;K$26,J$25,K201&lt;K$27,J$26,K201&lt;K$28,J$27,K201&lt;K$29,J$28,K201&lt;K$30,J$29,K201&lt;K$31,J$30,K201&lt;K$32,J$31,K201&lt;K$33,J$32,K201&lt;K$34,J$33,K201&lt;K$35,J$34,K201&lt;K$36,J$35,K201&lt;K$37,J$36,K201&lt;K$38,J$37,K201&lt;K$39,J$38,K201&lt;K$40,J$39,K201&lt;K$41,J$40,K201&lt;K$42,J$41,K201&lt;K$43,J$42,K201&lt;K$44,J$43,K201&lt;K$45,J$44,K201&lt;K$46,J$45,K201&lt;K$47,J$46,K201&gt;=K$47,J$47)</f>
        <v/>
      </c>
      <c r="K201" s="38" t="n">
        <v>151</v>
      </c>
      <c r="L201" s="31">
        <f>K201/52</f>
        <v/>
      </c>
      <c r="M201" s="39">
        <f>J201/1000000*52</f>
        <v/>
      </c>
      <c r="N201" s="33">
        <f>M201/$P$4+($I$22/$P$4)</f>
        <v/>
      </c>
      <c r="U201">
        <f>F200</f>
        <v/>
      </c>
      <c r="V201">
        <f>H200</f>
        <v/>
      </c>
      <c r="W201">
        <f>N200</f>
        <v/>
      </c>
    </row>
    <row r="202" ht="15.75" customHeight="1" s="40">
      <c r="C202" s="36">
        <f>_xlfn.IFS(E202&lt;E$24,0,E202&lt;E$26,C$24,E202&lt;E$28,C$26,E202&lt;E$30,C$28,E202&lt;E$32,C$30,E202&lt;E$34,C$32,E202&gt;=E$34,C$34)</f>
        <v/>
      </c>
      <c r="D202" s="37">
        <f>_xlfn.IFS(E202&lt;E$24,0,E202&lt;E$25,D$24,E202&lt;E$26,D$25,E202&lt;E$27,D$26,E202&lt;E$28,D$27,E202&lt;E$29,D$28,E202&lt;E$30,D$29,E202&lt;E$31,D$30,E202&lt;E$32,D$31,E202&lt;E$33,D$32,E202&lt;E$34,D$33,E202&lt;E$35,D$34,E202&gt;=E$35,D$35)</f>
        <v/>
      </c>
      <c r="E202" s="38" t="n">
        <v>152</v>
      </c>
      <c r="F202" s="31">
        <f>E202/52</f>
        <v/>
      </c>
      <c r="G202" s="39">
        <f>D202/1000000*52</f>
        <v/>
      </c>
      <c r="H202" s="33">
        <f>G202/$P$4+($C$22/$P$4)</f>
        <v/>
      </c>
      <c r="I202" s="36">
        <f>_xlfn.IFS(K202&lt;K$24,0,K202&lt;K$26,I$24,K202&lt;K$28,I$26,K202&lt;K$30,I$28,K202&lt;K$32,I$30,K202&lt;K$34,I$32,K202&lt;K$36,I$34,K202&lt;K$38,I$36,K202&lt;K$40,I$38,K202&lt;K$42,I$40,K202&lt;K$44,I$42,K202&lt;K$46,I$44,K202&gt;=K$46,I$46)</f>
        <v/>
      </c>
      <c r="J202" s="37">
        <f>_xlfn.IFS(K202&lt;K$24,0,K202&lt;K$25,J$24,K202&lt;K$26,J$25,K202&lt;K$27,J$26,K202&lt;K$28,J$27,K202&lt;K$29,J$28,K202&lt;K$30,J$29,K202&lt;K$31,J$30,K202&lt;K$32,J$31,K202&lt;K$33,J$32,K202&lt;K$34,J$33,K202&lt;K$35,J$34,K202&lt;K$36,J$35,K202&lt;K$37,J$36,K202&lt;K$38,J$37,K202&lt;K$39,J$38,K202&lt;K$40,J$39,K202&lt;K$41,J$40,K202&lt;K$42,J$41,K202&lt;K$43,J$42,K202&lt;K$44,J$43,K202&lt;K$45,J$44,K202&lt;K$46,J$45,K202&lt;K$47,J$46,K202&gt;=K$47,J$47)</f>
        <v/>
      </c>
      <c r="K202" s="38" t="n">
        <v>152</v>
      </c>
      <c r="L202" s="31">
        <f>K202/52</f>
        <v/>
      </c>
      <c r="M202" s="39">
        <f>J202/1000000*52</f>
        <v/>
      </c>
      <c r="N202" s="33">
        <f>M202/$P$4+($I$22/$P$4)</f>
        <v/>
      </c>
      <c r="U202">
        <f>F201</f>
        <v/>
      </c>
      <c r="V202">
        <f>H201</f>
        <v/>
      </c>
      <c r="W202">
        <f>N201</f>
        <v/>
      </c>
    </row>
    <row r="203" ht="15.75" customHeight="1" s="40">
      <c r="C203" s="36">
        <f>_xlfn.IFS(E203&lt;E$24,0,E203&lt;E$26,C$24,E203&lt;E$28,C$26,E203&lt;E$30,C$28,E203&lt;E$32,C$30,E203&lt;E$34,C$32,E203&gt;=E$34,C$34)</f>
        <v/>
      </c>
      <c r="D203" s="37">
        <f>_xlfn.IFS(E203&lt;E$24,0,E203&lt;E$25,D$24,E203&lt;E$26,D$25,E203&lt;E$27,D$26,E203&lt;E$28,D$27,E203&lt;E$29,D$28,E203&lt;E$30,D$29,E203&lt;E$31,D$30,E203&lt;E$32,D$31,E203&lt;E$33,D$32,E203&lt;E$34,D$33,E203&lt;E$35,D$34,E203&gt;=E$35,D$35)</f>
        <v/>
      </c>
      <c r="E203" s="38" t="n">
        <v>153</v>
      </c>
      <c r="F203" s="31">
        <f>E203/52</f>
        <v/>
      </c>
      <c r="G203" s="39">
        <f>D203/1000000*52</f>
        <v/>
      </c>
      <c r="H203" s="33">
        <f>G203/$P$4+($C$22/$P$4)</f>
        <v/>
      </c>
      <c r="I203" s="36">
        <f>_xlfn.IFS(K203&lt;K$24,0,K203&lt;K$26,I$24,K203&lt;K$28,I$26,K203&lt;K$30,I$28,K203&lt;K$32,I$30,K203&lt;K$34,I$32,K203&lt;K$36,I$34,K203&lt;K$38,I$36,K203&lt;K$40,I$38,K203&lt;K$42,I$40,K203&lt;K$44,I$42,K203&lt;K$46,I$44,K203&gt;=K$46,I$46)</f>
        <v/>
      </c>
      <c r="J203" s="37">
        <f>_xlfn.IFS(K203&lt;K$24,0,K203&lt;K$25,J$24,K203&lt;K$26,J$25,K203&lt;K$27,J$26,K203&lt;K$28,J$27,K203&lt;K$29,J$28,K203&lt;K$30,J$29,K203&lt;K$31,J$30,K203&lt;K$32,J$31,K203&lt;K$33,J$32,K203&lt;K$34,J$33,K203&lt;K$35,J$34,K203&lt;K$36,J$35,K203&lt;K$37,J$36,K203&lt;K$38,J$37,K203&lt;K$39,J$38,K203&lt;K$40,J$39,K203&lt;K$41,J$40,K203&lt;K$42,J$41,K203&lt;K$43,J$42,K203&lt;K$44,J$43,K203&lt;K$45,J$44,K203&lt;K$46,J$45,K203&lt;K$47,J$46,K203&gt;=K$47,J$47)</f>
        <v/>
      </c>
      <c r="K203" s="38" t="n">
        <v>153</v>
      </c>
      <c r="L203" s="31">
        <f>K203/52</f>
        <v/>
      </c>
      <c r="M203" s="39">
        <f>J203/1000000*52</f>
        <v/>
      </c>
      <c r="N203" s="33">
        <f>M203/$P$4+($I$22/$P$4)</f>
        <v/>
      </c>
      <c r="U203">
        <f>F202</f>
        <v/>
      </c>
      <c r="V203">
        <f>H202</f>
        <v/>
      </c>
      <c r="W203">
        <f>N202</f>
        <v/>
      </c>
    </row>
    <row r="204" ht="15.75" customHeight="1" s="40">
      <c r="C204" s="36">
        <f>_xlfn.IFS(E204&lt;E$24,0,E204&lt;E$26,C$24,E204&lt;E$28,C$26,E204&lt;E$30,C$28,E204&lt;E$32,C$30,E204&lt;E$34,C$32,E204&gt;=E$34,C$34)</f>
        <v/>
      </c>
      <c r="D204" s="37">
        <f>_xlfn.IFS(E204&lt;E$24,0,E204&lt;E$25,D$24,E204&lt;E$26,D$25,E204&lt;E$27,D$26,E204&lt;E$28,D$27,E204&lt;E$29,D$28,E204&lt;E$30,D$29,E204&lt;E$31,D$30,E204&lt;E$32,D$31,E204&lt;E$33,D$32,E204&lt;E$34,D$33,E204&lt;E$35,D$34,E204&gt;=E$35,D$35)</f>
        <v/>
      </c>
      <c r="E204" s="38" t="n">
        <v>154</v>
      </c>
      <c r="F204" s="31">
        <f>E204/52</f>
        <v/>
      </c>
      <c r="G204" s="39">
        <f>D204/1000000*52</f>
        <v/>
      </c>
      <c r="H204" s="33">
        <f>G204/$P$4+($C$22/$P$4)</f>
        <v/>
      </c>
      <c r="I204" s="36">
        <f>_xlfn.IFS(K204&lt;K$24,0,K204&lt;K$26,I$24,K204&lt;K$28,I$26,K204&lt;K$30,I$28,K204&lt;K$32,I$30,K204&lt;K$34,I$32,K204&lt;K$36,I$34,K204&lt;K$38,I$36,K204&lt;K$40,I$38,K204&lt;K$42,I$40,K204&lt;K$44,I$42,K204&lt;K$46,I$44,K204&gt;=K$46,I$46)</f>
        <v/>
      </c>
      <c r="J204" s="37">
        <f>_xlfn.IFS(K204&lt;K$24,0,K204&lt;K$25,J$24,K204&lt;K$26,J$25,K204&lt;K$27,J$26,K204&lt;K$28,J$27,K204&lt;K$29,J$28,K204&lt;K$30,J$29,K204&lt;K$31,J$30,K204&lt;K$32,J$31,K204&lt;K$33,J$32,K204&lt;K$34,J$33,K204&lt;K$35,J$34,K204&lt;K$36,J$35,K204&lt;K$37,J$36,K204&lt;K$38,J$37,K204&lt;K$39,J$38,K204&lt;K$40,J$39,K204&lt;K$41,J$40,K204&lt;K$42,J$41,K204&lt;K$43,J$42,K204&lt;K$44,J$43,K204&lt;K$45,J$44,K204&lt;K$46,J$45,K204&lt;K$47,J$46,K204&gt;=K$47,J$47)</f>
        <v/>
      </c>
      <c r="K204" s="38" t="n">
        <v>154</v>
      </c>
      <c r="L204" s="31">
        <f>K204/52</f>
        <v/>
      </c>
      <c r="M204" s="39">
        <f>J204/1000000*52</f>
        <v/>
      </c>
      <c r="N204" s="33">
        <f>M204/$P$4+($I$22/$P$4)</f>
        <v/>
      </c>
      <c r="U204">
        <f>F203</f>
        <v/>
      </c>
      <c r="V204">
        <f>H203</f>
        <v/>
      </c>
      <c r="W204">
        <f>N203</f>
        <v/>
      </c>
    </row>
    <row r="205" ht="15.75" customHeight="1" s="40">
      <c r="C205" s="36">
        <f>_xlfn.IFS(E205&lt;E$24,0,E205&lt;E$26,C$24,E205&lt;E$28,C$26,E205&lt;E$30,C$28,E205&lt;E$32,C$30,E205&lt;E$34,C$32,E205&gt;=E$34,C$34)</f>
        <v/>
      </c>
      <c r="D205" s="37">
        <f>_xlfn.IFS(E205&lt;E$24,0,E205&lt;E$25,D$24,E205&lt;E$26,D$25,E205&lt;E$27,D$26,E205&lt;E$28,D$27,E205&lt;E$29,D$28,E205&lt;E$30,D$29,E205&lt;E$31,D$30,E205&lt;E$32,D$31,E205&lt;E$33,D$32,E205&lt;E$34,D$33,E205&lt;E$35,D$34,E205&gt;=E$35,D$35)</f>
        <v/>
      </c>
      <c r="E205" s="38" t="n">
        <v>155</v>
      </c>
      <c r="F205" s="31">
        <f>E205/52</f>
        <v/>
      </c>
      <c r="G205" s="39">
        <f>D205/1000000*52</f>
        <v/>
      </c>
      <c r="H205" s="33">
        <f>G205/$P$4+($C$22/$P$4)</f>
        <v/>
      </c>
      <c r="I205" s="36">
        <f>_xlfn.IFS(K205&lt;K$24,0,K205&lt;K$26,I$24,K205&lt;K$28,I$26,K205&lt;K$30,I$28,K205&lt;K$32,I$30,K205&lt;K$34,I$32,K205&lt;K$36,I$34,K205&lt;K$38,I$36,K205&lt;K$40,I$38,K205&lt;K$42,I$40,K205&lt;K$44,I$42,K205&lt;K$46,I$44,K205&gt;=K$46,I$46)</f>
        <v/>
      </c>
      <c r="J205" s="37">
        <f>_xlfn.IFS(K205&lt;K$24,0,K205&lt;K$25,J$24,K205&lt;K$26,J$25,K205&lt;K$27,J$26,K205&lt;K$28,J$27,K205&lt;K$29,J$28,K205&lt;K$30,J$29,K205&lt;K$31,J$30,K205&lt;K$32,J$31,K205&lt;K$33,J$32,K205&lt;K$34,J$33,K205&lt;K$35,J$34,K205&lt;K$36,J$35,K205&lt;K$37,J$36,K205&lt;K$38,J$37,K205&lt;K$39,J$38,K205&lt;K$40,J$39,K205&lt;K$41,J$40,K205&lt;K$42,J$41,K205&lt;K$43,J$42,K205&lt;K$44,J$43,K205&lt;K$45,J$44,K205&lt;K$46,J$45,K205&lt;K$47,J$46,K205&gt;=K$47,J$47)</f>
        <v/>
      </c>
      <c r="K205" s="38" t="n">
        <v>155</v>
      </c>
      <c r="L205" s="31">
        <f>K205/52</f>
        <v/>
      </c>
      <c r="M205" s="39">
        <f>J205/1000000*52</f>
        <v/>
      </c>
      <c r="N205" s="33">
        <f>M205/$P$4+($I$22/$P$4)</f>
        <v/>
      </c>
      <c r="U205">
        <f>F204</f>
        <v/>
      </c>
      <c r="V205">
        <f>H204</f>
        <v/>
      </c>
      <c r="W205">
        <f>N204</f>
        <v/>
      </c>
    </row>
    <row r="206" ht="15.75" customHeight="1" s="40">
      <c r="C206" s="36">
        <f>_xlfn.IFS(E206&lt;E$24,0,E206&lt;E$26,C$24,E206&lt;E$28,C$26,E206&lt;E$30,C$28,E206&lt;E$32,C$30,E206&lt;E$34,C$32,E206&gt;=E$34,C$34)</f>
        <v/>
      </c>
      <c r="D206" s="37">
        <f>_xlfn.IFS(E206&lt;E$24,0,E206&lt;E$25,D$24,E206&lt;E$26,D$25,E206&lt;E$27,D$26,E206&lt;E$28,D$27,E206&lt;E$29,D$28,E206&lt;E$30,D$29,E206&lt;E$31,D$30,E206&lt;E$32,D$31,E206&lt;E$33,D$32,E206&lt;E$34,D$33,E206&lt;E$35,D$34,E206&gt;=E$35,D$35)</f>
        <v/>
      </c>
      <c r="E206" s="38" t="n">
        <v>156</v>
      </c>
      <c r="F206" s="31">
        <f>E206/52</f>
        <v/>
      </c>
      <c r="G206" s="39">
        <f>D206/1000000*52</f>
        <v/>
      </c>
      <c r="H206" s="33">
        <f>G206/$P$4+($C$22/$P$4)</f>
        <v/>
      </c>
      <c r="I206" s="36">
        <f>_xlfn.IFS(K206&lt;K$24,0,K206&lt;K$26,I$24,K206&lt;K$28,I$26,K206&lt;K$30,I$28,K206&lt;K$32,I$30,K206&lt;K$34,I$32,K206&lt;K$36,I$34,K206&lt;K$38,I$36,K206&lt;K$40,I$38,K206&lt;K$42,I$40,K206&lt;K$44,I$42,K206&lt;K$46,I$44,K206&gt;=K$46,I$46)</f>
        <v/>
      </c>
      <c r="J206" s="37">
        <f>_xlfn.IFS(K206&lt;K$24,0,K206&lt;K$25,J$24,K206&lt;K$26,J$25,K206&lt;K$27,J$26,K206&lt;K$28,J$27,K206&lt;K$29,J$28,K206&lt;K$30,J$29,K206&lt;K$31,J$30,K206&lt;K$32,J$31,K206&lt;K$33,J$32,K206&lt;K$34,J$33,K206&lt;K$35,J$34,K206&lt;K$36,J$35,K206&lt;K$37,J$36,K206&lt;K$38,J$37,K206&lt;K$39,J$38,K206&lt;K$40,J$39,K206&lt;K$41,J$40,K206&lt;K$42,J$41,K206&lt;K$43,J$42,K206&lt;K$44,J$43,K206&lt;K$45,J$44,K206&lt;K$46,J$45,K206&lt;K$47,J$46,K206&gt;=K$47,J$47)</f>
        <v/>
      </c>
      <c r="K206" s="38" t="n">
        <v>156</v>
      </c>
      <c r="L206" s="31">
        <f>K206/52</f>
        <v/>
      </c>
      <c r="M206" s="39">
        <f>J206/1000000*52</f>
        <v/>
      </c>
      <c r="N206" s="33">
        <f>M206/$P$4+($I$22/$P$4)</f>
        <v/>
      </c>
      <c r="U206">
        <f>F205</f>
        <v/>
      </c>
      <c r="V206">
        <f>H205</f>
        <v/>
      </c>
      <c r="W206">
        <f>N205</f>
        <v/>
      </c>
    </row>
    <row r="207" ht="15.75" customHeight="1" s="40">
      <c r="C207" s="36">
        <f>_xlfn.IFS(E207&lt;E$24,0,E207&lt;E$26,C$24,E207&lt;E$28,C$26,E207&lt;E$30,C$28,E207&lt;E$32,C$30,E207&lt;E$34,C$32,E207&gt;=E$34,C$34)</f>
        <v/>
      </c>
      <c r="D207" s="37">
        <f>_xlfn.IFS(E207&lt;E$24,0,E207&lt;E$25,D$24,E207&lt;E$26,D$25,E207&lt;E$27,D$26,E207&lt;E$28,D$27,E207&lt;E$29,D$28,E207&lt;E$30,D$29,E207&lt;E$31,D$30,E207&lt;E$32,D$31,E207&lt;E$33,D$32,E207&lt;E$34,D$33,E207&lt;E$35,D$34,E207&gt;=E$35,D$35)</f>
        <v/>
      </c>
      <c r="E207" s="38" t="n">
        <v>157</v>
      </c>
      <c r="F207" s="31">
        <f>E207/52</f>
        <v/>
      </c>
      <c r="G207" s="39">
        <f>D207/1000000*52</f>
        <v/>
      </c>
      <c r="H207" s="33">
        <f>G207/$P$4+($C$22/$P$4)</f>
        <v/>
      </c>
      <c r="I207" s="36">
        <f>_xlfn.IFS(K207&lt;K$24,0,K207&lt;K$26,I$24,K207&lt;K$28,I$26,K207&lt;K$30,I$28,K207&lt;K$32,I$30,K207&lt;K$34,I$32,K207&lt;K$36,I$34,K207&lt;K$38,I$36,K207&lt;K$40,I$38,K207&lt;K$42,I$40,K207&lt;K$44,I$42,K207&lt;K$46,I$44,K207&gt;=K$46,I$46)</f>
        <v/>
      </c>
      <c r="J207" s="37">
        <f>_xlfn.IFS(K207&lt;K$24,0,K207&lt;K$25,J$24,K207&lt;K$26,J$25,K207&lt;K$27,J$26,K207&lt;K$28,J$27,K207&lt;K$29,J$28,K207&lt;K$30,J$29,K207&lt;K$31,J$30,K207&lt;K$32,J$31,K207&lt;K$33,J$32,K207&lt;K$34,J$33,K207&lt;K$35,J$34,K207&lt;K$36,J$35,K207&lt;K$37,J$36,K207&lt;K$38,J$37,K207&lt;K$39,J$38,K207&lt;K$40,J$39,K207&lt;K$41,J$40,K207&lt;K$42,J$41,K207&lt;K$43,J$42,K207&lt;K$44,J$43,K207&lt;K$45,J$44,K207&lt;K$46,J$45,K207&lt;K$47,J$46,K207&gt;=K$47,J$47)</f>
        <v/>
      </c>
      <c r="K207" s="38" t="n">
        <v>157</v>
      </c>
      <c r="L207" s="31">
        <f>K207/52</f>
        <v/>
      </c>
      <c r="M207" s="39">
        <f>J207/1000000*52</f>
        <v/>
      </c>
      <c r="N207" s="33">
        <f>M207/$P$4+($I$22/$P$4)</f>
        <v/>
      </c>
      <c r="U207">
        <f>F206</f>
        <v/>
      </c>
      <c r="V207">
        <f>H206</f>
        <v/>
      </c>
      <c r="W207">
        <f>N206</f>
        <v/>
      </c>
    </row>
    <row r="208" ht="15.75" customHeight="1" s="40">
      <c r="C208" s="36">
        <f>_xlfn.IFS(E208&lt;E$24,0,E208&lt;E$26,C$24,E208&lt;E$28,C$26,E208&lt;E$30,C$28,E208&lt;E$32,C$30,E208&lt;E$34,C$32,E208&gt;=E$34,C$34)</f>
        <v/>
      </c>
      <c r="D208" s="37">
        <f>_xlfn.IFS(E208&lt;E$24,0,E208&lt;E$25,D$24,E208&lt;E$26,D$25,E208&lt;E$27,D$26,E208&lt;E$28,D$27,E208&lt;E$29,D$28,E208&lt;E$30,D$29,E208&lt;E$31,D$30,E208&lt;E$32,D$31,E208&lt;E$33,D$32,E208&lt;E$34,D$33,E208&lt;E$35,D$34,E208&gt;=E$35,D$35)</f>
        <v/>
      </c>
      <c r="E208" s="38" t="n">
        <v>158</v>
      </c>
      <c r="F208" s="31">
        <f>E208/52</f>
        <v/>
      </c>
      <c r="G208" s="39">
        <f>D208/1000000*52</f>
        <v/>
      </c>
      <c r="H208" s="33">
        <f>G208/$P$4+($C$22/$P$4)</f>
        <v/>
      </c>
      <c r="I208" s="36">
        <f>_xlfn.IFS(K208&lt;K$24,0,K208&lt;K$26,I$24,K208&lt;K$28,I$26,K208&lt;K$30,I$28,K208&lt;K$32,I$30,K208&lt;K$34,I$32,K208&lt;K$36,I$34,K208&lt;K$38,I$36,K208&lt;K$40,I$38,K208&lt;K$42,I$40,K208&lt;K$44,I$42,K208&lt;K$46,I$44,K208&gt;=K$46,I$46)</f>
        <v/>
      </c>
      <c r="J208" s="37">
        <f>_xlfn.IFS(K208&lt;K$24,0,K208&lt;K$25,J$24,K208&lt;K$26,J$25,K208&lt;K$27,J$26,K208&lt;K$28,J$27,K208&lt;K$29,J$28,K208&lt;K$30,J$29,K208&lt;K$31,J$30,K208&lt;K$32,J$31,K208&lt;K$33,J$32,K208&lt;K$34,J$33,K208&lt;K$35,J$34,K208&lt;K$36,J$35,K208&lt;K$37,J$36,K208&lt;K$38,J$37,K208&lt;K$39,J$38,K208&lt;K$40,J$39,K208&lt;K$41,J$40,K208&lt;K$42,J$41,K208&lt;K$43,J$42,K208&lt;K$44,J$43,K208&lt;K$45,J$44,K208&lt;K$46,J$45,K208&lt;K$47,J$46,K208&gt;=K$47,J$47)</f>
        <v/>
      </c>
      <c r="K208" s="38" t="n">
        <v>158</v>
      </c>
      <c r="L208" s="31">
        <f>K208/52</f>
        <v/>
      </c>
      <c r="M208" s="39">
        <f>J208/1000000*52</f>
        <v/>
      </c>
      <c r="N208" s="33">
        <f>M208/$P$4+($I$22/$P$4)</f>
        <v/>
      </c>
      <c r="U208">
        <f>F207</f>
        <v/>
      </c>
      <c r="V208">
        <f>H207</f>
        <v/>
      </c>
      <c r="W208">
        <f>N207</f>
        <v/>
      </c>
    </row>
    <row r="209" ht="15.75" customHeight="1" s="40">
      <c r="C209" s="36">
        <f>_xlfn.IFS(E209&lt;E$24,0,E209&lt;E$26,C$24,E209&lt;E$28,C$26,E209&lt;E$30,C$28,E209&lt;E$32,C$30,E209&lt;E$34,C$32,E209&gt;=E$34,C$34)</f>
        <v/>
      </c>
      <c r="D209" s="37">
        <f>_xlfn.IFS(E209&lt;E$24,0,E209&lt;E$25,D$24,E209&lt;E$26,D$25,E209&lt;E$27,D$26,E209&lt;E$28,D$27,E209&lt;E$29,D$28,E209&lt;E$30,D$29,E209&lt;E$31,D$30,E209&lt;E$32,D$31,E209&lt;E$33,D$32,E209&lt;E$34,D$33,E209&lt;E$35,D$34,E209&gt;=E$35,D$35)</f>
        <v/>
      </c>
      <c r="E209" s="38" t="n">
        <v>159</v>
      </c>
      <c r="F209" s="31">
        <f>E209/52</f>
        <v/>
      </c>
      <c r="G209" s="39">
        <f>D209/1000000*52</f>
        <v/>
      </c>
      <c r="H209" s="33">
        <f>G209/$P$4+($C$22/$P$4)</f>
        <v/>
      </c>
      <c r="I209" s="36">
        <f>_xlfn.IFS(K209&lt;K$24,0,K209&lt;K$26,I$24,K209&lt;K$28,I$26,K209&lt;K$30,I$28,K209&lt;K$32,I$30,K209&lt;K$34,I$32,K209&lt;K$36,I$34,K209&lt;K$38,I$36,K209&lt;K$40,I$38,K209&lt;K$42,I$40,K209&lt;K$44,I$42,K209&lt;K$46,I$44,K209&gt;=K$46,I$46)</f>
        <v/>
      </c>
      <c r="J209" s="37">
        <f>_xlfn.IFS(K209&lt;K$24,0,K209&lt;K$25,J$24,K209&lt;K$26,J$25,K209&lt;K$27,J$26,K209&lt;K$28,J$27,K209&lt;K$29,J$28,K209&lt;K$30,J$29,K209&lt;K$31,J$30,K209&lt;K$32,J$31,K209&lt;K$33,J$32,K209&lt;K$34,J$33,K209&lt;K$35,J$34,K209&lt;K$36,J$35,K209&lt;K$37,J$36,K209&lt;K$38,J$37,K209&lt;K$39,J$38,K209&lt;K$40,J$39,K209&lt;K$41,J$40,K209&lt;K$42,J$41,K209&lt;K$43,J$42,K209&lt;K$44,J$43,K209&lt;K$45,J$44,K209&lt;K$46,J$45,K209&lt;K$47,J$46,K209&gt;=K$47,J$47)</f>
        <v/>
      </c>
      <c r="K209" s="38" t="n">
        <v>159</v>
      </c>
      <c r="L209" s="31">
        <f>K209/52</f>
        <v/>
      </c>
      <c r="M209" s="39">
        <f>J209/1000000*52</f>
        <v/>
      </c>
      <c r="N209" s="33">
        <f>M209/$P$4+($I$22/$P$4)</f>
        <v/>
      </c>
      <c r="U209">
        <f>F208</f>
        <v/>
      </c>
      <c r="V209">
        <f>H208</f>
        <v/>
      </c>
      <c r="W209">
        <f>N208</f>
        <v/>
      </c>
    </row>
    <row r="210" ht="15.75" customHeight="1" s="40">
      <c r="C210" s="36">
        <f>_xlfn.IFS(E210&lt;E$24,0,E210&lt;E$26,C$24,E210&lt;E$28,C$26,E210&lt;E$30,C$28,E210&lt;E$32,C$30,E210&lt;E$34,C$32,E210&gt;=E$34,C$34)</f>
        <v/>
      </c>
      <c r="D210" s="37">
        <f>_xlfn.IFS(E210&lt;E$24,0,E210&lt;E$25,D$24,E210&lt;E$26,D$25,E210&lt;E$27,D$26,E210&lt;E$28,D$27,E210&lt;E$29,D$28,E210&lt;E$30,D$29,E210&lt;E$31,D$30,E210&lt;E$32,D$31,E210&lt;E$33,D$32,E210&lt;E$34,D$33,E210&lt;E$35,D$34,E210&gt;=E$35,D$35)</f>
        <v/>
      </c>
      <c r="E210" s="38" t="n">
        <v>160</v>
      </c>
      <c r="F210" s="31">
        <f>E210/52</f>
        <v/>
      </c>
      <c r="G210" s="39">
        <f>D210/1000000*52</f>
        <v/>
      </c>
      <c r="H210" s="33">
        <f>G210/$P$4+($C$22/$P$4)</f>
        <v/>
      </c>
      <c r="I210" s="36">
        <f>_xlfn.IFS(K210&lt;K$24,0,K210&lt;K$26,I$24,K210&lt;K$28,I$26,K210&lt;K$30,I$28,K210&lt;K$32,I$30,K210&lt;K$34,I$32,K210&lt;K$36,I$34,K210&lt;K$38,I$36,K210&lt;K$40,I$38,K210&lt;K$42,I$40,K210&lt;K$44,I$42,K210&lt;K$46,I$44,K210&gt;=K$46,I$46)</f>
        <v/>
      </c>
      <c r="J210" s="37">
        <f>_xlfn.IFS(K210&lt;K$24,0,K210&lt;K$25,J$24,K210&lt;K$26,J$25,K210&lt;K$27,J$26,K210&lt;K$28,J$27,K210&lt;K$29,J$28,K210&lt;K$30,J$29,K210&lt;K$31,J$30,K210&lt;K$32,J$31,K210&lt;K$33,J$32,K210&lt;K$34,J$33,K210&lt;K$35,J$34,K210&lt;K$36,J$35,K210&lt;K$37,J$36,K210&lt;K$38,J$37,K210&lt;K$39,J$38,K210&lt;K$40,J$39,K210&lt;K$41,J$40,K210&lt;K$42,J$41,K210&lt;K$43,J$42,K210&lt;K$44,J$43,K210&lt;K$45,J$44,K210&lt;K$46,J$45,K210&lt;K$47,J$46,K210&gt;=K$47,J$47)</f>
        <v/>
      </c>
      <c r="K210" s="38" t="n">
        <v>160</v>
      </c>
      <c r="L210" s="31">
        <f>K210/52</f>
        <v/>
      </c>
      <c r="M210" s="39">
        <f>J210/1000000*52</f>
        <v/>
      </c>
      <c r="N210" s="33">
        <f>M210/$P$4+($I$22/$P$4)</f>
        <v/>
      </c>
      <c r="U210">
        <f>F209</f>
        <v/>
      </c>
      <c r="V210">
        <f>H209</f>
        <v/>
      </c>
      <c r="W210">
        <f>N209</f>
        <v/>
      </c>
    </row>
    <row r="211" ht="15.75" customHeight="1" s="40">
      <c r="C211" s="36">
        <f>_xlfn.IFS(E211&lt;E$24,0,E211&lt;E$26,C$24,E211&lt;E$28,C$26,E211&lt;E$30,C$28,E211&lt;E$32,C$30,E211&lt;E$34,C$32,E211&gt;=E$34,C$34)</f>
        <v/>
      </c>
      <c r="D211" s="37">
        <f>_xlfn.IFS(E211&lt;E$24,0,E211&lt;E$25,D$24,E211&lt;E$26,D$25,E211&lt;E$27,D$26,E211&lt;E$28,D$27,E211&lt;E$29,D$28,E211&lt;E$30,D$29,E211&lt;E$31,D$30,E211&lt;E$32,D$31,E211&lt;E$33,D$32,E211&lt;E$34,D$33,E211&lt;E$35,D$34,E211&gt;=E$35,D$35)</f>
        <v/>
      </c>
      <c r="E211" s="38" t="n">
        <v>161</v>
      </c>
      <c r="F211" s="31">
        <f>E211/52</f>
        <v/>
      </c>
      <c r="G211" s="39">
        <f>D211/1000000*52</f>
        <v/>
      </c>
      <c r="H211" s="33">
        <f>G211/$P$4+($C$22/$P$4)</f>
        <v/>
      </c>
      <c r="I211" s="36">
        <f>_xlfn.IFS(K211&lt;K$24,0,K211&lt;K$26,I$24,K211&lt;K$28,I$26,K211&lt;K$30,I$28,K211&lt;K$32,I$30,K211&lt;K$34,I$32,K211&lt;K$36,I$34,K211&lt;K$38,I$36,K211&lt;K$40,I$38,K211&lt;K$42,I$40,K211&lt;K$44,I$42,K211&lt;K$46,I$44,K211&gt;=K$46,I$46)</f>
        <v/>
      </c>
      <c r="J211" s="37">
        <f>_xlfn.IFS(K211&lt;K$24,0,K211&lt;K$25,J$24,K211&lt;K$26,J$25,K211&lt;K$27,J$26,K211&lt;K$28,J$27,K211&lt;K$29,J$28,K211&lt;K$30,J$29,K211&lt;K$31,J$30,K211&lt;K$32,J$31,K211&lt;K$33,J$32,K211&lt;K$34,J$33,K211&lt;K$35,J$34,K211&lt;K$36,J$35,K211&lt;K$37,J$36,K211&lt;K$38,J$37,K211&lt;K$39,J$38,K211&lt;K$40,J$39,K211&lt;K$41,J$40,K211&lt;K$42,J$41,K211&lt;K$43,J$42,K211&lt;K$44,J$43,K211&lt;K$45,J$44,K211&lt;K$46,J$45,K211&lt;K$47,J$46,K211&gt;=K$47,J$47)</f>
        <v/>
      </c>
      <c r="K211" s="38" t="n">
        <v>161</v>
      </c>
      <c r="L211" s="31">
        <f>K211/52</f>
        <v/>
      </c>
      <c r="M211" s="39">
        <f>J211/1000000*52</f>
        <v/>
      </c>
      <c r="N211" s="33">
        <f>M211/$P$4+($I$22/$P$4)</f>
        <v/>
      </c>
      <c r="U211">
        <f>F210</f>
        <v/>
      </c>
      <c r="V211">
        <f>H210</f>
        <v/>
      </c>
      <c r="W211">
        <f>N210</f>
        <v/>
      </c>
    </row>
    <row r="212" ht="15.75" customHeight="1" s="40">
      <c r="C212" s="36">
        <f>_xlfn.IFS(E212&lt;E$24,0,E212&lt;E$26,C$24,E212&lt;E$28,C$26,E212&lt;E$30,C$28,E212&lt;E$32,C$30,E212&lt;E$34,C$32,E212&gt;=E$34,C$34)</f>
        <v/>
      </c>
      <c r="D212" s="37">
        <f>_xlfn.IFS(E212&lt;E$24,0,E212&lt;E$25,D$24,E212&lt;E$26,D$25,E212&lt;E$27,D$26,E212&lt;E$28,D$27,E212&lt;E$29,D$28,E212&lt;E$30,D$29,E212&lt;E$31,D$30,E212&lt;E$32,D$31,E212&lt;E$33,D$32,E212&lt;E$34,D$33,E212&lt;E$35,D$34,E212&gt;=E$35,D$35)</f>
        <v/>
      </c>
      <c r="E212" s="38" t="n">
        <v>162</v>
      </c>
      <c r="F212" s="31">
        <f>E212/52</f>
        <v/>
      </c>
      <c r="G212" s="39">
        <f>D212/1000000*52</f>
        <v/>
      </c>
      <c r="H212" s="33">
        <f>G212/$P$4+($C$22/$P$4)</f>
        <v/>
      </c>
      <c r="I212" s="36">
        <f>_xlfn.IFS(K212&lt;K$24,0,K212&lt;K$26,I$24,K212&lt;K$28,I$26,K212&lt;K$30,I$28,K212&lt;K$32,I$30,K212&lt;K$34,I$32,K212&lt;K$36,I$34,K212&lt;K$38,I$36,K212&lt;K$40,I$38,K212&lt;K$42,I$40,K212&lt;K$44,I$42,K212&lt;K$46,I$44,K212&gt;=K$46,I$46)</f>
        <v/>
      </c>
      <c r="J212" s="37">
        <f>_xlfn.IFS(K212&lt;K$24,0,K212&lt;K$25,J$24,K212&lt;K$26,J$25,K212&lt;K$27,J$26,K212&lt;K$28,J$27,K212&lt;K$29,J$28,K212&lt;K$30,J$29,K212&lt;K$31,J$30,K212&lt;K$32,J$31,K212&lt;K$33,J$32,K212&lt;K$34,J$33,K212&lt;K$35,J$34,K212&lt;K$36,J$35,K212&lt;K$37,J$36,K212&lt;K$38,J$37,K212&lt;K$39,J$38,K212&lt;K$40,J$39,K212&lt;K$41,J$40,K212&lt;K$42,J$41,K212&lt;K$43,J$42,K212&lt;K$44,J$43,K212&lt;K$45,J$44,K212&lt;K$46,J$45,K212&lt;K$47,J$46,K212&gt;=K$47,J$47)</f>
        <v/>
      </c>
      <c r="K212" s="38" t="n">
        <v>162</v>
      </c>
      <c r="L212" s="31">
        <f>K212/52</f>
        <v/>
      </c>
      <c r="M212" s="39">
        <f>J212/1000000*52</f>
        <v/>
      </c>
      <c r="N212" s="33">
        <f>M212/$P$4+($I$22/$P$4)</f>
        <v/>
      </c>
      <c r="U212">
        <f>F211</f>
        <v/>
      </c>
      <c r="V212">
        <f>H211</f>
        <v/>
      </c>
      <c r="W212">
        <f>N211</f>
        <v/>
      </c>
    </row>
    <row r="213" ht="15.75" customHeight="1" s="40">
      <c r="C213" s="36">
        <f>_xlfn.IFS(E213&lt;E$24,0,E213&lt;E$26,C$24,E213&lt;E$28,C$26,E213&lt;E$30,C$28,E213&lt;E$32,C$30,E213&lt;E$34,C$32,E213&gt;=E$34,C$34)</f>
        <v/>
      </c>
      <c r="D213" s="37">
        <f>_xlfn.IFS(E213&lt;E$24,0,E213&lt;E$25,D$24,E213&lt;E$26,D$25,E213&lt;E$27,D$26,E213&lt;E$28,D$27,E213&lt;E$29,D$28,E213&lt;E$30,D$29,E213&lt;E$31,D$30,E213&lt;E$32,D$31,E213&lt;E$33,D$32,E213&lt;E$34,D$33,E213&lt;E$35,D$34,E213&gt;=E$35,D$35)</f>
        <v/>
      </c>
      <c r="E213" s="38" t="n">
        <v>163</v>
      </c>
      <c r="F213" s="31">
        <f>E213/52</f>
        <v/>
      </c>
      <c r="G213" s="39">
        <f>D213/1000000*52</f>
        <v/>
      </c>
      <c r="H213" s="33">
        <f>G213/$P$4+($C$22/$P$4)</f>
        <v/>
      </c>
      <c r="I213" s="36">
        <f>_xlfn.IFS(K213&lt;K$24,0,K213&lt;K$26,I$24,K213&lt;K$28,I$26,K213&lt;K$30,I$28,K213&lt;K$32,I$30,K213&lt;K$34,I$32,K213&lt;K$36,I$34,K213&lt;K$38,I$36,K213&lt;K$40,I$38,K213&lt;K$42,I$40,K213&lt;K$44,I$42,K213&lt;K$46,I$44,K213&gt;=K$46,I$46)</f>
        <v/>
      </c>
      <c r="J213" s="37">
        <f>_xlfn.IFS(K213&lt;K$24,0,K213&lt;K$25,J$24,K213&lt;K$26,J$25,K213&lt;K$27,J$26,K213&lt;K$28,J$27,K213&lt;K$29,J$28,K213&lt;K$30,J$29,K213&lt;K$31,J$30,K213&lt;K$32,J$31,K213&lt;K$33,J$32,K213&lt;K$34,J$33,K213&lt;K$35,J$34,K213&lt;K$36,J$35,K213&lt;K$37,J$36,K213&lt;K$38,J$37,K213&lt;K$39,J$38,K213&lt;K$40,J$39,K213&lt;K$41,J$40,K213&lt;K$42,J$41,K213&lt;K$43,J$42,K213&lt;K$44,J$43,K213&lt;K$45,J$44,K213&lt;K$46,J$45,K213&lt;K$47,J$46,K213&gt;=K$47,J$47)</f>
        <v/>
      </c>
      <c r="K213" s="38" t="n">
        <v>163</v>
      </c>
      <c r="L213" s="31">
        <f>K213/52</f>
        <v/>
      </c>
      <c r="M213" s="39">
        <f>J213/1000000*52</f>
        <v/>
      </c>
      <c r="N213" s="33">
        <f>M213/$P$4+($I$22/$P$4)</f>
        <v/>
      </c>
      <c r="U213">
        <f>F212</f>
        <v/>
      </c>
      <c r="V213">
        <f>H212</f>
        <v/>
      </c>
      <c r="W213">
        <f>N212</f>
        <v/>
      </c>
    </row>
    <row r="214" ht="15.75" customHeight="1" s="40">
      <c r="C214" s="36">
        <f>_xlfn.IFS(E214&lt;E$24,0,E214&lt;E$26,C$24,E214&lt;E$28,C$26,E214&lt;E$30,C$28,E214&lt;E$32,C$30,E214&lt;E$34,C$32,E214&gt;=E$34,C$34)</f>
        <v/>
      </c>
      <c r="D214" s="37">
        <f>_xlfn.IFS(E214&lt;E$24,0,E214&lt;E$25,D$24,E214&lt;E$26,D$25,E214&lt;E$27,D$26,E214&lt;E$28,D$27,E214&lt;E$29,D$28,E214&lt;E$30,D$29,E214&lt;E$31,D$30,E214&lt;E$32,D$31,E214&lt;E$33,D$32,E214&lt;E$34,D$33,E214&lt;E$35,D$34,E214&gt;=E$35,D$35)</f>
        <v/>
      </c>
      <c r="E214" s="38" t="n">
        <v>164</v>
      </c>
      <c r="F214" s="31">
        <f>E214/52</f>
        <v/>
      </c>
      <c r="G214" s="39">
        <f>D214/1000000*52</f>
        <v/>
      </c>
      <c r="H214" s="33">
        <f>G214/$P$4+($C$22/$P$4)</f>
        <v/>
      </c>
      <c r="I214" s="36">
        <f>_xlfn.IFS(K214&lt;K$24,0,K214&lt;K$26,I$24,K214&lt;K$28,I$26,K214&lt;K$30,I$28,K214&lt;K$32,I$30,K214&lt;K$34,I$32,K214&lt;K$36,I$34,K214&lt;K$38,I$36,K214&lt;K$40,I$38,K214&lt;K$42,I$40,K214&lt;K$44,I$42,K214&lt;K$46,I$44,K214&gt;=K$46,I$46)</f>
        <v/>
      </c>
      <c r="J214" s="37">
        <f>_xlfn.IFS(K214&lt;K$24,0,K214&lt;K$25,J$24,K214&lt;K$26,J$25,K214&lt;K$27,J$26,K214&lt;K$28,J$27,K214&lt;K$29,J$28,K214&lt;K$30,J$29,K214&lt;K$31,J$30,K214&lt;K$32,J$31,K214&lt;K$33,J$32,K214&lt;K$34,J$33,K214&lt;K$35,J$34,K214&lt;K$36,J$35,K214&lt;K$37,J$36,K214&lt;K$38,J$37,K214&lt;K$39,J$38,K214&lt;K$40,J$39,K214&lt;K$41,J$40,K214&lt;K$42,J$41,K214&lt;K$43,J$42,K214&lt;K$44,J$43,K214&lt;K$45,J$44,K214&lt;K$46,J$45,K214&lt;K$47,J$46,K214&gt;=K$47,J$47)</f>
        <v/>
      </c>
      <c r="K214" s="38" t="n">
        <v>164</v>
      </c>
      <c r="L214" s="31">
        <f>K214/52</f>
        <v/>
      </c>
      <c r="M214" s="39">
        <f>J214/1000000*52</f>
        <v/>
      </c>
      <c r="N214" s="33">
        <f>M214/$P$4+($I$22/$P$4)</f>
        <v/>
      </c>
      <c r="U214">
        <f>F213</f>
        <v/>
      </c>
      <c r="V214">
        <f>H213</f>
        <v/>
      </c>
      <c r="W214">
        <f>N213</f>
        <v/>
      </c>
    </row>
    <row r="215" ht="15.75" customHeight="1" s="40">
      <c r="C215" s="36">
        <f>_xlfn.IFS(E215&lt;E$24,0,E215&lt;E$26,C$24,E215&lt;E$28,C$26,E215&lt;E$30,C$28,E215&lt;E$32,C$30,E215&lt;E$34,C$32,E215&gt;=E$34,C$34)</f>
        <v/>
      </c>
      <c r="D215" s="37">
        <f>_xlfn.IFS(E215&lt;E$24,0,E215&lt;E$25,D$24,E215&lt;E$26,D$25,E215&lt;E$27,D$26,E215&lt;E$28,D$27,E215&lt;E$29,D$28,E215&lt;E$30,D$29,E215&lt;E$31,D$30,E215&lt;E$32,D$31,E215&lt;E$33,D$32,E215&lt;E$34,D$33,E215&lt;E$35,D$34,E215&gt;=E$35,D$35)</f>
        <v/>
      </c>
      <c r="E215" s="38" t="n">
        <v>165</v>
      </c>
      <c r="F215" s="31">
        <f>E215/52</f>
        <v/>
      </c>
      <c r="G215" s="39">
        <f>D215/1000000*52</f>
        <v/>
      </c>
      <c r="H215" s="33">
        <f>G215/$P$4+($C$22/$P$4)</f>
        <v/>
      </c>
      <c r="I215" s="36">
        <f>_xlfn.IFS(K215&lt;K$24,0,K215&lt;K$26,I$24,K215&lt;K$28,I$26,K215&lt;K$30,I$28,K215&lt;K$32,I$30,K215&lt;K$34,I$32,K215&lt;K$36,I$34,K215&lt;K$38,I$36,K215&lt;K$40,I$38,K215&lt;K$42,I$40,K215&lt;K$44,I$42,K215&lt;K$46,I$44,K215&gt;=K$46,I$46)</f>
        <v/>
      </c>
      <c r="J215" s="37">
        <f>_xlfn.IFS(K215&lt;K$24,0,K215&lt;K$25,J$24,K215&lt;K$26,J$25,K215&lt;K$27,J$26,K215&lt;K$28,J$27,K215&lt;K$29,J$28,K215&lt;K$30,J$29,K215&lt;K$31,J$30,K215&lt;K$32,J$31,K215&lt;K$33,J$32,K215&lt;K$34,J$33,K215&lt;K$35,J$34,K215&lt;K$36,J$35,K215&lt;K$37,J$36,K215&lt;K$38,J$37,K215&lt;K$39,J$38,K215&lt;K$40,J$39,K215&lt;K$41,J$40,K215&lt;K$42,J$41,K215&lt;K$43,J$42,K215&lt;K$44,J$43,K215&lt;K$45,J$44,K215&lt;K$46,J$45,K215&lt;K$47,J$46,K215&gt;=K$47,J$47)</f>
        <v/>
      </c>
      <c r="K215" s="38" t="n">
        <v>165</v>
      </c>
      <c r="L215" s="31">
        <f>K215/52</f>
        <v/>
      </c>
      <c r="M215" s="39">
        <f>J215/1000000*52</f>
        <v/>
      </c>
      <c r="N215" s="33">
        <f>M215/$P$4+($I$22/$P$4)</f>
        <v/>
      </c>
      <c r="U215">
        <f>F214</f>
        <v/>
      </c>
      <c r="V215">
        <f>H214</f>
        <v/>
      </c>
      <c r="W215">
        <f>N214</f>
        <v/>
      </c>
    </row>
    <row r="216" ht="15.75" customHeight="1" s="40">
      <c r="C216" s="36">
        <f>_xlfn.IFS(E216&lt;E$24,0,E216&lt;E$26,C$24,E216&lt;E$28,C$26,E216&lt;E$30,C$28,E216&lt;E$32,C$30,E216&lt;E$34,C$32,E216&gt;=E$34,C$34)</f>
        <v/>
      </c>
      <c r="D216" s="37">
        <f>_xlfn.IFS(E216&lt;E$24,0,E216&lt;E$25,D$24,E216&lt;E$26,D$25,E216&lt;E$27,D$26,E216&lt;E$28,D$27,E216&lt;E$29,D$28,E216&lt;E$30,D$29,E216&lt;E$31,D$30,E216&lt;E$32,D$31,E216&lt;E$33,D$32,E216&lt;E$34,D$33,E216&lt;E$35,D$34,E216&gt;=E$35,D$35)</f>
        <v/>
      </c>
      <c r="E216" s="38" t="n">
        <v>166</v>
      </c>
      <c r="F216" s="31">
        <f>E216/52</f>
        <v/>
      </c>
      <c r="G216" s="39">
        <f>D216/1000000*52</f>
        <v/>
      </c>
      <c r="H216" s="33">
        <f>G216/$P$4+($C$22/$P$4)</f>
        <v/>
      </c>
      <c r="I216" s="36">
        <f>_xlfn.IFS(K216&lt;K$24,0,K216&lt;K$26,I$24,K216&lt;K$28,I$26,K216&lt;K$30,I$28,K216&lt;K$32,I$30,K216&lt;K$34,I$32,K216&lt;K$36,I$34,K216&lt;K$38,I$36,K216&lt;K$40,I$38,K216&lt;K$42,I$40,K216&lt;K$44,I$42,K216&lt;K$46,I$44,K216&gt;=K$46,I$46)</f>
        <v/>
      </c>
      <c r="J216" s="37">
        <f>_xlfn.IFS(K216&lt;K$24,0,K216&lt;K$25,J$24,K216&lt;K$26,J$25,K216&lt;K$27,J$26,K216&lt;K$28,J$27,K216&lt;K$29,J$28,K216&lt;K$30,J$29,K216&lt;K$31,J$30,K216&lt;K$32,J$31,K216&lt;K$33,J$32,K216&lt;K$34,J$33,K216&lt;K$35,J$34,K216&lt;K$36,J$35,K216&lt;K$37,J$36,K216&lt;K$38,J$37,K216&lt;K$39,J$38,K216&lt;K$40,J$39,K216&lt;K$41,J$40,K216&lt;K$42,J$41,K216&lt;K$43,J$42,K216&lt;K$44,J$43,K216&lt;K$45,J$44,K216&lt;K$46,J$45,K216&lt;K$47,J$46,K216&gt;=K$47,J$47)</f>
        <v/>
      </c>
      <c r="K216" s="38" t="n">
        <v>166</v>
      </c>
      <c r="L216" s="31">
        <f>K216/52</f>
        <v/>
      </c>
      <c r="M216" s="39">
        <f>J216/1000000*52</f>
        <v/>
      </c>
      <c r="N216" s="33">
        <f>M216/$P$4+($I$22/$P$4)</f>
        <v/>
      </c>
      <c r="U216">
        <f>F215</f>
        <v/>
      </c>
      <c r="V216">
        <f>H215</f>
        <v/>
      </c>
      <c r="W216">
        <f>N215</f>
        <v/>
      </c>
    </row>
    <row r="217" ht="15.75" customHeight="1" s="40">
      <c r="C217" s="36">
        <f>_xlfn.IFS(E217&lt;E$24,0,E217&lt;E$26,C$24,E217&lt;E$28,C$26,E217&lt;E$30,C$28,E217&lt;E$32,C$30,E217&lt;E$34,C$32,E217&gt;=E$34,C$34)</f>
        <v/>
      </c>
      <c r="D217" s="37">
        <f>_xlfn.IFS(E217&lt;E$24,0,E217&lt;E$25,D$24,E217&lt;E$26,D$25,E217&lt;E$27,D$26,E217&lt;E$28,D$27,E217&lt;E$29,D$28,E217&lt;E$30,D$29,E217&lt;E$31,D$30,E217&lt;E$32,D$31,E217&lt;E$33,D$32,E217&lt;E$34,D$33,E217&lt;E$35,D$34,E217&gt;=E$35,D$35)</f>
        <v/>
      </c>
      <c r="E217" s="38" t="n">
        <v>167</v>
      </c>
      <c r="F217" s="31">
        <f>E217/52</f>
        <v/>
      </c>
      <c r="G217" s="39">
        <f>D217/1000000*52</f>
        <v/>
      </c>
      <c r="H217" s="33">
        <f>G217/$P$4+($C$22/$P$4)</f>
        <v/>
      </c>
      <c r="I217" s="36">
        <f>_xlfn.IFS(K217&lt;K$24,0,K217&lt;K$26,I$24,K217&lt;K$28,I$26,K217&lt;K$30,I$28,K217&lt;K$32,I$30,K217&lt;K$34,I$32,K217&lt;K$36,I$34,K217&lt;K$38,I$36,K217&lt;K$40,I$38,K217&lt;K$42,I$40,K217&lt;K$44,I$42,K217&lt;K$46,I$44,K217&gt;=K$46,I$46)</f>
        <v/>
      </c>
      <c r="J217" s="37">
        <f>_xlfn.IFS(K217&lt;K$24,0,K217&lt;K$25,J$24,K217&lt;K$26,J$25,K217&lt;K$27,J$26,K217&lt;K$28,J$27,K217&lt;K$29,J$28,K217&lt;K$30,J$29,K217&lt;K$31,J$30,K217&lt;K$32,J$31,K217&lt;K$33,J$32,K217&lt;K$34,J$33,K217&lt;K$35,J$34,K217&lt;K$36,J$35,K217&lt;K$37,J$36,K217&lt;K$38,J$37,K217&lt;K$39,J$38,K217&lt;K$40,J$39,K217&lt;K$41,J$40,K217&lt;K$42,J$41,K217&lt;K$43,J$42,K217&lt;K$44,J$43,K217&lt;K$45,J$44,K217&lt;K$46,J$45,K217&lt;K$47,J$46,K217&gt;=K$47,J$47)</f>
        <v/>
      </c>
      <c r="K217" s="38" t="n">
        <v>167</v>
      </c>
      <c r="L217" s="31">
        <f>K217/52</f>
        <v/>
      </c>
      <c r="M217" s="39">
        <f>J217/1000000*52</f>
        <v/>
      </c>
      <c r="N217" s="33">
        <f>M217/$P$4+($I$22/$P$4)</f>
        <v/>
      </c>
      <c r="U217">
        <f>F216</f>
        <v/>
      </c>
      <c r="V217">
        <f>H216</f>
        <v/>
      </c>
      <c r="W217">
        <f>N216</f>
        <v/>
      </c>
    </row>
    <row r="218" ht="15.75" customHeight="1" s="40">
      <c r="C218" s="36">
        <f>_xlfn.IFS(E218&lt;E$24,0,E218&lt;E$26,C$24,E218&lt;E$28,C$26,E218&lt;E$30,C$28,E218&lt;E$32,C$30,E218&lt;E$34,C$32,E218&gt;=E$34,C$34)</f>
        <v/>
      </c>
      <c r="D218" s="37">
        <f>_xlfn.IFS(E218&lt;E$24,0,E218&lt;E$25,D$24,E218&lt;E$26,D$25,E218&lt;E$27,D$26,E218&lt;E$28,D$27,E218&lt;E$29,D$28,E218&lt;E$30,D$29,E218&lt;E$31,D$30,E218&lt;E$32,D$31,E218&lt;E$33,D$32,E218&lt;E$34,D$33,E218&lt;E$35,D$34,E218&gt;=E$35,D$35)</f>
        <v/>
      </c>
      <c r="E218" s="38" t="n">
        <v>168</v>
      </c>
      <c r="F218" s="31">
        <f>E218/52</f>
        <v/>
      </c>
      <c r="G218" s="39">
        <f>D218/1000000*52</f>
        <v/>
      </c>
      <c r="H218" s="33">
        <f>G218/$P$4+($C$22/$P$4)</f>
        <v/>
      </c>
      <c r="I218" s="36">
        <f>_xlfn.IFS(K218&lt;K$24,0,K218&lt;K$26,I$24,K218&lt;K$28,I$26,K218&lt;K$30,I$28,K218&lt;K$32,I$30,K218&lt;K$34,I$32,K218&lt;K$36,I$34,K218&lt;K$38,I$36,K218&lt;K$40,I$38,K218&lt;K$42,I$40,K218&lt;K$44,I$42,K218&lt;K$46,I$44,K218&gt;=K$46,I$46)</f>
        <v/>
      </c>
      <c r="J218" s="37">
        <f>_xlfn.IFS(K218&lt;K$24,0,K218&lt;K$25,J$24,K218&lt;K$26,J$25,K218&lt;K$27,J$26,K218&lt;K$28,J$27,K218&lt;K$29,J$28,K218&lt;K$30,J$29,K218&lt;K$31,J$30,K218&lt;K$32,J$31,K218&lt;K$33,J$32,K218&lt;K$34,J$33,K218&lt;K$35,J$34,K218&lt;K$36,J$35,K218&lt;K$37,J$36,K218&lt;K$38,J$37,K218&lt;K$39,J$38,K218&lt;K$40,J$39,K218&lt;K$41,J$40,K218&lt;K$42,J$41,K218&lt;K$43,J$42,K218&lt;K$44,J$43,K218&lt;K$45,J$44,K218&lt;K$46,J$45,K218&lt;K$47,J$46,K218&gt;=K$47,J$47)</f>
        <v/>
      </c>
      <c r="K218" s="38" t="n">
        <v>168</v>
      </c>
      <c r="L218" s="31">
        <f>K218/52</f>
        <v/>
      </c>
      <c r="M218" s="39">
        <f>J218/1000000*52</f>
        <v/>
      </c>
      <c r="N218" s="33">
        <f>M218/$P$4+($I$22/$P$4)</f>
        <v/>
      </c>
      <c r="U218">
        <f>F217</f>
        <v/>
      </c>
      <c r="V218">
        <f>H217</f>
        <v/>
      </c>
      <c r="W218">
        <f>N217</f>
        <v/>
      </c>
    </row>
    <row r="219" ht="15.75" customHeight="1" s="40">
      <c r="C219" s="36">
        <f>_xlfn.IFS(E219&lt;E$24,0,E219&lt;E$26,C$24,E219&lt;E$28,C$26,E219&lt;E$30,C$28,E219&lt;E$32,C$30,E219&lt;E$34,C$32,E219&gt;=E$34,C$34)</f>
        <v/>
      </c>
      <c r="D219" s="37">
        <f>_xlfn.IFS(E219&lt;E$24,0,E219&lt;E$25,D$24,E219&lt;E$26,D$25,E219&lt;E$27,D$26,E219&lt;E$28,D$27,E219&lt;E$29,D$28,E219&lt;E$30,D$29,E219&lt;E$31,D$30,E219&lt;E$32,D$31,E219&lt;E$33,D$32,E219&lt;E$34,D$33,E219&lt;E$35,D$34,E219&gt;=E$35,D$35)</f>
        <v/>
      </c>
      <c r="E219" s="38" t="n">
        <v>169</v>
      </c>
      <c r="F219" s="31">
        <f>E219/52</f>
        <v/>
      </c>
      <c r="G219" s="39">
        <f>D219/1000000*52</f>
        <v/>
      </c>
      <c r="H219" s="33">
        <f>G219/$P$4+($C$22/$P$4)</f>
        <v/>
      </c>
      <c r="I219" s="36">
        <f>_xlfn.IFS(K219&lt;K$24,0,K219&lt;K$26,I$24,K219&lt;K$28,I$26,K219&lt;K$30,I$28,K219&lt;K$32,I$30,K219&lt;K$34,I$32,K219&lt;K$36,I$34,K219&lt;K$38,I$36,K219&lt;K$40,I$38,K219&lt;K$42,I$40,K219&lt;K$44,I$42,K219&lt;K$46,I$44,K219&gt;=K$46,I$46)</f>
        <v/>
      </c>
      <c r="J219" s="37">
        <f>_xlfn.IFS(K219&lt;K$24,0,K219&lt;K$25,J$24,K219&lt;K$26,J$25,K219&lt;K$27,J$26,K219&lt;K$28,J$27,K219&lt;K$29,J$28,K219&lt;K$30,J$29,K219&lt;K$31,J$30,K219&lt;K$32,J$31,K219&lt;K$33,J$32,K219&lt;K$34,J$33,K219&lt;K$35,J$34,K219&lt;K$36,J$35,K219&lt;K$37,J$36,K219&lt;K$38,J$37,K219&lt;K$39,J$38,K219&lt;K$40,J$39,K219&lt;K$41,J$40,K219&lt;K$42,J$41,K219&lt;K$43,J$42,K219&lt;K$44,J$43,K219&lt;K$45,J$44,K219&lt;K$46,J$45,K219&lt;K$47,J$46,K219&gt;=K$47,J$47)</f>
        <v/>
      </c>
      <c r="K219" s="38" t="n">
        <v>169</v>
      </c>
      <c r="L219" s="31">
        <f>K219/52</f>
        <v/>
      </c>
      <c r="M219" s="39">
        <f>J219/1000000*52</f>
        <v/>
      </c>
      <c r="N219" s="33">
        <f>M219/$P$4+($I$22/$P$4)</f>
        <v/>
      </c>
      <c r="U219">
        <f>F218</f>
        <v/>
      </c>
      <c r="V219">
        <f>H218</f>
        <v/>
      </c>
      <c r="W219">
        <f>N218</f>
        <v/>
      </c>
    </row>
    <row r="220" ht="15.75" customHeight="1" s="40">
      <c r="C220" s="36">
        <f>_xlfn.IFS(E220&lt;E$24,0,E220&lt;E$26,C$24,E220&lt;E$28,C$26,E220&lt;E$30,C$28,E220&lt;E$32,C$30,E220&lt;E$34,C$32,E220&gt;=E$34,C$34)</f>
        <v/>
      </c>
      <c r="D220" s="37">
        <f>_xlfn.IFS(E220&lt;E$24,0,E220&lt;E$25,D$24,E220&lt;E$26,D$25,E220&lt;E$27,D$26,E220&lt;E$28,D$27,E220&lt;E$29,D$28,E220&lt;E$30,D$29,E220&lt;E$31,D$30,E220&lt;E$32,D$31,E220&lt;E$33,D$32,E220&lt;E$34,D$33,E220&lt;E$35,D$34,E220&gt;=E$35,D$35)</f>
        <v/>
      </c>
      <c r="E220" s="38" t="n">
        <v>170</v>
      </c>
      <c r="F220" s="31">
        <f>E220/52</f>
        <v/>
      </c>
      <c r="G220" s="39">
        <f>D220/1000000*52</f>
        <v/>
      </c>
      <c r="H220" s="33">
        <f>G220/$P$4+($C$22/$P$4)</f>
        <v/>
      </c>
      <c r="I220" s="36">
        <f>_xlfn.IFS(K220&lt;K$24,0,K220&lt;K$26,I$24,K220&lt;K$28,I$26,K220&lt;K$30,I$28,K220&lt;K$32,I$30,K220&lt;K$34,I$32,K220&lt;K$36,I$34,K220&lt;K$38,I$36,K220&lt;K$40,I$38,K220&lt;K$42,I$40,K220&lt;K$44,I$42,K220&lt;K$46,I$44,K220&gt;=K$46,I$46)</f>
        <v/>
      </c>
      <c r="J220" s="37">
        <f>_xlfn.IFS(K220&lt;K$24,0,K220&lt;K$25,J$24,K220&lt;K$26,J$25,K220&lt;K$27,J$26,K220&lt;K$28,J$27,K220&lt;K$29,J$28,K220&lt;K$30,J$29,K220&lt;K$31,J$30,K220&lt;K$32,J$31,K220&lt;K$33,J$32,K220&lt;K$34,J$33,K220&lt;K$35,J$34,K220&lt;K$36,J$35,K220&lt;K$37,J$36,K220&lt;K$38,J$37,K220&lt;K$39,J$38,K220&lt;K$40,J$39,K220&lt;K$41,J$40,K220&lt;K$42,J$41,K220&lt;K$43,J$42,K220&lt;K$44,J$43,K220&lt;K$45,J$44,K220&lt;K$46,J$45,K220&lt;K$47,J$46,K220&gt;=K$47,J$47)</f>
        <v/>
      </c>
      <c r="K220" s="38" t="n">
        <v>170</v>
      </c>
      <c r="L220" s="31">
        <f>K220/52</f>
        <v/>
      </c>
      <c r="M220" s="39">
        <f>J220/1000000*52</f>
        <v/>
      </c>
      <c r="N220" s="33">
        <f>M220/$P$4+($I$22/$P$4)</f>
        <v/>
      </c>
      <c r="U220">
        <f>F219</f>
        <v/>
      </c>
      <c r="V220">
        <f>H219</f>
        <v/>
      </c>
      <c r="W220">
        <f>N219</f>
        <v/>
      </c>
    </row>
    <row r="221" ht="15.75" customHeight="1" s="40">
      <c r="C221" s="36">
        <f>_xlfn.IFS(E221&lt;E$24,0,E221&lt;E$26,C$24,E221&lt;E$28,C$26,E221&lt;E$30,C$28,E221&lt;E$32,C$30,E221&lt;E$34,C$32,E221&gt;=E$34,C$34)</f>
        <v/>
      </c>
      <c r="D221" s="37">
        <f>_xlfn.IFS(E221&lt;E$24,0,E221&lt;E$25,D$24,E221&lt;E$26,D$25,E221&lt;E$27,D$26,E221&lt;E$28,D$27,E221&lt;E$29,D$28,E221&lt;E$30,D$29,E221&lt;E$31,D$30,E221&lt;E$32,D$31,E221&lt;E$33,D$32,E221&lt;E$34,D$33,E221&lt;E$35,D$34,E221&gt;=E$35,D$35)</f>
        <v/>
      </c>
      <c r="E221" s="38" t="n">
        <v>171</v>
      </c>
      <c r="F221" s="31">
        <f>E221/52</f>
        <v/>
      </c>
      <c r="G221" s="39">
        <f>D221/1000000*52</f>
        <v/>
      </c>
      <c r="H221" s="33">
        <f>G221/$P$4+($C$22/$P$4)</f>
        <v/>
      </c>
      <c r="I221" s="36">
        <f>_xlfn.IFS(K221&lt;K$24,0,K221&lt;K$26,I$24,K221&lt;K$28,I$26,K221&lt;K$30,I$28,K221&lt;K$32,I$30,K221&lt;K$34,I$32,K221&lt;K$36,I$34,K221&lt;K$38,I$36,K221&lt;K$40,I$38,K221&lt;K$42,I$40,K221&lt;K$44,I$42,K221&lt;K$46,I$44,K221&gt;=K$46,I$46)</f>
        <v/>
      </c>
      <c r="J221" s="37">
        <f>_xlfn.IFS(K221&lt;K$24,0,K221&lt;K$25,J$24,K221&lt;K$26,J$25,K221&lt;K$27,J$26,K221&lt;K$28,J$27,K221&lt;K$29,J$28,K221&lt;K$30,J$29,K221&lt;K$31,J$30,K221&lt;K$32,J$31,K221&lt;K$33,J$32,K221&lt;K$34,J$33,K221&lt;K$35,J$34,K221&lt;K$36,J$35,K221&lt;K$37,J$36,K221&lt;K$38,J$37,K221&lt;K$39,J$38,K221&lt;K$40,J$39,K221&lt;K$41,J$40,K221&lt;K$42,J$41,K221&lt;K$43,J$42,K221&lt;K$44,J$43,K221&lt;K$45,J$44,K221&lt;K$46,J$45,K221&lt;K$47,J$46,K221&gt;=K$47,J$47)</f>
        <v/>
      </c>
      <c r="K221" s="38" t="n">
        <v>171</v>
      </c>
      <c r="L221" s="31">
        <f>K221/52</f>
        <v/>
      </c>
      <c r="M221" s="39">
        <f>J221/1000000*52</f>
        <v/>
      </c>
      <c r="N221" s="33">
        <f>M221/$P$4+($I$22/$P$4)</f>
        <v/>
      </c>
      <c r="U221">
        <f>F220</f>
        <v/>
      </c>
      <c r="V221">
        <f>H220</f>
        <v/>
      </c>
      <c r="W221">
        <f>N220</f>
        <v/>
      </c>
    </row>
    <row r="222" ht="15.75" customHeight="1" s="40">
      <c r="C222" s="36">
        <f>_xlfn.IFS(E222&lt;E$24,0,E222&lt;E$26,C$24,E222&lt;E$28,C$26,E222&lt;E$30,C$28,E222&lt;E$32,C$30,E222&lt;E$34,C$32,E222&gt;=E$34,C$34)</f>
        <v/>
      </c>
      <c r="D222" s="37">
        <f>_xlfn.IFS(E222&lt;E$24,0,E222&lt;E$25,D$24,E222&lt;E$26,D$25,E222&lt;E$27,D$26,E222&lt;E$28,D$27,E222&lt;E$29,D$28,E222&lt;E$30,D$29,E222&lt;E$31,D$30,E222&lt;E$32,D$31,E222&lt;E$33,D$32,E222&lt;E$34,D$33,E222&lt;E$35,D$34,E222&gt;=E$35,D$35)</f>
        <v/>
      </c>
      <c r="E222" s="38" t="n">
        <v>172</v>
      </c>
      <c r="F222" s="31">
        <f>E222/52</f>
        <v/>
      </c>
      <c r="G222" s="39">
        <f>D222/1000000*52</f>
        <v/>
      </c>
      <c r="H222" s="33">
        <f>G222/$P$4+($C$22/$P$4)</f>
        <v/>
      </c>
      <c r="I222" s="36">
        <f>_xlfn.IFS(K222&lt;K$24,0,K222&lt;K$26,I$24,K222&lt;K$28,I$26,K222&lt;K$30,I$28,K222&lt;K$32,I$30,K222&lt;K$34,I$32,K222&lt;K$36,I$34,K222&lt;K$38,I$36,K222&lt;K$40,I$38,K222&lt;K$42,I$40,K222&lt;K$44,I$42,K222&lt;K$46,I$44,K222&gt;=K$46,I$46)</f>
        <v/>
      </c>
      <c r="J222" s="37">
        <f>_xlfn.IFS(K222&lt;K$24,0,K222&lt;K$25,J$24,K222&lt;K$26,J$25,K222&lt;K$27,J$26,K222&lt;K$28,J$27,K222&lt;K$29,J$28,K222&lt;K$30,J$29,K222&lt;K$31,J$30,K222&lt;K$32,J$31,K222&lt;K$33,J$32,K222&lt;K$34,J$33,K222&lt;K$35,J$34,K222&lt;K$36,J$35,K222&lt;K$37,J$36,K222&lt;K$38,J$37,K222&lt;K$39,J$38,K222&lt;K$40,J$39,K222&lt;K$41,J$40,K222&lt;K$42,J$41,K222&lt;K$43,J$42,K222&lt;K$44,J$43,K222&lt;K$45,J$44,K222&lt;K$46,J$45,K222&lt;K$47,J$46,K222&gt;=K$47,J$47)</f>
        <v/>
      </c>
      <c r="K222" s="38" t="n">
        <v>172</v>
      </c>
      <c r="L222" s="31">
        <f>K222/52</f>
        <v/>
      </c>
      <c r="M222" s="39">
        <f>J222/1000000*52</f>
        <v/>
      </c>
      <c r="N222" s="33">
        <f>M222/$P$4+($I$22/$P$4)</f>
        <v/>
      </c>
      <c r="U222">
        <f>F221</f>
        <v/>
      </c>
      <c r="V222">
        <f>H221</f>
        <v/>
      </c>
      <c r="W222">
        <f>N221</f>
        <v/>
      </c>
    </row>
    <row r="223" ht="15.75" customHeight="1" s="40">
      <c r="C223" s="36">
        <f>_xlfn.IFS(E223&lt;E$24,0,E223&lt;E$26,C$24,E223&lt;E$28,C$26,E223&lt;E$30,C$28,E223&lt;E$32,C$30,E223&lt;E$34,C$32,E223&gt;=E$34,C$34)</f>
        <v/>
      </c>
      <c r="D223" s="37">
        <f>_xlfn.IFS(E223&lt;E$24,0,E223&lt;E$25,D$24,E223&lt;E$26,D$25,E223&lt;E$27,D$26,E223&lt;E$28,D$27,E223&lt;E$29,D$28,E223&lt;E$30,D$29,E223&lt;E$31,D$30,E223&lt;E$32,D$31,E223&lt;E$33,D$32,E223&lt;E$34,D$33,E223&lt;E$35,D$34,E223&gt;=E$35,D$35)</f>
        <v/>
      </c>
      <c r="E223" s="38" t="n">
        <v>173</v>
      </c>
      <c r="F223" s="31">
        <f>E223/52</f>
        <v/>
      </c>
      <c r="G223" s="39">
        <f>D223/1000000*52</f>
        <v/>
      </c>
      <c r="H223" s="33">
        <f>G223/$P$4+($C$22/$P$4)</f>
        <v/>
      </c>
      <c r="I223" s="36">
        <f>_xlfn.IFS(K223&lt;K$24,0,K223&lt;K$26,I$24,K223&lt;K$28,I$26,K223&lt;K$30,I$28,K223&lt;K$32,I$30,K223&lt;K$34,I$32,K223&lt;K$36,I$34,K223&lt;K$38,I$36,K223&lt;K$40,I$38,K223&lt;K$42,I$40,K223&lt;K$44,I$42,K223&lt;K$46,I$44,K223&gt;=K$46,I$46)</f>
        <v/>
      </c>
      <c r="J223" s="37">
        <f>_xlfn.IFS(K223&lt;K$24,0,K223&lt;K$25,J$24,K223&lt;K$26,J$25,K223&lt;K$27,J$26,K223&lt;K$28,J$27,K223&lt;K$29,J$28,K223&lt;K$30,J$29,K223&lt;K$31,J$30,K223&lt;K$32,J$31,K223&lt;K$33,J$32,K223&lt;K$34,J$33,K223&lt;K$35,J$34,K223&lt;K$36,J$35,K223&lt;K$37,J$36,K223&lt;K$38,J$37,K223&lt;K$39,J$38,K223&lt;K$40,J$39,K223&lt;K$41,J$40,K223&lt;K$42,J$41,K223&lt;K$43,J$42,K223&lt;K$44,J$43,K223&lt;K$45,J$44,K223&lt;K$46,J$45,K223&lt;K$47,J$46,K223&gt;=K$47,J$47)</f>
        <v/>
      </c>
      <c r="K223" s="38" t="n">
        <v>173</v>
      </c>
      <c r="L223" s="31">
        <f>K223/52</f>
        <v/>
      </c>
      <c r="M223" s="39">
        <f>J223/1000000*52</f>
        <v/>
      </c>
      <c r="N223" s="33">
        <f>M223/$P$4+($I$22/$P$4)</f>
        <v/>
      </c>
      <c r="U223">
        <f>F222</f>
        <v/>
      </c>
      <c r="V223">
        <f>H222</f>
        <v/>
      </c>
      <c r="W223">
        <f>N222</f>
        <v/>
      </c>
    </row>
    <row r="224" ht="15.75" customHeight="1" s="40">
      <c r="C224" s="36">
        <f>_xlfn.IFS(E224&lt;E$24,0,E224&lt;E$26,C$24,E224&lt;E$28,C$26,E224&lt;E$30,C$28,E224&lt;E$32,C$30,E224&lt;E$34,C$32,E224&gt;=E$34,C$34)</f>
        <v/>
      </c>
      <c r="D224" s="37">
        <f>_xlfn.IFS(E224&lt;E$24,0,E224&lt;E$25,D$24,E224&lt;E$26,D$25,E224&lt;E$27,D$26,E224&lt;E$28,D$27,E224&lt;E$29,D$28,E224&lt;E$30,D$29,E224&lt;E$31,D$30,E224&lt;E$32,D$31,E224&lt;E$33,D$32,E224&lt;E$34,D$33,E224&lt;E$35,D$34,E224&gt;=E$35,D$35)</f>
        <v/>
      </c>
      <c r="E224" s="38" t="n">
        <v>174</v>
      </c>
      <c r="F224" s="31">
        <f>E224/52</f>
        <v/>
      </c>
      <c r="G224" s="39">
        <f>D224/1000000*52</f>
        <v/>
      </c>
      <c r="H224" s="33">
        <f>G224/$P$4+($C$22/$P$4)</f>
        <v/>
      </c>
      <c r="I224" s="36">
        <f>_xlfn.IFS(K224&lt;K$24,0,K224&lt;K$26,I$24,K224&lt;K$28,I$26,K224&lt;K$30,I$28,K224&lt;K$32,I$30,K224&lt;K$34,I$32,K224&lt;K$36,I$34,K224&lt;K$38,I$36,K224&lt;K$40,I$38,K224&lt;K$42,I$40,K224&lt;K$44,I$42,K224&lt;K$46,I$44,K224&gt;=K$46,I$46)</f>
        <v/>
      </c>
      <c r="J224" s="37">
        <f>_xlfn.IFS(K224&lt;K$24,0,K224&lt;K$25,J$24,K224&lt;K$26,J$25,K224&lt;K$27,J$26,K224&lt;K$28,J$27,K224&lt;K$29,J$28,K224&lt;K$30,J$29,K224&lt;K$31,J$30,K224&lt;K$32,J$31,K224&lt;K$33,J$32,K224&lt;K$34,J$33,K224&lt;K$35,J$34,K224&lt;K$36,J$35,K224&lt;K$37,J$36,K224&lt;K$38,J$37,K224&lt;K$39,J$38,K224&lt;K$40,J$39,K224&lt;K$41,J$40,K224&lt;K$42,J$41,K224&lt;K$43,J$42,K224&lt;K$44,J$43,K224&lt;K$45,J$44,K224&lt;K$46,J$45,K224&lt;K$47,J$46,K224&gt;=K$47,J$47)</f>
        <v/>
      </c>
      <c r="K224" s="38" t="n">
        <v>174</v>
      </c>
      <c r="L224" s="31">
        <f>K224/52</f>
        <v/>
      </c>
      <c r="M224" s="39">
        <f>J224/1000000*52</f>
        <v/>
      </c>
      <c r="N224" s="33">
        <f>M224/$P$4+($I$22/$P$4)</f>
        <v/>
      </c>
      <c r="U224">
        <f>F223</f>
        <v/>
      </c>
      <c r="V224">
        <f>H223</f>
        <v/>
      </c>
      <c r="W224">
        <f>N223</f>
        <v/>
      </c>
    </row>
    <row r="225" ht="15.75" customHeight="1" s="40">
      <c r="C225" s="36">
        <f>_xlfn.IFS(E225&lt;E$24,0,E225&lt;E$26,C$24,E225&lt;E$28,C$26,E225&lt;E$30,C$28,E225&lt;E$32,C$30,E225&lt;E$34,C$32,E225&gt;=E$34,C$34)</f>
        <v/>
      </c>
      <c r="D225" s="37">
        <f>_xlfn.IFS(E225&lt;E$24,0,E225&lt;E$25,D$24,E225&lt;E$26,D$25,E225&lt;E$27,D$26,E225&lt;E$28,D$27,E225&lt;E$29,D$28,E225&lt;E$30,D$29,E225&lt;E$31,D$30,E225&lt;E$32,D$31,E225&lt;E$33,D$32,E225&lt;E$34,D$33,E225&lt;E$35,D$34,E225&gt;=E$35,D$35)</f>
        <v/>
      </c>
      <c r="E225" s="38" t="n">
        <v>175</v>
      </c>
      <c r="F225" s="31">
        <f>E225/52</f>
        <v/>
      </c>
      <c r="G225" s="39">
        <f>D225/1000000*52</f>
        <v/>
      </c>
      <c r="H225" s="33">
        <f>G225/$P$4+($C$22/$P$4)</f>
        <v/>
      </c>
      <c r="I225" s="36">
        <f>_xlfn.IFS(K225&lt;K$24,0,K225&lt;K$26,I$24,K225&lt;K$28,I$26,K225&lt;K$30,I$28,K225&lt;K$32,I$30,K225&lt;K$34,I$32,K225&lt;K$36,I$34,K225&lt;K$38,I$36,K225&lt;K$40,I$38,K225&lt;K$42,I$40,K225&lt;K$44,I$42,K225&lt;K$46,I$44,K225&gt;=K$46,I$46)</f>
        <v/>
      </c>
      <c r="J225" s="37">
        <f>_xlfn.IFS(K225&lt;K$24,0,K225&lt;K$25,J$24,K225&lt;K$26,J$25,K225&lt;K$27,J$26,K225&lt;K$28,J$27,K225&lt;K$29,J$28,K225&lt;K$30,J$29,K225&lt;K$31,J$30,K225&lt;K$32,J$31,K225&lt;K$33,J$32,K225&lt;K$34,J$33,K225&lt;K$35,J$34,K225&lt;K$36,J$35,K225&lt;K$37,J$36,K225&lt;K$38,J$37,K225&lt;K$39,J$38,K225&lt;K$40,J$39,K225&lt;K$41,J$40,K225&lt;K$42,J$41,K225&lt;K$43,J$42,K225&lt;K$44,J$43,K225&lt;K$45,J$44,K225&lt;K$46,J$45,K225&lt;K$47,J$46,K225&gt;=K$47,J$47)</f>
        <v/>
      </c>
      <c r="K225" s="38" t="n">
        <v>175</v>
      </c>
      <c r="L225" s="31">
        <f>K225/52</f>
        <v/>
      </c>
      <c r="M225" s="39">
        <f>J225/1000000*52</f>
        <v/>
      </c>
      <c r="N225" s="33">
        <f>M225/$P$4+($I$22/$P$4)</f>
        <v/>
      </c>
      <c r="U225">
        <f>F224</f>
        <v/>
      </c>
      <c r="V225">
        <f>H224</f>
        <v/>
      </c>
      <c r="W225">
        <f>N224</f>
        <v/>
      </c>
    </row>
    <row r="226" ht="15.75" customHeight="1" s="40">
      <c r="C226" s="36">
        <f>_xlfn.IFS(E226&lt;E$24,0,E226&lt;E$26,C$24,E226&lt;E$28,C$26,E226&lt;E$30,C$28,E226&lt;E$32,C$30,E226&lt;E$34,C$32,E226&gt;=E$34,C$34)</f>
        <v/>
      </c>
      <c r="D226" s="37">
        <f>_xlfn.IFS(E226&lt;E$24,0,E226&lt;E$25,D$24,E226&lt;E$26,D$25,E226&lt;E$27,D$26,E226&lt;E$28,D$27,E226&lt;E$29,D$28,E226&lt;E$30,D$29,E226&lt;E$31,D$30,E226&lt;E$32,D$31,E226&lt;E$33,D$32,E226&lt;E$34,D$33,E226&lt;E$35,D$34,E226&gt;=E$35,D$35)</f>
        <v/>
      </c>
      <c r="E226" s="38" t="n">
        <v>176</v>
      </c>
      <c r="F226" s="31">
        <f>E226/52</f>
        <v/>
      </c>
      <c r="G226" s="39">
        <f>D226/1000000*52</f>
        <v/>
      </c>
      <c r="H226" s="33">
        <f>G226/$P$4+($C$22/$P$4)</f>
        <v/>
      </c>
      <c r="I226" s="36">
        <f>_xlfn.IFS(K226&lt;K$24,0,K226&lt;K$26,I$24,K226&lt;K$28,I$26,K226&lt;K$30,I$28,K226&lt;K$32,I$30,K226&lt;K$34,I$32,K226&lt;K$36,I$34,K226&lt;K$38,I$36,K226&lt;K$40,I$38,K226&lt;K$42,I$40,K226&lt;K$44,I$42,K226&lt;K$46,I$44,K226&gt;=K$46,I$46)</f>
        <v/>
      </c>
      <c r="J226" s="37">
        <f>_xlfn.IFS(K226&lt;K$24,0,K226&lt;K$25,J$24,K226&lt;K$26,J$25,K226&lt;K$27,J$26,K226&lt;K$28,J$27,K226&lt;K$29,J$28,K226&lt;K$30,J$29,K226&lt;K$31,J$30,K226&lt;K$32,J$31,K226&lt;K$33,J$32,K226&lt;K$34,J$33,K226&lt;K$35,J$34,K226&lt;K$36,J$35,K226&lt;K$37,J$36,K226&lt;K$38,J$37,K226&lt;K$39,J$38,K226&lt;K$40,J$39,K226&lt;K$41,J$40,K226&lt;K$42,J$41,K226&lt;K$43,J$42,K226&lt;K$44,J$43,K226&lt;K$45,J$44,K226&lt;K$46,J$45,K226&lt;K$47,J$46,K226&gt;=K$47,J$47)</f>
        <v/>
      </c>
      <c r="K226" s="38" t="n">
        <v>176</v>
      </c>
      <c r="L226" s="31">
        <f>K226/52</f>
        <v/>
      </c>
      <c r="M226" s="39">
        <f>J226/1000000*52</f>
        <v/>
      </c>
      <c r="N226" s="33">
        <f>M226/$P$4+($I$22/$P$4)</f>
        <v/>
      </c>
      <c r="U226">
        <f>F225</f>
        <v/>
      </c>
      <c r="V226">
        <f>H225</f>
        <v/>
      </c>
      <c r="W226">
        <f>N225</f>
        <v/>
      </c>
    </row>
    <row r="227" ht="15.75" customHeight="1" s="40">
      <c r="C227" s="36">
        <f>_xlfn.IFS(E227&lt;E$24,0,E227&lt;E$26,C$24,E227&lt;E$28,C$26,E227&lt;E$30,C$28,E227&lt;E$32,C$30,E227&lt;E$34,C$32,E227&gt;=E$34,C$34)</f>
        <v/>
      </c>
      <c r="D227" s="37">
        <f>_xlfn.IFS(E227&lt;E$24,0,E227&lt;E$25,D$24,E227&lt;E$26,D$25,E227&lt;E$27,D$26,E227&lt;E$28,D$27,E227&lt;E$29,D$28,E227&lt;E$30,D$29,E227&lt;E$31,D$30,E227&lt;E$32,D$31,E227&lt;E$33,D$32,E227&lt;E$34,D$33,E227&lt;E$35,D$34,E227&gt;=E$35,D$35)</f>
        <v/>
      </c>
      <c r="E227" s="38" t="n">
        <v>177</v>
      </c>
      <c r="F227" s="31">
        <f>E227/52</f>
        <v/>
      </c>
      <c r="G227" s="39">
        <f>D227/1000000*52</f>
        <v/>
      </c>
      <c r="H227" s="33">
        <f>G227/$P$4+($C$22/$P$4)</f>
        <v/>
      </c>
      <c r="I227" s="36">
        <f>_xlfn.IFS(K227&lt;K$24,0,K227&lt;K$26,I$24,K227&lt;K$28,I$26,K227&lt;K$30,I$28,K227&lt;K$32,I$30,K227&lt;K$34,I$32,K227&lt;K$36,I$34,K227&lt;K$38,I$36,K227&lt;K$40,I$38,K227&lt;K$42,I$40,K227&lt;K$44,I$42,K227&lt;K$46,I$44,K227&gt;=K$46,I$46)</f>
        <v/>
      </c>
      <c r="J227" s="37">
        <f>_xlfn.IFS(K227&lt;K$24,0,K227&lt;K$25,J$24,K227&lt;K$26,J$25,K227&lt;K$27,J$26,K227&lt;K$28,J$27,K227&lt;K$29,J$28,K227&lt;K$30,J$29,K227&lt;K$31,J$30,K227&lt;K$32,J$31,K227&lt;K$33,J$32,K227&lt;K$34,J$33,K227&lt;K$35,J$34,K227&lt;K$36,J$35,K227&lt;K$37,J$36,K227&lt;K$38,J$37,K227&lt;K$39,J$38,K227&lt;K$40,J$39,K227&lt;K$41,J$40,K227&lt;K$42,J$41,K227&lt;K$43,J$42,K227&lt;K$44,J$43,K227&lt;K$45,J$44,K227&lt;K$46,J$45,K227&lt;K$47,J$46,K227&gt;=K$47,J$47)</f>
        <v/>
      </c>
      <c r="K227" s="38" t="n">
        <v>177</v>
      </c>
      <c r="L227" s="31">
        <f>K227/52</f>
        <v/>
      </c>
      <c r="M227" s="39">
        <f>J227/1000000*52</f>
        <v/>
      </c>
      <c r="N227" s="33">
        <f>M227/$P$4+($I$22/$P$4)</f>
        <v/>
      </c>
      <c r="U227">
        <f>F226</f>
        <v/>
      </c>
      <c r="V227">
        <f>H226</f>
        <v/>
      </c>
      <c r="W227">
        <f>N226</f>
        <v/>
      </c>
    </row>
    <row r="228" ht="15.75" customHeight="1" s="40">
      <c r="C228" s="36">
        <f>_xlfn.IFS(E228&lt;E$24,0,E228&lt;E$26,C$24,E228&lt;E$28,C$26,E228&lt;E$30,C$28,E228&lt;E$32,C$30,E228&lt;E$34,C$32,E228&gt;=E$34,C$34)</f>
        <v/>
      </c>
      <c r="D228" s="37">
        <f>_xlfn.IFS(E228&lt;E$24,0,E228&lt;E$25,D$24,E228&lt;E$26,D$25,E228&lt;E$27,D$26,E228&lt;E$28,D$27,E228&lt;E$29,D$28,E228&lt;E$30,D$29,E228&lt;E$31,D$30,E228&lt;E$32,D$31,E228&lt;E$33,D$32,E228&lt;E$34,D$33,E228&lt;E$35,D$34,E228&gt;=E$35,D$35)</f>
        <v/>
      </c>
      <c r="E228" s="38" t="n">
        <v>178</v>
      </c>
      <c r="F228" s="31">
        <f>E228/52</f>
        <v/>
      </c>
      <c r="G228" s="39">
        <f>D228/1000000*52</f>
        <v/>
      </c>
      <c r="H228" s="33">
        <f>G228/$P$4+($C$22/$P$4)</f>
        <v/>
      </c>
      <c r="I228" s="36">
        <f>_xlfn.IFS(K228&lt;K$24,0,K228&lt;K$26,I$24,K228&lt;K$28,I$26,K228&lt;K$30,I$28,K228&lt;K$32,I$30,K228&lt;K$34,I$32,K228&lt;K$36,I$34,K228&lt;K$38,I$36,K228&lt;K$40,I$38,K228&lt;K$42,I$40,K228&lt;K$44,I$42,K228&lt;K$46,I$44,K228&gt;=K$46,I$46)</f>
        <v/>
      </c>
      <c r="J228" s="37">
        <f>_xlfn.IFS(K228&lt;K$24,0,K228&lt;K$25,J$24,K228&lt;K$26,J$25,K228&lt;K$27,J$26,K228&lt;K$28,J$27,K228&lt;K$29,J$28,K228&lt;K$30,J$29,K228&lt;K$31,J$30,K228&lt;K$32,J$31,K228&lt;K$33,J$32,K228&lt;K$34,J$33,K228&lt;K$35,J$34,K228&lt;K$36,J$35,K228&lt;K$37,J$36,K228&lt;K$38,J$37,K228&lt;K$39,J$38,K228&lt;K$40,J$39,K228&lt;K$41,J$40,K228&lt;K$42,J$41,K228&lt;K$43,J$42,K228&lt;K$44,J$43,K228&lt;K$45,J$44,K228&lt;K$46,J$45,K228&lt;K$47,J$46,K228&gt;=K$47,J$47)</f>
        <v/>
      </c>
      <c r="K228" s="38" t="n">
        <v>178</v>
      </c>
      <c r="L228" s="31">
        <f>K228/52</f>
        <v/>
      </c>
      <c r="M228" s="39">
        <f>J228/1000000*52</f>
        <v/>
      </c>
      <c r="N228" s="33">
        <f>M228/$P$4+($I$22/$P$4)</f>
        <v/>
      </c>
      <c r="U228">
        <f>F227</f>
        <v/>
      </c>
      <c r="V228">
        <f>H227</f>
        <v/>
      </c>
      <c r="W228">
        <f>N227</f>
        <v/>
      </c>
    </row>
    <row r="229" ht="15.75" customHeight="1" s="40">
      <c r="C229" s="36">
        <f>_xlfn.IFS(E229&lt;E$24,0,E229&lt;E$26,C$24,E229&lt;E$28,C$26,E229&lt;E$30,C$28,E229&lt;E$32,C$30,E229&lt;E$34,C$32,E229&gt;=E$34,C$34)</f>
        <v/>
      </c>
      <c r="D229" s="37">
        <f>_xlfn.IFS(E229&lt;E$24,0,E229&lt;E$25,D$24,E229&lt;E$26,D$25,E229&lt;E$27,D$26,E229&lt;E$28,D$27,E229&lt;E$29,D$28,E229&lt;E$30,D$29,E229&lt;E$31,D$30,E229&lt;E$32,D$31,E229&lt;E$33,D$32,E229&lt;E$34,D$33,E229&lt;E$35,D$34,E229&gt;=E$35,D$35)</f>
        <v/>
      </c>
      <c r="E229" s="38" t="n">
        <v>179</v>
      </c>
      <c r="F229" s="31">
        <f>E229/52</f>
        <v/>
      </c>
      <c r="G229" s="39">
        <f>D229/1000000*52</f>
        <v/>
      </c>
      <c r="H229" s="33">
        <f>G229/$P$4+($C$22/$P$4)</f>
        <v/>
      </c>
      <c r="I229" s="36">
        <f>_xlfn.IFS(K229&lt;K$24,0,K229&lt;K$26,I$24,K229&lt;K$28,I$26,K229&lt;K$30,I$28,K229&lt;K$32,I$30,K229&lt;K$34,I$32,K229&lt;K$36,I$34,K229&lt;K$38,I$36,K229&lt;K$40,I$38,K229&lt;K$42,I$40,K229&lt;K$44,I$42,K229&lt;K$46,I$44,K229&gt;=K$46,I$46)</f>
        <v/>
      </c>
      <c r="J229" s="37">
        <f>_xlfn.IFS(K229&lt;K$24,0,K229&lt;K$25,J$24,K229&lt;K$26,J$25,K229&lt;K$27,J$26,K229&lt;K$28,J$27,K229&lt;K$29,J$28,K229&lt;K$30,J$29,K229&lt;K$31,J$30,K229&lt;K$32,J$31,K229&lt;K$33,J$32,K229&lt;K$34,J$33,K229&lt;K$35,J$34,K229&lt;K$36,J$35,K229&lt;K$37,J$36,K229&lt;K$38,J$37,K229&lt;K$39,J$38,K229&lt;K$40,J$39,K229&lt;K$41,J$40,K229&lt;K$42,J$41,K229&lt;K$43,J$42,K229&lt;K$44,J$43,K229&lt;K$45,J$44,K229&lt;K$46,J$45,K229&lt;K$47,J$46,K229&gt;=K$47,J$47)</f>
        <v/>
      </c>
      <c r="K229" s="38" t="n">
        <v>179</v>
      </c>
      <c r="L229" s="31">
        <f>K229/52</f>
        <v/>
      </c>
      <c r="M229" s="39">
        <f>J229/1000000*52</f>
        <v/>
      </c>
      <c r="N229" s="33">
        <f>M229/$P$4+($I$22/$P$4)</f>
        <v/>
      </c>
      <c r="U229">
        <f>F228</f>
        <v/>
      </c>
      <c r="V229">
        <f>H228</f>
        <v/>
      </c>
      <c r="W229">
        <f>N228</f>
        <v/>
      </c>
    </row>
    <row r="230" ht="15.75" customHeight="1" s="40">
      <c r="C230" s="36">
        <f>_xlfn.IFS(E230&lt;E$24,0,E230&lt;E$26,C$24,E230&lt;E$28,C$26,E230&lt;E$30,C$28,E230&lt;E$32,C$30,E230&lt;E$34,C$32,E230&gt;=E$34,C$34)</f>
        <v/>
      </c>
      <c r="D230" s="37">
        <f>_xlfn.IFS(E230&lt;E$24,0,E230&lt;E$25,D$24,E230&lt;E$26,D$25,E230&lt;E$27,D$26,E230&lt;E$28,D$27,E230&lt;E$29,D$28,E230&lt;E$30,D$29,E230&lt;E$31,D$30,E230&lt;E$32,D$31,E230&lt;E$33,D$32,E230&lt;E$34,D$33,E230&lt;E$35,D$34,E230&gt;=E$35,D$35)</f>
        <v/>
      </c>
      <c r="E230" s="38" t="n">
        <v>180</v>
      </c>
      <c r="F230" s="31">
        <f>E230/52</f>
        <v/>
      </c>
      <c r="G230" s="39">
        <f>D230/1000000*52</f>
        <v/>
      </c>
      <c r="H230" s="33">
        <f>G230/$P$4+($C$22/$P$4)</f>
        <v/>
      </c>
      <c r="I230" s="36">
        <f>_xlfn.IFS(K230&lt;K$24,0,K230&lt;K$26,I$24,K230&lt;K$28,I$26,K230&lt;K$30,I$28,K230&lt;K$32,I$30,K230&lt;K$34,I$32,K230&lt;K$36,I$34,K230&lt;K$38,I$36,K230&lt;K$40,I$38,K230&lt;K$42,I$40,K230&lt;K$44,I$42,K230&lt;K$46,I$44,K230&gt;=K$46,I$46)</f>
        <v/>
      </c>
      <c r="J230" s="37">
        <f>_xlfn.IFS(K230&lt;K$24,0,K230&lt;K$25,J$24,K230&lt;K$26,J$25,K230&lt;K$27,J$26,K230&lt;K$28,J$27,K230&lt;K$29,J$28,K230&lt;K$30,J$29,K230&lt;K$31,J$30,K230&lt;K$32,J$31,K230&lt;K$33,J$32,K230&lt;K$34,J$33,K230&lt;K$35,J$34,K230&lt;K$36,J$35,K230&lt;K$37,J$36,K230&lt;K$38,J$37,K230&lt;K$39,J$38,K230&lt;K$40,J$39,K230&lt;K$41,J$40,K230&lt;K$42,J$41,K230&lt;K$43,J$42,K230&lt;K$44,J$43,K230&lt;K$45,J$44,K230&lt;K$46,J$45,K230&lt;K$47,J$46,K230&gt;=K$47,J$47)</f>
        <v/>
      </c>
      <c r="K230" s="38" t="n">
        <v>180</v>
      </c>
      <c r="L230" s="31">
        <f>K230/52</f>
        <v/>
      </c>
      <c r="M230" s="39">
        <f>J230/1000000*52</f>
        <v/>
      </c>
      <c r="N230" s="33">
        <f>M230/$P$4+($I$22/$P$4)</f>
        <v/>
      </c>
      <c r="U230">
        <f>F229</f>
        <v/>
      </c>
      <c r="V230">
        <f>H229</f>
        <v/>
      </c>
      <c r="W230">
        <f>N229</f>
        <v/>
      </c>
    </row>
    <row r="231" ht="15.75" customHeight="1" s="40">
      <c r="C231" s="36">
        <f>_xlfn.IFS(E231&lt;E$24,0,E231&lt;E$26,C$24,E231&lt;E$28,C$26,E231&lt;E$30,C$28,E231&lt;E$32,C$30,E231&lt;E$34,C$32,E231&gt;=E$34,C$34)</f>
        <v/>
      </c>
      <c r="D231" s="37">
        <f>_xlfn.IFS(E231&lt;E$24,0,E231&lt;E$25,D$24,E231&lt;E$26,D$25,E231&lt;E$27,D$26,E231&lt;E$28,D$27,E231&lt;E$29,D$28,E231&lt;E$30,D$29,E231&lt;E$31,D$30,E231&lt;E$32,D$31,E231&lt;E$33,D$32,E231&lt;E$34,D$33,E231&lt;E$35,D$34,E231&gt;=E$35,D$35)</f>
        <v/>
      </c>
      <c r="E231" s="38" t="n">
        <v>181</v>
      </c>
      <c r="F231" s="31">
        <f>E231/52</f>
        <v/>
      </c>
      <c r="G231" s="39">
        <f>D231/1000000*52</f>
        <v/>
      </c>
      <c r="H231" s="33">
        <f>G231/$P$4+($C$22/$P$4)</f>
        <v/>
      </c>
      <c r="I231" s="36">
        <f>_xlfn.IFS(K231&lt;K$24,0,K231&lt;K$26,I$24,K231&lt;K$28,I$26,K231&lt;K$30,I$28,K231&lt;K$32,I$30,K231&lt;K$34,I$32,K231&lt;K$36,I$34,K231&lt;K$38,I$36,K231&lt;K$40,I$38,K231&lt;K$42,I$40,K231&lt;K$44,I$42,K231&lt;K$46,I$44,K231&gt;=K$46,I$46)</f>
        <v/>
      </c>
      <c r="J231" s="37">
        <f>_xlfn.IFS(K231&lt;K$24,0,K231&lt;K$25,J$24,K231&lt;K$26,J$25,K231&lt;K$27,J$26,K231&lt;K$28,J$27,K231&lt;K$29,J$28,K231&lt;K$30,J$29,K231&lt;K$31,J$30,K231&lt;K$32,J$31,K231&lt;K$33,J$32,K231&lt;K$34,J$33,K231&lt;K$35,J$34,K231&lt;K$36,J$35,K231&lt;K$37,J$36,K231&lt;K$38,J$37,K231&lt;K$39,J$38,K231&lt;K$40,J$39,K231&lt;K$41,J$40,K231&lt;K$42,J$41,K231&lt;K$43,J$42,K231&lt;K$44,J$43,K231&lt;K$45,J$44,K231&lt;K$46,J$45,K231&lt;K$47,J$46,K231&gt;=K$47,J$47)</f>
        <v/>
      </c>
      <c r="K231" s="38" t="n">
        <v>181</v>
      </c>
      <c r="L231" s="31">
        <f>K231/52</f>
        <v/>
      </c>
      <c r="M231" s="39">
        <f>J231/1000000*52</f>
        <v/>
      </c>
      <c r="N231" s="33">
        <f>M231/$P$4+($I$22/$P$4)</f>
        <v/>
      </c>
      <c r="U231">
        <f>F230</f>
        <v/>
      </c>
      <c r="V231">
        <f>H230</f>
        <v/>
      </c>
      <c r="W231">
        <f>N230</f>
        <v/>
      </c>
    </row>
    <row r="232" ht="15.75" customHeight="1" s="40">
      <c r="C232" s="36">
        <f>_xlfn.IFS(E232&lt;E$24,0,E232&lt;E$26,C$24,E232&lt;E$28,C$26,E232&lt;E$30,C$28,E232&lt;E$32,C$30,E232&lt;E$34,C$32,E232&gt;=E$34,C$34)</f>
        <v/>
      </c>
      <c r="D232" s="37">
        <f>_xlfn.IFS(E232&lt;E$24,0,E232&lt;E$25,D$24,E232&lt;E$26,D$25,E232&lt;E$27,D$26,E232&lt;E$28,D$27,E232&lt;E$29,D$28,E232&lt;E$30,D$29,E232&lt;E$31,D$30,E232&lt;E$32,D$31,E232&lt;E$33,D$32,E232&lt;E$34,D$33,E232&lt;E$35,D$34,E232&gt;=E$35,D$35)</f>
        <v/>
      </c>
      <c r="E232" s="38" t="n">
        <v>182</v>
      </c>
      <c r="F232" s="31">
        <f>E232/52</f>
        <v/>
      </c>
      <c r="G232" s="39">
        <f>D232/1000000*52</f>
        <v/>
      </c>
      <c r="H232" s="33">
        <f>G232/$P$4+($C$22/$P$4)</f>
        <v/>
      </c>
      <c r="I232" s="36">
        <f>_xlfn.IFS(K232&lt;K$24,0,K232&lt;K$26,I$24,K232&lt;K$28,I$26,K232&lt;K$30,I$28,K232&lt;K$32,I$30,K232&lt;K$34,I$32,K232&lt;K$36,I$34,K232&lt;K$38,I$36,K232&lt;K$40,I$38,K232&lt;K$42,I$40,K232&lt;K$44,I$42,K232&lt;K$46,I$44,K232&gt;=K$46,I$46)</f>
        <v/>
      </c>
      <c r="J232" s="37">
        <f>_xlfn.IFS(K232&lt;K$24,0,K232&lt;K$25,J$24,K232&lt;K$26,J$25,K232&lt;K$27,J$26,K232&lt;K$28,J$27,K232&lt;K$29,J$28,K232&lt;K$30,J$29,K232&lt;K$31,J$30,K232&lt;K$32,J$31,K232&lt;K$33,J$32,K232&lt;K$34,J$33,K232&lt;K$35,J$34,K232&lt;K$36,J$35,K232&lt;K$37,J$36,K232&lt;K$38,J$37,K232&lt;K$39,J$38,K232&lt;K$40,J$39,K232&lt;K$41,J$40,K232&lt;K$42,J$41,K232&lt;K$43,J$42,K232&lt;K$44,J$43,K232&lt;K$45,J$44,K232&lt;K$46,J$45,K232&lt;K$47,J$46,K232&gt;=K$47,J$47)</f>
        <v/>
      </c>
      <c r="K232" s="38" t="n">
        <v>182</v>
      </c>
      <c r="L232" s="31">
        <f>K232/52</f>
        <v/>
      </c>
      <c r="M232" s="39">
        <f>J232/1000000*52</f>
        <v/>
      </c>
      <c r="N232" s="33">
        <f>M232/$P$4+($I$22/$P$4)</f>
        <v/>
      </c>
      <c r="U232">
        <f>F231</f>
        <v/>
      </c>
      <c r="V232">
        <f>H231</f>
        <v/>
      </c>
      <c r="W232">
        <f>N231</f>
        <v/>
      </c>
    </row>
    <row r="233" ht="15.75" customHeight="1" s="40">
      <c r="C233" s="36">
        <f>_xlfn.IFS(E233&lt;E$24,0,E233&lt;E$26,C$24,E233&lt;E$28,C$26,E233&lt;E$30,C$28,E233&lt;E$32,C$30,E233&lt;E$34,C$32,E233&gt;=E$34,C$34)</f>
        <v/>
      </c>
      <c r="D233" s="37">
        <f>_xlfn.IFS(E233&lt;E$24,0,E233&lt;E$25,D$24,E233&lt;E$26,D$25,E233&lt;E$27,D$26,E233&lt;E$28,D$27,E233&lt;E$29,D$28,E233&lt;E$30,D$29,E233&lt;E$31,D$30,E233&lt;E$32,D$31,E233&lt;E$33,D$32,E233&lt;E$34,D$33,E233&lt;E$35,D$34,E233&gt;=E$35,D$35)</f>
        <v/>
      </c>
      <c r="E233" s="38" t="n">
        <v>183</v>
      </c>
      <c r="F233" s="31">
        <f>E233/52</f>
        <v/>
      </c>
      <c r="G233" s="39">
        <f>D233/1000000*52</f>
        <v/>
      </c>
      <c r="H233" s="33">
        <f>G233/$P$4+($C$22/$P$4)</f>
        <v/>
      </c>
      <c r="I233" s="36">
        <f>_xlfn.IFS(K233&lt;K$24,0,K233&lt;K$26,I$24,K233&lt;K$28,I$26,K233&lt;K$30,I$28,K233&lt;K$32,I$30,K233&lt;K$34,I$32,K233&lt;K$36,I$34,K233&lt;K$38,I$36,K233&lt;K$40,I$38,K233&lt;K$42,I$40,K233&lt;K$44,I$42,K233&lt;K$46,I$44,K233&gt;=K$46,I$46)</f>
        <v/>
      </c>
      <c r="J233" s="37">
        <f>_xlfn.IFS(K233&lt;K$24,0,K233&lt;K$25,J$24,K233&lt;K$26,J$25,K233&lt;K$27,J$26,K233&lt;K$28,J$27,K233&lt;K$29,J$28,K233&lt;K$30,J$29,K233&lt;K$31,J$30,K233&lt;K$32,J$31,K233&lt;K$33,J$32,K233&lt;K$34,J$33,K233&lt;K$35,J$34,K233&lt;K$36,J$35,K233&lt;K$37,J$36,K233&lt;K$38,J$37,K233&lt;K$39,J$38,K233&lt;K$40,J$39,K233&lt;K$41,J$40,K233&lt;K$42,J$41,K233&lt;K$43,J$42,K233&lt;K$44,J$43,K233&lt;K$45,J$44,K233&lt;K$46,J$45,K233&lt;K$47,J$46,K233&gt;=K$47,J$47)</f>
        <v/>
      </c>
      <c r="K233" s="38" t="n">
        <v>183</v>
      </c>
      <c r="L233" s="31">
        <f>K233/52</f>
        <v/>
      </c>
      <c r="M233" s="39">
        <f>J233/1000000*52</f>
        <v/>
      </c>
      <c r="N233" s="33">
        <f>M233/$P$4+($I$22/$P$4)</f>
        <v/>
      </c>
      <c r="U233">
        <f>F232</f>
        <v/>
      </c>
      <c r="V233">
        <f>H232</f>
        <v/>
      </c>
      <c r="W233">
        <f>N232</f>
        <v/>
      </c>
    </row>
    <row r="234" ht="15.75" customHeight="1" s="40">
      <c r="C234" s="36">
        <f>_xlfn.IFS(E234&lt;E$24,0,E234&lt;E$26,C$24,E234&lt;E$28,C$26,E234&lt;E$30,C$28,E234&lt;E$32,C$30,E234&lt;E$34,C$32,E234&gt;=E$34,C$34)</f>
        <v/>
      </c>
      <c r="D234" s="37">
        <f>_xlfn.IFS(E234&lt;E$24,0,E234&lt;E$25,D$24,E234&lt;E$26,D$25,E234&lt;E$27,D$26,E234&lt;E$28,D$27,E234&lt;E$29,D$28,E234&lt;E$30,D$29,E234&lt;E$31,D$30,E234&lt;E$32,D$31,E234&lt;E$33,D$32,E234&lt;E$34,D$33,E234&lt;E$35,D$34,E234&gt;=E$35,D$35)</f>
        <v/>
      </c>
      <c r="E234" s="38" t="n">
        <v>184</v>
      </c>
      <c r="F234" s="31">
        <f>E234/52</f>
        <v/>
      </c>
      <c r="G234" s="39">
        <f>D234/1000000*52</f>
        <v/>
      </c>
      <c r="H234" s="33">
        <f>G234/$P$4+($C$22/$P$4)</f>
        <v/>
      </c>
      <c r="I234" s="36">
        <f>_xlfn.IFS(K234&lt;K$24,0,K234&lt;K$26,I$24,K234&lt;K$28,I$26,K234&lt;K$30,I$28,K234&lt;K$32,I$30,K234&lt;K$34,I$32,K234&lt;K$36,I$34,K234&lt;K$38,I$36,K234&lt;K$40,I$38,K234&lt;K$42,I$40,K234&lt;K$44,I$42,K234&lt;K$46,I$44,K234&gt;=K$46,I$46)</f>
        <v/>
      </c>
      <c r="J234" s="37">
        <f>_xlfn.IFS(K234&lt;K$24,0,K234&lt;K$25,J$24,K234&lt;K$26,J$25,K234&lt;K$27,J$26,K234&lt;K$28,J$27,K234&lt;K$29,J$28,K234&lt;K$30,J$29,K234&lt;K$31,J$30,K234&lt;K$32,J$31,K234&lt;K$33,J$32,K234&lt;K$34,J$33,K234&lt;K$35,J$34,K234&lt;K$36,J$35,K234&lt;K$37,J$36,K234&lt;K$38,J$37,K234&lt;K$39,J$38,K234&lt;K$40,J$39,K234&lt;K$41,J$40,K234&lt;K$42,J$41,K234&lt;K$43,J$42,K234&lt;K$44,J$43,K234&lt;K$45,J$44,K234&lt;K$46,J$45,K234&lt;K$47,J$46,K234&gt;=K$47,J$47)</f>
        <v/>
      </c>
      <c r="K234" s="38" t="n">
        <v>184</v>
      </c>
      <c r="L234" s="31">
        <f>K234/52</f>
        <v/>
      </c>
      <c r="M234" s="39">
        <f>J234/1000000*52</f>
        <v/>
      </c>
      <c r="N234" s="33">
        <f>M234/$P$4+($I$22/$P$4)</f>
        <v/>
      </c>
      <c r="U234">
        <f>F233</f>
        <v/>
      </c>
      <c r="V234">
        <f>H233</f>
        <v/>
      </c>
      <c r="W234">
        <f>N233</f>
        <v/>
      </c>
    </row>
    <row r="235" ht="15.75" customHeight="1" s="40">
      <c r="C235" s="36">
        <f>_xlfn.IFS(E235&lt;E$24,0,E235&lt;E$26,C$24,E235&lt;E$28,C$26,E235&lt;E$30,C$28,E235&lt;E$32,C$30,E235&lt;E$34,C$32,E235&gt;=E$34,C$34)</f>
        <v/>
      </c>
      <c r="D235" s="37">
        <f>_xlfn.IFS(E235&lt;E$24,0,E235&lt;E$25,D$24,E235&lt;E$26,D$25,E235&lt;E$27,D$26,E235&lt;E$28,D$27,E235&lt;E$29,D$28,E235&lt;E$30,D$29,E235&lt;E$31,D$30,E235&lt;E$32,D$31,E235&lt;E$33,D$32,E235&lt;E$34,D$33,E235&lt;E$35,D$34,E235&gt;=E$35,D$35)</f>
        <v/>
      </c>
      <c r="E235" s="38" t="n">
        <v>185</v>
      </c>
      <c r="F235" s="31">
        <f>E235/52</f>
        <v/>
      </c>
      <c r="G235" s="39">
        <f>D235/1000000*52</f>
        <v/>
      </c>
      <c r="H235" s="33">
        <f>G235/$P$4+($C$22/$P$4)</f>
        <v/>
      </c>
      <c r="I235" s="36">
        <f>_xlfn.IFS(K235&lt;K$24,0,K235&lt;K$26,I$24,K235&lt;K$28,I$26,K235&lt;K$30,I$28,K235&lt;K$32,I$30,K235&lt;K$34,I$32,K235&lt;K$36,I$34,K235&lt;K$38,I$36,K235&lt;K$40,I$38,K235&lt;K$42,I$40,K235&lt;K$44,I$42,K235&lt;K$46,I$44,K235&gt;=K$46,I$46)</f>
        <v/>
      </c>
      <c r="J235" s="37">
        <f>_xlfn.IFS(K235&lt;K$24,0,K235&lt;K$25,J$24,K235&lt;K$26,J$25,K235&lt;K$27,J$26,K235&lt;K$28,J$27,K235&lt;K$29,J$28,K235&lt;K$30,J$29,K235&lt;K$31,J$30,K235&lt;K$32,J$31,K235&lt;K$33,J$32,K235&lt;K$34,J$33,K235&lt;K$35,J$34,K235&lt;K$36,J$35,K235&lt;K$37,J$36,K235&lt;K$38,J$37,K235&lt;K$39,J$38,K235&lt;K$40,J$39,K235&lt;K$41,J$40,K235&lt;K$42,J$41,K235&lt;K$43,J$42,K235&lt;K$44,J$43,K235&lt;K$45,J$44,K235&lt;K$46,J$45,K235&lt;K$47,J$46,K235&gt;=K$47,J$47)</f>
        <v/>
      </c>
      <c r="K235" s="38" t="n">
        <v>185</v>
      </c>
      <c r="L235" s="31">
        <f>K235/52</f>
        <v/>
      </c>
      <c r="M235" s="39">
        <f>J235/1000000*52</f>
        <v/>
      </c>
      <c r="N235" s="33">
        <f>M235/$P$4+($I$22/$P$4)</f>
        <v/>
      </c>
      <c r="U235">
        <f>F234</f>
        <v/>
      </c>
      <c r="V235">
        <f>H234</f>
        <v/>
      </c>
      <c r="W235">
        <f>N234</f>
        <v/>
      </c>
    </row>
    <row r="236" ht="15.75" customHeight="1" s="40">
      <c r="C236" s="36">
        <f>_xlfn.IFS(E236&lt;E$24,0,E236&lt;E$26,C$24,E236&lt;E$28,C$26,E236&lt;E$30,C$28,E236&lt;E$32,C$30,E236&lt;E$34,C$32,E236&gt;=E$34,C$34)</f>
        <v/>
      </c>
      <c r="D236" s="37">
        <f>_xlfn.IFS(E236&lt;E$24,0,E236&lt;E$25,D$24,E236&lt;E$26,D$25,E236&lt;E$27,D$26,E236&lt;E$28,D$27,E236&lt;E$29,D$28,E236&lt;E$30,D$29,E236&lt;E$31,D$30,E236&lt;E$32,D$31,E236&lt;E$33,D$32,E236&lt;E$34,D$33,E236&lt;E$35,D$34,E236&gt;=E$35,D$35)</f>
        <v/>
      </c>
      <c r="E236" s="38" t="n">
        <v>186</v>
      </c>
      <c r="F236" s="31">
        <f>E236/52</f>
        <v/>
      </c>
      <c r="G236" s="39">
        <f>D236/1000000*52</f>
        <v/>
      </c>
      <c r="H236" s="33">
        <f>G236/$P$4+($C$22/$P$4)</f>
        <v/>
      </c>
      <c r="I236" s="36">
        <f>_xlfn.IFS(K236&lt;K$24,0,K236&lt;K$26,I$24,K236&lt;K$28,I$26,K236&lt;K$30,I$28,K236&lt;K$32,I$30,K236&lt;K$34,I$32,K236&lt;K$36,I$34,K236&lt;K$38,I$36,K236&lt;K$40,I$38,K236&lt;K$42,I$40,K236&lt;K$44,I$42,K236&lt;K$46,I$44,K236&gt;=K$46,I$46)</f>
        <v/>
      </c>
      <c r="J236" s="37">
        <f>_xlfn.IFS(K236&lt;K$24,0,K236&lt;K$25,J$24,K236&lt;K$26,J$25,K236&lt;K$27,J$26,K236&lt;K$28,J$27,K236&lt;K$29,J$28,K236&lt;K$30,J$29,K236&lt;K$31,J$30,K236&lt;K$32,J$31,K236&lt;K$33,J$32,K236&lt;K$34,J$33,K236&lt;K$35,J$34,K236&lt;K$36,J$35,K236&lt;K$37,J$36,K236&lt;K$38,J$37,K236&lt;K$39,J$38,K236&lt;K$40,J$39,K236&lt;K$41,J$40,K236&lt;K$42,J$41,K236&lt;K$43,J$42,K236&lt;K$44,J$43,K236&lt;K$45,J$44,K236&lt;K$46,J$45,K236&lt;K$47,J$46,K236&gt;=K$47,J$47)</f>
        <v/>
      </c>
      <c r="K236" s="38" t="n">
        <v>186</v>
      </c>
      <c r="L236" s="31">
        <f>K236/52</f>
        <v/>
      </c>
      <c r="M236" s="39">
        <f>J236/1000000*52</f>
        <v/>
      </c>
      <c r="N236" s="33">
        <f>M236/$P$4+($I$22/$P$4)</f>
        <v/>
      </c>
      <c r="U236">
        <f>F235</f>
        <v/>
      </c>
      <c r="V236">
        <f>H235</f>
        <v/>
      </c>
      <c r="W236">
        <f>N235</f>
        <v/>
      </c>
    </row>
    <row r="237" ht="15.75" customHeight="1" s="40">
      <c r="C237" s="36">
        <f>_xlfn.IFS(E237&lt;E$24,0,E237&lt;E$26,C$24,E237&lt;E$28,C$26,E237&lt;E$30,C$28,E237&lt;E$32,C$30,E237&lt;E$34,C$32,E237&gt;=E$34,C$34)</f>
        <v/>
      </c>
      <c r="D237" s="37">
        <f>_xlfn.IFS(E237&lt;E$24,0,E237&lt;E$25,D$24,E237&lt;E$26,D$25,E237&lt;E$27,D$26,E237&lt;E$28,D$27,E237&lt;E$29,D$28,E237&lt;E$30,D$29,E237&lt;E$31,D$30,E237&lt;E$32,D$31,E237&lt;E$33,D$32,E237&lt;E$34,D$33,E237&lt;E$35,D$34,E237&gt;=E$35,D$35)</f>
        <v/>
      </c>
      <c r="E237" s="38" t="n">
        <v>187</v>
      </c>
      <c r="F237" s="31">
        <f>E237/52</f>
        <v/>
      </c>
      <c r="G237" s="39">
        <f>D237/1000000*52</f>
        <v/>
      </c>
      <c r="H237" s="33">
        <f>G237/$P$4+($C$22/$P$4)</f>
        <v/>
      </c>
      <c r="I237" s="36">
        <f>_xlfn.IFS(K237&lt;K$24,0,K237&lt;K$26,I$24,K237&lt;K$28,I$26,K237&lt;K$30,I$28,K237&lt;K$32,I$30,K237&lt;K$34,I$32,K237&lt;K$36,I$34,K237&lt;K$38,I$36,K237&lt;K$40,I$38,K237&lt;K$42,I$40,K237&lt;K$44,I$42,K237&lt;K$46,I$44,K237&gt;=K$46,I$46)</f>
        <v/>
      </c>
      <c r="J237" s="37">
        <f>_xlfn.IFS(K237&lt;K$24,0,K237&lt;K$25,J$24,K237&lt;K$26,J$25,K237&lt;K$27,J$26,K237&lt;K$28,J$27,K237&lt;K$29,J$28,K237&lt;K$30,J$29,K237&lt;K$31,J$30,K237&lt;K$32,J$31,K237&lt;K$33,J$32,K237&lt;K$34,J$33,K237&lt;K$35,J$34,K237&lt;K$36,J$35,K237&lt;K$37,J$36,K237&lt;K$38,J$37,K237&lt;K$39,J$38,K237&lt;K$40,J$39,K237&lt;K$41,J$40,K237&lt;K$42,J$41,K237&lt;K$43,J$42,K237&lt;K$44,J$43,K237&lt;K$45,J$44,K237&lt;K$46,J$45,K237&lt;K$47,J$46,K237&gt;=K$47,J$47)</f>
        <v/>
      </c>
      <c r="K237" s="38" t="n">
        <v>187</v>
      </c>
      <c r="L237" s="31">
        <f>K237/52</f>
        <v/>
      </c>
      <c r="M237" s="39">
        <f>J237/1000000*52</f>
        <v/>
      </c>
      <c r="N237" s="33">
        <f>M237/$P$4+($I$22/$P$4)</f>
        <v/>
      </c>
      <c r="U237">
        <f>F236</f>
        <v/>
      </c>
      <c r="V237">
        <f>H236</f>
        <v/>
      </c>
      <c r="W237">
        <f>N236</f>
        <v/>
      </c>
    </row>
    <row r="238" ht="15.75" customHeight="1" s="40">
      <c r="C238" s="36">
        <f>_xlfn.IFS(E238&lt;E$24,0,E238&lt;E$26,C$24,E238&lt;E$28,C$26,E238&lt;E$30,C$28,E238&lt;E$32,C$30,E238&lt;E$34,C$32,E238&gt;=E$34,C$34)</f>
        <v/>
      </c>
      <c r="D238" s="37">
        <f>_xlfn.IFS(E238&lt;E$24,0,E238&lt;E$25,D$24,E238&lt;E$26,D$25,E238&lt;E$27,D$26,E238&lt;E$28,D$27,E238&lt;E$29,D$28,E238&lt;E$30,D$29,E238&lt;E$31,D$30,E238&lt;E$32,D$31,E238&lt;E$33,D$32,E238&lt;E$34,D$33,E238&lt;E$35,D$34,E238&gt;=E$35,D$35)</f>
        <v/>
      </c>
      <c r="E238" s="38" t="n">
        <v>188</v>
      </c>
      <c r="F238" s="31">
        <f>E238/52</f>
        <v/>
      </c>
      <c r="G238" s="39">
        <f>D238/1000000*52</f>
        <v/>
      </c>
      <c r="H238" s="33">
        <f>G238/$P$4+($C$22/$P$4)</f>
        <v/>
      </c>
      <c r="I238" s="36">
        <f>_xlfn.IFS(K238&lt;K$24,0,K238&lt;K$26,I$24,K238&lt;K$28,I$26,K238&lt;K$30,I$28,K238&lt;K$32,I$30,K238&lt;K$34,I$32,K238&lt;K$36,I$34,K238&lt;K$38,I$36,K238&lt;K$40,I$38,K238&lt;K$42,I$40,K238&lt;K$44,I$42,K238&lt;K$46,I$44,K238&gt;=K$46,I$46)</f>
        <v/>
      </c>
      <c r="J238" s="37">
        <f>_xlfn.IFS(K238&lt;K$24,0,K238&lt;K$25,J$24,K238&lt;K$26,J$25,K238&lt;K$27,J$26,K238&lt;K$28,J$27,K238&lt;K$29,J$28,K238&lt;K$30,J$29,K238&lt;K$31,J$30,K238&lt;K$32,J$31,K238&lt;K$33,J$32,K238&lt;K$34,J$33,K238&lt;K$35,J$34,K238&lt;K$36,J$35,K238&lt;K$37,J$36,K238&lt;K$38,J$37,K238&lt;K$39,J$38,K238&lt;K$40,J$39,K238&lt;K$41,J$40,K238&lt;K$42,J$41,K238&lt;K$43,J$42,K238&lt;K$44,J$43,K238&lt;K$45,J$44,K238&lt;K$46,J$45,K238&lt;K$47,J$46,K238&gt;=K$47,J$47)</f>
        <v/>
      </c>
      <c r="K238" s="38" t="n">
        <v>188</v>
      </c>
      <c r="L238" s="31">
        <f>K238/52</f>
        <v/>
      </c>
      <c r="M238" s="39">
        <f>J238/1000000*52</f>
        <v/>
      </c>
      <c r="N238" s="33">
        <f>M238/$P$4+($I$22/$P$4)</f>
        <v/>
      </c>
      <c r="U238">
        <f>F237</f>
        <v/>
      </c>
      <c r="V238">
        <f>H237</f>
        <v/>
      </c>
      <c r="W238">
        <f>N237</f>
        <v/>
      </c>
    </row>
    <row r="239" ht="15.75" customHeight="1" s="40">
      <c r="C239" s="36">
        <f>_xlfn.IFS(E239&lt;E$24,0,E239&lt;E$26,C$24,E239&lt;E$28,C$26,E239&lt;E$30,C$28,E239&lt;E$32,C$30,E239&lt;E$34,C$32,E239&gt;=E$34,C$34)</f>
        <v/>
      </c>
      <c r="D239" s="37">
        <f>_xlfn.IFS(E239&lt;E$24,0,E239&lt;E$25,D$24,E239&lt;E$26,D$25,E239&lt;E$27,D$26,E239&lt;E$28,D$27,E239&lt;E$29,D$28,E239&lt;E$30,D$29,E239&lt;E$31,D$30,E239&lt;E$32,D$31,E239&lt;E$33,D$32,E239&lt;E$34,D$33,E239&lt;E$35,D$34,E239&gt;=E$35,D$35)</f>
        <v/>
      </c>
      <c r="E239" s="38" t="n">
        <v>189</v>
      </c>
      <c r="F239" s="31">
        <f>E239/52</f>
        <v/>
      </c>
      <c r="G239" s="39">
        <f>D239/1000000*52</f>
        <v/>
      </c>
      <c r="H239" s="33">
        <f>G239/$P$4+($C$22/$P$4)</f>
        <v/>
      </c>
      <c r="I239" s="36">
        <f>_xlfn.IFS(K239&lt;K$24,0,K239&lt;K$26,I$24,K239&lt;K$28,I$26,K239&lt;K$30,I$28,K239&lt;K$32,I$30,K239&lt;K$34,I$32,K239&lt;K$36,I$34,K239&lt;K$38,I$36,K239&lt;K$40,I$38,K239&lt;K$42,I$40,K239&lt;K$44,I$42,K239&lt;K$46,I$44,K239&gt;=K$46,I$46)</f>
        <v/>
      </c>
      <c r="J239" s="37">
        <f>_xlfn.IFS(K239&lt;K$24,0,K239&lt;K$25,J$24,K239&lt;K$26,J$25,K239&lt;K$27,J$26,K239&lt;K$28,J$27,K239&lt;K$29,J$28,K239&lt;K$30,J$29,K239&lt;K$31,J$30,K239&lt;K$32,J$31,K239&lt;K$33,J$32,K239&lt;K$34,J$33,K239&lt;K$35,J$34,K239&lt;K$36,J$35,K239&lt;K$37,J$36,K239&lt;K$38,J$37,K239&lt;K$39,J$38,K239&lt;K$40,J$39,K239&lt;K$41,J$40,K239&lt;K$42,J$41,K239&lt;K$43,J$42,K239&lt;K$44,J$43,K239&lt;K$45,J$44,K239&lt;K$46,J$45,K239&lt;K$47,J$46,K239&gt;=K$47,J$47)</f>
        <v/>
      </c>
      <c r="K239" s="38" t="n">
        <v>189</v>
      </c>
      <c r="L239" s="31">
        <f>K239/52</f>
        <v/>
      </c>
      <c r="M239" s="39">
        <f>J239/1000000*52</f>
        <v/>
      </c>
      <c r="N239" s="33">
        <f>M239/$P$4+($I$22/$P$4)</f>
        <v/>
      </c>
      <c r="U239">
        <f>F238</f>
        <v/>
      </c>
      <c r="V239">
        <f>H238</f>
        <v/>
      </c>
      <c r="W239">
        <f>N238</f>
        <v/>
      </c>
    </row>
    <row r="240" ht="15.75" customHeight="1" s="40">
      <c r="C240" s="36">
        <f>_xlfn.IFS(E240&lt;E$24,0,E240&lt;E$26,C$24,E240&lt;E$28,C$26,E240&lt;E$30,C$28,E240&lt;E$32,C$30,E240&lt;E$34,C$32,E240&gt;=E$34,C$34)</f>
        <v/>
      </c>
      <c r="D240" s="37">
        <f>_xlfn.IFS(E240&lt;E$24,0,E240&lt;E$25,D$24,E240&lt;E$26,D$25,E240&lt;E$27,D$26,E240&lt;E$28,D$27,E240&lt;E$29,D$28,E240&lt;E$30,D$29,E240&lt;E$31,D$30,E240&lt;E$32,D$31,E240&lt;E$33,D$32,E240&lt;E$34,D$33,E240&lt;E$35,D$34,E240&gt;=E$35,D$35)</f>
        <v/>
      </c>
      <c r="E240" s="38" t="n">
        <v>190</v>
      </c>
      <c r="F240" s="31">
        <f>E240/52</f>
        <v/>
      </c>
      <c r="G240" s="39">
        <f>D240/1000000*52</f>
        <v/>
      </c>
      <c r="H240" s="33">
        <f>G240/$P$4+($C$22/$P$4)</f>
        <v/>
      </c>
      <c r="I240" s="36">
        <f>_xlfn.IFS(K240&lt;K$24,0,K240&lt;K$26,I$24,K240&lt;K$28,I$26,K240&lt;K$30,I$28,K240&lt;K$32,I$30,K240&lt;K$34,I$32,K240&lt;K$36,I$34,K240&lt;K$38,I$36,K240&lt;K$40,I$38,K240&lt;K$42,I$40,K240&lt;K$44,I$42,K240&lt;K$46,I$44,K240&gt;=K$46,I$46)</f>
        <v/>
      </c>
      <c r="J240" s="37">
        <f>_xlfn.IFS(K240&lt;K$24,0,K240&lt;K$25,J$24,K240&lt;K$26,J$25,K240&lt;K$27,J$26,K240&lt;K$28,J$27,K240&lt;K$29,J$28,K240&lt;K$30,J$29,K240&lt;K$31,J$30,K240&lt;K$32,J$31,K240&lt;K$33,J$32,K240&lt;K$34,J$33,K240&lt;K$35,J$34,K240&lt;K$36,J$35,K240&lt;K$37,J$36,K240&lt;K$38,J$37,K240&lt;K$39,J$38,K240&lt;K$40,J$39,K240&lt;K$41,J$40,K240&lt;K$42,J$41,K240&lt;K$43,J$42,K240&lt;K$44,J$43,K240&lt;K$45,J$44,K240&lt;K$46,J$45,K240&lt;K$47,J$46,K240&gt;=K$47,J$47)</f>
        <v/>
      </c>
      <c r="K240" s="38" t="n">
        <v>190</v>
      </c>
      <c r="L240" s="31">
        <f>K240/52</f>
        <v/>
      </c>
      <c r="M240" s="39">
        <f>J240/1000000*52</f>
        <v/>
      </c>
      <c r="N240" s="33">
        <f>M240/$P$4+($I$22/$P$4)</f>
        <v/>
      </c>
      <c r="U240">
        <f>F239</f>
        <v/>
      </c>
      <c r="V240">
        <f>H239</f>
        <v/>
      </c>
      <c r="W240">
        <f>N239</f>
        <v/>
      </c>
    </row>
    <row r="241" ht="15.75" customHeight="1" s="40">
      <c r="C241" s="36">
        <f>_xlfn.IFS(E241&lt;E$24,0,E241&lt;E$26,C$24,E241&lt;E$28,C$26,E241&lt;E$30,C$28,E241&lt;E$32,C$30,E241&lt;E$34,C$32,E241&gt;=E$34,C$34)</f>
        <v/>
      </c>
      <c r="D241" s="37">
        <f>_xlfn.IFS(E241&lt;E$24,0,E241&lt;E$25,D$24,E241&lt;E$26,D$25,E241&lt;E$27,D$26,E241&lt;E$28,D$27,E241&lt;E$29,D$28,E241&lt;E$30,D$29,E241&lt;E$31,D$30,E241&lt;E$32,D$31,E241&lt;E$33,D$32,E241&lt;E$34,D$33,E241&lt;E$35,D$34,E241&gt;=E$35,D$35)</f>
        <v/>
      </c>
      <c r="E241" s="38" t="n">
        <v>191</v>
      </c>
      <c r="F241" s="31">
        <f>E241/52</f>
        <v/>
      </c>
      <c r="G241" s="39">
        <f>D241/1000000*52</f>
        <v/>
      </c>
      <c r="H241" s="33">
        <f>G241/$P$4+($C$22/$P$4)</f>
        <v/>
      </c>
      <c r="I241" s="36">
        <f>_xlfn.IFS(K241&lt;K$24,0,K241&lt;K$26,I$24,K241&lt;K$28,I$26,K241&lt;K$30,I$28,K241&lt;K$32,I$30,K241&lt;K$34,I$32,K241&lt;K$36,I$34,K241&lt;K$38,I$36,K241&lt;K$40,I$38,K241&lt;K$42,I$40,K241&lt;K$44,I$42,K241&lt;K$46,I$44,K241&gt;=K$46,I$46)</f>
        <v/>
      </c>
      <c r="J241" s="37">
        <f>_xlfn.IFS(K241&lt;K$24,0,K241&lt;K$25,J$24,K241&lt;K$26,J$25,K241&lt;K$27,J$26,K241&lt;K$28,J$27,K241&lt;K$29,J$28,K241&lt;K$30,J$29,K241&lt;K$31,J$30,K241&lt;K$32,J$31,K241&lt;K$33,J$32,K241&lt;K$34,J$33,K241&lt;K$35,J$34,K241&lt;K$36,J$35,K241&lt;K$37,J$36,K241&lt;K$38,J$37,K241&lt;K$39,J$38,K241&lt;K$40,J$39,K241&lt;K$41,J$40,K241&lt;K$42,J$41,K241&lt;K$43,J$42,K241&lt;K$44,J$43,K241&lt;K$45,J$44,K241&lt;K$46,J$45,K241&lt;K$47,J$46,K241&gt;=K$47,J$47)</f>
        <v/>
      </c>
      <c r="K241" s="38" t="n">
        <v>191</v>
      </c>
      <c r="L241" s="31">
        <f>K241/52</f>
        <v/>
      </c>
      <c r="M241" s="39">
        <f>J241/1000000*52</f>
        <v/>
      </c>
      <c r="N241" s="33">
        <f>M241/$P$4+($I$22/$P$4)</f>
        <v/>
      </c>
      <c r="U241">
        <f>F240</f>
        <v/>
      </c>
      <c r="V241">
        <f>H240</f>
        <v/>
      </c>
      <c r="W241">
        <f>N240</f>
        <v/>
      </c>
    </row>
    <row r="242" ht="15.75" customHeight="1" s="40">
      <c r="C242" s="36">
        <f>_xlfn.IFS(E242&lt;E$24,0,E242&lt;E$26,C$24,E242&lt;E$28,C$26,E242&lt;E$30,C$28,E242&lt;E$32,C$30,E242&lt;E$34,C$32,E242&gt;=E$34,C$34)</f>
        <v/>
      </c>
      <c r="D242" s="37">
        <f>_xlfn.IFS(E242&lt;E$24,0,E242&lt;E$25,D$24,E242&lt;E$26,D$25,E242&lt;E$27,D$26,E242&lt;E$28,D$27,E242&lt;E$29,D$28,E242&lt;E$30,D$29,E242&lt;E$31,D$30,E242&lt;E$32,D$31,E242&lt;E$33,D$32,E242&lt;E$34,D$33,E242&lt;E$35,D$34,E242&gt;=E$35,D$35)</f>
        <v/>
      </c>
      <c r="E242" s="38" t="n">
        <v>192</v>
      </c>
      <c r="F242" s="31">
        <f>E242/52</f>
        <v/>
      </c>
      <c r="G242" s="39">
        <f>D242/1000000*52</f>
        <v/>
      </c>
      <c r="H242" s="33">
        <f>G242/$P$4+($C$22/$P$4)</f>
        <v/>
      </c>
      <c r="I242" s="36">
        <f>_xlfn.IFS(K242&lt;K$24,0,K242&lt;K$26,I$24,K242&lt;K$28,I$26,K242&lt;K$30,I$28,K242&lt;K$32,I$30,K242&lt;K$34,I$32,K242&lt;K$36,I$34,K242&lt;K$38,I$36,K242&lt;K$40,I$38,K242&lt;K$42,I$40,K242&lt;K$44,I$42,K242&lt;K$46,I$44,K242&gt;=K$46,I$46)</f>
        <v/>
      </c>
      <c r="J242" s="37">
        <f>_xlfn.IFS(K242&lt;K$24,0,K242&lt;K$25,J$24,K242&lt;K$26,J$25,K242&lt;K$27,J$26,K242&lt;K$28,J$27,K242&lt;K$29,J$28,K242&lt;K$30,J$29,K242&lt;K$31,J$30,K242&lt;K$32,J$31,K242&lt;K$33,J$32,K242&lt;K$34,J$33,K242&lt;K$35,J$34,K242&lt;K$36,J$35,K242&lt;K$37,J$36,K242&lt;K$38,J$37,K242&lt;K$39,J$38,K242&lt;K$40,J$39,K242&lt;K$41,J$40,K242&lt;K$42,J$41,K242&lt;K$43,J$42,K242&lt;K$44,J$43,K242&lt;K$45,J$44,K242&lt;K$46,J$45,K242&lt;K$47,J$46,K242&gt;=K$47,J$47)</f>
        <v/>
      </c>
      <c r="K242" s="38" t="n">
        <v>192</v>
      </c>
      <c r="L242" s="31">
        <f>K242/52</f>
        <v/>
      </c>
      <c r="M242" s="39">
        <f>J242/1000000*52</f>
        <v/>
      </c>
      <c r="N242" s="33">
        <f>M242/$P$4+($I$22/$P$4)</f>
        <v/>
      </c>
      <c r="U242">
        <f>F241</f>
        <v/>
      </c>
      <c r="V242">
        <f>H241</f>
        <v/>
      </c>
      <c r="W242">
        <f>N241</f>
        <v/>
      </c>
    </row>
    <row r="243" ht="15.75" customHeight="1" s="40">
      <c r="C243" s="36">
        <f>_xlfn.IFS(E243&lt;E$24,0,E243&lt;E$26,C$24,E243&lt;E$28,C$26,E243&lt;E$30,C$28,E243&lt;E$32,C$30,E243&lt;E$34,C$32,E243&gt;=E$34,C$34)</f>
        <v/>
      </c>
      <c r="D243" s="37">
        <f>_xlfn.IFS(E243&lt;E$24,0,E243&lt;E$25,D$24,E243&lt;E$26,D$25,E243&lt;E$27,D$26,E243&lt;E$28,D$27,E243&lt;E$29,D$28,E243&lt;E$30,D$29,E243&lt;E$31,D$30,E243&lt;E$32,D$31,E243&lt;E$33,D$32,E243&lt;E$34,D$33,E243&lt;E$35,D$34,E243&gt;=E$35,D$35)</f>
        <v/>
      </c>
      <c r="E243" s="38" t="n">
        <v>193</v>
      </c>
      <c r="F243" s="31">
        <f>E243/52</f>
        <v/>
      </c>
      <c r="G243" s="39">
        <f>D243/1000000*52</f>
        <v/>
      </c>
      <c r="H243" s="33">
        <f>G243/$P$4+($C$22/$P$4)</f>
        <v/>
      </c>
      <c r="I243" s="36">
        <f>_xlfn.IFS(K243&lt;K$24,0,K243&lt;K$26,I$24,K243&lt;K$28,I$26,K243&lt;K$30,I$28,K243&lt;K$32,I$30,K243&lt;K$34,I$32,K243&lt;K$36,I$34,K243&lt;K$38,I$36,K243&lt;K$40,I$38,K243&lt;K$42,I$40,K243&lt;K$44,I$42,K243&lt;K$46,I$44,K243&gt;=K$46,I$46)</f>
        <v/>
      </c>
      <c r="J243" s="37">
        <f>_xlfn.IFS(K243&lt;K$24,0,K243&lt;K$25,J$24,K243&lt;K$26,J$25,K243&lt;K$27,J$26,K243&lt;K$28,J$27,K243&lt;K$29,J$28,K243&lt;K$30,J$29,K243&lt;K$31,J$30,K243&lt;K$32,J$31,K243&lt;K$33,J$32,K243&lt;K$34,J$33,K243&lt;K$35,J$34,K243&lt;K$36,J$35,K243&lt;K$37,J$36,K243&lt;K$38,J$37,K243&lt;K$39,J$38,K243&lt;K$40,J$39,K243&lt;K$41,J$40,K243&lt;K$42,J$41,K243&lt;K$43,J$42,K243&lt;K$44,J$43,K243&lt;K$45,J$44,K243&lt;K$46,J$45,K243&lt;K$47,J$46,K243&gt;=K$47,J$47)</f>
        <v/>
      </c>
      <c r="K243" s="38" t="n">
        <v>193</v>
      </c>
      <c r="L243" s="31">
        <f>K243/52</f>
        <v/>
      </c>
      <c r="M243" s="39">
        <f>J243/1000000*52</f>
        <v/>
      </c>
      <c r="N243" s="33">
        <f>M243/$P$4+($I$22/$P$4)</f>
        <v/>
      </c>
      <c r="U243">
        <f>F242</f>
        <v/>
      </c>
      <c r="V243">
        <f>H242</f>
        <v/>
      </c>
      <c r="W243">
        <f>N242</f>
        <v/>
      </c>
    </row>
    <row r="244" ht="15.75" customHeight="1" s="40">
      <c r="C244" s="36">
        <f>_xlfn.IFS(E244&lt;E$24,0,E244&lt;E$26,C$24,E244&lt;E$28,C$26,E244&lt;E$30,C$28,E244&lt;E$32,C$30,E244&lt;E$34,C$32,E244&gt;=E$34,C$34)</f>
        <v/>
      </c>
      <c r="D244" s="37">
        <f>_xlfn.IFS(E244&lt;E$24,0,E244&lt;E$25,D$24,E244&lt;E$26,D$25,E244&lt;E$27,D$26,E244&lt;E$28,D$27,E244&lt;E$29,D$28,E244&lt;E$30,D$29,E244&lt;E$31,D$30,E244&lt;E$32,D$31,E244&lt;E$33,D$32,E244&lt;E$34,D$33,E244&lt;E$35,D$34,E244&gt;=E$35,D$35)</f>
        <v/>
      </c>
      <c r="E244" s="38" t="n">
        <v>194</v>
      </c>
      <c r="F244" s="31">
        <f>E244/52</f>
        <v/>
      </c>
      <c r="G244" s="39">
        <f>D244/1000000*52</f>
        <v/>
      </c>
      <c r="H244" s="33">
        <f>G244/$P$4+($C$22/$P$4)</f>
        <v/>
      </c>
      <c r="I244" s="36">
        <f>_xlfn.IFS(K244&lt;K$24,0,K244&lt;K$26,I$24,K244&lt;K$28,I$26,K244&lt;K$30,I$28,K244&lt;K$32,I$30,K244&lt;K$34,I$32,K244&lt;K$36,I$34,K244&lt;K$38,I$36,K244&lt;K$40,I$38,K244&lt;K$42,I$40,K244&lt;K$44,I$42,K244&lt;K$46,I$44,K244&gt;=K$46,I$46)</f>
        <v/>
      </c>
      <c r="J244" s="37">
        <f>_xlfn.IFS(K244&lt;K$24,0,K244&lt;K$25,J$24,K244&lt;K$26,J$25,K244&lt;K$27,J$26,K244&lt;K$28,J$27,K244&lt;K$29,J$28,K244&lt;K$30,J$29,K244&lt;K$31,J$30,K244&lt;K$32,J$31,K244&lt;K$33,J$32,K244&lt;K$34,J$33,K244&lt;K$35,J$34,K244&lt;K$36,J$35,K244&lt;K$37,J$36,K244&lt;K$38,J$37,K244&lt;K$39,J$38,K244&lt;K$40,J$39,K244&lt;K$41,J$40,K244&lt;K$42,J$41,K244&lt;K$43,J$42,K244&lt;K$44,J$43,K244&lt;K$45,J$44,K244&lt;K$46,J$45,K244&lt;K$47,J$46,K244&gt;=K$47,J$47)</f>
        <v/>
      </c>
      <c r="K244" s="38" t="n">
        <v>194</v>
      </c>
      <c r="L244" s="31">
        <f>K244/52</f>
        <v/>
      </c>
      <c r="M244" s="39">
        <f>J244/1000000*52</f>
        <v/>
      </c>
      <c r="N244" s="33">
        <f>M244/$P$4+($I$22/$P$4)</f>
        <v/>
      </c>
      <c r="U244">
        <f>F243</f>
        <v/>
      </c>
      <c r="V244">
        <f>H243</f>
        <v/>
      </c>
      <c r="W244">
        <f>N243</f>
        <v/>
      </c>
    </row>
    <row r="245" ht="15.75" customHeight="1" s="40">
      <c r="C245" s="36">
        <f>_xlfn.IFS(E245&lt;E$24,0,E245&lt;E$26,C$24,E245&lt;E$28,C$26,E245&lt;E$30,C$28,E245&lt;E$32,C$30,E245&lt;E$34,C$32,E245&gt;=E$34,C$34)</f>
        <v/>
      </c>
      <c r="D245" s="37">
        <f>_xlfn.IFS(E245&lt;E$24,0,E245&lt;E$25,D$24,E245&lt;E$26,D$25,E245&lt;E$27,D$26,E245&lt;E$28,D$27,E245&lt;E$29,D$28,E245&lt;E$30,D$29,E245&lt;E$31,D$30,E245&lt;E$32,D$31,E245&lt;E$33,D$32,E245&lt;E$34,D$33,E245&lt;E$35,D$34,E245&gt;=E$35,D$35)</f>
        <v/>
      </c>
      <c r="E245" s="38" t="n">
        <v>195</v>
      </c>
      <c r="F245" s="31">
        <f>E245/52</f>
        <v/>
      </c>
      <c r="G245" s="39">
        <f>D245/1000000*52</f>
        <v/>
      </c>
      <c r="H245" s="33">
        <f>G245/$P$4+($C$22/$P$4)</f>
        <v/>
      </c>
      <c r="I245" s="36">
        <f>_xlfn.IFS(K245&lt;K$24,0,K245&lt;K$26,I$24,K245&lt;K$28,I$26,K245&lt;K$30,I$28,K245&lt;K$32,I$30,K245&lt;K$34,I$32,K245&lt;K$36,I$34,K245&lt;K$38,I$36,K245&lt;K$40,I$38,K245&lt;K$42,I$40,K245&lt;K$44,I$42,K245&lt;K$46,I$44,K245&gt;=K$46,I$46)</f>
        <v/>
      </c>
      <c r="J245" s="37">
        <f>_xlfn.IFS(K245&lt;K$24,0,K245&lt;K$25,J$24,K245&lt;K$26,J$25,K245&lt;K$27,J$26,K245&lt;K$28,J$27,K245&lt;K$29,J$28,K245&lt;K$30,J$29,K245&lt;K$31,J$30,K245&lt;K$32,J$31,K245&lt;K$33,J$32,K245&lt;K$34,J$33,K245&lt;K$35,J$34,K245&lt;K$36,J$35,K245&lt;K$37,J$36,K245&lt;K$38,J$37,K245&lt;K$39,J$38,K245&lt;K$40,J$39,K245&lt;K$41,J$40,K245&lt;K$42,J$41,K245&lt;K$43,J$42,K245&lt;K$44,J$43,K245&lt;K$45,J$44,K245&lt;K$46,J$45,K245&lt;K$47,J$46,K245&gt;=K$47,J$47)</f>
        <v/>
      </c>
      <c r="K245" s="38" t="n">
        <v>195</v>
      </c>
      <c r="L245" s="31">
        <f>K245/52</f>
        <v/>
      </c>
      <c r="M245" s="39">
        <f>J245/1000000*52</f>
        <v/>
      </c>
      <c r="N245" s="33">
        <f>M245/$P$4+($I$22/$P$4)</f>
        <v/>
      </c>
      <c r="U245">
        <f>F244</f>
        <v/>
      </c>
      <c r="V245">
        <f>H244</f>
        <v/>
      </c>
      <c r="W245">
        <f>N244</f>
        <v/>
      </c>
    </row>
    <row r="246" ht="15.75" customHeight="1" s="40">
      <c r="C246" s="36">
        <f>_xlfn.IFS(E246&lt;E$24,0,E246&lt;E$26,C$24,E246&lt;E$28,C$26,E246&lt;E$30,C$28,E246&lt;E$32,C$30,E246&lt;E$34,C$32,E246&gt;=E$34,C$34)</f>
        <v/>
      </c>
      <c r="D246" s="37">
        <f>_xlfn.IFS(E246&lt;E$24,0,E246&lt;E$25,D$24,E246&lt;E$26,D$25,E246&lt;E$27,D$26,E246&lt;E$28,D$27,E246&lt;E$29,D$28,E246&lt;E$30,D$29,E246&lt;E$31,D$30,E246&lt;E$32,D$31,E246&lt;E$33,D$32,E246&lt;E$34,D$33,E246&lt;E$35,D$34,E246&gt;=E$35,D$35)</f>
        <v/>
      </c>
      <c r="E246" s="38" t="n">
        <v>196</v>
      </c>
      <c r="F246" s="31">
        <f>E246/52</f>
        <v/>
      </c>
      <c r="G246" s="39">
        <f>D246/1000000*52</f>
        <v/>
      </c>
      <c r="H246" s="33">
        <f>G246/$P$4+($C$22/$P$4)</f>
        <v/>
      </c>
      <c r="I246" s="36">
        <f>_xlfn.IFS(K246&lt;K$24,0,K246&lt;K$26,I$24,K246&lt;K$28,I$26,K246&lt;K$30,I$28,K246&lt;K$32,I$30,K246&lt;K$34,I$32,K246&lt;K$36,I$34,K246&lt;K$38,I$36,K246&lt;K$40,I$38,K246&lt;K$42,I$40,K246&lt;K$44,I$42,K246&lt;K$46,I$44,K246&gt;=K$46,I$46)</f>
        <v/>
      </c>
      <c r="J246" s="37">
        <f>_xlfn.IFS(K246&lt;K$24,0,K246&lt;K$25,J$24,K246&lt;K$26,J$25,K246&lt;K$27,J$26,K246&lt;K$28,J$27,K246&lt;K$29,J$28,K246&lt;K$30,J$29,K246&lt;K$31,J$30,K246&lt;K$32,J$31,K246&lt;K$33,J$32,K246&lt;K$34,J$33,K246&lt;K$35,J$34,K246&lt;K$36,J$35,K246&lt;K$37,J$36,K246&lt;K$38,J$37,K246&lt;K$39,J$38,K246&lt;K$40,J$39,K246&lt;K$41,J$40,K246&lt;K$42,J$41,K246&lt;K$43,J$42,K246&lt;K$44,J$43,K246&lt;K$45,J$44,K246&lt;K$46,J$45,K246&lt;K$47,J$46,K246&gt;=K$47,J$47)</f>
        <v/>
      </c>
      <c r="K246" s="38" t="n">
        <v>196</v>
      </c>
      <c r="L246" s="31">
        <f>K246/52</f>
        <v/>
      </c>
      <c r="M246" s="39">
        <f>J246/1000000*52</f>
        <v/>
      </c>
      <c r="N246" s="33">
        <f>M246/$P$4+($I$22/$P$4)</f>
        <v/>
      </c>
      <c r="U246">
        <f>F245</f>
        <v/>
      </c>
      <c r="V246">
        <f>H245</f>
        <v/>
      </c>
      <c r="W246">
        <f>N245</f>
        <v/>
      </c>
    </row>
    <row r="247" ht="15.75" customHeight="1" s="40">
      <c r="C247" s="36">
        <f>_xlfn.IFS(E247&lt;E$24,0,E247&lt;E$26,C$24,E247&lt;E$28,C$26,E247&lt;E$30,C$28,E247&lt;E$32,C$30,E247&lt;E$34,C$32,E247&gt;=E$34,C$34)</f>
        <v/>
      </c>
      <c r="D247" s="37">
        <f>_xlfn.IFS(E247&lt;E$24,0,E247&lt;E$25,D$24,E247&lt;E$26,D$25,E247&lt;E$27,D$26,E247&lt;E$28,D$27,E247&lt;E$29,D$28,E247&lt;E$30,D$29,E247&lt;E$31,D$30,E247&lt;E$32,D$31,E247&lt;E$33,D$32,E247&lt;E$34,D$33,E247&lt;E$35,D$34,E247&gt;=E$35,D$35)</f>
        <v/>
      </c>
      <c r="E247" s="38" t="n">
        <v>197</v>
      </c>
      <c r="F247" s="31">
        <f>E247/52</f>
        <v/>
      </c>
      <c r="G247" s="39">
        <f>D247/1000000*52</f>
        <v/>
      </c>
      <c r="H247" s="33">
        <f>G247/$P$4+($C$22/$P$4)</f>
        <v/>
      </c>
      <c r="I247" s="36">
        <f>_xlfn.IFS(K247&lt;K$24,0,K247&lt;K$26,I$24,K247&lt;K$28,I$26,K247&lt;K$30,I$28,K247&lt;K$32,I$30,K247&lt;K$34,I$32,K247&lt;K$36,I$34,K247&lt;K$38,I$36,K247&lt;K$40,I$38,K247&lt;K$42,I$40,K247&lt;K$44,I$42,K247&lt;K$46,I$44,K247&gt;=K$46,I$46)</f>
        <v/>
      </c>
      <c r="J247" s="37">
        <f>_xlfn.IFS(K247&lt;K$24,0,K247&lt;K$25,J$24,K247&lt;K$26,J$25,K247&lt;K$27,J$26,K247&lt;K$28,J$27,K247&lt;K$29,J$28,K247&lt;K$30,J$29,K247&lt;K$31,J$30,K247&lt;K$32,J$31,K247&lt;K$33,J$32,K247&lt;K$34,J$33,K247&lt;K$35,J$34,K247&lt;K$36,J$35,K247&lt;K$37,J$36,K247&lt;K$38,J$37,K247&lt;K$39,J$38,K247&lt;K$40,J$39,K247&lt;K$41,J$40,K247&lt;K$42,J$41,K247&lt;K$43,J$42,K247&lt;K$44,J$43,K247&lt;K$45,J$44,K247&lt;K$46,J$45,K247&lt;K$47,J$46,K247&gt;=K$47,J$47)</f>
        <v/>
      </c>
      <c r="K247" s="38" t="n">
        <v>197</v>
      </c>
      <c r="L247" s="31">
        <f>K247/52</f>
        <v/>
      </c>
      <c r="M247" s="39">
        <f>J247/1000000*52</f>
        <v/>
      </c>
      <c r="N247" s="33">
        <f>M247/$P$4+($I$22/$P$4)</f>
        <v/>
      </c>
      <c r="U247">
        <f>F246</f>
        <v/>
      </c>
      <c r="V247">
        <f>H246</f>
        <v/>
      </c>
      <c r="W247">
        <f>N246</f>
        <v/>
      </c>
    </row>
    <row r="248" ht="15.75" customHeight="1" s="40">
      <c r="C248" s="36">
        <f>_xlfn.IFS(E248&lt;E$24,0,E248&lt;E$26,C$24,E248&lt;E$28,C$26,E248&lt;E$30,C$28,E248&lt;E$32,C$30,E248&lt;E$34,C$32,E248&gt;=E$34,C$34)</f>
        <v/>
      </c>
      <c r="D248" s="37">
        <f>_xlfn.IFS(E248&lt;E$24,0,E248&lt;E$25,D$24,E248&lt;E$26,D$25,E248&lt;E$27,D$26,E248&lt;E$28,D$27,E248&lt;E$29,D$28,E248&lt;E$30,D$29,E248&lt;E$31,D$30,E248&lt;E$32,D$31,E248&lt;E$33,D$32,E248&lt;E$34,D$33,E248&lt;E$35,D$34,E248&gt;=E$35,D$35)</f>
        <v/>
      </c>
      <c r="E248" s="38" t="n">
        <v>198</v>
      </c>
      <c r="F248" s="31">
        <f>E248/52</f>
        <v/>
      </c>
      <c r="G248" s="39">
        <f>D248/1000000*52</f>
        <v/>
      </c>
      <c r="H248" s="33">
        <f>G248/$P$4+($C$22/$P$4)</f>
        <v/>
      </c>
      <c r="I248" s="36">
        <f>_xlfn.IFS(K248&lt;K$24,0,K248&lt;K$26,I$24,K248&lt;K$28,I$26,K248&lt;K$30,I$28,K248&lt;K$32,I$30,K248&lt;K$34,I$32,K248&lt;K$36,I$34,K248&lt;K$38,I$36,K248&lt;K$40,I$38,K248&lt;K$42,I$40,K248&lt;K$44,I$42,K248&lt;K$46,I$44,K248&gt;=K$46,I$46)</f>
        <v/>
      </c>
      <c r="J248" s="37">
        <f>_xlfn.IFS(K248&lt;K$24,0,K248&lt;K$25,J$24,K248&lt;K$26,J$25,K248&lt;K$27,J$26,K248&lt;K$28,J$27,K248&lt;K$29,J$28,K248&lt;K$30,J$29,K248&lt;K$31,J$30,K248&lt;K$32,J$31,K248&lt;K$33,J$32,K248&lt;K$34,J$33,K248&lt;K$35,J$34,K248&lt;K$36,J$35,K248&lt;K$37,J$36,K248&lt;K$38,J$37,K248&lt;K$39,J$38,K248&lt;K$40,J$39,K248&lt;K$41,J$40,K248&lt;K$42,J$41,K248&lt;K$43,J$42,K248&lt;K$44,J$43,K248&lt;K$45,J$44,K248&lt;K$46,J$45,K248&lt;K$47,J$46,K248&gt;=K$47,J$47)</f>
        <v/>
      </c>
      <c r="K248" s="38" t="n">
        <v>198</v>
      </c>
      <c r="L248" s="31">
        <f>K248/52</f>
        <v/>
      </c>
      <c r="M248" s="39">
        <f>J248/1000000*52</f>
        <v/>
      </c>
      <c r="N248" s="33">
        <f>M248/$P$4+($I$22/$P$4)</f>
        <v/>
      </c>
      <c r="U248">
        <f>F247</f>
        <v/>
      </c>
      <c r="V248">
        <f>H247</f>
        <v/>
      </c>
      <c r="W248">
        <f>N247</f>
        <v/>
      </c>
    </row>
    <row r="249" ht="15.75" customHeight="1" s="40">
      <c r="C249" s="36">
        <f>_xlfn.IFS(E249&lt;E$24,0,E249&lt;E$26,C$24,E249&lt;E$28,C$26,E249&lt;E$30,C$28,E249&lt;E$32,C$30,E249&lt;E$34,C$32,E249&gt;=E$34,C$34)</f>
        <v/>
      </c>
      <c r="D249" s="37">
        <f>_xlfn.IFS(E249&lt;E$24,0,E249&lt;E$25,D$24,E249&lt;E$26,D$25,E249&lt;E$27,D$26,E249&lt;E$28,D$27,E249&lt;E$29,D$28,E249&lt;E$30,D$29,E249&lt;E$31,D$30,E249&lt;E$32,D$31,E249&lt;E$33,D$32,E249&lt;E$34,D$33,E249&lt;E$35,D$34,E249&gt;=E$35,D$35)</f>
        <v/>
      </c>
      <c r="E249" s="38" t="n">
        <v>199</v>
      </c>
      <c r="F249" s="31">
        <f>E249/52</f>
        <v/>
      </c>
      <c r="G249" s="39">
        <f>D249/1000000*52</f>
        <v/>
      </c>
      <c r="H249" s="33">
        <f>G249/$P$4+($C$22/$P$4)</f>
        <v/>
      </c>
      <c r="I249" s="36">
        <f>_xlfn.IFS(K249&lt;K$24,0,K249&lt;K$26,I$24,K249&lt;K$28,I$26,K249&lt;K$30,I$28,K249&lt;K$32,I$30,K249&lt;K$34,I$32,K249&lt;K$36,I$34,K249&lt;K$38,I$36,K249&lt;K$40,I$38,K249&lt;K$42,I$40,K249&lt;K$44,I$42,K249&lt;K$46,I$44,K249&gt;=K$46,I$46)</f>
        <v/>
      </c>
      <c r="J249" s="37">
        <f>_xlfn.IFS(K249&lt;K$24,0,K249&lt;K$25,J$24,K249&lt;K$26,J$25,K249&lt;K$27,J$26,K249&lt;K$28,J$27,K249&lt;K$29,J$28,K249&lt;K$30,J$29,K249&lt;K$31,J$30,K249&lt;K$32,J$31,K249&lt;K$33,J$32,K249&lt;K$34,J$33,K249&lt;K$35,J$34,K249&lt;K$36,J$35,K249&lt;K$37,J$36,K249&lt;K$38,J$37,K249&lt;K$39,J$38,K249&lt;K$40,J$39,K249&lt;K$41,J$40,K249&lt;K$42,J$41,K249&lt;K$43,J$42,K249&lt;K$44,J$43,K249&lt;K$45,J$44,K249&lt;K$46,J$45,K249&lt;K$47,J$46,K249&gt;=K$47,J$47)</f>
        <v/>
      </c>
      <c r="K249" s="38" t="n">
        <v>199</v>
      </c>
      <c r="L249" s="31">
        <f>K249/52</f>
        <v/>
      </c>
      <c r="M249" s="39">
        <f>J249/1000000*52</f>
        <v/>
      </c>
      <c r="N249" s="33">
        <f>M249/$P$4+($I$22/$P$4)</f>
        <v/>
      </c>
      <c r="U249">
        <f>F248</f>
        <v/>
      </c>
      <c r="V249">
        <f>H248</f>
        <v/>
      </c>
      <c r="W249">
        <f>N248</f>
        <v/>
      </c>
    </row>
    <row r="250" ht="15.75" customHeight="1" s="40">
      <c r="C250" s="36">
        <f>_xlfn.IFS(E250&lt;E$24,0,E250&lt;E$26,C$24,E250&lt;E$28,C$26,E250&lt;E$30,C$28,E250&lt;E$32,C$30,E250&lt;E$34,C$32,E250&gt;=E$34,C$34)</f>
        <v/>
      </c>
      <c r="D250" s="37">
        <f>_xlfn.IFS(E250&lt;E$24,0,E250&lt;E$25,D$24,E250&lt;E$26,D$25,E250&lt;E$27,D$26,E250&lt;E$28,D$27,E250&lt;E$29,D$28,E250&lt;E$30,D$29,E250&lt;E$31,D$30,E250&lt;E$32,D$31,E250&lt;E$33,D$32,E250&lt;E$34,D$33,E250&lt;E$35,D$34,E250&gt;=E$35,D$35)</f>
        <v/>
      </c>
      <c r="E250" s="38" t="n">
        <v>200</v>
      </c>
      <c r="F250" s="31">
        <f>E250/52</f>
        <v/>
      </c>
      <c r="G250" s="39">
        <f>D250/1000000*52</f>
        <v/>
      </c>
      <c r="H250" s="33">
        <f>G250/$P$4+($C$22/$P$4)</f>
        <v/>
      </c>
      <c r="I250" s="36">
        <f>_xlfn.IFS(K250&lt;K$24,0,K250&lt;K$26,I$24,K250&lt;K$28,I$26,K250&lt;K$30,I$28,K250&lt;K$32,I$30,K250&lt;K$34,I$32,K250&lt;K$36,I$34,K250&lt;K$38,I$36,K250&lt;K$40,I$38,K250&lt;K$42,I$40,K250&lt;K$44,I$42,K250&lt;K$46,I$44,K250&gt;=K$46,I$46)</f>
        <v/>
      </c>
      <c r="J250" s="37">
        <f>_xlfn.IFS(K250&lt;K$24,0,K250&lt;K$25,J$24,K250&lt;K$26,J$25,K250&lt;K$27,J$26,K250&lt;K$28,J$27,K250&lt;K$29,J$28,K250&lt;K$30,J$29,K250&lt;K$31,J$30,K250&lt;K$32,J$31,K250&lt;K$33,J$32,K250&lt;K$34,J$33,K250&lt;K$35,J$34,K250&lt;K$36,J$35,K250&lt;K$37,J$36,K250&lt;K$38,J$37,K250&lt;K$39,J$38,K250&lt;K$40,J$39,K250&lt;K$41,J$40,K250&lt;K$42,J$41,K250&lt;K$43,J$42,K250&lt;K$44,J$43,K250&lt;K$45,J$44,K250&lt;K$46,J$45,K250&lt;K$47,J$46,K250&gt;=K$47,J$47)</f>
        <v/>
      </c>
      <c r="K250" s="38" t="n">
        <v>200</v>
      </c>
      <c r="L250" s="31">
        <f>K250/52</f>
        <v/>
      </c>
      <c r="M250" s="39">
        <f>J250/1000000*52</f>
        <v/>
      </c>
      <c r="N250" s="33">
        <f>M250/$P$4+($I$22/$P$4)</f>
        <v/>
      </c>
      <c r="U250">
        <f>F249</f>
        <v/>
      </c>
      <c r="V250">
        <f>H249</f>
        <v/>
      </c>
      <c r="W250">
        <f>N249</f>
        <v/>
      </c>
    </row>
    <row r="251" ht="15.75" customHeight="1" s="40">
      <c r="C251" s="36">
        <f>_xlfn.IFS(E251&lt;E$24,0,E251&lt;E$26,C$24,E251&lt;E$28,C$26,E251&lt;E$30,C$28,E251&lt;E$32,C$30,E251&lt;E$34,C$32,E251&gt;=E$34,C$34)</f>
        <v/>
      </c>
      <c r="D251" s="37">
        <f>_xlfn.IFS(E251&lt;E$24,0,E251&lt;E$25,D$24,E251&lt;E$26,D$25,E251&lt;E$27,D$26,E251&lt;E$28,D$27,E251&lt;E$29,D$28,E251&lt;E$30,D$29,E251&lt;E$31,D$30,E251&lt;E$32,D$31,E251&lt;E$33,D$32,E251&lt;E$34,D$33,E251&lt;E$35,D$34,E251&gt;=E$35,D$35)</f>
        <v/>
      </c>
      <c r="E251" s="38" t="n">
        <v>201</v>
      </c>
      <c r="F251" s="31">
        <f>E251/52</f>
        <v/>
      </c>
      <c r="G251" s="39">
        <f>D251/1000000*52</f>
        <v/>
      </c>
      <c r="H251" s="33">
        <f>G251/$P$4+($C$22/$P$4)</f>
        <v/>
      </c>
      <c r="I251" s="36">
        <f>_xlfn.IFS(K251&lt;K$24,0,K251&lt;K$26,I$24,K251&lt;K$28,I$26,K251&lt;K$30,I$28,K251&lt;K$32,I$30,K251&lt;K$34,I$32,K251&lt;K$36,I$34,K251&lt;K$38,I$36,K251&lt;K$40,I$38,K251&lt;K$42,I$40,K251&lt;K$44,I$42,K251&lt;K$46,I$44,K251&gt;=K$46,I$46)</f>
        <v/>
      </c>
      <c r="J251" s="37">
        <f>_xlfn.IFS(K251&lt;K$24,0,K251&lt;K$25,J$24,K251&lt;K$26,J$25,K251&lt;K$27,J$26,K251&lt;K$28,J$27,K251&lt;K$29,J$28,K251&lt;K$30,J$29,K251&lt;K$31,J$30,K251&lt;K$32,J$31,K251&lt;K$33,J$32,K251&lt;K$34,J$33,K251&lt;K$35,J$34,K251&lt;K$36,J$35,K251&lt;K$37,J$36,K251&lt;K$38,J$37,K251&lt;K$39,J$38,K251&lt;K$40,J$39,K251&lt;K$41,J$40,K251&lt;K$42,J$41,K251&lt;K$43,J$42,K251&lt;K$44,J$43,K251&lt;K$45,J$44,K251&lt;K$46,J$45,K251&lt;K$47,J$46,K251&gt;=K$47,J$47)</f>
        <v/>
      </c>
      <c r="K251" s="38" t="n">
        <v>201</v>
      </c>
      <c r="L251" s="31">
        <f>K251/52</f>
        <v/>
      </c>
      <c r="M251" s="39">
        <f>J251/1000000*52</f>
        <v/>
      </c>
      <c r="N251" s="33">
        <f>M251/$P$4+($I$22/$P$4)</f>
        <v/>
      </c>
      <c r="U251">
        <f>F250</f>
        <v/>
      </c>
      <c r="V251">
        <f>H250</f>
        <v/>
      </c>
      <c r="W251">
        <f>N250</f>
        <v/>
      </c>
    </row>
    <row r="252" ht="15.75" customHeight="1" s="40">
      <c r="C252" s="36">
        <f>_xlfn.IFS(E252&lt;E$24,0,E252&lt;E$26,C$24,E252&lt;E$28,C$26,E252&lt;E$30,C$28,E252&lt;E$32,C$30,E252&lt;E$34,C$32,E252&gt;=E$34,C$34)</f>
        <v/>
      </c>
      <c r="D252" s="37">
        <f>_xlfn.IFS(E252&lt;E$24,0,E252&lt;E$25,D$24,E252&lt;E$26,D$25,E252&lt;E$27,D$26,E252&lt;E$28,D$27,E252&lt;E$29,D$28,E252&lt;E$30,D$29,E252&lt;E$31,D$30,E252&lt;E$32,D$31,E252&lt;E$33,D$32,E252&lt;E$34,D$33,E252&lt;E$35,D$34,E252&gt;=E$35,D$35)</f>
        <v/>
      </c>
      <c r="E252" s="38" t="n">
        <v>202</v>
      </c>
      <c r="F252" s="31">
        <f>E252/52</f>
        <v/>
      </c>
      <c r="G252" s="39">
        <f>D252/1000000*52</f>
        <v/>
      </c>
      <c r="H252" s="33">
        <f>G252/$P$4+($C$22/$P$4)</f>
        <v/>
      </c>
      <c r="I252" s="36">
        <f>_xlfn.IFS(K252&lt;K$24,0,K252&lt;K$26,I$24,K252&lt;K$28,I$26,K252&lt;K$30,I$28,K252&lt;K$32,I$30,K252&lt;K$34,I$32,K252&lt;K$36,I$34,K252&lt;K$38,I$36,K252&lt;K$40,I$38,K252&lt;K$42,I$40,K252&lt;K$44,I$42,K252&lt;K$46,I$44,K252&gt;=K$46,I$46)</f>
        <v/>
      </c>
      <c r="J252" s="37">
        <f>_xlfn.IFS(K252&lt;K$24,0,K252&lt;K$25,J$24,K252&lt;K$26,J$25,K252&lt;K$27,J$26,K252&lt;K$28,J$27,K252&lt;K$29,J$28,K252&lt;K$30,J$29,K252&lt;K$31,J$30,K252&lt;K$32,J$31,K252&lt;K$33,J$32,K252&lt;K$34,J$33,K252&lt;K$35,J$34,K252&lt;K$36,J$35,K252&lt;K$37,J$36,K252&lt;K$38,J$37,K252&lt;K$39,J$38,K252&lt;K$40,J$39,K252&lt;K$41,J$40,K252&lt;K$42,J$41,K252&lt;K$43,J$42,K252&lt;K$44,J$43,K252&lt;K$45,J$44,K252&lt;K$46,J$45,K252&lt;K$47,J$46,K252&gt;=K$47,J$47)</f>
        <v/>
      </c>
      <c r="K252" s="38" t="n">
        <v>202</v>
      </c>
      <c r="L252" s="31">
        <f>K252/52</f>
        <v/>
      </c>
      <c r="M252" s="39">
        <f>J252/1000000*52</f>
        <v/>
      </c>
      <c r="N252" s="33">
        <f>M252/$P$4+($I$22/$P$4)</f>
        <v/>
      </c>
      <c r="U252">
        <f>F251</f>
        <v/>
      </c>
      <c r="V252">
        <f>H251</f>
        <v/>
      </c>
      <c r="W252">
        <f>N251</f>
        <v/>
      </c>
    </row>
    <row r="253" ht="15.75" customHeight="1" s="40">
      <c r="C253" s="36">
        <f>_xlfn.IFS(E253&lt;E$24,0,E253&lt;E$26,C$24,E253&lt;E$28,C$26,E253&lt;E$30,C$28,E253&lt;E$32,C$30,E253&lt;E$34,C$32,E253&gt;=E$34,C$34)</f>
        <v/>
      </c>
      <c r="D253" s="37">
        <f>_xlfn.IFS(E253&lt;E$24,0,E253&lt;E$25,D$24,E253&lt;E$26,D$25,E253&lt;E$27,D$26,E253&lt;E$28,D$27,E253&lt;E$29,D$28,E253&lt;E$30,D$29,E253&lt;E$31,D$30,E253&lt;E$32,D$31,E253&lt;E$33,D$32,E253&lt;E$34,D$33,E253&lt;E$35,D$34,E253&gt;=E$35,D$35)</f>
        <v/>
      </c>
      <c r="E253" s="38" t="n">
        <v>203</v>
      </c>
      <c r="F253" s="31">
        <f>E253/52</f>
        <v/>
      </c>
      <c r="G253" s="39">
        <f>D253/1000000*52</f>
        <v/>
      </c>
      <c r="H253" s="33">
        <f>G253/$P$4+($C$22/$P$4)</f>
        <v/>
      </c>
      <c r="I253" s="36">
        <f>_xlfn.IFS(K253&lt;K$24,0,K253&lt;K$26,I$24,K253&lt;K$28,I$26,K253&lt;K$30,I$28,K253&lt;K$32,I$30,K253&lt;K$34,I$32,K253&lt;K$36,I$34,K253&lt;K$38,I$36,K253&lt;K$40,I$38,K253&lt;K$42,I$40,K253&lt;K$44,I$42,K253&lt;K$46,I$44,K253&gt;=K$46,I$46)</f>
        <v/>
      </c>
      <c r="J253" s="37">
        <f>_xlfn.IFS(K253&lt;K$24,0,K253&lt;K$25,J$24,K253&lt;K$26,J$25,K253&lt;K$27,J$26,K253&lt;K$28,J$27,K253&lt;K$29,J$28,K253&lt;K$30,J$29,K253&lt;K$31,J$30,K253&lt;K$32,J$31,K253&lt;K$33,J$32,K253&lt;K$34,J$33,K253&lt;K$35,J$34,K253&lt;K$36,J$35,K253&lt;K$37,J$36,K253&lt;K$38,J$37,K253&lt;K$39,J$38,K253&lt;K$40,J$39,K253&lt;K$41,J$40,K253&lt;K$42,J$41,K253&lt;K$43,J$42,K253&lt;K$44,J$43,K253&lt;K$45,J$44,K253&lt;K$46,J$45,K253&lt;K$47,J$46,K253&gt;=K$47,J$47)</f>
        <v/>
      </c>
      <c r="K253" s="38" t="n">
        <v>203</v>
      </c>
      <c r="L253" s="31">
        <f>K253/52</f>
        <v/>
      </c>
      <c r="M253" s="39">
        <f>J253/1000000*52</f>
        <v/>
      </c>
      <c r="N253" s="33">
        <f>M253/$P$4+($I$22/$P$4)</f>
        <v/>
      </c>
      <c r="U253">
        <f>F252</f>
        <v/>
      </c>
      <c r="V253">
        <f>H252</f>
        <v/>
      </c>
      <c r="W253">
        <f>N252</f>
        <v/>
      </c>
    </row>
    <row r="254" ht="15.75" customHeight="1" s="40">
      <c r="C254" s="36">
        <f>_xlfn.IFS(E254&lt;E$24,0,E254&lt;E$26,C$24,E254&lt;E$28,C$26,E254&lt;E$30,C$28,E254&lt;E$32,C$30,E254&lt;E$34,C$32,E254&gt;=E$34,C$34)</f>
        <v/>
      </c>
      <c r="D254" s="37">
        <f>_xlfn.IFS(E254&lt;E$24,0,E254&lt;E$25,D$24,E254&lt;E$26,D$25,E254&lt;E$27,D$26,E254&lt;E$28,D$27,E254&lt;E$29,D$28,E254&lt;E$30,D$29,E254&lt;E$31,D$30,E254&lt;E$32,D$31,E254&lt;E$33,D$32,E254&lt;E$34,D$33,E254&lt;E$35,D$34,E254&gt;=E$35,D$35)</f>
        <v/>
      </c>
      <c r="E254" s="38" t="n">
        <v>204</v>
      </c>
      <c r="F254" s="31">
        <f>E254/52</f>
        <v/>
      </c>
      <c r="G254" s="39">
        <f>D254/1000000*52</f>
        <v/>
      </c>
      <c r="H254" s="33">
        <f>G254/$P$4+($C$22/$P$4)</f>
        <v/>
      </c>
      <c r="I254" s="36">
        <f>_xlfn.IFS(K254&lt;K$24,0,K254&lt;K$26,I$24,K254&lt;K$28,I$26,K254&lt;K$30,I$28,K254&lt;K$32,I$30,K254&lt;K$34,I$32,K254&lt;K$36,I$34,K254&lt;K$38,I$36,K254&lt;K$40,I$38,K254&lt;K$42,I$40,K254&lt;K$44,I$42,K254&lt;K$46,I$44,K254&gt;=K$46,I$46)</f>
        <v/>
      </c>
      <c r="J254" s="37">
        <f>_xlfn.IFS(K254&lt;K$24,0,K254&lt;K$25,J$24,K254&lt;K$26,J$25,K254&lt;K$27,J$26,K254&lt;K$28,J$27,K254&lt;K$29,J$28,K254&lt;K$30,J$29,K254&lt;K$31,J$30,K254&lt;K$32,J$31,K254&lt;K$33,J$32,K254&lt;K$34,J$33,K254&lt;K$35,J$34,K254&lt;K$36,J$35,K254&lt;K$37,J$36,K254&lt;K$38,J$37,K254&lt;K$39,J$38,K254&lt;K$40,J$39,K254&lt;K$41,J$40,K254&lt;K$42,J$41,K254&lt;K$43,J$42,K254&lt;K$44,J$43,K254&lt;K$45,J$44,K254&lt;K$46,J$45,K254&lt;K$47,J$46,K254&gt;=K$47,J$47)</f>
        <v/>
      </c>
      <c r="K254" s="38" t="n">
        <v>204</v>
      </c>
      <c r="L254" s="31">
        <f>K254/52</f>
        <v/>
      </c>
      <c r="M254" s="39">
        <f>J254/1000000*52</f>
        <v/>
      </c>
      <c r="N254" s="33">
        <f>M254/$P$4+($I$22/$P$4)</f>
        <v/>
      </c>
      <c r="U254">
        <f>F253</f>
        <v/>
      </c>
      <c r="V254">
        <f>H253</f>
        <v/>
      </c>
      <c r="W254">
        <f>N253</f>
        <v/>
      </c>
    </row>
    <row r="255" ht="15.75" customHeight="1" s="40">
      <c r="C255" s="36">
        <f>_xlfn.IFS(E255&lt;E$24,0,E255&lt;E$26,C$24,E255&lt;E$28,C$26,E255&lt;E$30,C$28,E255&lt;E$32,C$30,E255&lt;E$34,C$32,E255&gt;=E$34,C$34)</f>
        <v/>
      </c>
      <c r="D255" s="37">
        <f>_xlfn.IFS(E255&lt;E$24,0,E255&lt;E$25,D$24,E255&lt;E$26,D$25,E255&lt;E$27,D$26,E255&lt;E$28,D$27,E255&lt;E$29,D$28,E255&lt;E$30,D$29,E255&lt;E$31,D$30,E255&lt;E$32,D$31,E255&lt;E$33,D$32,E255&lt;E$34,D$33,E255&lt;E$35,D$34,E255&gt;=E$35,D$35)</f>
        <v/>
      </c>
      <c r="E255" s="38" t="n">
        <v>205</v>
      </c>
      <c r="F255" s="31">
        <f>E255/52</f>
        <v/>
      </c>
      <c r="G255" s="39">
        <f>D255/1000000*52</f>
        <v/>
      </c>
      <c r="H255" s="33">
        <f>G255/$P$4+($C$22/$P$4)</f>
        <v/>
      </c>
      <c r="I255" s="36">
        <f>_xlfn.IFS(K255&lt;K$24,0,K255&lt;K$26,I$24,K255&lt;K$28,I$26,K255&lt;K$30,I$28,K255&lt;K$32,I$30,K255&lt;K$34,I$32,K255&lt;K$36,I$34,K255&lt;K$38,I$36,K255&lt;K$40,I$38,K255&lt;K$42,I$40,K255&lt;K$44,I$42,K255&lt;K$46,I$44,K255&gt;=K$46,I$46)</f>
        <v/>
      </c>
      <c r="J255" s="37">
        <f>_xlfn.IFS(K255&lt;K$24,0,K255&lt;K$25,J$24,K255&lt;K$26,J$25,K255&lt;K$27,J$26,K255&lt;K$28,J$27,K255&lt;K$29,J$28,K255&lt;K$30,J$29,K255&lt;K$31,J$30,K255&lt;K$32,J$31,K255&lt;K$33,J$32,K255&lt;K$34,J$33,K255&lt;K$35,J$34,K255&lt;K$36,J$35,K255&lt;K$37,J$36,K255&lt;K$38,J$37,K255&lt;K$39,J$38,K255&lt;K$40,J$39,K255&lt;K$41,J$40,K255&lt;K$42,J$41,K255&lt;K$43,J$42,K255&lt;K$44,J$43,K255&lt;K$45,J$44,K255&lt;K$46,J$45,K255&lt;K$47,J$46,K255&gt;=K$47,J$47)</f>
        <v/>
      </c>
      <c r="K255" s="38" t="n">
        <v>205</v>
      </c>
      <c r="L255" s="31">
        <f>K255/52</f>
        <v/>
      </c>
      <c r="M255" s="39">
        <f>J255/1000000*52</f>
        <v/>
      </c>
      <c r="N255" s="33">
        <f>M255/$P$4+($I$22/$P$4)</f>
        <v/>
      </c>
      <c r="U255">
        <f>F254</f>
        <v/>
      </c>
      <c r="V255">
        <f>H254</f>
        <v/>
      </c>
      <c r="W255">
        <f>N254</f>
        <v/>
      </c>
    </row>
    <row r="256" ht="15.75" customHeight="1" s="40">
      <c r="C256" s="36">
        <f>_xlfn.IFS(E256&lt;E$24,0,E256&lt;E$26,C$24,E256&lt;E$28,C$26,E256&lt;E$30,C$28,E256&lt;E$32,C$30,E256&lt;E$34,C$32,E256&gt;=E$34,C$34)</f>
        <v/>
      </c>
      <c r="D256" s="37">
        <f>_xlfn.IFS(E256&lt;E$24,0,E256&lt;E$25,D$24,E256&lt;E$26,D$25,E256&lt;E$27,D$26,E256&lt;E$28,D$27,E256&lt;E$29,D$28,E256&lt;E$30,D$29,E256&lt;E$31,D$30,E256&lt;E$32,D$31,E256&lt;E$33,D$32,E256&lt;E$34,D$33,E256&lt;E$35,D$34,E256&gt;=E$35,D$35)</f>
        <v/>
      </c>
      <c r="E256" s="38" t="n">
        <v>206</v>
      </c>
      <c r="F256" s="31">
        <f>E256/52</f>
        <v/>
      </c>
      <c r="G256" s="39">
        <f>D256/1000000*52</f>
        <v/>
      </c>
      <c r="H256" s="33">
        <f>G256/$P$4+($C$22/$P$4)</f>
        <v/>
      </c>
      <c r="I256" s="36">
        <f>_xlfn.IFS(K256&lt;K$24,0,K256&lt;K$26,I$24,K256&lt;K$28,I$26,K256&lt;K$30,I$28,K256&lt;K$32,I$30,K256&lt;K$34,I$32,K256&lt;K$36,I$34,K256&lt;K$38,I$36,K256&lt;K$40,I$38,K256&lt;K$42,I$40,K256&lt;K$44,I$42,K256&lt;K$46,I$44,K256&gt;=K$46,I$46)</f>
        <v/>
      </c>
      <c r="J256" s="37">
        <f>_xlfn.IFS(K256&lt;K$24,0,K256&lt;K$25,J$24,K256&lt;K$26,J$25,K256&lt;K$27,J$26,K256&lt;K$28,J$27,K256&lt;K$29,J$28,K256&lt;K$30,J$29,K256&lt;K$31,J$30,K256&lt;K$32,J$31,K256&lt;K$33,J$32,K256&lt;K$34,J$33,K256&lt;K$35,J$34,K256&lt;K$36,J$35,K256&lt;K$37,J$36,K256&lt;K$38,J$37,K256&lt;K$39,J$38,K256&lt;K$40,J$39,K256&lt;K$41,J$40,K256&lt;K$42,J$41,K256&lt;K$43,J$42,K256&lt;K$44,J$43,K256&lt;K$45,J$44,K256&lt;K$46,J$45,K256&lt;K$47,J$46,K256&gt;=K$47,J$47)</f>
        <v/>
      </c>
      <c r="K256" s="38" t="n">
        <v>206</v>
      </c>
      <c r="L256" s="31">
        <f>K256/52</f>
        <v/>
      </c>
      <c r="M256" s="39">
        <f>J256/1000000*52</f>
        <v/>
      </c>
      <c r="N256" s="33">
        <f>M256/$P$4+($I$22/$P$4)</f>
        <v/>
      </c>
      <c r="U256">
        <f>F255</f>
        <v/>
      </c>
      <c r="V256">
        <f>H255</f>
        <v/>
      </c>
      <c r="W256">
        <f>N255</f>
        <v/>
      </c>
    </row>
    <row r="257" ht="15.75" customHeight="1" s="40">
      <c r="C257" s="36">
        <f>_xlfn.IFS(E257&lt;E$24,0,E257&lt;E$26,C$24,E257&lt;E$28,C$26,E257&lt;E$30,C$28,E257&lt;E$32,C$30,E257&lt;E$34,C$32,E257&gt;=E$34,C$34)</f>
        <v/>
      </c>
      <c r="D257" s="37">
        <f>_xlfn.IFS(E257&lt;E$24,0,E257&lt;E$25,D$24,E257&lt;E$26,D$25,E257&lt;E$27,D$26,E257&lt;E$28,D$27,E257&lt;E$29,D$28,E257&lt;E$30,D$29,E257&lt;E$31,D$30,E257&lt;E$32,D$31,E257&lt;E$33,D$32,E257&lt;E$34,D$33,E257&lt;E$35,D$34,E257&gt;=E$35,D$35)</f>
        <v/>
      </c>
      <c r="E257" s="38" t="n">
        <v>207</v>
      </c>
      <c r="F257" s="31">
        <f>E257/52</f>
        <v/>
      </c>
      <c r="G257" s="39">
        <f>D257/1000000*52</f>
        <v/>
      </c>
      <c r="H257" s="33">
        <f>G257/$P$4+($C$22/$P$4)</f>
        <v/>
      </c>
      <c r="I257" s="36">
        <f>_xlfn.IFS(K257&lt;K$24,0,K257&lt;K$26,I$24,K257&lt;K$28,I$26,K257&lt;K$30,I$28,K257&lt;K$32,I$30,K257&lt;K$34,I$32,K257&lt;K$36,I$34,K257&lt;K$38,I$36,K257&lt;K$40,I$38,K257&lt;K$42,I$40,K257&lt;K$44,I$42,K257&lt;K$46,I$44,K257&gt;=K$46,I$46)</f>
        <v/>
      </c>
      <c r="J257" s="37">
        <f>_xlfn.IFS(K257&lt;K$24,0,K257&lt;K$25,J$24,K257&lt;K$26,J$25,K257&lt;K$27,J$26,K257&lt;K$28,J$27,K257&lt;K$29,J$28,K257&lt;K$30,J$29,K257&lt;K$31,J$30,K257&lt;K$32,J$31,K257&lt;K$33,J$32,K257&lt;K$34,J$33,K257&lt;K$35,J$34,K257&lt;K$36,J$35,K257&lt;K$37,J$36,K257&lt;K$38,J$37,K257&lt;K$39,J$38,K257&lt;K$40,J$39,K257&lt;K$41,J$40,K257&lt;K$42,J$41,K257&lt;K$43,J$42,K257&lt;K$44,J$43,K257&lt;K$45,J$44,K257&lt;K$46,J$45,K257&lt;K$47,J$46,K257&gt;=K$47,J$47)</f>
        <v/>
      </c>
      <c r="K257" s="38" t="n">
        <v>207</v>
      </c>
      <c r="L257" s="31">
        <f>K257/52</f>
        <v/>
      </c>
      <c r="M257" s="39">
        <f>J257/1000000*52</f>
        <v/>
      </c>
      <c r="N257" s="33">
        <f>M257/$P$4+($I$22/$P$4)</f>
        <v/>
      </c>
      <c r="U257">
        <f>F256</f>
        <v/>
      </c>
      <c r="V257">
        <f>H256</f>
        <v/>
      </c>
      <c r="W257">
        <f>N256</f>
        <v/>
      </c>
    </row>
    <row r="258" ht="15.75" customHeight="1" s="40">
      <c r="C258" s="36">
        <f>_xlfn.IFS(E258&lt;E$24,0,E258&lt;E$26,C$24,E258&lt;E$28,C$26,E258&lt;E$30,C$28,E258&lt;E$32,C$30,E258&lt;E$34,C$32,E258&gt;=E$34,C$34)</f>
        <v/>
      </c>
      <c r="D258" s="37">
        <f>_xlfn.IFS(E258&lt;E$24,0,E258&lt;E$25,D$24,E258&lt;E$26,D$25,E258&lt;E$27,D$26,E258&lt;E$28,D$27,E258&lt;E$29,D$28,E258&lt;E$30,D$29,E258&lt;E$31,D$30,E258&lt;E$32,D$31,E258&lt;E$33,D$32,E258&lt;E$34,D$33,E258&lt;E$35,D$34,E258&gt;=E$35,D$35)</f>
        <v/>
      </c>
      <c r="E258" s="38" t="n">
        <v>208</v>
      </c>
      <c r="F258" s="31">
        <f>E258/52</f>
        <v/>
      </c>
      <c r="G258" s="39">
        <f>D258/1000000*52</f>
        <v/>
      </c>
      <c r="H258" s="33">
        <f>G258/$P$4+($C$22/$P$4)</f>
        <v/>
      </c>
      <c r="I258" s="36">
        <f>_xlfn.IFS(K258&lt;K$24,0,K258&lt;K$26,I$24,K258&lt;K$28,I$26,K258&lt;K$30,I$28,K258&lt;K$32,I$30,K258&lt;K$34,I$32,K258&lt;K$36,I$34,K258&lt;K$38,I$36,K258&lt;K$40,I$38,K258&lt;K$42,I$40,K258&lt;K$44,I$42,K258&lt;K$46,I$44,K258&gt;=K$46,I$46)</f>
        <v/>
      </c>
      <c r="J258" s="37">
        <f>_xlfn.IFS(K258&lt;K$24,0,K258&lt;K$25,J$24,K258&lt;K$26,J$25,K258&lt;K$27,J$26,K258&lt;K$28,J$27,K258&lt;K$29,J$28,K258&lt;K$30,J$29,K258&lt;K$31,J$30,K258&lt;K$32,J$31,K258&lt;K$33,J$32,K258&lt;K$34,J$33,K258&lt;K$35,J$34,K258&lt;K$36,J$35,K258&lt;K$37,J$36,K258&lt;K$38,J$37,K258&lt;K$39,J$38,K258&lt;K$40,J$39,K258&lt;K$41,J$40,K258&lt;K$42,J$41,K258&lt;K$43,J$42,K258&lt;K$44,J$43,K258&lt;K$45,J$44,K258&lt;K$46,J$45,K258&lt;K$47,J$46,K258&gt;=K$47,J$47)</f>
        <v/>
      </c>
      <c r="K258" s="38" t="n">
        <v>208</v>
      </c>
      <c r="L258" s="31">
        <f>K258/52</f>
        <v/>
      </c>
      <c r="M258" s="39">
        <f>J258/1000000*52</f>
        <v/>
      </c>
      <c r="N258" s="33">
        <f>M258/$P$4+($I$22/$P$4)</f>
        <v/>
      </c>
      <c r="U258">
        <f>F257</f>
        <v/>
      </c>
      <c r="V258">
        <f>H257</f>
        <v/>
      </c>
      <c r="W258">
        <f>N257</f>
        <v/>
      </c>
    </row>
    <row r="259" ht="15.75" customHeight="1" s="40">
      <c r="C259" s="36">
        <f>_xlfn.IFS(E259&lt;E$24,0,E259&lt;E$26,C$24,E259&lt;E$28,C$26,E259&lt;E$30,C$28,E259&lt;E$32,C$30,E259&lt;E$34,C$32,E259&gt;=E$34,C$34)</f>
        <v/>
      </c>
      <c r="D259" s="37">
        <f>_xlfn.IFS(E259&lt;E$24,0,E259&lt;E$25,D$24,E259&lt;E$26,D$25,E259&lt;E$27,D$26,E259&lt;E$28,D$27,E259&lt;E$29,D$28,E259&lt;E$30,D$29,E259&lt;E$31,D$30,E259&lt;E$32,D$31,E259&lt;E$33,D$32,E259&lt;E$34,D$33,E259&lt;E$35,D$34,E259&gt;=E$35,D$35)</f>
        <v/>
      </c>
      <c r="E259" s="38" t="n">
        <v>209</v>
      </c>
      <c r="F259" s="31">
        <f>E259/52</f>
        <v/>
      </c>
      <c r="G259" s="39">
        <f>D259/1000000*52</f>
        <v/>
      </c>
      <c r="H259" s="33">
        <f>G259/$P$4+($C$22/$P$4)</f>
        <v/>
      </c>
      <c r="I259" s="36">
        <f>_xlfn.IFS(K259&lt;K$24,0,K259&lt;K$26,I$24,K259&lt;K$28,I$26,K259&lt;K$30,I$28,K259&lt;K$32,I$30,K259&lt;K$34,I$32,K259&lt;K$36,I$34,K259&lt;K$38,I$36,K259&lt;K$40,I$38,K259&lt;K$42,I$40,K259&lt;K$44,I$42,K259&lt;K$46,I$44,K259&gt;=K$46,I$46)</f>
        <v/>
      </c>
      <c r="J259" s="37">
        <f>_xlfn.IFS(K259&lt;K$24,0,K259&lt;K$25,J$24,K259&lt;K$26,J$25,K259&lt;K$27,J$26,K259&lt;K$28,J$27,K259&lt;K$29,J$28,K259&lt;K$30,J$29,K259&lt;K$31,J$30,K259&lt;K$32,J$31,K259&lt;K$33,J$32,K259&lt;K$34,J$33,K259&lt;K$35,J$34,K259&lt;K$36,J$35,K259&lt;K$37,J$36,K259&lt;K$38,J$37,K259&lt;K$39,J$38,K259&lt;K$40,J$39,K259&lt;K$41,J$40,K259&lt;K$42,J$41,K259&lt;K$43,J$42,K259&lt;K$44,J$43,K259&lt;K$45,J$44,K259&lt;K$46,J$45,K259&lt;K$47,J$46,K259&gt;=K$47,J$47)</f>
        <v/>
      </c>
      <c r="K259" s="38" t="n">
        <v>209</v>
      </c>
      <c r="L259" s="31">
        <f>K259/52</f>
        <v/>
      </c>
      <c r="M259" s="39">
        <f>J259/1000000*52</f>
        <v/>
      </c>
      <c r="N259" s="33">
        <f>M259/$P$4+($I$22/$P$4)</f>
        <v/>
      </c>
      <c r="U259">
        <f>F258</f>
        <v/>
      </c>
      <c r="V259">
        <f>H258</f>
        <v/>
      </c>
      <c r="W259">
        <f>N258</f>
        <v/>
      </c>
    </row>
    <row r="260" ht="15.75" customHeight="1" s="40">
      <c r="C260" s="36">
        <f>_xlfn.IFS(E260&lt;E$24,0,E260&lt;E$26,C$24,E260&lt;E$28,C$26,E260&lt;E$30,C$28,E260&lt;E$32,C$30,E260&lt;E$34,C$32,E260&gt;=E$34,C$34)</f>
        <v/>
      </c>
      <c r="D260" s="37">
        <f>_xlfn.IFS(E260&lt;E$24,0,E260&lt;E$25,D$24,E260&lt;E$26,D$25,E260&lt;E$27,D$26,E260&lt;E$28,D$27,E260&lt;E$29,D$28,E260&lt;E$30,D$29,E260&lt;E$31,D$30,E260&lt;E$32,D$31,E260&lt;E$33,D$32,E260&lt;E$34,D$33,E260&lt;E$35,D$34,E260&gt;=E$35,D$35)</f>
        <v/>
      </c>
      <c r="E260" s="38" t="n">
        <v>210</v>
      </c>
      <c r="F260" s="31">
        <f>E260/52</f>
        <v/>
      </c>
      <c r="G260" s="39">
        <f>D260/1000000*52</f>
        <v/>
      </c>
      <c r="H260" s="33">
        <f>G260/$P$4+($C$22/$P$4)</f>
        <v/>
      </c>
      <c r="I260" s="36">
        <f>_xlfn.IFS(K260&lt;K$24,0,K260&lt;K$26,I$24,K260&lt;K$28,I$26,K260&lt;K$30,I$28,K260&lt;K$32,I$30,K260&lt;K$34,I$32,K260&lt;K$36,I$34,K260&lt;K$38,I$36,K260&lt;K$40,I$38,K260&lt;K$42,I$40,K260&lt;K$44,I$42,K260&lt;K$46,I$44,K260&gt;=K$46,I$46)</f>
        <v/>
      </c>
      <c r="J260" s="37">
        <f>_xlfn.IFS(K260&lt;K$24,0,K260&lt;K$25,J$24,K260&lt;K$26,J$25,K260&lt;K$27,J$26,K260&lt;K$28,J$27,K260&lt;K$29,J$28,K260&lt;K$30,J$29,K260&lt;K$31,J$30,K260&lt;K$32,J$31,K260&lt;K$33,J$32,K260&lt;K$34,J$33,K260&lt;K$35,J$34,K260&lt;K$36,J$35,K260&lt;K$37,J$36,K260&lt;K$38,J$37,K260&lt;K$39,J$38,K260&lt;K$40,J$39,K260&lt;K$41,J$40,K260&lt;K$42,J$41,K260&lt;K$43,J$42,K260&lt;K$44,J$43,K260&lt;K$45,J$44,K260&lt;K$46,J$45,K260&lt;K$47,J$46,K260&gt;=K$47,J$47)</f>
        <v/>
      </c>
      <c r="K260" s="38" t="n">
        <v>210</v>
      </c>
      <c r="L260" s="31">
        <f>K260/52</f>
        <v/>
      </c>
      <c r="M260" s="39">
        <f>J260/1000000*52</f>
        <v/>
      </c>
      <c r="N260" s="33">
        <f>M260/$P$4+($I$22/$P$4)</f>
        <v/>
      </c>
      <c r="U260">
        <f>F259</f>
        <v/>
      </c>
      <c r="V260">
        <f>H259</f>
        <v/>
      </c>
      <c r="W260">
        <f>N259</f>
        <v/>
      </c>
    </row>
    <row r="261" ht="15.75" customHeight="1" s="40">
      <c r="C261" s="36">
        <f>_xlfn.IFS(E261&lt;E$24,0,E261&lt;E$26,C$24,E261&lt;E$28,C$26,E261&lt;E$30,C$28,E261&lt;E$32,C$30,E261&lt;E$34,C$32,E261&gt;=E$34,C$34)</f>
        <v/>
      </c>
      <c r="D261" s="37">
        <f>_xlfn.IFS(E261&lt;E$24,0,E261&lt;E$25,D$24,E261&lt;E$26,D$25,E261&lt;E$27,D$26,E261&lt;E$28,D$27,E261&lt;E$29,D$28,E261&lt;E$30,D$29,E261&lt;E$31,D$30,E261&lt;E$32,D$31,E261&lt;E$33,D$32,E261&lt;E$34,D$33,E261&lt;E$35,D$34,E261&gt;=E$35,D$35)</f>
        <v/>
      </c>
      <c r="E261" s="38" t="n">
        <v>211</v>
      </c>
      <c r="F261" s="31">
        <f>E261/52</f>
        <v/>
      </c>
      <c r="G261" s="39">
        <f>D261/1000000*52</f>
        <v/>
      </c>
      <c r="H261" s="33">
        <f>G261/$P$4+($C$22/$P$4)</f>
        <v/>
      </c>
      <c r="I261" s="36">
        <f>_xlfn.IFS(K261&lt;K$24,0,K261&lt;K$26,I$24,K261&lt;K$28,I$26,K261&lt;K$30,I$28,K261&lt;K$32,I$30,K261&lt;K$34,I$32,K261&lt;K$36,I$34,K261&lt;K$38,I$36,K261&lt;K$40,I$38,K261&lt;K$42,I$40,K261&lt;K$44,I$42,K261&lt;K$46,I$44,K261&gt;=K$46,I$46)</f>
        <v/>
      </c>
      <c r="J261" s="37">
        <f>_xlfn.IFS(K261&lt;K$24,0,K261&lt;K$25,J$24,K261&lt;K$26,J$25,K261&lt;K$27,J$26,K261&lt;K$28,J$27,K261&lt;K$29,J$28,K261&lt;K$30,J$29,K261&lt;K$31,J$30,K261&lt;K$32,J$31,K261&lt;K$33,J$32,K261&lt;K$34,J$33,K261&lt;K$35,J$34,K261&lt;K$36,J$35,K261&lt;K$37,J$36,K261&lt;K$38,J$37,K261&lt;K$39,J$38,K261&lt;K$40,J$39,K261&lt;K$41,J$40,K261&lt;K$42,J$41,K261&lt;K$43,J$42,K261&lt;K$44,J$43,K261&lt;K$45,J$44,K261&lt;K$46,J$45,K261&lt;K$47,J$46,K261&gt;=K$47,J$47)</f>
        <v/>
      </c>
      <c r="K261" s="38" t="n">
        <v>211</v>
      </c>
      <c r="L261" s="31">
        <f>K261/52</f>
        <v/>
      </c>
      <c r="M261" s="39">
        <f>J261/1000000*52</f>
        <v/>
      </c>
      <c r="N261" s="33">
        <f>M261/$P$4+($I$22/$P$4)</f>
        <v/>
      </c>
      <c r="U261">
        <f>F260</f>
        <v/>
      </c>
      <c r="V261">
        <f>H260</f>
        <v/>
      </c>
      <c r="W261">
        <f>N260</f>
        <v/>
      </c>
    </row>
    <row r="262" ht="15.75" customHeight="1" s="40">
      <c r="C262" s="36">
        <f>_xlfn.IFS(E262&lt;E$24,0,E262&lt;E$26,C$24,E262&lt;E$28,C$26,E262&lt;E$30,C$28,E262&lt;E$32,C$30,E262&lt;E$34,C$32,E262&gt;=E$34,C$34)</f>
        <v/>
      </c>
      <c r="D262" s="37">
        <f>_xlfn.IFS(E262&lt;E$24,0,E262&lt;E$25,D$24,E262&lt;E$26,D$25,E262&lt;E$27,D$26,E262&lt;E$28,D$27,E262&lt;E$29,D$28,E262&lt;E$30,D$29,E262&lt;E$31,D$30,E262&lt;E$32,D$31,E262&lt;E$33,D$32,E262&lt;E$34,D$33,E262&lt;E$35,D$34,E262&gt;=E$35,D$35)</f>
        <v/>
      </c>
      <c r="E262" s="38" t="n">
        <v>212</v>
      </c>
      <c r="F262" s="31">
        <f>E262/52</f>
        <v/>
      </c>
      <c r="G262" s="39">
        <f>D262/1000000*52</f>
        <v/>
      </c>
      <c r="H262" s="33">
        <f>G262/$P$4+($C$22/$P$4)</f>
        <v/>
      </c>
      <c r="I262" s="36">
        <f>_xlfn.IFS(K262&lt;K$24,0,K262&lt;K$26,I$24,K262&lt;K$28,I$26,K262&lt;K$30,I$28,K262&lt;K$32,I$30,K262&lt;K$34,I$32,K262&lt;K$36,I$34,K262&lt;K$38,I$36,K262&lt;K$40,I$38,K262&lt;K$42,I$40,K262&lt;K$44,I$42,K262&lt;K$46,I$44,K262&gt;=K$46,I$46)</f>
        <v/>
      </c>
      <c r="J262" s="37">
        <f>_xlfn.IFS(K262&lt;K$24,0,K262&lt;K$25,J$24,K262&lt;K$26,J$25,K262&lt;K$27,J$26,K262&lt;K$28,J$27,K262&lt;K$29,J$28,K262&lt;K$30,J$29,K262&lt;K$31,J$30,K262&lt;K$32,J$31,K262&lt;K$33,J$32,K262&lt;K$34,J$33,K262&lt;K$35,J$34,K262&lt;K$36,J$35,K262&lt;K$37,J$36,K262&lt;K$38,J$37,K262&lt;K$39,J$38,K262&lt;K$40,J$39,K262&lt;K$41,J$40,K262&lt;K$42,J$41,K262&lt;K$43,J$42,K262&lt;K$44,J$43,K262&lt;K$45,J$44,K262&lt;K$46,J$45,K262&lt;K$47,J$46,K262&gt;=K$47,J$47)</f>
        <v/>
      </c>
      <c r="K262" s="38" t="n">
        <v>212</v>
      </c>
      <c r="L262" s="31">
        <f>K262/52</f>
        <v/>
      </c>
      <c r="M262" s="39">
        <f>J262/1000000*52</f>
        <v/>
      </c>
      <c r="N262" s="33">
        <f>M262/$P$4+($I$22/$P$4)</f>
        <v/>
      </c>
      <c r="U262">
        <f>F261</f>
        <v/>
      </c>
      <c r="V262">
        <f>H261</f>
        <v/>
      </c>
      <c r="W262">
        <f>N261</f>
        <v/>
      </c>
    </row>
    <row r="263" ht="15.75" customHeight="1" s="40">
      <c r="C263" s="36">
        <f>_xlfn.IFS(E263&lt;E$24,0,E263&lt;E$26,C$24,E263&lt;E$28,C$26,E263&lt;E$30,C$28,E263&lt;E$32,C$30,E263&lt;E$34,C$32,E263&gt;=E$34,C$34)</f>
        <v/>
      </c>
      <c r="D263" s="37">
        <f>_xlfn.IFS(E263&lt;E$24,0,E263&lt;E$25,D$24,E263&lt;E$26,D$25,E263&lt;E$27,D$26,E263&lt;E$28,D$27,E263&lt;E$29,D$28,E263&lt;E$30,D$29,E263&lt;E$31,D$30,E263&lt;E$32,D$31,E263&lt;E$33,D$32,E263&lt;E$34,D$33,E263&lt;E$35,D$34,E263&gt;=E$35,D$35)</f>
        <v/>
      </c>
      <c r="E263" s="38" t="n">
        <v>213</v>
      </c>
      <c r="F263" s="31">
        <f>E263/52</f>
        <v/>
      </c>
      <c r="G263" s="39">
        <f>D263/1000000*52</f>
        <v/>
      </c>
      <c r="H263" s="33">
        <f>G263/$P$4+($C$22/$P$4)</f>
        <v/>
      </c>
      <c r="I263" s="36">
        <f>_xlfn.IFS(K263&lt;K$24,0,K263&lt;K$26,I$24,K263&lt;K$28,I$26,K263&lt;K$30,I$28,K263&lt;K$32,I$30,K263&lt;K$34,I$32,K263&lt;K$36,I$34,K263&lt;K$38,I$36,K263&lt;K$40,I$38,K263&lt;K$42,I$40,K263&lt;K$44,I$42,K263&lt;K$46,I$44,K263&gt;=K$46,I$46)</f>
        <v/>
      </c>
      <c r="J263" s="37">
        <f>_xlfn.IFS(K263&lt;K$24,0,K263&lt;K$25,J$24,K263&lt;K$26,J$25,K263&lt;K$27,J$26,K263&lt;K$28,J$27,K263&lt;K$29,J$28,K263&lt;K$30,J$29,K263&lt;K$31,J$30,K263&lt;K$32,J$31,K263&lt;K$33,J$32,K263&lt;K$34,J$33,K263&lt;K$35,J$34,K263&lt;K$36,J$35,K263&lt;K$37,J$36,K263&lt;K$38,J$37,K263&lt;K$39,J$38,K263&lt;K$40,J$39,K263&lt;K$41,J$40,K263&lt;K$42,J$41,K263&lt;K$43,J$42,K263&lt;K$44,J$43,K263&lt;K$45,J$44,K263&lt;K$46,J$45,K263&lt;K$47,J$46,K263&gt;=K$47,J$47)</f>
        <v/>
      </c>
      <c r="K263" s="38" t="n">
        <v>213</v>
      </c>
      <c r="L263" s="31">
        <f>K263/52</f>
        <v/>
      </c>
      <c r="M263" s="39">
        <f>J263/1000000*52</f>
        <v/>
      </c>
      <c r="N263" s="33">
        <f>M263/$P$4+($I$22/$P$4)</f>
        <v/>
      </c>
      <c r="U263">
        <f>F262</f>
        <v/>
      </c>
      <c r="V263">
        <f>H262</f>
        <v/>
      </c>
      <c r="W263">
        <f>N262</f>
        <v/>
      </c>
    </row>
    <row r="264" ht="15.75" customHeight="1" s="40">
      <c r="C264" s="36">
        <f>_xlfn.IFS(E264&lt;E$24,0,E264&lt;E$26,C$24,E264&lt;E$28,C$26,E264&lt;E$30,C$28,E264&lt;E$32,C$30,E264&lt;E$34,C$32,E264&gt;=E$34,C$34)</f>
        <v/>
      </c>
      <c r="D264" s="37">
        <f>_xlfn.IFS(E264&lt;E$24,0,E264&lt;E$25,D$24,E264&lt;E$26,D$25,E264&lt;E$27,D$26,E264&lt;E$28,D$27,E264&lt;E$29,D$28,E264&lt;E$30,D$29,E264&lt;E$31,D$30,E264&lt;E$32,D$31,E264&lt;E$33,D$32,E264&lt;E$34,D$33,E264&lt;E$35,D$34,E264&gt;=E$35,D$35)</f>
        <v/>
      </c>
      <c r="E264" s="38" t="n">
        <v>214</v>
      </c>
      <c r="F264" s="31">
        <f>E264/52</f>
        <v/>
      </c>
      <c r="G264" s="39">
        <f>D264/1000000*52</f>
        <v/>
      </c>
      <c r="H264" s="33">
        <f>G264/$P$4+($C$22/$P$4)</f>
        <v/>
      </c>
      <c r="I264" s="36">
        <f>_xlfn.IFS(K264&lt;K$24,0,K264&lt;K$26,I$24,K264&lt;K$28,I$26,K264&lt;K$30,I$28,K264&lt;K$32,I$30,K264&lt;K$34,I$32,K264&lt;K$36,I$34,K264&lt;K$38,I$36,K264&lt;K$40,I$38,K264&lt;K$42,I$40,K264&lt;K$44,I$42,K264&lt;K$46,I$44,K264&gt;=K$46,I$46)</f>
        <v/>
      </c>
      <c r="J264" s="37">
        <f>_xlfn.IFS(K264&lt;K$24,0,K264&lt;K$25,J$24,K264&lt;K$26,J$25,K264&lt;K$27,J$26,K264&lt;K$28,J$27,K264&lt;K$29,J$28,K264&lt;K$30,J$29,K264&lt;K$31,J$30,K264&lt;K$32,J$31,K264&lt;K$33,J$32,K264&lt;K$34,J$33,K264&lt;K$35,J$34,K264&lt;K$36,J$35,K264&lt;K$37,J$36,K264&lt;K$38,J$37,K264&lt;K$39,J$38,K264&lt;K$40,J$39,K264&lt;K$41,J$40,K264&lt;K$42,J$41,K264&lt;K$43,J$42,K264&lt;K$44,J$43,K264&lt;K$45,J$44,K264&lt;K$46,J$45,K264&lt;K$47,J$46,K264&gt;=K$47,J$47)</f>
        <v/>
      </c>
      <c r="K264" s="38" t="n">
        <v>214</v>
      </c>
      <c r="L264" s="31">
        <f>K264/52</f>
        <v/>
      </c>
      <c r="M264" s="39">
        <f>J264/1000000*52</f>
        <v/>
      </c>
      <c r="N264" s="33">
        <f>M264/$P$4+($I$22/$P$4)</f>
        <v/>
      </c>
      <c r="U264">
        <f>F263</f>
        <v/>
      </c>
      <c r="V264">
        <f>H263</f>
        <v/>
      </c>
      <c r="W264">
        <f>N263</f>
        <v/>
      </c>
    </row>
    <row r="265" ht="15.75" customHeight="1" s="40">
      <c r="C265" s="36">
        <f>_xlfn.IFS(E265&lt;E$24,0,E265&lt;E$26,C$24,E265&lt;E$28,C$26,E265&lt;E$30,C$28,E265&lt;E$32,C$30,E265&lt;E$34,C$32,E265&gt;=E$34,C$34)</f>
        <v/>
      </c>
      <c r="D265" s="37">
        <f>_xlfn.IFS(E265&lt;E$24,0,E265&lt;E$25,D$24,E265&lt;E$26,D$25,E265&lt;E$27,D$26,E265&lt;E$28,D$27,E265&lt;E$29,D$28,E265&lt;E$30,D$29,E265&lt;E$31,D$30,E265&lt;E$32,D$31,E265&lt;E$33,D$32,E265&lt;E$34,D$33,E265&lt;E$35,D$34,E265&gt;=E$35,D$35)</f>
        <v/>
      </c>
      <c r="E265" s="38" t="n">
        <v>215</v>
      </c>
      <c r="F265" s="31">
        <f>E265/52</f>
        <v/>
      </c>
      <c r="G265" s="39">
        <f>D265/1000000*52</f>
        <v/>
      </c>
      <c r="H265" s="33">
        <f>G265/$P$4+($C$22/$P$4)</f>
        <v/>
      </c>
      <c r="I265" s="36">
        <f>_xlfn.IFS(K265&lt;K$24,0,K265&lt;K$26,I$24,K265&lt;K$28,I$26,K265&lt;K$30,I$28,K265&lt;K$32,I$30,K265&lt;K$34,I$32,K265&lt;K$36,I$34,K265&lt;K$38,I$36,K265&lt;K$40,I$38,K265&lt;K$42,I$40,K265&lt;K$44,I$42,K265&lt;K$46,I$44,K265&gt;=K$46,I$46)</f>
        <v/>
      </c>
      <c r="J265" s="37">
        <f>_xlfn.IFS(K265&lt;K$24,0,K265&lt;K$25,J$24,K265&lt;K$26,J$25,K265&lt;K$27,J$26,K265&lt;K$28,J$27,K265&lt;K$29,J$28,K265&lt;K$30,J$29,K265&lt;K$31,J$30,K265&lt;K$32,J$31,K265&lt;K$33,J$32,K265&lt;K$34,J$33,K265&lt;K$35,J$34,K265&lt;K$36,J$35,K265&lt;K$37,J$36,K265&lt;K$38,J$37,K265&lt;K$39,J$38,K265&lt;K$40,J$39,K265&lt;K$41,J$40,K265&lt;K$42,J$41,K265&lt;K$43,J$42,K265&lt;K$44,J$43,K265&lt;K$45,J$44,K265&lt;K$46,J$45,K265&lt;K$47,J$46,K265&gt;=K$47,J$47)</f>
        <v/>
      </c>
      <c r="K265" s="38" t="n">
        <v>215</v>
      </c>
      <c r="L265" s="31">
        <f>K265/52</f>
        <v/>
      </c>
      <c r="M265" s="39">
        <f>J265/1000000*52</f>
        <v/>
      </c>
      <c r="N265" s="33">
        <f>M265/$P$4+($I$22/$P$4)</f>
        <v/>
      </c>
      <c r="U265">
        <f>F264</f>
        <v/>
      </c>
      <c r="V265">
        <f>H264</f>
        <v/>
      </c>
      <c r="W265">
        <f>N264</f>
        <v/>
      </c>
    </row>
    <row r="266" ht="15.75" customHeight="1" s="40">
      <c r="C266" s="36">
        <f>_xlfn.IFS(E266&lt;E$24,0,E266&lt;E$26,C$24,E266&lt;E$28,C$26,E266&lt;E$30,C$28,E266&lt;E$32,C$30,E266&lt;E$34,C$32,E266&gt;=E$34,C$34)</f>
        <v/>
      </c>
      <c r="D266" s="37">
        <f>_xlfn.IFS(E266&lt;E$24,0,E266&lt;E$25,D$24,E266&lt;E$26,D$25,E266&lt;E$27,D$26,E266&lt;E$28,D$27,E266&lt;E$29,D$28,E266&lt;E$30,D$29,E266&lt;E$31,D$30,E266&lt;E$32,D$31,E266&lt;E$33,D$32,E266&lt;E$34,D$33,E266&lt;E$35,D$34,E266&gt;=E$35,D$35)</f>
        <v/>
      </c>
      <c r="E266" s="38" t="n">
        <v>216</v>
      </c>
      <c r="F266" s="31">
        <f>E266/52</f>
        <v/>
      </c>
      <c r="G266" s="39">
        <f>D266/1000000*52</f>
        <v/>
      </c>
      <c r="H266" s="33">
        <f>G266/$P$4+($C$22/$P$4)</f>
        <v/>
      </c>
      <c r="I266" s="36">
        <f>_xlfn.IFS(K266&lt;K$24,0,K266&lt;K$26,I$24,K266&lt;K$28,I$26,K266&lt;K$30,I$28,K266&lt;K$32,I$30,K266&lt;K$34,I$32,K266&lt;K$36,I$34,K266&lt;K$38,I$36,K266&lt;K$40,I$38,K266&lt;K$42,I$40,K266&lt;K$44,I$42,K266&lt;K$46,I$44,K266&gt;=K$46,I$46)</f>
        <v/>
      </c>
      <c r="J266" s="37">
        <f>_xlfn.IFS(K266&lt;K$24,0,K266&lt;K$25,J$24,K266&lt;K$26,J$25,K266&lt;K$27,J$26,K266&lt;K$28,J$27,K266&lt;K$29,J$28,K266&lt;K$30,J$29,K266&lt;K$31,J$30,K266&lt;K$32,J$31,K266&lt;K$33,J$32,K266&lt;K$34,J$33,K266&lt;K$35,J$34,K266&lt;K$36,J$35,K266&lt;K$37,J$36,K266&lt;K$38,J$37,K266&lt;K$39,J$38,K266&lt;K$40,J$39,K266&lt;K$41,J$40,K266&lt;K$42,J$41,K266&lt;K$43,J$42,K266&lt;K$44,J$43,K266&lt;K$45,J$44,K266&lt;K$46,J$45,K266&lt;K$47,J$46,K266&gt;=K$47,J$47)</f>
        <v/>
      </c>
      <c r="K266" s="38" t="n">
        <v>216</v>
      </c>
      <c r="L266" s="31">
        <f>K266/52</f>
        <v/>
      </c>
      <c r="M266" s="39">
        <f>J266/1000000*52</f>
        <v/>
      </c>
      <c r="N266" s="33">
        <f>M266/$P$4+($I$22/$P$4)</f>
        <v/>
      </c>
      <c r="U266">
        <f>F265</f>
        <v/>
      </c>
      <c r="V266">
        <f>H265</f>
        <v/>
      </c>
      <c r="W266">
        <f>N265</f>
        <v/>
      </c>
    </row>
    <row r="267" ht="15.75" customHeight="1" s="40">
      <c r="C267" s="36">
        <f>_xlfn.IFS(E267&lt;E$24,0,E267&lt;E$26,C$24,E267&lt;E$28,C$26,E267&lt;E$30,C$28,E267&lt;E$32,C$30,E267&lt;E$34,C$32,E267&gt;=E$34,C$34)</f>
        <v/>
      </c>
      <c r="D267" s="37">
        <f>_xlfn.IFS(E267&lt;E$24,0,E267&lt;E$25,D$24,E267&lt;E$26,D$25,E267&lt;E$27,D$26,E267&lt;E$28,D$27,E267&lt;E$29,D$28,E267&lt;E$30,D$29,E267&lt;E$31,D$30,E267&lt;E$32,D$31,E267&lt;E$33,D$32,E267&lt;E$34,D$33,E267&lt;E$35,D$34,E267&gt;=E$35,D$35)</f>
        <v/>
      </c>
      <c r="E267" s="38" t="n">
        <v>217</v>
      </c>
      <c r="F267" s="31">
        <f>E267/52</f>
        <v/>
      </c>
      <c r="G267" s="39">
        <f>D267/1000000*52</f>
        <v/>
      </c>
      <c r="H267" s="33">
        <f>G267/$P$4+($C$22/$P$4)</f>
        <v/>
      </c>
      <c r="I267" s="36">
        <f>_xlfn.IFS(K267&lt;K$24,0,K267&lt;K$26,I$24,K267&lt;K$28,I$26,K267&lt;K$30,I$28,K267&lt;K$32,I$30,K267&lt;K$34,I$32,K267&lt;K$36,I$34,K267&lt;K$38,I$36,K267&lt;K$40,I$38,K267&lt;K$42,I$40,K267&lt;K$44,I$42,K267&lt;K$46,I$44,K267&gt;=K$46,I$46)</f>
        <v/>
      </c>
      <c r="J267" s="37">
        <f>_xlfn.IFS(K267&lt;K$24,0,K267&lt;K$25,J$24,K267&lt;K$26,J$25,K267&lt;K$27,J$26,K267&lt;K$28,J$27,K267&lt;K$29,J$28,K267&lt;K$30,J$29,K267&lt;K$31,J$30,K267&lt;K$32,J$31,K267&lt;K$33,J$32,K267&lt;K$34,J$33,K267&lt;K$35,J$34,K267&lt;K$36,J$35,K267&lt;K$37,J$36,K267&lt;K$38,J$37,K267&lt;K$39,J$38,K267&lt;K$40,J$39,K267&lt;K$41,J$40,K267&lt;K$42,J$41,K267&lt;K$43,J$42,K267&lt;K$44,J$43,K267&lt;K$45,J$44,K267&lt;K$46,J$45,K267&lt;K$47,J$46,K267&gt;=K$47,J$47)</f>
        <v/>
      </c>
      <c r="K267" s="38" t="n">
        <v>217</v>
      </c>
      <c r="L267" s="31">
        <f>K267/52</f>
        <v/>
      </c>
      <c r="M267" s="39">
        <f>J267/1000000*52</f>
        <v/>
      </c>
      <c r="N267" s="33">
        <f>M267/$P$4+($I$22/$P$4)</f>
        <v/>
      </c>
      <c r="U267">
        <f>F266</f>
        <v/>
      </c>
      <c r="V267">
        <f>H266</f>
        <v/>
      </c>
      <c r="W267">
        <f>N266</f>
        <v/>
      </c>
    </row>
    <row r="268" ht="15.75" customHeight="1" s="40">
      <c r="C268" s="36">
        <f>_xlfn.IFS(E268&lt;E$24,0,E268&lt;E$26,C$24,E268&lt;E$28,C$26,E268&lt;E$30,C$28,E268&lt;E$32,C$30,E268&lt;E$34,C$32,E268&gt;=E$34,C$34)</f>
        <v/>
      </c>
      <c r="D268" s="37">
        <f>_xlfn.IFS(E268&lt;E$24,0,E268&lt;E$25,D$24,E268&lt;E$26,D$25,E268&lt;E$27,D$26,E268&lt;E$28,D$27,E268&lt;E$29,D$28,E268&lt;E$30,D$29,E268&lt;E$31,D$30,E268&lt;E$32,D$31,E268&lt;E$33,D$32,E268&lt;E$34,D$33,E268&lt;E$35,D$34,E268&gt;=E$35,D$35)</f>
        <v/>
      </c>
      <c r="E268" s="38" t="n">
        <v>218</v>
      </c>
      <c r="F268" s="31">
        <f>E268/52</f>
        <v/>
      </c>
      <c r="G268" s="39">
        <f>D268/1000000*52</f>
        <v/>
      </c>
      <c r="H268" s="33">
        <f>G268/$P$4+($C$22/$P$4)</f>
        <v/>
      </c>
      <c r="I268" s="36">
        <f>_xlfn.IFS(K268&lt;K$24,0,K268&lt;K$26,I$24,K268&lt;K$28,I$26,K268&lt;K$30,I$28,K268&lt;K$32,I$30,K268&lt;K$34,I$32,K268&lt;K$36,I$34,K268&lt;K$38,I$36,K268&lt;K$40,I$38,K268&lt;K$42,I$40,K268&lt;K$44,I$42,K268&lt;K$46,I$44,K268&gt;=K$46,I$46)</f>
        <v/>
      </c>
      <c r="J268" s="37">
        <f>_xlfn.IFS(K268&lt;K$24,0,K268&lt;K$25,J$24,K268&lt;K$26,J$25,K268&lt;K$27,J$26,K268&lt;K$28,J$27,K268&lt;K$29,J$28,K268&lt;K$30,J$29,K268&lt;K$31,J$30,K268&lt;K$32,J$31,K268&lt;K$33,J$32,K268&lt;K$34,J$33,K268&lt;K$35,J$34,K268&lt;K$36,J$35,K268&lt;K$37,J$36,K268&lt;K$38,J$37,K268&lt;K$39,J$38,K268&lt;K$40,J$39,K268&lt;K$41,J$40,K268&lt;K$42,J$41,K268&lt;K$43,J$42,K268&lt;K$44,J$43,K268&lt;K$45,J$44,K268&lt;K$46,J$45,K268&lt;K$47,J$46,K268&gt;=K$47,J$47)</f>
        <v/>
      </c>
      <c r="K268" s="38" t="n">
        <v>218</v>
      </c>
      <c r="L268" s="31">
        <f>K268/52</f>
        <v/>
      </c>
      <c r="M268" s="39">
        <f>J268/1000000*52</f>
        <v/>
      </c>
      <c r="N268" s="33">
        <f>M268/$P$4+($I$22/$P$4)</f>
        <v/>
      </c>
      <c r="U268">
        <f>F267</f>
        <v/>
      </c>
      <c r="V268">
        <f>H267</f>
        <v/>
      </c>
      <c r="W268">
        <f>N267</f>
        <v/>
      </c>
    </row>
    <row r="269" ht="15.75" customHeight="1" s="40">
      <c r="C269" s="36">
        <f>_xlfn.IFS(E269&lt;E$24,0,E269&lt;E$26,C$24,E269&lt;E$28,C$26,E269&lt;E$30,C$28,E269&lt;E$32,C$30,E269&lt;E$34,C$32,E269&gt;=E$34,C$34)</f>
        <v/>
      </c>
      <c r="D269" s="37">
        <f>_xlfn.IFS(E269&lt;E$24,0,E269&lt;E$25,D$24,E269&lt;E$26,D$25,E269&lt;E$27,D$26,E269&lt;E$28,D$27,E269&lt;E$29,D$28,E269&lt;E$30,D$29,E269&lt;E$31,D$30,E269&lt;E$32,D$31,E269&lt;E$33,D$32,E269&lt;E$34,D$33,E269&lt;E$35,D$34,E269&gt;=E$35,D$35)</f>
        <v/>
      </c>
      <c r="E269" s="38" t="n">
        <v>219</v>
      </c>
      <c r="F269" s="31">
        <f>E269/52</f>
        <v/>
      </c>
      <c r="G269" s="39">
        <f>D269/1000000*52</f>
        <v/>
      </c>
      <c r="H269" s="33">
        <f>G269/$P$4+($C$22/$P$4)</f>
        <v/>
      </c>
      <c r="I269" s="36">
        <f>_xlfn.IFS(K269&lt;K$24,0,K269&lt;K$26,I$24,K269&lt;K$28,I$26,K269&lt;K$30,I$28,K269&lt;K$32,I$30,K269&lt;K$34,I$32,K269&lt;K$36,I$34,K269&lt;K$38,I$36,K269&lt;K$40,I$38,K269&lt;K$42,I$40,K269&lt;K$44,I$42,K269&lt;K$46,I$44,K269&gt;=K$46,I$46)</f>
        <v/>
      </c>
      <c r="J269" s="37">
        <f>_xlfn.IFS(K269&lt;K$24,0,K269&lt;K$25,J$24,K269&lt;K$26,J$25,K269&lt;K$27,J$26,K269&lt;K$28,J$27,K269&lt;K$29,J$28,K269&lt;K$30,J$29,K269&lt;K$31,J$30,K269&lt;K$32,J$31,K269&lt;K$33,J$32,K269&lt;K$34,J$33,K269&lt;K$35,J$34,K269&lt;K$36,J$35,K269&lt;K$37,J$36,K269&lt;K$38,J$37,K269&lt;K$39,J$38,K269&lt;K$40,J$39,K269&lt;K$41,J$40,K269&lt;K$42,J$41,K269&lt;K$43,J$42,K269&lt;K$44,J$43,K269&lt;K$45,J$44,K269&lt;K$46,J$45,K269&lt;K$47,J$46,K269&gt;=K$47,J$47)</f>
        <v/>
      </c>
      <c r="K269" s="38" t="n">
        <v>219</v>
      </c>
      <c r="L269" s="31">
        <f>K269/52</f>
        <v/>
      </c>
      <c r="M269" s="39">
        <f>J269/1000000*52</f>
        <v/>
      </c>
      <c r="N269" s="33">
        <f>M269/$P$4+($I$22/$P$4)</f>
        <v/>
      </c>
      <c r="U269">
        <f>F268</f>
        <v/>
      </c>
      <c r="V269">
        <f>H268</f>
        <v/>
      </c>
      <c r="W269">
        <f>N268</f>
        <v/>
      </c>
    </row>
    <row r="270" ht="15.75" customHeight="1" s="40">
      <c r="C270" s="36">
        <f>_xlfn.IFS(E270&lt;E$24,0,E270&lt;E$26,C$24,E270&lt;E$28,C$26,E270&lt;E$30,C$28,E270&lt;E$32,C$30,E270&lt;E$34,C$32,E270&gt;=E$34,C$34)</f>
        <v/>
      </c>
      <c r="D270" s="37">
        <f>_xlfn.IFS(E270&lt;E$24,0,E270&lt;E$25,D$24,E270&lt;E$26,D$25,E270&lt;E$27,D$26,E270&lt;E$28,D$27,E270&lt;E$29,D$28,E270&lt;E$30,D$29,E270&lt;E$31,D$30,E270&lt;E$32,D$31,E270&lt;E$33,D$32,E270&lt;E$34,D$33,E270&lt;E$35,D$34,E270&gt;=E$35,D$35)</f>
        <v/>
      </c>
      <c r="E270" s="38" t="n">
        <v>220</v>
      </c>
      <c r="F270" s="31">
        <f>E270/52</f>
        <v/>
      </c>
      <c r="G270" s="39">
        <f>D270/1000000*52</f>
        <v/>
      </c>
      <c r="H270" s="33">
        <f>G270/$P$4+($C$22/$P$4)</f>
        <v/>
      </c>
      <c r="I270" s="36">
        <f>_xlfn.IFS(K270&lt;K$24,0,K270&lt;K$26,I$24,K270&lt;K$28,I$26,K270&lt;K$30,I$28,K270&lt;K$32,I$30,K270&lt;K$34,I$32,K270&lt;K$36,I$34,K270&lt;K$38,I$36,K270&lt;K$40,I$38,K270&lt;K$42,I$40,K270&lt;K$44,I$42,K270&lt;K$46,I$44,K270&gt;=K$46,I$46)</f>
        <v/>
      </c>
      <c r="J270" s="37">
        <f>_xlfn.IFS(K270&lt;K$24,0,K270&lt;K$25,J$24,K270&lt;K$26,J$25,K270&lt;K$27,J$26,K270&lt;K$28,J$27,K270&lt;K$29,J$28,K270&lt;K$30,J$29,K270&lt;K$31,J$30,K270&lt;K$32,J$31,K270&lt;K$33,J$32,K270&lt;K$34,J$33,K270&lt;K$35,J$34,K270&lt;K$36,J$35,K270&lt;K$37,J$36,K270&lt;K$38,J$37,K270&lt;K$39,J$38,K270&lt;K$40,J$39,K270&lt;K$41,J$40,K270&lt;K$42,J$41,K270&lt;K$43,J$42,K270&lt;K$44,J$43,K270&lt;K$45,J$44,K270&lt;K$46,J$45,K270&lt;K$47,J$46,K270&gt;=K$47,J$47)</f>
        <v/>
      </c>
      <c r="K270" s="38" t="n">
        <v>220</v>
      </c>
      <c r="L270" s="31">
        <f>K270/52</f>
        <v/>
      </c>
      <c r="M270" s="39">
        <f>J270/1000000*52</f>
        <v/>
      </c>
      <c r="N270" s="33">
        <f>M270/$P$4+($I$22/$P$4)</f>
        <v/>
      </c>
      <c r="U270">
        <f>F269</f>
        <v/>
      </c>
      <c r="V270">
        <f>H269</f>
        <v/>
      </c>
      <c r="W270">
        <f>N269</f>
        <v/>
      </c>
    </row>
    <row r="271" ht="15.75" customHeight="1" s="40">
      <c r="C271" s="36">
        <f>_xlfn.IFS(E271&lt;E$24,0,E271&lt;E$26,C$24,E271&lt;E$28,C$26,E271&lt;E$30,C$28,E271&lt;E$32,C$30,E271&lt;E$34,C$32,E271&gt;=E$34,C$34)</f>
        <v/>
      </c>
      <c r="D271" s="37">
        <f>_xlfn.IFS(E271&lt;E$24,0,E271&lt;E$25,D$24,E271&lt;E$26,D$25,E271&lt;E$27,D$26,E271&lt;E$28,D$27,E271&lt;E$29,D$28,E271&lt;E$30,D$29,E271&lt;E$31,D$30,E271&lt;E$32,D$31,E271&lt;E$33,D$32,E271&lt;E$34,D$33,E271&lt;E$35,D$34,E271&gt;=E$35,D$35)</f>
        <v/>
      </c>
      <c r="E271" s="38" t="n">
        <v>221</v>
      </c>
      <c r="F271" s="31">
        <f>E271/52</f>
        <v/>
      </c>
      <c r="G271" s="39">
        <f>D271/1000000*52</f>
        <v/>
      </c>
      <c r="H271" s="33">
        <f>G271/$P$4+($C$22/$P$4)</f>
        <v/>
      </c>
      <c r="I271" s="36">
        <f>_xlfn.IFS(K271&lt;K$24,0,K271&lt;K$26,I$24,K271&lt;K$28,I$26,K271&lt;K$30,I$28,K271&lt;K$32,I$30,K271&lt;K$34,I$32,K271&lt;K$36,I$34,K271&lt;K$38,I$36,K271&lt;K$40,I$38,K271&lt;K$42,I$40,K271&lt;K$44,I$42,K271&lt;K$46,I$44,K271&gt;=K$46,I$46)</f>
        <v/>
      </c>
      <c r="J271" s="37">
        <f>_xlfn.IFS(K271&lt;K$24,0,K271&lt;K$25,J$24,K271&lt;K$26,J$25,K271&lt;K$27,J$26,K271&lt;K$28,J$27,K271&lt;K$29,J$28,K271&lt;K$30,J$29,K271&lt;K$31,J$30,K271&lt;K$32,J$31,K271&lt;K$33,J$32,K271&lt;K$34,J$33,K271&lt;K$35,J$34,K271&lt;K$36,J$35,K271&lt;K$37,J$36,K271&lt;K$38,J$37,K271&lt;K$39,J$38,K271&lt;K$40,J$39,K271&lt;K$41,J$40,K271&lt;K$42,J$41,K271&lt;K$43,J$42,K271&lt;K$44,J$43,K271&lt;K$45,J$44,K271&lt;K$46,J$45,K271&lt;K$47,J$46,K271&gt;=K$47,J$47)</f>
        <v/>
      </c>
      <c r="K271" s="38" t="n">
        <v>221</v>
      </c>
      <c r="L271" s="31">
        <f>K271/52</f>
        <v/>
      </c>
      <c r="M271" s="39">
        <f>J271/1000000*52</f>
        <v/>
      </c>
      <c r="N271" s="33">
        <f>M271/$P$4+($I$22/$P$4)</f>
        <v/>
      </c>
      <c r="U271">
        <f>F270</f>
        <v/>
      </c>
      <c r="V271">
        <f>H270</f>
        <v/>
      </c>
      <c r="W271">
        <f>N270</f>
        <v/>
      </c>
    </row>
    <row r="272" ht="15.75" customHeight="1" s="40">
      <c r="C272" s="36">
        <f>_xlfn.IFS(E272&lt;E$24,0,E272&lt;E$26,C$24,E272&lt;E$28,C$26,E272&lt;E$30,C$28,E272&lt;E$32,C$30,E272&lt;E$34,C$32,E272&gt;=E$34,C$34)</f>
        <v/>
      </c>
      <c r="D272" s="37">
        <f>_xlfn.IFS(E272&lt;E$24,0,E272&lt;E$25,D$24,E272&lt;E$26,D$25,E272&lt;E$27,D$26,E272&lt;E$28,D$27,E272&lt;E$29,D$28,E272&lt;E$30,D$29,E272&lt;E$31,D$30,E272&lt;E$32,D$31,E272&lt;E$33,D$32,E272&lt;E$34,D$33,E272&lt;E$35,D$34,E272&gt;=E$35,D$35)</f>
        <v/>
      </c>
      <c r="E272" s="38" t="n">
        <v>222</v>
      </c>
      <c r="F272" s="31">
        <f>E272/52</f>
        <v/>
      </c>
      <c r="G272" s="39">
        <f>D272/1000000*52</f>
        <v/>
      </c>
      <c r="H272" s="33">
        <f>G272/$P$4+($C$22/$P$4)</f>
        <v/>
      </c>
      <c r="I272" s="36">
        <f>_xlfn.IFS(K272&lt;K$24,0,K272&lt;K$26,I$24,K272&lt;K$28,I$26,K272&lt;K$30,I$28,K272&lt;K$32,I$30,K272&lt;K$34,I$32,K272&lt;K$36,I$34,K272&lt;K$38,I$36,K272&lt;K$40,I$38,K272&lt;K$42,I$40,K272&lt;K$44,I$42,K272&lt;K$46,I$44,K272&gt;=K$46,I$46)</f>
        <v/>
      </c>
      <c r="J272" s="37">
        <f>_xlfn.IFS(K272&lt;K$24,0,K272&lt;K$25,J$24,K272&lt;K$26,J$25,K272&lt;K$27,J$26,K272&lt;K$28,J$27,K272&lt;K$29,J$28,K272&lt;K$30,J$29,K272&lt;K$31,J$30,K272&lt;K$32,J$31,K272&lt;K$33,J$32,K272&lt;K$34,J$33,K272&lt;K$35,J$34,K272&lt;K$36,J$35,K272&lt;K$37,J$36,K272&lt;K$38,J$37,K272&lt;K$39,J$38,K272&lt;K$40,J$39,K272&lt;K$41,J$40,K272&lt;K$42,J$41,K272&lt;K$43,J$42,K272&lt;K$44,J$43,K272&lt;K$45,J$44,K272&lt;K$46,J$45,K272&lt;K$47,J$46,K272&gt;=K$47,J$47)</f>
        <v/>
      </c>
      <c r="K272" s="38" t="n">
        <v>222</v>
      </c>
      <c r="L272" s="31">
        <f>K272/52</f>
        <v/>
      </c>
      <c r="M272" s="39">
        <f>J272/1000000*52</f>
        <v/>
      </c>
      <c r="N272" s="33">
        <f>M272/$P$4+($I$22/$P$4)</f>
        <v/>
      </c>
      <c r="U272">
        <f>F271</f>
        <v/>
      </c>
      <c r="V272">
        <f>H271</f>
        <v/>
      </c>
      <c r="W272">
        <f>N271</f>
        <v/>
      </c>
    </row>
    <row r="273" ht="15.75" customHeight="1" s="40">
      <c r="C273" s="36">
        <f>_xlfn.IFS(E273&lt;E$24,0,E273&lt;E$26,C$24,E273&lt;E$28,C$26,E273&lt;E$30,C$28,E273&lt;E$32,C$30,E273&lt;E$34,C$32,E273&gt;=E$34,C$34)</f>
        <v/>
      </c>
      <c r="D273" s="37">
        <f>_xlfn.IFS(E273&lt;E$24,0,E273&lt;E$25,D$24,E273&lt;E$26,D$25,E273&lt;E$27,D$26,E273&lt;E$28,D$27,E273&lt;E$29,D$28,E273&lt;E$30,D$29,E273&lt;E$31,D$30,E273&lt;E$32,D$31,E273&lt;E$33,D$32,E273&lt;E$34,D$33,E273&lt;E$35,D$34,E273&gt;=E$35,D$35)</f>
        <v/>
      </c>
      <c r="E273" s="38" t="n">
        <v>223</v>
      </c>
      <c r="F273" s="31">
        <f>E273/52</f>
        <v/>
      </c>
      <c r="G273" s="39">
        <f>D273/1000000*52</f>
        <v/>
      </c>
      <c r="H273" s="33">
        <f>G273/$P$4+($C$22/$P$4)</f>
        <v/>
      </c>
      <c r="I273" s="36">
        <f>_xlfn.IFS(K273&lt;K$24,0,K273&lt;K$26,I$24,K273&lt;K$28,I$26,K273&lt;K$30,I$28,K273&lt;K$32,I$30,K273&lt;K$34,I$32,K273&lt;K$36,I$34,K273&lt;K$38,I$36,K273&lt;K$40,I$38,K273&lt;K$42,I$40,K273&lt;K$44,I$42,K273&lt;K$46,I$44,K273&gt;=K$46,I$46)</f>
        <v/>
      </c>
      <c r="J273" s="37">
        <f>_xlfn.IFS(K273&lt;K$24,0,K273&lt;K$25,J$24,K273&lt;K$26,J$25,K273&lt;K$27,J$26,K273&lt;K$28,J$27,K273&lt;K$29,J$28,K273&lt;K$30,J$29,K273&lt;K$31,J$30,K273&lt;K$32,J$31,K273&lt;K$33,J$32,K273&lt;K$34,J$33,K273&lt;K$35,J$34,K273&lt;K$36,J$35,K273&lt;K$37,J$36,K273&lt;K$38,J$37,K273&lt;K$39,J$38,K273&lt;K$40,J$39,K273&lt;K$41,J$40,K273&lt;K$42,J$41,K273&lt;K$43,J$42,K273&lt;K$44,J$43,K273&lt;K$45,J$44,K273&lt;K$46,J$45,K273&lt;K$47,J$46,K273&gt;=K$47,J$47)</f>
        <v/>
      </c>
      <c r="K273" s="38" t="n">
        <v>223</v>
      </c>
      <c r="L273" s="31">
        <f>K273/52</f>
        <v/>
      </c>
      <c r="M273" s="39">
        <f>J273/1000000*52</f>
        <v/>
      </c>
      <c r="N273" s="33">
        <f>M273/$P$4+($I$22/$P$4)</f>
        <v/>
      </c>
      <c r="U273">
        <f>F272</f>
        <v/>
      </c>
      <c r="V273">
        <f>H272</f>
        <v/>
      </c>
      <c r="W273">
        <f>N272</f>
        <v/>
      </c>
    </row>
    <row r="274" ht="15.75" customHeight="1" s="40">
      <c r="C274" s="36">
        <f>_xlfn.IFS(E274&lt;E$24,0,E274&lt;E$26,C$24,E274&lt;E$28,C$26,E274&lt;E$30,C$28,E274&lt;E$32,C$30,E274&lt;E$34,C$32,E274&gt;=E$34,C$34)</f>
        <v/>
      </c>
      <c r="D274" s="37">
        <f>_xlfn.IFS(E274&lt;E$24,0,E274&lt;E$25,D$24,E274&lt;E$26,D$25,E274&lt;E$27,D$26,E274&lt;E$28,D$27,E274&lt;E$29,D$28,E274&lt;E$30,D$29,E274&lt;E$31,D$30,E274&lt;E$32,D$31,E274&lt;E$33,D$32,E274&lt;E$34,D$33,E274&lt;E$35,D$34,E274&gt;=E$35,D$35)</f>
        <v/>
      </c>
      <c r="E274" s="38" t="n">
        <v>224</v>
      </c>
      <c r="F274" s="31">
        <f>E274/52</f>
        <v/>
      </c>
      <c r="G274" s="39">
        <f>D274/1000000*52</f>
        <v/>
      </c>
      <c r="H274" s="33">
        <f>G274/$P$4+($C$22/$P$4)</f>
        <v/>
      </c>
      <c r="I274" s="36">
        <f>_xlfn.IFS(K274&lt;K$24,0,K274&lt;K$26,I$24,K274&lt;K$28,I$26,K274&lt;K$30,I$28,K274&lt;K$32,I$30,K274&lt;K$34,I$32,K274&lt;K$36,I$34,K274&lt;K$38,I$36,K274&lt;K$40,I$38,K274&lt;K$42,I$40,K274&lt;K$44,I$42,K274&lt;K$46,I$44,K274&gt;=K$46,I$46)</f>
        <v/>
      </c>
      <c r="J274" s="37">
        <f>_xlfn.IFS(K274&lt;K$24,0,K274&lt;K$25,J$24,K274&lt;K$26,J$25,K274&lt;K$27,J$26,K274&lt;K$28,J$27,K274&lt;K$29,J$28,K274&lt;K$30,J$29,K274&lt;K$31,J$30,K274&lt;K$32,J$31,K274&lt;K$33,J$32,K274&lt;K$34,J$33,K274&lt;K$35,J$34,K274&lt;K$36,J$35,K274&lt;K$37,J$36,K274&lt;K$38,J$37,K274&lt;K$39,J$38,K274&lt;K$40,J$39,K274&lt;K$41,J$40,K274&lt;K$42,J$41,K274&lt;K$43,J$42,K274&lt;K$44,J$43,K274&lt;K$45,J$44,K274&lt;K$46,J$45,K274&lt;K$47,J$46,K274&gt;=K$47,J$47)</f>
        <v/>
      </c>
      <c r="K274" s="38" t="n">
        <v>224</v>
      </c>
      <c r="L274" s="31">
        <f>K274/52</f>
        <v/>
      </c>
      <c r="M274" s="39">
        <f>J274/1000000*52</f>
        <v/>
      </c>
      <c r="N274" s="33">
        <f>M274/$P$4+($I$22/$P$4)</f>
        <v/>
      </c>
      <c r="U274">
        <f>F273</f>
        <v/>
      </c>
      <c r="V274">
        <f>H273</f>
        <v/>
      </c>
      <c r="W274">
        <f>N273</f>
        <v/>
      </c>
    </row>
    <row r="275" ht="15.75" customHeight="1" s="40">
      <c r="C275" s="36">
        <f>_xlfn.IFS(E275&lt;E$24,0,E275&lt;E$26,C$24,E275&lt;E$28,C$26,E275&lt;E$30,C$28,E275&lt;E$32,C$30,E275&lt;E$34,C$32,E275&gt;=E$34,C$34)</f>
        <v/>
      </c>
      <c r="D275" s="37">
        <f>_xlfn.IFS(E275&lt;E$24,0,E275&lt;E$25,D$24,E275&lt;E$26,D$25,E275&lt;E$27,D$26,E275&lt;E$28,D$27,E275&lt;E$29,D$28,E275&lt;E$30,D$29,E275&lt;E$31,D$30,E275&lt;E$32,D$31,E275&lt;E$33,D$32,E275&lt;E$34,D$33,E275&lt;E$35,D$34,E275&gt;=E$35,D$35)</f>
        <v/>
      </c>
      <c r="E275" s="38" t="n">
        <v>225</v>
      </c>
      <c r="F275" s="31">
        <f>E275/52</f>
        <v/>
      </c>
      <c r="G275" s="39">
        <f>D275/1000000*52</f>
        <v/>
      </c>
      <c r="H275" s="33">
        <f>G275/$P$4+($C$22/$P$4)</f>
        <v/>
      </c>
      <c r="I275" s="36">
        <f>_xlfn.IFS(K275&lt;K$24,0,K275&lt;K$26,I$24,K275&lt;K$28,I$26,K275&lt;K$30,I$28,K275&lt;K$32,I$30,K275&lt;K$34,I$32,K275&lt;K$36,I$34,K275&lt;K$38,I$36,K275&lt;K$40,I$38,K275&lt;K$42,I$40,K275&lt;K$44,I$42,K275&lt;K$46,I$44,K275&gt;=K$46,I$46)</f>
        <v/>
      </c>
      <c r="J275" s="37">
        <f>_xlfn.IFS(K275&lt;K$24,0,K275&lt;K$25,J$24,K275&lt;K$26,J$25,K275&lt;K$27,J$26,K275&lt;K$28,J$27,K275&lt;K$29,J$28,K275&lt;K$30,J$29,K275&lt;K$31,J$30,K275&lt;K$32,J$31,K275&lt;K$33,J$32,K275&lt;K$34,J$33,K275&lt;K$35,J$34,K275&lt;K$36,J$35,K275&lt;K$37,J$36,K275&lt;K$38,J$37,K275&lt;K$39,J$38,K275&lt;K$40,J$39,K275&lt;K$41,J$40,K275&lt;K$42,J$41,K275&lt;K$43,J$42,K275&lt;K$44,J$43,K275&lt;K$45,J$44,K275&lt;K$46,J$45,K275&lt;K$47,J$46,K275&gt;=K$47,J$47)</f>
        <v/>
      </c>
      <c r="K275" s="38" t="n">
        <v>225</v>
      </c>
      <c r="L275" s="31">
        <f>K275/52</f>
        <v/>
      </c>
      <c r="M275" s="39">
        <f>J275/1000000*52</f>
        <v/>
      </c>
      <c r="N275" s="33">
        <f>M275/$P$4+($I$22/$P$4)</f>
        <v/>
      </c>
      <c r="U275">
        <f>F274</f>
        <v/>
      </c>
      <c r="V275">
        <f>H274</f>
        <v/>
      </c>
      <c r="W275">
        <f>N274</f>
        <v/>
      </c>
    </row>
    <row r="276" ht="15.75" customHeight="1" s="40">
      <c r="C276" s="36">
        <f>_xlfn.IFS(E276&lt;E$24,0,E276&lt;E$26,C$24,E276&lt;E$28,C$26,E276&lt;E$30,C$28,E276&lt;E$32,C$30,E276&lt;E$34,C$32,E276&gt;=E$34,C$34)</f>
        <v/>
      </c>
      <c r="D276" s="37">
        <f>_xlfn.IFS(E276&lt;E$24,0,E276&lt;E$25,D$24,E276&lt;E$26,D$25,E276&lt;E$27,D$26,E276&lt;E$28,D$27,E276&lt;E$29,D$28,E276&lt;E$30,D$29,E276&lt;E$31,D$30,E276&lt;E$32,D$31,E276&lt;E$33,D$32,E276&lt;E$34,D$33,E276&lt;E$35,D$34,E276&gt;=E$35,D$35)</f>
        <v/>
      </c>
      <c r="E276" s="38" t="n">
        <v>226</v>
      </c>
      <c r="F276" s="31">
        <f>E276/52</f>
        <v/>
      </c>
      <c r="G276" s="39">
        <f>D276/1000000*52</f>
        <v/>
      </c>
      <c r="H276" s="33">
        <f>G276/$P$4+($C$22/$P$4)</f>
        <v/>
      </c>
      <c r="I276" s="36">
        <f>_xlfn.IFS(K276&lt;K$24,0,K276&lt;K$26,I$24,K276&lt;K$28,I$26,K276&lt;K$30,I$28,K276&lt;K$32,I$30,K276&lt;K$34,I$32,K276&lt;K$36,I$34,K276&lt;K$38,I$36,K276&lt;K$40,I$38,K276&lt;K$42,I$40,K276&lt;K$44,I$42,K276&lt;K$46,I$44,K276&gt;=K$46,I$46)</f>
        <v/>
      </c>
      <c r="J276" s="37">
        <f>_xlfn.IFS(K276&lt;K$24,0,K276&lt;K$25,J$24,K276&lt;K$26,J$25,K276&lt;K$27,J$26,K276&lt;K$28,J$27,K276&lt;K$29,J$28,K276&lt;K$30,J$29,K276&lt;K$31,J$30,K276&lt;K$32,J$31,K276&lt;K$33,J$32,K276&lt;K$34,J$33,K276&lt;K$35,J$34,K276&lt;K$36,J$35,K276&lt;K$37,J$36,K276&lt;K$38,J$37,K276&lt;K$39,J$38,K276&lt;K$40,J$39,K276&lt;K$41,J$40,K276&lt;K$42,J$41,K276&lt;K$43,J$42,K276&lt;K$44,J$43,K276&lt;K$45,J$44,K276&lt;K$46,J$45,K276&lt;K$47,J$46,K276&gt;=K$47,J$47)</f>
        <v/>
      </c>
      <c r="K276" s="38" t="n">
        <v>226</v>
      </c>
      <c r="L276" s="31">
        <f>K276/52</f>
        <v/>
      </c>
      <c r="M276" s="39">
        <f>J276/1000000*52</f>
        <v/>
      </c>
      <c r="N276" s="33">
        <f>M276/$P$4+($I$22/$P$4)</f>
        <v/>
      </c>
      <c r="U276">
        <f>F275</f>
        <v/>
      </c>
      <c r="V276">
        <f>H275</f>
        <v/>
      </c>
      <c r="W276">
        <f>N275</f>
        <v/>
      </c>
    </row>
    <row r="277" ht="15.75" customHeight="1" s="40">
      <c r="C277" s="36">
        <f>_xlfn.IFS(E277&lt;E$24,0,E277&lt;E$26,C$24,E277&lt;E$28,C$26,E277&lt;E$30,C$28,E277&lt;E$32,C$30,E277&lt;E$34,C$32,E277&gt;=E$34,C$34)</f>
        <v/>
      </c>
      <c r="D277" s="37">
        <f>_xlfn.IFS(E277&lt;E$24,0,E277&lt;E$25,D$24,E277&lt;E$26,D$25,E277&lt;E$27,D$26,E277&lt;E$28,D$27,E277&lt;E$29,D$28,E277&lt;E$30,D$29,E277&lt;E$31,D$30,E277&lt;E$32,D$31,E277&lt;E$33,D$32,E277&lt;E$34,D$33,E277&lt;E$35,D$34,E277&gt;=E$35,D$35)</f>
        <v/>
      </c>
      <c r="E277" s="38" t="n">
        <v>227</v>
      </c>
      <c r="F277" s="31">
        <f>E277/52</f>
        <v/>
      </c>
      <c r="G277" s="39">
        <f>D277/1000000*52</f>
        <v/>
      </c>
      <c r="H277" s="33">
        <f>G277/$P$4+($C$22/$P$4)</f>
        <v/>
      </c>
      <c r="I277" s="36">
        <f>_xlfn.IFS(K277&lt;K$24,0,K277&lt;K$26,I$24,K277&lt;K$28,I$26,K277&lt;K$30,I$28,K277&lt;K$32,I$30,K277&lt;K$34,I$32,K277&lt;K$36,I$34,K277&lt;K$38,I$36,K277&lt;K$40,I$38,K277&lt;K$42,I$40,K277&lt;K$44,I$42,K277&lt;K$46,I$44,K277&gt;=K$46,I$46)</f>
        <v/>
      </c>
      <c r="J277" s="37">
        <f>_xlfn.IFS(K277&lt;K$24,0,K277&lt;K$25,J$24,K277&lt;K$26,J$25,K277&lt;K$27,J$26,K277&lt;K$28,J$27,K277&lt;K$29,J$28,K277&lt;K$30,J$29,K277&lt;K$31,J$30,K277&lt;K$32,J$31,K277&lt;K$33,J$32,K277&lt;K$34,J$33,K277&lt;K$35,J$34,K277&lt;K$36,J$35,K277&lt;K$37,J$36,K277&lt;K$38,J$37,K277&lt;K$39,J$38,K277&lt;K$40,J$39,K277&lt;K$41,J$40,K277&lt;K$42,J$41,K277&lt;K$43,J$42,K277&lt;K$44,J$43,K277&lt;K$45,J$44,K277&lt;K$46,J$45,K277&lt;K$47,J$46,K277&gt;=K$47,J$47)</f>
        <v/>
      </c>
      <c r="K277" s="38" t="n">
        <v>227</v>
      </c>
      <c r="L277" s="31">
        <f>K277/52</f>
        <v/>
      </c>
      <c r="M277" s="39">
        <f>J277/1000000*52</f>
        <v/>
      </c>
      <c r="N277" s="33">
        <f>M277/$P$4+($I$22/$P$4)</f>
        <v/>
      </c>
      <c r="U277">
        <f>F276</f>
        <v/>
      </c>
      <c r="V277">
        <f>H276</f>
        <v/>
      </c>
      <c r="W277">
        <f>N276</f>
        <v/>
      </c>
    </row>
    <row r="278" ht="15.75" customHeight="1" s="40">
      <c r="C278" s="36">
        <f>_xlfn.IFS(E278&lt;E$24,0,E278&lt;E$26,C$24,E278&lt;E$28,C$26,E278&lt;E$30,C$28,E278&lt;E$32,C$30,E278&lt;E$34,C$32,E278&gt;=E$34,C$34)</f>
        <v/>
      </c>
      <c r="D278" s="37">
        <f>_xlfn.IFS(E278&lt;E$24,0,E278&lt;E$25,D$24,E278&lt;E$26,D$25,E278&lt;E$27,D$26,E278&lt;E$28,D$27,E278&lt;E$29,D$28,E278&lt;E$30,D$29,E278&lt;E$31,D$30,E278&lt;E$32,D$31,E278&lt;E$33,D$32,E278&lt;E$34,D$33,E278&lt;E$35,D$34,E278&gt;=E$35,D$35)</f>
        <v/>
      </c>
      <c r="E278" s="38" t="n">
        <v>228</v>
      </c>
      <c r="F278" s="31">
        <f>E278/52</f>
        <v/>
      </c>
      <c r="G278" s="39">
        <f>D278/1000000*52</f>
        <v/>
      </c>
      <c r="H278" s="33">
        <f>G278/$P$4+($C$22/$P$4)</f>
        <v/>
      </c>
      <c r="I278" s="36">
        <f>_xlfn.IFS(K278&lt;K$24,0,K278&lt;K$26,I$24,K278&lt;K$28,I$26,K278&lt;K$30,I$28,K278&lt;K$32,I$30,K278&lt;K$34,I$32,K278&lt;K$36,I$34,K278&lt;K$38,I$36,K278&lt;K$40,I$38,K278&lt;K$42,I$40,K278&lt;K$44,I$42,K278&lt;K$46,I$44,K278&gt;=K$46,I$46)</f>
        <v/>
      </c>
      <c r="J278" s="37">
        <f>_xlfn.IFS(K278&lt;K$24,0,K278&lt;K$25,J$24,K278&lt;K$26,J$25,K278&lt;K$27,J$26,K278&lt;K$28,J$27,K278&lt;K$29,J$28,K278&lt;K$30,J$29,K278&lt;K$31,J$30,K278&lt;K$32,J$31,K278&lt;K$33,J$32,K278&lt;K$34,J$33,K278&lt;K$35,J$34,K278&lt;K$36,J$35,K278&lt;K$37,J$36,K278&lt;K$38,J$37,K278&lt;K$39,J$38,K278&lt;K$40,J$39,K278&lt;K$41,J$40,K278&lt;K$42,J$41,K278&lt;K$43,J$42,K278&lt;K$44,J$43,K278&lt;K$45,J$44,K278&lt;K$46,J$45,K278&lt;K$47,J$46,K278&gt;=K$47,J$47)</f>
        <v/>
      </c>
      <c r="K278" s="38" t="n">
        <v>228</v>
      </c>
      <c r="L278" s="31">
        <f>K278/52</f>
        <v/>
      </c>
      <c r="M278" s="39">
        <f>J278/1000000*52</f>
        <v/>
      </c>
      <c r="N278" s="33">
        <f>M278/$P$4+($I$22/$P$4)</f>
        <v/>
      </c>
      <c r="U278">
        <f>F277</f>
        <v/>
      </c>
      <c r="V278">
        <f>H277</f>
        <v/>
      </c>
      <c r="W278">
        <f>N277</f>
        <v/>
      </c>
    </row>
    <row r="279" ht="15.75" customHeight="1" s="40">
      <c r="C279" s="36">
        <f>_xlfn.IFS(E279&lt;E$24,0,E279&lt;E$26,C$24,E279&lt;E$28,C$26,E279&lt;E$30,C$28,E279&lt;E$32,C$30,E279&lt;E$34,C$32,E279&gt;=E$34,C$34)</f>
        <v/>
      </c>
      <c r="D279" s="37">
        <f>_xlfn.IFS(E279&lt;E$24,0,E279&lt;E$25,D$24,E279&lt;E$26,D$25,E279&lt;E$27,D$26,E279&lt;E$28,D$27,E279&lt;E$29,D$28,E279&lt;E$30,D$29,E279&lt;E$31,D$30,E279&lt;E$32,D$31,E279&lt;E$33,D$32,E279&lt;E$34,D$33,E279&lt;E$35,D$34,E279&gt;=E$35,D$35)</f>
        <v/>
      </c>
      <c r="E279" s="38" t="n">
        <v>229</v>
      </c>
      <c r="F279" s="31">
        <f>E279/52</f>
        <v/>
      </c>
      <c r="G279" s="39">
        <f>D279/1000000*52</f>
        <v/>
      </c>
      <c r="H279" s="33">
        <f>G279/$P$4+($C$22/$P$4)</f>
        <v/>
      </c>
      <c r="I279" s="36">
        <f>_xlfn.IFS(K279&lt;K$24,0,K279&lt;K$26,I$24,K279&lt;K$28,I$26,K279&lt;K$30,I$28,K279&lt;K$32,I$30,K279&lt;K$34,I$32,K279&lt;K$36,I$34,K279&lt;K$38,I$36,K279&lt;K$40,I$38,K279&lt;K$42,I$40,K279&lt;K$44,I$42,K279&lt;K$46,I$44,K279&gt;=K$46,I$46)</f>
        <v/>
      </c>
      <c r="J279" s="37">
        <f>_xlfn.IFS(K279&lt;K$24,0,K279&lt;K$25,J$24,K279&lt;K$26,J$25,K279&lt;K$27,J$26,K279&lt;K$28,J$27,K279&lt;K$29,J$28,K279&lt;K$30,J$29,K279&lt;K$31,J$30,K279&lt;K$32,J$31,K279&lt;K$33,J$32,K279&lt;K$34,J$33,K279&lt;K$35,J$34,K279&lt;K$36,J$35,K279&lt;K$37,J$36,K279&lt;K$38,J$37,K279&lt;K$39,J$38,K279&lt;K$40,J$39,K279&lt;K$41,J$40,K279&lt;K$42,J$41,K279&lt;K$43,J$42,K279&lt;K$44,J$43,K279&lt;K$45,J$44,K279&lt;K$46,J$45,K279&lt;K$47,J$46,K279&gt;=K$47,J$47)</f>
        <v/>
      </c>
      <c r="K279" s="38" t="n">
        <v>229</v>
      </c>
      <c r="L279" s="31">
        <f>K279/52</f>
        <v/>
      </c>
      <c r="M279" s="39">
        <f>J279/1000000*52</f>
        <v/>
      </c>
      <c r="N279" s="33">
        <f>M279/$P$4+($I$22/$P$4)</f>
        <v/>
      </c>
      <c r="U279">
        <f>F278</f>
        <v/>
      </c>
      <c r="V279">
        <f>H278</f>
        <v/>
      </c>
      <c r="W279">
        <f>N278</f>
        <v/>
      </c>
    </row>
    <row r="280" ht="15.75" customHeight="1" s="40">
      <c r="C280" s="36">
        <f>_xlfn.IFS(E280&lt;E$24,0,E280&lt;E$26,C$24,E280&lt;E$28,C$26,E280&lt;E$30,C$28,E280&lt;E$32,C$30,E280&lt;E$34,C$32,E280&gt;=E$34,C$34)</f>
        <v/>
      </c>
      <c r="D280" s="37">
        <f>_xlfn.IFS(E280&lt;E$24,0,E280&lt;E$25,D$24,E280&lt;E$26,D$25,E280&lt;E$27,D$26,E280&lt;E$28,D$27,E280&lt;E$29,D$28,E280&lt;E$30,D$29,E280&lt;E$31,D$30,E280&lt;E$32,D$31,E280&lt;E$33,D$32,E280&lt;E$34,D$33,E280&lt;E$35,D$34,E280&gt;=E$35,D$35)</f>
        <v/>
      </c>
      <c r="E280" s="38" t="n">
        <v>230</v>
      </c>
      <c r="F280" s="31">
        <f>E280/52</f>
        <v/>
      </c>
      <c r="G280" s="39">
        <f>D280/1000000*52</f>
        <v/>
      </c>
      <c r="H280" s="33">
        <f>G280/$P$4+($C$22/$P$4)</f>
        <v/>
      </c>
      <c r="I280" s="36">
        <f>_xlfn.IFS(K280&lt;K$24,0,K280&lt;K$26,I$24,K280&lt;K$28,I$26,K280&lt;K$30,I$28,K280&lt;K$32,I$30,K280&lt;K$34,I$32,K280&lt;K$36,I$34,K280&lt;K$38,I$36,K280&lt;K$40,I$38,K280&lt;K$42,I$40,K280&lt;K$44,I$42,K280&lt;K$46,I$44,K280&gt;=K$46,I$46)</f>
        <v/>
      </c>
      <c r="J280" s="37">
        <f>_xlfn.IFS(K280&lt;K$24,0,K280&lt;K$25,J$24,K280&lt;K$26,J$25,K280&lt;K$27,J$26,K280&lt;K$28,J$27,K280&lt;K$29,J$28,K280&lt;K$30,J$29,K280&lt;K$31,J$30,K280&lt;K$32,J$31,K280&lt;K$33,J$32,K280&lt;K$34,J$33,K280&lt;K$35,J$34,K280&lt;K$36,J$35,K280&lt;K$37,J$36,K280&lt;K$38,J$37,K280&lt;K$39,J$38,K280&lt;K$40,J$39,K280&lt;K$41,J$40,K280&lt;K$42,J$41,K280&lt;K$43,J$42,K280&lt;K$44,J$43,K280&lt;K$45,J$44,K280&lt;K$46,J$45,K280&lt;K$47,J$46,K280&gt;=K$47,J$47)</f>
        <v/>
      </c>
      <c r="K280" s="38" t="n">
        <v>230</v>
      </c>
      <c r="L280" s="31">
        <f>K280/52</f>
        <v/>
      </c>
      <c r="M280" s="39">
        <f>J280/1000000*52</f>
        <v/>
      </c>
      <c r="N280" s="33">
        <f>M280/$P$4+($I$22/$P$4)</f>
        <v/>
      </c>
      <c r="U280">
        <f>F279</f>
        <v/>
      </c>
      <c r="V280">
        <f>H279</f>
        <v/>
      </c>
      <c r="W280">
        <f>N279</f>
        <v/>
      </c>
    </row>
    <row r="281" ht="15.75" customHeight="1" s="40">
      <c r="C281" s="36">
        <f>_xlfn.IFS(E281&lt;E$24,0,E281&lt;E$26,C$24,E281&lt;E$28,C$26,E281&lt;E$30,C$28,E281&lt;E$32,C$30,E281&lt;E$34,C$32,E281&gt;=E$34,C$34)</f>
        <v/>
      </c>
      <c r="D281" s="37">
        <f>_xlfn.IFS(E281&lt;E$24,0,E281&lt;E$25,D$24,E281&lt;E$26,D$25,E281&lt;E$27,D$26,E281&lt;E$28,D$27,E281&lt;E$29,D$28,E281&lt;E$30,D$29,E281&lt;E$31,D$30,E281&lt;E$32,D$31,E281&lt;E$33,D$32,E281&lt;E$34,D$33,E281&lt;E$35,D$34,E281&gt;=E$35,D$35)</f>
        <v/>
      </c>
      <c r="E281" s="38" t="n">
        <v>231</v>
      </c>
      <c r="F281" s="31">
        <f>E281/52</f>
        <v/>
      </c>
      <c r="G281" s="39">
        <f>D281/1000000*52</f>
        <v/>
      </c>
      <c r="H281" s="33">
        <f>G281/$P$4+($C$22/$P$4)</f>
        <v/>
      </c>
      <c r="I281" s="36">
        <f>_xlfn.IFS(K281&lt;K$24,0,K281&lt;K$26,I$24,K281&lt;K$28,I$26,K281&lt;K$30,I$28,K281&lt;K$32,I$30,K281&lt;K$34,I$32,K281&lt;K$36,I$34,K281&lt;K$38,I$36,K281&lt;K$40,I$38,K281&lt;K$42,I$40,K281&lt;K$44,I$42,K281&lt;K$46,I$44,K281&gt;=K$46,I$46)</f>
        <v/>
      </c>
      <c r="J281" s="37">
        <f>_xlfn.IFS(K281&lt;K$24,0,K281&lt;K$25,J$24,K281&lt;K$26,J$25,K281&lt;K$27,J$26,K281&lt;K$28,J$27,K281&lt;K$29,J$28,K281&lt;K$30,J$29,K281&lt;K$31,J$30,K281&lt;K$32,J$31,K281&lt;K$33,J$32,K281&lt;K$34,J$33,K281&lt;K$35,J$34,K281&lt;K$36,J$35,K281&lt;K$37,J$36,K281&lt;K$38,J$37,K281&lt;K$39,J$38,K281&lt;K$40,J$39,K281&lt;K$41,J$40,K281&lt;K$42,J$41,K281&lt;K$43,J$42,K281&lt;K$44,J$43,K281&lt;K$45,J$44,K281&lt;K$46,J$45,K281&lt;K$47,J$46,K281&gt;=K$47,J$47)</f>
        <v/>
      </c>
      <c r="K281" s="38" t="n">
        <v>231</v>
      </c>
      <c r="L281" s="31">
        <f>K281/52</f>
        <v/>
      </c>
      <c r="M281" s="39">
        <f>J281/1000000*52</f>
        <v/>
      </c>
      <c r="N281" s="33">
        <f>M281/$P$4+($I$22/$P$4)</f>
        <v/>
      </c>
      <c r="U281">
        <f>F280</f>
        <v/>
      </c>
      <c r="V281">
        <f>H280</f>
        <v/>
      </c>
      <c r="W281">
        <f>N280</f>
        <v/>
      </c>
    </row>
    <row r="282" ht="15.75" customHeight="1" s="40">
      <c r="C282" s="36">
        <f>_xlfn.IFS(E282&lt;E$24,0,E282&lt;E$26,C$24,E282&lt;E$28,C$26,E282&lt;E$30,C$28,E282&lt;E$32,C$30,E282&lt;E$34,C$32,E282&gt;=E$34,C$34)</f>
        <v/>
      </c>
      <c r="D282" s="37">
        <f>_xlfn.IFS(E282&lt;E$24,0,E282&lt;E$25,D$24,E282&lt;E$26,D$25,E282&lt;E$27,D$26,E282&lt;E$28,D$27,E282&lt;E$29,D$28,E282&lt;E$30,D$29,E282&lt;E$31,D$30,E282&lt;E$32,D$31,E282&lt;E$33,D$32,E282&lt;E$34,D$33,E282&lt;E$35,D$34,E282&gt;=E$35,D$35)</f>
        <v/>
      </c>
      <c r="E282" s="38" t="n">
        <v>232</v>
      </c>
      <c r="F282" s="31">
        <f>E282/52</f>
        <v/>
      </c>
      <c r="G282" s="39">
        <f>D282/1000000*52</f>
        <v/>
      </c>
      <c r="H282" s="33">
        <f>G282/$P$4+($C$22/$P$4)</f>
        <v/>
      </c>
      <c r="I282" s="36">
        <f>_xlfn.IFS(K282&lt;K$24,0,K282&lt;K$26,I$24,K282&lt;K$28,I$26,K282&lt;K$30,I$28,K282&lt;K$32,I$30,K282&lt;K$34,I$32,K282&lt;K$36,I$34,K282&lt;K$38,I$36,K282&lt;K$40,I$38,K282&lt;K$42,I$40,K282&lt;K$44,I$42,K282&lt;K$46,I$44,K282&gt;=K$46,I$46)</f>
        <v/>
      </c>
      <c r="J282" s="37">
        <f>_xlfn.IFS(K282&lt;K$24,0,K282&lt;K$25,J$24,K282&lt;K$26,J$25,K282&lt;K$27,J$26,K282&lt;K$28,J$27,K282&lt;K$29,J$28,K282&lt;K$30,J$29,K282&lt;K$31,J$30,K282&lt;K$32,J$31,K282&lt;K$33,J$32,K282&lt;K$34,J$33,K282&lt;K$35,J$34,K282&lt;K$36,J$35,K282&lt;K$37,J$36,K282&lt;K$38,J$37,K282&lt;K$39,J$38,K282&lt;K$40,J$39,K282&lt;K$41,J$40,K282&lt;K$42,J$41,K282&lt;K$43,J$42,K282&lt;K$44,J$43,K282&lt;K$45,J$44,K282&lt;K$46,J$45,K282&lt;K$47,J$46,K282&gt;=K$47,J$47)</f>
        <v/>
      </c>
      <c r="K282" s="38" t="n">
        <v>232</v>
      </c>
      <c r="L282" s="31">
        <f>K282/52</f>
        <v/>
      </c>
      <c r="M282" s="39">
        <f>J282/1000000*52</f>
        <v/>
      </c>
      <c r="N282" s="33">
        <f>M282/$P$4+($I$22/$P$4)</f>
        <v/>
      </c>
      <c r="U282">
        <f>F281</f>
        <v/>
      </c>
      <c r="V282">
        <f>H281</f>
        <v/>
      </c>
      <c r="W282">
        <f>N281</f>
        <v/>
      </c>
    </row>
    <row r="283" ht="15.75" customHeight="1" s="40">
      <c r="C283" s="36">
        <f>_xlfn.IFS(E283&lt;E$24,0,E283&lt;E$26,C$24,E283&lt;E$28,C$26,E283&lt;E$30,C$28,E283&lt;E$32,C$30,E283&lt;E$34,C$32,E283&gt;=E$34,C$34)</f>
        <v/>
      </c>
      <c r="D283" s="37">
        <f>_xlfn.IFS(E283&lt;E$24,0,E283&lt;E$25,D$24,E283&lt;E$26,D$25,E283&lt;E$27,D$26,E283&lt;E$28,D$27,E283&lt;E$29,D$28,E283&lt;E$30,D$29,E283&lt;E$31,D$30,E283&lt;E$32,D$31,E283&lt;E$33,D$32,E283&lt;E$34,D$33,E283&lt;E$35,D$34,E283&gt;=E$35,D$35)</f>
        <v/>
      </c>
      <c r="E283" s="38" t="n">
        <v>233</v>
      </c>
      <c r="F283" s="31">
        <f>E283/52</f>
        <v/>
      </c>
      <c r="G283" s="39">
        <f>D283/1000000*52</f>
        <v/>
      </c>
      <c r="H283" s="33">
        <f>G283/$P$4+($C$22/$P$4)</f>
        <v/>
      </c>
      <c r="I283" s="36">
        <f>_xlfn.IFS(K283&lt;K$24,0,K283&lt;K$26,I$24,K283&lt;K$28,I$26,K283&lt;K$30,I$28,K283&lt;K$32,I$30,K283&lt;K$34,I$32,K283&lt;K$36,I$34,K283&lt;K$38,I$36,K283&lt;K$40,I$38,K283&lt;K$42,I$40,K283&lt;K$44,I$42,K283&lt;K$46,I$44,K283&gt;=K$46,I$46)</f>
        <v/>
      </c>
      <c r="J283" s="37">
        <f>_xlfn.IFS(K283&lt;K$24,0,K283&lt;K$25,J$24,K283&lt;K$26,J$25,K283&lt;K$27,J$26,K283&lt;K$28,J$27,K283&lt;K$29,J$28,K283&lt;K$30,J$29,K283&lt;K$31,J$30,K283&lt;K$32,J$31,K283&lt;K$33,J$32,K283&lt;K$34,J$33,K283&lt;K$35,J$34,K283&lt;K$36,J$35,K283&lt;K$37,J$36,K283&lt;K$38,J$37,K283&lt;K$39,J$38,K283&lt;K$40,J$39,K283&lt;K$41,J$40,K283&lt;K$42,J$41,K283&lt;K$43,J$42,K283&lt;K$44,J$43,K283&lt;K$45,J$44,K283&lt;K$46,J$45,K283&lt;K$47,J$46,K283&gt;=K$47,J$47)</f>
        <v/>
      </c>
      <c r="K283" s="38" t="n">
        <v>233</v>
      </c>
      <c r="L283" s="31">
        <f>K283/52</f>
        <v/>
      </c>
      <c r="M283" s="39">
        <f>J283/1000000*52</f>
        <v/>
      </c>
      <c r="N283" s="33">
        <f>M283/$P$4+($I$22/$P$4)</f>
        <v/>
      </c>
      <c r="U283">
        <f>F282</f>
        <v/>
      </c>
      <c r="V283">
        <f>H282</f>
        <v/>
      </c>
      <c r="W283">
        <f>N282</f>
        <v/>
      </c>
    </row>
    <row r="284" ht="15.75" customHeight="1" s="40">
      <c r="C284" s="36">
        <f>_xlfn.IFS(E284&lt;E$24,0,E284&lt;E$26,C$24,E284&lt;E$28,C$26,E284&lt;E$30,C$28,E284&lt;E$32,C$30,E284&lt;E$34,C$32,E284&gt;=E$34,C$34)</f>
        <v/>
      </c>
      <c r="D284" s="37">
        <f>_xlfn.IFS(E284&lt;E$24,0,E284&lt;E$25,D$24,E284&lt;E$26,D$25,E284&lt;E$27,D$26,E284&lt;E$28,D$27,E284&lt;E$29,D$28,E284&lt;E$30,D$29,E284&lt;E$31,D$30,E284&lt;E$32,D$31,E284&lt;E$33,D$32,E284&lt;E$34,D$33,E284&lt;E$35,D$34,E284&gt;=E$35,D$35)</f>
        <v/>
      </c>
      <c r="E284" s="38" t="n">
        <v>234</v>
      </c>
      <c r="F284" s="31">
        <f>E284/52</f>
        <v/>
      </c>
      <c r="G284" s="39">
        <f>D284/1000000*52</f>
        <v/>
      </c>
      <c r="H284" s="33">
        <f>G284/$P$4+($C$22/$P$4)</f>
        <v/>
      </c>
      <c r="I284" s="36">
        <f>_xlfn.IFS(K284&lt;K$24,0,K284&lt;K$26,I$24,K284&lt;K$28,I$26,K284&lt;K$30,I$28,K284&lt;K$32,I$30,K284&lt;K$34,I$32,K284&lt;K$36,I$34,K284&lt;K$38,I$36,K284&lt;K$40,I$38,K284&lt;K$42,I$40,K284&lt;K$44,I$42,K284&lt;K$46,I$44,K284&gt;=K$46,I$46)</f>
        <v/>
      </c>
      <c r="J284" s="37">
        <f>_xlfn.IFS(K284&lt;K$24,0,K284&lt;K$25,J$24,K284&lt;K$26,J$25,K284&lt;K$27,J$26,K284&lt;K$28,J$27,K284&lt;K$29,J$28,K284&lt;K$30,J$29,K284&lt;K$31,J$30,K284&lt;K$32,J$31,K284&lt;K$33,J$32,K284&lt;K$34,J$33,K284&lt;K$35,J$34,K284&lt;K$36,J$35,K284&lt;K$37,J$36,K284&lt;K$38,J$37,K284&lt;K$39,J$38,K284&lt;K$40,J$39,K284&lt;K$41,J$40,K284&lt;K$42,J$41,K284&lt;K$43,J$42,K284&lt;K$44,J$43,K284&lt;K$45,J$44,K284&lt;K$46,J$45,K284&lt;K$47,J$46,K284&gt;=K$47,J$47)</f>
        <v/>
      </c>
      <c r="K284" s="38" t="n">
        <v>234</v>
      </c>
      <c r="L284" s="31">
        <f>K284/52</f>
        <v/>
      </c>
      <c r="M284" s="39">
        <f>J284/1000000*52</f>
        <v/>
      </c>
      <c r="N284" s="33">
        <f>M284/$P$4+($I$22/$P$4)</f>
        <v/>
      </c>
      <c r="U284">
        <f>F283</f>
        <v/>
      </c>
      <c r="V284">
        <f>H283</f>
        <v/>
      </c>
      <c r="W284">
        <f>N283</f>
        <v/>
      </c>
    </row>
    <row r="285" ht="15.75" customHeight="1" s="40">
      <c r="C285" s="36">
        <f>_xlfn.IFS(E285&lt;E$24,0,E285&lt;E$26,C$24,E285&lt;E$28,C$26,E285&lt;E$30,C$28,E285&lt;E$32,C$30,E285&lt;E$34,C$32,E285&gt;=E$34,C$34)</f>
        <v/>
      </c>
      <c r="D285" s="37">
        <f>_xlfn.IFS(E285&lt;E$24,0,E285&lt;E$25,D$24,E285&lt;E$26,D$25,E285&lt;E$27,D$26,E285&lt;E$28,D$27,E285&lt;E$29,D$28,E285&lt;E$30,D$29,E285&lt;E$31,D$30,E285&lt;E$32,D$31,E285&lt;E$33,D$32,E285&lt;E$34,D$33,E285&lt;E$35,D$34,E285&gt;=E$35,D$35)</f>
        <v/>
      </c>
      <c r="E285" s="38" t="n">
        <v>235</v>
      </c>
      <c r="F285" s="31">
        <f>E285/52</f>
        <v/>
      </c>
      <c r="G285" s="39">
        <f>D285/1000000*52</f>
        <v/>
      </c>
      <c r="H285" s="33">
        <f>G285/$P$4+($C$22/$P$4)</f>
        <v/>
      </c>
      <c r="I285" s="36">
        <f>_xlfn.IFS(K285&lt;K$24,0,K285&lt;K$26,I$24,K285&lt;K$28,I$26,K285&lt;K$30,I$28,K285&lt;K$32,I$30,K285&lt;K$34,I$32,K285&lt;K$36,I$34,K285&lt;K$38,I$36,K285&lt;K$40,I$38,K285&lt;K$42,I$40,K285&lt;K$44,I$42,K285&lt;K$46,I$44,K285&gt;=K$46,I$46)</f>
        <v/>
      </c>
      <c r="J285" s="37">
        <f>_xlfn.IFS(K285&lt;K$24,0,K285&lt;K$25,J$24,K285&lt;K$26,J$25,K285&lt;K$27,J$26,K285&lt;K$28,J$27,K285&lt;K$29,J$28,K285&lt;K$30,J$29,K285&lt;K$31,J$30,K285&lt;K$32,J$31,K285&lt;K$33,J$32,K285&lt;K$34,J$33,K285&lt;K$35,J$34,K285&lt;K$36,J$35,K285&lt;K$37,J$36,K285&lt;K$38,J$37,K285&lt;K$39,J$38,K285&lt;K$40,J$39,K285&lt;K$41,J$40,K285&lt;K$42,J$41,K285&lt;K$43,J$42,K285&lt;K$44,J$43,K285&lt;K$45,J$44,K285&lt;K$46,J$45,K285&lt;K$47,J$46,K285&gt;=K$47,J$47)</f>
        <v/>
      </c>
      <c r="K285" s="38" t="n">
        <v>235</v>
      </c>
      <c r="L285" s="31">
        <f>K285/52</f>
        <v/>
      </c>
      <c r="M285" s="39">
        <f>J285/1000000*52</f>
        <v/>
      </c>
      <c r="N285" s="33">
        <f>M285/$P$4+($I$22/$P$4)</f>
        <v/>
      </c>
      <c r="U285">
        <f>F284</f>
        <v/>
      </c>
      <c r="V285">
        <f>H284</f>
        <v/>
      </c>
      <c r="W285">
        <f>N284</f>
        <v/>
      </c>
    </row>
    <row r="286" ht="15.75" customHeight="1" s="40">
      <c r="C286" s="36">
        <f>_xlfn.IFS(E286&lt;E$24,0,E286&lt;E$26,C$24,E286&lt;E$28,C$26,E286&lt;E$30,C$28,E286&lt;E$32,C$30,E286&lt;E$34,C$32,E286&gt;=E$34,C$34)</f>
        <v/>
      </c>
      <c r="D286" s="37">
        <f>_xlfn.IFS(E286&lt;E$24,0,E286&lt;E$25,D$24,E286&lt;E$26,D$25,E286&lt;E$27,D$26,E286&lt;E$28,D$27,E286&lt;E$29,D$28,E286&lt;E$30,D$29,E286&lt;E$31,D$30,E286&lt;E$32,D$31,E286&lt;E$33,D$32,E286&lt;E$34,D$33,E286&lt;E$35,D$34,E286&gt;=E$35,D$35)</f>
        <v/>
      </c>
      <c r="E286" s="38" t="n">
        <v>236</v>
      </c>
      <c r="F286" s="31">
        <f>E286/52</f>
        <v/>
      </c>
      <c r="G286" s="39">
        <f>D286/1000000*52</f>
        <v/>
      </c>
      <c r="H286" s="33">
        <f>G286/$P$4+($C$22/$P$4)</f>
        <v/>
      </c>
      <c r="I286" s="36">
        <f>_xlfn.IFS(K286&lt;K$24,0,K286&lt;K$26,I$24,K286&lt;K$28,I$26,K286&lt;K$30,I$28,K286&lt;K$32,I$30,K286&lt;K$34,I$32,K286&lt;K$36,I$34,K286&lt;K$38,I$36,K286&lt;K$40,I$38,K286&lt;K$42,I$40,K286&lt;K$44,I$42,K286&lt;K$46,I$44,K286&gt;=K$46,I$46)</f>
        <v/>
      </c>
      <c r="J286" s="37">
        <f>_xlfn.IFS(K286&lt;K$24,0,K286&lt;K$25,J$24,K286&lt;K$26,J$25,K286&lt;K$27,J$26,K286&lt;K$28,J$27,K286&lt;K$29,J$28,K286&lt;K$30,J$29,K286&lt;K$31,J$30,K286&lt;K$32,J$31,K286&lt;K$33,J$32,K286&lt;K$34,J$33,K286&lt;K$35,J$34,K286&lt;K$36,J$35,K286&lt;K$37,J$36,K286&lt;K$38,J$37,K286&lt;K$39,J$38,K286&lt;K$40,J$39,K286&lt;K$41,J$40,K286&lt;K$42,J$41,K286&lt;K$43,J$42,K286&lt;K$44,J$43,K286&lt;K$45,J$44,K286&lt;K$46,J$45,K286&lt;K$47,J$46,K286&gt;=K$47,J$47)</f>
        <v/>
      </c>
      <c r="K286" s="38" t="n">
        <v>236</v>
      </c>
      <c r="L286" s="31">
        <f>K286/52</f>
        <v/>
      </c>
      <c r="M286" s="39">
        <f>J286/1000000*52</f>
        <v/>
      </c>
      <c r="N286" s="33">
        <f>M286/$P$4+($I$22/$P$4)</f>
        <v/>
      </c>
      <c r="U286">
        <f>F285</f>
        <v/>
      </c>
      <c r="V286">
        <f>H285</f>
        <v/>
      </c>
      <c r="W286">
        <f>N285</f>
        <v/>
      </c>
    </row>
    <row r="287" ht="15.75" customHeight="1" s="40">
      <c r="C287" s="36">
        <f>_xlfn.IFS(E287&lt;E$24,0,E287&lt;E$26,C$24,E287&lt;E$28,C$26,E287&lt;E$30,C$28,E287&lt;E$32,C$30,E287&lt;E$34,C$32,E287&gt;=E$34,C$34)</f>
        <v/>
      </c>
      <c r="D287" s="37">
        <f>_xlfn.IFS(E287&lt;E$24,0,E287&lt;E$25,D$24,E287&lt;E$26,D$25,E287&lt;E$27,D$26,E287&lt;E$28,D$27,E287&lt;E$29,D$28,E287&lt;E$30,D$29,E287&lt;E$31,D$30,E287&lt;E$32,D$31,E287&lt;E$33,D$32,E287&lt;E$34,D$33,E287&lt;E$35,D$34,E287&gt;=E$35,D$35)</f>
        <v/>
      </c>
      <c r="E287" s="38" t="n">
        <v>237</v>
      </c>
      <c r="F287" s="31">
        <f>E287/52</f>
        <v/>
      </c>
      <c r="G287" s="39">
        <f>D287/1000000*52</f>
        <v/>
      </c>
      <c r="H287" s="33">
        <f>G287/$P$4+($C$22/$P$4)</f>
        <v/>
      </c>
      <c r="I287" s="36">
        <f>_xlfn.IFS(K287&lt;K$24,0,K287&lt;K$26,I$24,K287&lt;K$28,I$26,K287&lt;K$30,I$28,K287&lt;K$32,I$30,K287&lt;K$34,I$32,K287&lt;K$36,I$34,K287&lt;K$38,I$36,K287&lt;K$40,I$38,K287&lt;K$42,I$40,K287&lt;K$44,I$42,K287&lt;K$46,I$44,K287&gt;=K$46,I$46)</f>
        <v/>
      </c>
      <c r="J287" s="37">
        <f>_xlfn.IFS(K287&lt;K$24,0,K287&lt;K$25,J$24,K287&lt;K$26,J$25,K287&lt;K$27,J$26,K287&lt;K$28,J$27,K287&lt;K$29,J$28,K287&lt;K$30,J$29,K287&lt;K$31,J$30,K287&lt;K$32,J$31,K287&lt;K$33,J$32,K287&lt;K$34,J$33,K287&lt;K$35,J$34,K287&lt;K$36,J$35,K287&lt;K$37,J$36,K287&lt;K$38,J$37,K287&lt;K$39,J$38,K287&lt;K$40,J$39,K287&lt;K$41,J$40,K287&lt;K$42,J$41,K287&lt;K$43,J$42,K287&lt;K$44,J$43,K287&lt;K$45,J$44,K287&lt;K$46,J$45,K287&lt;K$47,J$46,K287&gt;=K$47,J$47)</f>
        <v/>
      </c>
      <c r="K287" s="38" t="n">
        <v>237</v>
      </c>
      <c r="L287" s="31">
        <f>K287/52</f>
        <v/>
      </c>
      <c r="M287" s="39">
        <f>J287/1000000*52</f>
        <v/>
      </c>
      <c r="N287" s="33">
        <f>M287/$P$4+($I$22/$P$4)</f>
        <v/>
      </c>
      <c r="U287">
        <f>F286</f>
        <v/>
      </c>
      <c r="V287">
        <f>H286</f>
        <v/>
      </c>
      <c r="W287">
        <f>N286</f>
        <v/>
      </c>
    </row>
    <row r="288" ht="15.75" customHeight="1" s="40">
      <c r="C288" s="36">
        <f>_xlfn.IFS(E288&lt;E$24,0,E288&lt;E$26,C$24,E288&lt;E$28,C$26,E288&lt;E$30,C$28,E288&lt;E$32,C$30,E288&lt;E$34,C$32,E288&gt;=E$34,C$34)</f>
        <v/>
      </c>
      <c r="D288" s="37">
        <f>_xlfn.IFS(E288&lt;E$24,0,E288&lt;E$25,D$24,E288&lt;E$26,D$25,E288&lt;E$27,D$26,E288&lt;E$28,D$27,E288&lt;E$29,D$28,E288&lt;E$30,D$29,E288&lt;E$31,D$30,E288&lt;E$32,D$31,E288&lt;E$33,D$32,E288&lt;E$34,D$33,E288&lt;E$35,D$34,E288&gt;=E$35,D$35)</f>
        <v/>
      </c>
      <c r="E288" s="38" t="n">
        <v>238</v>
      </c>
      <c r="F288" s="31">
        <f>E288/52</f>
        <v/>
      </c>
      <c r="G288" s="39">
        <f>D288/1000000*52</f>
        <v/>
      </c>
      <c r="H288" s="33">
        <f>G288/$P$4+($C$22/$P$4)</f>
        <v/>
      </c>
      <c r="I288" s="36">
        <f>_xlfn.IFS(K288&lt;K$24,0,K288&lt;K$26,I$24,K288&lt;K$28,I$26,K288&lt;K$30,I$28,K288&lt;K$32,I$30,K288&lt;K$34,I$32,K288&lt;K$36,I$34,K288&lt;K$38,I$36,K288&lt;K$40,I$38,K288&lt;K$42,I$40,K288&lt;K$44,I$42,K288&lt;K$46,I$44,K288&gt;=K$46,I$46)</f>
        <v/>
      </c>
      <c r="J288" s="37">
        <f>_xlfn.IFS(K288&lt;K$24,0,K288&lt;K$25,J$24,K288&lt;K$26,J$25,K288&lt;K$27,J$26,K288&lt;K$28,J$27,K288&lt;K$29,J$28,K288&lt;K$30,J$29,K288&lt;K$31,J$30,K288&lt;K$32,J$31,K288&lt;K$33,J$32,K288&lt;K$34,J$33,K288&lt;K$35,J$34,K288&lt;K$36,J$35,K288&lt;K$37,J$36,K288&lt;K$38,J$37,K288&lt;K$39,J$38,K288&lt;K$40,J$39,K288&lt;K$41,J$40,K288&lt;K$42,J$41,K288&lt;K$43,J$42,K288&lt;K$44,J$43,K288&lt;K$45,J$44,K288&lt;K$46,J$45,K288&lt;K$47,J$46,K288&gt;=K$47,J$47)</f>
        <v/>
      </c>
      <c r="K288" s="38" t="n">
        <v>238</v>
      </c>
      <c r="L288" s="31">
        <f>K288/52</f>
        <v/>
      </c>
      <c r="M288" s="39">
        <f>J288/1000000*52</f>
        <v/>
      </c>
      <c r="N288" s="33">
        <f>M288/$P$4+($I$22/$P$4)</f>
        <v/>
      </c>
      <c r="U288">
        <f>F287</f>
        <v/>
      </c>
      <c r="V288">
        <f>H287</f>
        <v/>
      </c>
      <c r="W288">
        <f>N287</f>
        <v/>
      </c>
    </row>
    <row r="289" ht="15.75" customHeight="1" s="40">
      <c r="C289" s="36">
        <f>_xlfn.IFS(E289&lt;E$24,0,E289&lt;E$26,C$24,E289&lt;E$28,C$26,E289&lt;E$30,C$28,E289&lt;E$32,C$30,E289&lt;E$34,C$32,E289&gt;=E$34,C$34)</f>
        <v/>
      </c>
      <c r="D289" s="37">
        <f>_xlfn.IFS(E289&lt;E$24,0,E289&lt;E$25,D$24,E289&lt;E$26,D$25,E289&lt;E$27,D$26,E289&lt;E$28,D$27,E289&lt;E$29,D$28,E289&lt;E$30,D$29,E289&lt;E$31,D$30,E289&lt;E$32,D$31,E289&lt;E$33,D$32,E289&lt;E$34,D$33,E289&lt;E$35,D$34,E289&gt;=E$35,D$35)</f>
        <v/>
      </c>
      <c r="E289" s="38" t="n">
        <v>239</v>
      </c>
      <c r="F289" s="31">
        <f>E289/52</f>
        <v/>
      </c>
      <c r="G289" s="39">
        <f>D289/1000000*52</f>
        <v/>
      </c>
      <c r="H289" s="33">
        <f>G289/$P$4+($C$22/$P$4)</f>
        <v/>
      </c>
      <c r="I289" s="36">
        <f>_xlfn.IFS(K289&lt;K$24,0,K289&lt;K$26,I$24,K289&lt;K$28,I$26,K289&lt;K$30,I$28,K289&lt;K$32,I$30,K289&lt;K$34,I$32,K289&lt;K$36,I$34,K289&lt;K$38,I$36,K289&lt;K$40,I$38,K289&lt;K$42,I$40,K289&lt;K$44,I$42,K289&lt;K$46,I$44,K289&gt;=K$46,I$46)</f>
        <v/>
      </c>
      <c r="J289" s="37">
        <f>_xlfn.IFS(K289&lt;K$24,0,K289&lt;K$25,J$24,K289&lt;K$26,J$25,K289&lt;K$27,J$26,K289&lt;K$28,J$27,K289&lt;K$29,J$28,K289&lt;K$30,J$29,K289&lt;K$31,J$30,K289&lt;K$32,J$31,K289&lt;K$33,J$32,K289&lt;K$34,J$33,K289&lt;K$35,J$34,K289&lt;K$36,J$35,K289&lt;K$37,J$36,K289&lt;K$38,J$37,K289&lt;K$39,J$38,K289&lt;K$40,J$39,K289&lt;K$41,J$40,K289&lt;K$42,J$41,K289&lt;K$43,J$42,K289&lt;K$44,J$43,K289&lt;K$45,J$44,K289&lt;K$46,J$45,K289&lt;K$47,J$46,K289&gt;=K$47,J$47)</f>
        <v/>
      </c>
      <c r="K289" s="38" t="n">
        <v>239</v>
      </c>
      <c r="L289" s="31">
        <f>K289/52</f>
        <v/>
      </c>
      <c r="M289" s="39">
        <f>J289/1000000*52</f>
        <v/>
      </c>
      <c r="N289" s="33">
        <f>M289/$P$4+($I$22/$P$4)</f>
        <v/>
      </c>
      <c r="U289">
        <f>F288</f>
        <v/>
      </c>
      <c r="V289">
        <f>H288</f>
        <v/>
      </c>
      <c r="W289">
        <f>N288</f>
        <v/>
      </c>
    </row>
    <row r="290" ht="15.75" customHeight="1" s="40">
      <c r="C290" s="36">
        <f>_xlfn.IFS(E290&lt;E$24,0,E290&lt;E$26,C$24,E290&lt;E$28,C$26,E290&lt;E$30,C$28,E290&lt;E$32,C$30,E290&lt;E$34,C$32,E290&gt;=E$34,C$34)</f>
        <v/>
      </c>
      <c r="D290" s="37">
        <f>_xlfn.IFS(E290&lt;E$24,0,E290&lt;E$25,D$24,E290&lt;E$26,D$25,E290&lt;E$27,D$26,E290&lt;E$28,D$27,E290&lt;E$29,D$28,E290&lt;E$30,D$29,E290&lt;E$31,D$30,E290&lt;E$32,D$31,E290&lt;E$33,D$32,E290&lt;E$34,D$33,E290&lt;E$35,D$34,E290&gt;=E$35,D$35)</f>
        <v/>
      </c>
      <c r="E290" s="38" t="n">
        <v>240</v>
      </c>
      <c r="F290" s="31">
        <f>E290/52</f>
        <v/>
      </c>
      <c r="G290" s="39">
        <f>D290/1000000*52</f>
        <v/>
      </c>
      <c r="H290" s="33">
        <f>G290/$P$4+($C$22/$P$4)</f>
        <v/>
      </c>
      <c r="I290" s="36">
        <f>_xlfn.IFS(K290&lt;K$24,0,K290&lt;K$26,I$24,K290&lt;K$28,I$26,K290&lt;K$30,I$28,K290&lt;K$32,I$30,K290&lt;K$34,I$32,K290&lt;K$36,I$34,K290&lt;K$38,I$36,K290&lt;K$40,I$38,K290&lt;K$42,I$40,K290&lt;K$44,I$42,K290&lt;K$46,I$44,K290&gt;=K$46,I$46)</f>
        <v/>
      </c>
      <c r="J290" s="37">
        <f>_xlfn.IFS(K290&lt;K$24,0,K290&lt;K$25,J$24,K290&lt;K$26,J$25,K290&lt;K$27,J$26,K290&lt;K$28,J$27,K290&lt;K$29,J$28,K290&lt;K$30,J$29,K290&lt;K$31,J$30,K290&lt;K$32,J$31,K290&lt;K$33,J$32,K290&lt;K$34,J$33,K290&lt;K$35,J$34,K290&lt;K$36,J$35,K290&lt;K$37,J$36,K290&lt;K$38,J$37,K290&lt;K$39,J$38,K290&lt;K$40,J$39,K290&lt;K$41,J$40,K290&lt;K$42,J$41,K290&lt;K$43,J$42,K290&lt;K$44,J$43,K290&lt;K$45,J$44,K290&lt;K$46,J$45,K290&lt;K$47,J$46,K290&gt;=K$47,J$47)</f>
        <v/>
      </c>
      <c r="K290" s="38" t="n">
        <v>240</v>
      </c>
      <c r="L290" s="31">
        <f>K290/52</f>
        <v/>
      </c>
      <c r="M290" s="39">
        <f>J290/1000000*52</f>
        <v/>
      </c>
      <c r="N290" s="33">
        <f>M290/$P$4+($I$22/$P$4)</f>
        <v/>
      </c>
      <c r="U290">
        <f>F289</f>
        <v/>
      </c>
      <c r="V290">
        <f>H289</f>
        <v/>
      </c>
      <c r="W290">
        <f>N289</f>
        <v/>
      </c>
    </row>
    <row r="291" ht="15.75" customHeight="1" s="40">
      <c r="C291" s="36">
        <f>_xlfn.IFS(E291&lt;E$24,0,E291&lt;E$26,C$24,E291&lt;E$28,C$26,E291&lt;E$30,C$28,E291&lt;E$32,C$30,E291&lt;E$34,C$32,E291&gt;=E$34,C$34)</f>
        <v/>
      </c>
      <c r="D291" s="37">
        <f>_xlfn.IFS(E291&lt;E$24,0,E291&lt;E$25,D$24,E291&lt;E$26,D$25,E291&lt;E$27,D$26,E291&lt;E$28,D$27,E291&lt;E$29,D$28,E291&lt;E$30,D$29,E291&lt;E$31,D$30,E291&lt;E$32,D$31,E291&lt;E$33,D$32,E291&lt;E$34,D$33,E291&lt;E$35,D$34,E291&gt;=E$35,D$35)</f>
        <v/>
      </c>
      <c r="E291" s="38" t="n">
        <v>241</v>
      </c>
      <c r="F291" s="31">
        <f>E291/52</f>
        <v/>
      </c>
      <c r="G291" s="39">
        <f>D291/1000000*52</f>
        <v/>
      </c>
      <c r="H291" s="33">
        <f>G291/$P$4+($C$22/$P$4)</f>
        <v/>
      </c>
      <c r="I291" s="36">
        <f>_xlfn.IFS(K291&lt;K$24,0,K291&lt;K$26,I$24,K291&lt;K$28,I$26,K291&lt;K$30,I$28,K291&lt;K$32,I$30,K291&lt;K$34,I$32,K291&lt;K$36,I$34,K291&lt;K$38,I$36,K291&lt;K$40,I$38,K291&lt;K$42,I$40,K291&lt;K$44,I$42,K291&lt;K$46,I$44,K291&gt;=K$46,I$46)</f>
        <v/>
      </c>
      <c r="J291" s="37">
        <f>_xlfn.IFS(K291&lt;K$24,0,K291&lt;K$25,J$24,K291&lt;K$26,J$25,K291&lt;K$27,J$26,K291&lt;K$28,J$27,K291&lt;K$29,J$28,K291&lt;K$30,J$29,K291&lt;K$31,J$30,K291&lt;K$32,J$31,K291&lt;K$33,J$32,K291&lt;K$34,J$33,K291&lt;K$35,J$34,K291&lt;K$36,J$35,K291&lt;K$37,J$36,K291&lt;K$38,J$37,K291&lt;K$39,J$38,K291&lt;K$40,J$39,K291&lt;K$41,J$40,K291&lt;K$42,J$41,K291&lt;K$43,J$42,K291&lt;K$44,J$43,K291&lt;K$45,J$44,K291&lt;K$46,J$45,K291&lt;K$47,J$46,K291&gt;=K$47,J$47)</f>
        <v/>
      </c>
      <c r="K291" s="38" t="n">
        <v>241</v>
      </c>
      <c r="L291" s="31">
        <f>K291/52</f>
        <v/>
      </c>
      <c r="M291" s="39">
        <f>J291/1000000*52</f>
        <v/>
      </c>
      <c r="N291" s="33">
        <f>M291/$P$4+($I$22/$P$4)</f>
        <v/>
      </c>
      <c r="U291">
        <f>F290</f>
        <v/>
      </c>
      <c r="V291">
        <f>H290</f>
        <v/>
      </c>
      <c r="W291">
        <f>N290</f>
        <v/>
      </c>
    </row>
    <row r="292" ht="15.75" customHeight="1" s="40">
      <c r="C292" s="36">
        <f>_xlfn.IFS(E292&lt;E$24,0,E292&lt;E$26,C$24,E292&lt;E$28,C$26,E292&lt;E$30,C$28,E292&lt;E$32,C$30,E292&lt;E$34,C$32,E292&gt;=E$34,C$34)</f>
        <v/>
      </c>
      <c r="D292" s="37">
        <f>_xlfn.IFS(E292&lt;E$24,0,E292&lt;E$25,D$24,E292&lt;E$26,D$25,E292&lt;E$27,D$26,E292&lt;E$28,D$27,E292&lt;E$29,D$28,E292&lt;E$30,D$29,E292&lt;E$31,D$30,E292&lt;E$32,D$31,E292&lt;E$33,D$32,E292&lt;E$34,D$33,E292&lt;E$35,D$34,E292&gt;=E$35,D$35)</f>
        <v/>
      </c>
      <c r="E292" s="38" t="n">
        <v>242</v>
      </c>
      <c r="F292" s="31">
        <f>E292/52</f>
        <v/>
      </c>
      <c r="G292" s="39">
        <f>D292/1000000*52</f>
        <v/>
      </c>
      <c r="H292" s="33">
        <f>G292/$P$4+($C$22/$P$4)</f>
        <v/>
      </c>
      <c r="I292" s="36">
        <f>_xlfn.IFS(K292&lt;K$24,0,K292&lt;K$26,I$24,K292&lt;K$28,I$26,K292&lt;K$30,I$28,K292&lt;K$32,I$30,K292&lt;K$34,I$32,K292&lt;K$36,I$34,K292&lt;K$38,I$36,K292&lt;K$40,I$38,K292&lt;K$42,I$40,K292&lt;K$44,I$42,K292&lt;K$46,I$44,K292&gt;=K$46,I$46)</f>
        <v/>
      </c>
      <c r="J292" s="37">
        <f>_xlfn.IFS(K292&lt;K$24,0,K292&lt;K$25,J$24,K292&lt;K$26,J$25,K292&lt;K$27,J$26,K292&lt;K$28,J$27,K292&lt;K$29,J$28,K292&lt;K$30,J$29,K292&lt;K$31,J$30,K292&lt;K$32,J$31,K292&lt;K$33,J$32,K292&lt;K$34,J$33,K292&lt;K$35,J$34,K292&lt;K$36,J$35,K292&lt;K$37,J$36,K292&lt;K$38,J$37,K292&lt;K$39,J$38,K292&lt;K$40,J$39,K292&lt;K$41,J$40,K292&lt;K$42,J$41,K292&lt;K$43,J$42,K292&lt;K$44,J$43,K292&lt;K$45,J$44,K292&lt;K$46,J$45,K292&lt;K$47,J$46,K292&gt;=K$47,J$47)</f>
        <v/>
      </c>
      <c r="K292" s="38" t="n">
        <v>242</v>
      </c>
      <c r="L292" s="31">
        <f>K292/52</f>
        <v/>
      </c>
      <c r="M292" s="39">
        <f>J292/1000000*52</f>
        <v/>
      </c>
      <c r="N292" s="33">
        <f>M292/$P$4+($I$22/$P$4)</f>
        <v/>
      </c>
      <c r="U292">
        <f>F291</f>
        <v/>
      </c>
      <c r="V292">
        <f>H291</f>
        <v/>
      </c>
      <c r="W292">
        <f>N291</f>
        <v/>
      </c>
    </row>
    <row r="293" ht="15.75" customHeight="1" s="40">
      <c r="C293" s="36">
        <f>_xlfn.IFS(E293&lt;E$24,0,E293&lt;E$26,C$24,E293&lt;E$28,C$26,E293&lt;E$30,C$28,E293&lt;E$32,C$30,E293&lt;E$34,C$32,E293&gt;=E$34,C$34)</f>
        <v/>
      </c>
      <c r="D293" s="37">
        <f>_xlfn.IFS(E293&lt;E$24,0,E293&lt;E$25,D$24,E293&lt;E$26,D$25,E293&lt;E$27,D$26,E293&lt;E$28,D$27,E293&lt;E$29,D$28,E293&lt;E$30,D$29,E293&lt;E$31,D$30,E293&lt;E$32,D$31,E293&lt;E$33,D$32,E293&lt;E$34,D$33,E293&lt;E$35,D$34,E293&gt;=E$35,D$35)</f>
        <v/>
      </c>
      <c r="E293" s="38" t="n">
        <v>243</v>
      </c>
      <c r="F293" s="31">
        <f>E293/52</f>
        <v/>
      </c>
      <c r="G293" s="39">
        <f>D293/1000000*52</f>
        <v/>
      </c>
      <c r="H293" s="33">
        <f>G293/$P$4+($C$22/$P$4)</f>
        <v/>
      </c>
      <c r="I293" s="36">
        <f>_xlfn.IFS(K293&lt;K$24,0,K293&lt;K$26,I$24,K293&lt;K$28,I$26,K293&lt;K$30,I$28,K293&lt;K$32,I$30,K293&lt;K$34,I$32,K293&lt;K$36,I$34,K293&lt;K$38,I$36,K293&lt;K$40,I$38,K293&lt;K$42,I$40,K293&lt;K$44,I$42,K293&lt;K$46,I$44,K293&gt;=K$46,I$46)</f>
        <v/>
      </c>
      <c r="J293" s="37">
        <f>_xlfn.IFS(K293&lt;K$24,0,K293&lt;K$25,J$24,K293&lt;K$26,J$25,K293&lt;K$27,J$26,K293&lt;K$28,J$27,K293&lt;K$29,J$28,K293&lt;K$30,J$29,K293&lt;K$31,J$30,K293&lt;K$32,J$31,K293&lt;K$33,J$32,K293&lt;K$34,J$33,K293&lt;K$35,J$34,K293&lt;K$36,J$35,K293&lt;K$37,J$36,K293&lt;K$38,J$37,K293&lt;K$39,J$38,K293&lt;K$40,J$39,K293&lt;K$41,J$40,K293&lt;K$42,J$41,K293&lt;K$43,J$42,K293&lt;K$44,J$43,K293&lt;K$45,J$44,K293&lt;K$46,J$45,K293&lt;K$47,J$46,K293&gt;=K$47,J$47)</f>
        <v/>
      </c>
      <c r="K293" s="38" t="n">
        <v>243</v>
      </c>
      <c r="L293" s="31">
        <f>K293/52</f>
        <v/>
      </c>
      <c r="M293" s="39">
        <f>J293/1000000*52</f>
        <v/>
      </c>
      <c r="N293" s="33">
        <f>M293/$P$4+($I$22/$P$4)</f>
        <v/>
      </c>
      <c r="U293">
        <f>F292</f>
        <v/>
      </c>
      <c r="V293">
        <f>H292</f>
        <v/>
      </c>
      <c r="W293">
        <f>N292</f>
        <v/>
      </c>
    </row>
    <row r="294" ht="15.75" customHeight="1" s="40">
      <c r="C294" s="36">
        <f>_xlfn.IFS(E294&lt;E$24,0,E294&lt;E$26,C$24,E294&lt;E$28,C$26,E294&lt;E$30,C$28,E294&lt;E$32,C$30,E294&lt;E$34,C$32,E294&gt;=E$34,C$34)</f>
        <v/>
      </c>
      <c r="D294" s="37">
        <f>_xlfn.IFS(E294&lt;E$24,0,E294&lt;E$25,D$24,E294&lt;E$26,D$25,E294&lt;E$27,D$26,E294&lt;E$28,D$27,E294&lt;E$29,D$28,E294&lt;E$30,D$29,E294&lt;E$31,D$30,E294&lt;E$32,D$31,E294&lt;E$33,D$32,E294&lt;E$34,D$33,E294&lt;E$35,D$34,E294&gt;=E$35,D$35)</f>
        <v/>
      </c>
      <c r="E294" s="38" t="n">
        <v>244</v>
      </c>
      <c r="F294" s="31">
        <f>E294/52</f>
        <v/>
      </c>
      <c r="G294" s="39">
        <f>D294/1000000*52</f>
        <v/>
      </c>
      <c r="H294" s="33">
        <f>G294/$P$4+($C$22/$P$4)</f>
        <v/>
      </c>
      <c r="I294" s="36">
        <f>_xlfn.IFS(K294&lt;K$24,0,K294&lt;K$26,I$24,K294&lt;K$28,I$26,K294&lt;K$30,I$28,K294&lt;K$32,I$30,K294&lt;K$34,I$32,K294&lt;K$36,I$34,K294&lt;K$38,I$36,K294&lt;K$40,I$38,K294&lt;K$42,I$40,K294&lt;K$44,I$42,K294&lt;K$46,I$44,K294&gt;=K$46,I$46)</f>
        <v/>
      </c>
      <c r="J294" s="37">
        <f>_xlfn.IFS(K294&lt;K$24,0,K294&lt;K$25,J$24,K294&lt;K$26,J$25,K294&lt;K$27,J$26,K294&lt;K$28,J$27,K294&lt;K$29,J$28,K294&lt;K$30,J$29,K294&lt;K$31,J$30,K294&lt;K$32,J$31,K294&lt;K$33,J$32,K294&lt;K$34,J$33,K294&lt;K$35,J$34,K294&lt;K$36,J$35,K294&lt;K$37,J$36,K294&lt;K$38,J$37,K294&lt;K$39,J$38,K294&lt;K$40,J$39,K294&lt;K$41,J$40,K294&lt;K$42,J$41,K294&lt;K$43,J$42,K294&lt;K$44,J$43,K294&lt;K$45,J$44,K294&lt;K$46,J$45,K294&lt;K$47,J$46,K294&gt;=K$47,J$47)</f>
        <v/>
      </c>
      <c r="K294" s="38" t="n">
        <v>244</v>
      </c>
      <c r="L294" s="31">
        <f>K294/52</f>
        <v/>
      </c>
      <c r="M294" s="39">
        <f>J294/1000000*52</f>
        <v/>
      </c>
      <c r="N294" s="33">
        <f>M294/$P$4+($I$22/$P$4)</f>
        <v/>
      </c>
      <c r="U294">
        <f>F293</f>
        <v/>
      </c>
      <c r="V294">
        <f>H293</f>
        <v/>
      </c>
      <c r="W294">
        <f>N293</f>
        <v/>
      </c>
    </row>
    <row r="295" ht="15.75" customHeight="1" s="40">
      <c r="C295" s="36">
        <f>_xlfn.IFS(E295&lt;E$24,0,E295&lt;E$26,C$24,E295&lt;E$28,C$26,E295&lt;E$30,C$28,E295&lt;E$32,C$30,E295&lt;E$34,C$32,E295&gt;=E$34,C$34)</f>
        <v/>
      </c>
      <c r="D295" s="37">
        <f>_xlfn.IFS(E295&lt;E$24,0,E295&lt;E$25,D$24,E295&lt;E$26,D$25,E295&lt;E$27,D$26,E295&lt;E$28,D$27,E295&lt;E$29,D$28,E295&lt;E$30,D$29,E295&lt;E$31,D$30,E295&lt;E$32,D$31,E295&lt;E$33,D$32,E295&lt;E$34,D$33,E295&lt;E$35,D$34,E295&gt;=E$35,D$35)</f>
        <v/>
      </c>
      <c r="E295" s="38" t="n">
        <v>245</v>
      </c>
      <c r="F295" s="31">
        <f>E295/52</f>
        <v/>
      </c>
      <c r="G295" s="39">
        <f>D295/1000000*52</f>
        <v/>
      </c>
      <c r="H295" s="33">
        <f>G295/$P$4+($C$22/$P$4)</f>
        <v/>
      </c>
      <c r="I295" s="36">
        <f>_xlfn.IFS(K295&lt;K$24,0,K295&lt;K$26,I$24,K295&lt;K$28,I$26,K295&lt;K$30,I$28,K295&lt;K$32,I$30,K295&lt;K$34,I$32,K295&lt;K$36,I$34,K295&lt;K$38,I$36,K295&lt;K$40,I$38,K295&lt;K$42,I$40,K295&lt;K$44,I$42,K295&lt;K$46,I$44,K295&gt;=K$46,I$46)</f>
        <v/>
      </c>
      <c r="J295" s="37">
        <f>_xlfn.IFS(K295&lt;K$24,0,K295&lt;K$25,J$24,K295&lt;K$26,J$25,K295&lt;K$27,J$26,K295&lt;K$28,J$27,K295&lt;K$29,J$28,K295&lt;K$30,J$29,K295&lt;K$31,J$30,K295&lt;K$32,J$31,K295&lt;K$33,J$32,K295&lt;K$34,J$33,K295&lt;K$35,J$34,K295&lt;K$36,J$35,K295&lt;K$37,J$36,K295&lt;K$38,J$37,K295&lt;K$39,J$38,K295&lt;K$40,J$39,K295&lt;K$41,J$40,K295&lt;K$42,J$41,K295&lt;K$43,J$42,K295&lt;K$44,J$43,K295&lt;K$45,J$44,K295&lt;K$46,J$45,K295&lt;K$47,J$46,K295&gt;=K$47,J$47)</f>
        <v/>
      </c>
      <c r="K295" s="38" t="n">
        <v>245</v>
      </c>
      <c r="L295" s="31">
        <f>K295/52</f>
        <v/>
      </c>
      <c r="M295" s="39">
        <f>J295/1000000*52</f>
        <v/>
      </c>
      <c r="N295" s="33">
        <f>M295/$P$4+($I$22/$P$4)</f>
        <v/>
      </c>
      <c r="U295">
        <f>F294</f>
        <v/>
      </c>
      <c r="V295">
        <f>H294</f>
        <v/>
      </c>
      <c r="W295">
        <f>N294</f>
        <v/>
      </c>
    </row>
    <row r="296" ht="15.75" customHeight="1" s="40">
      <c r="C296" s="36">
        <f>_xlfn.IFS(E296&lt;E$24,0,E296&lt;E$26,C$24,E296&lt;E$28,C$26,E296&lt;E$30,C$28,E296&lt;E$32,C$30,E296&lt;E$34,C$32,E296&gt;=E$34,C$34)</f>
        <v/>
      </c>
      <c r="D296" s="37">
        <f>_xlfn.IFS(E296&lt;E$24,0,E296&lt;E$25,D$24,E296&lt;E$26,D$25,E296&lt;E$27,D$26,E296&lt;E$28,D$27,E296&lt;E$29,D$28,E296&lt;E$30,D$29,E296&lt;E$31,D$30,E296&lt;E$32,D$31,E296&lt;E$33,D$32,E296&lt;E$34,D$33,E296&lt;E$35,D$34,E296&gt;=E$35,D$35)</f>
        <v/>
      </c>
      <c r="E296" s="38" t="n">
        <v>246</v>
      </c>
      <c r="F296" s="31">
        <f>E296/52</f>
        <v/>
      </c>
      <c r="G296" s="39">
        <f>D296/1000000*52</f>
        <v/>
      </c>
      <c r="H296" s="33">
        <f>G296/$P$4+($C$22/$P$4)</f>
        <v/>
      </c>
      <c r="I296" s="36">
        <f>_xlfn.IFS(K296&lt;K$24,0,K296&lt;K$26,I$24,K296&lt;K$28,I$26,K296&lt;K$30,I$28,K296&lt;K$32,I$30,K296&lt;K$34,I$32,K296&lt;K$36,I$34,K296&lt;K$38,I$36,K296&lt;K$40,I$38,K296&lt;K$42,I$40,K296&lt;K$44,I$42,K296&lt;K$46,I$44,K296&gt;=K$46,I$46)</f>
        <v/>
      </c>
      <c r="J296" s="37">
        <f>_xlfn.IFS(K296&lt;K$24,0,K296&lt;K$25,J$24,K296&lt;K$26,J$25,K296&lt;K$27,J$26,K296&lt;K$28,J$27,K296&lt;K$29,J$28,K296&lt;K$30,J$29,K296&lt;K$31,J$30,K296&lt;K$32,J$31,K296&lt;K$33,J$32,K296&lt;K$34,J$33,K296&lt;K$35,J$34,K296&lt;K$36,J$35,K296&lt;K$37,J$36,K296&lt;K$38,J$37,K296&lt;K$39,J$38,K296&lt;K$40,J$39,K296&lt;K$41,J$40,K296&lt;K$42,J$41,K296&lt;K$43,J$42,K296&lt;K$44,J$43,K296&lt;K$45,J$44,K296&lt;K$46,J$45,K296&lt;K$47,J$46,K296&gt;=K$47,J$47)</f>
        <v/>
      </c>
      <c r="K296" s="38" t="n">
        <v>246</v>
      </c>
      <c r="L296" s="31">
        <f>K296/52</f>
        <v/>
      </c>
      <c r="M296" s="39">
        <f>J296/1000000*52</f>
        <v/>
      </c>
      <c r="N296" s="33">
        <f>M296/$P$4+($I$22/$P$4)</f>
        <v/>
      </c>
      <c r="U296">
        <f>F295</f>
        <v/>
      </c>
      <c r="V296">
        <f>H295</f>
        <v/>
      </c>
      <c r="W296">
        <f>N295</f>
        <v/>
      </c>
    </row>
    <row r="297" ht="15.75" customHeight="1" s="40">
      <c r="C297" s="36">
        <f>_xlfn.IFS(E297&lt;E$24,0,E297&lt;E$26,C$24,E297&lt;E$28,C$26,E297&lt;E$30,C$28,E297&lt;E$32,C$30,E297&lt;E$34,C$32,E297&gt;=E$34,C$34)</f>
        <v/>
      </c>
      <c r="D297" s="37">
        <f>_xlfn.IFS(E297&lt;E$24,0,E297&lt;E$25,D$24,E297&lt;E$26,D$25,E297&lt;E$27,D$26,E297&lt;E$28,D$27,E297&lt;E$29,D$28,E297&lt;E$30,D$29,E297&lt;E$31,D$30,E297&lt;E$32,D$31,E297&lt;E$33,D$32,E297&lt;E$34,D$33,E297&lt;E$35,D$34,E297&gt;=E$35,D$35)</f>
        <v/>
      </c>
      <c r="E297" s="38" t="n">
        <v>247</v>
      </c>
      <c r="F297" s="31">
        <f>E297/52</f>
        <v/>
      </c>
      <c r="G297" s="39">
        <f>D297/1000000*52</f>
        <v/>
      </c>
      <c r="H297" s="33">
        <f>G297/$P$4+($C$22/$P$4)</f>
        <v/>
      </c>
      <c r="I297" s="36">
        <f>_xlfn.IFS(K297&lt;K$24,0,K297&lt;K$26,I$24,K297&lt;K$28,I$26,K297&lt;K$30,I$28,K297&lt;K$32,I$30,K297&lt;K$34,I$32,K297&lt;K$36,I$34,K297&lt;K$38,I$36,K297&lt;K$40,I$38,K297&lt;K$42,I$40,K297&lt;K$44,I$42,K297&lt;K$46,I$44,K297&gt;=K$46,I$46)</f>
        <v/>
      </c>
      <c r="J297" s="37">
        <f>_xlfn.IFS(K297&lt;K$24,0,K297&lt;K$25,J$24,K297&lt;K$26,J$25,K297&lt;K$27,J$26,K297&lt;K$28,J$27,K297&lt;K$29,J$28,K297&lt;K$30,J$29,K297&lt;K$31,J$30,K297&lt;K$32,J$31,K297&lt;K$33,J$32,K297&lt;K$34,J$33,K297&lt;K$35,J$34,K297&lt;K$36,J$35,K297&lt;K$37,J$36,K297&lt;K$38,J$37,K297&lt;K$39,J$38,K297&lt;K$40,J$39,K297&lt;K$41,J$40,K297&lt;K$42,J$41,K297&lt;K$43,J$42,K297&lt;K$44,J$43,K297&lt;K$45,J$44,K297&lt;K$46,J$45,K297&lt;K$47,J$46,K297&gt;=K$47,J$47)</f>
        <v/>
      </c>
      <c r="K297" s="38" t="n">
        <v>247</v>
      </c>
      <c r="L297" s="31">
        <f>K297/52</f>
        <v/>
      </c>
      <c r="M297" s="39">
        <f>J297/1000000*52</f>
        <v/>
      </c>
      <c r="N297" s="33">
        <f>M297/$P$4+($I$22/$P$4)</f>
        <v/>
      </c>
      <c r="U297">
        <f>F296</f>
        <v/>
      </c>
      <c r="V297">
        <f>H296</f>
        <v/>
      </c>
      <c r="W297">
        <f>N296</f>
        <v/>
      </c>
    </row>
    <row r="298" ht="15.75" customHeight="1" s="40">
      <c r="C298" s="36">
        <f>_xlfn.IFS(E298&lt;E$24,0,E298&lt;E$26,C$24,E298&lt;E$28,C$26,E298&lt;E$30,C$28,E298&lt;E$32,C$30,E298&lt;E$34,C$32,E298&gt;=E$34,C$34)</f>
        <v/>
      </c>
      <c r="D298" s="37">
        <f>_xlfn.IFS(E298&lt;E$24,0,E298&lt;E$25,D$24,E298&lt;E$26,D$25,E298&lt;E$27,D$26,E298&lt;E$28,D$27,E298&lt;E$29,D$28,E298&lt;E$30,D$29,E298&lt;E$31,D$30,E298&lt;E$32,D$31,E298&lt;E$33,D$32,E298&lt;E$34,D$33,E298&lt;E$35,D$34,E298&gt;=E$35,D$35)</f>
        <v/>
      </c>
      <c r="E298" s="38" t="n">
        <v>248</v>
      </c>
      <c r="F298" s="31">
        <f>E298/52</f>
        <v/>
      </c>
      <c r="G298" s="39">
        <f>D298/1000000*52</f>
        <v/>
      </c>
      <c r="H298" s="33">
        <f>G298/$P$4+($C$22/$P$4)</f>
        <v/>
      </c>
      <c r="I298" s="36">
        <f>_xlfn.IFS(K298&lt;K$24,0,K298&lt;K$26,I$24,K298&lt;K$28,I$26,K298&lt;K$30,I$28,K298&lt;K$32,I$30,K298&lt;K$34,I$32,K298&lt;K$36,I$34,K298&lt;K$38,I$36,K298&lt;K$40,I$38,K298&lt;K$42,I$40,K298&lt;K$44,I$42,K298&lt;K$46,I$44,K298&gt;=K$46,I$46)</f>
        <v/>
      </c>
      <c r="J298" s="37">
        <f>_xlfn.IFS(K298&lt;K$24,0,K298&lt;K$25,J$24,K298&lt;K$26,J$25,K298&lt;K$27,J$26,K298&lt;K$28,J$27,K298&lt;K$29,J$28,K298&lt;K$30,J$29,K298&lt;K$31,J$30,K298&lt;K$32,J$31,K298&lt;K$33,J$32,K298&lt;K$34,J$33,K298&lt;K$35,J$34,K298&lt;K$36,J$35,K298&lt;K$37,J$36,K298&lt;K$38,J$37,K298&lt;K$39,J$38,K298&lt;K$40,J$39,K298&lt;K$41,J$40,K298&lt;K$42,J$41,K298&lt;K$43,J$42,K298&lt;K$44,J$43,K298&lt;K$45,J$44,K298&lt;K$46,J$45,K298&lt;K$47,J$46,K298&gt;=K$47,J$47)</f>
        <v/>
      </c>
      <c r="K298" s="38" t="n">
        <v>248</v>
      </c>
      <c r="L298" s="31">
        <f>K298/52</f>
        <v/>
      </c>
      <c r="M298" s="39">
        <f>J298/1000000*52</f>
        <v/>
      </c>
      <c r="N298" s="33">
        <f>M298/$P$4+($I$22/$P$4)</f>
        <v/>
      </c>
      <c r="U298">
        <f>F297</f>
        <v/>
      </c>
      <c r="V298">
        <f>H297</f>
        <v/>
      </c>
      <c r="W298">
        <f>N297</f>
        <v/>
      </c>
    </row>
    <row r="299" ht="15.75" customHeight="1" s="40">
      <c r="C299" s="36">
        <f>_xlfn.IFS(E299&lt;E$24,0,E299&lt;E$26,C$24,E299&lt;E$28,C$26,E299&lt;E$30,C$28,E299&lt;E$32,C$30,E299&lt;E$34,C$32,E299&gt;=E$34,C$34)</f>
        <v/>
      </c>
      <c r="D299" s="37">
        <f>_xlfn.IFS(E299&lt;E$24,0,E299&lt;E$25,D$24,E299&lt;E$26,D$25,E299&lt;E$27,D$26,E299&lt;E$28,D$27,E299&lt;E$29,D$28,E299&lt;E$30,D$29,E299&lt;E$31,D$30,E299&lt;E$32,D$31,E299&lt;E$33,D$32,E299&lt;E$34,D$33,E299&lt;E$35,D$34,E299&gt;=E$35,D$35)</f>
        <v/>
      </c>
      <c r="E299" s="38" t="n">
        <v>249</v>
      </c>
      <c r="F299" s="31">
        <f>E299/52</f>
        <v/>
      </c>
      <c r="G299" s="39">
        <f>D299/1000000*52</f>
        <v/>
      </c>
      <c r="H299" s="33">
        <f>G299/$P$4+($C$22/$P$4)</f>
        <v/>
      </c>
      <c r="I299" s="36">
        <f>_xlfn.IFS(K299&lt;K$24,0,K299&lt;K$26,I$24,K299&lt;K$28,I$26,K299&lt;K$30,I$28,K299&lt;K$32,I$30,K299&lt;K$34,I$32,K299&lt;K$36,I$34,K299&lt;K$38,I$36,K299&lt;K$40,I$38,K299&lt;K$42,I$40,K299&lt;K$44,I$42,K299&lt;K$46,I$44,K299&gt;=K$46,I$46)</f>
        <v/>
      </c>
      <c r="J299" s="37">
        <f>_xlfn.IFS(K299&lt;K$24,0,K299&lt;K$25,J$24,K299&lt;K$26,J$25,K299&lt;K$27,J$26,K299&lt;K$28,J$27,K299&lt;K$29,J$28,K299&lt;K$30,J$29,K299&lt;K$31,J$30,K299&lt;K$32,J$31,K299&lt;K$33,J$32,K299&lt;K$34,J$33,K299&lt;K$35,J$34,K299&lt;K$36,J$35,K299&lt;K$37,J$36,K299&lt;K$38,J$37,K299&lt;K$39,J$38,K299&lt;K$40,J$39,K299&lt;K$41,J$40,K299&lt;K$42,J$41,K299&lt;K$43,J$42,K299&lt;K$44,J$43,K299&lt;K$45,J$44,K299&lt;K$46,J$45,K299&lt;K$47,J$46,K299&gt;=K$47,J$47)</f>
        <v/>
      </c>
      <c r="K299" s="38" t="n">
        <v>249</v>
      </c>
      <c r="L299" s="31">
        <f>K299/52</f>
        <v/>
      </c>
      <c r="M299" s="39">
        <f>J299/1000000*52</f>
        <v/>
      </c>
      <c r="N299" s="33">
        <f>M299/$P$4+($I$22/$P$4)</f>
        <v/>
      </c>
      <c r="U299">
        <f>F298</f>
        <v/>
      </c>
      <c r="V299">
        <f>H298</f>
        <v/>
      </c>
      <c r="W299">
        <f>N298</f>
        <v/>
      </c>
    </row>
    <row r="300" ht="15.75" customHeight="1" s="40">
      <c r="C300" s="36">
        <f>_xlfn.IFS(E300&lt;E$24,0,E300&lt;E$26,C$24,E300&lt;E$28,C$26,E300&lt;E$30,C$28,E300&lt;E$32,C$30,E300&lt;E$34,C$32,E300&gt;=E$34,C$34)</f>
        <v/>
      </c>
      <c r="D300" s="37">
        <f>_xlfn.IFS(E300&lt;E$24,0,E300&lt;E$25,D$24,E300&lt;E$26,D$25,E300&lt;E$27,D$26,E300&lt;E$28,D$27,E300&lt;E$29,D$28,E300&lt;E$30,D$29,E300&lt;E$31,D$30,E300&lt;E$32,D$31,E300&lt;E$33,D$32,E300&lt;E$34,D$33,E300&lt;E$35,D$34,E300&gt;=E$35,D$35)</f>
        <v/>
      </c>
      <c r="E300" s="38" t="n">
        <v>250</v>
      </c>
      <c r="F300" s="31">
        <f>E300/52</f>
        <v/>
      </c>
      <c r="G300" s="39">
        <f>D300/1000000*52</f>
        <v/>
      </c>
      <c r="H300" s="33">
        <f>G300/$P$4+($C$22/$P$4)</f>
        <v/>
      </c>
      <c r="I300" s="36">
        <f>_xlfn.IFS(K300&lt;K$24,0,K300&lt;K$26,I$24,K300&lt;K$28,I$26,K300&lt;K$30,I$28,K300&lt;K$32,I$30,K300&lt;K$34,I$32,K300&lt;K$36,I$34,K300&lt;K$38,I$36,K300&lt;K$40,I$38,K300&lt;K$42,I$40,K300&lt;K$44,I$42,K300&lt;K$46,I$44,K300&gt;=K$46,I$46)</f>
        <v/>
      </c>
      <c r="J300" s="37">
        <f>_xlfn.IFS(K300&lt;K$24,0,K300&lt;K$25,J$24,K300&lt;K$26,J$25,K300&lt;K$27,J$26,K300&lt;K$28,J$27,K300&lt;K$29,J$28,K300&lt;K$30,J$29,K300&lt;K$31,J$30,K300&lt;K$32,J$31,K300&lt;K$33,J$32,K300&lt;K$34,J$33,K300&lt;K$35,J$34,K300&lt;K$36,J$35,K300&lt;K$37,J$36,K300&lt;K$38,J$37,K300&lt;K$39,J$38,K300&lt;K$40,J$39,K300&lt;K$41,J$40,K300&lt;K$42,J$41,K300&lt;K$43,J$42,K300&lt;K$44,J$43,K300&lt;K$45,J$44,K300&lt;K$46,J$45,K300&lt;K$47,J$46,K300&gt;=K$47,J$47)</f>
        <v/>
      </c>
      <c r="K300" s="38" t="n">
        <v>250</v>
      </c>
      <c r="L300" s="31">
        <f>K300/52</f>
        <v/>
      </c>
      <c r="M300" s="39">
        <f>J300/1000000*52</f>
        <v/>
      </c>
      <c r="N300" s="33">
        <f>M300/$P$4+($I$22/$P$4)</f>
        <v/>
      </c>
      <c r="U300">
        <f>F299</f>
        <v/>
      </c>
      <c r="V300">
        <f>H299</f>
        <v/>
      </c>
      <c r="W300">
        <f>N299</f>
        <v/>
      </c>
    </row>
    <row r="301" ht="15.75" customHeight="1" s="40">
      <c r="C301" s="36">
        <f>_xlfn.IFS(E301&lt;E$24,0,E301&lt;E$26,C$24,E301&lt;E$28,C$26,E301&lt;E$30,C$28,E301&lt;E$32,C$30,E301&lt;E$34,C$32,E301&gt;=E$34,C$34)</f>
        <v/>
      </c>
      <c r="D301" s="37">
        <f>_xlfn.IFS(E301&lt;E$24,0,E301&lt;E$25,D$24,E301&lt;E$26,D$25,E301&lt;E$27,D$26,E301&lt;E$28,D$27,E301&lt;E$29,D$28,E301&lt;E$30,D$29,E301&lt;E$31,D$30,E301&lt;E$32,D$31,E301&lt;E$33,D$32,E301&lt;E$34,D$33,E301&lt;E$35,D$34,E301&gt;=E$35,D$35)</f>
        <v/>
      </c>
      <c r="E301" s="38" t="n">
        <v>251</v>
      </c>
      <c r="F301" s="31">
        <f>E301/52</f>
        <v/>
      </c>
      <c r="G301" s="39">
        <f>D301/1000000*52</f>
        <v/>
      </c>
      <c r="H301" s="33">
        <f>G301/$P$4+($C$22/$P$4)</f>
        <v/>
      </c>
      <c r="I301" s="36">
        <f>_xlfn.IFS(K301&lt;K$24,0,K301&lt;K$26,I$24,K301&lt;K$28,I$26,K301&lt;K$30,I$28,K301&lt;K$32,I$30,K301&lt;K$34,I$32,K301&lt;K$36,I$34,K301&lt;K$38,I$36,K301&lt;K$40,I$38,K301&lt;K$42,I$40,K301&lt;K$44,I$42,K301&lt;K$46,I$44,K301&gt;=K$46,I$46)</f>
        <v/>
      </c>
      <c r="J301" s="37">
        <f>_xlfn.IFS(K301&lt;K$24,0,K301&lt;K$25,J$24,K301&lt;K$26,J$25,K301&lt;K$27,J$26,K301&lt;K$28,J$27,K301&lt;K$29,J$28,K301&lt;K$30,J$29,K301&lt;K$31,J$30,K301&lt;K$32,J$31,K301&lt;K$33,J$32,K301&lt;K$34,J$33,K301&lt;K$35,J$34,K301&lt;K$36,J$35,K301&lt;K$37,J$36,K301&lt;K$38,J$37,K301&lt;K$39,J$38,K301&lt;K$40,J$39,K301&lt;K$41,J$40,K301&lt;K$42,J$41,K301&lt;K$43,J$42,K301&lt;K$44,J$43,K301&lt;K$45,J$44,K301&lt;K$46,J$45,K301&lt;K$47,J$46,K301&gt;=K$47,J$47)</f>
        <v/>
      </c>
      <c r="K301" s="38" t="n">
        <v>251</v>
      </c>
      <c r="L301" s="31">
        <f>K301/52</f>
        <v/>
      </c>
      <c r="M301" s="39">
        <f>J301/1000000*52</f>
        <v/>
      </c>
      <c r="N301" s="33">
        <f>M301/$P$4+($I$22/$P$4)</f>
        <v/>
      </c>
      <c r="U301">
        <f>F300</f>
        <v/>
      </c>
      <c r="V301">
        <f>H300</f>
        <v/>
      </c>
      <c r="W301">
        <f>N300</f>
        <v/>
      </c>
    </row>
    <row r="302" ht="15.75" customHeight="1" s="40">
      <c r="C302" s="36">
        <f>_xlfn.IFS(E302&lt;E$24,0,E302&lt;E$26,C$24,E302&lt;E$28,C$26,E302&lt;E$30,C$28,E302&lt;E$32,C$30,E302&lt;E$34,C$32,E302&gt;=E$34,C$34)</f>
        <v/>
      </c>
      <c r="D302" s="37">
        <f>_xlfn.IFS(E302&lt;E$24,0,E302&lt;E$25,D$24,E302&lt;E$26,D$25,E302&lt;E$27,D$26,E302&lt;E$28,D$27,E302&lt;E$29,D$28,E302&lt;E$30,D$29,E302&lt;E$31,D$30,E302&lt;E$32,D$31,E302&lt;E$33,D$32,E302&lt;E$34,D$33,E302&lt;E$35,D$34,E302&gt;=E$35,D$35)</f>
        <v/>
      </c>
      <c r="E302" s="38" t="n">
        <v>252</v>
      </c>
      <c r="F302" s="31">
        <f>E302/52</f>
        <v/>
      </c>
      <c r="G302" s="39">
        <f>D302/1000000*52</f>
        <v/>
      </c>
      <c r="H302" s="33">
        <f>G302/$P$4+($C$22/$P$4)</f>
        <v/>
      </c>
      <c r="I302" s="36">
        <f>_xlfn.IFS(K302&lt;K$24,0,K302&lt;K$26,I$24,K302&lt;K$28,I$26,K302&lt;K$30,I$28,K302&lt;K$32,I$30,K302&lt;K$34,I$32,K302&lt;K$36,I$34,K302&lt;K$38,I$36,K302&lt;K$40,I$38,K302&lt;K$42,I$40,K302&lt;K$44,I$42,K302&lt;K$46,I$44,K302&gt;=K$46,I$46)</f>
        <v/>
      </c>
      <c r="J302" s="37">
        <f>_xlfn.IFS(K302&lt;K$24,0,K302&lt;K$25,J$24,K302&lt;K$26,J$25,K302&lt;K$27,J$26,K302&lt;K$28,J$27,K302&lt;K$29,J$28,K302&lt;K$30,J$29,K302&lt;K$31,J$30,K302&lt;K$32,J$31,K302&lt;K$33,J$32,K302&lt;K$34,J$33,K302&lt;K$35,J$34,K302&lt;K$36,J$35,K302&lt;K$37,J$36,K302&lt;K$38,J$37,K302&lt;K$39,J$38,K302&lt;K$40,J$39,K302&lt;K$41,J$40,K302&lt;K$42,J$41,K302&lt;K$43,J$42,K302&lt;K$44,J$43,K302&lt;K$45,J$44,K302&lt;K$46,J$45,K302&lt;K$47,J$46,K302&gt;=K$47,J$47)</f>
        <v/>
      </c>
      <c r="K302" s="38" t="n">
        <v>252</v>
      </c>
      <c r="L302" s="31">
        <f>K302/52</f>
        <v/>
      </c>
      <c r="M302" s="39">
        <f>J302/1000000*52</f>
        <v/>
      </c>
      <c r="N302" s="33">
        <f>M302/$P$4+($I$22/$P$4)</f>
        <v/>
      </c>
      <c r="U302">
        <f>F301</f>
        <v/>
      </c>
      <c r="V302">
        <f>H301</f>
        <v/>
      </c>
      <c r="W302">
        <f>N301</f>
        <v/>
      </c>
    </row>
    <row r="303" ht="15.75" customHeight="1" s="40">
      <c r="C303" s="36">
        <f>_xlfn.IFS(E303&lt;E$24,0,E303&lt;E$26,C$24,E303&lt;E$28,C$26,E303&lt;E$30,C$28,E303&lt;E$32,C$30,E303&lt;E$34,C$32,E303&gt;=E$34,C$34)</f>
        <v/>
      </c>
      <c r="D303" s="37">
        <f>_xlfn.IFS(E303&lt;E$24,0,E303&lt;E$25,D$24,E303&lt;E$26,D$25,E303&lt;E$27,D$26,E303&lt;E$28,D$27,E303&lt;E$29,D$28,E303&lt;E$30,D$29,E303&lt;E$31,D$30,E303&lt;E$32,D$31,E303&lt;E$33,D$32,E303&lt;E$34,D$33,E303&lt;E$35,D$34,E303&gt;=E$35,D$35)</f>
        <v/>
      </c>
      <c r="E303" s="38" t="n">
        <v>253</v>
      </c>
      <c r="F303" s="31">
        <f>E303/52</f>
        <v/>
      </c>
      <c r="G303" s="39">
        <f>D303/1000000*52</f>
        <v/>
      </c>
      <c r="H303" s="33">
        <f>G303/$P$4+($C$22/$P$4)</f>
        <v/>
      </c>
      <c r="I303" s="36">
        <f>_xlfn.IFS(K303&lt;K$24,0,K303&lt;K$26,I$24,K303&lt;K$28,I$26,K303&lt;K$30,I$28,K303&lt;K$32,I$30,K303&lt;K$34,I$32,K303&lt;K$36,I$34,K303&lt;K$38,I$36,K303&lt;K$40,I$38,K303&lt;K$42,I$40,K303&lt;K$44,I$42,K303&lt;K$46,I$44,K303&gt;=K$46,I$46)</f>
        <v/>
      </c>
      <c r="J303" s="37">
        <f>_xlfn.IFS(K303&lt;K$24,0,K303&lt;K$25,J$24,K303&lt;K$26,J$25,K303&lt;K$27,J$26,K303&lt;K$28,J$27,K303&lt;K$29,J$28,K303&lt;K$30,J$29,K303&lt;K$31,J$30,K303&lt;K$32,J$31,K303&lt;K$33,J$32,K303&lt;K$34,J$33,K303&lt;K$35,J$34,K303&lt;K$36,J$35,K303&lt;K$37,J$36,K303&lt;K$38,J$37,K303&lt;K$39,J$38,K303&lt;K$40,J$39,K303&lt;K$41,J$40,K303&lt;K$42,J$41,K303&lt;K$43,J$42,K303&lt;K$44,J$43,K303&lt;K$45,J$44,K303&lt;K$46,J$45,K303&lt;K$47,J$46,K303&gt;=K$47,J$47)</f>
        <v/>
      </c>
      <c r="K303" s="38" t="n">
        <v>253</v>
      </c>
      <c r="L303" s="31">
        <f>K303/52</f>
        <v/>
      </c>
      <c r="M303" s="39">
        <f>J303/1000000*52</f>
        <v/>
      </c>
      <c r="N303" s="33">
        <f>M303/$P$4+($I$22/$P$4)</f>
        <v/>
      </c>
      <c r="U303">
        <f>F302</f>
        <v/>
      </c>
      <c r="V303">
        <f>H302</f>
        <v/>
      </c>
      <c r="W303">
        <f>N302</f>
        <v/>
      </c>
    </row>
    <row r="304" ht="15.75" customHeight="1" s="40">
      <c r="C304" s="36">
        <f>_xlfn.IFS(E304&lt;E$24,0,E304&lt;E$26,C$24,E304&lt;E$28,C$26,E304&lt;E$30,C$28,E304&lt;E$32,C$30,E304&lt;E$34,C$32,E304&gt;=E$34,C$34)</f>
        <v/>
      </c>
      <c r="D304" s="37">
        <f>_xlfn.IFS(E304&lt;E$24,0,E304&lt;E$25,D$24,E304&lt;E$26,D$25,E304&lt;E$27,D$26,E304&lt;E$28,D$27,E304&lt;E$29,D$28,E304&lt;E$30,D$29,E304&lt;E$31,D$30,E304&lt;E$32,D$31,E304&lt;E$33,D$32,E304&lt;E$34,D$33,E304&lt;E$35,D$34,E304&gt;=E$35,D$35)</f>
        <v/>
      </c>
      <c r="E304" s="38" t="n">
        <v>254</v>
      </c>
      <c r="F304" s="31">
        <f>E304/52</f>
        <v/>
      </c>
      <c r="G304" s="39">
        <f>D304/1000000*52</f>
        <v/>
      </c>
      <c r="H304" s="33">
        <f>G304/$P$4+($C$22/$P$4)</f>
        <v/>
      </c>
      <c r="I304" s="36">
        <f>_xlfn.IFS(K304&lt;K$24,0,K304&lt;K$26,I$24,K304&lt;K$28,I$26,K304&lt;K$30,I$28,K304&lt;K$32,I$30,K304&lt;K$34,I$32,K304&lt;K$36,I$34,K304&lt;K$38,I$36,K304&lt;K$40,I$38,K304&lt;K$42,I$40,K304&lt;K$44,I$42,K304&lt;K$46,I$44,K304&gt;=K$46,I$46)</f>
        <v/>
      </c>
      <c r="J304" s="37">
        <f>_xlfn.IFS(K304&lt;K$24,0,K304&lt;K$25,J$24,K304&lt;K$26,J$25,K304&lt;K$27,J$26,K304&lt;K$28,J$27,K304&lt;K$29,J$28,K304&lt;K$30,J$29,K304&lt;K$31,J$30,K304&lt;K$32,J$31,K304&lt;K$33,J$32,K304&lt;K$34,J$33,K304&lt;K$35,J$34,K304&lt;K$36,J$35,K304&lt;K$37,J$36,K304&lt;K$38,J$37,K304&lt;K$39,J$38,K304&lt;K$40,J$39,K304&lt;K$41,J$40,K304&lt;K$42,J$41,K304&lt;K$43,J$42,K304&lt;K$44,J$43,K304&lt;K$45,J$44,K304&lt;K$46,J$45,K304&lt;K$47,J$46,K304&gt;=K$47,J$47)</f>
        <v/>
      </c>
      <c r="K304" s="38" t="n">
        <v>254</v>
      </c>
      <c r="L304" s="31">
        <f>K304/52</f>
        <v/>
      </c>
      <c r="M304" s="39">
        <f>J304/1000000*52</f>
        <v/>
      </c>
      <c r="N304" s="33">
        <f>M304/$P$4+($I$22/$P$4)</f>
        <v/>
      </c>
      <c r="U304">
        <f>F303</f>
        <v/>
      </c>
      <c r="V304">
        <f>H303</f>
        <v/>
      </c>
      <c r="W304">
        <f>N303</f>
        <v/>
      </c>
    </row>
    <row r="305" ht="15.75" customHeight="1" s="40">
      <c r="C305" s="36">
        <f>_xlfn.IFS(E305&lt;E$24,0,E305&lt;E$26,C$24,E305&lt;E$28,C$26,E305&lt;E$30,C$28,E305&lt;E$32,C$30,E305&lt;E$34,C$32,E305&gt;=E$34,C$34)</f>
        <v/>
      </c>
      <c r="D305" s="37">
        <f>_xlfn.IFS(E305&lt;E$24,0,E305&lt;E$25,D$24,E305&lt;E$26,D$25,E305&lt;E$27,D$26,E305&lt;E$28,D$27,E305&lt;E$29,D$28,E305&lt;E$30,D$29,E305&lt;E$31,D$30,E305&lt;E$32,D$31,E305&lt;E$33,D$32,E305&lt;E$34,D$33,E305&lt;E$35,D$34,E305&gt;=E$35,D$35)</f>
        <v/>
      </c>
      <c r="E305" s="38" t="n">
        <v>255</v>
      </c>
      <c r="F305" s="31">
        <f>E305/52</f>
        <v/>
      </c>
      <c r="G305" s="39">
        <f>D305/1000000*52</f>
        <v/>
      </c>
      <c r="H305" s="33">
        <f>G305/$P$4+($C$22/$P$4)</f>
        <v/>
      </c>
      <c r="I305" s="36">
        <f>_xlfn.IFS(K305&lt;K$24,0,K305&lt;K$26,I$24,K305&lt;K$28,I$26,K305&lt;K$30,I$28,K305&lt;K$32,I$30,K305&lt;K$34,I$32,K305&lt;K$36,I$34,K305&lt;K$38,I$36,K305&lt;K$40,I$38,K305&lt;K$42,I$40,K305&lt;K$44,I$42,K305&lt;K$46,I$44,K305&gt;=K$46,I$46)</f>
        <v/>
      </c>
      <c r="J305" s="37">
        <f>_xlfn.IFS(K305&lt;K$24,0,K305&lt;K$25,J$24,K305&lt;K$26,J$25,K305&lt;K$27,J$26,K305&lt;K$28,J$27,K305&lt;K$29,J$28,K305&lt;K$30,J$29,K305&lt;K$31,J$30,K305&lt;K$32,J$31,K305&lt;K$33,J$32,K305&lt;K$34,J$33,K305&lt;K$35,J$34,K305&lt;K$36,J$35,K305&lt;K$37,J$36,K305&lt;K$38,J$37,K305&lt;K$39,J$38,K305&lt;K$40,J$39,K305&lt;K$41,J$40,K305&lt;K$42,J$41,K305&lt;K$43,J$42,K305&lt;K$44,J$43,K305&lt;K$45,J$44,K305&lt;K$46,J$45,K305&lt;K$47,J$46,K305&gt;=K$47,J$47)</f>
        <v/>
      </c>
      <c r="K305" s="38" t="n">
        <v>255</v>
      </c>
      <c r="L305" s="31">
        <f>K305/52</f>
        <v/>
      </c>
      <c r="M305" s="39">
        <f>J305/1000000*52</f>
        <v/>
      </c>
      <c r="N305" s="33">
        <f>M305/$P$4+($I$22/$P$4)</f>
        <v/>
      </c>
      <c r="U305">
        <f>F304</f>
        <v/>
      </c>
      <c r="V305">
        <f>H304</f>
        <v/>
      </c>
      <c r="W305">
        <f>N304</f>
        <v/>
      </c>
    </row>
    <row r="306" ht="15.75" customHeight="1" s="40">
      <c r="C306" s="36">
        <f>_xlfn.IFS(E306&lt;E$24,0,E306&lt;E$26,C$24,E306&lt;E$28,C$26,E306&lt;E$30,C$28,E306&lt;E$32,C$30,E306&lt;E$34,C$32,E306&gt;=E$34,C$34)</f>
        <v/>
      </c>
      <c r="D306" s="37">
        <f>_xlfn.IFS(E306&lt;E$24,0,E306&lt;E$25,D$24,E306&lt;E$26,D$25,E306&lt;E$27,D$26,E306&lt;E$28,D$27,E306&lt;E$29,D$28,E306&lt;E$30,D$29,E306&lt;E$31,D$30,E306&lt;E$32,D$31,E306&lt;E$33,D$32,E306&lt;E$34,D$33,E306&lt;E$35,D$34,E306&gt;=E$35,D$35)</f>
        <v/>
      </c>
      <c r="E306" s="38" t="n">
        <v>256</v>
      </c>
      <c r="F306" s="31">
        <f>E306/52</f>
        <v/>
      </c>
      <c r="G306" s="39">
        <f>D306/1000000*52</f>
        <v/>
      </c>
      <c r="H306" s="33">
        <f>G306/$P$4+($C$22/$P$4)</f>
        <v/>
      </c>
      <c r="I306" s="36">
        <f>_xlfn.IFS(K306&lt;K$24,0,K306&lt;K$26,I$24,K306&lt;K$28,I$26,K306&lt;K$30,I$28,K306&lt;K$32,I$30,K306&lt;K$34,I$32,K306&lt;K$36,I$34,K306&lt;K$38,I$36,K306&lt;K$40,I$38,K306&lt;K$42,I$40,K306&lt;K$44,I$42,K306&lt;K$46,I$44,K306&gt;=K$46,I$46)</f>
        <v/>
      </c>
      <c r="J306" s="37">
        <f>_xlfn.IFS(K306&lt;K$24,0,K306&lt;K$25,J$24,K306&lt;K$26,J$25,K306&lt;K$27,J$26,K306&lt;K$28,J$27,K306&lt;K$29,J$28,K306&lt;K$30,J$29,K306&lt;K$31,J$30,K306&lt;K$32,J$31,K306&lt;K$33,J$32,K306&lt;K$34,J$33,K306&lt;K$35,J$34,K306&lt;K$36,J$35,K306&lt;K$37,J$36,K306&lt;K$38,J$37,K306&lt;K$39,J$38,K306&lt;K$40,J$39,K306&lt;K$41,J$40,K306&lt;K$42,J$41,K306&lt;K$43,J$42,K306&lt;K$44,J$43,K306&lt;K$45,J$44,K306&lt;K$46,J$45,K306&lt;K$47,J$46,K306&gt;=K$47,J$47)</f>
        <v/>
      </c>
      <c r="K306" s="38" t="n">
        <v>256</v>
      </c>
      <c r="L306" s="31">
        <f>K306/52</f>
        <v/>
      </c>
      <c r="M306" s="39">
        <f>J306/1000000*52</f>
        <v/>
      </c>
      <c r="N306" s="33">
        <f>M306/$P$4+($I$22/$P$4)</f>
        <v/>
      </c>
      <c r="U306">
        <f>F305</f>
        <v/>
      </c>
      <c r="V306">
        <f>H305</f>
        <v/>
      </c>
      <c r="W306">
        <f>N305</f>
        <v/>
      </c>
    </row>
    <row r="307" ht="15.75" customHeight="1" s="40">
      <c r="C307" s="36">
        <f>_xlfn.IFS(E307&lt;E$24,0,E307&lt;E$26,C$24,E307&lt;E$28,C$26,E307&lt;E$30,C$28,E307&lt;E$32,C$30,E307&lt;E$34,C$32,E307&gt;=E$34,C$34)</f>
        <v/>
      </c>
      <c r="D307" s="37">
        <f>_xlfn.IFS(E307&lt;E$24,0,E307&lt;E$25,D$24,E307&lt;E$26,D$25,E307&lt;E$27,D$26,E307&lt;E$28,D$27,E307&lt;E$29,D$28,E307&lt;E$30,D$29,E307&lt;E$31,D$30,E307&lt;E$32,D$31,E307&lt;E$33,D$32,E307&lt;E$34,D$33,E307&lt;E$35,D$34,E307&gt;=E$35,D$35)</f>
        <v/>
      </c>
      <c r="E307" s="38" t="n">
        <v>257</v>
      </c>
      <c r="F307" s="31">
        <f>E307/52</f>
        <v/>
      </c>
      <c r="G307" s="39">
        <f>D307/1000000*52</f>
        <v/>
      </c>
      <c r="H307" s="33">
        <f>G307/$P$4+($C$22/$P$4)</f>
        <v/>
      </c>
      <c r="I307" s="36">
        <f>_xlfn.IFS(K307&lt;K$24,0,K307&lt;K$26,I$24,K307&lt;K$28,I$26,K307&lt;K$30,I$28,K307&lt;K$32,I$30,K307&lt;K$34,I$32,K307&lt;K$36,I$34,K307&lt;K$38,I$36,K307&lt;K$40,I$38,K307&lt;K$42,I$40,K307&lt;K$44,I$42,K307&lt;K$46,I$44,K307&gt;=K$46,I$46)</f>
        <v/>
      </c>
      <c r="J307" s="37">
        <f>_xlfn.IFS(K307&lt;K$24,0,K307&lt;K$25,J$24,K307&lt;K$26,J$25,K307&lt;K$27,J$26,K307&lt;K$28,J$27,K307&lt;K$29,J$28,K307&lt;K$30,J$29,K307&lt;K$31,J$30,K307&lt;K$32,J$31,K307&lt;K$33,J$32,K307&lt;K$34,J$33,K307&lt;K$35,J$34,K307&lt;K$36,J$35,K307&lt;K$37,J$36,K307&lt;K$38,J$37,K307&lt;K$39,J$38,K307&lt;K$40,J$39,K307&lt;K$41,J$40,K307&lt;K$42,J$41,K307&lt;K$43,J$42,K307&lt;K$44,J$43,K307&lt;K$45,J$44,K307&lt;K$46,J$45,K307&lt;K$47,J$46,K307&gt;=K$47,J$47)</f>
        <v/>
      </c>
      <c r="K307" s="38" t="n">
        <v>257</v>
      </c>
      <c r="L307" s="31">
        <f>K307/52</f>
        <v/>
      </c>
      <c r="M307" s="39">
        <f>J307/1000000*52</f>
        <v/>
      </c>
      <c r="N307" s="33">
        <f>M307/$P$4+($I$22/$P$4)</f>
        <v/>
      </c>
      <c r="U307">
        <f>F306</f>
        <v/>
      </c>
      <c r="V307">
        <f>H306</f>
        <v/>
      </c>
      <c r="W307">
        <f>N306</f>
        <v/>
      </c>
    </row>
    <row r="308" ht="15.75" customHeight="1" s="40">
      <c r="C308" s="36">
        <f>_xlfn.IFS(E308&lt;E$24,0,E308&lt;E$26,C$24,E308&lt;E$28,C$26,E308&lt;E$30,C$28,E308&lt;E$32,C$30,E308&lt;E$34,C$32,E308&gt;=E$34,C$34)</f>
        <v/>
      </c>
      <c r="D308" s="37">
        <f>_xlfn.IFS(E308&lt;E$24,0,E308&lt;E$25,D$24,E308&lt;E$26,D$25,E308&lt;E$27,D$26,E308&lt;E$28,D$27,E308&lt;E$29,D$28,E308&lt;E$30,D$29,E308&lt;E$31,D$30,E308&lt;E$32,D$31,E308&lt;E$33,D$32,E308&lt;E$34,D$33,E308&lt;E$35,D$34,E308&gt;=E$35,D$35)</f>
        <v/>
      </c>
      <c r="E308" s="38" t="n">
        <v>258</v>
      </c>
      <c r="F308" s="31">
        <f>E308/52</f>
        <v/>
      </c>
      <c r="G308" s="39">
        <f>D308/1000000*52</f>
        <v/>
      </c>
      <c r="H308" s="33">
        <f>G308/$P$4+($C$22/$P$4)</f>
        <v/>
      </c>
      <c r="I308" s="36">
        <f>_xlfn.IFS(K308&lt;K$24,0,K308&lt;K$26,I$24,K308&lt;K$28,I$26,K308&lt;K$30,I$28,K308&lt;K$32,I$30,K308&lt;K$34,I$32,K308&lt;K$36,I$34,K308&lt;K$38,I$36,K308&lt;K$40,I$38,K308&lt;K$42,I$40,K308&lt;K$44,I$42,K308&lt;K$46,I$44,K308&gt;=K$46,I$46)</f>
        <v/>
      </c>
      <c r="J308" s="37">
        <f>_xlfn.IFS(K308&lt;K$24,0,K308&lt;K$25,J$24,K308&lt;K$26,J$25,K308&lt;K$27,J$26,K308&lt;K$28,J$27,K308&lt;K$29,J$28,K308&lt;K$30,J$29,K308&lt;K$31,J$30,K308&lt;K$32,J$31,K308&lt;K$33,J$32,K308&lt;K$34,J$33,K308&lt;K$35,J$34,K308&lt;K$36,J$35,K308&lt;K$37,J$36,K308&lt;K$38,J$37,K308&lt;K$39,J$38,K308&lt;K$40,J$39,K308&lt;K$41,J$40,K308&lt;K$42,J$41,K308&lt;K$43,J$42,K308&lt;K$44,J$43,K308&lt;K$45,J$44,K308&lt;K$46,J$45,K308&lt;K$47,J$46,K308&gt;=K$47,J$47)</f>
        <v/>
      </c>
      <c r="K308" s="38" t="n">
        <v>258</v>
      </c>
      <c r="L308" s="31">
        <f>K308/52</f>
        <v/>
      </c>
      <c r="M308" s="39">
        <f>J308/1000000*52</f>
        <v/>
      </c>
      <c r="N308" s="33">
        <f>M308/$P$4+($I$22/$P$4)</f>
        <v/>
      </c>
      <c r="U308">
        <f>F307</f>
        <v/>
      </c>
      <c r="V308">
        <f>H307</f>
        <v/>
      </c>
      <c r="W308">
        <f>N307</f>
        <v/>
      </c>
    </row>
    <row r="309" ht="15.75" customHeight="1" s="40">
      <c r="C309" s="36">
        <f>_xlfn.IFS(E309&lt;E$24,0,E309&lt;E$26,C$24,E309&lt;E$28,C$26,E309&lt;E$30,C$28,E309&lt;E$32,C$30,E309&lt;E$34,C$32,E309&gt;=E$34,C$34)</f>
        <v/>
      </c>
      <c r="D309" s="37">
        <f>_xlfn.IFS(E309&lt;E$24,0,E309&lt;E$25,D$24,E309&lt;E$26,D$25,E309&lt;E$27,D$26,E309&lt;E$28,D$27,E309&lt;E$29,D$28,E309&lt;E$30,D$29,E309&lt;E$31,D$30,E309&lt;E$32,D$31,E309&lt;E$33,D$32,E309&lt;E$34,D$33,E309&lt;E$35,D$34,E309&gt;=E$35,D$35)</f>
        <v/>
      </c>
      <c r="E309" s="38" t="n">
        <v>259</v>
      </c>
      <c r="F309" s="31">
        <f>E309/52</f>
        <v/>
      </c>
      <c r="G309" s="39">
        <f>D309/1000000*52</f>
        <v/>
      </c>
      <c r="H309" s="33">
        <f>G309/$P$4+($C$22/$P$4)</f>
        <v/>
      </c>
      <c r="I309" s="36">
        <f>_xlfn.IFS(K309&lt;K$24,0,K309&lt;K$26,I$24,K309&lt;K$28,I$26,K309&lt;K$30,I$28,K309&lt;K$32,I$30,K309&lt;K$34,I$32,K309&lt;K$36,I$34,K309&lt;K$38,I$36,K309&lt;K$40,I$38,K309&lt;K$42,I$40,K309&lt;K$44,I$42,K309&lt;K$46,I$44,K309&gt;=K$46,I$46)</f>
        <v/>
      </c>
      <c r="J309" s="37">
        <f>_xlfn.IFS(K309&lt;K$24,0,K309&lt;K$25,J$24,K309&lt;K$26,J$25,K309&lt;K$27,J$26,K309&lt;K$28,J$27,K309&lt;K$29,J$28,K309&lt;K$30,J$29,K309&lt;K$31,J$30,K309&lt;K$32,J$31,K309&lt;K$33,J$32,K309&lt;K$34,J$33,K309&lt;K$35,J$34,K309&lt;K$36,J$35,K309&lt;K$37,J$36,K309&lt;K$38,J$37,K309&lt;K$39,J$38,K309&lt;K$40,J$39,K309&lt;K$41,J$40,K309&lt;K$42,J$41,K309&lt;K$43,J$42,K309&lt;K$44,J$43,K309&lt;K$45,J$44,K309&lt;K$46,J$45,K309&lt;K$47,J$46,K309&gt;=K$47,J$47)</f>
        <v/>
      </c>
      <c r="K309" s="38" t="n">
        <v>259</v>
      </c>
      <c r="L309" s="31">
        <f>K309/52</f>
        <v/>
      </c>
      <c r="M309" s="39">
        <f>J309/1000000*52</f>
        <v/>
      </c>
      <c r="N309" s="33">
        <f>M309/$P$4+($I$22/$P$4)</f>
        <v/>
      </c>
      <c r="U309">
        <f>F308</f>
        <v/>
      </c>
      <c r="V309">
        <f>H308</f>
        <v/>
      </c>
      <c r="W309">
        <f>N308</f>
        <v/>
      </c>
    </row>
    <row r="310" ht="15.75" customHeight="1" s="40">
      <c r="C310" s="36">
        <f>_xlfn.IFS(E310&lt;E$24,0,E310&lt;E$26,C$24,E310&lt;E$28,C$26,E310&lt;E$30,C$28,E310&lt;E$32,C$30,E310&lt;E$34,C$32,E310&gt;=E$34,C$34)</f>
        <v/>
      </c>
      <c r="D310" s="37">
        <f>_xlfn.IFS(E310&lt;E$24,0,E310&lt;E$25,D$24,E310&lt;E$26,D$25,E310&lt;E$27,D$26,E310&lt;E$28,D$27,E310&lt;E$29,D$28,E310&lt;E$30,D$29,E310&lt;E$31,D$30,E310&lt;E$32,D$31,E310&lt;E$33,D$32,E310&lt;E$34,D$33,E310&lt;E$35,D$34,E310&gt;=E$35,D$35)</f>
        <v/>
      </c>
      <c r="E310" s="38" t="n">
        <v>260</v>
      </c>
      <c r="F310" s="31">
        <f>E310/52</f>
        <v/>
      </c>
      <c r="G310" s="39">
        <f>D310/1000000*52</f>
        <v/>
      </c>
      <c r="H310" s="33">
        <f>G310/$P$4+($C$22/$P$4)</f>
        <v/>
      </c>
      <c r="I310" s="36">
        <f>_xlfn.IFS(K310&lt;K$24,0,K310&lt;K$26,I$24,K310&lt;K$28,I$26,K310&lt;K$30,I$28,K310&lt;K$32,I$30,K310&lt;K$34,I$32,K310&lt;K$36,I$34,K310&lt;K$38,I$36,K310&lt;K$40,I$38,K310&lt;K$42,I$40,K310&lt;K$44,I$42,K310&lt;K$46,I$44,K310&gt;=K$46,I$46)</f>
        <v/>
      </c>
      <c r="J310" s="37">
        <f>_xlfn.IFS(K310&lt;K$24,0,K310&lt;K$25,J$24,K310&lt;K$26,J$25,K310&lt;K$27,J$26,K310&lt;K$28,J$27,K310&lt;K$29,J$28,K310&lt;K$30,J$29,K310&lt;K$31,J$30,K310&lt;K$32,J$31,K310&lt;K$33,J$32,K310&lt;K$34,J$33,K310&lt;K$35,J$34,K310&lt;K$36,J$35,K310&lt;K$37,J$36,K310&lt;K$38,J$37,K310&lt;K$39,J$38,K310&lt;K$40,J$39,K310&lt;K$41,J$40,K310&lt;K$42,J$41,K310&lt;K$43,J$42,K310&lt;K$44,J$43,K310&lt;K$45,J$44,K310&lt;K$46,J$45,K310&lt;K$47,J$46,K310&gt;=K$47,J$47)</f>
        <v/>
      </c>
      <c r="K310" s="38" t="n">
        <v>260</v>
      </c>
      <c r="L310" s="31">
        <f>K310/52</f>
        <v/>
      </c>
      <c r="M310" s="39">
        <f>J310/1000000*52</f>
        <v/>
      </c>
      <c r="N310" s="33">
        <f>M310/$P$4+($I$22/$P$4)</f>
        <v/>
      </c>
      <c r="U310">
        <f>F309</f>
        <v/>
      </c>
      <c r="V310">
        <f>H309</f>
        <v/>
      </c>
      <c r="W310">
        <f>N309</f>
        <v/>
      </c>
    </row>
    <row r="311" ht="15.75" customHeight="1" s="40">
      <c r="C311" s="36">
        <f>_xlfn.IFS(E311&lt;E$24,0,E311&lt;E$26,C$24,E311&lt;E$28,C$26,E311&lt;E$30,C$28,E311&lt;E$32,C$30,E311&lt;E$34,C$32,E311&gt;=E$34,C$34)</f>
        <v/>
      </c>
      <c r="D311" s="37">
        <f>_xlfn.IFS(E311&lt;E$24,0,E311&lt;E$25,D$24,E311&lt;E$26,D$25,E311&lt;E$27,D$26,E311&lt;E$28,D$27,E311&lt;E$29,D$28,E311&lt;E$30,D$29,E311&lt;E$31,D$30,E311&lt;E$32,D$31,E311&lt;E$33,D$32,E311&lt;E$34,D$33,E311&lt;E$35,D$34,E311&gt;=E$35,D$35)</f>
        <v/>
      </c>
      <c r="E311" s="38" t="n">
        <v>261</v>
      </c>
      <c r="F311" s="31">
        <f>E311/52</f>
        <v/>
      </c>
      <c r="G311" s="39">
        <f>D311/1000000*52</f>
        <v/>
      </c>
      <c r="H311" s="33">
        <f>G311/$P$4+($C$22/$P$4)</f>
        <v/>
      </c>
      <c r="I311" s="36">
        <f>_xlfn.IFS(K311&lt;K$24,0,K311&lt;K$26,I$24,K311&lt;K$28,I$26,K311&lt;K$30,I$28,K311&lt;K$32,I$30,K311&lt;K$34,I$32,K311&lt;K$36,I$34,K311&lt;K$38,I$36,K311&lt;K$40,I$38,K311&lt;K$42,I$40,K311&lt;K$44,I$42,K311&lt;K$46,I$44,K311&gt;=K$46,I$46)</f>
        <v/>
      </c>
      <c r="J311" s="37">
        <f>_xlfn.IFS(K311&lt;K$24,0,K311&lt;K$25,J$24,K311&lt;K$26,J$25,K311&lt;K$27,J$26,K311&lt;K$28,J$27,K311&lt;K$29,J$28,K311&lt;K$30,J$29,K311&lt;K$31,J$30,K311&lt;K$32,J$31,K311&lt;K$33,J$32,K311&lt;K$34,J$33,K311&lt;K$35,J$34,K311&lt;K$36,J$35,K311&lt;K$37,J$36,K311&lt;K$38,J$37,K311&lt;K$39,J$38,K311&lt;K$40,J$39,K311&lt;K$41,J$40,K311&lt;K$42,J$41,K311&lt;K$43,J$42,K311&lt;K$44,J$43,K311&lt;K$45,J$44,K311&lt;K$46,J$45,K311&lt;K$47,J$46,K311&gt;=K$47,J$47)</f>
        <v/>
      </c>
      <c r="K311" s="38" t="n">
        <v>261</v>
      </c>
      <c r="L311" s="31">
        <f>K311/52</f>
        <v/>
      </c>
      <c r="M311" s="39">
        <f>J311/1000000*52</f>
        <v/>
      </c>
      <c r="N311" s="33">
        <f>M311/$P$4+($I$22/$P$4)</f>
        <v/>
      </c>
      <c r="U311">
        <f>F310</f>
        <v/>
      </c>
      <c r="V311">
        <f>H310</f>
        <v/>
      </c>
      <c r="W311">
        <f>N310</f>
        <v/>
      </c>
    </row>
    <row r="312" ht="15.75" customHeight="1" s="40">
      <c r="C312" s="36">
        <f>_xlfn.IFS(E312&lt;E$24,0,E312&lt;E$26,C$24,E312&lt;E$28,C$26,E312&lt;E$30,C$28,E312&lt;E$32,C$30,E312&lt;E$34,C$32,E312&gt;=E$34,C$34)</f>
        <v/>
      </c>
      <c r="D312" s="37">
        <f>_xlfn.IFS(E312&lt;E$24,0,E312&lt;E$25,D$24,E312&lt;E$26,D$25,E312&lt;E$27,D$26,E312&lt;E$28,D$27,E312&lt;E$29,D$28,E312&lt;E$30,D$29,E312&lt;E$31,D$30,E312&lt;E$32,D$31,E312&lt;E$33,D$32,E312&lt;E$34,D$33,E312&lt;E$35,D$34,E312&gt;=E$35,D$35)</f>
        <v/>
      </c>
      <c r="E312" s="38" t="n">
        <v>262</v>
      </c>
      <c r="F312" s="31">
        <f>E312/52</f>
        <v/>
      </c>
      <c r="G312" s="39">
        <f>D312/1000000*52</f>
        <v/>
      </c>
      <c r="H312" s="33">
        <f>G312/$P$4+($C$22/$P$4)</f>
        <v/>
      </c>
      <c r="I312" s="36">
        <f>_xlfn.IFS(K312&lt;K$24,0,K312&lt;K$26,I$24,K312&lt;K$28,I$26,K312&lt;K$30,I$28,K312&lt;K$32,I$30,K312&lt;K$34,I$32,K312&lt;K$36,I$34,K312&lt;K$38,I$36,K312&lt;K$40,I$38,K312&lt;K$42,I$40,K312&lt;K$44,I$42,K312&lt;K$46,I$44,K312&gt;=K$46,I$46)</f>
        <v/>
      </c>
      <c r="J312" s="37">
        <f>_xlfn.IFS(K312&lt;K$24,0,K312&lt;K$25,J$24,K312&lt;K$26,J$25,K312&lt;K$27,J$26,K312&lt;K$28,J$27,K312&lt;K$29,J$28,K312&lt;K$30,J$29,K312&lt;K$31,J$30,K312&lt;K$32,J$31,K312&lt;K$33,J$32,K312&lt;K$34,J$33,K312&lt;K$35,J$34,K312&lt;K$36,J$35,K312&lt;K$37,J$36,K312&lt;K$38,J$37,K312&lt;K$39,J$38,K312&lt;K$40,J$39,K312&lt;K$41,J$40,K312&lt;K$42,J$41,K312&lt;K$43,J$42,K312&lt;K$44,J$43,K312&lt;K$45,J$44,K312&lt;K$46,J$45,K312&lt;K$47,J$46,K312&gt;=K$47,J$47)</f>
        <v/>
      </c>
      <c r="K312" s="38" t="n">
        <v>262</v>
      </c>
      <c r="L312" s="31">
        <f>K312/52</f>
        <v/>
      </c>
      <c r="M312" s="39">
        <f>J312/1000000*52</f>
        <v/>
      </c>
      <c r="N312" s="33">
        <f>M312/$P$4+($I$22/$P$4)</f>
        <v/>
      </c>
      <c r="U312">
        <f>F311</f>
        <v/>
      </c>
      <c r="V312">
        <f>H311</f>
        <v/>
      </c>
      <c r="W312">
        <f>N311</f>
        <v/>
      </c>
    </row>
    <row r="313" ht="15.75" customHeight="1" s="40">
      <c r="C313" s="36">
        <f>_xlfn.IFS(E313&lt;E$24,0,E313&lt;E$26,C$24,E313&lt;E$28,C$26,E313&lt;E$30,C$28,E313&lt;E$32,C$30,E313&lt;E$34,C$32,E313&gt;=E$34,C$34)</f>
        <v/>
      </c>
      <c r="D313" s="37">
        <f>_xlfn.IFS(E313&lt;E$24,0,E313&lt;E$25,D$24,E313&lt;E$26,D$25,E313&lt;E$27,D$26,E313&lt;E$28,D$27,E313&lt;E$29,D$28,E313&lt;E$30,D$29,E313&lt;E$31,D$30,E313&lt;E$32,D$31,E313&lt;E$33,D$32,E313&lt;E$34,D$33,E313&lt;E$35,D$34,E313&gt;=E$35,D$35)</f>
        <v/>
      </c>
      <c r="E313" s="38" t="n">
        <v>263</v>
      </c>
      <c r="F313" s="31">
        <f>E313/52</f>
        <v/>
      </c>
      <c r="G313" s="39">
        <f>D313/1000000*52</f>
        <v/>
      </c>
      <c r="H313" s="33">
        <f>G313/$P$4+($C$22/$P$4)</f>
        <v/>
      </c>
      <c r="I313" s="36">
        <f>_xlfn.IFS(K313&lt;K$24,0,K313&lt;K$26,I$24,K313&lt;K$28,I$26,K313&lt;K$30,I$28,K313&lt;K$32,I$30,K313&lt;K$34,I$32,K313&lt;K$36,I$34,K313&lt;K$38,I$36,K313&lt;K$40,I$38,K313&lt;K$42,I$40,K313&lt;K$44,I$42,K313&lt;K$46,I$44,K313&gt;=K$46,I$46)</f>
        <v/>
      </c>
      <c r="J313" s="37">
        <f>_xlfn.IFS(K313&lt;K$24,0,K313&lt;K$25,J$24,K313&lt;K$26,J$25,K313&lt;K$27,J$26,K313&lt;K$28,J$27,K313&lt;K$29,J$28,K313&lt;K$30,J$29,K313&lt;K$31,J$30,K313&lt;K$32,J$31,K313&lt;K$33,J$32,K313&lt;K$34,J$33,K313&lt;K$35,J$34,K313&lt;K$36,J$35,K313&lt;K$37,J$36,K313&lt;K$38,J$37,K313&lt;K$39,J$38,K313&lt;K$40,J$39,K313&lt;K$41,J$40,K313&lt;K$42,J$41,K313&lt;K$43,J$42,K313&lt;K$44,J$43,K313&lt;K$45,J$44,K313&lt;K$46,J$45,K313&lt;K$47,J$46,K313&gt;=K$47,J$47)</f>
        <v/>
      </c>
      <c r="K313" s="38" t="n">
        <v>263</v>
      </c>
      <c r="L313" s="31">
        <f>K313/52</f>
        <v/>
      </c>
      <c r="M313" s="39">
        <f>J313/1000000*52</f>
        <v/>
      </c>
      <c r="N313" s="33">
        <f>M313/$P$4+($I$22/$P$4)</f>
        <v/>
      </c>
      <c r="U313">
        <f>F312</f>
        <v/>
      </c>
      <c r="V313">
        <f>H312</f>
        <v/>
      </c>
      <c r="W313">
        <f>N312</f>
        <v/>
      </c>
    </row>
    <row r="314" ht="15.75" customHeight="1" s="40">
      <c r="C314" s="36">
        <f>_xlfn.IFS(E314&lt;E$24,0,E314&lt;E$26,C$24,E314&lt;E$28,C$26,E314&lt;E$30,C$28,E314&lt;E$32,C$30,E314&lt;E$34,C$32,E314&gt;=E$34,C$34)</f>
        <v/>
      </c>
      <c r="D314" s="37">
        <f>_xlfn.IFS(E314&lt;E$24,0,E314&lt;E$25,D$24,E314&lt;E$26,D$25,E314&lt;E$27,D$26,E314&lt;E$28,D$27,E314&lt;E$29,D$28,E314&lt;E$30,D$29,E314&lt;E$31,D$30,E314&lt;E$32,D$31,E314&lt;E$33,D$32,E314&lt;E$34,D$33,E314&lt;E$35,D$34,E314&gt;=E$35,D$35)</f>
        <v/>
      </c>
      <c r="E314" s="38" t="n">
        <v>264</v>
      </c>
      <c r="F314" s="31">
        <f>E314/52</f>
        <v/>
      </c>
      <c r="G314" s="39">
        <f>D314/1000000*52</f>
        <v/>
      </c>
      <c r="H314" s="33">
        <f>G314/$P$4+($C$22/$P$4)</f>
        <v/>
      </c>
      <c r="I314" s="36">
        <f>_xlfn.IFS(K314&lt;K$24,0,K314&lt;K$26,I$24,K314&lt;K$28,I$26,K314&lt;K$30,I$28,K314&lt;K$32,I$30,K314&lt;K$34,I$32,K314&lt;K$36,I$34,K314&lt;K$38,I$36,K314&lt;K$40,I$38,K314&lt;K$42,I$40,K314&lt;K$44,I$42,K314&lt;K$46,I$44,K314&gt;=K$46,I$46)</f>
        <v/>
      </c>
      <c r="J314" s="37">
        <f>_xlfn.IFS(K314&lt;K$24,0,K314&lt;K$25,J$24,K314&lt;K$26,J$25,K314&lt;K$27,J$26,K314&lt;K$28,J$27,K314&lt;K$29,J$28,K314&lt;K$30,J$29,K314&lt;K$31,J$30,K314&lt;K$32,J$31,K314&lt;K$33,J$32,K314&lt;K$34,J$33,K314&lt;K$35,J$34,K314&lt;K$36,J$35,K314&lt;K$37,J$36,K314&lt;K$38,J$37,K314&lt;K$39,J$38,K314&lt;K$40,J$39,K314&lt;K$41,J$40,K314&lt;K$42,J$41,K314&lt;K$43,J$42,K314&lt;K$44,J$43,K314&lt;K$45,J$44,K314&lt;K$46,J$45,K314&lt;K$47,J$46,K314&gt;=K$47,J$47)</f>
        <v/>
      </c>
      <c r="K314" s="38" t="n">
        <v>264</v>
      </c>
      <c r="L314" s="31">
        <f>K314/52</f>
        <v/>
      </c>
      <c r="M314" s="39">
        <f>J314/1000000*52</f>
        <v/>
      </c>
      <c r="N314" s="33">
        <f>M314/$P$4+($I$22/$P$4)</f>
        <v/>
      </c>
      <c r="U314">
        <f>F313</f>
        <v/>
      </c>
      <c r="V314">
        <f>H313</f>
        <v/>
      </c>
      <c r="W314">
        <f>N313</f>
        <v/>
      </c>
    </row>
    <row r="315" ht="15.75" customHeight="1" s="40">
      <c r="C315" s="36">
        <f>_xlfn.IFS(E315&lt;E$24,0,E315&lt;E$26,C$24,E315&lt;E$28,C$26,E315&lt;E$30,C$28,E315&lt;E$32,C$30,E315&lt;E$34,C$32,E315&gt;=E$34,C$34)</f>
        <v/>
      </c>
      <c r="D315" s="37">
        <f>_xlfn.IFS(E315&lt;E$24,0,E315&lt;E$25,D$24,E315&lt;E$26,D$25,E315&lt;E$27,D$26,E315&lt;E$28,D$27,E315&lt;E$29,D$28,E315&lt;E$30,D$29,E315&lt;E$31,D$30,E315&lt;E$32,D$31,E315&lt;E$33,D$32,E315&lt;E$34,D$33,E315&lt;E$35,D$34,E315&gt;=E$35,D$35)</f>
        <v/>
      </c>
      <c r="E315" s="38" t="n">
        <v>265</v>
      </c>
      <c r="F315" s="31">
        <f>E315/52</f>
        <v/>
      </c>
      <c r="G315" s="39">
        <f>D315/1000000*52</f>
        <v/>
      </c>
      <c r="H315" s="33">
        <f>G315/$P$4+($C$22/$P$4)</f>
        <v/>
      </c>
      <c r="I315" s="36">
        <f>_xlfn.IFS(K315&lt;K$24,0,K315&lt;K$26,I$24,K315&lt;K$28,I$26,K315&lt;K$30,I$28,K315&lt;K$32,I$30,K315&lt;K$34,I$32,K315&lt;K$36,I$34,K315&lt;K$38,I$36,K315&lt;K$40,I$38,K315&lt;K$42,I$40,K315&lt;K$44,I$42,K315&lt;K$46,I$44,K315&gt;=K$46,I$46)</f>
        <v/>
      </c>
      <c r="J315" s="37">
        <f>_xlfn.IFS(K315&lt;K$24,0,K315&lt;K$25,J$24,K315&lt;K$26,J$25,K315&lt;K$27,J$26,K315&lt;K$28,J$27,K315&lt;K$29,J$28,K315&lt;K$30,J$29,K315&lt;K$31,J$30,K315&lt;K$32,J$31,K315&lt;K$33,J$32,K315&lt;K$34,J$33,K315&lt;K$35,J$34,K315&lt;K$36,J$35,K315&lt;K$37,J$36,K315&lt;K$38,J$37,K315&lt;K$39,J$38,K315&lt;K$40,J$39,K315&lt;K$41,J$40,K315&lt;K$42,J$41,K315&lt;K$43,J$42,K315&lt;K$44,J$43,K315&lt;K$45,J$44,K315&lt;K$46,J$45,K315&lt;K$47,J$46,K315&gt;=K$47,J$47)</f>
        <v/>
      </c>
      <c r="K315" s="38" t="n">
        <v>265</v>
      </c>
      <c r="L315" s="31">
        <f>K315/52</f>
        <v/>
      </c>
      <c r="M315" s="39">
        <f>J315/1000000*52</f>
        <v/>
      </c>
      <c r="N315" s="33">
        <f>M315/$P$4+($I$22/$P$4)</f>
        <v/>
      </c>
      <c r="U315">
        <f>F314</f>
        <v/>
      </c>
      <c r="V315">
        <f>H314</f>
        <v/>
      </c>
      <c r="W315">
        <f>N314</f>
        <v/>
      </c>
    </row>
    <row r="316" ht="15.75" customHeight="1" s="40">
      <c r="C316" s="36">
        <f>_xlfn.IFS(E316&lt;E$24,0,E316&lt;E$26,C$24,E316&lt;E$28,C$26,E316&lt;E$30,C$28,E316&lt;E$32,C$30,E316&lt;E$34,C$32,E316&gt;=E$34,C$34)</f>
        <v/>
      </c>
      <c r="D316" s="37">
        <f>_xlfn.IFS(E316&lt;E$24,0,E316&lt;E$25,D$24,E316&lt;E$26,D$25,E316&lt;E$27,D$26,E316&lt;E$28,D$27,E316&lt;E$29,D$28,E316&lt;E$30,D$29,E316&lt;E$31,D$30,E316&lt;E$32,D$31,E316&lt;E$33,D$32,E316&lt;E$34,D$33,E316&lt;E$35,D$34,E316&gt;=E$35,D$35)</f>
        <v/>
      </c>
      <c r="E316" s="38" t="n">
        <v>266</v>
      </c>
      <c r="F316" s="31">
        <f>E316/52</f>
        <v/>
      </c>
      <c r="G316" s="39">
        <f>D316/1000000*52</f>
        <v/>
      </c>
      <c r="H316" s="33">
        <f>G316/$P$4+($C$22/$P$4)</f>
        <v/>
      </c>
      <c r="I316" s="36">
        <f>_xlfn.IFS(K316&lt;K$24,0,K316&lt;K$26,I$24,K316&lt;K$28,I$26,K316&lt;K$30,I$28,K316&lt;K$32,I$30,K316&lt;K$34,I$32,K316&lt;K$36,I$34,K316&lt;K$38,I$36,K316&lt;K$40,I$38,K316&lt;K$42,I$40,K316&lt;K$44,I$42,K316&lt;K$46,I$44,K316&gt;=K$46,I$46)</f>
        <v/>
      </c>
      <c r="J316" s="37">
        <f>_xlfn.IFS(K316&lt;K$24,0,K316&lt;K$25,J$24,K316&lt;K$26,J$25,K316&lt;K$27,J$26,K316&lt;K$28,J$27,K316&lt;K$29,J$28,K316&lt;K$30,J$29,K316&lt;K$31,J$30,K316&lt;K$32,J$31,K316&lt;K$33,J$32,K316&lt;K$34,J$33,K316&lt;K$35,J$34,K316&lt;K$36,J$35,K316&lt;K$37,J$36,K316&lt;K$38,J$37,K316&lt;K$39,J$38,K316&lt;K$40,J$39,K316&lt;K$41,J$40,K316&lt;K$42,J$41,K316&lt;K$43,J$42,K316&lt;K$44,J$43,K316&lt;K$45,J$44,K316&lt;K$46,J$45,K316&lt;K$47,J$46,K316&gt;=K$47,J$47)</f>
        <v/>
      </c>
      <c r="K316" s="38" t="n">
        <v>266</v>
      </c>
      <c r="L316" s="31">
        <f>K316/52</f>
        <v/>
      </c>
      <c r="M316" s="39">
        <f>J316/1000000*52</f>
        <v/>
      </c>
      <c r="N316" s="33">
        <f>M316/$P$4+($I$22/$P$4)</f>
        <v/>
      </c>
      <c r="U316">
        <f>F315</f>
        <v/>
      </c>
      <c r="V316">
        <f>H315</f>
        <v/>
      </c>
      <c r="W316">
        <f>N315</f>
        <v/>
      </c>
    </row>
    <row r="317" ht="15.75" customHeight="1" s="40">
      <c r="C317" s="36">
        <f>_xlfn.IFS(E317&lt;E$24,0,E317&lt;E$26,C$24,E317&lt;E$28,C$26,E317&lt;E$30,C$28,E317&lt;E$32,C$30,E317&lt;E$34,C$32,E317&gt;=E$34,C$34)</f>
        <v/>
      </c>
      <c r="D317" s="37">
        <f>_xlfn.IFS(E317&lt;E$24,0,E317&lt;E$25,D$24,E317&lt;E$26,D$25,E317&lt;E$27,D$26,E317&lt;E$28,D$27,E317&lt;E$29,D$28,E317&lt;E$30,D$29,E317&lt;E$31,D$30,E317&lt;E$32,D$31,E317&lt;E$33,D$32,E317&lt;E$34,D$33,E317&lt;E$35,D$34,E317&gt;=E$35,D$35)</f>
        <v/>
      </c>
      <c r="E317" s="38" t="n">
        <v>267</v>
      </c>
      <c r="F317" s="31">
        <f>E317/52</f>
        <v/>
      </c>
      <c r="G317" s="39">
        <f>D317/1000000*52</f>
        <v/>
      </c>
      <c r="H317" s="33">
        <f>G317/$P$4+($C$22/$P$4)</f>
        <v/>
      </c>
      <c r="I317" s="36">
        <f>_xlfn.IFS(K317&lt;K$24,0,K317&lt;K$26,I$24,K317&lt;K$28,I$26,K317&lt;K$30,I$28,K317&lt;K$32,I$30,K317&lt;K$34,I$32,K317&lt;K$36,I$34,K317&lt;K$38,I$36,K317&lt;K$40,I$38,K317&lt;K$42,I$40,K317&lt;K$44,I$42,K317&lt;K$46,I$44,K317&gt;=K$46,I$46)</f>
        <v/>
      </c>
      <c r="J317" s="37">
        <f>_xlfn.IFS(K317&lt;K$24,0,K317&lt;K$25,J$24,K317&lt;K$26,J$25,K317&lt;K$27,J$26,K317&lt;K$28,J$27,K317&lt;K$29,J$28,K317&lt;K$30,J$29,K317&lt;K$31,J$30,K317&lt;K$32,J$31,K317&lt;K$33,J$32,K317&lt;K$34,J$33,K317&lt;K$35,J$34,K317&lt;K$36,J$35,K317&lt;K$37,J$36,K317&lt;K$38,J$37,K317&lt;K$39,J$38,K317&lt;K$40,J$39,K317&lt;K$41,J$40,K317&lt;K$42,J$41,K317&lt;K$43,J$42,K317&lt;K$44,J$43,K317&lt;K$45,J$44,K317&lt;K$46,J$45,K317&lt;K$47,J$46,K317&gt;=K$47,J$47)</f>
        <v/>
      </c>
      <c r="K317" s="38" t="n">
        <v>267</v>
      </c>
      <c r="L317" s="31">
        <f>K317/52</f>
        <v/>
      </c>
      <c r="M317" s="39">
        <f>J317/1000000*52</f>
        <v/>
      </c>
      <c r="N317" s="33">
        <f>M317/$P$4+($I$22/$P$4)</f>
        <v/>
      </c>
      <c r="U317">
        <f>F316</f>
        <v/>
      </c>
      <c r="V317">
        <f>H316</f>
        <v/>
      </c>
      <c r="W317">
        <f>N316</f>
        <v/>
      </c>
    </row>
    <row r="318" ht="15.75" customHeight="1" s="40">
      <c r="C318" s="36">
        <f>_xlfn.IFS(E318&lt;E$24,0,E318&lt;E$26,C$24,E318&lt;E$28,C$26,E318&lt;E$30,C$28,E318&lt;E$32,C$30,E318&lt;E$34,C$32,E318&gt;=E$34,C$34)</f>
        <v/>
      </c>
      <c r="D318" s="37">
        <f>_xlfn.IFS(E318&lt;E$24,0,E318&lt;E$25,D$24,E318&lt;E$26,D$25,E318&lt;E$27,D$26,E318&lt;E$28,D$27,E318&lt;E$29,D$28,E318&lt;E$30,D$29,E318&lt;E$31,D$30,E318&lt;E$32,D$31,E318&lt;E$33,D$32,E318&lt;E$34,D$33,E318&lt;E$35,D$34,E318&gt;=E$35,D$35)</f>
        <v/>
      </c>
      <c r="E318" s="38" t="n">
        <v>268</v>
      </c>
      <c r="F318" s="31">
        <f>E318/52</f>
        <v/>
      </c>
      <c r="G318" s="39">
        <f>D318/1000000*52</f>
        <v/>
      </c>
      <c r="H318" s="33">
        <f>G318/$P$4+($C$22/$P$4)</f>
        <v/>
      </c>
      <c r="I318" s="36">
        <f>_xlfn.IFS(K318&lt;K$24,0,K318&lt;K$26,I$24,K318&lt;K$28,I$26,K318&lt;K$30,I$28,K318&lt;K$32,I$30,K318&lt;K$34,I$32,K318&lt;K$36,I$34,K318&lt;K$38,I$36,K318&lt;K$40,I$38,K318&lt;K$42,I$40,K318&lt;K$44,I$42,K318&lt;K$46,I$44,K318&gt;=K$46,I$46)</f>
        <v/>
      </c>
      <c r="J318" s="37">
        <f>_xlfn.IFS(K318&lt;K$24,0,K318&lt;K$25,J$24,K318&lt;K$26,J$25,K318&lt;K$27,J$26,K318&lt;K$28,J$27,K318&lt;K$29,J$28,K318&lt;K$30,J$29,K318&lt;K$31,J$30,K318&lt;K$32,J$31,K318&lt;K$33,J$32,K318&lt;K$34,J$33,K318&lt;K$35,J$34,K318&lt;K$36,J$35,K318&lt;K$37,J$36,K318&lt;K$38,J$37,K318&lt;K$39,J$38,K318&lt;K$40,J$39,K318&lt;K$41,J$40,K318&lt;K$42,J$41,K318&lt;K$43,J$42,K318&lt;K$44,J$43,K318&lt;K$45,J$44,K318&lt;K$46,J$45,K318&lt;K$47,J$46,K318&gt;=K$47,J$47)</f>
        <v/>
      </c>
      <c r="K318" s="38" t="n">
        <v>268</v>
      </c>
      <c r="L318" s="31">
        <f>K318/52</f>
        <v/>
      </c>
      <c r="M318" s="39">
        <f>J318/1000000*52</f>
        <v/>
      </c>
      <c r="N318" s="33">
        <f>M318/$P$4+($I$22/$P$4)</f>
        <v/>
      </c>
      <c r="U318">
        <f>F317</f>
        <v/>
      </c>
      <c r="V318">
        <f>H317</f>
        <v/>
      </c>
      <c r="W318">
        <f>N317</f>
        <v/>
      </c>
    </row>
    <row r="319" ht="15.75" customHeight="1" s="40">
      <c r="C319" s="36">
        <f>_xlfn.IFS(E319&lt;E$24,0,E319&lt;E$26,C$24,E319&lt;E$28,C$26,E319&lt;E$30,C$28,E319&lt;E$32,C$30,E319&lt;E$34,C$32,E319&gt;=E$34,C$34)</f>
        <v/>
      </c>
      <c r="D319" s="37">
        <f>_xlfn.IFS(E319&lt;E$24,0,E319&lt;E$25,D$24,E319&lt;E$26,D$25,E319&lt;E$27,D$26,E319&lt;E$28,D$27,E319&lt;E$29,D$28,E319&lt;E$30,D$29,E319&lt;E$31,D$30,E319&lt;E$32,D$31,E319&lt;E$33,D$32,E319&lt;E$34,D$33,E319&lt;E$35,D$34,E319&gt;=E$35,D$35)</f>
        <v/>
      </c>
      <c r="E319" s="38" t="n">
        <v>269</v>
      </c>
      <c r="F319" s="31">
        <f>E319/52</f>
        <v/>
      </c>
      <c r="G319" s="39">
        <f>D319/1000000*52</f>
        <v/>
      </c>
      <c r="H319" s="33">
        <f>G319/$P$4+($C$22/$P$4)</f>
        <v/>
      </c>
      <c r="I319" s="36">
        <f>_xlfn.IFS(K319&lt;K$24,0,K319&lt;K$26,I$24,K319&lt;K$28,I$26,K319&lt;K$30,I$28,K319&lt;K$32,I$30,K319&lt;K$34,I$32,K319&lt;K$36,I$34,K319&lt;K$38,I$36,K319&lt;K$40,I$38,K319&lt;K$42,I$40,K319&lt;K$44,I$42,K319&lt;K$46,I$44,K319&gt;=K$46,I$46)</f>
        <v/>
      </c>
      <c r="J319" s="37">
        <f>_xlfn.IFS(K319&lt;K$24,0,K319&lt;K$25,J$24,K319&lt;K$26,J$25,K319&lt;K$27,J$26,K319&lt;K$28,J$27,K319&lt;K$29,J$28,K319&lt;K$30,J$29,K319&lt;K$31,J$30,K319&lt;K$32,J$31,K319&lt;K$33,J$32,K319&lt;K$34,J$33,K319&lt;K$35,J$34,K319&lt;K$36,J$35,K319&lt;K$37,J$36,K319&lt;K$38,J$37,K319&lt;K$39,J$38,K319&lt;K$40,J$39,K319&lt;K$41,J$40,K319&lt;K$42,J$41,K319&lt;K$43,J$42,K319&lt;K$44,J$43,K319&lt;K$45,J$44,K319&lt;K$46,J$45,K319&lt;K$47,J$46,K319&gt;=K$47,J$47)</f>
        <v/>
      </c>
      <c r="K319" s="38" t="n">
        <v>269</v>
      </c>
      <c r="L319" s="31">
        <f>K319/52</f>
        <v/>
      </c>
      <c r="M319" s="39">
        <f>J319/1000000*52</f>
        <v/>
      </c>
      <c r="N319" s="33">
        <f>M319/$P$4+($I$22/$P$4)</f>
        <v/>
      </c>
      <c r="U319">
        <f>F318</f>
        <v/>
      </c>
      <c r="V319">
        <f>H318</f>
        <v/>
      </c>
      <c r="W319">
        <f>N318</f>
        <v/>
      </c>
    </row>
    <row r="320" ht="15.75" customHeight="1" s="40">
      <c r="C320" s="36">
        <f>_xlfn.IFS(E320&lt;E$24,0,E320&lt;E$26,C$24,E320&lt;E$28,C$26,E320&lt;E$30,C$28,E320&lt;E$32,C$30,E320&lt;E$34,C$32,E320&gt;=E$34,C$34)</f>
        <v/>
      </c>
      <c r="D320" s="37">
        <f>_xlfn.IFS(E320&lt;E$24,0,E320&lt;E$25,D$24,E320&lt;E$26,D$25,E320&lt;E$27,D$26,E320&lt;E$28,D$27,E320&lt;E$29,D$28,E320&lt;E$30,D$29,E320&lt;E$31,D$30,E320&lt;E$32,D$31,E320&lt;E$33,D$32,E320&lt;E$34,D$33,E320&lt;E$35,D$34,E320&gt;=E$35,D$35)</f>
        <v/>
      </c>
      <c r="E320" s="38" t="n">
        <v>270</v>
      </c>
      <c r="F320" s="31">
        <f>E320/52</f>
        <v/>
      </c>
      <c r="G320" s="39">
        <f>D320/1000000*52</f>
        <v/>
      </c>
      <c r="H320" s="33">
        <f>G320/$P$4+($C$22/$P$4)</f>
        <v/>
      </c>
      <c r="I320" s="36">
        <f>_xlfn.IFS(K320&lt;K$24,0,K320&lt;K$26,I$24,K320&lt;K$28,I$26,K320&lt;K$30,I$28,K320&lt;K$32,I$30,K320&lt;K$34,I$32,K320&lt;K$36,I$34,K320&lt;K$38,I$36,K320&lt;K$40,I$38,K320&lt;K$42,I$40,K320&lt;K$44,I$42,K320&lt;K$46,I$44,K320&gt;=K$46,I$46)</f>
        <v/>
      </c>
      <c r="J320" s="37">
        <f>_xlfn.IFS(K320&lt;K$24,0,K320&lt;K$25,J$24,K320&lt;K$26,J$25,K320&lt;K$27,J$26,K320&lt;K$28,J$27,K320&lt;K$29,J$28,K320&lt;K$30,J$29,K320&lt;K$31,J$30,K320&lt;K$32,J$31,K320&lt;K$33,J$32,K320&lt;K$34,J$33,K320&lt;K$35,J$34,K320&lt;K$36,J$35,K320&lt;K$37,J$36,K320&lt;K$38,J$37,K320&lt;K$39,J$38,K320&lt;K$40,J$39,K320&lt;K$41,J$40,K320&lt;K$42,J$41,K320&lt;K$43,J$42,K320&lt;K$44,J$43,K320&lt;K$45,J$44,K320&lt;K$46,J$45,K320&lt;K$47,J$46,K320&gt;=K$47,J$47)</f>
        <v/>
      </c>
      <c r="K320" s="38" t="n">
        <v>270</v>
      </c>
      <c r="L320" s="31">
        <f>K320/52</f>
        <v/>
      </c>
      <c r="M320" s="39">
        <f>J320/1000000*52</f>
        <v/>
      </c>
      <c r="N320" s="33">
        <f>M320/$P$4+($I$22/$P$4)</f>
        <v/>
      </c>
      <c r="U320">
        <f>F319</f>
        <v/>
      </c>
      <c r="V320">
        <f>H319</f>
        <v/>
      </c>
      <c r="W320">
        <f>N319</f>
        <v/>
      </c>
    </row>
    <row r="321" ht="15.75" customHeight="1" s="40">
      <c r="C321" s="36">
        <f>_xlfn.IFS(E321&lt;E$24,0,E321&lt;E$26,C$24,E321&lt;E$28,C$26,E321&lt;E$30,C$28,E321&lt;E$32,C$30,E321&lt;E$34,C$32,E321&gt;=E$34,C$34)</f>
        <v/>
      </c>
      <c r="D321" s="37">
        <f>_xlfn.IFS(E321&lt;E$24,0,E321&lt;E$25,D$24,E321&lt;E$26,D$25,E321&lt;E$27,D$26,E321&lt;E$28,D$27,E321&lt;E$29,D$28,E321&lt;E$30,D$29,E321&lt;E$31,D$30,E321&lt;E$32,D$31,E321&lt;E$33,D$32,E321&lt;E$34,D$33,E321&lt;E$35,D$34,E321&gt;=E$35,D$35)</f>
        <v/>
      </c>
      <c r="E321" s="38" t="n">
        <v>271</v>
      </c>
      <c r="F321" s="31">
        <f>E321/52</f>
        <v/>
      </c>
      <c r="G321" s="39">
        <f>D321/1000000*52</f>
        <v/>
      </c>
      <c r="H321" s="33">
        <f>G321/$P$4+($C$22/$P$4)</f>
        <v/>
      </c>
      <c r="I321" s="36">
        <f>_xlfn.IFS(K321&lt;K$24,0,K321&lt;K$26,I$24,K321&lt;K$28,I$26,K321&lt;K$30,I$28,K321&lt;K$32,I$30,K321&lt;K$34,I$32,K321&lt;K$36,I$34,K321&lt;K$38,I$36,K321&lt;K$40,I$38,K321&lt;K$42,I$40,K321&lt;K$44,I$42,K321&lt;K$46,I$44,K321&gt;=K$46,I$46)</f>
        <v/>
      </c>
      <c r="J321" s="37">
        <f>_xlfn.IFS(K321&lt;K$24,0,K321&lt;K$25,J$24,K321&lt;K$26,J$25,K321&lt;K$27,J$26,K321&lt;K$28,J$27,K321&lt;K$29,J$28,K321&lt;K$30,J$29,K321&lt;K$31,J$30,K321&lt;K$32,J$31,K321&lt;K$33,J$32,K321&lt;K$34,J$33,K321&lt;K$35,J$34,K321&lt;K$36,J$35,K321&lt;K$37,J$36,K321&lt;K$38,J$37,K321&lt;K$39,J$38,K321&lt;K$40,J$39,K321&lt;K$41,J$40,K321&lt;K$42,J$41,K321&lt;K$43,J$42,K321&lt;K$44,J$43,K321&lt;K$45,J$44,K321&lt;K$46,J$45,K321&lt;K$47,J$46,K321&gt;=K$47,J$47)</f>
        <v/>
      </c>
      <c r="K321" s="38" t="n">
        <v>271</v>
      </c>
      <c r="L321" s="31">
        <f>K321/52</f>
        <v/>
      </c>
      <c r="M321" s="39">
        <f>J321/1000000*52</f>
        <v/>
      </c>
      <c r="N321" s="33">
        <f>M321/$P$4+($I$22/$P$4)</f>
        <v/>
      </c>
      <c r="U321">
        <f>F320</f>
        <v/>
      </c>
      <c r="V321">
        <f>H320</f>
        <v/>
      </c>
      <c r="W321">
        <f>N320</f>
        <v/>
      </c>
    </row>
    <row r="322" ht="15.75" customHeight="1" s="40">
      <c r="C322" s="36">
        <f>_xlfn.IFS(E322&lt;E$24,0,E322&lt;E$26,C$24,E322&lt;E$28,C$26,E322&lt;E$30,C$28,E322&lt;E$32,C$30,E322&lt;E$34,C$32,E322&gt;=E$34,C$34)</f>
        <v/>
      </c>
      <c r="D322" s="37">
        <f>_xlfn.IFS(E322&lt;E$24,0,E322&lt;E$25,D$24,E322&lt;E$26,D$25,E322&lt;E$27,D$26,E322&lt;E$28,D$27,E322&lt;E$29,D$28,E322&lt;E$30,D$29,E322&lt;E$31,D$30,E322&lt;E$32,D$31,E322&lt;E$33,D$32,E322&lt;E$34,D$33,E322&lt;E$35,D$34,E322&gt;=E$35,D$35)</f>
        <v/>
      </c>
      <c r="E322" s="38" t="n">
        <v>272</v>
      </c>
      <c r="F322" s="31">
        <f>E322/52</f>
        <v/>
      </c>
      <c r="G322" s="39">
        <f>D322/1000000*52</f>
        <v/>
      </c>
      <c r="H322" s="33">
        <f>G322/$P$4+($C$22/$P$4)</f>
        <v/>
      </c>
      <c r="I322" s="36">
        <f>_xlfn.IFS(K322&lt;K$24,0,K322&lt;K$26,I$24,K322&lt;K$28,I$26,K322&lt;K$30,I$28,K322&lt;K$32,I$30,K322&lt;K$34,I$32,K322&lt;K$36,I$34,K322&lt;K$38,I$36,K322&lt;K$40,I$38,K322&lt;K$42,I$40,K322&lt;K$44,I$42,K322&lt;K$46,I$44,K322&gt;=K$46,I$46)</f>
        <v/>
      </c>
      <c r="J322" s="37">
        <f>_xlfn.IFS(K322&lt;K$24,0,K322&lt;K$25,J$24,K322&lt;K$26,J$25,K322&lt;K$27,J$26,K322&lt;K$28,J$27,K322&lt;K$29,J$28,K322&lt;K$30,J$29,K322&lt;K$31,J$30,K322&lt;K$32,J$31,K322&lt;K$33,J$32,K322&lt;K$34,J$33,K322&lt;K$35,J$34,K322&lt;K$36,J$35,K322&lt;K$37,J$36,K322&lt;K$38,J$37,K322&lt;K$39,J$38,K322&lt;K$40,J$39,K322&lt;K$41,J$40,K322&lt;K$42,J$41,K322&lt;K$43,J$42,K322&lt;K$44,J$43,K322&lt;K$45,J$44,K322&lt;K$46,J$45,K322&lt;K$47,J$46,K322&gt;=K$47,J$47)</f>
        <v/>
      </c>
      <c r="K322" s="38" t="n">
        <v>272</v>
      </c>
      <c r="L322" s="31">
        <f>K322/52</f>
        <v/>
      </c>
      <c r="M322" s="39">
        <f>J322/1000000*52</f>
        <v/>
      </c>
      <c r="N322" s="33">
        <f>M322/$P$4+($I$22/$P$4)</f>
        <v/>
      </c>
      <c r="U322">
        <f>F321</f>
        <v/>
      </c>
      <c r="V322">
        <f>H321</f>
        <v/>
      </c>
      <c r="W322">
        <f>N321</f>
        <v/>
      </c>
    </row>
    <row r="323" ht="15.75" customHeight="1" s="40">
      <c r="C323" s="36">
        <f>_xlfn.IFS(E323&lt;E$24,0,E323&lt;E$26,C$24,E323&lt;E$28,C$26,E323&lt;E$30,C$28,E323&lt;E$32,C$30,E323&lt;E$34,C$32,E323&gt;=E$34,C$34)</f>
        <v/>
      </c>
      <c r="D323" s="37">
        <f>_xlfn.IFS(E323&lt;E$24,0,E323&lt;E$25,D$24,E323&lt;E$26,D$25,E323&lt;E$27,D$26,E323&lt;E$28,D$27,E323&lt;E$29,D$28,E323&lt;E$30,D$29,E323&lt;E$31,D$30,E323&lt;E$32,D$31,E323&lt;E$33,D$32,E323&lt;E$34,D$33,E323&lt;E$35,D$34,E323&gt;=E$35,D$35)</f>
        <v/>
      </c>
      <c r="E323" s="38" t="n">
        <v>273</v>
      </c>
      <c r="F323" s="31">
        <f>E323/52</f>
        <v/>
      </c>
      <c r="G323" s="39">
        <f>D323/1000000*52</f>
        <v/>
      </c>
      <c r="H323" s="33">
        <f>G323/$P$4+($C$22/$P$4)</f>
        <v/>
      </c>
      <c r="I323" s="36">
        <f>_xlfn.IFS(K323&lt;K$24,0,K323&lt;K$26,I$24,K323&lt;K$28,I$26,K323&lt;K$30,I$28,K323&lt;K$32,I$30,K323&lt;K$34,I$32,K323&lt;K$36,I$34,K323&lt;K$38,I$36,K323&lt;K$40,I$38,K323&lt;K$42,I$40,K323&lt;K$44,I$42,K323&lt;K$46,I$44,K323&gt;=K$46,I$46)</f>
        <v/>
      </c>
      <c r="J323" s="37">
        <f>_xlfn.IFS(K323&lt;K$24,0,K323&lt;K$25,J$24,K323&lt;K$26,J$25,K323&lt;K$27,J$26,K323&lt;K$28,J$27,K323&lt;K$29,J$28,K323&lt;K$30,J$29,K323&lt;K$31,J$30,K323&lt;K$32,J$31,K323&lt;K$33,J$32,K323&lt;K$34,J$33,K323&lt;K$35,J$34,K323&lt;K$36,J$35,K323&lt;K$37,J$36,K323&lt;K$38,J$37,K323&lt;K$39,J$38,K323&lt;K$40,J$39,K323&lt;K$41,J$40,K323&lt;K$42,J$41,K323&lt;K$43,J$42,K323&lt;K$44,J$43,K323&lt;K$45,J$44,K323&lt;K$46,J$45,K323&lt;K$47,J$46,K323&gt;=K$47,J$47)</f>
        <v/>
      </c>
      <c r="K323" s="38" t="n">
        <v>273</v>
      </c>
      <c r="L323" s="31">
        <f>K323/52</f>
        <v/>
      </c>
      <c r="M323" s="39">
        <f>J323/1000000*52</f>
        <v/>
      </c>
      <c r="N323" s="33">
        <f>M323/$P$4+($I$22/$P$4)</f>
        <v/>
      </c>
      <c r="U323">
        <f>F322</f>
        <v/>
      </c>
      <c r="V323">
        <f>H322</f>
        <v/>
      </c>
      <c r="W323">
        <f>N322</f>
        <v/>
      </c>
    </row>
    <row r="324" ht="15.75" customHeight="1" s="40">
      <c r="C324" s="36">
        <f>_xlfn.IFS(E324&lt;E$24,0,E324&lt;E$26,C$24,E324&lt;E$28,C$26,E324&lt;E$30,C$28,E324&lt;E$32,C$30,E324&lt;E$34,C$32,E324&gt;=E$34,C$34)</f>
        <v/>
      </c>
      <c r="D324" s="37">
        <f>_xlfn.IFS(E324&lt;E$24,0,E324&lt;E$25,D$24,E324&lt;E$26,D$25,E324&lt;E$27,D$26,E324&lt;E$28,D$27,E324&lt;E$29,D$28,E324&lt;E$30,D$29,E324&lt;E$31,D$30,E324&lt;E$32,D$31,E324&lt;E$33,D$32,E324&lt;E$34,D$33,E324&lt;E$35,D$34,E324&gt;=E$35,D$35)</f>
        <v/>
      </c>
      <c r="E324" s="38" t="n">
        <v>274</v>
      </c>
      <c r="F324" s="31">
        <f>E324/52</f>
        <v/>
      </c>
      <c r="G324" s="39">
        <f>D324/1000000*52</f>
        <v/>
      </c>
      <c r="H324" s="33">
        <f>G324/$P$4+($C$22/$P$4)</f>
        <v/>
      </c>
      <c r="I324" s="36">
        <f>_xlfn.IFS(K324&lt;K$24,0,K324&lt;K$26,I$24,K324&lt;K$28,I$26,K324&lt;K$30,I$28,K324&lt;K$32,I$30,K324&lt;K$34,I$32,K324&lt;K$36,I$34,K324&lt;K$38,I$36,K324&lt;K$40,I$38,K324&lt;K$42,I$40,K324&lt;K$44,I$42,K324&lt;K$46,I$44,K324&gt;=K$46,I$46)</f>
        <v/>
      </c>
      <c r="J324" s="37">
        <f>_xlfn.IFS(K324&lt;K$24,0,K324&lt;K$25,J$24,K324&lt;K$26,J$25,K324&lt;K$27,J$26,K324&lt;K$28,J$27,K324&lt;K$29,J$28,K324&lt;K$30,J$29,K324&lt;K$31,J$30,K324&lt;K$32,J$31,K324&lt;K$33,J$32,K324&lt;K$34,J$33,K324&lt;K$35,J$34,K324&lt;K$36,J$35,K324&lt;K$37,J$36,K324&lt;K$38,J$37,K324&lt;K$39,J$38,K324&lt;K$40,J$39,K324&lt;K$41,J$40,K324&lt;K$42,J$41,K324&lt;K$43,J$42,K324&lt;K$44,J$43,K324&lt;K$45,J$44,K324&lt;K$46,J$45,K324&lt;K$47,J$46,K324&gt;=K$47,J$47)</f>
        <v/>
      </c>
      <c r="K324" s="38" t="n">
        <v>274</v>
      </c>
      <c r="L324" s="31">
        <f>K324/52</f>
        <v/>
      </c>
      <c r="M324" s="39">
        <f>J324/1000000*52</f>
        <v/>
      </c>
      <c r="N324" s="33">
        <f>M324/$P$4+($I$22/$P$4)</f>
        <v/>
      </c>
      <c r="U324">
        <f>F323</f>
        <v/>
      </c>
      <c r="V324">
        <f>H323</f>
        <v/>
      </c>
      <c r="W324">
        <f>N323</f>
        <v/>
      </c>
    </row>
    <row r="325" ht="15.75" customHeight="1" s="40">
      <c r="C325" s="36">
        <f>_xlfn.IFS(E325&lt;E$24,0,E325&lt;E$26,C$24,E325&lt;E$28,C$26,E325&lt;E$30,C$28,E325&lt;E$32,C$30,E325&lt;E$34,C$32,E325&gt;=E$34,C$34)</f>
        <v/>
      </c>
      <c r="D325" s="37">
        <f>_xlfn.IFS(E325&lt;E$24,0,E325&lt;E$25,D$24,E325&lt;E$26,D$25,E325&lt;E$27,D$26,E325&lt;E$28,D$27,E325&lt;E$29,D$28,E325&lt;E$30,D$29,E325&lt;E$31,D$30,E325&lt;E$32,D$31,E325&lt;E$33,D$32,E325&lt;E$34,D$33,E325&lt;E$35,D$34,E325&gt;=E$35,D$35)</f>
        <v/>
      </c>
      <c r="E325" s="38" t="n">
        <v>275</v>
      </c>
      <c r="F325" s="31">
        <f>E325/52</f>
        <v/>
      </c>
      <c r="G325" s="39">
        <f>D325/1000000*52</f>
        <v/>
      </c>
      <c r="H325" s="33">
        <f>G325/$P$4+($C$22/$P$4)</f>
        <v/>
      </c>
      <c r="I325" s="36">
        <f>_xlfn.IFS(K325&lt;K$24,0,K325&lt;K$26,I$24,K325&lt;K$28,I$26,K325&lt;K$30,I$28,K325&lt;K$32,I$30,K325&lt;K$34,I$32,K325&lt;K$36,I$34,K325&lt;K$38,I$36,K325&lt;K$40,I$38,K325&lt;K$42,I$40,K325&lt;K$44,I$42,K325&lt;K$46,I$44,K325&gt;=K$46,I$46)</f>
        <v/>
      </c>
      <c r="J325" s="37">
        <f>_xlfn.IFS(K325&lt;K$24,0,K325&lt;K$25,J$24,K325&lt;K$26,J$25,K325&lt;K$27,J$26,K325&lt;K$28,J$27,K325&lt;K$29,J$28,K325&lt;K$30,J$29,K325&lt;K$31,J$30,K325&lt;K$32,J$31,K325&lt;K$33,J$32,K325&lt;K$34,J$33,K325&lt;K$35,J$34,K325&lt;K$36,J$35,K325&lt;K$37,J$36,K325&lt;K$38,J$37,K325&lt;K$39,J$38,K325&lt;K$40,J$39,K325&lt;K$41,J$40,K325&lt;K$42,J$41,K325&lt;K$43,J$42,K325&lt;K$44,J$43,K325&lt;K$45,J$44,K325&lt;K$46,J$45,K325&lt;K$47,J$46,K325&gt;=K$47,J$47)</f>
        <v/>
      </c>
      <c r="K325" s="38" t="n">
        <v>275</v>
      </c>
      <c r="L325" s="31">
        <f>K325/52</f>
        <v/>
      </c>
      <c r="M325" s="39">
        <f>J325/1000000*52</f>
        <v/>
      </c>
      <c r="N325" s="33">
        <f>M325/$P$4+($I$22/$P$4)</f>
        <v/>
      </c>
      <c r="U325">
        <f>F324</f>
        <v/>
      </c>
      <c r="V325">
        <f>H324</f>
        <v/>
      </c>
      <c r="W325">
        <f>N324</f>
        <v/>
      </c>
    </row>
    <row r="326" ht="15.75" customHeight="1" s="40">
      <c r="C326" s="36">
        <f>_xlfn.IFS(E326&lt;E$24,0,E326&lt;E$26,C$24,E326&lt;E$28,C$26,E326&lt;E$30,C$28,E326&lt;E$32,C$30,E326&lt;E$34,C$32,E326&gt;=E$34,C$34)</f>
        <v/>
      </c>
      <c r="D326" s="37">
        <f>_xlfn.IFS(E326&lt;E$24,0,E326&lt;E$25,D$24,E326&lt;E$26,D$25,E326&lt;E$27,D$26,E326&lt;E$28,D$27,E326&lt;E$29,D$28,E326&lt;E$30,D$29,E326&lt;E$31,D$30,E326&lt;E$32,D$31,E326&lt;E$33,D$32,E326&lt;E$34,D$33,E326&lt;E$35,D$34,E326&gt;=E$35,D$35)</f>
        <v/>
      </c>
      <c r="E326" s="38" t="n">
        <v>276</v>
      </c>
      <c r="F326" s="31">
        <f>E326/52</f>
        <v/>
      </c>
      <c r="G326" s="39">
        <f>D326/1000000*52</f>
        <v/>
      </c>
      <c r="H326" s="33">
        <f>G326/$P$4+($C$22/$P$4)</f>
        <v/>
      </c>
      <c r="I326" s="36">
        <f>_xlfn.IFS(K326&lt;K$24,0,K326&lt;K$26,I$24,K326&lt;K$28,I$26,K326&lt;K$30,I$28,K326&lt;K$32,I$30,K326&lt;K$34,I$32,K326&lt;K$36,I$34,K326&lt;K$38,I$36,K326&lt;K$40,I$38,K326&lt;K$42,I$40,K326&lt;K$44,I$42,K326&lt;K$46,I$44,K326&gt;=K$46,I$46)</f>
        <v/>
      </c>
      <c r="J326" s="37">
        <f>_xlfn.IFS(K326&lt;K$24,0,K326&lt;K$25,J$24,K326&lt;K$26,J$25,K326&lt;K$27,J$26,K326&lt;K$28,J$27,K326&lt;K$29,J$28,K326&lt;K$30,J$29,K326&lt;K$31,J$30,K326&lt;K$32,J$31,K326&lt;K$33,J$32,K326&lt;K$34,J$33,K326&lt;K$35,J$34,K326&lt;K$36,J$35,K326&lt;K$37,J$36,K326&lt;K$38,J$37,K326&lt;K$39,J$38,K326&lt;K$40,J$39,K326&lt;K$41,J$40,K326&lt;K$42,J$41,K326&lt;K$43,J$42,K326&lt;K$44,J$43,K326&lt;K$45,J$44,K326&lt;K$46,J$45,K326&lt;K$47,J$46,K326&gt;=K$47,J$47)</f>
        <v/>
      </c>
      <c r="K326" s="38" t="n">
        <v>276</v>
      </c>
      <c r="L326" s="31">
        <f>K326/52</f>
        <v/>
      </c>
      <c r="M326" s="39">
        <f>J326/1000000*52</f>
        <v/>
      </c>
      <c r="N326" s="33">
        <f>M326/$P$4+($I$22/$P$4)</f>
        <v/>
      </c>
      <c r="U326">
        <f>F325</f>
        <v/>
      </c>
      <c r="V326">
        <f>H325</f>
        <v/>
      </c>
      <c r="W326">
        <f>N325</f>
        <v/>
      </c>
    </row>
    <row r="327" ht="15.75" customHeight="1" s="40">
      <c r="C327" s="36">
        <f>_xlfn.IFS(E327&lt;E$24,0,E327&lt;E$26,C$24,E327&lt;E$28,C$26,E327&lt;E$30,C$28,E327&lt;E$32,C$30,E327&lt;E$34,C$32,E327&gt;=E$34,C$34)</f>
        <v/>
      </c>
      <c r="D327" s="37">
        <f>_xlfn.IFS(E327&lt;E$24,0,E327&lt;E$25,D$24,E327&lt;E$26,D$25,E327&lt;E$27,D$26,E327&lt;E$28,D$27,E327&lt;E$29,D$28,E327&lt;E$30,D$29,E327&lt;E$31,D$30,E327&lt;E$32,D$31,E327&lt;E$33,D$32,E327&lt;E$34,D$33,E327&lt;E$35,D$34,E327&gt;=E$35,D$35)</f>
        <v/>
      </c>
      <c r="E327" s="38" t="n">
        <v>277</v>
      </c>
      <c r="F327" s="31">
        <f>E327/52</f>
        <v/>
      </c>
      <c r="G327" s="39">
        <f>D327/1000000*52</f>
        <v/>
      </c>
      <c r="H327" s="33">
        <f>G327/$P$4+($C$22/$P$4)</f>
        <v/>
      </c>
      <c r="I327" s="36">
        <f>_xlfn.IFS(K327&lt;K$24,0,K327&lt;K$26,I$24,K327&lt;K$28,I$26,K327&lt;K$30,I$28,K327&lt;K$32,I$30,K327&lt;K$34,I$32,K327&lt;K$36,I$34,K327&lt;K$38,I$36,K327&lt;K$40,I$38,K327&lt;K$42,I$40,K327&lt;K$44,I$42,K327&lt;K$46,I$44,K327&gt;=K$46,I$46)</f>
        <v/>
      </c>
      <c r="J327" s="37">
        <f>_xlfn.IFS(K327&lt;K$24,0,K327&lt;K$25,J$24,K327&lt;K$26,J$25,K327&lt;K$27,J$26,K327&lt;K$28,J$27,K327&lt;K$29,J$28,K327&lt;K$30,J$29,K327&lt;K$31,J$30,K327&lt;K$32,J$31,K327&lt;K$33,J$32,K327&lt;K$34,J$33,K327&lt;K$35,J$34,K327&lt;K$36,J$35,K327&lt;K$37,J$36,K327&lt;K$38,J$37,K327&lt;K$39,J$38,K327&lt;K$40,J$39,K327&lt;K$41,J$40,K327&lt;K$42,J$41,K327&lt;K$43,J$42,K327&lt;K$44,J$43,K327&lt;K$45,J$44,K327&lt;K$46,J$45,K327&lt;K$47,J$46,K327&gt;=K$47,J$47)</f>
        <v/>
      </c>
      <c r="K327" s="38" t="n">
        <v>277</v>
      </c>
      <c r="L327" s="31">
        <f>K327/52</f>
        <v/>
      </c>
      <c r="M327" s="39">
        <f>J327/1000000*52</f>
        <v/>
      </c>
      <c r="N327" s="33">
        <f>M327/$P$4+($I$22/$P$4)</f>
        <v/>
      </c>
      <c r="U327">
        <f>F326</f>
        <v/>
      </c>
      <c r="V327">
        <f>H326</f>
        <v/>
      </c>
      <c r="W327">
        <f>N326</f>
        <v/>
      </c>
    </row>
    <row r="328" ht="15.75" customHeight="1" s="40">
      <c r="C328" s="36">
        <f>_xlfn.IFS(E328&lt;E$24,0,E328&lt;E$26,C$24,E328&lt;E$28,C$26,E328&lt;E$30,C$28,E328&lt;E$32,C$30,E328&lt;E$34,C$32,E328&gt;=E$34,C$34)</f>
        <v/>
      </c>
      <c r="D328" s="37">
        <f>_xlfn.IFS(E328&lt;E$24,0,E328&lt;E$25,D$24,E328&lt;E$26,D$25,E328&lt;E$27,D$26,E328&lt;E$28,D$27,E328&lt;E$29,D$28,E328&lt;E$30,D$29,E328&lt;E$31,D$30,E328&lt;E$32,D$31,E328&lt;E$33,D$32,E328&lt;E$34,D$33,E328&lt;E$35,D$34,E328&gt;=E$35,D$35)</f>
        <v/>
      </c>
      <c r="E328" s="38" t="n">
        <v>278</v>
      </c>
      <c r="F328" s="31">
        <f>E328/52</f>
        <v/>
      </c>
      <c r="G328" s="39">
        <f>D328/1000000*52</f>
        <v/>
      </c>
      <c r="H328" s="33">
        <f>G328/$P$4+($C$22/$P$4)</f>
        <v/>
      </c>
      <c r="I328" s="36">
        <f>_xlfn.IFS(K328&lt;K$24,0,K328&lt;K$26,I$24,K328&lt;K$28,I$26,K328&lt;K$30,I$28,K328&lt;K$32,I$30,K328&lt;K$34,I$32,K328&lt;K$36,I$34,K328&lt;K$38,I$36,K328&lt;K$40,I$38,K328&lt;K$42,I$40,K328&lt;K$44,I$42,K328&lt;K$46,I$44,K328&gt;=K$46,I$46)</f>
        <v/>
      </c>
      <c r="J328" s="37">
        <f>_xlfn.IFS(K328&lt;K$24,0,K328&lt;K$25,J$24,K328&lt;K$26,J$25,K328&lt;K$27,J$26,K328&lt;K$28,J$27,K328&lt;K$29,J$28,K328&lt;K$30,J$29,K328&lt;K$31,J$30,K328&lt;K$32,J$31,K328&lt;K$33,J$32,K328&lt;K$34,J$33,K328&lt;K$35,J$34,K328&lt;K$36,J$35,K328&lt;K$37,J$36,K328&lt;K$38,J$37,K328&lt;K$39,J$38,K328&lt;K$40,J$39,K328&lt;K$41,J$40,K328&lt;K$42,J$41,K328&lt;K$43,J$42,K328&lt;K$44,J$43,K328&lt;K$45,J$44,K328&lt;K$46,J$45,K328&lt;K$47,J$46,K328&gt;=K$47,J$47)</f>
        <v/>
      </c>
      <c r="K328" s="38" t="n">
        <v>278</v>
      </c>
      <c r="L328" s="31">
        <f>K328/52</f>
        <v/>
      </c>
      <c r="M328" s="39">
        <f>J328/1000000*52</f>
        <v/>
      </c>
      <c r="N328" s="33">
        <f>M328/$P$4+($I$22/$P$4)</f>
        <v/>
      </c>
      <c r="U328">
        <f>F327</f>
        <v/>
      </c>
      <c r="V328">
        <f>H327</f>
        <v/>
      </c>
      <c r="W328">
        <f>N327</f>
        <v/>
      </c>
    </row>
    <row r="329" ht="15.75" customHeight="1" s="40">
      <c r="C329" s="36">
        <f>_xlfn.IFS(E329&lt;E$24,0,E329&lt;E$26,C$24,E329&lt;E$28,C$26,E329&lt;E$30,C$28,E329&lt;E$32,C$30,E329&lt;E$34,C$32,E329&gt;=E$34,C$34)</f>
        <v/>
      </c>
      <c r="D329" s="37">
        <f>_xlfn.IFS(E329&lt;E$24,0,E329&lt;E$25,D$24,E329&lt;E$26,D$25,E329&lt;E$27,D$26,E329&lt;E$28,D$27,E329&lt;E$29,D$28,E329&lt;E$30,D$29,E329&lt;E$31,D$30,E329&lt;E$32,D$31,E329&lt;E$33,D$32,E329&lt;E$34,D$33,E329&lt;E$35,D$34,E329&gt;=E$35,D$35)</f>
        <v/>
      </c>
      <c r="E329" s="38" t="n">
        <v>279</v>
      </c>
      <c r="F329" s="31">
        <f>E329/52</f>
        <v/>
      </c>
      <c r="G329" s="39">
        <f>D329/1000000*52</f>
        <v/>
      </c>
      <c r="H329" s="33">
        <f>G329/$P$4+($C$22/$P$4)</f>
        <v/>
      </c>
      <c r="I329" s="36">
        <f>_xlfn.IFS(K329&lt;K$24,0,K329&lt;K$26,I$24,K329&lt;K$28,I$26,K329&lt;K$30,I$28,K329&lt;K$32,I$30,K329&lt;K$34,I$32,K329&lt;K$36,I$34,K329&lt;K$38,I$36,K329&lt;K$40,I$38,K329&lt;K$42,I$40,K329&lt;K$44,I$42,K329&lt;K$46,I$44,K329&gt;=K$46,I$46)</f>
        <v/>
      </c>
      <c r="J329" s="37">
        <f>_xlfn.IFS(K329&lt;K$24,0,K329&lt;K$25,J$24,K329&lt;K$26,J$25,K329&lt;K$27,J$26,K329&lt;K$28,J$27,K329&lt;K$29,J$28,K329&lt;K$30,J$29,K329&lt;K$31,J$30,K329&lt;K$32,J$31,K329&lt;K$33,J$32,K329&lt;K$34,J$33,K329&lt;K$35,J$34,K329&lt;K$36,J$35,K329&lt;K$37,J$36,K329&lt;K$38,J$37,K329&lt;K$39,J$38,K329&lt;K$40,J$39,K329&lt;K$41,J$40,K329&lt;K$42,J$41,K329&lt;K$43,J$42,K329&lt;K$44,J$43,K329&lt;K$45,J$44,K329&lt;K$46,J$45,K329&lt;K$47,J$46,K329&gt;=K$47,J$47)</f>
        <v/>
      </c>
      <c r="K329" s="38" t="n">
        <v>279</v>
      </c>
      <c r="L329" s="31">
        <f>K329/52</f>
        <v/>
      </c>
      <c r="M329" s="39">
        <f>J329/1000000*52</f>
        <v/>
      </c>
      <c r="N329" s="33">
        <f>M329/$P$4+($I$22/$P$4)</f>
        <v/>
      </c>
      <c r="U329">
        <f>F328</f>
        <v/>
      </c>
      <c r="V329">
        <f>H328</f>
        <v/>
      </c>
      <c r="W329">
        <f>N328</f>
        <v/>
      </c>
    </row>
    <row r="330" ht="15.75" customHeight="1" s="40">
      <c r="C330" s="36">
        <f>_xlfn.IFS(E330&lt;E$24,0,E330&lt;E$26,C$24,E330&lt;E$28,C$26,E330&lt;E$30,C$28,E330&lt;E$32,C$30,E330&lt;E$34,C$32,E330&gt;=E$34,C$34)</f>
        <v/>
      </c>
      <c r="D330" s="37">
        <f>_xlfn.IFS(E330&lt;E$24,0,E330&lt;E$25,D$24,E330&lt;E$26,D$25,E330&lt;E$27,D$26,E330&lt;E$28,D$27,E330&lt;E$29,D$28,E330&lt;E$30,D$29,E330&lt;E$31,D$30,E330&lt;E$32,D$31,E330&lt;E$33,D$32,E330&lt;E$34,D$33,E330&lt;E$35,D$34,E330&gt;=E$35,D$35)</f>
        <v/>
      </c>
      <c r="E330" s="38" t="n">
        <v>280</v>
      </c>
      <c r="F330" s="31">
        <f>E330/52</f>
        <v/>
      </c>
      <c r="G330" s="39">
        <f>D330/1000000*52</f>
        <v/>
      </c>
      <c r="H330" s="33">
        <f>G330/$P$4+($C$22/$P$4)</f>
        <v/>
      </c>
      <c r="I330" s="36">
        <f>_xlfn.IFS(K330&lt;K$24,0,K330&lt;K$26,I$24,K330&lt;K$28,I$26,K330&lt;K$30,I$28,K330&lt;K$32,I$30,K330&lt;K$34,I$32,K330&lt;K$36,I$34,K330&lt;K$38,I$36,K330&lt;K$40,I$38,K330&lt;K$42,I$40,K330&lt;K$44,I$42,K330&lt;K$46,I$44,K330&gt;=K$46,I$46)</f>
        <v/>
      </c>
      <c r="J330" s="37">
        <f>_xlfn.IFS(K330&lt;K$24,0,K330&lt;K$25,J$24,K330&lt;K$26,J$25,K330&lt;K$27,J$26,K330&lt;K$28,J$27,K330&lt;K$29,J$28,K330&lt;K$30,J$29,K330&lt;K$31,J$30,K330&lt;K$32,J$31,K330&lt;K$33,J$32,K330&lt;K$34,J$33,K330&lt;K$35,J$34,K330&lt;K$36,J$35,K330&lt;K$37,J$36,K330&lt;K$38,J$37,K330&lt;K$39,J$38,K330&lt;K$40,J$39,K330&lt;K$41,J$40,K330&lt;K$42,J$41,K330&lt;K$43,J$42,K330&lt;K$44,J$43,K330&lt;K$45,J$44,K330&lt;K$46,J$45,K330&lt;K$47,J$46,K330&gt;=K$47,J$47)</f>
        <v/>
      </c>
      <c r="K330" s="38" t="n">
        <v>280</v>
      </c>
      <c r="L330" s="31">
        <f>K330/52</f>
        <v/>
      </c>
      <c r="M330" s="39">
        <f>J330/1000000*52</f>
        <v/>
      </c>
      <c r="N330" s="33">
        <f>M330/$P$4+($I$22/$P$4)</f>
        <v/>
      </c>
      <c r="U330">
        <f>F329</f>
        <v/>
      </c>
      <c r="V330">
        <f>H329</f>
        <v/>
      </c>
      <c r="W330">
        <f>N329</f>
        <v/>
      </c>
    </row>
    <row r="331" ht="15.75" customHeight="1" s="40">
      <c r="C331" s="36">
        <f>_xlfn.IFS(E331&lt;E$24,0,E331&lt;E$26,C$24,E331&lt;E$28,C$26,E331&lt;E$30,C$28,E331&lt;E$32,C$30,E331&lt;E$34,C$32,E331&gt;=E$34,C$34)</f>
        <v/>
      </c>
      <c r="D331" s="37">
        <f>_xlfn.IFS(E331&lt;E$24,0,E331&lt;E$25,D$24,E331&lt;E$26,D$25,E331&lt;E$27,D$26,E331&lt;E$28,D$27,E331&lt;E$29,D$28,E331&lt;E$30,D$29,E331&lt;E$31,D$30,E331&lt;E$32,D$31,E331&lt;E$33,D$32,E331&lt;E$34,D$33,E331&lt;E$35,D$34,E331&gt;=E$35,D$35)</f>
        <v/>
      </c>
      <c r="E331" s="38" t="n">
        <v>281</v>
      </c>
      <c r="F331" s="31">
        <f>E331/52</f>
        <v/>
      </c>
      <c r="G331" s="39">
        <f>D331/1000000*52</f>
        <v/>
      </c>
      <c r="H331" s="33">
        <f>G331/$P$4+($C$22/$P$4)</f>
        <v/>
      </c>
      <c r="I331" s="36">
        <f>_xlfn.IFS(K331&lt;K$24,0,K331&lt;K$26,I$24,K331&lt;K$28,I$26,K331&lt;K$30,I$28,K331&lt;K$32,I$30,K331&lt;K$34,I$32,K331&lt;K$36,I$34,K331&lt;K$38,I$36,K331&lt;K$40,I$38,K331&lt;K$42,I$40,K331&lt;K$44,I$42,K331&lt;K$46,I$44,K331&gt;=K$46,I$46)</f>
        <v/>
      </c>
      <c r="J331" s="37">
        <f>_xlfn.IFS(K331&lt;K$24,0,K331&lt;K$25,J$24,K331&lt;K$26,J$25,K331&lt;K$27,J$26,K331&lt;K$28,J$27,K331&lt;K$29,J$28,K331&lt;K$30,J$29,K331&lt;K$31,J$30,K331&lt;K$32,J$31,K331&lt;K$33,J$32,K331&lt;K$34,J$33,K331&lt;K$35,J$34,K331&lt;K$36,J$35,K331&lt;K$37,J$36,K331&lt;K$38,J$37,K331&lt;K$39,J$38,K331&lt;K$40,J$39,K331&lt;K$41,J$40,K331&lt;K$42,J$41,K331&lt;K$43,J$42,K331&lt;K$44,J$43,K331&lt;K$45,J$44,K331&lt;K$46,J$45,K331&lt;K$47,J$46,K331&gt;=K$47,J$47)</f>
        <v/>
      </c>
      <c r="K331" s="38" t="n">
        <v>281</v>
      </c>
      <c r="L331" s="31">
        <f>K331/52</f>
        <v/>
      </c>
      <c r="M331" s="39">
        <f>J331/1000000*52</f>
        <v/>
      </c>
      <c r="N331" s="33">
        <f>M331/$P$4+($I$22/$P$4)</f>
        <v/>
      </c>
      <c r="U331">
        <f>F330</f>
        <v/>
      </c>
      <c r="V331">
        <f>H330</f>
        <v/>
      </c>
      <c r="W331">
        <f>N330</f>
        <v/>
      </c>
    </row>
    <row r="332" ht="15.75" customHeight="1" s="40">
      <c r="C332" s="36">
        <f>_xlfn.IFS(E332&lt;E$24,0,E332&lt;E$26,C$24,E332&lt;E$28,C$26,E332&lt;E$30,C$28,E332&lt;E$32,C$30,E332&lt;E$34,C$32,E332&gt;=E$34,C$34)</f>
        <v/>
      </c>
      <c r="D332" s="37">
        <f>_xlfn.IFS(E332&lt;E$24,0,E332&lt;E$25,D$24,E332&lt;E$26,D$25,E332&lt;E$27,D$26,E332&lt;E$28,D$27,E332&lt;E$29,D$28,E332&lt;E$30,D$29,E332&lt;E$31,D$30,E332&lt;E$32,D$31,E332&lt;E$33,D$32,E332&lt;E$34,D$33,E332&lt;E$35,D$34,E332&gt;=E$35,D$35)</f>
        <v/>
      </c>
      <c r="E332" s="38" t="n">
        <v>282</v>
      </c>
      <c r="F332" s="31">
        <f>E332/52</f>
        <v/>
      </c>
      <c r="G332" s="39">
        <f>D332/1000000*52</f>
        <v/>
      </c>
      <c r="H332" s="33">
        <f>G332/$P$4+($C$22/$P$4)</f>
        <v/>
      </c>
      <c r="I332" s="36">
        <f>_xlfn.IFS(K332&lt;K$24,0,K332&lt;K$26,I$24,K332&lt;K$28,I$26,K332&lt;K$30,I$28,K332&lt;K$32,I$30,K332&lt;K$34,I$32,K332&lt;K$36,I$34,K332&lt;K$38,I$36,K332&lt;K$40,I$38,K332&lt;K$42,I$40,K332&lt;K$44,I$42,K332&lt;K$46,I$44,K332&gt;=K$46,I$46)</f>
        <v/>
      </c>
      <c r="J332" s="37">
        <f>_xlfn.IFS(K332&lt;K$24,0,K332&lt;K$25,J$24,K332&lt;K$26,J$25,K332&lt;K$27,J$26,K332&lt;K$28,J$27,K332&lt;K$29,J$28,K332&lt;K$30,J$29,K332&lt;K$31,J$30,K332&lt;K$32,J$31,K332&lt;K$33,J$32,K332&lt;K$34,J$33,K332&lt;K$35,J$34,K332&lt;K$36,J$35,K332&lt;K$37,J$36,K332&lt;K$38,J$37,K332&lt;K$39,J$38,K332&lt;K$40,J$39,K332&lt;K$41,J$40,K332&lt;K$42,J$41,K332&lt;K$43,J$42,K332&lt;K$44,J$43,K332&lt;K$45,J$44,K332&lt;K$46,J$45,K332&lt;K$47,J$46,K332&gt;=K$47,J$47)</f>
        <v/>
      </c>
      <c r="K332" s="38" t="n">
        <v>282</v>
      </c>
      <c r="L332" s="31">
        <f>K332/52</f>
        <v/>
      </c>
      <c r="M332" s="39">
        <f>J332/1000000*52</f>
        <v/>
      </c>
      <c r="N332" s="33">
        <f>M332/$P$4+($I$22/$P$4)</f>
        <v/>
      </c>
      <c r="U332">
        <f>F331</f>
        <v/>
      </c>
      <c r="V332">
        <f>H331</f>
        <v/>
      </c>
      <c r="W332">
        <f>N331</f>
        <v/>
      </c>
    </row>
    <row r="333" ht="15.75" customHeight="1" s="40">
      <c r="C333" s="36">
        <f>_xlfn.IFS(E333&lt;E$24,0,E333&lt;E$26,C$24,E333&lt;E$28,C$26,E333&lt;E$30,C$28,E333&lt;E$32,C$30,E333&lt;E$34,C$32,E333&gt;=E$34,C$34)</f>
        <v/>
      </c>
      <c r="D333" s="37">
        <f>_xlfn.IFS(E333&lt;E$24,0,E333&lt;E$25,D$24,E333&lt;E$26,D$25,E333&lt;E$27,D$26,E333&lt;E$28,D$27,E333&lt;E$29,D$28,E333&lt;E$30,D$29,E333&lt;E$31,D$30,E333&lt;E$32,D$31,E333&lt;E$33,D$32,E333&lt;E$34,D$33,E333&lt;E$35,D$34,E333&gt;=E$35,D$35)</f>
        <v/>
      </c>
      <c r="E333" s="38" t="n">
        <v>283</v>
      </c>
      <c r="F333" s="31">
        <f>E333/52</f>
        <v/>
      </c>
      <c r="G333" s="39">
        <f>D333/1000000*52</f>
        <v/>
      </c>
      <c r="H333" s="33">
        <f>G333/$P$4+($C$22/$P$4)</f>
        <v/>
      </c>
      <c r="I333" s="36">
        <f>_xlfn.IFS(K333&lt;K$24,0,K333&lt;K$26,I$24,K333&lt;K$28,I$26,K333&lt;K$30,I$28,K333&lt;K$32,I$30,K333&lt;K$34,I$32,K333&lt;K$36,I$34,K333&lt;K$38,I$36,K333&lt;K$40,I$38,K333&lt;K$42,I$40,K333&lt;K$44,I$42,K333&lt;K$46,I$44,K333&gt;=K$46,I$46)</f>
        <v/>
      </c>
      <c r="J333" s="37">
        <f>_xlfn.IFS(K333&lt;K$24,0,K333&lt;K$25,J$24,K333&lt;K$26,J$25,K333&lt;K$27,J$26,K333&lt;K$28,J$27,K333&lt;K$29,J$28,K333&lt;K$30,J$29,K333&lt;K$31,J$30,K333&lt;K$32,J$31,K333&lt;K$33,J$32,K333&lt;K$34,J$33,K333&lt;K$35,J$34,K333&lt;K$36,J$35,K333&lt;K$37,J$36,K333&lt;K$38,J$37,K333&lt;K$39,J$38,K333&lt;K$40,J$39,K333&lt;K$41,J$40,K333&lt;K$42,J$41,K333&lt;K$43,J$42,K333&lt;K$44,J$43,K333&lt;K$45,J$44,K333&lt;K$46,J$45,K333&lt;K$47,J$46,K333&gt;=K$47,J$47)</f>
        <v/>
      </c>
      <c r="K333" s="38" t="n">
        <v>283</v>
      </c>
      <c r="L333" s="31">
        <f>K333/52</f>
        <v/>
      </c>
      <c r="M333" s="39">
        <f>J333/1000000*52</f>
        <v/>
      </c>
      <c r="N333" s="33">
        <f>M333/$P$4+($I$22/$P$4)</f>
        <v/>
      </c>
      <c r="U333">
        <f>F332</f>
        <v/>
      </c>
      <c r="V333">
        <f>H332</f>
        <v/>
      </c>
      <c r="W333">
        <f>N332</f>
        <v/>
      </c>
    </row>
    <row r="334" ht="15.75" customHeight="1" s="40">
      <c r="C334" s="36">
        <f>_xlfn.IFS(E334&lt;E$24,0,E334&lt;E$26,C$24,E334&lt;E$28,C$26,E334&lt;E$30,C$28,E334&lt;E$32,C$30,E334&lt;E$34,C$32,E334&gt;=E$34,C$34)</f>
        <v/>
      </c>
      <c r="D334" s="37">
        <f>_xlfn.IFS(E334&lt;E$24,0,E334&lt;E$25,D$24,E334&lt;E$26,D$25,E334&lt;E$27,D$26,E334&lt;E$28,D$27,E334&lt;E$29,D$28,E334&lt;E$30,D$29,E334&lt;E$31,D$30,E334&lt;E$32,D$31,E334&lt;E$33,D$32,E334&lt;E$34,D$33,E334&lt;E$35,D$34,E334&gt;=E$35,D$35)</f>
        <v/>
      </c>
      <c r="E334" s="38" t="n">
        <v>284</v>
      </c>
      <c r="F334" s="31">
        <f>E334/52</f>
        <v/>
      </c>
      <c r="G334" s="39">
        <f>D334/1000000*52</f>
        <v/>
      </c>
      <c r="H334" s="33">
        <f>G334/$P$4+($C$22/$P$4)</f>
        <v/>
      </c>
      <c r="I334" s="36">
        <f>_xlfn.IFS(K334&lt;K$24,0,K334&lt;K$26,I$24,K334&lt;K$28,I$26,K334&lt;K$30,I$28,K334&lt;K$32,I$30,K334&lt;K$34,I$32,K334&lt;K$36,I$34,K334&lt;K$38,I$36,K334&lt;K$40,I$38,K334&lt;K$42,I$40,K334&lt;K$44,I$42,K334&lt;K$46,I$44,K334&gt;=K$46,I$46)</f>
        <v/>
      </c>
      <c r="J334" s="37">
        <f>_xlfn.IFS(K334&lt;K$24,0,K334&lt;K$25,J$24,K334&lt;K$26,J$25,K334&lt;K$27,J$26,K334&lt;K$28,J$27,K334&lt;K$29,J$28,K334&lt;K$30,J$29,K334&lt;K$31,J$30,K334&lt;K$32,J$31,K334&lt;K$33,J$32,K334&lt;K$34,J$33,K334&lt;K$35,J$34,K334&lt;K$36,J$35,K334&lt;K$37,J$36,K334&lt;K$38,J$37,K334&lt;K$39,J$38,K334&lt;K$40,J$39,K334&lt;K$41,J$40,K334&lt;K$42,J$41,K334&lt;K$43,J$42,K334&lt;K$44,J$43,K334&lt;K$45,J$44,K334&lt;K$46,J$45,K334&lt;K$47,J$46,K334&gt;=K$47,J$47)</f>
        <v/>
      </c>
      <c r="K334" s="38" t="n">
        <v>284</v>
      </c>
      <c r="L334" s="31">
        <f>K334/52</f>
        <v/>
      </c>
      <c r="M334" s="39">
        <f>J334/1000000*52</f>
        <v/>
      </c>
      <c r="N334" s="33">
        <f>M334/$P$4+($I$22/$P$4)</f>
        <v/>
      </c>
      <c r="U334">
        <f>F333</f>
        <v/>
      </c>
      <c r="V334">
        <f>H333</f>
        <v/>
      </c>
      <c r="W334">
        <f>N333</f>
        <v/>
      </c>
    </row>
    <row r="335" ht="15.75" customHeight="1" s="40">
      <c r="C335" s="36">
        <f>_xlfn.IFS(E335&lt;E$24,0,E335&lt;E$26,C$24,E335&lt;E$28,C$26,E335&lt;E$30,C$28,E335&lt;E$32,C$30,E335&lt;E$34,C$32,E335&gt;=E$34,C$34)</f>
        <v/>
      </c>
      <c r="D335" s="37">
        <f>_xlfn.IFS(E335&lt;E$24,0,E335&lt;E$25,D$24,E335&lt;E$26,D$25,E335&lt;E$27,D$26,E335&lt;E$28,D$27,E335&lt;E$29,D$28,E335&lt;E$30,D$29,E335&lt;E$31,D$30,E335&lt;E$32,D$31,E335&lt;E$33,D$32,E335&lt;E$34,D$33,E335&lt;E$35,D$34,E335&gt;=E$35,D$35)</f>
        <v/>
      </c>
      <c r="E335" s="38" t="n">
        <v>285</v>
      </c>
      <c r="F335" s="31">
        <f>E335/52</f>
        <v/>
      </c>
      <c r="G335" s="39">
        <f>D335/1000000*52</f>
        <v/>
      </c>
      <c r="H335" s="33">
        <f>G335/$P$4+($C$22/$P$4)</f>
        <v/>
      </c>
      <c r="I335" s="36">
        <f>_xlfn.IFS(K335&lt;K$24,0,K335&lt;K$26,I$24,K335&lt;K$28,I$26,K335&lt;K$30,I$28,K335&lt;K$32,I$30,K335&lt;K$34,I$32,K335&lt;K$36,I$34,K335&lt;K$38,I$36,K335&lt;K$40,I$38,K335&lt;K$42,I$40,K335&lt;K$44,I$42,K335&lt;K$46,I$44,K335&gt;=K$46,I$46)</f>
        <v/>
      </c>
      <c r="J335" s="37">
        <f>_xlfn.IFS(K335&lt;K$24,0,K335&lt;K$25,J$24,K335&lt;K$26,J$25,K335&lt;K$27,J$26,K335&lt;K$28,J$27,K335&lt;K$29,J$28,K335&lt;K$30,J$29,K335&lt;K$31,J$30,K335&lt;K$32,J$31,K335&lt;K$33,J$32,K335&lt;K$34,J$33,K335&lt;K$35,J$34,K335&lt;K$36,J$35,K335&lt;K$37,J$36,K335&lt;K$38,J$37,K335&lt;K$39,J$38,K335&lt;K$40,J$39,K335&lt;K$41,J$40,K335&lt;K$42,J$41,K335&lt;K$43,J$42,K335&lt;K$44,J$43,K335&lt;K$45,J$44,K335&lt;K$46,J$45,K335&lt;K$47,J$46,K335&gt;=K$47,J$47)</f>
        <v/>
      </c>
      <c r="K335" s="38" t="n">
        <v>285</v>
      </c>
      <c r="L335" s="31">
        <f>K335/52</f>
        <v/>
      </c>
      <c r="M335" s="39">
        <f>J335/1000000*52</f>
        <v/>
      </c>
      <c r="N335" s="33">
        <f>M335/$P$4+($I$22/$P$4)</f>
        <v/>
      </c>
      <c r="U335">
        <f>F334</f>
        <v/>
      </c>
      <c r="V335">
        <f>H334</f>
        <v/>
      </c>
      <c r="W335">
        <f>N334</f>
        <v/>
      </c>
    </row>
    <row r="336" ht="15.75" customHeight="1" s="40">
      <c r="C336" s="36">
        <f>_xlfn.IFS(E336&lt;E$24,0,E336&lt;E$26,C$24,E336&lt;E$28,C$26,E336&lt;E$30,C$28,E336&lt;E$32,C$30,E336&lt;E$34,C$32,E336&gt;=E$34,C$34)</f>
        <v/>
      </c>
      <c r="D336" s="37">
        <f>_xlfn.IFS(E336&lt;E$24,0,E336&lt;E$25,D$24,E336&lt;E$26,D$25,E336&lt;E$27,D$26,E336&lt;E$28,D$27,E336&lt;E$29,D$28,E336&lt;E$30,D$29,E336&lt;E$31,D$30,E336&lt;E$32,D$31,E336&lt;E$33,D$32,E336&lt;E$34,D$33,E336&lt;E$35,D$34,E336&gt;=E$35,D$35)</f>
        <v/>
      </c>
      <c r="E336" s="38" t="n">
        <v>286</v>
      </c>
      <c r="F336" s="31">
        <f>E336/52</f>
        <v/>
      </c>
      <c r="G336" s="39">
        <f>D336/1000000*52</f>
        <v/>
      </c>
      <c r="H336" s="33">
        <f>G336/$P$4+($C$22/$P$4)</f>
        <v/>
      </c>
      <c r="I336" s="36">
        <f>_xlfn.IFS(K336&lt;K$24,0,K336&lt;K$26,I$24,K336&lt;K$28,I$26,K336&lt;K$30,I$28,K336&lt;K$32,I$30,K336&lt;K$34,I$32,K336&lt;K$36,I$34,K336&lt;K$38,I$36,K336&lt;K$40,I$38,K336&lt;K$42,I$40,K336&lt;K$44,I$42,K336&lt;K$46,I$44,K336&gt;=K$46,I$46)</f>
        <v/>
      </c>
      <c r="J336" s="37">
        <f>_xlfn.IFS(K336&lt;K$24,0,K336&lt;K$25,J$24,K336&lt;K$26,J$25,K336&lt;K$27,J$26,K336&lt;K$28,J$27,K336&lt;K$29,J$28,K336&lt;K$30,J$29,K336&lt;K$31,J$30,K336&lt;K$32,J$31,K336&lt;K$33,J$32,K336&lt;K$34,J$33,K336&lt;K$35,J$34,K336&lt;K$36,J$35,K336&lt;K$37,J$36,K336&lt;K$38,J$37,K336&lt;K$39,J$38,K336&lt;K$40,J$39,K336&lt;K$41,J$40,K336&lt;K$42,J$41,K336&lt;K$43,J$42,K336&lt;K$44,J$43,K336&lt;K$45,J$44,K336&lt;K$46,J$45,K336&lt;K$47,J$46,K336&gt;=K$47,J$47)</f>
        <v/>
      </c>
      <c r="K336" s="38" t="n">
        <v>286</v>
      </c>
      <c r="L336" s="31">
        <f>K336/52</f>
        <v/>
      </c>
      <c r="M336" s="39">
        <f>J336/1000000*52</f>
        <v/>
      </c>
      <c r="N336" s="33">
        <f>M336/$P$4+($I$22/$P$4)</f>
        <v/>
      </c>
      <c r="U336">
        <f>F335</f>
        <v/>
      </c>
      <c r="V336">
        <f>H335</f>
        <v/>
      </c>
      <c r="W336">
        <f>N335</f>
        <v/>
      </c>
    </row>
    <row r="337" ht="15.75" customHeight="1" s="40">
      <c r="C337" s="36">
        <f>_xlfn.IFS(E337&lt;E$24,0,E337&lt;E$26,C$24,E337&lt;E$28,C$26,E337&lt;E$30,C$28,E337&lt;E$32,C$30,E337&lt;E$34,C$32,E337&gt;=E$34,C$34)</f>
        <v/>
      </c>
      <c r="D337" s="37">
        <f>_xlfn.IFS(E337&lt;E$24,0,E337&lt;E$25,D$24,E337&lt;E$26,D$25,E337&lt;E$27,D$26,E337&lt;E$28,D$27,E337&lt;E$29,D$28,E337&lt;E$30,D$29,E337&lt;E$31,D$30,E337&lt;E$32,D$31,E337&lt;E$33,D$32,E337&lt;E$34,D$33,E337&lt;E$35,D$34,E337&gt;=E$35,D$35)</f>
        <v/>
      </c>
      <c r="E337" s="38" t="n">
        <v>287</v>
      </c>
      <c r="F337" s="31">
        <f>E337/52</f>
        <v/>
      </c>
      <c r="G337" s="39">
        <f>D337/1000000*52</f>
        <v/>
      </c>
      <c r="H337" s="33">
        <f>G337/$P$4+($C$22/$P$4)</f>
        <v/>
      </c>
      <c r="I337" s="36">
        <f>_xlfn.IFS(K337&lt;K$24,0,K337&lt;K$26,I$24,K337&lt;K$28,I$26,K337&lt;K$30,I$28,K337&lt;K$32,I$30,K337&lt;K$34,I$32,K337&lt;K$36,I$34,K337&lt;K$38,I$36,K337&lt;K$40,I$38,K337&lt;K$42,I$40,K337&lt;K$44,I$42,K337&lt;K$46,I$44,K337&gt;=K$46,I$46)</f>
        <v/>
      </c>
      <c r="J337" s="37">
        <f>_xlfn.IFS(K337&lt;K$24,0,K337&lt;K$25,J$24,K337&lt;K$26,J$25,K337&lt;K$27,J$26,K337&lt;K$28,J$27,K337&lt;K$29,J$28,K337&lt;K$30,J$29,K337&lt;K$31,J$30,K337&lt;K$32,J$31,K337&lt;K$33,J$32,K337&lt;K$34,J$33,K337&lt;K$35,J$34,K337&lt;K$36,J$35,K337&lt;K$37,J$36,K337&lt;K$38,J$37,K337&lt;K$39,J$38,K337&lt;K$40,J$39,K337&lt;K$41,J$40,K337&lt;K$42,J$41,K337&lt;K$43,J$42,K337&lt;K$44,J$43,K337&lt;K$45,J$44,K337&lt;K$46,J$45,K337&lt;K$47,J$46,K337&gt;=K$47,J$47)</f>
        <v/>
      </c>
      <c r="K337" s="38" t="n">
        <v>287</v>
      </c>
      <c r="L337" s="31">
        <f>K337/52</f>
        <v/>
      </c>
      <c r="M337" s="39">
        <f>J337/1000000*52</f>
        <v/>
      </c>
      <c r="N337" s="33">
        <f>M337/$P$4+($I$22/$P$4)</f>
        <v/>
      </c>
      <c r="U337">
        <f>F336</f>
        <v/>
      </c>
      <c r="V337">
        <f>H336</f>
        <v/>
      </c>
      <c r="W337">
        <f>N336</f>
        <v/>
      </c>
    </row>
    <row r="338" ht="15.75" customHeight="1" s="40">
      <c r="C338" s="36">
        <f>_xlfn.IFS(E338&lt;E$24,0,E338&lt;E$26,C$24,E338&lt;E$28,C$26,E338&lt;E$30,C$28,E338&lt;E$32,C$30,E338&lt;E$34,C$32,E338&gt;=E$34,C$34)</f>
        <v/>
      </c>
      <c r="D338" s="37">
        <f>_xlfn.IFS(E338&lt;E$24,0,E338&lt;E$25,D$24,E338&lt;E$26,D$25,E338&lt;E$27,D$26,E338&lt;E$28,D$27,E338&lt;E$29,D$28,E338&lt;E$30,D$29,E338&lt;E$31,D$30,E338&lt;E$32,D$31,E338&lt;E$33,D$32,E338&lt;E$34,D$33,E338&lt;E$35,D$34,E338&gt;=E$35,D$35)</f>
        <v/>
      </c>
      <c r="E338" s="38" t="n">
        <v>288</v>
      </c>
      <c r="F338" s="31">
        <f>E338/52</f>
        <v/>
      </c>
      <c r="G338" s="39">
        <f>D338/1000000*52</f>
        <v/>
      </c>
      <c r="H338" s="33">
        <f>G338/$P$4+($C$22/$P$4)</f>
        <v/>
      </c>
      <c r="I338" s="36">
        <f>_xlfn.IFS(K338&lt;K$24,0,K338&lt;K$26,I$24,K338&lt;K$28,I$26,K338&lt;K$30,I$28,K338&lt;K$32,I$30,K338&lt;K$34,I$32,K338&lt;K$36,I$34,K338&lt;K$38,I$36,K338&lt;K$40,I$38,K338&lt;K$42,I$40,K338&lt;K$44,I$42,K338&lt;K$46,I$44,K338&gt;=K$46,I$46)</f>
        <v/>
      </c>
      <c r="J338" s="37">
        <f>_xlfn.IFS(K338&lt;K$24,0,K338&lt;K$25,J$24,K338&lt;K$26,J$25,K338&lt;K$27,J$26,K338&lt;K$28,J$27,K338&lt;K$29,J$28,K338&lt;K$30,J$29,K338&lt;K$31,J$30,K338&lt;K$32,J$31,K338&lt;K$33,J$32,K338&lt;K$34,J$33,K338&lt;K$35,J$34,K338&lt;K$36,J$35,K338&lt;K$37,J$36,K338&lt;K$38,J$37,K338&lt;K$39,J$38,K338&lt;K$40,J$39,K338&lt;K$41,J$40,K338&lt;K$42,J$41,K338&lt;K$43,J$42,K338&lt;K$44,J$43,K338&lt;K$45,J$44,K338&lt;K$46,J$45,K338&lt;K$47,J$46,K338&gt;=K$47,J$47)</f>
        <v/>
      </c>
      <c r="K338" s="38" t="n">
        <v>288</v>
      </c>
      <c r="L338" s="31">
        <f>K338/52</f>
        <v/>
      </c>
      <c r="M338" s="39">
        <f>J338/1000000*52</f>
        <v/>
      </c>
      <c r="N338" s="33">
        <f>M338/$P$4+($I$22/$P$4)</f>
        <v/>
      </c>
      <c r="U338">
        <f>F337</f>
        <v/>
      </c>
      <c r="V338">
        <f>H337</f>
        <v/>
      </c>
      <c r="W338">
        <f>N337</f>
        <v/>
      </c>
    </row>
    <row r="339" ht="15.75" customHeight="1" s="40">
      <c r="C339" s="36">
        <f>_xlfn.IFS(E339&lt;E$24,0,E339&lt;E$26,C$24,E339&lt;E$28,C$26,E339&lt;E$30,C$28,E339&lt;E$32,C$30,E339&lt;E$34,C$32,E339&gt;=E$34,C$34)</f>
        <v/>
      </c>
      <c r="D339" s="37">
        <f>_xlfn.IFS(E339&lt;E$24,0,E339&lt;E$25,D$24,E339&lt;E$26,D$25,E339&lt;E$27,D$26,E339&lt;E$28,D$27,E339&lt;E$29,D$28,E339&lt;E$30,D$29,E339&lt;E$31,D$30,E339&lt;E$32,D$31,E339&lt;E$33,D$32,E339&lt;E$34,D$33,E339&lt;E$35,D$34,E339&gt;=E$35,D$35)</f>
        <v/>
      </c>
      <c r="E339" s="38" t="n">
        <v>289</v>
      </c>
      <c r="F339" s="31">
        <f>E339/52</f>
        <v/>
      </c>
      <c r="G339" s="39">
        <f>D339/1000000*52</f>
        <v/>
      </c>
      <c r="H339" s="33">
        <f>G339/$P$4+($C$22/$P$4)</f>
        <v/>
      </c>
      <c r="I339" s="36">
        <f>_xlfn.IFS(K339&lt;K$24,0,K339&lt;K$26,I$24,K339&lt;K$28,I$26,K339&lt;K$30,I$28,K339&lt;K$32,I$30,K339&lt;K$34,I$32,K339&lt;K$36,I$34,K339&lt;K$38,I$36,K339&lt;K$40,I$38,K339&lt;K$42,I$40,K339&lt;K$44,I$42,K339&lt;K$46,I$44,K339&gt;=K$46,I$46)</f>
        <v/>
      </c>
      <c r="J339" s="37">
        <f>_xlfn.IFS(K339&lt;K$24,0,K339&lt;K$25,J$24,K339&lt;K$26,J$25,K339&lt;K$27,J$26,K339&lt;K$28,J$27,K339&lt;K$29,J$28,K339&lt;K$30,J$29,K339&lt;K$31,J$30,K339&lt;K$32,J$31,K339&lt;K$33,J$32,K339&lt;K$34,J$33,K339&lt;K$35,J$34,K339&lt;K$36,J$35,K339&lt;K$37,J$36,K339&lt;K$38,J$37,K339&lt;K$39,J$38,K339&lt;K$40,J$39,K339&lt;K$41,J$40,K339&lt;K$42,J$41,K339&lt;K$43,J$42,K339&lt;K$44,J$43,K339&lt;K$45,J$44,K339&lt;K$46,J$45,K339&lt;K$47,J$46,K339&gt;=K$47,J$47)</f>
        <v/>
      </c>
      <c r="K339" s="38" t="n">
        <v>289</v>
      </c>
      <c r="L339" s="31">
        <f>K339/52</f>
        <v/>
      </c>
      <c r="M339" s="39">
        <f>J339/1000000*52</f>
        <v/>
      </c>
      <c r="N339" s="33">
        <f>M339/$P$4+($I$22/$P$4)</f>
        <v/>
      </c>
      <c r="U339">
        <f>F338</f>
        <v/>
      </c>
      <c r="V339">
        <f>H338</f>
        <v/>
      </c>
      <c r="W339">
        <f>N338</f>
        <v/>
      </c>
    </row>
    <row r="340" ht="15.75" customHeight="1" s="40">
      <c r="C340" s="36">
        <f>_xlfn.IFS(E340&lt;E$24,0,E340&lt;E$26,C$24,E340&lt;E$28,C$26,E340&lt;E$30,C$28,E340&lt;E$32,C$30,E340&lt;E$34,C$32,E340&gt;=E$34,C$34)</f>
        <v/>
      </c>
      <c r="D340" s="37">
        <f>_xlfn.IFS(E340&lt;E$24,0,E340&lt;E$25,D$24,E340&lt;E$26,D$25,E340&lt;E$27,D$26,E340&lt;E$28,D$27,E340&lt;E$29,D$28,E340&lt;E$30,D$29,E340&lt;E$31,D$30,E340&lt;E$32,D$31,E340&lt;E$33,D$32,E340&lt;E$34,D$33,E340&lt;E$35,D$34,E340&gt;=E$35,D$35)</f>
        <v/>
      </c>
      <c r="E340" s="38" t="n">
        <v>290</v>
      </c>
      <c r="F340" s="31">
        <f>E340/52</f>
        <v/>
      </c>
      <c r="G340" s="39">
        <f>D340/1000000*52</f>
        <v/>
      </c>
      <c r="H340" s="33">
        <f>G340/$P$4+($C$22/$P$4)</f>
        <v/>
      </c>
      <c r="I340" s="36">
        <f>_xlfn.IFS(K340&lt;K$24,0,K340&lt;K$26,I$24,K340&lt;K$28,I$26,K340&lt;K$30,I$28,K340&lt;K$32,I$30,K340&lt;K$34,I$32,K340&lt;K$36,I$34,K340&lt;K$38,I$36,K340&lt;K$40,I$38,K340&lt;K$42,I$40,K340&lt;K$44,I$42,K340&lt;K$46,I$44,K340&gt;=K$46,I$46)</f>
        <v/>
      </c>
      <c r="J340" s="37">
        <f>_xlfn.IFS(K340&lt;K$24,0,K340&lt;K$25,J$24,K340&lt;K$26,J$25,K340&lt;K$27,J$26,K340&lt;K$28,J$27,K340&lt;K$29,J$28,K340&lt;K$30,J$29,K340&lt;K$31,J$30,K340&lt;K$32,J$31,K340&lt;K$33,J$32,K340&lt;K$34,J$33,K340&lt;K$35,J$34,K340&lt;K$36,J$35,K340&lt;K$37,J$36,K340&lt;K$38,J$37,K340&lt;K$39,J$38,K340&lt;K$40,J$39,K340&lt;K$41,J$40,K340&lt;K$42,J$41,K340&lt;K$43,J$42,K340&lt;K$44,J$43,K340&lt;K$45,J$44,K340&lt;K$46,J$45,K340&lt;K$47,J$46,K340&gt;=K$47,J$47)</f>
        <v/>
      </c>
      <c r="K340" s="38" t="n">
        <v>290</v>
      </c>
      <c r="L340" s="31">
        <f>K340/52</f>
        <v/>
      </c>
      <c r="M340" s="39">
        <f>J340/1000000*52</f>
        <v/>
      </c>
      <c r="N340" s="33">
        <f>M340/$P$4+($I$22/$P$4)</f>
        <v/>
      </c>
      <c r="U340">
        <f>F339</f>
        <v/>
      </c>
      <c r="V340">
        <f>H339</f>
        <v/>
      </c>
      <c r="W340">
        <f>N339</f>
        <v/>
      </c>
    </row>
    <row r="341" ht="15.75" customHeight="1" s="40">
      <c r="C341" s="36">
        <f>_xlfn.IFS(E341&lt;E$24,0,E341&lt;E$26,C$24,E341&lt;E$28,C$26,E341&lt;E$30,C$28,E341&lt;E$32,C$30,E341&lt;E$34,C$32,E341&gt;=E$34,C$34)</f>
        <v/>
      </c>
      <c r="D341" s="37">
        <f>_xlfn.IFS(E341&lt;E$24,0,E341&lt;E$25,D$24,E341&lt;E$26,D$25,E341&lt;E$27,D$26,E341&lt;E$28,D$27,E341&lt;E$29,D$28,E341&lt;E$30,D$29,E341&lt;E$31,D$30,E341&lt;E$32,D$31,E341&lt;E$33,D$32,E341&lt;E$34,D$33,E341&lt;E$35,D$34,E341&gt;=E$35,D$35)</f>
        <v/>
      </c>
      <c r="E341" s="38" t="n">
        <v>291</v>
      </c>
      <c r="F341" s="31">
        <f>E341/52</f>
        <v/>
      </c>
      <c r="G341" s="39">
        <f>D341/1000000*52</f>
        <v/>
      </c>
      <c r="H341" s="33">
        <f>G341/$P$4+($C$22/$P$4)</f>
        <v/>
      </c>
      <c r="I341" s="36">
        <f>_xlfn.IFS(K341&lt;K$24,0,K341&lt;K$26,I$24,K341&lt;K$28,I$26,K341&lt;K$30,I$28,K341&lt;K$32,I$30,K341&lt;K$34,I$32,K341&lt;K$36,I$34,K341&lt;K$38,I$36,K341&lt;K$40,I$38,K341&lt;K$42,I$40,K341&lt;K$44,I$42,K341&lt;K$46,I$44,K341&gt;=K$46,I$46)</f>
        <v/>
      </c>
      <c r="J341" s="37">
        <f>_xlfn.IFS(K341&lt;K$24,0,K341&lt;K$25,J$24,K341&lt;K$26,J$25,K341&lt;K$27,J$26,K341&lt;K$28,J$27,K341&lt;K$29,J$28,K341&lt;K$30,J$29,K341&lt;K$31,J$30,K341&lt;K$32,J$31,K341&lt;K$33,J$32,K341&lt;K$34,J$33,K341&lt;K$35,J$34,K341&lt;K$36,J$35,K341&lt;K$37,J$36,K341&lt;K$38,J$37,K341&lt;K$39,J$38,K341&lt;K$40,J$39,K341&lt;K$41,J$40,K341&lt;K$42,J$41,K341&lt;K$43,J$42,K341&lt;K$44,J$43,K341&lt;K$45,J$44,K341&lt;K$46,J$45,K341&lt;K$47,J$46,K341&gt;=K$47,J$47)</f>
        <v/>
      </c>
      <c r="K341" s="38" t="n">
        <v>291</v>
      </c>
      <c r="L341" s="31">
        <f>K341/52</f>
        <v/>
      </c>
      <c r="M341" s="39">
        <f>J341/1000000*52</f>
        <v/>
      </c>
      <c r="N341" s="33">
        <f>M341/$P$4+($I$22/$P$4)</f>
        <v/>
      </c>
      <c r="U341">
        <f>F340</f>
        <v/>
      </c>
      <c r="V341">
        <f>H340</f>
        <v/>
      </c>
      <c r="W341">
        <f>N340</f>
        <v/>
      </c>
    </row>
    <row r="342" ht="15.75" customHeight="1" s="40">
      <c r="C342" s="36">
        <f>_xlfn.IFS(E342&lt;E$24,0,E342&lt;E$26,C$24,E342&lt;E$28,C$26,E342&lt;E$30,C$28,E342&lt;E$32,C$30,E342&lt;E$34,C$32,E342&gt;=E$34,C$34)</f>
        <v/>
      </c>
      <c r="D342" s="37">
        <f>_xlfn.IFS(E342&lt;E$24,0,E342&lt;E$25,D$24,E342&lt;E$26,D$25,E342&lt;E$27,D$26,E342&lt;E$28,D$27,E342&lt;E$29,D$28,E342&lt;E$30,D$29,E342&lt;E$31,D$30,E342&lt;E$32,D$31,E342&lt;E$33,D$32,E342&lt;E$34,D$33,E342&lt;E$35,D$34,E342&gt;=E$35,D$35)</f>
        <v/>
      </c>
      <c r="E342" s="38" t="n">
        <v>292</v>
      </c>
      <c r="F342" s="31">
        <f>E342/52</f>
        <v/>
      </c>
      <c r="G342" s="39">
        <f>D342/1000000*52</f>
        <v/>
      </c>
      <c r="H342" s="33">
        <f>G342/$P$4+($C$22/$P$4)</f>
        <v/>
      </c>
      <c r="I342" s="36">
        <f>_xlfn.IFS(K342&lt;K$24,0,K342&lt;K$26,I$24,K342&lt;K$28,I$26,K342&lt;K$30,I$28,K342&lt;K$32,I$30,K342&lt;K$34,I$32,K342&lt;K$36,I$34,K342&lt;K$38,I$36,K342&lt;K$40,I$38,K342&lt;K$42,I$40,K342&lt;K$44,I$42,K342&lt;K$46,I$44,K342&gt;=K$46,I$46)</f>
        <v/>
      </c>
      <c r="J342" s="37">
        <f>_xlfn.IFS(K342&lt;K$24,0,K342&lt;K$25,J$24,K342&lt;K$26,J$25,K342&lt;K$27,J$26,K342&lt;K$28,J$27,K342&lt;K$29,J$28,K342&lt;K$30,J$29,K342&lt;K$31,J$30,K342&lt;K$32,J$31,K342&lt;K$33,J$32,K342&lt;K$34,J$33,K342&lt;K$35,J$34,K342&lt;K$36,J$35,K342&lt;K$37,J$36,K342&lt;K$38,J$37,K342&lt;K$39,J$38,K342&lt;K$40,J$39,K342&lt;K$41,J$40,K342&lt;K$42,J$41,K342&lt;K$43,J$42,K342&lt;K$44,J$43,K342&lt;K$45,J$44,K342&lt;K$46,J$45,K342&lt;K$47,J$46,K342&gt;=K$47,J$47)</f>
        <v/>
      </c>
      <c r="K342" s="38" t="n">
        <v>292</v>
      </c>
      <c r="L342" s="31">
        <f>K342/52</f>
        <v/>
      </c>
      <c r="M342" s="39">
        <f>J342/1000000*52</f>
        <v/>
      </c>
      <c r="N342" s="33">
        <f>M342/$P$4+($I$22/$P$4)</f>
        <v/>
      </c>
      <c r="U342">
        <f>F341</f>
        <v/>
      </c>
      <c r="V342">
        <f>H341</f>
        <v/>
      </c>
      <c r="W342">
        <f>N341</f>
        <v/>
      </c>
    </row>
    <row r="343" ht="15.75" customHeight="1" s="40">
      <c r="C343" s="36">
        <f>_xlfn.IFS(E343&lt;E$24,0,E343&lt;E$26,C$24,E343&lt;E$28,C$26,E343&lt;E$30,C$28,E343&lt;E$32,C$30,E343&lt;E$34,C$32,E343&gt;=E$34,C$34)</f>
        <v/>
      </c>
      <c r="D343" s="37">
        <f>_xlfn.IFS(E343&lt;E$24,0,E343&lt;E$25,D$24,E343&lt;E$26,D$25,E343&lt;E$27,D$26,E343&lt;E$28,D$27,E343&lt;E$29,D$28,E343&lt;E$30,D$29,E343&lt;E$31,D$30,E343&lt;E$32,D$31,E343&lt;E$33,D$32,E343&lt;E$34,D$33,E343&lt;E$35,D$34,E343&gt;=E$35,D$35)</f>
        <v/>
      </c>
      <c r="E343" s="38" t="n">
        <v>293</v>
      </c>
      <c r="F343" s="31">
        <f>E343/52</f>
        <v/>
      </c>
      <c r="G343" s="39">
        <f>D343/1000000*52</f>
        <v/>
      </c>
      <c r="H343" s="33">
        <f>G343/$P$4+($C$22/$P$4)</f>
        <v/>
      </c>
      <c r="I343" s="36">
        <f>_xlfn.IFS(K343&lt;K$24,0,K343&lt;K$26,I$24,K343&lt;K$28,I$26,K343&lt;K$30,I$28,K343&lt;K$32,I$30,K343&lt;K$34,I$32,K343&lt;K$36,I$34,K343&lt;K$38,I$36,K343&lt;K$40,I$38,K343&lt;K$42,I$40,K343&lt;K$44,I$42,K343&lt;K$46,I$44,K343&gt;=K$46,I$46)</f>
        <v/>
      </c>
      <c r="J343" s="37">
        <f>_xlfn.IFS(K343&lt;K$24,0,K343&lt;K$25,J$24,K343&lt;K$26,J$25,K343&lt;K$27,J$26,K343&lt;K$28,J$27,K343&lt;K$29,J$28,K343&lt;K$30,J$29,K343&lt;K$31,J$30,K343&lt;K$32,J$31,K343&lt;K$33,J$32,K343&lt;K$34,J$33,K343&lt;K$35,J$34,K343&lt;K$36,J$35,K343&lt;K$37,J$36,K343&lt;K$38,J$37,K343&lt;K$39,J$38,K343&lt;K$40,J$39,K343&lt;K$41,J$40,K343&lt;K$42,J$41,K343&lt;K$43,J$42,K343&lt;K$44,J$43,K343&lt;K$45,J$44,K343&lt;K$46,J$45,K343&lt;K$47,J$46,K343&gt;=K$47,J$47)</f>
        <v/>
      </c>
      <c r="K343" s="38" t="n">
        <v>293</v>
      </c>
      <c r="L343" s="31">
        <f>K343/52</f>
        <v/>
      </c>
      <c r="M343" s="39">
        <f>J343/1000000*52</f>
        <v/>
      </c>
      <c r="N343" s="33">
        <f>M343/$P$4+($I$22/$P$4)</f>
        <v/>
      </c>
      <c r="U343">
        <f>F342</f>
        <v/>
      </c>
      <c r="V343">
        <f>H342</f>
        <v/>
      </c>
      <c r="W343">
        <f>N342</f>
        <v/>
      </c>
    </row>
    <row r="344" ht="15.75" customHeight="1" s="40">
      <c r="C344" s="36">
        <f>_xlfn.IFS(E344&lt;E$24,0,E344&lt;E$26,C$24,E344&lt;E$28,C$26,E344&lt;E$30,C$28,E344&lt;E$32,C$30,E344&lt;E$34,C$32,E344&gt;=E$34,C$34)</f>
        <v/>
      </c>
      <c r="D344" s="37">
        <f>_xlfn.IFS(E344&lt;E$24,0,E344&lt;E$25,D$24,E344&lt;E$26,D$25,E344&lt;E$27,D$26,E344&lt;E$28,D$27,E344&lt;E$29,D$28,E344&lt;E$30,D$29,E344&lt;E$31,D$30,E344&lt;E$32,D$31,E344&lt;E$33,D$32,E344&lt;E$34,D$33,E344&lt;E$35,D$34,E344&gt;=E$35,D$35)</f>
        <v/>
      </c>
      <c r="E344" s="38" t="n">
        <v>294</v>
      </c>
      <c r="F344" s="31">
        <f>E344/52</f>
        <v/>
      </c>
      <c r="G344" s="39">
        <f>D344/1000000*52</f>
        <v/>
      </c>
      <c r="H344" s="33">
        <f>G344/$P$4+($C$22/$P$4)</f>
        <v/>
      </c>
      <c r="I344" s="36">
        <f>_xlfn.IFS(K344&lt;K$24,0,K344&lt;K$26,I$24,K344&lt;K$28,I$26,K344&lt;K$30,I$28,K344&lt;K$32,I$30,K344&lt;K$34,I$32,K344&lt;K$36,I$34,K344&lt;K$38,I$36,K344&lt;K$40,I$38,K344&lt;K$42,I$40,K344&lt;K$44,I$42,K344&lt;K$46,I$44,K344&gt;=K$46,I$46)</f>
        <v/>
      </c>
      <c r="J344" s="37">
        <f>_xlfn.IFS(K344&lt;K$24,0,K344&lt;K$25,J$24,K344&lt;K$26,J$25,K344&lt;K$27,J$26,K344&lt;K$28,J$27,K344&lt;K$29,J$28,K344&lt;K$30,J$29,K344&lt;K$31,J$30,K344&lt;K$32,J$31,K344&lt;K$33,J$32,K344&lt;K$34,J$33,K344&lt;K$35,J$34,K344&lt;K$36,J$35,K344&lt;K$37,J$36,K344&lt;K$38,J$37,K344&lt;K$39,J$38,K344&lt;K$40,J$39,K344&lt;K$41,J$40,K344&lt;K$42,J$41,K344&lt;K$43,J$42,K344&lt;K$44,J$43,K344&lt;K$45,J$44,K344&lt;K$46,J$45,K344&lt;K$47,J$46,K344&gt;=K$47,J$47)</f>
        <v/>
      </c>
      <c r="K344" s="38" t="n">
        <v>294</v>
      </c>
      <c r="L344" s="31">
        <f>K344/52</f>
        <v/>
      </c>
      <c r="M344" s="39">
        <f>J344/1000000*52</f>
        <v/>
      </c>
      <c r="N344" s="33">
        <f>M344/$P$4+($I$22/$P$4)</f>
        <v/>
      </c>
      <c r="U344">
        <f>F343</f>
        <v/>
      </c>
      <c r="V344">
        <f>H343</f>
        <v/>
      </c>
      <c r="W344">
        <f>N343</f>
        <v/>
      </c>
    </row>
    <row r="345" ht="15.75" customHeight="1" s="40">
      <c r="C345" s="36">
        <f>_xlfn.IFS(E345&lt;E$24,0,E345&lt;E$26,C$24,E345&lt;E$28,C$26,E345&lt;E$30,C$28,E345&lt;E$32,C$30,E345&lt;E$34,C$32,E345&gt;=E$34,C$34)</f>
        <v/>
      </c>
      <c r="D345" s="37">
        <f>_xlfn.IFS(E345&lt;E$24,0,E345&lt;E$25,D$24,E345&lt;E$26,D$25,E345&lt;E$27,D$26,E345&lt;E$28,D$27,E345&lt;E$29,D$28,E345&lt;E$30,D$29,E345&lt;E$31,D$30,E345&lt;E$32,D$31,E345&lt;E$33,D$32,E345&lt;E$34,D$33,E345&lt;E$35,D$34,E345&gt;=E$35,D$35)</f>
        <v/>
      </c>
      <c r="E345" s="38" t="n">
        <v>295</v>
      </c>
      <c r="F345" s="31">
        <f>E345/52</f>
        <v/>
      </c>
      <c r="G345" s="39">
        <f>D345/1000000*52</f>
        <v/>
      </c>
      <c r="H345" s="33">
        <f>G345/$P$4+($C$22/$P$4)</f>
        <v/>
      </c>
      <c r="I345" s="36">
        <f>_xlfn.IFS(K345&lt;K$24,0,K345&lt;K$26,I$24,K345&lt;K$28,I$26,K345&lt;K$30,I$28,K345&lt;K$32,I$30,K345&lt;K$34,I$32,K345&lt;K$36,I$34,K345&lt;K$38,I$36,K345&lt;K$40,I$38,K345&lt;K$42,I$40,K345&lt;K$44,I$42,K345&lt;K$46,I$44,K345&gt;=K$46,I$46)</f>
        <v/>
      </c>
      <c r="J345" s="37">
        <f>_xlfn.IFS(K345&lt;K$24,0,K345&lt;K$25,J$24,K345&lt;K$26,J$25,K345&lt;K$27,J$26,K345&lt;K$28,J$27,K345&lt;K$29,J$28,K345&lt;K$30,J$29,K345&lt;K$31,J$30,K345&lt;K$32,J$31,K345&lt;K$33,J$32,K345&lt;K$34,J$33,K345&lt;K$35,J$34,K345&lt;K$36,J$35,K345&lt;K$37,J$36,K345&lt;K$38,J$37,K345&lt;K$39,J$38,K345&lt;K$40,J$39,K345&lt;K$41,J$40,K345&lt;K$42,J$41,K345&lt;K$43,J$42,K345&lt;K$44,J$43,K345&lt;K$45,J$44,K345&lt;K$46,J$45,K345&lt;K$47,J$46,K345&gt;=K$47,J$47)</f>
        <v/>
      </c>
      <c r="K345" s="38" t="n">
        <v>295</v>
      </c>
      <c r="L345" s="31">
        <f>K345/52</f>
        <v/>
      </c>
      <c r="M345" s="39">
        <f>J345/1000000*52</f>
        <v/>
      </c>
      <c r="N345" s="33">
        <f>M345/$P$4+($I$22/$P$4)</f>
        <v/>
      </c>
      <c r="U345">
        <f>F344</f>
        <v/>
      </c>
      <c r="V345">
        <f>H344</f>
        <v/>
      </c>
      <c r="W345">
        <f>N344</f>
        <v/>
      </c>
    </row>
    <row r="346" ht="15.75" customHeight="1" s="40">
      <c r="C346" s="36">
        <f>_xlfn.IFS(E346&lt;E$24,0,E346&lt;E$26,C$24,E346&lt;E$28,C$26,E346&lt;E$30,C$28,E346&lt;E$32,C$30,E346&lt;E$34,C$32,E346&gt;=E$34,C$34)</f>
        <v/>
      </c>
      <c r="D346" s="37">
        <f>_xlfn.IFS(E346&lt;E$24,0,E346&lt;E$25,D$24,E346&lt;E$26,D$25,E346&lt;E$27,D$26,E346&lt;E$28,D$27,E346&lt;E$29,D$28,E346&lt;E$30,D$29,E346&lt;E$31,D$30,E346&lt;E$32,D$31,E346&lt;E$33,D$32,E346&lt;E$34,D$33,E346&lt;E$35,D$34,E346&gt;=E$35,D$35)</f>
        <v/>
      </c>
      <c r="E346" s="38" t="n">
        <v>296</v>
      </c>
      <c r="F346" s="31">
        <f>E346/52</f>
        <v/>
      </c>
      <c r="G346" s="39">
        <f>D346/1000000*52</f>
        <v/>
      </c>
      <c r="H346" s="33">
        <f>G346/$P$4+($C$22/$P$4)</f>
        <v/>
      </c>
      <c r="I346" s="36">
        <f>_xlfn.IFS(K346&lt;K$24,0,K346&lt;K$26,I$24,K346&lt;K$28,I$26,K346&lt;K$30,I$28,K346&lt;K$32,I$30,K346&lt;K$34,I$32,K346&lt;K$36,I$34,K346&lt;K$38,I$36,K346&lt;K$40,I$38,K346&lt;K$42,I$40,K346&lt;K$44,I$42,K346&lt;K$46,I$44,K346&gt;=K$46,I$46)</f>
        <v/>
      </c>
      <c r="J346" s="37">
        <f>_xlfn.IFS(K346&lt;K$24,0,K346&lt;K$25,J$24,K346&lt;K$26,J$25,K346&lt;K$27,J$26,K346&lt;K$28,J$27,K346&lt;K$29,J$28,K346&lt;K$30,J$29,K346&lt;K$31,J$30,K346&lt;K$32,J$31,K346&lt;K$33,J$32,K346&lt;K$34,J$33,K346&lt;K$35,J$34,K346&lt;K$36,J$35,K346&lt;K$37,J$36,K346&lt;K$38,J$37,K346&lt;K$39,J$38,K346&lt;K$40,J$39,K346&lt;K$41,J$40,K346&lt;K$42,J$41,K346&lt;K$43,J$42,K346&lt;K$44,J$43,K346&lt;K$45,J$44,K346&lt;K$46,J$45,K346&lt;K$47,J$46,K346&gt;=K$47,J$47)</f>
        <v/>
      </c>
      <c r="K346" s="38" t="n">
        <v>296</v>
      </c>
      <c r="L346" s="31">
        <f>K346/52</f>
        <v/>
      </c>
      <c r="M346" s="39">
        <f>J346/1000000*52</f>
        <v/>
      </c>
      <c r="N346" s="33">
        <f>M346/$P$4+($I$22/$P$4)</f>
        <v/>
      </c>
      <c r="U346">
        <f>F345</f>
        <v/>
      </c>
      <c r="V346">
        <f>H345</f>
        <v/>
      </c>
      <c r="W346">
        <f>N345</f>
        <v/>
      </c>
    </row>
    <row r="347" ht="15.75" customHeight="1" s="40">
      <c r="C347" s="36">
        <f>_xlfn.IFS(E347&lt;E$24,0,E347&lt;E$26,C$24,E347&lt;E$28,C$26,E347&lt;E$30,C$28,E347&lt;E$32,C$30,E347&lt;E$34,C$32,E347&gt;=E$34,C$34)</f>
        <v/>
      </c>
      <c r="D347" s="37">
        <f>_xlfn.IFS(E347&lt;E$24,0,E347&lt;E$25,D$24,E347&lt;E$26,D$25,E347&lt;E$27,D$26,E347&lt;E$28,D$27,E347&lt;E$29,D$28,E347&lt;E$30,D$29,E347&lt;E$31,D$30,E347&lt;E$32,D$31,E347&lt;E$33,D$32,E347&lt;E$34,D$33,E347&lt;E$35,D$34,E347&gt;=E$35,D$35)</f>
        <v/>
      </c>
      <c r="E347" s="38" t="n">
        <v>297</v>
      </c>
      <c r="F347" s="31">
        <f>E347/52</f>
        <v/>
      </c>
      <c r="G347" s="39">
        <f>D347/1000000*52</f>
        <v/>
      </c>
      <c r="H347" s="33">
        <f>G347/$P$4+($C$22/$P$4)</f>
        <v/>
      </c>
      <c r="I347" s="36">
        <f>_xlfn.IFS(K347&lt;K$24,0,K347&lt;K$26,I$24,K347&lt;K$28,I$26,K347&lt;K$30,I$28,K347&lt;K$32,I$30,K347&lt;K$34,I$32,K347&lt;K$36,I$34,K347&lt;K$38,I$36,K347&lt;K$40,I$38,K347&lt;K$42,I$40,K347&lt;K$44,I$42,K347&lt;K$46,I$44,K347&gt;=K$46,I$46)</f>
        <v/>
      </c>
      <c r="J347" s="37">
        <f>_xlfn.IFS(K347&lt;K$24,0,K347&lt;K$25,J$24,K347&lt;K$26,J$25,K347&lt;K$27,J$26,K347&lt;K$28,J$27,K347&lt;K$29,J$28,K347&lt;K$30,J$29,K347&lt;K$31,J$30,K347&lt;K$32,J$31,K347&lt;K$33,J$32,K347&lt;K$34,J$33,K347&lt;K$35,J$34,K347&lt;K$36,J$35,K347&lt;K$37,J$36,K347&lt;K$38,J$37,K347&lt;K$39,J$38,K347&lt;K$40,J$39,K347&lt;K$41,J$40,K347&lt;K$42,J$41,K347&lt;K$43,J$42,K347&lt;K$44,J$43,K347&lt;K$45,J$44,K347&lt;K$46,J$45,K347&lt;K$47,J$46,K347&gt;=K$47,J$47)</f>
        <v/>
      </c>
      <c r="K347" s="38" t="n">
        <v>297</v>
      </c>
      <c r="L347" s="31">
        <f>K347/52</f>
        <v/>
      </c>
      <c r="M347" s="39">
        <f>J347/1000000*52</f>
        <v/>
      </c>
      <c r="N347" s="33">
        <f>M347/$P$4+($I$22/$P$4)</f>
        <v/>
      </c>
      <c r="U347">
        <f>F346</f>
        <v/>
      </c>
      <c r="V347">
        <f>H346</f>
        <v/>
      </c>
      <c r="W347">
        <f>N346</f>
        <v/>
      </c>
    </row>
    <row r="348" ht="15.75" customHeight="1" s="40">
      <c r="C348" s="36">
        <f>_xlfn.IFS(E348&lt;E$24,0,E348&lt;E$26,C$24,E348&lt;E$28,C$26,E348&lt;E$30,C$28,E348&lt;E$32,C$30,E348&lt;E$34,C$32,E348&gt;=E$34,C$34)</f>
        <v/>
      </c>
      <c r="D348" s="37">
        <f>_xlfn.IFS(E348&lt;E$24,0,E348&lt;E$25,D$24,E348&lt;E$26,D$25,E348&lt;E$27,D$26,E348&lt;E$28,D$27,E348&lt;E$29,D$28,E348&lt;E$30,D$29,E348&lt;E$31,D$30,E348&lt;E$32,D$31,E348&lt;E$33,D$32,E348&lt;E$34,D$33,E348&lt;E$35,D$34,E348&gt;=E$35,D$35)</f>
        <v/>
      </c>
      <c r="E348" s="38" t="n">
        <v>298</v>
      </c>
      <c r="F348" s="31">
        <f>E348/52</f>
        <v/>
      </c>
      <c r="G348" s="39">
        <f>D348/1000000*52</f>
        <v/>
      </c>
      <c r="H348" s="33">
        <f>G348/$P$4+($C$22/$P$4)</f>
        <v/>
      </c>
      <c r="I348" s="36">
        <f>_xlfn.IFS(K348&lt;K$24,0,K348&lt;K$26,I$24,K348&lt;K$28,I$26,K348&lt;K$30,I$28,K348&lt;K$32,I$30,K348&lt;K$34,I$32,K348&lt;K$36,I$34,K348&lt;K$38,I$36,K348&lt;K$40,I$38,K348&lt;K$42,I$40,K348&lt;K$44,I$42,K348&lt;K$46,I$44,K348&gt;=K$46,I$46)</f>
        <v/>
      </c>
      <c r="J348" s="37">
        <f>_xlfn.IFS(K348&lt;K$24,0,K348&lt;K$25,J$24,K348&lt;K$26,J$25,K348&lt;K$27,J$26,K348&lt;K$28,J$27,K348&lt;K$29,J$28,K348&lt;K$30,J$29,K348&lt;K$31,J$30,K348&lt;K$32,J$31,K348&lt;K$33,J$32,K348&lt;K$34,J$33,K348&lt;K$35,J$34,K348&lt;K$36,J$35,K348&lt;K$37,J$36,K348&lt;K$38,J$37,K348&lt;K$39,J$38,K348&lt;K$40,J$39,K348&lt;K$41,J$40,K348&lt;K$42,J$41,K348&lt;K$43,J$42,K348&lt;K$44,J$43,K348&lt;K$45,J$44,K348&lt;K$46,J$45,K348&lt;K$47,J$46,K348&gt;=K$47,J$47)</f>
        <v/>
      </c>
      <c r="K348" s="38" t="n">
        <v>298</v>
      </c>
      <c r="L348" s="31">
        <f>K348/52</f>
        <v/>
      </c>
      <c r="M348" s="39">
        <f>J348/1000000*52</f>
        <v/>
      </c>
      <c r="N348" s="33">
        <f>M348/$P$4+($I$22/$P$4)</f>
        <v/>
      </c>
      <c r="U348">
        <f>F347</f>
        <v/>
      </c>
      <c r="V348">
        <f>H347</f>
        <v/>
      </c>
      <c r="W348">
        <f>N347</f>
        <v/>
      </c>
    </row>
    <row r="349" ht="15.75" customHeight="1" s="40">
      <c r="C349" s="36">
        <f>_xlfn.IFS(E349&lt;E$24,0,E349&lt;E$26,C$24,E349&lt;E$28,C$26,E349&lt;E$30,C$28,E349&lt;E$32,C$30,E349&lt;E$34,C$32,E349&gt;=E$34,C$34)</f>
        <v/>
      </c>
      <c r="D349" s="37">
        <f>_xlfn.IFS(E349&lt;E$24,0,E349&lt;E$25,D$24,E349&lt;E$26,D$25,E349&lt;E$27,D$26,E349&lt;E$28,D$27,E349&lt;E$29,D$28,E349&lt;E$30,D$29,E349&lt;E$31,D$30,E349&lt;E$32,D$31,E349&lt;E$33,D$32,E349&lt;E$34,D$33,E349&lt;E$35,D$34,E349&gt;=E$35,D$35)</f>
        <v/>
      </c>
      <c r="E349" s="38" t="n">
        <v>299</v>
      </c>
      <c r="F349" s="31">
        <f>E349/52</f>
        <v/>
      </c>
      <c r="G349" s="39">
        <f>D349/1000000*52</f>
        <v/>
      </c>
      <c r="H349" s="33">
        <f>G349/$P$4+($C$22/$P$4)</f>
        <v/>
      </c>
      <c r="I349" s="36">
        <f>_xlfn.IFS(K349&lt;K$24,0,K349&lt;K$26,I$24,K349&lt;K$28,I$26,K349&lt;K$30,I$28,K349&lt;K$32,I$30,K349&lt;K$34,I$32,K349&lt;K$36,I$34,K349&lt;K$38,I$36,K349&lt;K$40,I$38,K349&lt;K$42,I$40,K349&lt;K$44,I$42,K349&lt;K$46,I$44,K349&gt;=K$46,I$46)</f>
        <v/>
      </c>
      <c r="J349" s="37">
        <f>_xlfn.IFS(K349&lt;K$24,0,K349&lt;K$25,J$24,K349&lt;K$26,J$25,K349&lt;K$27,J$26,K349&lt;K$28,J$27,K349&lt;K$29,J$28,K349&lt;K$30,J$29,K349&lt;K$31,J$30,K349&lt;K$32,J$31,K349&lt;K$33,J$32,K349&lt;K$34,J$33,K349&lt;K$35,J$34,K349&lt;K$36,J$35,K349&lt;K$37,J$36,K349&lt;K$38,J$37,K349&lt;K$39,J$38,K349&lt;K$40,J$39,K349&lt;K$41,J$40,K349&lt;K$42,J$41,K349&lt;K$43,J$42,K349&lt;K$44,J$43,K349&lt;K$45,J$44,K349&lt;K$46,J$45,K349&lt;K$47,J$46,K349&gt;=K$47,J$47)</f>
        <v/>
      </c>
      <c r="K349" s="38" t="n">
        <v>299</v>
      </c>
      <c r="L349" s="31">
        <f>K349/52</f>
        <v/>
      </c>
      <c r="M349" s="39">
        <f>J349/1000000*52</f>
        <v/>
      </c>
      <c r="N349" s="33">
        <f>M349/$P$4+($I$22/$P$4)</f>
        <v/>
      </c>
      <c r="U349">
        <f>F348</f>
        <v/>
      </c>
      <c r="V349">
        <f>H348</f>
        <v/>
      </c>
      <c r="W349">
        <f>N348</f>
        <v/>
      </c>
    </row>
    <row r="350" ht="15.75" customHeight="1" s="40">
      <c r="C350" s="36">
        <f>_xlfn.IFS(E350&lt;E$24,0,E350&lt;E$26,C$24,E350&lt;E$28,C$26,E350&lt;E$30,C$28,E350&lt;E$32,C$30,E350&lt;E$34,C$32,E350&gt;=E$34,C$34)</f>
        <v/>
      </c>
      <c r="D350" s="37">
        <f>_xlfn.IFS(E350&lt;E$24,0,E350&lt;E$25,D$24,E350&lt;E$26,D$25,E350&lt;E$27,D$26,E350&lt;E$28,D$27,E350&lt;E$29,D$28,E350&lt;E$30,D$29,E350&lt;E$31,D$30,E350&lt;E$32,D$31,E350&lt;E$33,D$32,E350&lt;E$34,D$33,E350&lt;E$35,D$34,E350&gt;=E$35,D$35)</f>
        <v/>
      </c>
      <c r="E350" s="38" t="n">
        <v>300</v>
      </c>
      <c r="F350" s="31">
        <f>E350/52</f>
        <v/>
      </c>
      <c r="G350" s="39">
        <f>D350/1000000*52</f>
        <v/>
      </c>
      <c r="H350" s="33">
        <f>G350/$P$4+($C$22/$P$4)</f>
        <v/>
      </c>
      <c r="I350" s="36">
        <f>_xlfn.IFS(K350&lt;K$24,0,K350&lt;K$26,I$24,K350&lt;K$28,I$26,K350&lt;K$30,I$28,K350&lt;K$32,I$30,K350&lt;K$34,I$32,K350&lt;K$36,I$34,K350&lt;K$38,I$36,K350&lt;K$40,I$38,K350&lt;K$42,I$40,K350&lt;K$44,I$42,K350&lt;K$46,I$44,K350&gt;=K$46,I$46)</f>
        <v/>
      </c>
      <c r="J350" s="37">
        <f>_xlfn.IFS(K350&lt;K$24,0,K350&lt;K$25,J$24,K350&lt;K$26,J$25,K350&lt;K$27,J$26,K350&lt;K$28,J$27,K350&lt;K$29,J$28,K350&lt;K$30,J$29,K350&lt;K$31,J$30,K350&lt;K$32,J$31,K350&lt;K$33,J$32,K350&lt;K$34,J$33,K350&lt;K$35,J$34,K350&lt;K$36,J$35,K350&lt;K$37,J$36,K350&lt;K$38,J$37,K350&lt;K$39,J$38,K350&lt;K$40,J$39,K350&lt;K$41,J$40,K350&lt;K$42,J$41,K350&lt;K$43,J$42,K350&lt;K$44,J$43,K350&lt;K$45,J$44,K350&lt;K$46,J$45,K350&lt;K$47,J$46,K350&gt;=K$47,J$47)</f>
        <v/>
      </c>
      <c r="K350" s="38" t="n">
        <v>300</v>
      </c>
      <c r="L350" s="31">
        <f>K350/52</f>
        <v/>
      </c>
      <c r="M350" s="39">
        <f>J350/1000000*52</f>
        <v/>
      </c>
      <c r="N350" s="33">
        <f>M350/$P$4+($I$22/$P$4)</f>
        <v/>
      </c>
      <c r="U350">
        <f>F349</f>
        <v/>
      </c>
      <c r="V350">
        <f>H349</f>
        <v/>
      </c>
      <c r="W350">
        <f>N349</f>
        <v/>
      </c>
    </row>
    <row r="351" ht="15.75" customHeight="1" s="40">
      <c r="C351" s="36">
        <f>_xlfn.IFS(E351&lt;E$24,0,E351&lt;E$26,C$24,E351&lt;E$28,C$26,E351&lt;E$30,C$28,E351&lt;E$32,C$30,E351&lt;E$34,C$32,E351&gt;=E$34,C$34)</f>
        <v/>
      </c>
      <c r="D351" s="37">
        <f>_xlfn.IFS(E351&lt;E$24,0,E351&lt;E$25,D$24,E351&lt;E$26,D$25,E351&lt;E$27,D$26,E351&lt;E$28,D$27,E351&lt;E$29,D$28,E351&lt;E$30,D$29,E351&lt;E$31,D$30,E351&lt;E$32,D$31,E351&lt;E$33,D$32,E351&lt;E$34,D$33,E351&lt;E$35,D$34,E351&gt;=E$35,D$35)</f>
        <v/>
      </c>
      <c r="E351" s="38" t="n">
        <v>301</v>
      </c>
      <c r="F351" s="31">
        <f>E351/52</f>
        <v/>
      </c>
      <c r="G351" s="39">
        <f>D351/1000000*52</f>
        <v/>
      </c>
      <c r="H351" s="33">
        <f>G351/$P$4+($C$22/$P$4)</f>
        <v/>
      </c>
      <c r="I351" s="36">
        <f>_xlfn.IFS(K351&lt;K$24,0,K351&lt;K$26,I$24,K351&lt;K$28,I$26,K351&lt;K$30,I$28,K351&lt;K$32,I$30,K351&lt;K$34,I$32,K351&lt;K$36,I$34,K351&lt;K$38,I$36,K351&lt;K$40,I$38,K351&lt;K$42,I$40,K351&lt;K$44,I$42,K351&lt;K$46,I$44,K351&gt;=K$46,I$46)</f>
        <v/>
      </c>
      <c r="J351" s="37">
        <f>_xlfn.IFS(K351&lt;K$24,0,K351&lt;K$25,J$24,K351&lt;K$26,J$25,K351&lt;K$27,J$26,K351&lt;K$28,J$27,K351&lt;K$29,J$28,K351&lt;K$30,J$29,K351&lt;K$31,J$30,K351&lt;K$32,J$31,K351&lt;K$33,J$32,K351&lt;K$34,J$33,K351&lt;K$35,J$34,K351&lt;K$36,J$35,K351&lt;K$37,J$36,K351&lt;K$38,J$37,K351&lt;K$39,J$38,K351&lt;K$40,J$39,K351&lt;K$41,J$40,K351&lt;K$42,J$41,K351&lt;K$43,J$42,K351&lt;K$44,J$43,K351&lt;K$45,J$44,K351&lt;K$46,J$45,K351&lt;K$47,J$46,K351&gt;=K$47,J$47)</f>
        <v/>
      </c>
      <c r="K351" s="38" t="n">
        <v>301</v>
      </c>
      <c r="L351" s="31">
        <f>K351/52</f>
        <v/>
      </c>
      <c r="M351" s="39">
        <f>J351/1000000*52</f>
        <v/>
      </c>
      <c r="N351" s="33">
        <f>M351/$P$4+($I$22/$P$4)</f>
        <v/>
      </c>
      <c r="U351">
        <f>F350</f>
        <v/>
      </c>
      <c r="V351">
        <f>H350</f>
        <v/>
      </c>
      <c r="W351">
        <f>N350</f>
        <v/>
      </c>
    </row>
    <row r="352" ht="15.75" customHeight="1" s="40">
      <c r="C352" s="36">
        <f>_xlfn.IFS(E352&lt;E$24,0,E352&lt;E$26,C$24,E352&lt;E$28,C$26,E352&lt;E$30,C$28,E352&lt;E$32,C$30,E352&lt;E$34,C$32,E352&gt;=E$34,C$34)</f>
        <v/>
      </c>
      <c r="D352" s="37">
        <f>_xlfn.IFS(E352&lt;E$24,0,E352&lt;E$25,D$24,E352&lt;E$26,D$25,E352&lt;E$27,D$26,E352&lt;E$28,D$27,E352&lt;E$29,D$28,E352&lt;E$30,D$29,E352&lt;E$31,D$30,E352&lt;E$32,D$31,E352&lt;E$33,D$32,E352&lt;E$34,D$33,E352&lt;E$35,D$34,E352&gt;=E$35,D$35)</f>
        <v/>
      </c>
      <c r="E352" s="38" t="n">
        <v>302</v>
      </c>
      <c r="F352" s="31">
        <f>E352/52</f>
        <v/>
      </c>
      <c r="G352" s="39">
        <f>D352/1000000*52</f>
        <v/>
      </c>
      <c r="H352" s="33">
        <f>G352/$P$4+($C$22/$P$4)</f>
        <v/>
      </c>
      <c r="I352" s="36">
        <f>_xlfn.IFS(K352&lt;K$24,0,K352&lt;K$26,I$24,K352&lt;K$28,I$26,K352&lt;K$30,I$28,K352&lt;K$32,I$30,K352&lt;K$34,I$32,K352&lt;K$36,I$34,K352&lt;K$38,I$36,K352&lt;K$40,I$38,K352&lt;K$42,I$40,K352&lt;K$44,I$42,K352&lt;K$46,I$44,K352&gt;=K$46,I$46)</f>
        <v/>
      </c>
      <c r="J352" s="37">
        <f>_xlfn.IFS(K352&lt;K$24,0,K352&lt;K$25,J$24,K352&lt;K$26,J$25,K352&lt;K$27,J$26,K352&lt;K$28,J$27,K352&lt;K$29,J$28,K352&lt;K$30,J$29,K352&lt;K$31,J$30,K352&lt;K$32,J$31,K352&lt;K$33,J$32,K352&lt;K$34,J$33,K352&lt;K$35,J$34,K352&lt;K$36,J$35,K352&lt;K$37,J$36,K352&lt;K$38,J$37,K352&lt;K$39,J$38,K352&lt;K$40,J$39,K352&lt;K$41,J$40,K352&lt;K$42,J$41,K352&lt;K$43,J$42,K352&lt;K$44,J$43,K352&lt;K$45,J$44,K352&lt;K$46,J$45,K352&lt;K$47,J$46,K352&gt;=K$47,J$47)</f>
        <v/>
      </c>
      <c r="K352" s="38" t="n">
        <v>302</v>
      </c>
      <c r="L352" s="31">
        <f>K352/52</f>
        <v/>
      </c>
      <c r="M352" s="39">
        <f>J352/1000000*52</f>
        <v/>
      </c>
      <c r="N352" s="33">
        <f>M352/$P$4+($I$22/$P$4)</f>
        <v/>
      </c>
      <c r="U352">
        <f>F351</f>
        <v/>
      </c>
      <c r="V352">
        <f>H351</f>
        <v/>
      </c>
      <c r="W352">
        <f>N351</f>
        <v/>
      </c>
    </row>
    <row r="353" ht="15.75" customHeight="1" s="40">
      <c r="C353" s="36">
        <f>_xlfn.IFS(E353&lt;E$24,0,E353&lt;E$26,C$24,E353&lt;E$28,C$26,E353&lt;E$30,C$28,E353&lt;E$32,C$30,E353&lt;E$34,C$32,E353&gt;=E$34,C$34)</f>
        <v/>
      </c>
      <c r="D353" s="37">
        <f>_xlfn.IFS(E353&lt;E$24,0,E353&lt;E$25,D$24,E353&lt;E$26,D$25,E353&lt;E$27,D$26,E353&lt;E$28,D$27,E353&lt;E$29,D$28,E353&lt;E$30,D$29,E353&lt;E$31,D$30,E353&lt;E$32,D$31,E353&lt;E$33,D$32,E353&lt;E$34,D$33,E353&lt;E$35,D$34,E353&gt;=E$35,D$35)</f>
        <v/>
      </c>
      <c r="E353" s="38" t="n">
        <v>303</v>
      </c>
      <c r="F353" s="31">
        <f>E353/52</f>
        <v/>
      </c>
      <c r="G353" s="39">
        <f>D353/1000000*52</f>
        <v/>
      </c>
      <c r="H353" s="33">
        <f>G353/$P$4+($C$22/$P$4)</f>
        <v/>
      </c>
      <c r="I353" s="36">
        <f>_xlfn.IFS(K353&lt;K$24,0,K353&lt;K$26,I$24,K353&lt;K$28,I$26,K353&lt;K$30,I$28,K353&lt;K$32,I$30,K353&lt;K$34,I$32,K353&lt;K$36,I$34,K353&lt;K$38,I$36,K353&lt;K$40,I$38,K353&lt;K$42,I$40,K353&lt;K$44,I$42,K353&lt;K$46,I$44,K353&gt;=K$46,I$46)</f>
        <v/>
      </c>
      <c r="J353" s="37">
        <f>_xlfn.IFS(K353&lt;K$24,0,K353&lt;K$25,J$24,K353&lt;K$26,J$25,K353&lt;K$27,J$26,K353&lt;K$28,J$27,K353&lt;K$29,J$28,K353&lt;K$30,J$29,K353&lt;K$31,J$30,K353&lt;K$32,J$31,K353&lt;K$33,J$32,K353&lt;K$34,J$33,K353&lt;K$35,J$34,K353&lt;K$36,J$35,K353&lt;K$37,J$36,K353&lt;K$38,J$37,K353&lt;K$39,J$38,K353&lt;K$40,J$39,K353&lt;K$41,J$40,K353&lt;K$42,J$41,K353&lt;K$43,J$42,K353&lt;K$44,J$43,K353&lt;K$45,J$44,K353&lt;K$46,J$45,K353&lt;K$47,J$46,K353&gt;=K$47,J$47)</f>
        <v/>
      </c>
      <c r="K353" s="38" t="n">
        <v>303</v>
      </c>
      <c r="L353" s="31">
        <f>K353/52</f>
        <v/>
      </c>
      <c r="M353" s="39">
        <f>J353/1000000*52</f>
        <v/>
      </c>
      <c r="N353" s="33">
        <f>M353/$P$4+($I$22/$P$4)</f>
        <v/>
      </c>
      <c r="U353">
        <f>F352</f>
        <v/>
      </c>
      <c r="V353">
        <f>H352</f>
        <v/>
      </c>
      <c r="W353">
        <f>N352</f>
        <v/>
      </c>
    </row>
    <row r="354" ht="15.75" customHeight="1" s="40">
      <c r="C354" s="36">
        <f>_xlfn.IFS(E354&lt;E$24,0,E354&lt;E$26,C$24,E354&lt;E$28,C$26,E354&lt;E$30,C$28,E354&lt;E$32,C$30,E354&lt;E$34,C$32,E354&gt;=E$34,C$34)</f>
        <v/>
      </c>
      <c r="D354" s="37">
        <f>_xlfn.IFS(E354&lt;E$24,0,E354&lt;E$25,D$24,E354&lt;E$26,D$25,E354&lt;E$27,D$26,E354&lt;E$28,D$27,E354&lt;E$29,D$28,E354&lt;E$30,D$29,E354&lt;E$31,D$30,E354&lt;E$32,D$31,E354&lt;E$33,D$32,E354&lt;E$34,D$33,E354&lt;E$35,D$34,E354&gt;=E$35,D$35)</f>
        <v/>
      </c>
      <c r="E354" s="38" t="n">
        <v>304</v>
      </c>
      <c r="F354" s="31">
        <f>E354/52</f>
        <v/>
      </c>
      <c r="G354" s="39">
        <f>D354/1000000*52</f>
        <v/>
      </c>
      <c r="H354" s="33">
        <f>G354/$P$4+($C$22/$P$4)</f>
        <v/>
      </c>
      <c r="I354" s="36">
        <f>_xlfn.IFS(K354&lt;K$24,0,K354&lt;K$26,I$24,K354&lt;K$28,I$26,K354&lt;K$30,I$28,K354&lt;K$32,I$30,K354&lt;K$34,I$32,K354&lt;K$36,I$34,K354&lt;K$38,I$36,K354&lt;K$40,I$38,K354&lt;K$42,I$40,K354&lt;K$44,I$42,K354&lt;K$46,I$44,K354&gt;=K$46,I$46)</f>
        <v/>
      </c>
      <c r="J354" s="37">
        <f>_xlfn.IFS(K354&lt;K$24,0,K354&lt;K$25,J$24,K354&lt;K$26,J$25,K354&lt;K$27,J$26,K354&lt;K$28,J$27,K354&lt;K$29,J$28,K354&lt;K$30,J$29,K354&lt;K$31,J$30,K354&lt;K$32,J$31,K354&lt;K$33,J$32,K354&lt;K$34,J$33,K354&lt;K$35,J$34,K354&lt;K$36,J$35,K354&lt;K$37,J$36,K354&lt;K$38,J$37,K354&lt;K$39,J$38,K354&lt;K$40,J$39,K354&lt;K$41,J$40,K354&lt;K$42,J$41,K354&lt;K$43,J$42,K354&lt;K$44,J$43,K354&lt;K$45,J$44,K354&lt;K$46,J$45,K354&lt;K$47,J$46,K354&gt;=K$47,J$47)</f>
        <v/>
      </c>
      <c r="K354" s="38" t="n">
        <v>304</v>
      </c>
      <c r="L354" s="31">
        <f>K354/52</f>
        <v/>
      </c>
      <c r="M354" s="39">
        <f>J354/1000000*52</f>
        <v/>
      </c>
      <c r="N354" s="33">
        <f>M354/$P$4+($I$22/$P$4)</f>
        <v/>
      </c>
      <c r="U354">
        <f>F353</f>
        <v/>
      </c>
      <c r="V354">
        <f>H353</f>
        <v/>
      </c>
      <c r="W354">
        <f>N353</f>
        <v/>
      </c>
    </row>
    <row r="355" ht="15.75" customHeight="1" s="40">
      <c r="C355" s="36">
        <f>_xlfn.IFS(E355&lt;E$24,0,E355&lt;E$26,C$24,E355&lt;E$28,C$26,E355&lt;E$30,C$28,E355&lt;E$32,C$30,E355&lt;E$34,C$32,E355&gt;=E$34,C$34)</f>
        <v/>
      </c>
      <c r="D355" s="37">
        <f>_xlfn.IFS(E355&lt;E$24,0,E355&lt;E$25,D$24,E355&lt;E$26,D$25,E355&lt;E$27,D$26,E355&lt;E$28,D$27,E355&lt;E$29,D$28,E355&lt;E$30,D$29,E355&lt;E$31,D$30,E355&lt;E$32,D$31,E355&lt;E$33,D$32,E355&lt;E$34,D$33,E355&lt;E$35,D$34,E355&gt;=E$35,D$35)</f>
        <v/>
      </c>
      <c r="E355" s="38" t="n">
        <v>305</v>
      </c>
      <c r="F355" s="31">
        <f>E355/52</f>
        <v/>
      </c>
      <c r="G355" s="39">
        <f>D355/1000000*52</f>
        <v/>
      </c>
      <c r="H355" s="33">
        <f>G355/$P$4+($C$22/$P$4)</f>
        <v/>
      </c>
      <c r="I355" s="36">
        <f>_xlfn.IFS(K355&lt;K$24,0,K355&lt;K$26,I$24,K355&lt;K$28,I$26,K355&lt;K$30,I$28,K355&lt;K$32,I$30,K355&lt;K$34,I$32,K355&lt;K$36,I$34,K355&lt;K$38,I$36,K355&lt;K$40,I$38,K355&lt;K$42,I$40,K355&lt;K$44,I$42,K355&lt;K$46,I$44,K355&gt;=K$46,I$46)</f>
        <v/>
      </c>
      <c r="J355" s="37">
        <f>_xlfn.IFS(K355&lt;K$24,0,K355&lt;K$25,J$24,K355&lt;K$26,J$25,K355&lt;K$27,J$26,K355&lt;K$28,J$27,K355&lt;K$29,J$28,K355&lt;K$30,J$29,K355&lt;K$31,J$30,K355&lt;K$32,J$31,K355&lt;K$33,J$32,K355&lt;K$34,J$33,K355&lt;K$35,J$34,K355&lt;K$36,J$35,K355&lt;K$37,J$36,K355&lt;K$38,J$37,K355&lt;K$39,J$38,K355&lt;K$40,J$39,K355&lt;K$41,J$40,K355&lt;K$42,J$41,K355&lt;K$43,J$42,K355&lt;K$44,J$43,K355&lt;K$45,J$44,K355&lt;K$46,J$45,K355&lt;K$47,J$46,K355&gt;=K$47,J$47)</f>
        <v/>
      </c>
      <c r="K355" s="38" t="n">
        <v>305</v>
      </c>
      <c r="L355" s="31">
        <f>K355/52</f>
        <v/>
      </c>
      <c r="M355" s="39">
        <f>J355/1000000*52</f>
        <v/>
      </c>
      <c r="N355" s="33">
        <f>M355/$P$4+($I$22/$P$4)</f>
        <v/>
      </c>
      <c r="U355">
        <f>F354</f>
        <v/>
      </c>
      <c r="V355">
        <f>H354</f>
        <v/>
      </c>
      <c r="W355">
        <f>N354</f>
        <v/>
      </c>
    </row>
    <row r="356" ht="15.75" customHeight="1" s="40">
      <c r="C356" s="36">
        <f>_xlfn.IFS(E356&lt;E$24,0,E356&lt;E$26,C$24,E356&lt;E$28,C$26,E356&lt;E$30,C$28,E356&lt;E$32,C$30,E356&lt;E$34,C$32,E356&gt;=E$34,C$34)</f>
        <v/>
      </c>
      <c r="D356" s="37">
        <f>_xlfn.IFS(E356&lt;E$24,0,E356&lt;E$25,D$24,E356&lt;E$26,D$25,E356&lt;E$27,D$26,E356&lt;E$28,D$27,E356&lt;E$29,D$28,E356&lt;E$30,D$29,E356&lt;E$31,D$30,E356&lt;E$32,D$31,E356&lt;E$33,D$32,E356&lt;E$34,D$33,E356&lt;E$35,D$34,E356&gt;=E$35,D$35)</f>
        <v/>
      </c>
      <c r="E356" s="38" t="n">
        <v>306</v>
      </c>
      <c r="F356" s="31">
        <f>E356/52</f>
        <v/>
      </c>
      <c r="G356" s="39">
        <f>D356/1000000*52</f>
        <v/>
      </c>
      <c r="H356" s="33">
        <f>G356/$P$4+($C$22/$P$4)</f>
        <v/>
      </c>
      <c r="I356" s="36">
        <f>_xlfn.IFS(K356&lt;K$24,0,K356&lt;K$26,I$24,K356&lt;K$28,I$26,K356&lt;K$30,I$28,K356&lt;K$32,I$30,K356&lt;K$34,I$32,K356&lt;K$36,I$34,K356&lt;K$38,I$36,K356&lt;K$40,I$38,K356&lt;K$42,I$40,K356&lt;K$44,I$42,K356&lt;K$46,I$44,K356&gt;=K$46,I$46)</f>
        <v/>
      </c>
      <c r="J356" s="37">
        <f>_xlfn.IFS(K356&lt;K$24,0,K356&lt;K$25,J$24,K356&lt;K$26,J$25,K356&lt;K$27,J$26,K356&lt;K$28,J$27,K356&lt;K$29,J$28,K356&lt;K$30,J$29,K356&lt;K$31,J$30,K356&lt;K$32,J$31,K356&lt;K$33,J$32,K356&lt;K$34,J$33,K356&lt;K$35,J$34,K356&lt;K$36,J$35,K356&lt;K$37,J$36,K356&lt;K$38,J$37,K356&lt;K$39,J$38,K356&lt;K$40,J$39,K356&lt;K$41,J$40,K356&lt;K$42,J$41,K356&lt;K$43,J$42,K356&lt;K$44,J$43,K356&lt;K$45,J$44,K356&lt;K$46,J$45,K356&lt;K$47,J$46,K356&gt;=K$47,J$47)</f>
        <v/>
      </c>
      <c r="K356" s="38" t="n">
        <v>306</v>
      </c>
      <c r="L356" s="31">
        <f>K356/52</f>
        <v/>
      </c>
      <c r="M356" s="39">
        <f>J356/1000000*52</f>
        <v/>
      </c>
      <c r="N356" s="33">
        <f>M356/$P$4+($I$22/$P$4)</f>
        <v/>
      </c>
      <c r="U356">
        <f>F355</f>
        <v/>
      </c>
      <c r="V356">
        <f>H355</f>
        <v/>
      </c>
      <c r="W356">
        <f>N355</f>
        <v/>
      </c>
    </row>
    <row r="357" ht="15.75" customHeight="1" s="40">
      <c r="C357" s="36">
        <f>_xlfn.IFS(E357&lt;E$24,0,E357&lt;E$26,C$24,E357&lt;E$28,C$26,E357&lt;E$30,C$28,E357&lt;E$32,C$30,E357&lt;E$34,C$32,E357&gt;=E$34,C$34)</f>
        <v/>
      </c>
      <c r="D357" s="37">
        <f>_xlfn.IFS(E357&lt;E$24,0,E357&lt;E$25,D$24,E357&lt;E$26,D$25,E357&lt;E$27,D$26,E357&lt;E$28,D$27,E357&lt;E$29,D$28,E357&lt;E$30,D$29,E357&lt;E$31,D$30,E357&lt;E$32,D$31,E357&lt;E$33,D$32,E357&lt;E$34,D$33,E357&lt;E$35,D$34,E357&gt;=E$35,D$35)</f>
        <v/>
      </c>
      <c r="E357" s="38" t="n">
        <v>307</v>
      </c>
      <c r="F357" s="31">
        <f>E357/52</f>
        <v/>
      </c>
      <c r="G357" s="39">
        <f>D357/1000000*52</f>
        <v/>
      </c>
      <c r="H357" s="33">
        <f>G357/$P$4+($C$22/$P$4)</f>
        <v/>
      </c>
      <c r="I357" s="36">
        <f>_xlfn.IFS(K357&lt;K$24,0,K357&lt;K$26,I$24,K357&lt;K$28,I$26,K357&lt;K$30,I$28,K357&lt;K$32,I$30,K357&lt;K$34,I$32,K357&lt;K$36,I$34,K357&lt;K$38,I$36,K357&lt;K$40,I$38,K357&lt;K$42,I$40,K357&lt;K$44,I$42,K357&lt;K$46,I$44,K357&gt;=K$46,I$46)</f>
        <v/>
      </c>
      <c r="J357" s="37">
        <f>_xlfn.IFS(K357&lt;K$24,0,K357&lt;K$25,J$24,K357&lt;K$26,J$25,K357&lt;K$27,J$26,K357&lt;K$28,J$27,K357&lt;K$29,J$28,K357&lt;K$30,J$29,K357&lt;K$31,J$30,K357&lt;K$32,J$31,K357&lt;K$33,J$32,K357&lt;K$34,J$33,K357&lt;K$35,J$34,K357&lt;K$36,J$35,K357&lt;K$37,J$36,K357&lt;K$38,J$37,K357&lt;K$39,J$38,K357&lt;K$40,J$39,K357&lt;K$41,J$40,K357&lt;K$42,J$41,K357&lt;K$43,J$42,K357&lt;K$44,J$43,K357&lt;K$45,J$44,K357&lt;K$46,J$45,K357&lt;K$47,J$46,K357&gt;=K$47,J$47)</f>
        <v/>
      </c>
      <c r="K357" s="38" t="n">
        <v>307</v>
      </c>
      <c r="L357" s="31">
        <f>K357/52</f>
        <v/>
      </c>
      <c r="M357" s="39">
        <f>J357/1000000*52</f>
        <v/>
      </c>
      <c r="N357" s="33">
        <f>M357/$P$4+($I$22/$P$4)</f>
        <v/>
      </c>
      <c r="U357">
        <f>F356</f>
        <v/>
      </c>
      <c r="V357">
        <f>H356</f>
        <v/>
      </c>
      <c r="W357">
        <f>N356</f>
        <v/>
      </c>
    </row>
    <row r="358" ht="15.75" customHeight="1" s="40">
      <c r="C358" s="36">
        <f>_xlfn.IFS(E358&lt;E$24,0,E358&lt;E$26,C$24,E358&lt;E$28,C$26,E358&lt;E$30,C$28,E358&lt;E$32,C$30,E358&lt;E$34,C$32,E358&gt;=E$34,C$34)</f>
        <v/>
      </c>
      <c r="D358" s="37">
        <f>_xlfn.IFS(E358&lt;E$24,0,E358&lt;E$25,D$24,E358&lt;E$26,D$25,E358&lt;E$27,D$26,E358&lt;E$28,D$27,E358&lt;E$29,D$28,E358&lt;E$30,D$29,E358&lt;E$31,D$30,E358&lt;E$32,D$31,E358&lt;E$33,D$32,E358&lt;E$34,D$33,E358&lt;E$35,D$34,E358&gt;=E$35,D$35)</f>
        <v/>
      </c>
      <c r="E358" s="38" t="n">
        <v>308</v>
      </c>
      <c r="F358" s="31">
        <f>E358/52</f>
        <v/>
      </c>
      <c r="G358" s="39">
        <f>D358/1000000*52</f>
        <v/>
      </c>
      <c r="H358" s="33">
        <f>G358/$P$4+($C$22/$P$4)</f>
        <v/>
      </c>
      <c r="I358" s="36">
        <f>_xlfn.IFS(K358&lt;K$24,0,K358&lt;K$26,I$24,K358&lt;K$28,I$26,K358&lt;K$30,I$28,K358&lt;K$32,I$30,K358&lt;K$34,I$32,K358&lt;K$36,I$34,K358&lt;K$38,I$36,K358&lt;K$40,I$38,K358&lt;K$42,I$40,K358&lt;K$44,I$42,K358&lt;K$46,I$44,K358&gt;=K$46,I$46)</f>
        <v/>
      </c>
      <c r="J358" s="37">
        <f>_xlfn.IFS(K358&lt;K$24,0,K358&lt;K$25,J$24,K358&lt;K$26,J$25,K358&lt;K$27,J$26,K358&lt;K$28,J$27,K358&lt;K$29,J$28,K358&lt;K$30,J$29,K358&lt;K$31,J$30,K358&lt;K$32,J$31,K358&lt;K$33,J$32,K358&lt;K$34,J$33,K358&lt;K$35,J$34,K358&lt;K$36,J$35,K358&lt;K$37,J$36,K358&lt;K$38,J$37,K358&lt;K$39,J$38,K358&lt;K$40,J$39,K358&lt;K$41,J$40,K358&lt;K$42,J$41,K358&lt;K$43,J$42,K358&lt;K$44,J$43,K358&lt;K$45,J$44,K358&lt;K$46,J$45,K358&lt;K$47,J$46,K358&gt;=K$47,J$47)</f>
        <v/>
      </c>
      <c r="K358" s="38" t="n">
        <v>308</v>
      </c>
      <c r="L358" s="31">
        <f>K358/52</f>
        <v/>
      </c>
      <c r="M358" s="39">
        <f>J358/1000000*52</f>
        <v/>
      </c>
      <c r="N358" s="33">
        <f>M358/$P$4+($I$22/$P$4)</f>
        <v/>
      </c>
      <c r="U358">
        <f>F357</f>
        <v/>
      </c>
      <c r="V358">
        <f>H357</f>
        <v/>
      </c>
      <c r="W358">
        <f>N357</f>
        <v/>
      </c>
    </row>
    <row r="359" ht="15.75" customHeight="1" s="40">
      <c r="C359" s="36">
        <f>_xlfn.IFS(E359&lt;E$24,0,E359&lt;E$26,C$24,E359&lt;E$28,C$26,E359&lt;E$30,C$28,E359&lt;E$32,C$30,E359&lt;E$34,C$32,E359&gt;=E$34,C$34)</f>
        <v/>
      </c>
      <c r="D359" s="37">
        <f>_xlfn.IFS(E359&lt;E$24,0,E359&lt;E$25,D$24,E359&lt;E$26,D$25,E359&lt;E$27,D$26,E359&lt;E$28,D$27,E359&lt;E$29,D$28,E359&lt;E$30,D$29,E359&lt;E$31,D$30,E359&lt;E$32,D$31,E359&lt;E$33,D$32,E359&lt;E$34,D$33,E359&lt;E$35,D$34,E359&gt;=E$35,D$35)</f>
        <v/>
      </c>
      <c r="E359" s="38" t="n">
        <v>309</v>
      </c>
      <c r="F359" s="31">
        <f>E359/52</f>
        <v/>
      </c>
      <c r="G359" s="39">
        <f>D359/1000000*52</f>
        <v/>
      </c>
      <c r="H359" s="33">
        <f>G359/$P$4+($C$22/$P$4)</f>
        <v/>
      </c>
      <c r="I359" s="36">
        <f>_xlfn.IFS(K359&lt;K$24,0,K359&lt;K$26,I$24,K359&lt;K$28,I$26,K359&lt;K$30,I$28,K359&lt;K$32,I$30,K359&lt;K$34,I$32,K359&lt;K$36,I$34,K359&lt;K$38,I$36,K359&lt;K$40,I$38,K359&lt;K$42,I$40,K359&lt;K$44,I$42,K359&lt;K$46,I$44,K359&gt;=K$46,I$46)</f>
        <v/>
      </c>
      <c r="J359" s="37">
        <f>_xlfn.IFS(K359&lt;K$24,0,K359&lt;K$25,J$24,K359&lt;K$26,J$25,K359&lt;K$27,J$26,K359&lt;K$28,J$27,K359&lt;K$29,J$28,K359&lt;K$30,J$29,K359&lt;K$31,J$30,K359&lt;K$32,J$31,K359&lt;K$33,J$32,K359&lt;K$34,J$33,K359&lt;K$35,J$34,K359&lt;K$36,J$35,K359&lt;K$37,J$36,K359&lt;K$38,J$37,K359&lt;K$39,J$38,K359&lt;K$40,J$39,K359&lt;K$41,J$40,K359&lt;K$42,J$41,K359&lt;K$43,J$42,K359&lt;K$44,J$43,K359&lt;K$45,J$44,K359&lt;K$46,J$45,K359&lt;K$47,J$46,K359&gt;=K$47,J$47)</f>
        <v/>
      </c>
      <c r="K359" s="38" t="n">
        <v>309</v>
      </c>
      <c r="L359" s="31">
        <f>K359/52</f>
        <v/>
      </c>
      <c r="M359" s="39">
        <f>J359/1000000*52</f>
        <v/>
      </c>
      <c r="N359" s="33">
        <f>M359/$P$4+($I$22/$P$4)</f>
        <v/>
      </c>
      <c r="U359">
        <f>F358</f>
        <v/>
      </c>
      <c r="V359">
        <f>H358</f>
        <v/>
      </c>
      <c r="W359">
        <f>N358</f>
        <v/>
      </c>
    </row>
    <row r="360" ht="15.75" customHeight="1" s="40">
      <c r="C360" s="36">
        <f>_xlfn.IFS(E360&lt;E$24,0,E360&lt;E$26,C$24,E360&lt;E$28,C$26,E360&lt;E$30,C$28,E360&lt;E$32,C$30,E360&lt;E$34,C$32,E360&gt;=E$34,C$34)</f>
        <v/>
      </c>
      <c r="D360" s="37">
        <f>_xlfn.IFS(E360&lt;E$24,0,E360&lt;E$25,D$24,E360&lt;E$26,D$25,E360&lt;E$27,D$26,E360&lt;E$28,D$27,E360&lt;E$29,D$28,E360&lt;E$30,D$29,E360&lt;E$31,D$30,E360&lt;E$32,D$31,E360&lt;E$33,D$32,E360&lt;E$34,D$33,E360&lt;E$35,D$34,E360&gt;=E$35,D$35)</f>
        <v/>
      </c>
      <c r="E360" s="38" t="n">
        <v>310</v>
      </c>
      <c r="F360" s="31">
        <f>E360/52</f>
        <v/>
      </c>
      <c r="G360" s="39">
        <f>D360/1000000*52</f>
        <v/>
      </c>
      <c r="H360" s="33">
        <f>G360/$P$4+($C$22/$P$4)</f>
        <v/>
      </c>
      <c r="I360" s="36">
        <f>_xlfn.IFS(K360&lt;K$24,0,K360&lt;K$26,I$24,K360&lt;K$28,I$26,K360&lt;K$30,I$28,K360&lt;K$32,I$30,K360&lt;K$34,I$32,K360&lt;K$36,I$34,K360&lt;K$38,I$36,K360&lt;K$40,I$38,K360&lt;K$42,I$40,K360&lt;K$44,I$42,K360&lt;K$46,I$44,K360&gt;=K$46,I$46)</f>
        <v/>
      </c>
      <c r="J360" s="37">
        <f>_xlfn.IFS(K360&lt;K$24,0,K360&lt;K$25,J$24,K360&lt;K$26,J$25,K360&lt;K$27,J$26,K360&lt;K$28,J$27,K360&lt;K$29,J$28,K360&lt;K$30,J$29,K360&lt;K$31,J$30,K360&lt;K$32,J$31,K360&lt;K$33,J$32,K360&lt;K$34,J$33,K360&lt;K$35,J$34,K360&lt;K$36,J$35,K360&lt;K$37,J$36,K360&lt;K$38,J$37,K360&lt;K$39,J$38,K360&lt;K$40,J$39,K360&lt;K$41,J$40,K360&lt;K$42,J$41,K360&lt;K$43,J$42,K360&lt;K$44,J$43,K360&lt;K$45,J$44,K360&lt;K$46,J$45,K360&lt;K$47,J$46,K360&gt;=K$47,J$47)</f>
        <v/>
      </c>
      <c r="K360" s="38" t="n">
        <v>310</v>
      </c>
      <c r="L360" s="31">
        <f>K360/52</f>
        <v/>
      </c>
      <c r="M360" s="39">
        <f>J360/1000000*52</f>
        <v/>
      </c>
      <c r="N360" s="33">
        <f>M360/$P$4+($I$22/$P$4)</f>
        <v/>
      </c>
      <c r="U360">
        <f>F359</f>
        <v/>
      </c>
      <c r="V360">
        <f>H359</f>
        <v/>
      </c>
      <c r="W360">
        <f>N359</f>
        <v/>
      </c>
    </row>
    <row r="361" ht="15.75" customHeight="1" s="40">
      <c r="C361" s="36">
        <f>_xlfn.IFS(E361&lt;E$24,0,E361&lt;E$26,C$24,E361&lt;E$28,C$26,E361&lt;E$30,C$28,E361&lt;E$32,C$30,E361&lt;E$34,C$32,E361&gt;=E$34,C$34)</f>
        <v/>
      </c>
      <c r="D361" s="37">
        <f>_xlfn.IFS(E361&lt;E$24,0,E361&lt;E$25,D$24,E361&lt;E$26,D$25,E361&lt;E$27,D$26,E361&lt;E$28,D$27,E361&lt;E$29,D$28,E361&lt;E$30,D$29,E361&lt;E$31,D$30,E361&lt;E$32,D$31,E361&lt;E$33,D$32,E361&lt;E$34,D$33,E361&lt;E$35,D$34,E361&gt;=E$35,D$35)</f>
        <v/>
      </c>
      <c r="E361" s="38" t="n">
        <v>311</v>
      </c>
      <c r="F361" s="31">
        <f>E361/52</f>
        <v/>
      </c>
      <c r="G361" s="39">
        <f>D361/1000000*52</f>
        <v/>
      </c>
      <c r="H361" s="33">
        <f>G361/$P$4+($C$22/$P$4)</f>
        <v/>
      </c>
      <c r="I361" s="36">
        <f>_xlfn.IFS(K361&lt;K$24,0,K361&lt;K$26,I$24,K361&lt;K$28,I$26,K361&lt;K$30,I$28,K361&lt;K$32,I$30,K361&lt;K$34,I$32,K361&lt;K$36,I$34,K361&lt;K$38,I$36,K361&lt;K$40,I$38,K361&lt;K$42,I$40,K361&lt;K$44,I$42,K361&lt;K$46,I$44,K361&gt;=K$46,I$46)</f>
        <v/>
      </c>
      <c r="J361" s="37">
        <f>_xlfn.IFS(K361&lt;K$24,0,K361&lt;K$25,J$24,K361&lt;K$26,J$25,K361&lt;K$27,J$26,K361&lt;K$28,J$27,K361&lt;K$29,J$28,K361&lt;K$30,J$29,K361&lt;K$31,J$30,K361&lt;K$32,J$31,K361&lt;K$33,J$32,K361&lt;K$34,J$33,K361&lt;K$35,J$34,K361&lt;K$36,J$35,K361&lt;K$37,J$36,K361&lt;K$38,J$37,K361&lt;K$39,J$38,K361&lt;K$40,J$39,K361&lt;K$41,J$40,K361&lt;K$42,J$41,K361&lt;K$43,J$42,K361&lt;K$44,J$43,K361&lt;K$45,J$44,K361&lt;K$46,J$45,K361&lt;K$47,J$46,K361&gt;=K$47,J$47)</f>
        <v/>
      </c>
      <c r="K361" s="38" t="n">
        <v>311</v>
      </c>
      <c r="L361" s="31">
        <f>K361/52</f>
        <v/>
      </c>
      <c r="M361" s="39">
        <f>J361/1000000*52</f>
        <v/>
      </c>
      <c r="N361" s="33">
        <f>M361/$P$4+($I$22/$P$4)</f>
        <v/>
      </c>
      <c r="U361">
        <f>F360</f>
        <v/>
      </c>
      <c r="V361">
        <f>H360</f>
        <v/>
      </c>
      <c r="W361">
        <f>N360</f>
        <v/>
      </c>
    </row>
    <row r="362" ht="15.75" customHeight="1" s="40">
      <c r="C362" s="36">
        <f>_xlfn.IFS(E362&lt;E$24,0,E362&lt;E$26,C$24,E362&lt;E$28,C$26,E362&lt;E$30,C$28,E362&lt;E$32,C$30,E362&lt;E$34,C$32,E362&gt;=E$34,C$34)</f>
        <v/>
      </c>
      <c r="D362" s="37">
        <f>_xlfn.IFS(E362&lt;E$24,0,E362&lt;E$25,D$24,E362&lt;E$26,D$25,E362&lt;E$27,D$26,E362&lt;E$28,D$27,E362&lt;E$29,D$28,E362&lt;E$30,D$29,E362&lt;E$31,D$30,E362&lt;E$32,D$31,E362&lt;E$33,D$32,E362&lt;E$34,D$33,E362&lt;E$35,D$34,E362&gt;=E$35,D$35)</f>
        <v/>
      </c>
      <c r="E362" s="38" t="n">
        <v>312</v>
      </c>
      <c r="F362" s="31">
        <f>E362/52</f>
        <v/>
      </c>
      <c r="G362" s="39">
        <f>D362/1000000*52</f>
        <v/>
      </c>
      <c r="H362" s="33">
        <f>G362/$P$4+($C$22/$P$4)</f>
        <v/>
      </c>
      <c r="I362" s="36">
        <f>_xlfn.IFS(K362&lt;K$24,0,K362&lt;K$26,I$24,K362&lt;K$28,I$26,K362&lt;K$30,I$28,K362&lt;K$32,I$30,K362&lt;K$34,I$32,K362&lt;K$36,I$34,K362&lt;K$38,I$36,K362&lt;K$40,I$38,K362&lt;K$42,I$40,K362&lt;K$44,I$42,K362&lt;K$46,I$44,K362&gt;=K$46,I$46)</f>
        <v/>
      </c>
      <c r="J362" s="37">
        <f>_xlfn.IFS(K362&lt;K$24,0,K362&lt;K$25,J$24,K362&lt;K$26,J$25,K362&lt;K$27,J$26,K362&lt;K$28,J$27,K362&lt;K$29,J$28,K362&lt;K$30,J$29,K362&lt;K$31,J$30,K362&lt;K$32,J$31,K362&lt;K$33,J$32,K362&lt;K$34,J$33,K362&lt;K$35,J$34,K362&lt;K$36,J$35,K362&lt;K$37,J$36,K362&lt;K$38,J$37,K362&lt;K$39,J$38,K362&lt;K$40,J$39,K362&lt;K$41,J$40,K362&lt;K$42,J$41,K362&lt;K$43,J$42,K362&lt;K$44,J$43,K362&lt;K$45,J$44,K362&lt;K$46,J$45,K362&lt;K$47,J$46,K362&gt;=K$47,J$47)</f>
        <v/>
      </c>
      <c r="K362" s="38" t="n">
        <v>312</v>
      </c>
      <c r="L362" s="31">
        <f>K362/52</f>
        <v/>
      </c>
      <c r="M362" s="39">
        <f>J362/1000000*52</f>
        <v/>
      </c>
      <c r="N362" s="33">
        <f>M362/$P$4+($I$22/$P$4)</f>
        <v/>
      </c>
      <c r="U362">
        <f>F361</f>
        <v/>
      </c>
      <c r="V362">
        <f>H361</f>
        <v/>
      </c>
      <c r="W362">
        <f>N361</f>
        <v/>
      </c>
    </row>
    <row r="363" ht="15.75" customHeight="1" s="40">
      <c r="C363" s="36">
        <f>_xlfn.IFS(E363&lt;E$24,0,E363&lt;E$26,C$24,E363&lt;E$28,C$26,E363&lt;E$30,C$28,E363&lt;E$32,C$30,E363&lt;E$34,C$32,E363&gt;=E$34,C$34)</f>
        <v/>
      </c>
      <c r="D363" s="37">
        <f>_xlfn.IFS(E363&lt;E$24,0,E363&lt;E$25,D$24,E363&lt;E$26,D$25,E363&lt;E$27,D$26,E363&lt;E$28,D$27,E363&lt;E$29,D$28,E363&lt;E$30,D$29,E363&lt;E$31,D$30,E363&lt;E$32,D$31,E363&lt;E$33,D$32,E363&lt;E$34,D$33,E363&lt;E$35,D$34,E363&gt;=E$35,D$35)</f>
        <v/>
      </c>
      <c r="E363" s="38" t="n">
        <v>313</v>
      </c>
      <c r="F363" s="31">
        <f>E363/52</f>
        <v/>
      </c>
      <c r="G363" s="39">
        <f>D363/1000000*52</f>
        <v/>
      </c>
      <c r="H363" s="33">
        <f>G363/$P$4+($C$22/$P$4)</f>
        <v/>
      </c>
      <c r="I363" s="36">
        <f>_xlfn.IFS(K363&lt;K$24,0,K363&lt;K$26,I$24,K363&lt;K$28,I$26,K363&lt;K$30,I$28,K363&lt;K$32,I$30,K363&lt;K$34,I$32,K363&lt;K$36,I$34,K363&lt;K$38,I$36,K363&lt;K$40,I$38,K363&lt;K$42,I$40,K363&lt;K$44,I$42,K363&lt;K$46,I$44,K363&gt;=K$46,I$46)</f>
        <v/>
      </c>
      <c r="J363" s="37">
        <f>_xlfn.IFS(K363&lt;K$24,0,K363&lt;K$25,J$24,K363&lt;K$26,J$25,K363&lt;K$27,J$26,K363&lt;K$28,J$27,K363&lt;K$29,J$28,K363&lt;K$30,J$29,K363&lt;K$31,J$30,K363&lt;K$32,J$31,K363&lt;K$33,J$32,K363&lt;K$34,J$33,K363&lt;K$35,J$34,K363&lt;K$36,J$35,K363&lt;K$37,J$36,K363&lt;K$38,J$37,K363&lt;K$39,J$38,K363&lt;K$40,J$39,K363&lt;K$41,J$40,K363&lt;K$42,J$41,K363&lt;K$43,J$42,K363&lt;K$44,J$43,K363&lt;K$45,J$44,K363&lt;K$46,J$45,K363&lt;K$47,J$46,K363&gt;=K$47,J$47)</f>
        <v/>
      </c>
      <c r="K363" s="38" t="n">
        <v>313</v>
      </c>
      <c r="L363" s="31">
        <f>K363/52</f>
        <v/>
      </c>
      <c r="M363" s="39">
        <f>J363/1000000*52</f>
        <v/>
      </c>
      <c r="N363" s="33">
        <f>M363/$P$4+($I$22/$P$4)</f>
        <v/>
      </c>
      <c r="U363">
        <f>F362</f>
        <v/>
      </c>
      <c r="V363">
        <f>H362</f>
        <v/>
      </c>
      <c r="W363">
        <f>N362</f>
        <v/>
      </c>
    </row>
    <row r="364" ht="15.75" customHeight="1" s="40">
      <c r="C364" s="36">
        <f>_xlfn.IFS(E364&lt;E$24,0,E364&lt;E$26,C$24,E364&lt;E$28,C$26,E364&lt;E$30,C$28,E364&lt;E$32,C$30,E364&lt;E$34,C$32,E364&gt;=E$34,C$34)</f>
        <v/>
      </c>
      <c r="D364" s="37">
        <f>_xlfn.IFS(E364&lt;E$24,0,E364&lt;E$25,D$24,E364&lt;E$26,D$25,E364&lt;E$27,D$26,E364&lt;E$28,D$27,E364&lt;E$29,D$28,E364&lt;E$30,D$29,E364&lt;E$31,D$30,E364&lt;E$32,D$31,E364&lt;E$33,D$32,E364&lt;E$34,D$33,E364&lt;E$35,D$34,E364&gt;=E$35,D$35)</f>
        <v/>
      </c>
      <c r="E364" s="38" t="n">
        <v>314</v>
      </c>
      <c r="F364" s="31">
        <f>E364/52</f>
        <v/>
      </c>
      <c r="G364" s="39">
        <f>D364/1000000*52</f>
        <v/>
      </c>
      <c r="H364" s="33">
        <f>G364/$P$4+($C$22/$P$4)</f>
        <v/>
      </c>
      <c r="I364" s="36">
        <f>_xlfn.IFS(K364&lt;K$24,0,K364&lt;K$26,I$24,K364&lt;K$28,I$26,K364&lt;K$30,I$28,K364&lt;K$32,I$30,K364&lt;K$34,I$32,K364&lt;K$36,I$34,K364&lt;K$38,I$36,K364&lt;K$40,I$38,K364&lt;K$42,I$40,K364&lt;K$44,I$42,K364&lt;K$46,I$44,K364&gt;=K$46,I$46)</f>
        <v/>
      </c>
      <c r="J364" s="37">
        <f>_xlfn.IFS(K364&lt;K$24,0,K364&lt;K$25,J$24,K364&lt;K$26,J$25,K364&lt;K$27,J$26,K364&lt;K$28,J$27,K364&lt;K$29,J$28,K364&lt;K$30,J$29,K364&lt;K$31,J$30,K364&lt;K$32,J$31,K364&lt;K$33,J$32,K364&lt;K$34,J$33,K364&lt;K$35,J$34,K364&lt;K$36,J$35,K364&lt;K$37,J$36,K364&lt;K$38,J$37,K364&lt;K$39,J$38,K364&lt;K$40,J$39,K364&lt;K$41,J$40,K364&lt;K$42,J$41,K364&lt;K$43,J$42,K364&lt;K$44,J$43,K364&lt;K$45,J$44,K364&lt;K$46,J$45,K364&lt;K$47,J$46,K364&gt;=K$47,J$47)</f>
        <v/>
      </c>
      <c r="K364" s="38" t="n">
        <v>314</v>
      </c>
      <c r="L364" s="31">
        <f>K364/52</f>
        <v/>
      </c>
      <c r="M364" s="39">
        <f>J364/1000000*52</f>
        <v/>
      </c>
      <c r="N364" s="33">
        <f>M364/$P$4+($I$22/$P$4)</f>
        <v/>
      </c>
      <c r="U364">
        <f>F363</f>
        <v/>
      </c>
      <c r="V364">
        <f>H363</f>
        <v/>
      </c>
      <c r="W364">
        <f>N363</f>
        <v/>
      </c>
    </row>
    <row r="365" ht="15.75" customHeight="1" s="40">
      <c r="C365" s="36">
        <f>_xlfn.IFS(E365&lt;E$24,0,E365&lt;E$26,C$24,E365&lt;E$28,C$26,E365&lt;E$30,C$28,E365&lt;E$32,C$30,E365&lt;E$34,C$32,E365&gt;=E$34,C$34)</f>
        <v/>
      </c>
      <c r="D365" s="37">
        <f>_xlfn.IFS(E365&lt;E$24,0,E365&lt;E$25,D$24,E365&lt;E$26,D$25,E365&lt;E$27,D$26,E365&lt;E$28,D$27,E365&lt;E$29,D$28,E365&lt;E$30,D$29,E365&lt;E$31,D$30,E365&lt;E$32,D$31,E365&lt;E$33,D$32,E365&lt;E$34,D$33,E365&lt;E$35,D$34,E365&gt;=E$35,D$35)</f>
        <v/>
      </c>
      <c r="E365" s="38" t="n">
        <v>315</v>
      </c>
      <c r="F365" s="31">
        <f>E365/52</f>
        <v/>
      </c>
      <c r="G365" s="39">
        <f>D365/1000000*52</f>
        <v/>
      </c>
      <c r="H365" s="33">
        <f>G365/$P$4+($C$22/$P$4)</f>
        <v/>
      </c>
      <c r="I365" s="36">
        <f>_xlfn.IFS(K365&lt;K$24,0,K365&lt;K$26,I$24,K365&lt;K$28,I$26,K365&lt;K$30,I$28,K365&lt;K$32,I$30,K365&lt;K$34,I$32,K365&lt;K$36,I$34,K365&lt;K$38,I$36,K365&lt;K$40,I$38,K365&lt;K$42,I$40,K365&lt;K$44,I$42,K365&lt;K$46,I$44,K365&gt;=K$46,I$46)</f>
        <v/>
      </c>
      <c r="J365" s="37">
        <f>_xlfn.IFS(K365&lt;K$24,0,K365&lt;K$25,J$24,K365&lt;K$26,J$25,K365&lt;K$27,J$26,K365&lt;K$28,J$27,K365&lt;K$29,J$28,K365&lt;K$30,J$29,K365&lt;K$31,J$30,K365&lt;K$32,J$31,K365&lt;K$33,J$32,K365&lt;K$34,J$33,K365&lt;K$35,J$34,K365&lt;K$36,J$35,K365&lt;K$37,J$36,K365&lt;K$38,J$37,K365&lt;K$39,J$38,K365&lt;K$40,J$39,K365&lt;K$41,J$40,K365&lt;K$42,J$41,K365&lt;K$43,J$42,K365&lt;K$44,J$43,K365&lt;K$45,J$44,K365&lt;K$46,J$45,K365&lt;K$47,J$46,K365&gt;=K$47,J$47)</f>
        <v/>
      </c>
      <c r="K365" s="38" t="n">
        <v>315</v>
      </c>
      <c r="L365" s="31">
        <f>K365/52</f>
        <v/>
      </c>
      <c r="M365" s="39">
        <f>J365/1000000*52</f>
        <v/>
      </c>
      <c r="N365" s="33">
        <f>M365/$P$4+($I$22/$P$4)</f>
        <v/>
      </c>
      <c r="U365">
        <f>F364</f>
        <v/>
      </c>
      <c r="V365">
        <f>H364</f>
        <v/>
      </c>
      <c r="W365">
        <f>N364</f>
        <v/>
      </c>
    </row>
    <row r="366" ht="15.75" customHeight="1" s="40">
      <c r="C366" s="36">
        <f>_xlfn.IFS(E366&lt;E$24,0,E366&lt;E$26,C$24,E366&lt;E$28,C$26,E366&lt;E$30,C$28,E366&lt;E$32,C$30,E366&lt;E$34,C$32,E366&gt;=E$34,C$34)</f>
        <v/>
      </c>
      <c r="D366" s="37">
        <f>_xlfn.IFS(E366&lt;E$24,0,E366&lt;E$25,D$24,E366&lt;E$26,D$25,E366&lt;E$27,D$26,E366&lt;E$28,D$27,E366&lt;E$29,D$28,E366&lt;E$30,D$29,E366&lt;E$31,D$30,E366&lt;E$32,D$31,E366&lt;E$33,D$32,E366&lt;E$34,D$33,E366&lt;E$35,D$34,E366&gt;=E$35,D$35)</f>
        <v/>
      </c>
      <c r="E366" s="38" t="n">
        <v>316</v>
      </c>
      <c r="F366" s="31">
        <f>E366/52</f>
        <v/>
      </c>
      <c r="G366" s="39">
        <f>D366/1000000*52</f>
        <v/>
      </c>
      <c r="H366" s="33">
        <f>G366/$P$4+($C$22/$P$4)</f>
        <v/>
      </c>
      <c r="I366" s="36">
        <f>_xlfn.IFS(K366&lt;K$24,0,K366&lt;K$26,I$24,K366&lt;K$28,I$26,K366&lt;K$30,I$28,K366&lt;K$32,I$30,K366&lt;K$34,I$32,K366&lt;K$36,I$34,K366&lt;K$38,I$36,K366&lt;K$40,I$38,K366&lt;K$42,I$40,K366&lt;K$44,I$42,K366&lt;K$46,I$44,K366&gt;=K$46,I$46)</f>
        <v/>
      </c>
      <c r="J366" s="37">
        <f>_xlfn.IFS(K366&lt;K$24,0,K366&lt;K$25,J$24,K366&lt;K$26,J$25,K366&lt;K$27,J$26,K366&lt;K$28,J$27,K366&lt;K$29,J$28,K366&lt;K$30,J$29,K366&lt;K$31,J$30,K366&lt;K$32,J$31,K366&lt;K$33,J$32,K366&lt;K$34,J$33,K366&lt;K$35,J$34,K366&lt;K$36,J$35,K366&lt;K$37,J$36,K366&lt;K$38,J$37,K366&lt;K$39,J$38,K366&lt;K$40,J$39,K366&lt;K$41,J$40,K366&lt;K$42,J$41,K366&lt;K$43,J$42,K366&lt;K$44,J$43,K366&lt;K$45,J$44,K366&lt;K$46,J$45,K366&lt;K$47,J$46,K366&gt;=K$47,J$47)</f>
        <v/>
      </c>
      <c r="K366" s="38" t="n">
        <v>316</v>
      </c>
      <c r="L366" s="31">
        <f>K366/52</f>
        <v/>
      </c>
      <c r="M366" s="39">
        <f>J366/1000000*52</f>
        <v/>
      </c>
      <c r="N366" s="33">
        <f>M366/$P$4+($I$22/$P$4)</f>
        <v/>
      </c>
      <c r="U366">
        <f>F365</f>
        <v/>
      </c>
      <c r="V366">
        <f>H365</f>
        <v/>
      </c>
      <c r="W366">
        <f>N365</f>
        <v/>
      </c>
    </row>
    <row r="367" ht="15.75" customHeight="1" s="40">
      <c r="C367" s="36">
        <f>_xlfn.IFS(E367&lt;E$24,0,E367&lt;E$26,C$24,E367&lt;E$28,C$26,E367&lt;E$30,C$28,E367&lt;E$32,C$30,E367&lt;E$34,C$32,E367&gt;=E$34,C$34)</f>
        <v/>
      </c>
      <c r="D367" s="37">
        <f>_xlfn.IFS(E367&lt;E$24,0,E367&lt;E$25,D$24,E367&lt;E$26,D$25,E367&lt;E$27,D$26,E367&lt;E$28,D$27,E367&lt;E$29,D$28,E367&lt;E$30,D$29,E367&lt;E$31,D$30,E367&lt;E$32,D$31,E367&lt;E$33,D$32,E367&lt;E$34,D$33,E367&lt;E$35,D$34,E367&gt;=E$35,D$35)</f>
        <v/>
      </c>
      <c r="E367" s="38" t="n">
        <v>317</v>
      </c>
      <c r="F367" s="31">
        <f>E367/52</f>
        <v/>
      </c>
      <c r="G367" s="39">
        <f>D367/1000000*52</f>
        <v/>
      </c>
      <c r="H367" s="33">
        <f>G367/$P$4+($C$22/$P$4)</f>
        <v/>
      </c>
      <c r="I367" s="36">
        <f>_xlfn.IFS(K367&lt;K$24,0,K367&lt;K$26,I$24,K367&lt;K$28,I$26,K367&lt;K$30,I$28,K367&lt;K$32,I$30,K367&lt;K$34,I$32,K367&lt;K$36,I$34,K367&lt;K$38,I$36,K367&lt;K$40,I$38,K367&lt;K$42,I$40,K367&lt;K$44,I$42,K367&lt;K$46,I$44,K367&gt;=K$46,I$46)</f>
        <v/>
      </c>
      <c r="J367" s="37">
        <f>_xlfn.IFS(K367&lt;K$24,0,K367&lt;K$25,J$24,K367&lt;K$26,J$25,K367&lt;K$27,J$26,K367&lt;K$28,J$27,K367&lt;K$29,J$28,K367&lt;K$30,J$29,K367&lt;K$31,J$30,K367&lt;K$32,J$31,K367&lt;K$33,J$32,K367&lt;K$34,J$33,K367&lt;K$35,J$34,K367&lt;K$36,J$35,K367&lt;K$37,J$36,K367&lt;K$38,J$37,K367&lt;K$39,J$38,K367&lt;K$40,J$39,K367&lt;K$41,J$40,K367&lt;K$42,J$41,K367&lt;K$43,J$42,K367&lt;K$44,J$43,K367&lt;K$45,J$44,K367&lt;K$46,J$45,K367&lt;K$47,J$46,K367&gt;=K$47,J$47)</f>
        <v/>
      </c>
      <c r="K367" s="38" t="n">
        <v>317</v>
      </c>
      <c r="L367" s="31">
        <f>K367/52</f>
        <v/>
      </c>
      <c r="M367" s="39">
        <f>J367/1000000*52</f>
        <v/>
      </c>
      <c r="N367" s="33">
        <f>M367/$P$4+($I$22/$P$4)</f>
        <v/>
      </c>
      <c r="U367">
        <f>F366</f>
        <v/>
      </c>
      <c r="V367">
        <f>H366</f>
        <v/>
      </c>
      <c r="W367">
        <f>N366</f>
        <v/>
      </c>
    </row>
    <row r="368" ht="15.75" customHeight="1" s="40">
      <c r="C368" s="36">
        <f>_xlfn.IFS(E368&lt;E$24,0,E368&lt;E$26,C$24,E368&lt;E$28,C$26,E368&lt;E$30,C$28,E368&lt;E$32,C$30,E368&lt;E$34,C$32,E368&gt;=E$34,C$34)</f>
        <v/>
      </c>
      <c r="D368" s="37">
        <f>_xlfn.IFS(E368&lt;E$24,0,E368&lt;E$25,D$24,E368&lt;E$26,D$25,E368&lt;E$27,D$26,E368&lt;E$28,D$27,E368&lt;E$29,D$28,E368&lt;E$30,D$29,E368&lt;E$31,D$30,E368&lt;E$32,D$31,E368&lt;E$33,D$32,E368&lt;E$34,D$33,E368&lt;E$35,D$34,E368&gt;=E$35,D$35)</f>
        <v/>
      </c>
      <c r="E368" s="38" t="n">
        <v>318</v>
      </c>
      <c r="F368" s="31">
        <f>E368/52</f>
        <v/>
      </c>
      <c r="G368" s="39">
        <f>D368/1000000*52</f>
        <v/>
      </c>
      <c r="H368" s="33">
        <f>G368/$P$4+($C$22/$P$4)</f>
        <v/>
      </c>
      <c r="I368" s="36">
        <f>_xlfn.IFS(K368&lt;K$24,0,K368&lt;K$26,I$24,K368&lt;K$28,I$26,K368&lt;K$30,I$28,K368&lt;K$32,I$30,K368&lt;K$34,I$32,K368&lt;K$36,I$34,K368&lt;K$38,I$36,K368&lt;K$40,I$38,K368&lt;K$42,I$40,K368&lt;K$44,I$42,K368&lt;K$46,I$44,K368&gt;=K$46,I$46)</f>
        <v/>
      </c>
      <c r="J368" s="37">
        <f>_xlfn.IFS(K368&lt;K$24,0,K368&lt;K$25,J$24,K368&lt;K$26,J$25,K368&lt;K$27,J$26,K368&lt;K$28,J$27,K368&lt;K$29,J$28,K368&lt;K$30,J$29,K368&lt;K$31,J$30,K368&lt;K$32,J$31,K368&lt;K$33,J$32,K368&lt;K$34,J$33,K368&lt;K$35,J$34,K368&lt;K$36,J$35,K368&lt;K$37,J$36,K368&lt;K$38,J$37,K368&lt;K$39,J$38,K368&lt;K$40,J$39,K368&lt;K$41,J$40,K368&lt;K$42,J$41,K368&lt;K$43,J$42,K368&lt;K$44,J$43,K368&lt;K$45,J$44,K368&lt;K$46,J$45,K368&lt;K$47,J$46,K368&gt;=K$47,J$47)</f>
        <v/>
      </c>
      <c r="K368" s="38" t="n">
        <v>318</v>
      </c>
      <c r="L368" s="31">
        <f>K368/52</f>
        <v/>
      </c>
      <c r="M368" s="39">
        <f>J368/1000000*52</f>
        <v/>
      </c>
      <c r="N368" s="33">
        <f>M368/$P$4+($I$22/$P$4)</f>
        <v/>
      </c>
      <c r="U368">
        <f>F367</f>
        <v/>
      </c>
      <c r="V368">
        <f>H367</f>
        <v/>
      </c>
      <c r="W368">
        <f>N367</f>
        <v/>
      </c>
    </row>
    <row r="369" ht="15.75" customHeight="1" s="40">
      <c r="C369" s="36">
        <f>_xlfn.IFS(E369&lt;E$24,0,E369&lt;E$26,C$24,E369&lt;E$28,C$26,E369&lt;E$30,C$28,E369&lt;E$32,C$30,E369&lt;E$34,C$32,E369&gt;=E$34,C$34)</f>
        <v/>
      </c>
      <c r="D369" s="37">
        <f>_xlfn.IFS(E369&lt;E$24,0,E369&lt;E$25,D$24,E369&lt;E$26,D$25,E369&lt;E$27,D$26,E369&lt;E$28,D$27,E369&lt;E$29,D$28,E369&lt;E$30,D$29,E369&lt;E$31,D$30,E369&lt;E$32,D$31,E369&lt;E$33,D$32,E369&lt;E$34,D$33,E369&lt;E$35,D$34,E369&gt;=E$35,D$35)</f>
        <v/>
      </c>
      <c r="E369" s="38" t="n">
        <v>319</v>
      </c>
      <c r="F369" s="31">
        <f>E369/52</f>
        <v/>
      </c>
      <c r="G369" s="39">
        <f>D369/1000000*52</f>
        <v/>
      </c>
      <c r="H369" s="33">
        <f>G369/$P$4+($C$22/$P$4)</f>
        <v/>
      </c>
      <c r="I369" s="36">
        <f>_xlfn.IFS(K369&lt;K$24,0,K369&lt;K$26,I$24,K369&lt;K$28,I$26,K369&lt;K$30,I$28,K369&lt;K$32,I$30,K369&lt;K$34,I$32,K369&lt;K$36,I$34,K369&lt;K$38,I$36,K369&lt;K$40,I$38,K369&lt;K$42,I$40,K369&lt;K$44,I$42,K369&lt;K$46,I$44,K369&gt;=K$46,I$46)</f>
        <v/>
      </c>
      <c r="J369" s="37">
        <f>_xlfn.IFS(K369&lt;K$24,0,K369&lt;K$25,J$24,K369&lt;K$26,J$25,K369&lt;K$27,J$26,K369&lt;K$28,J$27,K369&lt;K$29,J$28,K369&lt;K$30,J$29,K369&lt;K$31,J$30,K369&lt;K$32,J$31,K369&lt;K$33,J$32,K369&lt;K$34,J$33,K369&lt;K$35,J$34,K369&lt;K$36,J$35,K369&lt;K$37,J$36,K369&lt;K$38,J$37,K369&lt;K$39,J$38,K369&lt;K$40,J$39,K369&lt;K$41,J$40,K369&lt;K$42,J$41,K369&lt;K$43,J$42,K369&lt;K$44,J$43,K369&lt;K$45,J$44,K369&lt;K$46,J$45,K369&lt;K$47,J$46,K369&gt;=K$47,J$47)</f>
        <v/>
      </c>
      <c r="K369" s="38" t="n">
        <v>319</v>
      </c>
      <c r="L369" s="31">
        <f>K369/52</f>
        <v/>
      </c>
      <c r="M369" s="39">
        <f>J369/1000000*52</f>
        <v/>
      </c>
      <c r="N369" s="33">
        <f>M369/$P$4+($I$22/$P$4)</f>
        <v/>
      </c>
      <c r="U369">
        <f>F368</f>
        <v/>
      </c>
      <c r="V369">
        <f>H368</f>
        <v/>
      </c>
      <c r="W369">
        <f>N368</f>
        <v/>
      </c>
    </row>
    <row r="370" ht="15.75" customHeight="1" s="40">
      <c r="C370" s="36">
        <f>_xlfn.IFS(E370&lt;E$24,0,E370&lt;E$26,C$24,E370&lt;E$28,C$26,E370&lt;E$30,C$28,E370&lt;E$32,C$30,E370&lt;E$34,C$32,E370&gt;=E$34,C$34)</f>
        <v/>
      </c>
      <c r="D370" s="37">
        <f>_xlfn.IFS(E370&lt;E$24,0,E370&lt;E$25,D$24,E370&lt;E$26,D$25,E370&lt;E$27,D$26,E370&lt;E$28,D$27,E370&lt;E$29,D$28,E370&lt;E$30,D$29,E370&lt;E$31,D$30,E370&lt;E$32,D$31,E370&lt;E$33,D$32,E370&lt;E$34,D$33,E370&lt;E$35,D$34,E370&gt;=E$35,D$35)</f>
        <v/>
      </c>
      <c r="E370" s="38" t="n">
        <v>320</v>
      </c>
      <c r="F370" s="31">
        <f>E370/52</f>
        <v/>
      </c>
      <c r="G370" s="39">
        <f>D370/1000000*52</f>
        <v/>
      </c>
      <c r="H370" s="33">
        <f>G370/$P$4+($C$22/$P$4)</f>
        <v/>
      </c>
      <c r="I370" s="36">
        <f>_xlfn.IFS(K370&lt;K$24,0,K370&lt;K$26,I$24,K370&lt;K$28,I$26,K370&lt;K$30,I$28,K370&lt;K$32,I$30,K370&lt;K$34,I$32,K370&lt;K$36,I$34,K370&lt;K$38,I$36,K370&lt;K$40,I$38,K370&lt;K$42,I$40,K370&lt;K$44,I$42,K370&lt;K$46,I$44,K370&gt;=K$46,I$46)</f>
        <v/>
      </c>
      <c r="J370" s="37">
        <f>_xlfn.IFS(K370&lt;K$24,0,K370&lt;K$25,J$24,K370&lt;K$26,J$25,K370&lt;K$27,J$26,K370&lt;K$28,J$27,K370&lt;K$29,J$28,K370&lt;K$30,J$29,K370&lt;K$31,J$30,K370&lt;K$32,J$31,K370&lt;K$33,J$32,K370&lt;K$34,J$33,K370&lt;K$35,J$34,K370&lt;K$36,J$35,K370&lt;K$37,J$36,K370&lt;K$38,J$37,K370&lt;K$39,J$38,K370&lt;K$40,J$39,K370&lt;K$41,J$40,K370&lt;K$42,J$41,K370&lt;K$43,J$42,K370&lt;K$44,J$43,K370&lt;K$45,J$44,K370&lt;K$46,J$45,K370&lt;K$47,J$46,K370&gt;=K$47,J$47)</f>
        <v/>
      </c>
      <c r="K370" s="38" t="n">
        <v>320</v>
      </c>
      <c r="L370" s="31">
        <f>K370/52</f>
        <v/>
      </c>
      <c r="M370" s="39">
        <f>J370/1000000*52</f>
        <v/>
      </c>
      <c r="N370" s="33">
        <f>M370/$P$4+($I$22/$P$4)</f>
        <v/>
      </c>
      <c r="U370">
        <f>F369</f>
        <v/>
      </c>
      <c r="V370">
        <f>H369</f>
        <v/>
      </c>
      <c r="W370">
        <f>N369</f>
        <v/>
      </c>
    </row>
    <row r="371" ht="15.75" customHeight="1" s="40">
      <c r="C371" s="36">
        <f>_xlfn.IFS(E371&lt;E$24,0,E371&lt;E$26,C$24,E371&lt;E$28,C$26,E371&lt;E$30,C$28,E371&lt;E$32,C$30,E371&lt;E$34,C$32,E371&gt;=E$34,C$34)</f>
        <v/>
      </c>
      <c r="D371" s="37">
        <f>_xlfn.IFS(E371&lt;E$24,0,E371&lt;E$25,D$24,E371&lt;E$26,D$25,E371&lt;E$27,D$26,E371&lt;E$28,D$27,E371&lt;E$29,D$28,E371&lt;E$30,D$29,E371&lt;E$31,D$30,E371&lt;E$32,D$31,E371&lt;E$33,D$32,E371&lt;E$34,D$33,E371&lt;E$35,D$34,E371&gt;=E$35,D$35)</f>
        <v/>
      </c>
      <c r="E371" s="38" t="n">
        <v>321</v>
      </c>
      <c r="F371" s="31">
        <f>E371/52</f>
        <v/>
      </c>
      <c r="G371" s="39">
        <f>D371/1000000*52</f>
        <v/>
      </c>
      <c r="H371" s="33">
        <f>G371/$P$4+($C$22/$P$4)</f>
        <v/>
      </c>
      <c r="I371" s="36">
        <f>_xlfn.IFS(K371&lt;K$24,0,K371&lt;K$26,I$24,K371&lt;K$28,I$26,K371&lt;K$30,I$28,K371&lt;K$32,I$30,K371&lt;K$34,I$32,K371&lt;K$36,I$34,K371&lt;K$38,I$36,K371&lt;K$40,I$38,K371&lt;K$42,I$40,K371&lt;K$44,I$42,K371&lt;K$46,I$44,K371&gt;=K$46,I$46)</f>
        <v/>
      </c>
      <c r="J371" s="37">
        <f>_xlfn.IFS(K371&lt;K$24,0,K371&lt;K$25,J$24,K371&lt;K$26,J$25,K371&lt;K$27,J$26,K371&lt;K$28,J$27,K371&lt;K$29,J$28,K371&lt;K$30,J$29,K371&lt;K$31,J$30,K371&lt;K$32,J$31,K371&lt;K$33,J$32,K371&lt;K$34,J$33,K371&lt;K$35,J$34,K371&lt;K$36,J$35,K371&lt;K$37,J$36,K371&lt;K$38,J$37,K371&lt;K$39,J$38,K371&lt;K$40,J$39,K371&lt;K$41,J$40,K371&lt;K$42,J$41,K371&lt;K$43,J$42,K371&lt;K$44,J$43,K371&lt;K$45,J$44,K371&lt;K$46,J$45,K371&lt;K$47,J$46,K371&gt;=K$47,J$47)</f>
        <v/>
      </c>
      <c r="K371" s="38" t="n">
        <v>321</v>
      </c>
      <c r="L371" s="31">
        <f>K371/52</f>
        <v/>
      </c>
      <c r="M371" s="39">
        <f>J371/1000000*52</f>
        <v/>
      </c>
      <c r="N371" s="33">
        <f>M371/$P$4+($I$22/$P$4)</f>
        <v/>
      </c>
      <c r="U371">
        <f>F370</f>
        <v/>
      </c>
      <c r="V371">
        <f>H370</f>
        <v/>
      </c>
      <c r="W371">
        <f>N370</f>
        <v/>
      </c>
    </row>
    <row r="372" ht="15.75" customHeight="1" s="40">
      <c r="C372" s="36">
        <f>_xlfn.IFS(E372&lt;E$24,0,E372&lt;E$26,C$24,E372&lt;E$28,C$26,E372&lt;E$30,C$28,E372&lt;E$32,C$30,E372&lt;E$34,C$32,E372&gt;=E$34,C$34)</f>
        <v/>
      </c>
      <c r="D372" s="37">
        <f>_xlfn.IFS(E372&lt;E$24,0,E372&lt;E$25,D$24,E372&lt;E$26,D$25,E372&lt;E$27,D$26,E372&lt;E$28,D$27,E372&lt;E$29,D$28,E372&lt;E$30,D$29,E372&lt;E$31,D$30,E372&lt;E$32,D$31,E372&lt;E$33,D$32,E372&lt;E$34,D$33,E372&lt;E$35,D$34,E372&gt;=E$35,D$35)</f>
        <v/>
      </c>
      <c r="E372" s="38" t="n">
        <v>322</v>
      </c>
      <c r="F372" s="31">
        <f>E372/52</f>
        <v/>
      </c>
      <c r="G372" s="39">
        <f>D372/1000000*52</f>
        <v/>
      </c>
      <c r="H372" s="33">
        <f>G372/$P$4+($C$22/$P$4)</f>
        <v/>
      </c>
      <c r="I372" s="36">
        <f>_xlfn.IFS(K372&lt;K$24,0,K372&lt;K$26,I$24,K372&lt;K$28,I$26,K372&lt;K$30,I$28,K372&lt;K$32,I$30,K372&lt;K$34,I$32,K372&lt;K$36,I$34,K372&lt;K$38,I$36,K372&lt;K$40,I$38,K372&lt;K$42,I$40,K372&lt;K$44,I$42,K372&lt;K$46,I$44,K372&gt;=K$46,I$46)</f>
        <v/>
      </c>
      <c r="J372" s="37">
        <f>_xlfn.IFS(K372&lt;K$24,0,K372&lt;K$25,J$24,K372&lt;K$26,J$25,K372&lt;K$27,J$26,K372&lt;K$28,J$27,K372&lt;K$29,J$28,K372&lt;K$30,J$29,K372&lt;K$31,J$30,K372&lt;K$32,J$31,K372&lt;K$33,J$32,K372&lt;K$34,J$33,K372&lt;K$35,J$34,K372&lt;K$36,J$35,K372&lt;K$37,J$36,K372&lt;K$38,J$37,K372&lt;K$39,J$38,K372&lt;K$40,J$39,K372&lt;K$41,J$40,K372&lt;K$42,J$41,K372&lt;K$43,J$42,K372&lt;K$44,J$43,K372&lt;K$45,J$44,K372&lt;K$46,J$45,K372&lt;K$47,J$46,K372&gt;=K$47,J$47)</f>
        <v/>
      </c>
      <c r="K372" s="38" t="n">
        <v>322</v>
      </c>
      <c r="L372" s="31">
        <f>K372/52</f>
        <v/>
      </c>
      <c r="M372" s="39">
        <f>J372/1000000*52</f>
        <v/>
      </c>
      <c r="N372" s="33">
        <f>M372/$P$4+($I$22/$P$4)</f>
        <v/>
      </c>
      <c r="U372">
        <f>F371</f>
        <v/>
      </c>
      <c r="V372">
        <f>H371</f>
        <v/>
      </c>
      <c r="W372">
        <f>N371</f>
        <v/>
      </c>
    </row>
    <row r="373" ht="15.75" customHeight="1" s="40">
      <c r="C373" s="36">
        <f>_xlfn.IFS(E373&lt;E$24,0,E373&lt;E$26,C$24,E373&lt;E$28,C$26,E373&lt;E$30,C$28,E373&lt;E$32,C$30,E373&lt;E$34,C$32,E373&gt;=E$34,C$34)</f>
        <v/>
      </c>
      <c r="D373" s="37">
        <f>_xlfn.IFS(E373&lt;E$24,0,E373&lt;E$25,D$24,E373&lt;E$26,D$25,E373&lt;E$27,D$26,E373&lt;E$28,D$27,E373&lt;E$29,D$28,E373&lt;E$30,D$29,E373&lt;E$31,D$30,E373&lt;E$32,D$31,E373&lt;E$33,D$32,E373&lt;E$34,D$33,E373&lt;E$35,D$34,E373&gt;=E$35,D$35)</f>
        <v/>
      </c>
      <c r="E373" s="38" t="n">
        <v>323</v>
      </c>
      <c r="F373" s="31">
        <f>E373/52</f>
        <v/>
      </c>
      <c r="G373" s="39">
        <f>D373/1000000*52</f>
        <v/>
      </c>
      <c r="H373" s="33">
        <f>G373/$P$4+($C$22/$P$4)</f>
        <v/>
      </c>
      <c r="I373" s="36">
        <f>_xlfn.IFS(K373&lt;K$24,0,K373&lt;K$26,I$24,K373&lt;K$28,I$26,K373&lt;K$30,I$28,K373&lt;K$32,I$30,K373&lt;K$34,I$32,K373&lt;K$36,I$34,K373&lt;K$38,I$36,K373&lt;K$40,I$38,K373&lt;K$42,I$40,K373&lt;K$44,I$42,K373&lt;K$46,I$44,K373&gt;=K$46,I$46)</f>
        <v/>
      </c>
      <c r="J373" s="37">
        <f>_xlfn.IFS(K373&lt;K$24,0,K373&lt;K$25,J$24,K373&lt;K$26,J$25,K373&lt;K$27,J$26,K373&lt;K$28,J$27,K373&lt;K$29,J$28,K373&lt;K$30,J$29,K373&lt;K$31,J$30,K373&lt;K$32,J$31,K373&lt;K$33,J$32,K373&lt;K$34,J$33,K373&lt;K$35,J$34,K373&lt;K$36,J$35,K373&lt;K$37,J$36,K373&lt;K$38,J$37,K373&lt;K$39,J$38,K373&lt;K$40,J$39,K373&lt;K$41,J$40,K373&lt;K$42,J$41,K373&lt;K$43,J$42,K373&lt;K$44,J$43,K373&lt;K$45,J$44,K373&lt;K$46,J$45,K373&lt;K$47,J$46,K373&gt;=K$47,J$47)</f>
        <v/>
      </c>
      <c r="K373" s="38" t="n">
        <v>323</v>
      </c>
      <c r="L373" s="31">
        <f>K373/52</f>
        <v/>
      </c>
      <c r="M373" s="39">
        <f>J373/1000000*52</f>
        <v/>
      </c>
      <c r="N373" s="33">
        <f>M373/$P$4+($I$22/$P$4)</f>
        <v/>
      </c>
      <c r="U373">
        <f>F372</f>
        <v/>
      </c>
      <c r="V373">
        <f>H372</f>
        <v/>
      </c>
      <c r="W373">
        <f>N372</f>
        <v/>
      </c>
    </row>
    <row r="374" ht="15.75" customHeight="1" s="40">
      <c r="C374" s="36">
        <f>_xlfn.IFS(E374&lt;E$24,0,E374&lt;E$26,C$24,E374&lt;E$28,C$26,E374&lt;E$30,C$28,E374&lt;E$32,C$30,E374&lt;E$34,C$32,E374&gt;=E$34,C$34)</f>
        <v/>
      </c>
      <c r="D374" s="37">
        <f>_xlfn.IFS(E374&lt;E$24,0,E374&lt;E$25,D$24,E374&lt;E$26,D$25,E374&lt;E$27,D$26,E374&lt;E$28,D$27,E374&lt;E$29,D$28,E374&lt;E$30,D$29,E374&lt;E$31,D$30,E374&lt;E$32,D$31,E374&lt;E$33,D$32,E374&lt;E$34,D$33,E374&lt;E$35,D$34,E374&gt;=E$35,D$35)</f>
        <v/>
      </c>
      <c r="E374" s="38" t="n">
        <v>324</v>
      </c>
      <c r="F374" s="31">
        <f>E374/52</f>
        <v/>
      </c>
      <c r="G374" s="39">
        <f>D374/1000000*52</f>
        <v/>
      </c>
      <c r="H374" s="33">
        <f>G374/$P$4+($C$22/$P$4)</f>
        <v/>
      </c>
      <c r="I374" s="36">
        <f>_xlfn.IFS(K374&lt;K$24,0,K374&lt;K$26,I$24,K374&lt;K$28,I$26,K374&lt;K$30,I$28,K374&lt;K$32,I$30,K374&lt;K$34,I$32,K374&lt;K$36,I$34,K374&lt;K$38,I$36,K374&lt;K$40,I$38,K374&lt;K$42,I$40,K374&lt;K$44,I$42,K374&lt;K$46,I$44,K374&gt;=K$46,I$46)</f>
        <v/>
      </c>
      <c r="J374" s="37">
        <f>_xlfn.IFS(K374&lt;K$24,0,K374&lt;K$25,J$24,K374&lt;K$26,J$25,K374&lt;K$27,J$26,K374&lt;K$28,J$27,K374&lt;K$29,J$28,K374&lt;K$30,J$29,K374&lt;K$31,J$30,K374&lt;K$32,J$31,K374&lt;K$33,J$32,K374&lt;K$34,J$33,K374&lt;K$35,J$34,K374&lt;K$36,J$35,K374&lt;K$37,J$36,K374&lt;K$38,J$37,K374&lt;K$39,J$38,K374&lt;K$40,J$39,K374&lt;K$41,J$40,K374&lt;K$42,J$41,K374&lt;K$43,J$42,K374&lt;K$44,J$43,K374&lt;K$45,J$44,K374&lt;K$46,J$45,K374&lt;K$47,J$46,K374&gt;=K$47,J$47)</f>
        <v/>
      </c>
      <c r="K374" s="38" t="n">
        <v>324</v>
      </c>
      <c r="L374" s="31">
        <f>K374/52</f>
        <v/>
      </c>
      <c r="M374" s="39">
        <f>J374/1000000*52</f>
        <v/>
      </c>
      <c r="N374" s="33">
        <f>M374/$P$4+($I$22/$P$4)</f>
        <v/>
      </c>
      <c r="U374">
        <f>F373</f>
        <v/>
      </c>
      <c r="V374">
        <f>H373</f>
        <v/>
      </c>
      <c r="W374">
        <f>N373</f>
        <v/>
      </c>
    </row>
    <row r="375" ht="15.75" customHeight="1" s="40">
      <c r="C375" s="36">
        <f>_xlfn.IFS(E375&lt;E$24,0,E375&lt;E$26,C$24,E375&lt;E$28,C$26,E375&lt;E$30,C$28,E375&lt;E$32,C$30,E375&lt;E$34,C$32,E375&gt;=E$34,C$34)</f>
        <v/>
      </c>
      <c r="D375" s="37">
        <f>_xlfn.IFS(E375&lt;E$24,0,E375&lt;E$25,D$24,E375&lt;E$26,D$25,E375&lt;E$27,D$26,E375&lt;E$28,D$27,E375&lt;E$29,D$28,E375&lt;E$30,D$29,E375&lt;E$31,D$30,E375&lt;E$32,D$31,E375&lt;E$33,D$32,E375&lt;E$34,D$33,E375&lt;E$35,D$34,E375&gt;=E$35,D$35)</f>
        <v/>
      </c>
      <c r="E375" s="38" t="n">
        <v>325</v>
      </c>
      <c r="F375" s="31">
        <f>E375/52</f>
        <v/>
      </c>
      <c r="G375" s="39">
        <f>D375/1000000*52</f>
        <v/>
      </c>
      <c r="H375" s="33">
        <f>G375/$P$4+($C$22/$P$4)</f>
        <v/>
      </c>
      <c r="I375" s="36">
        <f>_xlfn.IFS(K375&lt;K$24,0,K375&lt;K$26,I$24,K375&lt;K$28,I$26,K375&lt;K$30,I$28,K375&lt;K$32,I$30,K375&lt;K$34,I$32,K375&lt;K$36,I$34,K375&lt;K$38,I$36,K375&lt;K$40,I$38,K375&lt;K$42,I$40,K375&lt;K$44,I$42,K375&lt;K$46,I$44,K375&gt;=K$46,I$46)</f>
        <v/>
      </c>
      <c r="J375" s="37">
        <f>_xlfn.IFS(K375&lt;K$24,0,K375&lt;K$25,J$24,K375&lt;K$26,J$25,K375&lt;K$27,J$26,K375&lt;K$28,J$27,K375&lt;K$29,J$28,K375&lt;K$30,J$29,K375&lt;K$31,J$30,K375&lt;K$32,J$31,K375&lt;K$33,J$32,K375&lt;K$34,J$33,K375&lt;K$35,J$34,K375&lt;K$36,J$35,K375&lt;K$37,J$36,K375&lt;K$38,J$37,K375&lt;K$39,J$38,K375&lt;K$40,J$39,K375&lt;K$41,J$40,K375&lt;K$42,J$41,K375&lt;K$43,J$42,K375&lt;K$44,J$43,K375&lt;K$45,J$44,K375&lt;K$46,J$45,K375&lt;K$47,J$46,K375&gt;=K$47,J$47)</f>
        <v/>
      </c>
      <c r="K375" s="38" t="n">
        <v>325</v>
      </c>
      <c r="L375" s="31">
        <f>K375/52</f>
        <v/>
      </c>
      <c r="M375" s="39">
        <f>J375/1000000*52</f>
        <v/>
      </c>
      <c r="N375" s="33">
        <f>M375/$P$4+($I$22/$P$4)</f>
        <v/>
      </c>
      <c r="U375">
        <f>F374</f>
        <v/>
      </c>
      <c r="V375">
        <f>H374</f>
        <v/>
      </c>
      <c r="W375">
        <f>N374</f>
        <v/>
      </c>
    </row>
    <row r="376" ht="15.75" customHeight="1" s="40">
      <c r="C376" s="36">
        <f>_xlfn.IFS(E376&lt;E$24,0,E376&lt;E$26,C$24,E376&lt;E$28,C$26,E376&lt;E$30,C$28,E376&lt;E$32,C$30,E376&lt;E$34,C$32,E376&gt;=E$34,C$34)</f>
        <v/>
      </c>
      <c r="D376" s="37">
        <f>_xlfn.IFS(E376&lt;E$24,0,E376&lt;E$25,D$24,E376&lt;E$26,D$25,E376&lt;E$27,D$26,E376&lt;E$28,D$27,E376&lt;E$29,D$28,E376&lt;E$30,D$29,E376&lt;E$31,D$30,E376&lt;E$32,D$31,E376&lt;E$33,D$32,E376&lt;E$34,D$33,E376&lt;E$35,D$34,E376&gt;=E$35,D$35)</f>
        <v/>
      </c>
      <c r="E376" s="38" t="n">
        <v>326</v>
      </c>
      <c r="F376" s="31">
        <f>E376/52</f>
        <v/>
      </c>
      <c r="G376" s="39">
        <f>D376/1000000*52</f>
        <v/>
      </c>
      <c r="H376" s="33">
        <f>G376/$P$4+($C$22/$P$4)</f>
        <v/>
      </c>
      <c r="I376" s="36">
        <f>_xlfn.IFS(K376&lt;K$24,0,K376&lt;K$26,I$24,K376&lt;K$28,I$26,K376&lt;K$30,I$28,K376&lt;K$32,I$30,K376&lt;K$34,I$32,K376&lt;K$36,I$34,K376&lt;K$38,I$36,K376&lt;K$40,I$38,K376&lt;K$42,I$40,K376&lt;K$44,I$42,K376&lt;K$46,I$44,K376&gt;=K$46,I$46)</f>
        <v/>
      </c>
      <c r="J376" s="37">
        <f>_xlfn.IFS(K376&lt;K$24,0,K376&lt;K$25,J$24,K376&lt;K$26,J$25,K376&lt;K$27,J$26,K376&lt;K$28,J$27,K376&lt;K$29,J$28,K376&lt;K$30,J$29,K376&lt;K$31,J$30,K376&lt;K$32,J$31,K376&lt;K$33,J$32,K376&lt;K$34,J$33,K376&lt;K$35,J$34,K376&lt;K$36,J$35,K376&lt;K$37,J$36,K376&lt;K$38,J$37,K376&lt;K$39,J$38,K376&lt;K$40,J$39,K376&lt;K$41,J$40,K376&lt;K$42,J$41,K376&lt;K$43,J$42,K376&lt;K$44,J$43,K376&lt;K$45,J$44,K376&lt;K$46,J$45,K376&lt;K$47,J$46,K376&gt;=K$47,J$47)</f>
        <v/>
      </c>
      <c r="K376" s="38" t="n">
        <v>326</v>
      </c>
      <c r="L376" s="31">
        <f>K376/52</f>
        <v/>
      </c>
      <c r="M376" s="39">
        <f>J376/1000000*52</f>
        <v/>
      </c>
      <c r="N376" s="33">
        <f>M376/$P$4+($I$22/$P$4)</f>
        <v/>
      </c>
      <c r="U376">
        <f>F375</f>
        <v/>
      </c>
      <c r="V376">
        <f>H375</f>
        <v/>
      </c>
      <c r="W376">
        <f>N375</f>
        <v/>
      </c>
    </row>
    <row r="377" ht="15.75" customHeight="1" s="40">
      <c r="C377" s="36">
        <f>_xlfn.IFS(E377&lt;E$24,0,E377&lt;E$26,C$24,E377&lt;E$28,C$26,E377&lt;E$30,C$28,E377&lt;E$32,C$30,E377&lt;E$34,C$32,E377&gt;=E$34,C$34)</f>
        <v/>
      </c>
      <c r="D377" s="37">
        <f>_xlfn.IFS(E377&lt;E$24,0,E377&lt;E$25,D$24,E377&lt;E$26,D$25,E377&lt;E$27,D$26,E377&lt;E$28,D$27,E377&lt;E$29,D$28,E377&lt;E$30,D$29,E377&lt;E$31,D$30,E377&lt;E$32,D$31,E377&lt;E$33,D$32,E377&lt;E$34,D$33,E377&lt;E$35,D$34,E377&gt;=E$35,D$35)</f>
        <v/>
      </c>
      <c r="E377" s="38" t="n">
        <v>327</v>
      </c>
      <c r="F377" s="31">
        <f>E377/52</f>
        <v/>
      </c>
      <c r="G377" s="39">
        <f>D377/1000000*52</f>
        <v/>
      </c>
      <c r="H377" s="33">
        <f>G377/$P$4+($C$22/$P$4)</f>
        <v/>
      </c>
      <c r="I377" s="36">
        <f>_xlfn.IFS(K377&lt;K$24,0,K377&lt;K$26,I$24,K377&lt;K$28,I$26,K377&lt;K$30,I$28,K377&lt;K$32,I$30,K377&lt;K$34,I$32,K377&lt;K$36,I$34,K377&lt;K$38,I$36,K377&lt;K$40,I$38,K377&lt;K$42,I$40,K377&lt;K$44,I$42,K377&lt;K$46,I$44,K377&gt;=K$46,I$46)</f>
        <v/>
      </c>
      <c r="J377" s="37">
        <f>_xlfn.IFS(K377&lt;K$24,0,K377&lt;K$25,J$24,K377&lt;K$26,J$25,K377&lt;K$27,J$26,K377&lt;K$28,J$27,K377&lt;K$29,J$28,K377&lt;K$30,J$29,K377&lt;K$31,J$30,K377&lt;K$32,J$31,K377&lt;K$33,J$32,K377&lt;K$34,J$33,K377&lt;K$35,J$34,K377&lt;K$36,J$35,K377&lt;K$37,J$36,K377&lt;K$38,J$37,K377&lt;K$39,J$38,K377&lt;K$40,J$39,K377&lt;K$41,J$40,K377&lt;K$42,J$41,K377&lt;K$43,J$42,K377&lt;K$44,J$43,K377&lt;K$45,J$44,K377&lt;K$46,J$45,K377&lt;K$47,J$46,K377&gt;=K$47,J$47)</f>
        <v/>
      </c>
      <c r="K377" s="38" t="n">
        <v>327</v>
      </c>
      <c r="L377" s="31">
        <f>K377/52</f>
        <v/>
      </c>
      <c r="M377" s="39">
        <f>J377/1000000*52</f>
        <v/>
      </c>
      <c r="N377" s="33">
        <f>M377/$P$4+($I$22/$P$4)</f>
        <v/>
      </c>
      <c r="U377">
        <f>F376</f>
        <v/>
      </c>
      <c r="V377">
        <f>H376</f>
        <v/>
      </c>
      <c r="W377">
        <f>N376</f>
        <v/>
      </c>
    </row>
    <row r="378" ht="15.75" customHeight="1" s="40">
      <c r="C378" s="36">
        <f>_xlfn.IFS(E378&lt;E$24,0,E378&lt;E$26,C$24,E378&lt;E$28,C$26,E378&lt;E$30,C$28,E378&lt;E$32,C$30,E378&lt;E$34,C$32,E378&gt;=E$34,C$34)</f>
        <v/>
      </c>
      <c r="D378" s="37">
        <f>_xlfn.IFS(E378&lt;E$24,0,E378&lt;E$25,D$24,E378&lt;E$26,D$25,E378&lt;E$27,D$26,E378&lt;E$28,D$27,E378&lt;E$29,D$28,E378&lt;E$30,D$29,E378&lt;E$31,D$30,E378&lt;E$32,D$31,E378&lt;E$33,D$32,E378&lt;E$34,D$33,E378&lt;E$35,D$34,E378&gt;=E$35,D$35)</f>
        <v/>
      </c>
      <c r="E378" s="38" t="n">
        <v>328</v>
      </c>
      <c r="F378" s="31">
        <f>E378/52</f>
        <v/>
      </c>
      <c r="G378" s="39">
        <f>D378/1000000*52</f>
        <v/>
      </c>
      <c r="H378" s="33">
        <f>G378/$P$4+($C$22/$P$4)</f>
        <v/>
      </c>
      <c r="I378" s="36">
        <f>_xlfn.IFS(K378&lt;K$24,0,K378&lt;K$26,I$24,K378&lt;K$28,I$26,K378&lt;K$30,I$28,K378&lt;K$32,I$30,K378&lt;K$34,I$32,K378&lt;K$36,I$34,K378&lt;K$38,I$36,K378&lt;K$40,I$38,K378&lt;K$42,I$40,K378&lt;K$44,I$42,K378&lt;K$46,I$44,K378&gt;=K$46,I$46)</f>
        <v/>
      </c>
      <c r="J378" s="37">
        <f>_xlfn.IFS(K378&lt;K$24,0,K378&lt;K$25,J$24,K378&lt;K$26,J$25,K378&lt;K$27,J$26,K378&lt;K$28,J$27,K378&lt;K$29,J$28,K378&lt;K$30,J$29,K378&lt;K$31,J$30,K378&lt;K$32,J$31,K378&lt;K$33,J$32,K378&lt;K$34,J$33,K378&lt;K$35,J$34,K378&lt;K$36,J$35,K378&lt;K$37,J$36,K378&lt;K$38,J$37,K378&lt;K$39,J$38,K378&lt;K$40,J$39,K378&lt;K$41,J$40,K378&lt;K$42,J$41,K378&lt;K$43,J$42,K378&lt;K$44,J$43,K378&lt;K$45,J$44,K378&lt;K$46,J$45,K378&lt;K$47,J$46,K378&gt;=K$47,J$47)</f>
        <v/>
      </c>
      <c r="K378" s="38" t="n">
        <v>328</v>
      </c>
      <c r="L378" s="31">
        <f>K378/52</f>
        <v/>
      </c>
      <c r="M378" s="39">
        <f>J378/1000000*52</f>
        <v/>
      </c>
      <c r="N378" s="33">
        <f>M378/$P$4+($I$22/$P$4)</f>
        <v/>
      </c>
      <c r="U378">
        <f>F377</f>
        <v/>
      </c>
      <c r="V378">
        <f>H377</f>
        <v/>
      </c>
      <c r="W378">
        <f>N377</f>
        <v/>
      </c>
    </row>
    <row r="379" ht="15.75" customHeight="1" s="40">
      <c r="C379" s="36">
        <f>_xlfn.IFS(E379&lt;E$24,0,E379&lt;E$26,C$24,E379&lt;E$28,C$26,E379&lt;E$30,C$28,E379&lt;E$32,C$30,E379&lt;E$34,C$32,E379&gt;=E$34,C$34)</f>
        <v/>
      </c>
      <c r="D379" s="37">
        <f>_xlfn.IFS(E379&lt;E$24,0,E379&lt;E$25,D$24,E379&lt;E$26,D$25,E379&lt;E$27,D$26,E379&lt;E$28,D$27,E379&lt;E$29,D$28,E379&lt;E$30,D$29,E379&lt;E$31,D$30,E379&lt;E$32,D$31,E379&lt;E$33,D$32,E379&lt;E$34,D$33,E379&lt;E$35,D$34,E379&gt;=E$35,D$35)</f>
        <v/>
      </c>
      <c r="E379" s="38" t="n">
        <v>329</v>
      </c>
      <c r="F379" s="31">
        <f>E379/52</f>
        <v/>
      </c>
      <c r="G379" s="39">
        <f>D379/1000000*52</f>
        <v/>
      </c>
      <c r="H379" s="33">
        <f>G379/$P$4+($C$22/$P$4)</f>
        <v/>
      </c>
      <c r="I379" s="36">
        <f>_xlfn.IFS(K379&lt;K$24,0,K379&lt;K$26,I$24,K379&lt;K$28,I$26,K379&lt;K$30,I$28,K379&lt;K$32,I$30,K379&lt;K$34,I$32,K379&lt;K$36,I$34,K379&lt;K$38,I$36,K379&lt;K$40,I$38,K379&lt;K$42,I$40,K379&lt;K$44,I$42,K379&lt;K$46,I$44,K379&gt;=K$46,I$46)</f>
        <v/>
      </c>
      <c r="J379" s="37">
        <f>_xlfn.IFS(K379&lt;K$24,0,K379&lt;K$25,J$24,K379&lt;K$26,J$25,K379&lt;K$27,J$26,K379&lt;K$28,J$27,K379&lt;K$29,J$28,K379&lt;K$30,J$29,K379&lt;K$31,J$30,K379&lt;K$32,J$31,K379&lt;K$33,J$32,K379&lt;K$34,J$33,K379&lt;K$35,J$34,K379&lt;K$36,J$35,K379&lt;K$37,J$36,K379&lt;K$38,J$37,K379&lt;K$39,J$38,K379&lt;K$40,J$39,K379&lt;K$41,J$40,K379&lt;K$42,J$41,K379&lt;K$43,J$42,K379&lt;K$44,J$43,K379&lt;K$45,J$44,K379&lt;K$46,J$45,K379&lt;K$47,J$46,K379&gt;=K$47,J$47)</f>
        <v/>
      </c>
      <c r="K379" s="38" t="n">
        <v>329</v>
      </c>
      <c r="L379" s="31">
        <f>K379/52</f>
        <v/>
      </c>
      <c r="M379" s="39">
        <f>J379/1000000*52</f>
        <v/>
      </c>
      <c r="N379" s="33">
        <f>M379/$P$4+($I$22/$P$4)</f>
        <v/>
      </c>
      <c r="U379">
        <f>F378</f>
        <v/>
      </c>
      <c r="V379">
        <f>H378</f>
        <v/>
      </c>
      <c r="W379">
        <f>N378</f>
        <v/>
      </c>
    </row>
    <row r="380" ht="15.75" customHeight="1" s="40">
      <c r="C380" s="36">
        <f>_xlfn.IFS(E380&lt;E$24,0,E380&lt;E$26,C$24,E380&lt;E$28,C$26,E380&lt;E$30,C$28,E380&lt;E$32,C$30,E380&lt;E$34,C$32,E380&gt;=E$34,C$34)</f>
        <v/>
      </c>
      <c r="D380" s="37">
        <f>_xlfn.IFS(E380&lt;E$24,0,E380&lt;E$25,D$24,E380&lt;E$26,D$25,E380&lt;E$27,D$26,E380&lt;E$28,D$27,E380&lt;E$29,D$28,E380&lt;E$30,D$29,E380&lt;E$31,D$30,E380&lt;E$32,D$31,E380&lt;E$33,D$32,E380&lt;E$34,D$33,E380&lt;E$35,D$34,E380&gt;=E$35,D$35)</f>
        <v/>
      </c>
      <c r="E380" s="38" t="n">
        <v>330</v>
      </c>
      <c r="F380" s="31">
        <f>E380/52</f>
        <v/>
      </c>
      <c r="G380" s="39">
        <f>D380/1000000*52</f>
        <v/>
      </c>
      <c r="H380" s="33">
        <f>G380/$P$4+($C$22/$P$4)</f>
        <v/>
      </c>
      <c r="I380" s="36">
        <f>_xlfn.IFS(K380&lt;K$24,0,K380&lt;K$26,I$24,K380&lt;K$28,I$26,K380&lt;K$30,I$28,K380&lt;K$32,I$30,K380&lt;K$34,I$32,K380&lt;K$36,I$34,K380&lt;K$38,I$36,K380&lt;K$40,I$38,K380&lt;K$42,I$40,K380&lt;K$44,I$42,K380&lt;K$46,I$44,K380&gt;=K$46,I$46)</f>
        <v/>
      </c>
      <c r="J380" s="37">
        <f>_xlfn.IFS(K380&lt;K$24,0,K380&lt;K$25,J$24,K380&lt;K$26,J$25,K380&lt;K$27,J$26,K380&lt;K$28,J$27,K380&lt;K$29,J$28,K380&lt;K$30,J$29,K380&lt;K$31,J$30,K380&lt;K$32,J$31,K380&lt;K$33,J$32,K380&lt;K$34,J$33,K380&lt;K$35,J$34,K380&lt;K$36,J$35,K380&lt;K$37,J$36,K380&lt;K$38,J$37,K380&lt;K$39,J$38,K380&lt;K$40,J$39,K380&lt;K$41,J$40,K380&lt;K$42,J$41,K380&lt;K$43,J$42,K380&lt;K$44,J$43,K380&lt;K$45,J$44,K380&lt;K$46,J$45,K380&lt;K$47,J$46,K380&gt;=K$47,J$47)</f>
        <v/>
      </c>
      <c r="K380" s="38" t="n">
        <v>330</v>
      </c>
      <c r="L380" s="31">
        <f>K380/52</f>
        <v/>
      </c>
      <c r="M380" s="39">
        <f>J380/1000000*52</f>
        <v/>
      </c>
      <c r="N380" s="33">
        <f>M380/$P$4+($I$22/$P$4)</f>
        <v/>
      </c>
      <c r="U380">
        <f>F379</f>
        <v/>
      </c>
      <c r="V380">
        <f>H379</f>
        <v/>
      </c>
      <c r="W380">
        <f>N379</f>
        <v/>
      </c>
    </row>
    <row r="381" ht="15.75" customHeight="1" s="40">
      <c r="C381" s="36">
        <f>_xlfn.IFS(E381&lt;E$24,0,E381&lt;E$26,C$24,E381&lt;E$28,C$26,E381&lt;E$30,C$28,E381&lt;E$32,C$30,E381&lt;E$34,C$32,E381&gt;=E$34,C$34)</f>
        <v/>
      </c>
      <c r="D381" s="37">
        <f>_xlfn.IFS(E381&lt;E$24,0,E381&lt;E$25,D$24,E381&lt;E$26,D$25,E381&lt;E$27,D$26,E381&lt;E$28,D$27,E381&lt;E$29,D$28,E381&lt;E$30,D$29,E381&lt;E$31,D$30,E381&lt;E$32,D$31,E381&lt;E$33,D$32,E381&lt;E$34,D$33,E381&lt;E$35,D$34,E381&gt;=E$35,D$35)</f>
        <v/>
      </c>
      <c r="E381" s="38" t="n">
        <v>331</v>
      </c>
      <c r="F381" s="31">
        <f>E381/52</f>
        <v/>
      </c>
      <c r="G381" s="39">
        <f>D381/1000000*52</f>
        <v/>
      </c>
      <c r="H381" s="33">
        <f>G381/$P$4+($C$22/$P$4)</f>
        <v/>
      </c>
      <c r="I381" s="36">
        <f>_xlfn.IFS(K381&lt;K$24,0,K381&lt;K$26,I$24,K381&lt;K$28,I$26,K381&lt;K$30,I$28,K381&lt;K$32,I$30,K381&lt;K$34,I$32,K381&lt;K$36,I$34,K381&lt;K$38,I$36,K381&lt;K$40,I$38,K381&lt;K$42,I$40,K381&lt;K$44,I$42,K381&lt;K$46,I$44,K381&gt;=K$46,I$46)</f>
        <v/>
      </c>
      <c r="J381" s="37">
        <f>_xlfn.IFS(K381&lt;K$24,0,K381&lt;K$25,J$24,K381&lt;K$26,J$25,K381&lt;K$27,J$26,K381&lt;K$28,J$27,K381&lt;K$29,J$28,K381&lt;K$30,J$29,K381&lt;K$31,J$30,K381&lt;K$32,J$31,K381&lt;K$33,J$32,K381&lt;K$34,J$33,K381&lt;K$35,J$34,K381&lt;K$36,J$35,K381&lt;K$37,J$36,K381&lt;K$38,J$37,K381&lt;K$39,J$38,K381&lt;K$40,J$39,K381&lt;K$41,J$40,K381&lt;K$42,J$41,K381&lt;K$43,J$42,K381&lt;K$44,J$43,K381&lt;K$45,J$44,K381&lt;K$46,J$45,K381&lt;K$47,J$46,K381&gt;=K$47,J$47)</f>
        <v/>
      </c>
      <c r="K381" s="38" t="n">
        <v>331</v>
      </c>
      <c r="L381" s="31">
        <f>K381/52</f>
        <v/>
      </c>
      <c r="M381" s="39">
        <f>J381/1000000*52</f>
        <v/>
      </c>
      <c r="N381" s="33">
        <f>M381/$P$4+($I$22/$P$4)</f>
        <v/>
      </c>
      <c r="U381">
        <f>F380</f>
        <v/>
      </c>
      <c r="V381">
        <f>H380</f>
        <v/>
      </c>
      <c r="W381">
        <f>N380</f>
        <v/>
      </c>
    </row>
    <row r="382" ht="15.75" customHeight="1" s="40">
      <c r="C382" s="36">
        <f>_xlfn.IFS(E382&lt;E$24,0,E382&lt;E$26,C$24,E382&lt;E$28,C$26,E382&lt;E$30,C$28,E382&lt;E$32,C$30,E382&lt;E$34,C$32,E382&gt;=E$34,C$34)</f>
        <v/>
      </c>
      <c r="D382" s="37">
        <f>_xlfn.IFS(E382&lt;E$24,0,E382&lt;E$25,D$24,E382&lt;E$26,D$25,E382&lt;E$27,D$26,E382&lt;E$28,D$27,E382&lt;E$29,D$28,E382&lt;E$30,D$29,E382&lt;E$31,D$30,E382&lt;E$32,D$31,E382&lt;E$33,D$32,E382&lt;E$34,D$33,E382&lt;E$35,D$34,E382&gt;=E$35,D$35)</f>
        <v/>
      </c>
      <c r="E382" s="38" t="n">
        <v>332</v>
      </c>
      <c r="F382" s="31">
        <f>E382/52</f>
        <v/>
      </c>
      <c r="G382" s="39">
        <f>D382/1000000*52</f>
        <v/>
      </c>
      <c r="H382" s="33">
        <f>G382/$P$4+($C$22/$P$4)</f>
        <v/>
      </c>
      <c r="I382" s="36">
        <f>_xlfn.IFS(K382&lt;K$24,0,K382&lt;K$26,I$24,K382&lt;K$28,I$26,K382&lt;K$30,I$28,K382&lt;K$32,I$30,K382&lt;K$34,I$32,K382&lt;K$36,I$34,K382&lt;K$38,I$36,K382&lt;K$40,I$38,K382&lt;K$42,I$40,K382&lt;K$44,I$42,K382&lt;K$46,I$44,K382&gt;=K$46,I$46)</f>
        <v/>
      </c>
      <c r="J382" s="37">
        <f>_xlfn.IFS(K382&lt;K$24,0,K382&lt;K$25,J$24,K382&lt;K$26,J$25,K382&lt;K$27,J$26,K382&lt;K$28,J$27,K382&lt;K$29,J$28,K382&lt;K$30,J$29,K382&lt;K$31,J$30,K382&lt;K$32,J$31,K382&lt;K$33,J$32,K382&lt;K$34,J$33,K382&lt;K$35,J$34,K382&lt;K$36,J$35,K382&lt;K$37,J$36,K382&lt;K$38,J$37,K382&lt;K$39,J$38,K382&lt;K$40,J$39,K382&lt;K$41,J$40,K382&lt;K$42,J$41,K382&lt;K$43,J$42,K382&lt;K$44,J$43,K382&lt;K$45,J$44,K382&lt;K$46,J$45,K382&lt;K$47,J$46,K382&gt;=K$47,J$47)</f>
        <v/>
      </c>
      <c r="K382" s="38" t="n">
        <v>332</v>
      </c>
      <c r="L382" s="31">
        <f>K382/52</f>
        <v/>
      </c>
      <c r="M382" s="39">
        <f>J382/1000000*52</f>
        <v/>
      </c>
      <c r="N382" s="33">
        <f>M382/$P$4+($I$22/$P$4)</f>
        <v/>
      </c>
      <c r="U382">
        <f>F381</f>
        <v/>
      </c>
      <c r="V382">
        <f>H381</f>
        <v/>
      </c>
      <c r="W382">
        <f>N381</f>
        <v/>
      </c>
    </row>
    <row r="383" ht="15.75" customHeight="1" s="40">
      <c r="C383" s="36">
        <f>_xlfn.IFS(E383&lt;E$24,0,E383&lt;E$26,C$24,E383&lt;E$28,C$26,E383&lt;E$30,C$28,E383&lt;E$32,C$30,E383&lt;E$34,C$32,E383&gt;=E$34,C$34)</f>
        <v/>
      </c>
      <c r="D383" s="37">
        <f>_xlfn.IFS(E383&lt;E$24,0,E383&lt;E$25,D$24,E383&lt;E$26,D$25,E383&lt;E$27,D$26,E383&lt;E$28,D$27,E383&lt;E$29,D$28,E383&lt;E$30,D$29,E383&lt;E$31,D$30,E383&lt;E$32,D$31,E383&lt;E$33,D$32,E383&lt;E$34,D$33,E383&lt;E$35,D$34,E383&gt;=E$35,D$35)</f>
        <v/>
      </c>
      <c r="E383" s="38" t="n">
        <v>333</v>
      </c>
      <c r="F383" s="31">
        <f>E383/52</f>
        <v/>
      </c>
      <c r="G383" s="39">
        <f>D383/1000000*52</f>
        <v/>
      </c>
      <c r="H383" s="33">
        <f>G383/$P$4+($C$22/$P$4)</f>
        <v/>
      </c>
      <c r="I383" s="36">
        <f>_xlfn.IFS(K383&lt;K$24,0,K383&lt;K$26,I$24,K383&lt;K$28,I$26,K383&lt;K$30,I$28,K383&lt;K$32,I$30,K383&lt;K$34,I$32,K383&lt;K$36,I$34,K383&lt;K$38,I$36,K383&lt;K$40,I$38,K383&lt;K$42,I$40,K383&lt;K$44,I$42,K383&lt;K$46,I$44,K383&gt;=K$46,I$46)</f>
        <v/>
      </c>
      <c r="J383" s="37">
        <f>_xlfn.IFS(K383&lt;K$24,0,K383&lt;K$25,J$24,K383&lt;K$26,J$25,K383&lt;K$27,J$26,K383&lt;K$28,J$27,K383&lt;K$29,J$28,K383&lt;K$30,J$29,K383&lt;K$31,J$30,K383&lt;K$32,J$31,K383&lt;K$33,J$32,K383&lt;K$34,J$33,K383&lt;K$35,J$34,K383&lt;K$36,J$35,K383&lt;K$37,J$36,K383&lt;K$38,J$37,K383&lt;K$39,J$38,K383&lt;K$40,J$39,K383&lt;K$41,J$40,K383&lt;K$42,J$41,K383&lt;K$43,J$42,K383&lt;K$44,J$43,K383&lt;K$45,J$44,K383&lt;K$46,J$45,K383&lt;K$47,J$46,K383&gt;=K$47,J$47)</f>
        <v/>
      </c>
      <c r="K383" s="38" t="n">
        <v>333</v>
      </c>
      <c r="L383" s="31">
        <f>K383/52</f>
        <v/>
      </c>
      <c r="M383" s="39">
        <f>J383/1000000*52</f>
        <v/>
      </c>
      <c r="N383" s="33">
        <f>M383/$P$4+($I$22/$P$4)</f>
        <v/>
      </c>
      <c r="U383">
        <f>F382</f>
        <v/>
      </c>
      <c r="V383">
        <f>H382</f>
        <v/>
      </c>
      <c r="W383">
        <f>N382</f>
        <v/>
      </c>
    </row>
    <row r="384" ht="15.75" customHeight="1" s="40">
      <c r="C384" s="36">
        <f>_xlfn.IFS(E384&lt;E$24,0,E384&lt;E$26,C$24,E384&lt;E$28,C$26,E384&lt;E$30,C$28,E384&lt;E$32,C$30,E384&lt;E$34,C$32,E384&gt;=E$34,C$34)</f>
        <v/>
      </c>
      <c r="D384" s="37">
        <f>_xlfn.IFS(E384&lt;E$24,0,E384&lt;E$25,D$24,E384&lt;E$26,D$25,E384&lt;E$27,D$26,E384&lt;E$28,D$27,E384&lt;E$29,D$28,E384&lt;E$30,D$29,E384&lt;E$31,D$30,E384&lt;E$32,D$31,E384&lt;E$33,D$32,E384&lt;E$34,D$33,E384&lt;E$35,D$34,E384&gt;=E$35,D$35)</f>
        <v/>
      </c>
      <c r="E384" s="38" t="n">
        <v>334</v>
      </c>
      <c r="F384" s="31">
        <f>E384/52</f>
        <v/>
      </c>
      <c r="G384" s="39">
        <f>D384/1000000*52</f>
        <v/>
      </c>
      <c r="H384" s="33">
        <f>G384/$P$4+($C$22/$P$4)</f>
        <v/>
      </c>
      <c r="I384" s="36">
        <f>_xlfn.IFS(K384&lt;K$24,0,K384&lt;K$26,I$24,K384&lt;K$28,I$26,K384&lt;K$30,I$28,K384&lt;K$32,I$30,K384&lt;K$34,I$32,K384&lt;K$36,I$34,K384&lt;K$38,I$36,K384&lt;K$40,I$38,K384&lt;K$42,I$40,K384&lt;K$44,I$42,K384&lt;K$46,I$44,K384&gt;=K$46,I$46)</f>
        <v/>
      </c>
      <c r="J384" s="37">
        <f>_xlfn.IFS(K384&lt;K$24,0,K384&lt;K$25,J$24,K384&lt;K$26,J$25,K384&lt;K$27,J$26,K384&lt;K$28,J$27,K384&lt;K$29,J$28,K384&lt;K$30,J$29,K384&lt;K$31,J$30,K384&lt;K$32,J$31,K384&lt;K$33,J$32,K384&lt;K$34,J$33,K384&lt;K$35,J$34,K384&lt;K$36,J$35,K384&lt;K$37,J$36,K384&lt;K$38,J$37,K384&lt;K$39,J$38,K384&lt;K$40,J$39,K384&lt;K$41,J$40,K384&lt;K$42,J$41,K384&lt;K$43,J$42,K384&lt;K$44,J$43,K384&lt;K$45,J$44,K384&lt;K$46,J$45,K384&lt;K$47,J$46,K384&gt;=K$47,J$47)</f>
        <v/>
      </c>
      <c r="K384" s="38" t="n">
        <v>334</v>
      </c>
      <c r="L384" s="31">
        <f>K384/52</f>
        <v/>
      </c>
      <c r="M384" s="39">
        <f>J384/1000000*52</f>
        <v/>
      </c>
      <c r="N384" s="33">
        <f>M384/$P$4+($I$22/$P$4)</f>
        <v/>
      </c>
      <c r="U384">
        <f>F383</f>
        <v/>
      </c>
      <c r="V384">
        <f>H383</f>
        <v/>
      </c>
      <c r="W384">
        <f>N383</f>
        <v/>
      </c>
    </row>
    <row r="385" ht="15.75" customHeight="1" s="40">
      <c r="C385" s="36">
        <f>_xlfn.IFS(E385&lt;E$24,0,E385&lt;E$26,C$24,E385&lt;E$28,C$26,E385&lt;E$30,C$28,E385&lt;E$32,C$30,E385&lt;E$34,C$32,E385&gt;=E$34,C$34)</f>
        <v/>
      </c>
      <c r="D385" s="37">
        <f>_xlfn.IFS(E385&lt;E$24,0,E385&lt;E$25,D$24,E385&lt;E$26,D$25,E385&lt;E$27,D$26,E385&lt;E$28,D$27,E385&lt;E$29,D$28,E385&lt;E$30,D$29,E385&lt;E$31,D$30,E385&lt;E$32,D$31,E385&lt;E$33,D$32,E385&lt;E$34,D$33,E385&lt;E$35,D$34,E385&gt;=E$35,D$35)</f>
        <v/>
      </c>
      <c r="E385" s="38" t="n">
        <v>335</v>
      </c>
      <c r="F385" s="31">
        <f>E385/52</f>
        <v/>
      </c>
      <c r="G385" s="39">
        <f>D385/1000000*52</f>
        <v/>
      </c>
      <c r="H385" s="33">
        <f>G385/$P$4+($C$22/$P$4)</f>
        <v/>
      </c>
      <c r="I385" s="36">
        <f>_xlfn.IFS(K385&lt;K$24,0,K385&lt;K$26,I$24,K385&lt;K$28,I$26,K385&lt;K$30,I$28,K385&lt;K$32,I$30,K385&lt;K$34,I$32,K385&lt;K$36,I$34,K385&lt;K$38,I$36,K385&lt;K$40,I$38,K385&lt;K$42,I$40,K385&lt;K$44,I$42,K385&lt;K$46,I$44,K385&gt;=K$46,I$46)</f>
        <v/>
      </c>
      <c r="J385" s="37">
        <f>_xlfn.IFS(K385&lt;K$24,0,K385&lt;K$25,J$24,K385&lt;K$26,J$25,K385&lt;K$27,J$26,K385&lt;K$28,J$27,K385&lt;K$29,J$28,K385&lt;K$30,J$29,K385&lt;K$31,J$30,K385&lt;K$32,J$31,K385&lt;K$33,J$32,K385&lt;K$34,J$33,K385&lt;K$35,J$34,K385&lt;K$36,J$35,K385&lt;K$37,J$36,K385&lt;K$38,J$37,K385&lt;K$39,J$38,K385&lt;K$40,J$39,K385&lt;K$41,J$40,K385&lt;K$42,J$41,K385&lt;K$43,J$42,K385&lt;K$44,J$43,K385&lt;K$45,J$44,K385&lt;K$46,J$45,K385&lt;K$47,J$46,K385&gt;=K$47,J$47)</f>
        <v/>
      </c>
      <c r="K385" s="38" t="n">
        <v>335</v>
      </c>
      <c r="L385" s="31">
        <f>K385/52</f>
        <v/>
      </c>
      <c r="M385" s="39">
        <f>J385/1000000*52</f>
        <v/>
      </c>
      <c r="N385" s="33">
        <f>M385/$P$4+($I$22/$P$4)</f>
        <v/>
      </c>
      <c r="U385">
        <f>F384</f>
        <v/>
      </c>
      <c r="V385">
        <f>H384</f>
        <v/>
      </c>
      <c r="W385">
        <f>N384</f>
        <v/>
      </c>
    </row>
    <row r="386" ht="15.75" customHeight="1" s="40">
      <c r="C386" s="36">
        <f>_xlfn.IFS(E386&lt;E$24,0,E386&lt;E$26,C$24,E386&lt;E$28,C$26,E386&lt;E$30,C$28,E386&lt;E$32,C$30,E386&lt;E$34,C$32,E386&gt;=E$34,C$34)</f>
        <v/>
      </c>
      <c r="D386" s="37">
        <f>_xlfn.IFS(E386&lt;E$24,0,E386&lt;E$25,D$24,E386&lt;E$26,D$25,E386&lt;E$27,D$26,E386&lt;E$28,D$27,E386&lt;E$29,D$28,E386&lt;E$30,D$29,E386&lt;E$31,D$30,E386&lt;E$32,D$31,E386&lt;E$33,D$32,E386&lt;E$34,D$33,E386&lt;E$35,D$34,E386&gt;=E$35,D$35)</f>
        <v/>
      </c>
      <c r="E386" s="38" t="n">
        <v>336</v>
      </c>
      <c r="F386" s="31">
        <f>E386/52</f>
        <v/>
      </c>
      <c r="G386" s="39">
        <f>D386/1000000*52</f>
        <v/>
      </c>
      <c r="H386" s="33">
        <f>G386/$P$4+($C$22/$P$4)</f>
        <v/>
      </c>
      <c r="I386" s="36">
        <f>_xlfn.IFS(K386&lt;K$24,0,K386&lt;K$26,I$24,K386&lt;K$28,I$26,K386&lt;K$30,I$28,K386&lt;K$32,I$30,K386&lt;K$34,I$32,K386&lt;K$36,I$34,K386&lt;K$38,I$36,K386&lt;K$40,I$38,K386&lt;K$42,I$40,K386&lt;K$44,I$42,K386&lt;K$46,I$44,K386&gt;=K$46,I$46)</f>
        <v/>
      </c>
      <c r="J386" s="37">
        <f>_xlfn.IFS(K386&lt;K$24,0,K386&lt;K$25,J$24,K386&lt;K$26,J$25,K386&lt;K$27,J$26,K386&lt;K$28,J$27,K386&lt;K$29,J$28,K386&lt;K$30,J$29,K386&lt;K$31,J$30,K386&lt;K$32,J$31,K386&lt;K$33,J$32,K386&lt;K$34,J$33,K386&lt;K$35,J$34,K386&lt;K$36,J$35,K386&lt;K$37,J$36,K386&lt;K$38,J$37,K386&lt;K$39,J$38,K386&lt;K$40,J$39,K386&lt;K$41,J$40,K386&lt;K$42,J$41,K386&lt;K$43,J$42,K386&lt;K$44,J$43,K386&lt;K$45,J$44,K386&lt;K$46,J$45,K386&lt;K$47,J$46,K386&gt;=K$47,J$47)</f>
        <v/>
      </c>
      <c r="K386" s="38" t="n">
        <v>336</v>
      </c>
      <c r="L386" s="31">
        <f>K386/52</f>
        <v/>
      </c>
      <c r="M386" s="39">
        <f>J386/1000000*52</f>
        <v/>
      </c>
      <c r="N386" s="33">
        <f>M386/$P$4+($I$22/$P$4)</f>
        <v/>
      </c>
      <c r="U386">
        <f>F385</f>
        <v/>
      </c>
      <c r="V386">
        <f>H385</f>
        <v/>
      </c>
      <c r="W386">
        <f>N385</f>
        <v/>
      </c>
    </row>
    <row r="387" ht="15.75" customHeight="1" s="40">
      <c r="C387" s="36">
        <f>_xlfn.IFS(E387&lt;E$24,0,E387&lt;E$26,C$24,E387&lt;E$28,C$26,E387&lt;E$30,C$28,E387&lt;E$32,C$30,E387&lt;E$34,C$32,E387&gt;=E$34,C$34)</f>
        <v/>
      </c>
      <c r="D387" s="37">
        <f>_xlfn.IFS(E387&lt;E$24,0,E387&lt;E$25,D$24,E387&lt;E$26,D$25,E387&lt;E$27,D$26,E387&lt;E$28,D$27,E387&lt;E$29,D$28,E387&lt;E$30,D$29,E387&lt;E$31,D$30,E387&lt;E$32,D$31,E387&lt;E$33,D$32,E387&lt;E$34,D$33,E387&lt;E$35,D$34,E387&gt;=E$35,D$35)</f>
        <v/>
      </c>
      <c r="E387" s="38" t="n">
        <v>337</v>
      </c>
      <c r="F387" s="31">
        <f>E387/52</f>
        <v/>
      </c>
      <c r="G387" s="39">
        <f>D387/1000000*52</f>
        <v/>
      </c>
      <c r="H387" s="33">
        <f>G387/$P$4+($C$22/$P$4)</f>
        <v/>
      </c>
      <c r="I387" s="36">
        <f>_xlfn.IFS(K387&lt;K$24,0,K387&lt;K$26,I$24,K387&lt;K$28,I$26,K387&lt;K$30,I$28,K387&lt;K$32,I$30,K387&lt;K$34,I$32,K387&lt;K$36,I$34,K387&lt;K$38,I$36,K387&lt;K$40,I$38,K387&lt;K$42,I$40,K387&lt;K$44,I$42,K387&lt;K$46,I$44,K387&gt;=K$46,I$46)</f>
        <v/>
      </c>
      <c r="J387" s="37">
        <f>_xlfn.IFS(K387&lt;K$24,0,K387&lt;K$25,J$24,K387&lt;K$26,J$25,K387&lt;K$27,J$26,K387&lt;K$28,J$27,K387&lt;K$29,J$28,K387&lt;K$30,J$29,K387&lt;K$31,J$30,K387&lt;K$32,J$31,K387&lt;K$33,J$32,K387&lt;K$34,J$33,K387&lt;K$35,J$34,K387&lt;K$36,J$35,K387&lt;K$37,J$36,K387&lt;K$38,J$37,K387&lt;K$39,J$38,K387&lt;K$40,J$39,K387&lt;K$41,J$40,K387&lt;K$42,J$41,K387&lt;K$43,J$42,K387&lt;K$44,J$43,K387&lt;K$45,J$44,K387&lt;K$46,J$45,K387&lt;K$47,J$46,K387&gt;=K$47,J$47)</f>
        <v/>
      </c>
      <c r="K387" s="38" t="n">
        <v>337</v>
      </c>
      <c r="L387" s="31">
        <f>K387/52</f>
        <v/>
      </c>
      <c r="M387" s="39">
        <f>J387/1000000*52</f>
        <v/>
      </c>
      <c r="N387" s="33">
        <f>M387/$P$4+($I$22/$P$4)</f>
        <v/>
      </c>
      <c r="U387">
        <f>F386</f>
        <v/>
      </c>
      <c r="V387">
        <f>H386</f>
        <v/>
      </c>
      <c r="W387">
        <f>N386</f>
        <v/>
      </c>
    </row>
    <row r="388" ht="15.75" customHeight="1" s="40">
      <c r="C388" s="36">
        <f>_xlfn.IFS(E388&lt;E$24,0,E388&lt;E$26,C$24,E388&lt;E$28,C$26,E388&lt;E$30,C$28,E388&lt;E$32,C$30,E388&lt;E$34,C$32,E388&gt;=E$34,C$34)</f>
        <v/>
      </c>
      <c r="D388" s="37">
        <f>_xlfn.IFS(E388&lt;E$24,0,E388&lt;E$25,D$24,E388&lt;E$26,D$25,E388&lt;E$27,D$26,E388&lt;E$28,D$27,E388&lt;E$29,D$28,E388&lt;E$30,D$29,E388&lt;E$31,D$30,E388&lt;E$32,D$31,E388&lt;E$33,D$32,E388&lt;E$34,D$33,E388&lt;E$35,D$34,E388&gt;=E$35,D$35)</f>
        <v/>
      </c>
      <c r="E388" s="38" t="n">
        <v>338</v>
      </c>
      <c r="F388" s="31">
        <f>E388/52</f>
        <v/>
      </c>
      <c r="G388" s="39">
        <f>D388/1000000*52</f>
        <v/>
      </c>
      <c r="H388" s="33">
        <f>G388/$P$4+($C$22/$P$4)</f>
        <v/>
      </c>
      <c r="I388" s="36">
        <f>_xlfn.IFS(K388&lt;K$24,0,K388&lt;K$26,I$24,K388&lt;K$28,I$26,K388&lt;K$30,I$28,K388&lt;K$32,I$30,K388&lt;K$34,I$32,K388&lt;K$36,I$34,K388&lt;K$38,I$36,K388&lt;K$40,I$38,K388&lt;K$42,I$40,K388&lt;K$44,I$42,K388&lt;K$46,I$44,K388&gt;=K$46,I$46)</f>
        <v/>
      </c>
      <c r="J388" s="37">
        <f>_xlfn.IFS(K388&lt;K$24,0,K388&lt;K$25,J$24,K388&lt;K$26,J$25,K388&lt;K$27,J$26,K388&lt;K$28,J$27,K388&lt;K$29,J$28,K388&lt;K$30,J$29,K388&lt;K$31,J$30,K388&lt;K$32,J$31,K388&lt;K$33,J$32,K388&lt;K$34,J$33,K388&lt;K$35,J$34,K388&lt;K$36,J$35,K388&lt;K$37,J$36,K388&lt;K$38,J$37,K388&lt;K$39,J$38,K388&lt;K$40,J$39,K388&lt;K$41,J$40,K388&lt;K$42,J$41,K388&lt;K$43,J$42,K388&lt;K$44,J$43,K388&lt;K$45,J$44,K388&lt;K$46,J$45,K388&lt;K$47,J$46,K388&gt;=K$47,J$47)</f>
        <v/>
      </c>
      <c r="K388" s="38" t="n">
        <v>338</v>
      </c>
      <c r="L388" s="31">
        <f>K388/52</f>
        <v/>
      </c>
      <c r="M388" s="39">
        <f>J388/1000000*52</f>
        <v/>
      </c>
      <c r="N388" s="33">
        <f>M388/$P$4+($I$22/$P$4)</f>
        <v/>
      </c>
      <c r="U388">
        <f>F387</f>
        <v/>
      </c>
      <c r="V388">
        <f>H387</f>
        <v/>
      </c>
      <c r="W388">
        <f>N387</f>
        <v/>
      </c>
    </row>
    <row r="389" ht="15.75" customHeight="1" s="40">
      <c r="C389" s="36">
        <f>_xlfn.IFS(E389&lt;E$24,0,E389&lt;E$26,C$24,E389&lt;E$28,C$26,E389&lt;E$30,C$28,E389&lt;E$32,C$30,E389&lt;E$34,C$32,E389&gt;=E$34,C$34)</f>
        <v/>
      </c>
      <c r="D389" s="37">
        <f>_xlfn.IFS(E389&lt;E$24,0,E389&lt;E$25,D$24,E389&lt;E$26,D$25,E389&lt;E$27,D$26,E389&lt;E$28,D$27,E389&lt;E$29,D$28,E389&lt;E$30,D$29,E389&lt;E$31,D$30,E389&lt;E$32,D$31,E389&lt;E$33,D$32,E389&lt;E$34,D$33,E389&lt;E$35,D$34,E389&gt;=E$35,D$35)</f>
        <v/>
      </c>
      <c r="E389" s="38" t="n">
        <v>339</v>
      </c>
      <c r="F389" s="31">
        <f>E389/52</f>
        <v/>
      </c>
      <c r="G389" s="39">
        <f>D389/1000000*52</f>
        <v/>
      </c>
      <c r="H389" s="33">
        <f>G389/$P$4+($C$22/$P$4)</f>
        <v/>
      </c>
      <c r="I389" s="36">
        <f>_xlfn.IFS(K389&lt;K$24,0,K389&lt;K$26,I$24,K389&lt;K$28,I$26,K389&lt;K$30,I$28,K389&lt;K$32,I$30,K389&lt;K$34,I$32,K389&lt;K$36,I$34,K389&lt;K$38,I$36,K389&lt;K$40,I$38,K389&lt;K$42,I$40,K389&lt;K$44,I$42,K389&lt;K$46,I$44,K389&gt;=K$46,I$46)</f>
        <v/>
      </c>
      <c r="J389" s="37">
        <f>_xlfn.IFS(K389&lt;K$24,0,K389&lt;K$25,J$24,K389&lt;K$26,J$25,K389&lt;K$27,J$26,K389&lt;K$28,J$27,K389&lt;K$29,J$28,K389&lt;K$30,J$29,K389&lt;K$31,J$30,K389&lt;K$32,J$31,K389&lt;K$33,J$32,K389&lt;K$34,J$33,K389&lt;K$35,J$34,K389&lt;K$36,J$35,K389&lt;K$37,J$36,K389&lt;K$38,J$37,K389&lt;K$39,J$38,K389&lt;K$40,J$39,K389&lt;K$41,J$40,K389&lt;K$42,J$41,K389&lt;K$43,J$42,K389&lt;K$44,J$43,K389&lt;K$45,J$44,K389&lt;K$46,J$45,K389&lt;K$47,J$46,K389&gt;=K$47,J$47)</f>
        <v/>
      </c>
      <c r="K389" s="38" t="n">
        <v>339</v>
      </c>
      <c r="L389" s="31">
        <f>K389/52</f>
        <v/>
      </c>
      <c r="M389" s="39">
        <f>J389/1000000*52</f>
        <v/>
      </c>
      <c r="N389" s="33">
        <f>M389/$P$4+($I$22/$P$4)</f>
        <v/>
      </c>
      <c r="U389">
        <f>F388</f>
        <v/>
      </c>
      <c r="V389">
        <f>H388</f>
        <v/>
      </c>
      <c r="W389">
        <f>N388</f>
        <v/>
      </c>
    </row>
    <row r="390" ht="15.75" customHeight="1" s="40">
      <c r="C390" s="36">
        <f>_xlfn.IFS(E390&lt;E$24,0,E390&lt;E$26,C$24,E390&lt;E$28,C$26,E390&lt;E$30,C$28,E390&lt;E$32,C$30,E390&lt;E$34,C$32,E390&gt;=E$34,C$34)</f>
        <v/>
      </c>
      <c r="D390" s="37">
        <f>_xlfn.IFS(E390&lt;E$24,0,E390&lt;E$25,D$24,E390&lt;E$26,D$25,E390&lt;E$27,D$26,E390&lt;E$28,D$27,E390&lt;E$29,D$28,E390&lt;E$30,D$29,E390&lt;E$31,D$30,E390&lt;E$32,D$31,E390&lt;E$33,D$32,E390&lt;E$34,D$33,E390&lt;E$35,D$34,E390&gt;=E$35,D$35)</f>
        <v/>
      </c>
      <c r="E390" s="38" t="n">
        <v>340</v>
      </c>
      <c r="F390" s="31">
        <f>E390/52</f>
        <v/>
      </c>
      <c r="G390" s="39">
        <f>D390/1000000*52</f>
        <v/>
      </c>
      <c r="H390" s="33">
        <f>G390/$P$4+($C$22/$P$4)</f>
        <v/>
      </c>
      <c r="I390" s="36">
        <f>_xlfn.IFS(K390&lt;K$24,0,K390&lt;K$26,I$24,K390&lt;K$28,I$26,K390&lt;K$30,I$28,K390&lt;K$32,I$30,K390&lt;K$34,I$32,K390&lt;K$36,I$34,K390&lt;K$38,I$36,K390&lt;K$40,I$38,K390&lt;K$42,I$40,K390&lt;K$44,I$42,K390&lt;K$46,I$44,K390&gt;=K$46,I$46)</f>
        <v/>
      </c>
      <c r="J390" s="37">
        <f>_xlfn.IFS(K390&lt;K$24,0,K390&lt;K$25,J$24,K390&lt;K$26,J$25,K390&lt;K$27,J$26,K390&lt;K$28,J$27,K390&lt;K$29,J$28,K390&lt;K$30,J$29,K390&lt;K$31,J$30,K390&lt;K$32,J$31,K390&lt;K$33,J$32,K390&lt;K$34,J$33,K390&lt;K$35,J$34,K390&lt;K$36,J$35,K390&lt;K$37,J$36,K390&lt;K$38,J$37,K390&lt;K$39,J$38,K390&lt;K$40,J$39,K390&lt;K$41,J$40,K390&lt;K$42,J$41,K390&lt;K$43,J$42,K390&lt;K$44,J$43,K390&lt;K$45,J$44,K390&lt;K$46,J$45,K390&lt;K$47,J$46,K390&gt;=K$47,J$47)</f>
        <v/>
      </c>
      <c r="K390" s="38" t="n">
        <v>340</v>
      </c>
      <c r="L390" s="31">
        <f>K390/52</f>
        <v/>
      </c>
      <c r="M390" s="39">
        <f>J390/1000000*52</f>
        <v/>
      </c>
      <c r="N390" s="33">
        <f>M390/$P$4+($I$22/$P$4)</f>
        <v/>
      </c>
      <c r="U390">
        <f>F389</f>
        <v/>
      </c>
      <c r="V390">
        <f>H389</f>
        <v/>
      </c>
      <c r="W390">
        <f>N389</f>
        <v/>
      </c>
    </row>
    <row r="391" ht="15.75" customHeight="1" s="40">
      <c r="C391" s="36">
        <f>_xlfn.IFS(E391&lt;E$24,0,E391&lt;E$26,C$24,E391&lt;E$28,C$26,E391&lt;E$30,C$28,E391&lt;E$32,C$30,E391&lt;E$34,C$32,E391&gt;=E$34,C$34)</f>
        <v/>
      </c>
      <c r="D391" s="37">
        <f>_xlfn.IFS(E391&lt;E$24,0,E391&lt;E$25,D$24,E391&lt;E$26,D$25,E391&lt;E$27,D$26,E391&lt;E$28,D$27,E391&lt;E$29,D$28,E391&lt;E$30,D$29,E391&lt;E$31,D$30,E391&lt;E$32,D$31,E391&lt;E$33,D$32,E391&lt;E$34,D$33,E391&lt;E$35,D$34,E391&gt;=E$35,D$35)</f>
        <v/>
      </c>
      <c r="E391" s="38" t="n">
        <v>341</v>
      </c>
      <c r="F391" s="31">
        <f>E391/52</f>
        <v/>
      </c>
      <c r="G391" s="39">
        <f>D391/1000000*52</f>
        <v/>
      </c>
      <c r="H391" s="33">
        <f>G391/$P$4+($C$22/$P$4)</f>
        <v/>
      </c>
      <c r="I391" s="36">
        <f>_xlfn.IFS(K391&lt;K$24,0,K391&lt;K$26,I$24,K391&lt;K$28,I$26,K391&lt;K$30,I$28,K391&lt;K$32,I$30,K391&lt;K$34,I$32,K391&lt;K$36,I$34,K391&lt;K$38,I$36,K391&lt;K$40,I$38,K391&lt;K$42,I$40,K391&lt;K$44,I$42,K391&lt;K$46,I$44,K391&gt;=K$46,I$46)</f>
        <v/>
      </c>
      <c r="J391" s="37">
        <f>_xlfn.IFS(K391&lt;K$24,0,K391&lt;K$25,J$24,K391&lt;K$26,J$25,K391&lt;K$27,J$26,K391&lt;K$28,J$27,K391&lt;K$29,J$28,K391&lt;K$30,J$29,K391&lt;K$31,J$30,K391&lt;K$32,J$31,K391&lt;K$33,J$32,K391&lt;K$34,J$33,K391&lt;K$35,J$34,K391&lt;K$36,J$35,K391&lt;K$37,J$36,K391&lt;K$38,J$37,K391&lt;K$39,J$38,K391&lt;K$40,J$39,K391&lt;K$41,J$40,K391&lt;K$42,J$41,K391&lt;K$43,J$42,K391&lt;K$44,J$43,K391&lt;K$45,J$44,K391&lt;K$46,J$45,K391&lt;K$47,J$46,K391&gt;=K$47,J$47)</f>
        <v/>
      </c>
      <c r="K391" s="38" t="n">
        <v>341</v>
      </c>
      <c r="L391" s="31">
        <f>K391/52</f>
        <v/>
      </c>
      <c r="M391" s="39">
        <f>J391/1000000*52</f>
        <v/>
      </c>
      <c r="N391" s="33">
        <f>M391/$P$4+($I$22/$P$4)</f>
        <v/>
      </c>
      <c r="U391">
        <f>F390</f>
        <v/>
      </c>
      <c r="V391">
        <f>H390</f>
        <v/>
      </c>
      <c r="W391">
        <f>N390</f>
        <v/>
      </c>
    </row>
    <row r="392" ht="15.75" customHeight="1" s="40">
      <c r="C392" s="36">
        <f>_xlfn.IFS(E392&lt;E$24,0,E392&lt;E$26,C$24,E392&lt;E$28,C$26,E392&lt;E$30,C$28,E392&lt;E$32,C$30,E392&lt;E$34,C$32,E392&gt;=E$34,C$34)</f>
        <v/>
      </c>
      <c r="D392" s="37">
        <f>_xlfn.IFS(E392&lt;E$24,0,E392&lt;E$25,D$24,E392&lt;E$26,D$25,E392&lt;E$27,D$26,E392&lt;E$28,D$27,E392&lt;E$29,D$28,E392&lt;E$30,D$29,E392&lt;E$31,D$30,E392&lt;E$32,D$31,E392&lt;E$33,D$32,E392&lt;E$34,D$33,E392&lt;E$35,D$34,E392&gt;=E$35,D$35)</f>
        <v/>
      </c>
      <c r="E392" s="38" t="n">
        <v>342</v>
      </c>
      <c r="F392" s="31">
        <f>E392/52</f>
        <v/>
      </c>
      <c r="G392" s="39">
        <f>D392/1000000*52</f>
        <v/>
      </c>
      <c r="H392" s="33">
        <f>G392/$P$4+($C$22/$P$4)</f>
        <v/>
      </c>
      <c r="I392" s="36">
        <f>_xlfn.IFS(K392&lt;K$24,0,K392&lt;K$26,I$24,K392&lt;K$28,I$26,K392&lt;K$30,I$28,K392&lt;K$32,I$30,K392&lt;K$34,I$32,K392&lt;K$36,I$34,K392&lt;K$38,I$36,K392&lt;K$40,I$38,K392&lt;K$42,I$40,K392&lt;K$44,I$42,K392&lt;K$46,I$44,K392&gt;=K$46,I$46)</f>
        <v/>
      </c>
      <c r="J392" s="37">
        <f>_xlfn.IFS(K392&lt;K$24,0,K392&lt;K$25,J$24,K392&lt;K$26,J$25,K392&lt;K$27,J$26,K392&lt;K$28,J$27,K392&lt;K$29,J$28,K392&lt;K$30,J$29,K392&lt;K$31,J$30,K392&lt;K$32,J$31,K392&lt;K$33,J$32,K392&lt;K$34,J$33,K392&lt;K$35,J$34,K392&lt;K$36,J$35,K392&lt;K$37,J$36,K392&lt;K$38,J$37,K392&lt;K$39,J$38,K392&lt;K$40,J$39,K392&lt;K$41,J$40,K392&lt;K$42,J$41,K392&lt;K$43,J$42,K392&lt;K$44,J$43,K392&lt;K$45,J$44,K392&lt;K$46,J$45,K392&lt;K$47,J$46,K392&gt;=K$47,J$47)</f>
        <v/>
      </c>
      <c r="K392" s="38" t="n">
        <v>342</v>
      </c>
      <c r="L392" s="31">
        <f>K392/52</f>
        <v/>
      </c>
      <c r="M392" s="39">
        <f>J392/1000000*52</f>
        <v/>
      </c>
      <c r="N392" s="33">
        <f>M392/$P$4+($I$22/$P$4)</f>
        <v/>
      </c>
      <c r="U392">
        <f>F391</f>
        <v/>
      </c>
      <c r="V392">
        <f>H391</f>
        <v/>
      </c>
      <c r="W392">
        <f>N391</f>
        <v/>
      </c>
    </row>
    <row r="393" ht="15.75" customHeight="1" s="40">
      <c r="C393" s="36">
        <f>_xlfn.IFS(E393&lt;E$24,0,E393&lt;E$26,C$24,E393&lt;E$28,C$26,E393&lt;E$30,C$28,E393&lt;E$32,C$30,E393&lt;E$34,C$32,E393&gt;=E$34,C$34)</f>
        <v/>
      </c>
      <c r="D393" s="37">
        <f>_xlfn.IFS(E393&lt;E$24,0,E393&lt;E$25,D$24,E393&lt;E$26,D$25,E393&lt;E$27,D$26,E393&lt;E$28,D$27,E393&lt;E$29,D$28,E393&lt;E$30,D$29,E393&lt;E$31,D$30,E393&lt;E$32,D$31,E393&lt;E$33,D$32,E393&lt;E$34,D$33,E393&lt;E$35,D$34,E393&gt;=E$35,D$35)</f>
        <v/>
      </c>
      <c r="E393" s="38" t="n">
        <v>343</v>
      </c>
      <c r="F393" s="31">
        <f>E393/52</f>
        <v/>
      </c>
      <c r="G393" s="39">
        <f>D393/1000000*52</f>
        <v/>
      </c>
      <c r="H393" s="33">
        <f>G393/$P$4+($C$22/$P$4)</f>
        <v/>
      </c>
      <c r="I393" s="36">
        <f>_xlfn.IFS(K393&lt;K$24,0,K393&lt;K$26,I$24,K393&lt;K$28,I$26,K393&lt;K$30,I$28,K393&lt;K$32,I$30,K393&lt;K$34,I$32,K393&lt;K$36,I$34,K393&lt;K$38,I$36,K393&lt;K$40,I$38,K393&lt;K$42,I$40,K393&lt;K$44,I$42,K393&lt;K$46,I$44,K393&gt;=K$46,I$46)</f>
        <v/>
      </c>
      <c r="J393" s="37">
        <f>_xlfn.IFS(K393&lt;K$24,0,K393&lt;K$25,J$24,K393&lt;K$26,J$25,K393&lt;K$27,J$26,K393&lt;K$28,J$27,K393&lt;K$29,J$28,K393&lt;K$30,J$29,K393&lt;K$31,J$30,K393&lt;K$32,J$31,K393&lt;K$33,J$32,K393&lt;K$34,J$33,K393&lt;K$35,J$34,K393&lt;K$36,J$35,K393&lt;K$37,J$36,K393&lt;K$38,J$37,K393&lt;K$39,J$38,K393&lt;K$40,J$39,K393&lt;K$41,J$40,K393&lt;K$42,J$41,K393&lt;K$43,J$42,K393&lt;K$44,J$43,K393&lt;K$45,J$44,K393&lt;K$46,J$45,K393&lt;K$47,J$46,K393&gt;=K$47,J$47)</f>
        <v/>
      </c>
      <c r="K393" s="38" t="n">
        <v>343</v>
      </c>
      <c r="L393" s="31">
        <f>K393/52</f>
        <v/>
      </c>
      <c r="M393" s="39">
        <f>J393/1000000*52</f>
        <v/>
      </c>
      <c r="N393" s="33">
        <f>M393/$P$4+($I$22/$P$4)</f>
        <v/>
      </c>
      <c r="U393">
        <f>F392</f>
        <v/>
      </c>
      <c r="V393">
        <f>H392</f>
        <v/>
      </c>
      <c r="W393">
        <f>N392</f>
        <v/>
      </c>
    </row>
    <row r="394" ht="15.75" customHeight="1" s="40">
      <c r="C394" s="36">
        <f>_xlfn.IFS(E394&lt;E$24,0,E394&lt;E$26,C$24,E394&lt;E$28,C$26,E394&lt;E$30,C$28,E394&lt;E$32,C$30,E394&lt;E$34,C$32,E394&gt;=E$34,C$34)</f>
        <v/>
      </c>
      <c r="D394" s="37">
        <f>_xlfn.IFS(E394&lt;E$24,0,E394&lt;E$25,D$24,E394&lt;E$26,D$25,E394&lt;E$27,D$26,E394&lt;E$28,D$27,E394&lt;E$29,D$28,E394&lt;E$30,D$29,E394&lt;E$31,D$30,E394&lt;E$32,D$31,E394&lt;E$33,D$32,E394&lt;E$34,D$33,E394&lt;E$35,D$34,E394&gt;=E$35,D$35)</f>
        <v/>
      </c>
      <c r="E394" s="38" t="n">
        <v>344</v>
      </c>
      <c r="F394" s="31">
        <f>E394/52</f>
        <v/>
      </c>
      <c r="G394" s="39">
        <f>D394/1000000*52</f>
        <v/>
      </c>
      <c r="H394" s="33">
        <f>G394/$P$4+($C$22/$P$4)</f>
        <v/>
      </c>
      <c r="I394" s="36">
        <f>_xlfn.IFS(K394&lt;K$24,0,K394&lt;K$26,I$24,K394&lt;K$28,I$26,K394&lt;K$30,I$28,K394&lt;K$32,I$30,K394&lt;K$34,I$32,K394&lt;K$36,I$34,K394&lt;K$38,I$36,K394&lt;K$40,I$38,K394&lt;K$42,I$40,K394&lt;K$44,I$42,K394&lt;K$46,I$44,K394&gt;=K$46,I$46)</f>
        <v/>
      </c>
      <c r="J394" s="37">
        <f>_xlfn.IFS(K394&lt;K$24,0,K394&lt;K$25,J$24,K394&lt;K$26,J$25,K394&lt;K$27,J$26,K394&lt;K$28,J$27,K394&lt;K$29,J$28,K394&lt;K$30,J$29,K394&lt;K$31,J$30,K394&lt;K$32,J$31,K394&lt;K$33,J$32,K394&lt;K$34,J$33,K394&lt;K$35,J$34,K394&lt;K$36,J$35,K394&lt;K$37,J$36,K394&lt;K$38,J$37,K394&lt;K$39,J$38,K394&lt;K$40,J$39,K394&lt;K$41,J$40,K394&lt;K$42,J$41,K394&lt;K$43,J$42,K394&lt;K$44,J$43,K394&lt;K$45,J$44,K394&lt;K$46,J$45,K394&lt;K$47,J$46,K394&gt;=K$47,J$47)</f>
        <v/>
      </c>
      <c r="K394" s="38" t="n">
        <v>344</v>
      </c>
      <c r="L394" s="31">
        <f>K394/52</f>
        <v/>
      </c>
      <c r="M394" s="39">
        <f>J394/1000000*52</f>
        <v/>
      </c>
      <c r="N394" s="33">
        <f>M394/$P$4+($I$22/$P$4)</f>
        <v/>
      </c>
      <c r="U394">
        <f>F393</f>
        <v/>
      </c>
      <c r="V394">
        <f>H393</f>
        <v/>
      </c>
      <c r="W394">
        <f>N393</f>
        <v/>
      </c>
    </row>
    <row r="395" ht="15.75" customHeight="1" s="40">
      <c r="C395" s="36">
        <f>_xlfn.IFS(E395&lt;E$24,0,E395&lt;E$26,C$24,E395&lt;E$28,C$26,E395&lt;E$30,C$28,E395&lt;E$32,C$30,E395&lt;E$34,C$32,E395&gt;=E$34,C$34)</f>
        <v/>
      </c>
      <c r="D395" s="37">
        <f>_xlfn.IFS(E395&lt;E$24,0,E395&lt;E$25,D$24,E395&lt;E$26,D$25,E395&lt;E$27,D$26,E395&lt;E$28,D$27,E395&lt;E$29,D$28,E395&lt;E$30,D$29,E395&lt;E$31,D$30,E395&lt;E$32,D$31,E395&lt;E$33,D$32,E395&lt;E$34,D$33,E395&lt;E$35,D$34,E395&gt;=E$35,D$35)</f>
        <v/>
      </c>
      <c r="E395" s="38" t="n">
        <v>345</v>
      </c>
      <c r="F395" s="31">
        <f>E395/52</f>
        <v/>
      </c>
      <c r="G395" s="39">
        <f>D395/1000000*52</f>
        <v/>
      </c>
      <c r="H395" s="33">
        <f>G395/$P$4+($C$22/$P$4)</f>
        <v/>
      </c>
      <c r="I395" s="36">
        <f>_xlfn.IFS(K395&lt;K$24,0,K395&lt;K$26,I$24,K395&lt;K$28,I$26,K395&lt;K$30,I$28,K395&lt;K$32,I$30,K395&lt;K$34,I$32,K395&lt;K$36,I$34,K395&lt;K$38,I$36,K395&lt;K$40,I$38,K395&lt;K$42,I$40,K395&lt;K$44,I$42,K395&lt;K$46,I$44,K395&gt;=K$46,I$46)</f>
        <v/>
      </c>
      <c r="J395" s="37">
        <f>_xlfn.IFS(K395&lt;K$24,0,K395&lt;K$25,J$24,K395&lt;K$26,J$25,K395&lt;K$27,J$26,K395&lt;K$28,J$27,K395&lt;K$29,J$28,K395&lt;K$30,J$29,K395&lt;K$31,J$30,K395&lt;K$32,J$31,K395&lt;K$33,J$32,K395&lt;K$34,J$33,K395&lt;K$35,J$34,K395&lt;K$36,J$35,K395&lt;K$37,J$36,K395&lt;K$38,J$37,K395&lt;K$39,J$38,K395&lt;K$40,J$39,K395&lt;K$41,J$40,K395&lt;K$42,J$41,K395&lt;K$43,J$42,K395&lt;K$44,J$43,K395&lt;K$45,J$44,K395&lt;K$46,J$45,K395&lt;K$47,J$46,K395&gt;=K$47,J$47)</f>
        <v/>
      </c>
      <c r="K395" s="38" t="n">
        <v>345</v>
      </c>
      <c r="L395" s="31">
        <f>K395/52</f>
        <v/>
      </c>
      <c r="M395" s="39">
        <f>J395/1000000*52</f>
        <v/>
      </c>
      <c r="N395" s="33">
        <f>M395/$P$4+($I$22/$P$4)</f>
        <v/>
      </c>
      <c r="U395">
        <f>F394</f>
        <v/>
      </c>
      <c r="V395">
        <f>H394</f>
        <v/>
      </c>
      <c r="W395">
        <f>N394</f>
        <v/>
      </c>
    </row>
    <row r="396" ht="15.75" customHeight="1" s="40">
      <c r="C396" s="36">
        <f>_xlfn.IFS(E396&lt;E$24,0,E396&lt;E$26,C$24,E396&lt;E$28,C$26,E396&lt;E$30,C$28,E396&lt;E$32,C$30,E396&lt;E$34,C$32,E396&gt;=E$34,C$34)</f>
        <v/>
      </c>
      <c r="D396" s="37">
        <f>_xlfn.IFS(E396&lt;E$24,0,E396&lt;E$25,D$24,E396&lt;E$26,D$25,E396&lt;E$27,D$26,E396&lt;E$28,D$27,E396&lt;E$29,D$28,E396&lt;E$30,D$29,E396&lt;E$31,D$30,E396&lt;E$32,D$31,E396&lt;E$33,D$32,E396&lt;E$34,D$33,E396&lt;E$35,D$34,E396&gt;=E$35,D$35)</f>
        <v/>
      </c>
      <c r="E396" s="38" t="n">
        <v>346</v>
      </c>
      <c r="F396" s="31">
        <f>E396/52</f>
        <v/>
      </c>
      <c r="G396" s="39">
        <f>D396/1000000*52</f>
        <v/>
      </c>
      <c r="H396" s="33">
        <f>G396/$P$4+($C$22/$P$4)</f>
        <v/>
      </c>
      <c r="I396" s="36">
        <f>_xlfn.IFS(K396&lt;K$24,0,K396&lt;K$26,I$24,K396&lt;K$28,I$26,K396&lt;K$30,I$28,K396&lt;K$32,I$30,K396&lt;K$34,I$32,K396&lt;K$36,I$34,K396&lt;K$38,I$36,K396&lt;K$40,I$38,K396&lt;K$42,I$40,K396&lt;K$44,I$42,K396&lt;K$46,I$44,K396&gt;=K$46,I$46)</f>
        <v/>
      </c>
      <c r="J396" s="37">
        <f>_xlfn.IFS(K396&lt;K$24,0,K396&lt;K$25,J$24,K396&lt;K$26,J$25,K396&lt;K$27,J$26,K396&lt;K$28,J$27,K396&lt;K$29,J$28,K396&lt;K$30,J$29,K396&lt;K$31,J$30,K396&lt;K$32,J$31,K396&lt;K$33,J$32,K396&lt;K$34,J$33,K396&lt;K$35,J$34,K396&lt;K$36,J$35,K396&lt;K$37,J$36,K396&lt;K$38,J$37,K396&lt;K$39,J$38,K396&lt;K$40,J$39,K396&lt;K$41,J$40,K396&lt;K$42,J$41,K396&lt;K$43,J$42,K396&lt;K$44,J$43,K396&lt;K$45,J$44,K396&lt;K$46,J$45,K396&lt;K$47,J$46,K396&gt;=K$47,J$47)</f>
        <v/>
      </c>
      <c r="K396" s="38" t="n">
        <v>346</v>
      </c>
      <c r="L396" s="31">
        <f>K396/52</f>
        <v/>
      </c>
      <c r="M396" s="39">
        <f>J396/1000000*52</f>
        <v/>
      </c>
      <c r="N396" s="33">
        <f>M396/$P$4+($I$22/$P$4)</f>
        <v/>
      </c>
      <c r="U396">
        <f>F395</f>
        <v/>
      </c>
      <c r="V396">
        <f>H395</f>
        <v/>
      </c>
      <c r="W396">
        <f>N395</f>
        <v/>
      </c>
    </row>
    <row r="397" ht="15.75" customHeight="1" s="40">
      <c r="C397" s="36">
        <f>_xlfn.IFS(E397&lt;E$24,0,E397&lt;E$26,C$24,E397&lt;E$28,C$26,E397&lt;E$30,C$28,E397&lt;E$32,C$30,E397&lt;E$34,C$32,E397&gt;=E$34,C$34)</f>
        <v/>
      </c>
      <c r="D397" s="37">
        <f>_xlfn.IFS(E397&lt;E$24,0,E397&lt;E$25,D$24,E397&lt;E$26,D$25,E397&lt;E$27,D$26,E397&lt;E$28,D$27,E397&lt;E$29,D$28,E397&lt;E$30,D$29,E397&lt;E$31,D$30,E397&lt;E$32,D$31,E397&lt;E$33,D$32,E397&lt;E$34,D$33,E397&lt;E$35,D$34,E397&gt;=E$35,D$35)</f>
        <v/>
      </c>
      <c r="E397" s="38" t="n">
        <v>347</v>
      </c>
      <c r="F397" s="31">
        <f>E397/52</f>
        <v/>
      </c>
      <c r="G397" s="39">
        <f>D397/1000000*52</f>
        <v/>
      </c>
      <c r="H397" s="33">
        <f>G397/$P$4+($C$22/$P$4)</f>
        <v/>
      </c>
      <c r="I397" s="36">
        <f>_xlfn.IFS(K397&lt;K$24,0,K397&lt;K$26,I$24,K397&lt;K$28,I$26,K397&lt;K$30,I$28,K397&lt;K$32,I$30,K397&lt;K$34,I$32,K397&lt;K$36,I$34,K397&lt;K$38,I$36,K397&lt;K$40,I$38,K397&lt;K$42,I$40,K397&lt;K$44,I$42,K397&lt;K$46,I$44,K397&gt;=K$46,I$46)</f>
        <v/>
      </c>
      <c r="J397" s="37">
        <f>_xlfn.IFS(K397&lt;K$24,0,K397&lt;K$25,J$24,K397&lt;K$26,J$25,K397&lt;K$27,J$26,K397&lt;K$28,J$27,K397&lt;K$29,J$28,K397&lt;K$30,J$29,K397&lt;K$31,J$30,K397&lt;K$32,J$31,K397&lt;K$33,J$32,K397&lt;K$34,J$33,K397&lt;K$35,J$34,K397&lt;K$36,J$35,K397&lt;K$37,J$36,K397&lt;K$38,J$37,K397&lt;K$39,J$38,K397&lt;K$40,J$39,K397&lt;K$41,J$40,K397&lt;K$42,J$41,K397&lt;K$43,J$42,K397&lt;K$44,J$43,K397&lt;K$45,J$44,K397&lt;K$46,J$45,K397&lt;K$47,J$46,K397&gt;=K$47,J$47)</f>
        <v/>
      </c>
      <c r="K397" s="38" t="n">
        <v>347</v>
      </c>
      <c r="L397" s="31">
        <f>K397/52</f>
        <v/>
      </c>
      <c r="M397" s="39">
        <f>J397/1000000*52</f>
        <v/>
      </c>
      <c r="N397" s="33">
        <f>M397/$P$4+($I$22/$P$4)</f>
        <v/>
      </c>
      <c r="U397">
        <f>F396</f>
        <v/>
      </c>
      <c r="V397">
        <f>H396</f>
        <v/>
      </c>
      <c r="W397">
        <f>N396</f>
        <v/>
      </c>
    </row>
    <row r="398" ht="15.75" customHeight="1" s="40">
      <c r="C398" s="36">
        <f>_xlfn.IFS(E398&lt;E$24,0,E398&lt;E$26,C$24,E398&lt;E$28,C$26,E398&lt;E$30,C$28,E398&lt;E$32,C$30,E398&lt;E$34,C$32,E398&gt;=E$34,C$34)</f>
        <v/>
      </c>
      <c r="D398" s="37">
        <f>_xlfn.IFS(E398&lt;E$24,0,E398&lt;E$25,D$24,E398&lt;E$26,D$25,E398&lt;E$27,D$26,E398&lt;E$28,D$27,E398&lt;E$29,D$28,E398&lt;E$30,D$29,E398&lt;E$31,D$30,E398&lt;E$32,D$31,E398&lt;E$33,D$32,E398&lt;E$34,D$33,E398&lt;E$35,D$34,E398&gt;=E$35,D$35)</f>
        <v/>
      </c>
      <c r="E398" s="38" t="n">
        <v>348</v>
      </c>
      <c r="F398" s="31">
        <f>E398/52</f>
        <v/>
      </c>
      <c r="G398" s="39">
        <f>D398/1000000*52</f>
        <v/>
      </c>
      <c r="H398" s="33">
        <f>G398/$P$4+($C$22/$P$4)</f>
        <v/>
      </c>
      <c r="I398" s="36">
        <f>_xlfn.IFS(K398&lt;K$24,0,K398&lt;K$26,I$24,K398&lt;K$28,I$26,K398&lt;K$30,I$28,K398&lt;K$32,I$30,K398&lt;K$34,I$32,K398&lt;K$36,I$34,K398&lt;K$38,I$36,K398&lt;K$40,I$38,K398&lt;K$42,I$40,K398&lt;K$44,I$42,K398&lt;K$46,I$44,K398&gt;=K$46,I$46)</f>
        <v/>
      </c>
      <c r="J398" s="37">
        <f>_xlfn.IFS(K398&lt;K$24,0,K398&lt;K$25,J$24,K398&lt;K$26,J$25,K398&lt;K$27,J$26,K398&lt;K$28,J$27,K398&lt;K$29,J$28,K398&lt;K$30,J$29,K398&lt;K$31,J$30,K398&lt;K$32,J$31,K398&lt;K$33,J$32,K398&lt;K$34,J$33,K398&lt;K$35,J$34,K398&lt;K$36,J$35,K398&lt;K$37,J$36,K398&lt;K$38,J$37,K398&lt;K$39,J$38,K398&lt;K$40,J$39,K398&lt;K$41,J$40,K398&lt;K$42,J$41,K398&lt;K$43,J$42,K398&lt;K$44,J$43,K398&lt;K$45,J$44,K398&lt;K$46,J$45,K398&lt;K$47,J$46,K398&gt;=K$47,J$47)</f>
        <v/>
      </c>
      <c r="K398" s="38" t="n">
        <v>348</v>
      </c>
      <c r="L398" s="31">
        <f>K398/52</f>
        <v/>
      </c>
      <c r="M398" s="39">
        <f>J398/1000000*52</f>
        <v/>
      </c>
      <c r="N398" s="33">
        <f>M398/$P$4+($I$22/$P$4)</f>
        <v/>
      </c>
      <c r="U398">
        <f>F397</f>
        <v/>
      </c>
      <c r="V398">
        <f>H397</f>
        <v/>
      </c>
      <c r="W398">
        <f>N397</f>
        <v/>
      </c>
    </row>
    <row r="399" ht="15.75" customHeight="1" s="40">
      <c r="C399" s="36">
        <f>_xlfn.IFS(E399&lt;E$24,0,E399&lt;E$26,C$24,E399&lt;E$28,C$26,E399&lt;E$30,C$28,E399&lt;E$32,C$30,E399&lt;E$34,C$32,E399&gt;=E$34,C$34)</f>
        <v/>
      </c>
      <c r="D399" s="37">
        <f>_xlfn.IFS(E399&lt;E$24,0,E399&lt;E$25,D$24,E399&lt;E$26,D$25,E399&lt;E$27,D$26,E399&lt;E$28,D$27,E399&lt;E$29,D$28,E399&lt;E$30,D$29,E399&lt;E$31,D$30,E399&lt;E$32,D$31,E399&lt;E$33,D$32,E399&lt;E$34,D$33,E399&lt;E$35,D$34,E399&gt;=E$35,D$35)</f>
        <v/>
      </c>
      <c r="E399" s="38" t="n">
        <v>349</v>
      </c>
      <c r="F399" s="31">
        <f>E399/52</f>
        <v/>
      </c>
      <c r="G399" s="39">
        <f>D399/1000000*52</f>
        <v/>
      </c>
      <c r="H399" s="33">
        <f>G399/$P$4+($C$22/$P$4)</f>
        <v/>
      </c>
      <c r="I399" s="36">
        <f>_xlfn.IFS(K399&lt;K$24,0,K399&lt;K$26,I$24,K399&lt;K$28,I$26,K399&lt;K$30,I$28,K399&lt;K$32,I$30,K399&lt;K$34,I$32,K399&lt;K$36,I$34,K399&lt;K$38,I$36,K399&lt;K$40,I$38,K399&lt;K$42,I$40,K399&lt;K$44,I$42,K399&lt;K$46,I$44,K399&gt;=K$46,I$46)</f>
        <v/>
      </c>
      <c r="J399" s="37">
        <f>_xlfn.IFS(K399&lt;K$24,0,K399&lt;K$25,J$24,K399&lt;K$26,J$25,K399&lt;K$27,J$26,K399&lt;K$28,J$27,K399&lt;K$29,J$28,K399&lt;K$30,J$29,K399&lt;K$31,J$30,K399&lt;K$32,J$31,K399&lt;K$33,J$32,K399&lt;K$34,J$33,K399&lt;K$35,J$34,K399&lt;K$36,J$35,K399&lt;K$37,J$36,K399&lt;K$38,J$37,K399&lt;K$39,J$38,K399&lt;K$40,J$39,K399&lt;K$41,J$40,K399&lt;K$42,J$41,K399&lt;K$43,J$42,K399&lt;K$44,J$43,K399&lt;K$45,J$44,K399&lt;K$46,J$45,K399&lt;K$47,J$46,K399&gt;=K$47,J$47)</f>
        <v/>
      </c>
      <c r="K399" s="38" t="n">
        <v>349</v>
      </c>
      <c r="L399" s="31">
        <f>K399/52</f>
        <v/>
      </c>
      <c r="M399" s="39">
        <f>J399/1000000*52</f>
        <v/>
      </c>
      <c r="N399" s="33">
        <f>M399/$P$4+($I$22/$P$4)</f>
        <v/>
      </c>
      <c r="U399">
        <f>F398</f>
        <v/>
      </c>
      <c r="V399">
        <f>H398</f>
        <v/>
      </c>
      <c r="W399">
        <f>N398</f>
        <v/>
      </c>
    </row>
    <row r="400" ht="15.75" customHeight="1" s="40">
      <c r="C400" s="36">
        <f>_xlfn.IFS(E400&lt;E$24,0,E400&lt;E$26,C$24,E400&lt;E$28,C$26,E400&lt;E$30,C$28,E400&lt;E$32,C$30,E400&lt;E$34,C$32,E400&gt;=E$34,C$34)</f>
        <v/>
      </c>
      <c r="D400" s="37">
        <f>_xlfn.IFS(E400&lt;E$24,0,E400&lt;E$25,D$24,E400&lt;E$26,D$25,E400&lt;E$27,D$26,E400&lt;E$28,D$27,E400&lt;E$29,D$28,E400&lt;E$30,D$29,E400&lt;E$31,D$30,E400&lt;E$32,D$31,E400&lt;E$33,D$32,E400&lt;E$34,D$33,E400&lt;E$35,D$34,E400&gt;=E$35,D$35)</f>
        <v/>
      </c>
      <c r="E400" s="38" t="n">
        <v>350</v>
      </c>
      <c r="F400" s="31">
        <f>E400/52</f>
        <v/>
      </c>
      <c r="G400" s="39">
        <f>D400/1000000*52</f>
        <v/>
      </c>
      <c r="H400" s="33">
        <f>G400/$P$4+($C$22/$P$4)</f>
        <v/>
      </c>
      <c r="I400" s="36">
        <f>_xlfn.IFS(K400&lt;K$24,0,K400&lt;K$26,I$24,K400&lt;K$28,I$26,K400&lt;K$30,I$28,K400&lt;K$32,I$30,K400&lt;K$34,I$32,K400&lt;K$36,I$34,K400&lt;K$38,I$36,K400&lt;K$40,I$38,K400&lt;K$42,I$40,K400&lt;K$44,I$42,K400&lt;K$46,I$44,K400&gt;=K$46,I$46)</f>
        <v/>
      </c>
      <c r="J400" s="37">
        <f>_xlfn.IFS(K400&lt;K$24,0,K400&lt;K$25,J$24,K400&lt;K$26,J$25,K400&lt;K$27,J$26,K400&lt;K$28,J$27,K400&lt;K$29,J$28,K400&lt;K$30,J$29,K400&lt;K$31,J$30,K400&lt;K$32,J$31,K400&lt;K$33,J$32,K400&lt;K$34,J$33,K400&lt;K$35,J$34,K400&lt;K$36,J$35,K400&lt;K$37,J$36,K400&lt;K$38,J$37,K400&lt;K$39,J$38,K400&lt;K$40,J$39,K400&lt;K$41,J$40,K400&lt;K$42,J$41,K400&lt;K$43,J$42,K400&lt;K$44,J$43,K400&lt;K$45,J$44,K400&lt;K$46,J$45,K400&lt;K$47,J$46,K400&gt;=K$47,J$47)</f>
        <v/>
      </c>
      <c r="K400" s="38" t="n">
        <v>350</v>
      </c>
      <c r="L400" s="31">
        <f>K400/52</f>
        <v/>
      </c>
      <c r="M400" s="39">
        <f>J400/1000000*52</f>
        <v/>
      </c>
      <c r="N400" s="33">
        <f>M400/$P$4+($I$22/$P$4)</f>
        <v/>
      </c>
      <c r="U400">
        <f>F399</f>
        <v/>
      </c>
      <c r="V400">
        <f>H399</f>
        <v/>
      </c>
      <c r="W400">
        <f>N399</f>
        <v/>
      </c>
    </row>
    <row r="401" ht="15.75" customHeight="1" s="40">
      <c r="C401" s="36">
        <f>_xlfn.IFS(E401&lt;E$24,0,E401&lt;E$26,C$24,E401&lt;E$28,C$26,E401&lt;E$30,C$28,E401&lt;E$32,C$30,E401&lt;E$34,C$32,E401&gt;=E$34,C$34)</f>
        <v/>
      </c>
      <c r="D401" s="37">
        <f>_xlfn.IFS(E401&lt;E$24,0,E401&lt;E$25,D$24,E401&lt;E$26,D$25,E401&lt;E$27,D$26,E401&lt;E$28,D$27,E401&lt;E$29,D$28,E401&lt;E$30,D$29,E401&lt;E$31,D$30,E401&lt;E$32,D$31,E401&lt;E$33,D$32,E401&lt;E$34,D$33,E401&lt;E$35,D$34,E401&gt;=E$35,D$35)</f>
        <v/>
      </c>
      <c r="E401" s="38" t="n">
        <v>351</v>
      </c>
      <c r="F401" s="31">
        <f>E401/52</f>
        <v/>
      </c>
      <c r="G401" s="39">
        <f>D401/1000000*52</f>
        <v/>
      </c>
      <c r="H401" s="33">
        <f>G401/$P$4+($C$22/$P$4)</f>
        <v/>
      </c>
      <c r="I401" s="36">
        <f>_xlfn.IFS(K401&lt;K$24,0,K401&lt;K$26,I$24,K401&lt;K$28,I$26,K401&lt;K$30,I$28,K401&lt;K$32,I$30,K401&lt;K$34,I$32,K401&lt;K$36,I$34,K401&lt;K$38,I$36,K401&lt;K$40,I$38,K401&lt;K$42,I$40,K401&lt;K$44,I$42,K401&lt;K$46,I$44,K401&gt;=K$46,I$46)</f>
        <v/>
      </c>
      <c r="J401" s="37">
        <f>_xlfn.IFS(K401&lt;K$24,0,K401&lt;K$25,J$24,K401&lt;K$26,J$25,K401&lt;K$27,J$26,K401&lt;K$28,J$27,K401&lt;K$29,J$28,K401&lt;K$30,J$29,K401&lt;K$31,J$30,K401&lt;K$32,J$31,K401&lt;K$33,J$32,K401&lt;K$34,J$33,K401&lt;K$35,J$34,K401&lt;K$36,J$35,K401&lt;K$37,J$36,K401&lt;K$38,J$37,K401&lt;K$39,J$38,K401&lt;K$40,J$39,K401&lt;K$41,J$40,K401&lt;K$42,J$41,K401&lt;K$43,J$42,K401&lt;K$44,J$43,K401&lt;K$45,J$44,K401&lt;K$46,J$45,K401&lt;K$47,J$46,K401&gt;=K$47,J$47)</f>
        <v/>
      </c>
      <c r="K401" s="38" t="n">
        <v>351</v>
      </c>
      <c r="L401" s="31">
        <f>K401/52</f>
        <v/>
      </c>
      <c r="M401" s="39">
        <f>J401/1000000*52</f>
        <v/>
      </c>
      <c r="N401" s="33">
        <f>M401/$P$4+($I$22/$P$4)</f>
        <v/>
      </c>
      <c r="U401">
        <f>F400</f>
        <v/>
      </c>
      <c r="V401">
        <f>H400</f>
        <v/>
      </c>
      <c r="W401">
        <f>N400</f>
        <v/>
      </c>
    </row>
    <row r="402" ht="15.75" customHeight="1" s="40">
      <c r="C402" s="36">
        <f>_xlfn.IFS(E402&lt;E$24,0,E402&lt;E$26,C$24,E402&lt;E$28,C$26,E402&lt;E$30,C$28,E402&lt;E$32,C$30,E402&lt;E$34,C$32,E402&gt;=E$34,C$34)</f>
        <v/>
      </c>
      <c r="D402" s="37">
        <f>_xlfn.IFS(E402&lt;E$24,0,E402&lt;E$25,D$24,E402&lt;E$26,D$25,E402&lt;E$27,D$26,E402&lt;E$28,D$27,E402&lt;E$29,D$28,E402&lt;E$30,D$29,E402&lt;E$31,D$30,E402&lt;E$32,D$31,E402&lt;E$33,D$32,E402&lt;E$34,D$33,E402&lt;E$35,D$34,E402&gt;=E$35,D$35)</f>
        <v/>
      </c>
      <c r="E402" s="38" t="n">
        <v>352</v>
      </c>
      <c r="F402" s="31">
        <f>E402/52</f>
        <v/>
      </c>
      <c r="G402" s="39">
        <f>D402/1000000*52</f>
        <v/>
      </c>
      <c r="H402" s="33">
        <f>G402/$P$4+($C$22/$P$4)</f>
        <v/>
      </c>
      <c r="I402" s="36">
        <f>_xlfn.IFS(K402&lt;K$24,0,K402&lt;K$26,I$24,K402&lt;K$28,I$26,K402&lt;K$30,I$28,K402&lt;K$32,I$30,K402&lt;K$34,I$32,K402&lt;K$36,I$34,K402&lt;K$38,I$36,K402&lt;K$40,I$38,K402&lt;K$42,I$40,K402&lt;K$44,I$42,K402&lt;K$46,I$44,K402&gt;=K$46,I$46)</f>
        <v/>
      </c>
      <c r="J402" s="37">
        <f>_xlfn.IFS(K402&lt;K$24,0,K402&lt;K$25,J$24,K402&lt;K$26,J$25,K402&lt;K$27,J$26,K402&lt;K$28,J$27,K402&lt;K$29,J$28,K402&lt;K$30,J$29,K402&lt;K$31,J$30,K402&lt;K$32,J$31,K402&lt;K$33,J$32,K402&lt;K$34,J$33,K402&lt;K$35,J$34,K402&lt;K$36,J$35,K402&lt;K$37,J$36,K402&lt;K$38,J$37,K402&lt;K$39,J$38,K402&lt;K$40,J$39,K402&lt;K$41,J$40,K402&lt;K$42,J$41,K402&lt;K$43,J$42,K402&lt;K$44,J$43,K402&lt;K$45,J$44,K402&lt;K$46,J$45,K402&lt;K$47,J$46,K402&gt;=K$47,J$47)</f>
        <v/>
      </c>
      <c r="K402" s="38" t="n">
        <v>352</v>
      </c>
      <c r="L402" s="31">
        <f>K402/52</f>
        <v/>
      </c>
      <c r="M402" s="39">
        <f>J402/1000000*52</f>
        <v/>
      </c>
      <c r="N402" s="33">
        <f>M402/$P$4+($I$22/$P$4)</f>
        <v/>
      </c>
      <c r="U402">
        <f>F401</f>
        <v/>
      </c>
      <c r="V402">
        <f>H401</f>
        <v/>
      </c>
      <c r="W402">
        <f>N401</f>
        <v/>
      </c>
    </row>
    <row r="403" ht="15.75" customHeight="1" s="40">
      <c r="C403" s="36">
        <f>_xlfn.IFS(E403&lt;E$24,0,E403&lt;E$26,C$24,E403&lt;E$28,C$26,E403&lt;E$30,C$28,E403&lt;E$32,C$30,E403&lt;E$34,C$32,E403&gt;=E$34,C$34)</f>
        <v/>
      </c>
      <c r="D403" s="37">
        <f>_xlfn.IFS(E403&lt;E$24,0,E403&lt;E$25,D$24,E403&lt;E$26,D$25,E403&lt;E$27,D$26,E403&lt;E$28,D$27,E403&lt;E$29,D$28,E403&lt;E$30,D$29,E403&lt;E$31,D$30,E403&lt;E$32,D$31,E403&lt;E$33,D$32,E403&lt;E$34,D$33,E403&lt;E$35,D$34,E403&gt;=E$35,D$35)</f>
        <v/>
      </c>
      <c r="E403" s="38" t="n">
        <v>353</v>
      </c>
      <c r="F403" s="31">
        <f>E403/52</f>
        <v/>
      </c>
      <c r="G403" s="39">
        <f>D403/1000000*52</f>
        <v/>
      </c>
      <c r="H403" s="33">
        <f>G403/$P$4+($C$22/$P$4)</f>
        <v/>
      </c>
      <c r="I403" s="36">
        <f>_xlfn.IFS(K403&lt;K$24,0,K403&lt;K$26,I$24,K403&lt;K$28,I$26,K403&lt;K$30,I$28,K403&lt;K$32,I$30,K403&lt;K$34,I$32,K403&lt;K$36,I$34,K403&lt;K$38,I$36,K403&lt;K$40,I$38,K403&lt;K$42,I$40,K403&lt;K$44,I$42,K403&lt;K$46,I$44,K403&gt;=K$46,I$46)</f>
        <v/>
      </c>
      <c r="J403" s="37">
        <f>_xlfn.IFS(K403&lt;K$24,0,K403&lt;K$25,J$24,K403&lt;K$26,J$25,K403&lt;K$27,J$26,K403&lt;K$28,J$27,K403&lt;K$29,J$28,K403&lt;K$30,J$29,K403&lt;K$31,J$30,K403&lt;K$32,J$31,K403&lt;K$33,J$32,K403&lt;K$34,J$33,K403&lt;K$35,J$34,K403&lt;K$36,J$35,K403&lt;K$37,J$36,K403&lt;K$38,J$37,K403&lt;K$39,J$38,K403&lt;K$40,J$39,K403&lt;K$41,J$40,K403&lt;K$42,J$41,K403&lt;K$43,J$42,K403&lt;K$44,J$43,K403&lt;K$45,J$44,K403&lt;K$46,J$45,K403&lt;K$47,J$46,K403&gt;=K$47,J$47)</f>
        <v/>
      </c>
      <c r="K403" s="38" t="n">
        <v>353</v>
      </c>
      <c r="L403" s="31">
        <f>K403/52</f>
        <v/>
      </c>
      <c r="M403" s="39">
        <f>J403/1000000*52</f>
        <v/>
      </c>
      <c r="N403" s="33">
        <f>M403/$P$4+($I$22/$P$4)</f>
        <v/>
      </c>
      <c r="U403">
        <f>F402</f>
        <v/>
      </c>
      <c r="V403">
        <f>H402</f>
        <v/>
      </c>
      <c r="W403">
        <f>N402</f>
        <v/>
      </c>
    </row>
    <row r="404" ht="15.75" customHeight="1" s="40">
      <c r="C404" s="36">
        <f>_xlfn.IFS(E404&lt;E$24,0,E404&lt;E$26,C$24,E404&lt;E$28,C$26,E404&lt;E$30,C$28,E404&lt;E$32,C$30,E404&lt;E$34,C$32,E404&gt;=E$34,C$34)</f>
        <v/>
      </c>
      <c r="D404" s="37">
        <f>_xlfn.IFS(E404&lt;E$24,0,E404&lt;E$25,D$24,E404&lt;E$26,D$25,E404&lt;E$27,D$26,E404&lt;E$28,D$27,E404&lt;E$29,D$28,E404&lt;E$30,D$29,E404&lt;E$31,D$30,E404&lt;E$32,D$31,E404&lt;E$33,D$32,E404&lt;E$34,D$33,E404&lt;E$35,D$34,E404&gt;=E$35,D$35)</f>
        <v/>
      </c>
      <c r="E404" s="38" t="n">
        <v>354</v>
      </c>
      <c r="F404" s="31">
        <f>E404/52</f>
        <v/>
      </c>
      <c r="G404" s="39">
        <f>D404/1000000*52</f>
        <v/>
      </c>
      <c r="H404" s="33">
        <f>G404/$P$4+($C$22/$P$4)</f>
        <v/>
      </c>
      <c r="I404" s="36">
        <f>_xlfn.IFS(K404&lt;K$24,0,K404&lt;K$26,I$24,K404&lt;K$28,I$26,K404&lt;K$30,I$28,K404&lt;K$32,I$30,K404&lt;K$34,I$32,K404&lt;K$36,I$34,K404&lt;K$38,I$36,K404&lt;K$40,I$38,K404&lt;K$42,I$40,K404&lt;K$44,I$42,K404&lt;K$46,I$44,K404&gt;=K$46,I$46)</f>
        <v/>
      </c>
      <c r="J404" s="37">
        <f>_xlfn.IFS(K404&lt;K$24,0,K404&lt;K$25,J$24,K404&lt;K$26,J$25,K404&lt;K$27,J$26,K404&lt;K$28,J$27,K404&lt;K$29,J$28,K404&lt;K$30,J$29,K404&lt;K$31,J$30,K404&lt;K$32,J$31,K404&lt;K$33,J$32,K404&lt;K$34,J$33,K404&lt;K$35,J$34,K404&lt;K$36,J$35,K404&lt;K$37,J$36,K404&lt;K$38,J$37,K404&lt;K$39,J$38,K404&lt;K$40,J$39,K404&lt;K$41,J$40,K404&lt;K$42,J$41,K404&lt;K$43,J$42,K404&lt;K$44,J$43,K404&lt;K$45,J$44,K404&lt;K$46,J$45,K404&lt;K$47,J$46,K404&gt;=K$47,J$47)</f>
        <v/>
      </c>
      <c r="K404" s="38" t="n">
        <v>354</v>
      </c>
      <c r="L404" s="31">
        <f>K404/52</f>
        <v/>
      </c>
      <c r="M404" s="39">
        <f>J404/1000000*52</f>
        <v/>
      </c>
      <c r="N404" s="33">
        <f>M404/$P$4+($I$22/$P$4)</f>
        <v/>
      </c>
      <c r="U404">
        <f>F403</f>
        <v/>
      </c>
      <c r="V404">
        <f>H403</f>
        <v/>
      </c>
      <c r="W404">
        <f>N403</f>
        <v/>
      </c>
    </row>
    <row r="405" ht="15.75" customHeight="1" s="40">
      <c r="C405" s="36">
        <f>_xlfn.IFS(E405&lt;E$24,0,E405&lt;E$26,C$24,E405&lt;E$28,C$26,E405&lt;E$30,C$28,E405&lt;E$32,C$30,E405&lt;E$34,C$32,E405&gt;=E$34,C$34)</f>
        <v/>
      </c>
      <c r="D405" s="37">
        <f>_xlfn.IFS(E405&lt;E$24,0,E405&lt;E$25,D$24,E405&lt;E$26,D$25,E405&lt;E$27,D$26,E405&lt;E$28,D$27,E405&lt;E$29,D$28,E405&lt;E$30,D$29,E405&lt;E$31,D$30,E405&lt;E$32,D$31,E405&lt;E$33,D$32,E405&lt;E$34,D$33,E405&lt;E$35,D$34,E405&gt;=E$35,D$35)</f>
        <v/>
      </c>
      <c r="E405" s="38" t="n">
        <v>355</v>
      </c>
      <c r="F405" s="31">
        <f>E405/52</f>
        <v/>
      </c>
      <c r="G405" s="39">
        <f>D405/1000000*52</f>
        <v/>
      </c>
      <c r="H405" s="33">
        <f>G405/$P$4+($C$22/$P$4)</f>
        <v/>
      </c>
      <c r="I405" s="36">
        <f>_xlfn.IFS(K405&lt;K$24,0,K405&lt;K$26,I$24,K405&lt;K$28,I$26,K405&lt;K$30,I$28,K405&lt;K$32,I$30,K405&lt;K$34,I$32,K405&lt;K$36,I$34,K405&lt;K$38,I$36,K405&lt;K$40,I$38,K405&lt;K$42,I$40,K405&lt;K$44,I$42,K405&lt;K$46,I$44,K405&gt;=K$46,I$46)</f>
        <v/>
      </c>
      <c r="J405" s="37">
        <f>_xlfn.IFS(K405&lt;K$24,0,K405&lt;K$25,J$24,K405&lt;K$26,J$25,K405&lt;K$27,J$26,K405&lt;K$28,J$27,K405&lt;K$29,J$28,K405&lt;K$30,J$29,K405&lt;K$31,J$30,K405&lt;K$32,J$31,K405&lt;K$33,J$32,K405&lt;K$34,J$33,K405&lt;K$35,J$34,K405&lt;K$36,J$35,K405&lt;K$37,J$36,K405&lt;K$38,J$37,K405&lt;K$39,J$38,K405&lt;K$40,J$39,K405&lt;K$41,J$40,K405&lt;K$42,J$41,K405&lt;K$43,J$42,K405&lt;K$44,J$43,K405&lt;K$45,J$44,K405&lt;K$46,J$45,K405&lt;K$47,J$46,K405&gt;=K$47,J$47)</f>
        <v/>
      </c>
      <c r="K405" s="38" t="n">
        <v>355</v>
      </c>
      <c r="L405" s="31">
        <f>K405/52</f>
        <v/>
      </c>
      <c r="M405" s="39">
        <f>J405/1000000*52</f>
        <v/>
      </c>
      <c r="N405" s="33">
        <f>M405/$P$4+($I$22/$P$4)</f>
        <v/>
      </c>
      <c r="U405">
        <f>F404</f>
        <v/>
      </c>
      <c r="V405">
        <f>H404</f>
        <v/>
      </c>
      <c r="W405">
        <f>N404</f>
        <v/>
      </c>
    </row>
    <row r="406" ht="15.75" customHeight="1" s="40">
      <c r="C406" s="36">
        <f>_xlfn.IFS(E406&lt;E$24,0,E406&lt;E$26,C$24,E406&lt;E$28,C$26,E406&lt;E$30,C$28,E406&lt;E$32,C$30,E406&lt;E$34,C$32,E406&gt;=E$34,C$34)</f>
        <v/>
      </c>
      <c r="D406" s="37">
        <f>_xlfn.IFS(E406&lt;E$24,0,E406&lt;E$25,D$24,E406&lt;E$26,D$25,E406&lt;E$27,D$26,E406&lt;E$28,D$27,E406&lt;E$29,D$28,E406&lt;E$30,D$29,E406&lt;E$31,D$30,E406&lt;E$32,D$31,E406&lt;E$33,D$32,E406&lt;E$34,D$33,E406&lt;E$35,D$34,E406&gt;=E$35,D$35)</f>
        <v/>
      </c>
      <c r="E406" s="38" t="n">
        <v>356</v>
      </c>
      <c r="F406" s="31">
        <f>E406/52</f>
        <v/>
      </c>
      <c r="G406" s="39">
        <f>D406/1000000*52</f>
        <v/>
      </c>
      <c r="H406" s="33">
        <f>G406/$P$4+($C$22/$P$4)</f>
        <v/>
      </c>
      <c r="I406" s="36">
        <f>_xlfn.IFS(K406&lt;K$24,0,K406&lt;K$26,I$24,K406&lt;K$28,I$26,K406&lt;K$30,I$28,K406&lt;K$32,I$30,K406&lt;K$34,I$32,K406&lt;K$36,I$34,K406&lt;K$38,I$36,K406&lt;K$40,I$38,K406&lt;K$42,I$40,K406&lt;K$44,I$42,K406&lt;K$46,I$44,K406&gt;=K$46,I$46)</f>
        <v/>
      </c>
      <c r="J406" s="37">
        <f>_xlfn.IFS(K406&lt;K$24,0,K406&lt;K$25,J$24,K406&lt;K$26,J$25,K406&lt;K$27,J$26,K406&lt;K$28,J$27,K406&lt;K$29,J$28,K406&lt;K$30,J$29,K406&lt;K$31,J$30,K406&lt;K$32,J$31,K406&lt;K$33,J$32,K406&lt;K$34,J$33,K406&lt;K$35,J$34,K406&lt;K$36,J$35,K406&lt;K$37,J$36,K406&lt;K$38,J$37,K406&lt;K$39,J$38,K406&lt;K$40,J$39,K406&lt;K$41,J$40,K406&lt;K$42,J$41,K406&lt;K$43,J$42,K406&lt;K$44,J$43,K406&lt;K$45,J$44,K406&lt;K$46,J$45,K406&lt;K$47,J$46,K406&gt;=K$47,J$47)</f>
        <v/>
      </c>
      <c r="K406" s="38" t="n">
        <v>356</v>
      </c>
      <c r="L406" s="31">
        <f>K406/52</f>
        <v/>
      </c>
      <c r="M406" s="39">
        <f>J406/1000000*52</f>
        <v/>
      </c>
      <c r="N406" s="33">
        <f>M406/$P$4+($I$22/$P$4)</f>
        <v/>
      </c>
      <c r="U406">
        <f>F405</f>
        <v/>
      </c>
      <c r="V406">
        <f>H405</f>
        <v/>
      </c>
      <c r="W406">
        <f>N405</f>
        <v/>
      </c>
    </row>
    <row r="407" ht="15.75" customHeight="1" s="40">
      <c r="C407" s="36">
        <f>_xlfn.IFS(E407&lt;E$24,0,E407&lt;E$26,C$24,E407&lt;E$28,C$26,E407&lt;E$30,C$28,E407&lt;E$32,C$30,E407&lt;E$34,C$32,E407&gt;=E$34,C$34)</f>
        <v/>
      </c>
      <c r="D407" s="37">
        <f>_xlfn.IFS(E407&lt;E$24,0,E407&lt;E$25,D$24,E407&lt;E$26,D$25,E407&lt;E$27,D$26,E407&lt;E$28,D$27,E407&lt;E$29,D$28,E407&lt;E$30,D$29,E407&lt;E$31,D$30,E407&lt;E$32,D$31,E407&lt;E$33,D$32,E407&lt;E$34,D$33,E407&lt;E$35,D$34,E407&gt;=E$35,D$35)</f>
        <v/>
      </c>
      <c r="E407" s="38" t="n">
        <v>357</v>
      </c>
      <c r="F407" s="31">
        <f>E407/52</f>
        <v/>
      </c>
      <c r="G407" s="39">
        <f>D407/1000000*52</f>
        <v/>
      </c>
      <c r="H407" s="33">
        <f>G407/$P$4+($C$22/$P$4)</f>
        <v/>
      </c>
      <c r="I407" s="36">
        <f>_xlfn.IFS(K407&lt;K$24,0,K407&lt;K$26,I$24,K407&lt;K$28,I$26,K407&lt;K$30,I$28,K407&lt;K$32,I$30,K407&lt;K$34,I$32,K407&lt;K$36,I$34,K407&lt;K$38,I$36,K407&lt;K$40,I$38,K407&lt;K$42,I$40,K407&lt;K$44,I$42,K407&lt;K$46,I$44,K407&gt;=K$46,I$46)</f>
        <v/>
      </c>
      <c r="J407" s="37">
        <f>_xlfn.IFS(K407&lt;K$24,0,K407&lt;K$25,J$24,K407&lt;K$26,J$25,K407&lt;K$27,J$26,K407&lt;K$28,J$27,K407&lt;K$29,J$28,K407&lt;K$30,J$29,K407&lt;K$31,J$30,K407&lt;K$32,J$31,K407&lt;K$33,J$32,K407&lt;K$34,J$33,K407&lt;K$35,J$34,K407&lt;K$36,J$35,K407&lt;K$37,J$36,K407&lt;K$38,J$37,K407&lt;K$39,J$38,K407&lt;K$40,J$39,K407&lt;K$41,J$40,K407&lt;K$42,J$41,K407&lt;K$43,J$42,K407&lt;K$44,J$43,K407&lt;K$45,J$44,K407&lt;K$46,J$45,K407&lt;K$47,J$46,K407&gt;=K$47,J$47)</f>
        <v/>
      </c>
      <c r="K407" s="38" t="n">
        <v>357</v>
      </c>
      <c r="L407" s="31">
        <f>K407/52</f>
        <v/>
      </c>
      <c r="M407" s="39">
        <f>J407/1000000*52</f>
        <v/>
      </c>
      <c r="N407" s="33">
        <f>M407/$P$4+($I$22/$P$4)</f>
        <v/>
      </c>
      <c r="U407">
        <f>F406</f>
        <v/>
      </c>
      <c r="V407">
        <f>H406</f>
        <v/>
      </c>
      <c r="W407">
        <f>N406</f>
        <v/>
      </c>
    </row>
    <row r="408" ht="15.75" customHeight="1" s="40">
      <c r="C408" s="36">
        <f>_xlfn.IFS(E408&lt;E$24,0,E408&lt;E$26,C$24,E408&lt;E$28,C$26,E408&lt;E$30,C$28,E408&lt;E$32,C$30,E408&lt;E$34,C$32,E408&gt;=E$34,C$34)</f>
        <v/>
      </c>
      <c r="D408" s="37">
        <f>_xlfn.IFS(E408&lt;E$24,0,E408&lt;E$25,D$24,E408&lt;E$26,D$25,E408&lt;E$27,D$26,E408&lt;E$28,D$27,E408&lt;E$29,D$28,E408&lt;E$30,D$29,E408&lt;E$31,D$30,E408&lt;E$32,D$31,E408&lt;E$33,D$32,E408&lt;E$34,D$33,E408&lt;E$35,D$34,E408&gt;=E$35,D$35)</f>
        <v/>
      </c>
      <c r="E408" s="38" t="n">
        <v>358</v>
      </c>
      <c r="F408" s="31">
        <f>E408/52</f>
        <v/>
      </c>
      <c r="G408" s="39">
        <f>D408/1000000*52</f>
        <v/>
      </c>
      <c r="H408" s="33">
        <f>G408/$P$4+($C$22/$P$4)</f>
        <v/>
      </c>
      <c r="I408" s="36">
        <f>_xlfn.IFS(K408&lt;K$24,0,K408&lt;K$26,I$24,K408&lt;K$28,I$26,K408&lt;K$30,I$28,K408&lt;K$32,I$30,K408&lt;K$34,I$32,K408&lt;K$36,I$34,K408&lt;K$38,I$36,K408&lt;K$40,I$38,K408&lt;K$42,I$40,K408&lt;K$44,I$42,K408&lt;K$46,I$44,K408&gt;=K$46,I$46)</f>
        <v/>
      </c>
      <c r="J408" s="37">
        <f>_xlfn.IFS(K408&lt;K$24,0,K408&lt;K$25,J$24,K408&lt;K$26,J$25,K408&lt;K$27,J$26,K408&lt;K$28,J$27,K408&lt;K$29,J$28,K408&lt;K$30,J$29,K408&lt;K$31,J$30,K408&lt;K$32,J$31,K408&lt;K$33,J$32,K408&lt;K$34,J$33,K408&lt;K$35,J$34,K408&lt;K$36,J$35,K408&lt;K$37,J$36,K408&lt;K$38,J$37,K408&lt;K$39,J$38,K408&lt;K$40,J$39,K408&lt;K$41,J$40,K408&lt;K$42,J$41,K408&lt;K$43,J$42,K408&lt;K$44,J$43,K408&lt;K$45,J$44,K408&lt;K$46,J$45,K408&lt;K$47,J$46,K408&gt;=K$47,J$47)</f>
        <v/>
      </c>
      <c r="K408" s="38" t="n">
        <v>358</v>
      </c>
      <c r="L408" s="31">
        <f>K408/52</f>
        <v/>
      </c>
      <c r="M408" s="39">
        <f>J408/1000000*52</f>
        <v/>
      </c>
      <c r="N408" s="33">
        <f>M408/$P$4+($I$22/$P$4)</f>
        <v/>
      </c>
      <c r="U408">
        <f>F407</f>
        <v/>
      </c>
      <c r="V408">
        <f>H407</f>
        <v/>
      </c>
      <c r="W408">
        <f>N407</f>
        <v/>
      </c>
    </row>
    <row r="409" ht="15.75" customHeight="1" s="40">
      <c r="C409" s="36">
        <f>_xlfn.IFS(E409&lt;E$24,0,E409&lt;E$26,C$24,E409&lt;E$28,C$26,E409&lt;E$30,C$28,E409&lt;E$32,C$30,E409&lt;E$34,C$32,E409&gt;=E$34,C$34)</f>
        <v/>
      </c>
      <c r="D409" s="37">
        <f>_xlfn.IFS(E409&lt;E$24,0,E409&lt;E$25,D$24,E409&lt;E$26,D$25,E409&lt;E$27,D$26,E409&lt;E$28,D$27,E409&lt;E$29,D$28,E409&lt;E$30,D$29,E409&lt;E$31,D$30,E409&lt;E$32,D$31,E409&lt;E$33,D$32,E409&lt;E$34,D$33,E409&lt;E$35,D$34,E409&gt;=E$35,D$35)</f>
        <v/>
      </c>
      <c r="E409" s="38" t="n">
        <v>359</v>
      </c>
      <c r="F409" s="31">
        <f>E409/52</f>
        <v/>
      </c>
      <c r="G409" s="39">
        <f>D409/1000000*52</f>
        <v/>
      </c>
      <c r="H409" s="33">
        <f>G409/$P$4+($C$22/$P$4)</f>
        <v/>
      </c>
      <c r="I409" s="36">
        <f>_xlfn.IFS(K409&lt;K$24,0,K409&lt;K$26,I$24,K409&lt;K$28,I$26,K409&lt;K$30,I$28,K409&lt;K$32,I$30,K409&lt;K$34,I$32,K409&lt;K$36,I$34,K409&lt;K$38,I$36,K409&lt;K$40,I$38,K409&lt;K$42,I$40,K409&lt;K$44,I$42,K409&lt;K$46,I$44,K409&gt;=K$46,I$46)</f>
        <v/>
      </c>
      <c r="J409" s="37">
        <f>_xlfn.IFS(K409&lt;K$24,0,K409&lt;K$25,J$24,K409&lt;K$26,J$25,K409&lt;K$27,J$26,K409&lt;K$28,J$27,K409&lt;K$29,J$28,K409&lt;K$30,J$29,K409&lt;K$31,J$30,K409&lt;K$32,J$31,K409&lt;K$33,J$32,K409&lt;K$34,J$33,K409&lt;K$35,J$34,K409&lt;K$36,J$35,K409&lt;K$37,J$36,K409&lt;K$38,J$37,K409&lt;K$39,J$38,K409&lt;K$40,J$39,K409&lt;K$41,J$40,K409&lt;K$42,J$41,K409&lt;K$43,J$42,K409&lt;K$44,J$43,K409&lt;K$45,J$44,K409&lt;K$46,J$45,K409&lt;K$47,J$46,K409&gt;=K$47,J$47)</f>
        <v/>
      </c>
      <c r="K409" s="38" t="n">
        <v>359</v>
      </c>
      <c r="L409" s="31">
        <f>K409/52</f>
        <v/>
      </c>
      <c r="M409" s="39">
        <f>J409/1000000*52</f>
        <v/>
      </c>
      <c r="N409" s="33">
        <f>M409/$P$4+($I$22/$P$4)</f>
        <v/>
      </c>
      <c r="U409">
        <f>F408</f>
        <v/>
      </c>
      <c r="V409">
        <f>H408</f>
        <v/>
      </c>
      <c r="W409">
        <f>N408</f>
        <v/>
      </c>
    </row>
    <row r="410" ht="15.75" customHeight="1" s="40">
      <c r="C410" s="36">
        <f>_xlfn.IFS(E410&lt;E$24,0,E410&lt;E$26,C$24,E410&lt;E$28,C$26,E410&lt;E$30,C$28,E410&lt;E$32,C$30,E410&lt;E$34,C$32,E410&gt;=E$34,C$34)</f>
        <v/>
      </c>
      <c r="D410" s="37">
        <f>_xlfn.IFS(E410&lt;E$24,0,E410&lt;E$25,D$24,E410&lt;E$26,D$25,E410&lt;E$27,D$26,E410&lt;E$28,D$27,E410&lt;E$29,D$28,E410&lt;E$30,D$29,E410&lt;E$31,D$30,E410&lt;E$32,D$31,E410&lt;E$33,D$32,E410&lt;E$34,D$33,E410&lt;E$35,D$34,E410&gt;=E$35,D$35)</f>
        <v/>
      </c>
      <c r="E410" s="38" t="n">
        <v>360</v>
      </c>
      <c r="F410" s="31">
        <f>E410/52</f>
        <v/>
      </c>
      <c r="G410" s="39">
        <f>D410/1000000*52</f>
        <v/>
      </c>
      <c r="H410" s="33">
        <f>G410/$P$4+($C$22/$P$4)</f>
        <v/>
      </c>
      <c r="I410" s="36">
        <f>_xlfn.IFS(K410&lt;K$24,0,K410&lt;K$26,I$24,K410&lt;K$28,I$26,K410&lt;K$30,I$28,K410&lt;K$32,I$30,K410&lt;K$34,I$32,K410&lt;K$36,I$34,K410&lt;K$38,I$36,K410&lt;K$40,I$38,K410&lt;K$42,I$40,K410&lt;K$44,I$42,K410&lt;K$46,I$44,K410&gt;=K$46,I$46)</f>
        <v/>
      </c>
      <c r="J410" s="37">
        <f>_xlfn.IFS(K410&lt;K$24,0,K410&lt;K$25,J$24,K410&lt;K$26,J$25,K410&lt;K$27,J$26,K410&lt;K$28,J$27,K410&lt;K$29,J$28,K410&lt;K$30,J$29,K410&lt;K$31,J$30,K410&lt;K$32,J$31,K410&lt;K$33,J$32,K410&lt;K$34,J$33,K410&lt;K$35,J$34,K410&lt;K$36,J$35,K410&lt;K$37,J$36,K410&lt;K$38,J$37,K410&lt;K$39,J$38,K410&lt;K$40,J$39,K410&lt;K$41,J$40,K410&lt;K$42,J$41,K410&lt;K$43,J$42,K410&lt;K$44,J$43,K410&lt;K$45,J$44,K410&lt;K$46,J$45,K410&lt;K$47,J$46,K410&gt;=K$47,J$47)</f>
        <v/>
      </c>
      <c r="K410" s="38" t="n">
        <v>360</v>
      </c>
      <c r="L410" s="31">
        <f>K410/52</f>
        <v/>
      </c>
      <c r="M410" s="39">
        <f>J410/1000000*52</f>
        <v/>
      </c>
      <c r="N410" s="33">
        <f>M410/$P$4+($I$22/$P$4)</f>
        <v/>
      </c>
      <c r="U410">
        <f>F409</f>
        <v/>
      </c>
      <c r="V410">
        <f>H409</f>
        <v/>
      </c>
      <c r="W410">
        <f>N409</f>
        <v/>
      </c>
    </row>
    <row r="411" ht="15.75" customHeight="1" s="40">
      <c r="C411" s="36">
        <f>_xlfn.IFS(E411&lt;E$24,0,E411&lt;E$26,C$24,E411&lt;E$28,C$26,E411&lt;E$30,C$28,E411&lt;E$32,C$30,E411&lt;E$34,C$32,E411&gt;=E$34,C$34)</f>
        <v/>
      </c>
      <c r="D411" s="37">
        <f>_xlfn.IFS(E411&lt;E$24,0,E411&lt;E$25,D$24,E411&lt;E$26,D$25,E411&lt;E$27,D$26,E411&lt;E$28,D$27,E411&lt;E$29,D$28,E411&lt;E$30,D$29,E411&lt;E$31,D$30,E411&lt;E$32,D$31,E411&lt;E$33,D$32,E411&lt;E$34,D$33,E411&lt;E$35,D$34,E411&gt;=E$35,D$35)</f>
        <v/>
      </c>
      <c r="E411" s="38" t="n">
        <v>361</v>
      </c>
      <c r="F411" s="31">
        <f>E411/52</f>
        <v/>
      </c>
      <c r="G411" s="39">
        <f>D411/1000000*52</f>
        <v/>
      </c>
      <c r="H411" s="33">
        <f>G411/$P$4+($C$22/$P$4)</f>
        <v/>
      </c>
      <c r="I411" s="36">
        <f>_xlfn.IFS(K411&lt;K$24,0,K411&lt;K$26,I$24,K411&lt;K$28,I$26,K411&lt;K$30,I$28,K411&lt;K$32,I$30,K411&lt;K$34,I$32,K411&lt;K$36,I$34,K411&lt;K$38,I$36,K411&lt;K$40,I$38,K411&lt;K$42,I$40,K411&lt;K$44,I$42,K411&lt;K$46,I$44,K411&gt;=K$46,I$46)</f>
        <v/>
      </c>
      <c r="J411" s="37">
        <f>_xlfn.IFS(K411&lt;K$24,0,K411&lt;K$25,J$24,K411&lt;K$26,J$25,K411&lt;K$27,J$26,K411&lt;K$28,J$27,K411&lt;K$29,J$28,K411&lt;K$30,J$29,K411&lt;K$31,J$30,K411&lt;K$32,J$31,K411&lt;K$33,J$32,K411&lt;K$34,J$33,K411&lt;K$35,J$34,K411&lt;K$36,J$35,K411&lt;K$37,J$36,K411&lt;K$38,J$37,K411&lt;K$39,J$38,K411&lt;K$40,J$39,K411&lt;K$41,J$40,K411&lt;K$42,J$41,K411&lt;K$43,J$42,K411&lt;K$44,J$43,K411&lt;K$45,J$44,K411&lt;K$46,J$45,K411&lt;K$47,J$46,K411&gt;=K$47,J$47)</f>
        <v/>
      </c>
      <c r="K411" s="38" t="n">
        <v>361</v>
      </c>
      <c r="L411" s="31">
        <f>K411/52</f>
        <v/>
      </c>
      <c r="M411" s="39">
        <f>J411/1000000*52</f>
        <v/>
      </c>
      <c r="N411" s="33">
        <f>M411/$P$4+($I$22/$P$4)</f>
        <v/>
      </c>
      <c r="U411">
        <f>F410</f>
        <v/>
      </c>
      <c r="V411">
        <f>H410</f>
        <v/>
      </c>
      <c r="W411">
        <f>N410</f>
        <v/>
      </c>
    </row>
    <row r="412" ht="15.75" customHeight="1" s="40">
      <c r="C412" s="36">
        <f>_xlfn.IFS(E412&lt;E$24,0,E412&lt;E$26,C$24,E412&lt;E$28,C$26,E412&lt;E$30,C$28,E412&lt;E$32,C$30,E412&lt;E$34,C$32,E412&gt;=E$34,C$34)</f>
        <v/>
      </c>
      <c r="D412" s="37">
        <f>_xlfn.IFS(E412&lt;E$24,0,E412&lt;E$25,D$24,E412&lt;E$26,D$25,E412&lt;E$27,D$26,E412&lt;E$28,D$27,E412&lt;E$29,D$28,E412&lt;E$30,D$29,E412&lt;E$31,D$30,E412&lt;E$32,D$31,E412&lt;E$33,D$32,E412&lt;E$34,D$33,E412&lt;E$35,D$34,E412&gt;=E$35,D$35)</f>
        <v/>
      </c>
      <c r="E412" s="38" t="n">
        <v>362</v>
      </c>
      <c r="F412" s="31">
        <f>E412/52</f>
        <v/>
      </c>
      <c r="G412" s="39">
        <f>D412/1000000*52</f>
        <v/>
      </c>
      <c r="H412" s="33">
        <f>G412/$P$4+($C$22/$P$4)</f>
        <v/>
      </c>
      <c r="I412" s="36">
        <f>_xlfn.IFS(K412&lt;K$24,0,K412&lt;K$26,I$24,K412&lt;K$28,I$26,K412&lt;K$30,I$28,K412&lt;K$32,I$30,K412&lt;K$34,I$32,K412&lt;K$36,I$34,K412&lt;K$38,I$36,K412&lt;K$40,I$38,K412&lt;K$42,I$40,K412&lt;K$44,I$42,K412&lt;K$46,I$44,K412&gt;=K$46,I$46)</f>
        <v/>
      </c>
      <c r="J412" s="37">
        <f>_xlfn.IFS(K412&lt;K$24,0,K412&lt;K$25,J$24,K412&lt;K$26,J$25,K412&lt;K$27,J$26,K412&lt;K$28,J$27,K412&lt;K$29,J$28,K412&lt;K$30,J$29,K412&lt;K$31,J$30,K412&lt;K$32,J$31,K412&lt;K$33,J$32,K412&lt;K$34,J$33,K412&lt;K$35,J$34,K412&lt;K$36,J$35,K412&lt;K$37,J$36,K412&lt;K$38,J$37,K412&lt;K$39,J$38,K412&lt;K$40,J$39,K412&lt;K$41,J$40,K412&lt;K$42,J$41,K412&lt;K$43,J$42,K412&lt;K$44,J$43,K412&lt;K$45,J$44,K412&lt;K$46,J$45,K412&lt;K$47,J$46,K412&gt;=K$47,J$47)</f>
        <v/>
      </c>
      <c r="K412" s="38" t="n">
        <v>362</v>
      </c>
      <c r="L412" s="31">
        <f>K412/52</f>
        <v/>
      </c>
      <c r="M412" s="39">
        <f>J412/1000000*52</f>
        <v/>
      </c>
      <c r="N412" s="33">
        <f>M412/$P$4+($I$22/$P$4)</f>
        <v/>
      </c>
      <c r="U412">
        <f>F411</f>
        <v/>
      </c>
      <c r="V412">
        <f>H411</f>
        <v/>
      </c>
      <c r="W412">
        <f>N411</f>
        <v/>
      </c>
    </row>
    <row r="413" ht="15.75" customHeight="1" s="40">
      <c r="C413" s="36">
        <f>_xlfn.IFS(E413&lt;E$24,0,E413&lt;E$26,C$24,E413&lt;E$28,C$26,E413&lt;E$30,C$28,E413&lt;E$32,C$30,E413&lt;E$34,C$32,E413&gt;=E$34,C$34)</f>
        <v/>
      </c>
      <c r="D413" s="37">
        <f>_xlfn.IFS(E413&lt;E$24,0,E413&lt;E$25,D$24,E413&lt;E$26,D$25,E413&lt;E$27,D$26,E413&lt;E$28,D$27,E413&lt;E$29,D$28,E413&lt;E$30,D$29,E413&lt;E$31,D$30,E413&lt;E$32,D$31,E413&lt;E$33,D$32,E413&lt;E$34,D$33,E413&lt;E$35,D$34,E413&gt;=E$35,D$35)</f>
        <v/>
      </c>
      <c r="E413" s="38" t="n">
        <v>363</v>
      </c>
      <c r="F413" s="31">
        <f>E413/52</f>
        <v/>
      </c>
      <c r="G413" s="39">
        <f>D413/1000000*52</f>
        <v/>
      </c>
      <c r="H413" s="33">
        <f>G413/$P$4+($C$22/$P$4)</f>
        <v/>
      </c>
      <c r="I413" s="36">
        <f>_xlfn.IFS(K413&lt;K$24,0,K413&lt;K$26,I$24,K413&lt;K$28,I$26,K413&lt;K$30,I$28,K413&lt;K$32,I$30,K413&lt;K$34,I$32,K413&lt;K$36,I$34,K413&lt;K$38,I$36,K413&lt;K$40,I$38,K413&lt;K$42,I$40,K413&lt;K$44,I$42,K413&lt;K$46,I$44,K413&gt;=K$46,I$46)</f>
        <v/>
      </c>
      <c r="J413" s="37">
        <f>_xlfn.IFS(K413&lt;K$24,0,K413&lt;K$25,J$24,K413&lt;K$26,J$25,K413&lt;K$27,J$26,K413&lt;K$28,J$27,K413&lt;K$29,J$28,K413&lt;K$30,J$29,K413&lt;K$31,J$30,K413&lt;K$32,J$31,K413&lt;K$33,J$32,K413&lt;K$34,J$33,K413&lt;K$35,J$34,K413&lt;K$36,J$35,K413&lt;K$37,J$36,K413&lt;K$38,J$37,K413&lt;K$39,J$38,K413&lt;K$40,J$39,K413&lt;K$41,J$40,K413&lt;K$42,J$41,K413&lt;K$43,J$42,K413&lt;K$44,J$43,K413&lt;K$45,J$44,K413&lt;K$46,J$45,K413&lt;K$47,J$46,K413&gt;=K$47,J$47)</f>
        <v/>
      </c>
      <c r="K413" s="38" t="n">
        <v>363</v>
      </c>
      <c r="L413" s="31">
        <f>K413/52</f>
        <v/>
      </c>
      <c r="M413" s="39">
        <f>J413/1000000*52</f>
        <v/>
      </c>
      <c r="N413" s="33">
        <f>M413/$P$4+($I$22/$P$4)</f>
        <v/>
      </c>
      <c r="U413">
        <f>F412</f>
        <v/>
      </c>
      <c r="V413">
        <f>H412</f>
        <v/>
      </c>
      <c r="W413">
        <f>N412</f>
        <v/>
      </c>
    </row>
    <row r="414" ht="15.75" customHeight="1" s="40">
      <c r="C414" s="36">
        <f>_xlfn.IFS(E414&lt;E$24,0,E414&lt;E$26,C$24,E414&lt;E$28,C$26,E414&lt;E$30,C$28,E414&lt;E$32,C$30,E414&lt;E$34,C$32,E414&gt;=E$34,C$34)</f>
        <v/>
      </c>
      <c r="D414" s="37">
        <f>_xlfn.IFS(E414&lt;E$24,0,E414&lt;E$25,D$24,E414&lt;E$26,D$25,E414&lt;E$27,D$26,E414&lt;E$28,D$27,E414&lt;E$29,D$28,E414&lt;E$30,D$29,E414&lt;E$31,D$30,E414&lt;E$32,D$31,E414&lt;E$33,D$32,E414&lt;E$34,D$33,E414&lt;E$35,D$34,E414&gt;=E$35,D$35)</f>
        <v/>
      </c>
      <c r="E414" s="38" t="n">
        <v>364</v>
      </c>
      <c r="F414" s="31">
        <f>E414/52</f>
        <v/>
      </c>
      <c r="G414" s="39">
        <f>D414/1000000*52</f>
        <v/>
      </c>
      <c r="H414" s="33">
        <f>G414/$P$4+($C$22/$P$4)</f>
        <v/>
      </c>
      <c r="I414" s="36">
        <f>_xlfn.IFS(K414&lt;K$24,0,K414&lt;K$26,I$24,K414&lt;K$28,I$26,K414&lt;K$30,I$28,K414&lt;K$32,I$30,K414&lt;K$34,I$32,K414&lt;K$36,I$34,K414&lt;K$38,I$36,K414&lt;K$40,I$38,K414&lt;K$42,I$40,K414&lt;K$44,I$42,K414&lt;K$46,I$44,K414&gt;=K$46,I$46)</f>
        <v/>
      </c>
      <c r="J414" s="37">
        <f>_xlfn.IFS(K414&lt;K$24,0,K414&lt;K$25,J$24,K414&lt;K$26,J$25,K414&lt;K$27,J$26,K414&lt;K$28,J$27,K414&lt;K$29,J$28,K414&lt;K$30,J$29,K414&lt;K$31,J$30,K414&lt;K$32,J$31,K414&lt;K$33,J$32,K414&lt;K$34,J$33,K414&lt;K$35,J$34,K414&lt;K$36,J$35,K414&lt;K$37,J$36,K414&lt;K$38,J$37,K414&lt;K$39,J$38,K414&lt;K$40,J$39,K414&lt;K$41,J$40,K414&lt;K$42,J$41,K414&lt;K$43,J$42,K414&lt;K$44,J$43,K414&lt;K$45,J$44,K414&lt;K$46,J$45,K414&lt;K$47,J$46,K414&gt;=K$47,J$47)</f>
        <v/>
      </c>
      <c r="K414" s="38" t="n">
        <v>364</v>
      </c>
      <c r="L414" s="31">
        <f>K414/52</f>
        <v/>
      </c>
      <c r="M414" s="39">
        <f>J414/1000000*52</f>
        <v/>
      </c>
      <c r="N414" s="33">
        <f>M414/$P$4+($I$22/$P$4)</f>
        <v/>
      </c>
      <c r="U414">
        <f>F413</f>
        <v/>
      </c>
      <c r="V414">
        <f>H413</f>
        <v/>
      </c>
      <c r="W414">
        <f>N413</f>
        <v/>
      </c>
    </row>
    <row r="415" ht="15.75" customHeight="1" s="40">
      <c r="C415" s="36">
        <f>_xlfn.IFS(E415&lt;E$24,0,E415&lt;E$26,C$24,E415&lt;E$28,C$26,E415&lt;E$30,C$28,E415&lt;E$32,C$30,E415&lt;E$34,C$32,E415&gt;=E$34,C$34)</f>
        <v/>
      </c>
      <c r="D415" s="37">
        <f>_xlfn.IFS(E415&lt;E$24,0,E415&lt;E$25,D$24,E415&lt;E$26,D$25,E415&lt;E$27,D$26,E415&lt;E$28,D$27,E415&lt;E$29,D$28,E415&lt;E$30,D$29,E415&lt;E$31,D$30,E415&lt;E$32,D$31,E415&lt;E$33,D$32,E415&lt;E$34,D$33,E415&lt;E$35,D$34,E415&gt;=E$35,D$35)</f>
        <v/>
      </c>
      <c r="E415" s="38" t="n">
        <v>365</v>
      </c>
      <c r="F415" s="31">
        <f>E415/52</f>
        <v/>
      </c>
      <c r="G415" s="39">
        <f>D415/1000000*52</f>
        <v/>
      </c>
      <c r="H415" s="33">
        <f>G415/$P$4+($C$22/$P$4)</f>
        <v/>
      </c>
      <c r="I415" s="36">
        <f>_xlfn.IFS(K415&lt;K$24,0,K415&lt;K$26,I$24,K415&lt;K$28,I$26,K415&lt;K$30,I$28,K415&lt;K$32,I$30,K415&lt;K$34,I$32,K415&lt;K$36,I$34,K415&lt;K$38,I$36,K415&lt;K$40,I$38,K415&lt;K$42,I$40,K415&lt;K$44,I$42,K415&lt;K$46,I$44,K415&gt;=K$46,I$46)</f>
        <v/>
      </c>
      <c r="J415" s="37">
        <f>_xlfn.IFS(K415&lt;K$24,0,K415&lt;K$25,J$24,K415&lt;K$26,J$25,K415&lt;K$27,J$26,K415&lt;K$28,J$27,K415&lt;K$29,J$28,K415&lt;K$30,J$29,K415&lt;K$31,J$30,K415&lt;K$32,J$31,K415&lt;K$33,J$32,K415&lt;K$34,J$33,K415&lt;K$35,J$34,K415&lt;K$36,J$35,K415&lt;K$37,J$36,K415&lt;K$38,J$37,K415&lt;K$39,J$38,K415&lt;K$40,J$39,K415&lt;K$41,J$40,K415&lt;K$42,J$41,K415&lt;K$43,J$42,K415&lt;K$44,J$43,K415&lt;K$45,J$44,K415&lt;K$46,J$45,K415&lt;K$47,J$46,K415&gt;=K$47,J$47)</f>
        <v/>
      </c>
      <c r="K415" s="38" t="n">
        <v>365</v>
      </c>
      <c r="L415" s="31">
        <f>K415/52</f>
        <v/>
      </c>
      <c r="M415" s="39">
        <f>J415/1000000*52</f>
        <v/>
      </c>
      <c r="N415" s="33">
        <f>M415/$P$4+($I$22/$P$4)</f>
        <v/>
      </c>
      <c r="U415">
        <f>F414</f>
        <v/>
      </c>
      <c r="V415">
        <f>H414</f>
        <v/>
      </c>
      <c r="W415">
        <f>N414</f>
        <v/>
      </c>
    </row>
    <row r="416" ht="15.75" customHeight="1" s="40">
      <c r="C416" s="36">
        <f>_xlfn.IFS(E416&lt;E$24,0,E416&lt;E$26,C$24,E416&lt;E$28,C$26,E416&lt;E$30,C$28,E416&lt;E$32,C$30,E416&lt;E$34,C$32,E416&gt;=E$34,C$34)</f>
        <v/>
      </c>
      <c r="D416" s="37">
        <f>_xlfn.IFS(E416&lt;E$24,0,E416&lt;E$25,D$24,E416&lt;E$26,D$25,E416&lt;E$27,D$26,E416&lt;E$28,D$27,E416&lt;E$29,D$28,E416&lt;E$30,D$29,E416&lt;E$31,D$30,E416&lt;E$32,D$31,E416&lt;E$33,D$32,E416&lt;E$34,D$33,E416&lt;E$35,D$34,E416&gt;=E$35,D$35)</f>
        <v/>
      </c>
      <c r="E416" s="38" t="n">
        <v>366</v>
      </c>
      <c r="F416" s="31">
        <f>E416/52</f>
        <v/>
      </c>
      <c r="G416" s="39">
        <f>D416/1000000*52</f>
        <v/>
      </c>
      <c r="H416" s="33">
        <f>G416/$P$4+($C$22/$P$4)</f>
        <v/>
      </c>
      <c r="I416" s="36">
        <f>_xlfn.IFS(K416&lt;K$24,0,K416&lt;K$26,I$24,K416&lt;K$28,I$26,K416&lt;K$30,I$28,K416&lt;K$32,I$30,K416&lt;K$34,I$32,K416&lt;K$36,I$34,K416&lt;K$38,I$36,K416&lt;K$40,I$38,K416&lt;K$42,I$40,K416&lt;K$44,I$42,K416&lt;K$46,I$44,K416&gt;=K$46,I$46)</f>
        <v/>
      </c>
      <c r="J416" s="37">
        <f>_xlfn.IFS(K416&lt;K$24,0,K416&lt;K$25,J$24,K416&lt;K$26,J$25,K416&lt;K$27,J$26,K416&lt;K$28,J$27,K416&lt;K$29,J$28,K416&lt;K$30,J$29,K416&lt;K$31,J$30,K416&lt;K$32,J$31,K416&lt;K$33,J$32,K416&lt;K$34,J$33,K416&lt;K$35,J$34,K416&lt;K$36,J$35,K416&lt;K$37,J$36,K416&lt;K$38,J$37,K416&lt;K$39,J$38,K416&lt;K$40,J$39,K416&lt;K$41,J$40,K416&lt;K$42,J$41,K416&lt;K$43,J$42,K416&lt;K$44,J$43,K416&lt;K$45,J$44,K416&lt;K$46,J$45,K416&lt;K$47,J$46,K416&gt;=K$47,J$47)</f>
        <v/>
      </c>
      <c r="K416" s="38" t="n">
        <v>366</v>
      </c>
      <c r="L416" s="31">
        <f>K416/52</f>
        <v/>
      </c>
      <c r="M416" s="39">
        <f>J416/1000000*52</f>
        <v/>
      </c>
      <c r="N416" s="33">
        <f>M416/$P$4+($I$22/$P$4)</f>
        <v/>
      </c>
      <c r="U416">
        <f>F415</f>
        <v/>
      </c>
      <c r="V416">
        <f>H415</f>
        <v/>
      </c>
      <c r="W416">
        <f>N415</f>
        <v/>
      </c>
    </row>
    <row r="417" ht="15.75" customHeight="1" s="40">
      <c r="C417" s="36">
        <f>_xlfn.IFS(E417&lt;E$24,0,E417&lt;E$26,C$24,E417&lt;E$28,C$26,E417&lt;E$30,C$28,E417&lt;E$32,C$30,E417&lt;E$34,C$32,E417&gt;=E$34,C$34)</f>
        <v/>
      </c>
      <c r="D417" s="37">
        <f>_xlfn.IFS(E417&lt;E$24,0,E417&lt;E$25,D$24,E417&lt;E$26,D$25,E417&lt;E$27,D$26,E417&lt;E$28,D$27,E417&lt;E$29,D$28,E417&lt;E$30,D$29,E417&lt;E$31,D$30,E417&lt;E$32,D$31,E417&lt;E$33,D$32,E417&lt;E$34,D$33,E417&lt;E$35,D$34,E417&gt;=E$35,D$35)</f>
        <v/>
      </c>
      <c r="E417" s="38" t="n">
        <v>367</v>
      </c>
      <c r="F417" s="31">
        <f>E417/52</f>
        <v/>
      </c>
      <c r="G417" s="39">
        <f>D417/1000000*52</f>
        <v/>
      </c>
      <c r="H417" s="33">
        <f>G417/$P$4+($C$22/$P$4)</f>
        <v/>
      </c>
      <c r="I417" s="36">
        <f>_xlfn.IFS(K417&lt;K$24,0,K417&lt;K$26,I$24,K417&lt;K$28,I$26,K417&lt;K$30,I$28,K417&lt;K$32,I$30,K417&lt;K$34,I$32,K417&lt;K$36,I$34,K417&lt;K$38,I$36,K417&lt;K$40,I$38,K417&lt;K$42,I$40,K417&lt;K$44,I$42,K417&lt;K$46,I$44,K417&gt;=K$46,I$46)</f>
        <v/>
      </c>
      <c r="J417" s="37">
        <f>_xlfn.IFS(K417&lt;K$24,0,K417&lt;K$25,J$24,K417&lt;K$26,J$25,K417&lt;K$27,J$26,K417&lt;K$28,J$27,K417&lt;K$29,J$28,K417&lt;K$30,J$29,K417&lt;K$31,J$30,K417&lt;K$32,J$31,K417&lt;K$33,J$32,K417&lt;K$34,J$33,K417&lt;K$35,J$34,K417&lt;K$36,J$35,K417&lt;K$37,J$36,K417&lt;K$38,J$37,K417&lt;K$39,J$38,K417&lt;K$40,J$39,K417&lt;K$41,J$40,K417&lt;K$42,J$41,K417&lt;K$43,J$42,K417&lt;K$44,J$43,K417&lt;K$45,J$44,K417&lt;K$46,J$45,K417&lt;K$47,J$46,K417&gt;=K$47,J$47)</f>
        <v/>
      </c>
      <c r="K417" s="38" t="n">
        <v>367</v>
      </c>
      <c r="L417" s="31">
        <f>K417/52</f>
        <v/>
      </c>
      <c r="M417" s="39">
        <f>J417/1000000*52</f>
        <v/>
      </c>
      <c r="N417" s="33">
        <f>M417/$P$4+($I$22/$P$4)</f>
        <v/>
      </c>
      <c r="U417">
        <f>F416</f>
        <v/>
      </c>
      <c r="V417">
        <f>H416</f>
        <v/>
      </c>
      <c r="W417">
        <f>N416</f>
        <v/>
      </c>
    </row>
    <row r="418" ht="15.75" customHeight="1" s="40">
      <c r="C418" s="36">
        <f>_xlfn.IFS(E418&lt;E$24,0,E418&lt;E$26,C$24,E418&lt;E$28,C$26,E418&lt;E$30,C$28,E418&lt;E$32,C$30,E418&lt;E$34,C$32,E418&gt;=E$34,C$34)</f>
        <v/>
      </c>
      <c r="D418" s="37">
        <f>_xlfn.IFS(E418&lt;E$24,0,E418&lt;E$25,D$24,E418&lt;E$26,D$25,E418&lt;E$27,D$26,E418&lt;E$28,D$27,E418&lt;E$29,D$28,E418&lt;E$30,D$29,E418&lt;E$31,D$30,E418&lt;E$32,D$31,E418&lt;E$33,D$32,E418&lt;E$34,D$33,E418&lt;E$35,D$34,E418&gt;=E$35,D$35)</f>
        <v/>
      </c>
      <c r="E418" s="38" t="n">
        <v>368</v>
      </c>
      <c r="F418" s="31">
        <f>E418/52</f>
        <v/>
      </c>
      <c r="G418" s="39">
        <f>D418/1000000*52</f>
        <v/>
      </c>
      <c r="H418" s="33">
        <f>G418/$P$4+($C$22/$P$4)</f>
        <v/>
      </c>
      <c r="I418" s="36">
        <f>_xlfn.IFS(K418&lt;K$24,0,K418&lt;K$26,I$24,K418&lt;K$28,I$26,K418&lt;K$30,I$28,K418&lt;K$32,I$30,K418&lt;K$34,I$32,K418&lt;K$36,I$34,K418&lt;K$38,I$36,K418&lt;K$40,I$38,K418&lt;K$42,I$40,K418&lt;K$44,I$42,K418&lt;K$46,I$44,K418&gt;=K$46,I$46)</f>
        <v/>
      </c>
      <c r="J418" s="37">
        <f>_xlfn.IFS(K418&lt;K$24,0,K418&lt;K$25,J$24,K418&lt;K$26,J$25,K418&lt;K$27,J$26,K418&lt;K$28,J$27,K418&lt;K$29,J$28,K418&lt;K$30,J$29,K418&lt;K$31,J$30,K418&lt;K$32,J$31,K418&lt;K$33,J$32,K418&lt;K$34,J$33,K418&lt;K$35,J$34,K418&lt;K$36,J$35,K418&lt;K$37,J$36,K418&lt;K$38,J$37,K418&lt;K$39,J$38,K418&lt;K$40,J$39,K418&lt;K$41,J$40,K418&lt;K$42,J$41,K418&lt;K$43,J$42,K418&lt;K$44,J$43,K418&lt;K$45,J$44,K418&lt;K$46,J$45,K418&lt;K$47,J$46,K418&gt;=K$47,J$47)</f>
        <v/>
      </c>
      <c r="K418" s="38" t="n">
        <v>368</v>
      </c>
      <c r="L418" s="31">
        <f>K418/52</f>
        <v/>
      </c>
      <c r="M418" s="39">
        <f>J418/1000000*52</f>
        <v/>
      </c>
      <c r="N418" s="33">
        <f>M418/$P$4+($I$22/$P$4)</f>
        <v/>
      </c>
      <c r="U418">
        <f>F417</f>
        <v/>
      </c>
      <c r="V418">
        <f>H417</f>
        <v/>
      </c>
      <c r="W418">
        <f>N417</f>
        <v/>
      </c>
    </row>
    <row r="419" ht="15.75" customHeight="1" s="40">
      <c r="C419" s="36">
        <f>_xlfn.IFS(E419&lt;E$24,0,E419&lt;E$26,C$24,E419&lt;E$28,C$26,E419&lt;E$30,C$28,E419&lt;E$32,C$30,E419&lt;E$34,C$32,E419&gt;=E$34,C$34)</f>
        <v/>
      </c>
      <c r="D419" s="37">
        <f>_xlfn.IFS(E419&lt;E$24,0,E419&lt;E$25,D$24,E419&lt;E$26,D$25,E419&lt;E$27,D$26,E419&lt;E$28,D$27,E419&lt;E$29,D$28,E419&lt;E$30,D$29,E419&lt;E$31,D$30,E419&lt;E$32,D$31,E419&lt;E$33,D$32,E419&lt;E$34,D$33,E419&lt;E$35,D$34,E419&gt;=E$35,D$35)</f>
        <v/>
      </c>
      <c r="E419" s="38" t="n">
        <v>369</v>
      </c>
      <c r="F419" s="31">
        <f>E419/52</f>
        <v/>
      </c>
      <c r="G419" s="39">
        <f>D419/1000000*52</f>
        <v/>
      </c>
      <c r="H419" s="33">
        <f>G419/$P$4+($C$22/$P$4)</f>
        <v/>
      </c>
      <c r="I419" s="36">
        <f>_xlfn.IFS(K419&lt;K$24,0,K419&lt;K$26,I$24,K419&lt;K$28,I$26,K419&lt;K$30,I$28,K419&lt;K$32,I$30,K419&lt;K$34,I$32,K419&lt;K$36,I$34,K419&lt;K$38,I$36,K419&lt;K$40,I$38,K419&lt;K$42,I$40,K419&lt;K$44,I$42,K419&lt;K$46,I$44,K419&gt;=K$46,I$46)</f>
        <v/>
      </c>
      <c r="J419" s="37">
        <f>_xlfn.IFS(K419&lt;K$24,0,K419&lt;K$25,J$24,K419&lt;K$26,J$25,K419&lt;K$27,J$26,K419&lt;K$28,J$27,K419&lt;K$29,J$28,K419&lt;K$30,J$29,K419&lt;K$31,J$30,K419&lt;K$32,J$31,K419&lt;K$33,J$32,K419&lt;K$34,J$33,K419&lt;K$35,J$34,K419&lt;K$36,J$35,K419&lt;K$37,J$36,K419&lt;K$38,J$37,K419&lt;K$39,J$38,K419&lt;K$40,J$39,K419&lt;K$41,J$40,K419&lt;K$42,J$41,K419&lt;K$43,J$42,K419&lt;K$44,J$43,K419&lt;K$45,J$44,K419&lt;K$46,J$45,K419&lt;K$47,J$46,K419&gt;=K$47,J$47)</f>
        <v/>
      </c>
      <c r="K419" s="38" t="n">
        <v>369</v>
      </c>
      <c r="L419" s="31">
        <f>K419/52</f>
        <v/>
      </c>
      <c r="M419" s="39">
        <f>J419/1000000*52</f>
        <v/>
      </c>
      <c r="N419" s="33">
        <f>M419/$P$4+($I$22/$P$4)</f>
        <v/>
      </c>
      <c r="U419">
        <f>F418</f>
        <v/>
      </c>
      <c r="V419">
        <f>H418</f>
        <v/>
      </c>
      <c r="W419">
        <f>N418</f>
        <v/>
      </c>
    </row>
    <row r="420" ht="15.75" customHeight="1" s="40">
      <c r="C420" s="36">
        <f>_xlfn.IFS(E420&lt;E$24,0,E420&lt;E$26,C$24,E420&lt;E$28,C$26,E420&lt;E$30,C$28,E420&lt;E$32,C$30,E420&lt;E$34,C$32,E420&gt;=E$34,C$34)</f>
        <v/>
      </c>
      <c r="D420" s="37">
        <f>_xlfn.IFS(E420&lt;E$24,0,E420&lt;E$25,D$24,E420&lt;E$26,D$25,E420&lt;E$27,D$26,E420&lt;E$28,D$27,E420&lt;E$29,D$28,E420&lt;E$30,D$29,E420&lt;E$31,D$30,E420&lt;E$32,D$31,E420&lt;E$33,D$32,E420&lt;E$34,D$33,E420&lt;E$35,D$34,E420&gt;=E$35,D$35)</f>
        <v/>
      </c>
      <c r="E420" s="38" t="n">
        <v>370</v>
      </c>
      <c r="F420" s="31">
        <f>E420/52</f>
        <v/>
      </c>
      <c r="G420" s="39">
        <f>D420/1000000*52</f>
        <v/>
      </c>
      <c r="H420" s="33">
        <f>G420/$P$4+($C$22/$P$4)</f>
        <v/>
      </c>
      <c r="I420" s="36">
        <f>_xlfn.IFS(K420&lt;K$24,0,K420&lt;K$26,I$24,K420&lt;K$28,I$26,K420&lt;K$30,I$28,K420&lt;K$32,I$30,K420&lt;K$34,I$32,K420&lt;K$36,I$34,K420&lt;K$38,I$36,K420&lt;K$40,I$38,K420&lt;K$42,I$40,K420&lt;K$44,I$42,K420&lt;K$46,I$44,K420&gt;=K$46,I$46)</f>
        <v/>
      </c>
      <c r="J420" s="37">
        <f>_xlfn.IFS(K420&lt;K$24,0,K420&lt;K$25,J$24,K420&lt;K$26,J$25,K420&lt;K$27,J$26,K420&lt;K$28,J$27,K420&lt;K$29,J$28,K420&lt;K$30,J$29,K420&lt;K$31,J$30,K420&lt;K$32,J$31,K420&lt;K$33,J$32,K420&lt;K$34,J$33,K420&lt;K$35,J$34,K420&lt;K$36,J$35,K420&lt;K$37,J$36,K420&lt;K$38,J$37,K420&lt;K$39,J$38,K420&lt;K$40,J$39,K420&lt;K$41,J$40,K420&lt;K$42,J$41,K420&lt;K$43,J$42,K420&lt;K$44,J$43,K420&lt;K$45,J$44,K420&lt;K$46,J$45,K420&lt;K$47,J$46,K420&gt;=K$47,J$47)</f>
        <v/>
      </c>
      <c r="K420" s="38" t="n">
        <v>370</v>
      </c>
      <c r="L420" s="31">
        <f>K420/52</f>
        <v/>
      </c>
      <c r="M420" s="39">
        <f>J420/1000000*52</f>
        <v/>
      </c>
      <c r="N420" s="33">
        <f>M420/$P$4+($I$22/$P$4)</f>
        <v/>
      </c>
      <c r="U420">
        <f>F419</f>
        <v/>
      </c>
      <c r="V420">
        <f>H419</f>
        <v/>
      </c>
      <c r="W420">
        <f>N419</f>
        <v/>
      </c>
    </row>
    <row r="421" ht="15.75" customHeight="1" s="40">
      <c r="C421" s="36">
        <f>_xlfn.IFS(E421&lt;E$24,0,E421&lt;E$26,C$24,E421&lt;E$28,C$26,E421&lt;E$30,C$28,E421&lt;E$32,C$30,E421&lt;E$34,C$32,E421&gt;=E$34,C$34)</f>
        <v/>
      </c>
      <c r="D421" s="37">
        <f>_xlfn.IFS(E421&lt;E$24,0,E421&lt;E$25,D$24,E421&lt;E$26,D$25,E421&lt;E$27,D$26,E421&lt;E$28,D$27,E421&lt;E$29,D$28,E421&lt;E$30,D$29,E421&lt;E$31,D$30,E421&lt;E$32,D$31,E421&lt;E$33,D$32,E421&lt;E$34,D$33,E421&lt;E$35,D$34,E421&gt;=E$35,D$35)</f>
        <v/>
      </c>
      <c r="E421" s="38" t="n">
        <v>371</v>
      </c>
      <c r="F421" s="31">
        <f>E421/52</f>
        <v/>
      </c>
      <c r="G421" s="39">
        <f>D421/1000000*52</f>
        <v/>
      </c>
      <c r="H421" s="33">
        <f>G421/$P$4+($C$22/$P$4)</f>
        <v/>
      </c>
      <c r="I421" s="36">
        <f>_xlfn.IFS(K421&lt;K$24,0,K421&lt;K$26,I$24,K421&lt;K$28,I$26,K421&lt;K$30,I$28,K421&lt;K$32,I$30,K421&lt;K$34,I$32,K421&lt;K$36,I$34,K421&lt;K$38,I$36,K421&lt;K$40,I$38,K421&lt;K$42,I$40,K421&lt;K$44,I$42,K421&lt;K$46,I$44,K421&gt;=K$46,I$46)</f>
        <v/>
      </c>
      <c r="J421" s="37">
        <f>_xlfn.IFS(K421&lt;K$24,0,K421&lt;K$25,J$24,K421&lt;K$26,J$25,K421&lt;K$27,J$26,K421&lt;K$28,J$27,K421&lt;K$29,J$28,K421&lt;K$30,J$29,K421&lt;K$31,J$30,K421&lt;K$32,J$31,K421&lt;K$33,J$32,K421&lt;K$34,J$33,K421&lt;K$35,J$34,K421&lt;K$36,J$35,K421&lt;K$37,J$36,K421&lt;K$38,J$37,K421&lt;K$39,J$38,K421&lt;K$40,J$39,K421&lt;K$41,J$40,K421&lt;K$42,J$41,K421&lt;K$43,J$42,K421&lt;K$44,J$43,K421&lt;K$45,J$44,K421&lt;K$46,J$45,K421&lt;K$47,J$46,K421&gt;=K$47,J$47)</f>
        <v/>
      </c>
      <c r="K421" s="38" t="n">
        <v>371</v>
      </c>
      <c r="L421" s="31">
        <f>K421/52</f>
        <v/>
      </c>
      <c r="M421" s="39">
        <f>J421/1000000*52</f>
        <v/>
      </c>
      <c r="N421" s="33">
        <f>M421/$P$4+($I$22/$P$4)</f>
        <v/>
      </c>
      <c r="U421">
        <f>F420</f>
        <v/>
      </c>
      <c r="V421">
        <f>H420</f>
        <v/>
      </c>
      <c r="W421">
        <f>N420</f>
        <v/>
      </c>
    </row>
    <row r="422" ht="15.75" customHeight="1" s="40">
      <c r="C422" s="36">
        <f>_xlfn.IFS(E422&lt;E$24,0,E422&lt;E$26,C$24,E422&lt;E$28,C$26,E422&lt;E$30,C$28,E422&lt;E$32,C$30,E422&lt;E$34,C$32,E422&gt;=E$34,C$34)</f>
        <v/>
      </c>
      <c r="D422" s="37">
        <f>_xlfn.IFS(E422&lt;E$24,0,E422&lt;E$25,D$24,E422&lt;E$26,D$25,E422&lt;E$27,D$26,E422&lt;E$28,D$27,E422&lt;E$29,D$28,E422&lt;E$30,D$29,E422&lt;E$31,D$30,E422&lt;E$32,D$31,E422&lt;E$33,D$32,E422&lt;E$34,D$33,E422&lt;E$35,D$34,E422&gt;=E$35,D$35)</f>
        <v/>
      </c>
      <c r="E422" s="38" t="n">
        <v>372</v>
      </c>
      <c r="F422" s="31">
        <f>E422/52</f>
        <v/>
      </c>
      <c r="G422" s="39">
        <f>D422/1000000*52</f>
        <v/>
      </c>
      <c r="H422" s="33">
        <f>G422/$P$4+($C$22/$P$4)</f>
        <v/>
      </c>
      <c r="I422" s="36">
        <f>_xlfn.IFS(K422&lt;K$24,0,K422&lt;K$26,I$24,K422&lt;K$28,I$26,K422&lt;K$30,I$28,K422&lt;K$32,I$30,K422&lt;K$34,I$32,K422&lt;K$36,I$34,K422&lt;K$38,I$36,K422&lt;K$40,I$38,K422&lt;K$42,I$40,K422&lt;K$44,I$42,K422&lt;K$46,I$44,K422&gt;=K$46,I$46)</f>
        <v/>
      </c>
      <c r="J422" s="37">
        <f>_xlfn.IFS(K422&lt;K$24,0,K422&lt;K$25,J$24,K422&lt;K$26,J$25,K422&lt;K$27,J$26,K422&lt;K$28,J$27,K422&lt;K$29,J$28,K422&lt;K$30,J$29,K422&lt;K$31,J$30,K422&lt;K$32,J$31,K422&lt;K$33,J$32,K422&lt;K$34,J$33,K422&lt;K$35,J$34,K422&lt;K$36,J$35,K422&lt;K$37,J$36,K422&lt;K$38,J$37,K422&lt;K$39,J$38,K422&lt;K$40,J$39,K422&lt;K$41,J$40,K422&lt;K$42,J$41,K422&lt;K$43,J$42,K422&lt;K$44,J$43,K422&lt;K$45,J$44,K422&lt;K$46,J$45,K422&lt;K$47,J$46,K422&gt;=K$47,J$47)</f>
        <v/>
      </c>
      <c r="K422" s="38" t="n">
        <v>372</v>
      </c>
      <c r="L422" s="31">
        <f>K422/52</f>
        <v/>
      </c>
      <c r="M422" s="39">
        <f>J422/1000000*52</f>
        <v/>
      </c>
      <c r="N422" s="33">
        <f>M422/$P$4+($I$22/$P$4)</f>
        <v/>
      </c>
      <c r="U422">
        <f>F421</f>
        <v/>
      </c>
      <c r="V422">
        <f>H421</f>
        <v/>
      </c>
      <c r="W422">
        <f>N421</f>
        <v/>
      </c>
    </row>
    <row r="423" ht="15.75" customHeight="1" s="40">
      <c r="C423" s="36">
        <f>_xlfn.IFS(E423&lt;E$24,0,E423&lt;E$26,C$24,E423&lt;E$28,C$26,E423&lt;E$30,C$28,E423&lt;E$32,C$30,E423&lt;E$34,C$32,E423&gt;=E$34,C$34)</f>
        <v/>
      </c>
      <c r="D423" s="37">
        <f>_xlfn.IFS(E423&lt;E$24,0,E423&lt;E$25,D$24,E423&lt;E$26,D$25,E423&lt;E$27,D$26,E423&lt;E$28,D$27,E423&lt;E$29,D$28,E423&lt;E$30,D$29,E423&lt;E$31,D$30,E423&lt;E$32,D$31,E423&lt;E$33,D$32,E423&lt;E$34,D$33,E423&lt;E$35,D$34,E423&gt;=E$35,D$35)</f>
        <v/>
      </c>
      <c r="E423" s="38" t="n">
        <v>373</v>
      </c>
      <c r="F423" s="31">
        <f>E423/52</f>
        <v/>
      </c>
      <c r="G423" s="39">
        <f>D423/1000000*52</f>
        <v/>
      </c>
      <c r="H423" s="33">
        <f>G423/$P$4+($C$22/$P$4)</f>
        <v/>
      </c>
      <c r="I423" s="36">
        <f>_xlfn.IFS(K423&lt;K$24,0,K423&lt;K$26,I$24,K423&lt;K$28,I$26,K423&lt;K$30,I$28,K423&lt;K$32,I$30,K423&lt;K$34,I$32,K423&lt;K$36,I$34,K423&lt;K$38,I$36,K423&lt;K$40,I$38,K423&lt;K$42,I$40,K423&lt;K$44,I$42,K423&lt;K$46,I$44,K423&gt;=K$46,I$46)</f>
        <v/>
      </c>
      <c r="J423" s="37">
        <f>_xlfn.IFS(K423&lt;K$24,0,K423&lt;K$25,J$24,K423&lt;K$26,J$25,K423&lt;K$27,J$26,K423&lt;K$28,J$27,K423&lt;K$29,J$28,K423&lt;K$30,J$29,K423&lt;K$31,J$30,K423&lt;K$32,J$31,K423&lt;K$33,J$32,K423&lt;K$34,J$33,K423&lt;K$35,J$34,K423&lt;K$36,J$35,K423&lt;K$37,J$36,K423&lt;K$38,J$37,K423&lt;K$39,J$38,K423&lt;K$40,J$39,K423&lt;K$41,J$40,K423&lt;K$42,J$41,K423&lt;K$43,J$42,K423&lt;K$44,J$43,K423&lt;K$45,J$44,K423&lt;K$46,J$45,K423&lt;K$47,J$46,K423&gt;=K$47,J$47)</f>
        <v/>
      </c>
      <c r="K423" s="38" t="n">
        <v>373</v>
      </c>
      <c r="L423" s="31">
        <f>K423/52</f>
        <v/>
      </c>
      <c r="M423" s="39">
        <f>J423/1000000*52</f>
        <v/>
      </c>
      <c r="N423" s="33">
        <f>M423/$P$4+($I$22/$P$4)</f>
        <v/>
      </c>
      <c r="U423">
        <f>F422</f>
        <v/>
      </c>
      <c r="V423">
        <f>H422</f>
        <v/>
      </c>
      <c r="W423">
        <f>N422</f>
        <v/>
      </c>
    </row>
    <row r="424" ht="15.75" customHeight="1" s="40">
      <c r="C424" s="36">
        <f>_xlfn.IFS(E424&lt;E$24,0,E424&lt;E$26,C$24,E424&lt;E$28,C$26,E424&lt;E$30,C$28,E424&lt;E$32,C$30,E424&lt;E$34,C$32,E424&gt;=E$34,C$34)</f>
        <v/>
      </c>
      <c r="D424" s="37">
        <f>_xlfn.IFS(E424&lt;E$24,0,E424&lt;E$25,D$24,E424&lt;E$26,D$25,E424&lt;E$27,D$26,E424&lt;E$28,D$27,E424&lt;E$29,D$28,E424&lt;E$30,D$29,E424&lt;E$31,D$30,E424&lt;E$32,D$31,E424&lt;E$33,D$32,E424&lt;E$34,D$33,E424&lt;E$35,D$34,E424&gt;=E$35,D$35)</f>
        <v/>
      </c>
      <c r="E424" s="38" t="n">
        <v>374</v>
      </c>
      <c r="F424" s="31">
        <f>E424/52</f>
        <v/>
      </c>
      <c r="G424" s="39">
        <f>D424/1000000*52</f>
        <v/>
      </c>
      <c r="H424" s="33">
        <f>G424/$P$4+($C$22/$P$4)</f>
        <v/>
      </c>
      <c r="I424" s="36">
        <f>_xlfn.IFS(K424&lt;K$24,0,K424&lt;K$26,I$24,K424&lt;K$28,I$26,K424&lt;K$30,I$28,K424&lt;K$32,I$30,K424&lt;K$34,I$32,K424&lt;K$36,I$34,K424&lt;K$38,I$36,K424&lt;K$40,I$38,K424&lt;K$42,I$40,K424&lt;K$44,I$42,K424&lt;K$46,I$44,K424&gt;=K$46,I$46)</f>
        <v/>
      </c>
      <c r="J424" s="37">
        <f>_xlfn.IFS(K424&lt;K$24,0,K424&lt;K$25,J$24,K424&lt;K$26,J$25,K424&lt;K$27,J$26,K424&lt;K$28,J$27,K424&lt;K$29,J$28,K424&lt;K$30,J$29,K424&lt;K$31,J$30,K424&lt;K$32,J$31,K424&lt;K$33,J$32,K424&lt;K$34,J$33,K424&lt;K$35,J$34,K424&lt;K$36,J$35,K424&lt;K$37,J$36,K424&lt;K$38,J$37,K424&lt;K$39,J$38,K424&lt;K$40,J$39,K424&lt;K$41,J$40,K424&lt;K$42,J$41,K424&lt;K$43,J$42,K424&lt;K$44,J$43,K424&lt;K$45,J$44,K424&lt;K$46,J$45,K424&lt;K$47,J$46,K424&gt;=K$47,J$47)</f>
        <v/>
      </c>
      <c r="K424" s="38" t="n">
        <v>374</v>
      </c>
      <c r="L424" s="31">
        <f>K424/52</f>
        <v/>
      </c>
      <c r="M424" s="39">
        <f>J424/1000000*52</f>
        <v/>
      </c>
      <c r="N424" s="33">
        <f>M424/$P$4+($I$22/$P$4)</f>
        <v/>
      </c>
      <c r="U424">
        <f>F423</f>
        <v/>
      </c>
      <c r="V424">
        <f>H423</f>
        <v/>
      </c>
      <c r="W424">
        <f>N423</f>
        <v/>
      </c>
    </row>
    <row r="425" ht="15.75" customHeight="1" s="40">
      <c r="C425" s="36">
        <f>_xlfn.IFS(E425&lt;E$24,0,E425&lt;E$26,C$24,E425&lt;E$28,C$26,E425&lt;E$30,C$28,E425&lt;E$32,C$30,E425&lt;E$34,C$32,E425&gt;=E$34,C$34)</f>
        <v/>
      </c>
      <c r="D425" s="37">
        <f>_xlfn.IFS(E425&lt;E$24,0,E425&lt;E$25,D$24,E425&lt;E$26,D$25,E425&lt;E$27,D$26,E425&lt;E$28,D$27,E425&lt;E$29,D$28,E425&lt;E$30,D$29,E425&lt;E$31,D$30,E425&lt;E$32,D$31,E425&lt;E$33,D$32,E425&lt;E$34,D$33,E425&lt;E$35,D$34,E425&gt;=E$35,D$35)</f>
        <v/>
      </c>
      <c r="E425" s="38" t="n">
        <v>375</v>
      </c>
      <c r="F425" s="31">
        <f>E425/52</f>
        <v/>
      </c>
      <c r="G425" s="39">
        <f>D425/1000000*52</f>
        <v/>
      </c>
      <c r="H425" s="33">
        <f>G425/$P$4+($C$22/$P$4)</f>
        <v/>
      </c>
      <c r="I425" s="36">
        <f>_xlfn.IFS(K425&lt;K$24,0,K425&lt;K$26,I$24,K425&lt;K$28,I$26,K425&lt;K$30,I$28,K425&lt;K$32,I$30,K425&lt;K$34,I$32,K425&lt;K$36,I$34,K425&lt;K$38,I$36,K425&lt;K$40,I$38,K425&lt;K$42,I$40,K425&lt;K$44,I$42,K425&lt;K$46,I$44,K425&gt;=K$46,I$46)</f>
        <v/>
      </c>
      <c r="J425" s="37">
        <f>_xlfn.IFS(K425&lt;K$24,0,K425&lt;K$25,J$24,K425&lt;K$26,J$25,K425&lt;K$27,J$26,K425&lt;K$28,J$27,K425&lt;K$29,J$28,K425&lt;K$30,J$29,K425&lt;K$31,J$30,K425&lt;K$32,J$31,K425&lt;K$33,J$32,K425&lt;K$34,J$33,K425&lt;K$35,J$34,K425&lt;K$36,J$35,K425&lt;K$37,J$36,K425&lt;K$38,J$37,K425&lt;K$39,J$38,K425&lt;K$40,J$39,K425&lt;K$41,J$40,K425&lt;K$42,J$41,K425&lt;K$43,J$42,K425&lt;K$44,J$43,K425&lt;K$45,J$44,K425&lt;K$46,J$45,K425&lt;K$47,J$46,K425&gt;=K$47,J$47)</f>
        <v/>
      </c>
      <c r="K425" s="38" t="n">
        <v>375</v>
      </c>
      <c r="L425" s="31">
        <f>K425/52</f>
        <v/>
      </c>
      <c r="M425" s="39">
        <f>J425/1000000*52</f>
        <v/>
      </c>
      <c r="N425" s="33">
        <f>M425/$P$4+($I$22/$P$4)</f>
        <v/>
      </c>
      <c r="U425">
        <f>F424</f>
        <v/>
      </c>
      <c r="V425">
        <f>H424</f>
        <v/>
      </c>
      <c r="W425">
        <f>N424</f>
        <v/>
      </c>
    </row>
    <row r="426" ht="15.75" customHeight="1" s="40">
      <c r="C426" s="36">
        <f>_xlfn.IFS(E426&lt;E$24,0,E426&lt;E$26,C$24,E426&lt;E$28,C$26,E426&lt;E$30,C$28,E426&lt;E$32,C$30,E426&lt;E$34,C$32,E426&gt;=E$34,C$34)</f>
        <v/>
      </c>
      <c r="D426" s="37">
        <f>_xlfn.IFS(E426&lt;E$24,0,E426&lt;E$25,D$24,E426&lt;E$26,D$25,E426&lt;E$27,D$26,E426&lt;E$28,D$27,E426&lt;E$29,D$28,E426&lt;E$30,D$29,E426&lt;E$31,D$30,E426&lt;E$32,D$31,E426&lt;E$33,D$32,E426&lt;E$34,D$33,E426&lt;E$35,D$34,E426&gt;=E$35,D$35)</f>
        <v/>
      </c>
      <c r="E426" s="38" t="n">
        <v>376</v>
      </c>
      <c r="F426" s="31">
        <f>E426/52</f>
        <v/>
      </c>
      <c r="G426" s="39">
        <f>D426/1000000*52</f>
        <v/>
      </c>
      <c r="H426" s="33">
        <f>G426/$P$4+($C$22/$P$4)</f>
        <v/>
      </c>
      <c r="I426" s="36">
        <f>_xlfn.IFS(K426&lt;K$24,0,K426&lt;K$26,I$24,K426&lt;K$28,I$26,K426&lt;K$30,I$28,K426&lt;K$32,I$30,K426&lt;K$34,I$32,K426&lt;K$36,I$34,K426&lt;K$38,I$36,K426&lt;K$40,I$38,K426&lt;K$42,I$40,K426&lt;K$44,I$42,K426&lt;K$46,I$44,K426&gt;=K$46,I$46)</f>
        <v/>
      </c>
      <c r="J426" s="37">
        <f>_xlfn.IFS(K426&lt;K$24,0,K426&lt;K$25,J$24,K426&lt;K$26,J$25,K426&lt;K$27,J$26,K426&lt;K$28,J$27,K426&lt;K$29,J$28,K426&lt;K$30,J$29,K426&lt;K$31,J$30,K426&lt;K$32,J$31,K426&lt;K$33,J$32,K426&lt;K$34,J$33,K426&lt;K$35,J$34,K426&lt;K$36,J$35,K426&lt;K$37,J$36,K426&lt;K$38,J$37,K426&lt;K$39,J$38,K426&lt;K$40,J$39,K426&lt;K$41,J$40,K426&lt;K$42,J$41,K426&lt;K$43,J$42,K426&lt;K$44,J$43,K426&lt;K$45,J$44,K426&lt;K$46,J$45,K426&lt;K$47,J$46,K426&gt;=K$47,J$47)</f>
        <v/>
      </c>
      <c r="K426" s="38" t="n">
        <v>376</v>
      </c>
      <c r="L426" s="31">
        <f>K426/52</f>
        <v/>
      </c>
      <c r="M426" s="39">
        <f>J426/1000000*52</f>
        <v/>
      </c>
      <c r="N426" s="33">
        <f>M426/$P$4+($I$22/$P$4)</f>
        <v/>
      </c>
      <c r="U426">
        <f>F425</f>
        <v/>
      </c>
      <c r="V426">
        <f>H425</f>
        <v/>
      </c>
      <c r="W426">
        <f>N425</f>
        <v/>
      </c>
    </row>
    <row r="427" ht="15.75" customHeight="1" s="40">
      <c r="C427" s="36">
        <f>_xlfn.IFS(E427&lt;E$24,0,E427&lt;E$26,C$24,E427&lt;E$28,C$26,E427&lt;E$30,C$28,E427&lt;E$32,C$30,E427&lt;E$34,C$32,E427&gt;=E$34,C$34)</f>
        <v/>
      </c>
      <c r="D427" s="37">
        <f>_xlfn.IFS(E427&lt;E$24,0,E427&lt;E$25,D$24,E427&lt;E$26,D$25,E427&lt;E$27,D$26,E427&lt;E$28,D$27,E427&lt;E$29,D$28,E427&lt;E$30,D$29,E427&lt;E$31,D$30,E427&lt;E$32,D$31,E427&lt;E$33,D$32,E427&lt;E$34,D$33,E427&lt;E$35,D$34,E427&gt;=E$35,D$35)</f>
        <v/>
      </c>
      <c r="E427" s="38" t="n">
        <v>377</v>
      </c>
      <c r="F427" s="31">
        <f>E427/52</f>
        <v/>
      </c>
      <c r="G427" s="39">
        <f>D427/1000000*52</f>
        <v/>
      </c>
      <c r="H427" s="33">
        <f>G427/$P$4+($C$22/$P$4)</f>
        <v/>
      </c>
      <c r="I427" s="36">
        <f>_xlfn.IFS(K427&lt;K$24,0,K427&lt;K$26,I$24,K427&lt;K$28,I$26,K427&lt;K$30,I$28,K427&lt;K$32,I$30,K427&lt;K$34,I$32,K427&lt;K$36,I$34,K427&lt;K$38,I$36,K427&lt;K$40,I$38,K427&lt;K$42,I$40,K427&lt;K$44,I$42,K427&lt;K$46,I$44,K427&gt;=K$46,I$46)</f>
        <v/>
      </c>
      <c r="J427" s="37">
        <f>_xlfn.IFS(K427&lt;K$24,0,K427&lt;K$25,J$24,K427&lt;K$26,J$25,K427&lt;K$27,J$26,K427&lt;K$28,J$27,K427&lt;K$29,J$28,K427&lt;K$30,J$29,K427&lt;K$31,J$30,K427&lt;K$32,J$31,K427&lt;K$33,J$32,K427&lt;K$34,J$33,K427&lt;K$35,J$34,K427&lt;K$36,J$35,K427&lt;K$37,J$36,K427&lt;K$38,J$37,K427&lt;K$39,J$38,K427&lt;K$40,J$39,K427&lt;K$41,J$40,K427&lt;K$42,J$41,K427&lt;K$43,J$42,K427&lt;K$44,J$43,K427&lt;K$45,J$44,K427&lt;K$46,J$45,K427&lt;K$47,J$46,K427&gt;=K$47,J$47)</f>
        <v/>
      </c>
      <c r="K427" s="38" t="n">
        <v>377</v>
      </c>
      <c r="L427" s="31">
        <f>K427/52</f>
        <v/>
      </c>
      <c r="M427" s="39">
        <f>J427/1000000*52</f>
        <v/>
      </c>
      <c r="N427" s="33">
        <f>M427/$P$4+($I$22/$P$4)</f>
        <v/>
      </c>
      <c r="U427">
        <f>F426</f>
        <v/>
      </c>
      <c r="V427">
        <f>H426</f>
        <v/>
      </c>
      <c r="W427">
        <f>N426</f>
        <v/>
      </c>
    </row>
    <row r="428" ht="15.75" customHeight="1" s="40">
      <c r="C428" s="36">
        <f>_xlfn.IFS(E428&lt;E$24,0,E428&lt;E$26,C$24,E428&lt;E$28,C$26,E428&lt;E$30,C$28,E428&lt;E$32,C$30,E428&lt;E$34,C$32,E428&gt;=E$34,C$34)</f>
        <v/>
      </c>
      <c r="D428" s="37">
        <f>_xlfn.IFS(E428&lt;E$24,0,E428&lt;E$25,D$24,E428&lt;E$26,D$25,E428&lt;E$27,D$26,E428&lt;E$28,D$27,E428&lt;E$29,D$28,E428&lt;E$30,D$29,E428&lt;E$31,D$30,E428&lt;E$32,D$31,E428&lt;E$33,D$32,E428&lt;E$34,D$33,E428&lt;E$35,D$34,E428&gt;=E$35,D$35)</f>
        <v/>
      </c>
      <c r="E428" s="38" t="n">
        <v>378</v>
      </c>
      <c r="F428" s="31">
        <f>E428/52</f>
        <v/>
      </c>
      <c r="G428" s="39">
        <f>D428/1000000*52</f>
        <v/>
      </c>
      <c r="H428" s="33">
        <f>G428/$P$4+($C$22/$P$4)</f>
        <v/>
      </c>
      <c r="I428" s="36">
        <f>_xlfn.IFS(K428&lt;K$24,0,K428&lt;K$26,I$24,K428&lt;K$28,I$26,K428&lt;K$30,I$28,K428&lt;K$32,I$30,K428&lt;K$34,I$32,K428&lt;K$36,I$34,K428&lt;K$38,I$36,K428&lt;K$40,I$38,K428&lt;K$42,I$40,K428&lt;K$44,I$42,K428&lt;K$46,I$44,K428&gt;=K$46,I$46)</f>
        <v/>
      </c>
      <c r="J428" s="37">
        <f>_xlfn.IFS(K428&lt;K$24,0,K428&lt;K$25,J$24,K428&lt;K$26,J$25,K428&lt;K$27,J$26,K428&lt;K$28,J$27,K428&lt;K$29,J$28,K428&lt;K$30,J$29,K428&lt;K$31,J$30,K428&lt;K$32,J$31,K428&lt;K$33,J$32,K428&lt;K$34,J$33,K428&lt;K$35,J$34,K428&lt;K$36,J$35,K428&lt;K$37,J$36,K428&lt;K$38,J$37,K428&lt;K$39,J$38,K428&lt;K$40,J$39,K428&lt;K$41,J$40,K428&lt;K$42,J$41,K428&lt;K$43,J$42,K428&lt;K$44,J$43,K428&lt;K$45,J$44,K428&lt;K$46,J$45,K428&lt;K$47,J$46,K428&gt;=K$47,J$47)</f>
        <v/>
      </c>
      <c r="K428" s="38" t="n">
        <v>378</v>
      </c>
      <c r="L428" s="31">
        <f>K428/52</f>
        <v/>
      </c>
      <c r="M428" s="39">
        <f>J428/1000000*52</f>
        <v/>
      </c>
      <c r="N428" s="33">
        <f>M428/$P$4+($I$22/$P$4)</f>
        <v/>
      </c>
      <c r="U428">
        <f>F427</f>
        <v/>
      </c>
      <c r="V428">
        <f>H427</f>
        <v/>
      </c>
      <c r="W428">
        <f>N427</f>
        <v/>
      </c>
    </row>
    <row r="429" ht="15.75" customHeight="1" s="40">
      <c r="C429" s="36">
        <f>_xlfn.IFS(E429&lt;E$24,0,E429&lt;E$26,C$24,E429&lt;E$28,C$26,E429&lt;E$30,C$28,E429&lt;E$32,C$30,E429&lt;E$34,C$32,E429&gt;=E$34,C$34)</f>
        <v/>
      </c>
      <c r="D429" s="37">
        <f>_xlfn.IFS(E429&lt;E$24,0,E429&lt;E$25,D$24,E429&lt;E$26,D$25,E429&lt;E$27,D$26,E429&lt;E$28,D$27,E429&lt;E$29,D$28,E429&lt;E$30,D$29,E429&lt;E$31,D$30,E429&lt;E$32,D$31,E429&lt;E$33,D$32,E429&lt;E$34,D$33,E429&lt;E$35,D$34,E429&gt;=E$35,D$35)</f>
        <v/>
      </c>
      <c r="E429" s="38" t="n">
        <v>379</v>
      </c>
      <c r="F429" s="31">
        <f>E429/52</f>
        <v/>
      </c>
      <c r="G429" s="39">
        <f>D429/1000000*52</f>
        <v/>
      </c>
      <c r="H429" s="33">
        <f>G429/$P$4+($C$22/$P$4)</f>
        <v/>
      </c>
      <c r="I429" s="36">
        <f>_xlfn.IFS(K429&lt;K$24,0,K429&lt;K$26,I$24,K429&lt;K$28,I$26,K429&lt;K$30,I$28,K429&lt;K$32,I$30,K429&lt;K$34,I$32,K429&lt;K$36,I$34,K429&lt;K$38,I$36,K429&lt;K$40,I$38,K429&lt;K$42,I$40,K429&lt;K$44,I$42,K429&lt;K$46,I$44,K429&gt;=K$46,I$46)</f>
        <v/>
      </c>
      <c r="J429" s="37">
        <f>_xlfn.IFS(K429&lt;K$24,0,K429&lt;K$25,J$24,K429&lt;K$26,J$25,K429&lt;K$27,J$26,K429&lt;K$28,J$27,K429&lt;K$29,J$28,K429&lt;K$30,J$29,K429&lt;K$31,J$30,K429&lt;K$32,J$31,K429&lt;K$33,J$32,K429&lt;K$34,J$33,K429&lt;K$35,J$34,K429&lt;K$36,J$35,K429&lt;K$37,J$36,K429&lt;K$38,J$37,K429&lt;K$39,J$38,K429&lt;K$40,J$39,K429&lt;K$41,J$40,K429&lt;K$42,J$41,K429&lt;K$43,J$42,K429&lt;K$44,J$43,K429&lt;K$45,J$44,K429&lt;K$46,J$45,K429&lt;K$47,J$46,K429&gt;=K$47,J$47)</f>
        <v/>
      </c>
      <c r="K429" s="38" t="n">
        <v>379</v>
      </c>
      <c r="L429" s="31">
        <f>K429/52</f>
        <v/>
      </c>
      <c r="M429" s="39">
        <f>J429/1000000*52</f>
        <v/>
      </c>
      <c r="N429" s="33">
        <f>M429/$P$4+($I$22/$P$4)</f>
        <v/>
      </c>
      <c r="U429">
        <f>F428</f>
        <v/>
      </c>
      <c r="V429">
        <f>H428</f>
        <v/>
      </c>
      <c r="W429">
        <f>N428</f>
        <v/>
      </c>
    </row>
    <row r="430" ht="15.75" customHeight="1" s="40">
      <c r="C430" s="36">
        <f>_xlfn.IFS(E430&lt;E$24,0,E430&lt;E$26,C$24,E430&lt;E$28,C$26,E430&lt;E$30,C$28,E430&lt;E$32,C$30,E430&lt;E$34,C$32,E430&gt;=E$34,C$34)</f>
        <v/>
      </c>
      <c r="D430" s="37">
        <f>_xlfn.IFS(E430&lt;E$24,0,E430&lt;E$25,D$24,E430&lt;E$26,D$25,E430&lt;E$27,D$26,E430&lt;E$28,D$27,E430&lt;E$29,D$28,E430&lt;E$30,D$29,E430&lt;E$31,D$30,E430&lt;E$32,D$31,E430&lt;E$33,D$32,E430&lt;E$34,D$33,E430&lt;E$35,D$34,E430&gt;=E$35,D$35)</f>
        <v/>
      </c>
      <c r="E430" s="38" t="n">
        <v>380</v>
      </c>
      <c r="F430" s="31">
        <f>E430/52</f>
        <v/>
      </c>
      <c r="G430" s="39">
        <f>D430/1000000*52</f>
        <v/>
      </c>
      <c r="H430" s="33">
        <f>G430/$P$4+($C$22/$P$4)</f>
        <v/>
      </c>
      <c r="I430" s="36">
        <f>_xlfn.IFS(K430&lt;K$24,0,K430&lt;K$26,I$24,K430&lt;K$28,I$26,K430&lt;K$30,I$28,K430&lt;K$32,I$30,K430&lt;K$34,I$32,K430&lt;K$36,I$34,K430&lt;K$38,I$36,K430&lt;K$40,I$38,K430&lt;K$42,I$40,K430&lt;K$44,I$42,K430&lt;K$46,I$44,K430&gt;=K$46,I$46)</f>
        <v/>
      </c>
      <c r="J430" s="37">
        <f>_xlfn.IFS(K430&lt;K$24,0,K430&lt;K$25,J$24,K430&lt;K$26,J$25,K430&lt;K$27,J$26,K430&lt;K$28,J$27,K430&lt;K$29,J$28,K430&lt;K$30,J$29,K430&lt;K$31,J$30,K430&lt;K$32,J$31,K430&lt;K$33,J$32,K430&lt;K$34,J$33,K430&lt;K$35,J$34,K430&lt;K$36,J$35,K430&lt;K$37,J$36,K430&lt;K$38,J$37,K430&lt;K$39,J$38,K430&lt;K$40,J$39,K430&lt;K$41,J$40,K430&lt;K$42,J$41,K430&lt;K$43,J$42,K430&lt;K$44,J$43,K430&lt;K$45,J$44,K430&lt;K$46,J$45,K430&lt;K$47,J$46,K430&gt;=K$47,J$47)</f>
        <v/>
      </c>
      <c r="K430" s="38" t="n">
        <v>380</v>
      </c>
      <c r="L430" s="31">
        <f>K430/52</f>
        <v/>
      </c>
      <c r="M430" s="39">
        <f>J430/1000000*52</f>
        <v/>
      </c>
      <c r="N430" s="33">
        <f>M430/$P$4+($I$22/$P$4)</f>
        <v/>
      </c>
      <c r="U430">
        <f>F429</f>
        <v/>
      </c>
      <c r="V430">
        <f>H429</f>
        <v/>
      </c>
      <c r="W430">
        <f>N429</f>
        <v/>
      </c>
    </row>
    <row r="431" ht="15.75" customHeight="1" s="40">
      <c r="C431" s="36">
        <f>_xlfn.IFS(E431&lt;E$24,0,E431&lt;E$26,C$24,E431&lt;E$28,C$26,E431&lt;E$30,C$28,E431&lt;E$32,C$30,E431&lt;E$34,C$32,E431&gt;=E$34,C$34)</f>
        <v/>
      </c>
      <c r="D431" s="37">
        <f>_xlfn.IFS(E431&lt;E$24,0,E431&lt;E$25,D$24,E431&lt;E$26,D$25,E431&lt;E$27,D$26,E431&lt;E$28,D$27,E431&lt;E$29,D$28,E431&lt;E$30,D$29,E431&lt;E$31,D$30,E431&lt;E$32,D$31,E431&lt;E$33,D$32,E431&lt;E$34,D$33,E431&lt;E$35,D$34,E431&gt;=E$35,D$35)</f>
        <v/>
      </c>
      <c r="E431" s="38" t="n">
        <v>381</v>
      </c>
      <c r="F431" s="31">
        <f>E431/52</f>
        <v/>
      </c>
      <c r="G431" s="39">
        <f>D431/1000000*52</f>
        <v/>
      </c>
      <c r="H431" s="33">
        <f>G431/$P$4+($C$22/$P$4)</f>
        <v/>
      </c>
      <c r="I431" s="36">
        <f>_xlfn.IFS(K431&lt;K$24,0,K431&lt;K$26,I$24,K431&lt;K$28,I$26,K431&lt;K$30,I$28,K431&lt;K$32,I$30,K431&lt;K$34,I$32,K431&lt;K$36,I$34,K431&lt;K$38,I$36,K431&lt;K$40,I$38,K431&lt;K$42,I$40,K431&lt;K$44,I$42,K431&lt;K$46,I$44,K431&gt;=K$46,I$46)</f>
        <v/>
      </c>
      <c r="J431" s="37">
        <f>_xlfn.IFS(K431&lt;K$24,0,K431&lt;K$25,J$24,K431&lt;K$26,J$25,K431&lt;K$27,J$26,K431&lt;K$28,J$27,K431&lt;K$29,J$28,K431&lt;K$30,J$29,K431&lt;K$31,J$30,K431&lt;K$32,J$31,K431&lt;K$33,J$32,K431&lt;K$34,J$33,K431&lt;K$35,J$34,K431&lt;K$36,J$35,K431&lt;K$37,J$36,K431&lt;K$38,J$37,K431&lt;K$39,J$38,K431&lt;K$40,J$39,K431&lt;K$41,J$40,K431&lt;K$42,J$41,K431&lt;K$43,J$42,K431&lt;K$44,J$43,K431&lt;K$45,J$44,K431&lt;K$46,J$45,K431&lt;K$47,J$46,K431&gt;=K$47,J$47)</f>
        <v/>
      </c>
      <c r="K431" s="38" t="n">
        <v>381</v>
      </c>
      <c r="L431" s="31">
        <f>K431/52</f>
        <v/>
      </c>
      <c r="M431" s="39">
        <f>J431/1000000*52</f>
        <v/>
      </c>
      <c r="N431" s="33">
        <f>M431/$P$4+($I$22/$P$4)</f>
        <v/>
      </c>
      <c r="U431">
        <f>F430</f>
        <v/>
      </c>
      <c r="V431">
        <f>H430</f>
        <v/>
      </c>
      <c r="W431">
        <f>N430</f>
        <v/>
      </c>
    </row>
    <row r="432" ht="15.75" customHeight="1" s="40">
      <c r="C432" s="36">
        <f>_xlfn.IFS(E432&lt;E$24,0,E432&lt;E$26,C$24,E432&lt;E$28,C$26,E432&lt;E$30,C$28,E432&lt;E$32,C$30,E432&lt;E$34,C$32,E432&gt;=E$34,C$34)</f>
        <v/>
      </c>
      <c r="D432" s="37">
        <f>_xlfn.IFS(E432&lt;E$24,0,E432&lt;E$25,D$24,E432&lt;E$26,D$25,E432&lt;E$27,D$26,E432&lt;E$28,D$27,E432&lt;E$29,D$28,E432&lt;E$30,D$29,E432&lt;E$31,D$30,E432&lt;E$32,D$31,E432&lt;E$33,D$32,E432&lt;E$34,D$33,E432&lt;E$35,D$34,E432&gt;=E$35,D$35)</f>
        <v/>
      </c>
      <c r="E432" s="38" t="n">
        <v>382</v>
      </c>
      <c r="F432" s="31">
        <f>E432/52</f>
        <v/>
      </c>
      <c r="G432" s="39">
        <f>D432/1000000*52</f>
        <v/>
      </c>
      <c r="H432" s="33">
        <f>G432/$P$4+($C$22/$P$4)</f>
        <v/>
      </c>
      <c r="I432" s="36">
        <f>_xlfn.IFS(K432&lt;K$24,0,K432&lt;K$26,I$24,K432&lt;K$28,I$26,K432&lt;K$30,I$28,K432&lt;K$32,I$30,K432&lt;K$34,I$32,K432&lt;K$36,I$34,K432&lt;K$38,I$36,K432&lt;K$40,I$38,K432&lt;K$42,I$40,K432&lt;K$44,I$42,K432&lt;K$46,I$44,K432&gt;=K$46,I$46)</f>
        <v/>
      </c>
      <c r="J432" s="37">
        <f>_xlfn.IFS(K432&lt;K$24,0,K432&lt;K$25,J$24,K432&lt;K$26,J$25,K432&lt;K$27,J$26,K432&lt;K$28,J$27,K432&lt;K$29,J$28,K432&lt;K$30,J$29,K432&lt;K$31,J$30,K432&lt;K$32,J$31,K432&lt;K$33,J$32,K432&lt;K$34,J$33,K432&lt;K$35,J$34,K432&lt;K$36,J$35,K432&lt;K$37,J$36,K432&lt;K$38,J$37,K432&lt;K$39,J$38,K432&lt;K$40,J$39,K432&lt;K$41,J$40,K432&lt;K$42,J$41,K432&lt;K$43,J$42,K432&lt;K$44,J$43,K432&lt;K$45,J$44,K432&lt;K$46,J$45,K432&lt;K$47,J$46,K432&gt;=K$47,J$47)</f>
        <v/>
      </c>
      <c r="K432" s="38" t="n">
        <v>382</v>
      </c>
      <c r="L432" s="31">
        <f>K432/52</f>
        <v/>
      </c>
      <c r="M432" s="39">
        <f>J432/1000000*52</f>
        <v/>
      </c>
      <c r="N432" s="33">
        <f>M432/$P$4+($I$22/$P$4)</f>
        <v/>
      </c>
      <c r="U432">
        <f>F431</f>
        <v/>
      </c>
      <c r="V432">
        <f>H431</f>
        <v/>
      </c>
      <c r="W432">
        <f>N431</f>
        <v/>
      </c>
    </row>
    <row r="433" ht="15.75" customHeight="1" s="40">
      <c r="C433" s="36">
        <f>_xlfn.IFS(E433&lt;E$24,0,E433&lt;E$26,C$24,E433&lt;E$28,C$26,E433&lt;E$30,C$28,E433&lt;E$32,C$30,E433&lt;E$34,C$32,E433&gt;=E$34,C$34)</f>
        <v/>
      </c>
      <c r="D433" s="37">
        <f>_xlfn.IFS(E433&lt;E$24,0,E433&lt;E$25,D$24,E433&lt;E$26,D$25,E433&lt;E$27,D$26,E433&lt;E$28,D$27,E433&lt;E$29,D$28,E433&lt;E$30,D$29,E433&lt;E$31,D$30,E433&lt;E$32,D$31,E433&lt;E$33,D$32,E433&lt;E$34,D$33,E433&lt;E$35,D$34,E433&gt;=E$35,D$35)</f>
        <v/>
      </c>
      <c r="E433" s="38" t="n">
        <v>383</v>
      </c>
      <c r="F433" s="31">
        <f>E433/52</f>
        <v/>
      </c>
      <c r="G433" s="39">
        <f>D433/1000000*52</f>
        <v/>
      </c>
      <c r="H433" s="33">
        <f>G433/$P$4+($C$22/$P$4)</f>
        <v/>
      </c>
      <c r="I433" s="36">
        <f>_xlfn.IFS(K433&lt;K$24,0,K433&lt;K$26,I$24,K433&lt;K$28,I$26,K433&lt;K$30,I$28,K433&lt;K$32,I$30,K433&lt;K$34,I$32,K433&lt;K$36,I$34,K433&lt;K$38,I$36,K433&lt;K$40,I$38,K433&lt;K$42,I$40,K433&lt;K$44,I$42,K433&lt;K$46,I$44,K433&gt;=K$46,I$46)</f>
        <v/>
      </c>
      <c r="J433" s="37">
        <f>_xlfn.IFS(K433&lt;K$24,0,K433&lt;K$25,J$24,K433&lt;K$26,J$25,K433&lt;K$27,J$26,K433&lt;K$28,J$27,K433&lt;K$29,J$28,K433&lt;K$30,J$29,K433&lt;K$31,J$30,K433&lt;K$32,J$31,K433&lt;K$33,J$32,K433&lt;K$34,J$33,K433&lt;K$35,J$34,K433&lt;K$36,J$35,K433&lt;K$37,J$36,K433&lt;K$38,J$37,K433&lt;K$39,J$38,K433&lt;K$40,J$39,K433&lt;K$41,J$40,K433&lt;K$42,J$41,K433&lt;K$43,J$42,K433&lt;K$44,J$43,K433&lt;K$45,J$44,K433&lt;K$46,J$45,K433&lt;K$47,J$46,K433&gt;=K$47,J$47)</f>
        <v/>
      </c>
      <c r="K433" s="38" t="n">
        <v>383</v>
      </c>
      <c r="L433" s="31">
        <f>K433/52</f>
        <v/>
      </c>
      <c r="M433" s="39">
        <f>J433/1000000*52</f>
        <v/>
      </c>
      <c r="N433" s="33">
        <f>M433/$P$4+($I$22/$P$4)</f>
        <v/>
      </c>
      <c r="U433">
        <f>F432</f>
        <v/>
      </c>
      <c r="V433">
        <f>H432</f>
        <v/>
      </c>
      <c r="W433">
        <f>N432</f>
        <v/>
      </c>
    </row>
    <row r="434" ht="15.75" customHeight="1" s="40">
      <c r="C434" s="36">
        <f>_xlfn.IFS(E434&lt;E$24,0,E434&lt;E$26,C$24,E434&lt;E$28,C$26,E434&lt;E$30,C$28,E434&lt;E$32,C$30,E434&lt;E$34,C$32,E434&gt;=E$34,C$34)</f>
        <v/>
      </c>
      <c r="D434" s="37">
        <f>_xlfn.IFS(E434&lt;E$24,0,E434&lt;E$25,D$24,E434&lt;E$26,D$25,E434&lt;E$27,D$26,E434&lt;E$28,D$27,E434&lt;E$29,D$28,E434&lt;E$30,D$29,E434&lt;E$31,D$30,E434&lt;E$32,D$31,E434&lt;E$33,D$32,E434&lt;E$34,D$33,E434&lt;E$35,D$34,E434&gt;=E$35,D$35)</f>
        <v/>
      </c>
      <c r="E434" s="38" t="n">
        <v>384</v>
      </c>
      <c r="F434" s="31">
        <f>E434/52</f>
        <v/>
      </c>
      <c r="G434" s="39">
        <f>D434/1000000*52</f>
        <v/>
      </c>
      <c r="H434" s="33">
        <f>G434/$P$4+($C$22/$P$4)</f>
        <v/>
      </c>
      <c r="I434" s="36">
        <f>_xlfn.IFS(K434&lt;K$24,0,K434&lt;K$26,I$24,K434&lt;K$28,I$26,K434&lt;K$30,I$28,K434&lt;K$32,I$30,K434&lt;K$34,I$32,K434&lt;K$36,I$34,K434&lt;K$38,I$36,K434&lt;K$40,I$38,K434&lt;K$42,I$40,K434&lt;K$44,I$42,K434&lt;K$46,I$44,K434&gt;=K$46,I$46)</f>
        <v/>
      </c>
      <c r="J434" s="37">
        <f>_xlfn.IFS(K434&lt;K$24,0,K434&lt;K$25,J$24,K434&lt;K$26,J$25,K434&lt;K$27,J$26,K434&lt;K$28,J$27,K434&lt;K$29,J$28,K434&lt;K$30,J$29,K434&lt;K$31,J$30,K434&lt;K$32,J$31,K434&lt;K$33,J$32,K434&lt;K$34,J$33,K434&lt;K$35,J$34,K434&lt;K$36,J$35,K434&lt;K$37,J$36,K434&lt;K$38,J$37,K434&lt;K$39,J$38,K434&lt;K$40,J$39,K434&lt;K$41,J$40,K434&lt;K$42,J$41,K434&lt;K$43,J$42,K434&lt;K$44,J$43,K434&lt;K$45,J$44,K434&lt;K$46,J$45,K434&lt;K$47,J$46,K434&gt;=K$47,J$47)</f>
        <v/>
      </c>
      <c r="K434" s="38" t="n">
        <v>384</v>
      </c>
      <c r="L434" s="31">
        <f>K434/52</f>
        <v/>
      </c>
      <c r="M434" s="39">
        <f>J434/1000000*52</f>
        <v/>
      </c>
      <c r="N434" s="33">
        <f>M434/$P$4+($I$22/$P$4)</f>
        <v/>
      </c>
      <c r="U434">
        <f>F433</f>
        <v/>
      </c>
      <c r="V434">
        <f>H433</f>
        <v/>
      </c>
      <c r="W434">
        <f>N433</f>
        <v/>
      </c>
    </row>
    <row r="435" ht="15.75" customHeight="1" s="40">
      <c r="C435" s="36">
        <f>_xlfn.IFS(E435&lt;E$24,0,E435&lt;E$26,C$24,E435&lt;E$28,C$26,E435&lt;E$30,C$28,E435&lt;E$32,C$30,E435&lt;E$34,C$32,E435&gt;=E$34,C$34)</f>
        <v/>
      </c>
      <c r="D435" s="37">
        <f>_xlfn.IFS(E435&lt;E$24,0,E435&lt;E$25,D$24,E435&lt;E$26,D$25,E435&lt;E$27,D$26,E435&lt;E$28,D$27,E435&lt;E$29,D$28,E435&lt;E$30,D$29,E435&lt;E$31,D$30,E435&lt;E$32,D$31,E435&lt;E$33,D$32,E435&lt;E$34,D$33,E435&lt;E$35,D$34,E435&gt;=E$35,D$35)</f>
        <v/>
      </c>
      <c r="E435" s="38" t="n">
        <v>385</v>
      </c>
      <c r="F435" s="31">
        <f>E435/52</f>
        <v/>
      </c>
      <c r="G435" s="39">
        <f>D435/1000000*52</f>
        <v/>
      </c>
      <c r="H435" s="33">
        <f>G435/$P$4+($C$22/$P$4)</f>
        <v/>
      </c>
      <c r="I435" s="36">
        <f>_xlfn.IFS(K435&lt;K$24,0,K435&lt;K$26,I$24,K435&lt;K$28,I$26,K435&lt;K$30,I$28,K435&lt;K$32,I$30,K435&lt;K$34,I$32,K435&lt;K$36,I$34,K435&lt;K$38,I$36,K435&lt;K$40,I$38,K435&lt;K$42,I$40,K435&lt;K$44,I$42,K435&lt;K$46,I$44,K435&gt;=K$46,I$46)</f>
        <v/>
      </c>
      <c r="J435" s="37">
        <f>_xlfn.IFS(K435&lt;K$24,0,K435&lt;K$25,J$24,K435&lt;K$26,J$25,K435&lt;K$27,J$26,K435&lt;K$28,J$27,K435&lt;K$29,J$28,K435&lt;K$30,J$29,K435&lt;K$31,J$30,K435&lt;K$32,J$31,K435&lt;K$33,J$32,K435&lt;K$34,J$33,K435&lt;K$35,J$34,K435&lt;K$36,J$35,K435&lt;K$37,J$36,K435&lt;K$38,J$37,K435&lt;K$39,J$38,K435&lt;K$40,J$39,K435&lt;K$41,J$40,K435&lt;K$42,J$41,K435&lt;K$43,J$42,K435&lt;K$44,J$43,K435&lt;K$45,J$44,K435&lt;K$46,J$45,K435&lt;K$47,J$46,K435&gt;=K$47,J$47)</f>
        <v/>
      </c>
      <c r="K435" s="38" t="n">
        <v>385</v>
      </c>
      <c r="L435" s="31">
        <f>K435/52</f>
        <v/>
      </c>
      <c r="M435" s="39">
        <f>J435/1000000*52</f>
        <v/>
      </c>
      <c r="N435" s="33">
        <f>M435/$P$4+($I$22/$P$4)</f>
        <v/>
      </c>
      <c r="U435">
        <f>F434</f>
        <v/>
      </c>
      <c r="V435">
        <f>H434</f>
        <v/>
      </c>
      <c r="W435">
        <f>N434</f>
        <v/>
      </c>
    </row>
    <row r="436" ht="15.75" customHeight="1" s="40">
      <c r="C436" s="36">
        <f>_xlfn.IFS(E436&lt;E$24,0,E436&lt;E$26,C$24,E436&lt;E$28,C$26,E436&lt;E$30,C$28,E436&lt;E$32,C$30,E436&lt;E$34,C$32,E436&gt;=E$34,C$34)</f>
        <v/>
      </c>
      <c r="D436" s="37">
        <f>_xlfn.IFS(E436&lt;E$24,0,E436&lt;E$25,D$24,E436&lt;E$26,D$25,E436&lt;E$27,D$26,E436&lt;E$28,D$27,E436&lt;E$29,D$28,E436&lt;E$30,D$29,E436&lt;E$31,D$30,E436&lt;E$32,D$31,E436&lt;E$33,D$32,E436&lt;E$34,D$33,E436&lt;E$35,D$34,E436&gt;=E$35,D$35)</f>
        <v/>
      </c>
      <c r="E436" s="38" t="n">
        <v>386</v>
      </c>
      <c r="F436" s="31">
        <f>E436/52</f>
        <v/>
      </c>
      <c r="G436" s="39">
        <f>D436/1000000*52</f>
        <v/>
      </c>
      <c r="H436" s="33">
        <f>G436/$P$4+($C$22/$P$4)</f>
        <v/>
      </c>
      <c r="I436" s="36">
        <f>_xlfn.IFS(K436&lt;K$24,0,K436&lt;K$26,I$24,K436&lt;K$28,I$26,K436&lt;K$30,I$28,K436&lt;K$32,I$30,K436&lt;K$34,I$32,K436&lt;K$36,I$34,K436&lt;K$38,I$36,K436&lt;K$40,I$38,K436&lt;K$42,I$40,K436&lt;K$44,I$42,K436&lt;K$46,I$44,K436&gt;=K$46,I$46)</f>
        <v/>
      </c>
      <c r="J436" s="37">
        <f>_xlfn.IFS(K436&lt;K$24,0,K436&lt;K$25,J$24,K436&lt;K$26,J$25,K436&lt;K$27,J$26,K436&lt;K$28,J$27,K436&lt;K$29,J$28,K436&lt;K$30,J$29,K436&lt;K$31,J$30,K436&lt;K$32,J$31,K436&lt;K$33,J$32,K436&lt;K$34,J$33,K436&lt;K$35,J$34,K436&lt;K$36,J$35,K436&lt;K$37,J$36,K436&lt;K$38,J$37,K436&lt;K$39,J$38,K436&lt;K$40,J$39,K436&lt;K$41,J$40,K436&lt;K$42,J$41,K436&lt;K$43,J$42,K436&lt;K$44,J$43,K436&lt;K$45,J$44,K436&lt;K$46,J$45,K436&lt;K$47,J$46,K436&gt;=K$47,J$47)</f>
        <v/>
      </c>
      <c r="K436" s="38" t="n">
        <v>386</v>
      </c>
      <c r="L436" s="31">
        <f>K436/52</f>
        <v/>
      </c>
      <c r="M436" s="39">
        <f>J436/1000000*52</f>
        <v/>
      </c>
      <c r="N436" s="33">
        <f>M436/$P$4+($I$22/$P$4)</f>
        <v/>
      </c>
      <c r="U436">
        <f>F435</f>
        <v/>
      </c>
      <c r="V436">
        <f>H435</f>
        <v/>
      </c>
      <c r="W436">
        <f>N435</f>
        <v/>
      </c>
    </row>
    <row r="437" ht="15.75" customHeight="1" s="40">
      <c r="C437" s="36">
        <f>_xlfn.IFS(E437&lt;E$24,0,E437&lt;E$26,C$24,E437&lt;E$28,C$26,E437&lt;E$30,C$28,E437&lt;E$32,C$30,E437&lt;E$34,C$32,E437&gt;=E$34,C$34)</f>
        <v/>
      </c>
      <c r="D437" s="37">
        <f>_xlfn.IFS(E437&lt;E$24,0,E437&lt;E$25,D$24,E437&lt;E$26,D$25,E437&lt;E$27,D$26,E437&lt;E$28,D$27,E437&lt;E$29,D$28,E437&lt;E$30,D$29,E437&lt;E$31,D$30,E437&lt;E$32,D$31,E437&lt;E$33,D$32,E437&lt;E$34,D$33,E437&lt;E$35,D$34,E437&gt;=E$35,D$35)</f>
        <v/>
      </c>
      <c r="E437" s="38" t="n">
        <v>387</v>
      </c>
      <c r="F437" s="31">
        <f>E437/52</f>
        <v/>
      </c>
      <c r="G437" s="39">
        <f>D437/1000000*52</f>
        <v/>
      </c>
      <c r="H437" s="33">
        <f>G437/$P$4+($C$22/$P$4)</f>
        <v/>
      </c>
      <c r="I437" s="36">
        <f>_xlfn.IFS(K437&lt;K$24,0,K437&lt;K$26,I$24,K437&lt;K$28,I$26,K437&lt;K$30,I$28,K437&lt;K$32,I$30,K437&lt;K$34,I$32,K437&lt;K$36,I$34,K437&lt;K$38,I$36,K437&lt;K$40,I$38,K437&lt;K$42,I$40,K437&lt;K$44,I$42,K437&lt;K$46,I$44,K437&gt;=K$46,I$46)</f>
        <v/>
      </c>
      <c r="J437" s="37">
        <f>_xlfn.IFS(K437&lt;K$24,0,K437&lt;K$25,J$24,K437&lt;K$26,J$25,K437&lt;K$27,J$26,K437&lt;K$28,J$27,K437&lt;K$29,J$28,K437&lt;K$30,J$29,K437&lt;K$31,J$30,K437&lt;K$32,J$31,K437&lt;K$33,J$32,K437&lt;K$34,J$33,K437&lt;K$35,J$34,K437&lt;K$36,J$35,K437&lt;K$37,J$36,K437&lt;K$38,J$37,K437&lt;K$39,J$38,K437&lt;K$40,J$39,K437&lt;K$41,J$40,K437&lt;K$42,J$41,K437&lt;K$43,J$42,K437&lt;K$44,J$43,K437&lt;K$45,J$44,K437&lt;K$46,J$45,K437&lt;K$47,J$46,K437&gt;=K$47,J$47)</f>
        <v/>
      </c>
      <c r="K437" s="38" t="n">
        <v>387</v>
      </c>
      <c r="L437" s="31">
        <f>K437/52</f>
        <v/>
      </c>
      <c r="M437" s="39">
        <f>J437/1000000*52</f>
        <v/>
      </c>
      <c r="N437" s="33">
        <f>M437/$P$4+($I$22/$P$4)</f>
        <v/>
      </c>
      <c r="U437">
        <f>F436</f>
        <v/>
      </c>
      <c r="V437">
        <f>H436</f>
        <v/>
      </c>
      <c r="W437">
        <f>N436</f>
        <v/>
      </c>
    </row>
    <row r="438" ht="15.75" customHeight="1" s="40">
      <c r="C438" s="36">
        <f>_xlfn.IFS(E438&lt;E$24,0,E438&lt;E$26,C$24,E438&lt;E$28,C$26,E438&lt;E$30,C$28,E438&lt;E$32,C$30,E438&lt;E$34,C$32,E438&gt;=E$34,C$34)</f>
        <v/>
      </c>
      <c r="D438" s="37">
        <f>_xlfn.IFS(E438&lt;E$24,0,E438&lt;E$25,D$24,E438&lt;E$26,D$25,E438&lt;E$27,D$26,E438&lt;E$28,D$27,E438&lt;E$29,D$28,E438&lt;E$30,D$29,E438&lt;E$31,D$30,E438&lt;E$32,D$31,E438&lt;E$33,D$32,E438&lt;E$34,D$33,E438&lt;E$35,D$34,E438&gt;=E$35,D$35)</f>
        <v/>
      </c>
      <c r="E438" s="38" t="n">
        <v>388</v>
      </c>
      <c r="F438" s="31">
        <f>E438/52</f>
        <v/>
      </c>
      <c r="G438" s="39">
        <f>D438/1000000*52</f>
        <v/>
      </c>
      <c r="H438" s="33">
        <f>G438/$P$4+($C$22/$P$4)</f>
        <v/>
      </c>
      <c r="I438" s="36">
        <f>_xlfn.IFS(K438&lt;K$24,0,K438&lt;K$26,I$24,K438&lt;K$28,I$26,K438&lt;K$30,I$28,K438&lt;K$32,I$30,K438&lt;K$34,I$32,K438&lt;K$36,I$34,K438&lt;K$38,I$36,K438&lt;K$40,I$38,K438&lt;K$42,I$40,K438&lt;K$44,I$42,K438&lt;K$46,I$44,K438&gt;=K$46,I$46)</f>
        <v/>
      </c>
      <c r="J438" s="37">
        <f>_xlfn.IFS(K438&lt;K$24,0,K438&lt;K$25,J$24,K438&lt;K$26,J$25,K438&lt;K$27,J$26,K438&lt;K$28,J$27,K438&lt;K$29,J$28,K438&lt;K$30,J$29,K438&lt;K$31,J$30,K438&lt;K$32,J$31,K438&lt;K$33,J$32,K438&lt;K$34,J$33,K438&lt;K$35,J$34,K438&lt;K$36,J$35,K438&lt;K$37,J$36,K438&lt;K$38,J$37,K438&lt;K$39,J$38,K438&lt;K$40,J$39,K438&lt;K$41,J$40,K438&lt;K$42,J$41,K438&lt;K$43,J$42,K438&lt;K$44,J$43,K438&lt;K$45,J$44,K438&lt;K$46,J$45,K438&lt;K$47,J$46,K438&gt;=K$47,J$47)</f>
        <v/>
      </c>
      <c r="K438" s="38" t="n">
        <v>388</v>
      </c>
      <c r="L438" s="31">
        <f>K438/52</f>
        <v/>
      </c>
      <c r="M438" s="39">
        <f>J438/1000000*52</f>
        <v/>
      </c>
      <c r="N438" s="33">
        <f>M438/$P$4+($I$22/$P$4)</f>
        <v/>
      </c>
      <c r="U438">
        <f>F437</f>
        <v/>
      </c>
      <c r="V438">
        <f>H437</f>
        <v/>
      </c>
      <c r="W438">
        <f>N437</f>
        <v/>
      </c>
    </row>
    <row r="439" ht="15.75" customHeight="1" s="40">
      <c r="C439" s="36">
        <f>_xlfn.IFS(E439&lt;E$24,0,E439&lt;E$26,C$24,E439&lt;E$28,C$26,E439&lt;E$30,C$28,E439&lt;E$32,C$30,E439&lt;E$34,C$32,E439&gt;=E$34,C$34)</f>
        <v/>
      </c>
      <c r="D439" s="37">
        <f>_xlfn.IFS(E439&lt;E$24,0,E439&lt;E$25,D$24,E439&lt;E$26,D$25,E439&lt;E$27,D$26,E439&lt;E$28,D$27,E439&lt;E$29,D$28,E439&lt;E$30,D$29,E439&lt;E$31,D$30,E439&lt;E$32,D$31,E439&lt;E$33,D$32,E439&lt;E$34,D$33,E439&lt;E$35,D$34,E439&gt;=E$35,D$35)</f>
        <v/>
      </c>
      <c r="E439" s="38" t="n">
        <v>389</v>
      </c>
      <c r="F439" s="31">
        <f>E439/52</f>
        <v/>
      </c>
      <c r="G439" s="39">
        <f>D439/1000000*52</f>
        <v/>
      </c>
      <c r="H439" s="33">
        <f>G439/$P$4+($C$22/$P$4)</f>
        <v/>
      </c>
      <c r="I439" s="36">
        <f>_xlfn.IFS(K439&lt;K$24,0,K439&lt;K$26,I$24,K439&lt;K$28,I$26,K439&lt;K$30,I$28,K439&lt;K$32,I$30,K439&lt;K$34,I$32,K439&lt;K$36,I$34,K439&lt;K$38,I$36,K439&lt;K$40,I$38,K439&lt;K$42,I$40,K439&lt;K$44,I$42,K439&lt;K$46,I$44,K439&gt;=K$46,I$46)</f>
        <v/>
      </c>
      <c r="J439" s="37">
        <f>_xlfn.IFS(K439&lt;K$24,0,K439&lt;K$25,J$24,K439&lt;K$26,J$25,K439&lt;K$27,J$26,K439&lt;K$28,J$27,K439&lt;K$29,J$28,K439&lt;K$30,J$29,K439&lt;K$31,J$30,K439&lt;K$32,J$31,K439&lt;K$33,J$32,K439&lt;K$34,J$33,K439&lt;K$35,J$34,K439&lt;K$36,J$35,K439&lt;K$37,J$36,K439&lt;K$38,J$37,K439&lt;K$39,J$38,K439&lt;K$40,J$39,K439&lt;K$41,J$40,K439&lt;K$42,J$41,K439&lt;K$43,J$42,K439&lt;K$44,J$43,K439&lt;K$45,J$44,K439&lt;K$46,J$45,K439&lt;K$47,J$46,K439&gt;=K$47,J$47)</f>
        <v/>
      </c>
      <c r="K439" s="38" t="n">
        <v>389</v>
      </c>
      <c r="L439" s="31">
        <f>K439/52</f>
        <v/>
      </c>
      <c r="M439" s="39">
        <f>J439/1000000*52</f>
        <v/>
      </c>
      <c r="N439" s="33">
        <f>M439/$P$4+($I$22/$P$4)</f>
        <v/>
      </c>
      <c r="U439">
        <f>F438</f>
        <v/>
      </c>
      <c r="V439">
        <f>H438</f>
        <v/>
      </c>
      <c r="W439">
        <f>N438</f>
        <v/>
      </c>
    </row>
    <row r="440" ht="15.75" customHeight="1" s="40">
      <c r="C440" s="36">
        <f>_xlfn.IFS(E440&lt;E$24,0,E440&lt;E$26,C$24,E440&lt;E$28,C$26,E440&lt;E$30,C$28,E440&lt;E$32,C$30,E440&lt;E$34,C$32,E440&gt;=E$34,C$34)</f>
        <v/>
      </c>
      <c r="D440" s="37">
        <f>_xlfn.IFS(E440&lt;E$24,0,E440&lt;E$25,D$24,E440&lt;E$26,D$25,E440&lt;E$27,D$26,E440&lt;E$28,D$27,E440&lt;E$29,D$28,E440&lt;E$30,D$29,E440&lt;E$31,D$30,E440&lt;E$32,D$31,E440&lt;E$33,D$32,E440&lt;E$34,D$33,E440&lt;E$35,D$34,E440&gt;=E$35,D$35)</f>
        <v/>
      </c>
      <c r="E440" s="38" t="n">
        <v>390</v>
      </c>
      <c r="F440" s="31">
        <f>E440/52</f>
        <v/>
      </c>
      <c r="G440" s="39">
        <f>D440/1000000*52</f>
        <v/>
      </c>
      <c r="H440" s="33">
        <f>G440/$P$4+($C$22/$P$4)</f>
        <v/>
      </c>
      <c r="I440" s="36">
        <f>_xlfn.IFS(K440&lt;K$24,0,K440&lt;K$26,I$24,K440&lt;K$28,I$26,K440&lt;K$30,I$28,K440&lt;K$32,I$30,K440&lt;K$34,I$32,K440&lt;K$36,I$34,K440&lt;K$38,I$36,K440&lt;K$40,I$38,K440&lt;K$42,I$40,K440&lt;K$44,I$42,K440&lt;K$46,I$44,K440&gt;=K$46,I$46)</f>
        <v/>
      </c>
      <c r="J440" s="37">
        <f>_xlfn.IFS(K440&lt;K$24,0,K440&lt;K$25,J$24,K440&lt;K$26,J$25,K440&lt;K$27,J$26,K440&lt;K$28,J$27,K440&lt;K$29,J$28,K440&lt;K$30,J$29,K440&lt;K$31,J$30,K440&lt;K$32,J$31,K440&lt;K$33,J$32,K440&lt;K$34,J$33,K440&lt;K$35,J$34,K440&lt;K$36,J$35,K440&lt;K$37,J$36,K440&lt;K$38,J$37,K440&lt;K$39,J$38,K440&lt;K$40,J$39,K440&lt;K$41,J$40,K440&lt;K$42,J$41,K440&lt;K$43,J$42,K440&lt;K$44,J$43,K440&lt;K$45,J$44,K440&lt;K$46,J$45,K440&lt;K$47,J$46,K440&gt;=K$47,J$47)</f>
        <v/>
      </c>
      <c r="K440" s="38" t="n">
        <v>390</v>
      </c>
      <c r="L440" s="31">
        <f>K440/52</f>
        <v/>
      </c>
      <c r="M440" s="39">
        <f>J440/1000000*52</f>
        <v/>
      </c>
      <c r="N440" s="33">
        <f>M440/$P$4+($I$22/$P$4)</f>
        <v/>
      </c>
      <c r="U440">
        <f>F439</f>
        <v/>
      </c>
      <c r="V440">
        <f>H439</f>
        <v/>
      </c>
      <c r="W440">
        <f>N439</f>
        <v/>
      </c>
    </row>
    <row r="441" ht="15.75" customHeight="1" s="40">
      <c r="C441" s="36">
        <f>_xlfn.IFS(E441&lt;E$24,0,E441&lt;E$26,C$24,E441&lt;E$28,C$26,E441&lt;E$30,C$28,E441&lt;E$32,C$30,E441&lt;E$34,C$32,E441&gt;=E$34,C$34)</f>
        <v/>
      </c>
      <c r="D441" s="37">
        <f>_xlfn.IFS(E441&lt;E$24,0,E441&lt;E$25,D$24,E441&lt;E$26,D$25,E441&lt;E$27,D$26,E441&lt;E$28,D$27,E441&lt;E$29,D$28,E441&lt;E$30,D$29,E441&lt;E$31,D$30,E441&lt;E$32,D$31,E441&lt;E$33,D$32,E441&lt;E$34,D$33,E441&lt;E$35,D$34,E441&gt;=E$35,D$35)</f>
        <v/>
      </c>
      <c r="E441" s="38" t="n">
        <v>391</v>
      </c>
      <c r="F441" s="31">
        <f>E441/52</f>
        <v/>
      </c>
      <c r="G441" s="39">
        <f>D441/1000000*52</f>
        <v/>
      </c>
      <c r="H441" s="33">
        <f>G441/$P$4+($C$22/$P$4)</f>
        <v/>
      </c>
      <c r="I441" s="36">
        <f>_xlfn.IFS(K441&lt;K$24,0,K441&lt;K$26,I$24,K441&lt;K$28,I$26,K441&lt;K$30,I$28,K441&lt;K$32,I$30,K441&lt;K$34,I$32,K441&lt;K$36,I$34,K441&lt;K$38,I$36,K441&lt;K$40,I$38,K441&lt;K$42,I$40,K441&lt;K$44,I$42,K441&lt;K$46,I$44,K441&gt;=K$46,I$46)</f>
        <v/>
      </c>
      <c r="J441" s="37">
        <f>_xlfn.IFS(K441&lt;K$24,0,K441&lt;K$25,J$24,K441&lt;K$26,J$25,K441&lt;K$27,J$26,K441&lt;K$28,J$27,K441&lt;K$29,J$28,K441&lt;K$30,J$29,K441&lt;K$31,J$30,K441&lt;K$32,J$31,K441&lt;K$33,J$32,K441&lt;K$34,J$33,K441&lt;K$35,J$34,K441&lt;K$36,J$35,K441&lt;K$37,J$36,K441&lt;K$38,J$37,K441&lt;K$39,J$38,K441&lt;K$40,J$39,K441&lt;K$41,J$40,K441&lt;K$42,J$41,K441&lt;K$43,J$42,K441&lt;K$44,J$43,K441&lt;K$45,J$44,K441&lt;K$46,J$45,K441&lt;K$47,J$46,K441&gt;=K$47,J$47)</f>
        <v/>
      </c>
      <c r="K441" s="38" t="n">
        <v>391</v>
      </c>
      <c r="L441" s="31">
        <f>K441/52</f>
        <v/>
      </c>
      <c r="M441" s="39">
        <f>J441/1000000*52</f>
        <v/>
      </c>
      <c r="N441" s="33">
        <f>M441/$P$4+($I$22/$P$4)</f>
        <v/>
      </c>
      <c r="U441">
        <f>F440</f>
        <v/>
      </c>
      <c r="V441">
        <f>H440</f>
        <v/>
      </c>
      <c r="W441">
        <f>N440</f>
        <v/>
      </c>
    </row>
    <row r="442" ht="15.75" customHeight="1" s="40">
      <c r="C442" s="36">
        <f>_xlfn.IFS(E442&lt;E$24,0,E442&lt;E$26,C$24,E442&lt;E$28,C$26,E442&lt;E$30,C$28,E442&lt;E$32,C$30,E442&lt;E$34,C$32,E442&gt;=E$34,C$34)</f>
        <v/>
      </c>
      <c r="D442" s="37">
        <f>_xlfn.IFS(E442&lt;E$24,0,E442&lt;E$25,D$24,E442&lt;E$26,D$25,E442&lt;E$27,D$26,E442&lt;E$28,D$27,E442&lt;E$29,D$28,E442&lt;E$30,D$29,E442&lt;E$31,D$30,E442&lt;E$32,D$31,E442&lt;E$33,D$32,E442&lt;E$34,D$33,E442&lt;E$35,D$34,E442&gt;=E$35,D$35)</f>
        <v/>
      </c>
      <c r="E442" s="38" t="n">
        <v>392</v>
      </c>
      <c r="F442" s="31">
        <f>E442/52</f>
        <v/>
      </c>
      <c r="G442" s="39">
        <f>D442/1000000*52</f>
        <v/>
      </c>
      <c r="H442" s="33">
        <f>G442/$P$4+($C$22/$P$4)</f>
        <v/>
      </c>
      <c r="I442" s="36">
        <f>_xlfn.IFS(K442&lt;K$24,0,K442&lt;K$26,I$24,K442&lt;K$28,I$26,K442&lt;K$30,I$28,K442&lt;K$32,I$30,K442&lt;K$34,I$32,K442&lt;K$36,I$34,K442&lt;K$38,I$36,K442&lt;K$40,I$38,K442&lt;K$42,I$40,K442&lt;K$44,I$42,K442&lt;K$46,I$44,K442&gt;=K$46,I$46)</f>
        <v/>
      </c>
      <c r="J442" s="37">
        <f>_xlfn.IFS(K442&lt;K$24,0,K442&lt;K$25,J$24,K442&lt;K$26,J$25,K442&lt;K$27,J$26,K442&lt;K$28,J$27,K442&lt;K$29,J$28,K442&lt;K$30,J$29,K442&lt;K$31,J$30,K442&lt;K$32,J$31,K442&lt;K$33,J$32,K442&lt;K$34,J$33,K442&lt;K$35,J$34,K442&lt;K$36,J$35,K442&lt;K$37,J$36,K442&lt;K$38,J$37,K442&lt;K$39,J$38,K442&lt;K$40,J$39,K442&lt;K$41,J$40,K442&lt;K$42,J$41,K442&lt;K$43,J$42,K442&lt;K$44,J$43,K442&lt;K$45,J$44,K442&lt;K$46,J$45,K442&lt;K$47,J$46,K442&gt;=K$47,J$47)</f>
        <v/>
      </c>
      <c r="K442" s="38" t="n">
        <v>392</v>
      </c>
      <c r="L442" s="31">
        <f>K442/52</f>
        <v/>
      </c>
      <c r="M442" s="39">
        <f>J442/1000000*52</f>
        <v/>
      </c>
      <c r="N442" s="33">
        <f>M442/$P$4+($I$22/$P$4)</f>
        <v/>
      </c>
      <c r="U442">
        <f>F441</f>
        <v/>
      </c>
      <c r="V442">
        <f>H441</f>
        <v/>
      </c>
      <c r="W442">
        <f>N441</f>
        <v/>
      </c>
    </row>
    <row r="443" ht="15.75" customHeight="1" s="40">
      <c r="C443" s="36">
        <f>_xlfn.IFS(E443&lt;E$24,0,E443&lt;E$26,C$24,E443&lt;E$28,C$26,E443&lt;E$30,C$28,E443&lt;E$32,C$30,E443&lt;E$34,C$32,E443&gt;=E$34,C$34)</f>
        <v/>
      </c>
      <c r="D443" s="37">
        <f>_xlfn.IFS(E443&lt;E$24,0,E443&lt;E$25,D$24,E443&lt;E$26,D$25,E443&lt;E$27,D$26,E443&lt;E$28,D$27,E443&lt;E$29,D$28,E443&lt;E$30,D$29,E443&lt;E$31,D$30,E443&lt;E$32,D$31,E443&lt;E$33,D$32,E443&lt;E$34,D$33,E443&lt;E$35,D$34,E443&gt;=E$35,D$35)</f>
        <v/>
      </c>
      <c r="E443" s="38" t="n">
        <v>393</v>
      </c>
      <c r="F443" s="31">
        <f>E443/52</f>
        <v/>
      </c>
      <c r="G443" s="39">
        <f>D443/1000000*52</f>
        <v/>
      </c>
      <c r="H443" s="33">
        <f>G443/$P$4+($C$22/$P$4)</f>
        <v/>
      </c>
      <c r="I443" s="36">
        <f>_xlfn.IFS(K443&lt;K$24,0,K443&lt;K$26,I$24,K443&lt;K$28,I$26,K443&lt;K$30,I$28,K443&lt;K$32,I$30,K443&lt;K$34,I$32,K443&lt;K$36,I$34,K443&lt;K$38,I$36,K443&lt;K$40,I$38,K443&lt;K$42,I$40,K443&lt;K$44,I$42,K443&lt;K$46,I$44,K443&gt;=K$46,I$46)</f>
        <v/>
      </c>
      <c r="J443" s="37">
        <f>_xlfn.IFS(K443&lt;K$24,0,K443&lt;K$25,J$24,K443&lt;K$26,J$25,K443&lt;K$27,J$26,K443&lt;K$28,J$27,K443&lt;K$29,J$28,K443&lt;K$30,J$29,K443&lt;K$31,J$30,K443&lt;K$32,J$31,K443&lt;K$33,J$32,K443&lt;K$34,J$33,K443&lt;K$35,J$34,K443&lt;K$36,J$35,K443&lt;K$37,J$36,K443&lt;K$38,J$37,K443&lt;K$39,J$38,K443&lt;K$40,J$39,K443&lt;K$41,J$40,K443&lt;K$42,J$41,K443&lt;K$43,J$42,K443&lt;K$44,J$43,K443&lt;K$45,J$44,K443&lt;K$46,J$45,K443&lt;K$47,J$46,K443&gt;=K$47,J$47)</f>
        <v/>
      </c>
      <c r="K443" s="38" t="n">
        <v>393</v>
      </c>
      <c r="L443" s="31">
        <f>K443/52</f>
        <v/>
      </c>
      <c r="M443" s="39">
        <f>J443/1000000*52</f>
        <v/>
      </c>
      <c r="N443" s="33">
        <f>M443/$P$4+($I$22/$P$4)</f>
        <v/>
      </c>
      <c r="U443">
        <f>F442</f>
        <v/>
      </c>
      <c r="V443">
        <f>H442</f>
        <v/>
      </c>
      <c r="W443">
        <f>N442</f>
        <v/>
      </c>
    </row>
    <row r="444" ht="15.75" customHeight="1" s="40">
      <c r="C444" s="36">
        <f>_xlfn.IFS(E444&lt;E$24,0,E444&lt;E$26,C$24,E444&lt;E$28,C$26,E444&lt;E$30,C$28,E444&lt;E$32,C$30,E444&lt;E$34,C$32,E444&gt;=E$34,C$34)</f>
        <v/>
      </c>
      <c r="D444" s="37">
        <f>_xlfn.IFS(E444&lt;E$24,0,E444&lt;E$25,D$24,E444&lt;E$26,D$25,E444&lt;E$27,D$26,E444&lt;E$28,D$27,E444&lt;E$29,D$28,E444&lt;E$30,D$29,E444&lt;E$31,D$30,E444&lt;E$32,D$31,E444&lt;E$33,D$32,E444&lt;E$34,D$33,E444&lt;E$35,D$34,E444&gt;=E$35,D$35)</f>
        <v/>
      </c>
      <c r="E444" s="38" t="n">
        <v>394</v>
      </c>
      <c r="F444" s="31">
        <f>E444/52</f>
        <v/>
      </c>
      <c r="G444" s="39">
        <f>D444/1000000*52</f>
        <v/>
      </c>
      <c r="H444" s="33">
        <f>G444/$P$4+($C$22/$P$4)</f>
        <v/>
      </c>
      <c r="I444" s="36">
        <f>_xlfn.IFS(K444&lt;K$24,0,K444&lt;K$26,I$24,K444&lt;K$28,I$26,K444&lt;K$30,I$28,K444&lt;K$32,I$30,K444&lt;K$34,I$32,K444&lt;K$36,I$34,K444&lt;K$38,I$36,K444&lt;K$40,I$38,K444&lt;K$42,I$40,K444&lt;K$44,I$42,K444&lt;K$46,I$44,K444&gt;=K$46,I$46)</f>
        <v/>
      </c>
      <c r="J444" s="37">
        <f>_xlfn.IFS(K444&lt;K$24,0,K444&lt;K$25,J$24,K444&lt;K$26,J$25,K444&lt;K$27,J$26,K444&lt;K$28,J$27,K444&lt;K$29,J$28,K444&lt;K$30,J$29,K444&lt;K$31,J$30,K444&lt;K$32,J$31,K444&lt;K$33,J$32,K444&lt;K$34,J$33,K444&lt;K$35,J$34,K444&lt;K$36,J$35,K444&lt;K$37,J$36,K444&lt;K$38,J$37,K444&lt;K$39,J$38,K444&lt;K$40,J$39,K444&lt;K$41,J$40,K444&lt;K$42,J$41,K444&lt;K$43,J$42,K444&lt;K$44,J$43,K444&lt;K$45,J$44,K444&lt;K$46,J$45,K444&lt;K$47,J$46,K444&gt;=K$47,J$47)</f>
        <v/>
      </c>
      <c r="K444" s="38" t="n">
        <v>394</v>
      </c>
      <c r="L444" s="31">
        <f>K444/52</f>
        <v/>
      </c>
      <c r="M444" s="39">
        <f>J444/1000000*52</f>
        <v/>
      </c>
      <c r="N444" s="33">
        <f>M444/$P$4+($I$22/$P$4)</f>
        <v/>
      </c>
      <c r="U444">
        <f>F443</f>
        <v/>
      </c>
      <c r="V444">
        <f>H443</f>
        <v/>
      </c>
      <c r="W444">
        <f>N443</f>
        <v/>
      </c>
    </row>
    <row r="445" ht="15.75" customHeight="1" s="40">
      <c r="C445" s="36">
        <f>_xlfn.IFS(E445&lt;E$24,0,E445&lt;E$26,C$24,E445&lt;E$28,C$26,E445&lt;E$30,C$28,E445&lt;E$32,C$30,E445&lt;E$34,C$32,E445&gt;=E$34,C$34)</f>
        <v/>
      </c>
      <c r="D445" s="37">
        <f>_xlfn.IFS(E445&lt;E$24,0,E445&lt;E$25,D$24,E445&lt;E$26,D$25,E445&lt;E$27,D$26,E445&lt;E$28,D$27,E445&lt;E$29,D$28,E445&lt;E$30,D$29,E445&lt;E$31,D$30,E445&lt;E$32,D$31,E445&lt;E$33,D$32,E445&lt;E$34,D$33,E445&lt;E$35,D$34,E445&gt;=E$35,D$35)</f>
        <v/>
      </c>
      <c r="E445" s="38" t="n">
        <v>395</v>
      </c>
      <c r="F445" s="31">
        <f>E445/52</f>
        <v/>
      </c>
      <c r="G445" s="39">
        <f>D445/1000000*52</f>
        <v/>
      </c>
      <c r="H445" s="33">
        <f>G445/$P$4+($C$22/$P$4)</f>
        <v/>
      </c>
      <c r="I445" s="36">
        <f>_xlfn.IFS(K445&lt;K$24,0,K445&lt;K$26,I$24,K445&lt;K$28,I$26,K445&lt;K$30,I$28,K445&lt;K$32,I$30,K445&lt;K$34,I$32,K445&lt;K$36,I$34,K445&lt;K$38,I$36,K445&lt;K$40,I$38,K445&lt;K$42,I$40,K445&lt;K$44,I$42,K445&lt;K$46,I$44,K445&gt;=K$46,I$46)</f>
        <v/>
      </c>
      <c r="J445" s="37">
        <f>_xlfn.IFS(K445&lt;K$24,0,K445&lt;K$25,J$24,K445&lt;K$26,J$25,K445&lt;K$27,J$26,K445&lt;K$28,J$27,K445&lt;K$29,J$28,K445&lt;K$30,J$29,K445&lt;K$31,J$30,K445&lt;K$32,J$31,K445&lt;K$33,J$32,K445&lt;K$34,J$33,K445&lt;K$35,J$34,K445&lt;K$36,J$35,K445&lt;K$37,J$36,K445&lt;K$38,J$37,K445&lt;K$39,J$38,K445&lt;K$40,J$39,K445&lt;K$41,J$40,K445&lt;K$42,J$41,K445&lt;K$43,J$42,K445&lt;K$44,J$43,K445&lt;K$45,J$44,K445&lt;K$46,J$45,K445&lt;K$47,J$46,K445&gt;=K$47,J$47)</f>
        <v/>
      </c>
      <c r="K445" s="38" t="n">
        <v>395</v>
      </c>
      <c r="L445" s="31">
        <f>K445/52</f>
        <v/>
      </c>
      <c r="M445" s="39">
        <f>J445/1000000*52</f>
        <v/>
      </c>
      <c r="N445" s="33">
        <f>M445/$P$4+($I$22/$P$4)</f>
        <v/>
      </c>
      <c r="U445">
        <f>F444</f>
        <v/>
      </c>
      <c r="V445">
        <f>H444</f>
        <v/>
      </c>
      <c r="W445">
        <f>N444</f>
        <v/>
      </c>
    </row>
    <row r="446" ht="15.75" customHeight="1" s="40">
      <c r="C446" s="36">
        <f>_xlfn.IFS(E446&lt;E$24,0,E446&lt;E$26,C$24,E446&lt;E$28,C$26,E446&lt;E$30,C$28,E446&lt;E$32,C$30,E446&lt;E$34,C$32,E446&gt;=E$34,C$34)</f>
        <v/>
      </c>
      <c r="D446" s="37">
        <f>_xlfn.IFS(E446&lt;E$24,0,E446&lt;E$25,D$24,E446&lt;E$26,D$25,E446&lt;E$27,D$26,E446&lt;E$28,D$27,E446&lt;E$29,D$28,E446&lt;E$30,D$29,E446&lt;E$31,D$30,E446&lt;E$32,D$31,E446&lt;E$33,D$32,E446&lt;E$34,D$33,E446&lt;E$35,D$34,E446&gt;=E$35,D$35)</f>
        <v/>
      </c>
      <c r="E446" s="38" t="n">
        <v>396</v>
      </c>
      <c r="F446" s="31">
        <f>E446/52</f>
        <v/>
      </c>
      <c r="G446" s="39">
        <f>D446/1000000*52</f>
        <v/>
      </c>
      <c r="H446" s="33">
        <f>G446/$P$4+($C$22/$P$4)</f>
        <v/>
      </c>
      <c r="I446" s="36">
        <f>_xlfn.IFS(K446&lt;K$24,0,K446&lt;K$26,I$24,K446&lt;K$28,I$26,K446&lt;K$30,I$28,K446&lt;K$32,I$30,K446&lt;K$34,I$32,K446&lt;K$36,I$34,K446&lt;K$38,I$36,K446&lt;K$40,I$38,K446&lt;K$42,I$40,K446&lt;K$44,I$42,K446&lt;K$46,I$44,K446&gt;=K$46,I$46)</f>
        <v/>
      </c>
      <c r="J446" s="37">
        <f>_xlfn.IFS(K446&lt;K$24,0,K446&lt;K$25,J$24,K446&lt;K$26,J$25,K446&lt;K$27,J$26,K446&lt;K$28,J$27,K446&lt;K$29,J$28,K446&lt;K$30,J$29,K446&lt;K$31,J$30,K446&lt;K$32,J$31,K446&lt;K$33,J$32,K446&lt;K$34,J$33,K446&lt;K$35,J$34,K446&lt;K$36,J$35,K446&lt;K$37,J$36,K446&lt;K$38,J$37,K446&lt;K$39,J$38,K446&lt;K$40,J$39,K446&lt;K$41,J$40,K446&lt;K$42,J$41,K446&lt;K$43,J$42,K446&lt;K$44,J$43,K446&lt;K$45,J$44,K446&lt;K$46,J$45,K446&lt;K$47,J$46,K446&gt;=K$47,J$47)</f>
        <v/>
      </c>
      <c r="K446" s="38" t="n">
        <v>396</v>
      </c>
      <c r="L446" s="31">
        <f>K446/52</f>
        <v/>
      </c>
      <c r="M446" s="39">
        <f>J446/1000000*52</f>
        <v/>
      </c>
      <c r="N446" s="33">
        <f>M446/$P$4+($I$22/$P$4)</f>
        <v/>
      </c>
      <c r="U446">
        <f>F445</f>
        <v/>
      </c>
      <c r="V446">
        <f>H445</f>
        <v/>
      </c>
      <c r="W446">
        <f>N445</f>
        <v/>
      </c>
    </row>
    <row r="447" ht="15.75" customHeight="1" s="40">
      <c r="C447" s="36">
        <f>_xlfn.IFS(E447&lt;E$24,0,E447&lt;E$26,C$24,E447&lt;E$28,C$26,E447&lt;E$30,C$28,E447&lt;E$32,C$30,E447&lt;E$34,C$32,E447&gt;=E$34,C$34)</f>
        <v/>
      </c>
      <c r="D447" s="37">
        <f>_xlfn.IFS(E447&lt;E$24,0,E447&lt;E$25,D$24,E447&lt;E$26,D$25,E447&lt;E$27,D$26,E447&lt;E$28,D$27,E447&lt;E$29,D$28,E447&lt;E$30,D$29,E447&lt;E$31,D$30,E447&lt;E$32,D$31,E447&lt;E$33,D$32,E447&lt;E$34,D$33,E447&lt;E$35,D$34,E447&gt;=E$35,D$35)</f>
        <v/>
      </c>
      <c r="E447" s="38" t="n">
        <v>397</v>
      </c>
      <c r="F447" s="31">
        <f>E447/52</f>
        <v/>
      </c>
      <c r="G447" s="39">
        <f>D447/1000000*52</f>
        <v/>
      </c>
      <c r="H447" s="33">
        <f>G447/$P$4+($C$22/$P$4)</f>
        <v/>
      </c>
      <c r="I447" s="36">
        <f>_xlfn.IFS(K447&lt;K$24,0,K447&lt;K$26,I$24,K447&lt;K$28,I$26,K447&lt;K$30,I$28,K447&lt;K$32,I$30,K447&lt;K$34,I$32,K447&lt;K$36,I$34,K447&lt;K$38,I$36,K447&lt;K$40,I$38,K447&lt;K$42,I$40,K447&lt;K$44,I$42,K447&lt;K$46,I$44,K447&gt;=K$46,I$46)</f>
        <v/>
      </c>
      <c r="J447" s="37">
        <f>_xlfn.IFS(K447&lt;K$24,0,K447&lt;K$25,J$24,K447&lt;K$26,J$25,K447&lt;K$27,J$26,K447&lt;K$28,J$27,K447&lt;K$29,J$28,K447&lt;K$30,J$29,K447&lt;K$31,J$30,K447&lt;K$32,J$31,K447&lt;K$33,J$32,K447&lt;K$34,J$33,K447&lt;K$35,J$34,K447&lt;K$36,J$35,K447&lt;K$37,J$36,K447&lt;K$38,J$37,K447&lt;K$39,J$38,K447&lt;K$40,J$39,K447&lt;K$41,J$40,K447&lt;K$42,J$41,K447&lt;K$43,J$42,K447&lt;K$44,J$43,K447&lt;K$45,J$44,K447&lt;K$46,J$45,K447&lt;K$47,J$46,K447&gt;=K$47,J$47)</f>
        <v/>
      </c>
      <c r="K447" s="38" t="n">
        <v>397</v>
      </c>
      <c r="L447" s="31">
        <f>K447/52</f>
        <v/>
      </c>
      <c r="M447" s="39">
        <f>J447/1000000*52</f>
        <v/>
      </c>
      <c r="N447" s="33">
        <f>M447/$P$4+($I$22/$P$4)</f>
        <v/>
      </c>
      <c r="U447">
        <f>F446</f>
        <v/>
      </c>
      <c r="V447">
        <f>H446</f>
        <v/>
      </c>
      <c r="W447">
        <f>N446</f>
        <v/>
      </c>
    </row>
    <row r="448" ht="15.75" customHeight="1" s="40">
      <c r="C448" s="36">
        <f>_xlfn.IFS(E448&lt;E$24,0,E448&lt;E$26,C$24,E448&lt;E$28,C$26,E448&lt;E$30,C$28,E448&lt;E$32,C$30,E448&lt;E$34,C$32,E448&gt;=E$34,C$34)</f>
        <v/>
      </c>
      <c r="D448" s="37">
        <f>_xlfn.IFS(E448&lt;E$24,0,E448&lt;E$25,D$24,E448&lt;E$26,D$25,E448&lt;E$27,D$26,E448&lt;E$28,D$27,E448&lt;E$29,D$28,E448&lt;E$30,D$29,E448&lt;E$31,D$30,E448&lt;E$32,D$31,E448&lt;E$33,D$32,E448&lt;E$34,D$33,E448&lt;E$35,D$34,E448&gt;=E$35,D$35)</f>
        <v/>
      </c>
      <c r="E448" s="38" t="n">
        <v>398</v>
      </c>
      <c r="F448" s="31">
        <f>E448/52</f>
        <v/>
      </c>
      <c r="G448" s="39">
        <f>D448/1000000*52</f>
        <v/>
      </c>
      <c r="H448" s="33">
        <f>G448/$P$4+($C$22/$P$4)</f>
        <v/>
      </c>
      <c r="I448" s="36">
        <f>_xlfn.IFS(K448&lt;K$24,0,K448&lt;K$26,I$24,K448&lt;K$28,I$26,K448&lt;K$30,I$28,K448&lt;K$32,I$30,K448&lt;K$34,I$32,K448&lt;K$36,I$34,K448&lt;K$38,I$36,K448&lt;K$40,I$38,K448&lt;K$42,I$40,K448&lt;K$44,I$42,K448&lt;K$46,I$44,K448&gt;=K$46,I$46)</f>
        <v/>
      </c>
      <c r="J448" s="37">
        <f>_xlfn.IFS(K448&lt;K$24,0,K448&lt;K$25,J$24,K448&lt;K$26,J$25,K448&lt;K$27,J$26,K448&lt;K$28,J$27,K448&lt;K$29,J$28,K448&lt;K$30,J$29,K448&lt;K$31,J$30,K448&lt;K$32,J$31,K448&lt;K$33,J$32,K448&lt;K$34,J$33,K448&lt;K$35,J$34,K448&lt;K$36,J$35,K448&lt;K$37,J$36,K448&lt;K$38,J$37,K448&lt;K$39,J$38,K448&lt;K$40,J$39,K448&lt;K$41,J$40,K448&lt;K$42,J$41,K448&lt;K$43,J$42,K448&lt;K$44,J$43,K448&lt;K$45,J$44,K448&lt;K$46,J$45,K448&lt;K$47,J$46,K448&gt;=K$47,J$47)</f>
        <v/>
      </c>
      <c r="K448" s="38" t="n">
        <v>398</v>
      </c>
      <c r="L448" s="31">
        <f>K448/52</f>
        <v/>
      </c>
      <c r="M448" s="39">
        <f>J448/1000000*52</f>
        <v/>
      </c>
      <c r="N448" s="33">
        <f>M448/$P$4+($I$22/$P$4)</f>
        <v/>
      </c>
      <c r="U448">
        <f>F447</f>
        <v/>
      </c>
      <c r="V448">
        <f>H447</f>
        <v/>
      </c>
      <c r="W448">
        <f>N447</f>
        <v/>
      </c>
    </row>
    <row r="449" ht="15.75" customHeight="1" s="40">
      <c r="C449" s="36">
        <f>_xlfn.IFS(E449&lt;E$24,0,E449&lt;E$26,C$24,E449&lt;E$28,C$26,E449&lt;E$30,C$28,E449&lt;E$32,C$30,E449&lt;E$34,C$32,E449&gt;=E$34,C$34)</f>
        <v/>
      </c>
      <c r="D449" s="37">
        <f>_xlfn.IFS(E449&lt;E$24,0,E449&lt;E$25,D$24,E449&lt;E$26,D$25,E449&lt;E$27,D$26,E449&lt;E$28,D$27,E449&lt;E$29,D$28,E449&lt;E$30,D$29,E449&lt;E$31,D$30,E449&lt;E$32,D$31,E449&lt;E$33,D$32,E449&lt;E$34,D$33,E449&lt;E$35,D$34,E449&gt;=E$35,D$35)</f>
        <v/>
      </c>
      <c r="E449" s="38" t="n">
        <v>399</v>
      </c>
      <c r="F449" s="31">
        <f>E449/52</f>
        <v/>
      </c>
      <c r="G449" s="39">
        <f>D449/1000000*52</f>
        <v/>
      </c>
      <c r="H449" s="33">
        <f>G449/$P$4+($C$22/$P$4)</f>
        <v/>
      </c>
      <c r="I449" s="36">
        <f>_xlfn.IFS(K449&lt;K$24,0,K449&lt;K$26,I$24,K449&lt;K$28,I$26,K449&lt;K$30,I$28,K449&lt;K$32,I$30,K449&lt;K$34,I$32,K449&lt;K$36,I$34,K449&lt;K$38,I$36,K449&lt;K$40,I$38,K449&lt;K$42,I$40,K449&lt;K$44,I$42,K449&lt;K$46,I$44,K449&gt;=K$46,I$46)</f>
        <v/>
      </c>
      <c r="J449" s="37">
        <f>_xlfn.IFS(K449&lt;K$24,0,K449&lt;K$25,J$24,K449&lt;K$26,J$25,K449&lt;K$27,J$26,K449&lt;K$28,J$27,K449&lt;K$29,J$28,K449&lt;K$30,J$29,K449&lt;K$31,J$30,K449&lt;K$32,J$31,K449&lt;K$33,J$32,K449&lt;K$34,J$33,K449&lt;K$35,J$34,K449&lt;K$36,J$35,K449&lt;K$37,J$36,K449&lt;K$38,J$37,K449&lt;K$39,J$38,K449&lt;K$40,J$39,K449&lt;K$41,J$40,K449&lt;K$42,J$41,K449&lt;K$43,J$42,K449&lt;K$44,J$43,K449&lt;K$45,J$44,K449&lt;K$46,J$45,K449&lt;K$47,J$46,K449&gt;=K$47,J$47)</f>
        <v/>
      </c>
      <c r="K449" s="38" t="n">
        <v>399</v>
      </c>
      <c r="L449" s="31">
        <f>K449/52</f>
        <v/>
      </c>
      <c r="M449" s="39">
        <f>J449/1000000*52</f>
        <v/>
      </c>
      <c r="N449" s="33">
        <f>M449/$P$4+($I$22/$P$4)</f>
        <v/>
      </c>
      <c r="U449">
        <f>F448</f>
        <v/>
      </c>
      <c r="V449">
        <f>H448</f>
        <v/>
      </c>
      <c r="W449">
        <f>N448</f>
        <v/>
      </c>
    </row>
    <row r="450" ht="15.75" customHeight="1" s="40">
      <c r="C450" s="36">
        <f>_xlfn.IFS(E450&lt;E$24,0,E450&lt;E$26,C$24,E450&lt;E$28,C$26,E450&lt;E$30,C$28,E450&lt;E$32,C$30,E450&lt;E$34,C$32,E450&gt;=E$34,C$34)</f>
        <v/>
      </c>
      <c r="D450" s="37">
        <f>_xlfn.IFS(E450&lt;E$24,0,E450&lt;E$25,D$24,E450&lt;E$26,D$25,E450&lt;E$27,D$26,E450&lt;E$28,D$27,E450&lt;E$29,D$28,E450&lt;E$30,D$29,E450&lt;E$31,D$30,E450&lt;E$32,D$31,E450&lt;E$33,D$32,E450&lt;E$34,D$33,E450&lt;E$35,D$34,E450&gt;=E$35,D$35)</f>
        <v/>
      </c>
      <c r="E450" s="38" t="n">
        <v>400</v>
      </c>
      <c r="F450" s="31">
        <f>E450/52</f>
        <v/>
      </c>
      <c r="G450" s="39">
        <f>D450/1000000*52</f>
        <v/>
      </c>
      <c r="H450" s="33">
        <f>G450/$P$4+($C$22/$P$4)</f>
        <v/>
      </c>
      <c r="I450" s="36">
        <f>_xlfn.IFS(K450&lt;K$24,0,K450&lt;K$26,I$24,K450&lt;K$28,I$26,K450&lt;K$30,I$28,K450&lt;K$32,I$30,K450&lt;K$34,I$32,K450&lt;K$36,I$34,K450&lt;K$38,I$36,K450&lt;K$40,I$38,K450&lt;K$42,I$40,K450&lt;K$44,I$42,K450&lt;K$46,I$44,K450&gt;=K$46,I$46)</f>
        <v/>
      </c>
      <c r="J450" s="37">
        <f>_xlfn.IFS(K450&lt;K$24,0,K450&lt;K$25,J$24,K450&lt;K$26,J$25,K450&lt;K$27,J$26,K450&lt;K$28,J$27,K450&lt;K$29,J$28,K450&lt;K$30,J$29,K450&lt;K$31,J$30,K450&lt;K$32,J$31,K450&lt;K$33,J$32,K450&lt;K$34,J$33,K450&lt;K$35,J$34,K450&lt;K$36,J$35,K450&lt;K$37,J$36,K450&lt;K$38,J$37,K450&lt;K$39,J$38,K450&lt;K$40,J$39,K450&lt;K$41,J$40,K450&lt;K$42,J$41,K450&lt;K$43,J$42,K450&lt;K$44,J$43,K450&lt;K$45,J$44,K450&lt;K$46,J$45,K450&lt;K$47,J$46,K450&gt;=K$47,J$47)</f>
        <v/>
      </c>
      <c r="K450" s="38" t="n">
        <v>400</v>
      </c>
      <c r="L450" s="31">
        <f>K450/52</f>
        <v/>
      </c>
      <c r="M450" s="39">
        <f>J450/1000000*52</f>
        <v/>
      </c>
      <c r="N450" s="33">
        <f>M450/$P$4+($I$22/$P$4)</f>
        <v/>
      </c>
      <c r="U450">
        <f>F449</f>
        <v/>
      </c>
      <c r="V450">
        <f>H449</f>
        <v/>
      </c>
      <c r="W450">
        <f>N449</f>
        <v/>
      </c>
    </row>
    <row r="451" ht="15.75" customHeight="1" s="40">
      <c r="C451" s="36">
        <f>_xlfn.IFS(E451&lt;E$24,0,E451&lt;E$26,C$24,E451&lt;E$28,C$26,E451&lt;E$30,C$28,E451&lt;E$32,C$30,E451&lt;E$34,C$32,E451&gt;=E$34,C$34)</f>
        <v/>
      </c>
      <c r="D451" s="37">
        <f>_xlfn.IFS(E451&lt;E$24,0,E451&lt;E$25,D$24,E451&lt;E$26,D$25,E451&lt;E$27,D$26,E451&lt;E$28,D$27,E451&lt;E$29,D$28,E451&lt;E$30,D$29,E451&lt;E$31,D$30,E451&lt;E$32,D$31,E451&lt;E$33,D$32,E451&lt;E$34,D$33,E451&lt;E$35,D$34,E451&gt;=E$35,D$35)</f>
        <v/>
      </c>
      <c r="E451" s="38" t="n">
        <v>401</v>
      </c>
      <c r="F451" s="31">
        <f>E451/52</f>
        <v/>
      </c>
      <c r="G451" s="39">
        <f>D451/1000000*52</f>
        <v/>
      </c>
      <c r="H451" s="33">
        <f>G451/$P$4+($C$22/$P$4)</f>
        <v/>
      </c>
      <c r="I451" s="36">
        <f>_xlfn.IFS(K451&lt;K$24,0,K451&lt;K$26,I$24,K451&lt;K$28,I$26,K451&lt;K$30,I$28,K451&lt;K$32,I$30,K451&lt;K$34,I$32,K451&lt;K$36,I$34,K451&lt;K$38,I$36,K451&lt;K$40,I$38,K451&lt;K$42,I$40,K451&lt;K$44,I$42,K451&lt;K$46,I$44,K451&gt;=K$46,I$46)</f>
        <v/>
      </c>
      <c r="J451" s="37">
        <f>_xlfn.IFS(K451&lt;K$24,0,K451&lt;K$25,J$24,K451&lt;K$26,J$25,K451&lt;K$27,J$26,K451&lt;K$28,J$27,K451&lt;K$29,J$28,K451&lt;K$30,J$29,K451&lt;K$31,J$30,K451&lt;K$32,J$31,K451&lt;K$33,J$32,K451&lt;K$34,J$33,K451&lt;K$35,J$34,K451&lt;K$36,J$35,K451&lt;K$37,J$36,K451&lt;K$38,J$37,K451&lt;K$39,J$38,K451&lt;K$40,J$39,K451&lt;K$41,J$40,K451&lt;K$42,J$41,K451&lt;K$43,J$42,K451&lt;K$44,J$43,K451&lt;K$45,J$44,K451&lt;K$46,J$45,K451&lt;K$47,J$46,K451&gt;=K$47,J$47)</f>
        <v/>
      </c>
      <c r="K451" s="38" t="n">
        <v>401</v>
      </c>
      <c r="L451" s="31">
        <f>K451/52</f>
        <v/>
      </c>
      <c r="M451" s="39">
        <f>J451/1000000*52</f>
        <v/>
      </c>
      <c r="N451" s="33">
        <f>M451/$P$4+($I$22/$P$4)</f>
        <v/>
      </c>
      <c r="U451">
        <f>F450</f>
        <v/>
      </c>
      <c r="V451">
        <f>H450</f>
        <v/>
      </c>
      <c r="W451">
        <f>N450</f>
        <v/>
      </c>
    </row>
    <row r="452" ht="15.75" customHeight="1" s="40">
      <c r="C452" s="36">
        <f>_xlfn.IFS(E452&lt;E$24,0,E452&lt;E$26,C$24,E452&lt;E$28,C$26,E452&lt;E$30,C$28,E452&lt;E$32,C$30,E452&lt;E$34,C$32,E452&gt;=E$34,C$34)</f>
        <v/>
      </c>
      <c r="D452" s="37">
        <f>_xlfn.IFS(E452&lt;E$24,0,E452&lt;E$25,D$24,E452&lt;E$26,D$25,E452&lt;E$27,D$26,E452&lt;E$28,D$27,E452&lt;E$29,D$28,E452&lt;E$30,D$29,E452&lt;E$31,D$30,E452&lt;E$32,D$31,E452&lt;E$33,D$32,E452&lt;E$34,D$33,E452&lt;E$35,D$34,E452&gt;=E$35,D$35)</f>
        <v/>
      </c>
      <c r="E452" s="38" t="n">
        <v>402</v>
      </c>
      <c r="F452" s="31">
        <f>E452/52</f>
        <v/>
      </c>
      <c r="G452" s="39">
        <f>D452/1000000*52</f>
        <v/>
      </c>
      <c r="H452" s="33">
        <f>G452/$P$4+($C$22/$P$4)</f>
        <v/>
      </c>
      <c r="I452" s="36">
        <f>_xlfn.IFS(K452&lt;K$24,0,K452&lt;K$26,I$24,K452&lt;K$28,I$26,K452&lt;K$30,I$28,K452&lt;K$32,I$30,K452&lt;K$34,I$32,K452&lt;K$36,I$34,K452&lt;K$38,I$36,K452&lt;K$40,I$38,K452&lt;K$42,I$40,K452&lt;K$44,I$42,K452&lt;K$46,I$44,K452&gt;=K$46,I$46)</f>
        <v/>
      </c>
      <c r="J452" s="37">
        <f>_xlfn.IFS(K452&lt;K$24,0,K452&lt;K$25,J$24,K452&lt;K$26,J$25,K452&lt;K$27,J$26,K452&lt;K$28,J$27,K452&lt;K$29,J$28,K452&lt;K$30,J$29,K452&lt;K$31,J$30,K452&lt;K$32,J$31,K452&lt;K$33,J$32,K452&lt;K$34,J$33,K452&lt;K$35,J$34,K452&lt;K$36,J$35,K452&lt;K$37,J$36,K452&lt;K$38,J$37,K452&lt;K$39,J$38,K452&lt;K$40,J$39,K452&lt;K$41,J$40,K452&lt;K$42,J$41,K452&lt;K$43,J$42,K452&lt;K$44,J$43,K452&lt;K$45,J$44,K452&lt;K$46,J$45,K452&lt;K$47,J$46,K452&gt;=K$47,J$47)</f>
        <v/>
      </c>
      <c r="K452" s="38" t="n">
        <v>402</v>
      </c>
      <c r="L452" s="31">
        <f>K452/52</f>
        <v/>
      </c>
      <c r="M452" s="39">
        <f>J452/1000000*52</f>
        <v/>
      </c>
      <c r="N452" s="33">
        <f>M452/$P$4+($I$22/$P$4)</f>
        <v/>
      </c>
      <c r="U452">
        <f>F451</f>
        <v/>
      </c>
      <c r="V452">
        <f>H451</f>
        <v/>
      </c>
      <c r="W452">
        <f>N451</f>
        <v/>
      </c>
    </row>
    <row r="453" ht="15.75" customHeight="1" s="40">
      <c r="C453" s="36">
        <f>_xlfn.IFS(E453&lt;E$24,0,E453&lt;E$26,C$24,E453&lt;E$28,C$26,E453&lt;E$30,C$28,E453&lt;E$32,C$30,E453&lt;E$34,C$32,E453&gt;=E$34,C$34)</f>
        <v/>
      </c>
      <c r="D453" s="37">
        <f>_xlfn.IFS(E453&lt;E$24,0,E453&lt;E$25,D$24,E453&lt;E$26,D$25,E453&lt;E$27,D$26,E453&lt;E$28,D$27,E453&lt;E$29,D$28,E453&lt;E$30,D$29,E453&lt;E$31,D$30,E453&lt;E$32,D$31,E453&lt;E$33,D$32,E453&lt;E$34,D$33,E453&lt;E$35,D$34,E453&gt;=E$35,D$35)</f>
        <v/>
      </c>
      <c r="E453" s="38" t="n">
        <v>403</v>
      </c>
      <c r="F453" s="31">
        <f>E453/52</f>
        <v/>
      </c>
      <c r="G453" s="39">
        <f>D453/1000000*52</f>
        <v/>
      </c>
      <c r="H453" s="33">
        <f>G453/$P$4+($C$22/$P$4)</f>
        <v/>
      </c>
      <c r="I453" s="36">
        <f>_xlfn.IFS(K453&lt;K$24,0,K453&lt;K$26,I$24,K453&lt;K$28,I$26,K453&lt;K$30,I$28,K453&lt;K$32,I$30,K453&lt;K$34,I$32,K453&lt;K$36,I$34,K453&lt;K$38,I$36,K453&lt;K$40,I$38,K453&lt;K$42,I$40,K453&lt;K$44,I$42,K453&lt;K$46,I$44,K453&gt;=K$46,I$46)</f>
        <v/>
      </c>
      <c r="J453" s="37">
        <f>_xlfn.IFS(K453&lt;K$24,0,K453&lt;K$25,J$24,K453&lt;K$26,J$25,K453&lt;K$27,J$26,K453&lt;K$28,J$27,K453&lt;K$29,J$28,K453&lt;K$30,J$29,K453&lt;K$31,J$30,K453&lt;K$32,J$31,K453&lt;K$33,J$32,K453&lt;K$34,J$33,K453&lt;K$35,J$34,K453&lt;K$36,J$35,K453&lt;K$37,J$36,K453&lt;K$38,J$37,K453&lt;K$39,J$38,K453&lt;K$40,J$39,K453&lt;K$41,J$40,K453&lt;K$42,J$41,K453&lt;K$43,J$42,K453&lt;K$44,J$43,K453&lt;K$45,J$44,K453&lt;K$46,J$45,K453&lt;K$47,J$46,K453&gt;=K$47,J$47)</f>
        <v/>
      </c>
      <c r="K453" s="38" t="n">
        <v>403</v>
      </c>
      <c r="L453" s="31">
        <f>K453/52</f>
        <v/>
      </c>
      <c r="M453" s="39">
        <f>J453/1000000*52</f>
        <v/>
      </c>
      <c r="N453" s="33">
        <f>M453/$P$4+($I$22/$P$4)</f>
        <v/>
      </c>
      <c r="U453">
        <f>F452</f>
        <v/>
      </c>
      <c r="V453">
        <f>H452</f>
        <v/>
      </c>
      <c r="W453">
        <f>N452</f>
        <v/>
      </c>
    </row>
    <row r="454" ht="15.75" customHeight="1" s="40">
      <c r="C454" s="36">
        <f>_xlfn.IFS(E454&lt;E$24,0,E454&lt;E$26,C$24,E454&lt;E$28,C$26,E454&lt;E$30,C$28,E454&lt;E$32,C$30,E454&lt;E$34,C$32,E454&gt;=E$34,C$34)</f>
        <v/>
      </c>
      <c r="D454" s="37">
        <f>_xlfn.IFS(E454&lt;E$24,0,E454&lt;E$25,D$24,E454&lt;E$26,D$25,E454&lt;E$27,D$26,E454&lt;E$28,D$27,E454&lt;E$29,D$28,E454&lt;E$30,D$29,E454&lt;E$31,D$30,E454&lt;E$32,D$31,E454&lt;E$33,D$32,E454&lt;E$34,D$33,E454&lt;E$35,D$34,E454&gt;=E$35,D$35)</f>
        <v/>
      </c>
      <c r="E454" s="38" t="n">
        <v>404</v>
      </c>
      <c r="F454" s="31">
        <f>E454/52</f>
        <v/>
      </c>
      <c r="G454" s="39">
        <f>D454/1000000*52</f>
        <v/>
      </c>
      <c r="H454" s="33">
        <f>G454/$P$4+($C$22/$P$4)</f>
        <v/>
      </c>
      <c r="I454" s="36">
        <f>_xlfn.IFS(K454&lt;K$24,0,K454&lt;K$26,I$24,K454&lt;K$28,I$26,K454&lt;K$30,I$28,K454&lt;K$32,I$30,K454&lt;K$34,I$32,K454&lt;K$36,I$34,K454&lt;K$38,I$36,K454&lt;K$40,I$38,K454&lt;K$42,I$40,K454&lt;K$44,I$42,K454&lt;K$46,I$44,K454&gt;=K$46,I$46)</f>
        <v/>
      </c>
      <c r="J454" s="37">
        <f>_xlfn.IFS(K454&lt;K$24,0,K454&lt;K$25,J$24,K454&lt;K$26,J$25,K454&lt;K$27,J$26,K454&lt;K$28,J$27,K454&lt;K$29,J$28,K454&lt;K$30,J$29,K454&lt;K$31,J$30,K454&lt;K$32,J$31,K454&lt;K$33,J$32,K454&lt;K$34,J$33,K454&lt;K$35,J$34,K454&lt;K$36,J$35,K454&lt;K$37,J$36,K454&lt;K$38,J$37,K454&lt;K$39,J$38,K454&lt;K$40,J$39,K454&lt;K$41,J$40,K454&lt;K$42,J$41,K454&lt;K$43,J$42,K454&lt;K$44,J$43,K454&lt;K$45,J$44,K454&lt;K$46,J$45,K454&lt;K$47,J$46,K454&gt;=K$47,J$47)</f>
        <v/>
      </c>
      <c r="K454" s="38" t="n">
        <v>404</v>
      </c>
      <c r="L454" s="31">
        <f>K454/52</f>
        <v/>
      </c>
      <c r="M454" s="39">
        <f>J454/1000000*52</f>
        <v/>
      </c>
      <c r="N454" s="33">
        <f>M454/$P$4+($I$22/$P$4)</f>
        <v/>
      </c>
      <c r="U454">
        <f>F453</f>
        <v/>
      </c>
      <c r="V454">
        <f>H453</f>
        <v/>
      </c>
      <c r="W454">
        <f>N453</f>
        <v/>
      </c>
    </row>
    <row r="455" ht="15.75" customHeight="1" s="40">
      <c r="C455" s="36">
        <f>_xlfn.IFS(E455&lt;E$24,0,E455&lt;E$26,C$24,E455&lt;E$28,C$26,E455&lt;E$30,C$28,E455&lt;E$32,C$30,E455&lt;E$34,C$32,E455&gt;=E$34,C$34)</f>
        <v/>
      </c>
      <c r="D455" s="37">
        <f>_xlfn.IFS(E455&lt;E$24,0,E455&lt;E$25,D$24,E455&lt;E$26,D$25,E455&lt;E$27,D$26,E455&lt;E$28,D$27,E455&lt;E$29,D$28,E455&lt;E$30,D$29,E455&lt;E$31,D$30,E455&lt;E$32,D$31,E455&lt;E$33,D$32,E455&lt;E$34,D$33,E455&lt;E$35,D$34,E455&gt;=E$35,D$35)</f>
        <v/>
      </c>
      <c r="E455" s="38" t="n">
        <v>405</v>
      </c>
      <c r="F455" s="31">
        <f>E455/52</f>
        <v/>
      </c>
      <c r="G455" s="39">
        <f>D455/1000000*52</f>
        <v/>
      </c>
      <c r="H455" s="33">
        <f>G455/$P$4+($C$22/$P$4)</f>
        <v/>
      </c>
      <c r="I455" s="36">
        <f>_xlfn.IFS(K455&lt;K$24,0,K455&lt;K$26,I$24,K455&lt;K$28,I$26,K455&lt;K$30,I$28,K455&lt;K$32,I$30,K455&lt;K$34,I$32,K455&lt;K$36,I$34,K455&lt;K$38,I$36,K455&lt;K$40,I$38,K455&lt;K$42,I$40,K455&lt;K$44,I$42,K455&lt;K$46,I$44,K455&gt;=K$46,I$46)</f>
        <v/>
      </c>
      <c r="J455" s="37">
        <f>_xlfn.IFS(K455&lt;K$24,0,K455&lt;K$25,J$24,K455&lt;K$26,J$25,K455&lt;K$27,J$26,K455&lt;K$28,J$27,K455&lt;K$29,J$28,K455&lt;K$30,J$29,K455&lt;K$31,J$30,K455&lt;K$32,J$31,K455&lt;K$33,J$32,K455&lt;K$34,J$33,K455&lt;K$35,J$34,K455&lt;K$36,J$35,K455&lt;K$37,J$36,K455&lt;K$38,J$37,K455&lt;K$39,J$38,K455&lt;K$40,J$39,K455&lt;K$41,J$40,K455&lt;K$42,J$41,K455&lt;K$43,J$42,K455&lt;K$44,J$43,K455&lt;K$45,J$44,K455&lt;K$46,J$45,K455&lt;K$47,J$46,K455&gt;=K$47,J$47)</f>
        <v/>
      </c>
      <c r="K455" s="38" t="n">
        <v>405</v>
      </c>
      <c r="L455" s="31">
        <f>K455/52</f>
        <v/>
      </c>
      <c r="M455" s="39">
        <f>J455/1000000*52</f>
        <v/>
      </c>
      <c r="N455" s="33">
        <f>M455/$P$4+($I$22/$P$4)</f>
        <v/>
      </c>
      <c r="U455">
        <f>F454</f>
        <v/>
      </c>
      <c r="V455">
        <f>H454</f>
        <v/>
      </c>
      <c r="W455">
        <f>N454</f>
        <v/>
      </c>
    </row>
    <row r="456" ht="15.75" customHeight="1" s="40">
      <c r="C456" s="36">
        <f>_xlfn.IFS(E456&lt;E$24,0,E456&lt;E$26,C$24,E456&lt;E$28,C$26,E456&lt;E$30,C$28,E456&lt;E$32,C$30,E456&lt;E$34,C$32,E456&gt;=E$34,C$34)</f>
        <v/>
      </c>
      <c r="D456" s="37">
        <f>_xlfn.IFS(E456&lt;E$24,0,E456&lt;E$25,D$24,E456&lt;E$26,D$25,E456&lt;E$27,D$26,E456&lt;E$28,D$27,E456&lt;E$29,D$28,E456&lt;E$30,D$29,E456&lt;E$31,D$30,E456&lt;E$32,D$31,E456&lt;E$33,D$32,E456&lt;E$34,D$33,E456&lt;E$35,D$34,E456&gt;=E$35,D$35)</f>
        <v/>
      </c>
      <c r="E456" s="38" t="n">
        <v>406</v>
      </c>
      <c r="F456" s="31">
        <f>E456/52</f>
        <v/>
      </c>
      <c r="G456" s="39">
        <f>D456/1000000*52</f>
        <v/>
      </c>
      <c r="H456" s="33">
        <f>G456/$P$4+($C$22/$P$4)</f>
        <v/>
      </c>
      <c r="I456" s="36">
        <f>_xlfn.IFS(K456&lt;K$24,0,K456&lt;K$26,I$24,K456&lt;K$28,I$26,K456&lt;K$30,I$28,K456&lt;K$32,I$30,K456&lt;K$34,I$32,K456&lt;K$36,I$34,K456&lt;K$38,I$36,K456&lt;K$40,I$38,K456&lt;K$42,I$40,K456&lt;K$44,I$42,K456&lt;K$46,I$44,K456&gt;=K$46,I$46)</f>
        <v/>
      </c>
      <c r="J456" s="37">
        <f>_xlfn.IFS(K456&lt;K$24,0,K456&lt;K$25,J$24,K456&lt;K$26,J$25,K456&lt;K$27,J$26,K456&lt;K$28,J$27,K456&lt;K$29,J$28,K456&lt;K$30,J$29,K456&lt;K$31,J$30,K456&lt;K$32,J$31,K456&lt;K$33,J$32,K456&lt;K$34,J$33,K456&lt;K$35,J$34,K456&lt;K$36,J$35,K456&lt;K$37,J$36,K456&lt;K$38,J$37,K456&lt;K$39,J$38,K456&lt;K$40,J$39,K456&lt;K$41,J$40,K456&lt;K$42,J$41,K456&lt;K$43,J$42,K456&lt;K$44,J$43,K456&lt;K$45,J$44,K456&lt;K$46,J$45,K456&lt;K$47,J$46,K456&gt;=K$47,J$47)</f>
        <v/>
      </c>
      <c r="K456" s="38" t="n">
        <v>406</v>
      </c>
      <c r="L456" s="31">
        <f>K456/52</f>
        <v/>
      </c>
      <c r="M456" s="39">
        <f>J456/1000000*52</f>
        <v/>
      </c>
      <c r="N456" s="33">
        <f>M456/$P$4+($I$22/$P$4)</f>
        <v/>
      </c>
      <c r="U456">
        <f>F455</f>
        <v/>
      </c>
      <c r="V456">
        <f>H455</f>
        <v/>
      </c>
      <c r="W456">
        <f>N455</f>
        <v/>
      </c>
    </row>
    <row r="457" ht="15.75" customHeight="1" s="40">
      <c r="C457" s="36">
        <f>_xlfn.IFS(E457&lt;E$24,0,E457&lt;E$26,C$24,E457&lt;E$28,C$26,E457&lt;E$30,C$28,E457&lt;E$32,C$30,E457&lt;E$34,C$32,E457&gt;=E$34,C$34)</f>
        <v/>
      </c>
      <c r="D457" s="37">
        <f>_xlfn.IFS(E457&lt;E$24,0,E457&lt;E$25,D$24,E457&lt;E$26,D$25,E457&lt;E$27,D$26,E457&lt;E$28,D$27,E457&lt;E$29,D$28,E457&lt;E$30,D$29,E457&lt;E$31,D$30,E457&lt;E$32,D$31,E457&lt;E$33,D$32,E457&lt;E$34,D$33,E457&lt;E$35,D$34,E457&gt;=E$35,D$35)</f>
        <v/>
      </c>
      <c r="E457" s="38" t="n">
        <v>407</v>
      </c>
      <c r="F457" s="31">
        <f>E457/52</f>
        <v/>
      </c>
      <c r="G457" s="39">
        <f>D457/1000000*52</f>
        <v/>
      </c>
      <c r="H457" s="33">
        <f>G457/$P$4+($C$22/$P$4)</f>
        <v/>
      </c>
      <c r="I457" s="36">
        <f>_xlfn.IFS(K457&lt;K$24,0,K457&lt;K$26,I$24,K457&lt;K$28,I$26,K457&lt;K$30,I$28,K457&lt;K$32,I$30,K457&lt;K$34,I$32,K457&lt;K$36,I$34,K457&lt;K$38,I$36,K457&lt;K$40,I$38,K457&lt;K$42,I$40,K457&lt;K$44,I$42,K457&lt;K$46,I$44,K457&gt;=K$46,I$46)</f>
        <v/>
      </c>
      <c r="J457" s="37">
        <f>_xlfn.IFS(K457&lt;K$24,0,K457&lt;K$25,J$24,K457&lt;K$26,J$25,K457&lt;K$27,J$26,K457&lt;K$28,J$27,K457&lt;K$29,J$28,K457&lt;K$30,J$29,K457&lt;K$31,J$30,K457&lt;K$32,J$31,K457&lt;K$33,J$32,K457&lt;K$34,J$33,K457&lt;K$35,J$34,K457&lt;K$36,J$35,K457&lt;K$37,J$36,K457&lt;K$38,J$37,K457&lt;K$39,J$38,K457&lt;K$40,J$39,K457&lt;K$41,J$40,K457&lt;K$42,J$41,K457&lt;K$43,J$42,K457&lt;K$44,J$43,K457&lt;K$45,J$44,K457&lt;K$46,J$45,K457&lt;K$47,J$46,K457&gt;=K$47,J$47)</f>
        <v/>
      </c>
      <c r="K457" s="38" t="n">
        <v>407</v>
      </c>
      <c r="L457" s="31">
        <f>K457/52</f>
        <v/>
      </c>
      <c r="M457" s="39">
        <f>J457/1000000*52</f>
        <v/>
      </c>
      <c r="N457" s="33">
        <f>M457/$P$4+($I$22/$P$4)</f>
        <v/>
      </c>
      <c r="U457">
        <f>F456</f>
        <v/>
      </c>
      <c r="V457">
        <f>H456</f>
        <v/>
      </c>
      <c r="W457">
        <f>N456</f>
        <v/>
      </c>
    </row>
    <row r="458" ht="15.75" customHeight="1" s="40">
      <c r="C458" s="36">
        <f>_xlfn.IFS(E458&lt;E$24,0,E458&lt;E$26,C$24,E458&lt;E$28,C$26,E458&lt;E$30,C$28,E458&lt;E$32,C$30,E458&lt;E$34,C$32,E458&gt;=E$34,C$34)</f>
        <v/>
      </c>
      <c r="D458" s="37">
        <f>_xlfn.IFS(E458&lt;E$24,0,E458&lt;E$25,D$24,E458&lt;E$26,D$25,E458&lt;E$27,D$26,E458&lt;E$28,D$27,E458&lt;E$29,D$28,E458&lt;E$30,D$29,E458&lt;E$31,D$30,E458&lt;E$32,D$31,E458&lt;E$33,D$32,E458&lt;E$34,D$33,E458&lt;E$35,D$34,E458&gt;=E$35,D$35)</f>
        <v/>
      </c>
      <c r="E458" s="38" t="n">
        <v>408</v>
      </c>
      <c r="F458" s="31">
        <f>E458/52</f>
        <v/>
      </c>
      <c r="G458" s="39">
        <f>D458/1000000*52</f>
        <v/>
      </c>
      <c r="H458" s="33">
        <f>G458/$P$4+($C$22/$P$4)</f>
        <v/>
      </c>
      <c r="I458" s="36">
        <f>_xlfn.IFS(K458&lt;K$24,0,K458&lt;K$26,I$24,K458&lt;K$28,I$26,K458&lt;K$30,I$28,K458&lt;K$32,I$30,K458&lt;K$34,I$32,K458&lt;K$36,I$34,K458&lt;K$38,I$36,K458&lt;K$40,I$38,K458&lt;K$42,I$40,K458&lt;K$44,I$42,K458&lt;K$46,I$44,K458&gt;=K$46,I$46)</f>
        <v/>
      </c>
      <c r="J458" s="37">
        <f>_xlfn.IFS(K458&lt;K$24,0,K458&lt;K$25,J$24,K458&lt;K$26,J$25,K458&lt;K$27,J$26,K458&lt;K$28,J$27,K458&lt;K$29,J$28,K458&lt;K$30,J$29,K458&lt;K$31,J$30,K458&lt;K$32,J$31,K458&lt;K$33,J$32,K458&lt;K$34,J$33,K458&lt;K$35,J$34,K458&lt;K$36,J$35,K458&lt;K$37,J$36,K458&lt;K$38,J$37,K458&lt;K$39,J$38,K458&lt;K$40,J$39,K458&lt;K$41,J$40,K458&lt;K$42,J$41,K458&lt;K$43,J$42,K458&lt;K$44,J$43,K458&lt;K$45,J$44,K458&lt;K$46,J$45,K458&lt;K$47,J$46,K458&gt;=K$47,J$47)</f>
        <v/>
      </c>
      <c r="K458" s="38" t="n">
        <v>408</v>
      </c>
      <c r="L458" s="31">
        <f>K458/52</f>
        <v/>
      </c>
      <c r="M458" s="39">
        <f>J458/1000000*52</f>
        <v/>
      </c>
      <c r="N458" s="33">
        <f>M458/$P$4+($I$22/$P$4)</f>
        <v/>
      </c>
      <c r="U458">
        <f>F457</f>
        <v/>
      </c>
      <c r="V458">
        <f>H457</f>
        <v/>
      </c>
      <c r="W458">
        <f>N457</f>
        <v/>
      </c>
    </row>
    <row r="459" ht="15.75" customHeight="1" s="40">
      <c r="C459" s="36">
        <f>_xlfn.IFS(E459&lt;E$24,0,E459&lt;E$26,C$24,E459&lt;E$28,C$26,E459&lt;E$30,C$28,E459&lt;E$32,C$30,E459&lt;E$34,C$32,E459&gt;=E$34,C$34)</f>
        <v/>
      </c>
      <c r="D459" s="37">
        <f>_xlfn.IFS(E459&lt;E$24,0,E459&lt;E$25,D$24,E459&lt;E$26,D$25,E459&lt;E$27,D$26,E459&lt;E$28,D$27,E459&lt;E$29,D$28,E459&lt;E$30,D$29,E459&lt;E$31,D$30,E459&lt;E$32,D$31,E459&lt;E$33,D$32,E459&lt;E$34,D$33,E459&lt;E$35,D$34,E459&gt;=E$35,D$35)</f>
        <v/>
      </c>
      <c r="E459" s="38" t="n">
        <v>409</v>
      </c>
      <c r="F459" s="31">
        <f>E459/52</f>
        <v/>
      </c>
      <c r="G459" s="39">
        <f>D459/1000000*52</f>
        <v/>
      </c>
      <c r="H459" s="33">
        <f>G459/$P$4+($C$22/$P$4)</f>
        <v/>
      </c>
      <c r="I459" s="36">
        <f>_xlfn.IFS(K459&lt;K$24,0,K459&lt;K$26,I$24,K459&lt;K$28,I$26,K459&lt;K$30,I$28,K459&lt;K$32,I$30,K459&lt;K$34,I$32,K459&lt;K$36,I$34,K459&lt;K$38,I$36,K459&lt;K$40,I$38,K459&lt;K$42,I$40,K459&lt;K$44,I$42,K459&lt;K$46,I$44,K459&gt;=K$46,I$46)</f>
        <v/>
      </c>
      <c r="J459" s="37">
        <f>_xlfn.IFS(K459&lt;K$24,0,K459&lt;K$25,J$24,K459&lt;K$26,J$25,K459&lt;K$27,J$26,K459&lt;K$28,J$27,K459&lt;K$29,J$28,K459&lt;K$30,J$29,K459&lt;K$31,J$30,K459&lt;K$32,J$31,K459&lt;K$33,J$32,K459&lt;K$34,J$33,K459&lt;K$35,J$34,K459&lt;K$36,J$35,K459&lt;K$37,J$36,K459&lt;K$38,J$37,K459&lt;K$39,J$38,K459&lt;K$40,J$39,K459&lt;K$41,J$40,K459&lt;K$42,J$41,K459&lt;K$43,J$42,K459&lt;K$44,J$43,K459&lt;K$45,J$44,K459&lt;K$46,J$45,K459&lt;K$47,J$46,K459&gt;=K$47,J$47)</f>
        <v/>
      </c>
      <c r="K459" s="38" t="n">
        <v>409</v>
      </c>
      <c r="L459" s="31">
        <f>K459/52</f>
        <v/>
      </c>
      <c r="M459" s="39">
        <f>J459/1000000*52</f>
        <v/>
      </c>
      <c r="N459" s="33">
        <f>M459/$P$4+($I$22/$P$4)</f>
        <v/>
      </c>
      <c r="U459">
        <f>F458</f>
        <v/>
      </c>
      <c r="V459">
        <f>H458</f>
        <v/>
      </c>
      <c r="W459">
        <f>N458</f>
        <v/>
      </c>
    </row>
    <row r="460" ht="15.75" customHeight="1" s="40">
      <c r="C460" s="36">
        <f>_xlfn.IFS(E460&lt;E$24,0,E460&lt;E$26,C$24,E460&lt;E$28,C$26,E460&lt;E$30,C$28,E460&lt;E$32,C$30,E460&lt;E$34,C$32,E460&gt;=E$34,C$34)</f>
        <v/>
      </c>
      <c r="D460" s="37">
        <f>_xlfn.IFS(E460&lt;E$24,0,E460&lt;E$25,D$24,E460&lt;E$26,D$25,E460&lt;E$27,D$26,E460&lt;E$28,D$27,E460&lt;E$29,D$28,E460&lt;E$30,D$29,E460&lt;E$31,D$30,E460&lt;E$32,D$31,E460&lt;E$33,D$32,E460&lt;E$34,D$33,E460&lt;E$35,D$34,E460&gt;=E$35,D$35)</f>
        <v/>
      </c>
      <c r="E460" s="38" t="n">
        <v>410</v>
      </c>
      <c r="F460" s="31">
        <f>E460/52</f>
        <v/>
      </c>
      <c r="G460" s="39">
        <f>D460/1000000*52</f>
        <v/>
      </c>
      <c r="H460" s="33">
        <f>G460/$P$4+($C$22/$P$4)</f>
        <v/>
      </c>
      <c r="I460" s="36">
        <f>_xlfn.IFS(K460&lt;K$24,0,K460&lt;K$26,I$24,K460&lt;K$28,I$26,K460&lt;K$30,I$28,K460&lt;K$32,I$30,K460&lt;K$34,I$32,K460&lt;K$36,I$34,K460&lt;K$38,I$36,K460&lt;K$40,I$38,K460&lt;K$42,I$40,K460&lt;K$44,I$42,K460&lt;K$46,I$44,K460&gt;=K$46,I$46)</f>
        <v/>
      </c>
      <c r="J460" s="37">
        <f>_xlfn.IFS(K460&lt;K$24,0,K460&lt;K$25,J$24,K460&lt;K$26,J$25,K460&lt;K$27,J$26,K460&lt;K$28,J$27,K460&lt;K$29,J$28,K460&lt;K$30,J$29,K460&lt;K$31,J$30,K460&lt;K$32,J$31,K460&lt;K$33,J$32,K460&lt;K$34,J$33,K460&lt;K$35,J$34,K460&lt;K$36,J$35,K460&lt;K$37,J$36,K460&lt;K$38,J$37,K460&lt;K$39,J$38,K460&lt;K$40,J$39,K460&lt;K$41,J$40,K460&lt;K$42,J$41,K460&lt;K$43,J$42,K460&lt;K$44,J$43,K460&lt;K$45,J$44,K460&lt;K$46,J$45,K460&lt;K$47,J$46,K460&gt;=K$47,J$47)</f>
        <v/>
      </c>
      <c r="K460" s="38" t="n">
        <v>410</v>
      </c>
      <c r="L460" s="31">
        <f>K460/52</f>
        <v/>
      </c>
      <c r="M460" s="39">
        <f>J460/1000000*52</f>
        <v/>
      </c>
      <c r="N460" s="33">
        <f>M460/$P$4+($I$22/$P$4)</f>
        <v/>
      </c>
      <c r="U460">
        <f>F459</f>
        <v/>
      </c>
      <c r="V460">
        <f>H459</f>
        <v/>
      </c>
      <c r="W460">
        <f>N459</f>
        <v/>
      </c>
    </row>
    <row r="461" ht="15.75" customHeight="1" s="40">
      <c r="C461" s="36">
        <f>_xlfn.IFS(E461&lt;E$24,0,E461&lt;E$26,C$24,E461&lt;E$28,C$26,E461&lt;E$30,C$28,E461&lt;E$32,C$30,E461&lt;E$34,C$32,E461&gt;=E$34,C$34)</f>
        <v/>
      </c>
      <c r="D461" s="37">
        <f>_xlfn.IFS(E461&lt;E$24,0,E461&lt;E$25,D$24,E461&lt;E$26,D$25,E461&lt;E$27,D$26,E461&lt;E$28,D$27,E461&lt;E$29,D$28,E461&lt;E$30,D$29,E461&lt;E$31,D$30,E461&lt;E$32,D$31,E461&lt;E$33,D$32,E461&lt;E$34,D$33,E461&lt;E$35,D$34,E461&gt;=E$35,D$35)</f>
        <v/>
      </c>
      <c r="E461" s="38" t="n">
        <v>411</v>
      </c>
      <c r="F461" s="31">
        <f>E461/52</f>
        <v/>
      </c>
      <c r="G461" s="39">
        <f>D461/1000000*52</f>
        <v/>
      </c>
      <c r="H461" s="33">
        <f>G461/$P$4+($C$22/$P$4)</f>
        <v/>
      </c>
      <c r="I461" s="36">
        <f>_xlfn.IFS(K461&lt;K$24,0,K461&lt;K$26,I$24,K461&lt;K$28,I$26,K461&lt;K$30,I$28,K461&lt;K$32,I$30,K461&lt;K$34,I$32,K461&lt;K$36,I$34,K461&lt;K$38,I$36,K461&lt;K$40,I$38,K461&lt;K$42,I$40,K461&lt;K$44,I$42,K461&lt;K$46,I$44,K461&gt;=K$46,I$46)</f>
        <v/>
      </c>
      <c r="J461" s="37">
        <f>_xlfn.IFS(K461&lt;K$24,0,K461&lt;K$25,J$24,K461&lt;K$26,J$25,K461&lt;K$27,J$26,K461&lt;K$28,J$27,K461&lt;K$29,J$28,K461&lt;K$30,J$29,K461&lt;K$31,J$30,K461&lt;K$32,J$31,K461&lt;K$33,J$32,K461&lt;K$34,J$33,K461&lt;K$35,J$34,K461&lt;K$36,J$35,K461&lt;K$37,J$36,K461&lt;K$38,J$37,K461&lt;K$39,J$38,K461&lt;K$40,J$39,K461&lt;K$41,J$40,K461&lt;K$42,J$41,K461&lt;K$43,J$42,K461&lt;K$44,J$43,K461&lt;K$45,J$44,K461&lt;K$46,J$45,K461&lt;K$47,J$46,K461&gt;=K$47,J$47)</f>
        <v/>
      </c>
      <c r="K461" s="38" t="n">
        <v>411</v>
      </c>
      <c r="L461" s="31">
        <f>K461/52</f>
        <v/>
      </c>
      <c r="M461" s="39">
        <f>J461/1000000*52</f>
        <v/>
      </c>
      <c r="N461" s="33">
        <f>M461/$P$4+($I$22/$P$4)</f>
        <v/>
      </c>
      <c r="U461">
        <f>F460</f>
        <v/>
      </c>
      <c r="V461">
        <f>H460</f>
        <v/>
      </c>
      <c r="W461">
        <f>N460</f>
        <v/>
      </c>
    </row>
    <row r="462" ht="15.75" customHeight="1" s="40">
      <c r="C462" s="36">
        <f>_xlfn.IFS(E462&lt;E$24,0,E462&lt;E$26,C$24,E462&lt;E$28,C$26,E462&lt;E$30,C$28,E462&lt;E$32,C$30,E462&lt;E$34,C$32,E462&gt;=E$34,C$34)</f>
        <v/>
      </c>
      <c r="D462" s="37">
        <f>_xlfn.IFS(E462&lt;E$24,0,E462&lt;E$25,D$24,E462&lt;E$26,D$25,E462&lt;E$27,D$26,E462&lt;E$28,D$27,E462&lt;E$29,D$28,E462&lt;E$30,D$29,E462&lt;E$31,D$30,E462&lt;E$32,D$31,E462&lt;E$33,D$32,E462&lt;E$34,D$33,E462&lt;E$35,D$34,E462&gt;=E$35,D$35)</f>
        <v/>
      </c>
      <c r="E462" s="38" t="n">
        <v>412</v>
      </c>
      <c r="F462" s="31">
        <f>E462/52</f>
        <v/>
      </c>
      <c r="G462" s="39">
        <f>D462/1000000*52</f>
        <v/>
      </c>
      <c r="H462" s="33">
        <f>G462/$P$4+($C$22/$P$4)</f>
        <v/>
      </c>
      <c r="I462" s="36">
        <f>_xlfn.IFS(K462&lt;K$24,0,K462&lt;K$26,I$24,K462&lt;K$28,I$26,K462&lt;K$30,I$28,K462&lt;K$32,I$30,K462&lt;K$34,I$32,K462&lt;K$36,I$34,K462&lt;K$38,I$36,K462&lt;K$40,I$38,K462&lt;K$42,I$40,K462&lt;K$44,I$42,K462&lt;K$46,I$44,K462&gt;=K$46,I$46)</f>
        <v/>
      </c>
      <c r="J462" s="37">
        <f>_xlfn.IFS(K462&lt;K$24,0,K462&lt;K$25,J$24,K462&lt;K$26,J$25,K462&lt;K$27,J$26,K462&lt;K$28,J$27,K462&lt;K$29,J$28,K462&lt;K$30,J$29,K462&lt;K$31,J$30,K462&lt;K$32,J$31,K462&lt;K$33,J$32,K462&lt;K$34,J$33,K462&lt;K$35,J$34,K462&lt;K$36,J$35,K462&lt;K$37,J$36,K462&lt;K$38,J$37,K462&lt;K$39,J$38,K462&lt;K$40,J$39,K462&lt;K$41,J$40,K462&lt;K$42,J$41,K462&lt;K$43,J$42,K462&lt;K$44,J$43,K462&lt;K$45,J$44,K462&lt;K$46,J$45,K462&lt;K$47,J$46,K462&gt;=K$47,J$47)</f>
        <v/>
      </c>
      <c r="K462" s="38" t="n">
        <v>412</v>
      </c>
      <c r="L462" s="31">
        <f>K462/52</f>
        <v/>
      </c>
      <c r="M462" s="39">
        <f>J462/1000000*52</f>
        <v/>
      </c>
      <c r="N462" s="33">
        <f>M462/$P$4+($I$22/$P$4)</f>
        <v/>
      </c>
      <c r="U462">
        <f>F461</f>
        <v/>
      </c>
      <c r="V462">
        <f>H461</f>
        <v/>
      </c>
      <c r="W462">
        <f>N461</f>
        <v/>
      </c>
    </row>
    <row r="463" ht="15.75" customHeight="1" s="40">
      <c r="C463" s="36">
        <f>_xlfn.IFS(E463&lt;E$24,0,E463&lt;E$26,C$24,E463&lt;E$28,C$26,E463&lt;E$30,C$28,E463&lt;E$32,C$30,E463&lt;E$34,C$32,E463&gt;=E$34,C$34)</f>
        <v/>
      </c>
      <c r="D463" s="37">
        <f>_xlfn.IFS(E463&lt;E$24,0,E463&lt;E$25,D$24,E463&lt;E$26,D$25,E463&lt;E$27,D$26,E463&lt;E$28,D$27,E463&lt;E$29,D$28,E463&lt;E$30,D$29,E463&lt;E$31,D$30,E463&lt;E$32,D$31,E463&lt;E$33,D$32,E463&lt;E$34,D$33,E463&lt;E$35,D$34,E463&gt;=E$35,D$35)</f>
        <v/>
      </c>
      <c r="E463" s="38" t="n">
        <v>413</v>
      </c>
      <c r="F463" s="31">
        <f>E463/52</f>
        <v/>
      </c>
      <c r="G463" s="39">
        <f>D463/1000000*52</f>
        <v/>
      </c>
      <c r="H463" s="33">
        <f>G463/$P$4+($C$22/$P$4)</f>
        <v/>
      </c>
      <c r="I463" s="36">
        <f>_xlfn.IFS(K463&lt;K$24,0,K463&lt;K$26,I$24,K463&lt;K$28,I$26,K463&lt;K$30,I$28,K463&lt;K$32,I$30,K463&lt;K$34,I$32,K463&lt;K$36,I$34,K463&lt;K$38,I$36,K463&lt;K$40,I$38,K463&lt;K$42,I$40,K463&lt;K$44,I$42,K463&lt;K$46,I$44,K463&gt;=K$46,I$46)</f>
        <v/>
      </c>
      <c r="J463" s="37">
        <f>_xlfn.IFS(K463&lt;K$24,0,K463&lt;K$25,J$24,K463&lt;K$26,J$25,K463&lt;K$27,J$26,K463&lt;K$28,J$27,K463&lt;K$29,J$28,K463&lt;K$30,J$29,K463&lt;K$31,J$30,K463&lt;K$32,J$31,K463&lt;K$33,J$32,K463&lt;K$34,J$33,K463&lt;K$35,J$34,K463&lt;K$36,J$35,K463&lt;K$37,J$36,K463&lt;K$38,J$37,K463&lt;K$39,J$38,K463&lt;K$40,J$39,K463&lt;K$41,J$40,K463&lt;K$42,J$41,K463&lt;K$43,J$42,K463&lt;K$44,J$43,K463&lt;K$45,J$44,K463&lt;K$46,J$45,K463&lt;K$47,J$46,K463&gt;=K$47,J$47)</f>
        <v/>
      </c>
      <c r="K463" s="38" t="n">
        <v>413</v>
      </c>
      <c r="L463" s="31">
        <f>K463/52</f>
        <v/>
      </c>
      <c r="M463" s="39">
        <f>J463/1000000*52</f>
        <v/>
      </c>
      <c r="N463" s="33">
        <f>M463/$P$4+($I$22/$P$4)</f>
        <v/>
      </c>
      <c r="U463">
        <f>F462</f>
        <v/>
      </c>
      <c r="V463">
        <f>H462</f>
        <v/>
      </c>
      <c r="W463">
        <f>N462</f>
        <v/>
      </c>
    </row>
    <row r="464" ht="15.75" customHeight="1" s="40">
      <c r="C464" s="36">
        <f>_xlfn.IFS(E464&lt;E$24,0,E464&lt;E$26,C$24,E464&lt;E$28,C$26,E464&lt;E$30,C$28,E464&lt;E$32,C$30,E464&lt;E$34,C$32,E464&gt;=E$34,C$34)</f>
        <v/>
      </c>
      <c r="D464" s="37">
        <f>_xlfn.IFS(E464&lt;E$24,0,E464&lt;E$25,D$24,E464&lt;E$26,D$25,E464&lt;E$27,D$26,E464&lt;E$28,D$27,E464&lt;E$29,D$28,E464&lt;E$30,D$29,E464&lt;E$31,D$30,E464&lt;E$32,D$31,E464&lt;E$33,D$32,E464&lt;E$34,D$33,E464&lt;E$35,D$34,E464&gt;=E$35,D$35)</f>
        <v/>
      </c>
      <c r="E464" s="38" t="n">
        <v>414</v>
      </c>
      <c r="F464" s="31">
        <f>E464/52</f>
        <v/>
      </c>
      <c r="G464" s="39">
        <f>D464/1000000*52</f>
        <v/>
      </c>
      <c r="H464" s="33">
        <f>G464/$P$4+($C$22/$P$4)</f>
        <v/>
      </c>
      <c r="I464" s="36">
        <f>_xlfn.IFS(K464&lt;K$24,0,K464&lt;K$26,I$24,K464&lt;K$28,I$26,K464&lt;K$30,I$28,K464&lt;K$32,I$30,K464&lt;K$34,I$32,K464&lt;K$36,I$34,K464&lt;K$38,I$36,K464&lt;K$40,I$38,K464&lt;K$42,I$40,K464&lt;K$44,I$42,K464&lt;K$46,I$44,K464&gt;=K$46,I$46)</f>
        <v/>
      </c>
      <c r="J464" s="37">
        <f>_xlfn.IFS(K464&lt;K$24,0,K464&lt;K$25,J$24,K464&lt;K$26,J$25,K464&lt;K$27,J$26,K464&lt;K$28,J$27,K464&lt;K$29,J$28,K464&lt;K$30,J$29,K464&lt;K$31,J$30,K464&lt;K$32,J$31,K464&lt;K$33,J$32,K464&lt;K$34,J$33,K464&lt;K$35,J$34,K464&lt;K$36,J$35,K464&lt;K$37,J$36,K464&lt;K$38,J$37,K464&lt;K$39,J$38,K464&lt;K$40,J$39,K464&lt;K$41,J$40,K464&lt;K$42,J$41,K464&lt;K$43,J$42,K464&lt;K$44,J$43,K464&lt;K$45,J$44,K464&lt;K$46,J$45,K464&lt;K$47,J$46,K464&gt;=K$47,J$47)</f>
        <v/>
      </c>
      <c r="K464" s="38" t="n">
        <v>414</v>
      </c>
      <c r="L464" s="31">
        <f>K464/52</f>
        <v/>
      </c>
      <c r="M464" s="39">
        <f>J464/1000000*52</f>
        <v/>
      </c>
      <c r="N464" s="33">
        <f>M464/$P$4+($I$22/$P$4)</f>
        <v/>
      </c>
      <c r="U464">
        <f>F463</f>
        <v/>
      </c>
      <c r="V464">
        <f>H463</f>
        <v/>
      </c>
      <c r="W464">
        <f>N463</f>
        <v/>
      </c>
    </row>
    <row r="465" ht="15.75" customHeight="1" s="40">
      <c r="C465" s="36">
        <f>_xlfn.IFS(E465&lt;E$24,0,E465&lt;E$26,C$24,E465&lt;E$28,C$26,E465&lt;E$30,C$28,E465&lt;E$32,C$30,E465&lt;E$34,C$32,E465&gt;=E$34,C$34)</f>
        <v/>
      </c>
      <c r="D465" s="37">
        <f>_xlfn.IFS(E465&lt;E$24,0,E465&lt;E$25,D$24,E465&lt;E$26,D$25,E465&lt;E$27,D$26,E465&lt;E$28,D$27,E465&lt;E$29,D$28,E465&lt;E$30,D$29,E465&lt;E$31,D$30,E465&lt;E$32,D$31,E465&lt;E$33,D$32,E465&lt;E$34,D$33,E465&lt;E$35,D$34,E465&gt;=E$35,D$35)</f>
        <v/>
      </c>
      <c r="E465" s="38" t="n">
        <v>415</v>
      </c>
      <c r="F465" s="31">
        <f>E465/52</f>
        <v/>
      </c>
      <c r="G465" s="39">
        <f>D465/1000000*52</f>
        <v/>
      </c>
      <c r="H465" s="33">
        <f>G465/$P$4+($C$22/$P$4)</f>
        <v/>
      </c>
      <c r="I465" s="36">
        <f>_xlfn.IFS(K465&lt;K$24,0,K465&lt;K$26,I$24,K465&lt;K$28,I$26,K465&lt;K$30,I$28,K465&lt;K$32,I$30,K465&lt;K$34,I$32,K465&lt;K$36,I$34,K465&lt;K$38,I$36,K465&lt;K$40,I$38,K465&lt;K$42,I$40,K465&lt;K$44,I$42,K465&lt;K$46,I$44,K465&gt;=K$46,I$46)</f>
        <v/>
      </c>
      <c r="J465" s="37">
        <f>_xlfn.IFS(K465&lt;K$24,0,K465&lt;K$25,J$24,K465&lt;K$26,J$25,K465&lt;K$27,J$26,K465&lt;K$28,J$27,K465&lt;K$29,J$28,K465&lt;K$30,J$29,K465&lt;K$31,J$30,K465&lt;K$32,J$31,K465&lt;K$33,J$32,K465&lt;K$34,J$33,K465&lt;K$35,J$34,K465&lt;K$36,J$35,K465&lt;K$37,J$36,K465&lt;K$38,J$37,K465&lt;K$39,J$38,K465&lt;K$40,J$39,K465&lt;K$41,J$40,K465&lt;K$42,J$41,K465&lt;K$43,J$42,K465&lt;K$44,J$43,K465&lt;K$45,J$44,K465&lt;K$46,J$45,K465&lt;K$47,J$46,K465&gt;=K$47,J$47)</f>
        <v/>
      </c>
      <c r="K465" s="38" t="n">
        <v>415</v>
      </c>
      <c r="L465" s="31">
        <f>K465/52</f>
        <v/>
      </c>
      <c r="M465" s="39">
        <f>J465/1000000*52</f>
        <v/>
      </c>
      <c r="N465" s="33">
        <f>M465/$P$4+($I$22/$P$4)</f>
        <v/>
      </c>
      <c r="U465">
        <f>F464</f>
        <v/>
      </c>
      <c r="V465">
        <f>H464</f>
        <v/>
      </c>
      <c r="W465">
        <f>N464</f>
        <v/>
      </c>
    </row>
    <row r="466" ht="15.75" customHeight="1" s="40">
      <c r="C466" s="36">
        <f>_xlfn.IFS(E466&lt;E$24,0,E466&lt;E$26,C$24,E466&lt;E$28,C$26,E466&lt;E$30,C$28,E466&lt;E$32,C$30,E466&lt;E$34,C$32,E466&gt;=E$34,C$34)</f>
        <v/>
      </c>
      <c r="D466" s="37">
        <f>_xlfn.IFS(E466&lt;E$24,0,E466&lt;E$25,D$24,E466&lt;E$26,D$25,E466&lt;E$27,D$26,E466&lt;E$28,D$27,E466&lt;E$29,D$28,E466&lt;E$30,D$29,E466&lt;E$31,D$30,E466&lt;E$32,D$31,E466&lt;E$33,D$32,E466&lt;E$34,D$33,E466&lt;E$35,D$34,E466&gt;=E$35,D$35)</f>
        <v/>
      </c>
      <c r="E466" s="38" t="n">
        <v>416</v>
      </c>
      <c r="F466" s="31">
        <f>E466/52</f>
        <v/>
      </c>
      <c r="G466" s="39">
        <f>D466/1000000*52</f>
        <v/>
      </c>
      <c r="H466" s="33">
        <f>G466/$P$4+($C$22/$P$4)</f>
        <v/>
      </c>
      <c r="I466" s="36">
        <f>_xlfn.IFS(K466&lt;K$24,0,K466&lt;K$26,I$24,K466&lt;K$28,I$26,K466&lt;K$30,I$28,K466&lt;K$32,I$30,K466&lt;K$34,I$32,K466&lt;K$36,I$34,K466&lt;K$38,I$36,K466&lt;K$40,I$38,K466&lt;K$42,I$40,K466&lt;K$44,I$42,K466&lt;K$46,I$44,K466&gt;=K$46,I$46)</f>
        <v/>
      </c>
      <c r="J466" s="37">
        <f>_xlfn.IFS(K466&lt;K$24,0,K466&lt;K$25,J$24,K466&lt;K$26,J$25,K466&lt;K$27,J$26,K466&lt;K$28,J$27,K466&lt;K$29,J$28,K466&lt;K$30,J$29,K466&lt;K$31,J$30,K466&lt;K$32,J$31,K466&lt;K$33,J$32,K466&lt;K$34,J$33,K466&lt;K$35,J$34,K466&lt;K$36,J$35,K466&lt;K$37,J$36,K466&lt;K$38,J$37,K466&lt;K$39,J$38,K466&lt;K$40,J$39,K466&lt;K$41,J$40,K466&lt;K$42,J$41,K466&lt;K$43,J$42,K466&lt;K$44,J$43,K466&lt;K$45,J$44,K466&lt;K$46,J$45,K466&lt;K$47,J$46,K466&gt;=K$47,J$47)</f>
        <v/>
      </c>
      <c r="K466" s="38" t="n">
        <v>416</v>
      </c>
      <c r="L466" s="31">
        <f>K466/52</f>
        <v/>
      </c>
      <c r="M466" s="39">
        <f>J466/1000000*52</f>
        <v/>
      </c>
      <c r="N466" s="33">
        <f>M466/$P$4+($I$22/$P$4)</f>
        <v/>
      </c>
      <c r="U466">
        <f>F465</f>
        <v/>
      </c>
      <c r="V466">
        <f>H465</f>
        <v/>
      </c>
      <c r="W466">
        <f>N465</f>
        <v/>
      </c>
    </row>
    <row r="467" ht="15.75" customHeight="1" s="40">
      <c r="C467" s="36">
        <f>_xlfn.IFS(E467&lt;E$24,0,E467&lt;E$26,C$24,E467&lt;E$28,C$26,E467&lt;E$30,C$28,E467&lt;E$32,C$30,E467&lt;E$34,C$32,E467&gt;=E$34,C$34)</f>
        <v/>
      </c>
      <c r="D467" s="37">
        <f>_xlfn.IFS(E467&lt;E$24,0,E467&lt;E$25,D$24,E467&lt;E$26,D$25,E467&lt;E$27,D$26,E467&lt;E$28,D$27,E467&lt;E$29,D$28,E467&lt;E$30,D$29,E467&lt;E$31,D$30,E467&lt;E$32,D$31,E467&lt;E$33,D$32,E467&lt;E$34,D$33,E467&lt;E$35,D$34,E467&gt;=E$35,D$35)</f>
        <v/>
      </c>
      <c r="E467" s="38" t="n">
        <v>417</v>
      </c>
      <c r="F467" s="31">
        <f>E467/52</f>
        <v/>
      </c>
      <c r="G467" s="39">
        <f>D467/1000000*52</f>
        <v/>
      </c>
      <c r="H467" s="33">
        <f>G467/$P$4+($C$22/$P$4)</f>
        <v/>
      </c>
      <c r="I467" s="36">
        <f>_xlfn.IFS(K467&lt;K$24,0,K467&lt;K$26,I$24,K467&lt;K$28,I$26,K467&lt;K$30,I$28,K467&lt;K$32,I$30,K467&lt;K$34,I$32,K467&lt;K$36,I$34,K467&lt;K$38,I$36,K467&lt;K$40,I$38,K467&lt;K$42,I$40,K467&lt;K$44,I$42,K467&lt;K$46,I$44,K467&gt;=K$46,I$46)</f>
        <v/>
      </c>
      <c r="J467" s="37">
        <f>_xlfn.IFS(K467&lt;K$24,0,K467&lt;K$25,J$24,K467&lt;K$26,J$25,K467&lt;K$27,J$26,K467&lt;K$28,J$27,K467&lt;K$29,J$28,K467&lt;K$30,J$29,K467&lt;K$31,J$30,K467&lt;K$32,J$31,K467&lt;K$33,J$32,K467&lt;K$34,J$33,K467&lt;K$35,J$34,K467&lt;K$36,J$35,K467&lt;K$37,J$36,K467&lt;K$38,J$37,K467&lt;K$39,J$38,K467&lt;K$40,J$39,K467&lt;K$41,J$40,K467&lt;K$42,J$41,K467&lt;K$43,J$42,K467&lt;K$44,J$43,K467&lt;K$45,J$44,K467&lt;K$46,J$45,K467&lt;K$47,J$46,K467&gt;=K$47,J$47)</f>
        <v/>
      </c>
      <c r="K467" s="38" t="n">
        <v>417</v>
      </c>
      <c r="L467" s="31">
        <f>K467/52</f>
        <v/>
      </c>
      <c r="M467" s="39">
        <f>J467/1000000*52</f>
        <v/>
      </c>
      <c r="N467" s="33">
        <f>M467/$P$4+($I$22/$P$4)</f>
        <v/>
      </c>
      <c r="U467">
        <f>F466</f>
        <v/>
      </c>
      <c r="V467">
        <f>H466</f>
        <v/>
      </c>
      <c r="W467">
        <f>N466</f>
        <v/>
      </c>
    </row>
    <row r="468" ht="15.75" customHeight="1" s="40">
      <c r="C468" s="36">
        <f>_xlfn.IFS(E468&lt;E$24,0,E468&lt;E$26,C$24,E468&lt;E$28,C$26,E468&lt;E$30,C$28,E468&lt;E$32,C$30,E468&lt;E$34,C$32,E468&gt;=E$34,C$34)</f>
        <v/>
      </c>
      <c r="D468" s="37">
        <f>_xlfn.IFS(E468&lt;E$24,0,E468&lt;E$25,D$24,E468&lt;E$26,D$25,E468&lt;E$27,D$26,E468&lt;E$28,D$27,E468&lt;E$29,D$28,E468&lt;E$30,D$29,E468&lt;E$31,D$30,E468&lt;E$32,D$31,E468&lt;E$33,D$32,E468&lt;E$34,D$33,E468&lt;E$35,D$34,E468&gt;=E$35,D$35)</f>
        <v/>
      </c>
      <c r="E468" s="38" t="n">
        <v>418</v>
      </c>
      <c r="F468" s="31">
        <f>E468/52</f>
        <v/>
      </c>
      <c r="G468" s="39">
        <f>D468/1000000*52</f>
        <v/>
      </c>
      <c r="H468" s="33">
        <f>G468/$P$4+($C$22/$P$4)</f>
        <v/>
      </c>
      <c r="I468" s="36">
        <f>_xlfn.IFS(K468&lt;K$24,0,K468&lt;K$26,I$24,K468&lt;K$28,I$26,K468&lt;K$30,I$28,K468&lt;K$32,I$30,K468&lt;K$34,I$32,K468&lt;K$36,I$34,K468&lt;K$38,I$36,K468&lt;K$40,I$38,K468&lt;K$42,I$40,K468&lt;K$44,I$42,K468&lt;K$46,I$44,K468&gt;=K$46,I$46)</f>
        <v/>
      </c>
      <c r="J468" s="37">
        <f>_xlfn.IFS(K468&lt;K$24,0,K468&lt;K$25,J$24,K468&lt;K$26,J$25,K468&lt;K$27,J$26,K468&lt;K$28,J$27,K468&lt;K$29,J$28,K468&lt;K$30,J$29,K468&lt;K$31,J$30,K468&lt;K$32,J$31,K468&lt;K$33,J$32,K468&lt;K$34,J$33,K468&lt;K$35,J$34,K468&lt;K$36,J$35,K468&lt;K$37,J$36,K468&lt;K$38,J$37,K468&lt;K$39,J$38,K468&lt;K$40,J$39,K468&lt;K$41,J$40,K468&lt;K$42,J$41,K468&lt;K$43,J$42,K468&lt;K$44,J$43,K468&lt;K$45,J$44,K468&lt;K$46,J$45,K468&lt;K$47,J$46,K468&gt;=K$47,J$47)</f>
        <v/>
      </c>
      <c r="K468" s="38" t="n">
        <v>418</v>
      </c>
      <c r="L468" s="31">
        <f>K468/52</f>
        <v/>
      </c>
      <c r="M468" s="39">
        <f>J468/1000000*52</f>
        <v/>
      </c>
      <c r="N468" s="33">
        <f>M468/$P$4+($I$22/$P$4)</f>
        <v/>
      </c>
      <c r="U468">
        <f>F467</f>
        <v/>
      </c>
      <c r="V468">
        <f>H467</f>
        <v/>
      </c>
      <c r="W468">
        <f>N467</f>
        <v/>
      </c>
    </row>
    <row r="469" ht="15.75" customHeight="1" s="40">
      <c r="C469" s="36">
        <f>_xlfn.IFS(E469&lt;E$24,0,E469&lt;E$26,C$24,E469&lt;E$28,C$26,E469&lt;E$30,C$28,E469&lt;E$32,C$30,E469&lt;E$34,C$32,E469&gt;=E$34,C$34)</f>
        <v/>
      </c>
      <c r="D469" s="37">
        <f>_xlfn.IFS(E469&lt;E$24,0,E469&lt;E$25,D$24,E469&lt;E$26,D$25,E469&lt;E$27,D$26,E469&lt;E$28,D$27,E469&lt;E$29,D$28,E469&lt;E$30,D$29,E469&lt;E$31,D$30,E469&lt;E$32,D$31,E469&lt;E$33,D$32,E469&lt;E$34,D$33,E469&lt;E$35,D$34,E469&gt;=E$35,D$35)</f>
        <v/>
      </c>
      <c r="E469" s="38" t="n">
        <v>419</v>
      </c>
      <c r="F469" s="31">
        <f>E469/52</f>
        <v/>
      </c>
      <c r="G469" s="39">
        <f>D469/1000000*52</f>
        <v/>
      </c>
      <c r="H469" s="33">
        <f>G469/$P$4+($C$22/$P$4)</f>
        <v/>
      </c>
      <c r="I469" s="36">
        <f>_xlfn.IFS(K469&lt;K$24,0,K469&lt;K$26,I$24,K469&lt;K$28,I$26,K469&lt;K$30,I$28,K469&lt;K$32,I$30,K469&lt;K$34,I$32,K469&lt;K$36,I$34,K469&lt;K$38,I$36,K469&lt;K$40,I$38,K469&lt;K$42,I$40,K469&lt;K$44,I$42,K469&lt;K$46,I$44,K469&gt;=K$46,I$46)</f>
        <v/>
      </c>
      <c r="J469" s="37">
        <f>_xlfn.IFS(K469&lt;K$24,0,K469&lt;K$25,J$24,K469&lt;K$26,J$25,K469&lt;K$27,J$26,K469&lt;K$28,J$27,K469&lt;K$29,J$28,K469&lt;K$30,J$29,K469&lt;K$31,J$30,K469&lt;K$32,J$31,K469&lt;K$33,J$32,K469&lt;K$34,J$33,K469&lt;K$35,J$34,K469&lt;K$36,J$35,K469&lt;K$37,J$36,K469&lt;K$38,J$37,K469&lt;K$39,J$38,K469&lt;K$40,J$39,K469&lt;K$41,J$40,K469&lt;K$42,J$41,K469&lt;K$43,J$42,K469&lt;K$44,J$43,K469&lt;K$45,J$44,K469&lt;K$46,J$45,K469&lt;K$47,J$46,K469&gt;=K$47,J$47)</f>
        <v/>
      </c>
      <c r="K469" s="38" t="n">
        <v>419</v>
      </c>
      <c r="L469" s="31">
        <f>K469/52</f>
        <v/>
      </c>
      <c r="M469" s="39">
        <f>J469/1000000*52</f>
        <v/>
      </c>
      <c r="N469" s="33">
        <f>M469/$P$4+($I$22/$P$4)</f>
        <v/>
      </c>
      <c r="U469">
        <f>F468</f>
        <v/>
      </c>
      <c r="V469">
        <f>H468</f>
        <v/>
      </c>
      <c r="W469">
        <f>N468</f>
        <v/>
      </c>
    </row>
    <row r="470" ht="15.75" customHeight="1" s="40">
      <c r="C470" s="36">
        <f>_xlfn.IFS(E470&lt;E$24,0,E470&lt;E$26,C$24,E470&lt;E$28,C$26,E470&lt;E$30,C$28,E470&lt;E$32,C$30,E470&lt;E$34,C$32,E470&gt;=E$34,C$34)</f>
        <v/>
      </c>
      <c r="D470" s="37">
        <f>_xlfn.IFS(E470&lt;E$24,0,E470&lt;E$25,D$24,E470&lt;E$26,D$25,E470&lt;E$27,D$26,E470&lt;E$28,D$27,E470&lt;E$29,D$28,E470&lt;E$30,D$29,E470&lt;E$31,D$30,E470&lt;E$32,D$31,E470&lt;E$33,D$32,E470&lt;E$34,D$33,E470&lt;E$35,D$34,E470&gt;=E$35,D$35)</f>
        <v/>
      </c>
      <c r="E470" s="38" t="n">
        <v>420</v>
      </c>
      <c r="F470" s="31">
        <f>E470/52</f>
        <v/>
      </c>
      <c r="G470" s="39">
        <f>D470/1000000*52</f>
        <v/>
      </c>
      <c r="H470" s="33">
        <f>G470/$P$4+($C$22/$P$4)</f>
        <v/>
      </c>
      <c r="I470" s="36">
        <f>_xlfn.IFS(K470&lt;K$24,0,K470&lt;K$26,I$24,K470&lt;K$28,I$26,K470&lt;K$30,I$28,K470&lt;K$32,I$30,K470&lt;K$34,I$32,K470&lt;K$36,I$34,K470&lt;K$38,I$36,K470&lt;K$40,I$38,K470&lt;K$42,I$40,K470&lt;K$44,I$42,K470&lt;K$46,I$44,K470&gt;=K$46,I$46)</f>
        <v/>
      </c>
      <c r="J470" s="37">
        <f>_xlfn.IFS(K470&lt;K$24,0,K470&lt;K$25,J$24,K470&lt;K$26,J$25,K470&lt;K$27,J$26,K470&lt;K$28,J$27,K470&lt;K$29,J$28,K470&lt;K$30,J$29,K470&lt;K$31,J$30,K470&lt;K$32,J$31,K470&lt;K$33,J$32,K470&lt;K$34,J$33,K470&lt;K$35,J$34,K470&lt;K$36,J$35,K470&lt;K$37,J$36,K470&lt;K$38,J$37,K470&lt;K$39,J$38,K470&lt;K$40,J$39,K470&lt;K$41,J$40,K470&lt;K$42,J$41,K470&lt;K$43,J$42,K470&lt;K$44,J$43,K470&lt;K$45,J$44,K470&lt;K$46,J$45,K470&lt;K$47,J$46,K470&gt;=K$47,J$47)</f>
        <v/>
      </c>
      <c r="K470" s="38" t="n">
        <v>420</v>
      </c>
      <c r="L470" s="31">
        <f>K470/52</f>
        <v/>
      </c>
      <c r="M470" s="39">
        <f>J470/1000000*52</f>
        <v/>
      </c>
      <c r="N470" s="33">
        <f>M470/$P$4+($I$22/$P$4)</f>
        <v/>
      </c>
      <c r="U470">
        <f>F469</f>
        <v/>
      </c>
      <c r="V470">
        <f>H469</f>
        <v/>
      </c>
      <c r="W470">
        <f>N469</f>
        <v/>
      </c>
    </row>
    <row r="471" ht="15.75" customHeight="1" s="40">
      <c r="C471" s="36">
        <f>_xlfn.IFS(E471&lt;E$24,0,E471&lt;E$26,C$24,E471&lt;E$28,C$26,E471&lt;E$30,C$28,E471&lt;E$32,C$30,E471&lt;E$34,C$32,E471&gt;=E$34,C$34)</f>
        <v/>
      </c>
      <c r="D471" s="37">
        <f>_xlfn.IFS(E471&lt;E$24,0,E471&lt;E$25,D$24,E471&lt;E$26,D$25,E471&lt;E$27,D$26,E471&lt;E$28,D$27,E471&lt;E$29,D$28,E471&lt;E$30,D$29,E471&lt;E$31,D$30,E471&lt;E$32,D$31,E471&lt;E$33,D$32,E471&lt;E$34,D$33,E471&lt;E$35,D$34,E471&gt;=E$35,D$35)</f>
        <v/>
      </c>
      <c r="E471" s="38" t="n">
        <v>421</v>
      </c>
      <c r="F471" s="31">
        <f>E471/52</f>
        <v/>
      </c>
      <c r="G471" s="39">
        <f>D471/1000000*52</f>
        <v/>
      </c>
      <c r="H471" s="33">
        <f>G471/$P$4+($C$22/$P$4)</f>
        <v/>
      </c>
      <c r="I471" s="36">
        <f>_xlfn.IFS(K471&lt;K$24,0,K471&lt;K$26,I$24,K471&lt;K$28,I$26,K471&lt;K$30,I$28,K471&lt;K$32,I$30,K471&lt;K$34,I$32,K471&lt;K$36,I$34,K471&lt;K$38,I$36,K471&lt;K$40,I$38,K471&lt;K$42,I$40,K471&lt;K$44,I$42,K471&lt;K$46,I$44,K471&gt;=K$46,I$46)</f>
        <v/>
      </c>
      <c r="J471" s="37">
        <f>_xlfn.IFS(K471&lt;K$24,0,K471&lt;K$25,J$24,K471&lt;K$26,J$25,K471&lt;K$27,J$26,K471&lt;K$28,J$27,K471&lt;K$29,J$28,K471&lt;K$30,J$29,K471&lt;K$31,J$30,K471&lt;K$32,J$31,K471&lt;K$33,J$32,K471&lt;K$34,J$33,K471&lt;K$35,J$34,K471&lt;K$36,J$35,K471&lt;K$37,J$36,K471&lt;K$38,J$37,K471&lt;K$39,J$38,K471&lt;K$40,J$39,K471&lt;K$41,J$40,K471&lt;K$42,J$41,K471&lt;K$43,J$42,K471&lt;K$44,J$43,K471&lt;K$45,J$44,K471&lt;K$46,J$45,K471&lt;K$47,J$46,K471&gt;=K$47,J$47)</f>
        <v/>
      </c>
      <c r="K471" s="38" t="n">
        <v>421</v>
      </c>
      <c r="L471" s="31">
        <f>K471/52</f>
        <v/>
      </c>
      <c r="M471" s="39">
        <f>J471/1000000*52</f>
        <v/>
      </c>
      <c r="N471" s="33">
        <f>M471/$P$4+($I$22/$P$4)</f>
        <v/>
      </c>
      <c r="U471">
        <f>F470</f>
        <v/>
      </c>
      <c r="V471">
        <f>H470</f>
        <v/>
      </c>
      <c r="W471">
        <f>N470</f>
        <v/>
      </c>
    </row>
    <row r="472" ht="15.75" customHeight="1" s="40">
      <c r="C472" s="36">
        <f>_xlfn.IFS(E472&lt;E$24,0,E472&lt;E$26,C$24,E472&lt;E$28,C$26,E472&lt;E$30,C$28,E472&lt;E$32,C$30,E472&lt;E$34,C$32,E472&gt;=E$34,C$34)</f>
        <v/>
      </c>
      <c r="D472" s="37">
        <f>_xlfn.IFS(E472&lt;E$24,0,E472&lt;E$25,D$24,E472&lt;E$26,D$25,E472&lt;E$27,D$26,E472&lt;E$28,D$27,E472&lt;E$29,D$28,E472&lt;E$30,D$29,E472&lt;E$31,D$30,E472&lt;E$32,D$31,E472&lt;E$33,D$32,E472&lt;E$34,D$33,E472&lt;E$35,D$34,E472&gt;=E$35,D$35)</f>
        <v/>
      </c>
      <c r="E472" s="38" t="n">
        <v>422</v>
      </c>
      <c r="F472" s="31">
        <f>E472/52</f>
        <v/>
      </c>
      <c r="G472" s="39">
        <f>D472/1000000*52</f>
        <v/>
      </c>
      <c r="H472" s="33">
        <f>G472/$P$4+($C$22/$P$4)</f>
        <v/>
      </c>
      <c r="I472" s="36">
        <f>_xlfn.IFS(K472&lt;K$24,0,K472&lt;K$26,I$24,K472&lt;K$28,I$26,K472&lt;K$30,I$28,K472&lt;K$32,I$30,K472&lt;K$34,I$32,K472&lt;K$36,I$34,K472&lt;K$38,I$36,K472&lt;K$40,I$38,K472&lt;K$42,I$40,K472&lt;K$44,I$42,K472&lt;K$46,I$44,K472&gt;=K$46,I$46)</f>
        <v/>
      </c>
      <c r="J472" s="37">
        <f>_xlfn.IFS(K472&lt;K$24,0,K472&lt;K$25,J$24,K472&lt;K$26,J$25,K472&lt;K$27,J$26,K472&lt;K$28,J$27,K472&lt;K$29,J$28,K472&lt;K$30,J$29,K472&lt;K$31,J$30,K472&lt;K$32,J$31,K472&lt;K$33,J$32,K472&lt;K$34,J$33,K472&lt;K$35,J$34,K472&lt;K$36,J$35,K472&lt;K$37,J$36,K472&lt;K$38,J$37,K472&lt;K$39,J$38,K472&lt;K$40,J$39,K472&lt;K$41,J$40,K472&lt;K$42,J$41,K472&lt;K$43,J$42,K472&lt;K$44,J$43,K472&lt;K$45,J$44,K472&lt;K$46,J$45,K472&lt;K$47,J$46,K472&gt;=K$47,J$47)</f>
        <v/>
      </c>
      <c r="K472" s="38" t="n">
        <v>422</v>
      </c>
      <c r="L472" s="31">
        <f>K472/52</f>
        <v/>
      </c>
      <c r="M472" s="39">
        <f>J472/1000000*52</f>
        <v/>
      </c>
      <c r="N472" s="33">
        <f>M472/$P$4+($I$22/$P$4)</f>
        <v/>
      </c>
      <c r="U472">
        <f>F471</f>
        <v/>
      </c>
      <c r="V472">
        <f>H471</f>
        <v/>
      </c>
      <c r="W472">
        <f>N471</f>
        <v/>
      </c>
    </row>
    <row r="473" ht="15.75" customHeight="1" s="40">
      <c r="C473" s="36">
        <f>_xlfn.IFS(E473&lt;E$24,0,E473&lt;E$26,C$24,E473&lt;E$28,C$26,E473&lt;E$30,C$28,E473&lt;E$32,C$30,E473&lt;E$34,C$32,E473&gt;=E$34,C$34)</f>
        <v/>
      </c>
      <c r="D473" s="37">
        <f>_xlfn.IFS(E473&lt;E$24,0,E473&lt;E$25,D$24,E473&lt;E$26,D$25,E473&lt;E$27,D$26,E473&lt;E$28,D$27,E473&lt;E$29,D$28,E473&lt;E$30,D$29,E473&lt;E$31,D$30,E473&lt;E$32,D$31,E473&lt;E$33,D$32,E473&lt;E$34,D$33,E473&lt;E$35,D$34,E473&gt;=E$35,D$35)</f>
        <v/>
      </c>
      <c r="E473" s="38" t="n">
        <v>423</v>
      </c>
      <c r="F473" s="31">
        <f>E473/52</f>
        <v/>
      </c>
      <c r="G473" s="39">
        <f>D473/1000000*52</f>
        <v/>
      </c>
      <c r="H473" s="33">
        <f>G473/$P$4+($C$22/$P$4)</f>
        <v/>
      </c>
      <c r="I473" s="36">
        <f>_xlfn.IFS(K473&lt;K$24,0,K473&lt;K$26,I$24,K473&lt;K$28,I$26,K473&lt;K$30,I$28,K473&lt;K$32,I$30,K473&lt;K$34,I$32,K473&lt;K$36,I$34,K473&lt;K$38,I$36,K473&lt;K$40,I$38,K473&lt;K$42,I$40,K473&lt;K$44,I$42,K473&lt;K$46,I$44,K473&gt;=K$46,I$46)</f>
        <v/>
      </c>
      <c r="J473" s="37">
        <f>_xlfn.IFS(K473&lt;K$24,0,K473&lt;K$25,J$24,K473&lt;K$26,J$25,K473&lt;K$27,J$26,K473&lt;K$28,J$27,K473&lt;K$29,J$28,K473&lt;K$30,J$29,K473&lt;K$31,J$30,K473&lt;K$32,J$31,K473&lt;K$33,J$32,K473&lt;K$34,J$33,K473&lt;K$35,J$34,K473&lt;K$36,J$35,K473&lt;K$37,J$36,K473&lt;K$38,J$37,K473&lt;K$39,J$38,K473&lt;K$40,J$39,K473&lt;K$41,J$40,K473&lt;K$42,J$41,K473&lt;K$43,J$42,K473&lt;K$44,J$43,K473&lt;K$45,J$44,K473&lt;K$46,J$45,K473&lt;K$47,J$46,K473&gt;=K$47,J$47)</f>
        <v/>
      </c>
      <c r="K473" s="38" t="n">
        <v>423</v>
      </c>
      <c r="L473" s="31">
        <f>K473/52</f>
        <v/>
      </c>
      <c r="M473" s="39">
        <f>J473/1000000*52</f>
        <v/>
      </c>
      <c r="N473" s="33">
        <f>M473/$P$4+($I$22/$P$4)</f>
        <v/>
      </c>
      <c r="U473">
        <f>F472</f>
        <v/>
      </c>
      <c r="V473">
        <f>H472</f>
        <v/>
      </c>
      <c r="W473">
        <f>N472</f>
        <v/>
      </c>
    </row>
    <row r="474" ht="15.75" customHeight="1" s="40">
      <c r="C474" s="36">
        <f>_xlfn.IFS(E474&lt;E$24,0,E474&lt;E$26,C$24,E474&lt;E$28,C$26,E474&lt;E$30,C$28,E474&lt;E$32,C$30,E474&lt;E$34,C$32,E474&gt;=E$34,C$34)</f>
        <v/>
      </c>
      <c r="D474" s="37">
        <f>_xlfn.IFS(E474&lt;E$24,0,E474&lt;E$25,D$24,E474&lt;E$26,D$25,E474&lt;E$27,D$26,E474&lt;E$28,D$27,E474&lt;E$29,D$28,E474&lt;E$30,D$29,E474&lt;E$31,D$30,E474&lt;E$32,D$31,E474&lt;E$33,D$32,E474&lt;E$34,D$33,E474&lt;E$35,D$34,E474&gt;=E$35,D$35)</f>
        <v/>
      </c>
      <c r="E474" s="38" t="n">
        <v>424</v>
      </c>
      <c r="F474" s="31">
        <f>E474/52</f>
        <v/>
      </c>
      <c r="G474" s="39">
        <f>D474/1000000*52</f>
        <v/>
      </c>
      <c r="H474" s="33">
        <f>G474/$P$4+($C$22/$P$4)</f>
        <v/>
      </c>
      <c r="I474" s="36">
        <f>_xlfn.IFS(K474&lt;K$24,0,K474&lt;K$26,I$24,K474&lt;K$28,I$26,K474&lt;K$30,I$28,K474&lt;K$32,I$30,K474&lt;K$34,I$32,K474&lt;K$36,I$34,K474&lt;K$38,I$36,K474&lt;K$40,I$38,K474&lt;K$42,I$40,K474&lt;K$44,I$42,K474&lt;K$46,I$44,K474&gt;=K$46,I$46)</f>
        <v/>
      </c>
      <c r="J474" s="37">
        <f>_xlfn.IFS(K474&lt;K$24,0,K474&lt;K$25,J$24,K474&lt;K$26,J$25,K474&lt;K$27,J$26,K474&lt;K$28,J$27,K474&lt;K$29,J$28,K474&lt;K$30,J$29,K474&lt;K$31,J$30,K474&lt;K$32,J$31,K474&lt;K$33,J$32,K474&lt;K$34,J$33,K474&lt;K$35,J$34,K474&lt;K$36,J$35,K474&lt;K$37,J$36,K474&lt;K$38,J$37,K474&lt;K$39,J$38,K474&lt;K$40,J$39,K474&lt;K$41,J$40,K474&lt;K$42,J$41,K474&lt;K$43,J$42,K474&lt;K$44,J$43,K474&lt;K$45,J$44,K474&lt;K$46,J$45,K474&lt;K$47,J$46,K474&gt;=K$47,J$47)</f>
        <v/>
      </c>
      <c r="K474" s="38" t="n">
        <v>424</v>
      </c>
      <c r="L474" s="31">
        <f>K474/52</f>
        <v/>
      </c>
      <c r="M474" s="39">
        <f>J474/1000000*52</f>
        <v/>
      </c>
      <c r="N474" s="33">
        <f>M474/$P$4+($I$22/$P$4)</f>
        <v/>
      </c>
      <c r="U474">
        <f>F473</f>
        <v/>
      </c>
      <c r="V474">
        <f>H473</f>
        <v/>
      </c>
      <c r="W474">
        <f>N473</f>
        <v/>
      </c>
    </row>
    <row r="475" ht="15.75" customHeight="1" s="40">
      <c r="C475" s="36">
        <f>_xlfn.IFS(E475&lt;E$24,0,E475&lt;E$26,C$24,E475&lt;E$28,C$26,E475&lt;E$30,C$28,E475&lt;E$32,C$30,E475&lt;E$34,C$32,E475&gt;=E$34,C$34)</f>
        <v/>
      </c>
      <c r="D475" s="37">
        <f>_xlfn.IFS(E475&lt;E$24,0,E475&lt;E$25,D$24,E475&lt;E$26,D$25,E475&lt;E$27,D$26,E475&lt;E$28,D$27,E475&lt;E$29,D$28,E475&lt;E$30,D$29,E475&lt;E$31,D$30,E475&lt;E$32,D$31,E475&lt;E$33,D$32,E475&lt;E$34,D$33,E475&lt;E$35,D$34,E475&gt;=E$35,D$35)</f>
        <v/>
      </c>
      <c r="E475" s="38" t="n">
        <v>425</v>
      </c>
      <c r="F475" s="31">
        <f>E475/52</f>
        <v/>
      </c>
      <c r="G475" s="39">
        <f>D475/1000000*52</f>
        <v/>
      </c>
      <c r="H475" s="33">
        <f>G475/$P$4+($C$22/$P$4)</f>
        <v/>
      </c>
      <c r="I475" s="36">
        <f>_xlfn.IFS(K475&lt;K$24,0,K475&lt;K$26,I$24,K475&lt;K$28,I$26,K475&lt;K$30,I$28,K475&lt;K$32,I$30,K475&lt;K$34,I$32,K475&lt;K$36,I$34,K475&lt;K$38,I$36,K475&lt;K$40,I$38,K475&lt;K$42,I$40,K475&lt;K$44,I$42,K475&lt;K$46,I$44,K475&gt;=K$46,I$46)</f>
        <v/>
      </c>
      <c r="J475" s="37">
        <f>_xlfn.IFS(K475&lt;K$24,0,K475&lt;K$25,J$24,K475&lt;K$26,J$25,K475&lt;K$27,J$26,K475&lt;K$28,J$27,K475&lt;K$29,J$28,K475&lt;K$30,J$29,K475&lt;K$31,J$30,K475&lt;K$32,J$31,K475&lt;K$33,J$32,K475&lt;K$34,J$33,K475&lt;K$35,J$34,K475&lt;K$36,J$35,K475&lt;K$37,J$36,K475&lt;K$38,J$37,K475&lt;K$39,J$38,K475&lt;K$40,J$39,K475&lt;K$41,J$40,K475&lt;K$42,J$41,K475&lt;K$43,J$42,K475&lt;K$44,J$43,K475&lt;K$45,J$44,K475&lt;K$46,J$45,K475&lt;K$47,J$46,K475&gt;=K$47,J$47)</f>
        <v/>
      </c>
      <c r="K475" s="38" t="n">
        <v>425</v>
      </c>
      <c r="L475" s="31">
        <f>K475/52</f>
        <v/>
      </c>
      <c r="M475" s="39">
        <f>J475/1000000*52</f>
        <v/>
      </c>
      <c r="N475" s="33">
        <f>M475/$P$4+($I$22/$P$4)</f>
        <v/>
      </c>
      <c r="U475">
        <f>F474</f>
        <v/>
      </c>
      <c r="V475">
        <f>H474</f>
        <v/>
      </c>
      <c r="W475">
        <f>N474</f>
        <v/>
      </c>
    </row>
    <row r="476" ht="15.75" customHeight="1" s="40">
      <c r="C476" s="36">
        <f>_xlfn.IFS(E476&lt;E$24,0,E476&lt;E$26,C$24,E476&lt;E$28,C$26,E476&lt;E$30,C$28,E476&lt;E$32,C$30,E476&lt;E$34,C$32,E476&gt;=E$34,C$34)</f>
        <v/>
      </c>
      <c r="D476" s="37">
        <f>_xlfn.IFS(E476&lt;E$24,0,E476&lt;E$25,D$24,E476&lt;E$26,D$25,E476&lt;E$27,D$26,E476&lt;E$28,D$27,E476&lt;E$29,D$28,E476&lt;E$30,D$29,E476&lt;E$31,D$30,E476&lt;E$32,D$31,E476&lt;E$33,D$32,E476&lt;E$34,D$33,E476&lt;E$35,D$34,E476&gt;=E$35,D$35)</f>
        <v/>
      </c>
      <c r="E476" s="38" t="n">
        <v>426</v>
      </c>
      <c r="F476" s="31">
        <f>E476/52</f>
        <v/>
      </c>
      <c r="G476" s="39">
        <f>D476/1000000*52</f>
        <v/>
      </c>
      <c r="H476" s="33">
        <f>G476/$P$4+($C$22/$P$4)</f>
        <v/>
      </c>
      <c r="I476" s="36">
        <f>_xlfn.IFS(K476&lt;K$24,0,K476&lt;K$26,I$24,K476&lt;K$28,I$26,K476&lt;K$30,I$28,K476&lt;K$32,I$30,K476&lt;K$34,I$32,K476&lt;K$36,I$34,K476&lt;K$38,I$36,K476&lt;K$40,I$38,K476&lt;K$42,I$40,K476&lt;K$44,I$42,K476&lt;K$46,I$44,K476&gt;=K$46,I$46)</f>
        <v/>
      </c>
      <c r="J476" s="37">
        <f>_xlfn.IFS(K476&lt;K$24,0,K476&lt;K$25,J$24,K476&lt;K$26,J$25,K476&lt;K$27,J$26,K476&lt;K$28,J$27,K476&lt;K$29,J$28,K476&lt;K$30,J$29,K476&lt;K$31,J$30,K476&lt;K$32,J$31,K476&lt;K$33,J$32,K476&lt;K$34,J$33,K476&lt;K$35,J$34,K476&lt;K$36,J$35,K476&lt;K$37,J$36,K476&lt;K$38,J$37,K476&lt;K$39,J$38,K476&lt;K$40,J$39,K476&lt;K$41,J$40,K476&lt;K$42,J$41,K476&lt;K$43,J$42,K476&lt;K$44,J$43,K476&lt;K$45,J$44,K476&lt;K$46,J$45,K476&lt;K$47,J$46,K476&gt;=K$47,J$47)</f>
        <v/>
      </c>
      <c r="K476" s="38" t="n">
        <v>426</v>
      </c>
      <c r="L476" s="31">
        <f>K476/52</f>
        <v/>
      </c>
      <c r="M476" s="39">
        <f>J476/1000000*52</f>
        <v/>
      </c>
      <c r="N476" s="33">
        <f>M476/$P$4+($I$22/$P$4)</f>
        <v/>
      </c>
      <c r="U476">
        <f>F475</f>
        <v/>
      </c>
      <c r="V476">
        <f>H475</f>
        <v/>
      </c>
      <c r="W476">
        <f>N475</f>
        <v/>
      </c>
    </row>
    <row r="477" ht="15.75" customHeight="1" s="40">
      <c r="C477" s="36">
        <f>_xlfn.IFS(E477&lt;E$24,0,E477&lt;E$26,C$24,E477&lt;E$28,C$26,E477&lt;E$30,C$28,E477&lt;E$32,C$30,E477&lt;E$34,C$32,E477&gt;=E$34,C$34)</f>
        <v/>
      </c>
      <c r="D477" s="37">
        <f>_xlfn.IFS(E477&lt;E$24,0,E477&lt;E$25,D$24,E477&lt;E$26,D$25,E477&lt;E$27,D$26,E477&lt;E$28,D$27,E477&lt;E$29,D$28,E477&lt;E$30,D$29,E477&lt;E$31,D$30,E477&lt;E$32,D$31,E477&lt;E$33,D$32,E477&lt;E$34,D$33,E477&lt;E$35,D$34,E477&gt;=E$35,D$35)</f>
        <v/>
      </c>
      <c r="E477" s="38" t="n">
        <v>427</v>
      </c>
      <c r="F477" s="31">
        <f>E477/52</f>
        <v/>
      </c>
      <c r="G477" s="39">
        <f>D477/1000000*52</f>
        <v/>
      </c>
      <c r="H477" s="33">
        <f>G477/$P$4+($C$22/$P$4)</f>
        <v/>
      </c>
      <c r="I477" s="36">
        <f>_xlfn.IFS(K477&lt;K$24,0,K477&lt;K$26,I$24,K477&lt;K$28,I$26,K477&lt;K$30,I$28,K477&lt;K$32,I$30,K477&lt;K$34,I$32,K477&lt;K$36,I$34,K477&lt;K$38,I$36,K477&lt;K$40,I$38,K477&lt;K$42,I$40,K477&lt;K$44,I$42,K477&lt;K$46,I$44,K477&gt;=K$46,I$46)</f>
        <v/>
      </c>
      <c r="J477" s="37">
        <f>_xlfn.IFS(K477&lt;K$24,0,K477&lt;K$25,J$24,K477&lt;K$26,J$25,K477&lt;K$27,J$26,K477&lt;K$28,J$27,K477&lt;K$29,J$28,K477&lt;K$30,J$29,K477&lt;K$31,J$30,K477&lt;K$32,J$31,K477&lt;K$33,J$32,K477&lt;K$34,J$33,K477&lt;K$35,J$34,K477&lt;K$36,J$35,K477&lt;K$37,J$36,K477&lt;K$38,J$37,K477&lt;K$39,J$38,K477&lt;K$40,J$39,K477&lt;K$41,J$40,K477&lt;K$42,J$41,K477&lt;K$43,J$42,K477&lt;K$44,J$43,K477&lt;K$45,J$44,K477&lt;K$46,J$45,K477&lt;K$47,J$46,K477&gt;=K$47,J$47)</f>
        <v/>
      </c>
      <c r="K477" s="38" t="n">
        <v>427</v>
      </c>
      <c r="L477" s="31">
        <f>K477/52</f>
        <v/>
      </c>
      <c r="M477" s="39">
        <f>J477/1000000*52</f>
        <v/>
      </c>
      <c r="N477" s="33">
        <f>M477/$P$4+($I$22/$P$4)</f>
        <v/>
      </c>
      <c r="U477">
        <f>F476</f>
        <v/>
      </c>
      <c r="V477">
        <f>H476</f>
        <v/>
      </c>
      <c r="W477">
        <f>N476</f>
        <v/>
      </c>
    </row>
    <row r="478" ht="15.75" customHeight="1" s="40">
      <c r="C478" s="36">
        <f>_xlfn.IFS(E478&lt;E$24,0,E478&lt;E$26,C$24,E478&lt;E$28,C$26,E478&lt;E$30,C$28,E478&lt;E$32,C$30,E478&lt;E$34,C$32,E478&gt;=E$34,C$34)</f>
        <v/>
      </c>
      <c r="D478" s="37">
        <f>_xlfn.IFS(E478&lt;E$24,0,E478&lt;E$25,D$24,E478&lt;E$26,D$25,E478&lt;E$27,D$26,E478&lt;E$28,D$27,E478&lt;E$29,D$28,E478&lt;E$30,D$29,E478&lt;E$31,D$30,E478&lt;E$32,D$31,E478&lt;E$33,D$32,E478&lt;E$34,D$33,E478&lt;E$35,D$34,E478&gt;=E$35,D$35)</f>
        <v/>
      </c>
      <c r="E478" s="38" t="n">
        <v>428</v>
      </c>
      <c r="F478" s="31">
        <f>E478/52</f>
        <v/>
      </c>
      <c r="G478" s="39">
        <f>D478/1000000*52</f>
        <v/>
      </c>
      <c r="H478" s="33">
        <f>G478/$P$4+($C$22/$P$4)</f>
        <v/>
      </c>
      <c r="I478" s="36">
        <f>_xlfn.IFS(K478&lt;K$24,0,K478&lt;K$26,I$24,K478&lt;K$28,I$26,K478&lt;K$30,I$28,K478&lt;K$32,I$30,K478&lt;K$34,I$32,K478&lt;K$36,I$34,K478&lt;K$38,I$36,K478&lt;K$40,I$38,K478&lt;K$42,I$40,K478&lt;K$44,I$42,K478&lt;K$46,I$44,K478&gt;=K$46,I$46)</f>
        <v/>
      </c>
      <c r="J478" s="37">
        <f>_xlfn.IFS(K478&lt;K$24,0,K478&lt;K$25,J$24,K478&lt;K$26,J$25,K478&lt;K$27,J$26,K478&lt;K$28,J$27,K478&lt;K$29,J$28,K478&lt;K$30,J$29,K478&lt;K$31,J$30,K478&lt;K$32,J$31,K478&lt;K$33,J$32,K478&lt;K$34,J$33,K478&lt;K$35,J$34,K478&lt;K$36,J$35,K478&lt;K$37,J$36,K478&lt;K$38,J$37,K478&lt;K$39,J$38,K478&lt;K$40,J$39,K478&lt;K$41,J$40,K478&lt;K$42,J$41,K478&lt;K$43,J$42,K478&lt;K$44,J$43,K478&lt;K$45,J$44,K478&lt;K$46,J$45,K478&lt;K$47,J$46,K478&gt;=K$47,J$47)</f>
        <v/>
      </c>
      <c r="K478" s="38" t="n">
        <v>428</v>
      </c>
      <c r="L478" s="31">
        <f>K478/52</f>
        <v/>
      </c>
      <c r="M478" s="39">
        <f>J478/1000000*52</f>
        <v/>
      </c>
      <c r="N478" s="33">
        <f>M478/$P$4+($I$22/$P$4)</f>
        <v/>
      </c>
      <c r="U478">
        <f>F477</f>
        <v/>
      </c>
      <c r="V478">
        <f>H477</f>
        <v/>
      </c>
      <c r="W478">
        <f>N477</f>
        <v/>
      </c>
    </row>
    <row r="479" ht="15.75" customHeight="1" s="40">
      <c r="C479" s="36">
        <f>_xlfn.IFS(E479&lt;E$24,0,E479&lt;E$26,C$24,E479&lt;E$28,C$26,E479&lt;E$30,C$28,E479&lt;E$32,C$30,E479&lt;E$34,C$32,E479&gt;=E$34,C$34)</f>
        <v/>
      </c>
      <c r="D479" s="37">
        <f>_xlfn.IFS(E479&lt;E$24,0,E479&lt;E$25,D$24,E479&lt;E$26,D$25,E479&lt;E$27,D$26,E479&lt;E$28,D$27,E479&lt;E$29,D$28,E479&lt;E$30,D$29,E479&lt;E$31,D$30,E479&lt;E$32,D$31,E479&lt;E$33,D$32,E479&lt;E$34,D$33,E479&lt;E$35,D$34,E479&gt;=E$35,D$35)</f>
        <v/>
      </c>
      <c r="E479" s="38" t="n">
        <v>429</v>
      </c>
      <c r="F479" s="31">
        <f>E479/52</f>
        <v/>
      </c>
      <c r="G479" s="39">
        <f>D479/1000000*52</f>
        <v/>
      </c>
      <c r="H479" s="33">
        <f>G479/$P$4+($C$22/$P$4)</f>
        <v/>
      </c>
      <c r="I479" s="36">
        <f>_xlfn.IFS(K479&lt;K$24,0,K479&lt;K$26,I$24,K479&lt;K$28,I$26,K479&lt;K$30,I$28,K479&lt;K$32,I$30,K479&lt;K$34,I$32,K479&lt;K$36,I$34,K479&lt;K$38,I$36,K479&lt;K$40,I$38,K479&lt;K$42,I$40,K479&lt;K$44,I$42,K479&lt;K$46,I$44,K479&gt;=K$46,I$46)</f>
        <v/>
      </c>
      <c r="J479" s="37">
        <f>_xlfn.IFS(K479&lt;K$24,0,K479&lt;K$25,J$24,K479&lt;K$26,J$25,K479&lt;K$27,J$26,K479&lt;K$28,J$27,K479&lt;K$29,J$28,K479&lt;K$30,J$29,K479&lt;K$31,J$30,K479&lt;K$32,J$31,K479&lt;K$33,J$32,K479&lt;K$34,J$33,K479&lt;K$35,J$34,K479&lt;K$36,J$35,K479&lt;K$37,J$36,K479&lt;K$38,J$37,K479&lt;K$39,J$38,K479&lt;K$40,J$39,K479&lt;K$41,J$40,K479&lt;K$42,J$41,K479&lt;K$43,J$42,K479&lt;K$44,J$43,K479&lt;K$45,J$44,K479&lt;K$46,J$45,K479&lt;K$47,J$46,K479&gt;=K$47,J$47)</f>
        <v/>
      </c>
      <c r="K479" s="38" t="n">
        <v>429</v>
      </c>
      <c r="L479" s="31">
        <f>K479/52</f>
        <v/>
      </c>
      <c r="M479" s="39">
        <f>J479/1000000*52</f>
        <v/>
      </c>
      <c r="N479" s="33">
        <f>M479/$P$4+($I$22/$P$4)</f>
        <v/>
      </c>
      <c r="U479">
        <f>F478</f>
        <v/>
      </c>
      <c r="V479">
        <f>H478</f>
        <v/>
      </c>
      <c r="W479">
        <f>N478</f>
        <v/>
      </c>
    </row>
    <row r="480" ht="15.75" customHeight="1" s="40">
      <c r="C480" s="36">
        <f>_xlfn.IFS(E480&lt;E$24,0,E480&lt;E$26,C$24,E480&lt;E$28,C$26,E480&lt;E$30,C$28,E480&lt;E$32,C$30,E480&lt;E$34,C$32,E480&gt;=E$34,C$34)</f>
        <v/>
      </c>
      <c r="D480" s="37">
        <f>_xlfn.IFS(E480&lt;E$24,0,E480&lt;E$25,D$24,E480&lt;E$26,D$25,E480&lt;E$27,D$26,E480&lt;E$28,D$27,E480&lt;E$29,D$28,E480&lt;E$30,D$29,E480&lt;E$31,D$30,E480&lt;E$32,D$31,E480&lt;E$33,D$32,E480&lt;E$34,D$33,E480&lt;E$35,D$34,E480&gt;=E$35,D$35)</f>
        <v/>
      </c>
      <c r="E480" s="38" t="n">
        <v>430</v>
      </c>
      <c r="F480" s="31">
        <f>E480/52</f>
        <v/>
      </c>
      <c r="G480" s="39">
        <f>D480/1000000*52</f>
        <v/>
      </c>
      <c r="H480" s="33">
        <f>G480/$P$4+($C$22/$P$4)</f>
        <v/>
      </c>
      <c r="I480" s="36">
        <f>_xlfn.IFS(K480&lt;K$24,0,K480&lt;K$26,I$24,K480&lt;K$28,I$26,K480&lt;K$30,I$28,K480&lt;K$32,I$30,K480&lt;K$34,I$32,K480&lt;K$36,I$34,K480&lt;K$38,I$36,K480&lt;K$40,I$38,K480&lt;K$42,I$40,K480&lt;K$44,I$42,K480&lt;K$46,I$44,K480&gt;=K$46,I$46)</f>
        <v/>
      </c>
      <c r="J480" s="37">
        <f>_xlfn.IFS(K480&lt;K$24,0,K480&lt;K$25,J$24,K480&lt;K$26,J$25,K480&lt;K$27,J$26,K480&lt;K$28,J$27,K480&lt;K$29,J$28,K480&lt;K$30,J$29,K480&lt;K$31,J$30,K480&lt;K$32,J$31,K480&lt;K$33,J$32,K480&lt;K$34,J$33,K480&lt;K$35,J$34,K480&lt;K$36,J$35,K480&lt;K$37,J$36,K480&lt;K$38,J$37,K480&lt;K$39,J$38,K480&lt;K$40,J$39,K480&lt;K$41,J$40,K480&lt;K$42,J$41,K480&lt;K$43,J$42,K480&lt;K$44,J$43,K480&lt;K$45,J$44,K480&lt;K$46,J$45,K480&lt;K$47,J$46,K480&gt;=K$47,J$47)</f>
        <v/>
      </c>
      <c r="K480" s="38" t="n">
        <v>430</v>
      </c>
      <c r="L480" s="31">
        <f>K480/52</f>
        <v/>
      </c>
      <c r="M480" s="39">
        <f>J480/1000000*52</f>
        <v/>
      </c>
      <c r="N480" s="33">
        <f>M480/$P$4+($I$22/$P$4)</f>
        <v/>
      </c>
      <c r="U480">
        <f>F479</f>
        <v/>
      </c>
      <c r="V480">
        <f>H479</f>
        <v/>
      </c>
      <c r="W480">
        <f>N479</f>
        <v/>
      </c>
    </row>
    <row r="481" ht="15.75" customHeight="1" s="40">
      <c r="C481" s="36">
        <f>_xlfn.IFS(E481&lt;E$24,0,E481&lt;E$26,C$24,E481&lt;E$28,C$26,E481&lt;E$30,C$28,E481&lt;E$32,C$30,E481&lt;E$34,C$32,E481&gt;=E$34,C$34)</f>
        <v/>
      </c>
      <c r="D481" s="37">
        <f>_xlfn.IFS(E481&lt;E$24,0,E481&lt;E$25,D$24,E481&lt;E$26,D$25,E481&lt;E$27,D$26,E481&lt;E$28,D$27,E481&lt;E$29,D$28,E481&lt;E$30,D$29,E481&lt;E$31,D$30,E481&lt;E$32,D$31,E481&lt;E$33,D$32,E481&lt;E$34,D$33,E481&lt;E$35,D$34,E481&gt;=E$35,D$35)</f>
        <v/>
      </c>
      <c r="E481" s="38" t="n">
        <v>431</v>
      </c>
      <c r="F481" s="31">
        <f>E481/52</f>
        <v/>
      </c>
      <c r="G481" s="39">
        <f>D481/1000000*52</f>
        <v/>
      </c>
      <c r="H481" s="33">
        <f>G481/$P$4+($C$22/$P$4)</f>
        <v/>
      </c>
      <c r="I481" s="36">
        <f>_xlfn.IFS(K481&lt;K$24,0,K481&lt;K$26,I$24,K481&lt;K$28,I$26,K481&lt;K$30,I$28,K481&lt;K$32,I$30,K481&lt;K$34,I$32,K481&lt;K$36,I$34,K481&lt;K$38,I$36,K481&lt;K$40,I$38,K481&lt;K$42,I$40,K481&lt;K$44,I$42,K481&lt;K$46,I$44,K481&gt;=K$46,I$46)</f>
        <v/>
      </c>
      <c r="J481" s="37">
        <f>_xlfn.IFS(K481&lt;K$24,0,K481&lt;K$25,J$24,K481&lt;K$26,J$25,K481&lt;K$27,J$26,K481&lt;K$28,J$27,K481&lt;K$29,J$28,K481&lt;K$30,J$29,K481&lt;K$31,J$30,K481&lt;K$32,J$31,K481&lt;K$33,J$32,K481&lt;K$34,J$33,K481&lt;K$35,J$34,K481&lt;K$36,J$35,K481&lt;K$37,J$36,K481&lt;K$38,J$37,K481&lt;K$39,J$38,K481&lt;K$40,J$39,K481&lt;K$41,J$40,K481&lt;K$42,J$41,K481&lt;K$43,J$42,K481&lt;K$44,J$43,K481&lt;K$45,J$44,K481&lt;K$46,J$45,K481&lt;K$47,J$46,K481&gt;=K$47,J$47)</f>
        <v/>
      </c>
      <c r="K481" s="38" t="n">
        <v>431</v>
      </c>
      <c r="L481" s="31">
        <f>K481/52</f>
        <v/>
      </c>
      <c r="M481" s="39">
        <f>J481/1000000*52</f>
        <v/>
      </c>
      <c r="N481" s="33">
        <f>M481/$P$4+($I$22/$P$4)</f>
        <v/>
      </c>
      <c r="U481">
        <f>F480</f>
        <v/>
      </c>
      <c r="V481">
        <f>H480</f>
        <v/>
      </c>
      <c r="W481">
        <f>N480</f>
        <v/>
      </c>
    </row>
    <row r="482" ht="15.75" customHeight="1" s="40">
      <c r="C482" s="36">
        <f>_xlfn.IFS(E482&lt;E$24,0,E482&lt;E$26,C$24,E482&lt;E$28,C$26,E482&lt;E$30,C$28,E482&lt;E$32,C$30,E482&lt;E$34,C$32,E482&gt;=E$34,C$34)</f>
        <v/>
      </c>
      <c r="D482" s="37">
        <f>_xlfn.IFS(E482&lt;E$24,0,E482&lt;E$25,D$24,E482&lt;E$26,D$25,E482&lt;E$27,D$26,E482&lt;E$28,D$27,E482&lt;E$29,D$28,E482&lt;E$30,D$29,E482&lt;E$31,D$30,E482&lt;E$32,D$31,E482&lt;E$33,D$32,E482&lt;E$34,D$33,E482&lt;E$35,D$34,E482&gt;=E$35,D$35)</f>
        <v/>
      </c>
      <c r="E482" s="38" t="n">
        <v>432</v>
      </c>
      <c r="F482" s="31">
        <f>E482/52</f>
        <v/>
      </c>
      <c r="G482" s="39">
        <f>D482/1000000*52</f>
        <v/>
      </c>
      <c r="H482" s="33">
        <f>G482/$P$4+($C$22/$P$4)</f>
        <v/>
      </c>
      <c r="I482" s="36">
        <f>_xlfn.IFS(K482&lt;K$24,0,K482&lt;K$26,I$24,K482&lt;K$28,I$26,K482&lt;K$30,I$28,K482&lt;K$32,I$30,K482&lt;K$34,I$32,K482&lt;K$36,I$34,K482&lt;K$38,I$36,K482&lt;K$40,I$38,K482&lt;K$42,I$40,K482&lt;K$44,I$42,K482&lt;K$46,I$44,K482&gt;=K$46,I$46)</f>
        <v/>
      </c>
      <c r="J482" s="37">
        <f>_xlfn.IFS(K482&lt;K$24,0,K482&lt;K$25,J$24,K482&lt;K$26,J$25,K482&lt;K$27,J$26,K482&lt;K$28,J$27,K482&lt;K$29,J$28,K482&lt;K$30,J$29,K482&lt;K$31,J$30,K482&lt;K$32,J$31,K482&lt;K$33,J$32,K482&lt;K$34,J$33,K482&lt;K$35,J$34,K482&lt;K$36,J$35,K482&lt;K$37,J$36,K482&lt;K$38,J$37,K482&lt;K$39,J$38,K482&lt;K$40,J$39,K482&lt;K$41,J$40,K482&lt;K$42,J$41,K482&lt;K$43,J$42,K482&lt;K$44,J$43,K482&lt;K$45,J$44,K482&lt;K$46,J$45,K482&lt;K$47,J$46,K482&gt;=K$47,J$47)</f>
        <v/>
      </c>
      <c r="K482" s="38" t="n">
        <v>432</v>
      </c>
      <c r="L482" s="31">
        <f>K482/52</f>
        <v/>
      </c>
      <c r="M482" s="39">
        <f>J482/1000000*52</f>
        <v/>
      </c>
      <c r="N482" s="33">
        <f>M482/$P$4+($I$22/$P$4)</f>
        <v/>
      </c>
      <c r="U482">
        <f>F481</f>
        <v/>
      </c>
      <c r="V482">
        <f>H481</f>
        <v/>
      </c>
      <c r="W482">
        <f>N481</f>
        <v/>
      </c>
    </row>
    <row r="483" ht="15.75" customHeight="1" s="40">
      <c r="C483" s="36">
        <f>_xlfn.IFS(E483&lt;E$24,0,E483&lt;E$26,C$24,E483&lt;E$28,C$26,E483&lt;E$30,C$28,E483&lt;E$32,C$30,E483&lt;E$34,C$32,E483&gt;=E$34,C$34)</f>
        <v/>
      </c>
      <c r="D483" s="37">
        <f>_xlfn.IFS(E483&lt;E$24,0,E483&lt;E$25,D$24,E483&lt;E$26,D$25,E483&lt;E$27,D$26,E483&lt;E$28,D$27,E483&lt;E$29,D$28,E483&lt;E$30,D$29,E483&lt;E$31,D$30,E483&lt;E$32,D$31,E483&lt;E$33,D$32,E483&lt;E$34,D$33,E483&lt;E$35,D$34,E483&gt;=E$35,D$35)</f>
        <v/>
      </c>
      <c r="E483" s="38" t="n">
        <v>433</v>
      </c>
      <c r="F483" s="31">
        <f>E483/52</f>
        <v/>
      </c>
      <c r="G483" s="39">
        <f>D483/1000000*52</f>
        <v/>
      </c>
      <c r="H483" s="33">
        <f>G483/$P$4+($C$22/$P$4)</f>
        <v/>
      </c>
      <c r="I483" s="36">
        <f>_xlfn.IFS(K483&lt;K$24,0,K483&lt;K$26,I$24,K483&lt;K$28,I$26,K483&lt;K$30,I$28,K483&lt;K$32,I$30,K483&lt;K$34,I$32,K483&lt;K$36,I$34,K483&lt;K$38,I$36,K483&lt;K$40,I$38,K483&lt;K$42,I$40,K483&lt;K$44,I$42,K483&lt;K$46,I$44,K483&gt;=K$46,I$46)</f>
        <v/>
      </c>
      <c r="J483" s="37">
        <f>_xlfn.IFS(K483&lt;K$24,0,K483&lt;K$25,J$24,K483&lt;K$26,J$25,K483&lt;K$27,J$26,K483&lt;K$28,J$27,K483&lt;K$29,J$28,K483&lt;K$30,J$29,K483&lt;K$31,J$30,K483&lt;K$32,J$31,K483&lt;K$33,J$32,K483&lt;K$34,J$33,K483&lt;K$35,J$34,K483&lt;K$36,J$35,K483&lt;K$37,J$36,K483&lt;K$38,J$37,K483&lt;K$39,J$38,K483&lt;K$40,J$39,K483&lt;K$41,J$40,K483&lt;K$42,J$41,K483&lt;K$43,J$42,K483&lt;K$44,J$43,K483&lt;K$45,J$44,K483&lt;K$46,J$45,K483&lt;K$47,J$46,K483&gt;=K$47,J$47)</f>
        <v/>
      </c>
      <c r="K483" s="38" t="n">
        <v>433</v>
      </c>
      <c r="L483" s="31">
        <f>K483/52</f>
        <v/>
      </c>
      <c r="M483" s="39">
        <f>J483/1000000*52</f>
        <v/>
      </c>
      <c r="N483" s="33">
        <f>M483/$P$4+($I$22/$P$4)</f>
        <v/>
      </c>
      <c r="U483">
        <f>F482</f>
        <v/>
      </c>
      <c r="V483">
        <f>H482</f>
        <v/>
      </c>
      <c r="W483">
        <f>N482</f>
        <v/>
      </c>
    </row>
    <row r="484" ht="15.75" customHeight="1" s="40">
      <c r="C484" s="36">
        <f>_xlfn.IFS(E484&lt;E$24,0,E484&lt;E$26,C$24,E484&lt;E$28,C$26,E484&lt;E$30,C$28,E484&lt;E$32,C$30,E484&lt;E$34,C$32,E484&gt;=E$34,C$34)</f>
        <v/>
      </c>
      <c r="D484" s="37">
        <f>_xlfn.IFS(E484&lt;E$24,0,E484&lt;E$25,D$24,E484&lt;E$26,D$25,E484&lt;E$27,D$26,E484&lt;E$28,D$27,E484&lt;E$29,D$28,E484&lt;E$30,D$29,E484&lt;E$31,D$30,E484&lt;E$32,D$31,E484&lt;E$33,D$32,E484&lt;E$34,D$33,E484&lt;E$35,D$34,E484&gt;=E$35,D$35)</f>
        <v/>
      </c>
      <c r="E484" s="38" t="n">
        <v>434</v>
      </c>
      <c r="F484" s="31">
        <f>E484/52</f>
        <v/>
      </c>
      <c r="G484" s="39">
        <f>D484/1000000*52</f>
        <v/>
      </c>
      <c r="H484" s="33">
        <f>G484/$P$4+($C$22/$P$4)</f>
        <v/>
      </c>
      <c r="I484" s="36">
        <f>_xlfn.IFS(K484&lt;K$24,0,K484&lt;K$26,I$24,K484&lt;K$28,I$26,K484&lt;K$30,I$28,K484&lt;K$32,I$30,K484&lt;K$34,I$32,K484&lt;K$36,I$34,K484&lt;K$38,I$36,K484&lt;K$40,I$38,K484&lt;K$42,I$40,K484&lt;K$44,I$42,K484&lt;K$46,I$44,K484&gt;=K$46,I$46)</f>
        <v/>
      </c>
      <c r="J484" s="37">
        <f>_xlfn.IFS(K484&lt;K$24,0,K484&lt;K$25,J$24,K484&lt;K$26,J$25,K484&lt;K$27,J$26,K484&lt;K$28,J$27,K484&lt;K$29,J$28,K484&lt;K$30,J$29,K484&lt;K$31,J$30,K484&lt;K$32,J$31,K484&lt;K$33,J$32,K484&lt;K$34,J$33,K484&lt;K$35,J$34,K484&lt;K$36,J$35,K484&lt;K$37,J$36,K484&lt;K$38,J$37,K484&lt;K$39,J$38,K484&lt;K$40,J$39,K484&lt;K$41,J$40,K484&lt;K$42,J$41,K484&lt;K$43,J$42,K484&lt;K$44,J$43,K484&lt;K$45,J$44,K484&lt;K$46,J$45,K484&lt;K$47,J$46,K484&gt;=K$47,J$47)</f>
        <v/>
      </c>
      <c r="K484" s="38" t="n">
        <v>434</v>
      </c>
      <c r="L484" s="31">
        <f>K484/52</f>
        <v/>
      </c>
      <c r="M484" s="39">
        <f>J484/1000000*52</f>
        <v/>
      </c>
      <c r="N484" s="33">
        <f>M484/$P$4+($I$22/$P$4)</f>
        <v/>
      </c>
      <c r="U484">
        <f>F483</f>
        <v/>
      </c>
      <c r="V484">
        <f>H483</f>
        <v/>
      </c>
      <c r="W484">
        <f>N483</f>
        <v/>
      </c>
    </row>
    <row r="485" ht="15.75" customHeight="1" s="40">
      <c r="C485" s="36">
        <f>_xlfn.IFS(E485&lt;E$24,0,E485&lt;E$26,C$24,E485&lt;E$28,C$26,E485&lt;E$30,C$28,E485&lt;E$32,C$30,E485&lt;E$34,C$32,E485&gt;=E$34,C$34)</f>
        <v/>
      </c>
      <c r="D485" s="37">
        <f>_xlfn.IFS(E485&lt;E$24,0,E485&lt;E$25,D$24,E485&lt;E$26,D$25,E485&lt;E$27,D$26,E485&lt;E$28,D$27,E485&lt;E$29,D$28,E485&lt;E$30,D$29,E485&lt;E$31,D$30,E485&lt;E$32,D$31,E485&lt;E$33,D$32,E485&lt;E$34,D$33,E485&lt;E$35,D$34,E485&gt;=E$35,D$35)</f>
        <v/>
      </c>
      <c r="E485" s="38" t="n">
        <v>435</v>
      </c>
      <c r="F485" s="31">
        <f>E485/52</f>
        <v/>
      </c>
      <c r="G485" s="39">
        <f>D485/1000000*52</f>
        <v/>
      </c>
      <c r="H485" s="33">
        <f>G485/$P$4+($C$22/$P$4)</f>
        <v/>
      </c>
      <c r="I485" s="36">
        <f>_xlfn.IFS(K485&lt;K$24,0,K485&lt;K$26,I$24,K485&lt;K$28,I$26,K485&lt;K$30,I$28,K485&lt;K$32,I$30,K485&lt;K$34,I$32,K485&lt;K$36,I$34,K485&lt;K$38,I$36,K485&lt;K$40,I$38,K485&lt;K$42,I$40,K485&lt;K$44,I$42,K485&lt;K$46,I$44,K485&gt;=K$46,I$46)</f>
        <v/>
      </c>
      <c r="J485" s="37">
        <f>_xlfn.IFS(K485&lt;K$24,0,K485&lt;K$25,J$24,K485&lt;K$26,J$25,K485&lt;K$27,J$26,K485&lt;K$28,J$27,K485&lt;K$29,J$28,K485&lt;K$30,J$29,K485&lt;K$31,J$30,K485&lt;K$32,J$31,K485&lt;K$33,J$32,K485&lt;K$34,J$33,K485&lt;K$35,J$34,K485&lt;K$36,J$35,K485&lt;K$37,J$36,K485&lt;K$38,J$37,K485&lt;K$39,J$38,K485&lt;K$40,J$39,K485&lt;K$41,J$40,K485&lt;K$42,J$41,K485&lt;K$43,J$42,K485&lt;K$44,J$43,K485&lt;K$45,J$44,K485&lt;K$46,J$45,K485&lt;K$47,J$46,K485&gt;=K$47,J$47)</f>
        <v/>
      </c>
      <c r="K485" s="38" t="n">
        <v>435</v>
      </c>
      <c r="L485" s="31">
        <f>K485/52</f>
        <v/>
      </c>
      <c r="M485" s="39">
        <f>J485/1000000*52</f>
        <v/>
      </c>
      <c r="N485" s="33">
        <f>M485/$P$4+($I$22/$P$4)</f>
        <v/>
      </c>
      <c r="U485">
        <f>F484</f>
        <v/>
      </c>
      <c r="V485">
        <f>H484</f>
        <v/>
      </c>
      <c r="W485">
        <f>N484</f>
        <v/>
      </c>
    </row>
    <row r="486" ht="15.75" customHeight="1" s="40">
      <c r="C486" s="36">
        <f>_xlfn.IFS(E486&lt;E$24,0,E486&lt;E$26,C$24,E486&lt;E$28,C$26,E486&lt;E$30,C$28,E486&lt;E$32,C$30,E486&lt;E$34,C$32,E486&gt;=E$34,C$34)</f>
        <v/>
      </c>
      <c r="D486" s="37">
        <f>_xlfn.IFS(E486&lt;E$24,0,E486&lt;E$25,D$24,E486&lt;E$26,D$25,E486&lt;E$27,D$26,E486&lt;E$28,D$27,E486&lt;E$29,D$28,E486&lt;E$30,D$29,E486&lt;E$31,D$30,E486&lt;E$32,D$31,E486&lt;E$33,D$32,E486&lt;E$34,D$33,E486&lt;E$35,D$34,E486&gt;=E$35,D$35)</f>
        <v/>
      </c>
      <c r="E486" s="38" t="n">
        <v>436</v>
      </c>
      <c r="F486" s="31">
        <f>E486/52</f>
        <v/>
      </c>
      <c r="G486" s="39">
        <f>D486/1000000*52</f>
        <v/>
      </c>
      <c r="H486" s="33">
        <f>G486/$P$4+($C$22/$P$4)</f>
        <v/>
      </c>
      <c r="I486" s="36">
        <f>_xlfn.IFS(K486&lt;K$24,0,K486&lt;K$26,I$24,K486&lt;K$28,I$26,K486&lt;K$30,I$28,K486&lt;K$32,I$30,K486&lt;K$34,I$32,K486&lt;K$36,I$34,K486&lt;K$38,I$36,K486&lt;K$40,I$38,K486&lt;K$42,I$40,K486&lt;K$44,I$42,K486&lt;K$46,I$44,K486&gt;=K$46,I$46)</f>
        <v/>
      </c>
      <c r="J486" s="37">
        <f>_xlfn.IFS(K486&lt;K$24,0,K486&lt;K$25,J$24,K486&lt;K$26,J$25,K486&lt;K$27,J$26,K486&lt;K$28,J$27,K486&lt;K$29,J$28,K486&lt;K$30,J$29,K486&lt;K$31,J$30,K486&lt;K$32,J$31,K486&lt;K$33,J$32,K486&lt;K$34,J$33,K486&lt;K$35,J$34,K486&lt;K$36,J$35,K486&lt;K$37,J$36,K486&lt;K$38,J$37,K486&lt;K$39,J$38,K486&lt;K$40,J$39,K486&lt;K$41,J$40,K486&lt;K$42,J$41,K486&lt;K$43,J$42,K486&lt;K$44,J$43,K486&lt;K$45,J$44,K486&lt;K$46,J$45,K486&lt;K$47,J$46,K486&gt;=K$47,J$47)</f>
        <v/>
      </c>
      <c r="K486" s="38" t="n">
        <v>436</v>
      </c>
      <c r="L486" s="31">
        <f>K486/52</f>
        <v/>
      </c>
      <c r="M486" s="39">
        <f>J486/1000000*52</f>
        <v/>
      </c>
      <c r="N486" s="33">
        <f>M486/$P$4+($I$22/$P$4)</f>
        <v/>
      </c>
      <c r="U486">
        <f>F485</f>
        <v/>
      </c>
      <c r="V486">
        <f>H485</f>
        <v/>
      </c>
      <c r="W486">
        <f>N485</f>
        <v/>
      </c>
    </row>
    <row r="487" ht="15.75" customHeight="1" s="40">
      <c r="C487" s="36">
        <f>_xlfn.IFS(E487&lt;E$24,0,E487&lt;E$26,C$24,E487&lt;E$28,C$26,E487&lt;E$30,C$28,E487&lt;E$32,C$30,E487&lt;E$34,C$32,E487&gt;=E$34,C$34)</f>
        <v/>
      </c>
      <c r="D487" s="37">
        <f>_xlfn.IFS(E487&lt;E$24,0,E487&lt;E$25,D$24,E487&lt;E$26,D$25,E487&lt;E$27,D$26,E487&lt;E$28,D$27,E487&lt;E$29,D$28,E487&lt;E$30,D$29,E487&lt;E$31,D$30,E487&lt;E$32,D$31,E487&lt;E$33,D$32,E487&lt;E$34,D$33,E487&lt;E$35,D$34,E487&gt;=E$35,D$35)</f>
        <v/>
      </c>
      <c r="E487" s="38" t="n">
        <v>437</v>
      </c>
      <c r="F487" s="31">
        <f>E487/52</f>
        <v/>
      </c>
      <c r="G487" s="39">
        <f>D487/1000000*52</f>
        <v/>
      </c>
      <c r="H487" s="33">
        <f>G487/$P$4+($C$22/$P$4)</f>
        <v/>
      </c>
      <c r="I487" s="36">
        <f>_xlfn.IFS(K487&lt;K$24,0,K487&lt;K$26,I$24,K487&lt;K$28,I$26,K487&lt;K$30,I$28,K487&lt;K$32,I$30,K487&lt;K$34,I$32,K487&lt;K$36,I$34,K487&lt;K$38,I$36,K487&lt;K$40,I$38,K487&lt;K$42,I$40,K487&lt;K$44,I$42,K487&lt;K$46,I$44,K487&gt;=K$46,I$46)</f>
        <v/>
      </c>
      <c r="J487" s="37">
        <f>_xlfn.IFS(K487&lt;K$24,0,K487&lt;K$25,J$24,K487&lt;K$26,J$25,K487&lt;K$27,J$26,K487&lt;K$28,J$27,K487&lt;K$29,J$28,K487&lt;K$30,J$29,K487&lt;K$31,J$30,K487&lt;K$32,J$31,K487&lt;K$33,J$32,K487&lt;K$34,J$33,K487&lt;K$35,J$34,K487&lt;K$36,J$35,K487&lt;K$37,J$36,K487&lt;K$38,J$37,K487&lt;K$39,J$38,K487&lt;K$40,J$39,K487&lt;K$41,J$40,K487&lt;K$42,J$41,K487&lt;K$43,J$42,K487&lt;K$44,J$43,K487&lt;K$45,J$44,K487&lt;K$46,J$45,K487&lt;K$47,J$46,K487&gt;=K$47,J$47)</f>
        <v/>
      </c>
      <c r="K487" s="38" t="n">
        <v>437</v>
      </c>
      <c r="L487" s="31">
        <f>K487/52</f>
        <v/>
      </c>
      <c r="M487" s="39">
        <f>J487/1000000*52</f>
        <v/>
      </c>
      <c r="N487" s="33">
        <f>M487/$P$4+($I$22/$P$4)</f>
        <v/>
      </c>
      <c r="U487">
        <f>F486</f>
        <v/>
      </c>
      <c r="V487">
        <f>H486</f>
        <v/>
      </c>
      <c r="W487">
        <f>N486</f>
        <v/>
      </c>
    </row>
    <row r="488" ht="15.75" customHeight="1" s="40">
      <c r="C488" s="36">
        <f>_xlfn.IFS(E488&lt;E$24,0,E488&lt;E$26,C$24,E488&lt;E$28,C$26,E488&lt;E$30,C$28,E488&lt;E$32,C$30,E488&lt;E$34,C$32,E488&gt;=E$34,C$34)</f>
        <v/>
      </c>
      <c r="D488" s="37">
        <f>_xlfn.IFS(E488&lt;E$24,0,E488&lt;E$25,D$24,E488&lt;E$26,D$25,E488&lt;E$27,D$26,E488&lt;E$28,D$27,E488&lt;E$29,D$28,E488&lt;E$30,D$29,E488&lt;E$31,D$30,E488&lt;E$32,D$31,E488&lt;E$33,D$32,E488&lt;E$34,D$33,E488&lt;E$35,D$34,E488&gt;=E$35,D$35)</f>
        <v/>
      </c>
      <c r="E488" s="38" t="n">
        <v>438</v>
      </c>
      <c r="F488" s="31">
        <f>E488/52</f>
        <v/>
      </c>
      <c r="G488" s="39">
        <f>D488/1000000*52</f>
        <v/>
      </c>
      <c r="H488" s="33">
        <f>G488/$P$4+($C$22/$P$4)</f>
        <v/>
      </c>
      <c r="I488" s="36">
        <f>_xlfn.IFS(K488&lt;K$24,0,K488&lt;K$26,I$24,K488&lt;K$28,I$26,K488&lt;K$30,I$28,K488&lt;K$32,I$30,K488&lt;K$34,I$32,K488&lt;K$36,I$34,K488&lt;K$38,I$36,K488&lt;K$40,I$38,K488&lt;K$42,I$40,K488&lt;K$44,I$42,K488&lt;K$46,I$44,K488&gt;=K$46,I$46)</f>
        <v/>
      </c>
      <c r="J488" s="37">
        <f>_xlfn.IFS(K488&lt;K$24,0,K488&lt;K$25,J$24,K488&lt;K$26,J$25,K488&lt;K$27,J$26,K488&lt;K$28,J$27,K488&lt;K$29,J$28,K488&lt;K$30,J$29,K488&lt;K$31,J$30,K488&lt;K$32,J$31,K488&lt;K$33,J$32,K488&lt;K$34,J$33,K488&lt;K$35,J$34,K488&lt;K$36,J$35,K488&lt;K$37,J$36,K488&lt;K$38,J$37,K488&lt;K$39,J$38,K488&lt;K$40,J$39,K488&lt;K$41,J$40,K488&lt;K$42,J$41,K488&lt;K$43,J$42,K488&lt;K$44,J$43,K488&lt;K$45,J$44,K488&lt;K$46,J$45,K488&lt;K$47,J$46,K488&gt;=K$47,J$47)</f>
        <v/>
      </c>
      <c r="K488" s="38" t="n">
        <v>438</v>
      </c>
      <c r="L488" s="31">
        <f>K488/52</f>
        <v/>
      </c>
      <c r="M488" s="39">
        <f>J488/1000000*52</f>
        <v/>
      </c>
      <c r="N488" s="33">
        <f>M488/$P$4+($I$22/$P$4)</f>
        <v/>
      </c>
      <c r="U488">
        <f>F487</f>
        <v/>
      </c>
      <c r="V488">
        <f>H487</f>
        <v/>
      </c>
      <c r="W488">
        <f>N487</f>
        <v/>
      </c>
    </row>
    <row r="489" ht="15.75" customHeight="1" s="40">
      <c r="C489" s="36">
        <f>_xlfn.IFS(E489&lt;E$24,0,E489&lt;E$26,C$24,E489&lt;E$28,C$26,E489&lt;E$30,C$28,E489&lt;E$32,C$30,E489&lt;E$34,C$32,E489&gt;=E$34,C$34)</f>
        <v/>
      </c>
      <c r="D489" s="37">
        <f>_xlfn.IFS(E489&lt;E$24,0,E489&lt;E$25,D$24,E489&lt;E$26,D$25,E489&lt;E$27,D$26,E489&lt;E$28,D$27,E489&lt;E$29,D$28,E489&lt;E$30,D$29,E489&lt;E$31,D$30,E489&lt;E$32,D$31,E489&lt;E$33,D$32,E489&lt;E$34,D$33,E489&lt;E$35,D$34,E489&gt;=E$35,D$35)</f>
        <v/>
      </c>
      <c r="E489" s="38" t="n">
        <v>439</v>
      </c>
      <c r="F489" s="31">
        <f>E489/52</f>
        <v/>
      </c>
      <c r="G489" s="39">
        <f>D489/1000000*52</f>
        <v/>
      </c>
      <c r="H489" s="33">
        <f>G489/$P$4+($C$22/$P$4)</f>
        <v/>
      </c>
      <c r="I489" s="36">
        <f>_xlfn.IFS(K489&lt;K$24,0,K489&lt;K$26,I$24,K489&lt;K$28,I$26,K489&lt;K$30,I$28,K489&lt;K$32,I$30,K489&lt;K$34,I$32,K489&lt;K$36,I$34,K489&lt;K$38,I$36,K489&lt;K$40,I$38,K489&lt;K$42,I$40,K489&lt;K$44,I$42,K489&lt;K$46,I$44,K489&gt;=K$46,I$46)</f>
        <v/>
      </c>
      <c r="J489" s="37">
        <f>_xlfn.IFS(K489&lt;K$24,0,K489&lt;K$25,J$24,K489&lt;K$26,J$25,K489&lt;K$27,J$26,K489&lt;K$28,J$27,K489&lt;K$29,J$28,K489&lt;K$30,J$29,K489&lt;K$31,J$30,K489&lt;K$32,J$31,K489&lt;K$33,J$32,K489&lt;K$34,J$33,K489&lt;K$35,J$34,K489&lt;K$36,J$35,K489&lt;K$37,J$36,K489&lt;K$38,J$37,K489&lt;K$39,J$38,K489&lt;K$40,J$39,K489&lt;K$41,J$40,K489&lt;K$42,J$41,K489&lt;K$43,J$42,K489&lt;K$44,J$43,K489&lt;K$45,J$44,K489&lt;K$46,J$45,K489&lt;K$47,J$46,K489&gt;=K$47,J$47)</f>
        <v/>
      </c>
      <c r="K489" s="38" t="n">
        <v>439</v>
      </c>
      <c r="L489" s="31">
        <f>K489/52</f>
        <v/>
      </c>
      <c r="M489" s="39">
        <f>J489/1000000*52</f>
        <v/>
      </c>
      <c r="N489" s="33">
        <f>M489/$P$4+($I$22/$P$4)</f>
        <v/>
      </c>
      <c r="U489">
        <f>F488</f>
        <v/>
      </c>
      <c r="V489">
        <f>H488</f>
        <v/>
      </c>
      <c r="W489">
        <f>N488</f>
        <v/>
      </c>
    </row>
    <row r="490" ht="15.75" customHeight="1" s="40">
      <c r="C490" s="36">
        <f>_xlfn.IFS(E490&lt;E$24,0,E490&lt;E$26,C$24,E490&lt;E$28,C$26,E490&lt;E$30,C$28,E490&lt;E$32,C$30,E490&lt;E$34,C$32,E490&gt;=E$34,C$34)</f>
        <v/>
      </c>
      <c r="D490" s="37">
        <f>_xlfn.IFS(E490&lt;E$24,0,E490&lt;E$25,D$24,E490&lt;E$26,D$25,E490&lt;E$27,D$26,E490&lt;E$28,D$27,E490&lt;E$29,D$28,E490&lt;E$30,D$29,E490&lt;E$31,D$30,E490&lt;E$32,D$31,E490&lt;E$33,D$32,E490&lt;E$34,D$33,E490&lt;E$35,D$34,E490&gt;=E$35,D$35)</f>
        <v/>
      </c>
      <c r="E490" s="38" t="n">
        <v>440</v>
      </c>
      <c r="F490" s="31">
        <f>E490/52</f>
        <v/>
      </c>
      <c r="G490" s="39">
        <f>D490/1000000*52</f>
        <v/>
      </c>
      <c r="H490" s="33">
        <f>G490/$P$4+($C$22/$P$4)</f>
        <v/>
      </c>
      <c r="I490" s="36">
        <f>_xlfn.IFS(K490&lt;K$24,0,K490&lt;K$26,I$24,K490&lt;K$28,I$26,K490&lt;K$30,I$28,K490&lt;K$32,I$30,K490&lt;K$34,I$32,K490&lt;K$36,I$34,K490&lt;K$38,I$36,K490&lt;K$40,I$38,K490&lt;K$42,I$40,K490&lt;K$44,I$42,K490&lt;K$46,I$44,K490&gt;=K$46,I$46)</f>
        <v/>
      </c>
      <c r="J490" s="37">
        <f>_xlfn.IFS(K490&lt;K$24,0,K490&lt;K$25,J$24,K490&lt;K$26,J$25,K490&lt;K$27,J$26,K490&lt;K$28,J$27,K490&lt;K$29,J$28,K490&lt;K$30,J$29,K490&lt;K$31,J$30,K490&lt;K$32,J$31,K490&lt;K$33,J$32,K490&lt;K$34,J$33,K490&lt;K$35,J$34,K490&lt;K$36,J$35,K490&lt;K$37,J$36,K490&lt;K$38,J$37,K490&lt;K$39,J$38,K490&lt;K$40,J$39,K490&lt;K$41,J$40,K490&lt;K$42,J$41,K490&lt;K$43,J$42,K490&lt;K$44,J$43,K490&lt;K$45,J$44,K490&lt;K$46,J$45,K490&lt;K$47,J$46,K490&gt;=K$47,J$47)</f>
        <v/>
      </c>
      <c r="K490" s="38" t="n">
        <v>440</v>
      </c>
      <c r="L490" s="31">
        <f>K490/52</f>
        <v/>
      </c>
      <c r="M490" s="39">
        <f>J490/1000000*52</f>
        <v/>
      </c>
      <c r="N490" s="33">
        <f>M490/$P$4+($I$22/$P$4)</f>
        <v/>
      </c>
      <c r="U490">
        <f>F489</f>
        <v/>
      </c>
      <c r="V490">
        <f>H489</f>
        <v/>
      </c>
      <c r="W490">
        <f>N489</f>
        <v/>
      </c>
    </row>
    <row r="491" ht="15.75" customHeight="1" s="40">
      <c r="C491" s="36">
        <f>_xlfn.IFS(E491&lt;E$24,0,E491&lt;E$26,C$24,E491&lt;E$28,C$26,E491&lt;E$30,C$28,E491&lt;E$32,C$30,E491&lt;E$34,C$32,E491&gt;=E$34,C$34)</f>
        <v/>
      </c>
      <c r="D491" s="37">
        <f>_xlfn.IFS(E491&lt;E$24,0,E491&lt;E$25,D$24,E491&lt;E$26,D$25,E491&lt;E$27,D$26,E491&lt;E$28,D$27,E491&lt;E$29,D$28,E491&lt;E$30,D$29,E491&lt;E$31,D$30,E491&lt;E$32,D$31,E491&lt;E$33,D$32,E491&lt;E$34,D$33,E491&lt;E$35,D$34,E491&gt;=E$35,D$35)</f>
        <v/>
      </c>
      <c r="E491" s="38" t="n">
        <v>441</v>
      </c>
      <c r="F491" s="31">
        <f>E491/52</f>
        <v/>
      </c>
      <c r="G491" s="39">
        <f>D491/1000000*52</f>
        <v/>
      </c>
      <c r="H491" s="33">
        <f>G491/$P$4+($C$22/$P$4)</f>
        <v/>
      </c>
      <c r="I491" s="36">
        <f>_xlfn.IFS(K491&lt;K$24,0,K491&lt;K$26,I$24,K491&lt;K$28,I$26,K491&lt;K$30,I$28,K491&lt;K$32,I$30,K491&lt;K$34,I$32,K491&lt;K$36,I$34,K491&lt;K$38,I$36,K491&lt;K$40,I$38,K491&lt;K$42,I$40,K491&lt;K$44,I$42,K491&lt;K$46,I$44,K491&gt;=K$46,I$46)</f>
        <v/>
      </c>
      <c r="J491" s="37">
        <f>_xlfn.IFS(K491&lt;K$24,0,K491&lt;K$25,J$24,K491&lt;K$26,J$25,K491&lt;K$27,J$26,K491&lt;K$28,J$27,K491&lt;K$29,J$28,K491&lt;K$30,J$29,K491&lt;K$31,J$30,K491&lt;K$32,J$31,K491&lt;K$33,J$32,K491&lt;K$34,J$33,K491&lt;K$35,J$34,K491&lt;K$36,J$35,K491&lt;K$37,J$36,K491&lt;K$38,J$37,K491&lt;K$39,J$38,K491&lt;K$40,J$39,K491&lt;K$41,J$40,K491&lt;K$42,J$41,K491&lt;K$43,J$42,K491&lt;K$44,J$43,K491&lt;K$45,J$44,K491&lt;K$46,J$45,K491&lt;K$47,J$46,K491&gt;=K$47,J$47)</f>
        <v/>
      </c>
      <c r="K491" s="38" t="n">
        <v>441</v>
      </c>
      <c r="L491" s="31">
        <f>K491/52</f>
        <v/>
      </c>
      <c r="M491" s="39">
        <f>J491/1000000*52</f>
        <v/>
      </c>
      <c r="N491" s="33">
        <f>M491/$P$4+($I$22/$P$4)</f>
        <v/>
      </c>
      <c r="U491">
        <f>F490</f>
        <v/>
      </c>
      <c r="V491">
        <f>H490</f>
        <v/>
      </c>
      <c r="W491">
        <f>N490</f>
        <v/>
      </c>
    </row>
    <row r="492" ht="15.75" customHeight="1" s="40">
      <c r="C492" s="36">
        <f>_xlfn.IFS(E492&lt;E$24,0,E492&lt;E$26,C$24,E492&lt;E$28,C$26,E492&lt;E$30,C$28,E492&lt;E$32,C$30,E492&lt;E$34,C$32,E492&gt;=E$34,C$34)</f>
        <v/>
      </c>
      <c r="D492" s="37">
        <f>_xlfn.IFS(E492&lt;E$24,0,E492&lt;E$25,D$24,E492&lt;E$26,D$25,E492&lt;E$27,D$26,E492&lt;E$28,D$27,E492&lt;E$29,D$28,E492&lt;E$30,D$29,E492&lt;E$31,D$30,E492&lt;E$32,D$31,E492&lt;E$33,D$32,E492&lt;E$34,D$33,E492&lt;E$35,D$34,E492&gt;=E$35,D$35)</f>
        <v/>
      </c>
      <c r="E492" s="38" t="n">
        <v>442</v>
      </c>
      <c r="F492" s="31">
        <f>E492/52</f>
        <v/>
      </c>
      <c r="G492" s="39">
        <f>D492/1000000*52</f>
        <v/>
      </c>
      <c r="H492" s="33">
        <f>G492/$P$4+($C$22/$P$4)</f>
        <v/>
      </c>
      <c r="I492" s="36">
        <f>_xlfn.IFS(K492&lt;K$24,0,K492&lt;K$26,I$24,K492&lt;K$28,I$26,K492&lt;K$30,I$28,K492&lt;K$32,I$30,K492&lt;K$34,I$32,K492&lt;K$36,I$34,K492&lt;K$38,I$36,K492&lt;K$40,I$38,K492&lt;K$42,I$40,K492&lt;K$44,I$42,K492&lt;K$46,I$44,K492&gt;=K$46,I$46)</f>
        <v/>
      </c>
      <c r="J492" s="37">
        <f>_xlfn.IFS(K492&lt;K$24,0,K492&lt;K$25,J$24,K492&lt;K$26,J$25,K492&lt;K$27,J$26,K492&lt;K$28,J$27,K492&lt;K$29,J$28,K492&lt;K$30,J$29,K492&lt;K$31,J$30,K492&lt;K$32,J$31,K492&lt;K$33,J$32,K492&lt;K$34,J$33,K492&lt;K$35,J$34,K492&lt;K$36,J$35,K492&lt;K$37,J$36,K492&lt;K$38,J$37,K492&lt;K$39,J$38,K492&lt;K$40,J$39,K492&lt;K$41,J$40,K492&lt;K$42,J$41,K492&lt;K$43,J$42,K492&lt;K$44,J$43,K492&lt;K$45,J$44,K492&lt;K$46,J$45,K492&lt;K$47,J$46,K492&gt;=K$47,J$47)</f>
        <v/>
      </c>
      <c r="K492" s="38" t="n">
        <v>442</v>
      </c>
      <c r="L492" s="31">
        <f>K492/52</f>
        <v/>
      </c>
      <c r="M492" s="39">
        <f>J492/1000000*52</f>
        <v/>
      </c>
      <c r="N492" s="33">
        <f>M492/$P$4+($I$22/$P$4)</f>
        <v/>
      </c>
      <c r="U492">
        <f>F491</f>
        <v/>
      </c>
      <c r="V492">
        <f>H491</f>
        <v/>
      </c>
      <c r="W492">
        <f>N491</f>
        <v/>
      </c>
    </row>
    <row r="493" ht="15.75" customHeight="1" s="40">
      <c r="C493" s="36">
        <f>_xlfn.IFS(E493&lt;E$24,0,E493&lt;E$26,C$24,E493&lt;E$28,C$26,E493&lt;E$30,C$28,E493&lt;E$32,C$30,E493&lt;E$34,C$32,E493&gt;=E$34,C$34)</f>
        <v/>
      </c>
      <c r="D493" s="37">
        <f>_xlfn.IFS(E493&lt;E$24,0,E493&lt;E$25,D$24,E493&lt;E$26,D$25,E493&lt;E$27,D$26,E493&lt;E$28,D$27,E493&lt;E$29,D$28,E493&lt;E$30,D$29,E493&lt;E$31,D$30,E493&lt;E$32,D$31,E493&lt;E$33,D$32,E493&lt;E$34,D$33,E493&lt;E$35,D$34,E493&gt;=E$35,D$35)</f>
        <v/>
      </c>
      <c r="E493" s="38" t="n">
        <v>443</v>
      </c>
      <c r="F493" s="31">
        <f>E493/52</f>
        <v/>
      </c>
      <c r="G493" s="39">
        <f>D493/1000000*52</f>
        <v/>
      </c>
      <c r="H493" s="33">
        <f>G493/$P$4+($C$22/$P$4)</f>
        <v/>
      </c>
      <c r="I493" s="36">
        <f>_xlfn.IFS(K493&lt;K$24,0,K493&lt;K$26,I$24,K493&lt;K$28,I$26,K493&lt;K$30,I$28,K493&lt;K$32,I$30,K493&lt;K$34,I$32,K493&lt;K$36,I$34,K493&lt;K$38,I$36,K493&lt;K$40,I$38,K493&lt;K$42,I$40,K493&lt;K$44,I$42,K493&lt;K$46,I$44,K493&gt;=K$46,I$46)</f>
        <v/>
      </c>
      <c r="J493" s="37">
        <f>_xlfn.IFS(K493&lt;K$24,0,K493&lt;K$25,J$24,K493&lt;K$26,J$25,K493&lt;K$27,J$26,K493&lt;K$28,J$27,K493&lt;K$29,J$28,K493&lt;K$30,J$29,K493&lt;K$31,J$30,K493&lt;K$32,J$31,K493&lt;K$33,J$32,K493&lt;K$34,J$33,K493&lt;K$35,J$34,K493&lt;K$36,J$35,K493&lt;K$37,J$36,K493&lt;K$38,J$37,K493&lt;K$39,J$38,K493&lt;K$40,J$39,K493&lt;K$41,J$40,K493&lt;K$42,J$41,K493&lt;K$43,J$42,K493&lt;K$44,J$43,K493&lt;K$45,J$44,K493&lt;K$46,J$45,K493&lt;K$47,J$46,K493&gt;=K$47,J$47)</f>
        <v/>
      </c>
      <c r="K493" s="38" t="n">
        <v>443</v>
      </c>
      <c r="L493" s="31">
        <f>K493/52</f>
        <v/>
      </c>
      <c r="M493" s="39">
        <f>J493/1000000*52</f>
        <v/>
      </c>
      <c r="N493" s="33">
        <f>M493/$P$4+($I$22/$P$4)</f>
        <v/>
      </c>
      <c r="U493">
        <f>F492</f>
        <v/>
      </c>
      <c r="V493">
        <f>H492</f>
        <v/>
      </c>
      <c r="W493">
        <f>N492</f>
        <v/>
      </c>
    </row>
    <row r="494" ht="15.75" customHeight="1" s="40">
      <c r="C494" s="36">
        <f>_xlfn.IFS(E494&lt;E$24,0,E494&lt;E$26,C$24,E494&lt;E$28,C$26,E494&lt;E$30,C$28,E494&lt;E$32,C$30,E494&lt;E$34,C$32,E494&gt;=E$34,C$34)</f>
        <v/>
      </c>
      <c r="D494" s="37">
        <f>_xlfn.IFS(E494&lt;E$24,0,E494&lt;E$25,D$24,E494&lt;E$26,D$25,E494&lt;E$27,D$26,E494&lt;E$28,D$27,E494&lt;E$29,D$28,E494&lt;E$30,D$29,E494&lt;E$31,D$30,E494&lt;E$32,D$31,E494&lt;E$33,D$32,E494&lt;E$34,D$33,E494&lt;E$35,D$34,E494&gt;=E$35,D$35)</f>
        <v/>
      </c>
      <c r="E494" s="38" t="n">
        <v>444</v>
      </c>
      <c r="F494" s="31">
        <f>E494/52</f>
        <v/>
      </c>
      <c r="G494" s="39">
        <f>D494/1000000*52</f>
        <v/>
      </c>
      <c r="H494" s="33">
        <f>G494/$P$4+($C$22/$P$4)</f>
        <v/>
      </c>
      <c r="I494" s="36">
        <f>_xlfn.IFS(K494&lt;K$24,0,K494&lt;K$26,I$24,K494&lt;K$28,I$26,K494&lt;K$30,I$28,K494&lt;K$32,I$30,K494&lt;K$34,I$32,K494&lt;K$36,I$34,K494&lt;K$38,I$36,K494&lt;K$40,I$38,K494&lt;K$42,I$40,K494&lt;K$44,I$42,K494&lt;K$46,I$44,K494&gt;=K$46,I$46)</f>
        <v/>
      </c>
      <c r="J494" s="37">
        <f>_xlfn.IFS(K494&lt;K$24,0,K494&lt;K$25,J$24,K494&lt;K$26,J$25,K494&lt;K$27,J$26,K494&lt;K$28,J$27,K494&lt;K$29,J$28,K494&lt;K$30,J$29,K494&lt;K$31,J$30,K494&lt;K$32,J$31,K494&lt;K$33,J$32,K494&lt;K$34,J$33,K494&lt;K$35,J$34,K494&lt;K$36,J$35,K494&lt;K$37,J$36,K494&lt;K$38,J$37,K494&lt;K$39,J$38,K494&lt;K$40,J$39,K494&lt;K$41,J$40,K494&lt;K$42,J$41,K494&lt;K$43,J$42,K494&lt;K$44,J$43,K494&lt;K$45,J$44,K494&lt;K$46,J$45,K494&lt;K$47,J$46,K494&gt;=K$47,J$47)</f>
        <v/>
      </c>
      <c r="K494" s="38" t="n">
        <v>444</v>
      </c>
      <c r="L494" s="31">
        <f>K494/52</f>
        <v/>
      </c>
      <c r="M494" s="39">
        <f>J494/1000000*52</f>
        <v/>
      </c>
      <c r="N494" s="33">
        <f>M494/$P$4+($I$22/$P$4)</f>
        <v/>
      </c>
      <c r="U494">
        <f>F493</f>
        <v/>
      </c>
      <c r="V494">
        <f>H493</f>
        <v/>
      </c>
      <c r="W494">
        <f>N493</f>
        <v/>
      </c>
    </row>
    <row r="495" ht="15.75" customHeight="1" s="40">
      <c r="C495" s="36">
        <f>_xlfn.IFS(E495&lt;E$24,0,E495&lt;E$26,C$24,E495&lt;E$28,C$26,E495&lt;E$30,C$28,E495&lt;E$32,C$30,E495&lt;E$34,C$32,E495&gt;=E$34,C$34)</f>
        <v/>
      </c>
      <c r="D495" s="37">
        <f>_xlfn.IFS(E495&lt;E$24,0,E495&lt;E$25,D$24,E495&lt;E$26,D$25,E495&lt;E$27,D$26,E495&lt;E$28,D$27,E495&lt;E$29,D$28,E495&lt;E$30,D$29,E495&lt;E$31,D$30,E495&lt;E$32,D$31,E495&lt;E$33,D$32,E495&lt;E$34,D$33,E495&lt;E$35,D$34,E495&gt;=E$35,D$35)</f>
        <v/>
      </c>
      <c r="E495" s="38" t="n">
        <v>445</v>
      </c>
      <c r="F495" s="31">
        <f>E495/52</f>
        <v/>
      </c>
      <c r="G495" s="39">
        <f>D495/1000000*52</f>
        <v/>
      </c>
      <c r="H495" s="33">
        <f>G495/$P$4+($C$22/$P$4)</f>
        <v/>
      </c>
      <c r="I495" s="36">
        <f>_xlfn.IFS(K495&lt;K$24,0,K495&lt;K$26,I$24,K495&lt;K$28,I$26,K495&lt;K$30,I$28,K495&lt;K$32,I$30,K495&lt;K$34,I$32,K495&lt;K$36,I$34,K495&lt;K$38,I$36,K495&lt;K$40,I$38,K495&lt;K$42,I$40,K495&lt;K$44,I$42,K495&lt;K$46,I$44,K495&gt;=K$46,I$46)</f>
        <v/>
      </c>
      <c r="J495" s="37">
        <f>_xlfn.IFS(K495&lt;K$24,0,K495&lt;K$25,J$24,K495&lt;K$26,J$25,K495&lt;K$27,J$26,K495&lt;K$28,J$27,K495&lt;K$29,J$28,K495&lt;K$30,J$29,K495&lt;K$31,J$30,K495&lt;K$32,J$31,K495&lt;K$33,J$32,K495&lt;K$34,J$33,K495&lt;K$35,J$34,K495&lt;K$36,J$35,K495&lt;K$37,J$36,K495&lt;K$38,J$37,K495&lt;K$39,J$38,K495&lt;K$40,J$39,K495&lt;K$41,J$40,K495&lt;K$42,J$41,K495&lt;K$43,J$42,K495&lt;K$44,J$43,K495&lt;K$45,J$44,K495&lt;K$46,J$45,K495&lt;K$47,J$46,K495&gt;=K$47,J$47)</f>
        <v/>
      </c>
      <c r="K495" s="38" t="n">
        <v>445</v>
      </c>
      <c r="L495" s="31">
        <f>K495/52</f>
        <v/>
      </c>
      <c r="M495" s="39">
        <f>J495/1000000*52</f>
        <v/>
      </c>
      <c r="N495" s="33">
        <f>M495/$P$4+($I$22/$P$4)</f>
        <v/>
      </c>
      <c r="U495">
        <f>F494</f>
        <v/>
      </c>
      <c r="V495">
        <f>H494</f>
        <v/>
      </c>
      <c r="W495">
        <f>N494</f>
        <v/>
      </c>
    </row>
    <row r="496" ht="15.75" customHeight="1" s="40">
      <c r="C496" s="36">
        <f>_xlfn.IFS(E496&lt;E$24,0,E496&lt;E$26,C$24,E496&lt;E$28,C$26,E496&lt;E$30,C$28,E496&lt;E$32,C$30,E496&lt;E$34,C$32,E496&gt;=E$34,C$34)</f>
        <v/>
      </c>
      <c r="D496" s="37">
        <f>_xlfn.IFS(E496&lt;E$24,0,E496&lt;E$25,D$24,E496&lt;E$26,D$25,E496&lt;E$27,D$26,E496&lt;E$28,D$27,E496&lt;E$29,D$28,E496&lt;E$30,D$29,E496&lt;E$31,D$30,E496&lt;E$32,D$31,E496&lt;E$33,D$32,E496&lt;E$34,D$33,E496&lt;E$35,D$34,E496&gt;=E$35,D$35)</f>
        <v/>
      </c>
      <c r="E496" s="38" t="n">
        <v>446</v>
      </c>
      <c r="F496" s="31">
        <f>E496/52</f>
        <v/>
      </c>
      <c r="G496" s="39">
        <f>D496/1000000*52</f>
        <v/>
      </c>
      <c r="H496" s="33">
        <f>G496/$P$4+($C$22/$P$4)</f>
        <v/>
      </c>
      <c r="I496" s="36">
        <f>_xlfn.IFS(K496&lt;K$24,0,K496&lt;K$26,I$24,K496&lt;K$28,I$26,K496&lt;K$30,I$28,K496&lt;K$32,I$30,K496&lt;K$34,I$32,K496&lt;K$36,I$34,K496&lt;K$38,I$36,K496&lt;K$40,I$38,K496&lt;K$42,I$40,K496&lt;K$44,I$42,K496&lt;K$46,I$44,K496&gt;=K$46,I$46)</f>
        <v/>
      </c>
      <c r="J496" s="37">
        <f>_xlfn.IFS(K496&lt;K$24,0,K496&lt;K$25,J$24,K496&lt;K$26,J$25,K496&lt;K$27,J$26,K496&lt;K$28,J$27,K496&lt;K$29,J$28,K496&lt;K$30,J$29,K496&lt;K$31,J$30,K496&lt;K$32,J$31,K496&lt;K$33,J$32,K496&lt;K$34,J$33,K496&lt;K$35,J$34,K496&lt;K$36,J$35,K496&lt;K$37,J$36,K496&lt;K$38,J$37,K496&lt;K$39,J$38,K496&lt;K$40,J$39,K496&lt;K$41,J$40,K496&lt;K$42,J$41,K496&lt;K$43,J$42,K496&lt;K$44,J$43,K496&lt;K$45,J$44,K496&lt;K$46,J$45,K496&lt;K$47,J$46,K496&gt;=K$47,J$47)</f>
        <v/>
      </c>
      <c r="K496" s="38" t="n">
        <v>446</v>
      </c>
      <c r="L496" s="31">
        <f>K496/52</f>
        <v/>
      </c>
      <c r="M496" s="39">
        <f>J496/1000000*52</f>
        <v/>
      </c>
      <c r="N496" s="33">
        <f>M496/$P$4+($I$22/$P$4)</f>
        <v/>
      </c>
      <c r="U496">
        <f>F495</f>
        <v/>
      </c>
      <c r="V496">
        <f>H495</f>
        <v/>
      </c>
      <c r="W496">
        <f>N495</f>
        <v/>
      </c>
    </row>
    <row r="497" ht="15.75" customHeight="1" s="40">
      <c r="C497" s="36">
        <f>_xlfn.IFS(E497&lt;E$24,0,E497&lt;E$26,C$24,E497&lt;E$28,C$26,E497&lt;E$30,C$28,E497&lt;E$32,C$30,E497&lt;E$34,C$32,E497&gt;=E$34,C$34)</f>
        <v/>
      </c>
      <c r="D497" s="37">
        <f>_xlfn.IFS(E497&lt;E$24,0,E497&lt;E$25,D$24,E497&lt;E$26,D$25,E497&lt;E$27,D$26,E497&lt;E$28,D$27,E497&lt;E$29,D$28,E497&lt;E$30,D$29,E497&lt;E$31,D$30,E497&lt;E$32,D$31,E497&lt;E$33,D$32,E497&lt;E$34,D$33,E497&lt;E$35,D$34,E497&gt;=E$35,D$35)</f>
        <v/>
      </c>
      <c r="E497" s="38" t="n">
        <v>447</v>
      </c>
      <c r="F497" s="31">
        <f>E497/52</f>
        <v/>
      </c>
      <c r="G497" s="39">
        <f>D497/1000000*52</f>
        <v/>
      </c>
      <c r="H497" s="33">
        <f>G497/$P$4+($C$22/$P$4)</f>
        <v/>
      </c>
      <c r="I497" s="36">
        <f>_xlfn.IFS(K497&lt;K$24,0,K497&lt;K$26,I$24,K497&lt;K$28,I$26,K497&lt;K$30,I$28,K497&lt;K$32,I$30,K497&lt;K$34,I$32,K497&lt;K$36,I$34,K497&lt;K$38,I$36,K497&lt;K$40,I$38,K497&lt;K$42,I$40,K497&lt;K$44,I$42,K497&lt;K$46,I$44,K497&gt;=K$46,I$46)</f>
        <v/>
      </c>
      <c r="J497" s="37">
        <f>_xlfn.IFS(K497&lt;K$24,0,K497&lt;K$25,J$24,K497&lt;K$26,J$25,K497&lt;K$27,J$26,K497&lt;K$28,J$27,K497&lt;K$29,J$28,K497&lt;K$30,J$29,K497&lt;K$31,J$30,K497&lt;K$32,J$31,K497&lt;K$33,J$32,K497&lt;K$34,J$33,K497&lt;K$35,J$34,K497&lt;K$36,J$35,K497&lt;K$37,J$36,K497&lt;K$38,J$37,K497&lt;K$39,J$38,K497&lt;K$40,J$39,K497&lt;K$41,J$40,K497&lt;K$42,J$41,K497&lt;K$43,J$42,K497&lt;K$44,J$43,K497&lt;K$45,J$44,K497&lt;K$46,J$45,K497&lt;K$47,J$46,K497&gt;=K$47,J$47)</f>
        <v/>
      </c>
      <c r="K497" s="38" t="n">
        <v>447</v>
      </c>
      <c r="L497" s="31">
        <f>K497/52</f>
        <v/>
      </c>
      <c r="M497" s="39">
        <f>J497/1000000*52</f>
        <v/>
      </c>
      <c r="N497" s="33">
        <f>M497/$P$4+($I$22/$P$4)</f>
        <v/>
      </c>
      <c r="U497">
        <f>F496</f>
        <v/>
      </c>
      <c r="V497">
        <f>H496</f>
        <v/>
      </c>
      <c r="W497">
        <f>N496</f>
        <v/>
      </c>
    </row>
    <row r="498" ht="15.75" customHeight="1" s="40">
      <c r="C498" s="36">
        <f>_xlfn.IFS(E498&lt;E$24,0,E498&lt;E$26,C$24,E498&lt;E$28,C$26,E498&lt;E$30,C$28,E498&lt;E$32,C$30,E498&lt;E$34,C$32,E498&gt;=E$34,C$34)</f>
        <v/>
      </c>
      <c r="D498" s="37">
        <f>_xlfn.IFS(E498&lt;E$24,0,E498&lt;E$25,D$24,E498&lt;E$26,D$25,E498&lt;E$27,D$26,E498&lt;E$28,D$27,E498&lt;E$29,D$28,E498&lt;E$30,D$29,E498&lt;E$31,D$30,E498&lt;E$32,D$31,E498&lt;E$33,D$32,E498&lt;E$34,D$33,E498&lt;E$35,D$34,E498&gt;=E$35,D$35)</f>
        <v/>
      </c>
      <c r="E498" s="38" t="n">
        <v>448</v>
      </c>
      <c r="F498" s="31">
        <f>E498/52</f>
        <v/>
      </c>
      <c r="G498" s="39">
        <f>D498/1000000*52</f>
        <v/>
      </c>
      <c r="H498" s="33">
        <f>G498/$P$4+($C$22/$P$4)</f>
        <v/>
      </c>
      <c r="I498" s="36">
        <f>_xlfn.IFS(K498&lt;K$24,0,K498&lt;K$26,I$24,K498&lt;K$28,I$26,K498&lt;K$30,I$28,K498&lt;K$32,I$30,K498&lt;K$34,I$32,K498&lt;K$36,I$34,K498&lt;K$38,I$36,K498&lt;K$40,I$38,K498&lt;K$42,I$40,K498&lt;K$44,I$42,K498&lt;K$46,I$44,K498&gt;=K$46,I$46)</f>
        <v/>
      </c>
      <c r="J498" s="37">
        <f>_xlfn.IFS(K498&lt;K$24,0,K498&lt;K$25,J$24,K498&lt;K$26,J$25,K498&lt;K$27,J$26,K498&lt;K$28,J$27,K498&lt;K$29,J$28,K498&lt;K$30,J$29,K498&lt;K$31,J$30,K498&lt;K$32,J$31,K498&lt;K$33,J$32,K498&lt;K$34,J$33,K498&lt;K$35,J$34,K498&lt;K$36,J$35,K498&lt;K$37,J$36,K498&lt;K$38,J$37,K498&lt;K$39,J$38,K498&lt;K$40,J$39,K498&lt;K$41,J$40,K498&lt;K$42,J$41,K498&lt;K$43,J$42,K498&lt;K$44,J$43,K498&lt;K$45,J$44,K498&lt;K$46,J$45,K498&lt;K$47,J$46,K498&gt;=K$47,J$47)</f>
        <v/>
      </c>
      <c r="K498" s="38" t="n">
        <v>448</v>
      </c>
      <c r="L498" s="31">
        <f>K498/52</f>
        <v/>
      </c>
      <c r="M498" s="39">
        <f>J498/1000000*52</f>
        <v/>
      </c>
      <c r="N498" s="33">
        <f>M498/$P$4+($I$22/$P$4)</f>
        <v/>
      </c>
      <c r="U498">
        <f>F497</f>
        <v/>
      </c>
      <c r="V498">
        <f>H497</f>
        <v/>
      </c>
      <c r="W498">
        <f>N497</f>
        <v/>
      </c>
    </row>
    <row r="499" ht="15.75" customHeight="1" s="40">
      <c r="C499" s="36">
        <f>_xlfn.IFS(E499&lt;E$24,0,E499&lt;E$26,C$24,E499&lt;E$28,C$26,E499&lt;E$30,C$28,E499&lt;E$32,C$30,E499&lt;E$34,C$32,E499&gt;=E$34,C$34)</f>
        <v/>
      </c>
      <c r="D499" s="37">
        <f>_xlfn.IFS(E499&lt;E$24,0,E499&lt;E$25,D$24,E499&lt;E$26,D$25,E499&lt;E$27,D$26,E499&lt;E$28,D$27,E499&lt;E$29,D$28,E499&lt;E$30,D$29,E499&lt;E$31,D$30,E499&lt;E$32,D$31,E499&lt;E$33,D$32,E499&lt;E$34,D$33,E499&lt;E$35,D$34,E499&gt;=E$35,D$35)</f>
        <v/>
      </c>
      <c r="E499" s="38" t="n">
        <v>449</v>
      </c>
      <c r="F499" s="31">
        <f>E499/52</f>
        <v/>
      </c>
      <c r="G499" s="39">
        <f>D499/1000000*52</f>
        <v/>
      </c>
      <c r="H499" s="33">
        <f>G499/$P$4+($C$22/$P$4)</f>
        <v/>
      </c>
      <c r="I499" s="36">
        <f>_xlfn.IFS(K499&lt;K$24,0,K499&lt;K$26,I$24,K499&lt;K$28,I$26,K499&lt;K$30,I$28,K499&lt;K$32,I$30,K499&lt;K$34,I$32,K499&lt;K$36,I$34,K499&lt;K$38,I$36,K499&lt;K$40,I$38,K499&lt;K$42,I$40,K499&lt;K$44,I$42,K499&lt;K$46,I$44,K499&gt;=K$46,I$46)</f>
        <v/>
      </c>
      <c r="J499" s="37">
        <f>_xlfn.IFS(K499&lt;K$24,0,K499&lt;K$25,J$24,K499&lt;K$26,J$25,K499&lt;K$27,J$26,K499&lt;K$28,J$27,K499&lt;K$29,J$28,K499&lt;K$30,J$29,K499&lt;K$31,J$30,K499&lt;K$32,J$31,K499&lt;K$33,J$32,K499&lt;K$34,J$33,K499&lt;K$35,J$34,K499&lt;K$36,J$35,K499&lt;K$37,J$36,K499&lt;K$38,J$37,K499&lt;K$39,J$38,K499&lt;K$40,J$39,K499&lt;K$41,J$40,K499&lt;K$42,J$41,K499&lt;K$43,J$42,K499&lt;K$44,J$43,K499&lt;K$45,J$44,K499&lt;K$46,J$45,K499&lt;K$47,J$46,K499&gt;=K$47,J$47)</f>
        <v/>
      </c>
      <c r="K499" s="38" t="n">
        <v>449</v>
      </c>
      <c r="L499" s="31">
        <f>K499/52</f>
        <v/>
      </c>
      <c r="M499" s="39">
        <f>J499/1000000*52</f>
        <v/>
      </c>
      <c r="N499" s="33">
        <f>M499/$P$4+($I$22/$P$4)</f>
        <v/>
      </c>
      <c r="U499">
        <f>F498</f>
        <v/>
      </c>
      <c r="V499">
        <f>H498</f>
        <v/>
      </c>
      <c r="W499">
        <f>N498</f>
        <v/>
      </c>
    </row>
    <row r="500" ht="15.75" customHeight="1" s="40">
      <c r="C500" s="36">
        <f>_xlfn.IFS(E500&lt;E$24,0,E500&lt;E$26,C$24,E500&lt;E$28,C$26,E500&lt;E$30,C$28,E500&lt;E$32,C$30,E500&lt;E$34,C$32,E500&gt;=E$34,C$34)</f>
        <v/>
      </c>
      <c r="D500" s="37">
        <f>_xlfn.IFS(E500&lt;E$24,0,E500&lt;E$25,D$24,E500&lt;E$26,D$25,E500&lt;E$27,D$26,E500&lt;E$28,D$27,E500&lt;E$29,D$28,E500&lt;E$30,D$29,E500&lt;E$31,D$30,E500&lt;E$32,D$31,E500&lt;E$33,D$32,E500&lt;E$34,D$33,E500&lt;E$35,D$34,E500&gt;=E$35,D$35)</f>
        <v/>
      </c>
      <c r="E500" s="38" t="n">
        <v>450</v>
      </c>
      <c r="F500" s="31">
        <f>E500/52</f>
        <v/>
      </c>
      <c r="G500" s="39">
        <f>D500/1000000*52</f>
        <v/>
      </c>
      <c r="H500" s="33">
        <f>G500/$P$4+($C$22/$P$4)</f>
        <v/>
      </c>
      <c r="I500" s="36">
        <f>_xlfn.IFS(K500&lt;K$24,0,K500&lt;K$26,I$24,K500&lt;K$28,I$26,K500&lt;K$30,I$28,K500&lt;K$32,I$30,K500&lt;K$34,I$32,K500&lt;K$36,I$34,K500&lt;K$38,I$36,K500&lt;K$40,I$38,K500&lt;K$42,I$40,K500&lt;K$44,I$42,K500&lt;K$46,I$44,K500&gt;=K$46,I$46)</f>
        <v/>
      </c>
      <c r="J500" s="37">
        <f>_xlfn.IFS(K500&lt;K$24,0,K500&lt;K$25,J$24,K500&lt;K$26,J$25,K500&lt;K$27,J$26,K500&lt;K$28,J$27,K500&lt;K$29,J$28,K500&lt;K$30,J$29,K500&lt;K$31,J$30,K500&lt;K$32,J$31,K500&lt;K$33,J$32,K500&lt;K$34,J$33,K500&lt;K$35,J$34,K500&lt;K$36,J$35,K500&lt;K$37,J$36,K500&lt;K$38,J$37,K500&lt;K$39,J$38,K500&lt;K$40,J$39,K500&lt;K$41,J$40,K500&lt;K$42,J$41,K500&lt;K$43,J$42,K500&lt;K$44,J$43,K500&lt;K$45,J$44,K500&lt;K$46,J$45,K500&lt;K$47,J$46,K500&gt;=K$47,J$47)</f>
        <v/>
      </c>
      <c r="K500" s="38" t="n">
        <v>450</v>
      </c>
      <c r="L500" s="31">
        <f>K500/52</f>
        <v/>
      </c>
      <c r="M500" s="39">
        <f>J500/1000000*52</f>
        <v/>
      </c>
      <c r="N500" s="33">
        <f>M500/$P$4+($I$22/$P$4)</f>
        <v/>
      </c>
      <c r="U500">
        <f>F499</f>
        <v/>
      </c>
      <c r="V500">
        <f>H499</f>
        <v/>
      </c>
      <c r="W500">
        <f>N499</f>
        <v/>
      </c>
    </row>
    <row r="501" ht="15.75" customHeight="1" s="40">
      <c r="C501" s="36">
        <f>_xlfn.IFS(E501&lt;E$24,0,E501&lt;E$26,C$24,E501&lt;E$28,C$26,E501&lt;E$30,C$28,E501&lt;E$32,C$30,E501&lt;E$34,C$32,E501&gt;=E$34,C$34)</f>
        <v/>
      </c>
      <c r="D501" s="37">
        <f>_xlfn.IFS(E501&lt;E$24,0,E501&lt;E$25,D$24,E501&lt;E$26,D$25,E501&lt;E$27,D$26,E501&lt;E$28,D$27,E501&lt;E$29,D$28,E501&lt;E$30,D$29,E501&lt;E$31,D$30,E501&lt;E$32,D$31,E501&lt;E$33,D$32,E501&lt;E$34,D$33,E501&lt;E$35,D$34,E501&gt;=E$35,D$35)</f>
        <v/>
      </c>
      <c r="E501" s="38" t="n">
        <v>451</v>
      </c>
      <c r="F501" s="31">
        <f>E501/52</f>
        <v/>
      </c>
      <c r="G501" s="39">
        <f>D501/1000000*52</f>
        <v/>
      </c>
      <c r="H501" s="33">
        <f>G501/$P$4+($C$22/$P$4)</f>
        <v/>
      </c>
      <c r="I501" s="36">
        <f>_xlfn.IFS(K501&lt;K$24,0,K501&lt;K$26,I$24,K501&lt;K$28,I$26,K501&lt;K$30,I$28,K501&lt;K$32,I$30,K501&lt;K$34,I$32,K501&lt;K$36,I$34,K501&lt;K$38,I$36,K501&lt;K$40,I$38,K501&lt;K$42,I$40,K501&lt;K$44,I$42,K501&lt;K$46,I$44,K501&gt;=K$46,I$46)</f>
        <v/>
      </c>
      <c r="J501" s="37">
        <f>_xlfn.IFS(K501&lt;K$24,0,K501&lt;K$25,J$24,K501&lt;K$26,J$25,K501&lt;K$27,J$26,K501&lt;K$28,J$27,K501&lt;K$29,J$28,K501&lt;K$30,J$29,K501&lt;K$31,J$30,K501&lt;K$32,J$31,K501&lt;K$33,J$32,K501&lt;K$34,J$33,K501&lt;K$35,J$34,K501&lt;K$36,J$35,K501&lt;K$37,J$36,K501&lt;K$38,J$37,K501&lt;K$39,J$38,K501&lt;K$40,J$39,K501&lt;K$41,J$40,K501&lt;K$42,J$41,K501&lt;K$43,J$42,K501&lt;K$44,J$43,K501&lt;K$45,J$44,K501&lt;K$46,J$45,K501&lt;K$47,J$46,K501&gt;=K$47,J$47)</f>
        <v/>
      </c>
      <c r="K501" s="38" t="n">
        <v>451</v>
      </c>
      <c r="L501" s="31">
        <f>K501/52</f>
        <v/>
      </c>
      <c r="M501" s="39">
        <f>J501/1000000*52</f>
        <v/>
      </c>
      <c r="N501" s="33">
        <f>M501/$P$4+($I$22/$P$4)</f>
        <v/>
      </c>
      <c r="U501">
        <f>F500</f>
        <v/>
      </c>
      <c r="V501">
        <f>H500</f>
        <v/>
      </c>
      <c r="W501">
        <f>N500</f>
        <v/>
      </c>
    </row>
    <row r="502" ht="15.75" customHeight="1" s="40">
      <c r="C502" s="36">
        <f>_xlfn.IFS(E502&lt;E$24,0,E502&lt;E$26,C$24,E502&lt;E$28,C$26,E502&lt;E$30,C$28,E502&lt;E$32,C$30,E502&lt;E$34,C$32,E502&gt;=E$34,C$34)</f>
        <v/>
      </c>
      <c r="D502" s="37">
        <f>_xlfn.IFS(E502&lt;E$24,0,E502&lt;E$25,D$24,E502&lt;E$26,D$25,E502&lt;E$27,D$26,E502&lt;E$28,D$27,E502&lt;E$29,D$28,E502&lt;E$30,D$29,E502&lt;E$31,D$30,E502&lt;E$32,D$31,E502&lt;E$33,D$32,E502&lt;E$34,D$33,E502&lt;E$35,D$34,E502&gt;=E$35,D$35)</f>
        <v/>
      </c>
      <c r="E502" s="38" t="n">
        <v>452</v>
      </c>
      <c r="F502" s="31">
        <f>E502/52</f>
        <v/>
      </c>
      <c r="G502" s="39">
        <f>D502/1000000*52</f>
        <v/>
      </c>
      <c r="H502" s="33">
        <f>G502/$P$4+($C$22/$P$4)</f>
        <v/>
      </c>
      <c r="I502" s="36">
        <f>_xlfn.IFS(K502&lt;K$24,0,K502&lt;K$26,I$24,K502&lt;K$28,I$26,K502&lt;K$30,I$28,K502&lt;K$32,I$30,K502&lt;K$34,I$32,K502&lt;K$36,I$34,K502&lt;K$38,I$36,K502&lt;K$40,I$38,K502&lt;K$42,I$40,K502&lt;K$44,I$42,K502&lt;K$46,I$44,K502&gt;=K$46,I$46)</f>
        <v/>
      </c>
      <c r="J502" s="37">
        <f>_xlfn.IFS(K502&lt;K$24,0,K502&lt;K$25,J$24,K502&lt;K$26,J$25,K502&lt;K$27,J$26,K502&lt;K$28,J$27,K502&lt;K$29,J$28,K502&lt;K$30,J$29,K502&lt;K$31,J$30,K502&lt;K$32,J$31,K502&lt;K$33,J$32,K502&lt;K$34,J$33,K502&lt;K$35,J$34,K502&lt;K$36,J$35,K502&lt;K$37,J$36,K502&lt;K$38,J$37,K502&lt;K$39,J$38,K502&lt;K$40,J$39,K502&lt;K$41,J$40,K502&lt;K$42,J$41,K502&lt;K$43,J$42,K502&lt;K$44,J$43,K502&lt;K$45,J$44,K502&lt;K$46,J$45,K502&lt;K$47,J$46,K502&gt;=K$47,J$47)</f>
        <v/>
      </c>
      <c r="K502" s="38" t="n">
        <v>452</v>
      </c>
      <c r="L502" s="31">
        <f>K502/52</f>
        <v/>
      </c>
      <c r="M502" s="39">
        <f>J502/1000000*52</f>
        <v/>
      </c>
      <c r="N502" s="33">
        <f>M502/$P$4+($I$22/$P$4)</f>
        <v/>
      </c>
      <c r="U502">
        <f>F501</f>
        <v/>
      </c>
      <c r="V502">
        <f>H501</f>
        <v/>
      </c>
      <c r="W502">
        <f>N501</f>
        <v/>
      </c>
    </row>
    <row r="503" ht="15.75" customHeight="1" s="40">
      <c r="C503" s="36">
        <f>_xlfn.IFS(E503&lt;E$24,0,E503&lt;E$26,C$24,E503&lt;E$28,C$26,E503&lt;E$30,C$28,E503&lt;E$32,C$30,E503&lt;E$34,C$32,E503&gt;=E$34,C$34)</f>
        <v/>
      </c>
      <c r="D503" s="37">
        <f>_xlfn.IFS(E503&lt;E$24,0,E503&lt;E$25,D$24,E503&lt;E$26,D$25,E503&lt;E$27,D$26,E503&lt;E$28,D$27,E503&lt;E$29,D$28,E503&lt;E$30,D$29,E503&lt;E$31,D$30,E503&lt;E$32,D$31,E503&lt;E$33,D$32,E503&lt;E$34,D$33,E503&lt;E$35,D$34,E503&gt;=E$35,D$35)</f>
        <v/>
      </c>
      <c r="E503" s="38" t="n">
        <v>453</v>
      </c>
      <c r="F503" s="31">
        <f>E503/52</f>
        <v/>
      </c>
      <c r="G503" s="39">
        <f>D503/1000000*52</f>
        <v/>
      </c>
      <c r="H503" s="33">
        <f>G503/$P$4+($C$22/$P$4)</f>
        <v/>
      </c>
      <c r="I503" s="36">
        <f>_xlfn.IFS(K503&lt;K$24,0,K503&lt;K$26,I$24,K503&lt;K$28,I$26,K503&lt;K$30,I$28,K503&lt;K$32,I$30,K503&lt;K$34,I$32,K503&lt;K$36,I$34,K503&lt;K$38,I$36,K503&lt;K$40,I$38,K503&lt;K$42,I$40,K503&lt;K$44,I$42,K503&lt;K$46,I$44,K503&gt;=K$46,I$46)</f>
        <v/>
      </c>
      <c r="J503" s="37">
        <f>_xlfn.IFS(K503&lt;K$24,0,K503&lt;K$25,J$24,K503&lt;K$26,J$25,K503&lt;K$27,J$26,K503&lt;K$28,J$27,K503&lt;K$29,J$28,K503&lt;K$30,J$29,K503&lt;K$31,J$30,K503&lt;K$32,J$31,K503&lt;K$33,J$32,K503&lt;K$34,J$33,K503&lt;K$35,J$34,K503&lt;K$36,J$35,K503&lt;K$37,J$36,K503&lt;K$38,J$37,K503&lt;K$39,J$38,K503&lt;K$40,J$39,K503&lt;K$41,J$40,K503&lt;K$42,J$41,K503&lt;K$43,J$42,K503&lt;K$44,J$43,K503&lt;K$45,J$44,K503&lt;K$46,J$45,K503&lt;K$47,J$46,K503&gt;=K$47,J$47)</f>
        <v/>
      </c>
      <c r="K503" s="38" t="n">
        <v>453</v>
      </c>
      <c r="L503" s="31">
        <f>K503/52</f>
        <v/>
      </c>
      <c r="M503" s="39">
        <f>J503/1000000*52</f>
        <v/>
      </c>
      <c r="N503" s="33">
        <f>M503/$P$4+($I$22/$P$4)</f>
        <v/>
      </c>
      <c r="U503">
        <f>F502</f>
        <v/>
      </c>
      <c r="V503">
        <f>H502</f>
        <v/>
      </c>
      <c r="W503">
        <f>N502</f>
        <v/>
      </c>
    </row>
    <row r="504" ht="15.75" customHeight="1" s="40">
      <c r="C504" s="36">
        <f>_xlfn.IFS(E504&lt;E$24,0,E504&lt;E$26,C$24,E504&lt;E$28,C$26,E504&lt;E$30,C$28,E504&lt;E$32,C$30,E504&lt;E$34,C$32,E504&gt;=E$34,C$34)</f>
        <v/>
      </c>
      <c r="D504" s="37">
        <f>_xlfn.IFS(E504&lt;E$24,0,E504&lt;E$25,D$24,E504&lt;E$26,D$25,E504&lt;E$27,D$26,E504&lt;E$28,D$27,E504&lt;E$29,D$28,E504&lt;E$30,D$29,E504&lt;E$31,D$30,E504&lt;E$32,D$31,E504&lt;E$33,D$32,E504&lt;E$34,D$33,E504&lt;E$35,D$34,E504&gt;=E$35,D$35)</f>
        <v/>
      </c>
      <c r="E504" s="38" t="n">
        <v>454</v>
      </c>
      <c r="F504" s="31">
        <f>E504/52</f>
        <v/>
      </c>
      <c r="G504" s="39">
        <f>D504/1000000*52</f>
        <v/>
      </c>
      <c r="H504" s="33">
        <f>G504/$P$4+($C$22/$P$4)</f>
        <v/>
      </c>
      <c r="I504" s="36">
        <f>_xlfn.IFS(K504&lt;K$24,0,K504&lt;K$26,I$24,K504&lt;K$28,I$26,K504&lt;K$30,I$28,K504&lt;K$32,I$30,K504&lt;K$34,I$32,K504&lt;K$36,I$34,K504&lt;K$38,I$36,K504&lt;K$40,I$38,K504&lt;K$42,I$40,K504&lt;K$44,I$42,K504&lt;K$46,I$44,K504&gt;=K$46,I$46)</f>
        <v/>
      </c>
      <c r="J504" s="37">
        <f>_xlfn.IFS(K504&lt;K$24,0,K504&lt;K$25,J$24,K504&lt;K$26,J$25,K504&lt;K$27,J$26,K504&lt;K$28,J$27,K504&lt;K$29,J$28,K504&lt;K$30,J$29,K504&lt;K$31,J$30,K504&lt;K$32,J$31,K504&lt;K$33,J$32,K504&lt;K$34,J$33,K504&lt;K$35,J$34,K504&lt;K$36,J$35,K504&lt;K$37,J$36,K504&lt;K$38,J$37,K504&lt;K$39,J$38,K504&lt;K$40,J$39,K504&lt;K$41,J$40,K504&lt;K$42,J$41,K504&lt;K$43,J$42,K504&lt;K$44,J$43,K504&lt;K$45,J$44,K504&lt;K$46,J$45,K504&lt;K$47,J$46,K504&gt;=K$47,J$47)</f>
        <v/>
      </c>
      <c r="K504" s="38" t="n">
        <v>454</v>
      </c>
      <c r="L504" s="31">
        <f>K504/52</f>
        <v/>
      </c>
      <c r="M504" s="39">
        <f>J504/1000000*52</f>
        <v/>
      </c>
      <c r="N504" s="33">
        <f>M504/$P$4+($I$22/$P$4)</f>
        <v/>
      </c>
      <c r="U504">
        <f>F503</f>
        <v/>
      </c>
      <c r="V504">
        <f>H503</f>
        <v/>
      </c>
      <c r="W504">
        <f>N503</f>
        <v/>
      </c>
    </row>
    <row r="505" ht="15.75" customHeight="1" s="40">
      <c r="C505" s="36">
        <f>_xlfn.IFS(E505&lt;E$24,0,E505&lt;E$26,C$24,E505&lt;E$28,C$26,E505&lt;E$30,C$28,E505&lt;E$32,C$30,E505&lt;E$34,C$32,E505&gt;=E$34,C$34)</f>
        <v/>
      </c>
      <c r="D505" s="37">
        <f>_xlfn.IFS(E505&lt;E$24,0,E505&lt;E$25,D$24,E505&lt;E$26,D$25,E505&lt;E$27,D$26,E505&lt;E$28,D$27,E505&lt;E$29,D$28,E505&lt;E$30,D$29,E505&lt;E$31,D$30,E505&lt;E$32,D$31,E505&lt;E$33,D$32,E505&lt;E$34,D$33,E505&lt;E$35,D$34,E505&gt;=E$35,D$35)</f>
        <v/>
      </c>
      <c r="E505" s="38" t="n">
        <v>455</v>
      </c>
      <c r="F505" s="31">
        <f>E505/52</f>
        <v/>
      </c>
      <c r="G505" s="39">
        <f>D505/1000000*52</f>
        <v/>
      </c>
      <c r="H505" s="33">
        <f>G505/$P$4+($C$22/$P$4)</f>
        <v/>
      </c>
      <c r="I505" s="36">
        <f>_xlfn.IFS(K505&lt;K$24,0,K505&lt;K$26,I$24,K505&lt;K$28,I$26,K505&lt;K$30,I$28,K505&lt;K$32,I$30,K505&lt;K$34,I$32,K505&lt;K$36,I$34,K505&lt;K$38,I$36,K505&lt;K$40,I$38,K505&lt;K$42,I$40,K505&lt;K$44,I$42,K505&lt;K$46,I$44,K505&gt;=K$46,I$46)</f>
        <v/>
      </c>
      <c r="J505" s="37">
        <f>_xlfn.IFS(K505&lt;K$24,0,K505&lt;K$25,J$24,K505&lt;K$26,J$25,K505&lt;K$27,J$26,K505&lt;K$28,J$27,K505&lt;K$29,J$28,K505&lt;K$30,J$29,K505&lt;K$31,J$30,K505&lt;K$32,J$31,K505&lt;K$33,J$32,K505&lt;K$34,J$33,K505&lt;K$35,J$34,K505&lt;K$36,J$35,K505&lt;K$37,J$36,K505&lt;K$38,J$37,K505&lt;K$39,J$38,K505&lt;K$40,J$39,K505&lt;K$41,J$40,K505&lt;K$42,J$41,K505&lt;K$43,J$42,K505&lt;K$44,J$43,K505&lt;K$45,J$44,K505&lt;K$46,J$45,K505&lt;K$47,J$46,K505&gt;=K$47,J$47)</f>
        <v/>
      </c>
      <c r="K505" s="38" t="n">
        <v>455</v>
      </c>
      <c r="L505" s="31">
        <f>K505/52</f>
        <v/>
      </c>
      <c r="M505" s="39">
        <f>J505/1000000*52</f>
        <v/>
      </c>
      <c r="N505" s="33">
        <f>M505/$P$4+($I$22/$P$4)</f>
        <v/>
      </c>
      <c r="U505">
        <f>F504</f>
        <v/>
      </c>
      <c r="V505">
        <f>H504</f>
        <v/>
      </c>
      <c r="W505">
        <f>N504</f>
        <v/>
      </c>
    </row>
    <row r="506" ht="15.75" customHeight="1" s="40">
      <c r="C506" s="36">
        <f>_xlfn.IFS(E506&lt;E$24,0,E506&lt;E$26,C$24,E506&lt;E$28,C$26,E506&lt;E$30,C$28,E506&lt;E$32,C$30,E506&lt;E$34,C$32,E506&gt;=E$34,C$34)</f>
        <v/>
      </c>
      <c r="D506" s="37">
        <f>_xlfn.IFS(E506&lt;E$24,0,E506&lt;E$25,D$24,E506&lt;E$26,D$25,E506&lt;E$27,D$26,E506&lt;E$28,D$27,E506&lt;E$29,D$28,E506&lt;E$30,D$29,E506&lt;E$31,D$30,E506&lt;E$32,D$31,E506&lt;E$33,D$32,E506&lt;E$34,D$33,E506&lt;E$35,D$34,E506&gt;=E$35,D$35)</f>
        <v/>
      </c>
      <c r="E506" s="38" t="n">
        <v>456</v>
      </c>
      <c r="F506" s="31">
        <f>E506/52</f>
        <v/>
      </c>
      <c r="G506" s="39">
        <f>D506/1000000*52</f>
        <v/>
      </c>
      <c r="H506" s="33">
        <f>G506/$P$4+($C$22/$P$4)</f>
        <v/>
      </c>
      <c r="I506" s="36">
        <f>_xlfn.IFS(K506&lt;K$24,0,K506&lt;K$26,I$24,K506&lt;K$28,I$26,K506&lt;K$30,I$28,K506&lt;K$32,I$30,K506&lt;K$34,I$32,K506&lt;K$36,I$34,K506&lt;K$38,I$36,K506&lt;K$40,I$38,K506&lt;K$42,I$40,K506&lt;K$44,I$42,K506&lt;K$46,I$44,K506&gt;=K$46,I$46)</f>
        <v/>
      </c>
      <c r="J506" s="37">
        <f>_xlfn.IFS(K506&lt;K$24,0,K506&lt;K$25,J$24,K506&lt;K$26,J$25,K506&lt;K$27,J$26,K506&lt;K$28,J$27,K506&lt;K$29,J$28,K506&lt;K$30,J$29,K506&lt;K$31,J$30,K506&lt;K$32,J$31,K506&lt;K$33,J$32,K506&lt;K$34,J$33,K506&lt;K$35,J$34,K506&lt;K$36,J$35,K506&lt;K$37,J$36,K506&lt;K$38,J$37,K506&lt;K$39,J$38,K506&lt;K$40,J$39,K506&lt;K$41,J$40,K506&lt;K$42,J$41,K506&lt;K$43,J$42,K506&lt;K$44,J$43,K506&lt;K$45,J$44,K506&lt;K$46,J$45,K506&lt;K$47,J$46,K506&gt;=K$47,J$47)</f>
        <v/>
      </c>
      <c r="K506" s="38" t="n">
        <v>456</v>
      </c>
      <c r="L506" s="31">
        <f>K506/52</f>
        <v/>
      </c>
      <c r="M506" s="39">
        <f>J506/1000000*52</f>
        <v/>
      </c>
      <c r="N506" s="33">
        <f>M506/$P$4+($I$22/$P$4)</f>
        <v/>
      </c>
      <c r="U506">
        <f>F505</f>
        <v/>
      </c>
      <c r="V506">
        <f>H505</f>
        <v/>
      </c>
      <c r="W506">
        <f>N505</f>
        <v/>
      </c>
    </row>
    <row r="507" ht="15.75" customHeight="1" s="40">
      <c r="C507" s="36">
        <f>_xlfn.IFS(E507&lt;E$24,0,E507&lt;E$26,C$24,E507&lt;E$28,C$26,E507&lt;E$30,C$28,E507&lt;E$32,C$30,E507&lt;E$34,C$32,E507&gt;=E$34,C$34)</f>
        <v/>
      </c>
      <c r="D507" s="37">
        <f>_xlfn.IFS(E507&lt;E$24,0,E507&lt;E$25,D$24,E507&lt;E$26,D$25,E507&lt;E$27,D$26,E507&lt;E$28,D$27,E507&lt;E$29,D$28,E507&lt;E$30,D$29,E507&lt;E$31,D$30,E507&lt;E$32,D$31,E507&lt;E$33,D$32,E507&lt;E$34,D$33,E507&lt;E$35,D$34,E507&gt;=E$35,D$35)</f>
        <v/>
      </c>
      <c r="E507" s="38" t="n">
        <v>457</v>
      </c>
      <c r="F507" s="31">
        <f>E507/52</f>
        <v/>
      </c>
      <c r="G507" s="39">
        <f>D507/1000000*52</f>
        <v/>
      </c>
      <c r="H507" s="33">
        <f>G507/$P$4+($C$22/$P$4)</f>
        <v/>
      </c>
      <c r="I507" s="36">
        <f>_xlfn.IFS(K507&lt;K$24,0,K507&lt;K$26,I$24,K507&lt;K$28,I$26,K507&lt;K$30,I$28,K507&lt;K$32,I$30,K507&lt;K$34,I$32,K507&lt;K$36,I$34,K507&lt;K$38,I$36,K507&lt;K$40,I$38,K507&lt;K$42,I$40,K507&lt;K$44,I$42,K507&lt;K$46,I$44,K507&gt;=K$46,I$46)</f>
        <v/>
      </c>
      <c r="J507" s="37">
        <f>_xlfn.IFS(K507&lt;K$24,0,K507&lt;K$25,J$24,K507&lt;K$26,J$25,K507&lt;K$27,J$26,K507&lt;K$28,J$27,K507&lt;K$29,J$28,K507&lt;K$30,J$29,K507&lt;K$31,J$30,K507&lt;K$32,J$31,K507&lt;K$33,J$32,K507&lt;K$34,J$33,K507&lt;K$35,J$34,K507&lt;K$36,J$35,K507&lt;K$37,J$36,K507&lt;K$38,J$37,K507&lt;K$39,J$38,K507&lt;K$40,J$39,K507&lt;K$41,J$40,K507&lt;K$42,J$41,K507&lt;K$43,J$42,K507&lt;K$44,J$43,K507&lt;K$45,J$44,K507&lt;K$46,J$45,K507&lt;K$47,J$46,K507&gt;=K$47,J$47)</f>
        <v/>
      </c>
      <c r="K507" s="38" t="n">
        <v>457</v>
      </c>
      <c r="L507" s="31">
        <f>K507/52</f>
        <v/>
      </c>
      <c r="M507" s="39">
        <f>J507/1000000*52</f>
        <v/>
      </c>
      <c r="N507" s="33">
        <f>M507/$P$4+($I$22/$P$4)</f>
        <v/>
      </c>
      <c r="U507">
        <f>F506</f>
        <v/>
      </c>
      <c r="V507">
        <f>H506</f>
        <v/>
      </c>
      <c r="W507">
        <f>N506</f>
        <v/>
      </c>
    </row>
    <row r="508" ht="15.75" customHeight="1" s="40">
      <c r="C508" s="36">
        <f>_xlfn.IFS(E508&lt;E$24,0,E508&lt;E$26,C$24,E508&lt;E$28,C$26,E508&lt;E$30,C$28,E508&lt;E$32,C$30,E508&lt;E$34,C$32,E508&gt;=E$34,C$34)</f>
        <v/>
      </c>
      <c r="D508" s="37">
        <f>_xlfn.IFS(E508&lt;E$24,0,E508&lt;E$25,D$24,E508&lt;E$26,D$25,E508&lt;E$27,D$26,E508&lt;E$28,D$27,E508&lt;E$29,D$28,E508&lt;E$30,D$29,E508&lt;E$31,D$30,E508&lt;E$32,D$31,E508&lt;E$33,D$32,E508&lt;E$34,D$33,E508&lt;E$35,D$34,E508&gt;=E$35,D$35)</f>
        <v/>
      </c>
      <c r="E508" s="38" t="n">
        <v>458</v>
      </c>
      <c r="F508" s="31">
        <f>E508/52</f>
        <v/>
      </c>
      <c r="G508" s="39">
        <f>D508/1000000*52</f>
        <v/>
      </c>
      <c r="H508" s="33">
        <f>G508/$P$4+($C$22/$P$4)</f>
        <v/>
      </c>
      <c r="I508" s="36">
        <f>_xlfn.IFS(K508&lt;K$24,0,K508&lt;K$26,I$24,K508&lt;K$28,I$26,K508&lt;K$30,I$28,K508&lt;K$32,I$30,K508&lt;K$34,I$32,K508&lt;K$36,I$34,K508&lt;K$38,I$36,K508&lt;K$40,I$38,K508&lt;K$42,I$40,K508&lt;K$44,I$42,K508&lt;K$46,I$44,K508&gt;=K$46,I$46)</f>
        <v/>
      </c>
      <c r="J508" s="37">
        <f>_xlfn.IFS(K508&lt;K$24,0,K508&lt;K$25,J$24,K508&lt;K$26,J$25,K508&lt;K$27,J$26,K508&lt;K$28,J$27,K508&lt;K$29,J$28,K508&lt;K$30,J$29,K508&lt;K$31,J$30,K508&lt;K$32,J$31,K508&lt;K$33,J$32,K508&lt;K$34,J$33,K508&lt;K$35,J$34,K508&lt;K$36,J$35,K508&lt;K$37,J$36,K508&lt;K$38,J$37,K508&lt;K$39,J$38,K508&lt;K$40,J$39,K508&lt;K$41,J$40,K508&lt;K$42,J$41,K508&lt;K$43,J$42,K508&lt;K$44,J$43,K508&lt;K$45,J$44,K508&lt;K$46,J$45,K508&lt;K$47,J$46,K508&gt;=K$47,J$47)</f>
        <v/>
      </c>
      <c r="K508" s="38" t="n">
        <v>458</v>
      </c>
      <c r="L508" s="31">
        <f>K508/52</f>
        <v/>
      </c>
      <c r="M508" s="39">
        <f>J508/1000000*52</f>
        <v/>
      </c>
      <c r="N508" s="33">
        <f>M508/$P$4+($I$22/$P$4)</f>
        <v/>
      </c>
      <c r="U508">
        <f>F507</f>
        <v/>
      </c>
      <c r="V508">
        <f>H507</f>
        <v/>
      </c>
      <c r="W508">
        <f>N507</f>
        <v/>
      </c>
    </row>
    <row r="509" ht="15.75" customHeight="1" s="40">
      <c r="C509" s="36">
        <f>_xlfn.IFS(E509&lt;E$24,0,E509&lt;E$26,C$24,E509&lt;E$28,C$26,E509&lt;E$30,C$28,E509&lt;E$32,C$30,E509&lt;E$34,C$32,E509&gt;=E$34,C$34)</f>
        <v/>
      </c>
      <c r="D509" s="37">
        <f>_xlfn.IFS(E509&lt;E$24,0,E509&lt;E$25,D$24,E509&lt;E$26,D$25,E509&lt;E$27,D$26,E509&lt;E$28,D$27,E509&lt;E$29,D$28,E509&lt;E$30,D$29,E509&lt;E$31,D$30,E509&lt;E$32,D$31,E509&lt;E$33,D$32,E509&lt;E$34,D$33,E509&lt;E$35,D$34,E509&gt;=E$35,D$35)</f>
        <v/>
      </c>
      <c r="E509" s="38" t="n">
        <v>459</v>
      </c>
      <c r="F509" s="31">
        <f>E509/52</f>
        <v/>
      </c>
      <c r="G509" s="39">
        <f>D509/1000000*52</f>
        <v/>
      </c>
      <c r="H509" s="33">
        <f>G509/$P$4+($C$22/$P$4)</f>
        <v/>
      </c>
      <c r="I509" s="36">
        <f>_xlfn.IFS(K509&lt;K$24,0,K509&lt;K$26,I$24,K509&lt;K$28,I$26,K509&lt;K$30,I$28,K509&lt;K$32,I$30,K509&lt;K$34,I$32,K509&lt;K$36,I$34,K509&lt;K$38,I$36,K509&lt;K$40,I$38,K509&lt;K$42,I$40,K509&lt;K$44,I$42,K509&lt;K$46,I$44,K509&gt;=K$46,I$46)</f>
        <v/>
      </c>
      <c r="J509" s="37">
        <f>_xlfn.IFS(K509&lt;K$24,0,K509&lt;K$25,J$24,K509&lt;K$26,J$25,K509&lt;K$27,J$26,K509&lt;K$28,J$27,K509&lt;K$29,J$28,K509&lt;K$30,J$29,K509&lt;K$31,J$30,K509&lt;K$32,J$31,K509&lt;K$33,J$32,K509&lt;K$34,J$33,K509&lt;K$35,J$34,K509&lt;K$36,J$35,K509&lt;K$37,J$36,K509&lt;K$38,J$37,K509&lt;K$39,J$38,K509&lt;K$40,J$39,K509&lt;K$41,J$40,K509&lt;K$42,J$41,K509&lt;K$43,J$42,K509&lt;K$44,J$43,K509&lt;K$45,J$44,K509&lt;K$46,J$45,K509&lt;K$47,J$46,K509&gt;=K$47,J$47)</f>
        <v/>
      </c>
      <c r="K509" s="38" t="n">
        <v>459</v>
      </c>
      <c r="L509" s="31">
        <f>K509/52</f>
        <v/>
      </c>
      <c r="M509" s="39">
        <f>J509/1000000*52</f>
        <v/>
      </c>
      <c r="N509" s="33">
        <f>M509/$P$4+($I$22/$P$4)</f>
        <v/>
      </c>
      <c r="U509">
        <f>F508</f>
        <v/>
      </c>
      <c r="V509">
        <f>H508</f>
        <v/>
      </c>
      <c r="W509">
        <f>N508</f>
        <v/>
      </c>
    </row>
    <row r="510" ht="15.75" customHeight="1" s="40">
      <c r="C510" s="36">
        <f>_xlfn.IFS(E510&lt;E$24,0,E510&lt;E$26,C$24,E510&lt;E$28,C$26,E510&lt;E$30,C$28,E510&lt;E$32,C$30,E510&lt;E$34,C$32,E510&gt;=E$34,C$34)</f>
        <v/>
      </c>
      <c r="D510" s="37">
        <f>_xlfn.IFS(E510&lt;E$24,0,E510&lt;E$25,D$24,E510&lt;E$26,D$25,E510&lt;E$27,D$26,E510&lt;E$28,D$27,E510&lt;E$29,D$28,E510&lt;E$30,D$29,E510&lt;E$31,D$30,E510&lt;E$32,D$31,E510&lt;E$33,D$32,E510&lt;E$34,D$33,E510&lt;E$35,D$34,E510&gt;=E$35,D$35)</f>
        <v/>
      </c>
      <c r="E510" s="38" t="n">
        <v>460</v>
      </c>
      <c r="F510" s="31">
        <f>E510/52</f>
        <v/>
      </c>
      <c r="G510" s="39">
        <f>D510/1000000*52</f>
        <v/>
      </c>
      <c r="H510" s="33">
        <f>G510/$P$4+($C$22/$P$4)</f>
        <v/>
      </c>
      <c r="I510" s="36">
        <f>_xlfn.IFS(K510&lt;K$24,0,K510&lt;K$26,I$24,K510&lt;K$28,I$26,K510&lt;K$30,I$28,K510&lt;K$32,I$30,K510&lt;K$34,I$32,K510&lt;K$36,I$34,K510&lt;K$38,I$36,K510&lt;K$40,I$38,K510&lt;K$42,I$40,K510&lt;K$44,I$42,K510&lt;K$46,I$44,K510&gt;=K$46,I$46)</f>
        <v/>
      </c>
      <c r="J510" s="37">
        <f>_xlfn.IFS(K510&lt;K$24,0,K510&lt;K$25,J$24,K510&lt;K$26,J$25,K510&lt;K$27,J$26,K510&lt;K$28,J$27,K510&lt;K$29,J$28,K510&lt;K$30,J$29,K510&lt;K$31,J$30,K510&lt;K$32,J$31,K510&lt;K$33,J$32,K510&lt;K$34,J$33,K510&lt;K$35,J$34,K510&lt;K$36,J$35,K510&lt;K$37,J$36,K510&lt;K$38,J$37,K510&lt;K$39,J$38,K510&lt;K$40,J$39,K510&lt;K$41,J$40,K510&lt;K$42,J$41,K510&lt;K$43,J$42,K510&lt;K$44,J$43,K510&lt;K$45,J$44,K510&lt;K$46,J$45,K510&lt;K$47,J$46,K510&gt;=K$47,J$47)</f>
        <v/>
      </c>
      <c r="K510" s="38" t="n">
        <v>460</v>
      </c>
      <c r="L510" s="31">
        <f>K510/52</f>
        <v/>
      </c>
      <c r="M510" s="39">
        <f>J510/1000000*52</f>
        <v/>
      </c>
      <c r="N510" s="33">
        <f>M510/$P$4+($I$22/$P$4)</f>
        <v/>
      </c>
      <c r="U510">
        <f>F509</f>
        <v/>
      </c>
      <c r="V510">
        <f>H509</f>
        <v/>
      </c>
      <c r="W510">
        <f>N509</f>
        <v/>
      </c>
    </row>
    <row r="511" ht="15.75" customHeight="1" s="40">
      <c r="C511" s="36">
        <f>_xlfn.IFS(E511&lt;E$24,0,E511&lt;E$26,C$24,E511&lt;E$28,C$26,E511&lt;E$30,C$28,E511&lt;E$32,C$30,E511&lt;E$34,C$32,E511&gt;=E$34,C$34)</f>
        <v/>
      </c>
      <c r="D511" s="37">
        <f>_xlfn.IFS(E511&lt;E$24,0,E511&lt;E$25,D$24,E511&lt;E$26,D$25,E511&lt;E$27,D$26,E511&lt;E$28,D$27,E511&lt;E$29,D$28,E511&lt;E$30,D$29,E511&lt;E$31,D$30,E511&lt;E$32,D$31,E511&lt;E$33,D$32,E511&lt;E$34,D$33,E511&lt;E$35,D$34,E511&gt;=E$35,D$35)</f>
        <v/>
      </c>
      <c r="E511" s="38" t="n">
        <v>461</v>
      </c>
      <c r="F511" s="31">
        <f>E511/52</f>
        <v/>
      </c>
      <c r="G511" s="39">
        <f>D511/1000000*52</f>
        <v/>
      </c>
      <c r="H511" s="33">
        <f>G511/$P$4+($C$22/$P$4)</f>
        <v/>
      </c>
      <c r="I511" s="36">
        <f>_xlfn.IFS(K511&lt;K$24,0,K511&lt;K$26,I$24,K511&lt;K$28,I$26,K511&lt;K$30,I$28,K511&lt;K$32,I$30,K511&lt;K$34,I$32,K511&lt;K$36,I$34,K511&lt;K$38,I$36,K511&lt;K$40,I$38,K511&lt;K$42,I$40,K511&lt;K$44,I$42,K511&lt;K$46,I$44,K511&gt;=K$46,I$46)</f>
        <v/>
      </c>
      <c r="J511" s="37">
        <f>_xlfn.IFS(K511&lt;K$24,0,K511&lt;K$25,J$24,K511&lt;K$26,J$25,K511&lt;K$27,J$26,K511&lt;K$28,J$27,K511&lt;K$29,J$28,K511&lt;K$30,J$29,K511&lt;K$31,J$30,K511&lt;K$32,J$31,K511&lt;K$33,J$32,K511&lt;K$34,J$33,K511&lt;K$35,J$34,K511&lt;K$36,J$35,K511&lt;K$37,J$36,K511&lt;K$38,J$37,K511&lt;K$39,J$38,K511&lt;K$40,J$39,K511&lt;K$41,J$40,K511&lt;K$42,J$41,K511&lt;K$43,J$42,K511&lt;K$44,J$43,K511&lt;K$45,J$44,K511&lt;K$46,J$45,K511&lt;K$47,J$46,K511&gt;=K$47,J$47)</f>
        <v/>
      </c>
      <c r="K511" s="38" t="n">
        <v>461</v>
      </c>
      <c r="L511" s="31">
        <f>K511/52</f>
        <v/>
      </c>
      <c r="M511" s="39">
        <f>J511/1000000*52</f>
        <v/>
      </c>
      <c r="N511" s="33">
        <f>M511/$P$4+($I$22/$P$4)</f>
        <v/>
      </c>
      <c r="U511">
        <f>F510</f>
        <v/>
      </c>
      <c r="V511">
        <f>H510</f>
        <v/>
      </c>
      <c r="W511">
        <f>N510</f>
        <v/>
      </c>
    </row>
    <row r="512" ht="15.75" customHeight="1" s="40">
      <c r="C512" s="36">
        <f>_xlfn.IFS(E512&lt;E$24,0,E512&lt;E$26,C$24,E512&lt;E$28,C$26,E512&lt;E$30,C$28,E512&lt;E$32,C$30,E512&lt;E$34,C$32,E512&gt;=E$34,C$34)</f>
        <v/>
      </c>
      <c r="D512" s="37">
        <f>_xlfn.IFS(E512&lt;E$24,0,E512&lt;E$25,D$24,E512&lt;E$26,D$25,E512&lt;E$27,D$26,E512&lt;E$28,D$27,E512&lt;E$29,D$28,E512&lt;E$30,D$29,E512&lt;E$31,D$30,E512&lt;E$32,D$31,E512&lt;E$33,D$32,E512&lt;E$34,D$33,E512&lt;E$35,D$34,E512&gt;=E$35,D$35)</f>
        <v/>
      </c>
      <c r="E512" s="38" t="n">
        <v>462</v>
      </c>
      <c r="F512" s="31">
        <f>E512/52</f>
        <v/>
      </c>
      <c r="G512" s="39">
        <f>D512/1000000*52</f>
        <v/>
      </c>
      <c r="H512" s="33">
        <f>G512/$P$4+($C$22/$P$4)</f>
        <v/>
      </c>
      <c r="I512" s="36">
        <f>_xlfn.IFS(K512&lt;K$24,0,K512&lt;K$26,I$24,K512&lt;K$28,I$26,K512&lt;K$30,I$28,K512&lt;K$32,I$30,K512&lt;K$34,I$32,K512&lt;K$36,I$34,K512&lt;K$38,I$36,K512&lt;K$40,I$38,K512&lt;K$42,I$40,K512&lt;K$44,I$42,K512&lt;K$46,I$44,K512&gt;=K$46,I$46)</f>
        <v/>
      </c>
      <c r="J512" s="37">
        <f>_xlfn.IFS(K512&lt;K$24,0,K512&lt;K$25,J$24,K512&lt;K$26,J$25,K512&lt;K$27,J$26,K512&lt;K$28,J$27,K512&lt;K$29,J$28,K512&lt;K$30,J$29,K512&lt;K$31,J$30,K512&lt;K$32,J$31,K512&lt;K$33,J$32,K512&lt;K$34,J$33,K512&lt;K$35,J$34,K512&lt;K$36,J$35,K512&lt;K$37,J$36,K512&lt;K$38,J$37,K512&lt;K$39,J$38,K512&lt;K$40,J$39,K512&lt;K$41,J$40,K512&lt;K$42,J$41,K512&lt;K$43,J$42,K512&lt;K$44,J$43,K512&lt;K$45,J$44,K512&lt;K$46,J$45,K512&lt;K$47,J$46,K512&gt;=K$47,J$47)</f>
        <v/>
      </c>
      <c r="K512" s="38" t="n">
        <v>462</v>
      </c>
      <c r="L512" s="31">
        <f>K512/52</f>
        <v/>
      </c>
      <c r="M512" s="39">
        <f>J512/1000000*52</f>
        <v/>
      </c>
      <c r="N512" s="33">
        <f>M512/$P$4+($I$22/$P$4)</f>
        <v/>
      </c>
      <c r="U512">
        <f>F511</f>
        <v/>
      </c>
      <c r="V512">
        <f>H511</f>
        <v/>
      </c>
      <c r="W512">
        <f>N511</f>
        <v/>
      </c>
    </row>
    <row r="513" ht="15.75" customHeight="1" s="40">
      <c r="C513" s="36">
        <f>_xlfn.IFS(E513&lt;E$24,0,E513&lt;E$26,C$24,E513&lt;E$28,C$26,E513&lt;E$30,C$28,E513&lt;E$32,C$30,E513&lt;E$34,C$32,E513&gt;=E$34,C$34)</f>
        <v/>
      </c>
      <c r="D513" s="37">
        <f>_xlfn.IFS(E513&lt;E$24,0,E513&lt;E$25,D$24,E513&lt;E$26,D$25,E513&lt;E$27,D$26,E513&lt;E$28,D$27,E513&lt;E$29,D$28,E513&lt;E$30,D$29,E513&lt;E$31,D$30,E513&lt;E$32,D$31,E513&lt;E$33,D$32,E513&lt;E$34,D$33,E513&lt;E$35,D$34,E513&gt;=E$35,D$35)</f>
        <v/>
      </c>
      <c r="E513" s="38" t="n">
        <v>463</v>
      </c>
      <c r="F513" s="31">
        <f>E513/52</f>
        <v/>
      </c>
      <c r="G513" s="39">
        <f>D513/1000000*52</f>
        <v/>
      </c>
      <c r="H513" s="33">
        <f>G513/$P$4+($C$22/$P$4)</f>
        <v/>
      </c>
      <c r="I513" s="36">
        <f>_xlfn.IFS(K513&lt;K$24,0,K513&lt;K$26,I$24,K513&lt;K$28,I$26,K513&lt;K$30,I$28,K513&lt;K$32,I$30,K513&lt;K$34,I$32,K513&lt;K$36,I$34,K513&lt;K$38,I$36,K513&lt;K$40,I$38,K513&lt;K$42,I$40,K513&lt;K$44,I$42,K513&lt;K$46,I$44,K513&gt;=K$46,I$46)</f>
        <v/>
      </c>
      <c r="J513" s="37">
        <f>_xlfn.IFS(K513&lt;K$24,0,K513&lt;K$25,J$24,K513&lt;K$26,J$25,K513&lt;K$27,J$26,K513&lt;K$28,J$27,K513&lt;K$29,J$28,K513&lt;K$30,J$29,K513&lt;K$31,J$30,K513&lt;K$32,J$31,K513&lt;K$33,J$32,K513&lt;K$34,J$33,K513&lt;K$35,J$34,K513&lt;K$36,J$35,K513&lt;K$37,J$36,K513&lt;K$38,J$37,K513&lt;K$39,J$38,K513&lt;K$40,J$39,K513&lt;K$41,J$40,K513&lt;K$42,J$41,K513&lt;K$43,J$42,K513&lt;K$44,J$43,K513&lt;K$45,J$44,K513&lt;K$46,J$45,K513&lt;K$47,J$46,K513&gt;=K$47,J$47)</f>
        <v/>
      </c>
      <c r="K513" s="38" t="n">
        <v>463</v>
      </c>
      <c r="L513" s="31">
        <f>K513/52</f>
        <v/>
      </c>
      <c r="M513" s="39">
        <f>J513/1000000*52</f>
        <v/>
      </c>
      <c r="N513" s="33">
        <f>M513/$P$4+($I$22/$P$4)</f>
        <v/>
      </c>
      <c r="U513">
        <f>F512</f>
        <v/>
      </c>
      <c r="V513">
        <f>H512</f>
        <v/>
      </c>
      <c r="W513">
        <f>N512</f>
        <v/>
      </c>
    </row>
    <row r="514" ht="15.75" customHeight="1" s="40">
      <c r="C514" s="36">
        <f>_xlfn.IFS(E514&lt;E$24,0,E514&lt;E$26,C$24,E514&lt;E$28,C$26,E514&lt;E$30,C$28,E514&lt;E$32,C$30,E514&lt;E$34,C$32,E514&gt;=E$34,C$34)</f>
        <v/>
      </c>
      <c r="D514" s="37">
        <f>_xlfn.IFS(E514&lt;E$24,0,E514&lt;E$25,D$24,E514&lt;E$26,D$25,E514&lt;E$27,D$26,E514&lt;E$28,D$27,E514&lt;E$29,D$28,E514&lt;E$30,D$29,E514&lt;E$31,D$30,E514&lt;E$32,D$31,E514&lt;E$33,D$32,E514&lt;E$34,D$33,E514&lt;E$35,D$34,E514&gt;=E$35,D$35)</f>
        <v/>
      </c>
      <c r="E514" s="38" t="n">
        <v>464</v>
      </c>
      <c r="F514" s="31">
        <f>E514/52</f>
        <v/>
      </c>
      <c r="G514" s="39">
        <f>D514/1000000*52</f>
        <v/>
      </c>
      <c r="H514" s="33">
        <f>G514/$P$4+($C$22/$P$4)</f>
        <v/>
      </c>
      <c r="I514" s="36">
        <f>_xlfn.IFS(K514&lt;K$24,0,K514&lt;K$26,I$24,K514&lt;K$28,I$26,K514&lt;K$30,I$28,K514&lt;K$32,I$30,K514&lt;K$34,I$32,K514&lt;K$36,I$34,K514&lt;K$38,I$36,K514&lt;K$40,I$38,K514&lt;K$42,I$40,K514&lt;K$44,I$42,K514&lt;K$46,I$44,K514&gt;=K$46,I$46)</f>
        <v/>
      </c>
      <c r="J514" s="37">
        <f>_xlfn.IFS(K514&lt;K$24,0,K514&lt;K$25,J$24,K514&lt;K$26,J$25,K514&lt;K$27,J$26,K514&lt;K$28,J$27,K514&lt;K$29,J$28,K514&lt;K$30,J$29,K514&lt;K$31,J$30,K514&lt;K$32,J$31,K514&lt;K$33,J$32,K514&lt;K$34,J$33,K514&lt;K$35,J$34,K514&lt;K$36,J$35,K514&lt;K$37,J$36,K514&lt;K$38,J$37,K514&lt;K$39,J$38,K514&lt;K$40,J$39,K514&lt;K$41,J$40,K514&lt;K$42,J$41,K514&lt;K$43,J$42,K514&lt;K$44,J$43,K514&lt;K$45,J$44,K514&lt;K$46,J$45,K514&lt;K$47,J$46,K514&gt;=K$47,J$47)</f>
        <v/>
      </c>
      <c r="K514" s="38" t="n">
        <v>464</v>
      </c>
      <c r="L514" s="31">
        <f>K514/52</f>
        <v/>
      </c>
      <c r="M514" s="39">
        <f>J514/1000000*52</f>
        <v/>
      </c>
      <c r="N514" s="33">
        <f>M514/$P$4+($I$22/$P$4)</f>
        <v/>
      </c>
      <c r="U514">
        <f>F513</f>
        <v/>
      </c>
      <c r="V514">
        <f>H513</f>
        <v/>
      </c>
      <c r="W514">
        <f>N513</f>
        <v/>
      </c>
    </row>
    <row r="515" ht="15.75" customHeight="1" s="40">
      <c r="C515" s="36">
        <f>_xlfn.IFS(E515&lt;E$24,0,E515&lt;E$26,C$24,E515&lt;E$28,C$26,E515&lt;E$30,C$28,E515&lt;E$32,C$30,E515&lt;E$34,C$32,E515&gt;=E$34,C$34)</f>
        <v/>
      </c>
      <c r="D515" s="37">
        <f>_xlfn.IFS(E515&lt;E$24,0,E515&lt;E$25,D$24,E515&lt;E$26,D$25,E515&lt;E$27,D$26,E515&lt;E$28,D$27,E515&lt;E$29,D$28,E515&lt;E$30,D$29,E515&lt;E$31,D$30,E515&lt;E$32,D$31,E515&lt;E$33,D$32,E515&lt;E$34,D$33,E515&lt;E$35,D$34,E515&gt;=E$35,D$35)</f>
        <v/>
      </c>
      <c r="E515" s="38" t="n">
        <v>465</v>
      </c>
      <c r="F515" s="31">
        <f>E515/52</f>
        <v/>
      </c>
      <c r="G515" s="39">
        <f>D515/1000000*52</f>
        <v/>
      </c>
      <c r="H515" s="33">
        <f>G515/$P$4+($C$22/$P$4)</f>
        <v/>
      </c>
      <c r="I515" s="36">
        <f>_xlfn.IFS(K515&lt;K$24,0,K515&lt;K$26,I$24,K515&lt;K$28,I$26,K515&lt;K$30,I$28,K515&lt;K$32,I$30,K515&lt;K$34,I$32,K515&lt;K$36,I$34,K515&lt;K$38,I$36,K515&lt;K$40,I$38,K515&lt;K$42,I$40,K515&lt;K$44,I$42,K515&lt;K$46,I$44,K515&gt;=K$46,I$46)</f>
        <v/>
      </c>
      <c r="J515" s="37">
        <f>_xlfn.IFS(K515&lt;K$24,0,K515&lt;K$25,J$24,K515&lt;K$26,J$25,K515&lt;K$27,J$26,K515&lt;K$28,J$27,K515&lt;K$29,J$28,K515&lt;K$30,J$29,K515&lt;K$31,J$30,K515&lt;K$32,J$31,K515&lt;K$33,J$32,K515&lt;K$34,J$33,K515&lt;K$35,J$34,K515&lt;K$36,J$35,K515&lt;K$37,J$36,K515&lt;K$38,J$37,K515&lt;K$39,J$38,K515&lt;K$40,J$39,K515&lt;K$41,J$40,K515&lt;K$42,J$41,K515&lt;K$43,J$42,K515&lt;K$44,J$43,K515&lt;K$45,J$44,K515&lt;K$46,J$45,K515&lt;K$47,J$46,K515&gt;=K$47,J$47)</f>
        <v/>
      </c>
      <c r="K515" s="38" t="n">
        <v>465</v>
      </c>
      <c r="L515" s="31">
        <f>K515/52</f>
        <v/>
      </c>
      <c r="M515" s="39">
        <f>J515/1000000*52</f>
        <v/>
      </c>
      <c r="N515" s="33">
        <f>M515/$P$4+($I$22/$P$4)</f>
        <v/>
      </c>
      <c r="U515">
        <f>F514</f>
        <v/>
      </c>
      <c r="V515">
        <f>H514</f>
        <v/>
      </c>
      <c r="W515">
        <f>N514</f>
        <v/>
      </c>
    </row>
    <row r="516" ht="15.75" customHeight="1" s="40">
      <c r="C516" s="36">
        <f>_xlfn.IFS(E516&lt;E$24,0,E516&lt;E$26,C$24,E516&lt;E$28,C$26,E516&lt;E$30,C$28,E516&lt;E$32,C$30,E516&lt;E$34,C$32,E516&gt;=E$34,C$34)</f>
        <v/>
      </c>
      <c r="D516" s="37">
        <f>_xlfn.IFS(E516&lt;E$24,0,E516&lt;E$25,D$24,E516&lt;E$26,D$25,E516&lt;E$27,D$26,E516&lt;E$28,D$27,E516&lt;E$29,D$28,E516&lt;E$30,D$29,E516&lt;E$31,D$30,E516&lt;E$32,D$31,E516&lt;E$33,D$32,E516&lt;E$34,D$33,E516&lt;E$35,D$34,E516&gt;=E$35,D$35)</f>
        <v/>
      </c>
      <c r="E516" s="38" t="n">
        <v>466</v>
      </c>
      <c r="F516" s="31">
        <f>E516/52</f>
        <v/>
      </c>
      <c r="G516" s="39">
        <f>D516/1000000*52</f>
        <v/>
      </c>
      <c r="H516" s="33">
        <f>G516/$P$4+($C$22/$P$4)</f>
        <v/>
      </c>
      <c r="I516" s="36">
        <f>_xlfn.IFS(K516&lt;K$24,0,K516&lt;K$26,I$24,K516&lt;K$28,I$26,K516&lt;K$30,I$28,K516&lt;K$32,I$30,K516&lt;K$34,I$32,K516&lt;K$36,I$34,K516&lt;K$38,I$36,K516&lt;K$40,I$38,K516&lt;K$42,I$40,K516&lt;K$44,I$42,K516&lt;K$46,I$44,K516&gt;=K$46,I$46)</f>
        <v/>
      </c>
      <c r="J516" s="37">
        <f>_xlfn.IFS(K516&lt;K$24,0,K516&lt;K$25,J$24,K516&lt;K$26,J$25,K516&lt;K$27,J$26,K516&lt;K$28,J$27,K516&lt;K$29,J$28,K516&lt;K$30,J$29,K516&lt;K$31,J$30,K516&lt;K$32,J$31,K516&lt;K$33,J$32,K516&lt;K$34,J$33,K516&lt;K$35,J$34,K516&lt;K$36,J$35,K516&lt;K$37,J$36,K516&lt;K$38,J$37,K516&lt;K$39,J$38,K516&lt;K$40,J$39,K516&lt;K$41,J$40,K516&lt;K$42,J$41,K516&lt;K$43,J$42,K516&lt;K$44,J$43,K516&lt;K$45,J$44,K516&lt;K$46,J$45,K516&lt;K$47,J$46,K516&gt;=K$47,J$47)</f>
        <v/>
      </c>
      <c r="K516" s="38" t="n">
        <v>466</v>
      </c>
      <c r="L516" s="31">
        <f>K516/52</f>
        <v/>
      </c>
      <c r="M516" s="39">
        <f>J516/1000000*52</f>
        <v/>
      </c>
      <c r="N516" s="33">
        <f>M516/$P$4+($I$22/$P$4)</f>
        <v/>
      </c>
      <c r="U516">
        <f>F515</f>
        <v/>
      </c>
      <c r="V516">
        <f>H515</f>
        <v/>
      </c>
      <c r="W516">
        <f>N515</f>
        <v/>
      </c>
    </row>
    <row r="517" ht="15.75" customHeight="1" s="40">
      <c r="C517" s="36">
        <f>_xlfn.IFS(E517&lt;E$24,0,E517&lt;E$26,C$24,E517&lt;E$28,C$26,E517&lt;E$30,C$28,E517&lt;E$32,C$30,E517&lt;E$34,C$32,E517&gt;=E$34,C$34)</f>
        <v/>
      </c>
      <c r="D517" s="37">
        <f>_xlfn.IFS(E517&lt;E$24,0,E517&lt;E$25,D$24,E517&lt;E$26,D$25,E517&lt;E$27,D$26,E517&lt;E$28,D$27,E517&lt;E$29,D$28,E517&lt;E$30,D$29,E517&lt;E$31,D$30,E517&lt;E$32,D$31,E517&lt;E$33,D$32,E517&lt;E$34,D$33,E517&lt;E$35,D$34,E517&gt;=E$35,D$35)</f>
        <v/>
      </c>
      <c r="E517" s="38" t="n">
        <v>467</v>
      </c>
      <c r="F517" s="31">
        <f>E517/52</f>
        <v/>
      </c>
      <c r="G517" s="39">
        <f>D517/1000000*52</f>
        <v/>
      </c>
      <c r="H517" s="33">
        <f>G517/$P$4+($C$22/$P$4)</f>
        <v/>
      </c>
      <c r="I517" s="36">
        <f>_xlfn.IFS(K517&lt;K$24,0,K517&lt;K$26,I$24,K517&lt;K$28,I$26,K517&lt;K$30,I$28,K517&lt;K$32,I$30,K517&lt;K$34,I$32,K517&lt;K$36,I$34,K517&lt;K$38,I$36,K517&lt;K$40,I$38,K517&lt;K$42,I$40,K517&lt;K$44,I$42,K517&lt;K$46,I$44,K517&gt;=K$46,I$46)</f>
        <v/>
      </c>
      <c r="J517" s="37">
        <f>_xlfn.IFS(K517&lt;K$24,0,K517&lt;K$25,J$24,K517&lt;K$26,J$25,K517&lt;K$27,J$26,K517&lt;K$28,J$27,K517&lt;K$29,J$28,K517&lt;K$30,J$29,K517&lt;K$31,J$30,K517&lt;K$32,J$31,K517&lt;K$33,J$32,K517&lt;K$34,J$33,K517&lt;K$35,J$34,K517&lt;K$36,J$35,K517&lt;K$37,J$36,K517&lt;K$38,J$37,K517&lt;K$39,J$38,K517&lt;K$40,J$39,K517&lt;K$41,J$40,K517&lt;K$42,J$41,K517&lt;K$43,J$42,K517&lt;K$44,J$43,K517&lt;K$45,J$44,K517&lt;K$46,J$45,K517&lt;K$47,J$46,K517&gt;=K$47,J$47)</f>
        <v/>
      </c>
      <c r="K517" s="38" t="n">
        <v>467</v>
      </c>
      <c r="L517" s="31">
        <f>K517/52</f>
        <v/>
      </c>
      <c r="M517" s="39">
        <f>J517/1000000*52</f>
        <v/>
      </c>
      <c r="N517" s="33">
        <f>M517/$P$4+($I$22/$P$4)</f>
        <v/>
      </c>
      <c r="U517">
        <f>F516</f>
        <v/>
      </c>
      <c r="V517">
        <f>H516</f>
        <v/>
      </c>
      <c r="W517">
        <f>N516</f>
        <v/>
      </c>
    </row>
    <row r="518" ht="15.75" customHeight="1" s="40">
      <c r="C518" s="36">
        <f>_xlfn.IFS(E518&lt;E$24,0,E518&lt;E$26,C$24,E518&lt;E$28,C$26,E518&lt;E$30,C$28,E518&lt;E$32,C$30,E518&lt;E$34,C$32,E518&gt;=E$34,C$34)</f>
        <v/>
      </c>
      <c r="D518" s="37">
        <f>_xlfn.IFS(E518&lt;E$24,0,E518&lt;E$25,D$24,E518&lt;E$26,D$25,E518&lt;E$27,D$26,E518&lt;E$28,D$27,E518&lt;E$29,D$28,E518&lt;E$30,D$29,E518&lt;E$31,D$30,E518&lt;E$32,D$31,E518&lt;E$33,D$32,E518&lt;E$34,D$33,E518&lt;E$35,D$34,E518&gt;=E$35,D$35)</f>
        <v/>
      </c>
      <c r="E518" s="38" t="n">
        <v>468</v>
      </c>
      <c r="F518" s="31">
        <f>E518/52</f>
        <v/>
      </c>
      <c r="G518" s="39">
        <f>D518/1000000*52</f>
        <v/>
      </c>
      <c r="H518" s="33">
        <f>G518/$P$4+($C$22/$P$4)</f>
        <v/>
      </c>
      <c r="I518" s="36">
        <f>_xlfn.IFS(K518&lt;K$24,0,K518&lt;K$26,I$24,K518&lt;K$28,I$26,K518&lt;K$30,I$28,K518&lt;K$32,I$30,K518&lt;K$34,I$32,K518&lt;K$36,I$34,K518&lt;K$38,I$36,K518&lt;K$40,I$38,K518&lt;K$42,I$40,K518&lt;K$44,I$42,K518&lt;K$46,I$44,K518&gt;=K$46,I$46)</f>
        <v/>
      </c>
      <c r="J518" s="37">
        <f>_xlfn.IFS(K518&lt;K$24,0,K518&lt;K$25,J$24,K518&lt;K$26,J$25,K518&lt;K$27,J$26,K518&lt;K$28,J$27,K518&lt;K$29,J$28,K518&lt;K$30,J$29,K518&lt;K$31,J$30,K518&lt;K$32,J$31,K518&lt;K$33,J$32,K518&lt;K$34,J$33,K518&lt;K$35,J$34,K518&lt;K$36,J$35,K518&lt;K$37,J$36,K518&lt;K$38,J$37,K518&lt;K$39,J$38,K518&lt;K$40,J$39,K518&lt;K$41,J$40,K518&lt;K$42,J$41,K518&lt;K$43,J$42,K518&lt;K$44,J$43,K518&lt;K$45,J$44,K518&lt;K$46,J$45,K518&lt;K$47,J$46,K518&gt;=K$47,J$47)</f>
        <v/>
      </c>
      <c r="K518" s="38" t="n">
        <v>468</v>
      </c>
      <c r="L518" s="31">
        <f>K518/52</f>
        <v/>
      </c>
      <c r="M518" s="39">
        <f>J518/1000000*52</f>
        <v/>
      </c>
      <c r="N518" s="33">
        <f>M518/$P$4+($I$22/$P$4)</f>
        <v/>
      </c>
      <c r="U518">
        <f>F517</f>
        <v/>
      </c>
      <c r="V518">
        <f>H517</f>
        <v/>
      </c>
      <c r="W518">
        <f>N517</f>
        <v/>
      </c>
    </row>
    <row r="519" ht="15.75" customHeight="1" s="40">
      <c r="C519" s="36">
        <f>_xlfn.IFS(E519&lt;E$24,0,E519&lt;E$26,C$24,E519&lt;E$28,C$26,E519&lt;E$30,C$28,E519&lt;E$32,C$30,E519&lt;E$34,C$32,E519&gt;=E$34,C$34)</f>
        <v/>
      </c>
      <c r="D519" s="37">
        <f>_xlfn.IFS(E519&lt;E$24,0,E519&lt;E$25,D$24,E519&lt;E$26,D$25,E519&lt;E$27,D$26,E519&lt;E$28,D$27,E519&lt;E$29,D$28,E519&lt;E$30,D$29,E519&lt;E$31,D$30,E519&lt;E$32,D$31,E519&lt;E$33,D$32,E519&lt;E$34,D$33,E519&lt;E$35,D$34,E519&gt;=E$35,D$35)</f>
        <v/>
      </c>
      <c r="E519" s="38" t="n">
        <v>469</v>
      </c>
      <c r="F519" s="31">
        <f>E519/52</f>
        <v/>
      </c>
      <c r="G519" s="39">
        <f>D519/1000000*52</f>
        <v/>
      </c>
      <c r="H519" s="33">
        <f>G519/$P$4+($C$22/$P$4)</f>
        <v/>
      </c>
      <c r="I519" s="36">
        <f>_xlfn.IFS(K519&lt;K$24,0,K519&lt;K$26,I$24,K519&lt;K$28,I$26,K519&lt;K$30,I$28,K519&lt;K$32,I$30,K519&lt;K$34,I$32,K519&lt;K$36,I$34,K519&lt;K$38,I$36,K519&lt;K$40,I$38,K519&lt;K$42,I$40,K519&lt;K$44,I$42,K519&lt;K$46,I$44,K519&gt;=K$46,I$46)</f>
        <v/>
      </c>
      <c r="J519" s="37">
        <f>_xlfn.IFS(K519&lt;K$24,0,K519&lt;K$25,J$24,K519&lt;K$26,J$25,K519&lt;K$27,J$26,K519&lt;K$28,J$27,K519&lt;K$29,J$28,K519&lt;K$30,J$29,K519&lt;K$31,J$30,K519&lt;K$32,J$31,K519&lt;K$33,J$32,K519&lt;K$34,J$33,K519&lt;K$35,J$34,K519&lt;K$36,J$35,K519&lt;K$37,J$36,K519&lt;K$38,J$37,K519&lt;K$39,J$38,K519&lt;K$40,J$39,K519&lt;K$41,J$40,K519&lt;K$42,J$41,K519&lt;K$43,J$42,K519&lt;K$44,J$43,K519&lt;K$45,J$44,K519&lt;K$46,J$45,K519&lt;K$47,J$46,K519&gt;=K$47,J$47)</f>
        <v/>
      </c>
      <c r="K519" s="38" t="n">
        <v>469</v>
      </c>
      <c r="L519" s="31">
        <f>K519/52</f>
        <v/>
      </c>
      <c r="M519" s="39">
        <f>J519/1000000*52</f>
        <v/>
      </c>
      <c r="N519" s="33">
        <f>M519/$P$4+($I$22/$P$4)</f>
        <v/>
      </c>
      <c r="U519">
        <f>F518</f>
        <v/>
      </c>
      <c r="V519">
        <f>H518</f>
        <v/>
      </c>
      <c r="W519">
        <f>N518</f>
        <v/>
      </c>
    </row>
    <row r="520" ht="15.75" customHeight="1" s="40">
      <c r="C520" s="36">
        <f>_xlfn.IFS(E520&lt;E$24,0,E520&lt;E$26,C$24,E520&lt;E$28,C$26,E520&lt;E$30,C$28,E520&lt;E$32,C$30,E520&lt;E$34,C$32,E520&gt;=E$34,C$34)</f>
        <v/>
      </c>
      <c r="D520" s="37">
        <f>_xlfn.IFS(E520&lt;E$24,0,E520&lt;E$25,D$24,E520&lt;E$26,D$25,E520&lt;E$27,D$26,E520&lt;E$28,D$27,E520&lt;E$29,D$28,E520&lt;E$30,D$29,E520&lt;E$31,D$30,E520&lt;E$32,D$31,E520&lt;E$33,D$32,E520&lt;E$34,D$33,E520&lt;E$35,D$34,E520&gt;=E$35,D$35)</f>
        <v/>
      </c>
      <c r="E520" s="38" t="n">
        <v>470</v>
      </c>
      <c r="F520" s="31">
        <f>E520/52</f>
        <v/>
      </c>
      <c r="G520" s="39">
        <f>D520/1000000*52</f>
        <v/>
      </c>
      <c r="H520" s="33">
        <f>G520/$P$4+($C$22/$P$4)</f>
        <v/>
      </c>
      <c r="I520" s="36">
        <f>_xlfn.IFS(K520&lt;K$24,0,K520&lt;K$26,I$24,K520&lt;K$28,I$26,K520&lt;K$30,I$28,K520&lt;K$32,I$30,K520&lt;K$34,I$32,K520&lt;K$36,I$34,K520&lt;K$38,I$36,K520&lt;K$40,I$38,K520&lt;K$42,I$40,K520&lt;K$44,I$42,K520&lt;K$46,I$44,K520&gt;=K$46,I$46)</f>
        <v/>
      </c>
      <c r="J520" s="37">
        <f>_xlfn.IFS(K520&lt;K$24,0,K520&lt;K$25,J$24,K520&lt;K$26,J$25,K520&lt;K$27,J$26,K520&lt;K$28,J$27,K520&lt;K$29,J$28,K520&lt;K$30,J$29,K520&lt;K$31,J$30,K520&lt;K$32,J$31,K520&lt;K$33,J$32,K520&lt;K$34,J$33,K520&lt;K$35,J$34,K520&lt;K$36,J$35,K520&lt;K$37,J$36,K520&lt;K$38,J$37,K520&lt;K$39,J$38,K520&lt;K$40,J$39,K520&lt;K$41,J$40,K520&lt;K$42,J$41,K520&lt;K$43,J$42,K520&lt;K$44,J$43,K520&lt;K$45,J$44,K520&lt;K$46,J$45,K520&lt;K$47,J$46,K520&gt;=K$47,J$47)</f>
        <v/>
      </c>
      <c r="K520" s="38" t="n">
        <v>470</v>
      </c>
      <c r="L520" s="31">
        <f>K520/52</f>
        <v/>
      </c>
      <c r="M520" s="39">
        <f>J520/1000000*52</f>
        <v/>
      </c>
      <c r="N520" s="33">
        <f>M520/$P$4+($I$22/$P$4)</f>
        <v/>
      </c>
      <c r="U520">
        <f>F519</f>
        <v/>
      </c>
      <c r="V520">
        <f>H519</f>
        <v/>
      </c>
      <c r="W520">
        <f>N519</f>
        <v/>
      </c>
    </row>
    <row r="521" ht="15.75" customHeight="1" s="40">
      <c r="C521" s="36">
        <f>_xlfn.IFS(E521&lt;E$24,0,E521&lt;E$26,C$24,E521&lt;E$28,C$26,E521&lt;E$30,C$28,E521&lt;E$32,C$30,E521&lt;E$34,C$32,E521&gt;=E$34,C$34)</f>
        <v/>
      </c>
      <c r="D521" s="37">
        <f>_xlfn.IFS(E521&lt;E$24,0,E521&lt;E$25,D$24,E521&lt;E$26,D$25,E521&lt;E$27,D$26,E521&lt;E$28,D$27,E521&lt;E$29,D$28,E521&lt;E$30,D$29,E521&lt;E$31,D$30,E521&lt;E$32,D$31,E521&lt;E$33,D$32,E521&lt;E$34,D$33,E521&lt;E$35,D$34,E521&gt;=E$35,D$35)</f>
        <v/>
      </c>
      <c r="E521" s="38" t="n">
        <v>471</v>
      </c>
      <c r="F521" s="31">
        <f>E521/52</f>
        <v/>
      </c>
      <c r="G521" s="39">
        <f>D521/1000000*52</f>
        <v/>
      </c>
      <c r="H521" s="33">
        <f>G521/$P$4+($C$22/$P$4)</f>
        <v/>
      </c>
      <c r="I521" s="36">
        <f>_xlfn.IFS(K521&lt;K$24,0,K521&lt;K$26,I$24,K521&lt;K$28,I$26,K521&lt;K$30,I$28,K521&lt;K$32,I$30,K521&lt;K$34,I$32,K521&lt;K$36,I$34,K521&lt;K$38,I$36,K521&lt;K$40,I$38,K521&lt;K$42,I$40,K521&lt;K$44,I$42,K521&lt;K$46,I$44,K521&gt;=K$46,I$46)</f>
        <v/>
      </c>
      <c r="J521" s="37">
        <f>_xlfn.IFS(K521&lt;K$24,0,K521&lt;K$25,J$24,K521&lt;K$26,J$25,K521&lt;K$27,J$26,K521&lt;K$28,J$27,K521&lt;K$29,J$28,K521&lt;K$30,J$29,K521&lt;K$31,J$30,K521&lt;K$32,J$31,K521&lt;K$33,J$32,K521&lt;K$34,J$33,K521&lt;K$35,J$34,K521&lt;K$36,J$35,K521&lt;K$37,J$36,K521&lt;K$38,J$37,K521&lt;K$39,J$38,K521&lt;K$40,J$39,K521&lt;K$41,J$40,K521&lt;K$42,J$41,K521&lt;K$43,J$42,K521&lt;K$44,J$43,K521&lt;K$45,J$44,K521&lt;K$46,J$45,K521&lt;K$47,J$46,K521&gt;=K$47,J$47)</f>
        <v/>
      </c>
      <c r="K521" s="38" t="n">
        <v>471</v>
      </c>
      <c r="L521" s="31">
        <f>K521/52</f>
        <v/>
      </c>
      <c r="M521" s="39">
        <f>J521/1000000*52</f>
        <v/>
      </c>
      <c r="N521" s="33">
        <f>M521/$P$4+($I$22/$P$4)</f>
        <v/>
      </c>
      <c r="U521">
        <f>F520</f>
        <v/>
      </c>
      <c r="V521">
        <f>H520</f>
        <v/>
      </c>
      <c r="W521">
        <f>N520</f>
        <v/>
      </c>
    </row>
    <row r="522" ht="15.75" customHeight="1" s="40">
      <c r="C522" s="36">
        <f>_xlfn.IFS(E522&lt;E$24,0,E522&lt;E$26,C$24,E522&lt;E$28,C$26,E522&lt;E$30,C$28,E522&lt;E$32,C$30,E522&lt;E$34,C$32,E522&gt;=E$34,C$34)</f>
        <v/>
      </c>
      <c r="D522" s="37">
        <f>_xlfn.IFS(E522&lt;E$24,0,E522&lt;E$25,D$24,E522&lt;E$26,D$25,E522&lt;E$27,D$26,E522&lt;E$28,D$27,E522&lt;E$29,D$28,E522&lt;E$30,D$29,E522&lt;E$31,D$30,E522&lt;E$32,D$31,E522&lt;E$33,D$32,E522&lt;E$34,D$33,E522&lt;E$35,D$34,E522&gt;=E$35,D$35)</f>
        <v/>
      </c>
      <c r="E522" s="38" t="n">
        <v>472</v>
      </c>
      <c r="F522" s="31">
        <f>E522/52</f>
        <v/>
      </c>
      <c r="G522" s="39">
        <f>D522/1000000*52</f>
        <v/>
      </c>
      <c r="H522" s="33">
        <f>G522/$P$4+($C$22/$P$4)</f>
        <v/>
      </c>
      <c r="I522" s="36">
        <f>_xlfn.IFS(K522&lt;K$24,0,K522&lt;K$26,I$24,K522&lt;K$28,I$26,K522&lt;K$30,I$28,K522&lt;K$32,I$30,K522&lt;K$34,I$32,K522&lt;K$36,I$34,K522&lt;K$38,I$36,K522&lt;K$40,I$38,K522&lt;K$42,I$40,K522&lt;K$44,I$42,K522&lt;K$46,I$44,K522&gt;=K$46,I$46)</f>
        <v/>
      </c>
      <c r="J522" s="37">
        <f>_xlfn.IFS(K522&lt;K$24,0,K522&lt;K$25,J$24,K522&lt;K$26,J$25,K522&lt;K$27,J$26,K522&lt;K$28,J$27,K522&lt;K$29,J$28,K522&lt;K$30,J$29,K522&lt;K$31,J$30,K522&lt;K$32,J$31,K522&lt;K$33,J$32,K522&lt;K$34,J$33,K522&lt;K$35,J$34,K522&lt;K$36,J$35,K522&lt;K$37,J$36,K522&lt;K$38,J$37,K522&lt;K$39,J$38,K522&lt;K$40,J$39,K522&lt;K$41,J$40,K522&lt;K$42,J$41,K522&lt;K$43,J$42,K522&lt;K$44,J$43,K522&lt;K$45,J$44,K522&lt;K$46,J$45,K522&lt;K$47,J$46,K522&gt;=K$47,J$47)</f>
        <v/>
      </c>
      <c r="K522" s="38" t="n">
        <v>472</v>
      </c>
      <c r="L522" s="31">
        <f>K522/52</f>
        <v/>
      </c>
      <c r="M522" s="39">
        <f>J522/1000000*52</f>
        <v/>
      </c>
      <c r="N522" s="33">
        <f>M522/$P$4+($I$22/$P$4)</f>
        <v/>
      </c>
      <c r="U522">
        <f>F521</f>
        <v/>
      </c>
      <c r="V522">
        <f>H521</f>
        <v/>
      </c>
      <c r="W522">
        <f>N521</f>
        <v/>
      </c>
    </row>
    <row r="523" ht="15.75" customHeight="1" s="40">
      <c r="C523" s="36">
        <f>_xlfn.IFS(E523&lt;E$24,0,E523&lt;E$26,C$24,E523&lt;E$28,C$26,E523&lt;E$30,C$28,E523&lt;E$32,C$30,E523&lt;E$34,C$32,E523&gt;=E$34,C$34)</f>
        <v/>
      </c>
      <c r="D523" s="37">
        <f>_xlfn.IFS(E523&lt;E$24,0,E523&lt;E$25,D$24,E523&lt;E$26,D$25,E523&lt;E$27,D$26,E523&lt;E$28,D$27,E523&lt;E$29,D$28,E523&lt;E$30,D$29,E523&lt;E$31,D$30,E523&lt;E$32,D$31,E523&lt;E$33,D$32,E523&lt;E$34,D$33,E523&lt;E$35,D$34,E523&gt;=E$35,D$35)</f>
        <v/>
      </c>
      <c r="E523" s="38" t="n">
        <v>473</v>
      </c>
      <c r="F523" s="31">
        <f>E523/52</f>
        <v/>
      </c>
      <c r="G523" s="39">
        <f>D523/1000000*52</f>
        <v/>
      </c>
      <c r="H523" s="33">
        <f>G523/$P$4+($C$22/$P$4)</f>
        <v/>
      </c>
      <c r="I523" s="36">
        <f>_xlfn.IFS(K523&lt;K$24,0,K523&lt;K$26,I$24,K523&lt;K$28,I$26,K523&lt;K$30,I$28,K523&lt;K$32,I$30,K523&lt;K$34,I$32,K523&lt;K$36,I$34,K523&lt;K$38,I$36,K523&lt;K$40,I$38,K523&lt;K$42,I$40,K523&lt;K$44,I$42,K523&lt;K$46,I$44,K523&gt;=K$46,I$46)</f>
        <v/>
      </c>
      <c r="J523" s="37">
        <f>_xlfn.IFS(K523&lt;K$24,0,K523&lt;K$25,J$24,K523&lt;K$26,J$25,K523&lt;K$27,J$26,K523&lt;K$28,J$27,K523&lt;K$29,J$28,K523&lt;K$30,J$29,K523&lt;K$31,J$30,K523&lt;K$32,J$31,K523&lt;K$33,J$32,K523&lt;K$34,J$33,K523&lt;K$35,J$34,K523&lt;K$36,J$35,K523&lt;K$37,J$36,K523&lt;K$38,J$37,K523&lt;K$39,J$38,K523&lt;K$40,J$39,K523&lt;K$41,J$40,K523&lt;K$42,J$41,K523&lt;K$43,J$42,K523&lt;K$44,J$43,K523&lt;K$45,J$44,K523&lt;K$46,J$45,K523&lt;K$47,J$46,K523&gt;=K$47,J$47)</f>
        <v/>
      </c>
      <c r="K523" s="38" t="n">
        <v>473</v>
      </c>
      <c r="L523" s="31">
        <f>K523/52</f>
        <v/>
      </c>
      <c r="M523" s="39">
        <f>J523/1000000*52</f>
        <v/>
      </c>
      <c r="N523" s="33">
        <f>M523/$P$4+($I$22/$P$4)</f>
        <v/>
      </c>
      <c r="U523">
        <f>F522</f>
        <v/>
      </c>
      <c r="V523">
        <f>H522</f>
        <v/>
      </c>
      <c r="W523">
        <f>N522</f>
        <v/>
      </c>
    </row>
    <row r="524" ht="15.75" customHeight="1" s="40">
      <c r="C524" s="36">
        <f>_xlfn.IFS(E524&lt;E$24,0,E524&lt;E$26,C$24,E524&lt;E$28,C$26,E524&lt;E$30,C$28,E524&lt;E$32,C$30,E524&lt;E$34,C$32,E524&gt;=E$34,C$34)</f>
        <v/>
      </c>
      <c r="D524" s="37">
        <f>_xlfn.IFS(E524&lt;E$24,0,E524&lt;E$25,D$24,E524&lt;E$26,D$25,E524&lt;E$27,D$26,E524&lt;E$28,D$27,E524&lt;E$29,D$28,E524&lt;E$30,D$29,E524&lt;E$31,D$30,E524&lt;E$32,D$31,E524&lt;E$33,D$32,E524&lt;E$34,D$33,E524&lt;E$35,D$34,E524&gt;=E$35,D$35)</f>
        <v/>
      </c>
      <c r="E524" s="38" t="n">
        <v>474</v>
      </c>
      <c r="F524" s="31">
        <f>E524/52</f>
        <v/>
      </c>
      <c r="G524" s="39">
        <f>D524/1000000*52</f>
        <v/>
      </c>
      <c r="H524" s="33">
        <f>G524/$P$4+($C$22/$P$4)</f>
        <v/>
      </c>
      <c r="I524" s="36">
        <f>_xlfn.IFS(K524&lt;K$24,0,K524&lt;K$26,I$24,K524&lt;K$28,I$26,K524&lt;K$30,I$28,K524&lt;K$32,I$30,K524&lt;K$34,I$32,K524&lt;K$36,I$34,K524&lt;K$38,I$36,K524&lt;K$40,I$38,K524&lt;K$42,I$40,K524&lt;K$44,I$42,K524&lt;K$46,I$44,K524&gt;=K$46,I$46)</f>
        <v/>
      </c>
      <c r="J524" s="37">
        <f>_xlfn.IFS(K524&lt;K$24,0,K524&lt;K$25,J$24,K524&lt;K$26,J$25,K524&lt;K$27,J$26,K524&lt;K$28,J$27,K524&lt;K$29,J$28,K524&lt;K$30,J$29,K524&lt;K$31,J$30,K524&lt;K$32,J$31,K524&lt;K$33,J$32,K524&lt;K$34,J$33,K524&lt;K$35,J$34,K524&lt;K$36,J$35,K524&lt;K$37,J$36,K524&lt;K$38,J$37,K524&lt;K$39,J$38,K524&lt;K$40,J$39,K524&lt;K$41,J$40,K524&lt;K$42,J$41,K524&lt;K$43,J$42,K524&lt;K$44,J$43,K524&lt;K$45,J$44,K524&lt;K$46,J$45,K524&lt;K$47,J$46,K524&gt;=K$47,J$47)</f>
        <v/>
      </c>
      <c r="K524" s="38" t="n">
        <v>474</v>
      </c>
      <c r="L524" s="31">
        <f>K524/52</f>
        <v/>
      </c>
      <c r="M524" s="39">
        <f>J524/1000000*52</f>
        <v/>
      </c>
      <c r="N524" s="33">
        <f>M524/$P$4+($I$22/$P$4)</f>
        <v/>
      </c>
      <c r="U524">
        <f>F523</f>
        <v/>
      </c>
      <c r="V524">
        <f>H523</f>
        <v/>
      </c>
      <c r="W524">
        <f>N523</f>
        <v/>
      </c>
    </row>
    <row r="525" ht="15.75" customHeight="1" s="40">
      <c r="C525" s="36">
        <f>_xlfn.IFS(E525&lt;E$24,0,E525&lt;E$26,C$24,E525&lt;E$28,C$26,E525&lt;E$30,C$28,E525&lt;E$32,C$30,E525&lt;E$34,C$32,E525&gt;=E$34,C$34)</f>
        <v/>
      </c>
      <c r="D525" s="37">
        <f>_xlfn.IFS(E525&lt;E$24,0,E525&lt;E$25,D$24,E525&lt;E$26,D$25,E525&lt;E$27,D$26,E525&lt;E$28,D$27,E525&lt;E$29,D$28,E525&lt;E$30,D$29,E525&lt;E$31,D$30,E525&lt;E$32,D$31,E525&lt;E$33,D$32,E525&lt;E$34,D$33,E525&lt;E$35,D$34,E525&gt;=E$35,D$35)</f>
        <v/>
      </c>
      <c r="E525" s="38" t="n">
        <v>475</v>
      </c>
      <c r="F525" s="31">
        <f>E525/52</f>
        <v/>
      </c>
      <c r="G525" s="39">
        <f>D525/1000000*52</f>
        <v/>
      </c>
      <c r="H525" s="33">
        <f>G525/$P$4+($C$22/$P$4)</f>
        <v/>
      </c>
      <c r="I525" s="36">
        <f>_xlfn.IFS(K525&lt;K$24,0,K525&lt;K$26,I$24,K525&lt;K$28,I$26,K525&lt;K$30,I$28,K525&lt;K$32,I$30,K525&lt;K$34,I$32,K525&lt;K$36,I$34,K525&lt;K$38,I$36,K525&lt;K$40,I$38,K525&lt;K$42,I$40,K525&lt;K$44,I$42,K525&lt;K$46,I$44,K525&gt;=K$46,I$46)</f>
        <v/>
      </c>
      <c r="J525" s="37">
        <f>_xlfn.IFS(K525&lt;K$24,0,K525&lt;K$25,J$24,K525&lt;K$26,J$25,K525&lt;K$27,J$26,K525&lt;K$28,J$27,K525&lt;K$29,J$28,K525&lt;K$30,J$29,K525&lt;K$31,J$30,K525&lt;K$32,J$31,K525&lt;K$33,J$32,K525&lt;K$34,J$33,K525&lt;K$35,J$34,K525&lt;K$36,J$35,K525&lt;K$37,J$36,K525&lt;K$38,J$37,K525&lt;K$39,J$38,K525&lt;K$40,J$39,K525&lt;K$41,J$40,K525&lt;K$42,J$41,K525&lt;K$43,J$42,K525&lt;K$44,J$43,K525&lt;K$45,J$44,K525&lt;K$46,J$45,K525&lt;K$47,J$46,K525&gt;=K$47,J$47)</f>
        <v/>
      </c>
      <c r="K525" s="38" t="n">
        <v>475</v>
      </c>
      <c r="L525" s="31">
        <f>K525/52</f>
        <v/>
      </c>
      <c r="M525" s="39">
        <f>J525/1000000*52</f>
        <v/>
      </c>
      <c r="N525" s="33">
        <f>M525/$P$4+($I$22/$P$4)</f>
        <v/>
      </c>
      <c r="U525">
        <f>F524</f>
        <v/>
      </c>
      <c r="V525">
        <f>H524</f>
        <v/>
      </c>
      <c r="W525">
        <f>N524</f>
        <v/>
      </c>
    </row>
    <row r="526" ht="15.75" customHeight="1" s="40">
      <c r="C526" s="36">
        <f>_xlfn.IFS(E526&lt;E$24,0,E526&lt;E$26,C$24,E526&lt;E$28,C$26,E526&lt;E$30,C$28,E526&lt;E$32,C$30,E526&lt;E$34,C$32,E526&gt;=E$34,C$34)</f>
        <v/>
      </c>
      <c r="D526" s="37">
        <f>_xlfn.IFS(E526&lt;E$24,0,E526&lt;E$25,D$24,E526&lt;E$26,D$25,E526&lt;E$27,D$26,E526&lt;E$28,D$27,E526&lt;E$29,D$28,E526&lt;E$30,D$29,E526&lt;E$31,D$30,E526&lt;E$32,D$31,E526&lt;E$33,D$32,E526&lt;E$34,D$33,E526&lt;E$35,D$34,E526&gt;=E$35,D$35)</f>
        <v/>
      </c>
      <c r="E526" s="38" t="n">
        <v>476</v>
      </c>
      <c r="F526" s="31">
        <f>E526/52</f>
        <v/>
      </c>
      <c r="G526" s="39">
        <f>D526/1000000*52</f>
        <v/>
      </c>
      <c r="H526" s="33">
        <f>G526/$P$4+($C$22/$P$4)</f>
        <v/>
      </c>
      <c r="I526" s="36">
        <f>_xlfn.IFS(K526&lt;K$24,0,K526&lt;K$26,I$24,K526&lt;K$28,I$26,K526&lt;K$30,I$28,K526&lt;K$32,I$30,K526&lt;K$34,I$32,K526&lt;K$36,I$34,K526&lt;K$38,I$36,K526&lt;K$40,I$38,K526&lt;K$42,I$40,K526&lt;K$44,I$42,K526&lt;K$46,I$44,K526&gt;=K$46,I$46)</f>
        <v/>
      </c>
      <c r="J526" s="37">
        <f>_xlfn.IFS(K526&lt;K$24,0,K526&lt;K$25,J$24,K526&lt;K$26,J$25,K526&lt;K$27,J$26,K526&lt;K$28,J$27,K526&lt;K$29,J$28,K526&lt;K$30,J$29,K526&lt;K$31,J$30,K526&lt;K$32,J$31,K526&lt;K$33,J$32,K526&lt;K$34,J$33,K526&lt;K$35,J$34,K526&lt;K$36,J$35,K526&lt;K$37,J$36,K526&lt;K$38,J$37,K526&lt;K$39,J$38,K526&lt;K$40,J$39,K526&lt;K$41,J$40,K526&lt;K$42,J$41,K526&lt;K$43,J$42,K526&lt;K$44,J$43,K526&lt;K$45,J$44,K526&lt;K$46,J$45,K526&lt;K$47,J$46,K526&gt;=K$47,J$47)</f>
        <v/>
      </c>
      <c r="K526" s="38" t="n">
        <v>476</v>
      </c>
      <c r="L526" s="31">
        <f>K526/52</f>
        <v/>
      </c>
      <c r="M526" s="39">
        <f>J526/1000000*52</f>
        <v/>
      </c>
      <c r="N526" s="33">
        <f>M526/$P$4+($I$22/$P$4)</f>
        <v/>
      </c>
      <c r="U526">
        <f>F525</f>
        <v/>
      </c>
      <c r="V526">
        <f>H525</f>
        <v/>
      </c>
      <c r="W526">
        <f>N525</f>
        <v/>
      </c>
    </row>
    <row r="527" ht="15.75" customHeight="1" s="40">
      <c r="C527" s="36">
        <f>_xlfn.IFS(E527&lt;E$24,0,E527&lt;E$26,C$24,E527&lt;E$28,C$26,E527&lt;E$30,C$28,E527&lt;E$32,C$30,E527&lt;E$34,C$32,E527&gt;=E$34,C$34)</f>
        <v/>
      </c>
      <c r="D527" s="37">
        <f>_xlfn.IFS(E527&lt;E$24,0,E527&lt;E$25,D$24,E527&lt;E$26,D$25,E527&lt;E$27,D$26,E527&lt;E$28,D$27,E527&lt;E$29,D$28,E527&lt;E$30,D$29,E527&lt;E$31,D$30,E527&lt;E$32,D$31,E527&lt;E$33,D$32,E527&lt;E$34,D$33,E527&lt;E$35,D$34,E527&gt;=E$35,D$35)</f>
        <v/>
      </c>
      <c r="E527" s="38" t="n">
        <v>477</v>
      </c>
      <c r="F527" s="31">
        <f>E527/52</f>
        <v/>
      </c>
      <c r="G527" s="39">
        <f>D527/1000000*52</f>
        <v/>
      </c>
      <c r="H527" s="33">
        <f>G527/$P$4+($C$22/$P$4)</f>
        <v/>
      </c>
      <c r="I527" s="36">
        <f>_xlfn.IFS(K527&lt;K$24,0,K527&lt;K$26,I$24,K527&lt;K$28,I$26,K527&lt;K$30,I$28,K527&lt;K$32,I$30,K527&lt;K$34,I$32,K527&lt;K$36,I$34,K527&lt;K$38,I$36,K527&lt;K$40,I$38,K527&lt;K$42,I$40,K527&lt;K$44,I$42,K527&lt;K$46,I$44,K527&gt;=K$46,I$46)</f>
        <v/>
      </c>
      <c r="J527" s="37">
        <f>_xlfn.IFS(K527&lt;K$24,0,K527&lt;K$25,J$24,K527&lt;K$26,J$25,K527&lt;K$27,J$26,K527&lt;K$28,J$27,K527&lt;K$29,J$28,K527&lt;K$30,J$29,K527&lt;K$31,J$30,K527&lt;K$32,J$31,K527&lt;K$33,J$32,K527&lt;K$34,J$33,K527&lt;K$35,J$34,K527&lt;K$36,J$35,K527&lt;K$37,J$36,K527&lt;K$38,J$37,K527&lt;K$39,J$38,K527&lt;K$40,J$39,K527&lt;K$41,J$40,K527&lt;K$42,J$41,K527&lt;K$43,J$42,K527&lt;K$44,J$43,K527&lt;K$45,J$44,K527&lt;K$46,J$45,K527&lt;K$47,J$46,K527&gt;=K$47,J$47)</f>
        <v/>
      </c>
      <c r="K527" s="38" t="n">
        <v>477</v>
      </c>
      <c r="L527" s="31">
        <f>K527/52</f>
        <v/>
      </c>
      <c r="M527" s="39">
        <f>J527/1000000*52</f>
        <v/>
      </c>
      <c r="N527" s="33">
        <f>M527/$P$4+($I$22/$P$4)</f>
        <v/>
      </c>
      <c r="U527">
        <f>F526</f>
        <v/>
      </c>
      <c r="V527">
        <f>H526</f>
        <v/>
      </c>
      <c r="W527">
        <f>N526</f>
        <v/>
      </c>
    </row>
    <row r="528" ht="15.75" customHeight="1" s="40">
      <c r="C528" s="36">
        <f>_xlfn.IFS(E528&lt;E$24,0,E528&lt;E$26,C$24,E528&lt;E$28,C$26,E528&lt;E$30,C$28,E528&lt;E$32,C$30,E528&lt;E$34,C$32,E528&gt;=E$34,C$34)</f>
        <v/>
      </c>
      <c r="D528" s="37">
        <f>_xlfn.IFS(E528&lt;E$24,0,E528&lt;E$25,D$24,E528&lt;E$26,D$25,E528&lt;E$27,D$26,E528&lt;E$28,D$27,E528&lt;E$29,D$28,E528&lt;E$30,D$29,E528&lt;E$31,D$30,E528&lt;E$32,D$31,E528&lt;E$33,D$32,E528&lt;E$34,D$33,E528&lt;E$35,D$34,E528&gt;=E$35,D$35)</f>
        <v/>
      </c>
      <c r="E528" s="38" t="n">
        <v>478</v>
      </c>
      <c r="F528" s="31">
        <f>E528/52</f>
        <v/>
      </c>
      <c r="G528" s="39">
        <f>D528/1000000*52</f>
        <v/>
      </c>
      <c r="H528" s="33">
        <f>G528/$P$4+($C$22/$P$4)</f>
        <v/>
      </c>
      <c r="I528" s="36">
        <f>_xlfn.IFS(K528&lt;K$24,0,K528&lt;K$26,I$24,K528&lt;K$28,I$26,K528&lt;K$30,I$28,K528&lt;K$32,I$30,K528&lt;K$34,I$32,K528&lt;K$36,I$34,K528&lt;K$38,I$36,K528&lt;K$40,I$38,K528&lt;K$42,I$40,K528&lt;K$44,I$42,K528&lt;K$46,I$44,K528&gt;=K$46,I$46)</f>
        <v/>
      </c>
      <c r="J528" s="37">
        <f>_xlfn.IFS(K528&lt;K$24,0,K528&lt;K$25,J$24,K528&lt;K$26,J$25,K528&lt;K$27,J$26,K528&lt;K$28,J$27,K528&lt;K$29,J$28,K528&lt;K$30,J$29,K528&lt;K$31,J$30,K528&lt;K$32,J$31,K528&lt;K$33,J$32,K528&lt;K$34,J$33,K528&lt;K$35,J$34,K528&lt;K$36,J$35,K528&lt;K$37,J$36,K528&lt;K$38,J$37,K528&lt;K$39,J$38,K528&lt;K$40,J$39,K528&lt;K$41,J$40,K528&lt;K$42,J$41,K528&lt;K$43,J$42,K528&lt;K$44,J$43,K528&lt;K$45,J$44,K528&lt;K$46,J$45,K528&lt;K$47,J$46,K528&gt;=K$47,J$47)</f>
        <v/>
      </c>
      <c r="K528" s="38" t="n">
        <v>478</v>
      </c>
      <c r="L528" s="31">
        <f>K528/52</f>
        <v/>
      </c>
      <c r="M528" s="39">
        <f>J528/1000000*52</f>
        <v/>
      </c>
      <c r="N528" s="33">
        <f>M528/$P$4+($I$22/$P$4)</f>
        <v/>
      </c>
      <c r="U528">
        <f>F527</f>
        <v/>
      </c>
      <c r="V528">
        <f>H527</f>
        <v/>
      </c>
      <c r="W528">
        <f>N527</f>
        <v/>
      </c>
    </row>
    <row r="529" ht="15.75" customHeight="1" s="40">
      <c r="C529" s="36">
        <f>_xlfn.IFS(E529&lt;E$24,0,E529&lt;E$26,C$24,E529&lt;E$28,C$26,E529&lt;E$30,C$28,E529&lt;E$32,C$30,E529&lt;E$34,C$32,E529&gt;=E$34,C$34)</f>
        <v/>
      </c>
      <c r="D529" s="37">
        <f>_xlfn.IFS(E529&lt;E$24,0,E529&lt;E$25,D$24,E529&lt;E$26,D$25,E529&lt;E$27,D$26,E529&lt;E$28,D$27,E529&lt;E$29,D$28,E529&lt;E$30,D$29,E529&lt;E$31,D$30,E529&lt;E$32,D$31,E529&lt;E$33,D$32,E529&lt;E$34,D$33,E529&lt;E$35,D$34,E529&gt;=E$35,D$35)</f>
        <v/>
      </c>
      <c r="E529" s="38" t="n">
        <v>479</v>
      </c>
      <c r="F529" s="31">
        <f>E529/52</f>
        <v/>
      </c>
      <c r="G529" s="39">
        <f>D529/1000000*52</f>
        <v/>
      </c>
      <c r="H529" s="33">
        <f>G529/$P$4+($C$22/$P$4)</f>
        <v/>
      </c>
      <c r="I529" s="36">
        <f>_xlfn.IFS(K529&lt;K$24,0,K529&lt;K$26,I$24,K529&lt;K$28,I$26,K529&lt;K$30,I$28,K529&lt;K$32,I$30,K529&lt;K$34,I$32,K529&lt;K$36,I$34,K529&lt;K$38,I$36,K529&lt;K$40,I$38,K529&lt;K$42,I$40,K529&lt;K$44,I$42,K529&lt;K$46,I$44,K529&gt;=K$46,I$46)</f>
        <v/>
      </c>
      <c r="J529" s="37">
        <f>_xlfn.IFS(K529&lt;K$24,0,K529&lt;K$25,J$24,K529&lt;K$26,J$25,K529&lt;K$27,J$26,K529&lt;K$28,J$27,K529&lt;K$29,J$28,K529&lt;K$30,J$29,K529&lt;K$31,J$30,K529&lt;K$32,J$31,K529&lt;K$33,J$32,K529&lt;K$34,J$33,K529&lt;K$35,J$34,K529&lt;K$36,J$35,K529&lt;K$37,J$36,K529&lt;K$38,J$37,K529&lt;K$39,J$38,K529&lt;K$40,J$39,K529&lt;K$41,J$40,K529&lt;K$42,J$41,K529&lt;K$43,J$42,K529&lt;K$44,J$43,K529&lt;K$45,J$44,K529&lt;K$46,J$45,K529&lt;K$47,J$46,K529&gt;=K$47,J$47)</f>
        <v/>
      </c>
      <c r="K529" s="38" t="n">
        <v>479</v>
      </c>
      <c r="L529" s="31">
        <f>K529/52</f>
        <v/>
      </c>
      <c r="M529" s="39">
        <f>J529/1000000*52</f>
        <v/>
      </c>
      <c r="N529" s="33">
        <f>M529/$P$4+($I$22/$P$4)</f>
        <v/>
      </c>
      <c r="U529">
        <f>F528</f>
        <v/>
      </c>
      <c r="V529">
        <f>H528</f>
        <v/>
      </c>
      <c r="W529">
        <f>N528</f>
        <v/>
      </c>
    </row>
    <row r="530" ht="15.75" customHeight="1" s="40">
      <c r="C530" s="36">
        <f>_xlfn.IFS(E530&lt;E$24,0,E530&lt;E$26,C$24,E530&lt;E$28,C$26,E530&lt;E$30,C$28,E530&lt;E$32,C$30,E530&lt;E$34,C$32,E530&gt;=E$34,C$34)</f>
        <v/>
      </c>
      <c r="D530" s="37">
        <f>_xlfn.IFS(E530&lt;E$24,0,E530&lt;E$25,D$24,E530&lt;E$26,D$25,E530&lt;E$27,D$26,E530&lt;E$28,D$27,E530&lt;E$29,D$28,E530&lt;E$30,D$29,E530&lt;E$31,D$30,E530&lt;E$32,D$31,E530&lt;E$33,D$32,E530&lt;E$34,D$33,E530&lt;E$35,D$34,E530&gt;=E$35,D$35)</f>
        <v/>
      </c>
      <c r="E530" s="38" t="n">
        <v>480</v>
      </c>
      <c r="F530" s="31">
        <f>E530/52</f>
        <v/>
      </c>
      <c r="G530" s="39">
        <f>D530/1000000*52</f>
        <v/>
      </c>
      <c r="H530" s="33">
        <f>G530/$P$4+($C$22/$P$4)</f>
        <v/>
      </c>
      <c r="I530" s="36">
        <f>_xlfn.IFS(K530&lt;K$24,0,K530&lt;K$26,I$24,K530&lt;K$28,I$26,K530&lt;K$30,I$28,K530&lt;K$32,I$30,K530&lt;K$34,I$32,K530&lt;K$36,I$34,K530&lt;K$38,I$36,K530&lt;K$40,I$38,K530&lt;K$42,I$40,K530&lt;K$44,I$42,K530&lt;K$46,I$44,K530&gt;=K$46,I$46)</f>
        <v/>
      </c>
      <c r="J530" s="37">
        <f>_xlfn.IFS(K530&lt;K$24,0,K530&lt;K$25,J$24,K530&lt;K$26,J$25,K530&lt;K$27,J$26,K530&lt;K$28,J$27,K530&lt;K$29,J$28,K530&lt;K$30,J$29,K530&lt;K$31,J$30,K530&lt;K$32,J$31,K530&lt;K$33,J$32,K530&lt;K$34,J$33,K530&lt;K$35,J$34,K530&lt;K$36,J$35,K530&lt;K$37,J$36,K530&lt;K$38,J$37,K530&lt;K$39,J$38,K530&lt;K$40,J$39,K530&lt;K$41,J$40,K530&lt;K$42,J$41,K530&lt;K$43,J$42,K530&lt;K$44,J$43,K530&lt;K$45,J$44,K530&lt;K$46,J$45,K530&lt;K$47,J$46,K530&gt;=K$47,J$47)</f>
        <v/>
      </c>
      <c r="K530" s="38" t="n">
        <v>480</v>
      </c>
      <c r="L530" s="31">
        <f>K530/52</f>
        <v/>
      </c>
      <c r="M530" s="39">
        <f>J530/1000000*52</f>
        <v/>
      </c>
      <c r="N530" s="33">
        <f>M530/$P$4+($I$22/$P$4)</f>
        <v/>
      </c>
      <c r="U530">
        <f>F529</f>
        <v/>
      </c>
      <c r="V530">
        <f>H529</f>
        <v/>
      </c>
      <c r="W530">
        <f>N529</f>
        <v/>
      </c>
    </row>
    <row r="531" ht="15.75" customHeight="1" s="40">
      <c r="C531" s="36">
        <f>_xlfn.IFS(E531&lt;E$24,0,E531&lt;E$26,C$24,E531&lt;E$28,C$26,E531&lt;E$30,C$28,E531&lt;E$32,C$30,E531&lt;E$34,C$32,E531&gt;=E$34,C$34)</f>
        <v/>
      </c>
      <c r="D531" s="37">
        <f>_xlfn.IFS(E531&lt;E$24,0,E531&lt;E$25,D$24,E531&lt;E$26,D$25,E531&lt;E$27,D$26,E531&lt;E$28,D$27,E531&lt;E$29,D$28,E531&lt;E$30,D$29,E531&lt;E$31,D$30,E531&lt;E$32,D$31,E531&lt;E$33,D$32,E531&lt;E$34,D$33,E531&lt;E$35,D$34,E531&gt;=E$35,D$35)</f>
        <v/>
      </c>
      <c r="E531" s="38" t="n">
        <v>481</v>
      </c>
      <c r="F531" s="31">
        <f>E531/52</f>
        <v/>
      </c>
      <c r="G531" s="39">
        <f>D531/1000000*52</f>
        <v/>
      </c>
      <c r="H531" s="33">
        <f>G531/$P$4+($C$22/$P$4)</f>
        <v/>
      </c>
      <c r="I531" s="36">
        <f>_xlfn.IFS(K531&lt;K$24,0,K531&lt;K$26,I$24,K531&lt;K$28,I$26,K531&lt;K$30,I$28,K531&lt;K$32,I$30,K531&lt;K$34,I$32,K531&lt;K$36,I$34,K531&lt;K$38,I$36,K531&lt;K$40,I$38,K531&lt;K$42,I$40,K531&lt;K$44,I$42,K531&lt;K$46,I$44,K531&gt;=K$46,I$46)</f>
        <v/>
      </c>
      <c r="J531" s="37">
        <f>_xlfn.IFS(K531&lt;K$24,0,K531&lt;K$25,J$24,K531&lt;K$26,J$25,K531&lt;K$27,J$26,K531&lt;K$28,J$27,K531&lt;K$29,J$28,K531&lt;K$30,J$29,K531&lt;K$31,J$30,K531&lt;K$32,J$31,K531&lt;K$33,J$32,K531&lt;K$34,J$33,K531&lt;K$35,J$34,K531&lt;K$36,J$35,K531&lt;K$37,J$36,K531&lt;K$38,J$37,K531&lt;K$39,J$38,K531&lt;K$40,J$39,K531&lt;K$41,J$40,K531&lt;K$42,J$41,K531&lt;K$43,J$42,K531&lt;K$44,J$43,K531&lt;K$45,J$44,K531&lt;K$46,J$45,K531&lt;K$47,J$46,K531&gt;=K$47,J$47)</f>
        <v/>
      </c>
      <c r="K531" s="38" t="n">
        <v>481</v>
      </c>
      <c r="L531" s="31">
        <f>K531/52</f>
        <v/>
      </c>
      <c r="M531" s="39">
        <f>J531/1000000*52</f>
        <v/>
      </c>
      <c r="N531" s="33">
        <f>M531/$P$4+($I$22/$P$4)</f>
        <v/>
      </c>
      <c r="U531">
        <f>F530</f>
        <v/>
      </c>
      <c r="V531">
        <f>H530</f>
        <v/>
      </c>
      <c r="W531">
        <f>N530</f>
        <v/>
      </c>
    </row>
    <row r="532" ht="15.75" customHeight="1" s="40">
      <c r="C532" s="36">
        <f>_xlfn.IFS(E532&lt;E$24,0,E532&lt;E$26,C$24,E532&lt;E$28,C$26,E532&lt;E$30,C$28,E532&lt;E$32,C$30,E532&lt;E$34,C$32,E532&gt;=E$34,C$34)</f>
        <v/>
      </c>
      <c r="D532" s="37">
        <f>_xlfn.IFS(E532&lt;E$24,0,E532&lt;E$25,D$24,E532&lt;E$26,D$25,E532&lt;E$27,D$26,E532&lt;E$28,D$27,E532&lt;E$29,D$28,E532&lt;E$30,D$29,E532&lt;E$31,D$30,E532&lt;E$32,D$31,E532&lt;E$33,D$32,E532&lt;E$34,D$33,E532&lt;E$35,D$34,E532&gt;=E$35,D$35)</f>
        <v/>
      </c>
      <c r="E532" s="38" t="n">
        <v>482</v>
      </c>
      <c r="F532" s="31">
        <f>E532/52</f>
        <v/>
      </c>
      <c r="G532" s="39">
        <f>D532/1000000*52</f>
        <v/>
      </c>
      <c r="H532" s="33">
        <f>G532/$P$4+($C$22/$P$4)</f>
        <v/>
      </c>
      <c r="I532" s="36">
        <f>_xlfn.IFS(K532&lt;K$24,0,K532&lt;K$26,I$24,K532&lt;K$28,I$26,K532&lt;K$30,I$28,K532&lt;K$32,I$30,K532&lt;K$34,I$32,K532&lt;K$36,I$34,K532&lt;K$38,I$36,K532&lt;K$40,I$38,K532&lt;K$42,I$40,K532&lt;K$44,I$42,K532&lt;K$46,I$44,K532&gt;=K$46,I$46)</f>
        <v/>
      </c>
      <c r="J532" s="37">
        <f>_xlfn.IFS(K532&lt;K$24,0,K532&lt;K$25,J$24,K532&lt;K$26,J$25,K532&lt;K$27,J$26,K532&lt;K$28,J$27,K532&lt;K$29,J$28,K532&lt;K$30,J$29,K532&lt;K$31,J$30,K532&lt;K$32,J$31,K532&lt;K$33,J$32,K532&lt;K$34,J$33,K532&lt;K$35,J$34,K532&lt;K$36,J$35,K532&lt;K$37,J$36,K532&lt;K$38,J$37,K532&lt;K$39,J$38,K532&lt;K$40,J$39,K532&lt;K$41,J$40,K532&lt;K$42,J$41,K532&lt;K$43,J$42,K532&lt;K$44,J$43,K532&lt;K$45,J$44,K532&lt;K$46,J$45,K532&lt;K$47,J$46,K532&gt;=K$47,J$47)</f>
        <v/>
      </c>
      <c r="K532" s="38" t="n">
        <v>482</v>
      </c>
      <c r="L532" s="31">
        <f>K532/52</f>
        <v/>
      </c>
      <c r="M532" s="39">
        <f>J532/1000000*52</f>
        <v/>
      </c>
      <c r="N532" s="33">
        <f>M532/$P$4+($I$22/$P$4)</f>
        <v/>
      </c>
      <c r="U532">
        <f>F531</f>
        <v/>
      </c>
      <c r="V532">
        <f>H531</f>
        <v/>
      </c>
      <c r="W532">
        <f>N531</f>
        <v/>
      </c>
    </row>
    <row r="533" ht="15.75" customHeight="1" s="40">
      <c r="C533" s="36">
        <f>_xlfn.IFS(E533&lt;E$24,0,E533&lt;E$26,C$24,E533&lt;E$28,C$26,E533&lt;E$30,C$28,E533&lt;E$32,C$30,E533&lt;E$34,C$32,E533&gt;=E$34,C$34)</f>
        <v/>
      </c>
      <c r="D533" s="37">
        <f>_xlfn.IFS(E533&lt;E$24,0,E533&lt;E$25,D$24,E533&lt;E$26,D$25,E533&lt;E$27,D$26,E533&lt;E$28,D$27,E533&lt;E$29,D$28,E533&lt;E$30,D$29,E533&lt;E$31,D$30,E533&lt;E$32,D$31,E533&lt;E$33,D$32,E533&lt;E$34,D$33,E533&lt;E$35,D$34,E533&gt;=E$35,D$35)</f>
        <v/>
      </c>
      <c r="E533" s="38" t="n">
        <v>483</v>
      </c>
      <c r="F533" s="31">
        <f>E533/52</f>
        <v/>
      </c>
      <c r="G533" s="39">
        <f>D533/1000000*52</f>
        <v/>
      </c>
      <c r="H533" s="33">
        <f>G533/$P$4+($C$22/$P$4)</f>
        <v/>
      </c>
      <c r="I533" s="36">
        <f>_xlfn.IFS(K533&lt;K$24,0,K533&lt;K$26,I$24,K533&lt;K$28,I$26,K533&lt;K$30,I$28,K533&lt;K$32,I$30,K533&lt;K$34,I$32,K533&lt;K$36,I$34,K533&lt;K$38,I$36,K533&lt;K$40,I$38,K533&lt;K$42,I$40,K533&lt;K$44,I$42,K533&lt;K$46,I$44,K533&gt;=K$46,I$46)</f>
        <v/>
      </c>
      <c r="J533" s="37">
        <f>_xlfn.IFS(K533&lt;K$24,0,K533&lt;K$25,J$24,K533&lt;K$26,J$25,K533&lt;K$27,J$26,K533&lt;K$28,J$27,K533&lt;K$29,J$28,K533&lt;K$30,J$29,K533&lt;K$31,J$30,K533&lt;K$32,J$31,K533&lt;K$33,J$32,K533&lt;K$34,J$33,K533&lt;K$35,J$34,K533&lt;K$36,J$35,K533&lt;K$37,J$36,K533&lt;K$38,J$37,K533&lt;K$39,J$38,K533&lt;K$40,J$39,K533&lt;K$41,J$40,K533&lt;K$42,J$41,K533&lt;K$43,J$42,K533&lt;K$44,J$43,K533&lt;K$45,J$44,K533&lt;K$46,J$45,K533&lt;K$47,J$46,K533&gt;=K$47,J$47)</f>
        <v/>
      </c>
      <c r="K533" s="38" t="n">
        <v>483</v>
      </c>
      <c r="L533" s="31">
        <f>K533/52</f>
        <v/>
      </c>
      <c r="M533" s="39">
        <f>J533/1000000*52</f>
        <v/>
      </c>
      <c r="N533" s="33">
        <f>M533/$P$4+($I$22/$P$4)</f>
        <v/>
      </c>
      <c r="U533">
        <f>F532</f>
        <v/>
      </c>
      <c r="V533">
        <f>H532</f>
        <v/>
      </c>
      <c r="W533">
        <f>N532</f>
        <v/>
      </c>
    </row>
    <row r="534" ht="15.75" customHeight="1" s="40">
      <c r="C534" s="36">
        <f>_xlfn.IFS(E534&lt;E$24,0,E534&lt;E$26,C$24,E534&lt;E$28,C$26,E534&lt;E$30,C$28,E534&lt;E$32,C$30,E534&lt;E$34,C$32,E534&gt;=E$34,C$34)</f>
        <v/>
      </c>
      <c r="D534" s="37">
        <f>_xlfn.IFS(E534&lt;E$24,0,E534&lt;E$25,D$24,E534&lt;E$26,D$25,E534&lt;E$27,D$26,E534&lt;E$28,D$27,E534&lt;E$29,D$28,E534&lt;E$30,D$29,E534&lt;E$31,D$30,E534&lt;E$32,D$31,E534&lt;E$33,D$32,E534&lt;E$34,D$33,E534&lt;E$35,D$34,E534&gt;=E$35,D$35)</f>
        <v/>
      </c>
      <c r="E534" s="38" t="n">
        <v>484</v>
      </c>
      <c r="F534" s="31">
        <f>E534/52</f>
        <v/>
      </c>
      <c r="G534" s="39">
        <f>D534/1000000*52</f>
        <v/>
      </c>
      <c r="H534" s="33">
        <f>G534/$P$4+($C$22/$P$4)</f>
        <v/>
      </c>
      <c r="I534" s="36">
        <f>_xlfn.IFS(K534&lt;K$24,0,K534&lt;K$26,I$24,K534&lt;K$28,I$26,K534&lt;K$30,I$28,K534&lt;K$32,I$30,K534&lt;K$34,I$32,K534&lt;K$36,I$34,K534&lt;K$38,I$36,K534&lt;K$40,I$38,K534&lt;K$42,I$40,K534&lt;K$44,I$42,K534&lt;K$46,I$44,K534&gt;=K$46,I$46)</f>
        <v/>
      </c>
      <c r="J534" s="37">
        <f>_xlfn.IFS(K534&lt;K$24,0,K534&lt;K$25,J$24,K534&lt;K$26,J$25,K534&lt;K$27,J$26,K534&lt;K$28,J$27,K534&lt;K$29,J$28,K534&lt;K$30,J$29,K534&lt;K$31,J$30,K534&lt;K$32,J$31,K534&lt;K$33,J$32,K534&lt;K$34,J$33,K534&lt;K$35,J$34,K534&lt;K$36,J$35,K534&lt;K$37,J$36,K534&lt;K$38,J$37,K534&lt;K$39,J$38,K534&lt;K$40,J$39,K534&lt;K$41,J$40,K534&lt;K$42,J$41,K534&lt;K$43,J$42,K534&lt;K$44,J$43,K534&lt;K$45,J$44,K534&lt;K$46,J$45,K534&lt;K$47,J$46,K534&gt;=K$47,J$47)</f>
        <v/>
      </c>
      <c r="K534" s="38" t="n">
        <v>484</v>
      </c>
      <c r="L534" s="31">
        <f>K534/52</f>
        <v/>
      </c>
      <c r="M534" s="39">
        <f>J534/1000000*52</f>
        <v/>
      </c>
      <c r="N534" s="33">
        <f>M534/$P$4+($I$22/$P$4)</f>
        <v/>
      </c>
      <c r="U534">
        <f>F533</f>
        <v/>
      </c>
      <c r="V534">
        <f>H533</f>
        <v/>
      </c>
      <c r="W534">
        <f>N533</f>
        <v/>
      </c>
    </row>
    <row r="535" ht="15.75" customHeight="1" s="40">
      <c r="C535" s="36">
        <f>_xlfn.IFS(E535&lt;E$24,0,E535&lt;E$26,C$24,E535&lt;E$28,C$26,E535&lt;E$30,C$28,E535&lt;E$32,C$30,E535&lt;E$34,C$32,E535&gt;=E$34,C$34)</f>
        <v/>
      </c>
      <c r="D535" s="37">
        <f>_xlfn.IFS(E535&lt;E$24,0,E535&lt;E$25,D$24,E535&lt;E$26,D$25,E535&lt;E$27,D$26,E535&lt;E$28,D$27,E535&lt;E$29,D$28,E535&lt;E$30,D$29,E535&lt;E$31,D$30,E535&lt;E$32,D$31,E535&lt;E$33,D$32,E535&lt;E$34,D$33,E535&lt;E$35,D$34,E535&gt;=E$35,D$35)</f>
        <v/>
      </c>
      <c r="E535" s="38" t="n">
        <v>485</v>
      </c>
      <c r="F535" s="31">
        <f>E535/52</f>
        <v/>
      </c>
      <c r="G535" s="39">
        <f>D535/1000000*52</f>
        <v/>
      </c>
      <c r="H535" s="33">
        <f>G535/$P$4+($C$22/$P$4)</f>
        <v/>
      </c>
      <c r="I535" s="36">
        <f>_xlfn.IFS(K535&lt;K$24,0,K535&lt;K$26,I$24,K535&lt;K$28,I$26,K535&lt;K$30,I$28,K535&lt;K$32,I$30,K535&lt;K$34,I$32,K535&lt;K$36,I$34,K535&lt;K$38,I$36,K535&lt;K$40,I$38,K535&lt;K$42,I$40,K535&lt;K$44,I$42,K535&lt;K$46,I$44,K535&gt;=K$46,I$46)</f>
        <v/>
      </c>
      <c r="J535" s="37">
        <f>_xlfn.IFS(K535&lt;K$24,0,K535&lt;K$25,J$24,K535&lt;K$26,J$25,K535&lt;K$27,J$26,K535&lt;K$28,J$27,K535&lt;K$29,J$28,K535&lt;K$30,J$29,K535&lt;K$31,J$30,K535&lt;K$32,J$31,K535&lt;K$33,J$32,K535&lt;K$34,J$33,K535&lt;K$35,J$34,K535&lt;K$36,J$35,K535&lt;K$37,J$36,K535&lt;K$38,J$37,K535&lt;K$39,J$38,K535&lt;K$40,J$39,K535&lt;K$41,J$40,K535&lt;K$42,J$41,K535&lt;K$43,J$42,K535&lt;K$44,J$43,K535&lt;K$45,J$44,K535&lt;K$46,J$45,K535&lt;K$47,J$46,K535&gt;=K$47,J$47)</f>
        <v/>
      </c>
      <c r="K535" s="38" t="n">
        <v>485</v>
      </c>
      <c r="L535" s="31">
        <f>K535/52</f>
        <v/>
      </c>
      <c r="M535" s="39">
        <f>J535/1000000*52</f>
        <v/>
      </c>
      <c r="N535" s="33">
        <f>M535/$P$4+($I$22/$P$4)</f>
        <v/>
      </c>
      <c r="U535">
        <f>F534</f>
        <v/>
      </c>
      <c r="V535">
        <f>H534</f>
        <v/>
      </c>
      <c r="W535">
        <f>N534</f>
        <v/>
      </c>
    </row>
    <row r="536" ht="15.75" customHeight="1" s="40">
      <c r="C536" s="36">
        <f>_xlfn.IFS(E536&lt;E$24,0,E536&lt;E$26,C$24,E536&lt;E$28,C$26,E536&lt;E$30,C$28,E536&lt;E$32,C$30,E536&lt;E$34,C$32,E536&gt;=E$34,C$34)</f>
        <v/>
      </c>
      <c r="D536" s="37">
        <f>_xlfn.IFS(E536&lt;E$24,0,E536&lt;E$25,D$24,E536&lt;E$26,D$25,E536&lt;E$27,D$26,E536&lt;E$28,D$27,E536&lt;E$29,D$28,E536&lt;E$30,D$29,E536&lt;E$31,D$30,E536&lt;E$32,D$31,E536&lt;E$33,D$32,E536&lt;E$34,D$33,E536&lt;E$35,D$34,E536&gt;=E$35,D$35)</f>
        <v/>
      </c>
      <c r="E536" s="38" t="n">
        <v>486</v>
      </c>
      <c r="F536" s="31">
        <f>E536/52</f>
        <v/>
      </c>
      <c r="G536" s="39">
        <f>D536/1000000*52</f>
        <v/>
      </c>
      <c r="H536" s="33">
        <f>G536/$P$4+($C$22/$P$4)</f>
        <v/>
      </c>
      <c r="I536" s="36">
        <f>_xlfn.IFS(K536&lt;K$24,0,K536&lt;K$26,I$24,K536&lt;K$28,I$26,K536&lt;K$30,I$28,K536&lt;K$32,I$30,K536&lt;K$34,I$32,K536&lt;K$36,I$34,K536&lt;K$38,I$36,K536&lt;K$40,I$38,K536&lt;K$42,I$40,K536&lt;K$44,I$42,K536&lt;K$46,I$44,K536&gt;=K$46,I$46)</f>
        <v/>
      </c>
      <c r="J536" s="37">
        <f>_xlfn.IFS(K536&lt;K$24,0,K536&lt;K$25,J$24,K536&lt;K$26,J$25,K536&lt;K$27,J$26,K536&lt;K$28,J$27,K536&lt;K$29,J$28,K536&lt;K$30,J$29,K536&lt;K$31,J$30,K536&lt;K$32,J$31,K536&lt;K$33,J$32,K536&lt;K$34,J$33,K536&lt;K$35,J$34,K536&lt;K$36,J$35,K536&lt;K$37,J$36,K536&lt;K$38,J$37,K536&lt;K$39,J$38,K536&lt;K$40,J$39,K536&lt;K$41,J$40,K536&lt;K$42,J$41,K536&lt;K$43,J$42,K536&lt;K$44,J$43,K536&lt;K$45,J$44,K536&lt;K$46,J$45,K536&lt;K$47,J$46,K536&gt;=K$47,J$47)</f>
        <v/>
      </c>
      <c r="K536" s="38" t="n">
        <v>486</v>
      </c>
      <c r="L536" s="31">
        <f>K536/52</f>
        <v/>
      </c>
      <c r="M536" s="39">
        <f>J536/1000000*52</f>
        <v/>
      </c>
      <c r="N536" s="33">
        <f>M536/$P$4+($I$22/$P$4)</f>
        <v/>
      </c>
      <c r="U536">
        <f>F535</f>
        <v/>
      </c>
      <c r="V536">
        <f>H535</f>
        <v/>
      </c>
      <c r="W536">
        <f>N535</f>
        <v/>
      </c>
    </row>
    <row r="537" ht="15.75" customHeight="1" s="40">
      <c r="C537" s="36">
        <f>_xlfn.IFS(E537&lt;E$24,0,E537&lt;E$26,C$24,E537&lt;E$28,C$26,E537&lt;E$30,C$28,E537&lt;E$32,C$30,E537&lt;E$34,C$32,E537&gt;=E$34,C$34)</f>
        <v/>
      </c>
      <c r="D537" s="37">
        <f>_xlfn.IFS(E537&lt;E$24,0,E537&lt;E$25,D$24,E537&lt;E$26,D$25,E537&lt;E$27,D$26,E537&lt;E$28,D$27,E537&lt;E$29,D$28,E537&lt;E$30,D$29,E537&lt;E$31,D$30,E537&lt;E$32,D$31,E537&lt;E$33,D$32,E537&lt;E$34,D$33,E537&lt;E$35,D$34,E537&gt;=E$35,D$35)</f>
        <v/>
      </c>
      <c r="E537" s="38" t="n">
        <v>487</v>
      </c>
      <c r="F537" s="31">
        <f>E537/52</f>
        <v/>
      </c>
      <c r="G537" s="39">
        <f>D537/1000000*52</f>
        <v/>
      </c>
      <c r="H537" s="33">
        <f>G537/$P$4+($C$22/$P$4)</f>
        <v/>
      </c>
      <c r="I537" s="36">
        <f>_xlfn.IFS(K537&lt;K$24,0,K537&lt;K$26,I$24,K537&lt;K$28,I$26,K537&lt;K$30,I$28,K537&lt;K$32,I$30,K537&lt;K$34,I$32,K537&lt;K$36,I$34,K537&lt;K$38,I$36,K537&lt;K$40,I$38,K537&lt;K$42,I$40,K537&lt;K$44,I$42,K537&lt;K$46,I$44,K537&gt;=K$46,I$46)</f>
        <v/>
      </c>
      <c r="J537" s="37">
        <f>_xlfn.IFS(K537&lt;K$24,0,K537&lt;K$25,J$24,K537&lt;K$26,J$25,K537&lt;K$27,J$26,K537&lt;K$28,J$27,K537&lt;K$29,J$28,K537&lt;K$30,J$29,K537&lt;K$31,J$30,K537&lt;K$32,J$31,K537&lt;K$33,J$32,K537&lt;K$34,J$33,K537&lt;K$35,J$34,K537&lt;K$36,J$35,K537&lt;K$37,J$36,K537&lt;K$38,J$37,K537&lt;K$39,J$38,K537&lt;K$40,J$39,K537&lt;K$41,J$40,K537&lt;K$42,J$41,K537&lt;K$43,J$42,K537&lt;K$44,J$43,K537&lt;K$45,J$44,K537&lt;K$46,J$45,K537&lt;K$47,J$46,K537&gt;=K$47,J$47)</f>
        <v/>
      </c>
      <c r="K537" s="38" t="n">
        <v>487</v>
      </c>
      <c r="L537" s="31">
        <f>K537/52</f>
        <v/>
      </c>
      <c r="M537" s="39">
        <f>J537/1000000*52</f>
        <v/>
      </c>
      <c r="N537" s="33">
        <f>M537/$P$4+($I$22/$P$4)</f>
        <v/>
      </c>
      <c r="U537">
        <f>F536</f>
        <v/>
      </c>
      <c r="V537">
        <f>H536</f>
        <v/>
      </c>
      <c r="W537">
        <f>N536</f>
        <v/>
      </c>
    </row>
    <row r="538" ht="15.75" customHeight="1" s="40">
      <c r="C538" s="36">
        <f>_xlfn.IFS(E538&lt;E$24,0,E538&lt;E$26,C$24,E538&lt;E$28,C$26,E538&lt;E$30,C$28,E538&lt;E$32,C$30,E538&lt;E$34,C$32,E538&gt;=E$34,C$34)</f>
        <v/>
      </c>
      <c r="D538" s="37">
        <f>_xlfn.IFS(E538&lt;E$24,0,E538&lt;E$25,D$24,E538&lt;E$26,D$25,E538&lt;E$27,D$26,E538&lt;E$28,D$27,E538&lt;E$29,D$28,E538&lt;E$30,D$29,E538&lt;E$31,D$30,E538&lt;E$32,D$31,E538&lt;E$33,D$32,E538&lt;E$34,D$33,E538&lt;E$35,D$34,E538&gt;=E$35,D$35)</f>
        <v/>
      </c>
      <c r="E538" s="38" t="n">
        <v>488</v>
      </c>
      <c r="F538" s="31">
        <f>E538/52</f>
        <v/>
      </c>
      <c r="G538" s="39">
        <f>D538/1000000*52</f>
        <v/>
      </c>
      <c r="H538" s="33">
        <f>G538/$P$4+($C$22/$P$4)</f>
        <v/>
      </c>
      <c r="I538" s="36">
        <f>_xlfn.IFS(K538&lt;K$24,0,K538&lt;K$26,I$24,K538&lt;K$28,I$26,K538&lt;K$30,I$28,K538&lt;K$32,I$30,K538&lt;K$34,I$32,K538&lt;K$36,I$34,K538&lt;K$38,I$36,K538&lt;K$40,I$38,K538&lt;K$42,I$40,K538&lt;K$44,I$42,K538&lt;K$46,I$44,K538&gt;=K$46,I$46)</f>
        <v/>
      </c>
      <c r="J538" s="37">
        <f>_xlfn.IFS(K538&lt;K$24,0,K538&lt;K$25,J$24,K538&lt;K$26,J$25,K538&lt;K$27,J$26,K538&lt;K$28,J$27,K538&lt;K$29,J$28,K538&lt;K$30,J$29,K538&lt;K$31,J$30,K538&lt;K$32,J$31,K538&lt;K$33,J$32,K538&lt;K$34,J$33,K538&lt;K$35,J$34,K538&lt;K$36,J$35,K538&lt;K$37,J$36,K538&lt;K$38,J$37,K538&lt;K$39,J$38,K538&lt;K$40,J$39,K538&lt;K$41,J$40,K538&lt;K$42,J$41,K538&lt;K$43,J$42,K538&lt;K$44,J$43,K538&lt;K$45,J$44,K538&lt;K$46,J$45,K538&lt;K$47,J$46,K538&gt;=K$47,J$47)</f>
        <v/>
      </c>
      <c r="K538" s="38" t="n">
        <v>488</v>
      </c>
      <c r="L538" s="31">
        <f>K538/52</f>
        <v/>
      </c>
      <c r="M538" s="39">
        <f>J538/1000000*52</f>
        <v/>
      </c>
      <c r="N538" s="33">
        <f>M538/$P$4+($I$22/$P$4)</f>
        <v/>
      </c>
      <c r="U538">
        <f>F537</f>
        <v/>
      </c>
      <c r="V538">
        <f>H537</f>
        <v/>
      </c>
      <c r="W538">
        <f>N537</f>
        <v/>
      </c>
    </row>
    <row r="539" ht="15.75" customHeight="1" s="40">
      <c r="C539" s="36">
        <f>_xlfn.IFS(E539&lt;E$24,0,E539&lt;E$26,C$24,E539&lt;E$28,C$26,E539&lt;E$30,C$28,E539&lt;E$32,C$30,E539&lt;E$34,C$32,E539&gt;=E$34,C$34)</f>
        <v/>
      </c>
      <c r="D539" s="37">
        <f>_xlfn.IFS(E539&lt;E$24,0,E539&lt;E$25,D$24,E539&lt;E$26,D$25,E539&lt;E$27,D$26,E539&lt;E$28,D$27,E539&lt;E$29,D$28,E539&lt;E$30,D$29,E539&lt;E$31,D$30,E539&lt;E$32,D$31,E539&lt;E$33,D$32,E539&lt;E$34,D$33,E539&lt;E$35,D$34,E539&gt;=E$35,D$35)</f>
        <v/>
      </c>
      <c r="E539" s="38" t="n">
        <v>489</v>
      </c>
      <c r="F539" s="31">
        <f>E539/52</f>
        <v/>
      </c>
      <c r="G539" s="39">
        <f>D539/1000000*52</f>
        <v/>
      </c>
      <c r="H539" s="33">
        <f>G539/$P$4+($C$22/$P$4)</f>
        <v/>
      </c>
      <c r="I539" s="36">
        <f>_xlfn.IFS(K539&lt;K$24,0,K539&lt;K$26,I$24,K539&lt;K$28,I$26,K539&lt;K$30,I$28,K539&lt;K$32,I$30,K539&lt;K$34,I$32,K539&lt;K$36,I$34,K539&lt;K$38,I$36,K539&lt;K$40,I$38,K539&lt;K$42,I$40,K539&lt;K$44,I$42,K539&lt;K$46,I$44,K539&gt;=K$46,I$46)</f>
        <v/>
      </c>
      <c r="J539" s="37">
        <f>_xlfn.IFS(K539&lt;K$24,0,K539&lt;K$25,J$24,K539&lt;K$26,J$25,K539&lt;K$27,J$26,K539&lt;K$28,J$27,K539&lt;K$29,J$28,K539&lt;K$30,J$29,K539&lt;K$31,J$30,K539&lt;K$32,J$31,K539&lt;K$33,J$32,K539&lt;K$34,J$33,K539&lt;K$35,J$34,K539&lt;K$36,J$35,K539&lt;K$37,J$36,K539&lt;K$38,J$37,K539&lt;K$39,J$38,K539&lt;K$40,J$39,K539&lt;K$41,J$40,K539&lt;K$42,J$41,K539&lt;K$43,J$42,K539&lt;K$44,J$43,K539&lt;K$45,J$44,K539&lt;K$46,J$45,K539&lt;K$47,J$46,K539&gt;=K$47,J$47)</f>
        <v/>
      </c>
      <c r="K539" s="38" t="n">
        <v>489</v>
      </c>
      <c r="L539" s="31">
        <f>K539/52</f>
        <v/>
      </c>
      <c r="M539" s="39">
        <f>J539/1000000*52</f>
        <v/>
      </c>
      <c r="N539" s="33">
        <f>M539/$P$4+($I$22/$P$4)</f>
        <v/>
      </c>
      <c r="U539">
        <f>F538</f>
        <v/>
      </c>
      <c r="V539">
        <f>H538</f>
        <v/>
      </c>
      <c r="W539">
        <f>N538</f>
        <v/>
      </c>
    </row>
    <row r="540" ht="15.75" customHeight="1" s="40">
      <c r="C540" s="36">
        <f>_xlfn.IFS(E540&lt;E$24,0,E540&lt;E$26,C$24,E540&lt;E$28,C$26,E540&lt;E$30,C$28,E540&lt;E$32,C$30,E540&lt;E$34,C$32,E540&gt;=E$34,C$34)</f>
        <v/>
      </c>
      <c r="D540" s="37">
        <f>_xlfn.IFS(E540&lt;E$24,0,E540&lt;E$25,D$24,E540&lt;E$26,D$25,E540&lt;E$27,D$26,E540&lt;E$28,D$27,E540&lt;E$29,D$28,E540&lt;E$30,D$29,E540&lt;E$31,D$30,E540&lt;E$32,D$31,E540&lt;E$33,D$32,E540&lt;E$34,D$33,E540&lt;E$35,D$34,E540&gt;=E$35,D$35)</f>
        <v/>
      </c>
      <c r="E540" s="38" t="n">
        <v>490</v>
      </c>
      <c r="F540" s="31">
        <f>E540/52</f>
        <v/>
      </c>
      <c r="G540" s="39">
        <f>D540/1000000*52</f>
        <v/>
      </c>
      <c r="H540" s="33">
        <f>G540/$P$4+($C$22/$P$4)</f>
        <v/>
      </c>
      <c r="I540" s="36">
        <f>_xlfn.IFS(K540&lt;K$24,0,K540&lt;K$26,I$24,K540&lt;K$28,I$26,K540&lt;K$30,I$28,K540&lt;K$32,I$30,K540&lt;K$34,I$32,K540&lt;K$36,I$34,K540&lt;K$38,I$36,K540&lt;K$40,I$38,K540&lt;K$42,I$40,K540&lt;K$44,I$42,K540&lt;K$46,I$44,K540&gt;=K$46,I$46)</f>
        <v/>
      </c>
      <c r="J540" s="37">
        <f>_xlfn.IFS(K540&lt;K$24,0,K540&lt;K$25,J$24,K540&lt;K$26,J$25,K540&lt;K$27,J$26,K540&lt;K$28,J$27,K540&lt;K$29,J$28,K540&lt;K$30,J$29,K540&lt;K$31,J$30,K540&lt;K$32,J$31,K540&lt;K$33,J$32,K540&lt;K$34,J$33,K540&lt;K$35,J$34,K540&lt;K$36,J$35,K540&lt;K$37,J$36,K540&lt;K$38,J$37,K540&lt;K$39,J$38,K540&lt;K$40,J$39,K540&lt;K$41,J$40,K540&lt;K$42,J$41,K540&lt;K$43,J$42,K540&lt;K$44,J$43,K540&lt;K$45,J$44,K540&lt;K$46,J$45,K540&lt;K$47,J$46,K540&gt;=K$47,J$47)</f>
        <v/>
      </c>
      <c r="K540" s="38" t="n">
        <v>490</v>
      </c>
      <c r="L540" s="31">
        <f>K540/52</f>
        <v/>
      </c>
      <c r="M540" s="39">
        <f>J540/1000000*52</f>
        <v/>
      </c>
      <c r="N540" s="33">
        <f>M540/$P$4+($I$22/$P$4)</f>
        <v/>
      </c>
      <c r="U540">
        <f>F539</f>
        <v/>
      </c>
      <c r="V540">
        <f>H539</f>
        <v/>
      </c>
      <c r="W540">
        <f>N539</f>
        <v/>
      </c>
    </row>
    <row r="541" ht="15.75" customHeight="1" s="40">
      <c r="H541" s="33" t="n"/>
      <c r="U541">
        <f>F540</f>
        <v/>
      </c>
      <c r="V541">
        <f>H540</f>
        <v/>
      </c>
      <c r="W541">
        <f>N540</f>
        <v/>
      </c>
    </row>
    <row r="542" ht="15.75" customHeight="1" s="40">
      <c r="H542" s="33" t="n"/>
    </row>
    <row r="543" ht="15.75" customHeight="1" s="40">
      <c r="H543" s="33" t="n"/>
    </row>
    <row r="544" ht="15.75" customHeight="1" s="40">
      <c r="H544" s="33" t="n"/>
    </row>
    <row r="545" ht="15.75" customHeight="1" s="40">
      <c r="H545" s="33" t="n"/>
    </row>
    <row r="546" ht="15.75" customHeight="1" s="40">
      <c r="H546" s="33" t="n"/>
    </row>
    <row r="547" ht="15.75" customHeight="1" s="40">
      <c r="H547" s="33" t="n"/>
    </row>
    <row r="548" ht="15.75" customHeight="1" s="40">
      <c r="H548" s="33" t="n"/>
    </row>
    <row r="549" ht="15.75" customHeight="1" s="40">
      <c r="H549" s="33" t="n"/>
    </row>
    <row r="550" ht="15.75" customHeight="1" s="40">
      <c r="H550" s="33" t="n"/>
    </row>
    <row r="551" ht="15.75" customHeight="1" s="40">
      <c r="H551" s="33" t="n"/>
    </row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mergeCells count="59">
    <mergeCell ref="I7:N7"/>
    <mergeCell ref="C10:H10"/>
    <mergeCell ref="C16:H16"/>
    <mergeCell ref="A15:B15"/>
    <mergeCell ref="C22:H22"/>
    <mergeCell ref="I22:N22"/>
    <mergeCell ref="C9:H9"/>
    <mergeCell ref="A11:B11"/>
    <mergeCell ref="I18:N18"/>
    <mergeCell ref="I3:N3"/>
    <mergeCell ref="C12:H12"/>
    <mergeCell ref="I12:N12"/>
    <mergeCell ref="C21:H21"/>
    <mergeCell ref="I21:N21"/>
    <mergeCell ref="C11:H11"/>
    <mergeCell ref="A16:B16"/>
    <mergeCell ref="C2:H2"/>
    <mergeCell ref="A7:B7"/>
    <mergeCell ref="I5:N5"/>
    <mergeCell ref="C1:G1"/>
    <mergeCell ref="I14:N14"/>
    <mergeCell ref="I17:N17"/>
    <mergeCell ref="C8:H8"/>
    <mergeCell ref="I8:N8"/>
    <mergeCell ref="C17:H17"/>
    <mergeCell ref="A18:B18"/>
    <mergeCell ref="I4:N4"/>
    <mergeCell ref="A3:B3"/>
    <mergeCell ref="I20:N20"/>
    <mergeCell ref="C7:H7"/>
    <mergeCell ref="A21:B21"/>
    <mergeCell ref="C19:H19"/>
    <mergeCell ref="I19:N19"/>
    <mergeCell ref="A2:B2"/>
    <mergeCell ref="I10:N10"/>
    <mergeCell ref="C13:H13"/>
    <mergeCell ref="I13:N13"/>
    <mergeCell ref="I9:N9"/>
    <mergeCell ref="A14:B14"/>
    <mergeCell ref="C18:H18"/>
    <mergeCell ref="A17:B17"/>
    <mergeCell ref="C3:H3"/>
    <mergeCell ref="I1:M1"/>
    <mergeCell ref="A8:B8"/>
    <mergeCell ref="C15:H15"/>
    <mergeCell ref="A4:B4"/>
    <mergeCell ref="I15:N15"/>
    <mergeCell ref="A20:B20"/>
    <mergeCell ref="I11:N11"/>
    <mergeCell ref="C14:H14"/>
    <mergeCell ref="I2:N2"/>
    <mergeCell ref="A19:B19"/>
    <mergeCell ref="C5:H5"/>
    <mergeCell ref="A10:B10"/>
    <mergeCell ref="A13:B13"/>
    <mergeCell ref="C4:H4"/>
    <mergeCell ref="C20:H20"/>
    <mergeCell ref="A9:B9"/>
    <mergeCell ref="I16:N16"/>
  </mergeCells>
  <hyperlinks>
    <hyperlink xmlns:r="http://schemas.openxmlformats.org/officeDocument/2006/relationships" ref="Q2" r:id="rId1"/>
    <hyperlink xmlns:r="http://schemas.openxmlformats.org/officeDocument/2006/relationships" ref="Q3" r:id="rId2"/>
  </hyperlinks>
  <pageMargins left="0.75" right="0.75" top="1" bottom="1" header="0.5" footer="0.5"/>
  <drawing xmlns:r="http://schemas.openxmlformats.org/officeDocument/2006/relationships" r:id="rId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H31"/>
  <sheetViews>
    <sheetView workbookViewId="0">
      <selection activeCell="A1" sqref="A1"/>
    </sheetView>
  </sheetViews>
  <sheetFormatPr baseColWidth="8" defaultColWidth="12.6328125" defaultRowHeight="15" customHeight="1"/>
  <cols>
    <col width="41.90625" customWidth="1" style="40" min="1" max="1"/>
    <col width="16.6328125" customWidth="1" style="40" min="2" max="2"/>
    <col width="17.90625" customWidth="1" style="40" min="3" max="3"/>
    <col width="12.6328125" customWidth="1" style="40" min="4" max="5"/>
    <col width="26.7265625" bestFit="1" customWidth="1" style="40" min="6" max="6"/>
  </cols>
  <sheetData>
    <row r="1" ht="15.75" customHeight="1" s="40">
      <c r="A1" s="53" t="inlineStr">
        <is>
          <t>H2SO4 CAPEX Calcs</t>
        </is>
      </c>
      <c r="B1" s="39" t="n"/>
      <c r="D1" s="1" t="n"/>
    </row>
    <row r="2" ht="15.75" customHeight="1" s="40">
      <c r="A2" s="3" t="inlineStr">
        <is>
          <t>UNIDO-based H2SO4 workbook</t>
        </is>
      </c>
      <c r="B2" s="3" t="n"/>
    </row>
    <row r="3" ht="15.75" customHeight="1" s="40">
      <c r="A3" s="39" t="n"/>
      <c r="B3" s="39" t="n"/>
      <c r="C3" s="4" t="n"/>
      <c r="D3" s="39" t="n"/>
      <c r="F3" s="5" t="n"/>
    </row>
    <row r="4" ht="15.75" customHeight="1" s="40">
      <c r="A4" s="39" t="n"/>
      <c r="B4" s="39" t="n"/>
      <c r="C4" s="4" t="n"/>
      <c r="D4" s="39" t="n"/>
      <c r="F4" s="6" t="n"/>
    </row>
    <row r="5" ht="15.75" customHeight="1" s="40">
      <c r="A5" s="39" t="n"/>
      <c r="B5" s="39" t="n"/>
      <c r="C5" s="4" t="n"/>
      <c r="D5" s="39" t="inlineStr">
        <is>
          <t>Target Plant Size (tonneH2SO4/day)</t>
        </is>
      </c>
      <c r="F5" s="39">
        <f>B16</f>
        <v/>
      </c>
    </row>
    <row r="6" ht="15.75" customHeight="1" s="40">
      <c r="A6" s="39" t="n"/>
      <c r="B6" s="39" t="n"/>
      <c r="C6" s="4" t="n"/>
      <c r="D6" s="39" t="n"/>
      <c r="F6" s="7" t="n"/>
    </row>
    <row r="7" ht="15.75" customHeight="1" s="40">
      <c r="A7" s="39" t="n"/>
    </row>
    <row r="8" ht="15.75" customHeight="1" s="40"/>
    <row r="9" ht="15.75" customHeight="1" s="40">
      <c r="A9" s="1" t="n"/>
    </row>
    <row r="10" ht="15.75" customHeight="1" s="40"/>
    <row r="11" ht="15.75" customHeight="1" s="40">
      <c r="A11" s="8" t="n"/>
      <c r="B11" s="9" t="n"/>
      <c r="C11" s="10" t="n"/>
      <c r="F11" s="39" t="inlineStr">
        <is>
          <t>Fast construction cost factor</t>
        </is>
      </c>
      <c r="G11" s="39" t="n"/>
      <c r="H11" s="11" t="n">
        <v>1.47</v>
      </c>
    </row>
    <row r="12" ht="15.75" customHeight="1" s="40">
      <c r="A12" s="45" t="inlineStr">
        <is>
          <t>Reference capacity (t/day)</t>
        </is>
      </c>
      <c r="B12" s="39" t="n">
        <v>30</v>
      </c>
      <c r="C12" s="13" t="n"/>
      <c r="F12" s="39" t="inlineStr">
        <is>
          <t>Fast construction speed factor</t>
        </is>
      </c>
      <c r="H12" s="14" t="n">
        <v>0.32</v>
      </c>
    </row>
    <row r="13" ht="15.75" customHeight="1" s="40">
      <c r="A13" s="45" t="inlineStr">
        <is>
          <t>Reference CAPEX (USD)</t>
        </is>
      </c>
      <c r="B13" s="39" t="n">
        <v>216967</v>
      </c>
      <c r="C13" s="15" t="n"/>
    </row>
    <row r="14" ht="15.75" customHeight="1" s="40">
      <c r="A14" s="45" t="inlineStr">
        <is>
          <t>Cost-Capacity Exponent</t>
        </is>
      </c>
      <c r="B14" s="16" t="n">
        <v>0.7</v>
      </c>
      <c r="C14" s="15" t="n"/>
      <c r="F14" s="39" t="inlineStr">
        <is>
          <t>Fast construction (24/7) CAPEX</t>
        </is>
      </c>
      <c r="H14" s="7">
        <f>H11*B19</f>
        <v/>
      </c>
    </row>
    <row r="15" ht="15.75" customHeight="1" s="40">
      <c r="A15" s="45" t="inlineStr">
        <is>
          <t>Plant scale factor</t>
        </is>
      </c>
      <c r="B15" s="1">
        <f>B16/B12</f>
        <v/>
      </c>
      <c r="C15" s="15" t="n"/>
    </row>
    <row r="16" ht="15.75" customHeight="1" s="40">
      <c r="A16" s="45" t="inlineStr">
        <is>
          <t>Target Plant Size (tonnes/day)</t>
        </is>
      </c>
      <c r="B16" s="39" t="n">
        <v>100</v>
      </c>
      <c r="C16" s="13" t="n"/>
    </row>
    <row r="17" ht="15.75" customHeight="1" s="40">
      <c r="A17" s="45" t="n"/>
      <c r="B17" s="16" t="n"/>
      <c r="C17" s="13" t="n"/>
    </row>
    <row r="18" ht="15.75" customHeight="1" s="40">
      <c r="A18" s="17" t="n"/>
      <c r="B18" s="16" t="n"/>
      <c r="C18" s="13" t="n"/>
    </row>
    <row r="19" ht="15.75" customHeight="1" s="40">
      <c r="A19" s="45" t="inlineStr">
        <is>
          <t>Target Plant CAPEX (USD)</t>
        </is>
      </c>
      <c r="B19" s="18">
        <f>B13*(B16/B12)^B14</f>
        <v/>
      </c>
      <c r="C19" s="13" t="n"/>
      <c r="D19" s="39" t="inlineStr">
        <is>
          <t>&lt;-- Using this estimate</t>
        </is>
      </c>
    </row>
    <row r="20" ht="15.75" customHeight="1" s="40">
      <c r="A20" s="45" t="n"/>
      <c r="C20" s="13" t="n"/>
    </row>
    <row r="21" ht="15.75" customHeight="1" s="40">
      <c r="A21" s="19" t="inlineStr">
        <is>
          <t>Capital efficiency</t>
        </is>
      </c>
      <c r="B21" s="20">
        <f>B19/B16/365</f>
        <v/>
      </c>
      <c r="C21" s="21" t="inlineStr">
        <is>
          <t>$/tpa installed</t>
        </is>
      </c>
    </row>
    <row r="22" ht="15.75" customHeight="1" s="40"/>
    <row r="23" ht="15.75" customHeight="1" s="40">
      <c r="E23" s="22" t="n"/>
    </row>
    <row r="24" ht="15.75" customHeight="1" s="40">
      <c r="A24" s="1" t="n"/>
    </row>
    <row r="25" ht="15.75" customHeight="1" s="40">
      <c r="A25" s="39" t="n"/>
      <c r="B25" s="7" t="n"/>
      <c r="D25" s="22" t="n"/>
    </row>
    <row r="26" ht="15.75" customHeight="1" s="40">
      <c r="A26" s="39" t="n"/>
      <c r="B26" s="39" t="n"/>
    </row>
    <row r="27" ht="15.75" customHeight="1" s="40">
      <c r="A27" s="39" t="n"/>
      <c r="B27" s="39" t="n"/>
      <c r="D27" s="22" t="n"/>
    </row>
    <row r="28" ht="15.75" customHeight="1" s="40">
      <c r="A28" s="39" t="n"/>
      <c r="B28" s="16" t="n"/>
      <c r="D28" s="22" t="n"/>
    </row>
    <row r="29" ht="15.75" customHeight="1" s="40">
      <c r="A29" s="39" t="n"/>
      <c r="B29" s="7" t="n"/>
      <c r="D29" s="23" t="n"/>
    </row>
    <row r="30" ht="15.75" customHeight="1" s="40"/>
    <row r="31" ht="15.75" customHeight="1" s="40">
      <c r="E31" s="22" t="n"/>
    </row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hyperlinks>
    <hyperlink xmlns:r="http://schemas.openxmlformats.org/officeDocument/2006/relationships" ref="A1" r:id="rId1"/>
    <hyperlink xmlns:r="http://schemas.openxmlformats.org/officeDocument/2006/relationships" ref="D1" r:id="rId2"/>
    <hyperlink xmlns:r="http://schemas.openxmlformats.org/officeDocument/2006/relationships" ref="A9" r:id="rId3"/>
    <hyperlink xmlns:r="http://schemas.openxmlformats.org/officeDocument/2006/relationships" ref="A11" r:id="rId4"/>
    <hyperlink xmlns:r="http://schemas.openxmlformats.org/officeDocument/2006/relationships" ref="B15" display="https://www.exchange-rates.org/converter/eur-usd" r:id="rId5"/>
    <hyperlink xmlns:r="http://schemas.openxmlformats.org/officeDocument/2006/relationships" ref="A24" r:id="rId6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W551"/>
  <sheetViews>
    <sheetView workbookViewId="0">
      <selection activeCell="A1" sqref="A1"/>
    </sheetView>
  </sheetViews>
  <sheetFormatPr baseColWidth="8" defaultColWidth="12.6328125" defaultRowHeight="15" customHeight="1"/>
  <cols>
    <col width="12.6328125" customWidth="1" style="40" min="1" max="1"/>
    <col width="25.36328125" customWidth="1" style="40" min="2" max="2"/>
    <col width="12.6328125" customWidth="1" style="40" min="3" max="6"/>
    <col width="19.7265625" customWidth="1" style="40" min="7" max="7"/>
  </cols>
  <sheetData>
    <row r="1" ht="15.75" customHeight="1" s="40">
      <c r="C1" s="39" t="inlineStr">
        <is>
          <t>H2SO4 REGULAR CONSTRUCTION</t>
        </is>
      </c>
      <c r="H1" s="39" t="n"/>
      <c r="I1" s="39" t="inlineStr">
        <is>
          <t>H2SO4 FAST CONSTRUCTION</t>
        </is>
      </c>
      <c r="N1" s="39" t="n"/>
      <c r="R1" s="22" t="inlineStr">
        <is>
          <t>fraction_functioning_after_disruption</t>
        </is>
      </c>
      <c r="U1" t="inlineStr">
        <is>
          <t>CODE-MATCHED (current model)</t>
        </is>
      </c>
    </row>
    <row r="2" ht="15.75" customHeight="1" s="40">
      <c r="A2" s="39" t="inlineStr">
        <is>
          <t>Annual World Construction Budget</t>
        </is>
      </c>
      <c r="C2" s="44" t="n">
        <v>3504084546.26967</v>
      </c>
      <c r="H2" s="42" t="n"/>
      <c r="I2" s="44" t="n">
        <v>3504084546.26967</v>
      </c>
      <c r="N2" s="42" t="n"/>
      <c r="P2" s="39" t="inlineStr">
        <is>
          <t>Sanity check:</t>
        </is>
      </c>
      <c r="Q2" s="1" t="inlineStr">
        <is>
          <t>the AEA’s datasets track 490 production plants in development, comprising a total of 438.1 million tons of low-emission and transitional ammonia capacity</t>
        </is>
      </c>
      <c r="U2" t="inlineStr">
        <is>
          <t>C16/I16 = 0.4; startup% = 0.5; budget = equal-pace default</t>
        </is>
      </c>
    </row>
    <row r="3" ht="15.75" customHeight="1" s="40">
      <c r="A3" s="39" t="inlineStr">
        <is>
          <t>Total Capital Investment Per Plant</t>
        </is>
      </c>
      <c r="C3" s="50">
        <f>'H2SO4 CAPEX'!B19</f>
        <v/>
      </c>
      <c r="H3" s="42" t="n"/>
      <c r="I3" s="50">
        <f>'H2SO4 CAPEX'!H14</f>
        <v/>
      </c>
      <c r="N3" s="42" t="n"/>
      <c r="P3" s="4">
        <f>P4*1000000/('H2SO4 CAPEX'!B16*365.25)</f>
        <v/>
      </c>
      <c r="Q3" s="1" t="inlineStr">
        <is>
          <t>plants needed to make 240million metric tonnes per year assuming an average of 2000 metric tonnes/day plant capacity</t>
        </is>
      </c>
      <c r="U3" t="inlineStr">
        <is>
          <t>Multiple = (new Mt/yr + surviving Mt/yr) / current Mt/yr</t>
        </is>
      </c>
    </row>
    <row r="4" ht="15.75" customHeight="1" s="40">
      <c r="A4" s="39" t="inlineStr">
        <is>
          <t>Number of Plants Per Year</t>
        </is>
      </c>
      <c r="C4" s="41">
        <f>(C2/C3)*C16</f>
        <v/>
      </c>
      <c r="H4" s="42" t="n"/>
      <c r="I4" s="41">
        <f>(I2/I3)*I16</f>
        <v/>
      </c>
      <c r="N4" s="42" t="n"/>
      <c r="P4" s="39" t="n">
        <v>150</v>
      </c>
      <c r="Q4" s="39" t="inlineStr">
        <is>
          <t>Current H2SO4 production in million metric tonnes</t>
        </is>
      </c>
      <c r="U4" t="inlineStr">
        <is>
          <t>Surviving Mt/yr in C22/I22</t>
        </is>
      </c>
    </row>
    <row r="5" ht="15.75" customHeight="1" s="40">
      <c r="A5" s="39" t="n"/>
      <c r="B5" s="39" t="n"/>
      <c r="C5" s="45" t="n"/>
      <c r="I5" s="46" t="n"/>
      <c r="N5" s="42" t="n"/>
      <c r="U5" t="inlineStr">
        <is>
          <t>Multiple chart uses U50:W (1.0 before t=0, then drops to 0.4)</t>
        </is>
      </c>
    </row>
    <row r="6" ht="15.75" customHeight="1" s="40">
      <c r="A6" s="39" t="inlineStr">
        <is>
          <t>Corrected CAPEX for construction time method</t>
        </is>
      </c>
      <c r="B6" s="39" t="n"/>
      <c r="C6" s="24" t="n"/>
      <c r="D6" s="4" t="n"/>
      <c r="E6" s="4" t="n"/>
      <c r="F6" s="4" t="n"/>
      <c r="G6" s="25">
        <f>C3*(1-9.1%-6.6%)</f>
        <v/>
      </c>
      <c r="H6" s="26" t="n"/>
      <c r="I6" s="24" t="n"/>
      <c r="J6" s="4" t="n"/>
      <c r="K6" s="4" t="n"/>
      <c r="L6" s="4" t="n"/>
      <c r="M6" s="25">
        <f>I3*(1-9.1%-6.6%)</f>
        <v/>
      </c>
      <c r="N6" s="25" t="n"/>
      <c r="U6" t="inlineStr">
        <is>
          <t>Production chart (G/M) = NEW factory Mt/yr only (starts at 0)</t>
        </is>
      </c>
    </row>
    <row r="7" ht="15.75" customHeight="1" s="40">
      <c r="A7" s="39" t="inlineStr">
        <is>
          <t>Weeks to Build at Facility Costs</t>
        </is>
      </c>
      <c r="C7" s="41">
        <f>10.774*LN(0.8*G6)-121.45</f>
        <v/>
      </c>
      <c r="H7" s="42" t="n"/>
      <c r="I7" s="41">
        <f>C7*'H2SO4 CAPEX'!H12</f>
        <v/>
      </c>
      <c r="N7" s="42" t="n"/>
    </row>
    <row r="8" ht="15.75" customHeight="1" s="40">
      <c r="A8" s="39" t="inlineStr">
        <is>
          <t>Waves Per Year</t>
        </is>
      </c>
      <c r="C8" s="47">
        <f>52/C7</f>
        <v/>
      </c>
      <c r="H8" s="42" t="n"/>
      <c r="I8" s="47">
        <f>52/I7</f>
        <v/>
      </c>
      <c r="N8" s="42" t="n"/>
    </row>
    <row r="9" ht="15.75" customHeight="1" s="40">
      <c r="A9" s="39" t="inlineStr">
        <is>
          <t>Plants Per Wave</t>
        </is>
      </c>
      <c r="C9" s="49">
        <f>(C4/C8)</f>
        <v/>
      </c>
      <c r="H9" s="42" t="n"/>
      <c r="I9" s="49">
        <f>(I4/I8)</f>
        <v/>
      </c>
      <c r="N9" s="42" t="n"/>
    </row>
    <row r="10" ht="15.75" customHeight="1" s="40">
      <c r="A10" s="39" t="inlineStr">
        <is>
          <t>Plants Per Year</t>
        </is>
      </c>
      <c r="C10" s="41">
        <f>C9*C8</f>
        <v/>
      </c>
      <c r="H10" s="42" t="n"/>
      <c r="I10" s="41">
        <f>I9*I8</f>
        <v/>
      </c>
      <c r="N10" s="42" t="n"/>
    </row>
    <row r="11" ht="15.75" customHeight="1" s="40">
      <c r="A11" s="39" t="inlineStr">
        <is>
          <t>Plants Per Week</t>
        </is>
      </c>
      <c r="C11" s="41">
        <f>C10/52</f>
        <v/>
      </c>
      <c r="H11" s="42" t="n"/>
      <c r="I11" s="41">
        <f>I10/52</f>
        <v/>
      </c>
      <c r="N11" s="42" t="n"/>
    </row>
    <row r="12" ht="15.75" customHeight="1" s="40">
      <c r="B12" s="39" t="n"/>
      <c r="C12" s="45" t="n"/>
      <c r="I12" s="46" t="n"/>
      <c r="N12" s="42" t="n"/>
    </row>
    <row r="13" ht="15.75" customHeight="1" s="40">
      <c r="A13" s="39" t="inlineStr">
        <is>
          <t>Single Facility Scaled Production (tonnes/week)</t>
        </is>
      </c>
      <c r="C13" s="48">
        <f>'H2SO4 CAPEX'!$F5*7</f>
        <v/>
      </c>
      <c r="H13" s="42" t="n"/>
      <c r="I13" s="48">
        <f>'H2SO4 CAPEX'!$F5*7</f>
        <v/>
      </c>
      <c r="N13" s="42" t="n"/>
    </row>
    <row r="14" ht="15.75" customHeight="1" s="40">
      <c r="A14" s="39" t="inlineStr">
        <is>
          <t>Startup % of Fully Scaled Production (break in period)</t>
        </is>
      </c>
      <c r="C14" s="43" t="n">
        <v>0.5</v>
      </c>
      <c r="H14" s="42" t="n"/>
      <c r="I14" s="43" t="n">
        <v>0.5</v>
      </c>
      <c r="N14" s="42" t="n"/>
    </row>
    <row r="15" ht="15.75" customHeight="1" s="40">
      <c r="A15" s="39" t="inlineStr">
        <is>
          <t>Single Facility Startup Production (tonnes/week)</t>
        </is>
      </c>
      <c r="C15" s="41">
        <f>C13*C14</f>
        <v/>
      </c>
      <c r="H15" s="42" t="n"/>
      <c r="I15" s="41">
        <f>I13*I14</f>
        <v/>
      </c>
      <c r="N15" s="42" t="n"/>
    </row>
    <row r="16" ht="15.75" customHeight="1" s="40">
      <c r="A16" s="39" t="inlineStr">
        <is>
          <t>fraction_functioning_after_disruption (surviving existing + new build share)</t>
        </is>
      </c>
      <c r="C16" s="43" t="n">
        <v>0.4</v>
      </c>
      <c r="H16" s="42" t="n"/>
      <c r="I16" s="43" t="n">
        <v>0.4</v>
      </c>
      <c r="N16" s="42" t="n"/>
    </row>
    <row r="17" ht="15.75" customHeight="1" s="40">
      <c r="A17" s="39" t="inlineStr">
        <is>
          <t>Time to construct a wave (years)</t>
        </is>
      </c>
      <c r="C17" s="51">
        <f>C7/52</f>
        <v/>
      </c>
      <c r="H17" s="42" t="n"/>
      <c r="I17" s="51">
        <f>I7/52</f>
        <v/>
      </c>
      <c r="N17" s="42" t="n"/>
    </row>
    <row r="18" ht="15.75" customHeight="1" s="40">
      <c r="A18" s="39" t="inlineStr">
        <is>
          <t>Startup time (weeks)</t>
        </is>
      </c>
      <c r="C18" s="51">
        <f>C7/4</f>
        <v/>
      </c>
      <c r="H18" s="42" t="n"/>
      <c r="I18" s="51">
        <f>I7/4</f>
        <v/>
      </c>
      <c r="N18" s="42" t="n"/>
    </row>
    <row r="19" ht="15.75" customHeight="1" s="40">
      <c r="A19" s="39" t="inlineStr">
        <is>
          <t>Startup time (years)</t>
        </is>
      </c>
      <c r="C19" s="51">
        <f>C18/52</f>
        <v/>
      </c>
      <c r="H19" s="42" t="n"/>
      <c r="I19" s="51">
        <f>I18/52</f>
        <v/>
      </c>
      <c r="N19" s="42" t="n"/>
    </row>
    <row r="20" ht="15.75" customHeight="1" s="40">
      <c r="A20" s="39" t="inlineStr">
        <is>
          <t>Planning time (weeks)</t>
        </is>
      </c>
      <c r="C20" s="52" t="n">
        <v>4</v>
      </c>
      <c r="H20" s="42" t="n"/>
      <c r="I20" s="52" t="n">
        <v>4</v>
      </c>
      <c r="N20" s="42" t="n"/>
    </row>
    <row r="21" ht="15.75" customHeight="1" s="40">
      <c r="A21" s="39" t="inlineStr">
        <is>
          <t>Planning time (years)</t>
        </is>
      </c>
      <c r="C21" s="51">
        <f>C20/52</f>
        <v/>
      </c>
      <c r="H21" s="42" t="n"/>
      <c r="I21" s="51">
        <f>I20/52</f>
        <v/>
      </c>
      <c r="N21" s="42" t="n"/>
    </row>
    <row r="22" ht="15.75" customHeight="1" s="40">
      <c r="A22" s="39" t="inlineStr">
        <is>
          <t>Surviving Mt/yr (= fraction_functioning * current Mt/yr)</t>
        </is>
      </c>
      <c r="B22" s="39" t="n"/>
      <c r="C22" s="45">
        <f>C16*$P$4</f>
        <v/>
      </c>
      <c r="I22" s="45">
        <f>I16*$P$4</f>
        <v/>
      </c>
    </row>
    <row r="23" ht="15.75" customHeight="1" s="40">
      <c r="A23" s="27" t="inlineStr">
        <is>
          <t>Wave</t>
        </is>
      </c>
      <c r="B23" s="27" t="inlineStr">
        <is>
          <t>Production Level</t>
        </is>
      </c>
      <c r="C23" s="19" t="inlineStr">
        <is>
          <t>Plants</t>
        </is>
      </c>
      <c r="D23" s="27" t="inlineStr">
        <is>
          <t>tonnes/week</t>
        </is>
      </c>
      <c r="E23" s="27" t="inlineStr">
        <is>
          <t>Weeks</t>
        </is>
      </c>
      <c r="F23" s="28" t="inlineStr">
        <is>
          <t>Years</t>
        </is>
      </c>
      <c r="G23" s="39" t="inlineStr">
        <is>
          <t>Megatonnes/year</t>
        </is>
      </c>
      <c r="H23" s="21" t="inlineStr">
        <is>
          <t>Multiple of Current H2SO4 Production</t>
        </is>
      </c>
      <c r="I23" s="19" t="inlineStr">
        <is>
          <t>Plants</t>
        </is>
      </c>
      <c r="J23" s="27" t="inlineStr">
        <is>
          <t>tonnes/week</t>
        </is>
      </c>
      <c r="K23" s="27" t="inlineStr">
        <is>
          <t>Weeks</t>
        </is>
      </c>
      <c r="L23" s="28" t="inlineStr">
        <is>
          <t>Years</t>
        </is>
      </c>
      <c r="M23" s="39" t="inlineStr">
        <is>
          <t>Megatonnes/year</t>
        </is>
      </c>
      <c r="N23" s="21" t="inlineStr">
        <is>
          <t>Multiple of Current H2SO4 Production</t>
        </is>
      </c>
      <c r="S23" s="22" t="inlineStr">
        <is>
          <t>Required</t>
        </is>
      </c>
      <c r="T23" s="22" t="inlineStr">
        <is>
          <t>Current</t>
        </is>
      </c>
      <c r="U23" s="22" t="inlineStr">
        <is>
          <t>New</t>
        </is>
      </c>
    </row>
    <row r="24" ht="15.75" customHeight="1" s="40">
      <c r="A24" s="39" t="n">
        <v>1</v>
      </c>
      <c r="B24" s="39" t="inlineStr">
        <is>
          <t>startup production</t>
        </is>
      </c>
      <c r="C24" s="29">
        <f>C$9*$A24</f>
        <v/>
      </c>
      <c r="D24" s="30">
        <f>C15*C24</f>
        <v/>
      </c>
      <c r="E24" s="30">
        <f>F24*52</f>
        <v/>
      </c>
      <c r="F24" s="31">
        <f>C$17*$A24+C$21</f>
        <v/>
      </c>
      <c r="G24" s="32">
        <f>D24/1000000*52</f>
        <v/>
      </c>
      <c r="H24" s="33">
        <f>G24/$P$4+($C$22/$P$4)</f>
        <v/>
      </c>
      <c r="I24" s="29">
        <f>I$9*$A24</f>
        <v/>
      </c>
      <c r="J24" s="30">
        <f>I15*I24</f>
        <v/>
      </c>
      <c r="K24" s="30">
        <f>L24*52</f>
        <v/>
      </c>
      <c r="L24" s="31">
        <f>I$17*$A24+I$21</f>
        <v/>
      </c>
      <c r="M24" s="32">
        <f>J24/1000000*52</f>
        <v/>
      </c>
      <c r="N24" s="33">
        <f>M24/$P$4+($I$22/$P$4)</f>
        <v/>
      </c>
      <c r="R24" s="22" t="inlineStr">
        <is>
          <t>N</t>
        </is>
      </c>
      <c r="S24" s="22" t="n">
        <v>1000</v>
      </c>
      <c r="T24" s="22" t="n">
        <v>1000</v>
      </c>
      <c r="U24" s="22" t="n">
        <v>0</v>
      </c>
    </row>
    <row r="25" ht="15.75" customHeight="1" s="40">
      <c r="A25" s="39" t="n">
        <v>1</v>
      </c>
      <c r="B25" s="39" t="inlineStr">
        <is>
          <t>full production</t>
        </is>
      </c>
      <c r="C25" s="29">
        <f>C$9*$A25</f>
        <v/>
      </c>
      <c r="D25" s="30">
        <f>C25*C$13</f>
        <v/>
      </c>
      <c r="E25" s="30">
        <f>F25*52</f>
        <v/>
      </c>
      <c r="F25" s="31">
        <f>F24+C$19</f>
        <v/>
      </c>
      <c r="G25" s="4">
        <f>D25/1000000*52</f>
        <v/>
      </c>
      <c r="H25" s="33">
        <f>G25/$P$4+($C$22/$P$4)</f>
        <v/>
      </c>
      <c r="I25" s="29">
        <f>I$9*$A25</f>
        <v/>
      </c>
      <c r="J25" s="30">
        <f>I25*I$13</f>
        <v/>
      </c>
      <c r="K25" s="30">
        <f>L25*52</f>
        <v/>
      </c>
      <c r="L25" s="31">
        <f>L24+I$19</f>
        <v/>
      </c>
      <c r="M25" s="4">
        <f>J25/1000000*52</f>
        <v/>
      </c>
      <c r="N25" s="33">
        <f>M25/$P$4+($I$22/$P$4)</f>
        <v/>
      </c>
      <c r="R25" s="34" t="n">
        <v>0.7</v>
      </c>
      <c r="T25" s="22" t="n">
        <v>700</v>
      </c>
    </row>
    <row r="26" ht="15.75" customHeight="1" s="40">
      <c r="A26" s="39" t="n">
        <v>2</v>
      </c>
      <c r="B26" s="39" t="inlineStr">
        <is>
          <t>startup production</t>
        </is>
      </c>
      <c r="C26" s="29">
        <f>C$9*$A26</f>
        <v/>
      </c>
      <c r="D26" s="30">
        <f>D25+C$15*C$9</f>
        <v/>
      </c>
      <c r="E26" s="30">
        <f>F26*52</f>
        <v/>
      </c>
      <c r="F26" s="31">
        <f>C$17*$A26+C$21</f>
        <v/>
      </c>
      <c r="G26" s="4">
        <f>D26/1000000*52</f>
        <v/>
      </c>
      <c r="H26" s="33">
        <f>G26/$P$4+($C$22/$P$4)</f>
        <v/>
      </c>
      <c r="I26" s="29">
        <f>I$9*$A26</f>
        <v/>
      </c>
      <c r="J26" s="30">
        <f>J25+I$15*I$9</f>
        <v/>
      </c>
      <c r="K26" s="30">
        <f>L26*52</f>
        <v/>
      </c>
      <c r="L26" s="31">
        <f>I$17*$A26+I$21</f>
        <v/>
      </c>
      <c r="M26" s="4">
        <f>J26/1000000*52</f>
        <v/>
      </c>
      <c r="N26" s="33">
        <f>M26/$P$4+($I$22/$P$4)</f>
        <v/>
      </c>
    </row>
    <row r="27" ht="15.75" customHeight="1" s="40">
      <c r="A27" s="39" t="n">
        <v>2</v>
      </c>
      <c r="B27" s="39" t="inlineStr">
        <is>
          <t>full production</t>
        </is>
      </c>
      <c r="C27" s="29">
        <f>C$9*$A27</f>
        <v/>
      </c>
      <c r="D27" s="30">
        <f>C27*C$13</f>
        <v/>
      </c>
      <c r="E27" s="30">
        <f>F27*52</f>
        <v/>
      </c>
      <c r="F27" s="31">
        <f>F26+C$19</f>
        <v/>
      </c>
      <c r="G27" s="4">
        <f>D27/1000000*52</f>
        <v/>
      </c>
      <c r="H27" s="33">
        <f>G27/$P$4+($C$22/$P$4)</f>
        <v/>
      </c>
      <c r="I27" s="29">
        <f>I$9*$A27</f>
        <v/>
      </c>
      <c r="J27" s="30">
        <f>I27*I$13</f>
        <v/>
      </c>
      <c r="K27" s="30">
        <f>L27*52</f>
        <v/>
      </c>
      <c r="L27" s="31">
        <f>L26+I$19</f>
        <v/>
      </c>
      <c r="M27" s="4">
        <f>J27/1000000*52</f>
        <v/>
      </c>
      <c r="N27" s="33">
        <f>M27/$P$4+($I$22/$P$4)</f>
        <v/>
      </c>
    </row>
    <row r="28" ht="15.75" customHeight="1" s="40">
      <c r="A28" s="39" t="n">
        <v>3</v>
      </c>
      <c r="B28" s="39" t="inlineStr">
        <is>
          <t>startup production</t>
        </is>
      </c>
      <c r="C28" s="29">
        <f>C$9*$A28</f>
        <v/>
      </c>
      <c r="D28" s="30">
        <f>D27+C$15*C$9</f>
        <v/>
      </c>
      <c r="E28" s="30">
        <f>F28*52</f>
        <v/>
      </c>
      <c r="F28" s="31">
        <f>C$17*$A28+C$21</f>
        <v/>
      </c>
      <c r="G28" s="4">
        <f>D28/1000000*52</f>
        <v/>
      </c>
      <c r="H28" s="33">
        <f>G28/$P$4+($C$22/$P$4)</f>
        <v/>
      </c>
      <c r="I28" s="29">
        <f>I$9*$A28</f>
        <v/>
      </c>
      <c r="J28" s="30">
        <f>J27+I$15*I$9</f>
        <v/>
      </c>
      <c r="K28" s="30">
        <f>L28*52</f>
        <v/>
      </c>
      <c r="L28" s="31">
        <f>I$17*$A28+I$21</f>
        <v/>
      </c>
      <c r="M28" s="4">
        <f>J28/1000000*52</f>
        <v/>
      </c>
      <c r="N28" s="33">
        <f>M28/$P$4+($I$22/$P$4)</f>
        <v/>
      </c>
    </row>
    <row r="29" ht="15.75" customHeight="1" s="40">
      <c r="A29" s="39" t="n">
        <v>3</v>
      </c>
      <c r="B29" s="39" t="inlineStr">
        <is>
          <t>full production</t>
        </is>
      </c>
      <c r="C29" s="29">
        <f>C$9*$A29</f>
        <v/>
      </c>
      <c r="D29" s="30">
        <f>C29*C$13</f>
        <v/>
      </c>
      <c r="E29" s="30">
        <f>F29*52</f>
        <v/>
      </c>
      <c r="F29" s="31">
        <f>F28+C$19</f>
        <v/>
      </c>
      <c r="G29" s="4">
        <f>D29/1000000*52</f>
        <v/>
      </c>
      <c r="H29" s="33">
        <f>G29/$P$4+($C$22/$P$4)</f>
        <v/>
      </c>
      <c r="I29" s="29">
        <f>I$9*$A29</f>
        <v/>
      </c>
      <c r="J29" s="30">
        <f>I29*I$13</f>
        <v/>
      </c>
      <c r="K29" s="30">
        <f>L29*52</f>
        <v/>
      </c>
      <c r="L29" s="31">
        <f>L28+I$19</f>
        <v/>
      </c>
      <c r="M29" s="4">
        <f>J29/1000000*52</f>
        <v/>
      </c>
      <c r="N29" s="33">
        <f>M29/$P$4+($I$22/$P$4)</f>
        <v/>
      </c>
    </row>
    <row r="30" ht="15.75" customHeight="1" s="40">
      <c r="A30" s="39" t="n">
        <v>4</v>
      </c>
      <c r="B30" s="39" t="inlineStr">
        <is>
          <t>startup production</t>
        </is>
      </c>
      <c r="C30" s="29">
        <f>C$9*$A30</f>
        <v/>
      </c>
      <c r="D30" s="30">
        <f>D29+C$15*C$9</f>
        <v/>
      </c>
      <c r="E30" s="30">
        <f>F30*52</f>
        <v/>
      </c>
      <c r="F30" s="31">
        <f>C$17*$A30+C$21</f>
        <v/>
      </c>
      <c r="G30" s="4">
        <f>D30/1000000*52</f>
        <v/>
      </c>
      <c r="H30" s="33">
        <f>G30/$P$4+($C$22/$P$4)</f>
        <v/>
      </c>
      <c r="I30" s="29">
        <f>I$9*$A30</f>
        <v/>
      </c>
      <c r="J30" s="30">
        <f>J29+I$15*I$9</f>
        <v/>
      </c>
      <c r="K30" s="30">
        <f>L30*52</f>
        <v/>
      </c>
      <c r="L30" s="31">
        <f>I$17*$A30+I$21</f>
        <v/>
      </c>
      <c r="M30" s="4">
        <f>J30/1000000*52</f>
        <v/>
      </c>
      <c r="N30" s="33">
        <f>M30/$P$4+($I$22/$P$4)</f>
        <v/>
      </c>
    </row>
    <row r="31" ht="15.75" customHeight="1" s="40">
      <c r="A31" s="39" t="n">
        <v>4</v>
      </c>
      <c r="B31" s="39" t="inlineStr">
        <is>
          <t>full production</t>
        </is>
      </c>
      <c r="C31" s="29">
        <f>C$9*$A31</f>
        <v/>
      </c>
      <c r="D31" s="30">
        <f>C31*C$13</f>
        <v/>
      </c>
      <c r="E31" s="30">
        <f>F31*52</f>
        <v/>
      </c>
      <c r="F31" s="31">
        <f>F30+C$19</f>
        <v/>
      </c>
      <c r="G31" s="4">
        <f>D31/1000000*52</f>
        <v/>
      </c>
      <c r="H31" s="33">
        <f>G31/$P$4+($C$22/$P$4)</f>
        <v/>
      </c>
      <c r="I31" s="29">
        <f>I$9*$A31</f>
        <v/>
      </c>
      <c r="J31" s="30">
        <f>I31*I$13</f>
        <v/>
      </c>
      <c r="K31" s="30">
        <f>L31*52</f>
        <v/>
      </c>
      <c r="L31" s="31">
        <f>L30+I$19</f>
        <v/>
      </c>
      <c r="M31" s="4">
        <f>J31/1000000*52</f>
        <v/>
      </c>
      <c r="N31" s="33">
        <f>M31/$P$4+($I$22/$P$4)</f>
        <v/>
      </c>
    </row>
    <row r="32" ht="15.75" customHeight="1" s="40">
      <c r="A32" s="39" t="n">
        <v>5</v>
      </c>
      <c r="B32" s="39" t="inlineStr">
        <is>
          <t>startup production</t>
        </is>
      </c>
      <c r="C32" s="29">
        <f>C$9*$A32</f>
        <v/>
      </c>
      <c r="D32" s="30">
        <f>D31+C$15*C$9</f>
        <v/>
      </c>
      <c r="E32" s="30">
        <f>F32*52</f>
        <v/>
      </c>
      <c r="F32" s="31">
        <f>C$17*$A32+C$21</f>
        <v/>
      </c>
      <c r="G32" s="4">
        <f>D32/1000000*52</f>
        <v/>
      </c>
      <c r="H32" s="33">
        <f>G32/$P$4+($C$22/$P$4)</f>
        <v/>
      </c>
      <c r="I32" s="29">
        <f>I$9*$A32</f>
        <v/>
      </c>
      <c r="J32" s="30">
        <f>J31+I$15*I$9</f>
        <v/>
      </c>
      <c r="K32" s="30">
        <f>L32*52</f>
        <v/>
      </c>
      <c r="L32" s="31">
        <f>I$17*$A32+I$21</f>
        <v/>
      </c>
      <c r="M32" s="4">
        <f>J32/1000000*52</f>
        <v/>
      </c>
      <c r="N32" s="33">
        <f>M32/$P$4+($I$22/$P$4)</f>
        <v/>
      </c>
    </row>
    <row r="33" ht="15.75" customHeight="1" s="40">
      <c r="A33" s="39" t="n">
        <v>5</v>
      </c>
      <c r="B33" s="39" t="inlineStr">
        <is>
          <t>full production</t>
        </is>
      </c>
      <c r="C33" s="29">
        <f>C$9*$A33</f>
        <v/>
      </c>
      <c r="D33" s="30">
        <f>C33*C$13</f>
        <v/>
      </c>
      <c r="E33" s="30">
        <f>F33*52</f>
        <v/>
      </c>
      <c r="F33" s="31">
        <f>F32+C$19</f>
        <v/>
      </c>
      <c r="G33" s="4">
        <f>D33/1000000*52</f>
        <v/>
      </c>
      <c r="H33" s="33">
        <f>G33/$P$4+($C$22/$P$4)</f>
        <v/>
      </c>
      <c r="I33" s="29">
        <f>I$9*$A33</f>
        <v/>
      </c>
      <c r="J33" s="30">
        <f>I33*I$13</f>
        <v/>
      </c>
      <c r="K33" s="30">
        <f>L33*52</f>
        <v/>
      </c>
      <c r="L33" s="31">
        <f>L32+I$19</f>
        <v/>
      </c>
      <c r="M33" s="4">
        <f>J33/1000000*52</f>
        <v/>
      </c>
      <c r="N33" s="33">
        <f>M33/$P$4+($I$22/$P$4)</f>
        <v/>
      </c>
    </row>
    <row r="34" ht="15.75" customHeight="1" s="40">
      <c r="A34" s="39" t="n">
        <v>6</v>
      </c>
      <c r="B34" s="39" t="inlineStr">
        <is>
          <t>startup production</t>
        </is>
      </c>
      <c r="C34" s="29">
        <f>C$9*$A34</f>
        <v/>
      </c>
      <c r="D34" s="30">
        <f>D33+C$15*C$9</f>
        <v/>
      </c>
      <c r="E34" s="30">
        <f>F34*52</f>
        <v/>
      </c>
      <c r="F34" s="31">
        <f>C$17*$A34+C$21</f>
        <v/>
      </c>
      <c r="G34" s="4">
        <f>D34/1000000*52</f>
        <v/>
      </c>
      <c r="H34" s="33">
        <f>G34/$P$4+($C$22/$P$4)</f>
        <v/>
      </c>
      <c r="I34" s="29">
        <f>I$9*$A34</f>
        <v/>
      </c>
      <c r="J34" s="30">
        <f>J33+I$15*I$9</f>
        <v/>
      </c>
      <c r="K34" s="30">
        <f>L34*52</f>
        <v/>
      </c>
      <c r="L34" s="31">
        <f>I$17*$A34+I$21</f>
        <v/>
      </c>
      <c r="M34" s="4">
        <f>J34/1000000*52</f>
        <v/>
      </c>
      <c r="N34" s="33">
        <f>M34/$P$4+($I$22/$P$4)</f>
        <v/>
      </c>
    </row>
    <row r="35" ht="15.75" customHeight="1" s="40">
      <c r="A35" s="39" t="n">
        <v>6</v>
      </c>
      <c r="B35" s="39" t="inlineStr">
        <is>
          <t>full production</t>
        </is>
      </c>
      <c r="C35" s="29">
        <f>C$9*$A35</f>
        <v/>
      </c>
      <c r="D35" s="30">
        <f>C35*C$13</f>
        <v/>
      </c>
      <c r="E35" s="30">
        <f>F35*52</f>
        <v/>
      </c>
      <c r="F35" s="31">
        <f>F34+C$19</f>
        <v/>
      </c>
      <c r="G35" s="4">
        <f>D35/1000000*52</f>
        <v/>
      </c>
      <c r="H35" s="33">
        <f>G35/$P$4+($C$22/$P$4)</f>
        <v/>
      </c>
      <c r="I35" s="29">
        <f>I$9*$A35</f>
        <v/>
      </c>
      <c r="J35" s="30">
        <f>I35*I$13</f>
        <v/>
      </c>
      <c r="K35" s="30">
        <f>L35*52</f>
        <v/>
      </c>
      <c r="L35" s="31">
        <f>L34+I$19</f>
        <v/>
      </c>
      <c r="M35" s="4">
        <f>J35/1000000*52</f>
        <v/>
      </c>
      <c r="N35" s="33">
        <f>M35/$P$4+($I$22/$P$4)</f>
        <v/>
      </c>
    </row>
    <row r="36" ht="15.75" customHeight="1" s="40">
      <c r="A36" s="39" t="n">
        <v>7</v>
      </c>
      <c r="B36" s="39" t="inlineStr">
        <is>
          <t>startup production</t>
        </is>
      </c>
      <c r="C36" s="29">
        <f>C$9*$A36</f>
        <v/>
      </c>
      <c r="D36" s="30">
        <f>D35+C$15*C$9</f>
        <v/>
      </c>
      <c r="E36" s="30">
        <f>F36*52</f>
        <v/>
      </c>
      <c r="F36" s="31">
        <f>C$17*$A36+C$21</f>
        <v/>
      </c>
      <c r="G36" s="4">
        <f>D36/1000000*52</f>
        <v/>
      </c>
      <c r="H36" s="33">
        <f>G36/$P$4+($C$22/$P$4)</f>
        <v/>
      </c>
      <c r="I36" s="29">
        <f>I$9*$A36</f>
        <v/>
      </c>
      <c r="J36" s="30">
        <f>J35+I$15*I$9</f>
        <v/>
      </c>
      <c r="K36" s="30">
        <f>L36*52</f>
        <v/>
      </c>
      <c r="L36" s="31">
        <f>I$17*$A36+I$21</f>
        <v/>
      </c>
      <c r="M36" s="4">
        <f>J36/1000000*52</f>
        <v/>
      </c>
      <c r="N36" s="33">
        <f>M36/$P$4+($I$22/$P$4)</f>
        <v/>
      </c>
    </row>
    <row r="37" ht="15.75" customHeight="1" s="40">
      <c r="A37" s="39" t="n">
        <v>7</v>
      </c>
      <c r="B37" s="39" t="inlineStr">
        <is>
          <t>full production</t>
        </is>
      </c>
      <c r="C37" s="29">
        <f>C$9*$A37</f>
        <v/>
      </c>
      <c r="D37" s="30">
        <f>C37*C$13</f>
        <v/>
      </c>
      <c r="E37" s="30">
        <f>F37*52</f>
        <v/>
      </c>
      <c r="F37" s="31">
        <f>F36+C$19</f>
        <v/>
      </c>
      <c r="G37" s="4">
        <f>D37/1000000*52</f>
        <v/>
      </c>
      <c r="H37" s="33">
        <f>G37/$P$4+($C$22/$P$4)</f>
        <v/>
      </c>
      <c r="I37" s="29">
        <f>I$9*$A37</f>
        <v/>
      </c>
      <c r="J37" s="30">
        <f>I37*I$13</f>
        <v/>
      </c>
      <c r="K37" s="30">
        <f>L37*52</f>
        <v/>
      </c>
      <c r="L37" s="31">
        <f>L36+I$19</f>
        <v/>
      </c>
      <c r="M37" s="4">
        <f>J37/1000000*52</f>
        <v/>
      </c>
      <c r="N37" s="33">
        <f>M37/$P$4+($I$22/$P$4)</f>
        <v/>
      </c>
    </row>
    <row r="38" ht="15.75" customHeight="1" s="40">
      <c r="A38" s="39" t="n">
        <v>8</v>
      </c>
      <c r="B38" s="39" t="inlineStr">
        <is>
          <t>startup production</t>
        </is>
      </c>
      <c r="C38" s="29">
        <f>C$9*$A38</f>
        <v/>
      </c>
      <c r="D38" s="30">
        <f>D37+C$15*C$9</f>
        <v/>
      </c>
      <c r="E38" s="30">
        <f>F38*52</f>
        <v/>
      </c>
      <c r="F38" s="31">
        <f>C$17*$A38+C$21</f>
        <v/>
      </c>
      <c r="G38" s="4">
        <f>D38/1000000*52</f>
        <v/>
      </c>
      <c r="H38" s="33">
        <f>G38/$P$4+($C$22/$P$4)</f>
        <v/>
      </c>
      <c r="I38" s="29">
        <f>I$9*$A38</f>
        <v/>
      </c>
      <c r="J38" s="30">
        <f>J37+I$15*I$9</f>
        <v/>
      </c>
      <c r="K38" s="30">
        <f>L38*52</f>
        <v/>
      </c>
      <c r="L38" s="31">
        <f>I$17*$A38+I$21</f>
        <v/>
      </c>
      <c r="M38" s="4">
        <f>J38/1000000*52</f>
        <v/>
      </c>
      <c r="N38" s="33">
        <f>M38/$P$4+($I$22/$P$4)</f>
        <v/>
      </c>
    </row>
    <row r="39" ht="15.75" customHeight="1" s="40">
      <c r="A39" s="39" t="n">
        <v>8</v>
      </c>
      <c r="B39" s="39" t="inlineStr">
        <is>
          <t>full production</t>
        </is>
      </c>
      <c r="C39" s="29">
        <f>C$9*$A39</f>
        <v/>
      </c>
      <c r="D39" s="30">
        <f>C39*C$13</f>
        <v/>
      </c>
      <c r="E39" s="30">
        <f>F39*52</f>
        <v/>
      </c>
      <c r="F39" s="31">
        <f>F38+C$19</f>
        <v/>
      </c>
      <c r="G39" s="4">
        <f>D39/1000000*52</f>
        <v/>
      </c>
      <c r="H39" s="33">
        <f>G39/$P$4+($C$22/$P$4)</f>
        <v/>
      </c>
      <c r="I39" s="29">
        <f>I$9*$A39</f>
        <v/>
      </c>
      <c r="J39" s="30">
        <f>I39*I$13</f>
        <v/>
      </c>
      <c r="K39" s="30">
        <f>L39*52</f>
        <v/>
      </c>
      <c r="L39" s="31">
        <f>L38+I$19</f>
        <v/>
      </c>
      <c r="M39" s="4">
        <f>J39/1000000*52</f>
        <v/>
      </c>
      <c r="N39" s="33">
        <f>M39/$P$4+($I$22/$P$4)</f>
        <v/>
      </c>
    </row>
    <row r="40" ht="15.75" customHeight="1" s="40">
      <c r="A40" s="39" t="n">
        <v>9</v>
      </c>
      <c r="B40" s="39" t="inlineStr">
        <is>
          <t>startup production</t>
        </is>
      </c>
      <c r="C40" s="29">
        <f>C$9*$A40</f>
        <v/>
      </c>
      <c r="D40" s="30">
        <f>D39+C$15*C$9</f>
        <v/>
      </c>
      <c r="E40" s="30">
        <f>F40*52</f>
        <v/>
      </c>
      <c r="F40" s="31">
        <f>C$17*$A40+C$21</f>
        <v/>
      </c>
      <c r="G40" s="4">
        <f>D40/1000000*52</f>
        <v/>
      </c>
      <c r="H40" s="33">
        <f>G40/$P$4+($C$22/$P$4)</f>
        <v/>
      </c>
      <c r="I40" s="29">
        <f>I$9*$A40</f>
        <v/>
      </c>
      <c r="J40" s="30">
        <f>J39+I$15*I$9</f>
        <v/>
      </c>
      <c r="K40" s="30">
        <f>L40*52</f>
        <v/>
      </c>
      <c r="L40" s="31">
        <f>I$17*$A40+I$21</f>
        <v/>
      </c>
      <c r="M40" s="4">
        <f>J40/1000000*52</f>
        <v/>
      </c>
      <c r="N40" s="33">
        <f>M40/$P$4+($I$22/$P$4)</f>
        <v/>
      </c>
    </row>
    <row r="41" ht="15.75" customHeight="1" s="40">
      <c r="A41" s="39" t="n">
        <v>9</v>
      </c>
      <c r="B41" s="39" t="inlineStr">
        <is>
          <t>full production</t>
        </is>
      </c>
      <c r="C41" s="29">
        <f>C$9*$A41</f>
        <v/>
      </c>
      <c r="D41" s="30">
        <f>C41*C$13</f>
        <v/>
      </c>
      <c r="E41" s="30">
        <f>F41*52</f>
        <v/>
      </c>
      <c r="F41" s="31">
        <f>F40+C$19</f>
        <v/>
      </c>
      <c r="G41" s="4">
        <f>D41/1000000*52</f>
        <v/>
      </c>
      <c r="H41" s="33">
        <f>G41/$P$4+($C$22/$P$4)</f>
        <v/>
      </c>
      <c r="I41" s="29">
        <f>I$9*$A41</f>
        <v/>
      </c>
      <c r="J41" s="30">
        <f>I41*I$13</f>
        <v/>
      </c>
      <c r="K41" s="30">
        <f>L41*52</f>
        <v/>
      </c>
      <c r="L41" s="31">
        <f>L40+I$19</f>
        <v/>
      </c>
      <c r="M41" s="4">
        <f>J41/1000000*52</f>
        <v/>
      </c>
      <c r="N41" s="33">
        <f>M41/$P$4+($I$22/$P$4)</f>
        <v/>
      </c>
    </row>
    <row r="42" ht="15.75" customHeight="1" s="40">
      <c r="A42" s="39" t="n">
        <v>10</v>
      </c>
      <c r="B42" s="39" t="inlineStr">
        <is>
          <t>startup production</t>
        </is>
      </c>
      <c r="C42" s="29">
        <f>C$9*$A42</f>
        <v/>
      </c>
      <c r="D42" s="30">
        <f>D41+C$15*C$9</f>
        <v/>
      </c>
      <c r="E42" s="30">
        <f>F42*52</f>
        <v/>
      </c>
      <c r="F42" s="31">
        <f>C$17*$A42+C$21</f>
        <v/>
      </c>
      <c r="G42" s="4">
        <f>D42/1000000*52</f>
        <v/>
      </c>
      <c r="H42" s="33">
        <f>G42/$P$4+($C$22/$P$4)</f>
        <v/>
      </c>
      <c r="I42" s="29">
        <f>I$9*$A42</f>
        <v/>
      </c>
      <c r="J42" s="30">
        <f>J41+I$15*I$9</f>
        <v/>
      </c>
      <c r="K42" s="30">
        <f>L42*52</f>
        <v/>
      </c>
      <c r="L42" s="31">
        <f>I$17*$A42+I$21</f>
        <v/>
      </c>
      <c r="M42" s="4">
        <f>J42/1000000*52</f>
        <v/>
      </c>
      <c r="N42" s="33">
        <f>M42/$P$4+($I$22/$P$4)</f>
        <v/>
      </c>
    </row>
    <row r="43" ht="15.75" customHeight="1" s="40">
      <c r="A43" s="39" t="n">
        <v>10</v>
      </c>
      <c r="B43" s="39" t="inlineStr">
        <is>
          <t>full production</t>
        </is>
      </c>
      <c r="C43" s="29">
        <f>C$9*$A43</f>
        <v/>
      </c>
      <c r="D43" s="30">
        <f>C43*C$13</f>
        <v/>
      </c>
      <c r="E43" s="30">
        <f>F43*52</f>
        <v/>
      </c>
      <c r="F43" s="31">
        <f>F42+C$19</f>
        <v/>
      </c>
      <c r="G43" s="4">
        <f>D43/1000000*52</f>
        <v/>
      </c>
      <c r="H43" s="33">
        <f>G43/$P$4+($C$22/$P$4)</f>
        <v/>
      </c>
      <c r="I43" s="29">
        <f>I$9*$A43</f>
        <v/>
      </c>
      <c r="J43" s="30">
        <f>I43*I$13</f>
        <v/>
      </c>
      <c r="K43" s="30">
        <f>L43*52</f>
        <v/>
      </c>
      <c r="L43" s="31">
        <f>L42+I$19</f>
        <v/>
      </c>
      <c r="M43" s="4">
        <f>J43/1000000*52</f>
        <v/>
      </c>
      <c r="N43" s="33">
        <f>M43/$P$4+($I$22/$P$4)</f>
        <v/>
      </c>
    </row>
    <row r="44" ht="15.75" customHeight="1" s="40">
      <c r="A44" s="39" t="n">
        <v>11</v>
      </c>
      <c r="B44" s="39" t="inlineStr">
        <is>
          <t>startup production</t>
        </is>
      </c>
      <c r="C44" s="29">
        <f>C$9*$A44</f>
        <v/>
      </c>
      <c r="D44" s="30">
        <f>D43+C$15*C$9</f>
        <v/>
      </c>
      <c r="E44" s="30">
        <f>F44*52</f>
        <v/>
      </c>
      <c r="F44" s="31">
        <f>C$17*$A44+C$21</f>
        <v/>
      </c>
      <c r="G44" s="4">
        <f>D44/1000000*52</f>
        <v/>
      </c>
      <c r="H44" s="33">
        <f>G44/$P$4+($C$22/$P$4)</f>
        <v/>
      </c>
      <c r="I44" s="29">
        <f>I$9*$A44</f>
        <v/>
      </c>
      <c r="J44" s="30">
        <f>J43+I$15*I$9</f>
        <v/>
      </c>
      <c r="K44" s="30">
        <f>L44*52</f>
        <v/>
      </c>
      <c r="L44" s="31">
        <f>I$17*$A44+I$21</f>
        <v/>
      </c>
      <c r="M44" s="4">
        <f>J44/1000000*52</f>
        <v/>
      </c>
      <c r="N44" s="33">
        <f>M44/$P$4+($I$22/$P$4)</f>
        <v/>
      </c>
    </row>
    <row r="45" ht="15.75" customHeight="1" s="40">
      <c r="A45" s="39" t="n">
        <v>11</v>
      </c>
      <c r="B45" s="39" t="inlineStr">
        <is>
          <t>full production</t>
        </is>
      </c>
      <c r="C45" s="29">
        <f>C$9*$A45</f>
        <v/>
      </c>
      <c r="D45" s="30">
        <f>C45*C$13</f>
        <v/>
      </c>
      <c r="E45" s="30">
        <f>F45*52</f>
        <v/>
      </c>
      <c r="F45" s="31">
        <f>F44+C$19</f>
        <v/>
      </c>
      <c r="G45" s="4">
        <f>D45/1000000*52</f>
        <v/>
      </c>
      <c r="H45" s="33">
        <f>G45/$P$4+($C$22/$P$4)</f>
        <v/>
      </c>
      <c r="I45" s="29">
        <f>I$9*$A45</f>
        <v/>
      </c>
      <c r="J45" s="30">
        <f>I45*I$13</f>
        <v/>
      </c>
      <c r="K45" s="30">
        <f>L45*52</f>
        <v/>
      </c>
      <c r="L45" s="31">
        <f>L44+I$19</f>
        <v/>
      </c>
      <c r="M45" s="4">
        <f>J45/1000000*52</f>
        <v/>
      </c>
      <c r="N45" s="33">
        <f>M45/$P$4+($I$22/$P$4)</f>
        <v/>
      </c>
    </row>
    <row r="46" ht="15.75" customHeight="1" s="40">
      <c r="A46" s="39" t="n">
        <v>12</v>
      </c>
      <c r="B46" s="39" t="inlineStr">
        <is>
          <t>startup production</t>
        </is>
      </c>
      <c r="C46" s="29">
        <f>C$9*$A46</f>
        <v/>
      </c>
      <c r="D46" s="30">
        <f>D45+C$15*C$9</f>
        <v/>
      </c>
      <c r="E46" s="30">
        <f>F46*52</f>
        <v/>
      </c>
      <c r="F46" s="31">
        <f>C$17*$A46+C$21</f>
        <v/>
      </c>
      <c r="G46" s="4">
        <f>D46/1000000*52</f>
        <v/>
      </c>
      <c r="H46" s="33">
        <f>G46/$P$4+($C$22/$P$4)</f>
        <v/>
      </c>
      <c r="I46" s="29">
        <f>I$9*$A46</f>
        <v/>
      </c>
      <c r="J46" s="30">
        <f>J45+I$15*I$9</f>
        <v/>
      </c>
      <c r="K46" s="30">
        <f>L46*52</f>
        <v/>
      </c>
      <c r="L46" s="31">
        <f>I$17*$A46+I$21</f>
        <v/>
      </c>
      <c r="M46" s="4">
        <f>J46/1000000*52</f>
        <v/>
      </c>
      <c r="N46" s="33">
        <f>M46/$P$4+($I$22/$P$4)</f>
        <v/>
      </c>
    </row>
    <row r="47" ht="15.75" customHeight="1" s="40">
      <c r="A47" s="39" t="n">
        <v>12</v>
      </c>
      <c r="B47" s="39" t="inlineStr">
        <is>
          <t>full production</t>
        </is>
      </c>
      <c r="C47" s="29">
        <f>C$9*$A47</f>
        <v/>
      </c>
      <c r="D47" s="30">
        <f>C47*C$13</f>
        <v/>
      </c>
      <c r="E47" s="30">
        <f>F47*52</f>
        <v/>
      </c>
      <c r="F47" s="31">
        <f>F46+C$19</f>
        <v/>
      </c>
      <c r="G47" s="4">
        <f>D47/1000000*52</f>
        <v/>
      </c>
      <c r="H47" s="33">
        <f>G47/$P$4+($C$22/$P$4)</f>
        <v/>
      </c>
      <c r="I47" s="29">
        <f>I$9*$A47</f>
        <v/>
      </c>
      <c r="J47" s="30">
        <f>I47*I$13</f>
        <v/>
      </c>
      <c r="K47" s="30">
        <f>L47*52</f>
        <v/>
      </c>
      <c r="L47" s="31">
        <f>L46+I$19</f>
        <v/>
      </c>
      <c r="M47" s="4">
        <f>J47/1000000*52</f>
        <v/>
      </c>
      <c r="N47" s="33">
        <f>M47/$P$4+($I$22/$P$4)</f>
        <v/>
      </c>
    </row>
    <row r="48" ht="15.75" customHeight="1" s="40">
      <c r="C48" s="45" t="n"/>
      <c r="D48" s="39" t="n"/>
      <c r="E48" s="39" t="n"/>
      <c r="F48" s="35" t="n"/>
      <c r="G48" s="39" t="n"/>
      <c r="H48" s="39" t="n"/>
      <c r="I48" s="45" t="n"/>
      <c r="J48" s="39" t="n"/>
      <c r="K48" s="39" t="n"/>
      <c r="L48" s="35" t="n"/>
      <c r="M48" s="39" t="n"/>
      <c r="N48" s="39" t="n"/>
      <c r="U48" t="inlineStr">
        <is>
          <t>MULTIPLE CHART DATA (includes pre-disruption = 1)</t>
        </is>
      </c>
    </row>
    <row r="49" ht="15.75" customHeight="1" s="40">
      <c r="C49" s="45" t="inlineStr">
        <is>
          <t>Plants</t>
        </is>
      </c>
      <c r="D49" s="39" t="inlineStr">
        <is>
          <t>tonnes/week</t>
        </is>
      </c>
      <c r="E49" s="39" t="inlineStr">
        <is>
          <t>Weeks</t>
        </is>
      </c>
      <c r="F49" s="35" t="inlineStr">
        <is>
          <t>Years</t>
        </is>
      </c>
      <c r="G49" s="39" t="inlineStr">
        <is>
          <t>Regular Construction</t>
        </is>
      </c>
      <c r="H49" s="39" t="inlineStr">
        <is>
          <t>Regular Construction</t>
        </is>
      </c>
      <c r="I49" s="45" t="inlineStr">
        <is>
          <t>Plants</t>
        </is>
      </c>
      <c r="J49" s="39" t="inlineStr">
        <is>
          <t>tonnes/week</t>
        </is>
      </c>
      <c r="K49" s="39" t="inlineStr">
        <is>
          <t>Weeks</t>
        </is>
      </c>
      <c r="L49" s="35" t="inlineStr">
        <is>
          <t>Years</t>
        </is>
      </c>
      <c r="M49" s="39" t="inlineStr">
        <is>
          <t>Fast Construction</t>
        </is>
      </c>
      <c r="N49" s="39" t="inlineStr">
        <is>
          <t>Fast Construction</t>
        </is>
      </c>
      <c r="U49" t="inlineStr">
        <is>
          <t>Years</t>
        </is>
      </c>
      <c r="V49" t="inlineStr">
        <is>
          <t>Regular Construction</t>
        </is>
      </c>
      <c r="W49" t="inlineStr">
        <is>
          <t>Fast Construction</t>
        </is>
      </c>
    </row>
    <row r="50" ht="15.75" customHeight="1" s="40">
      <c r="C50" s="24" t="n"/>
      <c r="D50" s="4" t="n"/>
      <c r="E50" s="39" t="n"/>
      <c r="F50" s="35" t="n"/>
      <c r="G50" s="39" t="inlineStr">
        <is>
          <t>new megatonnes/year</t>
        </is>
      </c>
      <c r="H50" s="13" t="inlineStr">
        <is>
          <t>Multiple of Current H2SO4 Production</t>
        </is>
      </c>
      <c r="I50" s="24" t="n"/>
      <c r="J50" s="4" t="n"/>
      <c r="K50" s="39" t="n"/>
      <c r="L50" s="35" t="n"/>
      <c r="M50" s="39" t="inlineStr">
        <is>
          <t>new megatonnes/year</t>
        </is>
      </c>
      <c r="N50" s="13" t="inlineStr">
        <is>
          <t>Multiple of Current H2SO4 Production</t>
        </is>
      </c>
      <c r="U50" t="n">
        <v>-0.25</v>
      </c>
      <c r="V50" t="n">
        <v>1</v>
      </c>
      <c r="W50" t="n">
        <v>1</v>
      </c>
    </row>
    <row r="51" ht="15.75" customHeight="1" s="40">
      <c r="C51" s="36">
        <f>_xlfn.IFS(E51&lt;E$24,0,E51&lt;E$26,C$24,E51&lt;E$28,C$26,E51&lt;E$30,C$28,E51&lt;E$32,C$30,E51&lt;E$34,C$32,E51&gt;=E$34,C$34)</f>
        <v/>
      </c>
      <c r="D51" s="37">
        <f>_xlfn.IFS(E51&lt;E$24,0,E51&lt;E$25,D$24,E51&lt;E$26,D$25,E51&lt;E$27,D$26,E51&lt;E$28,D$27,E51&lt;E$29,D$28,E51&lt;E$30,D$29,E51&lt;E$31,D$30,E51&lt;E$32,D$31,E51&lt;E$33,D$32,E51&lt;E$34,D$33,E51&lt;E$35,D$34,E51&gt;=E$35,D$35)</f>
        <v/>
      </c>
      <c r="E51" s="38" t="n">
        <v>1</v>
      </c>
      <c r="F51" s="31" t="n">
        <v>0</v>
      </c>
      <c r="G51" s="39">
        <f>D51/1000000*52</f>
        <v/>
      </c>
      <c r="H51" s="33">
        <f>G51/$P$4+($C$22/$P$4)</f>
        <v/>
      </c>
      <c r="I51" s="36">
        <f>_xlfn.IFS(K51&lt;K$24,0,K51&lt;K$26,I$24,K51&lt;K$28,I$26,K51&lt;K$30,I$28,K51&lt;K$32,I$30,K51&lt;K$34,I$32,K51&lt;K$36,I$34,K51&lt;K$38,I$36,K51&lt;K$40,I$38,K51&lt;K$42,I$40,K51&lt;K$44,I$42,K51&lt;K$46,I$44,K51&gt;=K$46,I$46)</f>
        <v/>
      </c>
      <c r="J51" s="37">
        <f>_xlfn.IFS(K51&lt;K$24,0,K51&lt;K$25,J$24,K51&lt;K$26,J$25,K51&lt;K$27,J$26,K51&lt;K$28,J$27,K51&lt;K$29,J$28,K51&lt;K$30,J$29,K51&lt;K$31,J$30,K51&lt;K$32,J$31,K51&lt;K$33,J$32,K51&lt;K$34,J$33,K51&lt;K$35,J$34,K51&lt;K$36,J$35,K51&lt;K$37,J$36,K51&lt;K$38,J$37,K51&lt;K$39,J$38,K51&lt;K$40,J$39,K51&lt;K$41,J$40,K51&lt;K$42,J$41,K51&lt;K$43,J$42,K51&lt;K$44,J$43,K51&lt;K$45,J$44,K51&lt;K$46,J$45,K51&lt;K$47,J$46,K51&gt;=K$47,J$47)</f>
        <v/>
      </c>
      <c r="K51" s="38" t="n">
        <v>1</v>
      </c>
      <c r="L51" s="31" t="n">
        <v>0</v>
      </c>
      <c r="M51" s="39">
        <f>J51/1000000*52</f>
        <v/>
      </c>
      <c r="N51" s="33">
        <f>M51/$P$4+($I$22/$P$4)</f>
        <v/>
      </c>
      <c r="U51" t="n">
        <v>0</v>
      </c>
      <c r="V51" t="n">
        <v>1</v>
      </c>
      <c r="W51" t="n">
        <v>1</v>
      </c>
    </row>
    <row r="52" ht="15.75" customHeight="1" s="40">
      <c r="C52" s="36">
        <f>_xlfn.IFS(E52&lt;E$24,0,E52&lt;E$26,C$24,E52&lt;E$28,C$26,E52&lt;E$30,C$28,E52&lt;E$32,C$30,E52&lt;E$34,C$32,E52&gt;=E$34,C$34)</f>
        <v/>
      </c>
      <c r="D52" s="37">
        <f>_xlfn.IFS(E52&lt;E$24,0,E52&lt;E$25,D$24,E52&lt;E$26,D$25,E52&lt;E$27,D$26,E52&lt;E$28,D$27,E52&lt;E$29,D$28,E52&lt;E$30,D$29,E52&lt;E$31,D$30,E52&lt;E$32,D$31,E52&lt;E$33,D$32,E52&lt;E$34,D$33,E52&lt;E$35,D$34,E52&gt;=E$35,D$35)</f>
        <v/>
      </c>
      <c r="E52" s="38" t="n">
        <v>2</v>
      </c>
      <c r="F52" s="31">
        <f>E52/52</f>
        <v/>
      </c>
      <c r="G52" s="39">
        <f>D52/1000000*52</f>
        <v/>
      </c>
      <c r="H52" s="33">
        <f>G52/$P$4+($C$22/$P$4)</f>
        <v/>
      </c>
      <c r="I52" s="36">
        <f>_xlfn.IFS(K52&lt;K$24,0,K52&lt;K$26,I$24,K52&lt;K$28,I$26,K52&lt;K$30,I$28,K52&lt;K$32,I$30,K52&lt;K$34,I$32,K52&lt;K$36,I$34,K52&lt;K$38,I$36,K52&lt;K$40,I$38,K52&lt;K$42,I$40,K52&lt;K$44,I$42,K52&lt;K$46,I$44,K52&gt;=K$46,I$46)</f>
        <v/>
      </c>
      <c r="J52" s="37">
        <f>_xlfn.IFS(K52&lt;K$24,0,K52&lt;K$25,J$24,K52&lt;K$26,J$25,K52&lt;K$27,J$26,K52&lt;K$28,J$27,K52&lt;K$29,J$28,K52&lt;K$30,J$29,K52&lt;K$31,J$30,K52&lt;K$32,J$31,K52&lt;K$33,J$32,K52&lt;K$34,J$33,K52&lt;K$35,J$34,K52&lt;K$36,J$35,K52&lt;K$37,J$36,K52&lt;K$38,J$37,K52&lt;K$39,J$38,K52&lt;K$40,J$39,K52&lt;K$41,J$40,K52&lt;K$42,J$41,K52&lt;K$43,J$42,K52&lt;K$44,J$43,K52&lt;K$45,J$44,K52&lt;K$46,J$45,K52&lt;K$47,J$46,K52&gt;=K$47,J$47)</f>
        <v/>
      </c>
      <c r="K52" s="38" t="n">
        <v>2</v>
      </c>
      <c r="L52" s="31">
        <f>K52/52</f>
        <v/>
      </c>
      <c r="M52" s="39">
        <f>J52/1000000*52</f>
        <v/>
      </c>
      <c r="N52" s="33">
        <f>M52/$P$4+($I$22/$P$4)</f>
        <v/>
      </c>
      <c r="U52">
        <f>F51</f>
        <v/>
      </c>
      <c r="V52">
        <f>H51</f>
        <v/>
      </c>
      <c r="W52">
        <f>N51</f>
        <v/>
      </c>
    </row>
    <row r="53" ht="15.75" customHeight="1" s="40">
      <c r="C53" s="36">
        <f>_xlfn.IFS(E53&lt;E$24,0,E53&lt;E$26,C$24,E53&lt;E$28,C$26,E53&lt;E$30,C$28,E53&lt;E$32,C$30,E53&lt;E$34,C$32,E53&gt;=E$34,C$34)</f>
        <v/>
      </c>
      <c r="D53" s="37">
        <f>_xlfn.IFS(E53&lt;E$24,0,E53&lt;E$25,D$24,E53&lt;E$26,D$25,E53&lt;E$27,D$26,E53&lt;E$28,D$27,E53&lt;E$29,D$28,E53&lt;E$30,D$29,E53&lt;E$31,D$30,E53&lt;E$32,D$31,E53&lt;E$33,D$32,E53&lt;E$34,D$33,E53&lt;E$35,D$34,E53&gt;=E$35,D$35)</f>
        <v/>
      </c>
      <c r="E53" s="38" t="n">
        <v>3</v>
      </c>
      <c r="F53" s="31">
        <f>E53/52</f>
        <v/>
      </c>
      <c r="G53" s="39">
        <f>D53/1000000*52</f>
        <v/>
      </c>
      <c r="H53" s="33">
        <f>G53/$P$4+($C$22/$P$4)</f>
        <v/>
      </c>
      <c r="I53" s="36">
        <f>_xlfn.IFS(K53&lt;K$24,0,K53&lt;K$26,I$24,K53&lt;K$28,I$26,K53&lt;K$30,I$28,K53&lt;K$32,I$30,K53&lt;K$34,I$32,K53&lt;K$36,I$34,K53&lt;K$38,I$36,K53&lt;K$40,I$38,K53&lt;K$42,I$40,K53&lt;K$44,I$42,K53&lt;K$46,I$44,K53&gt;=K$46,I$46)</f>
        <v/>
      </c>
      <c r="J53" s="37">
        <f>_xlfn.IFS(K53&lt;K$24,0,K53&lt;K$25,J$24,K53&lt;K$26,J$25,K53&lt;K$27,J$26,K53&lt;K$28,J$27,K53&lt;K$29,J$28,K53&lt;K$30,J$29,K53&lt;K$31,J$30,K53&lt;K$32,J$31,K53&lt;K$33,J$32,K53&lt;K$34,J$33,K53&lt;K$35,J$34,K53&lt;K$36,J$35,K53&lt;K$37,J$36,K53&lt;K$38,J$37,K53&lt;K$39,J$38,K53&lt;K$40,J$39,K53&lt;K$41,J$40,K53&lt;K$42,J$41,K53&lt;K$43,J$42,K53&lt;K$44,J$43,K53&lt;K$45,J$44,K53&lt;K$46,J$45,K53&lt;K$47,J$46,K53&gt;=K$47,J$47)</f>
        <v/>
      </c>
      <c r="K53" s="38" t="n">
        <v>3</v>
      </c>
      <c r="L53" s="31">
        <f>K53/52</f>
        <v/>
      </c>
      <c r="M53" s="39">
        <f>J53/1000000*52</f>
        <v/>
      </c>
      <c r="N53" s="33">
        <f>M53/$P$4+($I$22/$P$4)</f>
        <v/>
      </c>
      <c r="U53">
        <f>F52</f>
        <v/>
      </c>
      <c r="V53">
        <f>H52</f>
        <v/>
      </c>
      <c r="W53">
        <f>N52</f>
        <v/>
      </c>
    </row>
    <row r="54" ht="15.75" customHeight="1" s="40">
      <c r="C54" s="36">
        <f>_xlfn.IFS(E54&lt;E$24,0,E54&lt;E$26,C$24,E54&lt;E$28,C$26,E54&lt;E$30,C$28,E54&lt;E$32,C$30,E54&lt;E$34,C$32,E54&gt;=E$34,C$34)</f>
        <v/>
      </c>
      <c r="D54" s="37">
        <f>_xlfn.IFS(E54&lt;E$24,0,E54&lt;E$25,D$24,E54&lt;E$26,D$25,E54&lt;E$27,D$26,E54&lt;E$28,D$27,E54&lt;E$29,D$28,E54&lt;E$30,D$29,E54&lt;E$31,D$30,E54&lt;E$32,D$31,E54&lt;E$33,D$32,E54&lt;E$34,D$33,E54&lt;E$35,D$34,E54&gt;=E$35,D$35)</f>
        <v/>
      </c>
      <c r="E54" s="38" t="n">
        <v>4</v>
      </c>
      <c r="F54" s="31">
        <f>E54/52</f>
        <v/>
      </c>
      <c r="G54" s="39">
        <f>D54/1000000*52</f>
        <v/>
      </c>
      <c r="H54" s="33">
        <f>G54/$P$4+($C$22/$P$4)</f>
        <v/>
      </c>
      <c r="I54" s="36">
        <f>_xlfn.IFS(K54&lt;K$24,0,K54&lt;K$26,I$24,K54&lt;K$28,I$26,K54&lt;K$30,I$28,K54&lt;K$32,I$30,K54&lt;K$34,I$32,K54&lt;K$36,I$34,K54&lt;K$38,I$36,K54&lt;K$40,I$38,K54&lt;K$42,I$40,K54&lt;K$44,I$42,K54&lt;K$46,I$44,K54&gt;=K$46,I$46)</f>
        <v/>
      </c>
      <c r="J54" s="37">
        <f>_xlfn.IFS(K54&lt;K$24,0,K54&lt;K$25,J$24,K54&lt;K$26,J$25,K54&lt;K$27,J$26,K54&lt;K$28,J$27,K54&lt;K$29,J$28,K54&lt;K$30,J$29,K54&lt;K$31,J$30,K54&lt;K$32,J$31,K54&lt;K$33,J$32,K54&lt;K$34,J$33,K54&lt;K$35,J$34,K54&lt;K$36,J$35,K54&lt;K$37,J$36,K54&lt;K$38,J$37,K54&lt;K$39,J$38,K54&lt;K$40,J$39,K54&lt;K$41,J$40,K54&lt;K$42,J$41,K54&lt;K$43,J$42,K54&lt;K$44,J$43,K54&lt;K$45,J$44,K54&lt;K$46,J$45,K54&lt;K$47,J$46,K54&gt;=K$47,J$47)</f>
        <v/>
      </c>
      <c r="K54" s="38" t="n">
        <v>4</v>
      </c>
      <c r="L54" s="31">
        <f>K54/52</f>
        <v/>
      </c>
      <c r="M54" s="39">
        <f>J54/1000000*52</f>
        <v/>
      </c>
      <c r="N54" s="33">
        <f>M54/$P$4+($I$22/$P$4)</f>
        <v/>
      </c>
      <c r="U54">
        <f>F53</f>
        <v/>
      </c>
      <c r="V54">
        <f>H53</f>
        <v/>
      </c>
      <c r="W54">
        <f>N53</f>
        <v/>
      </c>
    </row>
    <row r="55" ht="15.75" customHeight="1" s="40">
      <c r="C55" s="36">
        <f>_xlfn.IFS(E55&lt;E$24,0,E55&lt;E$26,C$24,E55&lt;E$28,C$26,E55&lt;E$30,C$28,E55&lt;E$32,C$30,E55&lt;E$34,C$32,E55&gt;=E$34,C$34)</f>
        <v/>
      </c>
      <c r="D55" s="37">
        <f>_xlfn.IFS(E55&lt;E$24,0,E55&lt;E$25,D$24,E55&lt;E$26,D$25,E55&lt;E$27,D$26,E55&lt;E$28,D$27,E55&lt;E$29,D$28,E55&lt;E$30,D$29,E55&lt;E$31,D$30,E55&lt;E$32,D$31,E55&lt;E$33,D$32,E55&lt;E$34,D$33,E55&lt;E$35,D$34,E55&gt;=E$35,D$35)</f>
        <v/>
      </c>
      <c r="E55" s="38" t="n">
        <v>5</v>
      </c>
      <c r="F55" s="31">
        <f>E55/52</f>
        <v/>
      </c>
      <c r="G55" s="39">
        <f>D55/1000000*52</f>
        <v/>
      </c>
      <c r="H55" s="33">
        <f>G55/$P$4+($C$22/$P$4)</f>
        <v/>
      </c>
      <c r="I55" s="36">
        <f>_xlfn.IFS(K55&lt;K$24,0,K55&lt;K$26,I$24,K55&lt;K$28,I$26,K55&lt;K$30,I$28,K55&lt;K$32,I$30,K55&lt;K$34,I$32,K55&lt;K$36,I$34,K55&lt;K$38,I$36,K55&lt;K$40,I$38,K55&lt;K$42,I$40,K55&lt;K$44,I$42,K55&lt;K$46,I$44,K55&gt;=K$46,I$46)</f>
        <v/>
      </c>
      <c r="J55" s="37">
        <f>_xlfn.IFS(K55&lt;K$24,0,K55&lt;K$25,J$24,K55&lt;K$26,J$25,K55&lt;K$27,J$26,K55&lt;K$28,J$27,K55&lt;K$29,J$28,K55&lt;K$30,J$29,K55&lt;K$31,J$30,K55&lt;K$32,J$31,K55&lt;K$33,J$32,K55&lt;K$34,J$33,K55&lt;K$35,J$34,K55&lt;K$36,J$35,K55&lt;K$37,J$36,K55&lt;K$38,J$37,K55&lt;K$39,J$38,K55&lt;K$40,J$39,K55&lt;K$41,J$40,K55&lt;K$42,J$41,K55&lt;K$43,J$42,K55&lt;K$44,J$43,K55&lt;K$45,J$44,K55&lt;K$46,J$45,K55&lt;K$47,J$46,K55&gt;=K$47,J$47)</f>
        <v/>
      </c>
      <c r="K55" s="38" t="n">
        <v>5</v>
      </c>
      <c r="L55" s="31">
        <f>K55/52</f>
        <v/>
      </c>
      <c r="M55" s="39">
        <f>J55/1000000*52</f>
        <v/>
      </c>
      <c r="N55" s="33">
        <f>M55/$P$4+($I$22/$P$4)</f>
        <v/>
      </c>
      <c r="U55">
        <f>F54</f>
        <v/>
      </c>
      <c r="V55">
        <f>H54</f>
        <v/>
      </c>
      <c r="W55">
        <f>N54</f>
        <v/>
      </c>
    </row>
    <row r="56" ht="15.75" customHeight="1" s="40">
      <c r="C56" s="36">
        <f>_xlfn.IFS(E56&lt;E$24,0,E56&lt;E$26,C$24,E56&lt;E$28,C$26,E56&lt;E$30,C$28,E56&lt;E$32,C$30,E56&lt;E$34,C$32,E56&gt;=E$34,C$34)</f>
        <v/>
      </c>
      <c r="D56" s="37">
        <f>_xlfn.IFS(E56&lt;E$24,0,E56&lt;E$25,D$24,E56&lt;E$26,D$25,E56&lt;E$27,D$26,E56&lt;E$28,D$27,E56&lt;E$29,D$28,E56&lt;E$30,D$29,E56&lt;E$31,D$30,E56&lt;E$32,D$31,E56&lt;E$33,D$32,E56&lt;E$34,D$33,E56&lt;E$35,D$34,E56&gt;=E$35,D$35)</f>
        <v/>
      </c>
      <c r="E56" s="38" t="n">
        <v>6</v>
      </c>
      <c r="F56" s="31">
        <f>E56/52</f>
        <v/>
      </c>
      <c r="G56" s="39">
        <f>D56/1000000*52</f>
        <v/>
      </c>
      <c r="H56" s="33">
        <f>G56/$P$4+($C$22/$P$4)</f>
        <v/>
      </c>
      <c r="I56" s="36">
        <f>_xlfn.IFS(K56&lt;K$24,0,K56&lt;K$26,I$24,K56&lt;K$28,I$26,K56&lt;K$30,I$28,K56&lt;K$32,I$30,K56&lt;K$34,I$32,K56&lt;K$36,I$34,K56&lt;K$38,I$36,K56&lt;K$40,I$38,K56&lt;K$42,I$40,K56&lt;K$44,I$42,K56&lt;K$46,I$44,K56&gt;=K$46,I$46)</f>
        <v/>
      </c>
      <c r="J56" s="37">
        <f>_xlfn.IFS(K56&lt;K$24,0,K56&lt;K$25,J$24,K56&lt;K$26,J$25,K56&lt;K$27,J$26,K56&lt;K$28,J$27,K56&lt;K$29,J$28,K56&lt;K$30,J$29,K56&lt;K$31,J$30,K56&lt;K$32,J$31,K56&lt;K$33,J$32,K56&lt;K$34,J$33,K56&lt;K$35,J$34,K56&lt;K$36,J$35,K56&lt;K$37,J$36,K56&lt;K$38,J$37,K56&lt;K$39,J$38,K56&lt;K$40,J$39,K56&lt;K$41,J$40,K56&lt;K$42,J$41,K56&lt;K$43,J$42,K56&lt;K$44,J$43,K56&lt;K$45,J$44,K56&lt;K$46,J$45,K56&lt;K$47,J$46,K56&gt;=K$47,J$47)</f>
        <v/>
      </c>
      <c r="K56" s="38" t="n">
        <v>6</v>
      </c>
      <c r="L56" s="31">
        <f>K56/52</f>
        <v/>
      </c>
      <c r="M56" s="39">
        <f>J56/1000000*52</f>
        <v/>
      </c>
      <c r="N56" s="33">
        <f>M56/$P$4+($I$22/$P$4)</f>
        <v/>
      </c>
      <c r="U56">
        <f>F55</f>
        <v/>
      </c>
      <c r="V56">
        <f>H55</f>
        <v/>
      </c>
      <c r="W56">
        <f>N55</f>
        <v/>
      </c>
    </row>
    <row r="57" ht="15.75" customHeight="1" s="40">
      <c r="C57" s="36">
        <f>_xlfn.IFS(E57&lt;E$24,0,E57&lt;E$26,C$24,E57&lt;E$28,C$26,E57&lt;E$30,C$28,E57&lt;E$32,C$30,E57&lt;E$34,C$32,E57&gt;=E$34,C$34)</f>
        <v/>
      </c>
      <c r="D57" s="37">
        <f>_xlfn.IFS(E57&lt;E$24,0,E57&lt;E$25,D$24,E57&lt;E$26,D$25,E57&lt;E$27,D$26,E57&lt;E$28,D$27,E57&lt;E$29,D$28,E57&lt;E$30,D$29,E57&lt;E$31,D$30,E57&lt;E$32,D$31,E57&lt;E$33,D$32,E57&lt;E$34,D$33,E57&lt;E$35,D$34,E57&gt;=E$35,D$35)</f>
        <v/>
      </c>
      <c r="E57" s="38" t="n">
        <v>7</v>
      </c>
      <c r="F57" s="31">
        <f>E57/52</f>
        <v/>
      </c>
      <c r="G57" s="39">
        <f>D57/1000000*52</f>
        <v/>
      </c>
      <c r="H57" s="33">
        <f>G57/$P$4+($C$22/$P$4)</f>
        <v/>
      </c>
      <c r="I57" s="36">
        <f>_xlfn.IFS(K57&lt;K$24,0,K57&lt;K$26,I$24,K57&lt;K$28,I$26,K57&lt;K$30,I$28,K57&lt;K$32,I$30,K57&lt;K$34,I$32,K57&lt;K$36,I$34,K57&lt;K$38,I$36,K57&lt;K$40,I$38,K57&lt;K$42,I$40,K57&lt;K$44,I$42,K57&lt;K$46,I$44,K57&gt;=K$46,I$46)</f>
        <v/>
      </c>
      <c r="J57" s="37">
        <f>_xlfn.IFS(K57&lt;K$24,0,K57&lt;K$25,J$24,K57&lt;K$26,J$25,K57&lt;K$27,J$26,K57&lt;K$28,J$27,K57&lt;K$29,J$28,K57&lt;K$30,J$29,K57&lt;K$31,J$30,K57&lt;K$32,J$31,K57&lt;K$33,J$32,K57&lt;K$34,J$33,K57&lt;K$35,J$34,K57&lt;K$36,J$35,K57&lt;K$37,J$36,K57&lt;K$38,J$37,K57&lt;K$39,J$38,K57&lt;K$40,J$39,K57&lt;K$41,J$40,K57&lt;K$42,J$41,K57&lt;K$43,J$42,K57&lt;K$44,J$43,K57&lt;K$45,J$44,K57&lt;K$46,J$45,K57&lt;K$47,J$46,K57&gt;=K$47,J$47)</f>
        <v/>
      </c>
      <c r="K57" s="38" t="n">
        <v>7</v>
      </c>
      <c r="L57" s="31">
        <f>K57/52</f>
        <v/>
      </c>
      <c r="M57" s="39">
        <f>J57/1000000*52</f>
        <v/>
      </c>
      <c r="N57" s="33">
        <f>M57/$P$4+($I$22/$P$4)</f>
        <v/>
      </c>
      <c r="U57">
        <f>F56</f>
        <v/>
      </c>
      <c r="V57">
        <f>H56</f>
        <v/>
      </c>
      <c r="W57">
        <f>N56</f>
        <v/>
      </c>
    </row>
    <row r="58" ht="15.75" customHeight="1" s="40">
      <c r="C58" s="36">
        <f>_xlfn.IFS(E58&lt;E$24,0,E58&lt;E$26,C$24,E58&lt;E$28,C$26,E58&lt;E$30,C$28,E58&lt;E$32,C$30,E58&lt;E$34,C$32,E58&gt;=E$34,C$34)</f>
        <v/>
      </c>
      <c r="D58" s="37">
        <f>_xlfn.IFS(E58&lt;E$24,0,E58&lt;E$25,D$24,E58&lt;E$26,D$25,E58&lt;E$27,D$26,E58&lt;E$28,D$27,E58&lt;E$29,D$28,E58&lt;E$30,D$29,E58&lt;E$31,D$30,E58&lt;E$32,D$31,E58&lt;E$33,D$32,E58&lt;E$34,D$33,E58&lt;E$35,D$34,E58&gt;=E$35,D$35)</f>
        <v/>
      </c>
      <c r="E58" s="38" t="n">
        <v>8</v>
      </c>
      <c r="F58" s="31">
        <f>E58/52</f>
        <v/>
      </c>
      <c r="G58" s="39">
        <f>D58/1000000*52</f>
        <v/>
      </c>
      <c r="H58" s="33">
        <f>G58/$P$4+($C$22/$P$4)</f>
        <v/>
      </c>
      <c r="I58" s="36">
        <f>_xlfn.IFS(K58&lt;K$24,0,K58&lt;K$26,I$24,K58&lt;K$28,I$26,K58&lt;K$30,I$28,K58&lt;K$32,I$30,K58&lt;K$34,I$32,K58&lt;K$36,I$34,K58&lt;K$38,I$36,K58&lt;K$40,I$38,K58&lt;K$42,I$40,K58&lt;K$44,I$42,K58&lt;K$46,I$44,K58&gt;=K$46,I$46)</f>
        <v/>
      </c>
      <c r="J58" s="37">
        <f>_xlfn.IFS(K58&lt;K$24,0,K58&lt;K$25,J$24,K58&lt;K$26,J$25,K58&lt;K$27,J$26,K58&lt;K$28,J$27,K58&lt;K$29,J$28,K58&lt;K$30,J$29,K58&lt;K$31,J$30,K58&lt;K$32,J$31,K58&lt;K$33,J$32,K58&lt;K$34,J$33,K58&lt;K$35,J$34,K58&lt;K$36,J$35,K58&lt;K$37,J$36,K58&lt;K$38,J$37,K58&lt;K$39,J$38,K58&lt;K$40,J$39,K58&lt;K$41,J$40,K58&lt;K$42,J$41,K58&lt;K$43,J$42,K58&lt;K$44,J$43,K58&lt;K$45,J$44,K58&lt;K$46,J$45,K58&lt;K$47,J$46,K58&gt;=K$47,J$47)</f>
        <v/>
      </c>
      <c r="K58" s="38" t="n">
        <v>8</v>
      </c>
      <c r="L58" s="31">
        <f>K58/52</f>
        <v/>
      </c>
      <c r="M58" s="39">
        <f>J58/1000000*52</f>
        <v/>
      </c>
      <c r="N58" s="33">
        <f>M58/$P$4+($I$22/$P$4)</f>
        <v/>
      </c>
      <c r="U58">
        <f>F57</f>
        <v/>
      </c>
      <c r="V58">
        <f>H57</f>
        <v/>
      </c>
      <c r="W58">
        <f>N57</f>
        <v/>
      </c>
    </row>
    <row r="59" ht="15.75" customHeight="1" s="40">
      <c r="C59" s="36">
        <f>_xlfn.IFS(E59&lt;E$24,0,E59&lt;E$26,C$24,E59&lt;E$28,C$26,E59&lt;E$30,C$28,E59&lt;E$32,C$30,E59&lt;E$34,C$32,E59&gt;=E$34,C$34)</f>
        <v/>
      </c>
      <c r="D59" s="37">
        <f>_xlfn.IFS(E59&lt;E$24,0,E59&lt;E$25,D$24,E59&lt;E$26,D$25,E59&lt;E$27,D$26,E59&lt;E$28,D$27,E59&lt;E$29,D$28,E59&lt;E$30,D$29,E59&lt;E$31,D$30,E59&lt;E$32,D$31,E59&lt;E$33,D$32,E59&lt;E$34,D$33,E59&lt;E$35,D$34,E59&gt;=E$35,D$35)</f>
        <v/>
      </c>
      <c r="E59" s="38" t="n">
        <v>9</v>
      </c>
      <c r="F59" s="31">
        <f>E59/52</f>
        <v/>
      </c>
      <c r="G59" s="39">
        <f>D59/1000000*52</f>
        <v/>
      </c>
      <c r="H59" s="33">
        <f>G59/$P$4+($C$22/$P$4)</f>
        <v/>
      </c>
      <c r="I59" s="36">
        <f>_xlfn.IFS(K59&lt;K$24,0,K59&lt;K$26,I$24,K59&lt;K$28,I$26,K59&lt;K$30,I$28,K59&lt;K$32,I$30,K59&lt;K$34,I$32,K59&lt;K$36,I$34,K59&lt;K$38,I$36,K59&lt;K$40,I$38,K59&lt;K$42,I$40,K59&lt;K$44,I$42,K59&lt;K$46,I$44,K59&gt;=K$46,I$46)</f>
        <v/>
      </c>
      <c r="J59" s="37">
        <f>_xlfn.IFS(K59&lt;K$24,0,K59&lt;K$25,J$24,K59&lt;K$26,J$25,K59&lt;K$27,J$26,K59&lt;K$28,J$27,K59&lt;K$29,J$28,K59&lt;K$30,J$29,K59&lt;K$31,J$30,K59&lt;K$32,J$31,K59&lt;K$33,J$32,K59&lt;K$34,J$33,K59&lt;K$35,J$34,K59&lt;K$36,J$35,K59&lt;K$37,J$36,K59&lt;K$38,J$37,K59&lt;K$39,J$38,K59&lt;K$40,J$39,K59&lt;K$41,J$40,K59&lt;K$42,J$41,K59&lt;K$43,J$42,K59&lt;K$44,J$43,K59&lt;K$45,J$44,K59&lt;K$46,J$45,K59&lt;K$47,J$46,K59&gt;=K$47,J$47)</f>
        <v/>
      </c>
      <c r="K59" s="38" t="n">
        <v>9</v>
      </c>
      <c r="L59" s="31">
        <f>K59/52</f>
        <v/>
      </c>
      <c r="M59" s="39">
        <f>J59/1000000*52</f>
        <v/>
      </c>
      <c r="N59" s="33">
        <f>M59/$P$4+($I$22/$P$4)</f>
        <v/>
      </c>
      <c r="U59">
        <f>F58</f>
        <v/>
      </c>
      <c r="V59">
        <f>H58</f>
        <v/>
      </c>
      <c r="W59">
        <f>N58</f>
        <v/>
      </c>
    </row>
    <row r="60" ht="15.75" customHeight="1" s="40">
      <c r="C60" s="36">
        <f>_xlfn.IFS(E60&lt;E$24,0,E60&lt;E$26,C$24,E60&lt;E$28,C$26,E60&lt;E$30,C$28,E60&lt;E$32,C$30,E60&lt;E$34,C$32,E60&gt;=E$34,C$34)</f>
        <v/>
      </c>
      <c r="D60" s="37">
        <f>_xlfn.IFS(E60&lt;E$24,0,E60&lt;E$25,D$24,E60&lt;E$26,D$25,E60&lt;E$27,D$26,E60&lt;E$28,D$27,E60&lt;E$29,D$28,E60&lt;E$30,D$29,E60&lt;E$31,D$30,E60&lt;E$32,D$31,E60&lt;E$33,D$32,E60&lt;E$34,D$33,E60&lt;E$35,D$34,E60&gt;=E$35,D$35)</f>
        <v/>
      </c>
      <c r="E60" s="38" t="n">
        <v>10</v>
      </c>
      <c r="F60" s="31">
        <f>E60/52</f>
        <v/>
      </c>
      <c r="G60" s="39">
        <f>D60/1000000*52</f>
        <v/>
      </c>
      <c r="H60" s="33">
        <f>G60/$P$4+($C$22/$P$4)</f>
        <v/>
      </c>
      <c r="I60" s="36">
        <f>_xlfn.IFS(K60&lt;K$24,0,K60&lt;K$26,I$24,K60&lt;K$28,I$26,K60&lt;K$30,I$28,K60&lt;K$32,I$30,K60&lt;K$34,I$32,K60&lt;K$36,I$34,K60&lt;K$38,I$36,K60&lt;K$40,I$38,K60&lt;K$42,I$40,K60&lt;K$44,I$42,K60&lt;K$46,I$44,K60&gt;=K$46,I$46)</f>
        <v/>
      </c>
      <c r="J60" s="37">
        <f>_xlfn.IFS(K60&lt;K$24,0,K60&lt;K$25,J$24,K60&lt;K$26,J$25,K60&lt;K$27,J$26,K60&lt;K$28,J$27,K60&lt;K$29,J$28,K60&lt;K$30,J$29,K60&lt;K$31,J$30,K60&lt;K$32,J$31,K60&lt;K$33,J$32,K60&lt;K$34,J$33,K60&lt;K$35,J$34,K60&lt;K$36,J$35,K60&lt;K$37,J$36,K60&lt;K$38,J$37,K60&lt;K$39,J$38,K60&lt;K$40,J$39,K60&lt;K$41,J$40,K60&lt;K$42,J$41,K60&lt;K$43,J$42,K60&lt;K$44,J$43,K60&lt;K$45,J$44,K60&lt;K$46,J$45,K60&lt;K$47,J$46,K60&gt;=K$47,J$47)</f>
        <v/>
      </c>
      <c r="K60" s="38" t="n">
        <v>10</v>
      </c>
      <c r="L60" s="31">
        <f>K60/52</f>
        <v/>
      </c>
      <c r="M60" s="39">
        <f>J60/1000000*52</f>
        <v/>
      </c>
      <c r="N60" s="33">
        <f>M60/$P$4+($I$22/$P$4)</f>
        <v/>
      </c>
      <c r="U60">
        <f>F59</f>
        <v/>
      </c>
      <c r="V60">
        <f>H59</f>
        <v/>
      </c>
      <c r="W60">
        <f>N59</f>
        <v/>
      </c>
    </row>
    <row r="61" ht="15.75" customHeight="1" s="40">
      <c r="C61" s="36">
        <f>_xlfn.IFS(E61&lt;E$24,0,E61&lt;E$26,C$24,E61&lt;E$28,C$26,E61&lt;E$30,C$28,E61&lt;E$32,C$30,E61&lt;E$34,C$32,E61&gt;=E$34,C$34)</f>
        <v/>
      </c>
      <c r="D61" s="37">
        <f>_xlfn.IFS(E61&lt;E$24,0,E61&lt;E$25,D$24,E61&lt;E$26,D$25,E61&lt;E$27,D$26,E61&lt;E$28,D$27,E61&lt;E$29,D$28,E61&lt;E$30,D$29,E61&lt;E$31,D$30,E61&lt;E$32,D$31,E61&lt;E$33,D$32,E61&lt;E$34,D$33,E61&lt;E$35,D$34,E61&gt;=E$35,D$35)</f>
        <v/>
      </c>
      <c r="E61" s="38" t="n">
        <v>11</v>
      </c>
      <c r="F61" s="31">
        <f>E61/52</f>
        <v/>
      </c>
      <c r="G61" s="39">
        <f>D61/1000000*52</f>
        <v/>
      </c>
      <c r="H61" s="33">
        <f>G61/$P$4+($C$22/$P$4)</f>
        <v/>
      </c>
      <c r="I61" s="36">
        <f>_xlfn.IFS(K61&lt;K$24,0,K61&lt;K$26,I$24,K61&lt;K$28,I$26,K61&lt;K$30,I$28,K61&lt;K$32,I$30,K61&lt;K$34,I$32,K61&lt;K$36,I$34,K61&lt;K$38,I$36,K61&lt;K$40,I$38,K61&lt;K$42,I$40,K61&lt;K$44,I$42,K61&lt;K$46,I$44,K61&gt;=K$46,I$46)</f>
        <v/>
      </c>
      <c r="J61" s="37">
        <f>_xlfn.IFS(K61&lt;K$24,0,K61&lt;K$25,J$24,K61&lt;K$26,J$25,K61&lt;K$27,J$26,K61&lt;K$28,J$27,K61&lt;K$29,J$28,K61&lt;K$30,J$29,K61&lt;K$31,J$30,K61&lt;K$32,J$31,K61&lt;K$33,J$32,K61&lt;K$34,J$33,K61&lt;K$35,J$34,K61&lt;K$36,J$35,K61&lt;K$37,J$36,K61&lt;K$38,J$37,K61&lt;K$39,J$38,K61&lt;K$40,J$39,K61&lt;K$41,J$40,K61&lt;K$42,J$41,K61&lt;K$43,J$42,K61&lt;K$44,J$43,K61&lt;K$45,J$44,K61&lt;K$46,J$45,K61&lt;K$47,J$46,K61&gt;=K$47,J$47)</f>
        <v/>
      </c>
      <c r="K61" s="38" t="n">
        <v>11</v>
      </c>
      <c r="L61" s="31">
        <f>K61/52</f>
        <v/>
      </c>
      <c r="M61" s="39">
        <f>J61/1000000*52</f>
        <v/>
      </c>
      <c r="N61" s="33">
        <f>M61/$P$4+($I$22/$P$4)</f>
        <v/>
      </c>
      <c r="U61">
        <f>F60</f>
        <v/>
      </c>
      <c r="V61">
        <f>H60</f>
        <v/>
      </c>
      <c r="W61">
        <f>N60</f>
        <v/>
      </c>
    </row>
    <row r="62" ht="15.75" customHeight="1" s="40">
      <c r="C62" s="36">
        <f>_xlfn.IFS(E62&lt;E$24,0,E62&lt;E$26,C$24,E62&lt;E$28,C$26,E62&lt;E$30,C$28,E62&lt;E$32,C$30,E62&lt;E$34,C$32,E62&gt;=E$34,C$34)</f>
        <v/>
      </c>
      <c r="D62" s="37">
        <f>_xlfn.IFS(E62&lt;E$24,0,E62&lt;E$25,D$24,E62&lt;E$26,D$25,E62&lt;E$27,D$26,E62&lt;E$28,D$27,E62&lt;E$29,D$28,E62&lt;E$30,D$29,E62&lt;E$31,D$30,E62&lt;E$32,D$31,E62&lt;E$33,D$32,E62&lt;E$34,D$33,E62&lt;E$35,D$34,E62&gt;=E$35,D$35)</f>
        <v/>
      </c>
      <c r="E62" s="38" t="n">
        <v>12</v>
      </c>
      <c r="F62" s="31">
        <f>E62/52</f>
        <v/>
      </c>
      <c r="G62" s="39">
        <f>D62/1000000*52</f>
        <v/>
      </c>
      <c r="H62" s="33">
        <f>G62/$P$4+($C$22/$P$4)</f>
        <v/>
      </c>
      <c r="I62" s="36">
        <f>_xlfn.IFS(K62&lt;K$24,0,K62&lt;K$26,I$24,K62&lt;K$28,I$26,K62&lt;K$30,I$28,K62&lt;K$32,I$30,K62&lt;K$34,I$32,K62&lt;K$36,I$34,K62&lt;K$38,I$36,K62&lt;K$40,I$38,K62&lt;K$42,I$40,K62&lt;K$44,I$42,K62&lt;K$46,I$44,K62&gt;=K$46,I$46)</f>
        <v/>
      </c>
      <c r="J62" s="37">
        <f>_xlfn.IFS(K62&lt;K$24,0,K62&lt;K$25,J$24,K62&lt;K$26,J$25,K62&lt;K$27,J$26,K62&lt;K$28,J$27,K62&lt;K$29,J$28,K62&lt;K$30,J$29,K62&lt;K$31,J$30,K62&lt;K$32,J$31,K62&lt;K$33,J$32,K62&lt;K$34,J$33,K62&lt;K$35,J$34,K62&lt;K$36,J$35,K62&lt;K$37,J$36,K62&lt;K$38,J$37,K62&lt;K$39,J$38,K62&lt;K$40,J$39,K62&lt;K$41,J$40,K62&lt;K$42,J$41,K62&lt;K$43,J$42,K62&lt;K$44,J$43,K62&lt;K$45,J$44,K62&lt;K$46,J$45,K62&lt;K$47,J$46,K62&gt;=K$47,J$47)</f>
        <v/>
      </c>
      <c r="K62" s="38" t="n">
        <v>12</v>
      </c>
      <c r="L62" s="31">
        <f>K62/52</f>
        <v/>
      </c>
      <c r="M62" s="39">
        <f>J62/1000000*52</f>
        <v/>
      </c>
      <c r="N62" s="33">
        <f>M62/$P$4+($I$22/$P$4)</f>
        <v/>
      </c>
      <c r="U62">
        <f>F61</f>
        <v/>
      </c>
      <c r="V62">
        <f>H61</f>
        <v/>
      </c>
      <c r="W62">
        <f>N61</f>
        <v/>
      </c>
    </row>
    <row r="63" ht="15.75" customHeight="1" s="40">
      <c r="C63" s="36">
        <f>_xlfn.IFS(E63&lt;E$24,0,E63&lt;E$26,C$24,E63&lt;E$28,C$26,E63&lt;E$30,C$28,E63&lt;E$32,C$30,E63&lt;E$34,C$32,E63&gt;=E$34,C$34)</f>
        <v/>
      </c>
      <c r="D63" s="37">
        <f>_xlfn.IFS(E63&lt;E$24,0,E63&lt;E$25,D$24,E63&lt;E$26,D$25,E63&lt;E$27,D$26,E63&lt;E$28,D$27,E63&lt;E$29,D$28,E63&lt;E$30,D$29,E63&lt;E$31,D$30,E63&lt;E$32,D$31,E63&lt;E$33,D$32,E63&lt;E$34,D$33,E63&lt;E$35,D$34,E63&gt;=E$35,D$35)</f>
        <v/>
      </c>
      <c r="E63" s="38" t="n">
        <v>13</v>
      </c>
      <c r="F63" s="31">
        <f>E63/52</f>
        <v/>
      </c>
      <c r="G63" s="39">
        <f>D63/1000000*52</f>
        <v/>
      </c>
      <c r="H63" s="33">
        <f>G63/$P$4+($C$22/$P$4)</f>
        <v/>
      </c>
      <c r="I63" s="36">
        <f>_xlfn.IFS(K63&lt;K$24,0,K63&lt;K$26,I$24,K63&lt;K$28,I$26,K63&lt;K$30,I$28,K63&lt;K$32,I$30,K63&lt;K$34,I$32,K63&lt;K$36,I$34,K63&lt;K$38,I$36,K63&lt;K$40,I$38,K63&lt;K$42,I$40,K63&lt;K$44,I$42,K63&lt;K$46,I$44,K63&gt;=K$46,I$46)</f>
        <v/>
      </c>
      <c r="J63" s="37">
        <f>_xlfn.IFS(K63&lt;K$24,0,K63&lt;K$25,J$24,K63&lt;K$26,J$25,K63&lt;K$27,J$26,K63&lt;K$28,J$27,K63&lt;K$29,J$28,K63&lt;K$30,J$29,K63&lt;K$31,J$30,K63&lt;K$32,J$31,K63&lt;K$33,J$32,K63&lt;K$34,J$33,K63&lt;K$35,J$34,K63&lt;K$36,J$35,K63&lt;K$37,J$36,K63&lt;K$38,J$37,K63&lt;K$39,J$38,K63&lt;K$40,J$39,K63&lt;K$41,J$40,K63&lt;K$42,J$41,K63&lt;K$43,J$42,K63&lt;K$44,J$43,K63&lt;K$45,J$44,K63&lt;K$46,J$45,K63&lt;K$47,J$46,K63&gt;=K$47,J$47)</f>
        <v/>
      </c>
      <c r="K63" s="38" t="n">
        <v>13</v>
      </c>
      <c r="L63" s="31">
        <f>K63/52</f>
        <v/>
      </c>
      <c r="M63" s="39">
        <f>J63/1000000*52</f>
        <v/>
      </c>
      <c r="N63" s="33">
        <f>M63/$P$4+($I$22/$P$4)</f>
        <v/>
      </c>
      <c r="U63">
        <f>F62</f>
        <v/>
      </c>
      <c r="V63">
        <f>H62</f>
        <v/>
      </c>
      <c r="W63">
        <f>N62</f>
        <v/>
      </c>
    </row>
    <row r="64" ht="15.75" customHeight="1" s="40">
      <c r="C64" s="36">
        <f>_xlfn.IFS(E64&lt;E$24,0,E64&lt;E$26,C$24,E64&lt;E$28,C$26,E64&lt;E$30,C$28,E64&lt;E$32,C$30,E64&lt;E$34,C$32,E64&gt;=E$34,C$34)</f>
        <v/>
      </c>
      <c r="D64" s="37">
        <f>_xlfn.IFS(E64&lt;E$24,0,E64&lt;E$25,D$24,E64&lt;E$26,D$25,E64&lt;E$27,D$26,E64&lt;E$28,D$27,E64&lt;E$29,D$28,E64&lt;E$30,D$29,E64&lt;E$31,D$30,E64&lt;E$32,D$31,E64&lt;E$33,D$32,E64&lt;E$34,D$33,E64&lt;E$35,D$34,E64&gt;=E$35,D$35)</f>
        <v/>
      </c>
      <c r="E64" s="38" t="n">
        <v>14</v>
      </c>
      <c r="F64" s="31">
        <f>E64/52</f>
        <v/>
      </c>
      <c r="G64" s="39">
        <f>D64/1000000*52</f>
        <v/>
      </c>
      <c r="H64" s="33">
        <f>G64/$P$4+($C$22/$P$4)</f>
        <v/>
      </c>
      <c r="I64" s="36">
        <f>_xlfn.IFS(K64&lt;K$24,0,K64&lt;K$26,I$24,K64&lt;K$28,I$26,K64&lt;K$30,I$28,K64&lt;K$32,I$30,K64&lt;K$34,I$32,K64&lt;K$36,I$34,K64&lt;K$38,I$36,K64&lt;K$40,I$38,K64&lt;K$42,I$40,K64&lt;K$44,I$42,K64&lt;K$46,I$44,K64&gt;=K$46,I$46)</f>
        <v/>
      </c>
      <c r="J64" s="37">
        <f>_xlfn.IFS(K64&lt;K$24,0,K64&lt;K$25,J$24,K64&lt;K$26,J$25,K64&lt;K$27,J$26,K64&lt;K$28,J$27,K64&lt;K$29,J$28,K64&lt;K$30,J$29,K64&lt;K$31,J$30,K64&lt;K$32,J$31,K64&lt;K$33,J$32,K64&lt;K$34,J$33,K64&lt;K$35,J$34,K64&lt;K$36,J$35,K64&lt;K$37,J$36,K64&lt;K$38,J$37,K64&lt;K$39,J$38,K64&lt;K$40,J$39,K64&lt;K$41,J$40,K64&lt;K$42,J$41,K64&lt;K$43,J$42,K64&lt;K$44,J$43,K64&lt;K$45,J$44,K64&lt;K$46,J$45,K64&lt;K$47,J$46,K64&gt;=K$47,J$47)</f>
        <v/>
      </c>
      <c r="K64" s="38" t="n">
        <v>14</v>
      </c>
      <c r="L64" s="31">
        <f>K64/52</f>
        <v/>
      </c>
      <c r="M64" s="39">
        <f>J64/1000000*52</f>
        <v/>
      </c>
      <c r="N64" s="33">
        <f>M64/$P$4+($I$22/$P$4)</f>
        <v/>
      </c>
      <c r="U64">
        <f>F63</f>
        <v/>
      </c>
      <c r="V64">
        <f>H63</f>
        <v/>
      </c>
      <c r="W64">
        <f>N63</f>
        <v/>
      </c>
    </row>
    <row r="65" ht="15.75" customHeight="1" s="40">
      <c r="C65" s="36">
        <f>_xlfn.IFS(E65&lt;E$24,0,E65&lt;E$26,C$24,E65&lt;E$28,C$26,E65&lt;E$30,C$28,E65&lt;E$32,C$30,E65&lt;E$34,C$32,E65&gt;=E$34,C$34)</f>
        <v/>
      </c>
      <c r="D65" s="37">
        <f>_xlfn.IFS(E65&lt;E$24,0,E65&lt;E$25,D$24,E65&lt;E$26,D$25,E65&lt;E$27,D$26,E65&lt;E$28,D$27,E65&lt;E$29,D$28,E65&lt;E$30,D$29,E65&lt;E$31,D$30,E65&lt;E$32,D$31,E65&lt;E$33,D$32,E65&lt;E$34,D$33,E65&lt;E$35,D$34,E65&gt;=E$35,D$35)</f>
        <v/>
      </c>
      <c r="E65" s="38" t="n">
        <v>15</v>
      </c>
      <c r="F65" s="31">
        <f>E65/52</f>
        <v/>
      </c>
      <c r="G65" s="39">
        <f>D65/1000000*52</f>
        <v/>
      </c>
      <c r="H65" s="33">
        <f>G65/$P$4+($C$22/$P$4)</f>
        <v/>
      </c>
      <c r="I65" s="36">
        <f>_xlfn.IFS(K65&lt;K$24,0,K65&lt;K$26,I$24,K65&lt;K$28,I$26,K65&lt;K$30,I$28,K65&lt;K$32,I$30,K65&lt;K$34,I$32,K65&lt;K$36,I$34,K65&lt;K$38,I$36,K65&lt;K$40,I$38,K65&lt;K$42,I$40,K65&lt;K$44,I$42,K65&lt;K$46,I$44,K65&gt;=K$46,I$46)</f>
        <v/>
      </c>
      <c r="J65" s="37">
        <f>_xlfn.IFS(K65&lt;K$24,0,K65&lt;K$25,J$24,K65&lt;K$26,J$25,K65&lt;K$27,J$26,K65&lt;K$28,J$27,K65&lt;K$29,J$28,K65&lt;K$30,J$29,K65&lt;K$31,J$30,K65&lt;K$32,J$31,K65&lt;K$33,J$32,K65&lt;K$34,J$33,K65&lt;K$35,J$34,K65&lt;K$36,J$35,K65&lt;K$37,J$36,K65&lt;K$38,J$37,K65&lt;K$39,J$38,K65&lt;K$40,J$39,K65&lt;K$41,J$40,K65&lt;K$42,J$41,K65&lt;K$43,J$42,K65&lt;K$44,J$43,K65&lt;K$45,J$44,K65&lt;K$46,J$45,K65&lt;K$47,J$46,K65&gt;=K$47,J$47)</f>
        <v/>
      </c>
      <c r="K65" s="38" t="n">
        <v>15</v>
      </c>
      <c r="L65" s="31">
        <f>K65/52</f>
        <v/>
      </c>
      <c r="M65" s="39">
        <f>J65/1000000*52</f>
        <v/>
      </c>
      <c r="N65" s="33">
        <f>M65/$P$4+($I$22/$P$4)</f>
        <v/>
      </c>
      <c r="U65">
        <f>F64</f>
        <v/>
      </c>
      <c r="V65">
        <f>H64</f>
        <v/>
      </c>
      <c r="W65">
        <f>N64</f>
        <v/>
      </c>
    </row>
    <row r="66" ht="15.75" customHeight="1" s="40">
      <c r="C66" s="36">
        <f>_xlfn.IFS(E66&lt;E$24,0,E66&lt;E$26,C$24,E66&lt;E$28,C$26,E66&lt;E$30,C$28,E66&lt;E$32,C$30,E66&lt;E$34,C$32,E66&gt;=E$34,C$34)</f>
        <v/>
      </c>
      <c r="D66" s="37">
        <f>_xlfn.IFS(E66&lt;E$24,0,E66&lt;E$25,D$24,E66&lt;E$26,D$25,E66&lt;E$27,D$26,E66&lt;E$28,D$27,E66&lt;E$29,D$28,E66&lt;E$30,D$29,E66&lt;E$31,D$30,E66&lt;E$32,D$31,E66&lt;E$33,D$32,E66&lt;E$34,D$33,E66&lt;E$35,D$34,E66&gt;=E$35,D$35)</f>
        <v/>
      </c>
      <c r="E66" s="38" t="n">
        <v>16</v>
      </c>
      <c r="F66" s="31">
        <f>E66/52</f>
        <v/>
      </c>
      <c r="G66" s="39">
        <f>D66/1000000*52</f>
        <v/>
      </c>
      <c r="H66" s="33">
        <f>G66/$P$4+($C$22/$P$4)</f>
        <v/>
      </c>
      <c r="I66" s="36">
        <f>_xlfn.IFS(K66&lt;K$24,0,K66&lt;K$26,I$24,K66&lt;K$28,I$26,K66&lt;K$30,I$28,K66&lt;K$32,I$30,K66&lt;K$34,I$32,K66&lt;K$36,I$34,K66&lt;K$38,I$36,K66&lt;K$40,I$38,K66&lt;K$42,I$40,K66&lt;K$44,I$42,K66&lt;K$46,I$44,K66&gt;=K$46,I$46)</f>
        <v/>
      </c>
      <c r="J66" s="37">
        <f>_xlfn.IFS(K66&lt;K$24,0,K66&lt;K$25,J$24,K66&lt;K$26,J$25,K66&lt;K$27,J$26,K66&lt;K$28,J$27,K66&lt;K$29,J$28,K66&lt;K$30,J$29,K66&lt;K$31,J$30,K66&lt;K$32,J$31,K66&lt;K$33,J$32,K66&lt;K$34,J$33,K66&lt;K$35,J$34,K66&lt;K$36,J$35,K66&lt;K$37,J$36,K66&lt;K$38,J$37,K66&lt;K$39,J$38,K66&lt;K$40,J$39,K66&lt;K$41,J$40,K66&lt;K$42,J$41,K66&lt;K$43,J$42,K66&lt;K$44,J$43,K66&lt;K$45,J$44,K66&lt;K$46,J$45,K66&lt;K$47,J$46,K66&gt;=K$47,J$47)</f>
        <v/>
      </c>
      <c r="K66" s="38" t="n">
        <v>16</v>
      </c>
      <c r="L66" s="31">
        <f>K66/52</f>
        <v/>
      </c>
      <c r="M66" s="39">
        <f>J66/1000000*52</f>
        <v/>
      </c>
      <c r="N66" s="33">
        <f>M66/$P$4+($I$22/$P$4)</f>
        <v/>
      </c>
      <c r="U66">
        <f>F65</f>
        <v/>
      </c>
      <c r="V66">
        <f>H65</f>
        <v/>
      </c>
      <c r="W66">
        <f>N65</f>
        <v/>
      </c>
    </row>
    <row r="67" ht="15.75" customHeight="1" s="40">
      <c r="C67" s="36">
        <f>_xlfn.IFS(E67&lt;E$24,0,E67&lt;E$26,C$24,E67&lt;E$28,C$26,E67&lt;E$30,C$28,E67&lt;E$32,C$30,E67&lt;E$34,C$32,E67&gt;=E$34,C$34)</f>
        <v/>
      </c>
      <c r="D67" s="37">
        <f>_xlfn.IFS(E67&lt;E$24,0,E67&lt;E$25,D$24,E67&lt;E$26,D$25,E67&lt;E$27,D$26,E67&lt;E$28,D$27,E67&lt;E$29,D$28,E67&lt;E$30,D$29,E67&lt;E$31,D$30,E67&lt;E$32,D$31,E67&lt;E$33,D$32,E67&lt;E$34,D$33,E67&lt;E$35,D$34,E67&gt;=E$35,D$35)</f>
        <v/>
      </c>
      <c r="E67" s="38" t="n">
        <v>17</v>
      </c>
      <c r="F67" s="31">
        <f>E67/52</f>
        <v/>
      </c>
      <c r="G67" s="39">
        <f>D67/1000000*52</f>
        <v/>
      </c>
      <c r="H67" s="33">
        <f>G67/$P$4+($C$22/$P$4)</f>
        <v/>
      </c>
      <c r="I67" s="36">
        <f>_xlfn.IFS(K67&lt;K$24,0,K67&lt;K$26,I$24,K67&lt;K$28,I$26,K67&lt;K$30,I$28,K67&lt;K$32,I$30,K67&lt;K$34,I$32,K67&lt;K$36,I$34,K67&lt;K$38,I$36,K67&lt;K$40,I$38,K67&lt;K$42,I$40,K67&lt;K$44,I$42,K67&lt;K$46,I$44,K67&gt;=K$46,I$46)</f>
        <v/>
      </c>
      <c r="J67" s="37">
        <f>_xlfn.IFS(K67&lt;K$24,0,K67&lt;K$25,J$24,K67&lt;K$26,J$25,K67&lt;K$27,J$26,K67&lt;K$28,J$27,K67&lt;K$29,J$28,K67&lt;K$30,J$29,K67&lt;K$31,J$30,K67&lt;K$32,J$31,K67&lt;K$33,J$32,K67&lt;K$34,J$33,K67&lt;K$35,J$34,K67&lt;K$36,J$35,K67&lt;K$37,J$36,K67&lt;K$38,J$37,K67&lt;K$39,J$38,K67&lt;K$40,J$39,K67&lt;K$41,J$40,K67&lt;K$42,J$41,K67&lt;K$43,J$42,K67&lt;K$44,J$43,K67&lt;K$45,J$44,K67&lt;K$46,J$45,K67&lt;K$47,J$46,K67&gt;=K$47,J$47)</f>
        <v/>
      </c>
      <c r="K67" s="38" t="n">
        <v>17</v>
      </c>
      <c r="L67" s="31">
        <f>K67/52</f>
        <v/>
      </c>
      <c r="M67" s="39">
        <f>J67/1000000*52</f>
        <v/>
      </c>
      <c r="N67" s="33">
        <f>M67/$P$4+($I$22/$P$4)</f>
        <v/>
      </c>
      <c r="U67">
        <f>F66</f>
        <v/>
      </c>
      <c r="V67">
        <f>H66</f>
        <v/>
      </c>
      <c r="W67">
        <f>N66</f>
        <v/>
      </c>
    </row>
    <row r="68" ht="15.75" customHeight="1" s="40">
      <c r="C68" s="36">
        <f>_xlfn.IFS(E68&lt;E$24,0,E68&lt;E$26,C$24,E68&lt;E$28,C$26,E68&lt;E$30,C$28,E68&lt;E$32,C$30,E68&lt;E$34,C$32,E68&gt;=E$34,C$34)</f>
        <v/>
      </c>
      <c r="D68" s="37">
        <f>_xlfn.IFS(E68&lt;E$24,0,E68&lt;E$25,D$24,E68&lt;E$26,D$25,E68&lt;E$27,D$26,E68&lt;E$28,D$27,E68&lt;E$29,D$28,E68&lt;E$30,D$29,E68&lt;E$31,D$30,E68&lt;E$32,D$31,E68&lt;E$33,D$32,E68&lt;E$34,D$33,E68&lt;E$35,D$34,E68&gt;=E$35,D$35)</f>
        <v/>
      </c>
      <c r="E68" s="38" t="n">
        <v>18</v>
      </c>
      <c r="F68" s="31">
        <f>E68/52</f>
        <v/>
      </c>
      <c r="G68" s="39">
        <f>D68/1000000*52</f>
        <v/>
      </c>
      <c r="H68" s="33">
        <f>G68/$P$4+($C$22/$P$4)</f>
        <v/>
      </c>
      <c r="I68" s="36">
        <f>_xlfn.IFS(K68&lt;K$24,0,K68&lt;K$26,I$24,K68&lt;K$28,I$26,K68&lt;K$30,I$28,K68&lt;K$32,I$30,K68&lt;K$34,I$32,K68&lt;K$36,I$34,K68&lt;K$38,I$36,K68&lt;K$40,I$38,K68&lt;K$42,I$40,K68&lt;K$44,I$42,K68&lt;K$46,I$44,K68&gt;=K$46,I$46)</f>
        <v/>
      </c>
      <c r="J68" s="37">
        <f>_xlfn.IFS(K68&lt;K$24,0,K68&lt;K$25,J$24,K68&lt;K$26,J$25,K68&lt;K$27,J$26,K68&lt;K$28,J$27,K68&lt;K$29,J$28,K68&lt;K$30,J$29,K68&lt;K$31,J$30,K68&lt;K$32,J$31,K68&lt;K$33,J$32,K68&lt;K$34,J$33,K68&lt;K$35,J$34,K68&lt;K$36,J$35,K68&lt;K$37,J$36,K68&lt;K$38,J$37,K68&lt;K$39,J$38,K68&lt;K$40,J$39,K68&lt;K$41,J$40,K68&lt;K$42,J$41,K68&lt;K$43,J$42,K68&lt;K$44,J$43,K68&lt;K$45,J$44,K68&lt;K$46,J$45,K68&lt;K$47,J$46,K68&gt;=K$47,J$47)</f>
        <v/>
      </c>
      <c r="K68" s="38" t="n">
        <v>18</v>
      </c>
      <c r="L68" s="31">
        <f>K68/52</f>
        <v/>
      </c>
      <c r="M68" s="39">
        <f>J68/1000000*52</f>
        <v/>
      </c>
      <c r="N68" s="33">
        <f>M68/$P$4+($I$22/$P$4)</f>
        <v/>
      </c>
      <c r="U68">
        <f>F67</f>
        <v/>
      </c>
      <c r="V68">
        <f>H67</f>
        <v/>
      </c>
      <c r="W68">
        <f>N67</f>
        <v/>
      </c>
    </row>
    <row r="69" ht="15.75" customHeight="1" s="40">
      <c r="C69" s="36">
        <f>_xlfn.IFS(E69&lt;E$24,0,E69&lt;E$26,C$24,E69&lt;E$28,C$26,E69&lt;E$30,C$28,E69&lt;E$32,C$30,E69&lt;E$34,C$32,E69&gt;=E$34,C$34)</f>
        <v/>
      </c>
      <c r="D69" s="37">
        <f>_xlfn.IFS(E69&lt;E$24,0,E69&lt;E$25,D$24,E69&lt;E$26,D$25,E69&lt;E$27,D$26,E69&lt;E$28,D$27,E69&lt;E$29,D$28,E69&lt;E$30,D$29,E69&lt;E$31,D$30,E69&lt;E$32,D$31,E69&lt;E$33,D$32,E69&lt;E$34,D$33,E69&lt;E$35,D$34,E69&gt;=E$35,D$35)</f>
        <v/>
      </c>
      <c r="E69" s="38" t="n">
        <v>19</v>
      </c>
      <c r="F69" s="31">
        <f>E69/52</f>
        <v/>
      </c>
      <c r="G69" s="39">
        <f>D69/1000000*52</f>
        <v/>
      </c>
      <c r="H69" s="33">
        <f>G69/$P$4+($C$22/$P$4)</f>
        <v/>
      </c>
      <c r="I69" s="36">
        <f>_xlfn.IFS(K69&lt;K$24,0,K69&lt;K$26,I$24,K69&lt;K$28,I$26,K69&lt;K$30,I$28,K69&lt;K$32,I$30,K69&lt;K$34,I$32,K69&lt;K$36,I$34,K69&lt;K$38,I$36,K69&lt;K$40,I$38,K69&lt;K$42,I$40,K69&lt;K$44,I$42,K69&lt;K$46,I$44,K69&gt;=K$46,I$46)</f>
        <v/>
      </c>
      <c r="J69" s="37">
        <f>_xlfn.IFS(K69&lt;K$24,0,K69&lt;K$25,J$24,K69&lt;K$26,J$25,K69&lt;K$27,J$26,K69&lt;K$28,J$27,K69&lt;K$29,J$28,K69&lt;K$30,J$29,K69&lt;K$31,J$30,K69&lt;K$32,J$31,K69&lt;K$33,J$32,K69&lt;K$34,J$33,K69&lt;K$35,J$34,K69&lt;K$36,J$35,K69&lt;K$37,J$36,K69&lt;K$38,J$37,K69&lt;K$39,J$38,K69&lt;K$40,J$39,K69&lt;K$41,J$40,K69&lt;K$42,J$41,K69&lt;K$43,J$42,K69&lt;K$44,J$43,K69&lt;K$45,J$44,K69&lt;K$46,J$45,K69&lt;K$47,J$46,K69&gt;=K$47,J$47)</f>
        <v/>
      </c>
      <c r="K69" s="38" t="n">
        <v>19</v>
      </c>
      <c r="L69" s="31">
        <f>K69/52</f>
        <v/>
      </c>
      <c r="M69" s="39">
        <f>J69/1000000*52</f>
        <v/>
      </c>
      <c r="N69" s="33">
        <f>M69/$P$4+($I$22/$P$4)</f>
        <v/>
      </c>
      <c r="U69">
        <f>F68</f>
        <v/>
      </c>
      <c r="V69">
        <f>H68</f>
        <v/>
      </c>
      <c r="W69">
        <f>N68</f>
        <v/>
      </c>
    </row>
    <row r="70" ht="15.75" customHeight="1" s="40">
      <c r="C70" s="36">
        <f>_xlfn.IFS(E70&lt;E$24,0,E70&lt;E$26,C$24,E70&lt;E$28,C$26,E70&lt;E$30,C$28,E70&lt;E$32,C$30,E70&lt;E$34,C$32,E70&gt;=E$34,C$34)</f>
        <v/>
      </c>
      <c r="D70" s="37">
        <f>_xlfn.IFS(E70&lt;E$24,0,E70&lt;E$25,D$24,E70&lt;E$26,D$25,E70&lt;E$27,D$26,E70&lt;E$28,D$27,E70&lt;E$29,D$28,E70&lt;E$30,D$29,E70&lt;E$31,D$30,E70&lt;E$32,D$31,E70&lt;E$33,D$32,E70&lt;E$34,D$33,E70&lt;E$35,D$34,E70&gt;=E$35,D$35)</f>
        <v/>
      </c>
      <c r="E70" s="38" t="n">
        <v>20</v>
      </c>
      <c r="F70" s="31">
        <f>E70/52</f>
        <v/>
      </c>
      <c r="G70" s="39">
        <f>D70/1000000*52</f>
        <v/>
      </c>
      <c r="H70" s="33">
        <f>G70/$P$4+($C$22/$P$4)</f>
        <v/>
      </c>
      <c r="I70" s="36">
        <f>_xlfn.IFS(K70&lt;K$24,0,K70&lt;K$26,I$24,K70&lt;K$28,I$26,K70&lt;K$30,I$28,K70&lt;K$32,I$30,K70&lt;K$34,I$32,K70&lt;K$36,I$34,K70&lt;K$38,I$36,K70&lt;K$40,I$38,K70&lt;K$42,I$40,K70&lt;K$44,I$42,K70&lt;K$46,I$44,K70&gt;=K$46,I$46)</f>
        <v/>
      </c>
      <c r="J70" s="37">
        <f>_xlfn.IFS(K70&lt;K$24,0,K70&lt;K$25,J$24,K70&lt;K$26,J$25,K70&lt;K$27,J$26,K70&lt;K$28,J$27,K70&lt;K$29,J$28,K70&lt;K$30,J$29,K70&lt;K$31,J$30,K70&lt;K$32,J$31,K70&lt;K$33,J$32,K70&lt;K$34,J$33,K70&lt;K$35,J$34,K70&lt;K$36,J$35,K70&lt;K$37,J$36,K70&lt;K$38,J$37,K70&lt;K$39,J$38,K70&lt;K$40,J$39,K70&lt;K$41,J$40,K70&lt;K$42,J$41,K70&lt;K$43,J$42,K70&lt;K$44,J$43,K70&lt;K$45,J$44,K70&lt;K$46,J$45,K70&lt;K$47,J$46,K70&gt;=K$47,J$47)</f>
        <v/>
      </c>
      <c r="K70" s="38" t="n">
        <v>20</v>
      </c>
      <c r="L70" s="31">
        <f>K70/52</f>
        <v/>
      </c>
      <c r="M70" s="39">
        <f>J70/1000000*52</f>
        <v/>
      </c>
      <c r="N70" s="33">
        <f>M70/$P$4+($I$22/$P$4)</f>
        <v/>
      </c>
      <c r="U70">
        <f>F69</f>
        <v/>
      </c>
      <c r="V70">
        <f>H69</f>
        <v/>
      </c>
      <c r="W70">
        <f>N69</f>
        <v/>
      </c>
    </row>
    <row r="71" ht="15.75" customHeight="1" s="40">
      <c r="C71" s="36">
        <f>_xlfn.IFS(E71&lt;E$24,0,E71&lt;E$26,C$24,E71&lt;E$28,C$26,E71&lt;E$30,C$28,E71&lt;E$32,C$30,E71&lt;E$34,C$32,E71&gt;=E$34,C$34)</f>
        <v/>
      </c>
      <c r="D71" s="37">
        <f>_xlfn.IFS(E71&lt;E$24,0,E71&lt;E$25,D$24,E71&lt;E$26,D$25,E71&lt;E$27,D$26,E71&lt;E$28,D$27,E71&lt;E$29,D$28,E71&lt;E$30,D$29,E71&lt;E$31,D$30,E71&lt;E$32,D$31,E71&lt;E$33,D$32,E71&lt;E$34,D$33,E71&lt;E$35,D$34,E71&gt;=E$35,D$35)</f>
        <v/>
      </c>
      <c r="E71" s="38" t="n">
        <v>21</v>
      </c>
      <c r="F71" s="31">
        <f>E71/52</f>
        <v/>
      </c>
      <c r="G71" s="39">
        <f>D71/1000000*52</f>
        <v/>
      </c>
      <c r="H71" s="33">
        <f>G71/$P$4+($C$22/$P$4)</f>
        <v/>
      </c>
      <c r="I71" s="36">
        <f>_xlfn.IFS(K71&lt;K$24,0,K71&lt;K$26,I$24,K71&lt;K$28,I$26,K71&lt;K$30,I$28,K71&lt;K$32,I$30,K71&lt;K$34,I$32,K71&lt;K$36,I$34,K71&lt;K$38,I$36,K71&lt;K$40,I$38,K71&lt;K$42,I$40,K71&lt;K$44,I$42,K71&lt;K$46,I$44,K71&gt;=K$46,I$46)</f>
        <v/>
      </c>
      <c r="J71" s="37">
        <f>_xlfn.IFS(K71&lt;K$24,0,K71&lt;K$25,J$24,K71&lt;K$26,J$25,K71&lt;K$27,J$26,K71&lt;K$28,J$27,K71&lt;K$29,J$28,K71&lt;K$30,J$29,K71&lt;K$31,J$30,K71&lt;K$32,J$31,K71&lt;K$33,J$32,K71&lt;K$34,J$33,K71&lt;K$35,J$34,K71&lt;K$36,J$35,K71&lt;K$37,J$36,K71&lt;K$38,J$37,K71&lt;K$39,J$38,K71&lt;K$40,J$39,K71&lt;K$41,J$40,K71&lt;K$42,J$41,K71&lt;K$43,J$42,K71&lt;K$44,J$43,K71&lt;K$45,J$44,K71&lt;K$46,J$45,K71&lt;K$47,J$46,K71&gt;=K$47,J$47)</f>
        <v/>
      </c>
      <c r="K71" s="38" t="n">
        <v>21</v>
      </c>
      <c r="L71" s="31">
        <f>K71/52</f>
        <v/>
      </c>
      <c r="M71" s="39">
        <f>J71/1000000*52</f>
        <v/>
      </c>
      <c r="N71" s="33">
        <f>M71/$P$4+($I$22/$P$4)</f>
        <v/>
      </c>
      <c r="U71">
        <f>F70</f>
        <v/>
      </c>
      <c r="V71">
        <f>H70</f>
        <v/>
      </c>
      <c r="W71">
        <f>N70</f>
        <v/>
      </c>
    </row>
    <row r="72" ht="15.75" customHeight="1" s="40">
      <c r="C72" s="36">
        <f>_xlfn.IFS(E72&lt;E$24,0,E72&lt;E$26,C$24,E72&lt;E$28,C$26,E72&lt;E$30,C$28,E72&lt;E$32,C$30,E72&lt;E$34,C$32,E72&gt;=E$34,C$34)</f>
        <v/>
      </c>
      <c r="D72" s="37">
        <f>_xlfn.IFS(E72&lt;E$24,0,E72&lt;E$25,D$24,E72&lt;E$26,D$25,E72&lt;E$27,D$26,E72&lt;E$28,D$27,E72&lt;E$29,D$28,E72&lt;E$30,D$29,E72&lt;E$31,D$30,E72&lt;E$32,D$31,E72&lt;E$33,D$32,E72&lt;E$34,D$33,E72&lt;E$35,D$34,E72&gt;=E$35,D$35)</f>
        <v/>
      </c>
      <c r="E72" s="38" t="n">
        <v>22</v>
      </c>
      <c r="F72" s="31">
        <f>E72/52</f>
        <v/>
      </c>
      <c r="G72" s="39">
        <f>D72/1000000*52</f>
        <v/>
      </c>
      <c r="H72" s="33">
        <f>G72/$P$4+($C$22/$P$4)</f>
        <v/>
      </c>
      <c r="I72" s="36">
        <f>_xlfn.IFS(K72&lt;K$24,0,K72&lt;K$26,I$24,K72&lt;K$28,I$26,K72&lt;K$30,I$28,K72&lt;K$32,I$30,K72&lt;K$34,I$32,K72&lt;K$36,I$34,K72&lt;K$38,I$36,K72&lt;K$40,I$38,K72&lt;K$42,I$40,K72&lt;K$44,I$42,K72&lt;K$46,I$44,K72&gt;=K$46,I$46)</f>
        <v/>
      </c>
      <c r="J72" s="37">
        <f>_xlfn.IFS(K72&lt;K$24,0,K72&lt;K$25,J$24,K72&lt;K$26,J$25,K72&lt;K$27,J$26,K72&lt;K$28,J$27,K72&lt;K$29,J$28,K72&lt;K$30,J$29,K72&lt;K$31,J$30,K72&lt;K$32,J$31,K72&lt;K$33,J$32,K72&lt;K$34,J$33,K72&lt;K$35,J$34,K72&lt;K$36,J$35,K72&lt;K$37,J$36,K72&lt;K$38,J$37,K72&lt;K$39,J$38,K72&lt;K$40,J$39,K72&lt;K$41,J$40,K72&lt;K$42,J$41,K72&lt;K$43,J$42,K72&lt;K$44,J$43,K72&lt;K$45,J$44,K72&lt;K$46,J$45,K72&lt;K$47,J$46,K72&gt;=K$47,J$47)</f>
        <v/>
      </c>
      <c r="K72" s="38" t="n">
        <v>22</v>
      </c>
      <c r="L72" s="31">
        <f>K72/52</f>
        <v/>
      </c>
      <c r="M72" s="39">
        <f>J72/1000000*52</f>
        <v/>
      </c>
      <c r="N72" s="33">
        <f>M72/$P$4+($I$22/$P$4)</f>
        <v/>
      </c>
      <c r="U72">
        <f>F71</f>
        <v/>
      </c>
      <c r="V72">
        <f>H71</f>
        <v/>
      </c>
      <c r="W72">
        <f>N71</f>
        <v/>
      </c>
    </row>
    <row r="73" ht="15.75" customHeight="1" s="40">
      <c r="C73" s="36">
        <f>_xlfn.IFS(E73&lt;E$24,0,E73&lt;E$26,C$24,E73&lt;E$28,C$26,E73&lt;E$30,C$28,E73&lt;E$32,C$30,E73&lt;E$34,C$32,E73&gt;=E$34,C$34)</f>
        <v/>
      </c>
      <c r="D73" s="37">
        <f>_xlfn.IFS(E73&lt;E$24,0,E73&lt;E$25,D$24,E73&lt;E$26,D$25,E73&lt;E$27,D$26,E73&lt;E$28,D$27,E73&lt;E$29,D$28,E73&lt;E$30,D$29,E73&lt;E$31,D$30,E73&lt;E$32,D$31,E73&lt;E$33,D$32,E73&lt;E$34,D$33,E73&lt;E$35,D$34,E73&gt;=E$35,D$35)</f>
        <v/>
      </c>
      <c r="E73" s="38" t="n">
        <v>23</v>
      </c>
      <c r="F73" s="31">
        <f>E73/52</f>
        <v/>
      </c>
      <c r="G73" s="39">
        <f>D73/1000000*52</f>
        <v/>
      </c>
      <c r="H73" s="33">
        <f>G73/$P$4+($C$22/$P$4)</f>
        <v/>
      </c>
      <c r="I73" s="36">
        <f>_xlfn.IFS(K73&lt;K$24,0,K73&lt;K$26,I$24,K73&lt;K$28,I$26,K73&lt;K$30,I$28,K73&lt;K$32,I$30,K73&lt;K$34,I$32,K73&lt;K$36,I$34,K73&lt;K$38,I$36,K73&lt;K$40,I$38,K73&lt;K$42,I$40,K73&lt;K$44,I$42,K73&lt;K$46,I$44,K73&gt;=K$46,I$46)</f>
        <v/>
      </c>
      <c r="J73" s="37">
        <f>_xlfn.IFS(K73&lt;K$24,0,K73&lt;K$25,J$24,K73&lt;K$26,J$25,K73&lt;K$27,J$26,K73&lt;K$28,J$27,K73&lt;K$29,J$28,K73&lt;K$30,J$29,K73&lt;K$31,J$30,K73&lt;K$32,J$31,K73&lt;K$33,J$32,K73&lt;K$34,J$33,K73&lt;K$35,J$34,K73&lt;K$36,J$35,K73&lt;K$37,J$36,K73&lt;K$38,J$37,K73&lt;K$39,J$38,K73&lt;K$40,J$39,K73&lt;K$41,J$40,K73&lt;K$42,J$41,K73&lt;K$43,J$42,K73&lt;K$44,J$43,K73&lt;K$45,J$44,K73&lt;K$46,J$45,K73&lt;K$47,J$46,K73&gt;=K$47,J$47)</f>
        <v/>
      </c>
      <c r="K73" s="38" t="n">
        <v>23</v>
      </c>
      <c r="L73" s="31">
        <f>K73/52</f>
        <v/>
      </c>
      <c r="M73" s="39">
        <f>J73/1000000*52</f>
        <v/>
      </c>
      <c r="N73" s="33">
        <f>M73/$P$4+($I$22/$P$4)</f>
        <v/>
      </c>
      <c r="U73">
        <f>F72</f>
        <v/>
      </c>
      <c r="V73">
        <f>H72</f>
        <v/>
      </c>
      <c r="W73">
        <f>N72</f>
        <v/>
      </c>
    </row>
    <row r="74" ht="15.75" customHeight="1" s="40">
      <c r="C74" s="36">
        <f>_xlfn.IFS(E74&lt;E$24,0,E74&lt;E$26,C$24,E74&lt;E$28,C$26,E74&lt;E$30,C$28,E74&lt;E$32,C$30,E74&lt;E$34,C$32,E74&gt;=E$34,C$34)</f>
        <v/>
      </c>
      <c r="D74" s="37">
        <f>_xlfn.IFS(E74&lt;E$24,0,E74&lt;E$25,D$24,E74&lt;E$26,D$25,E74&lt;E$27,D$26,E74&lt;E$28,D$27,E74&lt;E$29,D$28,E74&lt;E$30,D$29,E74&lt;E$31,D$30,E74&lt;E$32,D$31,E74&lt;E$33,D$32,E74&lt;E$34,D$33,E74&lt;E$35,D$34,E74&gt;=E$35,D$35)</f>
        <v/>
      </c>
      <c r="E74" s="38" t="n">
        <v>24</v>
      </c>
      <c r="F74" s="31">
        <f>E74/52</f>
        <v/>
      </c>
      <c r="G74" s="39">
        <f>D74/1000000*52</f>
        <v/>
      </c>
      <c r="H74" s="33">
        <f>G74/$P$4+($C$22/$P$4)</f>
        <v/>
      </c>
      <c r="I74" s="36">
        <f>_xlfn.IFS(K74&lt;K$24,0,K74&lt;K$26,I$24,K74&lt;K$28,I$26,K74&lt;K$30,I$28,K74&lt;K$32,I$30,K74&lt;K$34,I$32,K74&lt;K$36,I$34,K74&lt;K$38,I$36,K74&lt;K$40,I$38,K74&lt;K$42,I$40,K74&lt;K$44,I$42,K74&lt;K$46,I$44,K74&gt;=K$46,I$46)</f>
        <v/>
      </c>
      <c r="J74" s="37">
        <f>_xlfn.IFS(K74&lt;K$24,0,K74&lt;K$25,J$24,K74&lt;K$26,J$25,K74&lt;K$27,J$26,K74&lt;K$28,J$27,K74&lt;K$29,J$28,K74&lt;K$30,J$29,K74&lt;K$31,J$30,K74&lt;K$32,J$31,K74&lt;K$33,J$32,K74&lt;K$34,J$33,K74&lt;K$35,J$34,K74&lt;K$36,J$35,K74&lt;K$37,J$36,K74&lt;K$38,J$37,K74&lt;K$39,J$38,K74&lt;K$40,J$39,K74&lt;K$41,J$40,K74&lt;K$42,J$41,K74&lt;K$43,J$42,K74&lt;K$44,J$43,K74&lt;K$45,J$44,K74&lt;K$46,J$45,K74&lt;K$47,J$46,K74&gt;=K$47,J$47)</f>
        <v/>
      </c>
      <c r="K74" s="38" t="n">
        <v>24</v>
      </c>
      <c r="L74" s="31">
        <f>K74/52</f>
        <v/>
      </c>
      <c r="M74" s="39">
        <f>J74/1000000*52</f>
        <v/>
      </c>
      <c r="N74" s="33">
        <f>M74/$P$4+($I$22/$P$4)</f>
        <v/>
      </c>
      <c r="U74">
        <f>F73</f>
        <v/>
      </c>
      <c r="V74">
        <f>H73</f>
        <v/>
      </c>
      <c r="W74">
        <f>N73</f>
        <v/>
      </c>
    </row>
    <row r="75" ht="15.75" customHeight="1" s="40">
      <c r="C75" s="36">
        <f>_xlfn.IFS(E75&lt;E$24,0,E75&lt;E$26,C$24,E75&lt;E$28,C$26,E75&lt;E$30,C$28,E75&lt;E$32,C$30,E75&lt;E$34,C$32,E75&gt;=E$34,C$34)</f>
        <v/>
      </c>
      <c r="D75" s="37">
        <f>_xlfn.IFS(E75&lt;E$24,0,E75&lt;E$25,D$24,E75&lt;E$26,D$25,E75&lt;E$27,D$26,E75&lt;E$28,D$27,E75&lt;E$29,D$28,E75&lt;E$30,D$29,E75&lt;E$31,D$30,E75&lt;E$32,D$31,E75&lt;E$33,D$32,E75&lt;E$34,D$33,E75&lt;E$35,D$34,E75&gt;=E$35,D$35)</f>
        <v/>
      </c>
      <c r="E75" s="38" t="n">
        <v>25</v>
      </c>
      <c r="F75" s="31">
        <f>E75/52</f>
        <v/>
      </c>
      <c r="G75" s="39">
        <f>D75/1000000*52</f>
        <v/>
      </c>
      <c r="H75" s="33">
        <f>G75/$P$4+($C$22/$P$4)</f>
        <v/>
      </c>
      <c r="I75" s="36">
        <f>_xlfn.IFS(K75&lt;K$24,0,K75&lt;K$26,I$24,K75&lt;K$28,I$26,K75&lt;K$30,I$28,K75&lt;K$32,I$30,K75&lt;K$34,I$32,K75&lt;K$36,I$34,K75&lt;K$38,I$36,K75&lt;K$40,I$38,K75&lt;K$42,I$40,K75&lt;K$44,I$42,K75&lt;K$46,I$44,K75&gt;=K$46,I$46)</f>
        <v/>
      </c>
      <c r="J75" s="37">
        <f>_xlfn.IFS(K75&lt;K$24,0,K75&lt;K$25,J$24,K75&lt;K$26,J$25,K75&lt;K$27,J$26,K75&lt;K$28,J$27,K75&lt;K$29,J$28,K75&lt;K$30,J$29,K75&lt;K$31,J$30,K75&lt;K$32,J$31,K75&lt;K$33,J$32,K75&lt;K$34,J$33,K75&lt;K$35,J$34,K75&lt;K$36,J$35,K75&lt;K$37,J$36,K75&lt;K$38,J$37,K75&lt;K$39,J$38,K75&lt;K$40,J$39,K75&lt;K$41,J$40,K75&lt;K$42,J$41,K75&lt;K$43,J$42,K75&lt;K$44,J$43,K75&lt;K$45,J$44,K75&lt;K$46,J$45,K75&lt;K$47,J$46,K75&gt;=K$47,J$47)</f>
        <v/>
      </c>
      <c r="K75" s="38" t="n">
        <v>25</v>
      </c>
      <c r="L75" s="31">
        <f>K75/52</f>
        <v/>
      </c>
      <c r="M75" s="39">
        <f>J75/1000000*52</f>
        <v/>
      </c>
      <c r="N75" s="33">
        <f>M75/$P$4+($I$22/$P$4)</f>
        <v/>
      </c>
      <c r="U75">
        <f>F74</f>
        <v/>
      </c>
      <c r="V75">
        <f>H74</f>
        <v/>
      </c>
      <c r="W75">
        <f>N74</f>
        <v/>
      </c>
    </row>
    <row r="76" ht="15.75" customHeight="1" s="40">
      <c r="C76" s="36">
        <f>_xlfn.IFS(E76&lt;E$24,0,E76&lt;E$26,C$24,E76&lt;E$28,C$26,E76&lt;E$30,C$28,E76&lt;E$32,C$30,E76&lt;E$34,C$32,E76&gt;=E$34,C$34)</f>
        <v/>
      </c>
      <c r="D76" s="37">
        <f>_xlfn.IFS(E76&lt;E$24,0,E76&lt;E$25,D$24,E76&lt;E$26,D$25,E76&lt;E$27,D$26,E76&lt;E$28,D$27,E76&lt;E$29,D$28,E76&lt;E$30,D$29,E76&lt;E$31,D$30,E76&lt;E$32,D$31,E76&lt;E$33,D$32,E76&lt;E$34,D$33,E76&lt;E$35,D$34,E76&gt;=E$35,D$35)</f>
        <v/>
      </c>
      <c r="E76" s="38" t="n">
        <v>26</v>
      </c>
      <c r="F76" s="31">
        <f>E76/52</f>
        <v/>
      </c>
      <c r="G76" s="39">
        <f>D76/1000000*52</f>
        <v/>
      </c>
      <c r="H76" s="33">
        <f>G76/$P$4+($C$22/$P$4)</f>
        <v/>
      </c>
      <c r="I76" s="36">
        <f>_xlfn.IFS(K76&lt;K$24,0,K76&lt;K$26,I$24,K76&lt;K$28,I$26,K76&lt;K$30,I$28,K76&lt;K$32,I$30,K76&lt;K$34,I$32,K76&lt;K$36,I$34,K76&lt;K$38,I$36,K76&lt;K$40,I$38,K76&lt;K$42,I$40,K76&lt;K$44,I$42,K76&lt;K$46,I$44,K76&gt;=K$46,I$46)</f>
        <v/>
      </c>
      <c r="J76" s="37">
        <f>_xlfn.IFS(K76&lt;K$24,0,K76&lt;K$25,J$24,K76&lt;K$26,J$25,K76&lt;K$27,J$26,K76&lt;K$28,J$27,K76&lt;K$29,J$28,K76&lt;K$30,J$29,K76&lt;K$31,J$30,K76&lt;K$32,J$31,K76&lt;K$33,J$32,K76&lt;K$34,J$33,K76&lt;K$35,J$34,K76&lt;K$36,J$35,K76&lt;K$37,J$36,K76&lt;K$38,J$37,K76&lt;K$39,J$38,K76&lt;K$40,J$39,K76&lt;K$41,J$40,K76&lt;K$42,J$41,K76&lt;K$43,J$42,K76&lt;K$44,J$43,K76&lt;K$45,J$44,K76&lt;K$46,J$45,K76&lt;K$47,J$46,K76&gt;=K$47,J$47)</f>
        <v/>
      </c>
      <c r="K76" s="38" t="n">
        <v>26</v>
      </c>
      <c r="L76" s="31">
        <f>K76/52</f>
        <v/>
      </c>
      <c r="M76" s="39">
        <f>J76/1000000*52</f>
        <v/>
      </c>
      <c r="N76" s="33">
        <f>M76/$P$4+($I$22/$P$4)</f>
        <v/>
      </c>
      <c r="U76">
        <f>F75</f>
        <v/>
      </c>
      <c r="V76">
        <f>H75</f>
        <v/>
      </c>
      <c r="W76">
        <f>N75</f>
        <v/>
      </c>
    </row>
    <row r="77" ht="15.75" customHeight="1" s="40">
      <c r="C77" s="36">
        <f>_xlfn.IFS(E77&lt;E$24,0,E77&lt;E$26,C$24,E77&lt;E$28,C$26,E77&lt;E$30,C$28,E77&lt;E$32,C$30,E77&lt;E$34,C$32,E77&gt;=E$34,C$34)</f>
        <v/>
      </c>
      <c r="D77" s="37">
        <f>_xlfn.IFS(E77&lt;E$24,0,E77&lt;E$25,D$24,E77&lt;E$26,D$25,E77&lt;E$27,D$26,E77&lt;E$28,D$27,E77&lt;E$29,D$28,E77&lt;E$30,D$29,E77&lt;E$31,D$30,E77&lt;E$32,D$31,E77&lt;E$33,D$32,E77&lt;E$34,D$33,E77&lt;E$35,D$34,E77&gt;=E$35,D$35)</f>
        <v/>
      </c>
      <c r="E77" s="38" t="n">
        <v>27</v>
      </c>
      <c r="F77" s="31">
        <f>E77/52</f>
        <v/>
      </c>
      <c r="G77" s="39">
        <f>D77/1000000*52</f>
        <v/>
      </c>
      <c r="H77" s="33">
        <f>G77/$P$4+($C$22/$P$4)</f>
        <v/>
      </c>
      <c r="I77" s="36">
        <f>_xlfn.IFS(K77&lt;K$24,0,K77&lt;K$26,I$24,K77&lt;K$28,I$26,K77&lt;K$30,I$28,K77&lt;K$32,I$30,K77&lt;K$34,I$32,K77&lt;K$36,I$34,K77&lt;K$38,I$36,K77&lt;K$40,I$38,K77&lt;K$42,I$40,K77&lt;K$44,I$42,K77&lt;K$46,I$44,K77&gt;=K$46,I$46)</f>
        <v/>
      </c>
      <c r="J77" s="37">
        <f>_xlfn.IFS(K77&lt;K$24,0,K77&lt;K$25,J$24,K77&lt;K$26,J$25,K77&lt;K$27,J$26,K77&lt;K$28,J$27,K77&lt;K$29,J$28,K77&lt;K$30,J$29,K77&lt;K$31,J$30,K77&lt;K$32,J$31,K77&lt;K$33,J$32,K77&lt;K$34,J$33,K77&lt;K$35,J$34,K77&lt;K$36,J$35,K77&lt;K$37,J$36,K77&lt;K$38,J$37,K77&lt;K$39,J$38,K77&lt;K$40,J$39,K77&lt;K$41,J$40,K77&lt;K$42,J$41,K77&lt;K$43,J$42,K77&lt;K$44,J$43,K77&lt;K$45,J$44,K77&lt;K$46,J$45,K77&lt;K$47,J$46,K77&gt;=K$47,J$47)</f>
        <v/>
      </c>
      <c r="K77" s="38" t="n">
        <v>27</v>
      </c>
      <c r="L77" s="31">
        <f>K77/52</f>
        <v/>
      </c>
      <c r="M77" s="39">
        <f>J77/1000000*52</f>
        <v/>
      </c>
      <c r="N77" s="33">
        <f>M77/$P$4+($I$22/$P$4)</f>
        <v/>
      </c>
      <c r="U77">
        <f>F76</f>
        <v/>
      </c>
      <c r="V77">
        <f>H76</f>
        <v/>
      </c>
      <c r="W77">
        <f>N76</f>
        <v/>
      </c>
    </row>
    <row r="78" ht="15.75" customHeight="1" s="40">
      <c r="C78" s="36">
        <f>_xlfn.IFS(E78&lt;E$24,0,E78&lt;E$26,C$24,E78&lt;E$28,C$26,E78&lt;E$30,C$28,E78&lt;E$32,C$30,E78&lt;E$34,C$32,E78&gt;=E$34,C$34)</f>
        <v/>
      </c>
      <c r="D78" s="37">
        <f>_xlfn.IFS(E78&lt;E$24,0,E78&lt;E$25,D$24,E78&lt;E$26,D$25,E78&lt;E$27,D$26,E78&lt;E$28,D$27,E78&lt;E$29,D$28,E78&lt;E$30,D$29,E78&lt;E$31,D$30,E78&lt;E$32,D$31,E78&lt;E$33,D$32,E78&lt;E$34,D$33,E78&lt;E$35,D$34,E78&gt;=E$35,D$35)</f>
        <v/>
      </c>
      <c r="E78" s="38" t="n">
        <v>28</v>
      </c>
      <c r="F78" s="31">
        <f>E78/52</f>
        <v/>
      </c>
      <c r="G78" s="39">
        <f>D78/1000000*52</f>
        <v/>
      </c>
      <c r="H78" s="33">
        <f>G78/$P$4+($C$22/$P$4)</f>
        <v/>
      </c>
      <c r="I78" s="36">
        <f>_xlfn.IFS(K78&lt;K$24,0,K78&lt;K$26,I$24,K78&lt;K$28,I$26,K78&lt;K$30,I$28,K78&lt;K$32,I$30,K78&lt;K$34,I$32,K78&lt;K$36,I$34,K78&lt;K$38,I$36,K78&lt;K$40,I$38,K78&lt;K$42,I$40,K78&lt;K$44,I$42,K78&lt;K$46,I$44,K78&gt;=K$46,I$46)</f>
        <v/>
      </c>
      <c r="J78" s="37">
        <f>_xlfn.IFS(K78&lt;K$24,0,K78&lt;K$25,J$24,K78&lt;K$26,J$25,K78&lt;K$27,J$26,K78&lt;K$28,J$27,K78&lt;K$29,J$28,K78&lt;K$30,J$29,K78&lt;K$31,J$30,K78&lt;K$32,J$31,K78&lt;K$33,J$32,K78&lt;K$34,J$33,K78&lt;K$35,J$34,K78&lt;K$36,J$35,K78&lt;K$37,J$36,K78&lt;K$38,J$37,K78&lt;K$39,J$38,K78&lt;K$40,J$39,K78&lt;K$41,J$40,K78&lt;K$42,J$41,K78&lt;K$43,J$42,K78&lt;K$44,J$43,K78&lt;K$45,J$44,K78&lt;K$46,J$45,K78&lt;K$47,J$46,K78&gt;=K$47,J$47)</f>
        <v/>
      </c>
      <c r="K78" s="38" t="n">
        <v>28</v>
      </c>
      <c r="L78" s="31">
        <f>K78/52</f>
        <v/>
      </c>
      <c r="M78" s="39">
        <f>J78/1000000*52</f>
        <v/>
      </c>
      <c r="N78" s="33">
        <f>M78/$P$4+($I$22/$P$4)</f>
        <v/>
      </c>
      <c r="U78">
        <f>F77</f>
        <v/>
      </c>
      <c r="V78">
        <f>H77</f>
        <v/>
      </c>
      <c r="W78">
        <f>N77</f>
        <v/>
      </c>
    </row>
    <row r="79" ht="15.75" customHeight="1" s="40">
      <c r="C79" s="36">
        <f>_xlfn.IFS(E79&lt;E$24,0,E79&lt;E$26,C$24,E79&lt;E$28,C$26,E79&lt;E$30,C$28,E79&lt;E$32,C$30,E79&lt;E$34,C$32,E79&gt;=E$34,C$34)</f>
        <v/>
      </c>
      <c r="D79" s="37">
        <f>_xlfn.IFS(E79&lt;E$24,0,E79&lt;E$25,D$24,E79&lt;E$26,D$25,E79&lt;E$27,D$26,E79&lt;E$28,D$27,E79&lt;E$29,D$28,E79&lt;E$30,D$29,E79&lt;E$31,D$30,E79&lt;E$32,D$31,E79&lt;E$33,D$32,E79&lt;E$34,D$33,E79&lt;E$35,D$34,E79&gt;=E$35,D$35)</f>
        <v/>
      </c>
      <c r="E79" s="38" t="n">
        <v>29</v>
      </c>
      <c r="F79" s="31">
        <f>E79/52</f>
        <v/>
      </c>
      <c r="G79" s="39">
        <f>D79/1000000*52</f>
        <v/>
      </c>
      <c r="H79" s="33">
        <f>G79/$P$4+($C$22/$P$4)</f>
        <v/>
      </c>
      <c r="I79" s="36">
        <f>_xlfn.IFS(K79&lt;K$24,0,K79&lt;K$26,I$24,K79&lt;K$28,I$26,K79&lt;K$30,I$28,K79&lt;K$32,I$30,K79&lt;K$34,I$32,K79&lt;K$36,I$34,K79&lt;K$38,I$36,K79&lt;K$40,I$38,K79&lt;K$42,I$40,K79&lt;K$44,I$42,K79&lt;K$46,I$44,K79&gt;=K$46,I$46)</f>
        <v/>
      </c>
      <c r="J79" s="37">
        <f>_xlfn.IFS(K79&lt;K$24,0,K79&lt;K$25,J$24,K79&lt;K$26,J$25,K79&lt;K$27,J$26,K79&lt;K$28,J$27,K79&lt;K$29,J$28,K79&lt;K$30,J$29,K79&lt;K$31,J$30,K79&lt;K$32,J$31,K79&lt;K$33,J$32,K79&lt;K$34,J$33,K79&lt;K$35,J$34,K79&lt;K$36,J$35,K79&lt;K$37,J$36,K79&lt;K$38,J$37,K79&lt;K$39,J$38,K79&lt;K$40,J$39,K79&lt;K$41,J$40,K79&lt;K$42,J$41,K79&lt;K$43,J$42,K79&lt;K$44,J$43,K79&lt;K$45,J$44,K79&lt;K$46,J$45,K79&lt;K$47,J$46,K79&gt;=K$47,J$47)</f>
        <v/>
      </c>
      <c r="K79" s="38" t="n">
        <v>29</v>
      </c>
      <c r="L79" s="31">
        <f>K79/52</f>
        <v/>
      </c>
      <c r="M79" s="39">
        <f>J79/1000000*52</f>
        <v/>
      </c>
      <c r="N79" s="33">
        <f>M79/$P$4+($I$22/$P$4)</f>
        <v/>
      </c>
      <c r="U79">
        <f>F78</f>
        <v/>
      </c>
      <c r="V79">
        <f>H78</f>
        <v/>
      </c>
      <c r="W79">
        <f>N78</f>
        <v/>
      </c>
    </row>
    <row r="80" ht="15.75" customHeight="1" s="40">
      <c r="C80" s="36">
        <f>_xlfn.IFS(E80&lt;E$24,0,E80&lt;E$26,C$24,E80&lt;E$28,C$26,E80&lt;E$30,C$28,E80&lt;E$32,C$30,E80&lt;E$34,C$32,E80&gt;=E$34,C$34)</f>
        <v/>
      </c>
      <c r="D80" s="37">
        <f>_xlfn.IFS(E80&lt;E$24,0,E80&lt;E$25,D$24,E80&lt;E$26,D$25,E80&lt;E$27,D$26,E80&lt;E$28,D$27,E80&lt;E$29,D$28,E80&lt;E$30,D$29,E80&lt;E$31,D$30,E80&lt;E$32,D$31,E80&lt;E$33,D$32,E80&lt;E$34,D$33,E80&lt;E$35,D$34,E80&gt;=E$35,D$35)</f>
        <v/>
      </c>
      <c r="E80" s="38" t="n">
        <v>30</v>
      </c>
      <c r="F80" s="31">
        <f>E80/52</f>
        <v/>
      </c>
      <c r="G80" s="39">
        <f>D80/1000000*52</f>
        <v/>
      </c>
      <c r="H80" s="33">
        <f>G80/$P$4+($C$22/$P$4)</f>
        <v/>
      </c>
      <c r="I80" s="36">
        <f>_xlfn.IFS(K80&lt;K$24,0,K80&lt;K$26,I$24,K80&lt;K$28,I$26,K80&lt;K$30,I$28,K80&lt;K$32,I$30,K80&lt;K$34,I$32,K80&lt;K$36,I$34,K80&lt;K$38,I$36,K80&lt;K$40,I$38,K80&lt;K$42,I$40,K80&lt;K$44,I$42,K80&lt;K$46,I$44,K80&gt;=K$46,I$46)</f>
        <v/>
      </c>
      <c r="J80" s="37">
        <f>_xlfn.IFS(K80&lt;K$24,0,K80&lt;K$25,J$24,K80&lt;K$26,J$25,K80&lt;K$27,J$26,K80&lt;K$28,J$27,K80&lt;K$29,J$28,K80&lt;K$30,J$29,K80&lt;K$31,J$30,K80&lt;K$32,J$31,K80&lt;K$33,J$32,K80&lt;K$34,J$33,K80&lt;K$35,J$34,K80&lt;K$36,J$35,K80&lt;K$37,J$36,K80&lt;K$38,J$37,K80&lt;K$39,J$38,K80&lt;K$40,J$39,K80&lt;K$41,J$40,K80&lt;K$42,J$41,K80&lt;K$43,J$42,K80&lt;K$44,J$43,K80&lt;K$45,J$44,K80&lt;K$46,J$45,K80&lt;K$47,J$46,K80&gt;=K$47,J$47)</f>
        <v/>
      </c>
      <c r="K80" s="38" t="n">
        <v>30</v>
      </c>
      <c r="L80" s="31">
        <f>K80/52</f>
        <v/>
      </c>
      <c r="M80" s="39">
        <f>J80/1000000*52</f>
        <v/>
      </c>
      <c r="N80" s="33">
        <f>M80/$P$4+($I$22/$P$4)</f>
        <v/>
      </c>
      <c r="U80">
        <f>F79</f>
        <v/>
      </c>
      <c r="V80">
        <f>H79</f>
        <v/>
      </c>
      <c r="W80">
        <f>N79</f>
        <v/>
      </c>
    </row>
    <row r="81" ht="15.75" customHeight="1" s="40">
      <c r="C81" s="36">
        <f>_xlfn.IFS(E81&lt;E$24,0,E81&lt;E$26,C$24,E81&lt;E$28,C$26,E81&lt;E$30,C$28,E81&lt;E$32,C$30,E81&lt;E$34,C$32,E81&gt;=E$34,C$34)</f>
        <v/>
      </c>
      <c r="D81" s="37">
        <f>_xlfn.IFS(E81&lt;E$24,0,E81&lt;E$25,D$24,E81&lt;E$26,D$25,E81&lt;E$27,D$26,E81&lt;E$28,D$27,E81&lt;E$29,D$28,E81&lt;E$30,D$29,E81&lt;E$31,D$30,E81&lt;E$32,D$31,E81&lt;E$33,D$32,E81&lt;E$34,D$33,E81&lt;E$35,D$34,E81&gt;=E$35,D$35)</f>
        <v/>
      </c>
      <c r="E81" s="38" t="n">
        <v>31</v>
      </c>
      <c r="F81" s="31">
        <f>E81/52</f>
        <v/>
      </c>
      <c r="G81" s="39">
        <f>D81/1000000*52</f>
        <v/>
      </c>
      <c r="H81" s="33">
        <f>G81/$P$4+($C$22/$P$4)</f>
        <v/>
      </c>
      <c r="I81" s="36">
        <f>_xlfn.IFS(K81&lt;K$24,0,K81&lt;K$26,I$24,K81&lt;K$28,I$26,K81&lt;K$30,I$28,K81&lt;K$32,I$30,K81&lt;K$34,I$32,K81&lt;K$36,I$34,K81&lt;K$38,I$36,K81&lt;K$40,I$38,K81&lt;K$42,I$40,K81&lt;K$44,I$42,K81&lt;K$46,I$44,K81&gt;=K$46,I$46)</f>
        <v/>
      </c>
      <c r="J81" s="37">
        <f>_xlfn.IFS(K81&lt;K$24,0,K81&lt;K$25,J$24,K81&lt;K$26,J$25,K81&lt;K$27,J$26,K81&lt;K$28,J$27,K81&lt;K$29,J$28,K81&lt;K$30,J$29,K81&lt;K$31,J$30,K81&lt;K$32,J$31,K81&lt;K$33,J$32,K81&lt;K$34,J$33,K81&lt;K$35,J$34,K81&lt;K$36,J$35,K81&lt;K$37,J$36,K81&lt;K$38,J$37,K81&lt;K$39,J$38,K81&lt;K$40,J$39,K81&lt;K$41,J$40,K81&lt;K$42,J$41,K81&lt;K$43,J$42,K81&lt;K$44,J$43,K81&lt;K$45,J$44,K81&lt;K$46,J$45,K81&lt;K$47,J$46,K81&gt;=K$47,J$47)</f>
        <v/>
      </c>
      <c r="K81" s="38" t="n">
        <v>31</v>
      </c>
      <c r="L81" s="31">
        <f>K81/52</f>
        <v/>
      </c>
      <c r="M81" s="39">
        <f>J81/1000000*52</f>
        <v/>
      </c>
      <c r="N81" s="33">
        <f>M81/$P$4+($I$22/$P$4)</f>
        <v/>
      </c>
      <c r="U81">
        <f>F80</f>
        <v/>
      </c>
      <c r="V81">
        <f>H80</f>
        <v/>
      </c>
      <c r="W81">
        <f>N80</f>
        <v/>
      </c>
    </row>
    <row r="82" ht="15.75" customHeight="1" s="40">
      <c r="C82" s="36">
        <f>_xlfn.IFS(E82&lt;E$24,0,E82&lt;E$26,C$24,E82&lt;E$28,C$26,E82&lt;E$30,C$28,E82&lt;E$32,C$30,E82&lt;E$34,C$32,E82&gt;=E$34,C$34)</f>
        <v/>
      </c>
      <c r="D82" s="37">
        <f>_xlfn.IFS(E82&lt;E$24,0,E82&lt;E$25,D$24,E82&lt;E$26,D$25,E82&lt;E$27,D$26,E82&lt;E$28,D$27,E82&lt;E$29,D$28,E82&lt;E$30,D$29,E82&lt;E$31,D$30,E82&lt;E$32,D$31,E82&lt;E$33,D$32,E82&lt;E$34,D$33,E82&lt;E$35,D$34,E82&gt;=E$35,D$35)</f>
        <v/>
      </c>
      <c r="E82" s="38" t="n">
        <v>32</v>
      </c>
      <c r="F82" s="31">
        <f>E82/52</f>
        <v/>
      </c>
      <c r="G82" s="39">
        <f>D82/1000000*52</f>
        <v/>
      </c>
      <c r="H82" s="33">
        <f>G82/$P$4+($C$22/$P$4)</f>
        <v/>
      </c>
      <c r="I82" s="36">
        <f>_xlfn.IFS(K82&lt;K$24,0,K82&lt;K$26,I$24,K82&lt;K$28,I$26,K82&lt;K$30,I$28,K82&lt;K$32,I$30,K82&lt;K$34,I$32,K82&lt;K$36,I$34,K82&lt;K$38,I$36,K82&lt;K$40,I$38,K82&lt;K$42,I$40,K82&lt;K$44,I$42,K82&lt;K$46,I$44,K82&gt;=K$46,I$46)</f>
        <v/>
      </c>
      <c r="J82" s="37">
        <f>_xlfn.IFS(K82&lt;K$24,0,K82&lt;K$25,J$24,K82&lt;K$26,J$25,K82&lt;K$27,J$26,K82&lt;K$28,J$27,K82&lt;K$29,J$28,K82&lt;K$30,J$29,K82&lt;K$31,J$30,K82&lt;K$32,J$31,K82&lt;K$33,J$32,K82&lt;K$34,J$33,K82&lt;K$35,J$34,K82&lt;K$36,J$35,K82&lt;K$37,J$36,K82&lt;K$38,J$37,K82&lt;K$39,J$38,K82&lt;K$40,J$39,K82&lt;K$41,J$40,K82&lt;K$42,J$41,K82&lt;K$43,J$42,K82&lt;K$44,J$43,K82&lt;K$45,J$44,K82&lt;K$46,J$45,K82&lt;K$47,J$46,K82&gt;=K$47,J$47)</f>
        <v/>
      </c>
      <c r="K82" s="38" t="n">
        <v>32</v>
      </c>
      <c r="L82" s="31">
        <f>K82/52</f>
        <v/>
      </c>
      <c r="M82" s="39">
        <f>J82/1000000*52</f>
        <v/>
      </c>
      <c r="N82" s="33">
        <f>M82/$P$4+($I$22/$P$4)</f>
        <v/>
      </c>
      <c r="U82">
        <f>F81</f>
        <v/>
      </c>
      <c r="V82">
        <f>H81</f>
        <v/>
      </c>
      <c r="W82">
        <f>N81</f>
        <v/>
      </c>
    </row>
    <row r="83" ht="15.75" customHeight="1" s="40">
      <c r="C83" s="36">
        <f>_xlfn.IFS(E83&lt;E$24,0,E83&lt;E$26,C$24,E83&lt;E$28,C$26,E83&lt;E$30,C$28,E83&lt;E$32,C$30,E83&lt;E$34,C$32,E83&gt;=E$34,C$34)</f>
        <v/>
      </c>
      <c r="D83" s="37">
        <f>_xlfn.IFS(E83&lt;E$24,0,E83&lt;E$25,D$24,E83&lt;E$26,D$25,E83&lt;E$27,D$26,E83&lt;E$28,D$27,E83&lt;E$29,D$28,E83&lt;E$30,D$29,E83&lt;E$31,D$30,E83&lt;E$32,D$31,E83&lt;E$33,D$32,E83&lt;E$34,D$33,E83&lt;E$35,D$34,E83&gt;=E$35,D$35)</f>
        <v/>
      </c>
      <c r="E83" s="38" t="n">
        <v>33</v>
      </c>
      <c r="F83" s="31">
        <f>E83/52</f>
        <v/>
      </c>
      <c r="G83" s="39">
        <f>D83/1000000*52</f>
        <v/>
      </c>
      <c r="H83" s="33">
        <f>G83/$P$4+($C$22/$P$4)</f>
        <v/>
      </c>
      <c r="I83" s="36">
        <f>_xlfn.IFS(K83&lt;K$24,0,K83&lt;K$26,I$24,K83&lt;K$28,I$26,K83&lt;K$30,I$28,K83&lt;K$32,I$30,K83&lt;K$34,I$32,K83&lt;K$36,I$34,K83&lt;K$38,I$36,K83&lt;K$40,I$38,K83&lt;K$42,I$40,K83&lt;K$44,I$42,K83&lt;K$46,I$44,K83&gt;=K$46,I$46)</f>
        <v/>
      </c>
      <c r="J83" s="37">
        <f>_xlfn.IFS(K83&lt;K$24,0,K83&lt;K$25,J$24,K83&lt;K$26,J$25,K83&lt;K$27,J$26,K83&lt;K$28,J$27,K83&lt;K$29,J$28,K83&lt;K$30,J$29,K83&lt;K$31,J$30,K83&lt;K$32,J$31,K83&lt;K$33,J$32,K83&lt;K$34,J$33,K83&lt;K$35,J$34,K83&lt;K$36,J$35,K83&lt;K$37,J$36,K83&lt;K$38,J$37,K83&lt;K$39,J$38,K83&lt;K$40,J$39,K83&lt;K$41,J$40,K83&lt;K$42,J$41,K83&lt;K$43,J$42,K83&lt;K$44,J$43,K83&lt;K$45,J$44,K83&lt;K$46,J$45,K83&lt;K$47,J$46,K83&gt;=K$47,J$47)</f>
        <v/>
      </c>
      <c r="K83" s="38" t="n">
        <v>33</v>
      </c>
      <c r="L83" s="31">
        <f>K83/52</f>
        <v/>
      </c>
      <c r="M83" s="39">
        <f>J83/1000000*52</f>
        <v/>
      </c>
      <c r="N83" s="33">
        <f>M83/$P$4+($I$22/$P$4)</f>
        <v/>
      </c>
      <c r="U83">
        <f>F82</f>
        <v/>
      </c>
      <c r="V83">
        <f>H82</f>
        <v/>
      </c>
      <c r="W83">
        <f>N82</f>
        <v/>
      </c>
    </row>
    <row r="84" ht="15.75" customHeight="1" s="40">
      <c r="C84" s="36">
        <f>_xlfn.IFS(E84&lt;E$24,0,E84&lt;E$26,C$24,E84&lt;E$28,C$26,E84&lt;E$30,C$28,E84&lt;E$32,C$30,E84&lt;E$34,C$32,E84&gt;=E$34,C$34)</f>
        <v/>
      </c>
      <c r="D84" s="37">
        <f>_xlfn.IFS(E84&lt;E$24,0,E84&lt;E$25,D$24,E84&lt;E$26,D$25,E84&lt;E$27,D$26,E84&lt;E$28,D$27,E84&lt;E$29,D$28,E84&lt;E$30,D$29,E84&lt;E$31,D$30,E84&lt;E$32,D$31,E84&lt;E$33,D$32,E84&lt;E$34,D$33,E84&lt;E$35,D$34,E84&gt;=E$35,D$35)</f>
        <v/>
      </c>
      <c r="E84" s="38" t="n">
        <v>34</v>
      </c>
      <c r="F84" s="31">
        <f>E84/52</f>
        <v/>
      </c>
      <c r="G84" s="39">
        <f>D84/1000000*52</f>
        <v/>
      </c>
      <c r="H84" s="33">
        <f>G84/$P$4+($C$22/$P$4)</f>
        <v/>
      </c>
      <c r="I84" s="36">
        <f>_xlfn.IFS(K84&lt;K$24,0,K84&lt;K$26,I$24,K84&lt;K$28,I$26,K84&lt;K$30,I$28,K84&lt;K$32,I$30,K84&lt;K$34,I$32,K84&lt;K$36,I$34,K84&lt;K$38,I$36,K84&lt;K$40,I$38,K84&lt;K$42,I$40,K84&lt;K$44,I$42,K84&lt;K$46,I$44,K84&gt;=K$46,I$46)</f>
        <v/>
      </c>
      <c r="J84" s="37">
        <f>_xlfn.IFS(K84&lt;K$24,0,K84&lt;K$25,J$24,K84&lt;K$26,J$25,K84&lt;K$27,J$26,K84&lt;K$28,J$27,K84&lt;K$29,J$28,K84&lt;K$30,J$29,K84&lt;K$31,J$30,K84&lt;K$32,J$31,K84&lt;K$33,J$32,K84&lt;K$34,J$33,K84&lt;K$35,J$34,K84&lt;K$36,J$35,K84&lt;K$37,J$36,K84&lt;K$38,J$37,K84&lt;K$39,J$38,K84&lt;K$40,J$39,K84&lt;K$41,J$40,K84&lt;K$42,J$41,K84&lt;K$43,J$42,K84&lt;K$44,J$43,K84&lt;K$45,J$44,K84&lt;K$46,J$45,K84&lt;K$47,J$46,K84&gt;=K$47,J$47)</f>
        <v/>
      </c>
      <c r="K84" s="38" t="n">
        <v>34</v>
      </c>
      <c r="L84" s="31">
        <f>K84/52</f>
        <v/>
      </c>
      <c r="M84" s="39">
        <f>J84/1000000*52</f>
        <v/>
      </c>
      <c r="N84" s="33">
        <f>M84/$P$4+($I$22/$P$4)</f>
        <v/>
      </c>
      <c r="U84">
        <f>F83</f>
        <v/>
      </c>
      <c r="V84">
        <f>H83</f>
        <v/>
      </c>
      <c r="W84">
        <f>N83</f>
        <v/>
      </c>
    </row>
    <row r="85" ht="15.75" customHeight="1" s="40">
      <c r="C85" s="36">
        <f>_xlfn.IFS(E85&lt;E$24,0,E85&lt;E$26,C$24,E85&lt;E$28,C$26,E85&lt;E$30,C$28,E85&lt;E$32,C$30,E85&lt;E$34,C$32,E85&gt;=E$34,C$34)</f>
        <v/>
      </c>
      <c r="D85" s="37">
        <f>_xlfn.IFS(E85&lt;E$24,0,E85&lt;E$25,D$24,E85&lt;E$26,D$25,E85&lt;E$27,D$26,E85&lt;E$28,D$27,E85&lt;E$29,D$28,E85&lt;E$30,D$29,E85&lt;E$31,D$30,E85&lt;E$32,D$31,E85&lt;E$33,D$32,E85&lt;E$34,D$33,E85&lt;E$35,D$34,E85&gt;=E$35,D$35)</f>
        <v/>
      </c>
      <c r="E85" s="38" t="n">
        <v>35</v>
      </c>
      <c r="F85" s="31">
        <f>E85/52</f>
        <v/>
      </c>
      <c r="G85" s="39">
        <f>D85/1000000*52</f>
        <v/>
      </c>
      <c r="H85" s="33">
        <f>G85/$P$4+($C$22/$P$4)</f>
        <v/>
      </c>
      <c r="I85" s="36">
        <f>_xlfn.IFS(K85&lt;K$24,0,K85&lt;K$26,I$24,K85&lt;K$28,I$26,K85&lt;K$30,I$28,K85&lt;K$32,I$30,K85&lt;K$34,I$32,K85&lt;K$36,I$34,K85&lt;K$38,I$36,K85&lt;K$40,I$38,K85&lt;K$42,I$40,K85&lt;K$44,I$42,K85&lt;K$46,I$44,K85&gt;=K$46,I$46)</f>
        <v/>
      </c>
      <c r="J85" s="37">
        <f>_xlfn.IFS(K85&lt;K$24,0,K85&lt;K$25,J$24,K85&lt;K$26,J$25,K85&lt;K$27,J$26,K85&lt;K$28,J$27,K85&lt;K$29,J$28,K85&lt;K$30,J$29,K85&lt;K$31,J$30,K85&lt;K$32,J$31,K85&lt;K$33,J$32,K85&lt;K$34,J$33,K85&lt;K$35,J$34,K85&lt;K$36,J$35,K85&lt;K$37,J$36,K85&lt;K$38,J$37,K85&lt;K$39,J$38,K85&lt;K$40,J$39,K85&lt;K$41,J$40,K85&lt;K$42,J$41,K85&lt;K$43,J$42,K85&lt;K$44,J$43,K85&lt;K$45,J$44,K85&lt;K$46,J$45,K85&lt;K$47,J$46,K85&gt;=K$47,J$47)</f>
        <v/>
      </c>
      <c r="K85" s="38" t="n">
        <v>35</v>
      </c>
      <c r="L85" s="31">
        <f>K85/52</f>
        <v/>
      </c>
      <c r="M85" s="39">
        <f>J85/1000000*52</f>
        <v/>
      </c>
      <c r="N85" s="33">
        <f>M85/$P$4+($I$22/$P$4)</f>
        <v/>
      </c>
      <c r="U85">
        <f>F84</f>
        <v/>
      </c>
      <c r="V85">
        <f>H84</f>
        <v/>
      </c>
      <c r="W85">
        <f>N84</f>
        <v/>
      </c>
    </row>
    <row r="86" ht="15.75" customHeight="1" s="40">
      <c r="C86" s="36">
        <f>_xlfn.IFS(E86&lt;E$24,0,E86&lt;E$26,C$24,E86&lt;E$28,C$26,E86&lt;E$30,C$28,E86&lt;E$32,C$30,E86&lt;E$34,C$32,E86&gt;=E$34,C$34)</f>
        <v/>
      </c>
      <c r="D86" s="37">
        <f>_xlfn.IFS(E86&lt;E$24,0,E86&lt;E$25,D$24,E86&lt;E$26,D$25,E86&lt;E$27,D$26,E86&lt;E$28,D$27,E86&lt;E$29,D$28,E86&lt;E$30,D$29,E86&lt;E$31,D$30,E86&lt;E$32,D$31,E86&lt;E$33,D$32,E86&lt;E$34,D$33,E86&lt;E$35,D$34,E86&gt;=E$35,D$35)</f>
        <v/>
      </c>
      <c r="E86" s="38" t="n">
        <v>36</v>
      </c>
      <c r="F86" s="31">
        <f>E86/52</f>
        <v/>
      </c>
      <c r="G86" s="39">
        <f>D86/1000000*52</f>
        <v/>
      </c>
      <c r="H86" s="33">
        <f>G86/$P$4+($C$22/$P$4)</f>
        <v/>
      </c>
      <c r="I86" s="36">
        <f>_xlfn.IFS(K86&lt;K$24,0,K86&lt;K$26,I$24,K86&lt;K$28,I$26,K86&lt;K$30,I$28,K86&lt;K$32,I$30,K86&lt;K$34,I$32,K86&lt;K$36,I$34,K86&lt;K$38,I$36,K86&lt;K$40,I$38,K86&lt;K$42,I$40,K86&lt;K$44,I$42,K86&lt;K$46,I$44,K86&gt;=K$46,I$46)</f>
        <v/>
      </c>
      <c r="J86" s="37">
        <f>_xlfn.IFS(K86&lt;K$24,0,K86&lt;K$25,J$24,K86&lt;K$26,J$25,K86&lt;K$27,J$26,K86&lt;K$28,J$27,K86&lt;K$29,J$28,K86&lt;K$30,J$29,K86&lt;K$31,J$30,K86&lt;K$32,J$31,K86&lt;K$33,J$32,K86&lt;K$34,J$33,K86&lt;K$35,J$34,K86&lt;K$36,J$35,K86&lt;K$37,J$36,K86&lt;K$38,J$37,K86&lt;K$39,J$38,K86&lt;K$40,J$39,K86&lt;K$41,J$40,K86&lt;K$42,J$41,K86&lt;K$43,J$42,K86&lt;K$44,J$43,K86&lt;K$45,J$44,K86&lt;K$46,J$45,K86&lt;K$47,J$46,K86&gt;=K$47,J$47)</f>
        <v/>
      </c>
      <c r="K86" s="38" t="n">
        <v>36</v>
      </c>
      <c r="L86" s="31">
        <f>K86/52</f>
        <v/>
      </c>
      <c r="M86" s="39">
        <f>J86/1000000*52</f>
        <v/>
      </c>
      <c r="N86" s="33">
        <f>M86/$P$4+($I$22/$P$4)</f>
        <v/>
      </c>
      <c r="U86">
        <f>F85</f>
        <v/>
      </c>
      <c r="V86">
        <f>H85</f>
        <v/>
      </c>
      <c r="W86">
        <f>N85</f>
        <v/>
      </c>
    </row>
    <row r="87" ht="15.75" customHeight="1" s="40">
      <c r="C87" s="36">
        <f>_xlfn.IFS(E87&lt;E$24,0,E87&lt;E$26,C$24,E87&lt;E$28,C$26,E87&lt;E$30,C$28,E87&lt;E$32,C$30,E87&lt;E$34,C$32,E87&gt;=E$34,C$34)</f>
        <v/>
      </c>
      <c r="D87" s="37">
        <f>_xlfn.IFS(E87&lt;E$24,0,E87&lt;E$25,D$24,E87&lt;E$26,D$25,E87&lt;E$27,D$26,E87&lt;E$28,D$27,E87&lt;E$29,D$28,E87&lt;E$30,D$29,E87&lt;E$31,D$30,E87&lt;E$32,D$31,E87&lt;E$33,D$32,E87&lt;E$34,D$33,E87&lt;E$35,D$34,E87&gt;=E$35,D$35)</f>
        <v/>
      </c>
      <c r="E87" s="38" t="n">
        <v>37</v>
      </c>
      <c r="F87" s="31">
        <f>E87/52</f>
        <v/>
      </c>
      <c r="G87" s="39">
        <f>D87/1000000*52</f>
        <v/>
      </c>
      <c r="H87" s="33">
        <f>G87/$P$4+($C$22/$P$4)</f>
        <v/>
      </c>
      <c r="I87" s="36">
        <f>_xlfn.IFS(K87&lt;K$24,0,K87&lt;K$26,I$24,K87&lt;K$28,I$26,K87&lt;K$30,I$28,K87&lt;K$32,I$30,K87&lt;K$34,I$32,K87&lt;K$36,I$34,K87&lt;K$38,I$36,K87&lt;K$40,I$38,K87&lt;K$42,I$40,K87&lt;K$44,I$42,K87&lt;K$46,I$44,K87&gt;=K$46,I$46)</f>
        <v/>
      </c>
      <c r="J87" s="37">
        <f>_xlfn.IFS(K87&lt;K$24,0,K87&lt;K$25,J$24,K87&lt;K$26,J$25,K87&lt;K$27,J$26,K87&lt;K$28,J$27,K87&lt;K$29,J$28,K87&lt;K$30,J$29,K87&lt;K$31,J$30,K87&lt;K$32,J$31,K87&lt;K$33,J$32,K87&lt;K$34,J$33,K87&lt;K$35,J$34,K87&lt;K$36,J$35,K87&lt;K$37,J$36,K87&lt;K$38,J$37,K87&lt;K$39,J$38,K87&lt;K$40,J$39,K87&lt;K$41,J$40,K87&lt;K$42,J$41,K87&lt;K$43,J$42,K87&lt;K$44,J$43,K87&lt;K$45,J$44,K87&lt;K$46,J$45,K87&lt;K$47,J$46,K87&gt;=K$47,J$47)</f>
        <v/>
      </c>
      <c r="K87" s="38" t="n">
        <v>37</v>
      </c>
      <c r="L87" s="31">
        <f>K87/52</f>
        <v/>
      </c>
      <c r="M87" s="39">
        <f>J87/1000000*52</f>
        <v/>
      </c>
      <c r="N87" s="33">
        <f>M87/$P$4+($I$22/$P$4)</f>
        <v/>
      </c>
      <c r="U87">
        <f>F86</f>
        <v/>
      </c>
      <c r="V87">
        <f>H86</f>
        <v/>
      </c>
      <c r="W87">
        <f>N86</f>
        <v/>
      </c>
    </row>
    <row r="88" ht="15.75" customHeight="1" s="40">
      <c r="C88" s="36">
        <f>_xlfn.IFS(E88&lt;E$24,0,E88&lt;E$26,C$24,E88&lt;E$28,C$26,E88&lt;E$30,C$28,E88&lt;E$32,C$30,E88&lt;E$34,C$32,E88&gt;=E$34,C$34)</f>
        <v/>
      </c>
      <c r="D88" s="37">
        <f>_xlfn.IFS(E88&lt;E$24,0,E88&lt;E$25,D$24,E88&lt;E$26,D$25,E88&lt;E$27,D$26,E88&lt;E$28,D$27,E88&lt;E$29,D$28,E88&lt;E$30,D$29,E88&lt;E$31,D$30,E88&lt;E$32,D$31,E88&lt;E$33,D$32,E88&lt;E$34,D$33,E88&lt;E$35,D$34,E88&gt;=E$35,D$35)</f>
        <v/>
      </c>
      <c r="E88" s="38" t="n">
        <v>38</v>
      </c>
      <c r="F88" s="31">
        <f>E88/52</f>
        <v/>
      </c>
      <c r="G88" s="39">
        <f>D88/1000000*52</f>
        <v/>
      </c>
      <c r="H88" s="33">
        <f>G88/$P$4+($C$22/$P$4)</f>
        <v/>
      </c>
      <c r="I88" s="36">
        <f>_xlfn.IFS(K88&lt;K$24,0,K88&lt;K$26,I$24,K88&lt;K$28,I$26,K88&lt;K$30,I$28,K88&lt;K$32,I$30,K88&lt;K$34,I$32,K88&lt;K$36,I$34,K88&lt;K$38,I$36,K88&lt;K$40,I$38,K88&lt;K$42,I$40,K88&lt;K$44,I$42,K88&lt;K$46,I$44,K88&gt;=K$46,I$46)</f>
        <v/>
      </c>
      <c r="J88" s="37">
        <f>_xlfn.IFS(K88&lt;K$24,0,K88&lt;K$25,J$24,K88&lt;K$26,J$25,K88&lt;K$27,J$26,K88&lt;K$28,J$27,K88&lt;K$29,J$28,K88&lt;K$30,J$29,K88&lt;K$31,J$30,K88&lt;K$32,J$31,K88&lt;K$33,J$32,K88&lt;K$34,J$33,K88&lt;K$35,J$34,K88&lt;K$36,J$35,K88&lt;K$37,J$36,K88&lt;K$38,J$37,K88&lt;K$39,J$38,K88&lt;K$40,J$39,K88&lt;K$41,J$40,K88&lt;K$42,J$41,K88&lt;K$43,J$42,K88&lt;K$44,J$43,K88&lt;K$45,J$44,K88&lt;K$46,J$45,K88&lt;K$47,J$46,K88&gt;=K$47,J$47)</f>
        <v/>
      </c>
      <c r="K88" s="38" t="n">
        <v>38</v>
      </c>
      <c r="L88" s="31">
        <f>K88/52</f>
        <v/>
      </c>
      <c r="M88" s="39">
        <f>J88/1000000*52</f>
        <v/>
      </c>
      <c r="N88" s="33">
        <f>M88/$P$4+($I$22/$P$4)</f>
        <v/>
      </c>
      <c r="U88">
        <f>F87</f>
        <v/>
      </c>
      <c r="V88">
        <f>H87</f>
        <v/>
      </c>
      <c r="W88">
        <f>N87</f>
        <v/>
      </c>
    </row>
    <row r="89" ht="15.75" customHeight="1" s="40">
      <c r="C89" s="36">
        <f>_xlfn.IFS(E89&lt;E$24,0,E89&lt;E$26,C$24,E89&lt;E$28,C$26,E89&lt;E$30,C$28,E89&lt;E$32,C$30,E89&lt;E$34,C$32,E89&gt;=E$34,C$34)</f>
        <v/>
      </c>
      <c r="D89" s="37">
        <f>_xlfn.IFS(E89&lt;E$24,0,E89&lt;E$25,D$24,E89&lt;E$26,D$25,E89&lt;E$27,D$26,E89&lt;E$28,D$27,E89&lt;E$29,D$28,E89&lt;E$30,D$29,E89&lt;E$31,D$30,E89&lt;E$32,D$31,E89&lt;E$33,D$32,E89&lt;E$34,D$33,E89&lt;E$35,D$34,E89&gt;=E$35,D$35)</f>
        <v/>
      </c>
      <c r="E89" s="38" t="n">
        <v>39</v>
      </c>
      <c r="F89" s="31">
        <f>E89/52</f>
        <v/>
      </c>
      <c r="G89" s="39">
        <f>D89/1000000*52</f>
        <v/>
      </c>
      <c r="H89" s="33">
        <f>G89/$P$4+($C$22/$P$4)</f>
        <v/>
      </c>
      <c r="I89" s="36">
        <f>_xlfn.IFS(K89&lt;K$24,0,K89&lt;K$26,I$24,K89&lt;K$28,I$26,K89&lt;K$30,I$28,K89&lt;K$32,I$30,K89&lt;K$34,I$32,K89&lt;K$36,I$34,K89&lt;K$38,I$36,K89&lt;K$40,I$38,K89&lt;K$42,I$40,K89&lt;K$44,I$42,K89&lt;K$46,I$44,K89&gt;=K$46,I$46)</f>
        <v/>
      </c>
      <c r="J89" s="37">
        <f>_xlfn.IFS(K89&lt;K$24,0,K89&lt;K$25,J$24,K89&lt;K$26,J$25,K89&lt;K$27,J$26,K89&lt;K$28,J$27,K89&lt;K$29,J$28,K89&lt;K$30,J$29,K89&lt;K$31,J$30,K89&lt;K$32,J$31,K89&lt;K$33,J$32,K89&lt;K$34,J$33,K89&lt;K$35,J$34,K89&lt;K$36,J$35,K89&lt;K$37,J$36,K89&lt;K$38,J$37,K89&lt;K$39,J$38,K89&lt;K$40,J$39,K89&lt;K$41,J$40,K89&lt;K$42,J$41,K89&lt;K$43,J$42,K89&lt;K$44,J$43,K89&lt;K$45,J$44,K89&lt;K$46,J$45,K89&lt;K$47,J$46,K89&gt;=K$47,J$47)</f>
        <v/>
      </c>
      <c r="K89" s="38" t="n">
        <v>39</v>
      </c>
      <c r="L89" s="31">
        <f>K89/52</f>
        <v/>
      </c>
      <c r="M89" s="39">
        <f>J89/1000000*52</f>
        <v/>
      </c>
      <c r="N89" s="33">
        <f>M89/$P$4+($I$22/$P$4)</f>
        <v/>
      </c>
      <c r="U89">
        <f>F88</f>
        <v/>
      </c>
      <c r="V89">
        <f>H88</f>
        <v/>
      </c>
      <c r="W89">
        <f>N88</f>
        <v/>
      </c>
    </row>
    <row r="90" ht="15.75" customHeight="1" s="40">
      <c r="C90" s="36">
        <f>_xlfn.IFS(E90&lt;E$24,0,E90&lt;E$26,C$24,E90&lt;E$28,C$26,E90&lt;E$30,C$28,E90&lt;E$32,C$30,E90&lt;E$34,C$32,E90&gt;=E$34,C$34)</f>
        <v/>
      </c>
      <c r="D90" s="37">
        <f>_xlfn.IFS(E90&lt;E$24,0,E90&lt;E$25,D$24,E90&lt;E$26,D$25,E90&lt;E$27,D$26,E90&lt;E$28,D$27,E90&lt;E$29,D$28,E90&lt;E$30,D$29,E90&lt;E$31,D$30,E90&lt;E$32,D$31,E90&lt;E$33,D$32,E90&lt;E$34,D$33,E90&lt;E$35,D$34,E90&gt;=E$35,D$35)</f>
        <v/>
      </c>
      <c r="E90" s="38" t="n">
        <v>40</v>
      </c>
      <c r="F90" s="31">
        <f>E90/52</f>
        <v/>
      </c>
      <c r="G90" s="39">
        <f>D90/1000000*52</f>
        <v/>
      </c>
      <c r="H90" s="33">
        <f>G90/$P$4+($C$22/$P$4)</f>
        <v/>
      </c>
      <c r="I90" s="36">
        <f>_xlfn.IFS(K90&lt;K$24,0,K90&lt;K$26,I$24,K90&lt;K$28,I$26,K90&lt;K$30,I$28,K90&lt;K$32,I$30,K90&lt;K$34,I$32,K90&lt;K$36,I$34,K90&lt;K$38,I$36,K90&lt;K$40,I$38,K90&lt;K$42,I$40,K90&lt;K$44,I$42,K90&lt;K$46,I$44,K90&gt;=K$46,I$46)</f>
        <v/>
      </c>
      <c r="J90" s="37">
        <f>_xlfn.IFS(K90&lt;K$24,0,K90&lt;K$25,J$24,K90&lt;K$26,J$25,K90&lt;K$27,J$26,K90&lt;K$28,J$27,K90&lt;K$29,J$28,K90&lt;K$30,J$29,K90&lt;K$31,J$30,K90&lt;K$32,J$31,K90&lt;K$33,J$32,K90&lt;K$34,J$33,K90&lt;K$35,J$34,K90&lt;K$36,J$35,K90&lt;K$37,J$36,K90&lt;K$38,J$37,K90&lt;K$39,J$38,K90&lt;K$40,J$39,K90&lt;K$41,J$40,K90&lt;K$42,J$41,K90&lt;K$43,J$42,K90&lt;K$44,J$43,K90&lt;K$45,J$44,K90&lt;K$46,J$45,K90&lt;K$47,J$46,K90&gt;=K$47,J$47)</f>
        <v/>
      </c>
      <c r="K90" s="38" t="n">
        <v>40</v>
      </c>
      <c r="L90" s="31">
        <f>K90/52</f>
        <v/>
      </c>
      <c r="M90" s="39">
        <f>J90/1000000*52</f>
        <v/>
      </c>
      <c r="N90" s="33">
        <f>M90/$P$4+($I$22/$P$4)</f>
        <v/>
      </c>
      <c r="U90">
        <f>F89</f>
        <v/>
      </c>
      <c r="V90">
        <f>H89</f>
        <v/>
      </c>
      <c r="W90">
        <f>N89</f>
        <v/>
      </c>
    </row>
    <row r="91" ht="15.75" customHeight="1" s="40">
      <c r="C91" s="36">
        <f>_xlfn.IFS(E91&lt;E$24,0,E91&lt;E$26,C$24,E91&lt;E$28,C$26,E91&lt;E$30,C$28,E91&lt;E$32,C$30,E91&lt;E$34,C$32,E91&gt;=E$34,C$34)</f>
        <v/>
      </c>
      <c r="D91" s="37">
        <f>_xlfn.IFS(E91&lt;E$24,0,E91&lt;E$25,D$24,E91&lt;E$26,D$25,E91&lt;E$27,D$26,E91&lt;E$28,D$27,E91&lt;E$29,D$28,E91&lt;E$30,D$29,E91&lt;E$31,D$30,E91&lt;E$32,D$31,E91&lt;E$33,D$32,E91&lt;E$34,D$33,E91&lt;E$35,D$34,E91&gt;=E$35,D$35)</f>
        <v/>
      </c>
      <c r="E91" s="38" t="n">
        <v>41</v>
      </c>
      <c r="F91" s="31">
        <f>E91/52</f>
        <v/>
      </c>
      <c r="G91" s="39">
        <f>D91/1000000*52</f>
        <v/>
      </c>
      <c r="H91" s="33">
        <f>G91/$P$4+($C$22/$P$4)</f>
        <v/>
      </c>
      <c r="I91" s="36">
        <f>_xlfn.IFS(K91&lt;K$24,0,K91&lt;K$26,I$24,K91&lt;K$28,I$26,K91&lt;K$30,I$28,K91&lt;K$32,I$30,K91&lt;K$34,I$32,K91&lt;K$36,I$34,K91&lt;K$38,I$36,K91&lt;K$40,I$38,K91&lt;K$42,I$40,K91&lt;K$44,I$42,K91&lt;K$46,I$44,K91&gt;=K$46,I$46)</f>
        <v/>
      </c>
      <c r="J91" s="37">
        <f>_xlfn.IFS(K91&lt;K$24,0,K91&lt;K$25,J$24,K91&lt;K$26,J$25,K91&lt;K$27,J$26,K91&lt;K$28,J$27,K91&lt;K$29,J$28,K91&lt;K$30,J$29,K91&lt;K$31,J$30,K91&lt;K$32,J$31,K91&lt;K$33,J$32,K91&lt;K$34,J$33,K91&lt;K$35,J$34,K91&lt;K$36,J$35,K91&lt;K$37,J$36,K91&lt;K$38,J$37,K91&lt;K$39,J$38,K91&lt;K$40,J$39,K91&lt;K$41,J$40,K91&lt;K$42,J$41,K91&lt;K$43,J$42,K91&lt;K$44,J$43,K91&lt;K$45,J$44,K91&lt;K$46,J$45,K91&lt;K$47,J$46,K91&gt;=K$47,J$47)</f>
        <v/>
      </c>
      <c r="K91" s="38" t="n">
        <v>41</v>
      </c>
      <c r="L91" s="31">
        <f>K91/52</f>
        <v/>
      </c>
      <c r="M91" s="39">
        <f>J91/1000000*52</f>
        <v/>
      </c>
      <c r="N91" s="33">
        <f>M91/$P$4+($I$22/$P$4)</f>
        <v/>
      </c>
      <c r="U91">
        <f>F90</f>
        <v/>
      </c>
      <c r="V91">
        <f>H90</f>
        <v/>
      </c>
      <c r="W91">
        <f>N90</f>
        <v/>
      </c>
    </row>
    <row r="92" ht="15.75" customHeight="1" s="40">
      <c r="C92" s="36">
        <f>_xlfn.IFS(E92&lt;E$24,0,E92&lt;E$26,C$24,E92&lt;E$28,C$26,E92&lt;E$30,C$28,E92&lt;E$32,C$30,E92&lt;E$34,C$32,E92&gt;=E$34,C$34)</f>
        <v/>
      </c>
      <c r="D92" s="37">
        <f>_xlfn.IFS(E92&lt;E$24,0,E92&lt;E$25,D$24,E92&lt;E$26,D$25,E92&lt;E$27,D$26,E92&lt;E$28,D$27,E92&lt;E$29,D$28,E92&lt;E$30,D$29,E92&lt;E$31,D$30,E92&lt;E$32,D$31,E92&lt;E$33,D$32,E92&lt;E$34,D$33,E92&lt;E$35,D$34,E92&gt;=E$35,D$35)</f>
        <v/>
      </c>
      <c r="E92" s="38" t="n">
        <v>42</v>
      </c>
      <c r="F92" s="31">
        <f>E92/52</f>
        <v/>
      </c>
      <c r="G92" s="39">
        <f>D92/1000000*52</f>
        <v/>
      </c>
      <c r="H92" s="33">
        <f>G92/$P$4+($C$22/$P$4)</f>
        <v/>
      </c>
      <c r="I92" s="36">
        <f>_xlfn.IFS(K92&lt;K$24,0,K92&lt;K$26,I$24,K92&lt;K$28,I$26,K92&lt;K$30,I$28,K92&lt;K$32,I$30,K92&lt;K$34,I$32,K92&lt;K$36,I$34,K92&lt;K$38,I$36,K92&lt;K$40,I$38,K92&lt;K$42,I$40,K92&lt;K$44,I$42,K92&lt;K$46,I$44,K92&gt;=K$46,I$46)</f>
        <v/>
      </c>
      <c r="J92" s="37">
        <f>_xlfn.IFS(K92&lt;K$24,0,K92&lt;K$25,J$24,K92&lt;K$26,J$25,K92&lt;K$27,J$26,K92&lt;K$28,J$27,K92&lt;K$29,J$28,K92&lt;K$30,J$29,K92&lt;K$31,J$30,K92&lt;K$32,J$31,K92&lt;K$33,J$32,K92&lt;K$34,J$33,K92&lt;K$35,J$34,K92&lt;K$36,J$35,K92&lt;K$37,J$36,K92&lt;K$38,J$37,K92&lt;K$39,J$38,K92&lt;K$40,J$39,K92&lt;K$41,J$40,K92&lt;K$42,J$41,K92&lt;K$43,J$42,K92&lt;K$44,J$43,K92&lt;K$45,J$44,K92&lt;K$46,J$45,K92&lt;K$47,J$46,K92&gt;=K$47,J$47)</f>
        <v/>
      </c>
      <c r="K92" s="38" t="n">
        <v>42</v>
      </c>
      <c r="L92" s="31">
        <f>K92/52</f>
        <v/>
      </c>
      <c r="M92" s="39">
        <f>J92/1000000*52</f>
        <v/>
      </c>
      <c r="N92" s="33">
        <f>M92/$P$4+($I$22/$P$4)</f>
        <v/>
      </c>
      <c r="U92">
        <f>F91</f>
        <v/>
      </c>
      <c r="V92">
        <f>H91</f>
        <v/>
      </c>
      <c r="W92">
        <f>N91</f>
        <v/>
      </c>
    </row>
    <row r="93" ht="15.75" customHeight="1" s="40">
      <c r="C93" s="36">
        <f>_xlfn.IFS(E93&lt;E$24,0,E93&lt;E$26,C$24,E93&lt;E$28,C$26,E93&lt;E$30,C$28,E93&lt;E$32,C$30,E93&lt;E$34,C$32,E93&gt;=E$34,C$34)</f>
        <v/>
      </c>
      <c r="D93" s="37">
        <f>_xlfn.IFS(E93&lt;E$24,0,E93&lt;E$25,D$24,E93&lt;E$26,D$25,E93&lt;E$27,D$26,E93&lt;E$28,D$27,E93&lt;E$29,D$28,E93&lt;E$30,D$29,E93&lt;E$31,D$30,E93&lt;E$32,D$31,E93&lt;E$33,D$32,E93&lt;E$34,D$33,E93&lt;E$35,D$34,E93&gt;=E$35,D$35)</f>
        <v/>
      </c>
      <c r="E93" s="38" t="n">
        <v>43</v>
      </c>
      <c r="F93" s="31">
        <f>E93/52</f>
        <v/>
      </c>
      <c r="G93" s="39">
        <f>D93/1000000*52</f>
        <v/>
      </c>
      <c r="H93" s="33">
        <f>G93/$P$4+($C$22/$P$4)</f>
        <v/>
      </c>
      <c r="I93" s="36">
        <f>_xlfn.IFS(K93&lt;K$24,0,K93&lt;K$26,I$24,K93&lt;K$28,I$26,K93&lt;K$30,I$28,K93&lt;K$32,I$30,K93&lt;K$34,I$32,K93&lt;K$36,I$34,K93&lt;K$38,I$36,K93&lt;K$40,I$38,K93&lt;K$42,I$40,K93&lt;K$44,I$42,K93&lt;K$46,I$44,K93&gt;=K$46,I$46)</f>
        <v/>
      </c>
      <c r="J93" s="37">
        <f>_xlfn.IFS(K93&lt;K$24,0,K93&lt;K$25,J$24,K93&lt;K$26,J$25,K93&lt;K$27,J$26,K93&lt;K$28,J$27,K93&lt;K$29,J$28,K93&lt;K$30,J$29,K93&lt;K$31,J$30,K93&lt;K$32,J$31,K93&lt;K$33,J$32,K93&lt;K$34,J$33,K93&lt;K$35,J$34,K93&lt;K$36,J$35,K93&lt;K$37,J$36,K93&lt;K$38,J$37,K93&lt;K$39,J$38,K93&lt;K$40,J$39,K93&lt;K$41,J$40,K93&lt;K$42,J$41,K93&lt;K$43,J$42,K93&lt;K$44,J$43,K93&lt;K$45,J$44,K93&lt;K$46,J$45,K93&lt;K$47,J$46,K93&gt;=K$47,J$47)</f>
        <v/>
      </c>
      <c r="K93" s="38" t="n">
        <v>43</v>
      </c>
      <c r="L93" s="31">
        <f>K93/52</f>
        <v/>
      </c>
      <c r="M93" s="39">
        <f>J93/1000000*52</f>
        <v/>
      </c>
      <c r="N93" s="33">
        <f>M93/$P$4+($I$22/$P$4)</f>
        <v/>
      </c>
      <c r="U93">
        <f>F92</f>
        <v/>
      </c>
      <c r="V93">
        <f>H92</f>
        <v/>
      </c>
      <c r="W93">
        <f>N92</f>
        <v/>
      </c>
    </row>
    <row r="94" ht="15.75" customHeight="1" s="40">
      <c r="C94" s="36">
        <f>_xlfn.IFS(E94&lt;E$24,0,E94&lt;E$26,C$24,E94&lt;E$28,C$26,E94&lt;E$30,C$28,E94&lt;E$32,C$30,E94&lt;E$34,C$32,E94&gt;=E$34,C$34)</f>
        <v/>
      </c>
      <c r="D94" s="37">
        <f>_xlfn.IFS(E94&lt;E$24,0,E94&lt;E$25,D$24,E94&lt;E$26,D$25,E94&lt;E$27,D$26,E94&lt;E$28,D$27,E94&lt;E$29,D$28,E94&lt;E$30,D$29,E94&lt;E$31,D$30,E94&lt;E$32,D$31,E94&lt;E$33,D$32,E94&lt;E$34,D$33,E94&lt;E$35,D$34,E94&gt;=E$35,D$35)</f>
        <v/>
      </c>
      <c r="E94" s="38" t="n">
        <v>44</v>
      </c>
      <c r="F94" s="31">
        <f>E94/52</f>
        <v/>
      </c>
      <c r="G94" s="39">
        <f>D94/1000000*52</f>
        <v/>
      </c>
      <c r="H94" s="33">
        <f>G94/$P$4+($C$22/$P$4)</f>
        <v/>
      </c>
      <c r="I94" s="36">
        <f>_xlfn.IFS(K94&lt;K$24,0,K94&lt;K$26,I$24,K94&lt;K$28,I$26,K94&lt;K$30,I$28,K94&lt;K$32,I$30,K94&lt;K$34,I$32,K94&lt;K$36,I$34,K94&lt;K$38,I$36,K94&lt;K$40,I$38,K94&lt;K$42,I$40,K94&lt;K$44,I$42,K94&lt;K$46,I$44,K94&gt;=K$46,I$46)</f>
        <v/>
      </c>
      <c r="J94" s="37">
        <f>_xlfn.IFS(K94&lt;K$24,0,K94&lt;K$25,J$24,K94&lt;K$26,J$25,K94&lt;K$27,J$26,K94&lt;K$28,J$27,K94&lt;K$29,J$28,K94&lt;K$30,J$29,K94&lt;K$31,J$30,K94&lt;K$32,J$31,K94&lt;K$33,J$32,K94&lt;K$34,J$33,K94&lt;K$35,J$34,K94&lt;K$36,J$35,K94&lt;K$37,J$36,K94&lt;K$38,J$37,K94&lt;K$39,J$38,K94&lt;K$40,J$39,K94&lt;K$41,J$40,K94&lt;K$42,J$41,K94&lt;K$43,J$42,K94&lt;K$44,J$43,K94&lt;K$45,J$44,K94&lt;K$46,J$45,K94&lt;K$47,J$46,K94&gt;=K$47,J$47)</f>
        <v/>
      </c>
      <c r="K94" s="38" t="n">
        <v>44</v>
      </c>
      <c r="L94" s="31">
        <f>K94/52</f>
        <v/>
      </c>
      <c r="M94" s="39">
        <f>J94/1000000*52</f>
        <v/>
      </c>
      <c r="N94" s="33">
        <f>M94/$P$4+($I$22/$P$4)</f>
        <v/>
      </c>
      <c r="U94">
        <f>F93</f>
        <v/>
      </c>
      <c r="V94">
        <f>H93</f>
        <v/>
      </c>
      <c r="W94">
        <f>N93</f>
        <v/>
      </c>
    </row>
    <row r="95" ht="15.75" customHeight="1" s="40">
      <c r="C95" s="36">
        <f>_xlfn.IFS(E95&lt;E$24,0,E95&lt;E$26,C$24,E95&lt;E$28,C$26,E95&lt;E$30,C$28,E95&lt;E$32,C$30,E95&lt;E$34,C$32,E95&gt;=E$34,C$34)</f>
        <v/>
      </c>
      <c r="D95" s="37">
        <f>_xlfn.IFS(E95&lt;E$24,0,E95&lt;E$25,D$24,E95&lt;E$26,D$25,E95&lt;E$27,D$26,E95&lt;E$28,D$27,E95&lt;E$29,D$28,E95&lt;E$30,D$29,E95&lt;E$31,D$30,E95&lt;E$32,D$31,E95&lt;E$33,D$32,E95&lt;E$34,D$33,E95&lt;E$35,D$34,E95&gt;=E$35,D$35)</f>
        <v/>
      </c>
      <c r="E95" s="38" t="n">
        <v>45</v>
      </c>
      <c r="F95" s="31">
        <f>E95/52</f>
        <v/>
      </c>
      <c r="G95" s="39">
        <f>D95/1000000*52</f>
        <v/>
      </c>
      <c r="H95" s="33">
        <f>G95/$P$4+($C$22/$P$4)</f>
        <v/>
      </c>
      <c r="I95" s="36">
        <f>_xlfn.IFS(K95&lt;K$24,0,K95&lt;K$26,I$24,K95&lt;K$28,I$26,K95&lt;K$30,I$28,K95&lt;K$32,I$30,K95&lt;K$34,I$32,K95&lt;K$36,I$34,K95&lt;K$38,I$36,K95&lt;K$40,I$38,K95&lt;K$42,I$40,K95&lt;K$44,I$42,K95&lt;K$46,I$44,K95&gt;=K$46,I$46)</f>
        <v/>
      </c>
      <c r="J95" s="37">
        <f>_xlfn.IFS(K95&lt;K$24,0,K95&lt;K$25,J$24,K95&lt;K$26,J$25,K95&lt;K$27,J$26,K95&lt;K$28,J$27,K95&lt;K$29,J$28,K95&lt;K$30,J$29,K95&lt;K$31,J$30,K95&lt;K$32,J$31,K95&lt;K$33,J$32,K95&lt;K$34,J$33,K95&lt;K$35,J$34,K95&lt;K$36,J$35,K95&lt;K$37,J$36,K95&lt;K$38,J$37,K95&lt;K$39,J$38,K95&lt;K$40,J$39,K95&lt;K$41,J$40,K95&lt;K$42,J$41,K95&lt;K$43,J$42,K95&lt;K$44,J$43,K95&lt;K$45,J$44,K95&lt;K$46,J$45,K95&lt;K$47,J$46,K95&gt;=K$47,J$47)</f>
        <v/>
      </c>
      <c r="K95" s="38" t="n">
        <v>45</v>
      </c>
      <c r="L95" s="31">
        <f>K95/52</f>
        <v/>
      </c>
      <c r="M95" s="39">
        <f>J95/1000000*52</f>
        <v/>
      </c>
      <c r="N95" s="33">
        <f>M95/$P$4+($I$22/$P$4)</f>
        <v/>
      </c>
      <c r="U95">
        <f>F94</f>
        <v/>
      </c>
      <c r="V95">
        <f>H94</f>
        <v/>
      </c>
      <c r="W95">
        <f>N94</f>
        <v/>
      </c>
    </row>
    <row r="96" ht="15.75" customHeight="1" s="40">
      <c r="C96" s="36">
        <f>_xlfn.IFS(E96&lt;E$24,0,E96&lt;E$26,C$24,E96&lt;E$28,C$26,E96&lt;E$30,C$28,E96&lt;E$32,C$30,E96&lt;E$34,C$32,E96&gt;=E$34,C$34)</f>
        <v/>
      </c>
      <c r="D96" s="37">
        <f>_xlfn.IFS(E96&lt;E$24,0,E96&lt;E$25,D$24,E96&lt;E$26,D$25,E96&lt;E$27,D$26,E96&lt;E$28,D$27,E96&lt;E$29,D$28,E96&lt;E$30,D$29,E96&lt;E$31,D$30,E96&lt;E$32,D$31,E96&lt;E$33,D$32,E96&lt;E$34,D$33,E96&lt;E$35,D$34,E96&gt;=E$35,D$35)</f>
        <v/>
      </c>
      <c r="E96" s="38" t="n">
        <v>46</v>
      </c>
      <c r="F96" s="31">
        <f>E96/52</f>
        <v/>
      </c>
      <c r="G96" s="39">
        <f>D96/1000000*52</f>
        <v/>
      </c>
      <c r="H96" s="33">
        <f>G96/$P$4+($C$22/$P$4)</f>
        <v/>
      </c>
      <c r="I96" s="36">
        <f>_xlfn.IFS(K96&lt;K$24,0,K96&lt;K$26,I$24,K96&lt;K$28,I$26,K96&lt;K$30,I$28,K96&lt;K$32,I$30,K96&lt;K$34,I$32,K96&lt;K$36,I$34,K96&lt;K$38,I$36,K96&lt;K$40,I$38,K96&lt;K$42,I$40,K96&lt;K$44,I$42,K96&lt;K$46,I$44,K96&gt;=K$46,I$46)</f>
        <v/>
      </c>
      <c r="J96" s="37">
        <f>_xlfn.IFS(K96&lt;K$24,0,K96&lt;K$25,J$24,K96&lt;K$26,J$25,K96&lt;K$27,J$26,K96&lt;K$28,J$27,K96&lt;K$29,J$28,K96&lt;K$30,J$29,K96&lt;K$31,J$30,K96&lt;K$32,J$31,K96&lt;K$33,J$32,K96&lt;K$34,J$33,K96&lt;K$35,J$34,K96&lt;K$36,J$35,K96&lt;K$37,J$36,K96&lt;K$38,J$37,K96&lt;K$39,J$38,K96&lt;K$40,J$39,K96&lt;K$41,J$40,K96&lt;K$42,J$41,K96&lt;K$43,J$42,K96&lt;K$44,J$43,K96&lt;K$45,J$44,K96&lt;K$46,J$45,K96&lt;K$47,J$46,K96&gt;=K$47,J$47)</f>
        <v/>
      </c>
      <c r="K96" s="38" t="n">
        <v>46</v>
      </c>
      <c r="L96" s="31">
        <f>K96/52</f>
        <v/>
      </c>
      <c r="M96" s="39">
        <f>J96/1000000*52</f>
        <v/>
      </c>
      <c r="N96" s="33">
        <f>M96/$P$4+($I$22/$P$4)</f>
        <v/>
      </c>
      <c r="U96">
        <f>F95</f>
        <v/>
      </c>
      <c r="V96">
        <f>H95</f>
        <v/>
      </c>
      <c r="W96">
        <f>N95</f>
        <v/>
      </c>
    </row>
    <row r="97" ht="15.75" customHeight="1" s="40">
      <c r="C97" s="36">
        <f>_xlfn.IFS(E97&lt;E$24,0,E97&lt;E$26,C$24,E97&lt;E$28,C$26,E97&lt;E$30,C$28,E97&lt;E$32,C$30,E97&lt;E$34,C$32,E97&gt;=E$34,C$34)</f>
        <v/>
      </c>
      <c r="D97" s="37">
        <f>_xlfn.IFS(E97&lt;E$24,0,E97&lt;E$25,D$24,E97&lt;E$26,D$25,E97&lt;E$27,D$26,E97&lt;E$28,D$27,E97&lt;E$29,D$28,E97&lt;E$30,D$29,E97&lt;E$31,D$30,E97&lt;E$32,D$31,E97&lt;E$33,D$32,E97&lt;E$34,D$33,E97&lt;E$35,D$34,E97&gt;=E$35,D$35)</f>
        <v/>
      </c>
      <c r="E97" s="38" t="n">
        <v>47</v>
      </c>
      <c r="F97" s="31">
        <f>E97/52</f>
        <v/>
      </c>
      <c r="G97" s="39">
        <f>D97/1000000*52</f>
        <v/>
      </c>
      <c r="H97" s="33">
        <f>G97/$P$4+($C$22/$P$4)</f>
        <v/>
      </c>
      <c r="I97" s="36">
        <f>_xlfn.IFS(K97&lt;K$24,0,K97&lt;K$26,I$24,K97&lt;K$28,I$26,K97&lt;K$30,I$28,K97&lt;K$32,I$30,K97&lt;K$34,I$32,K97&lt;K$36,I$34,K97&lt;K$38,I$36,K97&lt;K$40,I$38,K97&lt;K$42,I$40,K97&lt;K$44,I$42,K97&lt;K$46,I$44,K97&gt;=K$46,I$46)</f>
        <v/>
      </c>
      <c r="J97" s="37">
        <f>_xlfn.IFS(K97&lt;K$24,0,K97&lt;K$25,J$24,K97&lt;K$26,J$25,K97&lt;K$27,J$26,K97&lt;K$28,J$27,K97&lt;K$29,J$28,K97&lt;K$30,J$29,K97&lt;K$31,J$30,K97&lt;K$32,J$31,K97&lt;K$33,J$32,K97&lt;K$34,J$33,K97&lt;K$35,J$34,K97&lt;K$36,J$35,K97&lt;K$37,J$36,K97&lt;K$38,J$37,K97&lt;K$39,J$38,K97&lt;K$40,J$39,K97&lt;K$41,J$40,K97&lt;K$42,J$41,K97&lt;K$43,J$42,K97&lt;K$44,J$43,K97&lt;K$45,J$44,K97&lt;K$46,J$45,K97&lt;K$47,J$46,K97&gt;=K$47,J$47)</f>
        <v/>
      </c>
      <c r="K97" s="38" t="n">
        <v>47</v>
      </c>
      <c r="L97" s="31">
        <f>K97/52</f>
        <v/>
      </c>
      <c r="M97" s="39">
        <f>J97/1000000*52</f>
        <v/>
      </c>
      <c r="N97" s="33">
        <f>M97/$P$4+($I$22/$P$4)</f>
        <v/>
      </c>
      <c r="U97">
        <f>F96</f>
        <v/>
      </c>
      <c r="V97">
        <f>H96</f>
        <v/>
      </c>
      <c r="W97">
        <f>N96</f>
        <v/>
      </c>
    </row>
    <row r="98" ht="15.75" customHeight="1" s="40">
      <c r="C98" s="36">
        <f>_xlfn.IFS(E98&lt;E$24,0,E98&lt;E$26,C$24,E98&lt;E$28,C$26,E98&lt;E$30,C$28,E98&lt;E$32,C$30,E98&lt;E$34,C$32,E98&gt;=E$34,C$34)</f>
        <v/>
      </c>
      <c r="D98" s="37">
        <f>_xlfn.IFS(E98&lt;E$24,0,E98&lt;E$25,D$24,E98&lt;E$26,D$25,E98&lt;E$27,D$26,E98&lt;E$28,D$27,E98&lt;E$29,D$28,E98&lt;E$30,D$29,E98&lt;E$31,D$30,E98&lt;E$32,D$31,E98&lt;E$33,D$32,E98&lt;E$34,D$33,E98&lt;E$35,D$34,E98&gt;=E$35,D$35)</f>
        <v/>
      </c>
      <c r="E98" s="38" t="n">
        <v>48</v>
      </c>
      <c r="F98" s="31">
        <f>E98/52</f>
        <v/>
      </c>
      <c r="G98" s="39">
        <f>D98/1000000*52</f>
        <v/>
      </c>
      <c r="H98" s="33">
        <f>G98/$P$4+($C$22/$P$4)</f>
        <v/>
      </c>
      <c r="I98" s="36">
        <f>_xlfn.IFS(K98&lt;K$24,0,K98&lt;K$26,I$24,K98&lt;K$28,I$26,K98&lt;K$30,I$28,K98&lt;K$32,I$30,K98&lt;K$34,I$32,K98&lt;K$36,I$34,K98&lt;K$38,I$36,K98&lt;K$40,I$38,K98&lt;K$42,I$40,K98&lt;K$44,I$42,K98&lt;K$46,I$44,K98&gt;=K$46,I$46)</f>
        <v/>
      </c>
      <c r="J98" s="37">
        <f>_xlfn.IFS(K98&lt;K$24,0,K98&lt;K$25,J$24,K98&lt;K$26,J$25,K98&lt;K$27,J$26,K98&lt;K$28,J$27,K98&lt;K$29,J$28,K98&lt;K$30,J$29,K98&lt;K$31,J$30,K98&lt;K$32,J$31,K98&lt;K$33,J$32,K98&lt;K$34,J$33,K98&lt;K$35,J$34,K98&lt;K$36,J$35,K98&lt;K$37,J$36,K98&lt;K$38,J$37,K98&lt;K$39,J$38,K98&lt;K$40,J$39,K98&lt;K$41,J$40,K98&lt;K$42,J$41,K98&lt;K$43,J$42,K98&lt;K$44,J$43,K98&lt;K$45,J$44,K98&lt;K$46,J$45,K98&lt;K$47,J$46,K98&gt;=K$47,J$47)</f>
        <v/>
      </c>
      <c r="K98" s="38" t="n">
        <v>48</v>
      </c>
      <c r="L98" s="31">
        <f>K98/52</f>
        <v/>
      </c>
      <c r="M98" s="39">
        <f>J98/1000000*52</f>
        <v/>
      </c>
      <c r="N98" s="33">
        <f>M98/$P$4+($I$22/$P$4)</f>
        <v/>
      </c>
      <c r="U98">
        <f>F97</f>
        <v/>
      </c>
      <c r="V98">
        <f>H97</f>
        <v/>
      </c>
      <c r="W98">
        <f>N97</f>
        <v/>
      </c>
    </row>
    <row r="99" ht="15.75" customHeight="1" s="40">
      <c r="C99" s="36">
        <f>_xlfn.IFS(E99&lt;E$24,0,E99&lt;E$26,C$24,E99&lt;E$28,C$26,E99&lt;E$30,C$28,E99&lt;E$32,C$30,E99&lt;E$34,C$32,E99&gt;=E$34,C$34)</f>
        <v/>
      </c>
      <c r="D99" s="37">
        <f>_xlfn.IFS(E99&lt;E$24,0,E99&lt;E$25,D$24,E99&lt;E$26,D$25,E99&lt;E$27,D$26,E99&lt;E$28,D$27,E99&lt;E$29,D$28,E99&lt;E$30,D$29,E99&lt;E$31,D$30,E99&lt;E$32,D$31,E99&lt;E$33,D$32,E99&lt;E$34,D$33,E99&lt;E$35,D$34,E99&gt;=E$35,D$35)</f>
        <v/>
      </c>
      <c r="E99" s="38" t="n">
        <v>49</v>
      </c>
      <c r="F99" s="31">
        <f>E99/52</f>
        <v/>
      </c>
      <c r="G99" s="39">
        <f>D99/1000000*52</f>
        <v/>
      </c>
      <c r="H99" s="33">
        <f>G99/$P$4+($C$22/$P$4)</f>
        <v/>
      </c>
      <c r="I99" s="36">
        <f>_xlfn.IFS(K99&lt;K$24,0,K99&lt;K$26,I$24,K99&lt;K$28,I$26,K99&lt;K$30,I$28,K99&lt;K$32,I$30,K99&lt;K$34,I$32,K99&lt;K$36,I$34,K99&lt;K$38,I$36,K99&lt;K$40,I$38,K99&lt;K$42,I$40,K99&lt;K$44,I$42,K99&lt;K$46,I$44,K99&gt;=K$46,I$46)</f>
        <v/>
      </c>
      <c r="J99" s="37">
        <f>_xlfn.IFS(K99&lt;K$24,0,K99&lt;K$25,J$24,K99&lt;K$26,J$25,K99&lt;K$27,J$26,K99&lt;K$28,J$27,K99&lt;K$29,J$28,K99&lt;K$30,J$29,K99&lt;K$31,J$30,K99&lt;K$32,J$31,K99&lt;K$33,J$32,K99&lt;K$34,J$33,K99&lt;K$35,J$34,K99&lt;K$36,J$35,K99&lt;K$37,J$36,K99&lt;K$38,J$37,K99&lt;K$39,J$38,K99&lt;K$40,J$39,K99&lt;K$41,J$40,K99&lt;K$42,J$41,K99&lt;K$43,J$42,K99&lt;K$44,J$43,K99&lt;K$45,J$44,K99&lt;K$46,J$45,K99&lt;K$47,J$46,K99&gt;=K$47,J$47)</f>
        <v/>
      </c>
      <c r="K99" s="38" t="n">
        <v>49</v>
      </c>
      <c r="L99" s="31">
        <f>K99/52</f>
        <v/>
      </c>
      <c r="M99" s="39">
        <f>J99/1000000*52</f>
        <v/>
      </c>
      <c r="N99" s="33">
        <f>M99/$P$4+($I$22/$P$4)</f>
        <v/>
      </c>
      <c r="U99">
        <f>F98</f>
        <v/>
      </c>
      <c r="V99">
        <f>H98</f>
        <v/>
      </c>
      <c r="W99">
        <f>N98</f>
        <v/>
      </c>
    </row>
    <row r="100" ht="15.75" customHeight="1" s="40">
      <c r="C100" s="36">
        <f>_xlfn.IFS(E100&lt;E$24,0,E100&lt;E$26,C$24,E100&lt;E$28,C$26,E100&lt;E$30,C$28,E100&lt;E$32,C$30,E100&lt;E$34,C$32,E100&gt;=E$34,C$34)</f>
        <v/>
      </c>
      <c r="D100" s="37">
        <f>_xlfn.IFS(E100&lt;E$24,0,E100&lt;E$25,D$24,E100&lt;E$26,D$25,E100&lt;E$27,D$26,E100&lt;E$28,D$27,E100&lt;E$29,D$28,E100&lt;E$30,D$29,E100&lt;E$31,D$30,E100&lt;E$32,D$31,E100&lt;E$33,D$32,E100&lt;E$34,D$33,E100&lt;E$35,D$34,E100&gt;=E$35,D$35)</f>
        <v/>
      </c>
      <c r="E100" s="38" t="n">
        <v>50</v>
      </c>
      <c r="F100" s="31">
        <f>E100/52</f>
        <v/>
      </c>
      <c r="G100" s="39">
        <f>D100/1000000*52</f>
        <v/>
      </c>
      <c r="H100" s="33">
        <f>G100/$P$4+($C$22/$P$4)</f>
        <v/>
      </c>
      <c r="I100" s="36">
        <f>_xlfn.IFS(K100&lt;K$24,0,K100&lt;K$26,I$24,K100&lt;K$28,I$26,K100&lt;K$30,I$28,K100&lt;K$32,I$30,K100&lt;K$34,I$32,K100&lt;K$36,I$34,K100&lt;K$38,I$36,K100&lt;K$40,I$38,K100&lt;K$42,I$40,K100&lt;K$44,I$42,K100&lt;K$46,I$44,K100&gt;=K$46,I$46)</f>
        <v/>
      </c>
      <c r="J100" s="37">
        <f>_xlfn.IFS(K100&lt;K$24,0,K100&lt;K$25,J$24,K100&lt;K$26,J$25,K100&lt;K$27,J$26,K100&lt;K$28,J$27,K100&lt;K$29,J$28,K100&lt;K$30,J$29,K100&lt;K$31,J$30,K100&lt;K$32,J$31,K100&lt;K$33,J$32,K100&lt;K$34,J$33,K100&lt;K$35,J$34,K100&lt;K$36,J$35,K100&lt;K$37,J$36,K100&lt;K$38,J$37,K100&lt;K$39,J$38,K100&lt;K$40,J$39,K100&lt;K$41,J$40,K100&lt;K$42,J$41,K100&lt;K$43,J$42,K100&lt;K$44,J$43,K100&lt;K$45,J$44,K100&lt;K$46,J$45,K100&lt;K$47,J$46,K100&gt;=K$47,J$47)</f>
        <v/>
      </c>
      <c r="K100" s="38" t="n">
        <v>50</v>
      </c>
      <c r="L100" s="31">
        <f>K100/52</f>
        <v/>
      </c>
      <c r="M100" s="39">
        <f>J100/1000000*52</f>
        <v/>
      </c>
      <c r="N100" s="33">
        <f>M100/$P$4+($I$22/$P$4)</f>
        <v/>
      </c>
      <c r="U100">
        <f>F99</f>
        <v/>
      </c>
      <c r="V100">
        <f>H99</f>
        <v/>
      </c>
      <c r="W100">
        <f>N99</f>
        <v/>
      </c>
    </row>
    <row r="101" ht="15.75" customHeight="1" s="40">
      <c r="C101" s="36">
        <f>_xlfn.IFS(E101&lt;E$24,0,E101&lt;E$26,C$24,E101&lt;E$28,C$26,E101&lt;E$30,C$28,E101&lt;E$32,C$30,E101&lt;E$34,C$32,E101&gt;=E$34,C$34)</f>
        <v/>
      </c>
      <c r="D101" s="37">
        <f>_xlfn.IFS(E101&lt;E$24,0,E101&lt;E$25,D$24,E101&lt;E$26,D$25,E101&lt;E$27,D$26,E101&lt;E$28,D$27,E101&lt;E$29,D$28,E101&lt;E$30,D$29,E101&lt;E$31,D$30,E101&lt;E$32,D$31,E101&lt;E$33,D$32,E101&lt;E$34,D$33,E101&lt;E$35,D$34,E101&gt;=E$35,D$35)</f>
        <v/>
      </c>
      <c r="E101" s="38" t="n">
        <v>51</v>
      </c>
      <c r="F101" s="31">
        <f>E101/52</f>
        <v/>
      </c>
      <c r="G101" s="39">
        <f>D101/1000000*52</f>
        <v/>
      </c>
      <c r="H101" s="33">
        <f>G101/$P$4+($C$22/$P$4)</f>
        <v/>
      </c>
      <c r="I101" s="36">
        <f>_xlfn.IFS(K101&lt;K$24,0,K101&lt;K$26,I$24,K101&lt;K$28,I$26,K101&lt;K$30,I$28,K101&lt;K$32,I$30,K101&lt;K$34,I$32,K101&lt;K$36,I$34,K101&lt;K$38,I$36,K101&lt;K$40,I$38,K101&lt;K$42,I$40,K101&lt;K$44,I$42,K101&lt;K$46,I$44,K101&gt;=K$46,I$46)</f>
        <v/>
      </c>
      <c r="J101" s="37">
        <f>_xlfn.IFS(K101&lt;K$24,0,K101&lt;K$25,J$24,K101&lt;K$26,J$25,K101&lt;K$27,J$26,K101&lt;K$28,J$27,K101&lt;K$29,J$28,K101&lt;K$30,J$29,K101&lt;K$31,J$30,K101&lt;K$32,J$31,K101&lt;K$33,J$32,K101&lt;K$34,J$33,K101&lt;K$35,J$34,K101&lt;K$36,J$35,K101&lt;K$37,J$36,K101&lt;K$38,J$37,K101&lt;K$39,J$38,K101&lt;K$40,J$39,K101&lt;K$41,J$40,K101&lt;K$42,J$41,K101&lt;K$43,J$42,K101&lt;K$44,J$43,K101&lt;K$45,J$44,K101&lt;K$46,J$45,K101&lt;K$47,J$46,K101&gt;=K$47,J$47)</f>
        <v/>
      </c>
      <c r="K101" s="38" t="n">
        <v>51</v>
      </c>
      <c r="L101" s="31">
        <f>K101/52</f>
        <v/>
      </c>
      <c r="M101" s="39">
        <f>J101/1000000*52</f>
        <v/>
      </c>
      <c r="N101" s="33">
        <f>M101/$P$4+($I$22/$P$4)</f>
        <v/>
      </c>
      <c r="U101">
        <f>F100</f>
        <v/>
      </c>
      <c r="V101">
        <f>H100</f>
        <v/>
      </c>
      <c r="W101">
        <f>N100</f>
        <v/>
      </c>
    </row>
    <row r="102" ht="15.75" customHeight="1" s="40">
      <c r="C102" s="36">
        <f>_xlfn.IFS(E102&lt;E$24,0,E102&lt;E$26,C$24,E102&lt;E$28,C$26,E102&lt;E$30,C$28,E102&lt;E$32,C$30,E102&lt;E$34,C$32,E102&gt;=E$34,C$34)</f>
        <v/>
      </c>
      <c r="D102" s="37">
        <f>_xlfn.IFS(E102&lt;E$24,0,E102&lt;E$25,D$24,E102&lt;E$26,D$25,E102&lt;E$27,D$26,E102&lt;E$28,D$27,E102&lt;E$29,D$28,E102&lt;E$30,D$29,E102&lt;E$31,D$30,E102&lt;E$32,D$31,E102&lt;E$33,D$32,E102&lt;E$34,D$33,E102&lt;E$35,D$34,E102&gt;=E$35,D$35)</f>
        <v/>
      </c>
      <c r="E102" s="38" t="n">
        <v>52</v>
      </c>
      <c r="F102" s="31">
        <f>E102/52</f>
        <v/>
      </c>
      <c r="G102" s="39">
        <f>D102/1000000*52</f>
        <v/>
      </c>
      <c r="H102" s="33">
        <f>G102/$P$4+($C$22/$P$4)</f>
        <v/>
      </c>
      <c r="I102" s="36">
        <f>_xlfn.IFS(K102&lt;K$24,0,K102&lt;K$26,I$24,K102&lt;K$28,I$26,K102&lt;K$30,I$28,K102&lt;K$32,I$30,K102&lt;K$34,I$32,K102&lt;K$36,I$34,K102&lt;K$38,I$36,K102&lt;K$40,I$38,K102&lt;K$42,I$40,K102&lt;K$44,I$42,K102&lt;K$46,I$44,K102&gt;=K$46,I$46)</f>
        <v/>
      </c>
      <c r="J102" s="37">
        <f>_xlfn.IFS(K102&lt;K$24,0,K102&lt;K$25,J$24,K102&lt;K$26,J$25,K102&lt;K$27,J$26,K102&lt;K$28,J$27,K102&lt;K$29,J$28,K102&lt;K$30,J$29,K102&lt;K$31,J$30,K102&lt;K$32,J$31,K102&lt;K$33,J$32,K102&lt;K$34,J$33,K102&lt;K$35,J$34,K102&lt;K$36,J$35,K102&lt;K$37,J$36,K102&lt;K$38,J$37,K102&lt;K$39,J$38,K102&lt;K$40,J$39,K102&lt;K$41,J$40,K102&lt;K$42,J$41,K102&lt;K$43,J$42,K102&lt;K$44,J$43,K102&lt;K$45,J$44,K102&lt;K$46,J$45,K102&lt;K$47,J$46,K102&gt;=K$47,J$47)</f>
        <v/>
      </c>
      <c r="K102" s="38" t="n">
        <v>52</v>
      </c>
      <c r="L102" s="31">
        <f>K102/52</f>
        <v/>
      </c>
      <c r="M102" s="39">
        <f>J102/1000000*52</f>
        <v/>
      </c>
      <c r="N102" s="33">
        <f>M102/$P$4+($I$22/$P$4)</f>
        <v/>
      </c>
      <c r="U102">
        <f>F101</f>
        <v/>
      </c>
      <c r="V102">
        <f>H101</f>
        <v/>
      </c>
      <c r="W102">
        <f>N101</f>
        <v/>
      </c>
    </row>
    <row r="103" ht="15.75" customHeight="1" s="40">
      <c r="C103" s="36">
        <f>_xlfn.IFS(E103&lt;E$24,0,E103&lt;E$26,C$24,E103&lt;E$28,C$26,E103&lt;E$30,C$28,E103&lt;E$32,C$30,E103&lt;E$34,C$32,E103&gt;=E$34,C$34)</f>
        <v/>
      </c>
      <c r="D103" s="37">
        <f>_xlfn.IFS(E103&lt;E$24,0,E103&lt;E$25,D$24,E103&lt;E$26,D$25,E103&lt;E$27,D$26,E103&lt;E$28,D$27,E103&lt;E$29,D$28,E103&lt;E$30,D$29,E103&lt;E$31,D$30,E103&lt;E$32,D$31,E103&lt;E$33,D$32,E103&lt;E$34,D$33,E103&lt;E$35,D$34,E103&gt;=E$35,D$35)</f>
        <v/>
      </c>
      <c r="E103" s="38" t="n">
        <v>53</v>
      </c>
      <c r="F103" s="31">
        <f>E103/52</f>
        <v/>
      </c>
      <c r="G103" s="39">
        <f>D103/1000000*52</f>
        <v/>
      </c>
      <c r="H103" s="33">
        <f>G103/$P$4+($C$22/$P$4)</f>
        <v/>
      </c>
      <c r="I103" s="36">
        <f>_xlfn.IFS(K103&lt;K$24,0,K103&lt;K$26,I$24,K103&lt;K$28,I$26,K103&lt;K$30,I$28,K103&lt;K$32,I$30,K103&lt;K$34,I$32,K103&lt;K$36,I$34,K103&lt;K$38,I$36,K103&lt;K$40,I$38,K103&lt;K$42,I$40,K103&lt;K$44,I$42,K103&lt;K$46,I$44,K103&gt;=K$46,I$46)</f>
        <v/>
      </c>
      <c r="J103" s="37">
        <f>_xlfn.IFS(K103&lt;K$24,0,K103&lt;K$25,J$24,K103&lt;K$26,J$25,K103&lt;K$27,J$26,K103&lt;K$28,J$27,K103&lt;K$29,J$28,K103&lt;K$30,J$29,K103&lt;K$31,J$30,K103&lt;K$32,J$31,K103&lt;K$33,J$32,K103&lt;K$34,J$33,K103&lt;K$35,J$34,K103&lt;K$36,J$35,K103&lt;K$37,J$36,K103&lt;K$38,J$37,K103&lt;K$39,J$38,K103&lt;K$40,J$39,K103&lt;K$41,J$40,K103&lt;K$42,J$41,K103&lt;K$43,J$42,K103&lt;K$44,J$43,K103&lt;K$45,J$44,K103&lt;K$46,J$45,K103&lt;K$47,J$46,K103&gt;=K$47,J$47)</f>
        <v/>
      </c>
      <c r="K103" s="38" t="n">
        <v>53</v>
      </c>
      <c r="L103" s="31">
        <f>K103/52</f>
        <v/>
      </c>
      <c r="M103" s="39">
        <f>J103/1000000*52</f>
        <v/>
      </c>
      <c r="N103" s="33">
        <f>M103/$P$4+($I$22/$P$4)</f>
        <v/>
      </c>
      <c r="U103">
        <f>F102</f>
        <v/>
      </c>
      <c r="V103">
        <f>H102</f>
        <v/>
      </c>
      <c r="W103">
        <f>N102</f>
        <v/>
      </c>
    </row>
    <row r="104" ht="15.75" customHeight="1" s="40">
      <c r="C104" s="36">
        <f>_xlfn.IFS(E104&lt;E$24,0,E104&lt;E$26,C$24,E104&lt;E$28,C$26,E104&lt;E$30,C$28,E104&lt;E$32,C$30,E104&lt;E$34,C$32,E104&gt;=E$34,C$34)</f>
        <v/>
      </c>
      <c r="D104" s="37">
        <f>_xlfn.IFS(E104&lt;E$24,0,E104&lt;E$25,D$24,E104&lt;E$26,D$25,E104&lt;E$27,D$26,E104&lt;E$28,D$27,E104&lt;E$29,D$28,E104&lt;E$30,D$29,E104&lt;E$31,D$30,E104&lt;E$32,D$31,E104&lt;E$33,D$32,E104&lt;E$34,D$33,E104&lt;E$35,D$34,E104&gt;=E$35,D$35)</f>
        <v/>
      </c>
      <c r="E104" s="38" t="n">
        <v>54</v>
      </c>
      <c r="F104" s="31">
        <f>E104/52</f>
        <v/>
      </c>
      <c r="G104" s="39">
        <f>D104/1000000*52</f>
        <v/>
      </c>
      <c r="H104" s="33">
        <f>G104/$P$4+($C$22/$P$4)</f>
        <v/>
      </c>
      <c r="I104" s="36">
        <f>_xlfn.IFS(K104&lt;K$24,0,K104&lt;K$26,I$24,K104&lt;K$28,I$26,K104&lt;K$30,I$28,K104&lt;K$32,I$30,K104&lt;K$34,I$32,K104&lt;K$36,I$34,K104&lt;K$38,I$36,K104&lt;K$40,I$38,K104&lt;K$42,I$40,K104&lt;K$44,I$42,K104&lt;K$46,I$44,K104&gt;=K$46,I$46)</f>
        <v/>
      </c>
      <c r="J104" s="37">
        <f>_xlfn.IFS(K104&lt;K$24,0,K104&lt;K$25,J$24,K104&lt;K$26,J$25,K104&lt;K$27,J$26,K104&lt;K$28,J$27,K104&lt;K$29,J$28,K104&lt;K$30,J$29,K104&lt;K$31,J$30,K104&lt;K$32,J$31,K104&lt;K$33,J$32,K104&lt;K$34,J$33,K104&lt;K$35,J$34,K104&lt;K$36,J$35,K104&lt;K$37,J$36,K104&lt;K$38,J$37,K104&lt;K$39,J$38,K104&lt;K$40,J$39,K104&lt;K$41,J$40,K104&lt;K$42,J$41,K104&lt;K$43,J$42,K104&lt;K$44,J$43,K104&lt;K$45,J$44,K104&lt;K$46,J$45,K104&lt;K$47,J$46,K104&gt;=K$47,J$47)</f>
        <v/>
      </c>
      <c r="K104" s="38" t="n">
        <v>54</v>
      </c>
      <c r="L104" s="31">
        <f>K104/52</f>
        <v/>
      </c>
      <c r="M104" s="39">
        <f>J104/1000000*52</f>
        <v/>
      </c>
      <c r="N104" s="33">
        <f>M104/$P$4+($I$22/$P$4)</f>
        <v/>
      </c>
      <c r="U104">
        <f>F103</f>
        <v/>
      </c>
      <c r="V104">
        <f>H103</f>
        <v/>
      </c>
      <c r="W104">
        <f>N103</f>
        <v/>
      </c>
    </row>
    <row r="105" ht="15.75" customHeight="1" s="40">
      <c r="C105" s="36">
        <f>_xlfn.IFS(E105&lt;E$24,0,E105&lt;E$26,C$24,E105&lt;E$28,C$26,E105&lt;E$30,C$28,E105&lt;E$32,C$30,E105&lt;E$34,C$32,E105&gt;=E$34,C$34)</f>
        <v/>
      </c>
      <c r="D105" s="37">
        <f>_xlfn.IFS(E105&lt;E$24,0,E105&lt;E$25,D$24,E105&lt;E$26,D$25,E105&lt;E$27,D$26,E105&lt;E$28,D$27,E105&lt;E$29,D$28,E105&lt;E$30,D$29,E105&lt;E$31,D$30,E105&lt;E$32,D$31,E105&lt;E$33,D$32,E105&lt;E$34,D$33,E105&lt;E$35,D$34,E105&gt;=E$35,D$35)</f>
        <v/>
      </c>
      <c r="E105" s="38" t="n">
        <v>55</v>
      </c>
      <c r="F105" s="31">
        <f>E105/52</f>
        <v/>
      </c>
      <c r="G105" s="39">
        <f>D105/1000000*52</f>
        <v/>
      </c>
      <c r="H105" s="33">
        <f>G105/$P$4+($C$22/$P$4)</f>
        <v/>
      </c>
      <c r="I105" s="36">
        <f>_xlfn.IFS(K105&lt;K$24,0,K105&lt;K$26,I$24,K105&lt;K$28,I$26,K105&lt;K$30,I$28,K105&lt;K$32,I$30,K105&lt;K$34,I$32,K105&lt;K$36,I$34,K105&lt;K$38,I$36,K105&lt;K$40,I$38,K105&lt;K$42,I$40,K105&lt;K$44,I$42,K105&lt;K$46,I$44,K105&gt;=K$46,I$46)</f>
        <v/>
      </c>
      <c r="J105" s="37">
        <f>_xlfn.IFS(K105&lt;K$24,0,K105&lt;K$25,J$24,K105&lt;K$26,J$25,K105&lt;K$27,J$26,K105&lt;K$28,J$27,K105&lt;K$29,J$28,K105&lt;K$30,J$29,K105&lt;K$31,J$30,K105&lt;K$32,J$31,K105&lt;K$33,J$32,K105&lt;K$34,J$33,K105&lt;K$35,J$34,K105&lt;K$36,J$35,K105&lt;K$37,J$36,K105&lt;K$38,J$37,K105&lt;K$39,J$38,K105&lt;K$40,J$39,K105&lt;K$41,J$40,K105&lt;K$42,J$41,K105&lt;K$43,J$42,K105&lt;K$44,J$43,K105&lt;K$45,J$44,K105&lt;K$46,J$45,K105&lt;K$47,J$46,K105&gt;=K$47,J$47)</f>
        <v/>
      </c>
      <c r="K105" s="38" t="n">
        <v>55</v>
      </c>
      <c r="L105" s="31">
        <f>K105/52</f>
        <v/>
      </c>
      <c r="M105" s="39">
        <f>J105/1000000*52</f>
        <v/>
      </c>
      <c r="N105" s="33">
        <f>M105/$P$4+($I$22/$P$4)</f>
        <v/>
      </c>
      <c r="U105">
        <f>F104</f>
        <v/>
      </c>
      <c r="V105">
        <f>H104</f>
        <v/>
      </c>
      <c r="W105">
        <f>N104</f>
        <v/>
      </c>
    </row>
    <row r="106" ht="15.75" customHeight="1" s="40">
      <c r="C106" s="36">
        <f>_xlfn.IFS(E106&lt;E$24,0,E106&lt;E$26,C$24,E106&lt;E$28,C$26,E106&lt;E$30,C$28,E106&lt;E$32,C$30,E106&lt;E$34,C$32,E106&gt;=E$34,C$34)</f>
        <v/>
      </c>
      <c r="D106" s="37">
        <f>_xlfn.IFS(E106&lt;E$24,0,E106&lt;E$25,D$24,E106&lt;E$26,D$25,E106&lt;E$27,D$26,E106&lt;E$28,D$27,E106&lt;E$29,D$28,E106&lt;E$30,D$29,E106&lt;E$31,D$30,E106&lt;E$32,D$31,E106&lt;E$33,D$32,E106&lt;E$34,D$33,E106&lt;E$35,D$34,E106&gt;=E$35,D$35)</f>
        <v/>
      </c>
      <c r="E106" s="38" t="n">
        <v>56</v>
      </c>
      <c r="F106" s="31">
        <f>E106/52</f>
        <v/>
      </c>
      <c r="G106" s="39">
        <f>D106/1000000*52</f>
        <v/>
      </c>
      <c r="H106" s="33">
        <f>G106/$P$4+($C$22/$P$4)</f>
        <v/>
      </c>
      <c r="I106" s="36">
        <f>_xlfn.IFS(K106&lt;K$24,0,K106&lt;K$26,I$24,K106&lt;K$28,I$26,K106&lt;K$30,I$28,K106&lt;K$32,I$30,K106&lt;K$34,I$32,K106&lt;K$36,I$34,K106&lt;K$38,I$36,K106&lt;K$40,I$38,K106&lt;K$42,I$40,K106&lt;K$44,I$42,K106&lt;K$46,I$44,K106&gt;=K$46,I$46)</f>
        <v/>
      </c>
      <c r="J106" s="37">
        <f>_xlfn.IFS(K106&lt;K$24,0,K106&lt;K$25,J$24,K106&lt;K$26,J$25,K106&lt;K$27,J$26,K106&lt;K$28,J$27,K106&lt;K$29,J$28,K106&lt;K$30,J$29,K106&lt;K$31,J$30,K106&lt;K$32,J$31,K106&lt;K$33,J$32,K106&lt;K$34,J$33,K106&lt;K$35,J$34,K106&lt;K$36,J$35,K106&lt;K$37,J$36,K106&lt;K$38,J$37,K106&lt;K$39,J$38,K106&lt;K$40,J$39,K106&lt;K$41,J$40,K106&lt;K$42,J$41,K106&lt;K$43,J$42,K106&lt;K$44,J$43,K106&lt;K$45,J$44,K106&lt;K$46,J$45,K106&lt;K$47,J$46,K106&gt;=K$47,J$47)</f>
        <v/>
      </c>
      <c r="K106" s="38" t="n">
        <v>56</v>
      </c>
      <c r="L106" s="31">
        <f>K106/52</f>
        <v/>
      </c>
      <c r="M106" s="39">
        <f>J106/1000000*52</f>
        <v/>
      </c>
      <c r="N106" s="33">
        <f>M106/$P$4+($I$22/$P$4)</f>
        <v/>
      </c>
      <c r="U106">
        <f>F105</f>
        <v/>
      </c>
      <c r="V106">
        <f>H105</f>
        <v/>
      </c>
      <c r="W106">
        <f>N105</f>
        <v/>
      </c>
    </row>
    <row r="107" ht="15.75" customHeight="1" s="40">
      <c r="C107" s="36">
        <f>_xlfn.IFS(E107&lt;E$24,0,E107&lt;E$26,C$24,E107&lt;E$28,C$26,E107&lt;E$30,C$28,E107&lt;E$32,C$30,E107&lt;E$34,C$32,E107&gt;=E$34,C$34)</f>
        <v/>
      </c>
      <c r="D107" s="37">
        <f>_xlfn.IFS(E107&lt;E$24,0,E107&lt;E$25,D$24,E107&lt;E$26,D$25,E107&lt;E$27,D$26,E107&lt;E$28,D$27,E107&lt;E$29,D$28,E107&lt;E$30,D$29,E107&lt;E$31,D$30,E107&lt;E$32,D$31,E107&lt;E$33,D$32,E107&lt;E$34,D$33,E107&lt;E$35,D$34,E107&gt;=E$35,D$35)</f>
        <v/>
      </c>
      <c r="E107" s="38" t="n">
        <v>57</v>
      </c>
      <c r="F107" s="31">
        <f>E107/52</f>
        <v/>
      </c>
      <c r="G107" s="39">
        <f>D107/1000000*52</f>
        <v/>
      </c>
      <c r="H107" s="33">
        <f>G107/$P$4+($C$22/$P$4)</f>
        <v/>
      </c>
      <c r="I107" s="36">
        <f>_xlfn.IFS(K107&lt;K$24,0,K107&lt;K$26,I$24,K107&lt;K$28,I$26,K107&lt;K$30,I$28,K107&lt;K$32,I$30,K107&lt;K$34,I$32,K107&lt;K$36,I$34,K107&lt;K$38,I$36,K107&lt;K$40,I$38,K107&lt;K$42,I$40,K107&lt;K$44,I$42,K107&lt;K$46,I$44,K107&gt;=K$46,I$46)</f>
        <v/>
      </c>
      <c r="J107" s="37">
        <f>_xlfn.IFS(K107&lt;K$24,0,K107&lt;K$25,J$24,K107&lt;K$26,J$25,K107&lt;K$27,J$26,K107&lt;K$28,J$27,K107&lt;K$29,J$28,K107&lt;K$30,J$29,K107&lt;K$31,J$30,K107&lt;K$32,J$31,K107&lt;K$33,J$32,K107&lt;K$34,J$33,K107&lt;K$35,J$34,K107&lt;K$36,J$35,K107&lt;K$37,J$36,K107&lt;K$38,J$37,K107&lt;K$39,J$38,K107&lt;K$40,J$39,K107&lt;K$41,J$40,K107&lt;K$42,J$41,K107&lt;K$43,J$42,K107&lt;K$44,J$43,K107&lt;K$45,J$44,K107&lt;K$46,J$45,K107&lt;K$47,J$46,K107&gt;=K$47,J$47)</f>
        <v/>
      </c>
      <c r="K107" s="38" t="n">
        <v>57</v>
      </c>
      <c r="L107" s="31">
        <f>K107/52</f>
        <v/>
      </c>
      <c r="M107" s="39">
        <f>J107/1000000*52</f>
        <v/>
      </c>
      <c r="N107" s="33">
        <f>M107/$P$4+($I$22/$P$4)</f>
        <v/>
      </c>
      <c r="U107">
        <f>F106</f>
        <v/>
      </c>
      <c r="V107">
        <f>H106</f>
        <v/>
      </c>
      <c r="W107">
        <f>N106</f>
        <v/>
      </c>
    </row>
    <row r="108" ht="15.75" customHeight="1" s="40">
      <c r="C108" s="36">
        <f>_xlfn.IFS(E108&lt;E$24,0,E108&lt;E$26,C$24,E108&lt;E$28,C$26,E108&lt;E$30,C$28,E108&lt;E$32,C$30,E108&lt;E$34,C$32,E108&gt;=E$34,C$34)</f>
        <v/>
      </c>
      <c r="D108" s="37">
        <f>_xlfn.IFS(E108&lt;E$24,0,E108&lt;E$25,D$24,E108&lt;E$26,D$25,E108&lt;E$27,D$26,E108&lt;E$28,D$27,E108&lt;E$29,D$28,E108&lt;E$30,D$29,E108&lt;E$31,D$30,E108&lt;E$32,D$31,E108&lt;E$33,D$32,E108&lt;E$34,D$33,E108&lt;E$35,D$34,E108&gt;=E$35,D$35)</f>
        <v/>
      </c>
      <c r="E108" s="38" t="n">
        <v>58</v>
      </c>
      <c r="F108" s="31">
        <f>E108/52</f>
        <v/>
      </c>
      <c r="G108" s="39">
        <f>D108/1000000*52</f>
        <v/>
      </c>
      <c r="H108" s="33">
        <f>G108/$P$4+($C$22/$P$4)</f>
        <v/>
      </c>
      <c r="I108" s="36">
        <f>_xlfn.IFS(K108&lt;K$24,0,K108&lt;K$26,I$24,K108&lt;K$28,I$26,K108&lt;K$30,I$28,K108&lt;K$32,I$30,K108&lt;K$34,I$32,K108&lt;K$36,I$34,K108&lt;K$38,I$36,K108&lt;K$40,I$38,K108&lt;K$42,I$40,K108&lt;K$44,I$42,K108&lt;K$46,I$44,K108&gt;=K$46,I$46)</f>
        <v/>
      </c>
      <c r="J108" s="37">
        <f>_xlfn.IFS(K108&lt;K$24,0,K108&lt;K$25,J$24,K108&lt;K$26,J$25,K108&lt;K$27,J$26,K108&lt;K$28,J$27,K108&lt;K$29,J$28,K108&lt;K$30,J$29,K108&lt;K$31,J$30,K108&lt;K$32,J$31,K108&lt;K$33,J$32,K108&lt;K$34,J$33,K108&lt;K$35,J$34,K108&lt;K$36,J$35,K108&lt;K$37,J$36,K108&lt;K$38,J$37,K108&lt;K$39,J$38,K108&lt;K$40,J$39,K108&lt;K$41,J$40,K108&lt;K$42,J$41,K108&lt;K$43,J$42,K108&lt;K$44,J$43,K108&lt;K$45,J$44,K108&lt;K$46,J$45,K108&lt;K$47,J$46,K108&gt;=K$47,J$47)</f>
        <v/>
      </c>
      <c r="K108" s="38" t="n">
        <v>58</v>
      </c>
      <c r="L108" s="31">
        <f>K108/52</f>
        <v/>
      </c>
      <c r="M108" s="39">
        <f>J108/1000000*52</f>
        <v/>
      </c>
      <c r="N108" s="33">
        <f>M108/$P$4+($I$22/$P$4)</f>
        <v/>
      </c>
      <c r="U108">
        <f>F107</f>
        <v/>
      </c>
      <c r="V108">
        <f>H107</f>
        <v/>
      </c>
      <c r="W108">
        <f>N107</f>
        <v/>
      </c>
    </row>
    <row r="109" ht="15.75" customHeight="1" s="40">
      <c r="C109" s="36">
        <f>_xlfn.IFS(E109&lt;E$24,0,E109&lt;E$26,C$24,E109&lt;E$28,C$26,E109&lt;E$30,C$28,E109&lt;E$32,C$30,E109&lt;E$34,C$32,E109&gt;=E$34,C$34)</f>
        <v/>
      </c>
      <c r="D109" s="37">
        <f>_xlfn.IFS(E109&lt;E$24,0,E109&lt;E$25,D$24,E109&lt;E$26,D$25,E109&lt;E$27,D$26,E109&lt;E$28,D$27,E109&lt;E$29,D$28,E109&lt;E$30,D$29,E109&lt;E$31,D$30,E109&lt;E$32,D$31,E109&lt;E$33,D$32,E109&lt;E$34,D$33,E109&lt;E$35,D$34,E109&gt;=E$35,D$35)</f>
        <v/>
      </c>
      <c r="E109" s="38" t="n">
        <v>59</v>
      </c>
      <c r="F109" s="31">
        <f>E109/52</f>
        <v/>
      </c>
      <c r="G109" s="39">
        <f>D109/1000000*52</f>
        <v/>
      </c>
      <c r="H109" s="33">
        <f>G109/$P$4+($C$22/$P$4)</f>
        <v/>
      </c>
      <c r="I109" s="36">
        <f>_xlfn.IFS(K109&lt;K$24,0,K109&lt;K$26,I$24,K109&lt;K$28,I$26,K109&lt;K$30,I$28,K109&lt;K$32,I$30,K109&lt;K$34,I$32,K109&lt;K$36,I$34,K109&lt;K$38,I$36,K109&lt;K$40,I$38,K109&lt;K$42,I$40,K109&lt;K$44,I$42,K109&lt;K$46,I$44,K109&gt;=K$46,I$46)</f>
        <v/>
      </c>
      <c r="J109" s="37">
        <f>_xlfn.IFS(K109&lt;K$24,0,K109&lt;K$25,J$24,K109&lt;K$26,J$25,K109&lt;K$27,J$26,K109&lt;K$28,J$27,K109&lt;K$29,J$28,K109&lt;K$30,J$29,K109&lt;K$31,J$30,K109&lt;K$32,J$31,K109&lt;K$33,J$32,K109&lt;K$34,J$33,K109&lt;K$35,J$34,K109&lt;K$36,J$35,K109&lt;K$37,J$36,K109&lt;K$38,J$37,K109&lt;K$39,J$38,K109&lt;K$40,J$39,K109&lt;K$41,J$40,K109&lt;K$42,J$41,K109&lt;K$43,J$42,K109&lt;K$44,J$43,K109&lt;K$45,J$44,K109&lt;K$46,J$45,K109&lt;K$47,J$46,K109&gt;=K$47,J$47)</f>
        <v/>
      </c>
      <c r="K109" s="38" t="n">
        <v>59</v>
      </c>
      <c r="L109" s="31">
        <f>K109/52</f>
        <v/>
      </c>
      <c r="M109" s="39">
        <f>J109/1000000*52</f>
        <v/>
      </c>
      <c r="N109" s="33">
        <f>M109/$P$4+($I$22/$P$4)</f>
        <v/>
      </c>
      <c r="U109">
        <f>F108</f>
        <v/>
      </c>
      <c r="V109">
        <f>H108</f>
        <v/>
      </c>
      <c r="W109">
        <f>N108</f>
        <v/>
      </c>
    </row>
    <row r="110" ht="15.75" customHeight="1" s="40">
      <c r="C110" s="36">
        <f>_xlfn.IFS(E110&lt;E$24,0,E110&lt;E$26,C$24,E110&lt;E$28,C$26,E110&lt;E$30,C$28,E110&lt;E$32,C$30,E110&lt;E$34,C$32,E110&gt;=E$34,C$34)</f>
        <v/>
      </c>
      <c r="D110" s="37">
        <f>_xlfn.IFS(E110&lt;E$24,0,E110&lt;E$25,D$24,E110&lt;E$26,D$25,E110&lt;E$27,D$26,E110&lt;E$28,D$27,E110&lt;E$29,D$28,E110&lt;E$30,D$29,E110&lt;E$31,D$30,E110&lt;E$32,D$31,E110&lt;E$33,D$32,E110&lt;E$34,D$33,E110&lt;E$35,D$34,E110&gt;=E$35,D$35)</f>
        <v/>
      </c>
      <c r="E110" s="38" t="n">
        <v>60</v>
      </c>
      <c r="F110" s="31">
        <f>E110/52</f>
        <v/>
      </c>
      <c r="G110" s="39">
        <f>D110/1000000*52</f>
        <v/>
      </c>
      <c r="H110" s="33">
        <f>G110/$P$4+($C$22/$P$4)</f>
        <v/>
      </c>
      <c r="I110" s="36">
        <f>_xlfn.IFS(K110&lt;K$24,0,K110&lt;K$26,I$24,K110&lt;K$28,I$26,K110&lt;K$30,I$28,K110&lt;K$32,I$30,K110&lt;K$34,I$32,K110&lt;K$36,I$34,K110&lt;K$38,I$36,K110&lt;K$40,I$38,K110&lt;K$42,I$40,K110&lt;K$44,I$42,K110&lt;K$46,I$44,K110&gt;=K$46,I$46)</f>
        <v/>
      </c>
      <c r="J110" s="37">
        <f>_xlfn.IFS(K110&lt;K$24,0,K110&lt;K$25,J$24,K110&lt;K$26,J$25,K110&lt;K$27,J$26,K110&lt;K$28,J$27,K110&lt;K$29,J$28,K110&lt;K$30,J$29,K110&lt;K$31,J$30,K110&lt;K$32,J$31,K110&lt;K$33,J$32,K110&lt;K$34,J$33,K110&lt;K$35,J$34,K110&lt;K$36,J$35,K110&lt;K$37,J$36,K110&lt;K$38,J$37,K110&lt;K$39,J$38,K110&lt;K$40,J$39,K110&lt;K$41,J$40,K110&lt;K$42,J$41,K110&lt;K$43,J$42,K110&lt;K$44,J$43,K110&lt;K$45,J$44,K110&lt;K$46,J$45,K110&lt;K$47,J$46,K110&gt;=K$47,J$47)</f>
        <v/>
      </c>
      <c r="K110" s="38" t="n">
        <v>60</v>
      </c>
      <c r="L110" s="31">
        <f>K110/52</f>
        <v/>
      </c>
      <c r="M110" s="39">
        <f>J110/1000000*52</f>
        <v/>
      </c>
      <c r="N110" s="33">
        <f>M110/$P$4+($I$22/$P$4)</f>
        <v/>
      </c>
      <c r="U110">
        <f>F109</f>
        <v/>
      </c>
      <c r="V110">
        <f>H109</f>
        <v/>
      </c>
      <c r="W110">
        <f>N109</f>
        <v/>
      </c>
    </row>
    <row r="111" ht="15.75" customHeight="1" s="40">
      <c r="C111" s="36">
        <f>_xlfn.IFS(E111&lt;E$24,0,E111&lt;E$26,C$24,E111&lt;E$28,C$26,E111&lt;E$30,C$28,E111&lt;E$32,C$30,E111&lt;E$34,C$32,E111&gt;=E$34,C$34)</f>
        <v/>
      </c>
      <c r="D111" s="37">
        <f>_xlfn.IFS(E111&lt;E$24,0,E111&lt;E$25,D$24,E111&lt;E$26,D$25,E111&lt;E$27,D$26,E111&lt;E$28,D$27,E111&lt;E$29,D$28,E111&lt;E$30,D$29,E111&lt;E$31,D$30,E111&lt;E$32,D$31,E111&lt;E$33,D$32,E111&lt;E$34,D$33,E111&lt;E$35,D$34,E111&gt;=E$35,D$35)</f>
        <v/>
      </c>
      <c r="E111" s="38" t="n">
        <v>61</v>
      </c>
      <c r="F111" s="31">
        <f>E111/52</f>
        <v/>
      </c>
      <c r="G111" s="39">
        <f>D111/1000000*52</f>
        <v/>
      </c>
      <c r="H111" s="33">
        <f>G111/$P$4+($C$22/$P$4)</f>
        <v/>
      </c>
      <c r="I111" s="36">
        <f>_xlfn.IFS(K111&lt;K$24,0,K111&lt;K$26,I$24,K111&lt;K$28,I$26,K111&lt;K$30,I$28,K111&lt;K$32,I$30,K111&lt;K$34,I$32,K111&lt;K$36,I$34,K111&lt;K$38,I$36,K111&lt;K$40,I$38,K111&lt;K$42,I$40,K111&lt;K$44,I$42,K111&lt;K$46,I$44,K111&gt;=K$46,I$46)</f>
        <v/>
      </c>
      <c r="J111" s="37">
        <f>_xlfn.IFS(K111&lt;K$24,0,K111&lt;K$25,J$24,K111&lt;K$26,J$25,K111&lt;K$27,J$26,K111&lt;K$28,J$27,K111&lt;K$29,J$28,K111&lt;K$30,J$29,K111&lt;K$31,J$30,K111&lt;K$32,J$31,K111&lt;K$33,J$32,K111&lt;K$34,J$33,K111&lt;K$35,J$34,K111&lt;K$36,J$35,K111&lt;K$37,J$36,K111&lt;K$38,J$37,K111&lt;K$39,J$38,K111&lt;K$40,J$39,K111&lt;K$41,J$40,K111&lt;K$42,J$41,K111&lt;K$43,J$42,K111&lt;K$44,J$43,K111&lt;K$45,J$44,K111&lt;K$46,J$45,K111&lt;K$47,J$46,K111&gt;=K$47,J$47)</f>
        <v/>
      </c>
      <c r="K111" s="38" t="n">
        <v>61</v>
      </c>
      <c r="L111" s="31">
        <f>K111/52</f>
        <v/>
      </c>
      <c r="M111" s="39">
        <f>J111/1000000*52</f>
        <v/>
      </c>
      <c r="N111" s="33">
        <f>M111/$P$4+($I$22/$P$4)</f>
        <v/>
      </c>
      <c r="U111">
        <f>F110</f>
        <v/>
      </c>
      <c r="V111">
        <f>H110</f>
        <v/>
      </c>
      <c r="W111">
        <f>N110</f>
        <v/>
      </c>
    </row>
    <row r="112" ht="15.75" customHeight="1" s="40">
      <c r="C112" s="36">
        <f>_xlfn.IFS(E112&lt;E$24,0,E112&lt;E$26,C$24,E112&lt;E$28,C$26,E112&lt;E$30,C$28,E112&lt;E$32,C$30,E112&lt;E$34,C$32,E112&gt;=E$34,C$34)</f>
        <v/>
      </c>
      <c r="D112" s="37">
        <f>_xlfn.IFS(E112&lt;E$24,0,E112&lt;E$25,D$24,E112&lt;E$26,D$25,E112&lt;E$27,D$26,E112&lt;E$28,D$27,E112&lt;E$29,D$28,E112&lt;E$30,D$29,E112&lt;E$31,D$30,E112&lt;E$32,D$31,E112&lt;E$33,D$32,E112&lt;E$34,D$33,E112&lt;E$35,D$34,E112&gt;=E$35,D$35)</f>
        <v/>
      </c>
      <c r="E112" s="38" t="n">
        <v>62</v>
      </c>
      <c r="F112" s="31">
        <f>E112/52</f>
        <v/>
      </c>
      <c r="G112" s="39">
        <f>D112/1000000*52</f>
        <v/>
      </c>
      <c r="H112" s="33">
        <f>G112/$P$4+($C$22/$P$4)</f>
        <v/>
      </c>
      <c r="I112" s="36">
        <f>_xlfn.IFS(K112&lt;K$24,0,K112&lt;K$26,I$24,K112&lt;K$28,I$26,K112&lt;K$30,I$28,K112&lt;K$32,I$30,K112&lt;K$34,I$32,K112&lt;K$36,I$34,K112&lt;K$38,I$36,K112&lt;K$40,I$38,K112&lt;K$42,I$40,K112&lt;K$44,I$42,K112&lt;K$46,I$44,K112&gt;=K$46,I$46)</f>
        <v/>
      </c>
      <c r="J112" s="37">
        <f>_xlfn.IFS(K112&lt;K$24,0,K112&lt;K$25,J$24,K112&lt;K$26,J$25,K112&lt;K$27,J$26,K112&lt;K$28,J$27,K112&lt;K$29,J$28,K112&lt;K$30,J$29,K112&lt;K$31,J$30,K112&lt;K$32,J$31,K112&lt;K$33,J$32,K112&lt;K$34,J$33,K112&lt;K$35,J$34,K112&lt;K$36,J$35,K112&lt;K$37,J$36,K112&lt;K$38,J$37,K112&lt;K$39,J$38,K112&lt;K$40,J$39,K112&lt;K$41,J$40,K112&lt;K$42,J$41,K112&lt;K$43,J$42,K112&lt;K$44,J$43,K112&lt;K$45,J$44,K112&lt;K$46,J$45,K112&lt;K$47,J$46,K112&gt;=K$47,J$47)</f>
        <v/>
      </c>
      <c r="K112" s="38" t="n">
        <v>62</v>
      </c>
      <c r="L112" s="31">
        <f>K112/52</f>
        <v/>
      </c>
      <c r="M112" s="39">
        <f>J112/1000000*52</f>
        <v/>
      </c>
      <c r="N112" s="33">
        <f>M112/$P$4+($I$22/$P$4)</f>
        <v/>
      </c>
      <c r="U112">
        <f>F111</f>
        <v/>
      </c>
      <c r="V112">
        <f>H111</f>
        <v/>
      </c>
      <c r="W112">
        <f>N111</f>
        <v/>
      </c>
    </row>
    <row r="113" ht="15.75" customHeight="1" s="40">
      <c r="C113" s="36">
        <f>_xlfn.IFS(E113&lt;E$24,0,E113&lt;E$26,C$24,E113&lt;E$28,C$26,E113&lt;E$30,C$28,E113&lt;E$32,C$30,E113&lt;E$34,C$32,E113&gt;=E$34,C$34)</f>
        <v/>
      </c>
      <c r="D113" s="37">
        <f>_xlfn.IFS(E113&lt;E$24,0,E113&lt;E$25,D$24,E113&lt;E$26,D$25,E113&lt;E$27,D$26,E113&lt;E$28,D$27,E113&lt;E$29,D$28,E113&lt;E$30,D$29,E113&lt;E$31,D$30,E113&lt;E$32,D$31,E113&lt;E$33,D$32,E113&lt;E$34,D$33,E113&lt;E$35,D$34,E113&gt;=E$35,D$35)</f>
        <v/>
      </c>
      <c r="E113" s="38" t="n">
        <v>63</v>
      </c>
      <c r="F113" s="31">
        <f>E113/52</f>
        <v/>
      </c>
      <c r="G113" s="39">
        <f>D113/1000000*52</f>
        <v/>
      </c>
      <c r="H113" s="33">
        <f>G113/$P$4+($C$22/$P$4)</f>
        <v/>
      </c>
      <c r="I113" s="36">
        <f>_xlfn.IFS(K113&lt;K$24,0,K113&lt;K$26,I$24,K113&lt;K$28,I$26,K113&lt;K$30,I$28,K113&lt;K$32,I$30,K113&lt;K$34,I$32,K113&lt;K$36,I$34,K113&lt;K$38,I$36,K113&lt;K$40,I$38,K113&lt;K$42,I$40,K113&lt;K$44,I$42,K113&lt;K$46,I$44,K113&gt;=K$46,I$46)</f>
        <v/>
      </c>
      <c r="J113" s="37">
        <f>_xlfn.IFS(K113&lt;K$24,0,K113&lt;K$25,J$24,K113&lt;K$26,J$25,K113&lt;K$27,J$26,K113&lt;K$28,J$27,K113&lt;K$29,J$28,K113&lt;K$30,J$29,K113&lt;K$31,J$30,K113&lt;K$32,J$31,K113&lt;K$33,J$32,K113&lt;K$34,J$33,K113&lt;K$35,J$34,K113&lt;K$36,J$35,K113&lt;K$37,J$36,K113&lt;K$38,J$37,K113&lt;K$39,J$38,K113&lt;K$40,J$39,K113&lt;K$41,J$40,K113&lt;K$42,J$41,K113&lt;K$43,J$42,K113&lt;K$44,J$43,K113&lt;K$45,J$44,K113&lt;K$46,J$45,K113&lt;K$47,J$46,K113&gt;=K$47,J$47)</f>
        <v/>
      </c>
      <c r="K113" s="38" t="n">
        <v>63</v>
      </c>
      <c r="L113" s="31">
        <f>K113/52</f>
        <v/>
      </c>
      <c r="M113" s="39">
        <f>J113/1000000*52</f>
        <v/>
      </c>
      <c r="N113" s="33">
        <f>M113/$P$4+($I$22/$P$4)</f>
        <v/>
      </c>
      <c r="U113">
        <f>F112</f>
        <v/>
      </c>
      <c r="V113">
        <f>H112</f>
        <v/>
      </c>
      <c r="W113">
        <f>N112</f>
        <v/>
      </c>
    </row>
    <row r="114" ht="15.75" customHeight="1" s="40">
      <c r="C114" s="36">
        <f>_xlfn.IFS(E114&lt;E$24,0,E114&lt;E$26,C$24,E114&lt;E$28,C$26,E114&lt;E$30,C$28,E114&lt;E$32,C$30,E114&lt;E$34,C$32,E114&gt;=E$34,C$34)</f>
        <v/>
      </c>
      <c r="D114" s="37">
        <f>_xlfn.IFS(E114&lt;E$24,0,E114&lt;E$25,D$24,E114&lt;E$26,D$25,E114&lt;E$27,D$26,E114&lt;E$28,D$27,E114&lt;E$29,D$28,E114&lt;E$30,D$29,E114&lt;E$31,D$30,E114&lt;E$32,D$31,E114&lt;E$33,D$32,E114&lt;E$34,D$33,E114&lt;E$35,D$34,E114&gt;=E$35,D$35)</f>
        <v/>
      </c>
      <c r="E114" s="38" t="n">
        <v>64</v>
      </c>
      <c r="F114" s="31">
        <f>E114/52</f>
        <v/>
      </c>
      <c r="G114" s="39">
        <f>D114/1000000*52</f>
        <v/>
      </c>
      <c r="H114" s="33">
        <f>G114/$P$4+($C$22/$P$4)</f>
        <v/>
      </c>
      <c r="I114" s="36">
        <f>_xlfn.IFS(K114&lt;K$24,0,K114&lt;K$26,I$24,K114&lt;K$28,I$26,K114&lt;K$30,I$28,K114&lt;K$32,I$30,K114&lt;K$34,I$32,K114&lt;K$36,I$34,K114&lt;K$38,I$36,K114&lt;K$40,I$38,K114&lt;K$42,I$40,K114&lt;K$44,I$42,K114&lt;K$46,I$44,K114&gt;=K$46,I$46)</f>
        <v/>
      </c>
      <c r="J114" s="37">
        <f>_xlfn.IFS(K114&lt;K$24,0,K114&lt;K$25,J$24,K114&lt;K$26,J$25,K114&lt;K$27,J$26,K114&lt;K$28,J$27,K114&lt;K$29,J$28,K114&lt;K$30,J$29,K114&lt;K$31,J$30,K114&lt;K$32,J$31,K114&lt;K$33,J$32,K114&lt;K$34,J$33,K114&lt;K$35,J$34,K114&lt;K$36,J$35,K114&lt;K$37,J$36,K114&lt;K$38,J$37,K114&lt;K$39,J$38,K114&lt;K$40,J$39,K114&lt;K$41,J$40,K114&lt;K$42,J$41,K114&lt;K$43,J$42,K114&lt;K$44,J$43,K114&lt;K$45,J$44,K114&lt;K$46,J$45,K114&lt;K$47,J$46,K114&gt;=K$47,J$47)</f>
        <v/>
      </c>
      <c r="K114" s="38" t="n">
        <v>64</v>
      </c>
      <c r="L114" s="31">
        <f>K114/52</f>
        <v/>
      </c>
      <c r="M114" s="39">
        <f>J114/1000000*52</f>
        <v/>
      </c>
      <c r="N114" s="33">
        <f>M114/$P$4+($I$22/$P$4)</f>
        <v/>
      </c>
      <c r="U114">
        <f>F113</f>
        <v/>
      </c>
      <c r="V114">
        <f>H113</f>
        <v/>
      </c>
      <c r="W114">
        <f>N113</f>
        <v/>
      </c>
    </row>
    <row r="115" ht="15.75" customHeight="1" s="40">
      <c r="C115" s="36">
        <f>_xlfn.IFS(E115&lt;E$24,0,E115&lt;E$26,C$24,E115&lt;E$28,C$26,E115&lt;E$30,C$28,E115&lt;E$32,C$30,E115&lt;E$34,C$32,E115&gt;=E$34,C$34)</f>
        <v/>
      </c>
      <c r="D115" s="37">
        <f>_xlfn.IFS(E115&lt;E$24,0,E115&lt;E$25,D$24,E115&lt;E$26,D$25,E115&lt;E$27,D$26,E115&lt;E$28,D$27,E115&lt;E$29,D$28,E115&lt;E$30,D$29,E115&lt;E$31,D$30,E115&lt;E$32,D$31,E115&lt;E$33,D$32,E115&lt;E$34,D$33,E115&lt;E$35,D$34,E115&gt;=E$35,D$35)</f>
        <v/>
      </c>
      <c r="E115" s="38" t="n">
        <v>65</v>
      </c>
      <c r="F115" s="31">
        <f>E115/52</f>
        <v/>
      </c>
      <c r="G115" s="39">
        <f>D115/1000000*52</f>
        <v/>
      </c>
      <c r="H115" s="33">
        <f>G115/$P$4+($C$22/$P$4)</f>
        <v/>
      </c>
      <c r="I115" s="36">
        <f>_xlfn.IFS(K115&lt;K$24,0,K115&lt;K$26,I$24,K115&lt;K$28,I$26,K115&lt;K$30,I$28,K115&lt;K$32,I$30,K115&lt;K$34,I$32,K115&lt;K$36,I$34,K115&lt;K$38,I$36,K115&lt;K$40,I$38,K115&lt;K$42,I$40,K115&lt;K$44,I$42,K115&lt;K$46,I$44,K115&gt;=K$46,I$46)</f>
        <v/>
      </c>
      <c r="J115" s="37">
        <f>_xlfn.IFS(K115&lt;K$24,0,K115&lt;K$25,J$24,K115&lt;K$26,J$25,K115&lt;K$27,J$26,K115&lt;K$28,J$27,K115&lt;K$29,J$28,K115&lt;K$30,J$29,K115&lt;K$31,J$30,K115&lt;K$32,J$31,K115&lt;K$33,J$32,K115&lt;K$34,J$33,K115&lt;K$35,J$34,K115&lt;K$36,J$35,K115&lt;K$37,J$36,K115&lt;K$38,J$37,K115&lt;K$39,J$38,K115&lt;K$40,J$39,K115&lt;K$41,J$40,K115&lt;K$42,J$41,K115&lt;K$43,J$42,K115&lt;K$44,J$43,K115&lt;K$45,J$44,K115&lt;K$46,J$45,K115&lt;K$47,J$46,K115&gt;=K$47,J$47)</f>
        <v/>
      </c>
      <c r="K115" s="38" t="n">
        <v>65</v>
      </c>
      <c r="L115" s="31">
        <f>K115/52</f>
        <v/>
      </c>
      <c r="M115" s="39">
        <f>J115/1000000*52</f>
        <v/>
      </c>
      <c r="N115" s="33">
        <f>M115/$P$4+($I$22/$P$4)</f>
        <v/>
      </c>
      <c r="U115">
        <f>F114</f>
        <v/>
      </c>
      <c r="V115">
        <f>H114</f>
        <v/>
      </c>
      <c r="W115">
        <f>N114</f>
        <v/>
      </c>
    </row>
    <row r="116" ht="15.75" customHeight="1" s="40">
      <c r="C116" s="36">
        <f>_xlfn.IFS(E116&lt;E$24,0,E116&lt;E$26,C$24,E116&lt;E$28,C$26,E116&lt;E$30,C$28,E116&lt;E$32,C$30,E116&lt;E$34,C$32,E116&gt;=E$34,C$34)</f>
        <v/>
      </c>
      <c r="D116" s="37">
        <f>_xlfn.IFS(E116&lt;E$24,0,E116&lt;E$25,D$24,E116&lt;E$26,D$25,E116&lt;E$27,D$26,E116&lt;E$28,D$27,E116&lt;E$29,D$28,E116&lt;E$30,D$29,E116&lt;E$31,D$30,E116&lt;E$32,D$31,E116&lt;E$33,D$32,E116&lt;E$34,D$33,E116&lt;E$35,D$34,E116&gt;=E$35,D$35)</f>
        <v/>
      </c>
      <c r="E116" s="38" t="n">
        <v>66</v>
      </c>
      <c r="F116" s="31">
        <f>E116/52</f>
        <v/>
      </c>
      <c r="G116" s="39">
        <f>D116/1000000*52</f>
        <v/>
      </c>
      <c r="H116" s="33">
        <f>G116/$P$4+($C$22/$P$4)</f>
        <v/>
      </c>
      <c r="I116" s="36">
        <f>_xlfn.IFS(K116&lt;K$24,0,K116&lt;K$26,I$24,K116&lt;K$28,I$26,K116&lt;K$30,I$28,K116&lt;K$32,I$30,K116&lt;K$34,I$32,K116&lt;K$36,I$34,K116&lt;K$38,I$36,K116&lt;K$40,I$38,K116&lt;K$42,I$40,K116&lt;K$44,I$42,K116&lt;K$46,I$44,K116&gt;=K$46,I$46)</f>
        <v/>
      </c>
      <c r="J116" s="37">
        <f>_xlfn.IFS(K116&lt;K$24,0,K116&lt;K$25,J$24,K116&lt;K$26,J$25,K116&lt;K$27,J$26,K116&lt;K$28,J$27,K116&lt;K$29,J$28,K116&lt;K$30,J$29,K116&lt;K$31,J$30,K116&lt;K$32,J$31,K116&lt;K$33,J$32,K116&lt;K$34,J$33,K116&lt;K$35,J$34,K116&lt;K$36,J$35,K116&lt;K$37,J$36,K116&lt;K$38,J$37,K116&lt;K$39,J$38,K116&lt;K$40,J$39,K116&lt;K$41,J$40,K116&lt;K$42,J$41,K116&lt;K$43,J$42,K116&lt;K$44,J$43,K116&lt;K$45,J$44,K116&lt;K$46,J$45,K116&lt;K$47,J$46,K116&gt;=K$47,J$47)</f>
        <v/>
      </c>
      <c r="K116" s="38" t="n">
        <v>66</v>
      </c>
      <c r="L116" s="31">
        <f>K116/52</f>
        <v/>
      </c>
      <c r="M116" s="39">
        <f>J116/1000000*52</f>
        <v/>
      </c>
      <c r="N116" s="33">
        <f>M116/$P$4+($I$22/$P$4)</f>
        <v/>
      </c>
      <c r="U116">
        <f>F115</f>
        <v/>
      </c>
      <c r="V116">
        <f>H115</f>
        <v/>
      </c>
      <c r="W116">
        <f>N115</f>
        <v/>
      </c>
    </row>
    <row r="117" ht="15.75" customHeight="1" s="40">
      <c r="C117" s="36">
        <f>_xlfn.IFS(E117&lt;E$24,0,E117&lt;E$26,C$24,E117&lt;E$28,C$26,E117&lt;E$30,C$28,E117&lt;E$32,C$30,E117&lt;E$34,C$32,E117&gt;=E$34,C$34)</f>
        <v/>
      </c>
      <c r="D117" s="37">
        <f>_xlfn.IFS(E117&lt;E$24,0,E117&lt;E$25,D$24,E117&lt;E$26,D$25,E117&lt;E$27,D$26,E117&lt;E$28,D$27,E117&lt;E$29,D$28,E117&lt;E$30,D$29,E117&lt;E$31,D$30,E117&lt;E$32,D$31,E117&lt;E$33,D$32,E117&lt;E$34,D$33,E117&lt;E$35,D$34,E117&gt;=E$35,D$35)</f>
        <v/>
      </c>
      <c r="E117" s="38" t="n">
        <v>67</v>
      </c>
      <c r="F117" s="31">
        <f>E117/52</f>
        <v/>
      </c>
      <c r="G117" s="39">
        <f>D117/1000000*52</f>
        <v/>
      </c>
      <c r="H117" s="33">
        <f>G117/$P$4+($C$22/$P$4)</f>
        <v/>
      </c>
      <c r="I117" s="36">
        <f>_xlfn.IFS(K117&lt;K$24,0,K117&lt;K$26,I$24,K117&lt;K$28,I$26,K117&lt;K$30,I$28,K117&lt;K$32,I$30,K117&lt;K$34,I$32,K117&lt;K$36,I$34,K117&lt;K$38,I$36,K117&lt;K$40,I$38,K117&lt;K$42,I$40,K117&lt;K$44,I$42,K117&lt;K$46,I$44,K117&gt;=K$46,I$46)</f>
        <v/>
      </c>
      <c r="J117" s="37">
        <f>_xlfn.IFS(K117&lt;K$24,0,K117&lt;K$25,J$24,K117&lt;K$26,J$25,K117&lt;K$27,J$26,K117&lt;K$28,J$27,K117&lt;K$29,J$28,K117&lt;K$30,J$29,K117&lt;K$31,J$30,K117&lt;K$32,J$31,K117&lt;K$33,J$32,K117&lt;K$34,J$33,K117&lt;K$35,J$34,K117&lt;K$36,J$35,K117&lt;K$37,J$36,K117&lt;K$38,J$37,K117&lt;K$39,J$38,K117&lt;K$40,J$39,K117&lt;K$41,J$40,K117&lt;K$42,J$41,K117&lt;K$43,J$42,K117&lt;K$44,J$43,K117&lt;K$45,J$44,K117&lt;K$46,J$45,K117&lt;K$47,J$46,K117&gt;=K$47,J$47)</f>
        <v/>
      </c>
      <c r="K117" s="38" t="n">
        <v>67</v>
      </c>
      <c r="L117" s="31">
        <f>K117/52</f>
        <v/>
      </c>
      <c r="M117" s="39">
        <f>J117/1000000*52</f>
        <v/>
      </c>
      <c r="N117" s="33">
        <f>M117/$P$4+($I$22/$P$4)</f>
        <v/>
      </c>
      <c r="U117">
        <f>F116</f>
        <v/>
      </c>
      <c r="V117">
        <f>H116</f>
        <v/>
      </c>
      <c r="W117">
        <f>N116</f>
        <v/>
      </c>
    </row>
    <row r="118" ht="15.75" customHeight="1" s="40">
      <c r="C118" s="36">
        <f>_xlfn.IFS(E118&lt;E$24,0,E118&lt;E$26,C$24,E118&lt;E$28,C$26,E118&lt;E$30,C$28,E118&lt;E$32,C$30,E118&lt;E$34,C$32,E118&gt;=E$34,C$34)</f>
        <v/>
      </c>
      <c r="D118" s="37">
        <f>_xlfn.IFS(E118&lt;E$24,0,E118&lt;E$25,D$24,E118&lt;E$26,D$25,E118&lt;E$27,D$26,E118&lt;E$28,D$27,E118&lt;E$29,D$28,E118&lt;E$30,D$29,E118&lt;E$31,D$30,E118&lt;E$32,D$31,E118&lt;E$33,D$32,E118&lt;E$34,D$33,E118&lt;E$35,D$34,E118&gt;=E$35,D$35)</f>
        <v/>
      </c>
      <c r="E118" s="38" t="n">
        <v>68</v>
      </c>
      <c r="F118" s="31">
        <f>E118/52</f>
        <v/>
      </c>
      <c r="G118" s="39">
        <f>D118/1000000*52</f>
        <v/>
      </c>
      <c r="H118" s="33">
        <f>G118/$P$4+($C$22/$P$4)</f>
        <v/>
      </c>
      <c r="I118" s="36">
        <f>_xlfn.IFS(K118&lt;K$24,0,K118&lt;K$26,I$24,K118&lt;K$28,I$26,K118&lt;K$30,I$28,K118&lt;K$32,I$30,K118&lt;K$34,I$32,K118&lt;K$36,I$34,K118&lt;K$38,I$36,K118&lt;K$40,I$38,K118&lt;K$42,I$40,K118&lt;K$44,I$42,K118&lt;K$46,I$44,K118&gt;=K$46,I$46)</f>
        <v/>
      </c>
      <c r="J118" s="37">
        <f>_xlfn.IFS(K118&lt;K$24,0,K118&lt;K$25,J$24,K118&lt;K$26,J$25,K118&lt;K$27,J$26,K118&lt;K$28,J$27,K118&lt;K$29,J$28,K118&lt;K$30,J$29,K118&lt;K$31,J$30,K118&lt;K$32,J$31,K118&lt;K$33,J$32,K118&lt;K$34,J$33,K118&lt;K$35,J$34,K118&lt;K$36,J$35,K118&lt;K$37,J$36,K118&lt;K$38,J$37,K118&lt;K$39,J$38,K118&lt;K$40,J$39,K118&lt;K$41,J$40,K118&lt;K$42,J$41,K118&lt;K$43,J$42,K118&lt;K$44,J$43,K118&lt;K$45,J$44,K118&lt;K$46,J$45,K118&lt;K$47,J$46,K118&gt;=K$47,J$47)</f>
        <v/>
      </c>
      <c r="K118" s="38" t="n">
        <v>68</v>
      </c>
      <c r="L118" s="31">
        <f>K118/52</f>
        <v/>
      </c>
      <c r="M118" s="39">
        <f>J118/1000000*52</f>
        <v/>
      </c>
      <c r="N118" s="33">
        <f>M118/$P$4+($I$22/$P$4)</f>
        <v/>
      </c>
      <c r="U118">
        <f>F117</f>
        <v/>
      </c>
      <c r="V118">
        <f>H117</f>
        <v/>
      </c>
      <c r="W118">
        <f>N117</f>
        <v/>
      </c>
    </row>
    <row r="119" ht="15.75" customHeight="1" s="40">
      <c r="C119" s="36">
        <f>_xlfn.IFS(E119&lt;E$24,0,E119&lt;E$26,C$24,E119&lt;E$28,C$26,E119&lt;E$30,C$28,E119&lt;E$32,C$30,E119&lt;E$34,C$32,E119&gt;=E$34,C$34)</f>
        <v/>
      </c>
      <c r="D119" s="37">
        <f>_xlfn.IFS(E119&lt;E$24,0,E119&lt;E$25,D$24,E119&lt;E$26,D$25,E119&lt;E$27,D$26,E119&lt;E$28,D$27,E119&lt;E$29,D$28,E119&lt;E$30,D$29,E119&lt;E$31,D$30,E119&lt;E$32,D$31,E119&lt;E$33,D$32,E119&lt;E$34,D$33,E119&lt;E$35,D$34,E119&gt;=E$35,D$35)</f>
        <v/>
      </c>
      <c r="E119" s="38" t="n">
        <v>69</v>
      </c>
      <c r="F119" s="31">
        <f>E119/52</f>
        <v/>
      </c>
      <c r="G119" s="39">
        <f>D119/1000000*52</f>
        <v/>
      </c>
      <c r="H119" s="33">
        <f>G119/$P$4+($C$22/$P$4)</f>
        <v/>
      </c>
      <c r="I119" s="36">
        <f>_xlfn.IFS(K119&lt;K$24,0,K119&lt;K$26,I$24,K119&lt;K$28,I$26,K119&lt;K$30,I$28,K119&lt;K$32,I$30,K119&lt;K$34,I$32,K119&lt;K$36,I$34,K119&lt;K$38,I$36,K119&lt;K$40,I$38,K119&lt;K$42,I$40,K119&lt;K$44,I$42,K119&lt;K$46,I$44,K119&gt;=K$46,I$46)</f>
        <v/>
      </c>
      <c r="J119" s="37">
        <f>_xlfn.IFS(K119&lt;K$24,0,K119&lt;K$25,J$24,K119&lt;K$26,J$25,K119&lt;K$27,J$26,K119&lt;K$28,J$27,K119&lt;K$29,J$28,K119&lt;K$30,J$29,K119&lt;K$31,J$30,K119&lt;K$32,J$31,K119&lt;K$33,J$32,K119&lt;K$34,J$33,K119&lt;K$35,J$34,K119&lt;K$36,J$35,K119&lt;K$37,J$36,K119&lt;K$38,J$37,K119&lt;K$39,J$38,K119&lt;K$40,J$39,K119&lt;K$41,J$40,K119&lt;K$42,J$41,K119&lt;K$43,J$42,K119&lt;K$44,J$43,K119&lt;K$45,J$44,K119&lt;K$46,J$45,K119&lt;K$47,J$46,K119&gt;=K$47,J$47)</f>
        <v/>
      </c>
      <c r="K119" s="38" t="n">
        <v>69</v>
      </c>
      <c r="L119" s="31">
        <f>K119/52</f>
        <v/>
      </c>
      <c r="M119" s="39">
        <f>J119/1000000*52</f>
        <v/>
      </c>
      <c r="N119" s="33">
        <f>M119/$P$4+($I$22/$P$4)</f>
        <v/>
      </c>
      <c r="U119">
        <f>F118</f>
        <v/>
      </c>
      <c r="V119">
        <f>H118</f>
        <v/>
      </c>
      <c r="W119">
        <f>N118</f>
        <v/>
      </c>
    </row>
    <row r="120" ht="15.75" customHeight="1" s="40">
      <c r="C120" s="36">
        <f>_xlfn.IFS(E120&lt;E$24,0,E120&lt;E$26,C$24,E120&lt;E$28,C$26,E120&lt;E$30,C$28,E120&lt;E$32,C$30,E120&lt;E$34,C$32,E120&gt;=E$34,C$34)</f>
        <v/>
      </c>
      <c r="D120" s="37">
        <f>_xlfn.IFS(E120&lt;E$24,0,E120&lt;E$25,D$24,E120&lt;E$26,D$25,E120&lt;E$27,D$26,E120&lt;E$28,D$27,E120&lt;E$29,D$28,E120&lt;E$30,D$29,E120&lt;E$31,D$30,E120&lt;E$32,D$31,E120&lt;E$33,D$32,E120&lt;E$34,D$33,E120&lt;E$35,D$34,E120&gt;=E$35,D$35)</f>
        <v/>
      </c>
      <c r="E120" s="38" t="n">
        <v>70</v>
      </c>
      <c r="F120" s="31">
        <f>E120/52</f>
        <v/>
      </c>
      <c r="G120" s="39">
        <f>D120/1000000*52</f>
        <v/>
      </c>
      <c r="H120" s="33">
        <f>G120/$P$4+($C$22/$P$4)</f>
        <v/>
      </c>
      <c r="I120" s="36">
        <f>_xlfn.IFS(K120&lt;K$24,0,K120&lt;K$26,I$24,K120&lt;K$28,I$26,K120&lt;K$30,I$28,K120&lt;K$32,I$30,K120&lt;K$34,I$32,K120&lt;K$36,I$34,K120&lt;K$38,I$36,K120&lt;K$40,I$38,K120&lt;K$42,I$40,K120&lt;K$44,I$42,K120&lt;K$46,I$44,K120&gt;=K$46,I$46)</f>
        <v/>
      </c>
      <c r="J120" s="37">
        <f>_xlfn.IFS(K120&lt;K$24,0,K120&lt;K$25,J$24,K120&lt;K$26,J$25,K120&lt;K$27,J$26,K120&lt;K$28,J$27,K120&lt;K$29,J$28,K120&lt;K$30,J$29,K120&lt;K$31,J$30,K120&lt;K$32,J$31,K120&lt;K$33,J$32,K120&lt;K$34,J$33,K120&lt;K$35,J$34,K120&lt;K$36,J$35,K120&lt;K$37,J$36,K120&lt;K$38,J$37,K120&lt;K$39,J$38,K120&lt;K$40,J$39,K120&lt;K$41,J$40,K120&lt;K$42,J$41,K120&lt;K$43,J$42,K120&lt;K$44,J$43,K120&lt;K$45,J$44,K120&lt;K$46,J$45,K120&lt;K$47,J$46,K120&gt;=K$47,J$47)</f>
        <v/>
      </c>
      <c r="K120" s="38" t="n">
        <v>70</v>
      </c>
      <c r="L120" s="31">
        <f>K120/52</f>
        <v/>
      </c>
      <c r="M120" s="39">
        <f>J120/1000000*52</f>
        <v/>
      </c>
      <c r="N120" s="33">
        <f>M120/$P$4+($I$22/$P$4)</f>
        <v/>
      </c>
      <c r="U120">
        <f>F119</f>
        <v/>
      </c>
      <c r="V120">
        <f>H119</f>
        <v/>
      </c>
      <c r="W120">
        <f>N119</f>
        <v/>
      </c>
    </row>
    <row r="121" ht="15.75" customHeight="1" s="40">
      <c r="C121" s="36">
        <f>_xlfn.IFS(E121&lt;E$24,0,E121&lt;E$26,C$24,E121&lt;E$28,C$26,E121&lt;E$30,C$28,E121&lt;E$32,C$30,E121&lt;E$34,C$32,E121&gt;=E$34,C$34)</f>
        <v/>
      </c>
      <c r="D121" s="37">
        <f>_xlfn.IFS(E121&lt;E$24,0,E121&lt;E$25,D$24,E121&lt;E$26,D$25,E121&lt;E$27,D$26,E121&lt;E$28,D$27,E121&lt;E$29,D$28,E121&lt;E$30,D$29,E121&lt;E$31,D$30,E121&lt;E$32,D$31,E121&lt;E$33,D$32,E121&lt;E$34,D$33,E121&lt;E$35,D$34,E121&gt;=E$35,D$35)</f>
        <v/>
      </c>
      <c r="E121" s="38" t="n">
        <v>71</v>
      </c>
      <c r="F121" s="31">
        <f>E121/52</f>
        <v/>
      </c>
      <c r="G121" s="39">
        <f>D121/1000000*52</f>
        <v/>
      </c>
      <c r="H121" s="33">
        <f>G121/$P$4+($C$22/$P$4)</f>
        <v/>
      </c>
      <c r="I121" s="36">
        <f>_xlfn.IFS(K121&lt;K$24,0,K121&lt;K$26,I$24,K121&lt;K$28,I$26,K121&lt;K$30,I$28,K121&lt;K$32,I$30,K121&lt;K$34,I$32,K121&lt;K$36,I$34,K121&lt;K$38,I$36,K121&lt;K$40,I$38,K121&lt;K$42,I$40,K121&lt;K$44,I$42,K121&lt;K$46,I$44,K121&gt;=K$46,I$46)</f>
        <v/>
      </c>
      <c r="J121" s="37">
        <f>_xlfn.IFS(K121&lt;K$24,0,K121&lt;K$25,J$24,K121&lt;K$26,J$25,K121&lt;K$27,J$26,K121&lt;K$28,J$27,K121&lt;K$29,J$28,K121&lt;K$30,J$29,K121&lt;K$31,J$30,K121&lt;K$32,J$31,K121&lt;K$33,J$32,K121&lt;K$34,J$33,K121&lt;K$35,J$34,K121&lt;K$36,J$35,K121&lt;K$37,J$36,K121&lt;K$38,J$37,K121&lt;K$39,J$38,K121&lt;K$40,J$39,K121&lt;K$41,J$40,K121&lt;K$42,J$41,K121&lt;K$43,J$42,K121&lt;K$44,J$43,K121&lt;K$45,J$44,K121&lt;K$46,J$45,K121&lt;K$47,J$46,K121&gt;=K$47,J$47)</f>
        <v/>
      </c>
      <c r="K121" s="38" t="n">
        <v>71</v>
      </c>
      <c r="L121" s="31">
        <f>K121/52</f>
        <v/>
      </c>
      <c r="M121" s="39">
        <f>J121/1000000*52</f>
        <v/>
      </c>
      <c r="N121" s="33">
        <f>M121/$P$4+($I$22/$P$4)</f>
        <v/>
      </c>
      <c r="U121">
        <f>F120</f>
        <v/>
      </c>
      <c r="V121">
        <f>H120</f>
        <v/>
      </c>
      <c r="W121">
        <f>N120</f>
        <v/>
      </c>
    </row>
    <row r="122" ht="15.75" customHeight="1" s="40">
      <c r="C122" s="36">
        <f>_xlfn.IFS(E122&lt;E$24,0,E122&lt;E$26,C$24,E122&lt;E$28,C$26,E122&lt;E$30,C$28,E122&lt;E$32,C$30,E122&lt;E$34,C$32,E122&gt;=E$34,C$34)</f>
        <v/>
      </c>
      <c r="D122" s="37">
        <f>_xlfn.IFS(E122&lt;E$24,0,E122&lt;E$25,D$24,E122&lt;E$26,D$25,E122&lt;E$27,D$26,E122&lt;E$28,D$27,E122&lt;E$29,D$28,E122&lt;E$30,D$29,E122&lt;E$31,D$30,E122&lt;E$32,D$31,E122&lt;E$33,D$32,E122&lt;E$34,D$33,E122&lt;E$35,D$34,E122&gt;=E$35,D$35)</f>
        <v/>
      </c>
      <c r="E122" s="38" t="n">
        <v>72</v>
      </c>
      <c r="F122" s="31">
        <f>E122/52</f>
        <v/>
      </c>
      <c r="G122" s="39">
        <f>D122/1000000*52</f>
        <v/>
      </c>
      <c r="H122" s="33">
        <f>G122/$P$4+($C$22/$P$4)</f>
        <v/>
      </c>
      <c r="I122" s="36">
        <f>_xlfn.IFS(K122&lt;K$24,0,K122&lt;K$26,I$24,K122&lt;K$28,I$26,K122&lt;K$30,I$28,K122&lt;K$32,I$30,K122&lt;K$34,I$32,K122&lt;K$36,I$34,K122&lt;K$38,I$36,K122&lt;K$40,I$38,K122&lt;K$42,I$40,K122&lt;K$44,I$42,K122&lt;K$46,I$44,K122&gt;=K$46,I$46)</f>
        <v/>
      </c>
      <c r="J122" s="37">
        <f>_xlfn.IFS(K122&lt;K$24,0,K122&lt;K$25,J$24,K122&lt;K$26,J$25,K122&lt;K$27,J$26,K122&lt;K$28,J$27,K122&lt;K$29,J$28,K122&lt;K$30,J$29,K122&lt;K$31,J$30,K122&lt;K$32,J$31,K122&lt;K$33,J$32,K122&lt;K$34,J$33,K122&lt;K$35,J$34,K122&lt;K$36,J$35,K122&lt;K$37,J$36,K122&lt;K$38,J$37,K122&lt;K$39,J$38,K122&lt;K$40,J$39,K122&lt;K$41,J$40,K122&lt;K$42,J$41,K122&lt;K$43,J$42,K122&lt;K$44,J$43,K122&lt;K$45,J$44,K122&lt;K$46,J$45,K122&lt;K$47,J$46,K122&gt;=K$47,J$47)</f>
        <v/>
      </c>
      <c r="K122" s="38" t="n">
        <v>72</v>
      </c>
      <c r="L122" s="31">
        <f>K122/52</f>
        <v/>
      </c>
      <c r="M122" s="39">
        <f>J122/1000000*52</f>
        <v/>
      </c>
      <c r="N122" s="33">
        <f>M122/$P$4+($I$22/$P$4)</f>
        <v/>
      </c>
      <c r="U122">
        <f>F121</f>
        <v/>
      </c>
      <c r="V122">
        <f>H121</f>
        <v/>
      </c>
      <c r="W122">
        <f>N121</f>
        <v/>
      </c>
    </row>
    <row r="123" ht="15.75" customHeight="1" s="40">
      <c r="C123" s="36">
        <f>_xlfn.IFS(E123&lt;E$24,0,E123&lt;E$26,C$24,E123&lt;E$28,C$26,E123&lt;E$30,C$28,E123&lt;E$32,C$30,E123&lt;E$34,C$32,E123&gt;=E$34,C$34)</f>
        <v/>
      </c>
      <c r="D123" s="37">
        <f>_xlfn.IFS(E123&lt;E$24,0,E123&lt;E$25,D$24,E123&lt;E$26,D$25,E123&lt;E$27,D$26,E123&lt;E$28,D$27,E123&lt;E$29,D$28,E123&lt;E$30,D$29,E123&lt;E$31,D$30,E123&lt;E$32,D$31,E123&lt;E$33,D$32,E123&lt;E$34,D$33,E123&lt;E$35,D$34,E123&gt;=E$35,D$35)</f>
        <v/>
      </c>
      <c r="E123" s="38" t="n">
        <v>73</v>
      </c>
      <c r="F123" s="31">
        <f>E123/52</f>
        <v/>
      </c>
      <c r="G123" s="39">
        <f>D123/1000000*52</f>
        <v/>
      </c>
      <c r="H123" s="33">
        <f>G123/$P$4+($C$22/$P$4)</f>
        <v/>
      </c>
      <c r="I123" s="36">
        <f>_xlfn.IFS(K123&lt;K$24,0,K123&lt;K$26,I$24,K123&lt;K$28,I$26,K123&lt;K$30,I$28,K123&lt;K$32,I$30,K123&lt;K$34,I$32,K123&lt;K$36,I$34,K123&lt;K$38,I$36,K123&lt;K$40,I$38,K123&lt;K$42,I$40,K123&lt;K$44,I$42,K123&lt;K$46,I$44,K123&gt;=K$46,I$46)</f>
        <v/>
      </c>
      <c r="J123" s="37">
        <f>_xlfn.IFS(K123&lt;K$24,0,K123&lt;K$25,J$24,K123&lt;K$26,J$25,K123&lt;K$27,J$26,K123&lt;K$28,J$27,K123&lt;K$29,J$28,K123&lt;K$30,J$29,K123&lt;K$31,J$30,K123&lt;K$32,J$31,K123&lt;K$33,J$32,K123&lt;K$34,J$33,K123&lt;K$35,J$34,K123&lt;K$36,J$35,K123&lt;K$37,J$36,K123&lt;K$38,J$37,K123&lt;K$39,J$38,K123&lt;K$40,J$39,K123&lt;K$41,J$40,K123&lt;K$42,J$41,K123&lt;K$43,J$42,K123&lt;K$44,J$43,K123&lt;K$45,J$44,K123&lt;K$46,J$45,K123&lt;K$47,J$46,K123&gt;=K$47,J$47)</f>
        <v/>
      </c>
      <c r="K123" s="38" t="n">
        <v>73</v>
      </c>
      <c r="L123" s="31">
        <f>K123/52</f>
        <v/>
      </c>
      <c r="M123" s="39">
        <f>J123/1000000*52</f>
        <v/>
      </c>
      <c r="N123" s="33">
        <f>M123/$P$4+($I$22/$P$4)</f>
        <v/>
      </c>
      <c r="U123">
        <f>F122</f>
        <v/>
      </c>
      <c r="V123">
        <f>H122</f>
        <v/>
      </c>
      <c r="W123">
        <f>N122</f>
        <v/>
      </c>
    </row>
    <row r="124" ht="15.75" customHeight="1" s="40">
      <c r="C124" s="36">
        <f>_xlfn.IFS(E124&lt;E$24,0,E124&lt;E$26,C$24,E124&lt;E$28,C$26,E124&lt;E$30,C$28,E124&lt;E$32,C$30,E124&lt;E$34,C$32,E124&gt;=E$34,C$34)</f>
        <v/>
      </c>
      <c r="D124" s="37">
        <f>_xlfn.IFS(E124&lt;E$24,0,E124&lt;E$25,D$24,E124&lt;E$26,D$25,E124&lt;E$27,D$26,E124&lt;E$28,D$27,E124&lt;E$29,D$28,E124&lt;E$30,D$29,E124&lt;E$31,D$30,E124&lt;E$32,D$31,E124&lt;E$33,D$32,E124&lt;E$34,D$33,E124&lt;E$35,D$34,E124&gt;=E$35,D$35)</f>
        <v/>
      </c>
      <c r="E124" s="38" t="n">
        <v>74</v>
      </c>
      <c r="F124" s="31">
        <f>E124/52</f>
        <v/>
      </c>
      <c r="G124" s="39">
        <f>D124/1000000*52</f>
        <v/>
      </c>
      <c r="H124" s="33">
        <f>G124/$P$4+($C$22/$P$4)</f>
        <v/>
      </c>
      <c r="I124" s="36">
        <f>_xlfn.IFS(K124&lt;K$24,0,K124&lt;K$26,I$24,K124&lt;K$28,I$26,K124&lt;K$30,I$28,K124&lt;K$32,I$30,K124&lt;K$34,I$32,K124&lt;K$36,I$34,K124&lt;K$38,I$36,K124&lt;K$40,I$38,K124&lt;K$42,I$40,K124&lt;K$44,I$42,K124&lt;K$46,I$44,K124&gt;=K$46,I$46)</f>
        <v/>
      </c>
      <c r="J124" s="37">
        <f>_xlfn.IFS(K124&lt;K$24,0,K124&lt;K$25,J$24,K124&lt;K$26,J$25,K124&lt;K$27,J$26,K124&lt;K$28,J$27,K124&lt;K$29,J$28,K124&lt;K$30,J$29,K124&lt;K$31,J$30,K124&lt;K$32,J$31,K124&lt;K$33,J$32,K124&lt;K$34,J$33,K124&lt;K$35,J$34,K124&lt;K$36,J$35,K124&lt;K$37,J$36,K124&lt;K$38,J$37,K124&lt;K$39,J$38,K124&lt;K$40,J$39,K124&lt;K$41,J$40,K124&lt;K$42,J$41,K124&lt;K$43,J$42,K124&lt;K$44,J$43,K124&lt;K$45,J$44,K124&lt;K$46,J$45,K124&lt;K$47,J$46,K124&gt;=K$47,J$47)</f>
        <v/>
      </c>
      <c r="K124" s="38" t="n">
        <v>74</v>
      </c>
      <c r="L124" s="31">
        <f>K124/52</f>
        <v/>
      </c>
      <c r="M124" s="39">
        <f>J124/1000000*52</f>
        <v/>
      </c>
      <c r="N124" s="33">
        <f>M124/$P$4+($I$22/$P$4)</f>
        <v/>
      </c>
      <c r="U124">
        <f>F123</f>
        <v/>
      </c>
      <c r="V124">
        <f>H123</f>
        <v/>
      </c>
      <c r="W124">
        <f>N123</f>
        <v/>
      </c>
    </row>
    <row r="125" ht="15.75" customHeight="1" s="40">
      <c r="C125" s="36">
        <f>_xlfn.IFS(E125&lt;E$24,0,E125&lt;E$26,C$24,E125&lt;E$28,C$26,E125&lt;E$30,C$28,E125&lt;E$32,C$30,E125&lt;E$34,C$32,E125&gt;=E$34,C$34)</f>
        <v/>
      </c>
      <c r="D125" s="37">
        <f>_xlfn.IFS(E125&lt;E$24,0,E125&lt;E$25,D$24,E125&lt;E$26,D$25,E125&lt;E$27,D$26,E125&lt;E$28,D$27,E125&lt;E$29,D$28,E125&lt;E$30,D$29,E125&lt;E$31,D$30,E125&lt;E$32,D$31,E125&lt;E$33,D$32,E125&lt;E$34,D$33,E125&lt;E$35,D$34,E125&gt;=E$35,D$35)</f>
        <v/>
      </c>
      <c r="E125" s="38" t="n">
        <v>75</v>
      </c>
      <c r="F125" s="31">
        <f>E125/52</f>
        <v/>
      </c>
      <c r="G125" s="39">
        <f>D125/1000000*52</f>
        <v/>
      </c>
      <c r="H125" s="33">
        <f>G125/$P$4+($C$22/$P$4)</f>
        <v/>
      </c>
      <c r="I125" s="36">
        <f>_xlfn.IFS(K125&lt;K$24,0,K125&lt;K$26,I$24,K125&lt;K$28,I$26,K125&lt;K$30,I$28,K125&lt;K$32,I$30,K125&lt;K$34,I$32,K125&lt;K$36,I$34,K125&lt;K$38,I$36,K125&lt;K$40,I$38,K125&lt;K$42,I$40,K125&lt;K$44,I$42,K125&lt;K$46,I$44,K125&gt;=K$46,I$46)</f>
        <v/>
      </c>
      <c r="J125" s="37">
        <f>_xlfn.IFS(K125&lt;K$24,0,K125&lt;K$25,J$24,K125&lt;K$26,J$25,K125&lt;K$27,J$26,K125&lt;K$28,J$27,K125&lt;K$29,J$28,K125&lt;K$30,J$29,K125&lt;K$31,J$30,K125&lt;K$32,J$31,K125&lt;K$33,J$32,K125&lt;K$34,J$33,K125&lt;K$35,J$34,K125&lt;K$36,J$35,K125&lt;K$37,J$36,K125&lt;K$38,J$37,K125&lt;K$39,J$38,K125&lt;K$40,J$39,K125&lt;K$41,J$40,K125&lt;K$42,J$41,K125&lt;K$43,J$42,K125&lt;K$44,J$43,K125&lt;K$45,J$44,K125&lt;K$46,J$45,K125&lt;K$47,J$46,K125&gt;=K$47,J$47)</f>
        <v/>
      </c>
      <c r="K125" s="38" t="n">
        <v>75</v>
      </c>
      <c r="L125" s="31">
        <f>K125/52</f>
        <v/>
      </c>
      <c r="M125" s="39">
        <f>J125/1000000*52</f>
        <v/>
      </c>
      <c r="N125" s="33">
        <f>M125/$P$4+($I$22/$P$4)</f>
        <v/>
      </c>
      <c r="U125">
        <f>F124</f>
        <v/>
      </c>
      <c r="V125">
        <f>H124</f>
        <v/>
      </c>
      <c r="W125">
        <f>N124</f>
        <v/>
      </c>
    </row>
    <row r="126" ht="15.75" customHeight="1" s="40">
      <c r="C126" s="36">
        <f>_xlfn.IFS(E126&lt;E$24,0,E126&lt;E$26,C$24,E126&lt;E$28,C$26,E126&lt;E$30,C$28,E126&lt;E$32,C$30,E126&lt;E$34,C$32,E126&gt;=E$34,C$34)</f>
        <v/>
      </c>
      <c r="D126" s="37">
        <f>_xlfn.IFS(E126&lt;E$24,0,E126&lt;E$25,D$24,E126&lt;E$26,D$25,E126&lt;E$27,D$26,E126&lt;E$28,D$27,E126&lt;E$29,D$28,E126&lt;E$30,D$29,E126&lt;E$31,D$30,E126&lt;E$32,D$31,E126&lt;E$33,D$32,E126&lt;E$34,D$33,E126&lt;E$35,D$34,E126&gt;=E$35,D$35)</f>
        <v/>
      </c>
      <c r="E126" s="38" t="n">
        <v>76</v>
      </c>
      <c r="F126" s="31">
        <f>E126/52</f>
        <v/>
      </c>
      <c r="G126" s="39">
        <f>D126/1000000*52</f>
        <v/>
      </c>
      <c r="H126" s="33">
        <f>G126/$P$4+($C$22/$P$4)</f>
        <v/>
      </c>
      <c r="I126" s="36">
        <f>_xlfn.IFS(K126&lt;K$24,0,K126&lt;K$26,I$24,K126&lt;K$28,I$26,K126&lt;K$30,I$28,K126&lt;K$32,I$30,K126&lt;K$34,I$32,K126&lt;K$36,I$34,K126&lt;K$38,I$36,K126&lt;K$40,I$38,K126&lt;K$42,I$40,K126&lt;K$44,I$42,K126&lt;K$46,I$44,K126&gt;=K$46,I$46)</f>
        <v/>
      </c>
      <c r="J126" s="37">
        <f>_xlfn.IFS(K126&lt;K$24,0,K126&lt;K$25,J$24,K126&lt;K$26,J$25,K126&lt;K$27,J$26,K126&lt;K$28,J$27,K126&lt;K$29,J$28,K126&lt;K$30,J$29,K126&lt;K$31,J$30,K126&lt;K$32,J$31,K126&lt;K$33,J$32,K126&lt;K$34,J$33,K126&lt;K$35,J$34,K126&lt;K$36,J$35,K126&lt;K$37,J$36,K126&lt;K$38,J$37,K126&lt;K$39,J$38,K126&lt;K$40,J$39,K126&lt;K$41,J$40,K126&lt;K$42,J$41,K126&lt;K$43,J$42,K126&lt;K$44,J$43,K126&lt;K$45,J$44,K126&lt;K$46,J$45,K126&lt;K$47,J$46,K126&gt;=K$47,J$47)</f>
        <v/>
      </c>
      <c r="K126" s="38" t="n">
        <v>76</v>
      </c>
      <c r="L126" s="31">
        <f>K126/52</f>
        <v/>
      </c>
      <c r="M126" s="39">
        <f>J126/1000000*52</f>
        <v/>
      </c>
      <c r="N126" s="33">
        <f>M126/$P$4+($I$22/$P$4)</f>
        <v/>
      </c>
      <c r="U126">
        <f>F125</f>
        <v/>
      </c>
      <c r="V126">
        <f>H125</f>
        <v/>
      </c>
      <c r="W126">
        <f>N125</f>
        <v/>
      </c>
    </row>
    <row r="127" ht="15.75" customHeight="1" s="40">
      <c r="C127" s="36">
        <f>_xlfn.IFS(E127&lt;E$24,0,E127&lt;E$26,C$24,E127&lt;E$28,C$26,E127&lt;E$30,C$28,E127&lt;E$32,C$30,E127&lt;E$34,C$32,E127&gt;=E$34,C$34)</f>
        <v/>
      </c>
      <c r="D127" s="37">
        <f>_xlfn.IFS(E127&lt;E$24,0,E127&lt;E$25,D$24,E127&lt;E$26,D$25,E127&lt;E$27,D$26,E127&lt;E$28,D$27,E127&lt;E$29,D$28,E127&lt;E$30,D$29,E127&lt;E$31,D$30,E127&lt;E$32,D$31,E127&lt;E$33,D$32,E127&lt;E$34,D$33,E127&lt;E$35,D$34,E127&gt;=E$35,D$35)</f>
        <v/>
      </c>
      <c r="E127" s="38" t="n">
        <v>77</v>
      </c>
      <c r="F127" s="31">
        <f>E127/52</f>
        <v/>
      </c>
      <c r="G127" s="39">
        <f>D127/1000000*52</f>
        <v/>
      </c>
      <c r="H127" s="33">
        <f>G127/$P$4+($C$22/$P$4)</f>
        <v/>
      </c>
      <c r="I127" s="36">
        <f>_xlfn.IFS(K127&lt;K$24,0,K127&lt;K$26,I$24,K127&lt;K$28,I$26,K127&lt;K$30,I$28,K127&lt;K$32,I$30,K127&lt;K$34,I$32,K127&lt;K$36,I$34,K127&lt;K$38,I$36,K127&lt;K$40,I$38,K127&lt;K$42,I$40,K127&lt;K$44,I$42,K127&lt;K$46,I$44,K127&gt;=K$46,I$46)</f>
        <v/>
      </c>
      <c r="J127" s="37">
        <f>_xlfn.IFS(K127&lt;K$24,0,K127&lt;K$25,J$24,K127&lt;K$26,J$25,K127&lt;K$27,J$26,K127&lt;K$28,J$27,K127&lt;K$29,J$28,K127&lt;K$30,J$29,K127&lt;K$31,J$30,K127&lt;K$32,J$31,K127&lt;K$33,J$32,K127&lt;K$34,J$33,K127&lt;K$35,J$34,K127&lt;K$36,J$35,K127&lt;K$37,J$36,K127&lt;K$38,J$37,K127&lt;K$39,J$38,K127&lt;K$40,J$39,K127&lt;K$41,J$40,K127&lt;K$42,J$41,K127&lt;K$43,J$42,K127&lt;K$44,J$43,K127&lt;K$45,J$44,K127&lt;K$46,J$45,K127&lt;K$47,J$46,K127&gt;=K$47,J$47)</f>
        <v/>
      </c>
      <c r="K127" s="38" t="n">
        <v>77</v>
      </c>
      <c r="L127" s="31">
        <f>K127/52</f>
        <v/>
      </c>
      <c r="M127" s="39">
        <f>J127/1000000*52</f>
        <v/>
      </c>
      <c r="N127" s="33">
        <f>M127/$P$4+($I$22/$P$4)</f>
        <v/>
      </c>
      <c r="U127">
        <f>F126</f>
        <v/>
      </c>
      <c r="V127">
        <f>H126</f>
        <v/>
      </c>
      <c r="W127">
        <f>N126</f>
        <v/>
      </c>
    </row>
    <row r="128" ht="15.75" customHeight="1" s="40">
      <c r="C128" s="36">
        <f>_xlfn.IFS(E128&lt;E$24,0,E128&lt;E$26,C$24,E128&lt;E$28,C$26,E128&lt;E$30,C$28,E128&lt;E$32,C$30,E128&lt;E$34,C$32,E128&gt;=E$34,C$34)</f>
        <v/>
      </c>
      <c r="D128" s="37">
        <f>_xlfn.IFS(E128&lt;E$24,0,E128&lt;E$25,D$24,E128&lt;E$26,D$25,E128&lt;E$27,D$26,E128&lt;E$28,D$27,E128&lt;E$29,D$28,E128&lt;E$30,D$29,E128&lt;E$31,D$30,E128&lt;E$32,D$31,E128&lt;E$33,D$32,E128&lt;E$34,D$33,E128&lt;E$35,D$34,E128&gt;=E$35,D$35)</f>
        <v/>
      </c>
      <c r="E128" s="38" t="n">
        <v>78</v>
      </c>
      <c r="F128" s="31">
        <f>E128/52</f>
        <v/>
      </c>
      <c r="G128" s="39">
        <f>D128/1000000*52</f>
        <v/>
      </c>
      <c r="H128" s="33">
        <f>G128/$P$4+($C$22/$P$4)</f>
        <v/>
      </c>
      <c r="I128" s="36">
        <f>_xlfn.IFS(K128&lt;K$24,0,K128&lt;K$26,I$24,K128&lt;K$28,I$26,K128&lt;K$30,I$28,K128&lt;K$32,I$30,K128&lt;K$34,I$32,K128&lt;K$36,I$34,K128&lt;K$38,I$36,K128&lt;K$40,I$38,K128&lt;K$42,I$40,K128&lt;K$44,I$42,K128&lt;K$46,I$44,K128&gt;=K$46,I$46)</f>
        <v/>
      </c>
      <c r="J128" s="37">
        <f>_xlfn.IFS(K128&lt;K$24,0,K128&lt;K$25,J$24,K128&lt;K$26,J$25,K128&lt;K$27,J$26,K128&lt;K$28,J$27,K128&lt;K$29,J$28,K128&lt;K$30,J$29,K128&lt;K$31,J$30,K128&lt;K$32,J$31,K128&lt;K$33,J$32,K128&lt;K$34,J$33,K128&lt;K$35,J$34,K128&lt;K$36,J$35,K128&lt;K$37,J$36,K128&lt;K$38,J$37,K128&lt;K$39,J$38,K128&lt;K$40,J$39,K128&lt;K$41,J$40,K128&lt;K$42,J$41,K128&lt;K$43,J$42,K128&lt;K$44,J$43,K128&lt;K$45,J$44,K128&lt;K$46,J$45,K128&lt;K$47,J$46,K128&gt;=K$47,J$47)</f>
        <v/>
      </c>
      <c r="K128" s="38" t="n">
        <v>78</v>
      </c>
      <c r="L128" s="31">
        <f>K128/52</f>
        <v/>
      </c>
      <c r="M128" s="39">
        <f>J128/1000000*52</f>
        <v/>
      </c>
      <c r="N128" s="33">
        <f>M128/$P$4+($I$22/$P$4)</f>
        <v/>
      </c>
      <c r="U128">
        <f>F127</f>
        <v/>
      </c>
      <c r="V128">
        <f>H127</f>
        <v/>
      </c>
      <c r="W128">
        <f>N127</f>
        <v/>
      </c>
    </row>
    <row r="129" ht="15.75" customHeight="1" s="40">
      <c r="C129" s="36">
        <f>_xlfn.IFS(E129&lt;E$24,0,E129&lt;E$26,C$24,E129&lt;E$28,C$26,E129&lt;E$30,C$28,E129&lt;E$32,C$30,E129&lt;E$34,C$32,E129&gt;=E$34,C$34)</f>
        <v/>
      </c>
      <c r="D129" s="37">
        <f>_xlfn.IFS(E129&lt;E$24,0,E129&lt;E$25,D$24,E129&lt;E$26,D$25,E129&lt;E$27,D$26,E129&lt;E$28,D$27,E129&lt;E$29,D$28,E129&lt;E$30,D$29,E129&lt;E$31,D$30,E129&lt;E$32,D$31,E129&lt;E$33,D$32,E129&lt;E$34,D$33,E129&lt;E$35,D$34,E129&gt;=E$35,D$35)</f>
        <v/>
      </c>
      <c r="E129" s="38" t="n">
        <v>79</v>
      </c>
      <c r="F129" s="31">
        <f>E129/52</f>
        <v/>
      </c>
      <c r="G129" s="39">
        <f>D129/1000000*52</f>
        <v/>
      </c>
      <c r="H129" s="33">
        <f>G129/$P$4+($C$22/$P$4)</f>
        <v/>
      </c>
      <c r="I129" s="36">
        <f>_xlfn.IFS(K129&lt;K$24,0,K129&lt;K$26,I$24,K129&lt;K$28,I$26,K129&lt;K$30,I$28,K129&lt;K$32,I$30,K129&lt;K$34,I$32,K129&lt;K$36,I$34,K129&lt;K$38,I$36,K129&lt;K$40,I$38,K129&lt;K$42,I$40,K129&lt;K$44,I$42,K129&lt;K$46,I$44,K129&gt;=K$46,I$46)</f>
        <v/>
      </c>
      <c r="J129" s="37">
        <f>_xlfn.IFS(K129&lt;K$24,0,K129&lt;K$25,J$24,K129&lt;K$26,J$25,K129&lt;K$27,J$26,K129&lt;K$28,J$27,K129&lt;K$29,J$28,K129&lt;K$30,J$29,K129&lt;K$31,J$30,K129&lt;K$32,J$31,K129&lt;K$33,J$32,K129&lt;K$34,J$33,K129&lt;K$35,J$34,K129&lt;K$36,J$35,K129&lt;K$37,J$36,K129&lt;K$38,J$37,K129&lt;K$39,J$38,K129&lt;K$40,J$39,K129&lt;K$41,J$40,K129&lt;K$42,J$41,K129&lt;K$43,J$42,K129&lt;K$44,J$43,K129&lt;K$45,J$44,K129&lt;K$46,J$45,K129&lt;K$47,J$46,K129&gt;=K$47,J$47)</f>
        <v/>
      </c>
      <c r="K129" s="38" t="n">
        <v>79</v>
      </c>
      <c r="L129" s="31">
        <f>K129/52</f>
        <v/>
      </c>
      <c r="M129" s="39">
        <f>J129/1000000*52</f>
        <v/>
      </c>
      <c r="N129" s="33">
        <f>M129/$P$4+($I$22/$P$4)</f>
        <v/>
      </c>
      <c r="U129">
        <f>F128</f>
        <v/>
      </c>
      <c r="V129">
        <f>H128</f>
        <v/>
      </c>
      <c r="W129">
        <f>N128</f>
        <v/>
      </c>
    </row>
    <row r="130" ht="15.75" customHeight="1" s="40">
      <c r="C130" s="36">
        <f>_xlfn.IFS(E130&lt;E$24,0,E130&lt;E$26,C$24,E130&lt;E$28,C$26,E130&lt;E$30,C$28,E130&lt;E$32,C$30,E130&lt;E$34,C$32,E130&gt;=E$34,C$34)</f>
        <v/>
      </c>
      <c r="D130" s="37">
        <f>_xlfn.IFS(E130&lt;E$24,0,E130&lt;E$25,D$24,E130&lt;E$26,D$25,E130&lt;E$27,D$26,E130&lt;E$28,D$27,E130&lt;E$29,D$28,E130&lt;E$30,D$29,E130&lt;E$31,D$30,E130&lt;E$32,D$31,E130&lt;E$33,D$32,E130&lt;E$34,D$33,E130&lt;E$35,D$34,E130&gt;=E$35,D$35)</f>
        <v/>
      </c>
      <c r="E130" s="38" t="n">
        <v>80</v>
      </c>
      <c r="F130" s="31">
        <f>E130/52</f>
        <v/>
      </c>
      <c r="G130" s="39">
        <f>D130/1000000*52</f>
        <v/>
      </c>
      <c r="H130" s="33">
        <f>G130/$P$4+($C$22/$P$4)</f>
        <v/>
      </c>
      <c r="I130" s="36">
        <f>_xlfn.IFS(K130&lt;K$24,0,K130&lt;K$26,I$24,K130&lt;K$28,I$26,K130&lt;K$30,I$28,K130&lt;K$32,I$30,K130&lt;K$34,I$32,K130&lt;K$36,I$34,K130&lt;K$38,I$36,K130&lt;K$40,I$38,K130&lt;K$42,I$40,K130&lt;K$44,I$42,K130&lt;K$46,I$44,K130&gt;=K$46,I$46)</f>
        <v/>
      </c>
      <c r="J130" s="37">
        <f>_xlfn.IFS(K130&lt;K$24,0,K130&lt;K$25,J$24,K130&lt;K$26,J$25,K130&lt;K$27,J$26,K130&lt;K$28,J$27,K130&lt;K$29,J$28,K130&lt;K$30,J$29,K130&lt;K$31,J$30,K130&lt;K$32,J$31,K130&lt;K$33,J$32,K130&lt;K$34,J$33,K130&lt;K$35,J$34,K130&lt;K$36,J$35,K130&lt;K$37,J$36,K130&lt;K$38,J$37,K130&lt;K$39,J$38,K130&lt;K$40,J$39,K130&lt;K$41,J$40,K130&lt;K$42,J$41,K130&lt;K$43,J$42,K130&lt;K$44,J$43,K130&lt;K$45,J$44,K130&lt;K$46,J$45,K130&lt;K$47,J$46,K130&gt;=K$47,J$47)</f>
        <v/>
      </c>
      <c r="K130" s="38" t="n">
        <v>80</v>
      </c>
      <c r="L130" s="31">
        <f>K130/52</f>
        <v/>
      </c>
      <c r="M130" s="39">
        <f>J130/1000000*52</f>
        <v/>
      </c>
      <c r="N130" s="33">
        <f>M130/$P$4+($I$22/$P$4)</f>
        <v/>
      </c>
      <c r="U130">
        <f>F129</f>
        <v/>
      </c>
      <c r="V130">
        <f>H129</f>
        <v/>
      </c>
      <c r="W130">
        <f>N129</f>
        <v/>
      </c>
    </row>
    <row r="131" ht="15.75" customHeight="1" s="40">
      <c r="C131" s="36">
        <f>_xlfn.IFS(E131&lt;E$24,0,E131&lt;E$26,C$24,E131&lt;E$28,C$26,E131&lt;E$30,C$28,E131&lt;E$32,C$30,E131&lt;E$34,C$32,E131&gt;=E$34,C$34)</f>
        <v/>
      </c>
      <c r="D131" s="37">
        <f>_xlfn.IFS(E131&lt;E$24,0,E131&lt;E$25,D$24,E131&lt;E$26,D$25,E131&lt;E$27,D$26,E131&lt;E$28,D$27,E131&lt;E$29,D$28,E131&lt;E$30,D$29,E131&lt;E$31,D$30,E131&lt;E$32,D$31,E131&lt;E$33,D$32,E131&lt;E$34,D$33,E131&lt;E$35,D$34,E131&gt;=E$35,D$35)</f>
        <v/>
      </c>
      <c r="E131" s="38" t="n">
        <v>81</v>
      </c>
      <c r="F131" s="31">
        <f>E131/52</f>
        <v/>
      </c>
      <c r="G131" s="39">
        <f>D131/1000000*52</f>
        <v/>
      </c>
      <c r="H131" s="33">
        <f>G131/$P$4+($C$22/$P$4)</f>
        <v/>
      </c>
      <c r="I131" s="36">
        <f>_xlfn.IFS(K131&lt;K$24,0,K131&lt;K$26,I$24,K131&lt;K$28,I$26,K131&lt;K$30,I$28,K131&lt;K$32,I$30,K131&lt;K$34,I$32,K131&lt;K$36,I$34,K131&lt;K$38,I$36,K131&lt;K$40,I$38,K131&lt;K$42,I$40,K131&lt;K$44,I$42,K131&lt;K$46,I$44,K131&gt;=K$46,I$46)</f>
        <v/>
      </c>
      <c r="J131" s="37">
        <f>_xlfn.IFS(K131&lt;K$24,0,K131&lt;K$25,J$24,K131&lt;K$26,J$25,K131&lt;K$27,J$26,K131&lt;K$28,J$27,K131&lt;K$29,J$28,K131&lt;K$30,J$29,K131&lt;K$31,J$30,K131&lt;K$32,J$31,K131&lt;K$33,J$32,K131&lt;K$34,J$33,K131&lt;K$35,J$34,K131&lt;K$36,J$35,K131&lt;K$37,J$36,K131&lt;K$38,J$37,K131&lt;K$39,J$38,K131&lt;K$40,J$39,K131&lt;K$41,J$40,K131&lt;K$42,J$41,K131&lt;K$43,J$42,K131&lt;K$44,J$43,K131&lt;K$45,J$44,K131&lt;K$46,J$45,K131&lt;K$47,J$46,K131&gt;=K$47,J$47)</f>
        <v/>
      </c>
      <c r="K131" s="38" t="n">
        <v>81</v>
      </c>
      <c r="L131" s="31">
        <f>K131/52</f>
        <v/>
      </c>
      <c r="M131" s="39">
        <f>J131/1000000*52</f>
        <v/>
      </c>
      <c r="N131" s="33">
        <f>M131/$P$4+($I$22/$P$4)</f>
        <v/>
      </c>
      <c r="U131">
        <f>F130</f>
        <v/>
      </c>
      <c r="V131">
        <f>H130</f>
        <v/>
      </c>
      <c r="W131">
        <f>N130</f>
        <v/>
      </c>
    </row>
    <row r="132" ht="15.75" customHeight="1" s="40">
      <c r="C132" s="36">
        <f>_xlfn.IFS(E132&lt;E$24,0,E132&lt;E$26,C$24,E132&lt;E$28,C$26,E132&lt;E$30,C$28,E132&lt;E$32,C$30,E132&lt;E$34,C$32,E132&gt;=E$34,C$34)</f>
        <v/>
      </c>
      <c r="D132" s="37">
        <f>_xlfn.IFS(E132&lt;E$24,0,E132&lt;E$25,D$24,E132&lt;E$26,D$25,E132&lt;E$27,D$26,E132&lt;E$28,D$27,E132&lt;E$29,D$28,E132&lt;E$30,D$29,E132&lt;E$31,D$30,E132&lt;E$32,D$31,E132&lt;E$33,D$32,E132&lt;E$34,D$33,E132&lt;E$35,D$34,E132&gt;=E$35,D$35)</f>
        <v/>
      </c>
      <c r="E132" s="38" t="n">
        <v>82</v>
      </c>
      <c r="F132" s="31">
        <f>E132/52</f>
        <v/>
      </c>
      <c r="G132" s="39">
        <f>D132/1000000*52</f>
        <v/>
      </c>
      <c r="H132" s="33">
        <f>G132/$P$4+($C$22/$P$4)</f>
        <v/>
      </c>
      <c r="I132" s="36">
        <f>_xlfn.IFS(K132&lt;K$24,0,K132&lt;K$26,I$24,K132&lt;K$28,I$26,K132&lt;K$30,I$28,K132&lt;K$32,I$30,K132&lt;K$34,I$32,K132&lt;K$36,I$34,K132&lt;K$38,I$36,K132&lt;K$40,I$38,K132&lt;K$42,I$40,K132&lt;K$44,I$42,K132&lt;K$46,I$44,K132&gt;=K$46,I$46)</f>
        <v/>
      </c>
      <c r="J132" s="37">
        <f>_xlfn.IFS(K132&lt;K$24,0,K132&lt;K$25,J$24,K132&lt;K$26,J$25,K132&lt;K$27,J$26,K132&lt;K$28,J$27,K132&lt;K$29,J$28,K132&lt;K$30,J$29,K132&lt;K$31,J$30,K132&lt;K$32,J$31,K132&lt;K$33,J$32,K132&lt;K$34,J$33,K132&lt;K$35,J$34,K132&lt;K$36,J$35,K132&lt;K$37,J$36,K132&lt;K$38,J$37,K132&lt;K$39,J$38,K132&lt;K$40,J$39,K132&lt;K$41,J$40,K132&lt;K$42,J$41,K132&lt;K$43,J$42,K132&lt;K$44,J$43,K132&lt;K$45,J$44,K132&lt;K$46,J$45,K132&lt;K$47,J$46,K132&gt;=K$47,J$47)</f>
        <v/>
      </c>
      <c r="K132" s="38" t="n">
        <v>82</v>
      </c>
      <c r="L132" s="31">
        <f>K132/52</f>
        <v/>
      </c>
      <c r="M132" s="39">
        <f>J132/1000000*52</f>
        <v/>
      </c>
      <c r="N132" s="33">
        <f>M132/$P$4+($I$22/$P$4)</f>
        <v/>
      </c>
      <c r="U132">
        <f>F131</f>
        <v/>
      </c>
      <c r="V132">
        <f>H131</f>
        <v/>
      </c>
      <c r="W132">
        <f>N131</f>
        <v/>
      </c>
    </row>
    <row r="133" ht="15.75" customHeight="1" s="40">
      <c r="C133" s="36">
        <f>_xlfn.IFS(E133&lt;E$24,0,E133&lt;E$26,C$24,E133&lt;E$28,C$26,E133&lt;E$30,C$28,E133&lt;E$32,C$30,E133&lt;E$34,C$32,E133&gt;=E$34,C$34)</f>
        <v/>
      </c>
      <c r="D133" s="37">
        <f>_xlfn.IFS(E133&lt;E$24,0,E133&lt;E$25,D$24,E133&lt;E$26,D$25,E133&lt;E$27,D$26,E133&lt;E$28,D$27,E133&lt;E$29,D$28,E133&lt;E$30,D$29,E133&lt;E$31,D$30,E133&lt;E$32,D$31,E133&lt;E$33,D$32,E133&lt;E$34,D$33,E133&lt;E$35,D$34,E133&gt;=E$35,D$35)</f>
        <v/>
      </c>
      <c r="E133" s="38" t="n">
        <v>83</v>
      </c>
      <c r="F133" s="31">
        <f>E133/52</f>
        <v/>
      </c>
      <c r="G133" s="39">
        <f>D133/1000000*52</f>
        <v/>
      </c>
      <c r="H133" s="33">
        <f>G133/$P$4+($C$22/$P$4)</f>
        <v/>
      </c>
      <c r="I133" s="36">
        <f>_xlfn.IFS(K133&lt;K$24,0,K133&lt;K$26,I$24,K133&lt;K$28,I$26,K133&lt;K$30,I$28,K133&lt;K$32,I$30,K133&lt;K$34,I$32,K133&lt;K$36,I$34,K133&lt;K$38,I$36,K133&lt;K$40,I$38,K133&lt;K$42,I$40,K133&lt;K$44,I$42,K133&lt;K$46,I$44,K133&gt;=K$46,I$46)</f>
        <v/>
      </c>
      <c r="J133" s="37">
        <f>_xlfn.IFS(K133&lt;K$24,0,K133&lt;K$25,J$24,K133&lt;K$26,J$25,K133&lt;K$27,J$26,K133&lt;K$28,J$27,K133&lt;K$29,J$28,K133&lt;K$30,J$29,K133&lt;K$31,J$30,K133&lt;K$32,J$31,K133&lt;K$33,J$32,K133&lt;K$34,J$33,K133&lt;K$35,J$34,K133&lt;K$36,J$35,K133&lt;K$37,J$36,K133&lt;K$38,J$37,K133&lt;K$39,J$38,K133&lt;K$40,J$39,K133&lt;K$41,J$40,K133&lt;K$42,J$41,K133&lt;K$43,J$42,K133&lt;K$44,J$43,K133&lt;K$45,J$44,K133&lt;K$46,J$45,K133&lt;K$47,J$46,K133&gt;=K$47,J$47)</f>
        <v/>
      </c>
      <c r="K133" s="38" t="n">
        <v>83</v>
      </c>
      <c r="L133" s="31">
        <f>K133/52</f>
        <v/>
      </c>
      <c r="M133" s="39">
        <f>J133/1000000*52</f>
        <v/>
      </c>
      <c r="N133" s="33">
        <f>M133/$P$4+($I$22/$P$4)</f>
        <v/>
      </c>
      <c r="U133">
        <f>F132</f>
        <v/>
      </c>
      <c r="V133">
        <f>H132</f>
        <v/>
      </c>
      <c r="W133">
        <f>N132</f>
        <v/>
      </c>
    </row>
    <row r="134" ht="15.75" customHeight="1" s="40">
      <c r="C134" s="36">
        <f>_xlfn.IFS(E134&lt;E$24,0,E134&lt;E$26,C$24,E134&lt;E$28,C$26,E134&lt;E$30,C$28,E134&lt;E$32,C$30,E134&lt;E$34,C$32,E134&gt;=E$34,C$34)</f>
        <v/>
      </c>
      <c r="D134" s="37">
        <f>_xlfn.IFS(E134&lt;E$24,0,E134&lt;E$25,D$24,E134&lt;E$26,D$25,E134&lt;E$27,D$26,E134&lt;E$28,D$27,E134&lt;E$29,D$28,E134&lt;E$30,D$29,E134&lt;E$31,D$30,E134&lt;E$32,D$31,E134&lt;E$33,D$32,E134&lt;E$34,D$33,E134&lt;E$35,D$34,E134&gt;=E$35,D$35)</f>
        <v/>
      </c>
      <c r="E134" s="38" t="n">
        <v>84</v>
      </c>
      <c r="F134" s="31">
        <f>E134/52</f>
        <v/>
      </c>
      <c r="G134" s="39">
        <f>D134/1000000*52</f>
        <v/>
      </c>
      <c r="H134" s="33">
        <f>G134/$P$4+($C$22/$P$4)</f>
        <v/>
      </c>
      <c r="I134" s="36">
        <f>_xlfn.IFS(K134&lt;K$24,0,K134&lt;K$26,I$24,K134&lt;K$28,I$26,K134&lt;K$30,I$28,K134&lt;K$32,I$30,K134&lt;K$34,I$32,K134&lt;K$36,I$34,K134&lt;K$38,I$36,K134&lt;K$40,I$38,K134&lt;K$42,I$40,K134&lt;K$44,I$42,K134&lt;K$46,I$44,K134&gt;=K$46,I$46)</f>
        <v/>
      </c>
      <c r="J134" s="37">
        <f>_xlfn.IFS(K134&lt;K$24,0,K134&lt;K$25,J$24,K134&lt;K$26,J$25,K134&lt;K$27,J$26,K134&lt;K$28,J$27,K134&lt;K$29,J$28,K134&lt;K$30,J$29,K134&lt;K$31,J$30,K134&lt;K$32,J$31,K134&lt;K$33,J$32,K134&lt;K$34,J$33,K134&lt;K$35,J$34,K134&lt;K$36,J$35,K134&lt;K$37,J$36,K134&lt;K$38,J$37,K134&lt;K$39,J$38,K134&lt;K$40,J$39,K134&lt;K$41,J$40,K134&lt;K$42,J$41,K134&lt;K$43,J$42,K134&lt;K$44,J$43,K134&lt;K$45,J$44,K134&lt;K$46,J$45,K134&lt;K$47,J$46,K134&gt;=K$47,J$47)</f>
        <v/>
      </c>
      <c r="K134" s="38" t="n">
        <v>84</v>
      </c>
      <c r="L134" s="31">
        <f>K134/52</f>
        <v/>
      </c>
      <c r="M134" s="39">
        <f>J134/1000000*52</f>
        <v/>
      </c>
      <c r="N134" s="33">
        <f>M134/$P$4+($I$22/$P$4)</f>
        <v/>
      </c>
      <c r="U134">
        <f>F133</f>
        <v/>
      </c>
      <c r="V134">
        <f>H133</f>
        <v/>
      </c>
      <c r="W134">
        <f>N133</f>
        <v/>
      </c>
    </row>
    <row r="135" ht="15.75" customHeight="1" s="40">
      <c r="C135" s="36">
        <f>_xlfn.IFS(E135&lt;E$24,0,E135&lt;E$26,C$24,E135&lt;E$28,C$26,E135&lt;E$30,C$28,E135&lt;E$32,C$30,E135&lt;E$34,C$32,E135&gt;=E$34,C$34)</f>
        <v/>
      </c>
      <c r="D135" s="37">
        <f>_xlfn.IFS(E135&lt;E$24,0,E135&lt;E$25,D$24,E135&lt;E$26,D$25,E135&lt;E$27,D$26,E135&lt;E$28,D$27,E135&lt;E$29,D$28,E135&lt;E$30,D$29,E135&lt;E$31,D$30,E135&lt;E$32,D$31,E135&lt;E$33,D$32,E135&lt;E$34,D$33,E135&lt;E$35,D$34,E135&gt;=E$35,D$35)</f>
        <v/>
      </c>
      <c r="E135" s="38" t="n">
        <v>85</v>
      </c>
      <c r="F135" s="31">
        <f>E135/52</f>
        <v/>
      </c>
      <c r="G135" s="39">
        <f>D135/1000000*52</f>
        <v/>
      </c>
      <c r="H135" s="33">
        <f>G135/$P$4+($C$22/$P$4)</f>
        <v/>
      </c>
      <c r="I135" s="36">
        <f>_xlfn.IFS(K135&lt;K$24,0,K135&lt;K$26,I$24,K135&lt;K$28,I$26,K135&lt;K$30,I$28,K135&lt;K$32,I$30,K135&lt;K$34,I$32,K135&lt;K$36,I$34,K135&lt;K$38,I$36,K135&lt;K$40,I$38,K135&lt;K$42,I$40,K135&lt;K$44,I$42,K135&lt;K$46,I$44,K135&gt;=K$46,I$46)</f>
        <v/>
      </c>
      <c r="J135" s="37">
        <f>_xlfn.IFS(K135&lt;K$24,0,K135&lt;K$25,J$24,K135&lt;K$26,J$25,K135&lt;K$27,J$26,K135&lt;K$28,J$27,K135&lt;K$29,J$28,K135&lt;K$30,J$29,K135&lt;K$31,J$30,K135&lt;K$32,J$31,K135&lt;K$33,J$32,K135&lt;K$34,J$33,K135&lt;K$35,J$34,K135&lt;K$36,J$35,K135&lt;K$37,J$36,K135&lt;K$38,J$37,K135&lt;K$39,J$38,K135&lt;K$40,J$39,K135&lt;K$41,J$40,K135&lt;K$42,J$41,K135&lt;K$43,J$42,K135&lt;K$44,J$43,K135&lt;K$45,J$44,K135&lt;K$46,J$45,K135&lt;K$47,J$46,K135&gt;=K$47,J$47)</f>
        <v/>
      </c>
      <c r="K135" s="38" t="n">
        <v>85</v>
      </c>
      <c r="L135" s="31">
        <f>K135/52</f>
        <v/>
      </c>
      <c r="M135" s="39">
        <f>J135/1000000*52</f>
        <v/>
      </c>
      <c r="N135" s="33">
        <f>M135/$P$4+($I$22/$P$4)</f>
        <v/>
      </c>
      <c r="U135">
        <f>F134</f>
        <v/>
      </c>
      <c r="V135">
        <f>H134</f>
        <v/>
      </c>
      <c r="W135">
        <f>N134</f>
        <v/>
      </c>
    </row>
    <row r="136" ht="15.75" customHeight="1" s="40">
      <c r="C136" s="36">
        <f>_xlfn.IFS(E136&lt;E$24,0,E136&lt;E$26,C$24,E136&lt;E$28,C$26,E136&lt;E$30,C$28,E136&lt;E$32,C$30,E136&lt;E$34,C$32,E136&gt;=E$34,C$34)</f>
        <v/>
      </c>
      <c r="D136" s="37">
        <f>_xlfn.IFS(E136&lt;E$24,0,E136&lt;E$25,D$24,E136&lt;E$26,D$25,E136&lt;E$27,D$26,E136&lt;E$28,D$27,E136&lt;E$29,D$28,E136&lt;E$30,D$29,E136&lt;E$31,D$30,E136&lt;E$32,D$31,E136&lt;E$33,D$32,E136&lt;E$34,D$33,E136&lt;E$35,D$34,E136&gt;=E$35,D$35)</f>
        <v/>
      </c>
      <c r="E136" s="38" t="n">
        <v>86</v>
      </c>
      <c r="F136" s="31">
        <f>E136/52</f>
        <v/>
      </c>
      <c r="G136" s="39">
        <f>D136/1000000*52</f>
        <v/>
      </c>
      <c r="H136" s="33">
        <f>G136/$P$4+($C$22/$P$4)</f>
        <v/>
      </c>
      <c r="I136" s="36">
        <f>_xlfn.IFS(K136&lt;K$24,0,K136&lt;K$26,I$24,K136&lt;K$28,I$26,K136&lt;K$30,I$28,K136&lt;K$32,I$30,K136&lt;K$34,I$32,K136&lt;K$36,I$34,K136&lt;K$38,I$36,K136&lt;K$40,I$38,K136&lt;K$42,I$40,K136&lt;K$44,I$42,K136&lt;K$46,I$44,K136&gt;=K$46,I$46)</f>
        <v/>
      </c>
      <c r="J136" s="37">
        <f>_xlfn.IFS(K136&lt;K$24,0,K136&lt;K$25,J$24,K136&lt;K$26,J$25,K136&lt;K$27,J$26,K136&lt;K$28,J$27,K136&lt;K$29,J$28,K136&lt;K$30,J$29,K136&lt;K$31,J$30,K136&lt;K$32,J$31,K136&lt;K$33,J$32,K136&lt;K$34,J$33,K136&lt;K$35,J$34,K136&lt;K$36,J$35,K136&lt;K$37,J$36,K136&lt;K$38,J$37,K136&lt;K$39,J$38,K136&lt;K$40,J$39,K136&lt;K$41,J$40,K136&lt;K$42,J$41,K136&lt;K$43,J$42,K136&lt;K$44,J$43,K136&lt;K$45,J$44,K136&lt;K$46,J$45,K136&lt;K$47,J$46,K136&gt;=K$47,J$47)</f>
        <v/>
      </c>
      <c r="K136" s="38" t="n">
        <v>86</v>
      </c>
      <c r="L136" s="31">
        <f>K136/52</f>
        <v/>
      </c>
      <c r="M136" s="39">
        <f>J136/1000000*52</f>
        <v/>
      </c>
      <c r="N136" s="33">
        <f>M136/$P$4+($I$22/$P$4)</f>
        <v/>
      </c>
      <c r="U136">
        <f>F135</f>
        <v/>
      </c>
      <c r="V136">
        <f>H135</f>
        <v/>
      </c>
      <c r="W136">
        <f>N135</f>
        <v/>
      </c>
    </row>
    <row r="137" ht="15.75" customHeight="1" s="40">
      <c r="C137" s="36">
        <f>_xlfn.IFS(E137&lt;E$24,0,E137&lt;E$26,C$24,E137&lt;E$28,C$26,E137&lt;E$30,C$28,E137&lt;E$32,C$30,E137&lt;E$34,C$32,E137&gt;=E$34,C$34)</f>
        <v/>
      </c>
      <c r="D137" s="37">
        <f>_xlfn.IFS(E137&lt;E$24,0,E137&lt;E$25,D$24,E137&lt;E$26,D$25,E137&lt;E$27,D$26,E137&lt;E$28,D$27,E137&lt;E$29,D$28,E137&lt;E$30,D$29,E137&lt;E$31,D$30,E137&lt;E$32,D$31,E137&lt;E$33,D$32,E137&lt;E$34,D$33,E137&lt;E$35,D$34,E137&gt;=E$35,D$35)</f>
        <v/>
      </c>
      <c r="E137" s="38" t="n">
        <v>87</v>
      </c>
      <c r="F137" s="31">
        <f>E137/52</f>
        <v/>
      </c>
      <c r="G137" s="39">
        <f>D137/1000000*52</f>
        <v/>
      </c>
      <c r="H137" s="33">
        <f>G137/$P$4+($C$22/$P$4)</f>
        <v/>
      </c>
      <c r="I137" s="36">
        <f>_xlfn.IFS(K137&lt;K$24,0,K137&lt;K$26,I$24,K137&lt;K$28,I$26,K137&lt;K$30,I$28,K137&lt;K$32,I$30,K137&lt;K$34,I$32,K137&lt;K$36,I$34,K137&lt;K$38,I$36,K137&lt;K$40,I$38,K137&lt;K$42,I$40,K137&lt;K$44,I$42,K137&lt;K$46,I$44,K137&gt;=K$46,I$46)</f>
        <v/>
      </c>
      <c r="J137" s="37">
        <f>_xlfn.IFS(K137&lt;K$24,0,K137&lt;K$25,J$24,K137&lt;K$26,J$25,K137&lt;K$27,J$26,K137&lt;K$28,J$27,K137&lt;K$29,J$28,K137&lt;K$30,J$29,K137&lt;K$31,J$30,K137&lt;K$32,J$31,K137&lt;K$33,J$32,K137&lt;K$34,J$33,K137&lt;K$35,J$34,K137&lt;K$36,J$35,K137&lt;K$37,J$36,K137&lt;K$38,J$37,K137&lt;K$39,J$38,K137&lt;K$40,J$39,K137&lt;K$41,J$40,K137&lt;K$42,J$41,K137&lt;K$43,J$42,K137&lt;K$44,J$43,K137&lt;K$45,J$44,K137&lt;K$46,J$45,K137&lt;K$47,J$46,K137&gt;=K$47,J$47)</f>
        <v/>
      </c>
      <c r="K137" s="38" t="n">
        <v>87</v>
      </c>
      <c r="L137" s="31">
        <f>K137/52</f>
        <v/>
      </c>
      <c r="M137" s="39">
        <f>J137/1000000*52</f>
        <v/>
      </c>
      <c r="N137" s="33">
        <f>M137/$P$4+($I$22/$P$4)</f>
        <v/>
      </c>
      <c r="U137">
        <f>F136</f>
        <v/>
      </c>
      <c r="V137">
        <f>H136</f>
        <v/>
      </c>
      <c r="W137">
        <f>N136</f>
        <v/>
      </c>
    </row>
    <row r="138" ht="15.75" customHeight="1" s="40">
      <c r="C138" s="36">
        <f>_xlfn.IFS(E138&lt;E$24,0,E138&lt;E$26,C$24,E138&lt;E$28,C$26,E138&lt;E$30,C$28,E138&lt;E$32,C$30,E138&lt;E$34,C$32,E138&gt;=E$34,C$34)</f>
        <v/>
      </c>
      <c r="D138" s="37">
        <f>_xlfn.IFS(E138&lt;E$24,0,E138&lt;E$25,D$24,E138&lt;E$26,D$25,E138&lt;E$27,D$26,E138&lt;E$28,D$27,E138&lt;E$29,D$28,E138&lt;E$30,D$29,E138&lt;E$31,D$30,E138&lt;E$32,D$31,E138&lt;E$33,D$32,E138&lt;E$34,D$33,E138&lt;E$35,D$34,E138&gt;=E$35,D$35)</f>
        <v/>
      </c>
      <c r="E138" s="38" t="n">
        <v>88</v>
      </c>
      <c r="F138" s="31">
        <f>E138/52</f>
        <v/>
      </c>
      <c r="G138" s="39">
        <f>D138/1000000*52</f>
        <v/>
      </c>
      <c r="H138" s="33">
        <f>G138/$P$4+($C$22/$P$4)</f>
        <v/>
      </c>
      <c r="I138" s="36">
        <f>_xlfn.IFS(K138&lt;K$24,0,K138&lt;K$26,I$24,K138&lt;K$28,I$26,K138&lt;K$30,I$28,K138&lt;K$32,I$30,K138&lt;K$34,I$32,K138&lt;K$36,I$34,K138&lt;K$38,I$36,K138&lt;K$40,I$38,K138&lt;K$42,I$40,K138&lt;K$44,I$42,K138&lt;K$46,I$44,K138&gt;=K$46,I$46)</f>
        <v/>
      </c>
      <c r="J138" s="37">
        <f>_xlfn.IFS(K138&lt;K$24,0,K138&lt;K$25,J$24,K138&lt;K$26,J$25,K138&lt;K$27,J$26,K138&lt;K$28,J$27,K138&lt;K$29,J$28,K138&lt;K$30,J$29,K138&lt;K$31,J$30,K138&lt;K$32,J$31,K138&lt;K$33,J$32,K138&lt;K$34,J$33,K138&lt;K$35,J$34,K138&lt;K$36,J$35,K138&lt;K$37,J$36,K138&lt;K$38,J$37,K138&lt;K$39,J$38,K138&lt;K$40,J$39,K138&lt;K$41,J$40,K138&lt;K$42,J$41,K138&lt;K$43,J$42,K138&lt;K$44,J$43,K138&lt;K$45,J$44,K138&lt;K$46,J$45,K138&lt;K$47,J$46,K138&gt;=K$47,J$47)</f>
        <v/>
      </c>
      <c r="K138" s="38" t="n">
        <v>88</v>
      </c>
      <c r="L138" s="31">
        <f>K138/52</f>
        <v/>
      </c>
      <c r="M138" s="39">
        <f>J138/1000000*52</f>
        <v/>
      </c>
      <c r="N138" s="33">
        <f>M138/$P$4+($I$22/$P$4)</f>
        <v/>
      </c>
      <c r="U138">
        <f>F137</f>
        <v/>
      </c>
      <c r="V138">
        <f>H137</f>
        <v/>
      </c>
      <c r="W138">
        <f>N137</f>
        <v/>
      </c>
    </row>
    <row r="139" ht="15.75" customHeight="1" s="40">
      <c r="C139" s="36">
        <f>_xlfn.IFS(E139&lt;E$24,0,E139&lt;E$26,C$24,E139&lt;E$28,C$26,E139&lt;E$30,C$28,E139&lt;E$32,C$30,E139&lt;E$34,C$32,E139&gt;=E$34,C$34)</f>
        <v/>
      </c>
      <c r="D139" s="37">
        <f>_xlfn.IFS(E139&lt;E$24,0,E139&lt;E$25,D$24,E139&lt;E$26,D$25,E139&lt;E$27,D$26,E139&lt;E$28,D$27,E139&lt;E$29,D$28,E139&lt;E$30,D$29,E139&lt;E$31,D$30,E139&lt;E$32,D$31,E139&lt;E$33,D$32,E139&lt;E$34,D$33,E139&lt;E$35,D$34,E139&gt;=E$35,D$35)</f>
        <v/>
      </c>
      <c r="E139" s="38" t="n">
        <v>89</v>
      </c>
      <c r="F139" s="31">
        <f>E139/52</f>
        <v/>
      </c>
      <c r="G139" s="39">
        <f>D139/1000000*52</f>
        <v/>
      </c>
      <c r="H139" s="33">
        <f>G139/$P$4+($C$22/$P$4)</f>
        <v/>
      </c>
      <c r="I139" s="36">
        <f>_xlfn.IFS(K139&lt;K$24,0,K139&lt;K$26,I$24,K139&lt;K$28,I$26,K139&lt;K$30,I$28,K139&lt;K$32,I$30,K139&lt;K$34,I$32,K139&lt;K$36,I$34,K139&lt;K$38,I$36,K139&lt;K$40,I$38,K139&lt;K$42,I$40,K139&lt;K$44,I$42,K139&lt;K$46,I$44,K139&gt;=K$46,I$46)</f>
        <v/>
      </c>
      <c r="J139" s="37">
        <f>_xlfn.IFS(K139&lt;K$24,0,K139&lt;K$25,J$24,K139&lt;K$26,J$25,K139&lt;K$27,J$26,K139&lt;K$28,J$27,K139&lt;K$29,J$28,K139&lt;K$30,J$29,K139&lt;K$31,J$30,K139&lt;K$32,J$31,K139&lt;K$33,J$32,K139&lt;K$34,J$33,K139&lt;K$35,J$34,K139&lt;K$36,J$35,K139&lt;K$37,J$36,K139&lt;K$38,J$37,K139&lt;K$39,J$38,K139&lt;K$40,J$39,K139&lt;K$41,J$40,K139&lt;K$42,J$41,K139&lt;K$43,J$42,K139&lt;K$44,J$43,K139&lt;K$45,J$44,K139&lt;K$46,J$45,K139&lt;K$47,J$46,K139&gt;=K$47,J$47)</f>
        <v/>
      </c>
      <c r="K139" s="38" t="n">
        <v>89</v>
      </c>
      <c r="L139" s="31">
        <f>K139/52</f>
        <v/>
      </c>
      <c r="M139" s="39">
        <f>J139/1000000*52</f>
        <v/>
      </c>
      <c r="N139" s="33">
        <f>M139/$P$4+($I$22/$P$4)</f>
        <v/>
      </c>
      <c r="U139">
        <f>F138</f>
        <v/>
      </c>
      <c r="V139">
        <f>H138</f>
        <v/>
      </c>
      <c r="W139">
        <f>N138</f>
        <v/>
      </c>
    </row>
    <row r="140" ht="15.75" customHeight="1" s="40">
      <c r="C140" s="36">
        <f>_xlfn.IFS(E140&lt;E$24,0,E140&lt;E$26,C$24,E140&lt;E$28,C$26,E140&lt;E$30,C$28,E140&lt;E$32,C$30,E140&lt;E$34,C$32,E140&gt;=E$34,C$34)</f>
        <v/>
      </c>
      <c r="D140" s="37">
        <f>_xlfn.IFS(E140&lt;E$24,0,E140&lt;E$25,D$24,E140&lt;E$26,D$25,E140&lt;E$27,D$26,E140&lt;E$28,D$27,E140&lt;E$29,D$28,E140&lt;E$30,D$29,E140&lt;E$31,D$30,E140&lt;E$32,D$31,E140&lt;E$33,D$32,E140&lt;E$34,D$33,E140&lt;E$35,D$34,E140&gt;=E$35,D$35)</f>
        <v/>
      </c>
      <c r="E140" s="38" t="n">
        <v>90</v>
      </c>
      <c r="F140" s="31">
        <f>E140/52</f>
        <v/>
      </c>
      <c r="G140" s="39">
        <f>D140/1000000*52</f>
        <v/>
      </c>
      <c r="H140" s="33">
        <f>G140/$P$4+($C$22/$P$4)</f>
        <v/>
      </c>
      <c r="I140" s="36">
        <f>_xlfn.IFS(K140&lt;K$24,0,K140&lt;K$26,I$24,K140&lt;K$28,I$26,K140&lt;K$30,I$28,K140&lt;K$32,I$30,K140&lt;K$34,I$32,K140&lt;K$36,I$34,K140&lt;K$38,I$36,K140&lt;K$40,I$38,K140&lt;K$42,I$40,K140&lt;K$44,I$42,K140&lt;K$46,I$44,K140&gt;=K$46,I$46)</f>
        <v/>
      </c>
      <c r="J140" s="37">
        <f>_xlfn.IFS(K140&lt;K$24,0,K140&lt;K$25,J$24,K140&lt;K$26,J$25,K140&lt;K$27,J$26,K140&lt;K$28,J$27,K140&lt;K$29,J$28,K140&lt;K$30,J$29,K140&lt;K$31,J$30,K140&lt;K$32,J$31,K140&lt;K$33,J$32,K140&lt;K$34,J$33,K140&lt;K$35,J$34,K140&lt;K$36,J$35,K140&lt;K$37,J$36,K140&lt;K$38,J$37,K140&lt;K$39,J$38,K140&lt;K$40,J$39,K140&lt;K$41,J$40,K140&lt;K$42,J$41,K140&lt;K$43,J$42,K140&lt;K$44,J$43,K140&lt;K$45,J$44,K140&lt;K$46,J$45,K140&lt;K$47,J$46,K140&gt;=K$47,J$47)</f>
        <v/>
      </c>
      <c r="K140" s="38" t="n">
        <v>90</v>
      </c>
      <c r="L140" s="31">
        <f>K140/52</f>
        <v/>
      </c>
      <c r="M140" s="39">
        <f>J140/1000000*52</f>
        <v/>
      </c>
      <c r="N140" s="33">
        <f>M140/$P$4+($I$22/$P$4)</f>
        <v/>
      </c>
      <c r="U140">
        <f>F139</f>
        <v/>
      </c>
      <c r="V140">
        <f>H139</f>
        <v/>
      </c>
      <c r="W140">
        <f>N139</f>
        <v/>
      </c>
    </row>
    <row r="141" ht="15.75" customHeight="1" s="40">
      <c r="C141" s="36">
        <f>_xlfn.IFS(E141&lt;E$24,0,E141&lt;E$26,C$24,E141&lt;E$28,C$26,E141&lt;E$30,C$28,E141&lt;E$32,C$30,E141&lt;E$34,C$32,E141&gt;=E$34,C$34)</f>
        <v/>
      </c>
      <c r="D141" s="37">
        <f>_xlfn.IFS(E141&lt;E$24,0,E141&lt;E$25,D$24,E141&lt;E$26,D$25,E141&lt;E$27,D$26,E141&lt;E$28,D$27,E141&lt;E$29,D$28,E141&lt;E$30,D$29,E141&lt;E$31,D$30,E141&lt;E$32,D$31,E141&lt;E$33,D$32,E141&lt;E$34,D$33,E141&lt;E$35,D$34,E141&gt;=E$35,D$35)</f>
        <v/>
      </c>
      <c r="E141" s="38" t="n">
        <v>91</v>
      </c>
      <c r="F141" s="31">
        <f>E141/52</f>
        <v/>
      </c>
      <c r="G141" s="39">
        <f>D141/1000000*52</f>
        <v/>
      </c>
      <c r="H141" s="33">
        <f>G141/$P$4+($C$22/$P$4)</f>
        <v/>
      </c>
      <c r="I141" s="36">
        <f>_xlfn.IFS(K141&lt;K$24,0,K141&lt;K$26,I$24,K141&lt;K$28,I$26,K141&lt;K$30,I$28,K141&lt;K$32,I$30,K141&lt;K$34,I$32,K141&lt;K$36,I$34,K141&lt;K$38,I$36,K141&lt;K$40,I$38,K141&lt;K$42,I$40,K141&lt;K$44,I$42,K141&lt;K$46,I$44,K141&gt;=K$46,I$46)</f>
        <v/>
      </c>
      <c r="J141" s="37">
        <f>_xlfn.IFS(K141&lt;K$24,0,K141&lt;K$25,J$24,K141&lt;K$26,J$25,K141&lt;K$27,J$26,K141&lt;K$28,J$27,K141&lt;K$29,J$28,K141&lt;K$30,J$29,K141&lt;K$31,J$30,K141&lt;K$32,J$31,K141&lt;K$33,J$32,K141&lt;K$34,J$33,K141&lt;K$35,J$34,K141&lt;K$36,J$35,K141&lt;K$37,J$36,K141&lt;K$38,J$37,K141&lt;K$39,J$38,K141&lt;K$40,J$39,K141&lt;K$41,J$40,K141&lt;K$42,J$41,K141&lt;K$43,J$42,K141&lt;K$44,J$43,K141&lt;K$45,J$44,K141&lt;K$46,J$45,K141&lt;K$47,J$46,K141&gt;=K$47,J$47)</f>
        <v/>
      </c>
      <c r="K141" s="38" t="n">
        <v>91</v>
      </c>
      <c r="L141" s="31">
        <f>K141/52</f>
        <v/>
      </c>
      <c r="M141" s="39">
        <f>J141/1000000*52</f>
        <v/>
      </c>
      <c r="N141" s="33">
        <f>M141/$P$4+($I$22/$P$4)</f>
        <v/>
      </c>
      <c r="U141">
        <f>F140</f>
        <v/>
      </c>
      <c r="V141">
        <f>H140</f>
        <v/>
      </c>
      <c r="W141">
        <f>N140</f>
        <v/>
      </c>
    </row>
    <row r="142" ht="15.75" customHeight="1" s="40">
      <c r="C142" s="36">
        <f>_xlfn.IFS(E142&lt;E$24,0,E142&lt;E$26,C$24,E142&lt;E$28,C$26,E142&lt;E$30,C$28,E142&lt;E$32,C$30,E142&lt;E$34,C$32,E142&gt;=E$34,C$34)</f>
        <v/>
      </c>
      <c r="D142" s="37">
        <f>_xlfn.IFS(E142&lt;E$24,0,E142&lt;E$25,D$24,E142&lt;E$26,D$25,E142&lt;E$27,D$26,E142&lt;E$28,D$27,E142&lt;E$29,D$28,E142&lt;E$30,D$29,E142&lt;E$31,D$30,E142&lt;E$32,D$31,E142&lt;E$33,D$32,E142&lt;E$34,D$33,E142&lt;E$35,D$34,E142&gt;=E$35,D$35)</f>
        <v/>
      </c>
      <c r="E142" s="38" t="n">
        <v>92</v>
      </c>
      <c r="F142" s="31">
        <f>E142/52</f>
        <v/>
      </c>
      <c r="G142" s="39">
        <f>D142/1000000*52</f>
        <v/>
      </c>
      <c r="H142" s="33">
        <f>G142/$P$4+($C$22/$P$4)</f>
        <v/>
      </c>
      <c r="I142" s="36">
        <f>_xlfn.IFS(K142&lt;K$24,0,K142&lt;K$26,I$24,K142&lt;K$28,I$26,K142&lt;K$30,I$28,K142&lt;K$32,I$30,K142&lt;K$34,I$32,K142&lt;K$36,I$34,K142&lt;K$38,I$36,K142&lt;K$40,I$38,K142&lt;K$42,I$40,K142&lt;K$44,I$42,K142&lt;K$46,I$44,K142&gt;=K$46,I$46)</f>
        <v/>
      </c>
      <c r="J142" s="37">
        <f>_xlfn.IFS(K142&lt;K$24,0,K142&lt;K$25,J$24,K142&lt;K$26,J$25,K142&lt;K$27,J$26,K142&lt;K$28,J$27,K142&lt;K$29,J$28,K142&lt;K$30,J$29,K142&lt;K$31,J$30,K142&lt;K$32,J$31,K142&lt;K$33,J$32,K142&lt;K$34,J$33,K142&lt;K$35,J$34,K142&lt;K$36,J$35,K142&lt;K$37,J$36,K142&lt;K$38,J$37,K142&lt;K$39,J$38,K142&lt;K$40,J$39,K142&lt;K$41,J$40,K142&lt;K$42,J$41,K142&lt;K$43,J$42,K142&lt;K$44,J$43,K142&lt;K$45,J$44,K142&lt;K$46,J$45,K142&lt;K$47,J$46,K142&gt;=K$47,J$47)</f>
        <v/>
      </c>
      <c r="K142" s="38" t="n">
        <v>92</v>
      </c>
      <c r="L142" s="31">
        <f>K142/52</f>
        <v/>
      </c>
      <c r="M142" s="39">
        <f>J142/1000000*52</f>
        <v/>
      </c>
      <c r="N142" s="33">
        <f>M142/$P$4+($I$22/$P$4)</f>
        <v/>
      </c>
      <c r="U142">
        <f>F141</f>
        <v/>
      </c>
      <c r="V142">
        <f>H141</f>
        <v/>
      </c>
      <c r="W142">
        <f>N141</f>
        <v/>
      </c>
    </row>
    <row r="143" ht="15.75" customHeight="1" s="40">
      <c r="C143" s="36">
        <f>_xlfn.IFS(E143&lt;E$24,0,E143&lt;E$26,C$24,E143&lt;E$28,C$26,E143&lt;E$30,C$28,E143&lt;E$32,C$30,E143&lt;E$34,C$32,E143&gt;=E$34,C$34)</f>
        <v/>
      </c>
      <c r="D143" s="37">
        <f>_xlfn.IFS(E143&lt;E$24,0,E143&lt;E$25,D$24,E143&lt;E$26,D$25,E143&lt;E$27,D$26,E143&lt;E$28,D$27,E143&lt;E$29,D$28,E143&lt;E$30,D$29,E143&lt;E$31,D$30,E143&lt;E$32,D$31,E143&lt;E$33,D$32,E143&lt;E$34,D$33,E143&lt;E$35,D$34,E143&gt;=E$35,D$35)</f>
        <v/>
      </c>
      <c r="E143" s="38" t="n">
        <v>93</v>
      </c>
      <c r="F143" s="31">
        <f>E143/52</f>
        <v/>
      </c>
      <c r="G143" s="39">
        <f>D143/1000000*52</f>
        <v/>
      </c>
      <c r="H143" s="33">
        <f>G143/$P$4+($C$22/$P$4)</f>
        <v/>
      </c>
      <c r="I143" s="36">
        <f>_xlfn.IFS(K143&lt;K$24,0,K143&lt;K$26,I$24,K143&lt;K$28,I$26,K143&lt;K$30,I$28,K143&lt;K$32,I$30,K143&lt;K$34,I$32,K143&lt;K$36,I$34,K143&lt;K$38,I$36,K143&lt;K$40,I$38,K143&lt;K$42,I$40,K143&lt;K$44,I$42,K143&lt;K$46,I$44,K143&gt;=K$46,I$46)</f>
        <v/>
      </c>
      <c r="J143" s="37">
        <f>_xlfn.IFS(K143&lt;K$24,0,K143&lt;K$25,J$24,K143&lt;K$26,J$25,K143&lt;K$27,J$26,K143&lt;K$28,J$27,K143&lt;K$29,J$28,K143&lt;K$30,J$29,K143&lt;K$31,J$30,K143&lt;K$32,J$31,K143&lt;K$33,J$32,K143&lt;K$34,J$33,K143&lt;K$35,J$34,K143&lt;K$36,J$35,K143&lt;K$37,J$36,K143&lt;K$38,J$37,K143&lt;K$39,J$38,K143&lt;K$40,J$39,K143&lt;K$41,J$40,K143&lt;K$42,J$41,K143&lt;K$43,J$42,K143&lt;K$44,J$43,K143&lt;K$45,J$44,K143&lt;K$46,J$45,K143&lt;K$47,J$46,K143&gt;=K$47,J$47)</f>
        <v/>
      </c>
      <c r="K143" s="38" t="n">
        <v>93</v>
      </c>
      <c r="L143" s="31">
        <f>K143/52</f>
        <v/>
      </c>
      <c r="M143" s="39">
        <f>J143/1000000*52</f>
        <v/>
      </c>
      <c r="N143" s="33">
        <f>M143/$P$4+($I$22/$P$4)</f>
        <v/>
      </c>
      <c r="U143">
        <f>F142</f>
        <v/>
      </c>
      <c r="V143">
        <f>H142</f>
        <v/>
      </c>
      <c r="W143">
        <f>N142</f>
        <v/>
      </c>
    </row>
    <row r="144" ht="15.75" customHeight="1" s="40">
      <c r="C144" s="36">
        <f>_xlfn.IFS(E144&lt;E$24,0,E144&lt;E$26,C$24,E144&lt;E$28,C$26,E144&lt;E$30,C$28,E144&lt;E$32,C$30,E144&lt;E$34,C$32,E144&gt;=E$34,C$34)</f>
        <v/>
      </c>
      <c r="D144" s="37">
        <f>_xlfn.IFS(E144&lt;E$24,0,E144&lt;E$25,D$24,E144&lt;E$26,D$25,E144&lt;E$27,D$26,E144&lt;E$28,D$27,E144&lt;E$29,D$28,E144&lt;E$30,D$29,E144&lt;E$31,D$30,E144&lt;E$32,D$31,E144&lt;E$33,D$32,E144&lt;E$34,D$33,E144&lt;E$35,D$34,E144&gt;=E$35,D$35)</f>
        <v/>
      </c>
      <c r="E144" s="38" t="n">
        <v>94</v>
      </c>
      <c r="F144" s="31">
        <f>E144/52</f>
        <v/>
      </c>
      <c r="G144" s="39">
        <f>D144/1000000*52</f>
        <v/>
      </c>
      <c r="H144" s="33">
        <f>G144/$P$4+($C$22/$P$4)</f>
        <v/>
      </c>
      <c r="I144" s="36">
        <f>_xlfn.IFS(K144&lt;K$24,0,K144&lt;K$26,I$24,K144&lt;K$28,I$26,K144&lt;K$30,I$28,K144&lt;K$32,I$30,K144&lt;K$34,I$32,K144&lt;K$36,I$34,K144&lt;K$38,I$36,K144&lt;K$40,I$38,K144&lt;K$42,I$40,K144&lt;K$44,I$42,K144&lt;K$46,I$44,K144&gt;=K$46,I$46)</f>
        <v/>
      </c>
      <c r="J144" s="37">
        <f>_xlfn.IFS(K144&lt;K$24,0,K144&lt;K$25,J$24,K144&lt;K$26,J$25,K144&lt;K$27,J$26,K144&lt;K$28,J$27,K144&lt;K$29,J$28,K144&lt;K$30,J$29,K144&lt;K$31,J$30,K144&lt;K$32,J$31,K144&lt;K$33,J$32,K144&lt;K$34,J$33,K144&lt;K$35,J$34,K144&lt;K$36,J$35,K144&lt;K$37,J$36,K144&lt;K$38,J$37,K144&lt;K$39,J$38,K144&lt;K$40,J$39,K144&lt;K$41,J$40,K144&lt;K$42,J$41,K144&lt;K$43,J$42,K144&lt;K$44,J$43,K144&lt;K$45,J$44,K144&lt;K$46,J$45,K144&lt;K$47,J$46,K144&gt;=K$47,J$47)</f>
        <v/>
      </c>
      <c r="K144" s="38" t="n">
        <v>94</v>
      </c>
      <c r="L144" s="31">
        <f>K144/52</f>
        <v/>
      </c>
      <c r="M144" s="39">
        <f>J144/1000000*52</f>
        <v/>
      </c>
      <c r="N144" s="33">
        <f>M144/$P$4+($I$22/$P$4)</f>
        <v/>
      </c>
      <c r="U144">
        <f>F143</f>
        <v/>
      </c>
      <c r="V144">
        <f>H143</f>
        <v/>
      </c>
      <c r="W144">
        <f>N143</f>
        <v/>
      </c>
    </row>
    <row r="145" ht="15.75" customHeight="1" s="40">
      <c r="C145" s="36">
        <f>_xlfn.IFS(E145&lt;E$24,0,E145&lt;E$26,C$24,E145&lt;E$28,C$26,E145&lt;E$30,C$28,E145&lt;E$32,C$30,E145&lt;E$34,C$32,E145&gt;=E$34,C$34)</f>
        <v/>
      </c>
      <c r="D145" s="37">
        <f>_xlfn.IFS(E145&lt;E$24,0,E145&lt;E$25,D$24,E145&lt;E$26,D$25,E145&lt;E$27,D$26,E145&lt;E$28,D$27,E145&lt;E$29,D$28,E145&lt;E$30,D$29,E145&lt;E$31,D$30,E145&lt;E$32,D$31,E145&lt;E$33,D$32,E145&lt;E$34,D$33,E145&lt;E$35,D$34,E145&gt;=E$35,D$35)</f>
        <v/>
      </c>
      <c r="E145" s="38" t="n">
        <v>95</v>
      </c>
      <c r="F145" s="31">
        <f>E145/52</f>
        <v/>
      </c>
      <c r="G145" s="39">
        <f>D145/1000000*52</f>
        <v/>
      </c>
      <c r="H145" s="33">
        <f>G145/$P$4+($C$22/$P$4)</f>
        <v/>
      </c>
      <c r="I145" s="36">
        <f>_xlfn.IFS(K145&lt;K$24,0,K145&lt;K$26,I$24,K145&lt;K$28,I$26,K145&lt;K$30,I$28,K145&lt;K$32,I$30,K145&lt;K$34,I$32,K145&lt;K$36,I$34,K145&lt;K$38,I$36,K145&lt;K$40,I$38,K145&lt;K$42,I$40,K145&lt;K$44,I$42,K145&lt;K$46,I$44,K145&gt;=K$46,I$46)</f>
        <v/>
      </c>
      <c r="J145" s="37">
        <f>_xlfn.IFS(K145&lt;K$24,0,K145&lt;K$25,J$24,K145&lt;K$26,J$25,K145&lt;K$27,J$26,K145&lt;K$28,J$27,K145&lt;K$29,J$28,K145&lt;K$30,J$29,K145&lt;K$31,J$30,K145&lt;K$32,J$31,K145&lt;K$33,J$32,K145&lt;K$34,J$33,K145&lt;K$35,J$34,K145&lt;K$36,J$35,K145&lt;K$37,J$36,K145&lt;K$38,J$37,K145&lt;K$39,J$38,K145&lt;K$40,J$39,K145&lt;K$41,J$40,K145&lt;K$42,J$41,K145&lt;K$43,J$42,K145&lt;K$44,J$43,K145&lt;K$45,J$44,K145&lt;K$46,J$45,K145&lt;K$47,J$46,K145&gt;=K$47,J$47)</f>
        <v/>
      </c>
      <c r="K145" s="38" t="n">
        <v>95</v>
      </c>
      <c r="L145" s="31">
        <f>K145/52</f>
        <v/>
      </c>
      <c r="M145" s="39">
        <f>J145/1000000*52</f>
        <v/>
      </c>
      <c r="N145" s="33">
        <f>M145/$P$4+($I$22/$P$4)</f>
        <v/>
      </c>
      <c r="U145">
        <f>F144</f>
        <v/>
      </c>
      <c r="V145">
        <f>H144</f>
        <v/>
      </c>
      <c r="W145">
        <f>N144</f>
        <v/>
      </c>
    </row>
    <row r="146" ht="15.75" customHeight="1" s="40">
      <c r="C146" s="36">
        <f>_xlfn.IFS(E146&lt;E$24,0,E146&lt;E$26,C$24,E146&lt;E$28,C$26,E146&lt;E$30,C$28,E146&lt;E$32,C$30,E146&lt;E$34,C$32,E146&gt;=E$34,C$34)</f>
        <v/>
      </c>
      <c r="D146" s="37">
        <f>_xlfn.IFS(E146&lt;E$24,0,E146&lt;E$25,D$24,E146&lt;E$26,D$25,E146&lt;E$27,D$26,E146&lt;E$28,D$27,E146&lt;E$29,D$28,E146&lt;E$30,D$29,E146&lt;E$31,D$30,E146&lt;E$32,D$31,E146&lt;E$33,D$32,E146&lt;E$34,D$33,E146&lt;E$35,D$34,E146&gt;=E$35,D$35)</f>
        <v/>
      </c>
      <c r="E146" s="38" t="n">
        <v>96</v>
      </c>
      <c r="F146" s="31">
        <f>E146/52</f>
        <v/>
      </c>
      <c r="G146" s="39">
        <f>D146/1000000*52</f>
        <v/>
      </c>
      <c r="H146" s="33">
        <f>G146/$P$4+($C$22/$P$4)</f>
        <v/>
      </c>
      <c r="I146" s="36">
        <f>_xlfn.IFS(K146&lt;K$24,0,K146&lt;K$26,I$24,K146&lt;K$28,I$26,K146&lt;K$30,I$28,K146&lt;K$32,I$30,K146&lt;K$34,I$32,K146&lt;K$36,I$34,K146&lt;K$38,I$36,K146&lt;K$40,I$38,K146&lt;K$42,I$40,K146&lt;K$44,I$42,K146&lt;K$46,I$44,K146&gt;=K$46,I$46)</f>
        <v/>
      </c>
      <c r="J146" s="37">
        <f>_xlfn.IFS(K146&lt;K$24,0,K146&lt;K$25,J$24,K146&lt;K$26,J$25,K146&lt;K$27,J$26,K146&lt;K$28,J$27,K146&lt;K$29,J$28,K146&lt;K$30,J$29,K146&lt;K$31,J$30,K146&lt;K$32,J$31,K146&lt;K$33,J$32,K146&lt;K$34,J$33,K146&lt;K$35,J$34,K146&lt;K$36,J$35,K146&lt;K$37,J$36,K146&lt;K$38,J$37,K146&lt;K$39,J$38,K146&lt;K$40,J$39,K146&lt;K$41,J$40,K146&lt;K$42,J$41,K146&lt;K$43,J$42,K146&lt;K$44,J$43,K146&lt;K$45,J$44,K146&lt;K$46,J$45,K146&lt;K$47,J$46,K146&gt;=K$47,J$47)</f>
        <v/>
      </c>
      <c r="K146" s="38" t="n">
        <v>96</v>
      </c>
      <c r="L146" s="31">
        <f>K146/52</f>
        <v/>
      </c>
      <c r="M146" s="39">
        <f>J146/1000000*52</f>
        <v/>
      </c>
      <c r="N146" s="33">
        <f>M146/$P$4+($I$22/$P$4)</f>
        <v/>
      </c>
      <c r="U146">
        <f>F145</f>
        <v/>
      </c>
      <c r="V146">
        <f>H145</f>
        <v/>
      </c>
      <c r="W146">
        <f>N145</f>
        <v/>
      </c>
    </row>
    <row r="147" ht="15.75" customHeight="1" s="40">
      <c r="C147" s="36">
        <f>_xlfn.IFS(E147&lt;E$24,0,E147&lt;E$26,C$24,E147&lt;E$28,C$26,E147&lt;E$30,C$28,E147&lt;E$32,C$30,E147&lt;E$34,C$32,E147&gt;=E$34,C$34)</f>
        <v/>
      </c>
      <c r="D147" s="37">
        <f>_xlfn.IFS(E147&lt;E$24,0,E147&lt;E$25,D$24,E147&lt;E$26,D$25,E147&lt;E$27,D$26,E147&lt;E$28,D$27,E147&lt;E$29,D$28,E147&lt;E$30,D$29,E147&lt;E$31,D$30,E147&lt;E$32,D$31,E147&lt;E$33,D$32,E147&lt;E$34,D$33,E147&lt;E$35,D$34,E147&gt;=E$35,D$35)</f>
        <v/>
      </c>
      <c r="E147" s="38" t="n">
        <v>97</v>
      </c>
      <c r="F147" s="31">
        <f>E147/52</f>
        <v/>
      </c>
      <c r="G147" s="39">
        <f>D147/1000000*52</f>
        <v/>
      </c>
      <c r="H147" s="33">
        <f>G147/$P$4+($C$22/$P$4)</f>
        <v/>
      </c>
      <c r="I147" s="36">
        <f>_xlfn.IFS(K147&lt;K$24,0,K147&lt;K$26,I$24,K147&lt;K$28,I$26,K147&lt;K$30,I$28,K147&lt;K$32,I$30,K147&lt;K$34,I$32,K147&lt;K$36,I$34,K147&lt;K$38,I$36,K147&lt;K$40,I$38,K147&lt;K$42,I$40,K147&lt;K$44,I$42,K147&lt;K$46,I$44,K147&gt;=K$46,I$46)</f>
        <v/>
      </c>
      <c r="J147" s="37">
        <f>_xlfn.IFS(K147&lt;K$24,0,K147&lt;K$25,J$24,K147&lt;K$26,J$25,K147&lt;K$27,J$26,K147&lt;K$28,J$27,K147&lt;K$29,J$28,K147&lt;K$30,J$29,K147&lt;K$31,J$30,K147&lt;K$32,J$31,K147&lt;K$33,J$32,K147&lt;K$34,J$33,K147&lt;K$35,J$34,K147&lt;K$36,J$35,K147&lt;K$37,J$36,K147&lt;K$38,J$37,K147&lt;K$39,J$38,K147&lt;K$40,J$39,K147&lt;K$41,J$40,K147&lt;K$42,J$41,K147&lt;K$43,J$42,K147&lt;K$44,J$43,K147&lt;K$45,J$44,K147&lt;K$46,J$45,K147&lt;K$47,J$46,K147&gt;=K$47,J$47)</f>
        <v/>
      </c>
      <c r="K147" s="38" t="n">
        <v>97</v>
      </c>
      <c r="L147" s="31">
        <f>K147/52</f>
        <v/>
      </c>
      <c r="M147" s="39">
        <f>J147/1000000*52</f>
        <v/>
      </c>
      <c r="N147" s="33">
        <f>M147/$P$4+($I$22/$P$4)</f>
        <v/>
      </c>
      <c r="U147">
        <f>F146</f>
        <v/>
      </c>
      <c r="V147">
        <f>H146</f>
        <v/>
      </c>
      <c r="W147">
        <f>N146</f>
        <v/>
      </c>
    </row>
    <row r="148" ht="15.75" customHeight="1" s="40">
      <c r="C148" s="36">
        <f>_xlfn.IFS(E148&lt;E$24,0,E148&lt;E$26,C$24,E148&lt;E$28,C$26,E148&lt;E$30,C$28,E148&lt;E$32,C$30,E148&lt;E$34,C$32,E148&gt;=E$34,C$34)</f>
        <v/>
      </c>
      <c r="D148" s="37">
        <f>_xlfn.IFS(E148&lt;E$24,0,E148&lt;E$25,D$24,E148&lt;E$26,D$25,E148&lt;E$27,D$26,E148&lt;E$28,D$27,E148&lt;E$29,D$28,E148&lt;E$30,D$29,E148&lt;E$31,D$30,E148&lt;E$32,D$31,E148&lt;E$33,D$32,E148&lt;E$34,D$33,E148&lt;E$35,D$34,E148&gt;=E$35,D$35)</f>
        <v/>
      </c>
      <c r="E148" s="38" t="n">
        <v>98</v>
      </c>
      <c r="F148" s="31">
        <f>E148/52</f>
        <v/>
      </c>
      <c r="G148" s="39">
        <f>D148/1000000*52</f>
        <v/>
      </c>
      <c r="H148" s="33">
        <f>G148/$P$4+($C$22/$P$4)</f>
        <v/>
      </c>
      <c r="I148" s="36">
        <f>_xlfn.IFS(K148&lt;K$24,0,K148&lt;K$26,I$24,K148&lt;K$28,I$26,K148&lt;K$30,I$28,K148&lt;K$32,I$30,K148&lt;K$34,I$32,K148&lt;K$36,I$34,K148&lt;K$38,I$36,K148&lt;K$40,I$38,K148&lt;K$42,I$40,K148&lt;K$44,I$42,K148&lt;K$46,I$44,K148&gt;=K$46,I$46)</f>
        <v/>
      </c>
      <c r="J148" s="37">
        <f>_xlfn.IFS(K148&lt;K$24,0,K148&lt;K$25,J$24,K148&lt;K$26,J$25,K148&lt;K$27,J$26,K148&lt;K$28,J$27,K148&lt;K$29,J$28,K148&lt;K$30,J$29,K148&lt;K$31,J$30,K148&lt;K$32,J$31,K148&lt;K$33,J$32,K148&lt;K$34,J$33,K148&lt;K$35,J$34,K148&lt;K$36,J$35,K148&lt;K$37,J$36,K148&lt;K$38,J$37,K148&lt;K$39,J$38,K148&lt;K$40,J$39,K148&lt;K$41,J$40,K148&lt;K$42,J$41,K148&lt;K$43,J$42,K148&lt;K$44,J$43,K148&lt;K$45,J$44,K148&lt;K$46,J$45,K148&lt;K$47,J$46,K148&gt;=K$47,J$47)</f>
        <v/>
      </c>
      <c r="K148" s="38" t="n">
        <v>98</v>
      </c>
      <c r="L148" s="31">
        <f>K148/52</f>
        <v/>
      </c>
      <c r="M148" s="39">
        <f>J148/1000000*52</f>
        <v/>
      </c>
      <c r="N148" s="33">
        <f>M148/$P$4+($I$22/$P$4)</f>
        <v/>
      </c>
      <c r="U148">
        <f>F147</f>
        <v/>
      </c>
      <c r="V148">
        <f>H147</f>
        <v/>
      </c>
      <c r="W148">
        <f>N147</f>
        <v/>
      </c>
    </row>
    <row r="149" ht="15.75" customHeight="1" s="40">
      <c r="C149" s="36">
        <f>_xlfn.IFS(E149&lt;E$24,0,E149&lt;E$26,C$24,E149&lt;E$28,C$26,E149&lt;E$30,C$28,E149&lt;E$32,C$30,E149&lt;E$34,C$32,E149&gt;=E$34,C$34)</f>
        <v/>
      </c>
      <c r="D149" s="37">
        <f>_xlfn.IFS(E149&lt;E$24,0,E149&lt;E$25,D$24,E149&lt;E$26,D$25,E149&lt;E$27,D$26,E149&lt;E$28,D$27,E149&lt;E$29,D$28,E149&lt;E$30,D$29,E149&lt;E$31,D$30,E149&lt;E$32,D$31,E149&lt;E$33,D$32,E149&lt;E$34,D$33,E149&lt;E$35,D$34,E149&gt;=E$35,D$35)</f>
        <v/>
      </c>
      <c r="E149" s="38" t="n">
        <v>99</v>
      </c>
      <c r="F149" s="31">
        <f>E149/52</f>
        <v/>
      </c>
      <c r="G149" s="39">
        <f>D149/1000000*52</f>
        <v/>
      </c>
      <c r="H149" s="33">
        <f>G149/$P$4+($C$22/$P$4)</f>
        <v/>
      </c>
      <c r="I149" s="36">
        <f>_xlfn.IFS(K149&lt;K$24,0,K149&lt;K$26,I$24,K149&lt;K$28,I$26,K149&lt;K$30,I$28,K149&lt;K$32,I$30,K149&lt;K$34,I$32,K149&lt;K$36,I$34,K149&lt;K$38,I$36,K149&lt;K$40,I$38,K149&lt;K$42,I$40,K149&lt;K$44,I$42,K149&lt;K$46,I$44,K149&gt;=K$46,I$46)</f>
        <v/>
      </c>
      <c r="J149" s="37">
        <f>_xlfn.IFS(K149&lt;K$24,0,K149&lt;K$25,J$24,K149&lt;K$26,J$25,K149&lt;K$27,J$26,K149&lt;K$28,J$27,K149&lt;K$29,J$28,K149&lt;K$30,J$29,K149&lt;K$31,J$30,K149&lt;K$32,J$31,K149&lt;K$33,J$32,K149&lt;K$34,J$33,K149&lt;K$35,J$34,K149&lt;K$36,J$35,K149&lt;K$37,J$36,K149&lt;K$38,J$37,K149&lt;K$39,J$38,K149&lt;K$40,J$39,K149&lt;K$41,J$40,K149&lt;K$42,J$41,K149&lt;K$43,J$42,K149&lt;K$44,J$43,K149&lt;K$45,J$44,K149&lt;K$46,J$45,K149&lt;K$47,J$46,K149&gt;=K$47,J$47)</f>
        <v/>
      </c>
      <c r="K149" s="38" t="n">
        <v>99</v>
      </c>
      <c r="L149" s="31">
        <f>K149/52</f>
        <v/>
      </c>
      <c r="M149" s="39">
        <f>J149/1000000*52</f>
        <v/>
      </c>
      <c r="N149" s="33">
        <f>M149/$P$4+($I$22/$P$4)</f>
        <v/>
      </c>
      <c r="U149">
        <f>F148</f>
        <v/>
      </c>
      <c r="V149">
        <f>H148</f>
        <v/>
      </c>
      <c r="W149">
        <f>N148</f>
        <v/>
      </c>
    </row>
    <row r="150" ht="15.75" customHeight="1" s="40">
      <c r="C150" s="36">
        <f>_xlfn.IFS(E150&lt;E$24,0,E150&lt;E$26,C$24,E150&lt;E$28,C$26,E150&lt;E$30,C$28,E150&lt;E$32,C$30,E150&lt;E$34,C$32,E150&gt;=E$34,C$34)</f>
        <v/>
      </c>
      <c r="D150" s="37">
        <f>_xlfn.IFS(E150&lt;E$24,0,E150&lt;E$25,D$24,E150&lt;E$26,D$25,E150&lt;E$27,D$26,E150&lt;E$28,D$27,E150&lt;E$29,D$28,E150&lt;E$30,D$29,E150&lt;E$31,D$30,E150&lt;E$32,D$31,E150&lt;E$33,D$32,E150&lt;E$34,D$33,E150&lt;E$35,D$34,E150&gt;=E$35,D$35)</f>
        <v/>
      </c>
      <c r="E150" s="38" t="n">
        <v>100</v>
      </c>
      <c r="F150" s="31">
        <f>E150/52</f>
        <v/>
      </c>
      <c r="G150" s="39">
        <f>D150/1000000*52</f>
        <v/>
      </c>
      <c r="H150" s="33">
        <f>G150/$P$4+($C$22/$P$4)</f>
        <v/>
      </c>
      <c r="I150" s="36">
        <f>_xlfn.IFS(K150&lt;K$24,0,K150&lt;K$26,I$24,K150&lt;K$28,I$26,K150&lt;K$30,I$28,K150&lt;K$32,I$30,K150&lt;K$34,I$32,K150&lt;K$36,I$34,K150&lt;K$38,I$36,K150&lt;K$40,I$38,K150&lt;K$42,I$40,K150&lt;K$44,I$42,K150&lt;K$46,I$44,K150&gt;=K$46,I$46)</f>
        <v/>
      </c>
      <c r="J150" s="37">
        <f>_xlfn.IFS(K150&lt;K$24,0,K150&lt;K$25,J$24,K150&lt;K$26,J$25,K150&lt;K$27,J$26,K150&lt;K$28,J$27,K150&lt;K$29,J$28,K150&lt;K$30,J$29,K150&lt;K$31,J$30,K150&lt;K$32,J$31,K150&lt;K$33,J$32,K150&lt;K$34,J$33,K150&lt;K$35,J$34,K150&lt;K$36,J$35,K150&lt;K$37,J$36,K150&lt;K$38,J$37,K150&lt;K$39,J$38,K150&lt;K$40,J$39,K150&lt;K$41,J$40,K150&lt;K$42,J$41,K150&lt;K$43,J$42,K150&lt;K$44,J$43,K150&lt;K$45,J$44,K150&lt;K$46,J$45,K150&lt;K$47,J$46,K150&gt;=K$47,J$47)</f>
        <v/>
      </c>
      <c r="K150" s="38" t="n">
        <v>100</v>
      </c>
      <c r="L150" s="31">
        <f>K150/52</f>
        <v/>
      </c>
      <c r="M150" s="39">
        <f>J150/1000000*52</f>
        <v/>
      </c>
      <c r="N150" s="33">
        <f>M150/$P$4+($I$22/$P$4)</f>
        <v/>
      </c>
      <c r="U150">
        <f>F149</f>
        <v/>
      </c>
      <c r="V150">
        <f>H149</f>
        <v/>
      </c>
      <c r="W150">
        <f>N149</f>
        <v/>
      </c>
    </row>
    <row r="151" ht="15.75" customHeight="1" s="40">
      <c r="C151" s="36">
        <f>_xlfn.IFS(E151&lt;E$24,0,E151&lt;E$26,C$24,E151&lt;E$28,C$26,E151&lt;E$30,C$28,E151&lt;E$32,C$30,E151&lt;E$34,C$32,E151&gt;=E$34,C$34)</f>
        <v/>
      </c>
      <c r="D151" s="37">
        <f>_xlfn.IFS(E151&lt;E$24,0,E151&lt;E$25,D$24,E151&lt;E$26,D$25,E151&lt;E$27,D$26,E151&lt;E$28,D$27,E151&lt;E$29,D$28,E151&lt;E$30,D$29,E151&lt;E$31,D$30,E151&lt;E$32,D$31,E151&lt;E$33,D$32,E151&lt;E$34,D$33,E151&lt;E$35,D$34,E151&gt;=E$35,D$35)</f>
        <v/>
      </c>
      <c r="E151" s="38" t="n">
        <v>101</v>
      </c>
      <c r="F151" s="31">
        <f>E151/52</f>
        <v/>
      </c>
      <c r="G151" s="39">
        <f>D151/1000000*52</f>
        <v/>
      </c>
      <c r="H151" s="33">
        <f>G151/$P$4+($C$22/$P$4)</f>
        <v/>
      </c>
      <c r="I151" s="36">
        <f>_xlfn.IFS(K151&lt;K$24,0,K151&lt;K$26,I$24,K151&lt;K$28,I$26,K151&lt;K$30,I$28,K151&lt;K$32,I$30,K151&lt;K$34,I$32,K151&lt;K$36,I$34,K151&lt;K$38,I$36,K151&lt;K$40,I$38,K151&lt;K$42,I$40,K151&lt;K$44,I$42,K151&lt;K$46,I$44,K151&gt;=K$46,I$46)</f>
        <v/>
      </c>
      <c r="J151" s="37">
        <f>_xlfn.IFS(K151&lt;K$24,0,K151&lt;K$25,J$24,K151&lt;K$26,J$25,K151&lt;K$27,J$26,K151&lt;K$28,J$27,K151&lt;K$29,J$28,K151&lt;K$30,J$29,K151&lt;K$31,J$30,K151&lt;K$32,J$31,K151&lt;K$33,J$32,K151&lt;K$34,J$33,K151&lt;K$35,J$34,K151&lt;K$36,J$35,K151&lt;K$37,J$36,K151&lt;K$38,J$37,K151&lt;K$39,J$38,K151&lt;K$40,J$39,K151&lt;K$41,J$40,K151&lt;K$42,J$41,K151&lt;K$43,J$42,K151&lt;K$44,J$43,K151&lt;K$45,J$44,K151&lt;K$46,J$45,K151&lt;K$47,J$46,K151&gt;=K$47,J$47)</f>
        <v/>
      </c>
      <c r="K151" s="38" t="n">
        <v>101</v>
      </c>
      <c r="L151" s="31">
        <f>K151/52</f>
        <v/>
      </c>
      <c r="M151" s="39">
        <f>J151/1000000*52</f>
        <v/>
      </c>
      <c r="N151" s="33">
        <f>M151/$P$4+($I$22/$P$4)</f>
        <v/>
      </c>
      <c r="U151">
        <f>F150</f>
        <v/>
      </c>
      <c r="V151">
        <f>H150</f>
        <v/>
      </c>
      <c r="W151">
        <f>N150</f>
        <v/>
      </c>
    </row>
    <row r="152" ht="15.75" customHeight="1" s="40">
      <c r="C152" s="36">
        <f>_xlfn.IFS(E152&lt;E$24,0,E152&lt;E$26,C$24,E152&lt;E$28,C$26,E152&lt;E$30,C$28,E152&lt;E$32,C$30,E152&lt;E$34,C$32,E152&gt;=E$34,C$34)</f>
        <v/>
      </c>
      <c r="D152" s="37">
        <f>_xlfn.IFS(E152&lt;E$24,0,E152&lt;E$25,D$24,E152&lt;E$26,D$25,E152&lt;E$27,D$26,E152&lt;E$28,D$27,E152&lt;E$29,D$28,E152&lt;E$30,D$29,E152&lt;E$31,D$30,E152&lt;E$32,D$31,E152&lt;E$33,D$32,E152&lt;E$34,D$33,E152&lt;E$35,D$34,E152&gt;=E$35,D$35)</f>
        <v/>
      </c>
      <c r="E152" s="38" t="n">
        <v>102</v>
      </c>
      <c r="F152" s="31">
        <f>E152/52</f>
        <v/>
      </c>
      <c r="G152" s="39">
        <f>D152/1000000*52</f>
        <v/>
      </c>
      <c r="H152" s="33">
        <f>G152/$P$4+($C$22/$P$4)</f>
        <v/>
      </c>
      <c r="I152" s="36">
        <f>_xlfn.IFS(K152&lt;K$24,0,K152&lt;K$26,I$24,K152&lt;K$28,I$26,K152&lt;K$30,I$28,K152&lt;K$32,I$30,K152&lt;K$34,I$32,K152&lt;K$36,I$34,K152&lt;K$38,I$36,K152&lt;K$40,I$38,K152&lt;K$42,I$40,K152&lt;K$44,I$42,K152&lt;K$46,I$44,K152&gt;=K$46,I$46)</f>
        <v/>
      </c>
      <c r="J152" s="37">
        <f>_xlfn.IFS(K152&lt;K$24,0,K152&lt;K$25,J$24,K152&lt;K$26,J$25,K152&lt;K$27,J$26,K152&lt;K$28,J$27,K152&lt;K$29,J$28,K152&lt;K$30,J$29,K152&lt;K$31,J$30,K152&lt;K$32,J$31,K152&lt;K$33,J$32,K152&lt;K$34,J$33,K152&lt;K$35,J$34,K152&lt;K$36,J$35,K152&lt;K$37,J$36,K152&lt;K$38,J$37,K152&lt;K$39,J$38,K152&lt;K$40,J$39,K152&lt;K$41,J$40,K152&lt;K$42,J$41,K152&lt;K$43,J$42,K152&lt;K$44,J$43,K152&lt;K$45,J$44,K152&lt;K$46,J$45,K152&lt;K$47,J$46,K152&gt;=K$47,J$47)</f>
        <v/>
      </c>
      <c r="K152" s="38" t="n">
        <v>102</v>
      </c>
      <c r="L152" s="31">
        <f>K152/52</f>
        <v/>
      </c>
      <c r="M152" s="39">
        <f>J152/1000000*52</f>
        <v/>
      </c>
      <c r="N152" s="33">
        <f>M152/$P$4+($I$22/$P$4)</f>
        <v/>
      </c>
      <c r="U152">
        <f>F151</f>
        <v/>
      </c>
      <c r="V152">
        <f>H151</f>
        <v/>
      </c>
      <c r="W152">
        <f>N151</f>
        <v/>
      </c>
    </row>
    <row r="153" ht="15.75" customHeight="1" s="40">
      <c r="C153" s="36">
        <f>_xlfn.IFS(E153&lt;E$24,0,E153&lt;E$26,C$24,E153&lt;E$28,C$26,E153&lt;E$30,C$28,E153&lt;E$32,C$30,E153&lt;E$34,C$32,E153&gt;=E$34,C$34)</f>
        <v/>
      </c>
      <c r="D153" s="37">
        <f>_xlfn.IFS(E153&lt;E$24,0,E153&lt;E$25,D$24,E153&lt;E$26,D$25,E153&lt;E$27,D$26,E153&lt;E$28,D$27,E153&lt;E$29,D$28,E153&lt;E$30,D$29,E153&lt;E$31,D$30,E153&lt;E$32,D$31,E153&lt;E$33,D$32,E153&lt;E$34,D$33,E153&lt;E$35,D$34,E153&gt;=E$35,D$35)</f>
        <v/>
      </c>
      <c r="E153" s="38" t="n">
        <v>103</v>
      </c>
      <c r="F153" s="31">
        <f>E153/52</f>
        <v/>
      </c>
      <c r="G153" s="39">
        <f>D153/1000000*52</f>
        <v/>
      </c>
      <c r="H153" s="33">
        <f>G153/$P$4+($C$22/$P$4)</f>
        <v/>
      </c>
      <c r="I153" s="36">
        <f>_xlfn.IFS(K153&lt;K$24,0,K153&lt;K$26,I$24,K153&lt;K$28,I$26,K153&lt;K$30,I$28,K153&lt;K$32,I$30,K153&lt;K$34,I$32,K153&lt;K$36,I$34,K153&lt;K$38,I$36,K153&lt;K$40,I$38,K153&lt;K$42,I$40,K153&lt;K$44,I$42,K153&lt;K$46,I$44,K153&gt;=K$46,I$46)</f>
        <v/>
      </c>
      <c r="J153" s="37">
        <f>_xlfn.IFS(K153&lt;K$24,0,K153&lt;K$25,J$24,K153&lt;K$26,J$25,K153&lt;K$27,J$26,K153&lt;K$28,J$27,K153&lt;K$29,J$28,K153&lt;K$30,J$29,K153&lt;K$31,J$30,K153&lt;K$32,J$31,K153&lt;K$33,J$32,K153&lt;K$34,J$33,K153&lt;K$35,J$34,K153&lt;K$36,J$35,K153&lt;K$37,J$36,K153&lt;K$38,J$37,K153&lt;K$39,J$38,K153&lt;K$40,J$39,K153&lt;K$41,J$40,K153&lt;K$42,J$41,K153&lt;K$43,J$42,K153&lt;K$44,J$43,K153&lt;K$45,J$44,K153&lt;K$46,J$45,K153&lt;K$47,J$46,K153&gt;=K$47,J$47)</f>
        <v/>
      </c>
      <c r="K153" s="38" t="n">
        <v>103</v>
      </c>
      <c r="L153" s="31">
        <f>K153/52</f>
        <v/>
      </c>
      <c r="M153" s="39">
        <f>J153/1000000*52</f>
        <v/>
      </c>
      <c r="N153" s="33">
        <f>M153/$P$4+($I$22/$P$4)</f>
        <v/>
      </c>
      <c r="U153">
        <f>F152</f>
        <v/>
      </c>
      <c r="V153">
        <f>H152</f>
        <v/>
      </c>
      <c r="W153">
        <f>N152</f>
        <v/>
      </c>
    </row>
    <row r="154" ht="15.75" customHeight="1" s="40">
      <c r="C154" s="36">
        <f>_xlfn.IFS(E154&lt;E$24,0,E154&lt;E$26,C$24,E154&lt;E$28,C$26,E154&lt;E$30,C$28,E154&lt;E$32,C$30,E154&lt;E$34,C$32,E154&gt;=E$34,C$34)</f>
        <v/>
      </c>
      <c r="D154" s="37">
        <f>_xlfn.IFS(E154&lt;E$24,0,E154&lt;E$25,D$24,E154&lt;E$26,D$25,E154&lt;E$27,D$26,E154&lt;E$28,D$27,E154&lt;E$29,D$28,E154&lt;E$30,D$29,E154&lt;E$31,D$30,E154&lt;E$32,D$31,E154&lt;E$33,D$32,E154&lt;E$34,D$33,E154&lt;E$35,D$34,E154&gt;=E$35,D$35)</f>
        <v/>
      </c>
      <c r="E154" s="38" t="n">
        <v>104</v>
      </c>
      <c r="F154" s="31">
        <f>E154/52</f>
        <v/>
      </c>
      <c r="G154" s="39">
        <f>D154/1000000*52</f>
        <v/>
      </c>
      <c r="H154" s="33">
        <f>G154/$P$4+($C$22/$P$4)</f>
        <v/>
      </c>
      <c r="I154" s="36">
        <f>_xlfn.IFS(K154&lt;K$24,0,K154&lt;K$26,I$24,K154&lt;K$28,I$26,K154&lt;K$30,I$28,K154&lt;K$32,I$30,K154&lt;K$34,I$32,K154&lt;K$36,I$34,K154&lt;K$38,I$36,K154&lt;K$40,I$38,K154&lt;K$42,I$40,K154&lt;K$44,I$42,K154&lt;K$46,I$44,K154&gt;=K$46,I$46)</f>
        <v/>
      </c>
      <c r="J154" s="37">
        <f>_xlfn.IFS(K154&lt;K$24,0,K154&lt;K$25,J$24,K154&lt;K$26,J$25,K154&lt;K$27,J$26,K154&lt;K$28,J$27,K154&lt;K$29,J$28,K154&lt;K$30,J$29,K154&lt;K$31,J$30,K154&lt;K$32,J$31,K154&lt;K$33,J$32,K154&lt;K$34,J$33,K154&lt;K$35,J$34,K154&lt;K$36,J$35,K154&lt;K$37,J$36,K154&lt;K$38,J$37,K154&lt;K$39,J$38,K154&lt;K$40,J$39,K154&lt;K$41,J$40,K154&lt;K$42,J$41,K154&lt;K$43,J$42,K154&lt;K$44,J$43,K154&lt;K$45,J$44,K154&lt;K$46,J$45,K154&lt;K$47,J$46,K154&gt;=K$47,J$47)</f>
        <v/>
      </c>
      <c r="K154" s="38" t="n">
        <v>104</v>
      </c>
      <c r="L154" s="31">
        <f>K154/52</f>
        <v/>
      </c>
      <c r="M154" s="39">
        <f>J154/1000000*52</f>
        <v/>
      </c>
      <c r="N154" s="33">
        <f>M154/$P$4+($I$22/$P$4)</f>
        <v/>
      </c>
      <c r="U154">
        <f>F153</f>
        <v/>
      </c>
      <c r="V154">
        <f>H153</f>
        <v/>
      </c>
      <c r="W154">
        <f>N153</f>
        <v/>
      </c>
    </row>
    <row r="155" ht="15.75" customHeight="1" s="40">
      <c r="C155" s="36">
        <f>_xlfn.IFS(E155&lt;E$24,0,E155&lt;E$26,C$24,E155&lt;E$28,C$26,E155&lt;E$30,C$28,E155&lt;E$32,C$30,E155&lt;E$34,C$32,E155&gt;=E$34,C$34)</f>
        <v/>
      </c>
      <c r="D155" s="37">
        <f>_xlfn.IFS(E155&lt;E$24,0,E155&lt;E$25,D$24,E155&lt;E$26,D$25,E155&lt;E$27,D$26,E155&lt;E$28,D$27,E155&lt;E$29,D$28,E155&lt;E$30,D$29,E155&lt;E$31,D$30,E155&lt;E$32,D$31,E155&lt;E$33,D$32,E155&lt;E$34,D$33,E155&lt;E$35,D$34,E155&gt;=E$35,D$35)</f>
        <v/>
      </c>
      <c r="E155" s="38" t="n">
        <v>105</v>
      </c>
      <c r="F155" s="31">
        <f>E155/52</f>
        <v/>
      </c>
      <c r="G155" s="39">
        <f>D155/1000000*52</f>
        <v/>
      </c>
      <c r="H155" s="33">
        <f>G155/$P$4+($C$22/$P$4)</f>
        <v/>
      </c>
      <c r="I155" s="36">
        <f>_xlfn.IFS(K155&lt;K$24,0,K155&lt;K$26,I$24,K155&lt;K$28,I$26,K155&lt;K$30,I$28,K155&lt;K$32,I$30,K155&lt;K$34,I$32,K155&lt;K$36,I$34,K155&lt;K$38,I$36,K155&lt;K$40,I$38,K155&lt;K$42,I$40,K155&lt;K$44,I$42,K155&lt;K$46,I$44,K155&gt;=K$46,I$46)</f>
        <v/>
      </c>
      <c r="J155" s="37">
        <f>_xlfn.IFS(K155&lt;K$24,0,K155&lt;K$25,J$24,K155&lt;K$26,J$25,K155&lt;K$27,J$26,K155&lt;K$28,J$27,K155&lt;K$29,J$28,K155&lt;K$30,J$29,K155&lt;K$31,J$30,K155&lt;K$32,J$31,K155&lt;K$33,J$32,K155&lt;K$34,J$33,K155&lt;K$35,J$34,K155&lt;K$36,J$35,K155&lt;K$37,J$36,K155&lt;K$38,J$37,K155&lt;K$39,J$38,K155&lt;K$40,J$39,K155&lt;K$41,J$40,K155&lt;K$42,J$41,K155&lt;K$43,J$42,K155&lt;K$44,J$43,K155&lt;K$45,J$44,K155&lt;K$46,J$45,K155&lt;K$47,J$46,K155&gt;=K$47,J$47)</f>
        <v/>
      </c>
      <c r="K155" s="38" t="n">
        <v>105</v>
      </c>
      <c r="L155" s="31">
        <f>K155/52</f>
        <v/>
      </c>
      <c r="M155" s="39">
        <f>J155/1000000*52</f>
        <v/>
      </c>
      <c r="N155" s="33">
        <f>M155/$P$4+($I$22/$P$4)</f>
        <v/>
      </c>
      <c r="U155">
        <f>F154</f>
        <v/>
      </c>
      <c r="V155">
        <f>H154</f>
        <v/>
      </c>
      <c r="W155">
        <f>N154</f>
        <v/>
      </c>
    </row>
    <row r="156" ht="15.75" customHeight="1" s="40">
      <c r="C156" s="36">
        <f>_xlfn.IFS(E156&lt;E$24,0,E156&lt;E$26,C$24,E156&lt;E$28,C$26,E156&lt;E$30,C$28,E156&lt;E$32,C$30,E156&lt;E$34,C$32,E156&gt;=E$34,C$34)</f>
        <v/>
      </c>
      <c r="D156" s="37">
        <f>_xlfn.IFS(E156&lt;E$24,0,E156&lt;E$25,D$24,E156&lt;E$26,D$25,E156&lt;E$27,D$26,E156&lt;E$28,D$27,E156&lt;E$29,D$28,E156&lt;E$30,D$29,E156&lt;E$31,D$30,E156&lt;E$32,D$31,E156&lt;E$33,D$32,E156&lt;E$34,D$33,E156&lt;E$35,D$34,E156&gt;=E$35,D$35)</f>
        <v/>
      </c>
      <c r="E156" s="38" t="n">
        <v>106</v>
      </c>
      <c r="F156" s="31">
        <f>E156/52</f>
        <v/>
      </c>
      <c r="G156" s="39">
        <f>D156/1000000*52</f>
        <v/>
      </c>
      <c r="H156" s="33">
        <f>G156/$P$4+($C$22/$P$4)</f>
        <v/>
      </c>
      <c r="I156" s="36">
        <f>_xlfn.IFS(K156&lt;K$24,0,K156&lt;K$26,I$24,K156&lt;K$28,I$26,K156&lt;K$30,I$28,K156&lt;K$32,I$30,K156&lt;K$34,I$32,K156&lt;K$36,I$34,K156&lt;K$38,I$36,K156&lt;K$40,I$38,K156&lt;K$42,I$40,K156&lt;K$44,I$42,K156&lt;K$46,I$44,K156&gt;=K$46,I$46)</f>
        <v/>
      </c>
      <c r="J156" s="37">
        <f>_xlfn.IFS(K156&lt;K$24,0,K156&lt;K$25,J$24,K156&lt;K$26,J$25,K156&lt;K$27,J$26,K156&lt;K$28,J$27,K156&lt;K$29,J$28,K156&lt;K$30,J$29,K156&lt;K$31,J$30,K156&lt;K$32,J$31,K156&lt;K$33,J$32,K156&lt;K$34,J$33,K156&lt;K$35,J$34,K156&lt;K$36,J$35,K156&lt;K$37,J$36,K156&lt;K$38,J$37,K156&lt;K$39,J$38,K156&lt;K$40,J$39,K156&lt;K$41,J$40,K156&lt;K$42,J$41,K156&lt;K$43,J$42,K156&lt;K$44,J$43,K156&lt;K$45,J$44,K156&lt;K$46,J$45,K156&lt;K$47,J$46,K156&gt;=K$47,J$47)</f>
        <v/>
      </c>
      <c r="K156" s="38" t="n">
        <v>106</v>
      </c>
      <c r="L156" s="31">
        <f>K156/52</f>
        <v/>
      </c>
      <c r="M156" s="39">
        <f>J156/1000000*52</f>
        <v/>
      </c>
      <c r="N156" s="33">
        <f>M156/$P$4+($I$22/$P$4)</f>
        <v/>
      </c>
      <c r="U156">
        <f>F155</f>
        <v/>
      </c>
      <c r="V156">
        <f>H155</f>
        <v/>
      </c>
      <c r="W156">
        <f>N155</f>
        <v/>
      </c>
    </row>
    <row r="157" ht="15.75" customHeight="1" s="40">
      <c r="C157" s="36">
        <f>_xlfn.IFS(E157&lt;E$24,0,E157&lt;E$26,C$24,E157&lt;E$28,C$26,E157&lt;E$30,C$28,E157&lt;E$32,C$30,E157&lt;E$34,C$32,E157&gt;=E$34,C$34)</f>
        <v/>
      </c>
      <c r="D157" s="37">
        <f>_xlfn.IFS(E157&lt;E$24,0,E157&lt;E$25,D$24,E157&lt;E$26,D$25,E157&lt;E$27,D$26,E157&lt;E$28,D$27,E157&lt;E$29,D$28,E157&lt;E$30,D$29,E157&lt;E$31,D$30,E157&lt;E$32,D$31,E157&lt;E$33,D$32,E157&lt;E$34,D$33,E157&lt;E$35,D$34,E157&gt;=E$35,D$35)</f>
        <v/>
      </c>
      <c r="E157" s="38" t="n">
        <v>107</v>
      </c>
      <c r="F157" s="31">
        <f>E157/52</f>
        <v/>
      </c>
      <c r="G157" s="39">
        <f>D157/1000000*52</f>
        <v/>
      </c>
      <c r="H157" s="33">
        <f>G157/$P$4+($C$22/$P$4)</f>
        <v/>
      </c>
      <c r="I157" s="36">
        <f>_xlfn.IFS(K157&lt;K$24,0,K157&lt;K$26,I$24,K157&lt;K$28,I$26,K157&lt;K$30,I$28,K157&lt;K$32,I$30,K157&lt;K$34,I$32,K157&lt;K$36,I$34,K157&lt;K$38,I$36,K157&lt;K$40,I$38,K157&lt;K$42,I$40,K157&lt;K$44,I$42,K157&lt;K$46,I$44,K157&gt;=K$46,I$46)</f>
        <v/>
      </c>
      <c r="J157" s="37">
        <f>_xlfn.IFS(K157&lt;K$24,0,K157&lt;K$25,J$24,K157&lt;K$26,J$25,K157&lt;K$27,J$26,K157&lt;K$28,J$27,K157&lt;K$29,J$28,K157&lt;K$30,J$29,K157&lt;K$31,J$30,K157&lt;K$32,J$31,K157&lt;K$33,J$32,K157&lt;K$34,J$33,K157&lt;K$35,J$34,K157&lt;K$36,J$35,K157&lt;K$37,J$36,K157&lt;K$38,J$37,K157&lt;K$39,J$38,K157&lt;K$40,J$39,K157&lt;K$41,J$40,K157&lt;K$42,J$41,K157&lt;K$43,J$42,K157&lt;K$44,J$43,K157&lt;K$45,J$44,K157&lt;K$46,J$45,K157&lt;K$47,J$46,K157&gt;=K$47,J$47)</f>
        <v/>
      </c>
      <c r="K157" s="38" t="n">
        <v>107</v>
      </c>
      <c r="L157" s="31">
        <f>K157/52</f>
        <v/>
      </c>
      <c r="M157" s="39">
        <f>J157/1000000*52</f>
        <v/>
      </c>
      <c r="N157" s="33">
        <f>M157/$P$4+($I$22/$P$4)</f>
        <v/>
      </c>
      <c r="U157">
        <f>F156</f>
        <v/>
      </c>
      <c r="V157">
        <f>H156</f>
        <v/>
      </c>
      <c r="W157">
        <f>N156</f>
        <v/>
      </c>
    </row>
    <row r="158" ht="15.75" customHeight="1" s="40">
      <c r="C158" s="36">
        <f>_xlfn.IFS(E158&lt;E$24,0,E158&lt;E$26,C$24,E158&lt;E$28,C$26,E158&lt;E$30,C$28,E158&lt;E$32,C$30,E158&lt;E$34,C$32,E158&gt;=E$34,C$34)</f>
        <v/>
      </c>
      <c r="D158" s="37">
        <f>_xlfn.IFS(E158&lt;E$24,0,E158&lt;E$25,D$24,E158&lt;E$26,D$25,E158&lt;E$27,D$26,E158&lt;E$28,D$27,E158&lt;E$29,D$28,E158&lt;E$30,D$29,E158&lt;E$31,D$30,E158&lt;E$32,D$31,E158&lt;E$33,D$32,E158&lt;E$34,D$33,E158&lt;E$35,D$34,E158&gt;=E$35,D$35)</f>
        <v/>
      </c>
      <c r="E158" s="38" t="n">
        <v>108</v>
      </c>
      <c r="F158" s="31">
        <f>E158/52</f>
        <v/>
      </c>
      <c r="G158" s="39">
        <f>D158/1000000*52</f>
        <v/>
      </c>
      <c r="H158" s="33">
        <f>G158/$P$4+($C$22/$P$4)</f>
        <v/>
      </c>
      <c r="I158" s="36">
        <f>_xlfn.IFS(K158&lt;K$24,0,K158&lt;K$26,I$24,K158&lt;K$28,I$26,K158&lt;K$30,I$28,K158&lt;K$32,I$30,K158&lt;K$34,I$32,K158&lt;K$36,I$34,K158&lt;K$38,I$36,K158&lt;K$40,I$38,K158&lt;K$42,I$40,K158&lt;K$44,I$42,K158&lt;K$46,I$44,K158&gt;=K$46,I$46)</f>
        <v/>
      </c>
      <c r="J158" s="37">
        <f>_xlfn.IFS(K158&lt;K$24,0,K158&lt;K$25,J$24,K158&lt;K$26,J$25,K158&lt;K$27,J$26,K158&lt;K$28,J$27,K158&lt;K$29,J$28,K158&lt;K$30,J$29,K158&lt;K$31,J$30,K158&lt;K$32,J$31,K158&lt;K$33,J$32,K158&lt;K$34,J$33,K158&lt;K$35,J$34,K158&lt;K$36,J$35,K158&lt;K$37,J$36,K158&lt;K$38,J$37,K158&lt;K$39,J$38,K158&lt;K$40,J$39,K158&lt;K$41,J$40,K158&lt;K$42,J$41,K158&lt;K$43,J$42,K158&lt;K$44,J$43,K158&lt;K$45,J$44,K158&lt;K$46,J$45,K158&lt;K$47,J$46,K158&gt;=K$47,J$47)</f>
        <v/>
      </c>
      <c r="K158" s="38" t="n">
        <v>108</v>
      </c>
      <c r="L158" s="31">
        <f>K158/52</f>
        <v/>
      </c>
      <c r="M158" s="39">
        <f>J158/1000000*52</f>
        <v/>
      </c>
      <c r="N158" s="33">
        <f>M158/$P$4+($I$22/$P$4)</f>
        <v/>
      </c>
      <c r="U158">
        <f>F157</f>
        <v/>
      </c>
      <c r="V158">
        <f>H157</f>
        <v/>
      </c>
      <c r="W158">
        <f>N157</f>
        <v/>
      </c>
    </row>
    <row r="159" ht="15.75" customHeight="1" s="40">
      <c r="C159" s="36">
        <f>_xlfn.IFS(E159&lt;E$24,0,E159&lt;E$26,C$24,E159&lt;E$28,C$26,E159&lt;E$30,C$28,E159&lt;E$32,C$30,E159&lt;E$34,C$32,E159&gt;=E$34,C$34)</f>
        <v/>
      </c>
      <c r="D159" s="37">
        <f>_xlfn.IFS(E159&lt;E$24,0,E159&lt;E$25,D$24,E159&lt;E$26,D$25,E159&lt;E$27,D$26,E159&lt;E$28,D$27,E159&lt;E$29,D$28,E159&lt;E$30,D$29,E159&lt;E$31,D$30,E159&lt;E$32,D$31,E159&lt;E$33,D$32,E159&lt;E$34,D$33,E159&lt;E$35,D$34,E159&gt;=E$35,D$35)</f>
        <v/>
      </c>
      <c r="E159" s="38" t="n">
        <v>109</v>
      </c>
      <c r="F159" s="31">
        <f>E159/52</f>
        <v/>
      </c>
      <c r="G159" s="39">
        <f>D159/1000000*52</f>
        <v/>
      </c>
      <c r="H159" s="33">
        <f>G159/$P$4+($C$22/$P$4)</f>
        <v/>
      </c>
      <c r="I159" s="36">
        <f>_xlfn.IFS(K159&lt;K$24,0,K159&lt;K$26,I$24,K159&lt;K$28,I$26,K159&lt;K$30,I$28,K159&lt;K$32,I$30,K159&lt;K$34,I$32,K159&lt;K$36,I$34,K159&lt;K$38,I$36,K159&lt;K$40,I$38,K159&lt;K$42,I$40,K159&lt;K$44,I$42,K159&lt;K$46,I$44,K159&gt;=K$46,I$46)</f>
        <v/>
      </c>
      <c r="J159" s="37">
        <f>_xlfn.IFS(K159&lt;K$24,0,K159&lt;K$25,J$24,K159&lt;K$26,J$25,K159&lt;K$27,J$26,K159&lt;K$28,J$27,K159&lt;K$29,J$28,K159&lt;K$30,J$29,K159&lt;K$31,J$30,K159&lt;K$32,J$31,K159&lt;K$33,J$32,K159&lt;K$34,J$33,K159&lt;K$35,J$34,K159&lt;K$36,J$35,K159&lt;K$37,J$36,K159&lt;K$38,J$37,K159&lt;K$39,J$38,K159&lt;K$40,J$39,K159&lt;K$41,J$40,K159&lt;K$42,J$41,K159&lt;K$43,J$42,K159&lt;K$44,J$43,K159&lt;K$45,J$44,K159&lt;K$46,J$45,K159&lt;K$47,J$46,K159&gt;=K$47,J$47)</f>
        <v/>
      </c>
      <c r="K159" s="38" t="n">
        <v>109</v>
      </c>
      <c r="L159" s="31">
        <f>K159/52</f>
        <v/>
      </c>
      <c r="M159" s="39">
        <f>J159/1000000*52</f>
        <v/>
      </c>
      <c r="N159" s="33">
        <f>M159/$P$4+($I$22/$P$4)</f>
        <v/>
      </c>
      <c r="U159">
        <f>F158</f>
        <v/>
      </c>
      <c r="V159">
        <f>H158</f>
        <v/>
      </c>
      <c r="W159">
        <f>N158</f>
        <v/>
      </c>
    </row>
    <row r="160" ht="15.75" customHeight="1" s="40">
      <c r="C160" s="36">
        <f>_xlfn.IFS(E160&lt;E$24,0,E160&lt;E$26,C$24,E160&lt;E$28,C$26,E160&lt;E$30,C$28,E160&lt;E$32,C$30,E160&lt;E$34,C$32,E160&gt;=E$34,C$34)</f>
        <v/>
      </c>
      <c r="D160" s="37">
        <f>_xlfn.IFS(E160&lt;E$24,0,E160&lt;E$25,D$24,E160&lt;E$26,D$25,E160&lt;E$27,D$26,E160&lt;E$28,D$27,E160&lt;E$29,D$28,E160&lt;E$30,D$29,E160&lt;E$31,D$30,E160&lt;E$32,D$31,E160&lt;E$33,D$32,E160&lt;E$34,D$33,E160&lt;E$35,D$34,E160&gt;=E$35,D$35)</f>
        <v/>
      </c>
      <c r="E160" s="38" t="n">
        <v>110</v>
      </c>
      <c r="F160" s="31">
        <f>E160/52</f>
        <v/>
      </c>
      <c r="G160" s="39">
        <f>D160/1000000*52</f>
        <v/>
      </c>
      <c r="H160" s="33">
        <f>G160/$P$4+($C$22/$P$4)</f>
        <v/>
      </c>
      <c r="I160" s="36">
        <f>_xlfn.IFS(K160&lt;K$24,0,K160&lt;K$26,I$24,K160&lt;K$28,I$26,K160&lt;K$30,I$28,K160&lt;K$32,I$30,K160&lt;K$34,I$32,K160&lt;K$36,I$34,K160&lt;K$38,I$36,K160&lt;K$40,I$38,K160&lt;K$42,I$40,K160&lt;K$44,I$42,K160&lt;K$46,I$44,K160&gt;=K$46,I$46)</f>
        <v/>
      </c>
      <c r="J160" s="37">
        <f>_xlfn.IFS(K160&lt;K$24,0,K160&lt;K$25,J$24,K160&lt;K$26,J$25,K160&lt;K$27,J$26,K160&lt;K$28,J$27,K160&lt;K$29,J$28,K160&lt;K$30,J$29,K160&lt;K$31,J$30,K160&lt;K$32,J$31,K160&lt;K$33,J$32,K160&lt;K$34,J$33,K160&lt;K$35,J$34,K160&lt;K$36,J$35,K160&lt;K$37,J$36,K160&lt;K$38,J$37,K160&lt;K$39,J$38,K160&lt;K$40,J$39,K160&lt;K$41,J$40,K160&lt;K$42,J$41,K160&lt;K$43,J$42,K160&lt;K$44,J$43,K160&lt;K$45,J$44,K160&lt;K$46,J$45,K160&lt;K$47,J$46,K160&gt;=K$47,J$47)</f>
        <v/>
      </c>
      <c r="K160" s="38" t="n">
        <v>110</v>
      </c>
      <c r="L160" s="31">
        <f>K160/52</f>
        <v/>
      </c>
      <c r="M160" s="39">
        <f>J160/1000000*52</f>
        <v/>
      </c>
      <c r="N160" s="33">
        <f>M160/$P$4+($I$22/$P$4)</f>
        <v/>
      </c>
      <c r="U160">
        <f>F159</f>
        <v/>
      </c>
      <c r="V160">
        <f>H159</f>
        <v/>
      </c>
      <c r="W160">
        <f>N159</f>
        <v/>
      </c>
    </row>
    <row r="161" ht="15.75" customHeight="1" s="40">
      <c r="C161" s="36">
        <f>_xlfn.IFS(E161&lt;E$24,0,E161&lt;E$26,C$24,E161&lt;E$28,C$26,E161&lt;E$30,C$28,E161&lt;E$32,C$30,E161&lt;E$34,C$32,E161&gt;=E$34,C$34)</f>
        <v/>
      </c>
      <c r="D161" s="37">
        <f>_xlfn.IFS(E161&lt;E$24,0,E161&lt;E$25,D$24,E161&lt;E$26,D$25,E161&lt;E$27,D$26,E161&lt;E$28,D$27,E161&lt;E$29,D$28,E161&lt;E$30,D$29,E161&lt;E$31,D$30,E161&lt;E$32,D$31,E161&lt;E$33,D$32,E161&lt;E$34,D$33,E161&lt;E$35,D$34,E161&gt;=E$35,D$35)</f>
        <v/>
      </c>
      <c r="E161" s="38" t="n">
        <v>111</v>
      </c>
      <c r="F161" s="31">
        <f>E161/52</f>
        <v/>
      </c>
      <c r="G161" s="39">
        <f>D161/1000000*52</f>
        <v/>
      </c>
      <c r="H161" s="33">
        <f>G161/$P$4+($C$22/$P$4)</f>
        <v/>
      </c>
      <c r="I161" s="36">
        <f>_xlfn.IFS(K161&lt;K$24,0,K161&lt;K$26,I$24,K161&lt;K$28,I$26,K161&lt;K$30,I$28,K161&lt;K$32,I$30,K161&lt;K$34,I$32,K161&lt;K$36,I$34,K161&lt;K$38,I$36,K161&lt;K$40,I$38,K161&lt;K$42,I$40,K161&lt;K$44,I$42,K161&lt;K$46,I$44,K161&gt;=K$46,I$46)</f>
        <v/>
      </c>
      <c r="J161" s="37">
        <f>_xlfn.IFS(K161&lt;K$24,0,K161&lt;K$25,J$24,K161&lt;K$26,J$25,K161&lt;K$27,J$26,K161&lt;K$28,J$27,K161&lt;K$29,J$28,K161&lt;K$30,J$29,K161&lt;K$31,J$30,K161&lt;K$32,J$31,K161&lt;K$33,J$32,K161&lt;K$34,J$33,K161&lt;K$35,J$34,K161&lt;K$36,J$35,K161&lt;K$37,J$36,K161&lt;K$38,J$37,K161&lt;K$39,J$38,K161&lt;K$40,J$39,K161&lt;K$41,J$40,K161&lt;K$42,J$41,K161&lt;K$43,J$42,K161&lt;K$44,J$43,K161&lt;K$45,J$44,K161&lt;K$46,J$45,K161&lt;K$47,J$46,K161&gt;=K$47,J$47)</f>
        <v/>
      </c>
      <c r="K161" s="38" t="n">
        <v>111</v>
      </c>
      <c r="L161" s="31">
        <f>K161/52</f>
        <v/>
      </c>
      <c r="M161" s="39">
        <f>J161/1000000*52</f>
        <v/>
      </c>
      <c r="N161" s="33">
        <f>M161/$P$4+($I$22/$P$4)</f>
        <v/>
      </c>
      <c r="U161">
        <f>F160</f>
        <v/>
      </c>
      <c r="V161">
        <f>H160</f>
        <v/>
      </c>
      <c r="W161">
        <f>N160</f>
        <v/>
      </c>
    </row>
    <row r="162" ht="15.75" customHeight="1" s="40">
      <c r="C162" s="36">
        <f>_xlfn.IFS(E162&lt;E$24,0,E162&lt;E$26,C$24,E162&lt;E$28,C$26,E162&lt;E$30,C$28,E162&lt;E$32,C$30,E162&lt;E$34,C$32,E162&gt;=E$34,C$34)</f>
        <v/>
      </c>
      <c r="D162" s="37">
        <f>_xlfn.IFS(E162&lt;E$24,0,E162&lt;E$25,D$24,E162&lt;E$26,D$25,E162&lt;E$27,D$26,E162&lt;E$28,D$27,E162&lt;E$29,D$28,E162&lt;E$30,D$29,E162&lt;E$31,D$30,E162&lt;E$32,D$31,E162&lt;E$33,D$32,E162&lt;E$34,D$33,E162&lt;E$35,D$34,E162&gt;=E$35,D$35)</f>
        <v/>
      </c>
      <c r="E162" s="38" t="n">
        <v>112</v>
      </c>
      <c r="F162" s="31">
        <f>E162/52</f>
        <v/>
      </c>
      <c r="G162" s="39">
        <f>D162/1000000*52</f>
        <v/>
      </c>
      <c r="H162" s="33">
        <f>G162/$P$4+($C$22/$P$4)</f>
        <v/>
      </c>
      <c r="I162" s="36">
        <f>_xlfn.IFS(K162&lt;K$24,0,K162&lt;K$26,I$24,K162&lt;K$28,I$26,K162&lt;K$30,I$28,K162&lt;K$32,I$30,K162&lt;K$34,I$32,K162&lt;K$36,I$34,K162&lt;K$38,I$36,K162&lt;K$40,I$38,K162&lt;K$42,I$40,K162&lt;K$44,I$42,K162&lt;K$46,I$44,K162&gt;=K$46,I$46)</f>
        <v/>
      </c>
      <c r="J162" s="37">
        <f>_xlfn.IFS(K162&lt;K$24,0,K162&lt;K$25,J$24,K162&lt;K$26,J$25,K162&lt;K$27,J$26,K162&lt;K$28,J$27,K162&lt;K$29,J$28,K162&lt;K$30,J$29,K162&lt;K$31,J$30,K162&lt;K$32,J$31,K162&lt;K$33,J$32,K162&lt;K$34,J$33,K162&lt;K$35,J$34,K162&lt;K$36,J$35,K162&lt;K$37,J$36,K162&lt;K$38,J$37,K162&lt;K$39,J$38,K162&lt;K$40,J$39,K162&lt;K$41,J$40,K162&lt;K$42,J$41,K162&lt;K$43,J$42,K162&lt;K$44,J$43,K162&lt;K$45,J$44,K162&lt;K$46,J$45,K162&lt;K$47,J$46,K162&gt;=K$47,J$47)</f>
        <v/>
      </c>
      <c r="K162" s="38" t="n">
        <v>112</v>
      </c>
      <c r="L162" s="31">
        <f>K162/52</f>
        <v/>
      </c>
      <c r="M162" s="39">
        <f>J162/1000000*52</f>
        <v/>
      </c>
      <c r="N162" s="33">
        <f>M162/$P$4+($I$22/$P$4)</f>
        <v/>
      </c>
      <c r="U162">
        <f>F161</f>
        <v/>
      </c>
      <c r="V162">
        <f>H161</f>
        <v/>
      </c>
      <c r="W162">
        <f>N161</f>
        <v/>
      </c>
    </row>
    <row r="163" ht="15.75" customHeight="1" s="40">
      <c r="C163" s="36">
        <f>_xlfn.IFS(E163&lt;E$24,0,E163&lt;E$26,C$24,E163&lt;E$28,C$26,E163&lt;E$30,C$28,E163&lt;E$32,C$30,E163&lt;E$34,C$32,E163&gt;=E$34,C$34)</f>
        <v/>
      </c>
      <c r="D163" s="37">
        <f>_xlfn.IFS(E163&lt;E$24,0,E163&lt;E$25,D$24,E163&lt;E$26,D$25,E163&lt;E$27,D$26,E163&lt;E$28,D$27,E163&lt;E$29,D$28,E163&lt;E$30,D$29,E163&lt;E$31,D$30,E163&lt;E$32,D$31,E163&lt;E$33,D$32,E163&lt;E$34,D$33,E163&lt;E$35,D$34,E163&gt;=E$35,D$35)</f>
        <v/>
      </c>
      <c r="E163" s="38" t="n">
        <v>113</v>
      </c>
      <c r="F163" s="31">
        <f>E163/52</f>
        <v/>
      </c>
      <c r="G163" s="39">
        <f>D163/1000000*52</f>
        <v/>
      </c>
      <c r="H163" s="33">
        <f>G163/$P$4+($C$22/$P$4)</f>
        <v/>
      </c>
      <c r="I163" s="36">
        <f>_xlfn.IFS(K163&lt;K$24,0,K163&lt;K$26,I$24,K163&lt;K$28,I$26,K163&lt;K$30,I$28,K163&lt;K$32,I$30,K163&lt;K$34,I$32,K163&lt;K$36,I$34,K163&lt;K$38,I$36,K163&lt;K$40,I$38,K163&lt;K$42,I$40,K163&lt;K$44,I$42,K163&lt;K$46,I$44,K163&gt;=K$46,I$46)</f>
        <v/>
      </c>
      <c r="J163" s="37">
        <f>_xlfn.IFS(K163&lt;K$24,0,K163&lt;K$25,J$24,K163&lt;K$26,J$25,K163&lt;K$27,J$26,K163&lt;K$28,J$27,K163&lt;K$29,J$28,K163&lt;K$30,J$29,K163&lt;K$31,J$30,K163&lt;K$32,J$31,K163&lt;K$33,J$32,K163&lt;K$34,J$33,K163&lt;K$35,J$34,K163&lt;K$36,J$35,K163&lt;K$37,J$36,K163&lt;K$38,J$37,K163&lt;K$39,J$38,K163&lt;K$40,J$39,K163&lt;K$41,J$40,K163&lt;K$42,J$41,K163&lt;K$43,J$42,K163&lt;K$44,J$43,K163&lt;K$45,J$44,K163&lt;K$46,J$45,K163&lt;K$47,J$46,K163&gt;=K$47,J$47)</f>
        <v/>
      </c>
      <c r="K163" s="38" t="n">
        <v>113</v>
      </c>
      <c r="L163" s="31">
        <f>K163/52</f>
        <v/>
      </c>
      <c r="M163" s="39">
        <f>J163/1000000*52</f>
        <v/>
      </c>
      <c r="N163" s="33">
        <f>M163/$P$4+($I$22/$P$4)</f>
        <v/>
      </c>
      <c r="U163">
        <f>F162</f>
        <v/>
      </c>
      <c r="V163">
        <f>H162</f>
        <v/>
      </c>
      <c r="W163">
        <f>N162</f>
        <v/>
      </c>
    </row>
    <row r="164" ht="15.75" customHeight="1" s="40">
      <c r="C164" s="36">
        <f>_xlfn.IFS(E164&lt;E$24,0,E164&lt;E$26,C$24,E164&lt;E$28,C$26,E164&lt;E$30,C$28,E164&lt;E$32,C$30,E164&lt;E$34,C$32,E164&gt;=E$34,C$34)</f>
        <v/>
      </c>
      <c r="D164" s="37">
        <f>_xlfn.IFS(E164&lt;E$24,0,E164&lt;E$25,D$24,E164&lt;E$26,D$25,E164&lt;E$27,D$26,E164&lt;E$28,D$27,E164&lt;E$29,D$28,E164&lt;E$30,D$29,E164&lt;E$31,D$30,E164&lt;E$32,D$31,E164&lt;E$33,D$32,E164&lt;E$34,D$33,E164&lt;E$35,D$34,E164&gt;=E$35,D$35)</f>
        <v/>
      </c>
      <c r="E164" s="38" t="n">
        <v>114</v>
      </c>
      <c r="F164" s="31">
        <f>E164/52</f>
        <v/>
      </c>
      <c r="G164" s="39">
        <f>D164/1000000*52</f>
        <v/>
      </c>
      <c r="H164" s="33">
        <f>G164/$P$4+($C$22/$P$4)</f>
        <v/>
      </c>
      <c r="I164" s="36">
        <f>_xlfn.IFS(K164&lt;K$24,0,K164&lt;K$26,I$24,K164&lt;K$28,I$26,K164&lt;K$30,I$28,K164&lt;K$32,I$30,K164&lt;K$34,I$32,K164&lt;K$36,I$34,K164&lt;K$38,I$36,K164&lt;K$40,I$38,K164&lt;K$42,I$40,K164&lt;K$44,I$42,K164&lt;K$46,I$44,K164&gt;=K$46,I$46)</f>
        <v/>
      </c>
      <c r="J164" s="37">
        <f>_xlfn.IFS(K164&lt;K$24,0,K164&lt;K$25,J$24,K164&lt;K$26,J$25,K164&lt;K$27,J$26,K164&lt;K$28,J$27,K164&lt;K$29,J$28,K164&lt;K$30,J$29,K164&lt;K$31,J$30,K164&lt;K$32,J$31,K164&lt;K$33,J$32,K164&lt;K$34,J$33,K164&lt;K$35,J$34,K164&lt;K$36,J$35,K164&lt;K$37,J$36,K164&lt;K$38,J$37,K164&lt;K$39,J$38,K164&lt;K$40,J$39,K164&lt;K$41,J$40,K164&lt;K$42,J$41,K164&lt;K$43,J$42,K164&lt;K$44,J$43,K164&lt;K$45,J$44,K164&lt;K$46,J$45,K164&lt;K$47,J$46,K164&gt;=K$47,J$47)</f>
        <v/>
      </c>
      <c r="K164" s="38" t="n">
        <v>114</v>
      </c>
      <c r="L164" s="31">
        <f>K164/52</f>
        <v/>
      </c>
      <c r="M164" s="39">
        <f>J164/1000000*52</f>
        <v/>
      </c>
      <c r="N164" s="33">
        <f>M164/$P$4+($I$22/$P$4)</f>
        <v/>
      </c>
      <c r="U164">
        <f>F163</f>
        <v/>
      </c>
      <c r="V164">
        <f>H163</f>
        <v/>
      </c>
      <c r="W164">
        <f>N163</f>
        <v/>
      </c>
    </row>
    <row r="165" ht="15.75" customHeight="1" s="40">
      <c r="C165" s="36">
        <f>_xlfn.IFS(E165&lt;E$24,0,E165&lt;E$26,C$24,E165&lt;E$28,C$26,E165&lt;E$30,C$28,E165&lt;E$32,C$30,E165&lt;E$34,C$32,E165&gt;=E$34,C$34)</f>
        <v/>
      </c>
      <c r="D165" s="37">
        <f>_xlfn.IFS(E165&lt;E$24,0,E165&lt;E$25,D$24,E165&lt;E$26,D$25,E165&lt;E$27,D$26,E165&lt;E$28,D$27,E165&lt;E$29,D$28,E165&lt;E$30,D$29,E165&lt;E$31,D$30,E165&lt;E$32,D$31,E165&lt;E$33,D$32,E165&lt;E$34,D$33,E165&lt;E$35,D$34,E165&gt;=E$35,D$35)</f>
        <v/>
      </c>
      <c r="E165" s="38" t="n">
        <v>115</v>
      </c>
      <c r="F165" s="31">
        <f>E165/52</f>
        <v/>
      </c>
      <c r="G165" s="39">
        <f>D165/1000000*52</f>
        <v/>
      </c>
      <c r="H165" s="33">
        <f>G165/$P$4+($C$22/$P$4)</f>
        <v/>
      </c>
      <c r="I165" s="36">
        <f>_xlfn.IFS(K165&lt;K$24,0,K165&lt;K$26,I$24,K165&lt;K$28,I$26,K165&lt;K$30,I$28,K165&lt;K$32,I$30,K165&lt;K$34,I$32,K165&lt;K$36,I$34,K165&lt;K$38,I$36,K165&lt;K$40,I$38,K165&lt;K$42,I$40,K165&lt;K$44,I$42,K165&lt;K$46,I$44,K165&gt;=K$46,I$46)</f>
        <v/>
      </c>
      <c r="J165" s="37">
        <f>_xlfn.IFS(K165&lt;K$24,0,K165&lt;K$25,J$24,K165&lt;K$26,J$25,K165&lt;K$27,J$26,K165&lt;K$28,J$27,K165&lt;K$29,J$28,K165&lt;K$30,J$29,K165&lt;K$31,J$30,K165&lt;K$32,J$31,K165&lt;K$33,J$32,K165&lt;K$34,J$33,K165&lt;K$35,J$34,K165&lt;K$36,J$35,K165&lt;K$37,J$36,K165&lt;K$38,J$37,K165&lt;K$39,J$38,K165&lt;K$40,J$39,K165&lt;K$41,J$40,K165&lt;K$42,J$41,K165&lt;K$43,J$42,K165&lt;K$44,J$43,K165&lt;K$45,J$44,K165&lt;K$46,J$45,K165&lt;K$47,J$46,K165&gt;=K$47,J$47)</f>
        <v/>
      </c>
      <c r="K165" s="38" t="n">
        <v>115</v>
      </c>
      <c r="L165" s="31">
        <f>K165/52</f>
        <v/>
      </c>
      <c r="M165" s="39">
        <f>J165/1000000*52</f>
        <v/>
      </c>
      <c r="N165" s="33">
        <f>M165/$P$4+($I$22/$P$4)</f>
        <v/>
      </c>
      <c r="U165">
        <f>F164</f>
        <v/>
      </c>
      <c r="V165">
        <f>H164</f>
        <v/>
      </c>
      <c r="W165">
        <f>N164</f>
        <v/>
      </c>
    </row>
    <row r="166" ht="15.75" customHeight="1" s="40">
      <c r="C166" s="36">
        <f>_xlfn.IFS(E166&lt;E$24,0,E166&lt;E$26,C$24,E166&lt;E$28,C$26,E166&lt;E$30,C$28,E166&lt;E$32,C$30,E166&lt;E$34,C$32,E166&gt;=E$34,C$34)</f>
        <v/>
      </c>
      <c r="D166" s="37">
        <f>_xlfn.IFS(E166&lt;E$24,0,E166&lt;E$25,D$24,E166&lt;E$26,D$25,E166&lt;E$27,D$26,E166&lt;E$28,D$27,E166&lt;E$29,D$28,E166&lt;E$30,D$29,E166&lt;E$31,D$30,E166&lt;E$32,D$31,E166&lt;E$33,D$32,E166&lt;E$34,D$33,E166&lt;E$35,D$34,E166&gt;=E$35,D$35)</f>
        <v/>
      </c>
      <c r="E166" s="38" t="n">
        <v>116</v>
      </c>
      <c r="F166" s="31">
        <f>E166/52</f>
        <v/>
      </c>
      <c r="G166" s="39">
        <f>D166/1000000*52</f>
        <v/>
      </c>
      <c r="H166" s="33">
        <f>G166/$P$4+($C$22/$P$4)</f>
        <v/>
      </c>
      <c r="I166" s="36">
        <f>_xlfn.IFS(K166&lt;K$24,0,K166&lt;K$26,I$24,K166&lt;K$28,I$26,K166&lt;K$30,I$28,K166&lt;K$32,I$30,K166&lt;K$34,I$32,K166&lt;K$36,I$34,K166&lt;K$38,I$36,K166&lt;K$40,I$38,K166&lt;K$42,I$40,K166&lt;K$44,I$42,K166&lt;K$46,I$44,K166&gt;=K$46,I$46)</f>
        <v/>
      </c>
      <c r="J166" s="37">
        <f>_xlfn.IFS(K166&lt;K$24,0,K166&lt;K$25,J$24,K166&lt;K$26,J$25,K166&lt;K$27,J$26,K166&lt;K$28,J$27,K166&lt;K$29,J$28,K166&lt;K$30,J$29,K166&lt;K$31,J$30,K166&lt;K$32,J$31,K166&lt;K$33,J$32,K166&lt;K$34,J$33,K166&lt;K$35,J$34,K166&lt;K$36,J$35,K166&lt;K$37,J$36,K166&lt;K$38,J$37,K166&lt;K$39,J$38,K166&lt;K$40,J$39,K166&lt;K$41,J$40,K166&lt;K$42,J$41,K166&lt;K$43,J$42,K166&lt;K$44,J$43,K166&lt;K$45,J$44,K166&lt;K$46,J$45,K166&lt;K$47,J$46,K166&gt;=K$47,J$47)</f>
        <v/>
      </c>
      <c r="K166" s="38" t="n">
        <v>116</v>
      </c>
      <c r="L166" s="31">
        <f>K166/52</f>
        <v/>
      </c>
      <c r="M166" s="39">
        <f>J166/1000000*52</f>
        <v/>
      </c>
      <c r="N166" s="33">
        <f>M166/$P$4+($I$22/$P$4)</f>
        <v/>
      </c>
      <c r="U166">
        <f>F165</f>
        <v/>
      </c>
      <c r="V166">
        <f>H165</f>
        <v/>
      </c>
      <c r="W166">
        <f>N165</f>
        <v/>
      </c>
    </row>
    <row r="167" ht="15.75" customHeight="1" s="40">
      <c r="C167" s="36">
        <f>_xlfn.IFS(E167&lt;E$24,0,E167&lt;E$26,C$24,E167&lt;E$28,C$26,E167&lt;E$30,C$28,E167&lt;E$32,C$30,E167&lt;E$34,C$32,E167&gt;=E$34,C$34)</f>
        <v/>
      </c>
      <c r="D167" s="37">
        <f>_xlfn.IFS(E167&lt;E$24,0,E167&lt;E$25,D$24,E167&lt;E$26,D$25,E167&lt;E$27,D$26,E167&lt;E$28,D$27,E167&lt;E$29,D$28,E167&lt;E$30,D$29,E167&lt;E$31,D$30,E167&lt;E$32,D$31,E167&lt;E$33,D$32,E167&lt;E$34,D$33,E167&lt;E$35,D$34,E167&gt;=E$35,D$35)</f>
        <v/>
      </c>
      <c r="E167" s="38" t="n">
        <v>117</v>
      </c>
      <c r="F167" s="31">
        <f>E167/52</f>
        <v/>
      </c>
      <c r="G167" s="39">
        <f>D167/1000000*52</f>
        <v/>
      </c>
      <c r="H167" s="33">
        <f>G167/$P$4+($C$22/$P$4)</f>
        <v/>
      </c>
      <c r="I167" s="36">
        <f>_xlfn.IFS(K167&lt;K$24,0,K167&lt;K$26,I$24,K167&lt;K$28,I$26,K167&lt;K$30,I$28,K167&lt;K$32,I$30,K167&lt;K$34,I$32,K167&lt;K$36,I$34,K167&lt;K$38,I$36,K167&lt;K$40,I$38,K167&lt;K$42,I$40,K167&lt;K$44,I$42,K167&lt;K$46,I$44,K167&gt;=K$46,I$46)</f>
        <v/>
      </c>
      <c r="J167" s="37">
        <f>_xlfn.IFS(K167&lt;K$24,0,K167&lt;K$25,J$24,K167&lt;K$26,J$25,K167&lt;K$27,J$26,K167&lt;K$28,J$27,K167&lt;K$29,J$28,K167&lt;K$30,J$29,K167&lt;K$31,J$30,K167&lt;K$32,J$31,K167&lt;K$33,J$32,K167&lt;K$34,J$33,K167&lt;K$35,J$34,K167&lt;K$36,J$35,K167&lt;K$37,J$36,K167&lt;K$38,J$37,K167&lt;K$39,J$38,K167&lt;K$40,J$39,K167&lt;K$41,J$40,K167&lt;K$42,J$41,K167&lt;K$43,J$42,K167&lt;K$44,J$43,K167&lt;K$45,J$44,K167&lt;K$46,J$45,K167&lt;K$47,J$46,K167&gt;=K$47,J$47)</f>
        <v/>
      </c>
      <c r="K167" s="38" t="n">
        <v>117</v>
      </c>
      <c r="L167" s="31">
        <f>K167/52</f>
        <v/>
      </c>
      <c r="M167" s="39">
        <f>J167/1000000*52</f>
        <v/>
      </c>
      <c r="N167" s="33">
        <f>M167/$P$4+($I$22/$P$4)</f>
        <v/>
      </c>
      <c r="U167">
        <f>F166</f>
        <v/>
      </c>
      <c r="V167">
        <f>H166</f>
        <v/>
      </c>
      <c r="W167">
        <f>N166</f>
        <v/>
      </c>
    </row>
    <row r="168" ht="15.75" customHeight="1" s="40">
      <c r="C168" s="36">
        <f>_xlfn.IFS(E168&lt;E$24,0,E168&lt;E$26,C$24,E168&lt;E$28,C$26,E168&lt;E$30,C$28,E168&lt;E$32,C$30,E168&lt;E$34,C$32,E168&gt;=E$34,C$34)</f>
        <v/>
      </c>
      <c r="D168" s="37">
        <f>_xlfn.IFS(E168&lt;E$24,0,E168&lt;E$25,D$24,E168&lt;E$26,D$25,E168&lt;E$27,D$26,E168&lt;E$28,D$27,E168&lt;E$29,D$28,E168&lt;E$30,D$29,E168&lt;E$31,D$30,E168&lt;E$32,D$31,E168&lt;E$33,D$32,E168&lt;E$34,D$33,E168&lt;E$35,D$34,E168&gt;=E$35,D$35)</f>
        <v/>
      </c>
      <c r="E168" s="38" t="n">
        <v>118</v>
      </c>
      <c r="F168" s="31">
        <f>E168/52</f>
        <v/>
      </c>
      <c r="G168" s="39">
        <f>D168/1000000*52</f>
        <v/>
      </c>
      <c r="H168" s="33">
        <f>G168/$P$4+($C$22/$P$4)</f>
        <v/>
      </c>
      <c r="I168" s="36">
        <f>_xlfn.IFS(K168&lt;K$24,0,K168&lt;K$26,I$24,K168&lt;K$28,I$26,K168&lt;K$30,I$28,K168&lt;K$32,I$30,K168&lt;K$34,I$32,K168&lt;K$36,I$34,K168&lt;K$38,I$36,K168&lt;K$40,I$38,K168&lt;K$42,I$40,K168&lt;K$44,I$42,K168&lt;K$46,I$44,K168&gt;=K$46,I$46)</f>
        <v/>
      </c>
      <c r="J168" s="37">
        <f>_xlfn.IFS(K168&lt;K$24,0,K168&lt;K$25,J$24,K168&lt;K$26,J$25,K168&lt;K$27,J$26,K168&lt;K$28,J$27,K168&lt;K$29,J$28,K168&lt;K$30,J$29,K168&lt;K$31,J$30,K168&lt;K$32,J$31,K168&lt;K$33,J$32,K168&lt;K$34,J$33,K168&lt;K$35,J$34,K168&lt;K$36,J$35,K168&lt;K$37,J$36,K168&lt;K$38,J$37,K168&lt;K$39,J$38,K168&lt;K$40,J$39,K168&lt;K$41,J$40,K168&lt;K$42,J$41,K168&lt;K$43,J$42,K168&lt;K$44,J$43,K168&lt;K$45,J$44,K168&lt;K$46,J$45,K168&lt;K$47,J$46,K168&gt;=K$47,J$47)</f>
        <v/>
      </c>
      <c r="K168" s="38" t="n">
        <v>118</v>
      </c>
      <c r="L168" s="31">
        <f>K168/52</f>
        <v/>
      </c>
      <c r="M168" s="39">
        <f>J168/1000000*52</f>
        <v/>
      </c>
      <c r="N168" s="33">
        <f>M168/$P$4+($I$22/$P$4)</f>
        <v/>
      </c>
      <c r="U168">
        <f>F167</f>
        <v/>
      </c>
      <c r="V168">
        <f>H167</f>
        <v/>
      </c>
      <c r="W168">
        <f>N167</f>
        <v/>
      </c>
    </row>
    <row r="169" ht="15.75" customHeight="1" s="40">
      <c r="C169" s="36">
        <f>_xlfn.IFS(E169&lt;E$24,0,E169&lt;E$26,C$24,E169&lt;E$28,C$26,E169&lt;E$30,C$28,E169&lt;E$32,C$30,E169&lt;E$34,C$32,E169&gt;=E$34,C$34)</f>
        <v/>
      </c>
      <c r="D169" s="37">
        <f>_xlfn.IFS(E169&lt;E$24,0,E169&lt;E$25,D$24,E169&lt;E$26,D$25,E169&lt;E$27,D$26,E169&lt;E$28,D$27,E169&lt;E$29,D$28,E169&lt;E$30,D$29,E169&lt;E$31,D$30,E169&lt;E$32,D$31,E169&lt;E$33,D$32,E169&lt;E$34,D$33,E169&lt;E$35,D$34,E169&gt;=E$35,D$35)</f>
        <v/>
      </c>
      <c r="E169" s="38" t="n">
        <v>119</v>
      </c>
      <c r="F169" s="31">
        <f>E169/52</f>
        <v/>
      </c>
      <c r="G169" s="39">
        <f>D169/1000000*52</f>
        <v/>
      </c>
      <c r="H169" s="33">
        <f>G169/$P$4+($C$22/$P$4)</f>
        <v/>
      </c>
      <c r="I169" s="36">
        <f>_xlfn.IFS(K169&lt;K$24,0,K169&lt;K$26,I$24,K169&lt;K$28,I$26,K169&lt;K$30,I$28,K169&lt;K$32,I$30,K169&lt;K$34,I$32,K169&lt;K$36,I$34,K169&lt;K$38,I$36,K169&lt;K$40,I$38,K169&lt;K$42,I$40,K169&lt;K$44,I$42,K169&lt;K$46,I$44,K169&gt;=K$46,I$46)</f>
        <v/>
      </c>
      <c r="J169" s="37">
        <f>_xlfn.IFS(K169&lt;K$24,0,K169&lt;K$25,J$24,K169&lt;K$26,J$25,K169&lt;K$27,J$26,K169&lt;K$28,J$27,K169&lt;K$29,J$28,K169&lt;K$30,J$29,K169&lt;K$31,J$30,K169&lt;K$32,J$31,K169&lt;K$33,J$32,K169&lt;K$34,J$33,K169&lt;K$35,J$34,K169&lt;K$36,J$35,K169&lt;K$37,J$36,K169&lt;K$38,J$37,K169&lt;K$39,J$38,K169&lt;K$40,J$39,K169&lt;K$41,J$40,K169&lt;K$42,J$41,K169&lt;K$43,J$42,K169&lt;K$44,J$43,K169&lt;K$45,J$44,K169&lt;K$46,J$45,K169&lt;K$47,J$46,K169&gt;=K$47,J$47)</f>
        <v/>
      </c>
      <c r="K169" s="38" t="n">
        <v>119</v>
      </c>
      <c r="L169" s="31">
        <f>K169/52</f>
        <v/>
      </c>
      <c r="M169" s="39">
        <f>J169/1000000*52</f>
        <v/>
      </c>
      <c r="N169" s="33">
        <f>M169/$P$4+($I$22/$P$4)</f>
        <v/>
      </c>
      <c r="U169">
        <f>F168</f>
        <v/>
      </c>
      <c r="V169">
        <f>H168</f>
        <v/>
      </c>
      <c r="W169">
        <f>N168</f>
        <v/>
      </c>
    </row>
    <row r="170" ht="15.75" customHeight="1" s="40">
      <c r="C170" s="36">
        <f>_xlfn.IFS(E170&lt;E$24,0,E170&lt;E$26,C$24,E170&lt;E$28,C$26,E170&lt;E$30,C$28,E170&lt;E$32,C$30,E170&lt;E$34,C$32,E170&gt;=E$34,C$34)</f>
        <v/>
      </c>
      <c r="D170" s="37">
        <f>_xlfn.IFS(E170&lt;E$24,0,E170&lt;E$25,D$24,E170&lt;E$26,D$25,E170&lt;E$27,D$26,E170&lt;E$28,D$27,E170&lt;E$29,D$28,E170&lt;E$30,D$29,E170&lt;E$31,D$30,E170&lt;E$32,D$31,E170&lt;E$33,D$32,E170&lt;E$34,D$33,E170&lt;E$35,D$34,E170&gt;=E$35,D$35)</f>
        <v/>
      </c>
      <c r="E170" s="38" t="n">
        <v>120</v>
      </c>
      <c r="F170" s="31">
        <f>E170/52</f>
        <v/>
      </c>
      <c r="G170" s="39">
        <f>D170/1000000*52</f>
        <v/>
      </c>
      <c r="H170" s="33">
        <f>G170/$P$4+($C$22/$P$4)</f>
        <v/>
      </c>
      <c r="I170" s="36">
        <f>_xlfn.IFS(K170&lt;K$24,0,K170&lt;K$26,I$24,K170&lt;K$28,I$26,K170&lt;K$30,I$28,K170&lt;K$32,I$30,K170&lt;K$34,I$32,K170&lt;K$36,I$34,K170&lt;K$38,I$36,K170&lt;K$40,I$38,K170&lt;K$42,I$40,K170&lt;K$44,I$42,K170&lt;K$46,I$44,K170&gt;=K$46,I$46)</f>
        <v/>
      </c>
      <c r="J170" s="37">
        <f>_xlfn.IFS(K170&lt;K$24,0,K170&lt;K$25,J$24,K170&lt;K$26,J$25,K170&lt;K$27,J$26,K170&lt;K$28,J$27,K170&lt;K$29,J$28,K170&lt;K$30,J$29,K170&lt;K$31,J$30,K170&lt;K$32,J$31,K170&lt;K$33,J$32,K170&lt;K$34,J$33,K170&lt;K$35,J$34,K170&lt;K$36,J$35,K170&lt;K$37,J$36,K170&lt;K$38,J$37,K170&lt;K$39,J$38,K170&lt;K$40,J$39,K170&lt;K$41,J$40,K170&lt;K$42,J$41,K170&lt;K$43,J$42,K170&lt;K$44,J$43,K170&lt;K$45,J$44,K170&lt;K$46,J$45,K170&lt;K$47,J$46,K170&gt;=K$47,J$47)</f>
        <v/>
      </c>
      <c r="K170" s="38" t="n">
        <v>120</v>
      </c>
      <c r="L170" s="31">
        <f>K170/52</f>
        <v/>
      </c>
      <c r="M170" s="39">
        <f>J170/1000000*52</f>
        <v/>
      </c>
      <c r="N170" s="33">
        <f>M170/$P$4+($I$22/$P$4)</f>
        <v/>
      </c>
      <c r="U170">
        <f>F169</f>
        <v/>
      </c>
      <c r="V170">
        <f>H169</f>
        <v/>
      </c>
      <c r="W170">
        <f>N169</f>
        <v/>
      </c>
    </row>
    <row r="171" ht="15.75" customHeight="1" s="40">
      <c r="C171" s="36">
        <f>_xlfn.IFS(E171&lt;E$24,0,E171&lt;E$26,C$24,E171&lt;E$28,C$26,E171&lt;E$30,C$28,E171&lt;E$32,C$30,E171&lt;E$34,C$32,E171&gt;=E$34,C$34)</f>
        <v/>
      </c>
      <c r="D171" s="37">
        <f>_xlfn.IFS(E171&lt;E$24,0,E171&lt;E$25,D$24,E171&lt;E$26,D$25,E171&lt;E$27,D$26,E171&lt;E$28,D$27,E171&lt;E$29,D$28,E171&lt;E$30,D$29,E171&lt;E$31,D$30,E171&lt;E$32,D$31,E171&lt;E$33,D$32,E171&lt;E$34,D$33,E171&lt;E$35,D$34,E171&gt;=E$35,D$35)</f>
        <v/>
      </c>
      <c r="E171" s="38" t="n">
        <v>121</v>
      </c>
      <c r="F171" s="31">
        <f>E171/52</f>
        <v/>
      </c>
      <c r="G171" s="39">
        <f>D171/1000000*52</f>
        <v/>
      </c>
      <c r="H171" s="33">
        <f>G171/$P$4+($C$22/$P$4)</f>
        <v/>
      </c>
      <c r="I171" s="36">
        <f>_xlfn.IFS(K171&lt;K$24,0,K171&lt;K$26,I$24,K171&lt;K$28,I$26,K171&lt;K$30,I$28,K171&lt;K$32,I$30,K171&lt;K$34,I$32,K171&lt;K$36,I$34,K171&lt;K$38,I$36,K171&lt;K$40,I$38,K171&lt;K$42,I$40,K171&lt;K$44,I$42,K171&lt;K$46,I$44,K171&gt;=K$46,I$46)</f>
        <v/>
      </c>
      <c r="J171" s="37">
        <f>_xlfn.IFS(K171&lt;K$24,0,K171&lt;K$25,J$24,K171&lt;K$26,J$25,K171&lt;K$27,J$26,K171&lt;K$28,J$27,K171&lt;K$29,J$28,K171&lt;K$30,J$29,K171&lt;K$31,J$30,K171&lt;K$32,J$31,K171&lt;K$33,J$32,K171&lt;K$34,J$33,K171&lt;K$35,J$34,K171&lt;K$36,J$35,K171&lt;K$37,J$36,K171&lt;K$38,J$37,K171&lt;K$39,J$38,K171&lt;K$40,J$39,K171&lt;K$41,J$40,K171&lt;K$42,J$41,K171&lt;K$43,J$42,K171&lt;K$44,J$43,K171&lt;K$45,J$44,K171&lt;K$46,J$45,K171&lt;K$47,J$46,K171&gt;=K$47,J$47)</f>
        <v/>
      </c>
      <c r="K171" s="38" t="n">
        <v>121</v>
      </c>
      <c r="L171" s="31">
        <f>K171/52</f>
        <v/>
      </c>
      <c r="M171" s="39">
        <f>J171/1000000*52</f>
        <v/>
      </c>
      <c r="N171" s="33">
        <f>M171/$P$4+($I$22/$P$4)</f>
        <v/>
      </c>
      <c r="U171">
        <f>F170</f>
        <v/>
      </c>
      <c r="V171">
        <f>H170</f>
        <v/>
      </c>
      <c r="W171">
        <f>N170</f>
        <v/>
      </c>
    </row>
    <row r="172" ht="15.75" customHeight="1" s="40">
      <c r="C172" s="36">
        <f>_xlfn.IFS(E172&lt;E$24,0,E172&lt;E$26,C$24,E172&lt;E$28,C$26,E172&lt;E$30,C$28,E172&lt;E$32,C$30,E172&lt;E$34,C$32,E172&gt;=E$34,C$34)</f>
        <v/>
      </c>
      <c r="D172" s="37">
        <f>_xlfn.IFS(E172&lt;E$24,0,E172&lt;E$25,D$24,E172&lt;E$26,D$25,E172&lt;E$27,D$26,E172&lt;E$28,D$27,E172&lt;E$29,D$28,E172&lt;E$30,D$29,E172&lt;E$31,D$30,E172&lt;E$32,D$31,E172&lt;E$33,D$32,E172&lt;E$34,D$33,E172&lt;E$35,D$34,E172&gt;=E$35,D$35)</f>
        <v/>
      </c>
      <c r="E172" s="38" t="n">
        <v>122</v>
      </c>
      <c r="F172" s="31">
        <f>E172/52</f>
        <v/>
      </c>
      <c r="G172" s="39">
        <f>D172/1000000*52</f>
        <v/>
      </c>
      <c r="H172" s="33">
        <f>G172/$P$4+($C$22/$P$4)</f>
        <v/>
      </c>
      <c r="I172" s="36">
        <f>_xlfn.IFS(K172&lt;K$24,0,K172&lt;K$26,I$24,K172&lt;K$28,I$26,K172&lt;K$30,I$28,K172&lt;K$32,I$30,K172&lt;K$34,I$32,K172&lt;K$36,I$34,K172&lt;K$38,I$36,K172&lt;K$40,I$38,K172&lt;K$42,I$40,K172&lt;K$44,I$42,K172&lt;K$46,I$44,K172&gt;=K$46,I$46)</f>
        <v/>
      </c>
      <c r="J172" s="37">
        <f>_xlfn.IFS(K172&lt;K$24,0,K172&lt;K$25,J$24,K172&lt;K$26,J$25,K172&lt;K$27,J$26,K172&lt;K$28,J$27,K172&lt;K$29,J$28,K172&lt;K$30,J$29,K172&lt;K$31,J$30,K172&lt;K$32,J$31,K172&lt;K$33,J$32,K172&lt;K$34,J$33,K172&lt;K$35,J$34,K172&lt;K$36,J$35,K172&lt;K$37,J$36,K172&lt;K$38,J$37,K172&lt;K$39,J$38,K172&lt;K$40,J$39,K172&lt;K$41,J$40,K172&lt;K$42,J$41,K172&lt;K$43,J$42,K172&lt;K$44,J$43,K172&lt;K$45,J$44,K172&lt;K$46,J$45,K172&lt;K$47,J$46,K172&gt;=K$47,J$47)</f>
        <v/>
      </c>
      <c r="K172" s="38" t="n">
        <v>122</v>
      </c>
      <c r="L172" s="31">
        <f>K172/52</f>
        <v/>
      </c>
      <c r="M172" s="39">
        <f>J172/1000000*52</f>
        <v/>
      </c>
      <c r="N172" s="33">
        <f>M172/$P$4+($I$22/$P$4)</f>
        <v/>
      </c>
      <c r="U172">
        <f>F171</f>
        <v/>
      </c>
      <c r="V172">
        <f>H171</f>
        <v/>
      </c>
      <c r="W172">
        <f>N171</f>
        <v/>
      </c>
    </row>
    <row r="173" ht="15.75" customHeight="1" s="40">
      <c r="C173" s="36">
        <f>_xlfn.IFS(E173&lt;E$24,0,E173&lt;E$26,C$24,E173&lt;E$28,C$26,E173&lt;E$30,C$28,E173&lt;E$32,C$30,E173&lt;E$34,C$32,E173&gt;=E$34,C$34)</f>
        <v/>
      </c>
      <c r="D173" s="37">
        <f>_xlfn.IFS(E173&lt;E$24,0,E173&lt;E$25,D$24,E173&lt;E$26,D$25,E173&lt;E$27,D$26,E173&lt;E$28,D$27,E173&lt;E$29,D$28,E173&lt;E$30,D$29,E173&lt;E$31,D$30,E173&lt;E$32,D$31,E173&lt;E$33,D$32,E173&lt;E$34,D$33,E173&lt;E$35,D$34,E173&gt;=E$35,D$35)</f>
        <v/>
      </c>
      <c r="E173" s="38" t="n">
        <v>123</v>
      </c>
      <c r="F173" s="31">
        <f>E173/52</f>
        <v/>
      </c>
      <c r="G173" s="39">
        <f>D173/1000000*52</f>
        <v/>
      </c>
      <c r="H173" s="33">
        <f>G173/$P$4+($C$22/$P$4)</f>
        <v/>
      </c>
      <c r="I173" s="36">
        <f>_xlfn.IFS(K173&lt;K$24,0,K173&lt;K$26,I$24,K173&lt;K$28,I$26,K173&lt;K$30,I$28,K173&lt;K$32,I$30,K173&lt;K$34,I$32,K173&lt;K$36,I$34,K173&lt;K$38,I$36,K173&lt;K$40,I$38,K173&lt;K$42,I$40,K173&lt;K$44,I$42,K173&lt;K$46,I$44,K173&gt;=K$46,I$46)</f>
        <v/>
      </c>
      <c r="J173" s="37">
        <f>_xlfn.IFS(K173&lt;K$24,0,K173&lt;K$25,J$24,K173&lt;K$26,J$25,K173&lt;K$27,J$26,K173&lt;K$28,J$27,K173&lt;K$29,J$28,K173&lt;K$30,J$29,K173&lt;K$31,J$30,K173&lt;K$32,J$31,K173&lt;K$33,J$32,K173&lt;K$34,J$33,K173&lt;K$35,J$34,K173&lt;K$36,J$35,K173&lt;K$37,J$36,K173&lt;K$38,J$37,K173&lt;K$39,J$38,K173&lt;K$40,J$39,K173&lt;K$41,J$40,K173&lt;K$42,J$41,K173&lt;K$43,J$42,K173&lt;K$44,J$43,K173&lt;K$45,J$44,K173&lt;K$46,J$45,K173&lt;K$47,J$46,K173&gt;=K$47,J$47)</f>
        <v/>
      </c>
      <c r="K173" s="38" t="n">
        <v>123</v>
      </c>
      <c r="L173" s="31">
        <f>K173/52</f>
        <v/>
      </c>
      <c r="M173" s="39">
        <f>J173/1000000*52</f>
        <v/>
      </c>
      <c r="N173" s="33">
        <f>M173/$P$4+($I$22/$P$4)</f>
        <v/>
      </c>
      <c r="U173">
        <f>F172</f>
        <v/>
      </c>
      <c r="V173">
        <f>H172</f>
        <v/>
      </c>
      <c r="W173">
        <f>N172</f>
        <v/>
      </c>
    </row>
    <row r="174" ht="15.75" customHeight="1" s="40">
      <c r="C174" s="36">
        <f>_xlfn.IFS(E174&lt;E$24,0,E174&lt;E$26,C$24,E174&lt;E$28,C$26,E174&lt;E$30,C$28,E174&lt;E$32,C$30,E174&lt;E$34,C$32,E174&gt;=E$34,C$34)</f>
        <v/>
      </c>
      <c r="D174" s="37">
        <f>_xlfn.IFS(E174&lt;E$24,0,E174&lt;E$25,D$24,E174&lt;E$26,D$25,E174&lt;E$27,D$26,E174&lt;E$28,D$27,E174&lt;E$29,D$28,E174&lt;E$30,D$29,E174&lt;E$31,D$30,E174&lt;E$32,D$31,E174&lt;E$33,D$32,E174&lt;E$34,D$33,E174&lt;E$35,D$34,E174&gt;=E$35,D$35)</f>
        <v/>
      </c>
      <c r="E174" s="38" t="n">
        <v>124</v>
      </c>
      <c r="F174" s="31">
        <f>E174/52</f>
        <v/>
      </c>
      <c r="G174" s="39">
        <f>D174/1000000*52</f>
        <v/>
      </c>
      <c r="H174" s="33">
        <f>G174/$P$4+($C$22/$P$4)</f>
        <v/>
      </c>
      <c r="I174" s="36">
        <f>_xlfn.IFS(K174&lt;K$24,0,K174&lt;K$26,I$24,K174&lt;K$28,I$26,K174&lt;K$30,I$28,K174&lt;K$32,I$30,K174&lt;K$34,I$32,K174&lt;K$36,I$34,K174&lt;K$38,I$36,K174&lt;K$40,I$38,K174&lt;K$42,I$40,K174&lt;K$44,I$42,K174&lt;K$46,I$44,K174&gt;=K$46,I$46)</f>
        <v/>
      </c>
      <c r="J174" s="37">
        <f>_xlfn.IFS(K174&lt;K$24,0,K174&lt;K$25,J$24,K174&lt;K$26,J$25,K174&lt;K$27,J$26,K174&lt;K$28,J$27,K174&lt;K$29,J$28,K174&lt;K$30,J$29,K174&lt;K$31,J$30,K174&lt;K$32,J$31,K174&lt;K$33,J$32,K174&lt;K$34,J$33,K174&lt;K$35,J$34,K174&lt;K$36,J$35,K174&lt;K$37,J$36,K174&lt;K$38,J$37,K174&lt;K$39,J$38,K174&lt;K$40,J$39,K174&lt;K$41,J$40,K174&lt;K$42,J$41,K174&lt;K$43,J$42,K174&lt;K$44,J$43,K174&lt;K$45,J$44,K174&lt;K$46,J$45,K174&lt;K$47,J$46,K174&gt;=K$47,J$47)</f>
        <v/>
      </c>
      <c r="K174" s="38" t="n">
        <v>124</v>
      </c>
      <c r="L174" s="31">
        <f>K174/52</f>
        <v/>
      </c>
      <c r="M174" s="39">
        <f>J174/1000000*52</f>
        <v/>
      </c>
      <c r="N174" s="33">
        <f>M174/$P$4+($I$22/$P$4)</f>
        <v/>
      </c>
      <c r="U174">
        <f>F173</f>
        <v/>
      </c>
      <c r="V174">
        <f>H173</f>
        <v/>
      </c>
      <c r="W174">
        <f>N173</f>
        <v/>
      </c>
    </row>
    <row r="175" ht="15.75" customHeight="1" s="40">
      <c r="C175" s="36">
        <f>_xlfn.IFS(E175&lt;E$24,0,E175&lt;E$26,C$24,E175&lt;E$28,C$26,E175&lt;E$30,C$28,E175&lt;E$32,C$30,E175&lt;E$34,C$32,E175&gt;=E$34,C$34)</f>
        <v/>
      </c>
      <c r="D175" s="37">
        <f>_xlfn.IFS(E175&lt;E$24,0,E175&lt;E$25,D$24,E175&lt;E$26,D$25,E175&lt;E$27,D$26,E175&lt;E$28,D$27,E175&lt;E$29,D$28,E175&lt;E$30,D$29,E175&lt;E$31,D$30,E175&lt;E$32,D$31,E175&lt;E$33,D$32,E175&lt;E$34,D$33,E175&lt;E$35,D$34,E175&gt;=E$35,D$35)</f>
        <v/>
      </c>
      <c r="E175" s="38" t="n">
        <v>125</v>
      </c>
      <c r="F175" s="31">
        <f>E175/52</f>
        <v/>
      </c>
      <c r="G175" s="39">
        <f>D175/1000000*52</f>
        <v/>
      </c>
      <c r="H175" s="33">
        <f>G175/$P$4+($C$22/$P$4)</f>
        <v/>
      </c>
      <c r="I175" s="36">
        <f>_xlfn.IFS(K175&lt;K$24,0,K175&lt;K$26,I$24,K175&lt;K$28,I$26,K175&lt;K$30,I$28,K175&lt;K$32,I$30,K175&lt;K$34,I$32,K175&lt;K$36,I$34,K175&lt;K$38,I$36,K175&lt;K$40,I$38,K175&lt;K$42,I$40,K175&lt;K$44,I$42,K175&lt;K$46,I$44,K175&gt;=K$46,I$46)</f>
        <v/>
      </c>
      <c r="J175" s="37">
        <f>_xlfn.IFS(K175&lt;K$24,0,K175&lt;K$25,J$24,K175&lt;K$26,J$25,K175&lt;K$27,J$26,K175&lt;K$28,J$27,K175&lt;K$29,J$28,K175&lt;K$30,J$29,K175&lt;K$31,J$30,K175&lt;K$32,J$31,K175&lt;K$33,J$32,K175&lt;K$34,J$33,K175&lt;K$35,J$34,K175&lt;K$36,J$35,K175&lt;K$37,J$36,K175&lt;K$38,J$37,K175&lt;K$39,J$38,K175&lt;K$40,J$39,K175&lt;K$41,J$40,K175&lt;K$42,J$41,K175&lt;K$43,J$42,K175&lt;K$44,J$43,K175&lt;K$45,J$44,K175&lt;K$46,J$45,K175&lt;K$47,J$46,K175&gt;=K$47,J$47)</f>
        <v/>
      </c>
      <c r="K175" s="38" t="n">
        <v>125</v>
      </c>
      <c r="L175" s="31">
        <f>K175/52</f>
        <v/>
      </c>
      <c r="M175" s="39">
        <f>J175/1000000*52</f>
        <v/>
      </c>
      <c r="N175" s="33">
        <f>M175/$P$4+($I$22/$P$4)</f>
        <v/>
      </c>
      <c r="U175">
        <f>F174</f>
        <v/>
      </c>
      <c r="V175">
        <f>H174</f>
        <v/>
      </c>
      <c r="W175">
        <f>N174</f>
        <v/>
      </c>
    </row>
    <row r="176" ht="15.75" customHeight="1" s="40">
      <c r="C176" s="36">
        <f>_xlfn.IFS(E176&lt;E$24,0,E176&lt;E$26,C$24,E176&lt;E$28,C$26,E176&lt;E$30,C$28,E176&lt;E$32,C$30,E176&lt;E$34,C$32,E176&gt;=E$34,C$34)</f>
        <v/>
      </c>
      <c r="D176" s="37">
        <f>_xlfn.IFS(E176&lt;E$24,0,E176&lt;E$25,D$24,E176&lt;E$26,D$25,E176&lt;E$27,D$26,E176&lt;E$28,D$27,E176&lt;E$29,D$28,E176&lt;E$30,D$29,E176&lt;E$31,D$30,E176&lt;E$32,D$31,E176&lt;E$33,D$32,E176&lt;E$34,D$33,E176&lt;E$35,D$34,E176&gt;=E$35,D$35)</f>
        <v/>
      </c>
      <c r="E176" s="38" t="n">
        <v>126</v>
      </c>
      <c r="F176" s="31">
        <f>E176/52</f>
        <v/>
      </c>
      <c r="G176" s="39">
        <f>D176/1000000*52</f>
        <v/>
      </c>
      <c r="H176" s="33">
        <f>G176/$P$4+($C$22/$P$4)</f>
        <v/>
      </c>
      <c r="I176" s="36">
        <f>_xlfn.IFS(K176&lt;K$24,0,K176&lt;K$26,I$24,K176&lt;K$28,I$26,K176&lt;K$30,I$28,K176&lt;K$32,I$30,K176&lt;K$34,I$32,K176&lt;K$36,I$34,K176&lt;K$38,I$36,K176&lt;K$40,I$38,K176&lt;K$42,I$40,K176&lt;K$44,I$42,K176&lt;K$46,I$44,K176&gt;=K$46,I$46)</f>
        <v/>
      </c>
      <c r="J176" s="37">
        <f>_xlfn.IFS(K176&lt;K$24,0,K176&lt;K$25,J$24,K176&lt;K$26,J$25,K176&lt;K$27,J$26,K176&lt;K$28,J$27,K176&lt;K$29,J$28,K176&lt;K$30,J$29,K176&lt;K$31,J$30,K176&lt;K$32,J$31,K176&lt;K$33,J$32,K176&lt;K$34,J$33,K176&lt;K$35,J$34,K176&lt;K$36,J$35,K176&lt;K$37,J$36,K176&lt;K$38,J$37,K176&lt;K$39,J$38,K176&lt;K$40,J$39,K176&lt;K$41,J$40,K176&lt;K$42,J$41,K176&lt;K$43,J$42,K176&lt;K$44,J$43,K176&lt;K$45,J$44,K176&lt;K$46,J$45,K176&lt;K$47,J$46,K176&gt;=K$47,J$47)</f>
        <v/>
      </c>
      <c r="K176" s="38" t="n">
        <v>126</v>
      </c>
      <c r="L176" s="31">
        <f>K176/52</f>
        <v/>
      </c>
      <c r="M176" s="39">
        <f>J176/1000000*52</f>
        <v/>
      </c>
      <c r="N176" s="33">
        <f>M176/$P$4+($I$22/$P$4)</f>
        <v/>
      </c>
      <c r="U176">
        <f>F175</f>
        <v/>
      </c>
      <c r="V176">
        <f>H175</f>
        <v/>
      </c>
      <c r="W176">
        <f>N175</f>
        <v/>
      </c>
    </row>
    <row r="177" ht="15.75" customHeight="1" s="40">
      <c r="C177" s="36">
        <f>_xlfn.IFS(E177&lt;E$24,0,E177&lt;E$26,C$24,E177&lt;E$28,C$26,E177&lt;E$30,C$28,E177&lt;E$32,C$30,E177&lt;E$34,C$32,E177&gt;=E$34,C$34)</f>
        <v/>
      </c>
      <c r="D177" s="37">
        <f>_xlfn.IFS(E177&lt;E$24,0,E177&lt;E$25,D$24,E177&lt;E$26,D$25,E177&lt;E$27,D$26,E177&lt;E$28,D$27,E177&lt;E$29,D$28,E177&lt;E$30,D$29,E177&lt;E$31,D$30,E177&lt;E$32,D$31,E177&lt;E$33,D$32,E177&lt;E$34,D$33,E177&lt;E$35,D$34,E177&gt;=E$35,D$35)</f>
        <v/>
      </c>
      <c r="E177" s="38" t="n">
        <v>127</v>
      </c>
      <c r="F177" s="31">
        <f>E177/52</f>
        <v/>
      </c>
      <c r="G177" s="39">
        <f>D177/1000000*52</f>
        <v/>
      </c>
      <c r="H177" s="33">
        <f>G177/$P$4+($C$22/$P$4)</f>
        <v/>
      </c>
      <c r="I177" s="36">
        <f>_xlfn.IFS(K177&lt;K$24,0,K177&lt;K$26,I$24,K177&lt;K$28,I$26,K177&lt;K$30,I$28,K177&lt;K$32,I$30,K177&lt;K$34,I$32,K177&lt;K$36,I$34,K177&lt;K$38,I$36,K177&lt;K$40,I$38,K177&lt;K$42,I$40,K177&lt;K$44,I$42,K177&lt;K$46,I$44,K177&gt;=K$46,I$46)</f>
        <v/>
      </c>
      <c r="J177" s="37">
        <f>_xlfn.IFS(K177&lt;K$24,0,K177&lt;K$25,J$24,K177&lt;K$26,J$25,K177&lt;K$27,J$26,K177&lt;K$28,J$27,K177&lt;K$29,J$28,K177&lt;K$30,J$29,K177&lt;K$31,J$30,K177&lt;K$32,J$31,K177&lt;K$33,J$32,K177&lt;K$34,J$33,K177&lt;K$35,J$34,K177&lt;K$36,J$35,K177&lt;K$37,J$36,K177&lt;K$38,J$37,K177&lt;K$39,J$38,K177&lt;K$40,J$39,K177&lt;K$41,J$40,K177&lt;K$42,J$41,K177&lt;K$43,J$42,K177&lt;K$44,J$43,K177&lt;K$45,J$44,K177&lt;K$46,J$45,K177&lt;K$47,J$46,K177&gt;=K$47,J$47)</f>
        <v/>
      </c>
      <c r="K177" s="38" t="n">
        <v>127</v>
      </c>
      <c r="L177" s="31">
        <f>K177/52</f>
        <v/>
      </c>
      <c r="M177" s="39">
        <f>J177/1000000*52</f>
        <v/>
      </c>
      <c r="N177" s="33">
        <f>M177/$P$4+($I$22/$P$4)</f>
        <v/>
      </c>
      <c r="U177">
        <f>F176</f>
        <v/>
      </c>
      <c r="V177">
        <f>H176</f>
        <v/>
      </c>
      <c r="W177">
        <f>N176</f>
        <v/>
      </c>
    </row>
    <row r="178" ht="15.75" customHeight="1" s="40">
      <c r="C178" s="36">
        <f>_xlfn.IFS(E178&lt;E$24,0,E178&lt;E$26,C$24,E178&lt;E$28,C$26,E178&lt;E$30,C$28,E178&lt;E$32,C$30,E178&lt;E$34,C$32,E178&gt;=E$34,C$34)</f>
        <v/>
      </c>
      <c r="D178" s="37">
        <f>_xlfn.IFS(E178&lt;E$24,0,E178&lt;E$25,D$24,E178&lt;E$26,D$25,E178&lt;E$27,D$26,E178&lt;E$28,D$27,E178&lt;E$29,D$28,E178&lt;E$30,D$29,E178&lt;E$31,D$30,E178&lt;E$32,D$31,E178&lt;E$33,D$32,E178&lt;E$34,D$33,E178&lt;E$35,D$34,E178&gt;=E$35,D$35)</f>
        <v/>
      </c>
      <c r="E178" s="38" t="n">
        <v>128</v>
      </c>
      <c r="F178" s="31">
        <f>E178/52</f>
        <v/>
      </c>
      <c r="G178" s="39">
        <f>D178/1000000*52</f>
        <v/>
      </c>
      <c r="H178" s="33">
        <f>G178/$P$4+($C$22/$P$4)</f>
        <v/>
      </c>
      <c r="I178" s="36">
        <f>_xlfn.IFS(K178&lt;K$24,0,K178&lt;K$26,I$24,K178&lt;K$28,I$26,K178&lt;K$30,I$28,K178&lt;K$32,I$30,K178&lt;K$34,I$32,K178&lt;K$36,I$34,K178&lt;K$38,I$36,K178&lt;K$40,I$38,K178&lt;K$42,I$40,K178&lt;K$44,I$42,K178&lt;K$46,I$44,K178&gt;=K$46,I$46)</f>
        <v/>
      </c>
      <c r="J178" s="37">
        <f>_xlfn.IFS(K178&lt;K$24,0,K178&lt;K$25,J$24,K178&lt;K$26,J$25,K178&lt;K$27,J$26,K178&lt;K$28,J$27,K178&lt;K$29,J$28,K178&lt;K$30,J$29,K178&lt;K$31,J$30,K178&lt;K$32,J$31,K178&lt;K$33,J$32,K178&lt;K$34,J$33,K178&lt;K$35,J$34,K178&lt;K$36,J$35,K178&lt;K$37,J$36,K178&lt;K$38,J$37,K178&lt;K$39,J$38,K178&lt;K$40,J$39,K178&lt;K$41,J$40,K178&lt;K$42,J$41,K178&lt;K$43,J$42,K178&lt;K$44,J$43,K178&lt;K$45,J$44,K178&lt;K$46,J$45,K178&lt;K$47,J$46,K178&gt;=K$47,J$47)</f>
        <v/>
      </c>
      <c r="K178" s="38" t="n">
        <v>128</v>
      </c>
      <c r="L178" s="31">
        <f>K178/52</f>
        <v/>
      </c>
      <c r="M178" s="39">
        <f>J178/1000000*52</f>
        <v/>
      </c>
      <c r="N178" s="33">
        <f>M178/$P$4+($I$22/$P$4)</f>
        <v/>
      </c>
      <c r="U178">
        <f>F177</f>
        <v/>
      </c>
      <c r="V178">
        <f>H177</f>
        <v/>
      </c>
      <c r="W178">
        <f>N177</f>
        <v/>
      </c>
    </row>
    <row r="179" ht="15.75" customHeight="1" s="40">
      <c r="C179" s="36">
        <f>_xlfn.IFS(E179&lt;E$24,0,E179&lt;E$26,C$24,E179&lt;E$28,C$26,E179&lt;E$30,C$28,E179&lt;E$32,C$30,E179&lt;E$34,C$32,E179&gt;=E$34,C$34)</f>
        <v/>
      </c>
      <c r="D179" s="37">
        <f>_xlfn.IFS(E179&lt;E$24,0,E179&lt;E$25,D$24,E179&lt;E$26,D$25,E179&lt;E$27,D$26,E179&lt;E$28,D$27,E179&lt;E$29,D$28,E179&lt;E$30,D$29,E179&lt;E$31,D$30,E179&lt;E$32,D$31,E179&lt;E$33,D$32,E179&lt;E$34,D$33,E179&lt;E$35,D$34,E179&gt;=E$35,D$35)</f>
        <v/>
      </c>
      <c r="E179" s="38" t="n">
        <v>129</v>
      </c>
      <c r="F179" s="31">
        <f>E179/52</f>
        <v/>
      </c>
      <c r="G179" s="39">
        <f>D179/1000000*52</f>
        <v/>
      </c>
      <c r="H179" s="33">
        <f>G179/$P$4+($C$22/$P$4)</f>
        <v/>
      </c>
      <c r="I179" s="36">
        <f>_xlfn.IFS(K179&lt;K$24,0,K179&lt;K$26,I$24,K179&lt;K$28,I$26,K179&lt;K$30,I$28,K179&lt;K$32,I$30,K179&lt;K$34,I$32,K179&lt;K$36,I$34,K179&lt;K$38,I$36,K179&lt;K$40,I$38,K179&lt;K$42,I$40,K179&lt;K$44,I$42,K179&lt;K$46,I$44,K179&gt;=K$46,I$46)</f>
        <v/>
      </c>
      <c r="J179" s="37">
        <f>_xlfn.IFS(K179&lt;K$24,0,K179&lt;K$25,J$24,K179&lt;K$26,J$25,K179&lt;K$27,J$26,K179&lt;K$28,J$27,K179&lt;K$29,J$28,K179&lt;K$30,J$29,K179&lt;K$31,J$30,K179&lt;K$32,J$31,K179&lt;K$33,J$32,K179&lt;K$34,J$33,K179&lt;K$35,J$34,K179&lt;K$36,J$35,K179&lt;K$37,J$36,K179&lt;K$38,J$37,K179&lt;K$39,J$38,K179&lt;K$40,J$39,K179&lt;K$41,J$40,K179&lt;K$42,J$41,K179&lt;K$43,J$42,K179&lt;K$44,J$43,K179&lt;K$45,J$44,K179&lt;K$46,J$45,K179&lt;K$47,J$46,K179&gt;=K$47,J$47)</f>
        <v/>
      </c>
      <c r="K179" s="38" t="n">
        <v>129</v>
      </c>
      <c r="L179" s="31">
        <f>K179/52</f>
        <v/>
      </c>
      <c r="M179" s="39">
        <f>J179/1000000*52</f>
        <v/>
      </c>
      <c r="N179" s="33">
        <f>M179/$P$4+($I$22/$P$4)</f>
        <v/>
      </c>
      <c r="U179">
        <f>F178</f>
        <v/>
      </c>
      <c r="V179">
        <f>H178</f>
        <v/>
      </c>
      <c r="W179">
        <f>N178</f>
        <v/>
      </c>
    </row>
    <row r="180" ht="15.75" customHeight="1" s="40">
      <c r="C180" s="36">
        <f>_xlfn.IFS(E180&lt;E$24,0,E180&lt;E$26,C$24,E180&lt;E$28,C$26,E180&lt;E$30,C$28,E180&lt;E$32,C$30,E180&lt;E$34,C$32,E180&gt;=E$34,C$34)</f>
        <v/>
      </c>
      <c r="D180" s="37">
        <f>_xlfn.IFS(E180&lt;E$24,0,E180&lt;E$25,D$24,E180&lt;E$26,D$25,E180&lt;E$27,D$26,E180&lt;E$28,D$27,E180&lt;E$29,D$28,E180&lt;E$30,D$29,E180&lt;E$31,D$30,E180&lt;E$32,D$31,E180&lt;E$33,D$32,E180&lt;E$34,D$33,E180&lt;E$35,D$34,E180&gt;=E$35,D$35)</f>
        <v/>
      </c>
      <c r="E180" s="38" t="n">
        <v>130</v>
      </c>
      <c r="F180" s="31">
        <f>E180/52</f>
        <v/>
      </c>
      <c r="G180" s="39">
        <f>D180/1000000*52</f>
        <v/>
      </c>
      <c r="H180" s="33">
        <f>G180/$P$4+($C$22/$P$4)</f>
        <v/>
      </c>
      <c r="I180" s="36">
        <f>_xlfn.IFS(K180&lt;K$24,0,K180&lt;K$26,I$24,K180&lt;K$28,I$26,K180&lt;K$30,I$28,K180&lt;K$32,I$30,K180&lt;K$34,I$32,K180&lt;K$36,I$34,K180&lt;K$38,I$36,K180&lt;K$40,I$38,K180&lt;K$42,I$40,K180&lt;K$44,I$42,K180&lt;K$46,I$44,K180&gt;=K$46,I$46)</f>
        <v/>
      </c>
      <c r="J180" s="37">
        <f>_xlfn.IFS(K180&lt;K$24,0,K180&lt;K$25,J$24,K180&lt;K$26,J$25,K180&lt;K$27,J$26,K180&lt;K$28,J$27,K180&lt;K$29,J$28,K180&lt;K$30,J$29,K180&lt;K$31,J$30,K180&lt;K$32,J$31,K180&lt;K$33,J$32,K180&lt;K$34,J$33,K180&lt;K$35,J$34,K180&lt;K$36,J$35,K180&lt;K$37,J$36,K180&lt;K$38,J$37,K180&lt;K$39,J$38,K180&lt;K$40,J$39,K180&lt;K$41,J$40,K180&lt;K$42,J$41,K180&lt;K$43,J$42,K180&lt;K$44,J$43,K180&lt;K$45,J$44,K180&lt;K$46,J$45,K180&lt;K$47,J$46,K180&gt;=K$47,J$47)</f>
        <v/>
      </c>
      <c r="K180" s="38" t="n">
        <v>130</v>
      </c>
      <c r="L180" s="31">
        <f>K180/52</f>
        <v/>
      </c>
      <c r="M180" s="39">
        <f>J180/1000000*52</f>
        <v/>
      </c>
      <c r="N180" s="33">
        <f>M180/$P$4+($I$22/$P$4)</f>
        <v/>
      </c>
      <c r="U180">
        <f>F179</f>
        <v/>
      </c>
      <c r="V180">
        <f>H179</f>
        <v/>
      </c>
      <c r="W180">
        <f>N179</f>
        <v/>
      </c>
    </row>
    <row r="181" ht="15.75" customHeight="1" s="40">
      <c r="C181" s="36">
        <f>_xlfn.IFS(E181&lt;E$24,0,E181&lt;E$26,C$24,E181&lt;E$28,C$26,E181&lt;E$30,C$28,E181&lt;E$32,C$30,E181&lt;E$34,C$32,E181&gt;=E$34,C$34)</f>
        <v/>
      </c>
      <c r="D181" s="37">
        <f>_xlfn.IFS(E181&lt;E$24,0,E181&lt;E$25,D$24,E181&lt;E$26,D$25,E181&lt;E$27,D$26,E181&lt;E$28,D$27,E181&lt;E$29,D$28,E181&lt;E$30,D$29,E181&lt;E$31,D$30,E181&lt;E$32,D$31,E181&lt;E$33,D$32,E181&lt;E$34,D$33,E181&lt;E$35,D$34,E181&gt;=E$35,D$35)</f>
        <v/>
      </c>
      <c r="E181" s="38" t="n">
        <v>131</v>
      </c>
      <c r="F181" s="31">
        <f>E181/52</f>
        <v/>
      </c>
      <c r="G181" s="39">
        <f>D181/1000000*52</f>
        <v/>
      </c>
      <c r="H181" s="33">
        <f>G181/$P$4+($C$22/$P$4)</f>
        <v/>
      </c>
      <c r="I181" s="36">
        <f>_xlfn.IFS(K181&lt;K$24,0,K181&lt;K$26,I$24,K181&lt;K$28,I$26,K181&lt;K$30,I$28,K181&lt;K$32,I$30,K181&lt;K$34,I$32,K181&lt;K$36,I$34,K181&lt;K$38,I$36,K181&lt;K$40,I$38,K181&lt;K$42,I$40,K181&lt;K$44,I$42,K181&lt;K$46,I$44,K181&gt;=K$46,I$46)</f>
        <v/>
      </c>
      <c r="J181" s="37">
        <f>_xlfn.IFS(K181&lt;K$24,0,K181&lt;K$25,J$24,K181&lt;K$26,J$25,K181&lt;K$27,J$26,K181&lt;K$28,J$27,K181&lt;K$29,J$28,K181&lt;K$30,J$29,K181&lt;K$31,J$30,K181&lt;K$32,J$31,K181&lt;K$33,J$32,K181&lt;K$34,J$33,K181&lt;K$35,J$34,K181&lt;K$36,J$35,K181&lt;K$37,J$36,K181&lt;K$38,J$37,K181&lt;K$39,J$38,K181&lt;K$40,J$39,K181&lt;K$41,J$40,K181&lt;K$42,J$41,K181&lt;K$43,J$42,K181&lt;K$44,J$43,K181&lt;K$45,J$44,K181&lt;K$46,J$45,K181&lt;K$47,J$46,K181&gt;=K$47,J$47)</f>
        <v/>
      </c>
      <c r="K181" s="38" t="n">
        <v>131</v>
      </c>
      <c r="L181" s="31">
        <f>K181/52</f>
        <v/>
      </c>
      <c r="M181" s="39">
        <f>J181/1000000*52</f>
        <v/>
      </c>
      <c r="N181" s="33">
        <f>M181/$P$4+($I$22/$P$4)</f>
        <v/>
      </c>
      <c r="U181">
        <f>F180</f>
        <v/>
      </c>
      <c r="V181">
        <f>H180</f>
        <v/>
      </c>
      <c r="W181">
        <f>N180</f>
        <v/>
      </c>
    </row>
    <row r="182" ht="15.75" customHeight="1" s="40">
      <c r="C182" s="36">
        <f>_xlfn.IFS(E182&lt;E$24,0,E182&lt;E$26,C$24,E182&lt;E$28,C$26,E182&lt;E$30,C$28,E182&lt;E$32,C$30,E182&lt;E$34,C$32,E182&gt;=E$34,C$34)</f>
        <v/>
      </c>
      <c r="D182" s="37">
        <f>_xlfn.IFS(E182&lt;E$24,0,E182&lt;E$25,D$24,E182&lt;E$26,D$25,E182&lt;E$27,D$26,E182&lt;E$28,D$27,E182&lt;E$29,D$28,E182&lt;E$30,D$29,E182&lt;E$31,D$30,E182&lt;E$32,D$31,E182&lt;E$33,D$32,E182&lt;E$34,D$33,E182&lt;E$35,D$34,E182&gt;=E$35,D$35)</f>
        <v/>
      </c>
      <c r="E182" s="38" t="n">
        <v>132</v>
      </c>
      <c r="F182" s="31">
        <f>E182/52</f>
        <v/>
      </c>
      <c r="G182" s="39">
        <f>D182/1000000*52</f>
        <v/>
      </c>
      <c r="H182" s="33">
        <f>G182/$P$4+($C$22/$P$4)</f>
        <v/>
      </c>
      <c r="I182" s="36">
        <f>_xlfn.IFS(K182&lt;K$24,0,K182&lt;K$26,I$24,K182&lt;K$28,I$26,K182&lt;K$30,I$28,K182&lt;K$32,I$30,K182&lt;K$34,I$32,K182&lt;K$36,I$34,K182&lt;K$38,I$36,K182&lt;K$40,I$38,K182&lt;K$42,I$40,K182&lt;K$44,I$42,K182&lt;K$46,I$44,K182&gt;=K$46,I$46)</f>
        <v/>
      </c>
      <c r="J182" s="37">
        <f>_xlfn.IFS(K182&lt;K$24,0,K182&lt;K$25,J$24,K182&lt;K$26,J$25,K182&lt;K$27,J$26,K182&lt;K$28,J$27,K182&lt;K$29,J$28,K182&lt;K$30,J$29,K182&lt;K$31,J$30,K182&lt;K$32,J$31,K182&lt;K$33,J$32,K182&lt;K$34,J$33,K182&lt;K$35,J$34,K182&lt;K$36,J$35,K182&lt;K$37,J$36,K182&lt;K$38,J$37,K182&lt;K$39,J$38,K182&lt;K$40,J$39,K182&lt;K$41,J$40,K182&lt;K$42,J$41,K182&lt;K$43,J$42,K182&lt;K$44,J$43,K182&lt;K$45,J$44,K182&lt;K$46,J$45,K182&lt;K$47,J$46,K182&gt;=K$47,J$47)</f>
        <v/>
      </c>
      <c r="K182" s="38" t="n">
        <v>132</v>
      </c>
      <c r="L182" s="31">
        <f>K182/52</f>
        <v/>
      </c>
      <c r="M182" s="39">
        <f>J182/1000000*52</f>
        <v/>
      </c>
      <c r="N182" s="33">
        <f>M182/$P$4+($I$22/$P$4)</f>
        <v/>
      </c>
      <c r="U182">
        <f>F181</f>
        <v/>
      </c>
      <c r="V182">
        <f>H181</f>
        <v/>
      </c>
      <c r="W182">
        <f>N181</f>
        <v/>
      </c>
    </row>
    <row r="183" ht="15.75" customHeight="1" s="40">
      <c r="C183" s="36">
        <f>_xlfn.IFS(E183&lt;E$24,0,E183&lt;E$26,C$24,E183&lt;E$28,C$26,E183&lt;E$30,C$28,E183&lt;E$32,C$30,E183&lt;E$34,C$32,E183&gt;=E$34,C$34)</f>
        <v/>
      </c>
      <c r="D183" s="37">
        <f>_xlfn.IFS(E183&lt;E$24,0,E183&lt;E$25,D$24,E183&lt;E$26,D$25,E183&lt;E$27,D$26,E183&lt;E$28,D$27,E183&lt;E$29,D$28,E183&lt;E$30,D$29,E183&lt;E$31,D$30,E183&lt;E$32,D$31,E183&lt;E$33,D$32,E183&lt;E$34,D$33,E183&lt;E$35,D$34,E183&gt;=E$35,D$35)</f>
        <v/>
      </c>
      <c r="E183" s="38" t="n">
        <v>133</v>
      </c>
      <c r="F183" s="31">
        <f>E183/52</f>
        <v/>
      </c>
      <c r="G183" s="39">
        <f>D183/1000000*52</f>
        <v/>
      </c>
      <c r="H183" s="33">
        <f>G183/$P$4+($C$22/$P$4)</f>
        <v/>
      </c>
      <c r="I183" s="36">
        <f>_xlfn.IFS(K183&lt;K$24,0,K183&lt;K$26,I$24,K183&lt;K$28,I$26,K183&lt;K$30,I$28,K183&lt;K$32,I$30,K183&lt;K$34,I$32,K183&lt;K$36,I$34,K183&lt;K$38,I$36,K183&lt;K$40,I$38,K183&lt;K$42,I$40,K183&lt;K$44,I$42,K183&lt;K$46,I$44,K183&gt;=K$46,I$46)</f>
        <v/>
      </c>
      <c r="J183" s="37">
        <f>_xlfn.IFS(K183&lt;K$24,0,K183&lt;K$25,J$24,K183&lt;K$26,J$25,K183&lt;K$27,J$26,K183&lt;K$28,J$27,K183&lt;K$29,J$28,K183&lt;K$30,J$29,K183&lt;K$31,J$30,K183&lt;K$32,J$31,K183&lt;K$33,J$32,K183&lt;K$34,J$33,K183&lt;K$35,J$34,K183&lt;K$36,J$35,K183&lt;K$37,J$36,K183&lt;K$38,J$37,K183&lt;K$39,J$38,K183&lt;K$40,J$39,K183&lt;K$41,J$40,K183&lt;K$42,J$41,K183&lt;K$43,J$42,K183&lt;K$44,J$43,K183&lt;K$45,J$44,K183&lt;K$46,J$45,K183&lt;K$47,J$46,K183&gt;=K$47,J$47)</f>
        <v/>
      </c>
      <c r="K183" s="38" t="n">
        <v>133</v>
      </c>
      <c r="L183" s="31">
        <f>K183/52</f>
        <v/>
      </c>
      <c r="M183" s="39">
        <f>J183/1000000*52</f>
        <v/>
      </c>
      <c r="N183" s="33">
        <f>M183/$P$4+($I$22/$P$4)</f>
        <v/>
      </c>
      <c r="U183">
        <f>F182</f>
        <v/>
      </c>
      <c r="V183">
        <f>H182</f>
        <v/>
      </c>
      <c r="W183">
        <f>N182</f>
        <v/>
      </c>
    </row>
    <row r="184" ht="15.75" customHeight="1" s="40">
      <c r="C184" s="36">
        <f>_xlfn.IFS(E184&lt;E$24,0,E184&lt;E$26,C$24,E184&lt;E$28,C$26,E184&lt;E$30,C$28,E184&lt;E$32,C$30,E184&lt;E$34,C$32,E184&gt;=E$34,C$34)</f>
        <v/>
      </c>
      <c r="D184" s="37">
        <f>_xlfn.IFS(E184&lt;E$24,0,E184&lt;E$25,D$24,E184&lt;E$26,D$25,E184&lt;E$27,D$26,E184&lt;E$28,D$27,E184&lt;E$29,D$28,E184&lt;E$30,D$29,E184&lt;E$31,D$30,E184&lt;E$32,D$31,E184&lt;E$33,D$32,E184&lt;E$34,D$33,E184&lt;E$35,D$34,E184&gt;=E$35,D$35)</f>
        <v/>
      </c>
      <c r="E184" s="38" t="n">
        <v>134</v>
      </c>
      <c r="F184" s="31">
        <f>E184/52</f>
        <v/>
      </c>
      <c r="G184" s="39">
        <f>D184/1000000*52</f>
        <v/>
      </c>
      <c r="H184" s="33">
        <f>G184/$P$4+($C$22/$P$4)</f>
        <v/>
      </c>
      <c r="I184" s="36">
        <f>_xlfn.IFS(K184&lt;K$24,0,K184&lt;K$26,I$24,K184&lt;K$28,I$26,K184&lt;K$30,I$28,K184&lt;K$32,I$30,K184&lt;K$34,I$32,K184&lt;K$36,I$34,K184&lt;K$38,I$36,K184&lt;K$40,I$38,K184&lt;K$42,I$40,K184&lt;K$44,I$42,K184&lt;K$46,I$44,K184&gt;=K$46,I$46)</f>
        <v/>
      </c>
      <c r="J184" s="37">
        <f>_xlfn.IFS(K184&lt;K$24,0,K184&lt;K$25,J$24,K184&lt;K$26,J$25,K184&lt;K$27,J$26,K184&lt;K$28,J$27,K184&lt;K$29,J$28,K184&lt;K$30,J$29,K184&lt;K$31,J$30,K184&lt;K$32,J$31,K184&lt;K$33,J$32,K184&lt;K$34,J$33,K184&lt;K$35,J$34,K184&lt;K$36,J$35,K184&lt;K$37,J$36,K184&lt;K$38,J$37,K184&lt;K$39,J$38,K184&lt;K$40,J$39,K184&lt;K$41,J$40,K184&lt;K$42,J$41,K184&lt;K$43,J$42,K184&lt;K$44,J$43,K184&lt;K$45,J$44,K184&lt;K$46,J$45,K184&lt;K$47,J$46,K184&gt;=K$47,J$47)</f>
        <v/>
      </c>
      <c r="K184" s="38" t="n">
        <v>134</v>
      </c>
      <c r="L184" s="31">
        <f>K184/52</f>
        <v/>
      </c>
      <c r="M184" s="39">
        <f>J184/1000000*52</f>
        <v/>
      </c>
      <c r="N184" s="33">
        <f>M184/$P$4+($I$22/$P$4)</f>
        <v/>
      </c>
      <c r="U184">
        <f>F183</f>
        <v/>
      </c>
      <c r="V184">
        <f>H183</f>
        <v/>
      </c>
      <c r="W184">
        <f>N183</f>
        <v/>
      </c>
    </row>
    <row r="185" ht="15.75" customHeight="1" s="40">
      <c r="C185" s="36">
        <f>_xlfn.IFS(E185&lt;E$24,0,E185&lt;E$26,C$24,E185&lt;E$28,C$26,E185&lt;E$30,C$28,E185&lt;E$32,C$30,E185&lt;E$34,C$32,E185&gt;=E$34,C$34)</f>
        <v/>
      </c>
      <c r="D185" s="37">
        <f>_xlfn.IFS(E185&lt;E$24,0,E185&lt;E$25,D$24,E185&lt;E$26,D$25,E185&lt;E$27,D$26,E185&lt;E$28,D$27,E185&lt;E$29,D$28,E185&lt;E$30,D$29,E185&lt;E$31,D$30,E185&lt;E$32,D$31,E185&lt;E$33,D$32,E185&lt;E$34,D$33,E185&lt;E$35,D$34,E185&gt;=E$35,D$35)</f>
        <v/>
      </c>
      <c r="E185" s="38" t="n">
        <v>135</v>
      </c>
      <c r="F185" s="31">
        <f>E185/52</f>
        <v/>
      </c>
      <c r="G185" s="39">
        <f>D185/1000000*52</f>
        <v/>
      </c>
      <c r="H185" s="33">
        <f>G185/$P$4+($C$22/$P$4)</f>
        <v/>
      </c>
      <c r="I185" s="36">
        <f>_xlfn.IFS(K185&lt;K$24,0,K185&lt;K$26,I$24,K185&lt;K$28,I$26,K185&lt;K$30,I$28,K185&lt;K$32,I$30,K185&lt;K$34,I$32,K185&lt;K$36,I$34,K185&lt;K$38,I$36,K185&lt;K$40,I$38,K185&lt;K$42,I$40,K185&lt;K$44,I$42,K185&lt;K$46,I$44,K185&gt;=K$46,I$46)</f>
        <v/>
      </c>
      <c r="J185" s="37">
        <f>_xlfn.IFS(K185&lt;K$24,0,K185&lt;K$25,J$24,K185&lt;K$26,J$25,K185&lt;K$27,J$26,K185&lt;K$28,J$27,K185&lt;K$29,J$28,K185&lt;K$30,J$29,K185&lt;K$31,J$30,K185&lt;K$32,J$31,K185&lt;K$33,J$32,K185&lt;K$34,J$33,K185&lt;K$35,J$34,K185&lt;K$36,J$35,K185&lt;K$37,J$36,K185&lt;K$38,J$37,K185&lt;K$39,J$38,K185&lt;K$40,J$39,K185&lt;K$41,J$40,K185&lt;K$42,J$41,K185&lt;K$43,J$42,K185&lt;K$44,J$43,K185&lt;K$45,J$44,K185&lt;K$46,J$45,K185&lt;K$47,J$46,K185&gt;=K$47,J$47)</f>
        <v/>
      </c>
      <c r="K185" s="38" t="n">
        <v>135</v>
      </c>
      <c r="L185" s="31">
        <f>K185/52</f>
        <v/>
      </c>
      <c r="M185" s="39">
        <f>J185/1000000*52</f>
        <v/>
      </c>
      <c r="N185" s="33">
        <f>M185/$P$4+($I$22/$P$4)</f>
        <v/>
      </c>
      <c r="U185">
        <f>F184</f>
        <v/>
      </c>
      <c r="V185">
        <f>H184</f>
        <v/>
      </c>
      <c r="W185">
        <f>N184</f>
        <v/>
      </c>
    </row>
    <row r="186" ht="15.75" customHeight="1" s="40">
      <c r="C186" s="36">
        <f>_xlfn.IFS(E186&lt;E$24,0,E186&lt;E$26,C$24,E186&lt;E$28,C$26,E186&lt;E$30,C$28,E186&lt;E$32,C$30,E186&lt;E$34,C$32,E186&gt;=E$34,C$34)</f>
        <v/>
      </c>
      <c r="D186" s="37">
        <f>_xlfn.IFS(E186&lt;E$24,0,E186&lt;E$25,D$24,E186&lt;E$26,D$25,E186&lt;E$27,D$26,E186&lt;E$28,D$27,E186&lt;E$29,D$28,E186&lt;E$30,D$29,E186&lt;E$31,D$30,E186&lt;E$32,D$31,E186&lt;E$33,D$32,E186&lt;E$34,D$33,E186&lt;E$35,D$34,E186&gt;=E$35,D$35)</f>
        <v/>
      </c>
      <c r="E186" s="38" t="n">
        <v>136</v>
      </c>
      <c r="F186" s="31">
        <f>E186/52</f>
        <v/>
      </c>
      <c r="G186" s="39">
        <f>D186/1000000*52</f>
        <v/>
      </c>
      <c r="H186" s="33">
        <f>G186/$P$4+($C$22/$P$4)</f>
        <v/>
      </c>
      <c r="I186" s="36">
        <f>_xlfn.IFS(K186&lt;K$24,0,K186&lt;K$26,I$24,K186&lt;K$28,I$26,K186&lt;K$30,I$28,K186&lt;K$32,I$30,K186&lt;K$34,I$32,K186&lt;K$36,I$34,K186&lt;K$38,I$36,K186&lt;K$40,I$38,K186&lt;K$42,I$40,K186&lt;K$44,I$42,K186&lt;K$46,I$44,K186&gt;=K$46,I$46)</f>
        <v/>
      </c>
      <c r="J186" s="37">
        <f>_xlfn.IFS(K186&lt;K$24,0,K186&lt;K$25,J$24,K186&lt;K$26,J$25,K186&lt;K$27,J$26,K186&lt;K$28,J$27,K186&lt;K$29,J$28,K186&lt;K$30,J$29,K186&lt;K$31,J$30,K186&lt;K$32,J$31,K186&lt;K$33,J$32,K186&lt;K$34,J$33,K186&lt;K$35,J$34,K186&lt;K$36,J$35,K186&lt;K$37,J$36,K186&lt;K$38,J$37,K186&lt;K$39,J$38,K186&lt;K$40,J$39,K186&lt;K$41,J$40,K186&lt;K$42,J$41,K186&lt;K$43,J$42,K186&lt;K$44,J$43,K186&lt;K$45,J$44,K186&lt;K$46,J$45,K186&lt;K$47,J$46,K186&gt;=K$47,J$47)</f>
        <v/>
      </c>
      <c r="K186" s="38" t="n">
        <v>136</v>
      </c>
      <c r="L186" s="31">
        <f>K186/52</f>
        <v/>
      </c>
      <c r="M186" s="39">
        <f>J186/1000000*52</f>
        <v/>
      </c>
      <c r="N186" s="33">
        <f>M186/$P$4+($I$22/$P$4)</f>
        <v/>
      </c>
      <c r="U186">
        <f>F185</f>
        <v/>
      </c>
      <c r="V186">
        <f>H185</f>
        <v/>
      </c>
      <c r="W186">
        <f>N185</f>
        <v/>
      </c>
    </row>
    <row r="187" ht="15.75" customHeight="1" s="40">
      <c r="C187" s="36">
        <f>_xlfn.IFS(E187&lt;E$24,0,E187&lt;E$26,C$24,E187&lt;E$28,C$26,E187&lt;E$30,C$28,E187&lt;E$32,C$30,E187&lt;E$34,C$32,E187&gt;=E$34,C$34)</f>
        <v/>
      </c>
      <c r="D187" s="37">
        <f>_xlfn.IFS(E187&lt;E$24,0,E187&lt;E$25,D$24,E187&lt;E$26,D$25,E187&lt;E$27,D$26,E187&lt;E$28,D$27,E187&lt;E$29,D$28,E187&lt;E$30,D$29,E187&lt;E$31,D$30,E187&lt;E$32,D$31,E187&lt;E$33,D$32,E187&lt;E$34,D$33,E187&lt;E$35,D$34,E187&gt;=E$35,D$35)</f>
        <v/>
      </c>
      <c r="E187" s="38" t="n">
        <v>137</v>
      </c>
      <c r="F187" s="31">
        <f>E187/52</f>
        <v/>
      </c>
      <c r="G187" s="39">
        <f>D187/1000000*52</f>
        <v/>
      </c>
      <c r="H187" s="33">
        <f>G187/$P$4+($C$22/$P$4)</f>
        <v/>
      </c>
      <c r="I187" s="36">
        <f>_xlfn.IFS(K187&lt;K$24,0,K187&lt;K$26,I$24,K187&lt;K$28,I$26,K187&lt;K$30,I$28,K187&lt;K$32,I$30,K187&lt;K$34,I$32,K187&lt;K$36,I$34,K187&lt;K$38,I$36,K187&lt;K$40,I$38,K187&lt;K$42,I$40,K187&lt;K$44,I$42,K187&lt;K$46,I$44,K187&gt;=K$46,I$46)</f>
        <v/>
      </c>
      <c r="J187" s="37">
        <f>_xlfn.IFS(K187&lt;K$24,0,K187&lt;K$25,J$24,K187&lt;K$26,J$25,K187&lt;K$27,J$26,K187&lt;K$28,J$27,K187&lt;K$29,J$28,K187&lt;K$30,J$29,K187&lt;K$31,J$30,K187&lt;K$32,J$31,K187&lt;K$33,J$32,K187&lt;K$34,J$33,K187&lt;K$35,J$34,K187&lt;K$36,J$35,K187&lt;K$37,J$36,K187&lt;K$38,J$37,K187&lt;K$39,J$38,K187&lt;K$40,J$39,K187&lt;K$41,J$40,K187&lt;K$42,J$41,K187&lt;K$43,J$42,K187&lt;K$44,J$43,K187&lt;K$45,J$44,K187&lt;K$46,J$45,K187&lt;K$47,J$46,K187&gt;=K$47,J$47)</f>
        <v/>
      </c>
      <c r="K187" s="38" t="n">
        <v>137</v>
      </c>
      <c r="L187" s="31">
        <f>K187/52</f>
        <v/>
      </c>
      <c r="M187" s="39">
        <f>J187/1000000*52</f>
        <v/>
      </c>
      <c r="N187" s="33">
        <f>M187/$P$4+($I$22/$P$4)</f>
        <v/>
      </c>
      <c r="U187">
        <f>F186</f>
        <v/>
      </c>
      <c r="V187">
        <f>H186</f>
        <v/>
      </c>
      <c r="W187">
        <f>N186</f>
        <v/>
      </c>
    </row>
    <row r="188" ht="15.75" customHeight="1" s="40">
      <c r="C188" s="36">
        <f>_xlfn.IFS(E188&lt;E$24,0,E188&lt;E$26,C$24,E188&lt;E$28,C$26,E188&lt;E$30,C$28,E188&lt;E$32,C$30,E188&lt;E$34,C$32,E188&gt;=E$34,C$34)</f>
        <v/>
      </c>
      <c r="D188" s="37">
        <f>_xlfn.IFS(E188&lt;E$24,0,E188&lt;E$25,D$24,E188&lt;E$26,D$25,E188&lt;E$27,D$26,E188&lt;E$28,D$27,E188&lt;E$29,D$28,E188&lt;E$30,D$29,E188&lt;E$31,D$30,E188&lt;E$32,D$31,E188&lt;E$33,D$32,E188&lt;E$34,D$33,E188&lt;E$35,D$34,E188&gt;=E$35,D$35)</f>
        <v/>
      </c>
      <c r="E188" s="38" t="n">
        <v>138</v>
      </c>
      <c r="F188" s="31">
        <f>E188/52</f>
        <v/>
      </c>
      <c r="G188" s="39">
        <f>D188/1000000*52</f>
        <v/>
      </c>
      <c r="H188" s="33">
        <f>G188/$P$4+($C$22/$P$4)</f>
        <v/>
      </c>
      <c r="I188" s="36">
        <f>_xlfn.IFS(K188&lt;K$24,0,K188&lt;K$26,I$24,K188&lt;K$28,I$26,K188&lt;K$30,I$28,K188&lt;K$32,I$30,K188&lt;K$34,I$32,K188&lt;K$36,I$34,K188&lt;K$38,I$36,K188&lt;K$40,I$38,K188&lt;K$42,I$40,K188&lt;K$44,I$42,K188&lt;K$46,I$44,K188&gt;=K$46,I$46)</f>
        <v/>
      </c>
      <c r="J188" s="37">
        <f>_xlfn.IFS(K188&lt;K$24,0,K188&lt;K$25,J$24,K188&lt;K$26,J$25,K188&lt;K$27,J$26,K188&lt;K$28,J$27,K188&lt;K$29,J$28,K188&lt;K$30,J$29,K188&lt;K$31,J$30,K188&lt;K$32,J$31,K188&lt;K$33,J$32,K188&lt;K$34,J$33,K188&lt;K$35,J$34,K188&lt;K$36,J$35,K188&lt;K$37,J$36,K188&lt;K$38,J$37,K188&lt;K$39,J$38,K188&lt;K$40,J$39,K188&lt;K$41,J$40,K188&lt;K$42,J$41,K188&lt;K$43,J$42,K188&lt;K$44,J$43,K188&lt;K$45,J$44,K188&lt;K$46,J$45,K188&lt;K$47,J$46,K188&gt;=K$47,J$47)</f>
        <v/>
      </c>
      <c r="K188" s="38" t="n">
        <v>138</v>
      </c>
      <c r="L188" s="31">
        <f>K188/52</f>
        <v/>
      </c>
      <c r="M188" s="39">
        <f>J188/1000000*52</f>
        <v/>
      </c>
      <c r="N188" s="33">
        <f>M188/$P$4+($I$22/$P$4)</f>
        <v/>
      </c>
      <c r="U188">
        <f>F187</f>
        <v/>
      </c>
      <c r="V188">
        <f>H187</f>
        <v/>
      </c>
      <c r="W188">
        <f>N187</f>
        <v/>
      </c>
    </row>
    <row r="189" ht="15.75" customHeight="1" s="40">
      <c r="C189" s="36">
        <f>_xlfn.IFS(E189&lt;E$24,0,E189&lt;E$26,C$24,E189&lt;E$28,C$26,E189&lt;E$30,C$28,E189&lt;E$32,C$30,E189&lt;E$34,C$32,E189&gt;=E$34,C$34)</f>
        <v/>
      </c>
      <c r="D189" s="37">
        <f>_xlfn.IFS(E189&lt;E$24,0,E189&lt;E$25,D$24,E189&lt;E$26,D$25,E189&lt;E$27,D$26,E189&lt;E$28,D$27,E189&lt;E$29,D$28,E189&lt;E$30,D$29,E189&lt;E$31,D$30,E189&lt;E$32,D$31,E189&lt;E$33,D$32,E189&lt;E$34,D$33,E189&lt;E$35,D$34,E189&gt;=E$35,D$35)</f>
        <v/>
      </c>
      <c r="E189" s="38" t="n">
        <v>139</v>
      </c>
      <c r="F189" s="31">
        <f>E189/52</f>
        <v/>
      </c>
      <c r="G189" s="39">
        <f>D189/1000000*52</f>
        <v/>
      </c>
      <c r="H189" s="33">
        <f>G189/$P$4+($C$22/$P$4)</f>
        <v/>
      </c>
      <c r="I189" s="36">
        <f>_xlfn.IFS(K189&lt;K$24,0,K189&lt;K$26,I$24,K189&lt;K$28,I$26,K189&lt;K$30,I$28,K189&lt;K$32,I$30,K189&lt;K$34,I$32,K189&lt;K$36,I$34,K189&lt;K$38,I$36,K189&lt;K$40,I$38,K189&lt;K$42,I$40,K189&lt;K$44,I$42,K189&lt;K$46,I$44,K189&gt;=K$46,I$46)</f>
        <v/>
      </c>
      <c r="J189" s="37">
        <f>_xlfn.IFS(K189&lt;K$24,0,K189&lt;K$25,J$24,K189&lt;K$26,J$25,K189&lt;K$27,J$26,K189&lt;K$28,J$27,K189&lt;K$29,J$28,K189&lt;K$30,J$29,K189&lt;K$31,J$30,K189&lt;K$32,J$31,K189&lt;K$33,J$32,K189&lt;K$34,J$33,K189&lt;K$35,J$34,K189&lt;K$36,J$35,K189&lt;K$37,J$36,K189&lt;K$38,J$37,K189&lt;K$39,J$38,K189&lt;K$40,J$39,K189&lt;K$41,J$40,K189&lt;K$42,J$41,K189&lt;K$43,J$42,K189&lt;K$44,J$43,K189&lt;K$45,J$44,K189&lt;K$46,J$45,K189&lt;K$47,J$46,K189&gt;=K$47,J$47)</f>
        <v/>
      </c>
      <c r="K189" s="38" t="n">
        <v>139</v>
      </c>
      <c r="L189" s="31">
        <f>K189/52</f>
        <v/>
      </c>
      <c r="M189" s="39">
        <f>J189/1000000*52</f>
        <v/>
      </c>
      <c r="N189" s="33">
        <f>M189/$P$4+($I$22/$P$4)</f>
        <v/>
      </c>
      <c r="U189">
        <f>F188</f>
        <v/>
      </c>
      <c r="V189">
        <f>H188</f>
        <v/>
      </c>
      <c r="W189">
        <f>N188</f>
        <v/>
      </c>
    </row>
    <row r="190" ht="15.75" customHeight="1" s="40">
      <c r="C190" s="36">
        <f>_xlfn.IFS(E190&lt;E$24,0,E190&lt;E$26,C$24,E190&lt;E$28,C$26,E190&lt;E$30,C$28,E190&lt;E$32,C$30,E190&lt;E$34,C$32,E190&gt;=E$34,C$34)</f>
        <v/>
      </c>
      <c r="D190" s="37">
        <f>_xlfn.IFS(E190&lt;E$24,0,E190&lt;E$25,D$24,E190&lt;E$26,D$25,E190&lt;E$27,D$26,E190&lt;E$28,D$27,E190&lt;E$29,D$28,E190&lt;E$30,D$29,E190&lt;E$31,D$30,E190&lt;E$32,D$31,E190&lt;E$33,D$32,E190&lt;E$34,D$33,E190&lt;E$35,D$34,E190&gt;=E$35,D$35)</f>
        <v/>
      </c>
      <c r="E190" s="38" t="n">
        <v>140</v>
      </c>
      <c r="F190" s="31">
        <f>E190/52</f>
        <v/>
      </c>
      <c r="G190" s="39">
        <f>D190/1000000*52</f>
        <v/>
      </c>
      <c r="H190" s="33">
        <f>G190/$P$4+($C$22/$P$4)</f>
        <v/>
      </c>
      <c r="I190" s="36">
        <f>_xlfn.IFS(K190&lt;K$24,0,K190&lt;K$26,I$24,K190&lt;K$28,I$26,K190&lt;K$30,I$28,K190&lt;K$32,I$30,K190&lt;K$34,I$32,K190&lt;K$36,I$34,K190&lt;K$38,I$36,K190&lt;K$40,I$38,K190&lt;K$42,I$40,K190&lt;K$44,I$42,K190&lt;K$46,I$44,K190&gt;=K$46,I$46)</f>
        <v/>
      </c>
      <c r="J190" s="37">
        <f>_xlfn.IFS(K190&lt;K$24,0,K190&lt;K$25,J$24,K190&lt;K$26,J$25,K190&lt;K$27,J$26,K190&lt;K$28,J$27,K190&lt;K$29,J$28,K190&lt;K$30,J$29,K190&lt;K$31,J$30,K190&lt;K$32,J$31,K190&lt;K$33,J$32,K190&lt;K$34,J$33,K190&lt;K$35,J$34,K190&lt;K$36,J$35,K190&lt;K$37,J$36,K190&lt;K$38,J$37,K190&lt;K$39,J$38,K190&lt;K$40,J$39,K190&lt;K$41,J$40,K190&lt;K$42,J$41,K190&lt;K$43,J$42,K190&lt;K$44,J$43,K190&lt;K$45,J$44,K190&lt;K$46,J$45,K190&lt;K$47,J$46,K190&gt;=K$47,J$47)</f>
        <v/>
      </c>
      <c r="K190" s="38" t="n">
        <v>140</v>
      </c>
      <c r="L190" s="31">
        <f>K190/52</f>
        <v/>
      </c>
      <c r="M190" s="39">
        <f>J190/1000000*52</f>
        <v/>
      </c>
      <c r="N190" s="33">
        <f>M190/$P$4+($I$22/$P$4)</f>
        <v/>
      </c>
      <c r="U190">
        <f>F189</f>
        <v/>
      </c>
      <c r="V190">
        <f>H189</f>
        <v/>
      </c>
      <c r="W190">
        <f>N189</f>
        <v/>
      </c>
    </row>
    <row r="191" ht="15.75" customHeight="1" s="40">
      <c r="C191" s="36">
        <f>_xlfn.IFS(E191&lt;E$24,0,E191&lt;E$26,C$24,E191&lt;E$28,C$26,E191&lt;E$30,C$28,E191&lt;E$32,C$30,E191&lt;E$34,C$32,E191&gt;=E$34,C$34)</f>
        <v/>
      </c>
      <c r="D191" s="37">
        <f>_xlfn.IFS(E191&lt;E$24,0,E191&lt;E$25,D$24,E191&lt;E$26,D$25,E191&lt;E$27,D$26,E191&lt;E$28,D$27,E191&lt;E$29,D$28,E191&lt;E$30,D$29,E191&lt;E$31,D$30,E191&lt;E$32,D$31,E191&lt;E$33,D$32,E191&lt;E$34,D$33,E191&lt;E$35,D$34,E191&gt;=E$35,D$35)</f>
        <v/>
      </c>
      <c r="E191" s="38" t="n">
        <v>141</v>
      </c>
      <c r="F191" s="31">
        <f>E191/52</f>
        <v/>
      </c>
      <c r="G191" s="39">
        <f>D191/1000000*52</f>
        <v/>
      </c>
      <c r="H191" s="33">
        <f>G191/$P$4+($C$22/$P$4)</f>
        <v/>
      </c>
      <c r="I191" s="36">
        <f>_xlfn.IFS(K191&lt;K$24,0,K191&lt;K$26,I$24,K191&lt;K$28,I$26,K191&lt;K$30,I$28,K191&lt;K$32,I$30,K191&lt;K$34,I$32,K191&lt;K$36,I$34,K191&lt;K$38,I$36,K191&lt;K$40,I$38,K191&lt;K$42,I$40,K191&lt;K$44,I$42,K191&lt;K$46,I$44,K191&gt;=K$46,I$46)</f>
        <v/>
      </c>
      <c r="J191" s="37">
        <f>_xlfn.IFS(K191&lt;K$24,0,K191&lt;K$25,J$24,K191&lt;K$26,J$25,K191&lt;K$27,J$26,K191&lt;K$28,J$27,K191&lt;K$29,J$28,K191&lt;K$30,J$29,K191&lt;K$31,J$30,K191&lt;K$32,J$31,K191&lt;K$33,J$32,K191&lt;K$34,J$33,K191&lt;K$35,J$34,K191&lt;K$36,J$35,K191&lt;K$37,J$36,K191&lt;K$38,J$37,K191&lt;K$39,J$38,K191&lt;K$40,J$39,K191&lt;K$41,J$40,K191&lt;K$42,J$41,K191&lt;K$43,J$42,K191&lt;K$44,J$43,K191&lt;K$45,J$44,K191&lt;K$46,J$45,K191&lt;K$47,J$46,K191&gt;=K$47,J$47)</f>
        <v/>
      </c>
      <c r="K191" s="38" t="n">
        <v>141</v>
      </c>
      <c r="L191" s="31">
        <f>K191/52</f>
        <v/>
      </c>
      <c r="M191" s="39">
        <f>J191/1000000*52</f>
        <v/>
      </c>
      <c r="N191" s="33">
        <f>M191/$P$4+($I$22/$P$4)</f>
        <v/>
      </c>
      <c r="U191">
        <f>F190</f>
        <v/>
      </c>
      <c r="V191">
        <f>H190</f>
        <v/>
      </c>
      <c r="W191">
        <f>N190</f>
        <v/>
      </c>
    </row>
    <row r="192" ht="15.75" customHeight="1" s="40">
      <c r="C192" s="36">
        <f>_xlfn.IFS(E192&lt;E$24,0,E192&lt;E$26,C$24,E192&lt;E$28,C$26,E192&lt;E$30,C$28,E192&lt;E$32,C$30,E192&lt;E$34,C$32,E192&gt;=E$34,C$34)</f>
        <v/>
      </c>
      <c r="D192" s="37">
        <f>_xlfn.IFS(E192&lt;E$24,0,E192&lt;E$25,D$24,E192&lt;E$26,D$25,E192&lt;E$27,D$26,E192&lt;E$28,D$27,E192&lt;E$29,D$28,E192&lt;E$30,D$29,E192&lt;E$31,D$30,E192&lt;E$32,D$31,E192&lt;E$33,D$32,E192&lt;E$34,D$33,E192&lt;E$35,D$34,E192&gt;=E$35,D$35)</f>
        <v/>
      </c>
      <c r="E192" s="38" t="n">
        <v>142</v>
      </c>
      <c r="F192" s="31">
        <f>E192/52</f>
        <v/>
      </c>
      <c r="G192" s="39">
        <f>D192/1000000*52</f>
        <v/>
      </c>
      <c r="H192" s="33">
        <f>G192/$P$4+($C$22/$P$4)</f>
        <v/>
      </c>
      <c r="I192" s="36">
        <f>_xlfn.IFS(K192&lt;K$24,0,K192&lt;K$26,I$24,K192&lt;K$28,I$26,K192&lt;K$30,I$28,K192&lt;K$32,I$30,K192&lt;K$34,I$32,K192&lt;K$36,I$34,K192&lt;K$38,I$36,K192&lt;K$40,I$38,K192&lt;K$42,I$40,K192&lt;K$44,I$42,K192&lt;K$46,I$44,K192&gt;=K$46,I$46)</f>
        <v/>
      </c>
      <c r="J192" s="37">
        <f>_xlfn.IFS(K192&lt;K$24,0,K192&lt;K$25,J$24,K192&lt;K$26,J$25,K192&lt;K$27,J$26,K192&lt;K$28,J$27,K192&lt;K$29,J$28,K192&lt;K$30,J$29,K192&lt;K$31,J$30,K192&lt;K$32,J$31,K192&lt;K$33,J$32,K192&lt;K$34,J$33,K192&lt;K$35,J$34,K192&lt;K$36,J$35,K192&lt;K$37,J$36,K192&lt;K$38,J$37,K192&lt;K$39,J$38,K192&lt;K$40,J$39,K192&lt;K$41,J$40,K192&lt;K$42,J$41,K192&lt;K$43,J$42,K192&lt;K$44,J$43,K192&lt;K$45,J$44,K192&lt;K$46,J$45,K192&lt;K$47,J$46,K192&gt;=K$47,J$47)</f>
        <v/>
      </c>
      <c r="K192" s="38" t="n">
        <v>142</v>
      </c>
      <c r="L192" s="31">
        <f>K192/52</f>
        <v/>
      </c>
      <c r="M192" s="39">
        <f>J192/1000000*52</f>
        <v/>
      </c>
      <c r="N192" s="33">
        <f>M192/$P$4+($I$22/$P$4)</f>
        <v/>
      </c>
      <c r="U192">
        <f>F191</f>
        <v/>
      </c>
      <c r="V192">
        <f>H191</f>
        <v/>
      </c>
      <c r="W192">
        <f>N191</f>
        <v/>
      </c>
    </row>
    <row r="193" ht="15.75" customHeight="1" s="40">
      <c r="C193" s="36">
        <f>_xlfn.IFS(E193&lt;E$24,0,E193&lt;E$26,C$24,E193&lt;E$28,C$26,E193&lt;E$30,C$28,E193&lt;E$32,C$30,E193&lt;E$34,C$32,E193&gt;=E$34,C$34)</f>
        <v/>
      </c>
      <c r="D193" s="37">
        <f>_xlfn.IFS(E193&lt;E$24,0,E193&lt;E$25,D$24,E193&lt;E$26,D$25,E193&lt;E$27,D$26,E193&lt;E$28,D$27,E193&lt;E$29,D$28,E193&lt;E$30,D$29,E193&lt;E$31,D$30,E193&lt;E$32,D$31,E193&lt;E$33,D$32,E193&lt;E$34,D$33,E193&lt;E$35,D$34,E193&gt;=E$35,D$35)</f>
        <v/>
      </c>
      <c r="E193" s="38" t="n">
        <v>143</v>
      </c>
      <c r="F193" s="31">
        <f>E193/52</f>
        <v/>
      </c>
      <c r="G193" s="39">
        <f>D193/1000000*52</f>
        <v/>
      </c>
      <c r="H193" s="33">
        <f>G193/$P$4+($C$22/$P$4)</f>
        <v/>
      </c>
      <c r="I193" s="36">
        <f>_xlfn.IFS(K193&lt;K$24,0,K193&lt;K$26,I$24,K193&lt;K$28,I$26,K193&lt;K$30,I$28,K193&lt;K$32,I$30,K193&lt;K$34,I$32,K193&lt;K$36,I$34,K193&lt;K$38,I$36,K193&lt;K$40,I$38,K193&lt;K$42,I$40,K193&lt;K$44,I$42,K193&lt;K$46,I$44,K193&gt;=K$46,I$46)</f>
        <v/>
      </c>
      <c r="J193" s="37">
        <f>_xlfn.IFS(K193&lt;K$24,0,K193&lt;K$25,J$24,K193&lt;K$26,J$25,K193&lt;K$27,J$26,K193&lt;K$28,J$27,K193&lt;K$29,J$28,K193&lt;K$30,J$29,K193&lt;K$31,J$30,K193&lt;K$32,J$31,K193&lt;K$33,J$32,K193&lt;K$34,J$33,K193&lt;K$35,J$34,K193&lt;K$36,J$35,K193&lt;K$37,J$36,K193&lt;K$38,J$37,K193&lt;K$39,J$38,K193&lt;K$40,J$39,K193&lt;K$41,J$40,K193&lt;K$42,J$41,K193&lt;K$43,J$42,K193&lt;K$44,J$43,K193&lt;K$45,J$44,K193&lt;K$46,J$45,K193&lt;K$47,J$46,K193&gt;=K$47,J$47)</f>
        <v/>
      </c>
      <c r="K193" s="38" t="n">
        <v>143</v>
      </c>
      <c r="L193" s="31">
        <f>K193/52</f>
        <v/>
      </c>
      <c r="M193" s="39">
        <f>J193/1000000*52</f>
        <v/>
      </c>
      <c r="N193" s="33">
        <f>M193/$P$4+($I$22/$P$4)</f>
        <v/>
      </c>
      <c r="U193">
        <f>F192</f>
        <v/>
      </c>
      <c r="V193">
        <f>H192</f>
        <v/>
      </c>
      <c r="W193">
        <f>N192</f>
        <v/>
      </c>
    </row>
    <row r="194" ht="15.75" customHeight="1" s="40">
      <c r="C194" s="36">
        <f>_xlfn.IFS(E194&lt;E$24,0,E194&lt;E$26,C$24,E194&lt;E$28,C$26,E194&lt;E$30,C$28,E194&lt;E$32,C$30,E194&lt;E$34,C$32,E194&gt;=E$34,C$34)</f>
        <v/>
      </c>
      <c r="D194" s="37">
        <f>_xlfn.IFS(E194&lt;E$24,0,E194&lt;E$25,D$24,E194&lt;E$26,D$25,E194&lt;E$27,D$26,E194&lt;E$28,D$27,E194&lt;E$29,D$28,E194&lt;E$30,D$29,E194&lt;E$31,D$30,E194&lt;E$32,D$31,E194&lt;E$33,D$32,E194&lt;E$34,D$33,E194&lt;E$35,D$34,E194&gt;=E$35,D$35)</f>
        <v/>
      </c>
      <c r="E194" s="38" t="n">
        <v>144</v>
      </c>
      <c r="F194" s="31">
        <f>E194/52</f>
        <v/>
      </c>
      <c r="G194" s="39">
        <f>D194/1000000*52</f>
        <v/>
      </c>
      <c r="H194" s="33">
        <f>G194/$P$4+($C$22/$P$4)</f>
        <v/>
      </c>
      <c r="I194" s="36">
        <f>_xlfn.IFS(K194&lt;K$24,0,K194&lt;K$26,I$24,K194&lt;K$28,I$26,K194&lt;K$30,I$28,K194&lt;K$32,I$30,K194&lt;K$34,I$32,K194&lt;K$36,I$34,K194&lt;K$38,I$36,K194&lt;K$40,I$38,K194&lt;K$42,I$40,K194&lt;K$44,I$42,K194&lt;K$46,I$44,K194&gt;=K$46,I$46)</f>
        <v/>
      </c>
      <c r="J194" s="37">
        <f>_xlfn.IFS(K194&lt;K$24,0,K194&lt;K$25,J$24,K194&lt;K$26,J$25,K194&lt;K$27,J$26,K194&lt;K$28,J$27,K194&lt;K$29,J$28,K194&lt;K$30,J$29,K194&lt;K$31,J$30,K194&lt;K$32,J$31,K194&lt;K$33,J$32,K194&lt;K$34,J$33,K194&lt;K$35,J$34,K194&lt;K$36,J$35,K194&lt;K$37,J$36,K194&lt;K$38,J$37,K194&lt;K$39,J$38,K194&lt;K$40,J$39,K194&lt;K$41,J$40,K194&lt;K$42,J$41,K194&lt;K$43,J$42,K194&lt;K$44,J$43,K194&lt;K$45,J$44,K194&lt;K$46,J$45,K194&lt;K$47,J$46,K194&gt;=K$47,J$47)</f>
        <v/>
      </c>
      <c r="K194" s="38" t="n">
        <v>144</v>
      </c>
      <c r="L194" s="31">
        <f>K194/52</f>
        <v/>
      </c>
      <c r="M194" s="39">
        <f>J194/1000000*52</f>
        <v/>
      </c>
      <c r="N194" s="33">
        <f>M194/$P$4+($I$22/$P$4)</f>
        <v/>
      </c>
      <c r="U194">
        <f>F193</f>
        <v/>
      </c>
      <c r="V194">
        <f>H193</f>
        <v/>
      </c>
      <c r="W194">
        <f>N193</f>
        <v/>
      </c>
    </row>
    <row r="195" ht="15.75" customHeight="1" s="40">
      <c r="C195" s="36">
        <f>_xlfn.IFS(E195&lt;E$24,0,E195&lt;E$26,C$24,E195&lt;E$28,C$26,E195&lt;E$30,C$28,E195&lt;E$32,C$30,E195&lt;E$34,C$32,E195&gt;=E$34,C$34)</f>
        <v/>
      </c>
      <c r="D195" s="37">
        <f>_xlfn.IFS(E195&lt;E$24,0,E195&lt;E$25,D$24,E195&lt;E$26,D$25,E195&lt;E$27,D$26,E195&lt;E$28,D$27,E195&lt;E$29,D$28,E195&lt;E$30,D$29,E195&lt;E$31,D$30,E195&lt;E$32,D$31,E195&lt;E$33,D$32,E195&lt;E$34,D$33,E195&lt;E$35,D$34,E195&gt;=E$35,D$35)</f>
        <v/>
      </c>
      <c r="E195" s="38" t="n">
        <v>145</v>
      </c>
      <c r="F195" s="31">
        <f>E195/52</f>
        <v/>
      </c>
      <c r="G195" s="39">
        <f>D195/1000000*52</f>
        <v/>
      </c>
      <c r="H195" s="33">
        <f>G195/$P$4+($C$22/$P$4)</f>
        <v/>
      </c>
      <c r="I195" s="36">
        <f>_xlfn.IFS(K195&lt;K$24,0,K195&lt;K$26,I$24,K195&lt;K$28,I$26,K195&lt;K$30,I$28,K195&lt;K$32,I$30,K195&lt;K$34,I$32,K195&lt;K$36,I$34,K195&lt;K$38,I$36,K195&lt;K$40,I$38,K195&lt;K$42,I$40,K195&lt;K$44,I$42,K195&lt;K$46,I$44,K195&gt;=K$46,I$46)</f>
        <v/>
      </c>
      <c r="J195" s="37">
        <f>_xlfn.IFS(K195&lt;K$24,0,K195&lt;K$25,J$24,K195&lt;K$26,J$25,K195&lt;K$27,J$26,K195&lt;K$28,J$27,K195&lt;K$29,J$28,K195&lt;K$30,J$29,K195&lt;K$31,J$30,K195&lt;K$32,J$31,K195&lt;K$33,J$32,K195&lt;K$34,J$33,K195&lt;K$35,J$34,K195&lt;K$36,J$35,K195&lt;K$37,J$36,K195&lt;K$38,J$37,K195&lt;K$39,J$38,K195&lt;K$40,J$39,K195&lt;K$41,J$40,K195&lt;K$42,J$41,K195&lt;K$43,J$42,K195&lt;K$44,J$43,K195&lt;K$45,J$44,K195&lt;K$46,J$45,K195&lt;K$47,J$46,K195&gt;=K$47,J$47)</f>
        <v/>
      </c>
      <c r="K195" s="38" t="n">
        <v>145</v>
      </c>
      <c r="L195" s="31">
        <f>K195/52</f>
        <v/>
      </c>
      <c r="M195" s="39">
        <f>J195/1000000*52</f>
        <v/>
      </c>
      <c r="N195" s="33">
        <f>M195/$P$4+($I$22/$P$4)</f>
        <v/>
      </c>
      <c r="U195">
        <f>F194</f>
        <v/>
      </c>
      <c r="V195">
        <f>H194</f>
        <v/>
      </c>
      <c r="W195">
        <f>N194</f>
        <v/>
      </c>
    </row>
    <row r="196" ht="15.75" customHeight="1" s="40">
      <c r="C196" s="36">
        <f>_xlfn.IFS(E196&lt;E$24,0,E196&lt;E$26,C$24,E196&lt;E$28,C$26,E196&lt;E$30,C$28,E196&lt;E$32,C$30,E196&lt;E$34,C$32,E196&gt;=E$34,C$34)</f>
        <v/>
      </c>
      <c r="D196" s="37">
        <f>_xlfn.IFS(E196&lt;E$24,0,E196&lt;E$25,D$24,E196&lt;E$26,D$25,E196&lt;E$27,D$26,E196&lt;E$28,D$27,E196&lt;E$29,D$28,E196&lt;E$30,D$29,E196&lt;E$31,D$30,E196&lt;E$32,D$31,E196&lt;E$33,D$32,E196&lt;E$34,D$33,E196&lt;E$35,D$34,E196&gt;=E$35,D$35)</f>
        <v/>
      </c>
      <c r="E196" s="38" t="n">
        <v>146</v>
      </c>
      <c r="F196" s="31">
        <f>E196/52</f>
        <v/>
      </c>
      <c r="G196" s="39">
        <f>D196/1000000*52</f>
        <v/>
      </c>
      <c r="H196" s="33">
        <f>G196/$P$4+($C$22/$P$4)</f>
        <v/>
      </c>
      <c r="I196" s="36">
        <f>_xlfn.IFS(K196&lt;K$24,0,K196&lt;K$26,I$24,K196&lt;K$28,I$26,K196&lt;K$30,I$28,K196&lt;K$32,I$30,K196&lt;K$34,I$32,K196&lt;K$36,I$34,K196&lt;K$38,I$36,K196&lt;K$40,I$38,K196&lt;K$42,I$40,K196&lt;K$44,I$42,K196&lt;K$46,I$44,K196&gt;=K$46,I$46)</f>
        <v/>
      </c>
      <c r="J196" s="37">
        <f>_xlfn.IFS(K196&lt;K$24,0,K196&lt;K$25,J$24,K196&lt;K$26,J$25,K196&lt;K$27,J$26,K196&lt;K$28,J$27,K196&lt;K$29,J$28,K196&lt;K$30,J$29,K196&lt;K$31,J$30,K196&lt;K$32,J$31,K196&lt;K$33,J$32,K196&lt;K$34,J$33,K196&lt;K$35,J$34,K196&lt;K$36,J$35,K196&lt;K$37,J$36,K196&lt;K$38,J$37,K196&lt;K$39,J$38,K196&lt;K$40,J$39,K196&lt;K$41,J$40,K196&lt;K$42,J$41,K196&lt;K$43,J$42,K196&lt;K$44,J$43,K196&lt;K$45,J$44,K196&lt;K$46,J$45,K196&lt;K$47,J$46,K196&gt;=K$47,J$47)</f>
        <v/>
      </c>
      <c r="K196" s="38" t="n">
        <v>146</v>
      </c>
      <c r="L196" s="31">
        <f>K196/52</f>
        <v/>
      </c>
      <c r="M196" s="39">
        <f>J196/1000000*52</f>
        <v/>
      </c>
      <c r="N196" s="33">
        <f>M196/$P$4+($I$22/$P$4)</f>
        <v/>
      </c>
      <c r="U196">
        <f>F195</f>
        <v/>
      </c>
      <c r="V196">
        <f>H195</f>
        <v/>
      </c>
      <c r="W196">
        <f>N195</f>
        <v/>
      </c>
    </row>
    <row r="197" ht="15.75" customHeight="1" s="40">
      <c r="C197" s="36">
        <f>_xlfn.IFS(E197&lt;E$24,0,E197&lt;E$26,C$24,E197&lt;E$28,C$26,E197&lt;E$30,C$28,E197&lt;E$32,C$30,E197&lt;E$34,C$32,E197&gt;=E$34,C$34)</f>
        <v/>
      </c>
      <c r="D197" s="37">
        <f>_xlfn.IFS(E197&lt;E$24,0,E197&lt;E$25,D$24,E197&lt;E$26,D$25,E197&lt;E$27,D$26,E197&lt;E$28,D$27,E197&lt;E$29,D$28,E197&lt;E$30,D$29,E197&lt;E$31,D$30,E197&lt;E$32,D$31,E197&lt;E$33,D$32,E197&lt;E$34,D$33,E197&lt;E$35,D$34,E197&gt;=E$35,D$35)</f>
        <v/>
      </c>
      <c r="E197" s="38" t="n">
        <v>147</v>
      </c>
      <c r="F197" s="31">
        <f>E197/52</f>
        <v/>
      </c>
      <c r="G197" s="39">
        <f>D197/1000000*52</f>
        <v/>
      </c>
      <c r="H197" s="33">
        <f>G197/$P$4+($C$22/$P$4)</f>
        <v/>
      </c>
      <c r="I197" s="36">
        <f>_xlfn.IFS(K197&lt;K$24,0,K197&lt;K$26,I$24,K197&lt;K$28,I$26,K197&lt;K$30,I$28,K197&lt;K$32,I$30,K197&lt;K$34,I$32,K197&lt;K$36,I$34,K197&lt;K$38,I$36,K197&lt;K$40,I$38,K197&lt;K$42,I$40,K197&lt;K$44,I$42,K197&lt;K$46,I$44,K197&gt;=K$46,I$46)</f>
        <v/>
      </c>
      <c r="J197" s="37">
        <f>_xlfn.IFS(K197&lt;K$24,0,K197&lt;K$25,J$24,K197&lt;K$26,J$25,K197&lt;K$27,J$26,K197&lt;K$28,J$27,K197&lt;K$29,J$28,K197&lt;K$30,J$29,K197&lt;K$31,J$30,K197&lt;K$32,J$31,K197&lt;K$33,J$32,K197&lt;K$34,J$33,K197&lt;K$35,J$34,K197&lt;K$36,J$35,K197&lt;K$37,J$36,K197&lt;K$38,J$37,K197&lt;K$39,J$38,K197&lt;K$40,J$39,K197&lt;K$41,J$40,K197&lt;K$42,J$41,K197&lt;K$43,J$42,K197&lt;K$44,J$43,K197&lt;K$45,J$44,K197&lt;K$46,J$45,K197&lt;K$47,J$46,K197&gt;=K$47,J$47)</f>
        <v/>
      </c>
      <c r="K197" s="38" t="n">
        <v>147</v>
      </c>
      <c r="L197" s="31">
        <f>K197/52</f>
        <v/>
      </c>
      <c r="M197" s="39">
        <f>J197/1000000*52</f>
        <v/>
      </c>
      <c r="N197" s="33">
        <f>M197/$P$4+($I$22/$P$4)</f>
        <v/>
      </c>
      <c r="U197">
        <f>F196</f>
        <v/>
      </c>
      <c r="V197">
        <f>H196</f>
        <v/>
      </c>
      <c r="W197">
        <f>N196</f>
        <v/>
      </c>
    </row>
    <row r="198" ht="15.75" customHeight="1" s="40">
      <c r="C198" s="36">
        <f>_xlfn.IFS(E198&lt;E$24,0,E198&lt;E$26,C$24,E198&lt;E$28,C$26,E198&lt;E$30,C$28,E198&lt;E$32,C$30,E198&lt;E$34,C$32,E198&gt;=E$34,C$34)</f>
        <v/>
      </c>
      <c r="D198" s="37">
        <f>_xlfn.IFS(E198&lt;E$24,0,E198&lt;E$25,D$24,E198&lt;E$26,D$25,E198&lt;E$27,D$26,E198&lt;E$28,D$27,E198&lt;E$29,D$28,E198&lt;E$30,D$29,E198&lt;E$31,D$30,E198&lt;E$32,D$31,E198&lt;E$33,D$32,E198&lt;E$34,D$33,E198&lt;E$35,D$34,E198&gt;=E$35,D$35)</f>
        <v/>
      </c>
      <c r="E198" s="38" t="n">
        <v>148</v>
      </c>
      <c r="F198" s="31">
        <f>E198/52</f>
        <v/>
      </c>
      <c r="G198" s="39">
        <f>D198/1000000*52</f>
        <v/>
      </c>
      <c r="H198" s="33">
        <f>G198/$P$4+($C$22/$P$4)</f>
        <v/>
      </c>
      <c r="I198" s="36">
        <f>_xlfn.IFS(K198&lt;K$24,0,K198&lt;K$26,I$24,K198&lt;K$28,I$26,K198&lt;K$30,I$28,K198&lt;K$32,I$30,K198&lt;K$34,I$32,K198&lt;K$36,I$34,K198&lt;K$38,I$36,K198&lt;K$40,I$38,K198&lt;K$42,I$40,K198&lt;K$44,I$42,K198&lt;K$46,I$44,K198&gt;=K$46,I$46)</f>
        <v/>
      </c>
      <c r="J198" s="37">
        <f>_xlfn.IFS(K198&lt;K$24,0,K198&lt;K$25,J$24,K198&lt;K$26,J$25,K198&lt;K$27,J$26,K198&lt;K$28,J$27,K198&lt;K$29,J$28,K198&lt;K$30,J$29,K198&lt;K$31,J$30,K198&lt;K$32,J$31,K198&lt;K$33,J$32,K198&lt;K$34,J$33,K198&lt;K$35,J$34,K198&lt;K$36,J$35,K198&lt;K$37,J$36,K198&lt;K$38,J$37,K198&lt;K$39,J$38,K198&lt;K$40,J$39,K198&lt;K$41,J$40,K198&lt;K$42,J$41,K198&lt;K$43,J$42,K198&lt;K$44,J$43,K198&lt;K$45,J$44,K198&lt;K$46,J$45,K198&lt;K$47,J$46,K198&gt;=K$47,J$47)</f>
        <v/>
      </c>
      <c r="K198" s="38" t="n">
        <v>148</v>
      </c>
      <c r="L198" s="31">
        <f>K198/52</f>
        <v/>
      </c>
      <c r="M198" s="39">
        <f>J198/1000000*52</f>
        <v/>
      </c>
      <c r="N198" s="33">
        <f>M198/$P$4+($I$22/$P$4)</f>
        <v/>
      </c>
      <c r="U198">
        <f>F197</f>
        <v/>
      </c>
      <c r="V198">
        <f>H197</f>
        <v/>
      </c>
      <c r="W198">
        <f>N197</f>
        <v/>
      </c>
    </row>
    <row r="199" ht="15.75" customHeight="1" s="40">
      <c r="C199" s="36">
        <f>_xlfn.IFS(E199&lt;E$24,0,E199&lt;E$26,C$24,E199&lt;E$28,C$26,E199&lt;E$30,C$28,E199&lt;E$32,C$30,E199&lt;E$34,C$32,E199&gt;=E$34,C$34)</f>
        <v/>
      </c>
      <c r="D199" s="37">
        <f>_xlfn.IFS(E199&lt;E$24,0,E199&lt;E$25,D$24,E199&lt;E$26,D$25,E199&lt;E$27,D$26,E199&lt;E$28,D$27,E199&lt;E$29,D$28,E199&lt;E$30,D$29,E199&lt;E$31,D$30,E199&lt;E$32,D$31,E199&lt;E$33,D$32,E199&lt;E$34,D$33,E199&lt;E$35,D$34,E199&gt;=E$35,D$35)</f>
        <v/>
      </c>
      <c r="E199" s="38" t="n">
        <v>149</v>
      </c>
      <c r="F199" s="31">
        <f>E199/52</f>
        <v/>
      </c>
      <c r="G199" s="39">
        <f>D199/1000000*52</f>
        <v/>
      </c>
      <c r="H199" s="33">
        <f>G199/$P$4+($C$22/$P$4)</f>
        <v/>
      </c>
      <c r="I199" s="36">
        <f>_xlfn.IFS(K199&lt;K$24,0,K199&lt;K$26,I$24,K199&lt;K$28,I$26,K199&lt;K$30,I$28,K199&lt;K$32,I$30,K199&lt;K$34,I$32,K199&lt;K$36,I$34,K199&lt;K$38,I$36,K199&lt;K$40,I$38,K199&lt;K$42,I$40,K199&lt;K$44,I$42,K199&lt;K$46,I$44,K199&gt;=K$46,I$46)</f>
        <v/>
      </c>
      <c r="J199" s="37">
        <f>_xlfn.IFS(K199&lt;K$24,0,K199&lt;K$25,J$24,K199&lt;K$26,J$25,K199&lt;K$27,J$26,K199&lt;K$28,J$27,K199&lt;K$29,J$28,K199&lt;K$30,J$29,K199&lt;K$31,J$30,K199&lt;K$32,J$31,K199&lt;K$33,J$32,K199&lt;K$34,J$33,K199&lt;K$35,J$34,K199&lt;K$36,J$35,K199&lt;K$37,J$36,K199&lt;K$38,J$37,K199&lt;K$39,J$38,K199&lt;K$40,J$39,K199&lt;K$41,J$40,K199&lt;K$42,J$41,K199&lt;K$43,J$42,K199&lt;K$44,J$43,K199&lt;K$45,J$44,K199&lt;K$46,J$45,K199&lt;K$47,J$46,K199&gt;=K$47,J$47)</f>
        <v/>
      </c>
      <c r="K199" s="38" t="n">
        <v>149</v>
      </c>
      <c r="L199" s="31">
        <f>K199/52</f>
        <v/>
      </c>
      <c r="M199" s="39">
        <f>J199/1000000*52</f>
        <v/>
      </c>
      <c r="N199" s="33">
        <f>M199/$P$4+($I$22/$P$4)</f>
        <v/>
      </c>
      <c r="U199">
        <f>F198</f>
        <v/>
      </c>
      <c r="V199">
        <f>H198</f>
        <v/>
      </c>
      <c r="W199">
        <f>N198</f>
        <v/>
      </c>
    </row>
    <row r="200" ht="15.75" customHeight="1" s="40">
      <c r="C200" s="36">
        <f>_xlfn.IFS(E200&lt;E$24,0,E200&lt;E$26,C$24,E200&lt;E$28,C$26,E200&lt;E$30,C$28,E200&lt;E$32,C$30,E200&lt;E$34,C$32,E200&gt;=E$34,C$34)</f>
        <v/>
      </c>
      <c r="D200" s="37">
        <f>_xlfn.IFS(E200&lt;E$24,0,E200&lt;E$25,D$24,E200&lt;E$26,D$25,E200&lt;E$27,D$26,E200&lt;E$28,D$27,E200&lt;E$29,D$28,E200&lt;E$30,D$29,E200&lt;E$31,D$30,E200&lt;E$32,D$31,E200&lt;E$33,D$32,E200&lt;E$34,D$33,E200&lt;E$35,D$34,E200&gt;=E$35,D$35)</f>
        <v/>
      </c>
      <c r="E200" s="38" t="n">
        <v>150</v>
      </c>
      <c r="F200" s="31">
        <f>E200/52</f>
        <v/>
      </c>
      <c r="G200" s="39">
        <f>D200/1000000*52</f>
        <v/>
      </c>
      <c r="H200" s="33">
        <f>G200/$P$4+($C$22/$P$4)</f>
        <v/>
      </c>
      <c r="I200" s="36">
        <f>_xlfn.IFS(K200&lt;K$24,0,K200&lt;K$26,I$24,K200&lt;K$28,I$26,K200&lt;K$30,I$28,K200&lt;K$32,I$30,K200&lt;K$34,I$32,K200&lt;K$36,I$34,K200&lt;K$38,I$36,K200&lt;K$40,I$38,K200&lt;K$42,I$40,K200&lt;K$44,I$42,K200&lt;K$46,I$44,K200&gt;=K$46,I$46)</f>
        <v/>
      </c>
      <c r="J200" s="37">
        <f>_xlfn.IFS(K200&lt;K$24,0,K200&lt;K$25,J$24,K200&lt;K$26,J$25,K200&lt;K$27,J$26,K200&lt;K$28,J$27,K200&lt;K$29,J$28,K200&lt;K$30,J$29,K200&lt;K$31,J$30,K200&lt;K$32,J$31,K200&lt;K$33,J$32,K200&lt;K$34,J$33,K200&lt;K$35,J$34,K200&lt;K$36,J$35,K200&lt;K$37,J$36,K200&lt;K$38,J$37,K200&lt;K$39,J$38,K200&lt;K$40,J$39,K200&lt;K$41,J$40,K200&lt;K$42,J$41,K200&lt;K$43,J$42,K200&lt;K$44,J$43,K200&lt;K$45,J$44,K200&lt;K$46,J$45,K200&lt;K$47,J$46,K200&gt;=K$47,J$47)</f>
        <v/>
      </c>
      <c r="K200" s="38" t="n">
        <v>150</v>
      </c>
      <c r="L200" s="31">
        <f>K200/52</f>
        <v/>
      </c>
      <c r="M200" s="39">
        <f>J200/1000000*52</f>
        <v/>
      </c>
      <c r="N200" s="33">
        <f>M200/$P$4+($I$22/$P$4)</f>
        <v/>
      </c>
      <c r="U200">
        <f>F199</f>
        <v/>
      </c>
      <c r="V200">
        <f>H199</f>
        <v/>
      </c>
      <c r="W200">
        <f>N199</f>
        <v/>
      </c>
    </row>
    <row r="201" ht="15.75" customHeight="1" s="40">
      <c r="C201" s="36">
        <f>_xlfn.IFS(E201&lt;E$24,0,E201&lt;E$26,C$24,E201&lt;E$28,C$26,E201&lt;E$30,C$28,E201&lt;E$32,C$30,E201&lt;E$34,C$32,E201&gt;=E$34,C$34)</f>
        <v/>
      </c>
      <c r="D201" s="37">
        <f>_xlfn.IFS(E201&lt;E$24,0,E201&lt;E$25,D$24,E201&lt;E$26,D$25,E201&lt;E$27,D$26,E201&lt;E$28,D$27,E201&lt;E$29,D$28,E201&lt;E$30,D$29,E201&lt;E$31,D$30,E201&lt;E$32,D$31,E201&lt;E$33,D$32,E201&lt;E$34,D$33,E201&lt;E$35,D$34,E201&gt;=E$35,D$35)</f>
        <v/>
      </c>
      <c r="E201" s="38" t="n">
        <v>151</v>
      </c>
      <c r="F201" s="31">
        <f>E201/52</f>
        <v/>
      </c>
      <c r="G201" s="39">
        <f>D201/1000000*52</f>
        <v/>
      </c>
      <c r="H201" s="33">
        <f>G201/$P$4+($C$22/$P$4)</f>
        <v/>
      </c>
      <c r="I201" s="36">
        <f>_xlfn.IFS(K201&lt;K$24,0,K201&lt;K$26,I$24,K201&lt;K$28,I$26,K201&lt;K$30,I$28,K201&lt;K$32,I$30,K201&lt;K$34,I$32,K201&lt;K$36,I$34,K201&lt;K$38,I$36,K201&lt;K$40,I$38,K201&lt;K$42,I$40,K201&lt;K$44,I$42,K201&lt;K$46,I$44,K201&gt;=K$46,I$46)</f>
        <v/>
      </c>
      <c r="J201" s="37">
        <f>_xlfn.IFS(K201&lt;K$24,0,K201&lt;K$25,J$24,K201&lt;K$26,J$25,K201&lt;K$27,J$26,K201&lt;K$28,J$27,K201&lt;K$29,J$28,K201&lt;K$30,J$29,K201&lt;K$31,J$30,K201&lt;K$32,J$31,K201&lt;K$33,J$32,K201&lt;K$34,J$33,K201&lt;K$35,J$34,K201&lt;K$36,J$35,K201&lt;K$37,J$36,K201&lt;K$38,J$37,K201&lt;K$39,J$38,K201&lt;K$40,J$39,K201&lt;K$41,J$40,K201&lt;K$42,J$41,K201&lt;K$43,J$42,K201&lt;K$44,J$43,K201&lt;K$45,J$44,K201&lt;K$46,J$45,K201&lt;K$47,J$46,K201&gt;=K$47,J$47)</f>
        <v/>
      </c>
      <c r="K201" s="38" t="n">
        <v>151</v>
      </c>
      <c r="L201" s="31">
        <f>K201/52</f>
        <v/>
      </c>
      <c r="M201" s="39">
        <f>J201/1000000*52</f>
        <v/>
      </c>
      <c r="N201" s="33">
        <f>M201/$P$4+($I$22/$P$4)</f>
        <v/>
      </c>
      <c r="U201">
        <f>F200</f>
        <v/>
      </c>
      <c r="V201">
        <f>H200</f>
        <v/>
      </c>
      <c r="W201">
        <f>N200</f>
        <v/>
      </c>
    </row>
    <row r="202" ht="15.75" customHeight="1" s="40">
      <c r="C202" s="36">
        <f>_xlfn.IFS(E202&lt;E$24,0,E202&lt;E$26,C$24,E202&lt;E$28,C$26,E202&lt;E$30,C$28,E202&lt;E$32,C$30,E202&lt;E$34,C$32,E202&gt;=E$34,C$34)</f>
        <v/>
      </c>
      <c r="D202" s="37">
        <f>_xlfn.IFS(E202&lt;E$24,0,E202&lt;E$25,D$24,E202&lt;E$26,D$25,E202&lt;E$27,D$26,E202&lt;E$28,D$27,E202&lt;E$29,D$28,E202&lt;E$30,D$29,E202&lt;E$31,D$30,E202&lt;E$32,D$31,E202&lt;E$33,D$32,E202&lt;E$34,D$33,E202&lt;E$35,D$34,E202&gt;=E$35,D$35)</f>
        <v/>
      </c>
      <c r="E202" s="38" t="n">
        <v>152</v>
      </c>
      <c r="F202" s="31">
        <f>E202/52</f>
        <v/>
      </c>
      <c r="G202" s="39">
        <f>D202/1000000*52</f>
        <v/>
      </c>
      <c r="H202" s="33">
        <f>G202/$P$4+($C$22/$P$4)</f>
        <v/>
      </c>
      <c r="I202" s="36">
        <f>_xlfn.IFS(K202&lt;K$24,0,K202&lt;K$26,I$24,K202&lt;K$28,I$26,K202&lt;K$30,I$28,K202&lt;K$32,I$30,K202&lt;K$34,I$32,K202&lt;K$36,I$34,K202&lt;K$38,I$36,K202&lt;K$40,I$38,K202&lt;K$42,I$40,K202&lt;K$44,I$42,K202&lt;K$46,I$44,K202&gt;=K$46,I$46)</f>
        <v/>
      </c>
      <c r="J202" s="37">
        <f>_xlfn.IFS(K202&lt;K$24,0,K202&lt;K$25,J$24,K202&lt;K$26,J$25,K202&lt;K$27,J$26,K202&lt;K$28,J$27,K202&lt;K$29,J$28,K202&lt;K$30,J$29,K202&lt;K$31,J$30,K202&lt;K$32,J$31,K202&lt;K$33,J$32,K202&lt;K$34,J$33,K202&lt;K$35,J$34,K202&lt;K$36,J$35,K202&lt;K$37,J$36,K202&lt;K$38,J$37,K202&lt;K$39,J$38,K202&lt;K$40,J$39,K202&lt;K$41,J$40,K202&lt;K$42,J$41,K202&lt;K$43,J$42,K202&lt;K$44,J$43,K202&lt;K$45,J$44,K202&lt;K$46,J$45,K202&lt;K$47,J$46,K202&gt;=K$47,J$47)</f>
        <v/>
      </c>
      <c r="K202" s="38" t="n">
        <v>152</v>
      </c>
      <c r="L202" s="31">
        <f>K202/52</f>
        <v/>
      </c>
      <c r="M202" s="39">
        <f>J202/1000000*52</f>
        <v/>
      </c>
      <c r="N202" s="33">
        <f>M202/$P$4+($I$22/$P$4)</f>
        <v/>
      </c>
      <c r="U202">
        <f>F201</f>
        <v/>
      </c>
      <c r="V202">
        <f>H201</f>
        <v/>
      </c>
      <c r="W202">
        <f>N201</f>
        <v/>
      </c>
    </row>
    <row r="203" ht="15.75" customHeight="1" s="40">
      <c r="C203" s="36">
        <f>_xlfn.IFS(E203&lt;E$24,0,E203&lt;E$26,C$24,E203&lt;E$28,C$26,E203&lt;E$30,C$28,E203&lt;E$32,C$30,E203&lt;E$34,C$32,E203&gt;=E$34,C$34)</f>
        <v/>
      </c>
      <c r="D203" s="37">
        <f>_xlfn.IFS(E203&lt;E$24,0,E203&lt;E$25,D$24,E203&lt;E$26,D$25,E203&lt;E$27,D$26,E203&lt;E$28,D$27,E203&lt;E$29,D$28,E203&lt;E$30,D$29,E203&lt;E$31,D$30,E203&lt;E$32,D$31,E203&lt;E$33,D$32,E203&lt;E$34,D$33,E203&lt;E$35,D$34,E203&gt;=E$35,D$35)</f>
        <v/>
      </c>
      <c r="E203" s="38" t="n">
        <v>153</v>
      </c>
      <c r="F203" s="31">
        <f>E203/52</f>
        <v/>
      </c>
      <c r="G203" s="39">
        <f>D203/1000000*52</f>
        <v/>
      </c>
      <c r="H203" s="33">
        <f>G203/$P$4+($C$22/$P$4)</f>
        <v/>
      </c>
      <c r="I203" s="36">
        <f>_xlfn.IFS(K203&lt;K$24,0,K203&lt;K$26,I$24,K203&lt;K$28,I$26,K203&lt;K$30,I$28,K203&lt;K$32,I$30,K203&lt;K$34,I$32,K203&lt;K$36,I$34,K203&lt;K$38,I$36,K203&lt;K$40,I$38,K203&lt;K$42,I$40,K203&lt;K$44,I$42,K203&lt;K$46,I$44,K203&gt;=K$46,I$46)</f>
        <v/>
      </c>
      <c r="J203" s="37">
        <f>_xlfn.IFS(K203&lt;K$24,0,K203&lt;K$25,J$24,K203&lt;K$26,J$25,K203&lt;K$27,J$26,K203&lt;K$28,J$27,K203&lt;K$29,J$28,K203&lt;K$30,J$29,K203&lt;K$31,J$30,K203&lt;K$32,J$31,K203&lt;K$33,J$32,K203&lt;K$34,J$33,K203&lt;K$35,J$34,K203&lt;K$36,J$35,K203&lt;K$37,J$36,K203&lt;K$38,J$37,K203&lt;K$39,J$38,K203&lt;K$40,J$39,K203&lt;K$41,J$40,K203&lt;K$42,J$41,K203&lt;K$43,J$42,K203&lt;K$44,J$43,K203&lt;K$45,J$44,K203&lt;K$46,J$45,K203&lt;K$47,J$46,K203&gt;=K$47,J$47)</f>
        <v/>
      </c>
      <c r="K203" s="38" t="n">
        <v>153</v>
      </c>
      <c r="L203" s="31">
        <f>K203/52</f>
        <v/>
      </c>
      <c r="M203" s="39">
        <f>J203/1000000*52</f>
        <v/>
      </c>
      <c r="N203" s="33">
        <f>M203/$P$4+($I$22/$P$4)</f>
        <v/>
      </c>
      <c r="U203">
        <f>F202</f>
        <v/>
      </c>
      <c r="V203">
        <f>H202</f>
        <v/>
      </c>
      <c r="W203">
        <f>N202</f>
        <v/>
      </c>
    </row>
    <row r="204" ht="15.75" customHeight="1" s="40">
      <c r="C204" s="36">
        <f>_xlfn.IFS(E204&lt;E$24,0,E204&lt;E$26,C$24,E204&lt;E$28,C$26,E204&lt;E$30,C$28,E204&lt;E$32,C$30,E204&lt;E$34,C$32,E204&gt;=E$34,C$34)</f>
        <v/>
      </c>
      <c r="D204" s="37">
        <f>_xlfn.IFS(E204&lt;E$24,0,E204&lt;E$25,D$24,E204&lt;E$26,D$25,E204&lt;E$27,D$26,E204&lt;E$28,D$27,E204&lt;E$29,D$28,E204&lt;E$30,D$29,E204&lt;E$31,D$30,E204&lt;E$32,D$31,E204&lt;E$33,D$32,E204&lt;E$34,D$33,E204&lt;E$35,D$34,E204&gt;=E$35,D$35)</f>
        <v/>
      </c>
      <c r="E204" s="38" t="n">
        <v>154</v>
      </c>
      <c r="F204" s="31">
        <f>E204/52</f>
        <v/>
      </c>
      <c r="G204" s="39">
        <f>D204/1000000*52</f>
        <v/>
      </c>
      <c r="H204" s="33">
        <f>G204/$P$4+($C$22/$P$4)</f>
        <v/>
      </c>
      <c r="I204" s="36">
        <f>_xlfn.IFS(K204&lt;K$24,0,K204&lt;K$26,I$24,K204&lt;K$28,I$26,K204&lt;K$30,I$28,K204&lt;K$32,I$30,K204&lt;K$34,I$32,K204&lt;K$36,I$34,K204&lt;K$38,I$36,K204&lt;K$40,I$38,K204&lt;K$42,I$40,K204&lt;K$44,I$42,K204&lt;K$46,I$44,K204&gt;=K$46,I$46)</f>
        <v/>
      </c>
      <c r="J204" s="37">
        <f>_xlfn.IFS(K204&lt;K$24,0,K204&lt;K$25,J$24,K204&lt;K$26,J$25,K204&lt;K$27,J$26,K204&lt;K$28,J$27,K204&lt;K$29,J$28,K204&lt;K$30,J$29,K204&lt;K$31,J$30,K204&lt;K$32,J$31,K204&lt;K$33,J$32,K204&lt;K$34,J$33,K204&lt;K$35,J$34,K204&lt;K$36,J$35,K204&lt;K$37,J$36,K204&lt;K$38,J$37,K204&lt;K$39,J$38,K204&lt;K$40,J$39,K204&lt;K$41,J$40,K204&lt;K$42,J$41,K204&lt;K$43,J$42,K204&lt;K$44,J$43,K204&lt;K$45,J$44,K204&lt;K$46,J$45,K204&lt;K$47,J$46,K204&gt;=K$47,J$47)</f>
        <v/>
      </c>
      <c r="K204" s="38" t="n">
        <v>154</v>
      </c>
      <c r="L204" s="31">
        <f>K204/52</f>
        <v/>
      </c>
      <c r="M204" s="39">
        <f>J204/1000000*52</f>
        <v/>
      </c>
      <c r="N204" s="33">
        <f>M204/$P$4+($I$22/$P$4)</f>
        <v/>
      </c>
      <c r="U204">
        <f>F203</f>
        <v/>
      </c>
      <c r="V204">
        <f>H203</f>
        <v/>
      </c>
      <c r="W204">
        <f>N203</f>
        <v/>
      </c>
    </row>
    <row r="205" ht="15.75" customHeight="1" s="40">
      <c r="C205" s="36">
        <f>_xlfn.IFS(E205&lt;E$24,0,E205&lt;E$26,C$24,E205&lt;E$28,C$26,E205&lt;E$30,C$28,E205&lt;E$32,C$30,E205&lt;E$34,C$32,E205&gt;=E$34,C$34)</f>
        <v/>
      </c>
      <c r="D205" s="37">
        <f>_xlfn.IFS(E205&lt;E$24,0,E205&lt;E$25,D$24,E205&lt;E$26,D$25,E205&lt;E$27,D$26,E205&lt;E$28,D$27,E205&lt;E$29,D$28,E205&lt;E$30,D$29,E205&lt;E$31,D$30,E205&lt;E$32,D$31,E205&lt;E$33,D$32,E205&lt;E$34,D$33,E205&lt;E$35,D$34,E205&gt;=E$35,D$35)</f>
        <v/>
      </c>
      <c r="E205" s="38" t="n">
        <v>155</v>
      </c>
      <c r="F205" s="31">
        <f>E205/52</f>
        <v/>
      </c>
      <c r="G205" s="39">
        <f>D205/1000000*52</f>
        <v/>
      </c>
      <c r="H205" s="33">
        <f>G205/$P$4+($C$22/$P$4)</f>
        <v/>
      </c>
      <c r="I205" s="36">
        <f>_xlfn.IFS(K205&lt;K$24,0,K205&lt;K$26,I$24,K205&lt;K$28,I$26,K205&lt;K$30,I$28,K205&lt;K$32,I$30,K205&lt;K$34,I$32,K205&lt;K$36,I$34,K205&lt;K$38,I$36,K205&lt;K$40,I$38,K205&lt;K$42,I$40,K205&lt;K$44,I$42,K205&lt;K$46,I$44,K205&gt;=K$46,I$46)</f>
        <v/>
      </c>
      <c r="J205" s="37">
        <f>_xlfn.IFS(K205&lt;K$24,0,K205&lt;K$25,J$24,K205&lt;K$26,J$25,K205&lt;K$27,J$26,K205&lt;K$28,J$27,K205&lt;K$29,J$28,K205&lt;K$30,J$29,K205&lt;K$31,J$30,K205&lt;K$32,J$31,K205&lt;K$33,J$32,K205&lt;K$34,J$33,K205&lt;K$35,J$34,K205&lt;K$36,J$35,K205&lt;K$37,J$36,K205&lt;K$38,J$37,K205&lt;K$39,J$38,K205&lt;K$40,J$39,K205&lt;K$41,J$40,K205&lt;K$42,J$41,K205&lt;K$43,J$42,K205&lt;K$44,J$43,K205&lt;K$45,J$44,K205&lt;K$46,J$45,K205&lt;K$47,J$46,K205&gt;=K$47,J$47)</f>
        <v/>
      </c>
      <c r="K205" s="38" t="n">
        <v>155</v>
      </c>
      <c r="L205" s="31">
        <f>K205/52</f>
        <v/>
      </c>
      <c r="M205" s="39">
        <f>J205/1000000*52</f>
        <v/>
      </c>
      <c r="N205" s="33">
        <f>M205/$P$4+($I$22/$P$4)</f>
        <v/>
      </c>
      <c r="U205">
        <f>F204</f>
        <v/>
      </c>
      <c r="V205">
        <f>H204</f>
        <v/>
      </c>
      <c r="W205">
        <f>N204</f>
        <v/>
      </c>
    </row>
    <row r="206" ht="15.75" customHeight="1" s="40">
      <c r="C206" s="36">
        <f>_xlfn.IFS(E206&lt;E$24,0,E206&lt;E$26,C$24,E206&lt;E$28,C$26,E206&lt;E$30,C$28,E206&lt;E$32,C$30,E206&lt;E$34,C$32,E206&gt;=E$34,C$34)</f>
        <v/>
      </c>
      <c r="D206" s="37">
        <f>_xlfn.IFS(E206&lt;E$24,0,E206&lt;E$25,D$24,E206&lt;E$26,D$25,E206&lt;E$27,D$26,E206&lt;E$28,D$27,E206&lt;E$29,D$28,E206&lt;E$30,D$29,E206&lt;E$31,D$30,E206&lt;E$32,D$31,E206&lt;E$33,D$32,E206&lt;E$34,D$33,E206&lt;E$35,D$34,E206&gt;=E$35,D$35)</f>
        <v/>
      </c>
      <c r="E206" s="38" t="n">
        <v>156</v>
      </c>
      <c r="F206" s="31">
        <f>E206/52</f>
        <v/>
      </c>
      <c r="G206" s="39">
        <f>D206/1000000*52</f>
        <v/>
      </c>
      <c r="H206" s="33">
        <f>G206/$P$4+($C$22/$P$4)</f>
        <v/>
      </c>
      <c r="I206" s="36">
        <f>_xlfn.IFS(K206&lt;K$24,0,K206&lt;K$26,I$24,K206&lt;K$28,I$26,K206&lt;K$30,I$28,K206&lt;K$32,I$30,K206&lt;K$34,I$32,K206&lt;K$36,I$34,K206&lt;K$38,I$36,K206&lt;K$40,I$38,K206&lt;K$42,I$40,K206&lt;K$44,I$42,K206&lt;K$46,I$44,K206&gt;=K$46,I$46)</f>
        <v/>
      </c>
      <c r="J206" s="37">
        <f>_xlfn.IFS(K206&lt;K$24,0,K206&lt;K$25,J$24,K206&lt;K$26,J$25,K206&lt;K$27,J$26,K206&lt;K$28,J$27,K206&lt;K$29,J$28,K206&lt;K$30,J$29,K206&lt;K$31,J$30,K206&lt;K$32,J$31,K206&lt;K$33,J$32,K206&lt;K$34,J$33,K206&lt;K$35,J$34,K206&lt;K$36,J$35,K206&lt;K$37,J$36,K206&lt;K$38,J$37,K206&lt;K$39,J$38,K206&lt;K$40,J$39,K206&lt;K$41,J$40,K206&lt;K$42,J$41,K206&lt;K$43,J$42,K206&lt;K$44,J$43,K206&lt;K$45,J$44,K206&lt;K$46,J$45,K206&lt;K$47,J$46,K206&gt;=K$47,J$47)</f>
        <v/>
      </c>
      <c r="K206" s="38" t="n">
        <v>156</v>
      </c>
      <c r="L206" s="31">
        <f>K206/52</f>
        <v/>
      </c>
      <c r="M206" s="39">
        <f>J206/1000000*52</f>
        <v/>
      </c>
      <c r="N206" s="33">
        <f>M206/$P$4+($I$22/$P$4)</f>
        <v/>
      </c>
      <c r="U206">
        <f>F205</f>
        <v/>
      </c>
      <c r="V206">
        <f>H205</f>
        <v/>
      </c>
      <c r="W206">
        <f>N205</f>
        <v/>
      </c>
    </row>
    <row r="207" ht="15.75" customHeight="1" s="40">
      <c r="C207" s="36">
        <f>_xlfn.IFS(E207&lt;E$24,0,E207&lt;E$26,C$24,E207&lt;E$28,C$26,E207&lt;E$30,C$28,E207&lt;E$32,C$30,E207&lt;E$34,C$32,E207&gt;=E$34,C$34)</f>
        <v/>
      </c>
      <c r="D207" s="37">
        <f>_xlfn.IFS(E207&lt;E$24,0,E207&lt;E$25,D$24,E207&lt;E$26,D$25,E207&lt;E$27,D$26,E207&lt;E$28,D$27,E207&lt;E$29,D$28,E207&lt;E$30,D$29,E207&lt;E$31,D$30,E207&lt;E$32,D$31,E207&lt;E$33,D$32,E207&lt;E$34,D$33,E207&lt;E$35,D$34,E207&gt;=E$35,D$35)</f>
        <v/>
      </c>
      <c r="E207" s="38" t="n">
        <v>157</v>
      </c>
      <c r="F207" s="31">
        <f>E207/52</f>
        <v/>
      </c>
      <c r="G207" s="39">
        <f>D207/1000000*52</f>
        <v/>
      </c>
      <c r="H207" s="33">
        <f>G207/$P$4+($C$22/$P$4)</f>
        <v/>
      </c>
      <c r="I207" s="36">
        <f>_xlfn.IFS(K207&lt;K$24,0,K207&lt;K$26,I$24,K207&lt;K$28,I$26,K207&lt;K$30,I$28,K207&lt;K$32,I$30,K207&lt;K$34,I$32,K207&lt;K$36,I$34,K207&lt;K$38,I$36,K207&lt;K$40,I$38,K207&lt;K$42,I$40,K207&lt;K$44,I$42,K207&lt;K$46,I$44,K207&gt;=K$46,I$46)</f>
        <v/>
      </c>
      <c r="J207" s="37">
        <f>_xlfn.IFS(K207&lt;K$24,0,K207&lt;K$25,J$24,K207&lt;K$26,J$25,K207&lt;K$27,J$26,K207&lt;K$28,J$27,K207&lt;K$29,J$28,K207&lt;K$30,J$29,K207&lt;K$31,J$30,K207&lt;K$32,J$31,K207&lt;K$33,J$32,K207&lt;K$34,J$33,K207&lt;K$35,J$34,K207&lt;K$36,J$35,K207&lt;K$37,J$36,K207&lt;K$38,J$37,K207&lt;K$39,J$38,K207&lt;K$40,J$39,K207&lt;K$41,J$40,K207&lt;K$42,J$41,K207&lt;K$43,J$42,K207&lt;K$44,J$43,K207&lt;K$45,J$44,K207&lt;K$46,J$45,K207&lt;K$47,J$46,K207&gt;=K$47,J$47)</f>
        <v/>
      </c>
      <c r="K207" s="38" t="n">
        <v>157</v>
      </c>
      <c r="L207" s="31">
        <f>K207/52</f>
        <v/>
      </c>
      <c r="M207" s="39">
        <f>J207/1000000*52</f>
        <v/>
      </c>
      <c r="N207" s="33">
        <f>M207/$P$4+($I$22/$P$4)</f>
        <v/>
      </c>
      <c r="U207">
        <f>F206</f>
        <v/>
      </c>
      <c r="V207">
        <f>H206</f>
        <v/>
      </c>
      <c r="W207">
        <f>N206</f>
        <v/>
      </c>
    </row>
    <row r="208" ht="15.75" customHeight="1" s="40">
      <c r="C208" s="36">
        <f>_xlfn.IFS(E208&lt;E$24,0,E208&lt;E$26,C$24,E208&lt;E$28,C$26,E208&lt;E$30,C$28,E208&lt;E$32,C$30,E208&lt;E$34,C$32,E208&gt;=E$34,C$34)</f>
        <v/>
      </c>
      <c r="D208" s="37">
        <f>_xlfn.IFS(E208&lt;E$24,0,E208&lt;E$25,D$24,E208&lt;E$26,D$25,E208&lt;E$27,D$26,E208&lt;E$28,D$27,E208&lt;E$29,D$28,E208&lt;E$30,D$29,E208&lt;E$31,D$30,E208&lt;E$32,D$31,E208&lt;E$33,D$32,E208&lt;E$34,D$33,E208&lt;E$35,D$34,E208&gt;=E$35,D$35)</f>
        <v/>
      </c>
      <c r="E208" s="38" t="n">
        <v>158</v>
      </c>
      <c r="F208" s="31">
        <f>E208/52</f>
        <v/>
      </c>
      <c r="G208" s="39">
        <f>D208/1000000*52</f>
        <v/>
      </c>
      <c r="H208" s="33">
        <f>G208/$P$4+($C$22/$P$4)</f>
        <v/>
      </c>
      <c r="I208" s="36">
        <f>_xlfn.IFS(K208&lt;K$24,0,K208&lt;K$26,I$24,K208&lt;K$28,I$26,K208&lt;K$30,I$28,K208&lt;K$32,I$30,K208&lt;K$34,I$32,K208&lt;K$36,I$34,K208&lt;K$38,I$36,K208&lt;K$40,I$38,K208&lt;K$42,I$40,K208&lt;K$44,I$42,K208&lt;K$46,I$44,K208&gt;=K$46,I$46)</f>
        <v/>
      </c>
      <c r="J208" s="37">
        <f>_xlfn.IFS(K208&lt;K$24,0,K208&lt;K$25,J$24,K208&lt;K$26,J$25,K208&lt;K$27,J$26,K208&lt;K$28,J$27,K208&lt;K$29,J$28,K208&lt;K$30,J$29,K208&lt;K$31,J$30,K208&lt;K$32,J$31,K208&lt;K$33,J$32,K208&lt;K$34,J$33,K208&lt;K$35,J$34,K208&lt;K$36,J$35,K208&lt;K$37,J$36,K208&lt;K$38,J$37,K208&lt;K$39,J$38,K208&lt;K$40,J$39,K208&lt;K$41,J$40,K208&lt;K$42,J$41,K208&lt;K$43,J$42,K208&lt;K$44,J$43,K208&lt;K$45,J$44,K208&lt;K$46,J$45,K208&lt;K$47,J$46,K208&gt;=K$47,J$47)</f>
        <v/>
      </c>
      <c r="K208" s="38" t="n">
        <v>158</v>
      </c>
      <c r="L208" s="31">
        <f>K208/52</f>
        <v/>
      </c>
      <c r="M208" s="39">
        <f>J208/1000000*52</f>
        <v/>
      </c>
      <c r="N208" s="33">
        <f>M208/$P$4+($I$22/$P$4)</f>
        <v/>
      </c>
      <c r="U208">
        <f>F207</f>
        <v/>
      </c>
      <c r="V208">
        <f>H207</f>
        <v/>
      </c>
      <c r="W208">
        <f>N207</f>
        <v/>
      </c>
    </row>
    <row r="209" ht="15.75" customHeight="1" s="40">
      <c r="C209" s="36">
        <f>_xlfn.IFS(E209&lt;E$24,0,E209&lt;E$26,C$24,E209&lt;E$28,C$26,E209&lt;E$30,C$28,E209&lt;E$32,C$30,E209&lt;E$34,C$32,E209&gt;=E$34,C$34)</f>
        <v/>
      </c>
      <c r="D209" s="37">
        <f>_xlfn.IFS(E209&lt;E$24,0,E209&lt;E$25,D$24,E209&lt;E$26,D$25,E209&lt;E$27,D$26,E209&lt;E$28,D$27,E209&lt;E$29,D$28,E209&lt;E$30,D$29,E209&lt;E$31,D$30,E209&lt;E$32,D$31,E209&lt;E$33,D$32,E209&lt;E$34,D$33,E209&lt;E$35,D$34,E209&gt;=E$35,D$35)</f>
        <v/>
      </c>
      <c r="E209" s="38" t="n">
        <v>159</v>
      </c>
      <c r="F209" s="31">
        <f>E209/52</f>
        <v/>
      </c>
      <c r="G209" s="39">
        <f>D209/1000000*52</f>
        <v/>
      </c>
      <c r="H209" s="33">
        <f>G209/$P$4+($C$22/$P$4)</f>
        <v/>
      </c>
      <c r="I209" s="36">
        <f>_xlfn.IFS(K209&lt;K$24,0,K209&lt;K$26,I$24,K209&lt;K$28,I$26,K209&lt;K$30,I$28,K209&lt;K$32,I$30,K209&lt;K$34,I$32,K209&lt;K$36,I$34,K209&lt;K$38,I$36,K209&lt;K$40,I$38,K209&lt;K$42,I$40,K209&lt;K$44,I$42,K209&lt;K$46,I$44,K209&gt;=K$46,I$46)</f>
        <v/>
      </c>
      <c r="J209" s="37">
        <f>_xlfn.IFS(K209&lt;K$24,0,K209&lt;K$25,J$24,K209&lt;K$26,J$25,K209&lt;K$27,J$26,K209&lt;K$28,J$27,K209&lt;K$29,J$28,K209&lt;K$30,J$29,K209&lt;K$31,J$30,K209&lt;K$32,J$31,K209&lt;K$33,J$32,K209&lt;K$34,J$33,K209&lt;K$35,J$34,K209&lt;K$36,J$35,K209&lt;K$37,J$36,K209&lt;K$38,J$37,K209&lt;K$39,J$38,K209&lt;K$40,J$39,K209&lt;K$41,J$40,K209&lt;K$42,J$41,K209&lt;K$43,J$42,K209&lt;K$44,J$43,K209&lt;K$45,J$44,K209&lt;K$46,J$45,K209&lt;K$47,J$46,K209&gt;=K$47,J$47)</f>
        <v/>
      </c>
      <c r="K209" s="38" t="n">
        <v>159</v>
      </c>
      <c r="L209" s="31">
        <f>K209/52</f>
        <v/>
      </c>
      <c r="M209" s="39">
        <f>J209/1000000*52</f>
        <v/>
      </c>
      <c r="N209" s="33">
        <f>M209/$P$4+($I$22/$P$4)</f>
        <v/>
      </c>
      <c r="U209">
        <f>F208</f>
        <v/>
      </c>
      <c r="V209">
        <f>H208</f>
        <v/>
      </c>
      <c r="W209">
        <f>N208</f>
        <v/>
      </c>
    </row>
    <row r="210" ht="15.75" customHeight="1" s="40">
      <c r="C210" s="36">
        <f>_xlfn.IFS(E210&lt;E$24,0,E210&lt;E$26,C$24,E210&lt;E$28,C$26,E210&lt;E$30,C$28,E210&lt;E$32,C$30,E210&lt;E$34,C$32,E210&gt;=E$34,C$34)</f>
        <v/>
      </c>
      <c r="D210" s="37">
        <f>_xlfn.IFS(E210&lt;E$24,0,E210&lt;E$25,D$24,E210&lt;E$26,D$25,E210&lt;E$27,D$26,E210&lt;E$28,D$27,E210&lt;E$29,D$28,E210&lt;E$30,D$29,E210&lt;E$31,D$30,E210&lt;E$32,D$31,E210&lt;E$33,D$32,E210&lt;E$34,D$33,E210&lt;E$35,D$34,E210&gt;=E$35,D$35)</f>
        <v/>
      </c>
      <c r="E210" s="38" t="n">
        <v>160</v>
      </c>
      <c r="F210" s="31">
        <f>E210/52</f>
        <v/>
      </c>
      <c r="G210" s="39">
        <f>D210/1000000*52</f>
        <v/>
      </c>
      <c r="H210" s="33">
        <f>G210/$P$4+($C$22/$P$4)</f>
        <v/>
      </c>
      <c r="I210" s="36">
        <f>_xlfn.IFS(K210&lt;K$24,0,K210&lt;K$26,I$24,K210&lt;K$28,I$26,K210&lt;K$30,I$28,K210&lt;K$32,I$30,K210&lt;K$34,I$32,K210&lt;K$36,I$34,K210&lt;K$38,I$36,K210&lt;K$40,I$38,K210&lt;K$42,I$40,K210&lt;K$44,I$42,K210&lt;K$46,I$44,K210&gt;=K$46,I$46)</f>
        <v/>
      </c>
      <c r="J210" s="37">
        <f>_xlfn.IFS(K210&lt;K$24,0,K210&lt;K$25,J$24,K210&lt;K$26,J$25,K210&lt;K$27,J$26,K210&lt;K$28,J$27,K210&lt;K$29,J$28,K210&lt;K$30,J$29,K210&lt;K$31,J$30,K210&lt;K$32,J$31,K210&lt;K$33,J$32,K210&lt;K$34,J$33,K210&lt;K$35,J$34,K210&lt;K$36,J$35,K210&lt;K$37,J$36,K210&lt;K$38,J$37,K210&lt;K$39,J$38,K210&lt;K$40,J$39,K210&lt;K$41,J$40,K210&lt;K$42,J$41,K210&lt;K$43,J$42,K210&lt;K$44,J$43,K210&lt;K$45,J$44,K210&lt;K$46,J$45,K210&lt;K$47,J$46,K210&gt;=K$47,J$47)</f>
        <v/>
      </c>
      <c r="K210" s="38" t="n">
        <v>160</v>
      </c>
      <c r="L210" s="31">
        <f>K210/52</f>
        <v/>
      </c>
      <c r="M210" s="39">
        <f>J210/1000000*52</f>
        <v/>
      </c>
      <c r="N210" s="33">
        <f>M210/$P$4+($I$22/$P$4)</f>
        <v/>
      </c>
      <c r="U210">
        <f>F209</f>
        <v/>
      </c>
      <c r="V210">
        <f>H209</f>
        <v/>
      </c>
      <c r="W210">
        <f>N209</f>
        <v/>
      </c>
    </row>
    <row r="211" ht="15.75" customHeight="1" s="40">
      <c r="C211" s="36">
        <f>_xlfn.IFS(E211&lt;E$24,0,E211&lt;E$26,C$24,E211&lt;E$28,C$26,E211&lt;E$30,C$28,E211&lt;E$32,C$30,E211&lt;E$34,C$32,E211&gt;=E$34,C$34)</f>
        <v/>
      </c>
      <c r="D211" s="37">
        <f>_xlfn.IFS(E211&lt;E$24,0,E211&lt;E$25,D$24,E211&lt;E$26,D$25,E211&lt;E$27,D$26,E211&lt;E$28,D$27,E211&lt;E$29,D$28,E211&lt;E$30,D$29,E211&lt;E$31,D$30,E211&lt;E$32,D$31,E211&lt;E$33,D$32,E211&lt;E$34,D$33,E211&lt;E$35,D$34,E211&gt;=E$35,D$35)</f>
        <v/>
      </c>
      <c r="E211" s="38" t="n">
        <v>161</v>
      </c>
      <c r="F211" s="31">
        <f>E211/52</f>
        <v/>
      </c>
      <c r="G211" s="39">
        <f>D211/1000000*52</f>
        <v/>
      </c>
      <c r="H211" s="33">
        <f>G211/$P$4+($C$22/$P$4)</f>
        <v/>
      </c>
      <c r="I211" s="36">
        <f>_xlfn.IFS(K211&lt;K$24,0,K211&lt;K$26,I$24,K211&lt;K$28,I$26,K211&lt;K$30,I$28,K211&lt;K$32,I$30,K211&lt;K$34,I$32,K211&lt;K$36,I$34,K211&lt;K$38,I$36,K211&lt;K$40,I$38,K211&lt;K$42,I$40,K211&lt;K$44,I$42,K211&lt;K$46,I$44,K211&gt;=K$46,I$46)</f>
        <v/>
      </c>
      <c r="J211" s="37">
        <f>_xlfn.IFS(K211&lt;K$24,0,K211&lt;K$25,J$24,K211&lt;K$26,J$25,K211&lt;K$27,J$26,K211&lt;K$28,J$27,K211&lt;K$29,J$28,K211&lt;K$30,J$29,K211&lt;K$31,J$30,K211&lt;K$32,J$31,K211&lt;K$33,J$32,K211&lt;K$34,J$33,K211&lt;K$35,J$34,K211&lt;K$36,J$35,K211&lt;K$37,J$36,K211&lt;K$38,J$37,K211&lt;K$39,J$38,K211&lt;K$40,J$39,K211&lt;K$41,J$40,K211&lt;K$42,J$41,K211&lt;K$43,J$42,K211&lt;K$44,J$43,K211&lt;K$45,J$44,K211&lt;K$46,J$45,K211&lt;K$47,J$46,K211&gt;=K$47,J$47)</f>
        <v/>
      </c>
      <c r="K211" s="38" t="n">
        <v>161</v>
      </c>
      <c r="L211" s="31">
        <f>K211/52</f>
        <v/>
      </c>
      <c r="M211" s="39">
        <f>J211/1000000*52</f>
        <v/>
      </c>
      <c r="N211" s="33">
        <f>M211/$P$4+($I$22/$P$4)</f>
        <v/>
      </c>
      <c r="U211">
        <f>F210</f>
        <v/>
      </c>
      <c r="V211">
        <f>H210</f>
        <v/>
      </c>
      <c r="W211">
        <f>N210</f>
        <v/>
      </c>
    </row>
    <row r="212" ht="15.75" customHeight="1" s="40">
      <c r="C212" s="36">
        <f>_xlfn.IFS(E212&lt;E$24,0,E212&lt;E$26,C$24,E212&lt;E$28,C$26,E212&lt;E$30,C$28,E212&lt;E$32,C$30,E212&lt;E$34,C$32,E212&gt;=E$34,C$34)</f>
        <v/>
      </c>
      <c r="D212" s="37">
        <f>_xlfn.IFS(E212&lt;E$24,0,E212&lt;E$25,D$24,E212&lt;E$26,D$25,E212&lt;E$27,D$26,E212&lt;E$28,D$27,E212&lt;E$29,D$28,E212&lt;E$30,D$29,E212&lt;E$31,D$30,E212&lt;E$32,D$31,E212&lt;E$33,D$32,E212&lt;E$34,D$33,E212&lt;E$35,D$34,E212&gt;=E$35,D$35)</f>
        <v/>
      </c>
      <c r="E212" s="38" t="n">
        <v>162</v>
      </c>
      <c r="F212" s="31">
        <f>E212/52</f>
        <v/>
      </c>
      <c r="G212" s="39">
        <f>D212/1000000*52</f>
        <v/>
      </c>
      <c r="H212" s="33">
        <f>G212/$P$4+($C$22/$P$4)</f>
        <v/>
      </c>
      <c r="I212" s="36">
        <f>_xlfn.IFS(K212&lt;K$24,0,K212&lt;K$26,I$24,K212&lt;K$28,I$26,K212&lt;K$30,I$28,K212&lt;K$32,I$30,K212&lt;K$34,I$32,K212&lt;K$36,I$34,K212&lt;K$38,I$36,K212&lt;K$40,I$38,K212&lt;K$42,I$40,K212&lt;K$44,I$42,K212&lt;K$46,I$44,K212&gt;=K$46,I$46)</f>
        <v/>
      </c>
      <c r="J212" s="37">
        <f>_xlfn.IFS(K212&lt;K$24,0,K212&lt;K$25,J$24,K212&lt;K$26,J$25,K212&lt;K$27,J$26,K212&lt;K$28,J$27,K212&lt;K$29,J$28,K212&lt;K$30,J$29,K212&lt;K$31,J$30,K212&lt;K$32,J$31,K212&lt;K$33,J$32,K212&lt;K$34,J$33,K212&lt;K$35,J$34,K212&lt;K$36,J$35,K212&lt;K$37,J$36,K212&lt;K$38,J$37,K212&lt;K$39,J$38,K212&lt;K$40,J$39,K212&lt;K$41,J$40,K212&lt;K$42,J$41,K212&lt;K$43,J$42,K212&lt;K$44,J$43,K212&lt;K$45,J$44,K212&lt;K$46,J$45,K212&lt;K$47,J$46,K212&gt;=K$47,J$47)</f>
        <v/>
      </c>
      <c r="K212" s="38" t="n">
        <v>162</v>
      </c>
      <c r="L212" s="31">
        <f>K212/52</f>
        <v/>
      </c>
      <c r="M212" s="39">
        <f>J212/1000000*52</f>
        <v/>
      </c>
      <c r="N212" s="33">
        <f>M212/$P$4+($I$22/$P$4)</f>
        <v/>
      </c>
      <c r="U212">
        <f>F211</f>
        <v/>
      </c>
      <c r="V212">
        <f>H211</f>
        <v/>
      </c>
      <c r="W212">
        <f>N211</f>
        <v/>
      </c>
    </row>
    <row r="213" ht="15.75" customHeight="1" s="40">
      <c r="C213" s="36">
        <f>_xlfn.IFS(E213&lt;E$24,0,E213&lt;E$26,C$24,E213&lt;E$28,C$26,E213&lt;E$30,C$28,E213&lt;E$32,C$30,E213&lt;E$34,C$32,E213&gt;=E$34,C$34)</f>
        <v/>
      </c>
      <c r="D213" s="37">
        <f>_xlfn.IFS(E213&lt;E$24,0,E213&lt;E$25,D$24,E213&lt;E$26,D$25,E213&lt;E$27,D$26,E213&lt;E$28,D$27,E213&lt;E$29,D$28,E213&lt;E$30,D$29,E213&lt;E$31,D$30,E213&lt;E$32,D$31,E213&lt;E$33,D$32,E213&lt;E$34,D$33,E213&lt;E$35,D$34,E213&gt;=E$35,D$35)</f>
        <v/>
      </c>
      <c r="E213" s="38" t="n">
        <v>163</v>
      </c>
      <c r="F213" s="31">
        <f>E213/52</f>
        <v/>
      </c>
      <c r="G213" s="39">
        <f>D213/1000000*52</f>
        <v/>
      </c>
      <c r="H213" s="33">
        <f>G213/$P$4+($C$22/$P$4)</f>
        <v/>
      </c>
      <c r="I213" s="36">
        <f>_xlfn.IFS(K213&lt;K$24,0,K213&lt;K$26,I$24,K213&lt;K$28,I$26,K213&lt;K$30,I$28,K213&lt;K$32,I$30,K213&lt;K$34,I$32,K213&lt;K$36,I$34,K213&lt;K$38,I$36,K213&lt;K$40,I$38,K213&lt;K$42,I$40,K213&lt;K$44,I$42,K213&lt;K$46,I$44,K213&gt;=K$46,I$46)</f>
        <v/>
      </c>
      <c r="J213" s="37">
        <f>_xlfn.IFS(K213&lt;K$24,0,K213&lt;K$25,J$24,K213&lt;K$26,J$25,K213&lt;K$27,J$26,K213&lt;K$28,J$27,K213&lt;K$29,J$28,K213&lt;K$30,J$29,K213&lt;K$31,J$30,K213&lt;K$32,J$31,K213&lt;K$33,J$32,K213&lt;K$34,J$33,K213&lt;K$35,J$34,K213&lt;K$36,J$35,K213&lt;K$37,J$36,K213&lt;K$38,J$37,K213&lt;K$39,J$38,K213&lt;K$40,J$39,K213&lt;K$41,J$40,K213&lt;K$42,J$41,K213&lt;K$43,J$42,K213&lt;K$44,J$43,K213&lt;K$45,J$44,K213&lt;K$46,J$45,K213&lt;K$47,J$46,K213&gt;=K$47,J$47)</f>
        <v/>
      </c>
      <c r="K213" s="38" t="n">
        <v>163</v>
      </c>
      <c r="L213" s="31">
        <f>K213/52</f>
        <v/>
      </c>
      <c r="M213" s="39">
        <f>J213/1000000*52</f>
        <v/>
      </c>
      <c r="N213" s="33">
        <f>M213/$P$4+($I$22/$P$4)</f>
        <v/>
      </c>
      <c r="U213">
        <f>F212</f>
        <v/>
      </c>
      <c r="V213">
        <f>H212</f>
        <v/>
      </c>
      <c r="W213">
        <f>N212</f>
        <v/>
      </c>
    </row>
    <row r="214" ht="15.75" customHeight="1" s="40">
      <c r="C214" s="36">
        <f>_xlfn.IFS(E214&lt;E$24,0,E214&lt;E$26,C$24,E214&lt;E$28,C$26,E214&lt;E$30,C$28,E214&lt;E$32,C$30,E214&lt;E$34,C$32,E214&gt;=E$34,C$34)</f>
        <v/>
      </c>
      <c r="D214" s="37">
        <f>_xlfn.IFS(E214&lt;E$24,0,E214&lt;E$25,D$24,E214&lt;E$26,D$25,E214&lt;E$27,D$26,E214&lt;E$28,D$27,E214&lt;E$29,D$28,E214&lt;E$30,D$29,E214&lt;E$31,D$30,E214&lt;E$32,D$31,E214&lt;E$33,D$32,E214&lt;E$34,D$33,E214&lt;E$35,D$34,E214&gt;=E$35,D$35)</f>
        <v/>
      </c>
      <c r="E214" s="38" t="n">
        <v>164</v>
      </c>
      <c r="F214" s="31">
        <f>E214/52</f>
        <v/>
      </c>
      <c r="G214" s="39">
        <f>D214/1000000*52</f>
        <v/>
      </c>
      <c r="H214" s="33">
        <f>G214/$P$4+($C$22/$P$4)</f>
        <v/>
      </c>
      <c r="I214" s="36">
        <f>_xlfn.IFS(K214&lt;K$24,0,K214&lt;K$26,I$24,K214&lt;K$28,I$26,K214&lt;K$30,I$28,K214&lt;K$32,I$30,K214&lt;K$34,I$32,K214&lt;K$36,I$34,K214&lt;K$38,I$36,K214&lt;K$40,I$38,K214&lt;K$42,I$40,K214&lt;K$44,I$42,K214&lt;K$46,I$44,K214&gt;=K$46,I$46)</f>
        <v/>
      </c>
      <c r="J214" s="37">
        <f>_xlfn.IFS(K214&lt;K$24,0,K214&lt;K$25,J$24,K214&lt;K$26,J$25,K214&lt;K$27,J$26,K214&lt;K$28,J$27,K214&lt;K$29,J$28,K214&lt;K$30,J$29,K214&lt;K$31,J$30,K214&lt;K$32,J$31,K214&lt;K$33,J$32,K214&lt;K$34,J$33,K214&lt;K$35,J$34,K214&lt;K$36,J$35,K214&lt;K$37,J$36,K214&lt;K$38,J$37,K214&lt;K$39,J$38,K214&lt;K$40,J$39,K214&lt;K$41,J$40,K214&lt;K$42,J$41,K214&lt;K$43,J$42,K214&lt;K$44,J$43,K214&lt;K$45,J$44,K214&lt;K$46,J$45,K214&lt;K$47,J$46,K214&gt;=K$47,J$47)</f>
        <v/>
      </c>
      <c r="K214" s="38" t="n">
        <v>164</v>
      </c>
      <c r="L214" s="31">
        <f>K214/52</f>
        <v/>
      </c>
      <c r="M214" s="39">
        <f>J214/1000000*52</f>
        <v/>
      </c>
      <c r="N214" s="33">
        <f>M214/$P$4+($I$22/$P$4)</f>
        <v/>
      </c>
      <c r="U214">
        <f>F213</f>
        <v/>
      </c>
      <c r="V214">
        <f>H213</f>
        <v/>
      </c>
      <c r="W214">
        <f>N213</f>
        <v/>
      </c>
    </row>
    <row r="215" ht="15.75" customHeight="1" s="40">
      <c r="C215" s="36">
        <f>_xlfn.IFS(E215&lt;E$24,0,E215&lt;E$26,C$24,E215&lt;E$28,C$26,E215&lt;E$30,C$28,E215&lt;E$32,C$30,E215&lt;E$34,C$32,E215&gt;=E$34,C$34)</f>
        <v/>
      </c>
      <c r="D215" s="37">
        <f>_xlfn.IFS(E215&lt;E$24,0,E215&lt;E$25,D$24,E215&lt;E$26,D$25,E215&lt;E$27,D$26,E215&lt;E$28,D$27,E215&lt;E$29,D$28,E215&lt;E$30,D$29,E215&lt;E$31,D$30,E215&lt;E$32,D$31,E215&lt;E$33,D$32,E215&lt;E$34,D$33,E215&lt;E$35,D$34,E215&gt;=E$35,D$35)</f>
        <v/>
      </c>
      <c r="E215" s="38" t="n">
        <v>165</v>
      </c>
      <c r="F215" s="31">
        <f>E215/52</f>
        <v/>
      </c>
      <c r="G215" s="39">
        <f>D215/1000000*52</f>
        <v/>
      </c>
      <c r="H215" s="33">
        <f>G215/$P$4+($C$22/$P$4)</f>
        <v/>
      </c>
      <c r="I215" s="36">
        <f>_xlfn.IFS(K215&lt;K$24,0,K215&lt;K$26,I$24,K215&lt;K$28,I$26,K215&lt;K$30,I$28,K215&lt;K$32,I$30,K215&lt;K$34,I$32,K215&lt;K$36,I$34,K215&lt;K$38,I$36,K215&lt;K$40,I$38,K215&lt;K$42,I$40,K215&lt;K$44,I$42,K215&lt;K$46,I$44,K215&gt;=K$46,I$46)</f>
        <v/>
      </c>
      <c r="J215" s="37">
        <f>_xlfn.IFS(K215&lt;K$24,0,K215&lt;K$25,J$24,K215&lt;K$26,J$25,K215&lt;K$27,J$26,K215&lt;K$28,J$27,K215&lt;K$29,J$28,K215&lt;K$30,J$29,K215&lt;K$31,J$30,K215&lt;K$32,J$31,K215&lt;K$33,J$32,K215&lt;K$34,J$33,K215&lt;K$35,J$34,K215&lt;K$36,J$35,K215&lt;K$37,J$36,K215&lt;K$38,J$37,K215&lt;K$39,J$38,K215&lt;K$40,J$39,K215&lt;K$41,J$40,K215&lt;K$42,J$41,K215&lt;K$43,J$42,K215&lt;K$44,J$43,K215&lt;K$45,J$44,K215&lt;K$46,J$45,K215&lt;K$47,J$46,K215&gt;=K$47,J$47)</f>
        <v/>
      </c>
      <c r="K215" s="38" t="n">
        <v>165</v>
      </c>
      <c r="L215" s="31">
        <f>K215/52</f>
        <v/>
      </c>
      <c r="M215" s="39">
        <f>J215/1000000*52</f>
        <v/>
      </c>
      <c r="N215" s="33">
        <f>M215/$P$4+($I$22/$P$4)</f>
        <v/>
      </c>
      <c r="U215">
        <f>F214</f>
        <v/>
      </c>
      <c r="V215">
        <f>H214</f>
        <v/>
      </c>
      <c r="W215">
        <f>N214</f>
        <v/>
      </c>
    </row>
    <row r="216" ht="15.75" customHeight="1" s="40">
      <c r="C216" s="36">
        <f>_xlfn.IFS(E216&lt;E$24,0,E216&lt;E$26,C$24,E216&lt;E$28,C$26,E216&lt;E$30,C$28,E216&lt;E$32,C$30,E216&lt;E$34,C$32,E216&gt;=E$34,C$34)</f>
        <v/>
      </c>
      <c r="D216" s="37">
        <f>_xlfn.IFS(E216&lt;E$24,0,E216&lt;E$25,D$24,E216&lt;E$26,D$25,E216&lt;E$27,D$26,E216&lt;E$28,D$27,E216&lt;E$29,D$28,E216&lt;E$30,D$29,E216&lt;E$31,D$30,E216&lt;E$32,D$31,E216&lt;E$33,D$32,E216&lt;E$34,D$33,E216&lt;E$35,D$34,E216&gt;=E$35,D$35)</f>
        <v/>
      </c>
      <c r="E216" s="38" t="n">
        <v>166</v>
      </c>
      <c r="F216" s="31">
        <f>E216/52</f>
        <v/>
      </c>
      <c r="G216" s="39">
        <f>D216/1000000*52</f>
        <v/>
      </c>
      <c r="H216" s="33">
        <f>G216/$P$4+($C$22/$P$4)</f>
        <v/>
      </c>
      <c r="I216" s="36">
        <f>_xlfn.IFS(K216&lt;K$24,0,K216&lt;K$26,I$24,K216&lt;K$28,I$26,K216&lt;K$30,I$28,K216&lt;K$32,I$30,K216&lt;K$34,I$32,K216&lt;K$36,I$34,K216&lt;K$38,I$36,K216&lt;K$40,I$38,K216&lt;K$42,I$40,K216&lt;K$44,I$42,K216&lt;K$46,I$44,K216&gt;=K$46,I$46)</f>
        <v/>
      </c>
      <c r="J216" s="37">
        <f>_xlfn.IFS(K216&lt;K$24,0,K216&lt;K$25,J$24,K216&lt;K$26,J$25,K216&lt;K$27,J$26,K216&lt;K$28,J$27,K216&lt;K$29,J$28,K216&lt;K$30,J$29,K216&lt;K$31,J$30,K216&lt;K$32,J$31,K216&lt;K$33,J$32,K216&lt;K$34,J$33,K216&lt;K$35,J$34,K216&lt;K$36,J$35,K216&lt;K$37,J$36,K216&lt;K$38,J$37,K216&lt;K$39,J$38,K216&lt;K$40,J$39,K216&lt;K$41,J$40,K216&lt;K$42,J$41,K216&lt;K$43,J$42,K216&lt;K$44,J$43,K216&lt;K$45,J$44,K216&lt;K$46,J$45,K216&lt;K$47,J$46,K216&gt;=K$47,J$47)</f>
        <v/>
      </c>
      <c r="K216" s="38" t="n">
        <v>166</v>
      </c>
      <c r="L216" s="31">
        <f>K216/52</f>
        <v/>
      </c>
      <c r="M216" s="39">
        <f>J216/1000000*52</f>
        <v/>
      </c>
      <c r="N216" s="33">
        <f>M216/$P$4+($I$22/$P$4)</f>
        <v/>
      </c>
      <c r="U216">
        <f>F215</f>
        <v/>
      </c>
      <c r="V216">
        <f>H215</f>
        <v/>
      </c>
      <c r="W216">
        <f>N215</f>
        <v/>
      </c>
    </row>
    <row r="217" ht="15.75" customHeight="1" s="40">
      <c r="C217" s="36">
        <f>_xlfn.IFS(E217&lt;E$24,0,E217&lt;E$26,C$24,E217&lt;E$28,C$26,E217&lt;E$30,C$28,E217&lt;E$32,C$30,E217&lt;E$34,C$32,E217&gt;=E$34,C$34)</f>
        <v/>
      </c>
      <c r="D217" s="37">
        <f>_xlfn.IFS(E217&lt;E$24,0,E217&lt;E$25,D$24,E217&lt;E$26,D$25,E217&lt;E$27,D$26,E217&lt;E$28,D$27,E217&lt;E$29,D$28,E217&lt;E$30,D$29,E217&lt;E$31,D$30,E217&lt;E$32,D$31,E217&lt;E$33,D$32,E217&lt;E$34,D$33,E217&lt;E$35,D$34,E217&gt;=E$35,D$35)</f>
        <v/>
      </c>
      <c r="E217" s="38" t="n">
        <v>167</v>
      </c>
      <c r="F217" s="31">
        <f>E217/52</f>
        <v/>
      </c>
      <c r="G217" s="39">
        <f>D217/1000000*52</f>
        <v/>
      </c>
      <c r="H217" s="33">
        <f>G217/$P$4+($C$22/$P$4)</f>
        <v/>
      </c>
      <c r="I217" s="36">
        <f>_xlfn.IFS(K217&lt;K$24,0,K217&lt;K$26,I$24,K217&lt;K$28,I$26,K217&lt;K$30,I$28,K217&lt;K$32,I$30,K217&lt;K$34,I$32,K217&lt;K$36,I$34,K217&lt;K$38,I$36,K217&lt;K$40,I$38,K217&lt;K$42,I$40,K217&lt;K$44,I$42,K217&lt;K$46,I$44,K217&gt;=K$46,I$46)</f>
        <v/>
      </c>
      <c r="J217" s="37">
        <f>_xlfn.IFS(K217&lt;K$24,0,K217&lt;K$25,J$24,K217&lt;K$26,J$25,K217&lt;K$27,J$26,K217&lt;K$28,J$27,K217&lt;K$29,J$28,K217&lt;K$30,J$29,K217&lt;K$31,J$30,K217&lt;K$32,J$31,K217&lt;K$33,J$32,K217&lt;K$34,J$33,K217&lt;K$35,J$34,K217&lt;K$36,J$35,K217&lt;K$37,J$36,K217&lt;K$38,J$37,K217&lt;K$39,J$38,K217&lt;K$40,J$39,K217&lt;K$41,J$40,K217&lt;K$42,J$41,K217&lt;K$43,J$42,K217&lt;K$44,J$43,K217&lt;K$45,J$44,K217&lt;K$46,J$45,K217&lt;K$47,J$46,K217&gt;=K$47,J$47)</f>
        <v/>
      </c>
      <c r="K217" s="38" t="n">
        <v>167</v>
      </c>
      <c r="L217" s="31">
        <f>K217/52</f>
        <v/>
      </c>
      <c r="M217" s="39">
        <f>J217/1000000*52</f>
        <v/>
      </c>
      <c r="N217" s="33">
        <f>M217/$P$4+($I$22/$P$4)</f>
        <v/>
      </c>
      <c r="U217">
        <f>F216</f>
        <v/>
      </c>
      <c r="V217">
        <f>H216</f>
        <v/>
      </c>
      <c r="W217">
        <f>N216</f>
        <v/>
      </c>
    </row>
    <row r="218" ht="15.75" customHeight="1" s="40">
      <c r="C218" s="36">
        <f>_xlfn.IFS(E218&lt;E$24,0,E218&lt;E$26,C$24,E218&lt;E$28,C$26,E218&lt;E$30,C$28,E218&lt;E$32,C$30,E218&lt;E$34,C$32,E218&gt;=E$34,C$34)</f>
        <v/>
      </c>
      <c r="D218" s="37">
        <f>_xlfn.IFS(E218&lt;E$24,0,E218&lt;E$25,D$24,E218&lt;E$26,D$25,E218&lt;E$27,D$26,E218&lt;E$28,D$27,E218&lt;E$29,D$28,E218&lt;E$30,D$29,E218&lt;E$31,D$30,E218&lt;E$32,D$31,E218&lt;E$33,D$32,E218&lt;E$34,D$33,E218&lt;E$35,D$34,E218&gt;=E$35,D$35)</f>
        <v/>
      </c>
      <c r="E218" s="38" t="n">
        <v>168</v>
      </c>
      <c r="F218" s="31">
        <f>E218/52</f>
        <v/>
      </c>
      <c r="G218" s="39">
        <f>D218/1000000*52</f>
        <v/>
      </c>
      <c r="H218" s="33">
        <f>G218/$P$4+($C$22/$P$4)</f>
        <v/>
      </c>
      <c r="I218" s="36">
        <f>_xlfn.IFS(K218&lt;K$24,0,K218&lt;K$26,I$24,K218&lt;K$28,I$26,K218&lt;K$30,I$28,K218&lt;K$32,I$30,K218&lt;K$34,I$32,K218&lt;K$36,I$34,K218&lt;K$38,I$36,K218&lt;K$40,I$38,K218&lt;K$42,I$40,K218&lt;K$44,I$42,K218&lt;K$46,I$44,K218&gt;=K$46,I$46)</f>
        <v/>
      </c>
      <c r="J218" s="37">
        <f>_xlfn.IFS(K218&lt;K$24,0,K218&lt;K$25,J$24,K218&lt;K$26,J$25,K218&lt;K$27,J$26,K218&lt;K$28,J$27,K218&lt;K$29,J$28,K218&lt;K$30,J$29,K218&lt;K$31,J$30,K218&lt;K$32,J$31,K218&lt;K$33,J$32,K218&lt;K$34,J$33,K218&lt;K$35,J$34,K218&lt;K$36,J$35,K218&lt;K$37,J$36,K218&lt;K$38,J$37,K218&lt;K$39,J$38,K218&lt;K$40,J$39,K218&lt;K$41,J$40,K218&lt;K$42,J$41,K218&lt;K$43,J$42,K218&lt;K$44,J$43,K218&lt;K$45,J$44,K218&lt;K$46,J$45,K218&lt;K$47,J$46,K218&gt;=K$47,J$47)</f>
        <v/>
      </c>
      <c r="K218" s="38" t="n">
        <v>168</v>
      </c>
      <c r="L218" s="31">
        <f>K218/52</f>
        <v/>
      </c>
      <c r="M218" s="39">
        <f>J218/1000000*52</f>
        <v/>
      </c>
      <c r="N218" s="33">
        <f>M218/$P$4+($I$22/$P$4)</f>
        <v/>
      </c>
      <c r="U218">
        <f>F217</f>
        <v/>
      </c>
      <c r="V218">
        <f>H217</f>
        <v/>
      </c>
      <c r="W218">
        <f>N217</f>
        <v/>
      </c>
    </row>
    <row r="219" ht="15.75" customHeight="1" s="40">
      <c r="C219" s="36">
        <f>_xlfn.IFS(E219&lt;E$24,0,E219&lt;E$26,C$24,E219&lt;E$28,C$26,E219&lt;E$30,C$28,E219&lt;E$32,C$30,E219&lt;E$34,C$32,E219&gt;=E$34,C$34)</f>
        <v/>
      </c>
      <c r="D219" s="37">
        <f>_xlfn.IFS(E219&lt;E$24,0,E219&lt;E$25,D$24,E219&lt;E$26,D$25,E219&lt;E$27,D$26,E219&lt;E$28,D$27,E219&lt;E$29,D$28,E219&lt;E$30,D$29,E219&lt;E$31,D$30,E219&lt;E$32,D$31,E219&lt;E$33,D$32,E219&lt;E$34,D$33,E219&lt;E$35,D$34,E219&gt;=E$35,D$35)</f>
        <v/>
      </c>
      <c r="E219" s="38" t="n">
        <v>169</v>
      </c>
      <c r="F219" s="31">
        <f>E219/52</f>
        <v/>
      </c>
      <c r="G219" s="39">
        <f>D219/1000000*52</f>
        <v/>
      </c>
      <c r="H219" s="33">
        <f>G219/$P$4+($C$22/$P$4)</f>
        <v/>
      </c>
      <c r="I219" s="36">
        <f>_xlfn.IFS(K219&lt;K$24,0,K219&lt;K$26,I$24,K219&lt;K$28,I$26,K219&lt;K$30,I$28,K219&lt;K$32,I$30,K219&lt;K$34,I$32,K219&lt;K$36,I$34,K219&lt;K$38,I$36,K219&lt;K$40,I$38,K219&lt;K$42,I$40,K219&lt;K$44,I$42,K219&lt;K$46,I$44,K219&gt;=K$46,I$46)</f>
        <v/>
      </c>
      <c r="J219" s="37">
        <f>_xlfn.IFS(K219&lt;K$24,0,K219&lt;K$25,J$24,K219&lt;K$26,J$25,K219&lt;K$27,J$26,K219&lt;K$28,J$27,K219&lt;K$29,J$28,K219&lt;K$30,J$29,K219&lt;K$31,J$30,K219&lt;K$32,J$31,K219&lt;K$33,J$32,K219&lt;K$34,J$33,K219&lt;K$35,J$34,K219&lt;K$36,J$35,K219&lt;K$37,J$36,K219&lt;K$38,J$37,K219&lt;K$39,J$38,K219&lt;K$40,J$39,K219&lt;K$41,J$40,K219&lt;K$42,J$41,K219&lt;K$43,J$42,K219&lt;K$44,J$43,K219&lt;K$45,J$44,K219&lt;K$46,J$45,K219&lt;K$47,J$46,K219&gt;=K$47,J$47)</f>
        <v/>
      </c>
      <c r="K219" s="38" t="n">
        <v>169</v>
      </c>
      <c r="L219" s="31">
        <f>K219/52</f>
        <v/>
      </c>
      <c r="M219" s="39">
        <f>J219/1000000*52</f>
        <v/>
      </c>
      <c r="N219" s="33">
        <f>M219/$P$4+($I$22/$P$4)</f>
        <v/>
      </c>
      <c r="U219">
        <f>F218</f>
        <v/>
      </c>
      <c r="V219">
        <f>H218</f>
        <v/>
      </c>
      <c r="W219">
        <f>N218</f>
        <v/>
      </c>
    </row>
    <row r="220" ht="15.75" customHeight="1" s="40">
      <c r="C220" s="36">
        <f>_xlfn.IFS(E220&lt;E$24,0,E220&lt;E$26,C$24,E220&lt;E$28,C$26,E220&lt;E$30,C$28,E220&lt;E$32,C$30,E220&lt;E$34,C$32,E220&gt;=E$34,C$34)</f>
        <v/>
      </c>
      <c r="D220" s="37">
        <f>_xlfn.IFS(E220&lt;E$24,0,E220&lt;E$25,D$24,E220&lt;E$26,D$25,E220&lt;E$27,D$26,E220&lt;E$28,D$27,E220&lt;E$29,D$28,E220&lt;E$30,D$29,E220&lt;E$31,D$30,E220&lt;E$32,D$31,E220&lt;E$33,D$32,E220&lt;E$34,D$33,E220&lt;E$35,D$34,E220&gt;=E$35,D$35)</f>
        <v/>
      </c>
      <c r="E220" s="38" t="n">
        <v>170</v>
      </c>
      <c r="F220" s="31">
        <f>E220/52</f>
        <v/>
      </c>
      <c r="G220" s="39">
        <f>D220/1000000*52</f>
        <v/>
      </c>
      <c r="H220" s="33">
        <f>G220/$P$4+($C$22/$P$4)</f>
        <v/>
      </c>
      <c r="I220" s="36">
        <f>_xlfn.IFS(K220&lt;K$24,0,K220&lt;K$26,I$24,K220&lt;K$28,I$26,K220&lt;K$30,I$28,K220&lt;K$32,I$30,K220&lt;K$34,I$32,K220&lt;K$36,I$34,K220&lt;K$38,I$36,K220&lt;K$40,I$38,K220&lt;K$42,I$40,K220&lt;K$44,I$42,K220&lt;K$46,I$44,K220&gt;=K$46,I$46)</f>
        <v/>
      </c>
      <c r="J220" s="37">
        <f>_xlfn.IFS(K220&lt;K$24,0,K220&lt;K$25,J$24,K220&lt;K$26,J$25,K220&lt;K$27,J$26,K220&lt;K$28,J$27,K220&lt;K$29,J$28,K220&lt;K$30,J$29,K220&lt;K$31,J$30,K220&lt;K$32,J$31,K220&lt;K$33,J$32,K220&lt;K$34,J$33,K220&lt;K$35,J$34,K220&lt;K$36,J$35,K220&lt;K$37,J$36,K220&lt;K$38,J$37,K220&lt;K$39,J$38,K220&lt;K$40,J$39,K220&lt;K$41,J$40,K220&lt;K$42,J$41,K220&lt;K$43,J$42,K220&lt;K$44,J$43,K220&lt;K$45,J$44,K220&lt;K$46,J$45,K220&lt;K$47,J$46,K220&gt;=K$47,J$47)</f>
        <v/>
      </c>
      <c r="K220" s="38" t="n">
        <v>170</v>
      </c>
      <c r="L220" s="31">
        <f>K220/52</f>
        <v/>
      </c>
      <c r="M220" s="39">
        <f>J220/1000000*52</f>
        <v/>
      </c>
      <c r="N220" s="33">
        <f>M220/$P$4+($I$22/$P$4)</f>
        <v/>
      </c>
      <c r="U220">
        <f>F219</f>
        <v/>
      </c>
      <c r="V220">
        <f>H219</f>
        <v/>
      </c>
      <c r="W220">
        <f>N219</f>
        <v/>
      </c>
    </row>
    <row r="221" ht="15.75" customHeight="1" s="40">
      <c r="C221" s="36">
        <f>_xlfn.IFS(E221&lt;E$24,0,E221&lt;E$26,C$24,E221&lt;E$28,C$26,E221&lt;E$30,C$28,E221&lt;E$32,C$30,E221&lt;E$34,C$32,E221&gt;=E$34,C$34)</f>
        <v/>
      </c>
      <c r="D221" s="37">
        <f>_xlfn.IFS(E221&lt;E$24,0,E221&lt;E$25,D$24,E221&lt;E$26,D$25,E221&lt;E$27,D$26,E221&lt;E$28,D$27,E221&lt;E$29,D$28,E221&lt;E$30,D$29,E221&lt;E$31,D$30,E221&lt;E$32,D$31,E221&lt;E$33,D$32,E221&lt;E$34,D$33,E221&lt;E$35,D$34,E221&gt;=E$35,D$35)</f>
        <v/>
      </c>
      <c r="E221" s="38" t="n">
        <v>171</v>
      </c>
      <c r="F221" s="31">
        <f>E221/52</f>
        <v/>
      </c>
      <c r="G221" s="39">
        <f>D221/1000000*52</f>
        <v/>
      </c>
      <c r="H221" s="33">
        <f>G221/$P$4+($C$22/$P$4)</f>
        <v/>
      </c>
      <c r="I221" s="36">
        <f>_xlfn.IFS(K221&lt;K$24,0,K221&lt;K$26,I$24,K221&lt;K$28,I$26,K221&lt;K$30,I$28,K221&lt;K$32,I$30,K221&lt;K$34,I$32,K221&lt;K$36,I$34,K221&lt;K$38,I$36,K221&lt;K$40,I$38,K221&lt;K$42,I$40,K221&lt;K$44,I$42,K221&lt;K$46,I$44,K221&gt;=K$46,I$46)</f>
        <v/>
      </c>
      <c r="J221" s="37">
        <f>_xlfn.IFS(K221&lt;K$24,0,K221&lt;K$25,J$24,K221&lt;K$26,J$25,K221&lt;K$27,J$26,K221&lt;K$28,J$27,K221&lt;K$29,J$28,K221&lt;K$30,J$29,K221&lt;K$31,J$30,K221&lt;K$32,J$31,K221&lt;K$33,J$32,K221&lt;K$34,J$33,K221&lt;K$35,J$34,K221&lt;K$36,J$35,K221&lt;K$37,J$36,K221&lt;K$38,J$37,K221&lt;K$39,J$38,K221&lt;K$40,J$39,K221&lt;K$41,J$40,K221&lt;K$42,J$41,K221&lt;K$43,J$42,K221&lt;K$44,J$43,K221&lt;K$45,J$44,K221&lt;K$46,J$45,K221&lt;K$47,J$46,K221&gt;=K$47,J$47)</f>
        <v/>
      </c>
      <c r="K221" s="38" t="n">
        <v>171</v>
      </c>
      <c r="L221" s="31">
        <f>K221/52</f>
        <v/>
      </c>
      <c r="M221" s="39">
        <f>J221/1000000*52</f>
        <v/>
      </c>
      <c r="N221" s="33">
        <f>M221/$P$4+($I$22/$P$4)</f>
        <v/>
      </c>
      <c r="U221">
        <f>F220</f>
        <v/>
      </c>
      <c r="V221">
        <f>H220</f>
        <v/>
      </c>
      <c r="W221">
        <f>N220</f>
        <v/>
      </c>
    </row>
    <row r="222" ht="15.75" customHeight="1" s="40">
      <c r="C222" s="36">
        <f>_xlfn.IFS(E222&lt;E$24,0,E222&lt;E$26,C$24,E222&lt;E$28,C$26,E222&lt;E$30,C$28,E222&lt;E$32,C$30,E222&lt;E$34,C$32,E222&gt;=E$34,C$34)</f>
        <v/>
      </c>
      <c r="D222" s="37">
        <f>_xlfn.IFS(E222&lt;E$24,0,E222&lt;E$25,D$24,E222&lt;E$26,D$25,E222&lt;E$27,D$26,E222&lt;E$28,D$27,E222&lt;E$29,D$28,E222&lt;E$30,D$29,E222&lt;E$31,D$30,E222&lt;E$32,D$31,E222&lt;E$33,D$32,E222&lt;E$34,D$33,E222&lt;E$35,D$34,E222&gt;=E$35,D$35)</f>
        <v/>
      </c>
      <c r="E222" s="38" t="n">
        <v>172</v>
      </c>
      <c r="F222" s="31">
        <f>E222/52</f>
        <v/>
      </c>
      <c r="G222" s="39">
        <f>D222/1000000*52</f>
        <v/>
      </c>
      <c r="H222" s="33">
        <f>G222/$P$4+($C$22/$P$4)</f>
        <v/>
      </c>
      <c r="I222" s="36">
        <f>_xlfn.IFS(K222&lt;K$24,0,K222&lt;K$26,I$24,K222&lt;K$28,I$26,K222&lt;K$30,I$28,K222&lt;K$32,I$30,K222&lt;K$34,I$32,K222&lt;K$36,I$34,K222&lt;K$38,I$36,K222&lt;K$40,I$38,K222&lt;K$42,I$40,K222&lt;K$44,I$42,K222&lt;K$46,I$44,K222&gt;=K$46,I$46)</f>
        <v/>
      </c>
      <c r="J222" s="37">
        <f>_xlfn.IFS(K222&lt;K$24,0,K222&lt;K$25,J$24,K222&lt;K$26,J$25,K222&lt;K$27,J$26,K222&lt;K$28,J$27,K222&lt;K$29,J$28,K222&lt;K$30,J$29,K222&lt;K$31,J$30,K222&lt;K$32,J$31,K222&lt;K$33,J$32,K222&lt;K$34,J$33,K222&lt;K$35,J$34,K222&lt;K$36,J$35,K222&lt;K$37,J$36,K222&lt;K$38,J$37,K222&lt;K$39,J$38,K222&lt;K$40,J$39,K222&lt;K$41,J$40,K222&lt;K$42,J$41,K222&lt;K$43,J$42,K222&lt;K$44,J$43,K222&lt;K$45,J$44,K222&lt;K$46,J$45,K222&lt;K$47,J$46,K222&gt;=K$47,J$47)</f>
        <v/>
      </c>
      <c r="K222" s="38" t="n">
        <v>172</v>
      </c>
      <c r="L222" s="31">
        <f>K222/52</f>
        <v/>
      </c>
      <c r="M222" s="39">
        <f>J222/1000000*52</f>
        <v/>
      </c>
      <c r="N222" s="33">
        <f>M222/$P$4+($I$22/$P$4)</f>
        <v/>
      </c>
      <c r="U222">
        <f>F221</f>
        <v/>
      </c>
      <c r="V222">
        <f>H221</f>
        <v/>
      </c>
      <c r="W222">
        <f>N221</f>
        <v/>
      </c>
    </row>
    <row r="223" ht="15.75" customHeight="1" s="40">
      <c r="C223" s="36">
        <f>_xlfn.IFS(E223&lt;E$24,0,E223&lt;E$26,C$24,E223&lt;E$28,C$26,E223&lt;E$30,C$28,E223&lt;E$32,C$30,E223&lt;E$34,C$32,E223&gt;=E$34,C$34)</f>
        <v/>
      </c>
      <c r="D223" s="37">
        <f>_xlfn.IFS(E223&lt;E$24,0,E223&lt;E$25,D$24,E223&lt;E$26,D$25,E223&lt;E$27,D$26,E223&lt;E$28,D$27,E223&lt;E$29,D$28,E223&lt;E$30,D$29,E223&lt;E$31,D$30,E223&lt;E$32,D$31,E223&lt;E$33,D$32,E223&lt;E$34,D$33,E223&lt;E$35,D$34,E223&gt;=E$35,D$35)</f>
        <v/>
      </c>
      <c r="E223" s="38" t="n">
        <v>173</v>
      </c>
      <c r="F223" s="31">
        <f>E223/52</f>
        <v/>
      </c>
      <c r="G223" s="39">
        <f>D223/1000000*52</f>
        <v/>
      </c>
      <c r="H223" s="33">
        <f>G223/$P$4+($C$22/$P$4)</f>
        <v/>
      </c>
      <c r="I223" s="36">
        <f>_xlfn.IFS(K223&lt;K$24,0,K223&lt;K$26,I$24,K223&lt;K$28,I$26,K223&lt;K$30,I$28,K223&lt;K$32,I$30,K223&lt;K$34,I$32,K223&lt;K$36,I$34,K223&lt;K$38,I$36,K223&lt;K$40,I$38,K223&lt;K$42,I$40,K223&lt;K$44,I$42,K223&lt;K$46,I$44,K223&gt;=K$46,I$46)</f>
        <v/>
      </c>
      <c r="J223" s="37">
        <f>_xlfn.IFS(K223&lt;K$24,0,K223&lt;K$25,J$24,K223&lt;K$26,J$25,K223&lt;K$27,J$26,K223&lt;K$28,J$27,K223&lt;K$29,J$28,K223&lt;K$30,J$29,K223&lt;K$31,J$30,K223&lt;K$32,J$31,K223&lt;K$33,J$32,K223&lt;K$34,J$33,K223&lt;K$35,J$34,K223&lt;K$36,J$35,K223&lt;K$37,J$36,K223&lt;K$38,J$37,K223&lt;K$39,J$38,K223&lt;K$40,J$39,K223&lt;K$41,J$40,K223&lt;K$42,J$41,K223&lt;K$43,J$42,K223&lt;K$44,J$43,K223&lt;K$45,J$44,K223&lt;K$46,J$45,K223&lt;K$47,J$46,K223&gt;=K$47,J$47)</f>
        <v/>
      </c>
      <c r="K223" s="38" t="n">
        <v>173</v>
      </c>
      <c r="L223" s="31">
        <f>K223/52</f>
        <v/>
      </c>
      <c r="M223" s="39">
        <f>J223/1000000*52</f>
        <v/>
      </c>
      <c r="N223" s="33">
        <f>M223/$P$4+($I$22/$P$4)</f>
        <v/>
      </c>
      <c r="U223">
        <f>F222</f>
        <v/>
      </c>
      <c r="V223">
        <f>H222</f>
        <v/>
      </c>
      <c r="W223">
        <f>N222</f>
        <v/>
      </c>
    </row>
    <row r="224" ht="15.75" customHeight="1" s="40">
      <c r="C224" s="36">
        <f>_xlfn.IFS(E224&lt;E$24,0,E224&lt;E$26,C$24,E224&lt;E$28,C$26,E224&lt;E$30,C$28,E224&lt;E$32,C$30,E224&lt;E$34,C$32,E224&gt;=E$34,C$34)</f>
        <v/>
      </c>
      <c r="D224" s="37">
        <f>_xlfn.IFS(E224&lt;E$24,0,E224&lt;E$25,D$24,E224&lt;E$26,D$25,E224&lt;E$27,D$26,E224&lt;E$28,D$27,E224&lt;E$29,D$28,E224&lt;E$30,D$29,E224&lt;E$31,D$30,E224&lt;E$32,D$31,E224&lt;E$33,D$32,E224&lt;E$34,D$33,E224&lt;E$35,D$34,E224&gt;=E$35,D$35)</f>
        <v/>
      </c>
      <c r="E224" s="38" t="n">
        <v>174</v>
      </c>
      <c r="F224" s="31">
        <f>E224/52</f>
        <v/>
      </c>
      <c r="G224" s="39">
        <f>D224/1000000*52</f>
        <v/>
      </c>
      <c r="H224" s="33">
        <f>G224/$P$4+($C$22/$P$4)</f>
        <v/>
      </c>
      <c r="I224" s="36">
        <f>_xlfn.IFS(K224&lt;K$24,0,K224&lt;K$26,I$24,K224&lt;K$28,I$26,K224&lt;K$30,I$28,K224&lt;K$32,I$30,K224&lt;K$34,I$32,K224&lt;K$36,I$34,K224&lt;K$38,I$36,K224&lt;K$40,I$38,K224&lt;K$42,I$40,K224&lt;K$44,I$42,K224&lt;K$46,I$44,K224&gt;=K$46,I$46)</f>
        <v/>
      </c>
      <c r="J224" s="37">
        <f>_xlfn.IFS(K224&lt;K$24,0,K224&lt;K$25,J$24,K224&lt;K$26,J$25,K224&lt;K$27,J$26,K224&lt;K$28,J$27,K224&lt;K$29,J$28,K224&lt;K$30,J$29,K224&lt;K$31,J$30,K224&lt;K$32,J$31,K224&lt;K$33,J$32,K224&lt;K$34,J$33,K224&lt;K$35,J$34,K224&lt;K$36,J$35,K224&lt;K$37,J$36,K224&lt;K$38,J$37,K224&lt;K$39,J$38,K224&lt;K$40,J$39,K224&lt;K$41,J$40,K224&lt;K$42,J$41,K224&lt;K$43,J$42,K224&lt;K$44,J$43,K224&lt;K$45,J$44,K224&lt;K$46,J$45,K224&lt;K$47,J$46,K224&gt;=K$47,J$47)</f>
        <v/>
      </c>
      <c r="K224" s="38" t="n">
        <v>174</v>
      </c>
      <c r="L224" s="31">
        <f>K224/52</f>
        <v/>
      </c>
      <c r="M224" s="39">
        <f>J224/1000000*52</f>
        <v/>
      </c>
      <c r="N224" s="33">
        <f>M224/$P$4+($I$22/$P$4)</f>
        <v/>
      </c>
      <c r="U224">
        <f>F223</f>
        <v/>
      </c>
      <c r="V224">
        <f>H223</f>
        <v/>
      </c>
      <c r="W224">
        <f>N223</f>
        <v/>
      </c>
    </row>
    <row r="225" ht="15.75" customHeight="1" s="40">
      <c r="C225" s="36">
        <f>_xlfn.IFS(E225&lt;E$24,0,E225&lt;E$26,C$24,E225&lt;E$28,C$26,E225&lt;E$30,C$28,E225&lt;E$32,C$30,E225&lt;E$34,C$32,E225&gt;=E$34,C$34)</f>
        <v/>
      </c>
      <c r="D225" s="37">
        <f>_xlfn.IFS(E225&lt;E$24,0,E225&lt;E$25,D$24,E225&lt;E$26,D$25,E225&lt;E$27,D$26,E225&lt;E$28,D$27,E225&lt;E$29,D$28,E225&lt;E$30,D$29,E225&lt;E$31,D$30,E225&lt;E$32,D$31,E225&lt;E$33,D$32,E225&lt;E$34,D$33,E225&lt;E$35,D$34,E225&gt;=E$35,D$35)</f>
        <v/>
      </c>
      <c r="E225" s="38" t="n">
        <v>175</v>
      </c>
      <c r="F225" s="31">
        <f>E225/52</f>
        <v/>
      </c>
      <c r="G225" s="39">
        <f>D225/1000000*52</f>
        <v/>
      </c>
      <c r="H225" s="33">
        <f>G225/$P$4+($C$22/$P$4)</f>
        <v/>
      </c>
      <c r="I225" s="36">
        <f>_xlfn.IFS(K225&lt;K$24,0,K225&lt;K$26,I$24,K225&lt;K$28,I$26,K225&lt;K$30,I$28,K225&lt;K$32,I$30,K225&lt;K$34,I$32,K225&lt;K$36,I$34,K225&lt;K$38,I$36,K225&lt;K$40,I$38,K225&lt;K$42,I$40,K225&lt;K$44,I$42,K225&lt;K$46,I$44,K225&gt;=K$46,I$46)</f>
        <v/>
      </c>
      <c r="J225" s="37">
        <f>_xlfn.IFS(K225&lt;K$24,0,K225&lt;K$25,J$24,K225&lt;K$26,J$25,K225&lt;K$27,J$26,K225&lt;K$28,J$27,K225&lt;K$29,J$28,K225&lt;K$30,J$29,K225&lt;K$31,J$30,K225&lt;K$32,J$31,K225&lt;K$33,J$32,K225&lt;K$34,J$33,K225&lt;K$35,J$34,K225&lt;K$36,J$35,K225&lt;K$37,J$36,K225&lt;K$38,J$37,K225&lt;K$39,J$38,K225&lt;K$40,J$39,K225&lt;K$41,J$40,K225&lt;K$42,J$41,K225&lt;K$43,J$42,K225&lt;K$44,J$43,K225&lt;K$45,J$44,K225&lt;K$46,J$45,K225&lt;K$47,J$46,K225&gt;=K$47,J$47)</f>
        <v/>
      </c>
      <c r="K225" s="38" t="n">
        <v>175</v>
      </c>
      <c r="L225" s="31">
        <f>K225/52</f>
        <v/>
      </c>
      <c r="M225" s="39">
        <f>J225/1000000*52</f>
        <v/>
      </c>
      <c r="N225" s="33">
        <f>M225/$P$4+($I$22/$P$4)</f>
        <v/>
      </c>
      <c r="U225">
        <f>F224</f>
        <v/>
      </c>
      <c r="V225">
        <f>H224</f>
        <v/>
      </c>
      <c r="W225">
        <f>N224</f>
        <v/>
      </c>
    </row>
    <row r="226" ht="15.75" customHeight="1" s="40">
      <c r="C226" s="36">
        <f>_xlfn.IFS(E226&lt;E$24,0,E226&lt;E$26,C$24,E226&lt;E$28,C$26,E226&lt;E$30,C$28,E226&lt;E$32,C$30,E226&lt;E$34,C$32,E226&gt;=E$34,C$34)</f>
        <v/>
      </c>
      <c r="D226" s="37">
        <f>_xlfn.IFS(E226&lt;E$24,0,E226&lt;E$25,D$24,E226&lt;E$26,D$25,E226&lt;E$27,D$26,E226&lt;E$28,D$27,E226&lt;E$29,D$28,E226&lt;E$30,D$29,E226&lt;E$31,D$30,E226&lt;E$32,D$31,E226&lt;E$33,D$32,E226&lt;E$34,D$33,E226&lt;E$35,D$34,E226&gt;=E$35,D$35)</f>
        <v/>
      </c>
      <c r="E226" s="38" t="n">
        <v>176</v>
      </c>
      <c r="F226" s="31">
        <f>E226/52</f>
        <v/>
      </c>
      <c r="G226" s="39">
        <f>D226/1000000*52</f>
        <v/>
      </c>
      <c r="H226" s="33">
        <f>G226/$P$4+($C$22/$P$4)</f>
        <v/>
      </c>
      <c r="I226" s="36">
        <f>_xlfn.IFS(K226&lt;K$24,0,K226&lt;K$26,I$24,K226&lt;K$28,I$26,K226&lt;K$30,I$28,K226&lt;K$32,I$30,K226&lt;K$34,I$32,K226&lt;K$36,I$34,K226&lt;K$38,I$36,K226&lt;K$40,I$38,K226&lt;K$42,I$40,K226&lt;K$44,I$42,K226&lt;K$46,I$44,K226&gt;=K$46,I$46)</f>
        <v/>
      </c>
      <c r="J226" s="37">
        <f>_xlfn.IFS(K226&lt;K$24,0,K226&lt;K$25,J$24,K226&lt;K$26,J$25,K226&lt;K$27,J$26,K226&lt;K$28,J$27,K226&lt;K$29,J$28,K226&lt;K$30,J$29,K226&lt;K$31,J$30,K226&lt;K$32,J$31,K226&lt;K$33,J$32,K226&lt;K$34,J$33,K226&lt;K$35,J$34,K226&lt;K$36,J$35,K226&lt;K$37,J$36,K226&lt;K$38,J$37,K226&lt;K$39,J$38,K226&lt;K$40,J$39,K226&lt;K$41,J$40,K226&lt;K$42,J$41,K226&lt;K$43,J$42,K226&lt;K$44,J$43,K226&lt;K$45,J$44,K226&lt;K$46,J$45,K226&lt;K$47,J$46,K226&gt;=K$47,J$47)</f>
        <v/>
      </c>
      <c r="K226" s="38" t="n">
        <v>176</v>
      </c>
      <c r="L226" s="31">
        <f>K226/52</f>
        <v/>
      </c>
      <c r="M226" s="39">
        <f>J226/1000000*52</f>
        <v/>
      </c>
      <c r="N226" s="33">
        <f>M226/$P$4+($I$22/$P$4)</f>
        <v/>
      </c>
      <c r="U226">
        <f>F225</f>
        <v/>
      </c>
      <c r="V226">
        <f>H225</f>
        <v/>
      </c>
      <c r="W226">
        <f>N225</f>
        <v/>
      </c>
    </row>
    <row r="227" ht="15.75" customHeight="1" s="40">
      <c r="C227" s="36">
        <f>_xlfn.IFS(E227&lt;E$24,0,E227&lt;E$26,C$24,E227&lt;E$28,C$26,E227&lt;E$30,C$28,E227&lt;E$32,C$30,E227&lt;E$34,C$32,E227&gt;=E$34,C$34)</f>
        <v/>
      </c>
      <c r="D227" s="37">
        <f>_xlfn.IFS(E227&lt;E$24,0,E227&lt;E$25,D$24,E227&lt;E$26,D$25,E227&lt;E$27,D$26,E227&lt;E$28,D$27,E227&lt;E$29,D$28,E227&lt;E$30,D$29,E227&lt;E$31,D$30,E227&lt;E$32,D$31,E227&lt;E$33,D$32,E227&lt;E$34,D$33,E227&lt;E$35,D$34,E227&gt;=E$35,D$35)</f>
        <v/>
      </c>
      <c r="E227" s="38" t="n">
        <v>177</v>
      </c>
      <c r="F227" s="31">
        <f>E227/52</f>
        <v/>
      </c>
      <c r="G227" s="39">
        <f>D227/1000000*52</f>
        <v/>
      </c>
      <c r="H227" s="33">
        <f>G227/$P$4+($C$22/$P$4)</f>
        <v/>
      </c>
      <c r="I227" s="36">
        <f>_xlfn.IFS(K227&lt;K$24,0,K227&lt;K$26,I$24,K227&lt;K$28,I$26,K227&lt;K$30,I$28,K227&lt;K$32,I$30,K227&lt;K$34,I$32,K227&lt;K$36,I$34,K227&lt;K$38,I$36,K227&lt;K$40,I$38,K227&lt;K$42,I$40,K227&lt;K$44,I$42,K227&lt;K$46,I$44,K227&gt;=K$46,I$46)</f>
        <v/>
      </c>
      <c r="J227" s="37">
        <f>_xlfn.IFS(K227&lt;K$24,0,K227&lt;K$25,J$24,K227&lt;K$26,J$25,K227&lt;K$27,J$26,K227&lt;K$28,J$27,K227&lt;K$29,J$28,K227&lt;K$30,J$29,K227&lt;K$31,J$30,K227&lt;K$32,J$31,K227&lt;K$33,J$32,K227&lt;K$34,J$33,K227&lt;K$35,J$34,K227&lt;K$36,J$35,K227&lt;K$37,J$36,K227&lt;K$38,J$37,K227&lt;K$39,J$38,K227&lt;K$40,J$39,K227&lt;K$41,J$40,K227&lt;K$42,J$41,K227&lt;K$43,J$42,K227&lt;K$44,J$43,K227&lt;K$45,J$44,K227&lt;K$46,J$45,K227&lt;K$47,J$46,K227&gt;=K$47,J$47)</f>
        <v/>
      </c>
      <c r="K227" s="38" t="n">
        <v>177</v>
      </c>
      <c r="L227" s="31">
        <f>K227/52</f>
        <v/>
      </c>
      <c r="M227" s="39">
        <f>J227/1000000*52</f>
        <v/>
      </c>
      <c r="N227" s="33">
        <f>M227/$P$4+($I$22/$P$4)</f>
        <v/>
      </c>
      <c r="U227">
        <f>F226</f>
        <v/>
      </c>
      <c r="V227">
        <f>H226</f>
        <v/>
      </c>
      <c r="W227">
        <f>N226</f>
        <v/>
      </c>
    </row>
    <row r="228" ht="15.75" customHeight="1" s="40">
      <c r="C228" s="36">
        <f>_xlfn.IFS(E228&lt;E$24,0,E228&lt;E$26,C$24,E228&lt;E$28,C$26,E228&lt;E$30,C$28,E228&lt;E$32,C$30,E228&lt;E$34,C$32,E228&gt;=E$34,C$34)</f>
        <v/>
      </c>
      <c r="D228" s="37">
        <f>_xlfn.IFS(E228&lt;E$24,0,E228&lt;E$25,D$24,E228&lt;E$26,D$25,E228&lt;E$27,D$26,E228&lt;E$28,D$27,E228&lt;E$29,D$28,E228&lt;E$30,D$29,E228&lt;E$31,D$30,E228&lt;E$32,D$31,E228&lt;E$33,D$32,E228&lt;E$34,D$33,E228&lt;E$35,D$34,E228&gt;=E$35,D$35)</f>
        <v/>
      </c>
      <c r="E228" s="38" t="n">
        <v>178</v>
      </c>
      <c r="F228" s="31">
        <f>E228/52</f>
        <v/>
      </c>
      <c r="G228" s="39">
        <f>D228/1000000*52</f>
        <v/>
      </c>
      <c r="H228" s="33">
        <f>G228/$P$4+($C$22/$P$4)</f>
        <v/>
      </c>
      <c r="I228" s="36">
        <f>_xlfn.IFS(K228&lt;K$24,0,K228&lt;K$26,I$24,K228&lt;K$28,I$26,K228&lt;K$30,I$28,K228&lt;K$32,I$30,K228&lt;K$34,I$32,K228&lt;K$36,I$34,K228&lt;K$38,I$36,K228&lt;K$40,I$38,K228&lt;K$42,I$40,K228&lt;K$44,I$42,K228&lt;K$46,I$44,K228&gt;=K$46,I$46)</f>
        <v/>
      </c>
      <c r="J228" s="37">
        <f>_xlfn.IFS(K228&lt;K$24,0,K228&lt;K$25,J$24,K228&lt;K$26,J$25,K228&lt;K$27,J$26,K228&lt;K$28,J$27,K228&lt;K$29,J$28,K228&lt;K$30,J$29,K228&lt;K$31,J$30,K228&lt;K$32,J$31,K228&lt;K$33,J$32,K228&lt;K$34,J$33,K228&lt;K$35,J$34,K228&lt;K$36,J$35,K228&lt;K$37,J$36,K228&lt;K$38,J$37,K228&lt;K$39,J$38,K228&lt;K$40,J$39,K228&lt;K$41,J$40,K228&lt;K$42,J$41,K228&lt;K$43,J$42,K228&lt;K$44,J$43,K228&lt;K$45,J$44,K228&lt;K$46,J$45,K228&lt;K$47,J$46,K228&gt;=K$47,J$47)</f>
        <v/>
      </c>
      <c r="K228" s="38" t="n">
        <v>178</v>
      </c>
      <c r="L228" s="31">
        <f>K228/52</f>
        <v/>
      </c>
      <c r="M228" s="39">
        <f>J228/1000000*52</f>
        <v/>
      </c>
      <c r="N228" s="33">
        <f>M228/$P$4+($I$22/$P$4)</f>
        <v/>
      </c>
      <c r="U228">
        <f>F227</f>
        <v/>
      </c>
      <c r="V228">
        <f>H227</f>
        <v/>
      </c>
      <c r="W228">
        <f>N227</f>
        <v/>
      </c>
    </row>
    <row r="229" ht="15.75" customHeight="1" s="40">
      <c r="C229" s="36">
        <f>_xlfn.IFS(E229&lt;E$24,0,E229&lt;E$26,C$24,E229&lt;E$28,C$26,E229&lt;E$30,C$28,E229&lt;E$32,C$30,E229&lt;E$34,C$32,E229&gt;=E$34,C$34)</f>
        <v/>
      </c>
      <c r="D229" s="37">
        <f>_xlfn.IFS(E229&lt;E$24,0,E229&lt;E$25,D$24,E229&lt;E$26,D$25,E229&lt;E$27,D$26,E229&lt;E$28,D$27,E229&lt;E$29,D$28,E229&lt;E$30,D$29,E229&lt;E$31,D$30,E229&lt;E$32,D$31,E229&lt;E$33,D$32,E229&lt;E$34,D$33,E229&lt;E$35,D$34,E229&gt;=E$35,D$35)</f>
        <v/>
      </c>
      <c r="E229" s="38" t="n">
        <v>179</v>
      </c>
      <c r="F229" s="31">
        <f>E229/52</f>
        <v/>
      </c>
      <c r="G229" s="39">
        <f>D229/1000000*52</f>
        <v/>
      </c>
      <c r="H229" s="33">
        <f>G229/$P$4+($C$22/$P$4)</f>
        <v/>
      </c>
      <c r="I229" s="36">
        <f>_xlfn.IFS(K229&lt;K$24,0,K229&lt;K$26,I$24,K229&lt;K$28,I$26,K229&lt;K$30,I$28,K229&lt;K$32,I$30,K229&lt;K$34,I$32,K229&lt;K$36,I$34,K229&lt;K$38,I$36,K229&lt;K$40,I$38,K229&lt;K$42,I$40,K229&lt;K$44,I$42,K229&lt;K$46,I$44,K229&gt;=K$46,I$46)</f>
        <v/>
      </c>
      <c r="J229" s="37">
        <f>_xlfn.IFS(K229&lt;K$24,0,K229&lt;K$25,J$24,K229&lt;K$26,J$25,K229&lt;K$27,J$26,K229&lt;K$28,J$27,K229&lt;K$29,J$28,K229&lt;K$30,J$29,K229&lt;K$31,J$30,K229&lt;K$32,J$31,K229&lt;K$33,J$32,K229&lt;K$34,J$33,K229&lt;K$35,J$34,K229&lt;K$36,J$35,K229&lt;K$37,J$36,K229&lt;K$38,J$37,K229&lt;K$39,J$38,K229&lt;K$40,J$39,K229&lt;K$41,J$40,K229&lt;K$42,J$41,K229&lt;K$43,J$42,K229&lt;K$44,J$43,K229&lt;K$45,J$44,K229&lt;K$46,J$45,K229&lt;K$47,J$46,K229&gt;=K$47,J$47)</f>
        <v/>
      </c>
      <c r="K229" s="38" t="n">
        <v>179</v>
      </c>
      <c r="L229" s="31">
        <f>K229/52</f>
        <v/>
      </c>
      <c r="M229" s="39">
        <f>J229/1000000*52</f>
        <v/>
      </c>
      <c r="N229" s="33">
        <f>M229/$P$4+($I$22/$P$4)</f>
        <v/>
      </c>
      <c r="U229">
        <f>F228</f>
        <v/>
      </c>
      <c r="V229">
        <f>H228</f>
        <v/>
      </c>
      <c r="W229">
        <f>N228</f>
        <v/>
      </c>
    </row>
    <row r="230" ht="15.75" customHeight="1" s="40">
      <c r="C230" s="36">
        <f>_xlfn.IFS(E230&lt;E$24,0,E230&lt;E$26,C$24,E230&lt;E$28,C$26,E230&lt;E$30,C$28,E230&lt;E$32,C$30,E230&lt;E$34,C$32,E230&gt;=E$34,C$34)</f>
        <v/>
      </c>
      <c r="D230" s="37">
        <f>_xlfn.IFS(E230&lt;E$24,0,E230&lt;E$25,D$24,E230&lt;E$26,D$25,E230&lt;E$27,D$26,E230&lt;E$28,D$27,E230&lt;E$29,D$28,E230&lt;E$30,D$29,E230&lt;E$31,D$30,E230&lt;E$32,D$31,E230&lt;E$33,D$32,E230&lt;E$34,D$33,E230&lt;E$35,D$34,E230&gt;=E$35,D$35)</f>
        <v/>
      </c>
      <c r="E230" s="38" t="n">
        <v>180</v>
      </c>
      <c r="F230" s="31">
        <f>E230/52</f>
        <v/>
      </c>
      <c r="G230" s="39">
        <f>D230/1000000*52</f>
        <v/>
      </c>
      <c r="H230" s="33">
        <f>G230/$P$4+($C$22/$P$4)</f>
        <v/>
      </c>
      <c r="I230" s="36">
        <f>_xlfn.IFS(K230&lt;K$24,0,K230&lt;K$26,I$24,K230&lt;K$28,I$26,K230&lt;K$30,I$28,K230&lt;K$32,I$30,K230&lt;K$34,I$32,K230&lt;K$36,I$34,K230&lt;K$38,I$36,K230&lt;K$40,I$38,K230&lt;K$42,I$40,K230&lt;K$44,I$42,K230&lt;K$46,I$44,K230&gt;=K$46,I$46)</f>
        <v/>
      </c>
      <c r="J230" s="37">
        <f>_xlfn.IFS(K230&lt;K$24,0,K230&lt;K$25,J$24,K230&lt;K$26,J$25,K230&lt;K$27,J$26,K230&lt;K$28,J$27,K230&lt;K$29,J$28,K230&lt;K$30,J$29,K230&lt;K$31,J$30,K230&lt;K$32,J$31,K230&lt;K$33,J$32,K230&lt;K$34,J$33,K230&lt;K$35,J$34,K230&lt;K$36,J$35,K230&lt;K$37,J$36,K230&lt;K$38,J$37,K230&lt;K$39,J$38,K230&lt;K$40,J$39,K230&lt;K$41,J$40,K230&lt;K$42,J$41,K230&lt;K$43,J$42,K230&lt;K$44,J$43,K230&lt;K$45,J$44,K230&lt;K$46,J$45,K230&lt;K$47,J$46,K230&gt;=K$47,J$47)</f>
        <v/>
      </c>
      <c r="K230" s="38" t="n">
        <v>180</v>
      </c>
      <c r="L230" s="31">
        <f>K230/52</f>
        <v/>
      </c>
      <c r="M230" s="39">
        <f>J230/1000000*52</f>
        <v/>
      </c>
      <c r="N230" s="33">
        <f>M230/$P$4+($I$22/$P$4)</f>
        <v/>
      </c>
      <c r="U230">
        <f>F229</f>
        <v/>
      </c>
      <c r="V230">
        <f>H229</f>
        <v/>
      </c>
      <c r="W230">
        <f>N229</f>
        <v/>
      </c>
    </row>
    <row r="231" ht="15.75" customHeight="1" s="40">
      <c r="C231" s="36">
        <f>_xlfn.IFS(E231&lt;E$24,0,E231&lt;E$26,C$24,E231&lt;E$28,C$26,E231&lt;E$30,C$28,E231&lt;E$32,C$30,E231&lt;E$34,C$32,E231&gt;=E$34,C$34)</f>
        <v/>
      </c>
      <c r="D231" s="37">
        <f>_xlfn.IFS(E231&lt;E$24,0,E231&lt;E$25,D$24,E231&lt;E$26,D$25,E231&lt;E$27,D$26,E231&lt;E$28,D$27,E231&lt;E$29,D$28,E231&lt;E$30,D$29,E231&lt;E$31,D$30,E231&lt;E$32,D$31,E231&lt;E$33,D$32,E231&lt;E$34,D$33,E231&lt;E$35,D$34,E231&gt;=E$35,D$35)</f>
        <v/>
      </c>
      <c r="E231" s="38" t="n">
        <v>181</v>
      </c>
      <c r="F231" s="31">
        <f>E231/52</f>
        <v/>
      </c>
      <c r="G231" s="39">
        <f>D231/1000000*52</f>
        <v/>
      </c>
      <c r="H231" s="33">
        <f>G231/$P$4+($C$22/$P$4)</f>
        <v/>
      </c>
      <c r="I231" s="36">
        <f>_xlfn.IFS(K231&lt;K$24,0,K231&lt;K$26,I$24,K231&lt;K$28,I$26,K231&lt;K$30,I$28,K231&lt;K$32,I$30,K231&lt;K$34,I$32,K231&lt;K$36,I$34,K231&lt;K$38,I$36,K231&lt;K$40,I$38,K231&lt;K$42,I$40,K231&lt;K$44,I$42,K231&lt;K$46,I$44,K231&gt;=K$46,I$46)</f>
        <v/>
      </c>
      <c r="J231" s="37">
        <f>_xlfn.IFS(K231&lt;K$24,0,K231&lt;K$25,J$24,K231&lt;K$26,J$25,K231&lt;K$27,J$26,K231&lt;K$28,J$27,K231&lt;K$29,J$28,K231&lt;K$30,J$29,K231&lt;K$31,J$30,K231&lt;K$32,J$31,K231&lt;K$33,J$32,K231&lt;K$34,J$33,K231&lt;K$35,J$34,K231&lt;K$36,J$35,K231&lt;K$37,J$36,K231&lt;K$38,J$37,K231&lt;K$39,J$38,K231&lt;K$40,J$39,K231&lt;K$41,J$40,K231&lt;K$42,J$41,K231&lt;K$43,J$42,K231&lt;K$44,J$43,K231&lt;K$45,J$44,K231&lt;K$46,J$45,K231&lt;K$47,J$46,K231&gt;=K$47,J$47)</f>
        <v/>
      </c>
      <c r="K231" s="38" t="n">
        <v>181</v>
      </c>
      <c r="L231" s="31">
        <f>K231/52</f>
        <v/>
      </c>
      <c r="M231" s="39">
        <f>J231/1000000*52</f>
        <v/>
      </c>
      <c r="N231" s="33">
        <f>M231/$P$4+($I$22/$P$4)</f>
        <v/>
      </c>
      <c r="U231">
        <f>F230</f>
        <v/>
      </c>
      <c r="V231">
        <f>H230</f>
        <v/>
      </c>
      <c r="W231">
        <f>N230</f>
        <v/>
      </c>
    </row>
    <row r="232" ht="15.75" customHeight="1" s="40">
      <c r="C232" s="36">
        <f>_xlfn.IFS(E232&lt;E$24,0,E232&lt;E$26,C$24,E232&lt;E$28,C$26,E232&lt;E$30,C$28,E232&lt;E$32,C$30,E232&lt;E$34,C$32,E232&gt;=E$34,C$34)</f>
        <v/>
      </c>
      <c r="D232" s="37">
        <f>_xlfn.IFS(E232&lt;E$24,0,E232&lt;E$25,D$24,E232&lt;E$26,D$25,E232&lt;E$27,D$26,E232&lt;E$28,D$27,E232&lt;E$29,D$28,E232&lt;E$30,D$29,E232&lt;E$31,D$30,E232&lt;E$32,D$31,E232&lt;E$33,D$32,E232&lt;E$34,D$33,E232&lt;E$35,D$34,E232&gt;=E$35,D$35)</f>
        <v/>
      </c>
      <c r="E232" s="38" t="n">
        <v>182</v>
      </c>
      <c r="F232" s="31">
        <f>E232/52</f>
        <v/>
      </c>
      <c r="G232" s="39">
        <f>D232/1000000*52</f>
        <v/>
      </c>
      <c r="H232" s="33">
        <f>G232/$P$4+($C$22/$P$4)</f>
        <v/>
      </c>
      <c r="I232" s="36">
        <f>_xlfn.IFS(K232&lt;K$24,0,K232&lt;K$26,I$24,K232&lt;K$28,I$26,K232&lt;K$30,I$28,K232&lt;K$32,I$30,K232&lt;K$34,I$32,K232&lt;K$36,I$34,K232&lt;K$38,I$36,K232&lt;K$40,I$38,K232&lt;K$42,I$40,K232&lt;K$44,I$42,K232&lt;K$46,I$44,K232&gt;=K$46,I$46)</f>
        <v/>
      </c>
      <c r="J232" s="37">
        <f>_xlfn.IFS(K232&lt;K$24,0,K232&lt;K$25,J$24,K232&lt;K$26,J$25,K232&lt;K$27,J$26,K232&lt;K$28,J$27,K232&lt;K$29,J$28,K232&lt;K$30,J$29,K232&lt;K$31,J$30,K232&lt;K$32,J$31,K232&lt;K$33,J$32,K232&lt;K$34,J$33,K232&lt;K$35,J$34,K232&lt;K$36,J$35,K232&lt;K$37,J$36,K232&lt;K$38,J$37,K232&lt;K$39,J$38,K232&lt;K$40,J$39,K232&lt;K$41,J$40,K232&lt;K$42,J$41,K232&lt;K$43,J$42,K232&lt;K$44,J$43,K232&lt;K$45,J$44,K232&lt;K$46,J$45,K232&lt;K$47,J$46,K232&gt;=K$47,J$47)</f>
        <v/>
      </c>
      <c r="K232" s="38" t="n">
        <v>182</v>
      </c>
      <c r="L232" s="31">
        <f>K232/52</f>
        <v/>
      </c>
      <c r="M232" s="39">
        <f>J232/1000000*52</f>
        <v/>
      </c>
      <c r="N232" s="33">
        <f>M232/$P$4+($I$22/$P$4)</f>
        <v/>
      </c>
      <c r="U232">
        <f>F231</f>
        <v/>
      </c>
      <c r="V232">
        <f>H231</f>
        <v/>
      </c>
      <c r="W232">
        <f>N231</f>
        <v/>
      </c>
    </row>
    <row r="233" ht="15.75" customHeight="1" s="40">
      <c r="C233" s="36">
        <f>_xlfn.IFS(E233&lt;E$24,0,E233&lt;E$26,C$24,E233&lt;E$28,C$26,E233&lt;E$30,C$28,E233&lt;E$32,C$30,E233&lt;E$34,C$32,E233&gt;=E$34,C$34)</f>
        <v/>
      </c>
      <c r="D233" s="37">
        <f>_xlfn.IFS(E233&lt;E$24,0,E233&lt;E$25,D$24,E233&lt;E$26,D$25,E233&lt;E$27,D$26,E233&lt;E$28,D$27,E233&lt;E$29,D$28,E233&lt;E$30,D$29,E233&lt;E$31,D$30,E233&lt;E$32,D$31,E233&lt;E$33,D$32,E233&lt;E$34,D$33,E233&lt;E$35,D$34,E233&gt;=E$35,D$35)</f>
        <v/>
      </c>
      <c r="E233" s="38" t="n">
        <v>183</v>
      </c>
      <c r="F233" s="31">
        <f>E233/52</f>
        <v/>
      </c>
      <c r="G233" s="39">
        <f>D233/1000000*52</f>
        <v/>
      </c>
      <c r="H233" s="33">
        <f>G233/$P$4+($C$22/$P$4)</f>
        <v/>
      </c>
      <c r="I233" s="36">
        <f>_xlfn.IFS(K233&lt;K$24,0,K233&lt;K$26,I$24,K233&lt;K$28,I$26,K233&lt;K$30,I$28,K233&lt;K$32,I$30,K233&lt;K$34,I$32,K233&lt;K$36,I$34,K233&lt;K$38,I$36,K233&lt;K$40,I$38,K233&lt;K$42,I$40,K233&lt;K$44,I$42,K233&lt;K$46,I$44,K233&gt;=K$46,I$46)</f>
        <v/>
      </c>
      <c r="J233" s="37">
        <f>_xlfn.IFS(K233&lt;K$24,0,K233&lt;K$25,J$24,K233&lt;K$26,J$25,K233&lt;K$27,J$26,K233&lt;K$28,J$27,K233&lt;K$29,J$28,K233&lt;K$30,J$29,K233&lt;K$31,J$30,K233&lt;K$32,J$31,K233&lt;K$33,J$32,K233&lt;K$34,J$33,K233&lt;K$35,J$34,K233&lt;K$36,J$35,K233&lt;K$37,J$36,K233&lt;K$38,J$37,K233&lt;K$39,J$38,K233&lt;K$40,J$39,K233&lt;K$41,J$40,K233&lt;K$42,J$41,K233&lt;K$43,J$42,K233&lt;K$44,J$43,K233&lt;K$45,J$44,K233&lt;K$46,J$45,K233&lt;K$47,J$46,K233&gt;=K$47,J$47)</f>
        <v/>
      </c>
      <c r="K233" s="38" t="n">
        <v>183</v>
      </c>
      <c r="L233" s="31">
        <f>K233/52</f>
        <v/>
      </c>
      <c r="M233" s="39">
        <f>J233/1000000*52</f>
        <v/>
      </c>
      <c r="N233" s="33">
        <f>M233/$P$4+($I$22/$P$4)</f>
        <v/>
      </c>
      <c r="U233">
        <f>F232</f>
        <v/>
      </c>
      <c r="V233">
        <f>H232</f>
        <v/>
      </c>
      <c r="W233">
        <f>N232</f>
        <v/>
      </c>
    </row>
    <row r="234" ht="15.75" customHeight="1" s="40">
      <c r="C234" s="36">
        <f>_xlfn.IFS(E234&lt;E$24,0,E234&lt;E$26,C$24,E234&lt;E$28,C$26,E234&lt;E$30,C$28,E234&lt;E$32,C$30,E234&lt;E$34,C$32,E234&gt;=E$34,C$34)</f>
        <v/>
      </c>
      <c r="D234" s="37">
        <f>_xlfn.IFS(E234&lt;E$24,0,E234&lt;E$25,D$24,E234&lt;E$26,D$25,E234&lt;E$27,D$26,E234&lt;E$28,D$27,E234&lt;E$29,D$28,E234&lt;E$30,D$29,E234&lt;E$31,D$30,E234&lt;E$32,D$31,E234&lt;E$33,D$32,E234&lt;E$34,D$33,E234&lt;E$35,D$34,E234&gt;=E$35,D$35)</f>
        <v/>
      </c>
      <c r="E234" s="38" t="n">
        <v>184</v>
      </c>
      <c r="F234" s="31">
        <f>E234/52</f>
        <v/>
      </c>
      <c r="G234" s="39">
        <f>D234/1000000*52</f>
        <v/>
      </c>
      <c r="H234" s="33">
        <f>G234/$P$4+($C$22/$P$4)</f>
        <v/>
      </c>
      <c r="I234" s="36">
        <f>_xlfn.IFS(K234&lt;K$24,0,K234&lt;K$26,I$24,K234&lt;K$28,I$26,K234&lt;K$30,I$28,K234&lt;K$32,I$30,K234&lt;K$34,I$32,K234&lt;K$36,I$34,K234&lt;K$38,I$36,K234&lt;K$40,I$38,K234&lt;K$42,I$40,K234&lt;K$44,I$42,K234&lt;K$46,I$44,K234&gt;=K$46,I$46)</f>
        <v/>
      </c>
      <c r="J234" s="37">
        <f>_xlfn.IFS(K234&lt;K$24,0,K234&lt;K$25,J$24,K234&lt;K$26,J$25,K234&lt;K$27,J$26,K234&lt;K$28,J$27,K234&lt;K$29,J$28,K234&lt;K$30,J$29,K234&lt;K$31,J$30,K234&lt;K$32,J$31,K234&lt;K$33,J$32,K234&lt;K$34,J$33,K234&lt;K$35,J$34,K234&lt;K$36,J$35,K234&lt;K$37,J$36,K234&lt;K$38,J$37,K234&lt;K$39,J$38,K234&lt;K$40,J$39,K234&lt;K$41,J$40,K234&lt;K$42,J$41,K234&lt;K$43,J$42,K234&lt;K$44,J$43,K234&lt;K$45,J$44,K234&lt;K$46,J$45,K234&lt;K$47,J$46,K234&gt;=K$47,J$47)</f>
        <v/>
      </c>
      <c r="K234" s="38" t="n">
        <v>184</v>
      </c>
      <c r="L234" s="31">
        <f>K234/52</f>
        <v/>
      </c>
      <c r="M234" s="39">
        <f>J234/1000000*52</f>
        <v/>
      </c>
      <c r="N234" s="33">
        <f>M234/$P$4+($I$22/$P$4)</f>
        <v/>
      </c>
      <c r="U234">
        <f>F233</f>
        <v/>
      </c>
      <c r="V234">
        <f>H233</f>
        <v/>
      </c>
      <c r="W234">
        <f>N233</f>
        <v/>
      </c>
    </row>
    <row r="235" ht="15.75" customHeight="1" s="40">
      <c r="C235" s="36">
        <f>_xlfn.IFS(E235&lt;E$24,0,E235&lt;E$26,C$24,E235&lt;E$28,C$26,E235&lt;E$30,C$28,E235&lt;E$32,C$30,E235&lt;E$34,C$32,E235&gt;=E$34,C$34)</f>
        <v/>
      </c>
      <c r="D235" s="37">
        <f>_xlfn.IFS(E235&lt;E$24,0,E235&lt;E$25,D$24,E235&lt;E$26,D$25,E235&lt;E$27,D$26,E235&lt;E$28,D$27,E235&lt;E$29,D$28,E235&lt;E$30,D$29,E235&lt;E$31,D$30,E235&lt;E$32,D$31,E235&lt;E$33,D$32,E235&lt;E$34,D$33,E235&lt;E$35,D$34,E235&gt;=E$35,D$35)</f>
        <v/>
      </c>
      <c r="E235" s="38" t="n">
        <v>185</v>
      </c>
      <c r="F235" s="31">
        <f>E235/52</f>
        <v/>
      </c>
      <c r="G235" s="39">
        <f>D235/1000000*52</f>
        <v/>
      </c>
      <c r="H235" s="33">
        <f>G235/$P$4+($C$22/$P$4)</f>
        <v/>
      </c>
      <c r="I235" s="36">
        <f>_xlfn.IFS(K235&lt;K$24,0,K235&lt;K$26,I$24,K235&lt;K$28,I$26,K235&lt;K$30,I$28,K235&lt;K$32,I$30,K235&lt;K$34,I$32,K235&lt;K$36,I$34,K235&lt;K$38,I$36,K235&lt;K$40,I$38,K235&lt;K$42,I$40,K235&lt;K$44,I$42,K235&lt;K$46,I$44,K235&gt;=K$46,I$46)</f>
        <v/>
      </c>
      <c r="J235" s="37">
        <f>_xlfn.IFS(K235&lt;K$24,0,K235&lt;K$25,J$24,K235&lt;K$26,J$25,K235&lt;K$27,J$26,K235&lt;K$28,J$27,K235&lt;K$29,J$28,K235&lt;K$30,J$29,K235&lt;K$31,J$30,K235&lt;K$32,J$31,K235&lt;K$33,J$32,K235&lt;K$34,J$33,K235&lt;K$35,J$34,K235&lt;K$36,J$35,K235&lt;K$37,J$36,K235&lt;K$38,J$37,K235&lt;K$39,J$38,K235&lt;K$40,J$39,K235&lt;K$41,J$40,K235&lt;K$42,J$41,K235&lt;K$43,J$42,K235&lt;K$44,J$43,K235&lt;K$45,J$44,K235&lt;K$46,J$45,K235&lt;K$47,J$46,K235&gt;=K$47,J$47)</f>
        <v/>
      </c>
      <c r="K235" s="38" t="n">
        <v>185</v>
      </c>
      <c r="L235" s="31">
        <f>K235/52</f>
        <v/>
      </c>
      <c r="M235" s="39">
        <f>J235/1000000*52</f>
        <v/>
      </c>
      <c r="N235" s="33">
        <f>M235/$P$4+($I$22/$P$4)</f>
        <v/>
      </c>
      <c r="U235">
        <f>F234</f>
        <v/>
      </c>
      <c r="V235">
        <f>H234</f>
        <v/>
      </c>
      <c r="W235">
        <f>N234</f>
        <v/>
      </c>
    </row>
    <row r="236" ht="15.75" customHeight="1" s="40">
      <c r="C236" s="36">
        <f>_xlfn.IFS(E236&lt;E$24,0,E236&lt;E$26,C$24,E236&lt;E$28,C$26,E236&lt;E$30,C$28,E236&lt;E$32,C$30,E236&lt;E$34,C$32,E236&gt;=E$34,C$34)</f>
        <v/>
      </c>
      <c r="D236" s="37">
        <f>_xlfn.IFS(E236&lt;E$24,0,E236&lt;E$25,D$24,E236&lt;E$26,D$25,E236&lt;E$27,D$26,E236&lt;E$28,D$27,E236&lt;E$29,D$28,E236&lt;E$30,D$29,E236&lt;E$31,D$30,E236&lt;E$32,D$31,E236&lt;E$33,D$32,E236&lt;E$34,D$33,E236&lt;E$35,D$34,E236&gt;=E$35,D$35)</f>
        <v/>
      </c>
      <c r="E236" s="38" t="n">
        <v>186</v>
      </c>
      <c r="F236" s="31">
        <f>E236/52</f>
        <v/>
      </c>
      <c r="G236" s="39">
        <f>D236/1000000*52</f>
        <v/>
      </c>
      <c r="H236" s="33">
        <f>G236/$P$4+($C$22/$P$4)</f>
        <v/>
      </c>
      <c r="I236" s="36">
        <f>_xlfn.IFS(K236&lt;K$24,0,K236&lt;K$26,I$24,K236&lt;K$28,I$26,K236&lt;K$30,I$28,K236&lt;K$32,I$30,K236&lt;K$34,I$32,K236&lt;K$36,I$34,K236&lt;K$38,I$36,K236&lt;K$40,I$38,K236&lt;K$42,I$40,K236&lt;K$44,I$42,K236&lt;K$46,I$44,K236&gt;=K$46,I$46)</f>
        <v/>
      </c>
      <c r="J236" s="37">
        <f>_xlfn.IFS(K236&lt;K$24,0,K236&lt;K$25,J$24,K236&lt;K$26,J$25,K236&lt;K$27,J$26,K236&lt;K$28,J$27,K236&lt;K$29,J$28,K236&lt;K$30,J$29,K236&lt;K$31,J$30,K236&lt;K$32,J$31,K236&lt;K$33,J$32,K236&lt;K$34,J$33,K236&lt;K$35,J$34,K236&lt;K$36,J$35,K236&lt;K$37,J$36,K236&lt;K$38,J$37,K236&lt;K$39,J$38,K236&lt;K$40,J$39,K236&lt;K$41,J$40,K236&lt;K$42,J$41,K236&lt;K$43,J$42,K236&lt;K$44,J$43,K236&lt;K$45,J$44,K236&lt;K$46,J$45,K236&lt;K$47,J$46,K236&gt;=K$47,J$47)</f>
        <v/>
      </c>
      <c r="K236" s="38" t="n">
        <v>186</v>
      </c>
      <c r="L236" s="31">
        <f>K236/52</f>
        <v/>
      </c>
      <c r="M236" s="39">
        <f>J236/1000000*52</f>
        <v/>
      </c>
      <c r="N236" s="33">
        <f>M236/$P$4+($I$22/$P$4)</f>
        <v/>
      </c>
      <c r="U236">
        <f>F235</f>
        <v/>
      </c>
      <c r="V236">
        <f>H235</f>
        <v/>
      </c>
      <c r="W236">
        <f>N235</f>
        <v/>
      </c>
    </row>
    <row r="237" ht="15.75" customHeight="1" s="40">
      <c r="C237" s="36">
        <f>_xlfn.IFS(E237&lt;E$24,0,E237&lt;E$26,C$24,E237&lt;E$28,C$26,E237&lt;E$30,C$28,E237&lt;E$32,C$30,E237&lt;E$34,C$32,E237&gt;=E$34,C$34)</f>
        <v/>
      </c>
      <c r="D237" s="37">
        <f>_xlfn.IFS(E237&lt;E$24,0,E237&lt;E$25,D$24,E237&lt;E$26,D$25,E237&lt;E$27,D$26,E237&lt;E$28,D$27,E237&lt;E$29,D$28,E237&lt;E$30,D$29,E237&lt;E$31,D$30,E237&lt;E$32,D$31,E237&lt;E$33,D$32,E237&lt;E$34,D$33,E237&lt;E$35,D$34,E237&gt;=E$35,D$35)</f>
        <v/>
      </c>
      <c r="E237" s="38" t="n">
        <v>187</v>
      </c>
      <c r="F237" s="31">
        <f>E237/52</f>
        <v/>
      </c>
      <c r="G237" s="39">
        <f>D237/1000000*52</f>
        <v/>
      </c>
      <c r="H237" s="33">
        <f>G237/$P$4+($C$22/$P$4)</f>
        <v/>
      </c>
      <c r="I237" s="36">
        <f>_xlfn.IFS(K237&lt;K$24,0,K237&lt;K$26,I$24,K237&lt;K$28,I$26,K237&lt;K$30,I$28,K237&lt;K$32,I$30,K237&lt;K$34,I$32,K237&lt;K$36,I$34,K237&lt;K$38,I$36,K237&lt;K$40,I$38,K237&lt;K$42,I$40,K237&lt;K$44,I$42,K237&lt;K$46,I$44,K237&gt;=K$46,I$46)</f>
        <v/>
      </c>
      <c r="J237" s="37">
        <f>_xlfn.IFS(K237&lt;K$24,0,K237&lt;K$25,J$24,K237&lt;K$26,J$25,K237&lt;K$27,J$26,K237&lt;K$28,J$27,K237&lt;K$29,J$28,K237&lt;K$30,J$29,K237&lt;K$31,J$30,K237&lt;K$32,J$31,K237&lt;K$33,J$32,K237&lt;K$34,J$33,K237&lt;K$35,J$34,K237&lt;K$36,J$35,K237&lt;K$37,J$36,K237&lt;K$38,J$37,K237&lt;K$39,J$38,K237&lt;K$40,J$39,K237&lt;K$41,J$40,K237&lt;K$42,J$41,K237&lt;K$43,J$42,K237&lt;K$44,J$43,K237&lt;K$45,J$44,K237&lt;K$46,J$45,K237&lt;K$47,J$46,K237&gt;=K$47,J$47)</f>
        <v/>
      </c>
      <c r="K237" s="38" t="n">
        <v>187</v>
      </c>
      <c r="L237" s="31">
        <f>K237/52</f>
        <v/>
      </c>
      <c r="M237" s="39">
        <f>J237/1000000*52</f>
        <v/>
      </c>
      <c r="N237" s="33">
        <f>M237/$P$4+($I$22/$P$4)</f>
        <v/>
      </c>
      <c r="U237">
        <f>F236</f>
        <v/>
      </c>
      <c r="V237">
        <f>H236</f>
        <v/>
      </c>
      <c r="W237">
        <f>N236</f>
        <v/>
      </c>
    </row>
    <row r="238" ht="15.75" customHeight="1" s="40">
      <c r="C238" s="36">
        <f>_xlfn.IFS(E238&lt;E$24,0,E238&lt;E$26,C$24,E238&lt;E$28,C$26,E238&lt;E$30,C$28,E238&lt;E$32,C$30,E238&lt;E$34,C$32,E238&gt;=E$34,C$34)</f>
        <v/>
      </c>
      <c r="D238" s="37">
        <f>_xlfn.IFS(E238&lt;E$24,0,E238&lt;E$25,D$24,E238&lt;E$26,D$25,E238&lt;E$27,D$26,E238&lt;E$28,D$27,E238&lt;E$29,D$28,E238&lt;E$30,D$29,E238&lt;E$31,D$30,E238&lt;E$32,D$31,E238&lt;E$33,D$32,E238&lt;E$34,D$33,E238&lt;E$35,D$34,E238&gt;=E$35,D$35)</f>
        <v/>
      </c>
      <c r="E238" s="38" t="n">
        <v>188</v>
      </c>
      <c r="F238" s="31">
        <f>E238/52</f>
        <v/>
      </c>
      <c r="G238" s="39">
        <f>D238/1000000*52</f>
        <v/>
      </c>
      <c r="H238" s="33">
        <f>G238/$P$4+($C$22/$P$4)</f>
        <v/>
      </c>
      <c r="I238" s="36">
        <f>_xlfn.IFS(K238&lt;K$24,0,K238&lt;K$26,I$24,K238&lt;K$28,I$26,K238&lt;K$30,I$28,K238&lt;K$32,I$30,K238&lt;K$34,I$32,K238&lt;K$36,I$34,K238&lt;K$38,I$36,K238&lt;K$40,I$38,K238&lt;K$42,I$40,K238&lt;K$44,I$42,K238&lt;K$46,I$44,K238&gt;=K$46,I$46)</f>
        <v/>
      </c>
      <c r="J238" s="37">
        <f>_xlfn.IFS(K238&lt;K$24,0,K238&lt;K$25,J$24,K238&lt;K$26,J$25,K238&lt;K$27,J$26,K238&lt;K$28,J$27,K238&lt;K$29,J$28,K238&lt;K$30,J$29,K238&lt;K$31,J$30,K238&lt;K$32,J$31,K238&lt;K$33,J$32,K238&lt;K$34,J$33,K238&lt;K$35,J$34,K238&lt;K$36,J$35,K238&lt;K$37,J$36,K238&lt;K$38,J$37,K238&lt;K$39,J$38,K238&lt;K$40,J$39,K238&lt;K$41,J$40,K238&lt;K$42,J$41,K238&lt;K$43,J$42,K238&lt;K$44,J$43,K238&lt;K$45,J$44,K238&lt;K$46,J$45,K238&lt;K$47,J$46,K238&gt;=K$47,J$47)</f>
        <v/>
      </c>
      <c r="K238" s="38" t="n">
        <v>188</v>
      </c>
      <c r="L238" s="31">
        <f>K238/52</f>
        <v/>
      </c>
      <c r="M238" s="39">
        <f>J238/1000000*52</f>
        <v/>
      </c>
      <c r="N238" s="33">
        <f>M238/$P$4+($I$22/$P$4)</f>
        <v/>
      </c>
      <c r="U238">
        <f>F237</f>
        <v/>
      </c>
      <c r="V238">
        <f>H237</f>
        <v/>
      </c>
      <c r="W238">
        <f>N237</f>
        <v/>
      </c>
    </row>
    <row r="239" ht="15.75" customHeight="1" s="40">
      <c r="C239" s="36">
        <f>_xlfn.IFS(E239&lt;E$24,0,E239&lt;E$26,C$24,E239&lt;E$28,C$26,E239&lt;E$30,C$28,E239&lt;E$32,C$30,E239&lt;E$34,C$32,E239&gt;=E$34,C$34)</f>
        <v/>
      </c>
      <c r="D239" s="37">
        <f>_xlfn.IFS(E239&lt;E$24,0,E239&lt;E$25,D$24,E239&lt;E$26,D$25,E239&lt;E$27,D$26,E239&lt;E$28,D$27,E239&lt;E$29,D$28,E239&lt;E$30,D$29,E239&lt;E$31,D$30,E239&lt;E$32,D$31,E239&lt;E$33,D$32,E239&lt;E$34,D$33,E239&lt;E$35,D$34,E239&gt;=E$35,D$35)</f>
        <v/>
      </c>
      <c r="E239" s="38" t="n">
        <v>189</v>
      </c>
      <c r="F239" s="31">
        <f>E239/52</f>
        <v/>
      </c>
      <c r="G239" s="39">
        <f>D239/1000000*52</f>
        <v/>
      </c>
      <c r="H239" s="33">
        <f>G239/$P$4+($C$22/$P$4)</f>
        <v/>
      </c>
      <c r="I239" s="36">
        <f>_xlfn.IFS(K239&lt;K$24,0,K239&lt;K$26,I$24,K239&lt;K$28,I$26,K239&lt;K$30,I$28,K239&lt;K$32,I$30,K239&lt;K$34,I$32,K239&lt;K$36,I$34,K239&lt;K$38,I$36,K239&lt;K$40,I$38,K239&lt;K$42,I$40,K239&lt;K$44,I$42,K239&lt;K$46,I$44,K239&gt;=K$46,I$46)</f>
        <v/>
      </c>
      <c r="J239" s="37">
        <f>_xlfn.IFS(K239&lt;K$24,0,K239&lt;K$25,J$24,K239&lt;K$26,J$25,K239&lt;K$27,J$26,K239&lt;K$28,J$27,K239&lt;K$29,J$28,K239&lt;K$30,J$29,K239&lt;K$31,J$30,K239&lt;K$32,J$31,K239&lt;K$33,J$32,K239&lt;K$34,J$33,K239&lt;K$35,J$34,K239&lt;K$36,J$35,K239&lt;K$37,J$36,K239&lt;K$38,J$37,K239&lt;K$39,J$38,K239&lt;K$40,J$39,K239&lt;K$41,J$40,K239&lt;K$42,J$41,K239&lt;K$43,J$42,K239&lt;K$44,J$43,K239&lt;K$45,J$44,K239&lt;K$46,J$45,K239&lt;K$47,J$46,K239&gt;=K$47,J$47)</f>
        <v/>
      </c>
      <c r="K239" s="38" t="n">
        <v>189</v>
      </c>
      <c r="L239" s="31">
        <f>K239/52</f>
        <v/>
      </c>
      <c r="M239" s="39">
        <f>J239/1000000*52</f>
        <v/>
      </c>
      <c r="N239" s="33">
        <f>M239/$P$4+($I$22/$P$4)</f>
        <v/>
      </c>
      <c r="U239">
        <f>F238</f>
        <v/>
      </c>
      <c r="V239">
        <f>H238</f>
        <v/>
      </c>
      <c r="W239">
        <f>N238</f>
        <v/>
      </c>
    </row>
    <row r="240" ht="15.75" customHeight="1" s="40">
      <c r="C240" s="36">
        <f>_xlfn.IFS(E240&lt;E$24,0,E240&lt;E$26,C$24,E240&lt;E$28,C$26,E240&lt;E$30,C$28,E240&lt;E$32,C$30,E240&lt;E$34,C$32,E240&gt;=E$34,C$34)</f>
        <v/>
      </c>
      <c r="D240" s="37">
        <f>_xlfn.IFS(E240&lt;E$24,0,E240&lt;E$25,D$24,E240&lt;E$26,D$25,E240&lt;E$27,D$26,E240&lt;E$28,D$27,E240&lt;E$29,D$28,E240&lt;E$30,D$29,E240&lt;E$31,D$30,E240&lt;E$32,D$31,E240&lt;E$33,D$32,E240&lt;E$34,D$33,E240&lt;E$35,D$34,E240&gt;=E$35,D$35)</f>
        <v/>
      </c>
      <c r="E240" s="38" t="n">
        <v>190</v>
      </c>
      <c r="F240" s="31">
        <f>E240/52</f>
        <v/>
      </c>
      <c r="G240" s="39">
        <f>D240/1000000*52</f>
        <v/>
      </c>
      <c r="H240" s="33">
        <f>G240/$P$4+($C$22/$P$4)</f>
        <v/>
      </c>
      <c r="I240" s="36">
        <f>_xlfn.IFS(K240&lt;K$24,0,K240&lt;K$26,I$24,K240&lt;K$28,I$26,K240&lt;K$30,I$28,K240&lt;K$32,I$30,K240&lt;K$34,I$32,K240&lt;K$36,I$34,K240&lt;K$38,I$36,K240&lt;K$40,I$38,K240&lt;K$42,I$40,K240&lt;K$44,I$42,K240&lt;K$46,I$44,K240&gt;=K$46,I$46)</f>
        <v/>
      </c>
      <c r="J240" s="37">
        <f>_xlfn.IFS(K240&lt;K$24,0,K240&lt;K$25,J$24,K240&lt;K$26,J$25,K240&lt;K$27,J$26,K240&lt;K$28,J$27,K240&lt;K$29,J$28,K240&lt;K$30,J$29,K240&lt;K$31,J$30,K240&lt;K$32,J$31,K240&lt;K$33,J$32,K240&lt;K$34,J$33,K240&lt;K$35,J$34,K240&lt;K$36,J$35,K240&lt;K$37,J$36,K240&lt;K$38,J$37,K240&lt;K$39,J$38,K240&lt;K$40,J$39,K240&lt;K$41,J$40,K240&lt;K$42,J$41,K240&lt;K$43,J$42,K240&lt;K$44,J$43,K240&lt;K$45,J$44,K240&lt;K$46,J$45,K240&lt;K$47,J$46,K240&gt;=K$47,J$47)</f>
        <v/>
      </c>
      <c r="K240" s="38" t="n">
        <v>190</v>
      </c>
      <c r="L240" s="31">
        <f>K240/52</f>
        <v/>
      </c>
      <c r="M240" s="39">
        <f>J240/1000000*52</f>
        <v/>
      </c>
      <c r="N240" s="33">
        <f>M240/$P$4+($I$22/$P$4)</f>
        <v/>
      </c>
      <c r="U240">
        <f>F239</f>
        <v/>
      </c>
      <c r="V240">
        <f>H239</f>
        <v/>
      </c>
      <c r="W240">
        <f>N239</f>
        <v/>
      </c>
    </row>
    <row r="241" ht="15.75" customHeight="1" s="40">
      <c r="C241" s="36">
        <f>_xlfn.IFS(E241&lt;E$24,0,E241&lt;E$26,C$24,E241&lt;E$28,C$26,E241&lt;E$30,C$28,E241&lt;E$32,C$30,E241&lt;E$34,C$32,E241&gt;=E$34,C$34)</f>
        <v/>
      </c>
      <c r="D241" s="37">
        <f>_xlfn.IFS(E241&lt;E$24,0,E241&lt;E$25,D$24,E241&lt;E$26,D$25,E241&lt;E$27,D$26,E241&lt;E$28,D$27,E241&lt;E$29,D$28,E241&lt;E$30,D$29,E241&lt;E$31,D$30,E241&lt;E$32,D$31,E241&lt;E$33,D$32,E241&lt;E$34,D$33,E241&lt;E$35,D$34,E241&gt;=E$35,D$35)</f>
        <v/>
      </c>
      <c r="E241" s="38" t="n">
        <v>191</v>
      </c>
      <c r="F241" s="31">
        <f>E241/52</f>
        <v/>
      </c>
      <c r="G241" s="39">
        <f>D241/1000000*52</f>
        <v/>
      </c>
      <c r="H241" s="33">
        <f>G241/$P$4+($C$22/$P$4)</f>
        <v/>
      </c>
      <c r="I241" s="36">
        <f>_xlfn.IFS(K241&lt;K$24,0,K241&lt;K$26,I$24,K241&lt;K$28,I$26,K241&lt;K$30,I$28,K241&lt;K$32,I$30,K241&lt;K$34,I$32,K241&lt;K$36,I$34,K241&lt;K$38,I$36,K241&lt;K$40,I$38,K241&lt;K$42,I$40,K241&lt;K$44,I$42,K241&lt;K$46,I$44,K241&gt;=K$46,I$46)</f>
        <v/>
      </c>
      <c r="J241" s="37">
        <f>_xlfn.IFS(K241&lt;K$24,0,K241&lt;K$25,J$24,K241&lt;K$26,J$25,K241&lt;K$27,J$26,K241&lt;K$28,J$27,K241&lt;K$29,J$28,K241&lt;K$30,J$29,K241&lt;K$31,J$30,K241&lt;K$32,J$31,K241&lt;K$33,J$32,K241&lt;K$34,J$33,K241&lt;K$35,J$34,K241&lt;K$36,J$35,K241&lt;K$37,J$36,K241&lt;K$38,J$37,K241&lt;K$39,J$38,K241&lt;K$40,J$39,K241&lt;K$41,J$40,K241&lt;K$42,J$41,K241&lt;K$43,J$42,K241&lt;K$44,J$43,K241&lt;K$45,J$44,K241&lt;K$46,J$45,K241&lt;K$47,J$46,K241&gt;=K$47,J$47)</f>
        <v/>
      </c>
      <c r="K241" s="38" t="n">
        <v>191</v>
      </c>
      <c r="L241" s="31">
        <f>K241/52</f>
        <v/>
      </c>
      <c r="M241" s="39">
        <f>J241/1000000*52</f>
        <v/>
      </c>
      <c r="N241" s="33">
        <f>M241/$P$4+($I$22/$P$4)</f>
        <v/>
      </c>
      <c r="U241">
        <f>F240</f>
        <v/>
      </c>
      <c r="V241">
        <f>H240</f>
        <v/>
      </c>
      <c r="W241">
        <f>N240</f>
        <v/>
      </c>
    </row>
    <row r="242" ht="15.75" customHeight="1" s="40">
      <c r="C242" s="36">
        <f>_xlfn.IFS(E242&lt;E$24,0,E242&lt;E$26,C$24,E242&lt;E$28,C$26,E242&lt;E$30,C$28,E242&lt;E$32,C$30,E242&lt;E$34,C$32,E242&gt;=E$34,C$34)</f>
        <v/>
      </c>
      <c r="D242" s="37">
        <f>_xlfn.IFS(E242&lt;E$24,0,E242&lt;E$25,D$24,E242&lt;E$26,D$25,E242&lt;E$27,D$26,E242&lt;E$28,D$27,E242&lt;E$29,D$28,E242&lt;E$30,D$29,E242&lt;E$31,D$30,E242&lt;E$32,D$31,E242&lt;E$33,D$32,E242&lt;E$34,D$33,E242&lt;E$35,D$34,E242&gt;=E$35,D$35)</f>
        <v/>
      </c>
      <c r="E242" s="38" t="n">
        <v>192</v>
      </c>
      <c r="F242" s="31">
        <f>E242/52</f>
        <v/>
      </c>
      <c r="G242" s="39">
        <f>D242/1000000*52</f>
        <v/>
      </c>
      <c r="H242" s="33">
        <f>G242/$P$4+($C$22/$P$4)</f>
        <v/>
      </c>
      <c r="I242" s="36">
        <f>_xlfn.IFS(K242&lt;K$24,0,K242&lt;K$26,I$24,K242&lt;K$28,I$26,K242&lt;K$30,I$28,K242&lt;K$32,I$30,K242&lt;K$34,I$32,K242&lt;K$36,I$34,K242&lt;K$38,I$36,K242&lt;K$40,I$38,K242&lt;K$42,I$40,K242&lt;K$44,I$42,K242&lt;K$46,I$44,K242&gt;=K$46,I$46)</f>
        <v/>
      </c>
      <c r="J242" s="37">
        <f>_xlfn.IFS(K242&lt;K$24,0,K242&lt;K$25,J$24,K242&lt;K$26,J$25,K242&lt;K$27,J$26,K242&lt;K$28,J$27,K242&lt;K$29,J$28,K242&lt;K$30,J$29,K242&lt;K$31,J$30,K242&lt;K$32,J$31,K242&lt;K$33,J$32,K242&lt;K$34,J$33,K242&lt;K$35,J$34,K242&lt;K$36,J$35,K242&lt;K$37,J$36,K242&lt;K$38,J$37,K242&lt;K$39,J$38,K242&lt;K$40,J$39,K242&lt;K$41,J$40,K242&lt;K$42,J$41,K242&lt;K$43,J$42,K242&lt;K$44,J$43,K242&lt;K$45,J$44,K242&lt;K$46,J$45,K242&lt;K$47,J$46,K242&gt;=K$47,J$47)</f>
        <v/>
      </c>
      <c r="K242" s="38" t="n">
        <v>192</v>
      </c>
      <c r="L242" s="31">
        <f>K242/52</f>
        <v/>
      </c>
      <c r="M242" s="39">
        <f>J242/1000000*52</f>
        <v/>
      </c>
      <c r="N242" s="33">
        <f>M242/$P$4+($I$22/$P$4)</f>
        <v/>
      </c>
      <c r="U242">
        <f>F241</f>
        <v/>
      </c>
      <c r="V242">
        <f>H241</f>
        <v/>
      </c>
      <c r="W242">
        <f>N241</f>
        <v/>
      </c>
    </row>
    <row r="243" ht="15.75" customHeight="1" s="40">
      <c r="C243" s="36">
        <f>_xlfn.IFS(E243&lt;E$24,0,E243&lt;E$26,C$24,E243&lt;E$28,C$26,E243&lt;E$30,C$28,E243&lt;E$32,C$30,E243&lt;E$34,C$32,E243&gt;=E$34,C$34)</f>
        <v/>
      </c>
      <c r="D243" s="37">
        <f>_xlfn.IFS(E243&lt;E$24,0,E243&lt;E$25,D$24,E243&lt;E$26,D$25,E243&lt;E$27,D$26,E243&lt;E$28,D$27,E243&lt;E$29,D$28,E243&lt;E$30,D$29,E243&lt;E$31,D$30,E243&lt;E$32,D$31,E243&lt;E$33,D$32,E243&lt;E$34,D$33,E243&lt;E$35,D$34,E243&gt;=E$35,D$35)</f>
        <v/>
      </c>
      <c r="E243" s="38" t="n">
        <v>193</v>
      </c>
      <c r="F243" s="31">
        <f>E243/52</f>
        <v/>
      </c>
      <c r="G243" s="39">
        <f>D243/1000000*52</f>
        <v/>
      </c>
      <c r="H243" s="33">
        <f>G243/$P$4+($C$22/$P$4)</f>
        <v/>
      </c>
      <c r="I243" s="36">
        <f>_xlfn.IFS(K243&lt;K$24,0,K243&lt;K$26,I$24,K243&lt;K$28,I$26,K243&lt;K$30,I$28,K243&lt;K$32,I$30,K243&lt;K$34,I$32,K243&lt;K$36,I$34,K243&lt;K$38,I$36,K243&lt;K$40,I$38,K243&lt;K$42,I$40,K243&lt;K$44,I$42,K243&lt;K$46,I$44,K243&gt;=K$46,I$46)</f>
        <v/>
      </c>
      <c r="J243" s="37">
        <f>_xlfn.IFS(K243&lt;K$24,0,K243&lt;K$25,J$24,K243&lt;K$26,J$25,K243&lt;K$27,J$26,K243&lt;K$28,J$27,K243&lt;K$29,J$28,K243&lt;K$30,J$29,K243&lt;K$31,J$30,K243&lt;K$32,J$31,K243&lt;K$33,J$32,K243&lt;K$34,J$33,K243&lt;K$35,J$34,K243&lt;K$36,J$35,K243&lt;K$37,J$36,K243&lt;K$38,J$37,K243&lt;K$39,J$38,K243&lt;K$40,J$39,K243&lt;K$41,J$40,K243&lt;K$42,J$41,K243&lt;K$43,J$42,K243&lt;K$44,J$43,K243&lt;K$45,J$44,K243&lt;K$46,J$45,K243&lt;K$47,J$46,K243&gt;=K$47,J$47)</f>
        <v/>
      </c>
      <c r="K243" s="38" t="n">
        <v>193</v>
      </c>
      <c r="L243" s="31">
        <f>K243/52</f>
        <v/>
      </c>
      <c r="M243" s="39">
        <f>J243/1000000*52</f>
        <v/>
      </c>
      <c r="N243" s="33">
        <f>M243/$P$4+($I$22/$P$4)</f>
        <v/>
      </c>
      <c r="U243">
        <f>F242</f>
        <v/>
      </c>
      <c r="V243">
        <f>H242</f>
        <v/>
      </c>
      <c r="W243">
        <f>N242</f>
        <v/>
      </c>
    </row>
    <row r="244" ht="15.75" customHeight="1" s="40">
      <c r="C244" s="36">
        <f>_xlfn.IFS(E244&lt;E$24,0,E244&lt;E$26,C$24,E244&lt;E$28,C$26,E244&lt;E$30,C$28,E244&lt;E$32,C$30,E244&lt;E$34,C$32,E244&gt;=E$34,C$34)</f>
        <v/>
      </c>
      <c r="D244" s="37">
        <f>_xlfn.IFS(E244&lt;E$24,0,E244&lt;E$25,D$24,E244&lt;E$26,D$25,E244&lt;E$27,D$26,E244&lt;E$28,D$27,E244&lt;E$29,D$28,E244&lt;E$30,D$29,E244&lt;E$31,D$30,E244&lt;E$32,D$31,E244&lt;E$33,D$32,E244&lt;E$34,D$33,E244&lt;E$35,D$34,E244&gt;=E$35,D$35)</f>
        <v/>
      </c>
      <c r="E244" s="38" t="n">
        <v>194</v>
      </c>
      <c r="F244" s="31">
        <f>E244/52</f>
        <v/>
      </c>
      <c r="G244" s="39">
        <f>D244/1000000*52</f>
        <v/>
      </c>
      <c r="H244" s="33">
        <f>G244/$P$4+($C$22/$P$4)</f>
        <v/>
      </c>
      <c r="I244" s="36">
        <f>_xlfn.IFS(K244&lt;K$24,0,K244&lt;K$26,I$24,K244&lt;K$28,I$26,K244&lt;K$30,I$28,K244&lt;K$32,I$30,K244&lt;K$34,I$32,K244&lt;K$36,I$34,K244&lt;K$38,I$36,K244&lt;K$40,I$38,K244&lt;K$42,I$40,K244&lt;K$44,I$42,K244&lt;K$46,I$44,K244&gt;=K$46,I$46)</f>
        <v/>
      </c>
      <c r="J244" s="37">
        <f>_xlfn.IFS(K244&lt;K$24,0,K244&lt;K$25,J$24,K244&lt;K$26,J$25,K244&lt;K$27,J$26,K244&lt;K$28,J$27,K244&lt;K$29,J$28,K244&lt;K$30,J$29,K244&lt;K$31,J$30,K244&lt;K$32,J$31,K244&lt;K$33,J$32,K244&lt;K$34,J$33,K244&lt;K$35,J$34,K244&lt;K$36,J$35,K244&lt;K$37,J$36,K244&lt;K$38,J$37,K244&lt;K$39,J$38,K244&lt;K$40,J$39,K244&lt;K$41,J$40,K244&lt;K$42,J$41,K244&lt;K$43,J$42,K244&lt;K$44,J$43,K244&lt;K$45,J$44,K244&lt;K$46,J$45,K244&lt;K$47,J$46,K244&gt;=K$47,J$47)</f>
        <v/>
      </c>
      <c r="K244" s="38" t="n">
        <v>194</v>
      </c>
      <c r="L244" s="31">
        <f>K244/52</f>
        <v/>
      </c>
      <c r="M244" s="39">
        <f>J244/1000000*52</f>
        <v/>
      </c>
      <c r="N244" s="33">
        <f>M244/$P$4+($I$22/$P$4)</f>
        <v/>
      </c>
      <c r="U244">
        <f>F243</f>
        <v/>
      </c>
      <c r="V244">
        <f>H243</f>
        <v/>
      </c>
      <c r="W244">
        <f>N243</f>
        <v/>
      </c>
    </row>
    <row r="245" ht="15.75" customHeight="1" s="40">
      <c r="C245" s="36">
        <f>_xlfn.IFS(E245&lt;E$24,0,E245&lt;E$26,C$24,E245&lt;E$28,C$26,E245&lt;E$30,C$28,E245&lt;E$32,C$30,E245&lt;E$34,C$32,E245&gt;=E$34,C$34)</f>
        <v/>
      </c>
      <c r="D245" s="37">
        <f>_xlfn.IFS(E245&lt;E$24,0,E245&lt;E$25,D$24,E245&lt;E$26,D$25,E245&lt;E$27,D$26,E245&lt;E$28,D$27,E245&lt;E$29,D$28,E245&lt;E$30,D$29,E245&lt;E$31,D$30,E245&lt;E$32,D$31,E245&lt;E$33,D$32,E245&lt;E$34,D$33,E245&lt;E$35,D$34,E245&gt;=E$35,D$35)</f>
        <v/>
      </c>
      <c r="E245" s="38" t="n">
        <v>195</v>
      </c>
      <c r="F245" s="31">
        <f>E245/52</f>
        <v/>
      </c>
      <c r="G245" s="39">
        <f>D245/1000000*52</f>
        <v/>
      </c>
      <c r="H245" s="33">
        <f>G245/$P$4+($C$22/$P$4)</f>
        <v/>
      </c>
      <c r="I245" s="36">
        <f>_xlfn.IFS(K245&lt;K$24,0,K245&lt;K$26,I$24,K245&lt;K$28,I$26,K245&lt;K$30,I$28,K245&lt;K$32,I$30,K245&lt;K$34,I$32,K245&lt;K$36,I$34,K245&lt;K$38,I$36,K245&lt;K$40,I$38,K245&lt;K$42,I$40,K245&lt;K$44,I$42,K245&lt;K$46,I$44,K245&gt;=K$46,I$46)</f>
        <v/>
      </c>
      <c r="J245" s="37">
        <f>_xlfn.IFS(K245&lt;K$24,0,K245&lt;K$25,J$24,K245&lt;K$26,J$25,K245&lt;K$27,J$26,K245&lt;K$28,J$27,K245&lt;K$29,J$28,K245&lt;K$30,J$29,K245&lt;K$31,J$30,K245&lt;K$32,J$31,K245&lt;K$33,J$32,K245&lt;K$34,J$33,K245&lt;K$35,J$34,K245&lt;K$36,J$35,K245&lt;K$37,J$36,K245&lt;K$38,J$37,K245&lt;K$39,J$38,K245&lt;K$40,J$39,K245&lt;K$41,J$40,K245&lt;K$42,J$41,K245&lt;K$43,J$42,K245&lt;K$44,J$43,K245&lt;K$45,J$44,K245&lt;K$46,J$45,K245&lt;K$47,J$46,K245&gt;=K$47,J$47)</f>
        <v/>
      </c>
      <c r="K245" s="38" t="n">
        <v>195</v>
      </c>
      <c r="L245" s="31">
        <f>K245/52</f>
        <v/>
      </c>
      <c r="M245" s="39">
        <f>J245/1000000*52</f>
        <v/>
      </c>
      <c r="N245" s="33">
        <f>M245/$P$4+($I$22/$P$4)</f>
        <v/>
      </c>
      <c r="U245">
        <f>F244</f>
        <v/>
      </c>
      <c r="V245">
        <f>H244</f>
        <v/>
      </c>
      <c r="W245">
        <f>N244</f>
        <v/>
      </c>
    </row>
    <row r="246" ht="15.75" customHeight="1" s="40">
      <c r="C246" s="36">
        <f>_xlfn.IFS(E246&lt;E$24,0,E246&lt;E$26,C$24,E246&lt;E$28,C$26,E246&lt;E$30,C$28,E246&lt;E$32,C$30,E246&lt;E$34,C$32,E246&gt;=E$34,C$34)</f>
        <v/>
      </c>
      <c r="D246" s="37">
        <f>_xlfn.IFS(E246&lt;E$24,0,E246&lt;E$25,D$24,E246&lt;E$26,D$25,E246&lt;E$27,D$26,E246&lt;E$28,D$27,E246&lt;E$29,D$28,E246&lt;E$30,D$29,E246&lt;E$31,D$30,E246&lt;E$32,D$31,E246&lt;E$33,D$32,E246&lt;E$34,D$33,E246&lt;E$35,D$34,E246&gt;=E$35,D$35)</f>
        <v/>
      </c>
      <c r="E246" s="38" t="n">
        <v>196</v>
      </c>
      <c r="F246" s="31">
        <f>E246/52</f>
        <v/>
      </c>
      <c r="G246" s="39">
        <f>D246/1000000*52</f>
        <v/>
      </c>
      <c r="H246" s="33">
        <f>G246/$P$4+($C$22/$P$4)</f>
        <v/>
      </c>
      <c r="I246" s="36">
        <f>_xlfn.IFS(K246&lt;K$24,0,K246&lt;K$26,I$24,K246&lt;K$28,I$26,K246&lt;K$30,I$28,K246&lt;K$32,I$30,K246&lt;K$34,I$32,K246&lt;K$36,I$34,K246&lt;K$38,I$36,K246&lt;K$40,I$38,K246&lt;K$42,I$40,K246&lt;K$44,I$42,K246&lt;K$46,I$44,K246&gt;=K$46,I$46)</f>
        <v/>
      </c>
      <c r="J246" s="37">
        <f>_xlfn.IFS(K246&lt;K$24,0,K246&lt;K$25,J$24,K246&lt;K$26,J$25,K246&lt;K$27,J$26,K246&lt;K$28,J$27,K246&lt;K$29,J$28,K246&lt;K$30,J$29,K246&lt;K$31,J$30,K246&lt;K$32,J$31,K246&lt;K$33,J$32,K246&lt;K$34,J$33,K246&lt;K$35,J$34,K246&lt;K$36,J$35,K246&lt;K$37,J$36,K246&lt;K$38,J$37,K246&lt;K$39,J$38,K246&lt;K$40,J$39,K246&lt;K$41,J$40,K246&lt;K$42,J$41,K246&lt;K$43,J$42,K246&lt;K$44,J$43,K246&lt;K$45,J$44,K246&lt;K$46,J$45,K246&lt;K$47,J$46,K246&gt;=K$47,J$47)</f>
        <v/>
      </c>
      <c r="K246" s="38" t="n">
        <v>196</v>
      </c>
      <c r="L246" s="31">
        <f>K246/52</f>
        <v/>
      </c>
      <c r="M246" s="39">
        <f>J246/1000000*52</f>
        <v/>
      </c>
      <c r="N246" s="33">
        <f>M246/$P$4+($I$22/$P$4)</f>
        <v/>
      </c>
      <c r="U246">
        <f>F245</f>
        <v/>
      </c>
      <c r="V246">
        <f>H245</f>
        <v/>
      </c>
      <c r="W246">
        <f>N245</f>
        <v/>
      </c>
    </row>
    <row r="247" ht="15.75" customHeight="1" s="40">
      <c r="C247" s="36">
        <f>_xlfn.IFS(E247&lt;E$24,0,E247&lt;E$26,C$24,E247&lt;E$28,C$26,E247&lt;E$30,C$28,E247&lt;E$32,C$30,E247&lt;E$34,C$32,E247&gt;=E$34,C$34)</f>
        <v/>
      </c>
      <c r="D247" s="37">
        <f>_xlfn.IFS(E247&lt;E$24,0,E247&lt;E$25,D$24,E247&lt;E$26,D$25,E247&lt;E$27,D$26,E247&lt;E$28,D$27,E247&lt;E$29,D$28,E247&lt;E$30,D$29,E247&lt;E$31,D$30,E247&lt;E$32,D$31,E247&lt;E$33,D$32,E247&lt;E$34,D$33,E247&lt;E$35,D$34,E247&gt;=E$35,D$35)</f>
        <v/>
      </c>
      <c r="E247" s="38" t="n">
        <v>197</v>
      </c>
      <c r="F247" s="31">
        <f>E247/52</f>
        <v/>
      </c>
      <c r="G247" s="39">
        <f>D247/1000000*52</f>
        <v/>
      </c>
      <c r="H247" s="33">
        <f>G247/$P$4+($C$22/$P$4)</f>
        <v/>
      </c>
      <c r="I247" s="36">
        <f>_xlfn.IFS(K247&lt;K$24,0,K247&lt;K$26,I$24,K247&lt;K$28,I$26,K247&lt;K$30,I$28,K247&lt;K$32,I$30,K247&lt;K$34,I$32,K247&lt;K$36,I$34,K247&lt;K$38,I$36,K247&lt;K$40,I$38,K247&lt;K$42,I$40,K247&lt;K$44,I$42,K247&lt;K$46,I$44,K247&gt;=K$46,I$46)</f>
        <v/>
      </c>
      <c r="J247" s="37">
        <f>_xlfn.IFS(K247&lt;K$24,0,K247&lt;K$25,J$24,K247&lt;K$26,J$25,K247&lt;K$27,J$26,K247&lt;K$28,J$27,K247&lt;K$29,J$28,K247&lt;K$30,J$29,K247&lt;K$31,J$30,K247&lt;K$32,J$31,K247&lt;K$33,J$32,K247&lt;K$34,J$33,K247&lt;K$35,J$34,K247&lt;K$36,J$35,K247&lt;K$37,J$36,K247&lt;K$38,J$37,K247&lt;K$39,J$38,K247&lt;K$40,J$39,K247&lt;K$41,J$40,K247&lt;K$42,J$41,K247&lt;K$43,J$42,K247&lt;K$44,J$43,K247&lt;K$45,J$44,K247&lt;K$46,J$45,K247&lt;K$47,J$46,K247&gt;=K$47,J$47)</f>
        <v/>
      </c>
      <c r="K247" s="38" t="n">
        <v>197</v>
      </c>
      <c r="L247" s="31">
        <f>K247/52</f>
        <v/>
      </c>
      <c r="M247" s="39">
        <f>J247/1000000*52</f>
        <v/>
      </c>
      <c r="N247" s="33">
        <f>M247/$P$4+($I$22/$P$4)</f>
        <v/>
      </c>
      <c r="U247">
        <f>F246</f>
        <v/>
      </c>
      <c r="V247">
        <f>H246</f>
        <v/>
      </c>
      <c r="W247">
        <f>N246</f>
        <v/>
      </c>
    </row>
    <row r="248" ht="15.75" customHeight="1" s="40">
      <c r="C248" s="36">
        <f>_xlfn.IFS(E248&lt;E$24,0,E248&lt;E$26,C$24,E248&lt;E$28,C$26,E248&lt;E$30,C$28,E248&lt;E$32,C$30,E248&lt;E$34,C$32,E248&gt;=E$34,C$34)</f>
        <v/>
      </c>
      <c r="D248" s="37">
        <f>_xlfn.IFS(E248&lt;E$24,0,E248&lt;E$25,D$24,E248&lt;E$26,D$25,E248&lt;E$27,D$26,E248&lt;E$28,D$27,E248&lt;E$29,D$28,E248&lt;E$30,D$29,E248&lt;E$31,D$30,E248&lt;E$32,D$31,E248&lt;E$33,D$32,E248&lt;E$34,D$33,E248&lt;E$35,D$34,E248&gt;=E$35,D$35)</f>
        <v/>
      </c>
      <c r="E248" s="38" t="n">
        <v>198</v>
      </c>
      <c r="F248" s="31">
        <f>E248/52</f>
        <v/>
      </c>
      <c r="G248" s="39">
        <f>D248/1000000*52</f>
        <v/>
      </c>
      <c r="H248" s="33">
        <f>G248/$P$4+($C$22/$P$4)</f>
        <v/>
      </c>
      <c r="I248" s="36">
        <f>_xlfn.IFS(K248&lt;K$24,0,K248&lt;K$26,I$24,K248&lt;K$28,I$26,K248&lt;K$30,I$28,K248&lt;K$32,I$30,K248&lt;K$34,I$32,K248&lt;K$36,I$34,K248&lt;K$38,I$36,K248&lt;K$40,I$38,K248&lt;K$42,I$40,K248&lt;K$44,I$42,K248&lt;K$46,I$44,K248&gt;=K$46,I$46)</f>
        <v/>
      </c>
      <c r="J248" s="37">
        <f>_xlfn.IFS(K248&lt;K$24,0,K248&lt;K$25,J$24,K248&lt;K$26,J$25,K248&lt;K$27,J$26,K248&lt;K$28,J$27,K248&lt;K$29,J$28,K248&lt;K$30,J$29,K248&lt;K$31,J$30,K248&lt;K$32,J$31,K248&lt;K$33,J$32,K248&lt;K$34,J$33,K248&lt;K$35,J$34,K248&lt;K$36,J$35,K248&lt;K$37,J$36,K248&lt;K$38,J$37,K248&lt;K$39,J$38,K248&lt;K$40,J$39,K248&lt;K$41,J$40,K248&lt;K$42,J$41,K248&lt;K$43,J$42,K248&lt;K$44,J$43,K248&lt;K$45,J$44,K248&lt;K$46,J$45,K248&lt;K$47,J$46,K248&gt;=K$47,J$47)</f>
        <v/>
      </c>
      <c r="K248" s="38" t="n">
        <v>198</v>
      </c>
      <c r="L248" s="31">
        <f>K248/52</f>
        <v/>
      </c>
      <c r="M248" s="39">
        <f>J248/1000000*52</f>
        <v/>
      </c>
      <c r="N248" s="33">
        <f>M248/$P$4+($I$22/$P$4)</f>
        <v/>
      </c>
      <c r="U248">
        <f>F247</f>
        <v/>
      </c>
      <c r="V248">
        <f>H247</f>
        <v/>
      </c>
      <c r="W248">
        <f>N247</f>
        <v/>
      </c>
    </row>
    <row r="249" ht="15.75" customHeight="1" s="40">
      <c r="C249" s="36">
        <f>_xlfn.IFS(E249&lt;E$24,0,E249&lt;E$26,C$24,E249&lt;E$28,C$26,E249&lt;E$30,C$28,E249&lt;E$32,C$30,E249&lt;E$34,C$32,E249&gt;=E$34,C$34)</f>
        <v/>
      </c>
      <c r="D249" s="37">
        <f>_xlfn.IFS(E249&lt;E$24,0,E249&lt;E$25,D$24,E249&lt;E$26,D$25,E249&lt;E$27,D$26,E249&lt;E$28,D$27,E249&lt;E$29,D$28,E249&lt;E$30,D$29,E249&lt;E$31,D$30,E249&lt;E$32,D$31,E249&lt;E$33,D$32,E249&lt;E$34,D$33,E249&lt;E$35,D$34,E249&gt;=E$35,D$35)</f>
        <v/>
      </c>
      <c r="E249" s="38" t="n">
        <v>199</v>
      </c>
      <c r="F249" s="31">
        <f>E249/52</f>
        <v/>
      </c>
      <c r="G249" s="39">
        <f>D249/1000000*52</f>
        <v/>
      </c>
      <c r="H249" s="33">
        <f>G249/$P$4+($C$22/$P$4)</f>
        <v/>
      </c>
      <c r="I249" s="36">
        <f>_xlfn.IFS(K249&lt;K$24,0,K249&lt;K$26,I$24,K249&lt;K$28,I$26,K249&lt;K$30,I$28,K249&lt;K$32,I$30,K249&lt;K$34,I$32,K249&lt;K$36,I$34,K249&lt;K$38,I$36,K249&lt;K$40,I$38,K249&lt;K$42,I$40,K249&lt;K$44,I$42,K249&lt;K$46,I$44,K249&gt;=K$46,I$46)</f>
        <v/>
      </c>
      <c r="J249" s="37">
        <f>_xlfn.IFS(K249&lt;K$24,0,K249&lt;K$25,J$24,K249&lt;K$26,J$25,K249&lt;K$27,J$26,K249&lt;K$28,J$27,K249&lt;K$29,J$28,K249&lt;K$30,J$29,K249&lt;K$31,J$30,K249&lt;K$32,J$31,K249&lt;K$33,J$32,K249&lt;K$34,J$33,K249&lt;K$35,J$34,K249&lt;K$36,J$35,K249&lt;K$37,J$36,K249&lt;K$38,J$37,K249&lt;K$39,J$38,K249&lt;K$40,J$39,K249&lt;K$41,J$40,K249&lt;K$42,J$41,K249&lt;K$43,J$42,K249&lt;K$44,J$43,K249&lt;K$45,J$44,K249&lt;K$46,J$45,K249&lt;K$47,J$46,K249&gt;=K$47,J$47)</f>
        <v/>
      </c>
      <c r="K249" s="38" t="n">
        <v>199</v>
      </c>
      <c r="L249" s="31">
        <f>K249/52</f>
        <v/>
      </c>
      <c r="M249" s="39">
        <f>J249/1000000*52</f>
        <v/>
      </c>
      <c r="N249" s="33">
        <f>M249/$P$4+($I$22/$P$4)</f>
        <v/>
      </c>
      <c r="U249">
        <f>F248</f>
        <v/>
      </c>
      <c r="V249">
        <f>H248</f>
        <v/>
      </c>
      <c r="W249">
        <f>N248</f>
        <v/>
      </c>
    </row>
    <row r="250" ht="15.75" customHeight="1" s="40">
      <c r="C250" s="36">
        <f>_xlfn.IFS(E250&lt;E$24,0,E250&lt;E$26,C$24,E250&lt;E$28,C$26,E250&lt;E$30,C$28,E250&lt;E$32,C$30,E250&lt;E$34,C$32,E250&gt;=E$34,C$34)</f>
        <v/>
      </c>
      <c r="D250" s="37">
        <f>_xlfn.IFS(E250&lt;E$24,0,E250&lt;E$25,D$24,E250&lt;E$26,D$25,E250&lt;E$27,D$26,E250&lt;E$28,D$27,E250&lt;E$29,D$28,E250&lt;E$30,D$29,E250&lt;E$31,D$30,E250&lt;E$32,D$31,E250&lt;E$33,D$32,E250&lt;E$34,D$33,E250&lt;E$35,D$34,E250&gt;=E$35,D$35)</f>
        <v/>
      </c>
      <c r="E250" s="38" t="n">
        <v>200</v>
      </c>
      <c r="F250" s="31">
        <f>E250/52</f>
        <v/>
      </c>
      <c r="G250" s="39">
        <f>D250/1000000*52</f>
        <v/>
      </c>
      <c r="H250" s="33">
        <f>G250/$P$4+($C$22/$P$4)</f>
        <v/>
      </c>
      <c r="I250" s="36">
        <f>_xlfn.IFS(K250&lt;K$24,0,K250&lt;K$26,I$24,K250&lt;K$28,I$26,K250&lt;K$30,I$28,K250&lt;K$32,I$30,K250&lt;K$34,I$32,K250&lt;K$36,I$34,K250&lt;K$38,I$36,K250&lt;K$40,I$38,K250&lt;K$42,I$40,K250&lt;K$44,I$42,K250&lt;K$46,I$44,K250&gt;=K$46,I$46)</f>
        <v/>
      </c>
      <c r="J250" s="37">
        <f>_xlfn.IFS(K250&lt;K$24,0,K250&lt;K$25,J$24,K250&lt;K$26,J$25,K250&lt;K$27,J$26,K250&lt;K$28,J$27,K250&lt;K$29,J$28,K250&lt;K$30,J$29,K250&lt;K$31,J$30,K250&lt;K$32,J$31,K250&lt;K$33,J$32,K250&lt;K$34,J$33,K250&lt;K$35,J$34,K250&lt;K$36,J$35,K250&lt;K$37,J$36,K250&lt;K$38,J$37,K250&lt;K$39,J$38,K250&lt;K$40,J$39,K250&lt;K$41,J$40,K250&lt;K$42,J$41,K250&lt;K$43,J$42,K250&lt;K$44,J$43,K250&lt;K$45,J$44,K250&lt;K$46,J$45,K250&lt;K$47,J$46,K250&gt;=K$47,J$47)</f>
        <v/>
      </c>
      <c r="K250" s="38" t="n">
        <v>200</v>
      </c>
      <c r="L250" s="31">
        <f>K250/52</f>
        <v/>
      </c>
      <c r="M250" s="39">
        <f>J250/1000000*52</f>
        <v/>
      </c>
      <c r="N250" s="33">
        <f>M250/$P$4+($I$22/$P$4)</f>
        <v/>
      </c>
      <c r="U250">
        <f>F249</f>
        <v/>
      </c>
      <c r="V250">
        <f>H249</f>
        <v/>
      </c>
      <c r="W250">
        <f>N249</f>
        <v/>
      </c>
    </row>
    <row r="251" ht="15.75" customHeight="1" s="40">
      <c r="C251" s="36">
        <f>_xlfn.IFS(E251&lt;E$24,0,E251&lt;E$26,C$24,E251&lt;E$28,C$26,E251&lt;E$30,C$28,E251&lt;E$32,C$30,E251&lt;E$34,C$32,E251&gt;=E$34,C$34)</f>
        <v/>
      </c>
      <c r="D251" s="37">
        <f>_xlfn.IFS(E251&lt;E$24,0,E251&lt;E$25,D$24,E251&lt;E$26,D$25,E251&lt;E$27,D$26,E251&lt;E$28,D$27,E251&lt;E$29,D$28,E251&lt;E$30,D$29,E251&lt;E$31,D$30,E251&lt;E$32,D$31,E251&lt;E$33,D$32,E251&lt;E$34,D$33,E251&lt;E$35,D$34,E251&gt;=E$35,D$35)</f>
        <v/>
      </c>
      <c r="E251" s="38" t="n">
        <v>201</v>
      </c>
      <c r="F251" s="31">
        <f>E251/52</f>
        <v/>
      </c>
      <c r="G251" s="39">
        <f>D251/1000000*52</f>
        <v/>
      </c>
      <c r="H251" s="33">
        <f>G251/$P$4+($C$22/$P$4)</f>
        <v/>
      </c>
      <c r="I251" s="36">
        <f>_xlfn.IFS(K251&lt;K$24,0,K251&lt;K$26,I$24,K251&lt;K$28,I$26,K251&lt;K$30,I$28,K251&lt;K$32,I$30,K251&lt;K$34,I$32,K251&lt;K$36,I$34,K251&lt;K$38,I$36,K251&lt;K$40,I$38,K251&lt;K$42,I$40,K251&lt;K$44,I$42,K251&lt;K$46,I$44,K251&gt;=K$46,I$46)</f>
        <v/>
      </c>
      <c r="J251" s="37">
        <f>_xlfn.IFS(K251&lt;K$24,0,K251&lt;K$25,J$24,K251&lt;K$26,J$25,K251&lt;K$27,J$26,K251&lt;K$28,J$27,K251&lt;K$29,J$28,K251&lt;K$30,J$29,K251&lt;K$31,J$30,K251&lt;K$32,J$31,K251&lt;K$33,J$32,K251&lt;K$34,J$33,K251&lt;K$35,J$34,K251&lt;K$36,J$35,K251&lt;K$37,J$36,K251&lt;K$38,J$37,K251&lt;K$39,J$38,K251&lt;K$40,J$39,K251&lt;K$41,J$40,K251&lt;K$42,J$41,K251&lt;K$43,J$42,K251&lt;K$44,J$43,K251&lt;K$45,J$44,K251&lt;K$46,J$45,K251&lt;K$47,J$46,K251&gt;=K$47,J$47)</f>
        <v/>
      </c>
      <c r="K251" s="38" t="n">
        <v>201</v>
      </c>
      <c r="L251" s="31">
        <f>K251/52</f>
        <v/>
      </c>
      <c r="M251" s="39">
        <f>J251/1000000*52</f>
        <v/>
      </c>
      <c r="N251" s="33">
        <f>M251/$P$4+($I$22/$P$4)</f>
        <v/>
      </c>
      <c r="U251">
        <f>F250</f>
        <v/>
      </c>
      <c r="V251">
        <f>H250</f>
        <v/>
      </c>
      <c r="W251">
        <f>N250</f>
        <v/>
      </c>
    </row>
    <row r="252" ht="15.75" customHeight="1" s="40">
      <c r="C252" s="36">
        <f>_xlfn.IFS(E252&lt;E$24,0,E252&lt;E$26,C$24,E252&lt;E$28,C$26,E252&lt;E$30,C$28,E252&lt;E$32,C$30,E252&lt;E$34,C$32,E252&gt;=E$34,C$34)</f>
        <v/>
      </c>
      <c r="D252" s="37">
        <f>_xlfn.IFS(E252&lt;E$24,0,E252&lt;E$25,D$24,E252&lt;E$26,D$25,E252&lt;E$27,D$26,E252&lt;E$28,D$27,E252&lt;E$29,D$28,E252&lt;E$30,D$29,E252&lt;E$31,D$30,E252&lt;E$32,D$31,E252&lt;E$33,D$32,E252&lt;E$34,D$33,E252&lt;E$35,D$34,E252&gt;=E$35,D$35)</f>
        <v/>
      </c>
      <c r="E252" s="38" t="n">
        <v>202</v>
      </c>
      <c r="F252" s="31">
        <f>E252/52</f>
        <v/>
      </c>
      <c r="G252" s="39">
        <f>D252/1000000*52</f>
        <v/>
      </c>
      <c r="H252" s="33">
        <f>G252/$P$4+($C$22/$P$4)</f>
        <v/>
      </c>
      <c r="I252" s="36">
        <f>_xlfn.IFS(K252&lt;K$24,0,K252&lt;K$26,I$24,K252&lt;K$28,I$26,K252&lt;K$30,I$28,K252&lt;K$32,I$30,K252&lt;K$34,I$32,K252&lt;K$36,I$34,K252&lt;K$38,I$36,K252&lt;K$40,I$38,K252&lt;K$42,I$40,K252&lt;K$44,I$42,K252&lt;K$46,I$44,K252&gt;=K$46,I$46)</f>
        <v/>
      </c>
      <c r="J252" s="37">
        <f>_xlfn.IFS(K252&lt;K$24,0,K252&lt;K$25,J$24,K252&lt;K$26,J$25,K252&lt;K$27,J$26,K252&lt;K$28,J$27,K252&lt;K$29,J$28,K252&lt;K$30,J$29,K252&lt;K$31,J$30,K252&lt;K$32,J$31,K252&lt;K$33,J$32,K252&lt;K$34,J$33,K252&lt;K$35,J$34,K252&lt;K$36,J$35,K252&lt;K$37,J$36,K252&lt;K$38,J$37,K252&lt;K$39,J$38,K252&lt;K$40,J$39,K252&lt;K$41,J$40,K252&lt;K$42,J$41,K252&lt;K$43,J$42,K252&lt;K$44,J$43,K252&lt;K$45,J$44,K252&lt;K$46,J$45,K252&lt;K$47,J$46,K252&gt;=K$47,J$47)</f>
        <v/>
      </c>
      <c r="K252" s="38" t="n">
        <v>202</v>
      </c>
      <c r="L252" s="31">
        <f>K252/52</f>
        <v/>
      </c>
      <c r="M252" s="39">
        <f>J252/1000000*52</f>
        <v/>
      </c>
      <c r="N252" s="33">
        <f>M252/$P$4+($I$22/$P$4)</f>
        <v/>
      </c>
      <c r="U252">
        <f>F251</f>
        <v/>
      </c>
      <c r="V252">
        <f>H251</f>
        <v/>
      </c>
      <c r="W252">
        <f>N251</f>
        <v/>
      </c>
    </row>
    <row r="253" ht="15.75" customHeight="1" s="40">
      <c r="C253" s="36">
        <f>_xlfn.IFS(E253&lt;E$24,0,E253&lt;E$26,C$24,E253&lt;E$28,C$26,E253&lt;E$30,C$28,E253&lt;E$32,C$30,E253&lt;E$34,C$32,E253&gt;=E$34,C$34)</f>
        <v/>
      </c>
      <c r="D253" s="37">
        <f>_xlfn.IFS(E253&lt;E$24,0,E253&lt;E$25,D$24,E253&lt;E$26,D$25,E253&lt;E$27,D$26,E253&lt;E$28,D$27,E253&lt;E$29,D$28,E253&lt;E$30,D$29,E253&lt;E$31,D$30,E253&lt;E$32,D$31,E253&lt;E$33,D$32,E253&lt;E$34,D$33,E253&lt;E$35,D$34,E253&gt;=E$35,D$35)</f>
        <v/>
      </c>
      <c r="E253" s="38" t="n">
        <v>203</v>
      </c>
      <c r="F253" s="31">
        <f>E253/52</f>
        <v/>
      </c>
      <c r="G253" s="39">
        <f>D253/1000000*52</f>
        <v/>
      </c>
      <c r="H253" s="33">
        <f>G253/$P$4+($C$22/$P$4)</f>
        <v/>
      </c>
      <c r="I253" s="36">
        <f>_xlfn.IFS(K253&lt;K$24,0,K253&lt;K$26,I$24,K253&lt;K$28,I$26,K253&lt;K$30,I$28,K253&lt;K$32,I$30,K253&lt;K$34,I$32,K253&lt;K$36,I$34,K253&lt;K$38,I$36,K253&lt;K$40,I$38,K253&lt;K$42,I$40,K253&lt;K$44,I$42,K253&lt;K$46,I$44,K253&gt;=K$46,I$46)</f>
        <v/>
      </c>
      <c r="J253" s="37">
        <f>_xlfn.IFS(K253&lt;K$24,0,K253&lt;K$25,J$24,K253&lt;K$26,J$25,K253&lt;K$27,J$26,K253&lt;K$28,J$27,K253&lt;K$29,J$28,K253&lt;K$30,J$29,K253&lt;K$31,J$30,K253&lt;K$32,J$31,K253&lt;K$33,J$32,K253&lt;K$34,J$33,K253&lt;K$35,J$34,K253&lt;K$36,J$35,K253&lt;K$37,J$36,K253&lt;K$38,J$37,K253&lt;K$39,J$38,K253&lt;K$40,J$39,K253&lt;K$41,J$40,K253&lt;K$42,J$41,K253&lt;K$43,J$42,K253&lt;K$44,J$43,K253&lt;K$45,J$44,K253&lt;K$46,J$45,K253&lt;K$47,J$46,K253&gt;=K$47,J$47)</f>
        <v/>
      </c>
      <c r="K253" s="38" t="n">
        <v>203</v>
      </c>
      <c r="L253" s="31">
        <f>K253/52</f>
        <v/>
      </c>
      <c r="M253" s="39">
        <f>J253/1000000*52</f>
        <v/>
      </c>
      <c r="N253" s="33">
        <f>M253/$P$4+($I$22/$P$4)</f>
        <v/>
      </c>
      <c r="U253">
        <f>F252</f>
        <v/>
      </c>
      <c r="V253">
        <f>H252</f>
        <v/>
      </c>
      <c r="W253">
        <f>N252</f>
        <v/>
      </c>
    </row>
    <row r="254" ht="15.75" customHeight="1" s="40">
      <c r="C254" s="36">
        <f>_xlfn.IFS(E254&lt;E$24,0,E254&lt;E$26,C$24,E254&lt;E$28,C$26,E254&lt;E$30,C$28,E254&lt;E$32,C$30,E254&lt;E$34,C$32,E254&gt;=E$34,C$34)</f>
        <v/>
      </c>
      <c r="D254" s="37">
        <f>_xlfn.IFS(E254&lt;E$24,0,E254&lt;E$25,D$24,E254&lt;E$26,D$25,E254&lt;E$27,D$26,E254&lt;E$28,D$27,E254&lt;E$29,D$28,E254&lt;E$30,D$29,E254&lt;E$31,D$30,E254&lt;E$32,D$31,E254&lt;E$33,D$32,E254&lt;E$34,D$33,E254&lt;E$35,D$34,E254&gt;=E$35,D$35)</f>
        <v/>
      </c>
      <c r="E254" s="38" t="n">
        <v>204</v>
      </c>
      <c r="F254" s="31">
        <f>E254/52</f>
        <v/>
      </c>
      <c r="G254" s="39">
        <f>D254/1000000*52</f>
        <v/>
      </c>
      <c r="H254" s="33">
        <f>G254/$P$4+($C$22/$P$4)</f>
        <v/>
      </c>
      <c r="I254" s="36">
        <f>_xlfn.IFS(K254&lt;K$24,0,K254&lt;K$26,I$24,K254&lt;K$28,I$26,K254&lt;K$30,I$28,K254&lt;K$32,I$30,K254&lt;K$34,I$32,K254&lt;K$36,I$34,K254&lt;K$38,I$36,K254&lt;K$40,I$38,K254&lt;K$42,I$40,K254&lt;K$44,I$42,K254&lt;K$46,I$44,K254&gt;=K$46,I$46)</f>
        <v/>
      </c>
      <c r="J254" s="37">
        <f>_xlfn.IFS(K254&lt;K$24,0,K254&lt;K$25,J$24,K254&lt;K$26,J$25,K254&lt;K$27,J$26,K254&lt;K$28,J$27,K254&lt;K$29,J$28,K254&lt;K$30,J$29,K254&lt;K$31,J$30,K254&lt;K$32,J$31,K254&lt;K$33,J$32,K254&lt;K$34,J$33,K254&lt;K$35,J$34,K254&lt;K$36,J$35,K254&lt;K$37,J$36,K254&lt;K$38,J$37,K254&lt;K$39,J$38,K254&lt;K$40,J$39,K254&lt;K$41,J$40,K254&lt;K$42,J$41,K254&lt;K$43,J$42,K254&lt;K$44,J$43,K254&lt;K$45,J$44,K254&lt;K$46,J$45,K254&lt;K$47,J$46,K254&gt;=K$47,J$47)</f>
        <v/>
      </c>
      <c r="K254" s="38" t="n">
        <v>204</v>
      </c>
      <c r="L254" s="31">
        <f>K254/52</f>
        <v/>
      </c>
      <c r="M254" s="39">
        <f>J254/1000000*52</f>
        <v/>
      </c>
      <c r="N254" s="33">
        <f>M254/$P$4+($I$22/$P$4)</f>
        <v/>
      </c>
      <c r="U254">
        <f>F253</f>
        <v/>
      </c>
      <c r="V254">
        <f>H253</f>
        <v/>
      </c>
      <c r="W254">
        <f>N253</f>
        <v/>
      </c>
    </row>
    <row r="255" ht="15.75" customHeight="1" s="40">
      <c r="C255" s="36">
        <f>_xlfn.IFS(E255&lt;E$24,0,E255&lt;E$26,C$24,E255&lt;E$28,C$26,E255&lt;E$30,C$28,E255&lt;E$32,C$30,E255&lt;E$34,C$32,E255&gt;=E$34,C$34)</f>
        <v/>
      </c>
      <c r="D255" s="37">
        <f>_xlfn.IFS(E255&lt;E$24,0,E255&lt;E$25,D$24,E255&lt;E$26,D$25,E255&lt;E$27,D$26,E255&lt;E$28,D$27,E255&lt;E$29,D$28,E255&lt;E$30,D$29,E255&lt;E$31,D$30,E255&lt;E$32,D$31,E255&lt;E$33,D$32,E255&lt;E$34,D$33,E255&lt;E$35,D$34,E255&gt;=E$35,D$35)</f>
        <v/>
      </c>
      <c r="E255" s="38" t="n">
        <v>205</v>
      </c>
      <c r="F255" s="31">
        <f>E255/52</f>
        <v/>
      </c>
      <c r="G255" s="39">
        <f>D255/1000000*52</f>
        <v/>
      </c>
      <c r="H255" s="33">
        <f>G255/$P$4+($C$22/$P$4)</f>
        <v/>
      </c>
      <c r="I255" s="36">
        <f>_xlfn.IFS(K255&lt;K$24,0,K255&lt;K$26,I$24,K255&lt;K$28,I$26,K255&lt;K$30,I$28,K255&lt;K$32,I$30,K255&lt;K$34,I$32,K255&lt;K$36,I$34,K255&lt;K$38,I$36,K255&lt;K$40,I$38,K255&lt;K$42,I$40,K255&lt;K$44,I$42,K255&lt;K$46,I$44,K255&gt;=K$46,I$46)</f>
        <v/>
      </c>
      <c r="J255" s="37">
        <f>_xlfn.IFS(K255&lt;K$24,0,K255&lt;K$25,J$24,K255&lt;K$26,J$25,K255&lt;K$27,J$26,K255&lt;K$28,J$27,K255&lt;K$29,J$28,K255&lt;K$30,J$29,K255&lt;K$31,J$30,K255&lt;K$32,J$31,K255&lt;K$33,J$32,K255&lt;K$34,J$33,K255&lt;K$35,J$34,K255&lt;K$36,J$35,K255&lt;K$37,J$36,K255&lt;K$38,J$37,K255&lt;K$39,J$38,K255&lt;K$40,J$39,K255&lt;K$41,J$40,K255&lt;K$42,J$41,K255&lt;K$43,J$42,K255&lt;K$44,J$43,K255&lt;K$45,J$44,K255&lt;K$46,J$45,K255&lt;K$47,J$46,K255&gt;=K$47,J$47)</f>
        <v/>
      </c>
      <c r="K255" s="38" t="n">
        <v>205</v>
      </c>
      <c r="L255" s="31">
        <f>K255/52</f>
        <v/>
      </c>
      <c r="M255" s="39">
        <f>J255/1000000*52</f>
        <v/>
      </c>
      <c r="N255" s="33">
        <f>M255/$P$4+($I$22/$P$4)</f>
        <v/>
      </c>
      <c r="U255">
        <f>F254</f>
        <v/>
      </c>
      <c r="V255">
        <f>H254</f>
        <v/>
      </c>
      <c r="W255">
        <f>N254</f>
        <v/>
      </c>
    </row>
    <row r="256" ht="15.75" customHeight="1" s="40">
      <c r="C256" s="36">
        <f>_xlfn.IFS(E256&lt;E$24,0,E256&lt;E$26,C$24,E256&lt;E$28,C$26,E256&lt;E$30,C$28,E256&lt;E$32,C$30,E256&lt;E$34,C$32,E256&gt;=E$34,C$34)</f>
        <v/>
      </c>
      <c r="D256" s="37">
        <f>_xlfn.IFS(E256&lt;E$24,0,E256&lt;E$25,D$24,E256&lt;E$26,D$25,E256&lt;E$27,D$26,E256&lt;E$28,D$27,E256&lt;E$29,D$28,E256&lt;E$30,D$29,E256&lt;E$31,D$30,E256&lt;E$32,D$31,E256&lt;E$33,D$32,E256&lt;E$34,D$33,E256&lt;E$35,D$34,E256&gt;=E$35,D$35)</f>
        <v/>
      </c>
      <c r="E256" s="38" t="n">
        <v>206</v>
      </c>
      <c r="F256" s="31">
        <f>E256/52</f>
        <v/>
      </c>
      <c r="G256" s="39">
        <f>D256/1000000*52</f>
        <v/>
      </c>
      <c r="H256" s="33">
        <f>G256/$P$4+($C$22/$P$4)</f>
        <v/>
      </c>
      <c r="I256" s="36">
        <f>_xlfn.IFS(K256&lt;K$24,0,K256&lt;K$26,I$24,K256&lt;K$28,I$26,K256&lt;K$30,I$28,K256&lt;K$32,I$30,K256&lt;K$34,I$32,K256&lt;K$36,I$34,K256&lt;K$38,I$36,K256&lt;K$40,I$38,K256&lt;K$42,I$40,K256&lt;K$44,I$42,K256&lt;K$46,I$44,K256&gt;=K$46,I$46)</f>
        <v/>
      </c>
      <c r="J256" s="37">
        <f>_xlfn.IFS(K256&lt;K$24,0,K256&lt;K$25,J$24,K256&lt;K$26,J$25,K256&lt;K$27,J$26,K256&lt;K$28,J$27,K256&lt;K$29,J$28,K256&lt;K$30,J$29,K256&lt;K$31,J$30,K256&lt;K$32,J$31,K256&lt;K$33,J$32,K256&lt;K$34,J$33,K256&lt;K$35,J$34,K256&lt;K$36,J$35,K256&lt;K$37,J$36,K256&lt;K$38,J$37,K256&lt;K$39,J$38,K256&lt;K$40,J$39,K256&lt;K$41,J$40,K256&lt;K$42,J$41,K256&lt;K$43,J$42,K256&lt;K$44,J$43,K256&lt;K$45,J$44,K256&lt;K$46,J$45,K256&lt;K$47,J$46,K256&gt;=K$47,J$47)</f>
        <v/>
      </c>
      <c r="K256" s="38" t="n">
        <v>206</v>
      </c>
      <c r="L256" s="31">
        <f>K256/52</f>
        <v/>
      </c>
      <c r="M256" s="39">
        <f>J256/1000000*52</f>
        <v/>
      </c>
      <c r="N256" s="33">
        <f>M256/$P$4+($I$22/$P$4)</f>
        <v/>
      </c>
      <c r="U256">
        <f>F255</f>
        <v/>
      </c>
      <c r="V256">
        <f>H255</f>
        <v/>
      </c>
      <c r="W256">
        <f>N255</f>
        <v/>
      </c>
    </row>
    <row r="257" ht="15.75" customHeight="1" s="40">
      <c r="C257" s="36">
        <f>_xlfn.IFS(E257&lt;E$24,0,E257&lt;E$26,C$24,E257&lt;E$28,C$26,E257&lt;E$30,C$28,E257&lt;E$32,C$30,E257&lt;E$34,C$32,E257&gt;=E$34,C$34)</f>
        <v/>
      </c>
      <c r="D257" s="37">
        <f>_xlfn.IFS(E257&lt;E$24,0,E257&lt;E$25,D$24,E257&lt;E$26,D$25,E257&lt;E$27,D$26,E257&lt;E$28,D$27,E257&lt;E$29,D$28,E257&lt;E$30,D$29,E257&lt;E$31,D$30,E257&lt;E$32,D$31,E257&lt;E$33,D$32,E257&lt;E$34,D$33,E257&lt;E$35,D$34,E257&gt;=E$35,D$35)</f>
        <v/>
      </c>
      <c r="E257" s="38" t="n">
        <v>207</v>
      </c>
      <c r="F257" s="31">
        <f>E257/52</f>
        <v/>
      </c>
      <c r="G257" s="39">
        <f>D257/1000000*52</f>
        <v/>
      </c>
      <c r="H257" s="33">
        <f>G257/$P$4+($C$22/$P$4)</f>
        <v/>
      </c>
      <c r="I257" s="36">
        <f>_xlfn.IFS(K257&lt;K$24,0,K257&lt;K$26,I$24,K257&lt;K$28,I$26,K257&lt;K$30,I$28,K257&lt;K$32,I$30,K257&lt;K$34,I$32,K257&lt;K$36,I$34,K257&lt;K$38,I$36,K257&lt;K$40,I$38,K257&lt;K$42,I$40,K257&lt;K$44,I$42,K257&lt;K$46,I$44,K257&gt;=K$46,I$46)</f>
        <v/>
      </c>
      <c r="J257" s="37">
        <f>_xlfn.IFS(K257&lt;K$24,0,K257&lt;K$25,J$24,K257&lt;K$26,J$25,K257&lt;K$27,J$26,K257&lt;K$28,J$27,K257&lt;K$29,J$28,K257&lt;K$30,J$29,K257&lt;K$31,J$30,K257&lt;K$32,J$31,K257&lt;K$33,J$32,K257&lt;K$34,J$33,K257&lt;K$35,J$34,K257&lt;K$36,J$35,K257&lt;K$37,J$36,K257&lt;K$38,J$37,K257&lt;K$39,J$38,K257&lt;K$40,J$39,K257&lt;K$41,J$40,K257&lt;K$42,J$41,K257&lt;K$43,J$42,K257&lt;K$44,J$43,K257&lt;K$45,J$44,K257&lt;K$46,J$45,K257&lt;K$47,J$46,K257&gt;=K$47,J$47)</f>
        <v/>
      </c>
      <c r="K257" s="38" t="n">
        <v>207</v>
      </c>
      <c r="L257" s="31">
        <f>K257/52</f>
        <v/>
      </c>
      <c r="M257" s="39">
        <f>J257/1000000*52</f>
        <v/>
      </c>
      <c r="N257" s="33">
        <f>M257/$P$4+($I$22/$P$4)</f>
        <v/>
      </c>
      <c r="U257">
        <f>F256</f>
        <v/>
      </c>
      <c r="V257">
        <f>H256</f>
        <v/>
      </c>
      <c r="W257">
        <f>N256</f>
        <v/>
      </c>
    </row>
    <row r="258" ht="15.75" customHeight="1" s="40">
      <c r="C258" s="36">
        <f>_xlfn.IFS(E258&lt;E$24,0,E258&lt;E$26,C$24,E258&lt;E$28,C$26,E258&lt;E$30,C$28,E258&lt;E$32,C$30,E258&lt;E$34,C$32,E258&gt;=E$34,C$34)</f>
        <v/>
      </c>
      <c r="D258" s="37">
        <f>_xlfn.IFS(E258&lt;E$24,0,E258&lt;E$25,D$24,E258&lt;E$26,D$25,E258&lt;E$27,D$26,E258&lt;E$28,D$27,E258&lt;E$29,D$28,E258&lt;E$30,D$29,E258&lt;E$31,D$30,E258&lt;E$32,D$31,E258&lt;E$33,D$32,E258&lt;E$34,D$33,E258&lt;E$35,D$34,E258&gt;=E$35,D$35)</f>
        <v/>
      </c>
      <c r="E258" s="38" t="n">
        <v>208</v>
      </c>
      <c r="F258" s="31">
        <f>E258/52</f>
        <v/>
      </c>
      <c r="G258" s="39">
        <f>D258/1000000*52</f>
        <v/>
      </c>
      <c r="H258" s="33">
        <f>G258/$P$4+($C$22/$P$4)</f>
        <v/>
      </c>
      <c r="I258" s="36">
        <f>_xlfn.IFS(K258&lt;K$24,0,K258&lt;K$26,I$24,K258&lt;K$28,I$26,K258&lt;K$30,I$28,K258&lt;K$32,I$30,K258&lt;K$34,I$32,K258&lt;K$36,I$34,K258&lt;K$38,I$36,K258&lt;K$40,I$38,K258&lt;K$42,I$40,K258&lt;K$44,I$42,K258&lt;K$46,I$44,K258&gt;=K$46,I$46)</f>
        <v/>
      </c>
      <c r="J258" s="37">
        <f>_xlfn.IFS(K258&lt;K$24,0,K258&lt;K$25,J$24,K258&lt;K$26,J$25,K258&lt;K$27,J$26,K258&lt;K$28,J$27,K258&lt;K$29,J$28,K258&lt;K$30,J$29,K258&lt;K$31,J$30,K258&lt;K$32,J$31,K258&lt;K$33,J$32,K258&lt;K$34,J$33,K258&lt;K$35,J$34,K258&lt;K$36,J$35,K258&lt;K$37,J$36,K258&lt;K$38,J$37,K258&lt;K$39,J$38,K258&lt;K$40,J$39,K258&lt;K$41,J$40,K258&lt;K$42,J$41,K258&lt;K$43,J$42,K258&lt;K$44,J$43,K258&lt;K$45,J$44,K258&lt;K$46,J$45,K258&lt;K$47,J$46,K258&gt;=K$47,J$47)</f>
        <v/>
      </c>
      <c r="K258" s="38" t="n">
        <v>208</v>
      </c>
      <c r="L258" s="31">
        <f>K258/52</f>
        <v/>
      </c>
      <c r="M258" s="39">
        <f>J258/1000000*52</f>
        <v/>
      </c>
      <c r="N258" s="33">
        <f>M258/$P$4+($I$22/$P$4)</f>
        <v/>
      </c>
      <c r="U258">
        <f>F257</f>
        <v/>
      </c>
      <c r="V258">
        <f>H257</f>
        <v/>
      </c>
      <c r="W258">
        <f>N257</f>
        <v/>
      </c>
    </row>
    <row r="259" ht="15.75" customHeight="1" s="40">
      <c r="C259" s="36">
        <f>_xlfn.IFS(E259&lt;E$24,0,E259&lt;E$26,C$24,E259&lt;E$28,C$26,E259&lt;E$30,C$28,E259&lt;E$32,C$30,E259&lt;E$34,C$32,E259&gt;=E$34,C$34)</f>
        <v/>
      </c>
      <c r="D259" s="37">
        <f>_xlfn.IFS(E259&lt;E$24,0,E259&lt;E$25,D$24,E259&lt;E$26,D$25,E259&lt;E$27,D$26,E259&lt;E$28,D$27,E259&lt;E$29,D$28,E259&lt;E$30,D$29,E259&lt;E$31,D$30,E259&lt;E$32,D$31,E259&lt;E$33,D$32,E259&lt;E$34,D$33,E259&lt;E$35,D$34,E259&gt;=E$35,D$35)</f>
        <v/>
      </c>
      <c r="E259" s="38" t="n">
        <v>209</v>
      </c>
      <c r="F259" s="31">
        <f>E259/52</f>
        <v/>
      </c>
      <c r="G259" s="39">
        <f>D259/1000000*52</f>
        <v/>
      </c>
      <c r="H259" s="33">
        <f>G259/$P$4+($C$22/$P$4)</f>
        <v/>
      </c>
      <c r="I259" s="36">
        <f>_xlfn.IFS(K259&lt;K$24,0,K259&lt;K$26,I$24,K259&lt;K$28,I$26,K259&lt;K$30,I$28,K259&lt;K$32,I$30,K259&lt;K$34,I$32,K259&lt;K$36,I$34,K259&lt;K$38,I$36,K259&lt;K$40,I$38,K259&lt;K$42,I$40,K259&lt;K$44,I$42,K259&lt;K$46,I$44,K259&gt;=K$46,I$46)</f>
        <v/>
      </c>
      <c r="J259" s="37">
        <f>_xlfn.IFS(K259&lt;K$24,0,K259&lt;K$25,J$24,K259&lt;K$26,J$25,K259&lt;K$27,J$26,K259&lt;K$28,J$27,K259&lt;K$29,J$28,K259&lt;K$30,J$29,K259&lt;K$31,J$30,K259&lt;K$32,J$31,K259&lt;K$33,J$32,K259&lt;K$34,J$33,K259&lt;K$35,J$34,K259&lt;K$36,J$35,K259&lt;K$37,J$36,K259&lt;K$38,J$37,K259&lt;K$39,J$38,K259&lt;K$40,J$39,K259&lt;K$41,J$40,K259&lt;K$42,J$41,K259&lt;K$43,J$42,K259&lt;K$44,J$43,K259&lt;K$45,J$44,K259&lt;K$46,J$45,K259&lt;K$47,J$46,K259&gt;=K$47,J$47)</f>
        <v/>
      </c>
      <c r="K259" s="38" t="n">
        <v>209</v>
      </c>
      <c r="L259" s="31">
        <f>K259/52</f>
        <v/>
      </c>
      <c r="M259" s="39">
        <f>J259/1000000*52</f>
        <v/>
      </c>
      <c r="N259" s="33">
        <f>M259/$P$4+($I$22/$P$4)</f>
        <v/>
      </c>
      <c r="U259">
        <f>F258</f>
        <v/>
      </c>
      <c r="V259">
        <f>H258</f>
        <v/>
      </c>
      <c r="W259">
        <f>N258</f>
        <v/>
      </c>
    </row>
    <row r="260" ht="15.75" customHeight="1" s="40">
      <c r="C260" s="36">
        <f>_xlfn.IFS(E260&lt;E$24,0,E260&lt;E$26,C$24,E260&lt;E$28,C$26,E260&lt;E$30,C$28,E260&lt;E$32,C$30,E260&lt;E$34,C$32,E260&gt;=E$34,C$34)</f>
        <v/>
      </c>
      <c r="D260" s="37">
        <f>_xlfn.IFS(E260&lt;E$24,0,E260&lt;E$25,D$24,E260&lt;E$26,D$25,E260&lt;E$27,D$26,E260&lt;E$28,D$27,E260&lt;E$29,D$28,E260&lt;E$30,D$29,E260&lt;E$31,D$30,E260&lt;E$32,D$31,E260&lt;E$33,D$32,E260&lt;E$34,D$33,E260&lt;E$35,D$34,E260&gt;=E$35,D$35)</f>
        <v/>
      </c>
      <c r="E260" s="38" t="n">
        <v>210</v>
      </c>
      <c r="F260" s="31">
        <f>E260/52</f>
        <v/>
      </c>
      <c r="G260" s="39">
        <f>D260/1000000*52</f>
        <v/>
      </c>
      <c r="H260" s="33">
        <f>G260/$P$4+($C$22/$P$4)</f>
        <v/>
      </c>
      <c r="I260" s="36">
        <f>_xlfn.IFS(K260&lt;K$24,0,K260&lt;K$26,I$24,K260&lt;K$28,I$26,K260&lt;K$30,I$28,K260&lt;K$32,I$30,K260&lt;K$34,I$32,K260&lt;K$36,I$34,K260&lt;K$38,I$36,K260&lt;K$40,I$38,K260&lt;K$42,I$40,K260&lt;K$44,I$42,K260&lt;K$46,I$44,K260&gt;=K$46,I$46)</f>
        <v/>
      </c>
      <c r="J260" s="37">
        <f>_xlfn.IFS(K260&lt;K$24,0,K260&lt;K$25,J$24,K260&lt;K$26,J$25,K260&lt;K$27,J$26,K260&lt;K$28,J$27,K260&lt;K$29,J$28,K260&lt;K$30,J$29,K260&lt;K$31,J$30,K260&lt;K$32,J$31,K260&lt;K$33,J$32,K260&lt;K$34,J$33,K260&lt;K$35,J$34,K260&lt;K$36,J$35,K260&lt;K$37,J$36,K260&lt;K$38,J$37,K260&lt;K$39,J$38,K260&lt;K$40,J$39,K260&lt;K$41,J$40,K260&lt;K$42,J$41,K260&lt;K$43,J$42,K260&lt;K$44,J$43,K260&lt;K$45,J$44,K260&lt;K$46,J$45,K260&lt;K$47,J$46,K260&gt;=K$47,J$47)</f>
        <v/>
      </c>
      <c r="K260" s="38" t="n">
        <v>210</v>
      </c>
      <c r="L260" s="31">
        <f>K260/52</f>
        <v/>
      </c>
      <c r="M260" s="39">
        <f>J260/1000000*52</f>
        <v/>
      </c>
      <c r="N260" s="33">
        <f>M260/$P$4+($I$22/$P$4)</f>
        <v/>
      </c>
      <c r="U260">
        <f>F259</f>
        <v/>
      </c>
      <c r="V260">
        <f>H259</f>
        <v/>
      </c>
      <c r="W260">
        <f>N259</f>
        <v/>
      </c>
    </row>
    <row r="261" ht="15.75" customHeight="1" s="40">
      <c r="C261" s="36">
        <f>_xlfn.IFS(E261&lt;E$24,0,E261&lt;E$26,C$24,E261&lt;E$28,C$26,E261&lt;E$30,C$28,E261&lt;E$32,C$30,E261&lt;E$34,C$32,E261&gt;=E$34,C$34)</f>
        <v/>
      </c>
      <c r="D261" s="37">
        <f>_xlfn.IFS(E261&lt;E$24,0,E261&lt;E$25,D$24,E261&lt;E$26,D$25,E261&lt;E$27,D$26,E261&lt;E$28,D$27,E261&lt;E$29,D$28,E261&lt;E$30,D$29,E261&lt;E$31,D$30,E261&lt;E$32,D$31,E261&lt;E$33,D$32,E261&lt;E$34,D$33,E261&lt;E$35,D$34,E261&gt;=E$35,D$35)</f>
        <v/>
      </c>
      <c r="E261" s="38" t="n">
        <v>211</v>
      </c>
      <c r="F261" s="31">
        <f>E261/52</f>
        <v/>
      </c>
      <c r="G261" s="39">
        <f>D261/1000000*52</f>
        <v/>
      </c>
      <c r="H261" s="33">
        <f>G261/$P$4+($C$22/$P$4)</f>
        <v/>
      </c>
      <c r="I261" s="36">
        <f>_xlfn.IFS(K261&lt;K$24,0,K261&lt;K$26,I$24,K261&lt;K$28,I$26,K261&lt;K$30,I$28,K261&lt;K$32,I$30,K261&lt;K$34,I$32,K261&lt;K$36,I$34,K261&lt;K$38,I$36,K261&lt;K$40,I$38,K261&lt;K$42,I$40,K261&lt;K$44,I$42,K261&lt;K$46,I$44,K261&gt;=K$46,I$46)</f>
        <v/>
      </c>
      <c r="J261" s="37">
        <f>_xlfn.IFS(K261&lt;K$24,0,K261&lt;K$25,J$24,K261&lt;K$26,J$25,K261&lt;K$27,J$26,K261&lt;K$28,J$27,K261&lt;K$29,J$28,K261&lt;K$30,J$29,K261&lt;K$31,J$30,K261&lt;K$32,J$31,K261&lt;K$33,J$32,K261&lt;K$34,J$33,K261&lt;K$35,J$34,K261&lt;K$36,J$35,K261&lt;K$37,J$36,K261&lt;K$38,J$37,K261&lt;K$39,J$38,K261&lt;K$40,J$39,K261&lt;K$41,J$40,K261&lt;K$42,J$41,K261&lt;K$43,J$42,K261&lt;K$44,J$43,K261&lt;K$45,J$44,K261&lt;K$46,J$45,K261&lt;K$47,J$46,K261&gt;=K$47,J$47)</f>
        <v/>
      </c>
      <c r="K261" s="38" t="n">
        <v>211</v>
      </c>
      <c r="L261" s="31">
        <f>K261/52</f>
        <v/>
      </c>
      <c r="M261" s="39">
        <f>J261/1000000*52</f>
        <v/>
      </c>
      <c r="N261" s="33">
        <f>M261/$P$4+($I$22/$P$4)</f>
        <v/>
      </c>
      <c r="U261">
        <f>F260</f>
        <v/>
      </c>
      <c r="V261">
        <f>H260</f>
        <v/>
      </c>
      <c r="W261">
        <f>N260</f>
        <v/>
      </c>
    </row>
    <row r="262" ht="15.75" customHeight="1" s="40">
      <c r="C262" s="36">
        <f>_xlfn.IFS(E262&lt;E$24,0,E262&lt;E$26,C$24,E262&lt;E$28,C$26,E262&lt;E$30,C$28,E262&lt;E$32,C$30,E262&lt;E$34,C$32,E262&gt;=E$34,C$34)</f>
        <v/>
      </c>
      <c r="D262" s="37">
        <f>_xlfn.IFS(E262&lt;E$24,0,E262&lt;E$25,D$24,E262&lt;E$26,D$25,E262&lt;E$27,D$26,E262&lt;E$28,D$27,E262&lt;E$29,D$28,E262&lt;E$30,D$29,E262&lt;E$31,D$30,E262&lt;E$32,D$31,E262&lt;E$33,D$32,E262&lt;E$34,D$33,E262&lt;E$35,D$34,E262&gt;=E$35,D$35)</f>
        <v/>
      </c>
      <c r="E262" s="38" t="n">
        <v>212</v>
      </c>
      <c r="F262" s="31">
        <f>E262/52</f>
        <v/>
      </c>
      <c r="G262" s="39">
        <f>D262/1000000*52</f>
        <v/>
      </c>
      <c r="H262" s="33">
        <f>G262/$P$4+($C$22/$P$4)</f>
        <v/>
      </c>
      <c r="I262" s="36">
        <f>_xlfn.IFS(K262&lt;K$24,0,K262&lt;K$26,I$24,K262&lt;K$28,I$26,K262&lt;K$30,I$28,K262&lt;K$32,I$30,K262&lt;K$34,I$32,K262&lt;K$36,I$34,K262&lt;K$38,I$36,K262&lt;K$40,I$38,K262&lt;K$42,I$40,K262&lt;K$44,I$42,K262&lt;K$46,I$44,K262&gt;=K$46,I$46)</f>
        <v/>
      </c>
      <c r="J262" s="37">
        <f>_xlfn.IFS(K262&lt;K$24,0,K262&lt;K$25,J$24,K262&lt;K$26,J$25,K262&lt;K$27,J$26,K262&lt;K$28,J$27,K262&lt;K$29,J$28,K262&lt;K$30,J$29,K262&lt;K$31,J$30,K262&lt;K$32,J$31,K262&lt;K$33,J$32,K262&lt;K$34,J$33,K262&lt;K$35,J$34,K262&lt;K$36,J$35,K262&lt;K$37,J$36,K262&lt;K$38,J$37,K262&lt;K$39,J$38,K262&lt;K$40,J$39,K262&lt;K$41,J$40,K262&lt;K$42,J$41,K262&lt;K$43,J$42,K262&lt;K$44,J$43,K262&lt;K$45,J$44,K262&lt;K$46,J$45,K262&lt;K$47,J$46,K262&gt;=K$47,J$47)</f>
        <v/>
      </c>
      <c r="K262" s="38" t="n">
        <v>212</v>
      </c>
      <c r="L262" s="31">
        <f>K262/52</f>
        <v/>
      </c>
      <c r="M262" s="39">
        <f>J262/1000000*52</f>
        <v/>
      </c>
      <c r="N262" s="33">
        <f>M262/$P$4+($I$22/$P$4)</f>
        <v/>
      </c>
      <c r="U262">
        <f>F261</f>
        <v/>
      </c>
      <c r="V262">
        <f>H261</f>
        <v/>
      </c>
      <c r="W262">
        <f>N261</f>
        <v/>
      </c>
    </row>
    <row r="263" ht="15.75" customHeight="1" s="40">
      <c r="C263" s="36">
        <f>_xlfn.IFS(E263&lt;E$24,0,E263&lt;E$26,C$24,E263&lt;E$28,C$26,E263&lt;E$30,C$28,E263&lt;E$32,C$30,E263&lt;E$34,C$32,E263&gt;=E$34,C$34)</f>
        <v/>
      </c>
      <c r="D263" s="37">
        <f>_xlfn.IFS(E263&lt;E$24,0,E263&lt;E$25,D$24,E263&lt;E$26,D$25,E263&lt;E$27,D$26,E263&lt;E$28,D$27,E263&lt;E$29,D$28,E263&lt;E$30,D$29,E263&lt;E$31,D$30,E263&lt;E$32,D$31,E263&lt;E$33,D$32,E263&lt;E$34,D$33,E263&lt;E$35,D$34,E263&gt;=E$35,D$35)</f>
        <v/>
      </c>
      <c r="E263" s="38" t="n">
        <v>213</v>
      </c>
      <c r="F263" s="31">
        <f>E263/52</f>
        <v/>
      </c>
      <c r="G263" s="39">
        <f>D263/1000000*52</f>
        <v/>
      </c>
      <c r="H263" s="33">
        <f>G263/$P$4+($C$22/$P$4)</f>
        <v/>
      </c>
      <c r="I263" s="36">
        <f>_xlfn.IFS(K263&lt;K$24,0,K263&lt;K$26,I$24,K263&lt;K$28,I$26,K263&lt;K$30,I$28,K263&lt;K$32,I$30,K263&lt;K$34,I$32,K263&lt;K$36,I$34,K263&lt;K$38,I$36,K263&lt;K$40,I$38,K263&lt;K$42,I$40,K263&lt;K$44,I$42,K263&lt;K$46,I$44,K263&gt;=K$46,I$46)</f>
        <v/>
      </c>
      <c r="J263" s="37">
        <f>_xlfn.IFS(K263&lt;K$24,0,K263&lt;K$25,J$24,K263&lt;K$26,J$25,K263&lt;K$27,J$26,K263&lt;K$28,J$27,K263&lt;K$29,J$28,K263&lt;K$30,J$29,K263&lt;K$31,J$30,K263&lt;K$32,J$31,K263&lt;K$33,J$32,K263&lt;K$34,J$33,K263&lt;K$35,J$34,K263&lt;K$36,J$35,K263&lt;K$37,J$36,K263&lt;K$38,J$37,K263&lt;K$39,J$38,K263&lt;K$40,J$39,K263&lt;K$41,J$40,K263&lt;K$42,J$41,K263&lt;K$43,J$42,K263&lt;K$44,J$43,K263&lt;K$45,J$44,K263&lt;K$46,J$45,K263&lt;K$47,J$46,K263&gt;=K$47,J$47)</f>
        <v/>
      </c>
      <c r="K263" s="38" t="n">
        <v>213</v>
      </c>
      <c r="L263" s="31">
        <f>K263/52</f>
        <v/>
      </c>
      <c r="M263" s="39">
        <f>J263/1000000*52</f>
        <v/>
      </c>
      <c r="N263" s="33">
        <f>M263/$P$4+($I$22/$P$4)</f>
        <v/>
      </c>
      <c r="U263">
        <f>F262</f>
        <v/>
      </c>
      <c r="V263">
        <f>H262</f>
        <v/>
      </c>
      <c r="W263">
        <f>N262</f>
        <v/>
      </c>
    </row>
    <row r="264" ht="15.75" customHeight="1" s="40">
      <c r="C264" s="36">
        <f>_xlfn.IFS(E264&lt;E$24,0,E264&lt;E$26,C$24,E264&lt;E$28,C$26,E264&lt;E$30,C$28,E264&lt;E$32,C$30,E264&lt;E$34,C$32,E264&gt;=E$34,C$34)</f>
        <v/>
      </c>
      <c r="D264" s="37">
        <f>_xlfn.IFS(E264&lt;E$24,0,E264&lt;E$25,D$24,E264&lt;E$26,D$25,E264&lt;E$27,D$26,E264&lt;E$28,D$27,E264&lt;E$29,D$28,E264&lt;E$30,D$29,E264&lt;E$31,D$30,E264&lt;E$32,D$31,E264&lt;E$33,D$32,E264&lt;E$34,D$33,E264&lt;E$35,D$34,E264&gt;=E$35,D$35)</f>
        <v/>
      </c>
      <c r="E264" s="38" t="n">
        <v>214</v>
      </c>
      <c r="F264" s="31">
        <f>E264/52</f>
        <v/>
      </c>
      <c r="G264" s="39">
        <f>D264/1000000*52</f>
        <v/>
      </c>
      <c r="H264" s="33">
        <f>G264/$P$4+($C$22/$P$4)</f>
        <v/>
      </c>
      <c r="I264" s="36">
        <f>_xlfn.IFS(K264&lt;K$24,0,K264&lt;K$26,I$24,K264&lt;K$28,I$26,K264&lt;K$30,I$28,K264&lt;K$32,I$30,K264&lt;K$34,I$32,K264&lt;K$36,I$34,K264&lt;K$38,I$36,K264&lt;K$40,I$38,K264&lt;K$42,I$40,K264&lt;K$44,I$42,K264&lt;K$46,I$44,K264&gt;=K$46,I$46)</f>
        <v/>
      </c>
      <c r="J264" s="37">
        <f>_xlfn.IFS(K264&lt;K$24,0,K264&lt;K$25,J$24,K264&lt;K$26,J$25,K264&lt;K$27,J$26,K264&lt;K$28,J$27,K264&lt;K$29,J$28,K264&lt;K$30,J$29,K264&lt;K$31,J$30,K264&lt;K$32,J$31,K264&lt;K$33,J$32,K264&lt;K$34,J$33,K264&lt;K$35,J$34,K264&lt;K$36,J$35,K264&lt;K$37,J$36,K264&lt;K$38,J$37,K264&lt;K$39,J$38,K264&lt;K$40,J$39,K264&lt;K$41,J$40,K264&lt;K$42,J$41,K264&lt;K$43,J$42,K264&lt;K$44,J$43,K264&lt;K$45,J$44,K264&lt;K$46,J$45,K264&lt;K$47,J$46,K264&gt;=K$47,J$47)</f>
        <v/>
      </c>
      <c r="K264" s="38" t="n">
        <v>214</v>
      </c>
      <c r="L264" s="31">
        <f>K264/52</f>
        <v/>
      </c>
      <c r="M264" s="39">
        <f>J264/1000000*52</f>
        <v/>
      </c>
      <c r="N264" s="33">
        <f>M264/$P$4+($I$22/$P$4)</f>
        <v/>
      </c>
      <c r="U264">
        <f>F263</f>
        <v/>
      </c>
      <c r="V264">
        <f>H263</f>
        <v/>
      </c>
      <c r="W264">
        <f>N263</f>
        <v/>
      </c>
    </row>
    <row r="265" ht="15.75" customHeight="1" s="40">
      <c r="C265" s="36">
        <f>_xlfn.IFS(E265&lt;E$24,0,E265&lt;E$26,C$24,E265&lt;E$28,C$26,E265&lt;E$30,C$28,E265&lt;E$32,C$30,E265&lt;E$34,C$32,E265&gt;=E$34,C$34)</f>
        <v/>
      </c>
      <c r="D265" s="37">
        <f>_xlfn.IFS(E265&lt;E$24,0,E265&lt;E$25,D$24,E265&lt;E$26,D$25,E265&lt;E$27,D$26,E265&lt;E$28,D$27,E265&lt;E$29,D$28,E265&lt;E$30,D$29,E265&lt;E$31,D$30,E265&lt;E$32,D$31,E265&lt;E$33,D$32,E265&lt;E$34,D$33,E265&lt;E$35,D$34,E265&gt;=E$35,D$35)</f>
        <v/>
      </c>
      <c r="E265" s="38" t="n">
        <v>215</v>
      </c>
      <c r="F265" s="31">
        <f>E265/52</f>
        <v/>
      </c>
      <c r="G265" s="39">
        <f>D265/1000000*52</f>
        <v/>
      </c>
      <c r="H265" s="33">
        <f>G265/$P$4+($C$22/$P$4)</f>
        <v/>
      </c>
      <c r="I265" s="36">
        <f>_xlfn.IFS(K265&lt;K$24,0,K265&lt;K$26,I$24,K265&lt;K$28,I$26,K265&lt;K$30,I$28,K265&lt;K$32,I$30,K265&lt;K$34,I$32,K265&lt;K$36,I$34,K265&lt;K$38,I$36,K265&lt;K$40,I$38,K265&lt;K$42,I$40,K265&lt;K$44,I$42,K265&lt;K$46,I$44,K265&gt;=K$46,I$46)</f>
        <v/>
      </c>
      <c r="J265" s="37">
        <f>_xlfn.IFS(K265&lt;K$24,0,K265&lt;K$25,J$24,K265&lt;K$26,J$25,K265&lt;K$27,J$26,K265&lt;K$28,J$27,K265&lt;K$29,J$28,K265&lt;K$30,J$29,K265&lt;K$31,J$30,K265&lt;K$32,J$31,K265&lt;K$33,J$32,K265&lt;K$34,J$33,K265&lt;K$35,J$34,K265&lt;K$36,J$35,K265&lt;K$37,J$36,K265&lt;K$38,J$37,K265&lt;K$39,J$38,K265&lt;K$40,J$39,K265&lt;K$41,J$40,K265&lt;K$42,J$41,K265&lt;K$43,J$42,K265&lt;K$44,J$43,K265&lt;K$45,J$44,K265&lt;K$46,J$45,K265&lt;K$47,J$46,K265&gt;=K$47,J$47)</f>
        <v/>
      </c>
      <c r="K265" s="38" t="n">
        <v>215</v>
      </c>
      <c r="L265" s="31">
        <f>K265/52</f>
        <v/>
      </c>
      <c r="M265" s="39">
        <f>J265/1000000*52</f>
        <v/>
      </c>
      <c r="N265" s="33">
        <f>M265/$P$4+($I$22/$P$4)</f>
        <v/>
      </c>
      <c r="U265">
        <f>F264</f>
        <v/>
      </c>
      <c r="V265">
        <f>H264</f>
        <v/>
      </c>
      <c r="W265">
        <f>N264</f>
        <v/>
      </c>
    </row>
    <row r="266" ht="15.75" customHeight="1" s="40">
      <c r="C266" s="36">
        <f>_xlfn.IFS(E266&lt;E$24,0,E266&lt;E$26,C$24,E266&lt;E$28,C$26,E266&lt;E$30,C$28,E266&lt;E$32,C$30,E266&lt;E$34,C$32,E266&gt;=E$34,C$34)</f>
        <v/>
      </c>
      <c r="D266" s="37">
        <f>_xlfn.IFS(E266&lt;E$24,0,E266&lt;E$25,D$24,E266&lt;E$26,D$25,E266&lt;E$27,D$26,E266&lt;E$28,D$27,E266&lt;E$29,D$28,E266&lt;E$30,D$29,E266&lt;E$31,D$30,E266&lt;E$32,D$31,E266&lt;E$33,D$32,E266&lt;E$34,D$33,E266&lt;E$35,D$34,E266&gt;=E$35,D$35)</f>
        <v/>
      </c>
      <c r="E266" s="38" t="n">
        <v>216</v>
      </c>
      <c r="F266" s="31">
        <f>E266/52</f>
        <v/>
      </c>
      <c r="G266" s="39">
        <f>D266/1000000*52</f>
        <v/>
      </c>
      <c r="H266" s="33">
        <f>G266/$P$4+($C$22/$P$4)</f>
        <v/>
      </c>
      <c r="I266" s="36">
        <f>_xlfn.IFS(K266&lt;K$24,0,K266&lt;K$26,I$24,K266&lt;K$28,I$26,K266&lt;K$30,I$28,K266&lt;K$32,I$30,K266&lt;K$34,I$32,K266&lt;K$36,I$34,K266&lt;K$38,I$36,K266&lt;K$40,I$38,K266&lt;K$42,I$40,K266&lt;K$44,I$42,K266&lt;K$46,I$44,K266&gt;=K$46,I$46)</f>
        <v/>
      </c>
      <c r="J266" s="37">
        <f>_xlfn.IFS(K266&lt;K$24,0,K266&lt;K$25,J$24,K266&lt;K$26,J$25,K266&lt;K$27,J$26,K266&lt;K$28,J$27,K266&lt;K$29,J$28,K266&lt;K$30,J$29,K266&lt;K$31,J$30,K266&lt;K$32,J$31,K266&lt;K$33,J$32,K266&lt;K$34,J$33,K266&lt;K$35,J$34,K266&lt;K$36,J$35,K266&lt;K$37,J$36,K266&lt;K$38,J$37,K266&lt;K$39,J$38,K266&lt;K$40,J$39,K266&lt;K$41,J$40,K266&lt;K$42,J$41,K266&lt;K$43,J$42,K266&lt;K$44,J$43,K266&lt;K$45,J$44,K266&lt;K$46,J$45,K266&lt;K$47,J$46,K266&gt;=K$47,J$47)</f>
        <v/>
      </c>
      <c r="K266" s="38" t="n">
        <v>216</v>
      </c>
      <c r="L266" s="31">
        <f>K266/52</f>
        <v/>
      </c>
      <c r="M266" s="39">
        <f>J266/1000000*52</f>
        <v/>
      </c>
      <c r="N266" s="33">
        <f>M266/$P$4+($I$22/$P$4)</f>
        <v/>
      </c>
      <c r="U266">
        <f>F265</f>
        <v/>
      </c>
      <c r="V266">
        <f>H265</f>
        <v/>
      </c>
      <c r="W266">
        <f>N265</f>
        <v/>
      </c>
    </row>
    <row r="267" ht="15.75" customHeight="1" s="40">
      <c r="C267" s="36">
        <f>_xlfn.IFS(E267&lt;E$24,0,E267&lt;E$26,C$24,E267&lt;E$28,C$26,E267&lt;E$30,C$28,E267&lt;E$32,C$30,E267&lt;E$34,C$32,E267&gt;=E$34,C$34)</f>
        <v/>
      </c>
      <c r="D267" s="37">
        <f>_xlfn.IFS(E267&lt;E$24,0,E267&lt;E$25,D$24,E267&lt;E$26,D$25,E267&lt;E$27,D$26,E267&lt;E$28,D$27,E267&lt;E$29,D$28,E267&lt;E$30,D$29,E267&lt;E$31,D$30,E267&lt;E$32,D$31,E267&lt;E$33,D$32,E267&lt;E$34,D$33,E267&lt;E$35,D$34,E267&gt;=E$35,D$35)</f>
        <v/>
      </c>
      <c r="E267" s="38" t="n">
        <v>217</v>
      </c>
      <c r="F267" s="31">
        <f>E267/52</f>
        <v/>
      </c>
      <c r="G267" s="39">
        <f>D267/1000000*52</f>
        <v/>
      </c>
      <c r="H267" s="33">
        <f>G267/$P$4+($C$22/$P$4)</f>
        <v/>
      </c>
      <c r="I267" s="36">
        <f>_xlfn.IFS(K267&lt;K$24,0,K267&lt;K$26,I$24,K267&lt;K$28,I$26,K267&lt;K$30,I$28,K267&lt;K$32,I$30,K267&lt;K$34,I$32,K267&lt;K$36,I$34,K267&lt;K$38,I$36,K267&lt;K$40,I$38,K267&lt;K$42,I$40,K267&lt;K$44,I$42,K267&lt;K$46,I$44,K267&gt;=K$46,I$46)</f>
        <v/>
      </c>
      <c r="J267" s="37">
        <f>_xlfn.IFS(K267&lt;K$24,0,K267&lt;K$25,J$24,K267&lt;K$26,J$25,K267&lt;K$27,J$26,K267&lt;K$28,J$27,K267&lt;K$29,J$28,K267&lt;K$30,J$29,K267&lt;K$31,J$30,K267&lt;K$32,J$31,K267&lt;K$33,J$32,K267&lt;K$34,J$33,K267&lt;K$35,J$34,K267&lt;K$36,J$35,K267&lt;K$37,J$36,K267&lt;K$38,J$37,K267&lt;K$39,J$38,K267&lt;K$40,J$39,K267&lt;K$41,J$40,K267&lt;K$42,J$41,K267&lt;K$43,J$42,K267&lt;K$44,J$43,K267&lt;K$45,J$44,K267&lt;K$46,J$45,K267&lt;K$47,J$46,K267&gt;=K$47,J$47)</f>
        <v/>
      </c>
      <c r="K267" s="38" t="n">
        <v>217</v>
      </c>
      <c r="L267" s="31">
        <f>K267/52</f>
        <v/>
      </c>
      <c r="M267" s="39">
        <f>J267/1000000*52</f>
        <v/>
      </c>
      <c r="N267" s="33">
        <f>M267/$P$4+($I$22/$P$4)</f>
        <v/>
      </c>
      <c r="U267">
        <f>F266</f>
        <v/>
      </c>
      <c r="V267">
        <f>H266</f>
        <v/>
      </c>
      <c r="W267">
        <f>N266</f>
        <v/>
      </c>
    </row>
    <row r="268" ht="15.75" customHeight="1" s="40">
      <c r="C268" s="36">
        <f>_xlfn.IFS(E268&lt;E$24,0,E268&lt;E$26,C$24,E268&lt;E$28,C$26,E268&lt;E$30,C$28,E268&lt;E$32,C$30,E268&lt;E$34,C$32,E268&gt;=E$34,C$34)</f>
        <v/>
      </c>
      <c r="D268" s="37">
        <f>_xlfn.IFS(E268&lt;E$24,0,E268&lt;E$25,D$24,E268&lt;E$26,D$25,E268&lt;E$27,D$26,E268&lt;E$28,D$27,E268&lt;E$29,D$28,E268&lt;E$30,D$29,E268&lt;E$31,D$30,E268&lt;E$32,D$31,E268&lt;E$33,D$32,E268&lt;E$34,D$33,E268&lt;E$35,D$34,E268&gt;=E$35,D$35)</f>
        <v/>
      </c>
      <c r="E268" s="38" t="n">
        <v>218</v>
      </c>
      <c r="F268" s="31">
        <f>E268/52</f>
        <v/>
      </c>
      <c r="G268" s="39">
        <f>D268/1000000*52</f>
        <v/>
      </c>
      <c r="H268" s="33">
        <f>G268/$P$4+($C$22/$P$4)</f>
        <v/>
      </c>
      <c r="I268" s="36">
        <f>_xlfn.IFS(K268&lt;K$24,0,K268&lt;K$26,I$24,K268&lt;K$28,I$26,K268&lt;K$30,I$28,K268&lt;K$32,I$30,K268&lt;K$34,I$32,K268&lt;K$36,I$34,K268&lt;K$38,I$36,K268&lt;K$40,I$38,K268&lt;K$42,I$40,K268&lt;K$44,I$42,K268&lt;K$46,I$44,K268&gt;=K$46,I$46)</f>
        <v/>
      </c>
      <c r="J268" s="37">
        <f>_xlfn.IFS(K268&lt;K$24,0,K268&lt;K$25,J$24,K268&lt;K$26,J$25,K268&lt;K$27,J$26,K268&lt;K$28,J$27,K268&lt;K$29,J$28,K268&lt;K$30,J$29,K268&lt;K$31,J$30,K268&lt;K$32,J$31,K268&lt;K$33,J$32,K268&lt;K$34,J$33,K268&lt;K$35,J$34,K268&lt;K$36,J$35,K268&lt;K$37,J$36,K268&lt;K$38,J$37,K268&lt;K$39,J$38,K268&lt;K$40,J$39,K268&lt;K$41,J$40,K268&lt;K$42,J$41,K268&lt;K$43,J$42,K268&lt;K$44,J$43,K268&lt;K$45,J$44,K268&lt;K$46,J$45,K268&lt;K$47,J$46,K268&gt;=K$47,J$47)</f>
        <v/>
      </c>
      <c r="K268" s="38" t="n">
        <v>218</v>
      </c>
      <c r="L268" s="31">
        <f>K268/52</f>
        <v/>
      </c>
      <c r="M268" s="39">
        <f>J268/1000000*52</f>
        <v/>
      </c>
      <c r="N268" s="33">
        <f>M268/$P$4+($I$22/$P$4)</f>
        <v/>
      </c>
      <c r="U268">
        <f>F267</f>
        <v/>
      </c>
      <c r="V268">
        <f>H267</f>
        <v/>
      </c>
      <c r="W268">
        <f>N267</f>
        <v/>
      </c>
    </row>
    <row r="269" ht="15.75" customHeight="1" s="40">
      <c r="C269" s="36">
        <f>_xlfn.IFS(E269&lt;E$24,0,E269&lt;E$26,C$24,E269&lt;E$28,C$26,E269&lt;E$30,C$28,E269&lt;E$32,C$30,E269&lt;E$34,C$32,E269&gt;=E$34,C$34)</f>
        <v/>
      </c>
      <c r="D269" s="37">
        <f>_xlfn.IFS(E269&lt;E$24,0,E269&lt;E$25,D$24,E269&lt;E$26,D$25,E269&lt;E$27,D$26,E269&lt;E$28,D$27,E269&lt;E$29,D$28,E269&lt;E$30,D$29,E269&lt;E$31,D$30,E269&lt;E$32,D$31,E269&lt;E$33,D$32,E269&lt;E$34,D$33,E269&lt;E$35,D$34,E269&gt;=E$35,D$35)</f>
        <v/>
      </c>
      <c r="E269" s="38" t="n">
        <v>219</v>
      </c>
      <c r="F269" s="31">
        <f>E269/52</f>
        <v/>
      </c>
      <c r="G269" s="39">
        <f>D269/1000000*52</f>
        <v/>
      </c>
      <c r="H269" s="33">
        <f>G269/$P$4+($C$22/$P$4)</f>
        <v/>
      </c>
      <c r="I269" s="36">
        <f>_xlfn.IFS(K269&lt;K$24,0,K269&lt;K$26,I$24,K269&lt;K$28,I$26,K269&lt;K$30,I$28,K269&lt;K$32,I$30,K269&lt;K$34,I$32,K269&lt;K$36,I$34,K269&lt;K$38,I$36,K269&lt;K$40,I$38,K269&lt;K$42,I$40,K269&lt;K$44,I$42,K269&lt;K$46,I$44,K269&gt;=K$46,I$46)</f>
        <v/>
      </c>
      <c r="J269" s="37">
        <f>_xlfn.IFS(K269&lt;K$24,0,K269&lt;K$25,J$24,K269&lt;K$26,J$25,K269&lt;K$27,J$26,K269&lt;K$28,J$27,K269&lt;K$29,J$28,K269&lt;K$30,J$29,K269&lt;K$31,J$30,K269&lt;K$32,J$31,K269&lt;K$33,J$32,K269&lt;K$34,J$33,K269&lt;K$35,J$34,K269&lt;K$36,J$35,K269&lt;K$37,J$36,K269&lt;K$38,J$37,K269&lt;K$39,J$38,K269&lt;K$40,J$39,K269&lt;K$41,J$40,K269&lt;K$42,J$41,K269&lt;K$43,J$42,K269&lt;K$44,J$43,K269&lt;K$45,J$44,K269&lt;K$46,J$45,K269&lt;K$47,J$46,K269&gt;=K$47,J$47)</f>
        <v/>
      </c>
      <c r="K269" s="38" t="n">
        <v>219</v>
      </c>
      <c r="L269" s="31">
        <f>K269/52</f>
        <v/>
      </c>
      <c r="M269" s="39">
        <f>J269/1000000*52</f>
        <v/>
      </c>
      <c r="N269" s="33">
        <f>M269/$P$4+($I$22/$P$4)</f>
        <v/>
      </c>
      <c r="U269">
        <f>F268</f>
        <v/>
      </c>
      <c r="V269">
        <f>H268</f>
        <v/>
      </c>
      <c r="W269">
        <f>N268</f>
        <v/>
      </c>
    </row>
    <row r="270" ht="15.75" customHeight="1" s="40">
      <c r="C270" s="36">
        <f>_xlfn.IFS(E270&lt;E$24,0,E270&lt;E$26,C$24,E270&lt;E$28,C$26,E270&lt;E$30,C$28,E270&lt;E$32,C$30,E270&lt;E$34,C$32,E270&gt;=E$34,C$34)</f>
        <v/>
      </c>
      <c r="D270" s="37">
        <f>_xlfn.IFS(E270&lt;E$24,0,E270&lt;E$25,D$24,E270&lt;E$26,D$25,E270&lt;E$27,D$26,E270&lt;E$28,D$27,E270&lt;E$29,D$28,E270&lt;E$30,D$29,E270&lt;E$31,D$30,E270&lt;E$32,D$31,E270&lt;E$33,D$32,E270&lt;E$34,D$33,E270&lt;E$35,D$34,E270&gt;=E$35,D$35)</f>
        <v/>
      </c>
      <c r="E270" s="38" t="n">
        <v>220</v>
      </c>
      <c r="F270" s="31">
        <f>E270/52</f>
        <v/>
      </c>
      <c r="G270" s="39">
        <f>D270/1000000*52</f>
        <v/>
      </c>
      <c r="H270" s="33">
        <f>G270/$P$4+($C$22/$P$4)</f>
        <v/>
      </c>
      <c r="I270" s="36">
        <f>_xlfn.IFS(K270&lt;K$24,0,K270&lt;K$26,I$24,K270&lt;K$28,I$26,K270&lt;K$30,I$28,K270&lt;K$32,I$30,K270&lt;K$34,I$32,K270&lt;K$36,I$34,K270&lt;K$38,I$36,K270&lt;K$40,I$38,K270&lt;K$42,I$40,K270&lt;K$44,I$42,K270&lt;K$46,I$44,K270&gt;=K$46,I$46)</f>
        <v/>
      </c>
      <c r="J270" s="37">
        <f>_xlfn.IFS(K270&lt;K$24,0,K270&lt;K$25,J$24,K270&lt;K$26,J$25,K270&lt;K$27,J$26,K270&lt;K$28,J$27,K270&lt;K$29,J$28,K270&lt;K$30,J$29,K270&lt;K$31,J$30,K270&lt;K$32,J$31,K270&lt;K$33,J$32,K270&lt;K$34,J$33,K270&lt;K$35,J$34,K270&lt;K$36,J$35,K270&lt;K$37,J$36,K270&lt;K$38,J$37,K270&lt;K$39,J$38,K270&lt;K$40,J$39,K270&lt;K$41,J$40,K270&lt;K$42,J$41,K270&lt;K$43,J$42,K270&lt;K$44,J$43,K270&lt;K$45,J$44,K270&lt;K$46,J$45,K270&lt;K$47,J$46,K270&gt;=K$47,J$47)</f>
        <v/>
      </c>
      <c r="K270" s="38" t="n">
        <v>220</v>
      </c>
      <c r="L270" s="31">
        <f>K270/52</f>
        <v/>
      </c>
      <c r="M270" s="39">
        <f>J270/1000000*52</f>
        <v/>
      </c>
      <c r="N270" s="33">
        <f>M270/$P$4+($I$22/$P$4)</f>
        <v/>
      </c>
      <c r="U270">
        <f>F269</f>
        <v/>
      </c>
      <c r="V270">
        <f>H269</f>
        <v/>
      </c>
      <c r="W270">
        <f>N269</f>
        <v/>
      </c>
    </row>
    <row r="271" ht="15.75" customHeight="1" s="40">
      <c r="C271" s="36">
        <f>_xlfn.IFS(E271&lt;E$24,0,E271&lt;E$26,C$24,E271&lt;E$28,C$26,E271&lt;E$30,C$28,E271&lt;E$32,C$30,E271&lt;E$34,C$32,E271&gt;=E$34,C$34)</f>
        <v/>
      </c>
      <c r="D271" s="37">
        <f>_xlfn.IFS(E271&lt;E$24,0,E271&lt;E$25,D$24,E271&lt;E$26,D$25,E271&lt;E$27,D$26,E271&lt;E$28,D$27,E271&lt;E$29,D$28,E271&lt;E$30,D$29,E271&lt;E$31,D$30,E271&lt;E$32,D$31,E271&lt;E$33,D$32,E271&lt;E$34,D$33,E271&lt;E$35,D$34,E271&gt;=E$35,D$35)</f>
        <v/>
      </c>
      <c r="E271" s="38" t="n">
        <v>221</v>
      </c>
      <c r="F271" s="31">
        <f>E271/52</f>
        <v/>
      </c>
      <c r="G271" s="39">
        <f>D271/1000000*52</f>
        <v/>
      </c>
      <c r="H271" s="33">
        <f>G271/$P$4+($C$22/$P$4)</f>
        <v/>
      </c>
      <c r="I271" s="36">
        <f>_xlfn.IFS(K271&lt;K$24,0,K271&lt;K$26,I$24,K271&lt;K$28,I$26,K271&lt;K$30,I$28,K271&lt;K$32,I$30,K271&lt;K$34,I$32,K271&lt;K$36,I$34,K271&lt;K$38,I$36,K271&lt;K$40,I$38,K271&lt;K$42,I$40,K271&lt;K$44,I$42,K271&lt;K$46,I$44,K271&gt;=K$46,I$46)</f>
        <v/>
      </c>
      <c r="J271" s="37">
        <f>_xlfn.IFS(K271&lt;K$24,0,K271&lt;K$25,J$24,K271&lt;K$26,J$25,K271&lt;K$27,J$26,K271&lt;K$28,J$27,K271&lt;K$29,J$28,K271&lt;K$30,J$29,K271&lt;K$31,J$30,K271&lt;K$32,J$31,K271&lt;K$33,J$32,K271&lt;K$34,J$33,K271&lt;K$35,J$34,K271&lt;K$36,J$35,K271&lt;K$37,J$36,K271&lt;K$38,J$37,K271&lt;K$39,J$38,K271&lt;K$40,J$39,K271&lt;K$41,J$40,K271&lt;K$42,J$41,K271&lt;K$43,J$42,K271&lt;K$44,J$43,K271&lt;K$45,J$44,K271&lt;K$46,J$45,K271&lt;K$47,J$46,K271&gt;=K$47,J$47)</f>
        <v/>
      </c>
      <c r="K271" s="38" t="n">
        <v>221</v>
      </c>
      <c r="L271" s="31">
        <f>K271/52</f>
        <v/>
      </c>
      <c r="M271" s="39">
        <f>J271/1000000*52</f>
        <v/>
      </c>
      <c r="N271" s="33">
        <f>M271/$P$4+($I$22/$P$4)</f>
        <v/>
      </c>
      <c r="U271">
        <f>F270</f>
        <v/>
      </c>
      <c r="V271">
        <f>H270</f>
        <v/>
      </c>
      <c r="W271">
        <f>N270</f>
        <v/>
      </c>
    </row>
    <row r="272" ht="15.75" customHeight="1" s="40">
      <c r="C272" s="36">
        <f>_xlfn.IFS(E272&lt;E$24,0,E272&lt;E$26,C$24,E272&lt;E$28,C$26,E272&lt;E$30,C$28,E272&lt;E$32,C$30,E272&lt;E$34,C$32,E272&gt;=E$34,C$34)</f>
        <v/>
      </c>
      <c r="D272" s="37">
        <f>_xlfn.IFS(E272&lt;E$24,0,E272&lt;E$25,D$24,E272&lt;E$26,D$25,E272&lt;E$27,D$26,E272&lt;E$28,D$27,E272&lt;E$29,D$28,E272&lt;E$30,D$29,E272&lt;E$31,D$30,E272&lt;E$32,D$31,E272&lt;E$33,D$32,E272&lt;E$34,D$33,E272&lt;E$35,D$34,E272&gt;=E$35,D$35)</f>
        <v/>
      </c>
      <c r="E272" s="38" t="n">
        <v>222</v>
      </c>
      <c r="F272" s="31">
        <f>E272/52</f>
        <v/>
      </c>
      <c r="G272" s="39">
        <f>D272/1000000*52</f>
        <v/>
      </c>
      <c r="H272" s="33">
        <f>G272/$P$4+($C$22/$P$4)</f>
        <v/>
      </c>
      <c r="I272" s="36">
        <f>_xlfn.IFS(K272&lt;K$24,0,K272&lt;K$26,I$24,K272&lt;K$28,I$26,K272&lt;K$30,I$28,K272&lt;K$32,I$30,K272&lt;K$34,I$32,K272&lt;K$36,I$34,K272&lt;K$38,I$36,K272&lt;K$40,I$38,K272&lt;K$42,I$40,K272&lt;K$44,I$42,K272&lt;K$46,I$44,K272&gt;=K$46,I$46)</f>
        <v/>
      </c>
      <c r="J272" s="37">
        <f>_xlfn.IFS(K272&lt;K$24,0,K272&lt;K$25,J$24,K272&lt;K$26,J$25,K272&lt;K$27,J$26,K272&lt;K$28,J$27,K272&lt;K$29,J$28,K272&lt;K$30,J$29,K272&lt;K$31,J$30,K272&lt;K$32,J$31,K272&lt;K$33,J$32,K272&lt;K$34,J$33,K272&lt;K$35,J$34,K272&lt;K$36,J$35,K272&lt;K$37,J$36,K272&lt;K$38,J$37,K272&lt;K$39,J$38,K272&lt;K$40,J$39,K272&lt;K$41,J$40,K272&lt;K$42,J$41,K272&lt;K$43,J$42,K272&lt;K$44,J$43,K272&lt;K$45,J$44,K272&lt;K$46,J$45,K272&lt;K$47,J$46,K272&gt;=K$47,J$47)</f>
        <v/>
      </c>
      <c r="K272" s="38" t="n">
        <v>222</v>
      </c>
      <c r="L272" s="31">
        <f>K272/52</f>
        <v/>
      </c>
      <c r="M272" s="39">
        <f>J272/1000000*52</f>
        <v/>
      </c>
      <c r="N272" s="33">
        <f>M272/$P$4+($I$22/$P$4)</f>
        <v/>
      </c>
      <c r="U272">
        <f>F271</f>
        <v/>
      </c>
      <c r="V272">
        <f>H271</f>
        <v/>
      </c>
      <c r="W272">
        <f>N271</f>
        <v/>
      </c>
    </row>
    <row r="273" ht="15.75" customHeight="1" s="40">
      <c r="C273" s="36">
        <f>_xlfn.IFS(E273&lt;E$24,0,E273&lt;E$26,C$24,E273&lt;E$28,C$26,E273&lt;E$30,C$28,E273&lt;E$32,C$30,E273&lt;E$34,C$32,E273&gt;=E$34,C$34)</f>
        <v/>
      </c>
      <c r="D273" s="37">
        <f>_xlfn.IFS(E273&lt;E$24,0,E273&lt;E$25,D$24,E273&lt;E$26,D$25,E273&lt;E$27,D$26,E273&lt;E$28,D$27,E273&lt;E$29,D$28,E273&lt;E$30,D$29,E273&lt;E$31,D$30,E273&lt;E$32,D$31,E273&lt;E$33,D$32,E273&lt;E$34,D$33,E273&lt;E$35,D$34,E273&gt;=E$35,D$35)</f>
        <v/>
      </c>
      <c r="E273" s="38" t="n">
        <v>223</v>
      </c>
      <c r="F273" s="31">
        <f>E273/52</f>
        <v/>
      </c>
      <c r="G273" s="39">
        <f>D273/1000000*52</f>
        <v/>
      </c>
      <c r="H273" s="33">
        <f>G273/$P$4+($C$22/$P$4)</f>
        <v/>
      </c>
      <c r="I273" s="36">
        <f>_xlfn.IFS(K273&lt;K$24,0,K273&lt;K$26,I$24,K273&lt;K$28,I$26,K273&lt;K$30,I$28,K273&lt;K$32,I$30,K273&lt;K$34,I$32,K273&lt;K$36,I$34,K273&lt;K$38,I$36,K273&lt;K$40,I$38,K273&lt;K$42,I$40,K273&lt;K$44,I$42,K273&lt;K$46,I$44,K273&gt;=K$46,I$46)</f>
        <v/>
      </c>
      <c r="J273" s="37">
        <f>_xlfn.IFS(K273&lt;K$24,0,K273&lt;K$25,J$24,K273&lt;K$26,J$25,K273&lt;K$27,J$26,K273&lt;K$28,J$27,K273&lt;K$29,J$28,K273&lt;K$30,J$29,K273&lt;K$31,J$30,K273&lt;K$32,J$31,K273&lt;K$33,J$32,K273&lt;K$34,J$33,K273&lt;K$35,J$34,K273&lt;K$36,J$35,K273&lt;K$37,J$36,K273&lt;K$38,J$37,K273&lt;K$39,J$38,K273&lt;K$40,J$39,K273&lt;K$41,J$40,K273&lt;K$42,J$41,K273&lt;K$43,J$42,K273&lt;K$44,J$43,K273&lt;K$45,J$44,K273&lt;K$46,J$45,K273&lt;K$47,J$46,K273&gt;=K$47,J$47)</f>
        <v/>
      </c>
      <c r="K273" s="38" t="n">
        <v>223</v>
      </c>
      <c r="L273" s="31">
        <f>K273/52</f>
        <v/>
      </c>
      <c r="M273" s="39">
        <f>J273/1000000*52</f>
        <v/>
      </c>
      <c r="N273" s="33">
        <f>M273/$P$4+($I$22/$P$4)</f>
        <v/>
      </c>
      <c r="U273">
        <f>F272</f>
        <v/>
      </c>
      <c r="V273">
        <f>H272</f>
        <v/>
      </c>
      <c r="W273">
        <f>N272</f>
        <v/>
      </c>
    </row>
    <row r="274" ht="15.75" customHeight="1" s="40">
      <c r="C274" s="36">
        <f>_xlfn.IFS(E274&lt;E$24,0,E274&lt;E$26,C$24,E274&lt;E$28,C$26,E274&lt;E$30,C$28,E274&lt;E$32,C$30,E274&lt;E$34,C$32,E274&gt;=E$34,C$34)</f>
        <v/>
      </c>
      <c r="D274" s="37">
        <f>_xlfn.IFS(E274&lt;E$24,0,E274&lt;E$25,D$24,E274&lt;E$26,D$25,E274&lt;E$27,D$26,E274&lt;E$28,D$27,E274&lt;E$29,D$28,E274&lt;E$30,D$29,E274&lt;E$31,D$30,E274&lt;E$32,D$31,E274&lt;E$33,D$32,E274&lt;E$34,D$33,E274&lt;E$35,D$34,E274&gt;=E$35,D$35)</f>
        <v/>
      </c>
      <c r="E274" s="38" t="n">
        <v>224</v>
      </c>
      <c r="F274" s="31">
        <f>E274/52</f>
        <v/>
      </c>
      <c r="G274" s="39">
        <f>D274/1000000*52</f>
        <v/>
      </c>
      <c r="H274" s="33">
        <f>G274/$P$4+($C$22/$P$4)</f>
        <v/>
      </c>
      <c r="I274" s="36">
        <f>_xlfn.IFS(K274&lt;K$24,0,K274&lt;K$26,I$24,K274&lt;K$28,I$26,K274&lt;K$30,I$28,K274&lt;K$32,I$30,K274&lt;K$34,I$32,K274&lt;K$36,I$34,K274&lt;K$38,I$36,K274&lt;K$40,I$38,K274&lt;K$42,I$40,K274&lt;K$44,I$42,K274&lt;K$46,I$44,K274&gt;=K$46,I$46)</f>
        <v/>
      </c>
      <c r="J274" s="37">
        <f>_xlfn.IFS(K274&lt;K$24,0,K274&lt;K$25,J$24,K274&lt;K$26,J$25,K274&lt;K$27,J$26,K274&lt;K$28,J$27,K274&lt;K$29,J$28,K274&lt;K$30,J$29,K274&lt;K$31,J$30,K274&lt;K$32,J$31,K274&lt;K$33,J$32,K274&lt;K$34,J$33,K274&lt;K$35,J$34,K274&lt;K$36,J$35,K274&lt;K$37,J$36,K274&lt;K$38,J$37,K274&lt;K$39,J$38,K274&lt;K$40,J$39,K274&lt;K$41,J$40,K274&lt;K$42,J$41,K274&lt;K$43,J$42,K274&lt;K$44,J$43,K274&lt;K$45,J$44,K274&lt;K$46,J$45,K274&lt;K$47,J$46,K274&gt;=K$47,J$47)</f>
        <v/>
      </c>
      <c r="K274" s="38" t="n">
        <v>224</v>
      </c>
      <c r="L274" s="31">
        <f>K274/52</f>
        <v/>
      </c>
      <c r="M274" s="39">
        <f>J274/1000000*52</f>
        <v/>
      </c>
      <c r="N274" s="33">
        <f>M274/$P$4+($I$22/$P$4)</f>
        <v/>
      </c>
      <c r="U274">
        <f>F273</f>
        <v/>
      </c>
      <c r="V274">
        <f>H273</f>
        <v/>
      </c>
      <c r="W274">
        <f>N273</f>
        <v/>
      </c>
    </row>
    <row r="275" ht="15.75" customHeight="1" s="40">
      <c r="C275" s="36">
        <f>_xlfn.IFS(E275&lt;E$24,0,E275&lt;E$26,C$24,E275&lt;E$28,C$26,E275&lt;E$30,C$28,E275&lt;E$32,C$30,E275&lt;E$34,C$32,E275&gt;=E$34,C$34)</f>
        <v/>
      </c>
      <c r="D275" s="37">
        <f>_xlfn.IFS(E275&lt;E$24,0,E275&lt;E$25,D$24,E275&lt;E$26,D$25,E275&lt;E$27,D$26,E275&lt;E$28,D$27,E275&lt;E$29,D$28,E275&lt;E$30,D$29,E275&lt;E$31,D$30,E275&lt;E$32,D$31,E275&lt;E$33,D$32,E275&lt;E$34,D$33,E275&lt;E$35,D$34,E275&gt;=E$35,D$35)</f>
        <v/>
      </c>
      <c r="E275" s="38" t="n">
        <v>225</v>
      </c>
      <c r="F275" s="31">
        <f>E275/52</f>
        <v/>
      </c>
      <c r="G275" s="39">
        <f>D275/1000000*52</f>
        <v/>
      </c>
      <c r="H275" s="33">
        <f>G275/$P$4+($C$22/$P$4)</f>
        <v/>
      </c>
      <c r="I275" s="36">
        <f>_xlfn.IFS(K275&lt;K$24,0,K275&lt;K$26,I$24,K275&lt;K$28,I$26,K275&lt;K$30,I$28,K275&lt;K$32,I$30,K275&lt;K$34,I$32,K275&lt;K$36,I$34,K275&lt;K$38,I$36,K275&lt;K$40,I$38,K275&lt;K$42,I$40,K275&lt;K$44,I$42,K275&lt;K$46,I$44,K275&gt;=K$46,I$46)</f>
        <v/>
      </c>
      <c r="J275" s="37">
        <f>_xlfn.IFS(K275&lt;K$24,0,K275&lt;K$25,J$24,K275&lt;K$26,J$25,K275&lt;K$27,J$26,K275&lt;K$28,J$27,K275&lt;K$29,J$28,K275&lt;K$30,J$29,K275&lt;K$31,J$30,K275&lt;K$32,J$31,K275&lt;K$33,J$32,K275&lt;K$34,J$33,K275&lt;K$35,J$34,K275&lt;K$36,J$35,K275&lt;K$37,J$36,K275&lt;K$38,J$37,K275&lt;K$39,J$38,K275&lt;K$40,J$39,K275&lt;K$41,J$40,K275&lt;K$42,J$41,K275&lt;K$43,J$42,K275&lt;K$44,J$43,K275&lt;K$45,J$44,K275&lt;K$46,J$45,K275&lt;K$47,J$46,K275&gt;=K$47,J$47)</f>
        <v/>
      </c>
      <c r="K275" s="38" t="n">
        <v>225</v>
      </c>
      <c r="L275" s="31">
        <f>K275/52</f>
        <v/>
      </c>
      <c r="M275" s="39">
        <f>J275/1000000*52</f>
        <v/>
      </c>
      <c r="N275" s="33">
        <f>M275/$P$4+($I$22/$P$4)</f>
        <v/>
      </c>
      <c r="U275">
        <f>F274</f>
        <v/>
      </c>
      <c r="V275">
        <f>H274</f>
        <v/>
      </c>
      <c r="W275">
        <f>N274</f>
        <v/>
      </c>
    </row>
    <row r="276" ht="15.75" customHeight="1" s="40">
      <c r="C276" s="36">
        <f>_xlfn.IFS(E276&lt;E$24,0,E276&lt;E$26,C$24,E276&lt;E$28,C$26,E276&lt;E$30,C$28,E276&lt;E$32,C$30,E276&lt;E$34,C$32,E276&gt;=E$34,C$34)</f>
        <v/>
      </c>
      <c r="D276" s="37">
        <f>_xlfn.IFS(E276&lt;E$24,0,E276&lt;E$25,D$24,E276&lt;E$26,D$25,E276&lt;E$27,D$26,E276&lt;E$28,D$27,E276&lt;E$29,D$28,E276&lt;E$30,D$29,E276&lt;E$31,D$30,E276&lt;E$32,D$31,E276&lt;E$33,D$32,E276&lt;E$34,D$33,E276&lt;E$35,D$34,E276&gt;=E$35,D$35)</f>
        <v/>
      </c>
      <c r="E276" s="38" t="n">
        <v>226</v>
      </c>
      <c r="F276" s="31">
        <f>E276/52</f>
        <v/>
      </c>
      <c r="G276" s="39">
        <f>D276/1000000*52</f>
        <v/>
      </c>
      <c r="H276" s="33">
        <f>G276/$P$4+($C$22/$P$4)</f>
        <v/>
      </c>
      <c r="I276" s="36">
        <f>_xlfn.IFS(K276&lt;K$24,0,K276&lt;K$26,I$24,K276&lt;K$28,I$26,K276&lt;K$30,I$28,K276&lt;K$32,I$30,K276&lt;K$34,I$32,K276&lt;K$36,I$34,K276&lt;K$38,I$36,K276&lt;K$40,I$38,K276&lt;K$42,I$40,K276&lt;K$44,I$42,K276&lt;K$46,I$44,K276&gt;=K$46,I$46)</f>
        <v/>
      </c>
      <c r="J276" s="37">
        <f>_xlfn.IFS(K276&lt;K$24,0,K276&lt;K$25,J$24,K276&lt;K$26,J$25,K276&lt;K$27,J$26,K276&lt;K$28,J$27,K276&lt;K$29,J$28,K276&lt;K$30,J$29,K276&lt;K$31,J$30,K276&lt;K$32,J$31,K276&lt;K$33,J$32,K276&lt;K$34,J$33,K276&lt;K$35,J$34,K276&lt;K$36,J$35,K276&lt;K$37,J$36,K276&lt;K$38,J$37,K276&lt;K$39,J$38,K276&lt;K$40,J$39,K276&lt;K$41,J$40,K276&lt;K$42,J$41,K276&lt;K$43,J$42,K276&lt;K$44,J$43,K276&lt;K$45,J$44,K276&lt;K$46,J$45,K276&lt;K$47,J$46,K276&gt;=K$47,J$47)</f>
        <v/>
      </c>
      <c r="K276" s="38" t="n">
        <v>226</v>
      </c>
      <c r="L276" s="31">
        <f>K276/52</f>
        <v/>
      </c>
      <c r="M276" s="39">
        <f>J276/1000000*52</f>
        <v/>
      </c>
      <c r="N276" s="33">
        <f>M276/$P$4+($I$22/$P$4)</f>
        <v/>
      </c>
      <c r="U276">
        <f>F275</f>
        <v/>
      </c>
      <c r="V276">
        <f>H275</f>
        <v/>
      </c>
      <c r="W276">
        <f>N275</f>
        <v/>
      </c>
    </row>
    <row r="277" ht="15.75" customHeight="1" s="40">
      <c r="C277" s="36">
        <f>_xlfn.IFS(E277&lt;E$24,0,E277&lt;E$26,C$24,E277&lt;E$28,C$26,E277&lt;E$30,C$28,E277&lt;E$32,C$30,E277&lt;E$34,C$32,E277&gt;=E$34,C$34)</f>
        <v/>
      </c>
      <c r="D277" s="37">
        <f>_xlfn.IFS(E277&lt;E$24,0,E277&lt;E$25,D$24,E277&lt;E$26,D$25,E277&lt;E$27,D$26,E277&lt;E$28,D$27,E277&lt;E$29,D$28,E277&lt;E$30,D$29,E277&lt;E$31,D$30,E277&lt;E$32,D$31,E277&lt;E$33,D$32,E277&lt;E$34,D$33,E277&lt;E$35,D$34,E277&gt;=E$35,D$35)</f>
        <v/>
      </c>
      <c r="E277" s="38" t="n">
        <v>227</v>
      </c>
      <c r="F277" s="31">
        <f>E277/52</f>
        <v/>
      </c>
      <c r="G277" s="39">
        <f>D277/1000000*52</f>
        <v/>
      </c>
      <c r="H277" s="33">
        <f>G277/$P$4+($C$22/$P$4)</f>
        <v/>
      </c>
      <c r="I277" s="36">
        <f>_xlfn.IFS(K277&lt;K$24,0,K277&lt;K$26,I$24,K277&lt;K$28,I$26,K277&lt;K$30,I$28,K277&lt;K$32,I$30,K277&lt;K$34,I$32,K277&lt;K$36,I$34,K277&lt;K$38,I$36,K277&lt;K$40,I$38,K277&lt;K$42,I$40,K277&lt;K$44,I$42,K277&lt;K$46,I$44,K277&gt;=K$46,I$46)</f>
        <v/>
      </c>
      <c r="J277" s="37">
        <f>_xlfn.IFS(K277&lt;K$24,0,K277&lt;K$25,J$24,K277&lt;K$26,J$25,K277&lt;K$27,J$26,K277&lt;K$28,J$27,K277&lt;K$29,J$28,K277&lt;K$30,J$29,K277&lt;K$31,J$30,K277&lt;K$32,J$31,K277&lt;K$33,J$32,K277&lt;K$34,J$33,K277&lt;K$35,J$34,K277&lt;K$36,J$35,K277&lt;K$37,J$36,K277&lt;K$38,J$37,K277&lt;K$39,J$38,K277&lt;K$40,J$39,K277&lt;K$41,J$40,K277&lt;K$42,J$41,K277&lt;K$43,J$42,K277&lt;K$44,J$43,K277&lt;K$45,J$44,K277&lt;K$46,J$45,K277&lt;K$47,J$46,K277&gt;=K$47,J$47)</f>
        <v/>
      </c>
      <c r="K277" s="38" t="n">
        <v>227</v>
      </c>
      <c r="L277" s="31">
        <f>K277/52</f>
        <v/>
      </c>
      <c r="M277" s="39">
        <f>J277/1000000*52</f>
        <v/>
      </c>
      <c r="N277" s="33">
        <f>M277/$P$4+($I$22/$P$4)</f>
        <v/>
      </c>
      <c r="U277">
        <f>F276</f>
        <v/>
      </c>
      <c r="V277">
        <f>H276</f>
        <v/>
      </c>
      <c r="W277">
        <f>N276</f>
        <v/>
      </c>
    </row>
    <row r="278" ht="15.75" customHeight="1" s="40">
      <c r="C278" s="36">
        <f>_xlfn.IFS(E278&lt;E$24,0,E278&lt;E$26,C$24,E278&lt;E$28,C$26,E278&lt;E$30,C$28,E278&lt;E$32,C$30,E278&lt;E$34,C$32,E278&gt;=E$34,C$34)</f>
        <v/>
      </c>
      <c r="D278" s="37">
        <f>_xlfn.IFS(E278&lt;E$24,0,E278&lt;E$25,D$24,E278&lt;E$26,D$25,E278&lt;E$27,D$26,E278&lt;E$28,D$27,E278&lt;E$29,D$28,E278&lt;E$30,D$29,E278&lt;E$31,D$30,E278&lt;E$32,D$31,E278&lt;E$33,D$32,E278&lt;E$34,D$33,E278&lt;E$35,D$34,E278&gt;=E$35,D$35)</f>
        <v/>
      </c>
      <c r="E278" s="38" t="n">
        <v>228</v>
      </c>
      <c r="F278" s="31">
        <f>E278/52</f>
        <v/>
      </c>
      <c r="G278" s="39">
        <f>D278/1000000*52</f>
        <v/>
      </c>
      <c r="H278" s="33">
        <f>G278/$P$4+($C$22/$P$4)</f>
        <v/>
      </c>
      <c r="I278" s="36">
        <f>_xlfn.IFS(K278&lt;K$24,0,K278&lt;K$26,I$24,K278&lt;K$28,I$26,K278&lt;K$30,I$28,K278&lt;K$32,I$30,K278&lt;K$34,I$32,K278&lt;K$36,I$34,K278&lt;K$38,I$36,K278&lt;K$40,I$38,K278&lt;K$42,I$40,K278&lt;K$44,I$42,K278&lt;K$46,I$44,K278&gt;=K$46,I$46)</f>
        <v/>
      </c>
      <c r="J278" s="37">
        <f>_xlfn.IFS(K278&lt;K$24,0,K278&lt;K$25,J$24,K278&lt;K$26,J$25,K278&lt;K$27,J$26,K278&lt;K$28,J$27,K278&lt;K$29,J$28,K278&lt;K$30,J$29,K278&lt;K$31,J$30,K278&lt;K$32,J$31,K278&lt;K$33,J$32,K278&lt;K$34,J$33,K278&lt;K$35,J$34,K278&lt;K$36,J$35,K278&lt;K$37,J$36,K278&lt;K$38,J$37,K278&lt;K$39,J$38,K278&lt;K$40,J$39,K278&lt;K$41,J$40,K278&lt;K$42,J$41,K278&lt;K$43,J$42,K278&lt;K$44,J$43,K278&lt;K$45,J$44,K278&lt;K$46,J$45,K278&lt;K$47,J$46,K278&gt;=K$47,J$47)</f>
        <v/>
      </c>
      <c r="K278" s="38" t="n">
        <v>228</v>
      </c>
      <c r="L278" s="31">
        <f>K278/52</f>
        <v/>
      </c>
      <c r="M278" s="39">
        <f>J278/1000000*52</f>
        <v/>
      </c>
      <c r="N278" s="33">
        <f>M278/$P$4+($I$22/$P$4)</f>
        <v/>
      </c>
      <c r="U278">
        <f>F277</f>
        <v/>
      </c>
      <c r="V278">
        <f>H277</f>
        <v/>
      </c>
      <c r="W278">
        <f>N277</f>
        <v/>
      </c>
    </row>
    <row r="279" ht="15.75" customHeight="1" s="40">
      <c r="C279" s="36">
        <f>_xlfn.IFS(E279&lt;E$24,0,E279&lt;E$26,C$24,E279&lt;E$28,C$26,E279&lt;E$30,C$28,E279&lt;E$32,C$30,E279&lt;E$34,C$32,E279&gt;=E$34,C$34)</f>
        <v/>
      </c>
      <c r="D279" s="37">
        <f>_xlfn.IFS(E279&lt;E$24,0,E279&lt;E$25,D$24,E279&lt;E$26,D$25,E279&lt;E$27,D$26,E279&lt;E$28,D$27,E279&lt;E$29,D$28,E279&lt;E$30,D$29,E279&lt;E$31,D$30,E279&lt;E$32,D$31,E279&lt;E$33,D$32,E279&lt;E$34,D$33,E279&lt;E$35,D$34,E279&gt;=E$35,D$35)</f>
        <v/>
      </c>
      <c r="E279" s="38" t="n">
        <v>229</v>
      </c>
      <c r="F279" s="31">
        <f>E279/52</f>
        <v/>
      </c>
      <c r="G279" s="39">
        <f>D279/1000000*52</f>
        <v/>
      </c>
      <c r="H279" s="33">
        <f>G279/$P$4+($C$22/$P$4)</f>
        <v/>
      </c>
      <c r="I279" s="36">
        <f>_xlfn.IFS(K279&lt;K$24,0,K279&lt;K$26,I$24,K279&lt;K$28,I$26,K279&lt;K$30,I$28,K279&lt;K$32,I$30,K279&lt;K$34,I$32,K279&lt;K$36,I$34,K279&lt;K$38,I$36,K279&lt;K$40,I$38,K279&lt;K$42,I$40,K279&lt;K$44,I$42,K279&lt;K$46,I$44,K279&gt;=K$46,I$46)</f>
        <v/>
      </c>
      <c r="J279" s="37">
        <f>_xlfn.IFS(K279&lt;K$24,0,K279&lt;K$25,J$24,K279&lt;K$26,J$25,K279&lt;K$27,J$26,K279&lt;K$28,J$27,K279&lt;K$29,J$28,K279&lt;K$30,J$29,K279&lt;K$31,J$30,K279&lt;K$32,J$31,K279&lt;K$33,J$32,K279&lt;K$34,J$33,K279&lt;K$35,J$34,K279&lt;K$36,J$35,K279&lt;K$37,J$36,K279&lt;K$38,J$37,K279&lt;K$39,J$38,K279&lt;K$40,J$39,K279&lt;K$41,J$40,K279&lt;K$42,J$41,K279&lt;K$43,J$42,K279&lt;K$44,J$43,K279&lt;K$45,J$44,K279&lt;K$46,J$45,K279&lt;K$47,J$46,K279&gt;=K$47,J$47)</f>
        <v/>
      </c>
      <c r="K279" s="38" t="n">
        <v>229</v>
      </c>
      <c r="L279" s="31">
        <f>K279/52</f>
        <v/>
      </c>
      <c r="M279" s="39">
        <f>J279/1000000*52</f>
        <v/>
      </c>
      <c r="N279" s="33">
        <f>M279/$P$4+($I$22/$P$4)</f>
        <v/>
      </c>
      <c r="U279">
        <f>F278</f>
        <v/>
      </c>
      <c r="V279">
        <f>H278</f>
        <v/>
      </c>
      <c r="W279">
        <f>N278</f>
        <v/>
      </c>
    </row>
    <row r="280" ht="15.75" customHeight="1" s="40">
      <c r="C280" s="36">
        <f>_xlfn.IFS(E280&lt;E$24,0,E280&lt;E$26,C$24,E280&lt;E$28,C$26,E280&lt;E$30,C$28,E280&lt;E$32,C$30,E280&lt;E$34,C$32,E280&gt;=E$34,C$34)</f>
        <v/>
      </c>
      <c r="D280" s="37">
        <f>_xlfn.IFS(E280&lt;E$24,0,E280&lt;E$25,D$24,E280&lt;E$26,D$25,E280&lt;E$27,D$26,E280&lt;E$28,D$27,E280&lt;E$29,D$28,E280&lt;E$30,D$29,E280&lt;E$31,D$30,E280&lt;E$32,D$31,E280&lt;E$33,D$32,E280&lt;E$34,D$33,E280&lt;E$35,D$34,E280&gt;=E$35,D$35)</f>
        <v/>
      </c>
      <c r="E280" s="38" t="n">
        <v>230</v>
      </c>
      <c r="F280" s="31">
        <f>E280/52</f>
        <v/>
      </c>
      <c r="G280" s="39">
        <f>D280/1000000*52</f>
        <v/>
      </c>
      <c r="H280" s="33">
        <f>G280/$P$4+($C$22/$P$4)</f>
        <v/>
      </c>
      <c r="I280" s="36">
        <f>_xlfn.IFS(K280&lt;K$24,0,K280&lt;K$26,I$24,K280&lt;K$28,I$26,K280&lt;K$30,I$28,K280&lt;K$32,I$30,K280&lt;K$34,I$32,K280&lt;K$36,I$34,K280&lt;K$38,I$36,K280&lt;K$40,I$38,K280&lt;K$42,I$40,K280&lt;K$44,I$42,K280&lt;K$46,I$44,K280&gt;=K$46,I$46)</f>
        <v/>
      </c>
      <c r="J280" s="37">
        <f>_xlfn.IFS(K280&lt;K$24,0,K280&lt;K$25,J$24,K280&lt;K$26,J$25,K280&lt;K$27,J$26,K280&lt;K$28,J$27,K280&lt;K$29,J$28,K280&lt;K$30,J$29,K280&lt;K$31,J$30,K280&lt;K$32,J$31,K280&lt;K$33,J$32,K280&lt;K$34,J$33,K280&lt;K$35,J$34,K280&lt;K$36,J$35,K280&lt;K$37,J$36,K280&lt;K$38,J$37,K280&lt;K$39,J$38,K280&lt;K$40,J$39,K280&lt;K$41,J$40,K280&lt;K$42,J$41,K280&lt;K$43,J$42,K280&lt;K$44,J$43,K280&lt;K$45,J$44,K280&lt;K$46,J$45,K280&lt;K$47,J$46,K280&gt;=K$47,J$47)</f>
        <v/>
      </c>
      <c r="K280" s="38" t="n">
        <v>230</v>
      </c>
      <c r="L280" s="31">
        <f>K280/52</f>
        <v/>
      </c>
      <c r="M280" s="39">
        <f>J280/1000000*52</f>
        <v/>
      </c>
      <c r="N280" s="33">
        <f>M280/$P$4+($I$22/$P$4)</f>
        <v/>
      </c>
      <c r="U280">
        <f>F279</f>
        <v/>
      </c>
      <c r="V280">
        <f>H279</f>
        <v/>
      </c>
      <c r="W280">
        <f>N279</f>
        <v/>
      </c>
    </row>
    <row r="281" ht="15.75" customHeight="1" s="40">
      <c r="C281" s="36">
        <f>_xlfn.IFS(E281&lt;E$24,0,E281&lt;E$26,C$24,E281&lt;E$28,C$26,E281&lt;E$30,C$28,E281&lt;E$32,C$30,E281&lt;E$34,C$32,E281&gt;=E$34,C$34)</f>
        <v/>
      </c>
      <c r="D281" s="37">
        <f>_xlfn.IFS(E281&lt;E$24,0,E281&lt;E$25,D$24,E281&lt;E$26,D$25,E281&lt;E$27,D$26,E281&lt;E$28,D$27,E281&lt;E$29,D$28,E281&lt;E$30,D$29,E281&lt;E$31,D$30,E281&lt;E$32,D$31,E281&lt;E$33,D$32,E281&lt;E$34,D$33,E281&lt;E$35,D$34,E281&gt;=E$35,D$35)</f>
        <v/>
      </c>
      <c r="E281" s="38" t="n">
        <v>231</v>
      </c>
      <c r="F281" s="31">
        <f>E281/52</f>
        <v/>
      </c>
      <c r="G281" s="39">
        <f>D281/1000000*52</f>
        <v/>
      </c>
      <c r="H281" s="33">
        <f>G281/$P$4+($C$22/$P$4)</f>
        <v/>
      </c>
      <c r="I281" s="36">
        <f>_xlfn.IFS(K281&lt;K$24,0,K281&lt;K$26,I$24,K281&lt;K$28,I$26,K281&lt;K$30,I$28,K281&lt;K$32,I$30,K281&lt;K$34,I$32,K281&lt;K$36,I$34,K281&lt;K$38,I$36,K281&lt;K$40,I$38,K281&lt;K$42,I$40,K281&lt;K$44,I$42,K281&lt;K$46,I$44,K281&gt;=K$46,I$46)</f>
        <v/>
      </c>
      <c r="J281" s="37">
        <f>_xlfn.IFS(K281&lt;K$24,0,K281&lt;K$25,J$24,K281&lt;K$26,J$25,K281&lt;K$27,J$26,K281&lt;K$28,J$27,K281&lt;K$29,J$28,K281&lt;K$30,J$29,K281&lt;K$31,J$30,K281&lt;K$32,J$31,K281&lt;K$33,J$32,K281&lt;K$34,J$33,K281&lt;K$35,J$34,K281&lt;K$36,J$35,K281&lt;K$37,J$36,K281&lt;K$38,J$37,K281&lt;K$39,J$38,K281&lt;K$40,J$39,K281&lt;K$41,J$40,K281&lt;K$42,J$41,K281&lt;K$43,J$42,K281&lt;K$44,J$43,K281&lt;K$45,J$44,K281&lt;K$46,J$45,K281&lt;K$47,J$46,K281&gt;=K$47,J$47)</f>
        <v/>
      </c>
      <c r="K281" s="38" t="n">
        <v>231</v>
      </c>
      <c r="L281" s="31">
        <f>K281/52</f>
        <v/>
      </c>
      <c r="M281" s="39">
        <f>J281/1000000*52</f>
        <v/>
      </c>
      <c r="N281" s="33">
        <f>M281/$P$4+($I$22/$P$4)</f>
        <v/>
      </c>
      <c r="U281">
        <f>F280</f>
        <v/>
      </c>
      <c r="V281">
        <f>H280</f>
        <v/>
      </c>
      <c r="W281">
        <f>N280</f>
        <v/>
      </c>
    </row>
    <row r="282" ht="15.75" customHeight="1" s="40">
      <c r="C282" s="36">
        <f>_xlfn.IFS(E282&lt;E$24,0,E282&lt;E$26,C$24,E282&lt;E$28,C$26,E282&lt;E$30,C$28,E282&lt;E$32,C$30,E282&lt;E$34,C$32,E282&gt;=E$34,C$34)</f>
        <v/>
      </c>
      <c r="D282" s="37">
        <f>_xlfn.IFS(E282&lt;E$24,0,E282&lt;E$25,D$24,E282&lt;E$26,D$25,E282&lt;E$27,D$26,E282&lt;E$28,D$27,E282&lt;E$29,D$28,E282&lt;E$30,D$29,E282&lt;E$31,D$30,E282&lt;E$32,D$31,E282&lt;E$33,D$32,E282&lt;E$34,D$33,E282&lt;E$35,D$34,E282&gt;=E$35,D$35)</f>
        <v/>
      </c>
      <c r="E282" s="38" t="n">
        <v>232</v>
      </c>
      <c r="F282" s="31">
        <f>E282/52</f>
        <v/>
      </c>
      <c r="G282" s="39">
        <f>D282/1000000*52</f>
        <v/>
      </c>
      <c r="H282" s="33">
        <f>G282/$P$4+($C$22/$P$4)</f>
        <v/>
      </c>
      <c r="I282" s="36">
        <f>_xlfn.IFS(K282&lt;K$24,0,K282&lt;K$26,I$24,K282&lt;K$28,I$26,K282&lt;K$30,I$28,K282&lt;K$32,I$30,K282&lt;K$34,I$32,K282&lt;K$36,I$34,K282&lt;K$38,I$36,K282&lt;K$40,I$38,K282&lt;K$42,I$40,K282&lt;K$44,I$42,K282&lt;K$46,I$44,K282&gt;=K$46,I$46)</f>
        <v/>
      </c>
      <c r="J282" s="37">
        <f>_xlfn.IFS(K282&lt;K$24,0,K282&lt;K$25,J$24,K282&lt;K$26,J$25,K282&lt;K$27,J$26,K282&lt;K$28,J$27,K282&lt;K$29,J$28,K282&lt;K$30,J$29,K282&lt;K$31,J$30,K282&lt;K$32,J$31,K282&lt;K$33,J$32,K282&lt;K$34,J$33,K282&lt;K$35,J$34,K282&lt;K$36,J$35,K282&lt;K$37,J$36,K282&lt;K$38,J$37,K282&lt;K$39,J$38,K282&lt;K$40,J$39,K282&lt;K$41,J$40,K282&lt;K$42,J$41,K282&lt;K$43,J$42,K282&lt;K$44,J$43,K282&lt;K$45,J$44,K282&lt;K$46,J$45,K282&lt;K$47,J$46,K282&gt;=K$47,J$47)</f>
        <v/>
      </c>
      <c r="K282" s="38" t="n">
        <v>232</v>
      </c>
      <c r="L282" s="31">
        <f>K282/52</f>
        <v/>
      </c>
      <c r="M282" s="39">
        <f>J282/1000000*52</f>
        <v/>
      </c>
      <c r="N282" s="33">
        <f>M282/$P$4+($I$22/$P$4)</f>
        <v/>
      </c>
      <c r="U282">
        <f>F281</f>
        <v/>
      </c>
      <c r="V282">
        <f>H281</f>
        <v/>
      </c>
      <c r="W282">
        <f>N281</f>
        <v/>
      </c>
    </row>
    <row r="283" ht="15.75" customHeight="1" s="40">
      <c r="C283" s="36">
        <f>_xlfn.IFS(E283&lt;E$24,0,E283&lt;E$26,C$24,E283&lt;E$28,C$26,E283&lt;E$30,C$28,E283&lt;E$32,C$30,E283&lt;E$34,C$32,E283&gt;=E$34,C$34)</f>
        <v/>
      </c>
      <c r="D283" s="37">
        <f>_xlfn.IFS(E283&lt;E$24,0,E283&lt;E$25,D$24,E283&lt;E$26,D$25,E283&lt;E$27,D$26,E283&lt;E$28,D$27,E283&lt;E$29,D$28,E283&lt;E$30,D$29,E283&lt;E$31,D$30,E283&lt;E$32,D$31,E283&lt;E$33,D$32,E283&lt;E$34,D$33,E283&lt;E$35,D$34,E283&gt;=E$35,D$35)</f>
        <v/>
      </c>
      <c r="E283" s="38" t="n">
        <v>233</v>
      </c>
      <c r="F283" s="31">
        <f>E283/52</f>
        <v/>
      </c>
      <c r="G283" s="39">
        <f>D283/1000000*52</f>
        <v/>
      </c>
      <c r="H283" s="33">
        <f>G283/$P$4+($C$22/$P$4)</f>
        <v/>
      </c>
      <c r="I283" s="36">
        <f>_xlfn.IFS(K283&lt;K$24,0,K283&lt;K$26,I$24,K283&lt;K$28,I$26,K283&lt;K$30,I$28,K283&lt;K$32,I$30,K283&lt;K$34,I$32,K283&lt;K$36,I$34,K283&lt;K$38,I$36,K283&lt;K$40,I$38,K283&lt;K$42,I$40,K283&lt;K$44,I$42,K283&lt;K$46,I$44,K283&gt;=K$46,I$46)</f>
        <v/>
      </c>
      <c r="J283" s="37">
        <f>_xlfn.IFS(K283&lt;K$24,0,K283&lt;K$25,J$24,K283&lt;K$26,J$25,K283&lt;K$27,J$26,K283&lt;K$28,J$27,K283&lt;K$29,J$28,K283&lt;K$30,J$29,K283&lt;K$31,J$30,K283&lt;K$32,J$31,K283&lt;K$33,J$32,K283&lt;K$34,J$33,K283&lt;K$35,J$34,K283&lt;K$36,J$35,K283&lt;K$37,J$36,K283&lt;K$38,J$37,K283&lt;K$39,J$38,K283&lt;K$40,J$39,K283&lt;K$41,J$40,K283&lt;K$42,J$41,K283&lt;K$43,J$42,K283&lt;K$44,J$43,K283&lt;K$45,J$44,K283&lt;K$46,J$45,K283&lt;K$47,J$46,K283&gt;=K$47,J$47)</f>
        <v/>
      </c>
      <c r="K283" s="38" t="n">
        <v>233</v>
      </c>
      <c r="L283" s="31">
        <f>K283/52</f>
        <v/>
      </c>
      <c r="M283" s="39">
        <f>J283/1000000*52</f>
        <v/>
      </c>
      <c r="N283" s="33">
        <f>M283/$P$4+($I$22/$P$4)</f>
        <v/>
      </c>
      <c r="U283">
        <f>F282</f>
        <v/>
      </c>
      <c r="V283">
        <f>H282</f>
        <v/>
      </c>
      <c r="W283">
        <f>N282</f>
        <v/>
      </c>
    </row>
    <row r="284" ht="15.75" customHeight="1" s="40">
      <c r="C284" s="36">
        <f>_xlfn.IFS(E284&lt;E$24,0,E284&lt;E$26,C$24,E284&lt;E$28,C$26,E284&lt;E$30,C$28,E284&lt;E$32,C$30,E284&lt;E$34,C$32,E284&gt;=E$34,C$34)</f>
        <v/>
      </c>
      <c r="D284" s="37">
        <f>_xlfn.IFS(E284&lt;E$24,0,E284&lt;E$25,D$24,E284&lt;E$26,D$25,E284&lt;E$27,D$26,E284&lt;E$28,D$27,E284&lt;E$29,D$28,E284&lt;E$30,D$29,E284&lt;E$31,D$30,E284&lt;E$32,D$31,E284&lt;E$33,D$32,E284&lt;E$34,D$33,E284&lt;E$35,D$34,E284&gt;=E$35,D$35)</f>
        <v/>
      </c>
      <c r="E284" s="38" t="n">
        <v>234</v>
      </c>
      <c r="F284" s="31">
        <f>E284/52</f>
        <v/>
      </c>
      <c r="G284" s="39">
        <f>D284/1000000*52</f>
        <v/>
      </c>
      <c r="H284" s="33">
        <f>G284/$P$4+($C$22/$P$4)</f>
        <v/>
      </c>
      <c r="I284" s="36">
        <f>_xlfn.IFS(K284&lt;K$24,0,K284&lt;K$26,I$24,K284&lt;K$28,I$26,K284&lt;K$30,I$28,K284&lt;K$32,I$30,K284&lt;K$34,I$32,K284&lt;K$36,I$34,K284&lt;K$38,I$36,K284&lt;K$40,I$38,K284&lt;K$42,I$40,K284&lt;K$44,I$42,K284&lt;K$46,I$44,K284&gt;=K$46,I$46)</f>
        <v/>
      </c>
      <c r="J284" s="37">
        <f>_xlfn.IFS(K284&lt;K$24,0,K284&lt;K$25,J$24,K284&lt;K$26,J$25,K284&lt;K$27,J$26,K284&lt;K$28,J$27,K284&lt;K$29,J$28,K284&lt;K$30,J$29,K284&lt;K$31,J$30,K284&lt;K$32,J$31,K284&lt;K$33,J$32,K284&lt;K$34,J$33,K284&lt;K$35,J$34,K284&lt;K$36,J$35,K284&lt;K$37,J$36,K284&lt;K$38,J$37,K284&lt;K$39,J$38,K284&lt;K$40,J$39,K284&lt;K$41,J$40,K284&lt;K$42,J$41,K284&lt;K$43,J$42,K284&lt;K$44,J$43,K284&lt;K$45,J$44,K284&lt;K$46,J$45,K284&lt;K$47,J$46,K284&gt;=K$47,J$47)</f>
        <v/>
      </c>
      <c r="K284" s="38" t="n">
        <v>234</v>
      </c>
      <c r="L284" s="31">
        <f>K284/52</f>
        <v/>
      </c>
      <c r="M284" s="39">
        <f>J284/1000000*52</f>
        <v/>
      </c>
      <c r="N284" s="33">
        <f>M284/$P$4+($I$22/$P$4)</f>
        <v/>
      </c>
      <c r="U284">
        <f>F283</f>
        <v/>
      </c>
      <c r="V284">
        <f>H283</f>
        <v/>
      </c>
      <c r="W284">
        <f>N283</f>
        <v/>
      </c>
    </row>
    <row r="285" ht="15.75" customHeight="1" s="40">
      <c r="C285" s="36">
        <f>_xlfn.IFS(E285&lt;E$24,0,E285&lt;E$26,C$24,E285&lt;E$28,C$26,E285&lt;E$30,C$28,E285&lt;E$32,C$30,E285&lt;E$34,C$32,E285&gt;=E$34,C$34)</f>
        <v/>
      </c>
      <c r="D285" s="37">
        <f>_xlfn.IFS(E285&lt;E$24,0,E285&lt;E$25,D$24,E285&lt;E$26,D$25,E285&lt;E$27,D$26,E285&lt;E$28,D$27,E285&lt;E$29,D$28,E285&lt;E$30,D$29,E285&lt;E$31,D$30,E285&lt;E$32,D$31,E285&lt;E$33,D$32,E285&lt;E$34,D$33,E285&lt;E$35,D$34,E285&gt;=E$35,D$35)</f>
        <v/>
      </c>
      <c r="E285" s="38" t="n">
        <v>235</v>
      </c>
      <c r="F285" s="31">
        <f>E285/52</f>
        <v/>
      </c>
      <c r="G285" s="39">
        <f>D285/1000000*52</f>
        <v/>
      </c>
      <c r="H285" s="33">
        <f>G285/$P$4+($C$22/$P$4)</f>
        <v/>
      </c>
      <c r="I285" s="36">
        <f>_xlfn.IFS(K285&lt;K$24,0,K285&lt;K$26,I$24,K285&lt;K$28,I$26,K285&lt;K$30,I$28,K285&lt;K$32,I$30,K285&lt;K$34,I$32,K285&lt;K$36,I$34,K285&lt;K$38,I$36,K285&lt;K$40,I$38,K285&lt;K$42,I$40,K285&lt;K$44,I$42,K285&lt;K$46,I$44,K285&gt;=K$46,I$46)</f>
        <v/>
      </c>
      <c r="J285" s="37">
        <f>_xlfn.IFS(K285&lt;K$24,0,K285&lt;K$25,J$24,K285&lt;K$26,J$25,K285&lt;K$27,J$26,K285&lt;K$28,J$27,K285&lt;K$29,J$28,K285&lt;K$30,J$29,K285&lt;K$31,J$30,K285&lt;K$32,J$31,K285&lt;K$33,J$32,K285&lt;K$34,J$33,K285&lt;K$35,J$34,K285&lt;K$36,J$35,K285&lt;K$37,J$36,K285&lt;K$38,J$37,K285&lt;K$39,J$38,K285&lt;K$40,J$39,K285&lt;K$41,J$40,K285&lt;K$42,J$41,K285&lt;K$43,J$42,K285&lt;K$44,J$43,K285&lt;K$45,J$44,K285&lt;K$46,J$45,K285&lt;K$47,J$46,K285&gt;=K$47,J$47)</f>
        <v/>
      </c>
      <c r="K285" s="38" t="n">
        <v>235</v>
      </c>
      <c r="L285" s="31">
        <f>K285/52</f>
        <v/>
      </c>
      <c r="M285" s="39">
        <f>J285/1000000*52</f>
        <v/>
      </c>
      <c r="N285" s="33">
        <f>M285/$P$4+($I$22/$P$4)</f>
        <v/>
      </c>
      <c r="U285">
        <f>F284</f>
        <v/>
      </c>
      <c r="V285">
        <f>H284</f>
        <v/>
      </c>
      <c r="W285">
        <f>N284</f>
        <v/>
      </c>
    </row>
    <row r="286" ht="15.75" customHeight="1" s="40">
      <c r="C286" s="36">
        <f>_xlfn.IFS(E286&lt;E$24,0,E286&lt;E$26,C$24,E286&lt;E$28,C$26,E286&lt;E$30,C$28,E286&lt;E$32,C$30,E286&lt;E$34,C$32,E286&gt;=E$34,C$34)</f>
        <v/>
      </c>
      <c r="D286" s="37">
        <f>_xlfn.IFS(E286&lt;E$24,0,E286&lt;E$25,D$24,E286&lt;E$26,D$25,E286&lt;E$27,D$26,E286&lt;E$28,D$27,E286&lt;E$29,D$28,E286&lt;E$30,D$29,E286&lt;E$31,D$30,E286&lt;E$32,D$31,E286&lt;E$33,D$32,E286&lt;E$34,D$33,E286&lt;E$35,D$34,E286&gt;=E$35,D$35)</f>
        <v/>
      </c>
      <c r="E286" s="38" t="n">
        <v>236</v>
      </c>
      <c r="F286" s="31">
        <f>E286/52</f>
        <v/>
      </c>
      <c r="G286" s="39">
        <f>D286/1000000*52</f>
        <v/>
      </c>
      <c r="H286" s="33">
        <f>G286/$P$4+($C$22/$P$4)</f>
        <v/>
      </c>
      <c r="I286" s="36">
        <f>_xlfn.IFS(K286&lt;K$24,0,K286&lt;K$26,I$24,K286&lt;K$28,I$26,K286&lt;K$30,I$28,K286&lt;K$32,I$30,K286&lt;K$34,I$32,K286&lt;K$36,I$34,K286&lt;K$38,I$36,K286&lt;K$40,I$38,K286&lt;K$42,I$40,K286&lt;K$44,I$42,K286&lt;K$46,I$44,K286&gt;=K$46,I$46)</f>
        <v/>
      </c>
      <c r="J286" s="37">
        <f>_xlfn.IFS(K286&lt;K$24,0,K286&lt;K$25,J$24,K286&lt;K$26,J$25,K286&lt;K$27,J$26,K286&lt;K$28,J$27,K286&lt;K$29,J$28,K286&lt;K$30,J$29,K286&lt;K$31,J$30,K286&lt;K$32,J$31,K286&lt;K$33,J$32,K286&lt;K$34,J$33,K286&lt;K$35,J$34,K286&lt;K$36,J$35,K286&lt;K$37,J$36,K286&lt;K$38,J$37,K286&lt;K$39,J$38,K286&lt;K$40,J$39,K286&lt;K$41,J$40,K286&lt;K$42,J$41,K286&lt;K$43,J$42,K286&lt;K$44,J$43,K286&lt;K$45,J$44,K286&lt;K$46,J$45,K286&lt;K$47,J$46,K286&gt;=K$47,J$47)</f>
        <v/>
      </c>
      <c r="K286" s="38" t="n">
        <v>236</v>
      </c>
      <c r="L286" s="31">
        <f>K286/52</f>
        <v/>
      </c>
      <c r="M286" s="39">
        <f>J286/1000000*52</f>
        <v/>
      </c>
      <c r="N286" s="33">
        <f>M286/$P$4+($I$22/$P$4)</f>
        <v/>
      </c>
      <c r="U286">
        <f>F285</f>
        <v/>
      </c>
      <c r="V286">
        <f>H285</f>
        <v/>
      </c>
      <c r="W286">
        <f>N285</f>
        <v/>
      </c>
    </row>
    <row r="287" ht="15.75" customHeight="1" s="40">
      <c r="C287" s="36">
        <f>_xlfn.IFS(E287&lt;E$24,0,E287&lt;E$26,C$24,E287&lt;E$28,C$26,E287&lt;E$30,C$28,E287&lt;E$32,C$30,E287&lt;E$34,C$32,E287&gt;=E$34,C$34)</f>
        <v/>
      </c>
      <c r="D287" s="37">
        <f>_xlfn.IFS(E287&lt;E$24,0,E287&lt;E$25,D$24,E287&lt;E$26,D$25,E287&lt;E$27,D$26,E287&lt;E$28,D$27,E287&lt;E$29,D$28,E287&lt;E$30,D$29,E287&lt;E$31,D$30,E287&lt;E$32,D$31,E287&lt;E$33,D$32,E287&lt;E$34,D$33,E287&lt;E$35,D$34,E287&gt;=E$35,D$35)</f>
        <v/>
      </c>
      <c r="E287" s="38" t="n">
        <v>237</v>
      </c>
      <c r="F287" s="31">
        <f>E287/52</f>
        <v/>
      </c>
      <c r="G287" s="39">
        <f>D287/1000000*52</f>
        <v/>
      </c>
      <c r="H287" s="33">
        <f>G287/$P$4+($C$22/$P$4)</f>
        <v/>
      </c>
      <c r="I287" s="36">
        <f>_xlfn.IFS(K287&lt;K$24,0,K287&lt;K$26,I$24,K287&lt;K$28,I$26,K287&lt;K$30,I$28,K287&lt;K$32,I$30,K287&lt;K$34,I$32,K287&lt;K$36,I$34,K287&lt;K$38,I$36,K287&lt;K$40,I$38,K287&lt;K$42,I$40,K287&lt;K$44,I$42,K287&lt;K$46,I$44,K287&gt;=K$46,I$46)</f>
        <v/>
      </c>
      <c r="J287" s="37">
        <f>_xlfn.IFS(K287&lt;K$24,0,K287&lt;K$25,J$24,K287&lt;K$26,J$25,K287&lt;K$27,J$26,K287&lt;K$28,J$27,K287&lt;K$29,J$28,K287&lt;K$30,J$29,K287&lt;K$31,J$30,K287&lt;K$32,J$31,K287&lt;K$33,J$32,K287&lt;K$34,J$33,K287&lt;K$35,J$34,K287&lt;K$36,J$35,K287&lt;K$37,J$36,K287&lt;K$38,J$37,K287&lt;K$39,J$38,K287&lt;K$40,J$39,K287&lt;K$41,J$40,K287&lt;K$42,J$41,K287&lt;K$43,J$42,K287&lt;K$44,J$43,K287&lt;K$45,J$44,K287&lt;K$46,J$45,K287&lt;K$47,J$46,K287&gt;=K$47,J$47)</f>
        <v/>
      </c>
      <c r="K287" s="38" t="n">
        <v>237</v>
      </c>
      <c r="L287" s="31">
        <f>K287/52</f>
        <v/>
      </c>
      <c r="M287" s="39">
        <f>J287/1000000*52</f>
        <v/>
      </c>
      <c r="N287" s="33">
        <f>M287/$P$4+($I$22/$P$4)</f>
        <v/>
      </c>
      <c r="U287">
        <f>F286</f>
        <v/>
      </c>
      <c r="V287">
        <f>H286</f>
        <v/>
      </c>
      <c r="W287">
        <f>N286</f>
        <v/>
      </c>
    </row>
    <row r="288" ht="15.75" customHeight="1" s="40">
      <c r="C288" s="36">
        <f>_xlfn.IFS(E288&lt;E$24,0,E288&lt;E$26,C$24,E288&lt;E$28,C$26,E288&lt;E$30,C$28,E288&lt;E$32,C$30,E288&lt;E$34,C$32,E288&gt;=E$34,C$34)</f>
        <v/>
      </c>
      <c r="D288" s="37">
        <f>_xlfn.IFS(E288&lt;E$24,0,E288&lt;E$25,D$24,E288&lt;E$26,D$25,E288&lt;E$27,D$26,E288&lt;E$28,D$27,E288&lt;E$29,D$28,E288&lt;E$30,D$29,E288&lt;E$31,D$30,E288&lt;E$32,D$31,E288&lt;E$33,D$32,E288&lt;E$34,D$33,E288&lt;E$35,D$34,E288&gt;=E$35,D$35)</f>
        <v/>
      </c>
      <c r="E288" s="38" t="n">
        <v>238</v>
      </c>
      <c r="F288" s="31">
        <f>E288/52</f>
        <v/>
      </c>
      <c r="G288" s="39">
        <f>D288/1000000*52</f>
        <v/>
      </c>
      <c r="H288" s="33">
        <f>G288/$P$4+($C$22/$P$4)</f>
        <v/>
      </c>
      <c r="I288" s="36">
        <f>_xlfn.IFS(K288&lt;K$24,0,K288&lt;K$26,I$24,K288&lt;K$28,I$26,K288&lt;K$30,I$28,K288&lt;K$32,I$30,K288&lt;K$34,I$32,K288&lt;K$36,I$34,K288&lt;K$38,I$36,K288&lt;K$40,I$38,K288&lt;K$42,I$40,K288&lt;K$44,I$42,K288&lt;K$46,I$44,K288&gt;=K$46,I$46)</f>
        <v/>
      </c>
      <c r="J288" s="37">
        <f>_xlfn.IFS(K288&lt;K$24,0,K288&lt;K$25,J$24,K288&lt;K$26,J$25,K288&lt;K$27,J$26,K288&lt;K$28,J$27,K288&lt;K$29,J$28,K288&lt;K$30,J$29,K288&lt;K$31,J$30,K288&lt;K$32,J$31,K288&lt;K$33,J$32,K288&lt;K$34,J$33,K288&lt;K$35,J$34,K288&lt;K$36,J$35,K288&lt;K$37,J$36,K288&lt;K$38,J$37,K288&lt;K$39,J$38,K288&lt;K$40,J$39,K288&lt;K$41,J$40,K288&lt;K$42,J$41,K288&lt;K$43,J$42,K288&lt;K$44,J$43,K288&lt;K$45,J$44,K288&lt;K$46,J$45,K288&lt;K$47,J$46,K288&gt;=K$47,J$47)</f>
        <v/>
      </c>
      <c r="K288" s="38" t="n">
        <v>238</v>
      </c>
      <c r="L288" s="31">
        <f>K288/52</f>
        <v/>
      </c>
      <c r="M288" s="39">
        <f>J288/1000000*52</f>
        <v/>
      </c>
      <c r="N288" s="33">
        <f>M288/$P$4+($I$22/$P$4)</f>
        <v/>
      </c>
      <c r="U288">
        <f>F287</f>
        <v/>
      </c>
      <c r="V288">
        <f>H287</f>
        <v/>
      </c>
      <c r="W288">
        <f>N287</f>
        <v/>
      </c>
    </row>
    <row r="289" ht="15.75" customHeight="1" s="40">
      <c r="C289" s="36">
        <f>_xlfn.IFS(E289&lt;E$24,0,E289&lt;E$26,C$24,E289&lt;E$28,C$26,E289&lt;E$30,C$28,E289&lt;E$32,C$30,E289&lt;E$34,C$32,E289&gt;=E$34,C$34)</f>
        <v/>
      </c>
      <c r="D289" s="37">
        <f>_xlfn.IFS(E289&lt;E$24,0,E289&lt;E$25,D$24,E289&lt;E$26,D$25,E289&lt;E$27,D$26,E289&lt;E$28,D$27,E289&lt;E$29,D$28,E289&lt;E$30,D$29,E289&lt;E$31,D$30,E289&lt;E$32,D$31,E289&lt;E$33,D$32,E289&lt;E$34,D$33,E289&lt;E$35,D$34,E289&gt;=E$35,D$35)</f>
        <v/>
      </c>
      <c r="E289" s="38" t="n">
        <v>239</v>
      </c>
      <c r="F289" s="31">
        <f>E289/52</f>
        <v/>
      </c>
      <c r="G289" s="39">
        <f>D289/1000000*52</f>
        <v/>
      </c>
      <c r="H289" s="33">
        <f>G289/$P$4+($C$22/$P$4)</f>
        <v/>
      </c>
      <c r="I289" s="36">
        <f>_xlfn.IFS(K289&lt;K$24,0,K289&lt;K$26,I$24,K289&lt;K$28,I$26,K289&lt;K$30,I$28,K289&lt;K$32,I$30,K289&lt;K$34,I$32,K289&lt;K$36,I$34,K289&lt;K$38,I$36,K289&lt;K$40,I$38,K289&lt;K$42,I$40,K289&lt;K$44,I$42,K289&lt;K$46,I$44,K289&gt;=K$46,I$46)</f>
        <v/>
      </c>
      <c r="J289" s="37">
        <f>_xlfn.IFS(K289&lt;K$24,0,K289&lt;K$25,J$24,K289&lt;K$26,J$25,K289&lt;K$27,J$26,K289&lt;K$28,J$27,K289&lt;K$29,J$28,K289&lt;K$30,J$29,K289&lt;K$31,J$30,K289&lt;K$32,J$31,K289&lt;K$33,J$32,K289&lt;K$34,J$33,K289&lt;K$35,J$34,K289&lt;K$36,J$35,K289&lt;K$37,J$36,K289&lt;K$38,J$37,K289&lt;K$39,J$38,K289&lt;K$40,J$39,K289&lt;K$41,J$40,K289&lt;K$42,J$41,K289&lt;K$43,J$42,K289&lt;K$44,J$43,K289&lt;K$45,J$44,K289&lt;K$46,J$45,K289&lt;K$47,J$46,K289&gt;=K$47,J$47)</f>
        <v/>
      </c>
      <c r="K289" s="38" t="n">
        <v>239</v>
      </c>
      <c r="L289" s="31">
        <f>K289/52</f>
        <v/>
      </c>
      <c r="M289" s="39">
        <f>J289/1000000*52</f>
        <v/>
      </c>
      <c r="N289" s="33">
        <f>M289/$P$4+($I$22/$P$4)</f>
        <v/>
      </c>
      <c r="U289">
        <f>F288</f>
        <v/>
      </c>
      <c r="V289">
        <f>H288</f>
        <v/>
      </c>
      <c r="W289">
        <f>N288</f>
        <v/>
      </c>
    </row>
    <row r="290" ht="15.75" customHeight="1" s="40">
      <c r="C290" s="36">
        <f>_xlfn.IFS(E290&lt;E$24,0,E290&lt;E$26,C$24,E290&lt;E$28,C$26,E290&lt;E$30,C$28,E290&lt;E$32,C$30,E290&lt;E$34,C$32,E290&gt;=E$34,C$34)</f>
        <v/>
      </c>
      <c r="D290" s="37">
        <f>_xlfn.IFS(E290&lt;E$24,0,E290&lt;E$25,D$24,E290&lt;E$26,D$25,E290&lt;E$27,D$26,E290&lt;E$28,D$27,E290&lt;E$29,D$28,E290&lt;E$30,D$29,E290&lt;E$31,D$30,E290&lt;E$32,D$31,E290&lt;E$33,D$32,E290&lt;E$34,D$33,E290&lt;E$35,D$34,E290&gt;=E$35,D$35)</f>
        <v/>
      </c>
      <c r="E290" s="38" t="n">
        <v>240</v>
      </c>
      <c r="F290" s="31">
        <f>E290/52</f>
        <v/>
      </c>
      <c r="G290" s="39">
        <f>D290/1000000*52</f>
        <v/>
      </c>
      <c r="H290" s="33">
        <f>G290/$P$4+($C$22/$P$4)</f>
        <v/>
      </c>
      <c r="I290" s="36">
        <f>_xlfn.IFS(K290&lt;K$24,0,K290&lt;K$26,I$24,K290&lt;K$28,I$26,K290&lt;K$30,I$28,K290&lt;K$32,I$30,K290&lt;K$34,I$32,K290&lt;K$36,I$34,K290&lt;K$38,I$36,K290&lt;K$40,I$38,K290&lt;K$42,I$40,K290&lt;K$44,I$42,K290&lt;K$46,I$44,K290&gt;=K$46,I$46)</f>
        <v/>
      </c>
      <c r="J290" s="37">
        <f>_xlfn.IFS(K290&lt;K$24,0,K290&lt;K$25,J$24,K290&lt;K$26,J$25,K290&lt;K$27,J$26,K290&lt;K$28,J$27,K290&lt;K$29,J$28,K290&lt;K$30,J$29,K290&lt;K$31,J$30,K290&lt;K$32,J$31,K290&lt;K$33,J$32,K290&lt;K$34,J$33,K290&lt;K$35,J$34,K290&lt;K$36,J$35,K290&lt;K$37,J$36,K290&lt;K$38,J$37,K290&lt;K$39,J$38,K290&lt;K$40,J$39,K290&lt;K$41,J$40,K290&lt;K$42,J$41,K290&lt;K$43,J$42,K290&lt;K$44,J$43,K290&lt;K$45,J$44,K290&lt;K$46,J$45,K290&lt;K$47,J$46,K290&gt;=K$47,J$47)</f>
        <v/>
      </c>
      <c r="K290" s="38" t="n">
        <v>240</v>
      </c>
      <c r="L290" s="31">
        <f>K290/52</f>
        <v/>
      </c>
      <c r="M290" s="39">
        <f>J290/1000000*52</f>
        <v/>
      </c>
      <c r="N290" s="33">
        <f>M290/$P$4+($I$22/$P$4)</f>
        <v/>
      </c>
      <c r="U290">
        <f>F289</f>
        <v/>
      </c>
      <c r="V290">
        <f>H289</f>
        <v/>
      </c>
      <c r="W290">
        <f>N289</f>
        <v/>
      </c>
    </row>
    <row r="291" ht="15.75" customHeight="1" s="40">
      <c r="C291" s="36">
        <f>_xlfn.IFS(E291&lt;E$24,0,E291&lt;E$26,C$24,E291&lt;E$28,C$26,E291&lt;E$30,C$28,E291&lt;E$32,C$30,E291&lt;E$34,C$32,E291&gt;=E$34,C$34)</f>
        <v/>
      </c>
      <c r="D291" s="37">
        <f>_xlfn.IFS(E291&lt;E$24,0,E291&lt;E$25,D$24,E291&lt;E$26,D$25,E291&lt;E$27,D$26,E291&lt;E$28,D$27,E291&lt;E$29,D$28,E291&lt;E$30,D$29,E291&lt;E$31,D$30,E291&lt;E$32,D$31,E291&lt;E$33,D$32,E291&lt;E$34,D$33,E291&lt;E$35,D$34,E291&gt;=E$35,D$35)</f>
        <v/>
      </c>
      <c r="E291" s="38" t="n">
        <v>241</v>
      </c>
      <c r="F291" s="31">
        <f>E291/52</f>
        <v/>
      </c>
      <c r="G291" s="39">
        <f>D291/1000000*52</f>
        <v/>
      </c>
      <c r="H291" s="33">
        <f>G291/$P$4+($C$22/$P$4)</f>
        <v/>
      </c>
      <c r="I291" s="36">
        <f>_xlfn.IFS(K291&lt;K$24,0,K291&lt;K$26,I$24,K291&lt;K$28,I$26,K291&lt;K$30,I$28,K291&lt;K$32,I$30,K291&lt;K$34,I$32,K291&lt;K$36,I$34,K291&lt;K$38,I$36,K291&lt;K$40,I$38,K291&lt;K$42,I$40,K291&lt;K$44,I$42,K291&lt;K$46,I$44,K291&gt;=K$46,I$46)</f>
        <v/>
      </c>
      <c r="J291" s="37">
        <f>_xlfn.IFS(K291&lt;K$24,0,K291&lt;K$25,J$24,K291&lt;K$26,J$25,K291&lt;K$27,J$26,K291&lt;K$28,J$27,K291&lt;K$29,J$28,K291&lt;K$30,J$29,K291&lt;K$31,J$30,K291&lt;K$32,J$31,K291&lt;K$33,J$32,K291&lt;K$34,J$33,K291&lt;K$35,J$34,K291&lt;K$36,J$35,K291&lt;K$37,J$36,K291&lt;K$38,J$37,K291&lt;K$39,J$38,K291&lt;K$40,J$39,K291&lt;K$41,J$40,K291&lt;K$42,J$41,K291&lt;K$43,J$42,K291&lt;K$44,J$43,K291&lt;K$45,J$44,K291&lt;K$46,J$45,K291&lt;K$47,J$46,K291&gt;=K$47,J$47)</f>
        <v/>
      </c>
      <c r="K291" s="38" t="n">
        <v>241</v>
      </c>
      <c r="L291" s="31">
        <f>K291/52</f>
        <v/>
      </c>
      <c r="M291" s="39">
        <f>J291/1000000*52</f>
        <v/>
      </c>
      <c r="N291" s="33">
        <f>M291/$P$4+($I$22/$P$4)</f>
        <v/>
      </c>
      <c r="U291">
        <f>F290</f>
        <v/>
      </c>
      <c r="V291">
        <f>H290</f>
        <v/>
      </c>
      <c r="W291">
        <f>N290</f>
        <v/>
      </c>
    </row>
    <row r="292" ht="15.75" customHeight="1" s="40">
      <c r="C292" s="36">
        <f>_xlfn.IFS(E292&lt;E$24,0,E292&lt;E$26,C$24,E292&lt;E$28,C$26,E292&lt;E$30,C$28,E292&lt;E$32,C$30,E292&lt;E$34,C$32,E292&gt;=E$34,C$34)</f>
        <v/>
      </c>
      <c r="D292" s="37">
        <f>_xlfn.IFS(E292&lt;E$24,0,E292&lt;E$25,D$24,E292&lt;E$26,D$25,E292&lt;E$27,D$26,E292&lt;E$28,D$27,E292&lt;E$29,D$28,E292&lt;E$30,D$29,E292&lt;E$31,D$30,E292&lt;E$32,D$31,E292&lt;E$33,D$32,E292&lt;E$34,D$33,E292&lt;E$35,D$34,E292&gt;=E$35,D$35)</f>
        <v/>
      </c>
      <c r="E292" s="38" t="n">
        <v>242</v>
      </c>
      <c r="F292" s="31">
        <f>E292/52</f>
        <v/>
      </c>
      <c r="G292" s="39">
        <f>D292/1000000*52</f>
        <v/>
      </c>
      <c r="H292" s="33">
        <f>G292/$P$4+($C$22/$P$4)</f>
        <v/>
      </c>
      <c r="I292" s="36">
        <f>_xlfn.IFS(K292&lt;K$24,0,K292&lt;K$26,I$24,K292&lt;K$28,I$26,K292&lt;K$30,I$28,K292&lt;K$32,I$30,K292&lt;K$34,I$32,K292&lt;K$36,I$34,K292&lt;K$38,I$36,K292&lt;K$40,I$38,K292&lt;K$42,I$40,K292&lt;K$44,I$42,K292&lt;K$46,I$44,K292&gt;=K$46,I$46)</f>
        <v/>
      </c>
      <c r="J292" s="37">
        <f>_xlfn.IFS(K292&lt;K$24,0,K292&lt;K$25,J$24,K292&lt;K$26,J$25,K292&lt;K$27,J$26,K292&lt;K$28,J$27,K292&lt;K$29,J$28,K292&lt;K$30,J$29,K292&lt;K$31,J$30,K292&lt;K$32,J$31,K292&lt;K$33,J$32,K292&lt;K$34,J$33,K292&lt;K$35,J$34,K292&lt;K$36,J$35,K292&lt;K$37,J$36,K292&lt;K$38,J$37,K292&lt;K$39,J$38,K292&lt;K$40,J$39,K292&lt;K$41,J$40,K292&lt;K$42,J$41,K292&lt;K$43,J$42,K292&lt;K$44,J$43,K292&lt;K$45,J$44,K292&lt;K$46,J$45,K292&lt;K$47,J$46,K292&gt;=K$47,J$47)</f>
        <v/>
      </c>
      <c r="K292" s="38" t="n">
        <v>242</v>
      </c>
      <c r="L292" s="31">
        <f>K292/52</f>
        <v/>
      </c>
      <c r="M292" s="39">
        <f>J292/1000000*52</f>
        <v/>
      </c>
      <c r="N292" s="33">
        <f>M292/$P$4+($I$22/$P$4)</f>
        <v/>
      </c>
      <c r="U292">
        <f>F291</f>
        <v/>
      </c>
      <c r="V292">
        <f>H291</f>
        <v/>
      </c>
      <c r="W292">
        <f>N291</f>
        <v/>
      </c>
    </row>
    <row r="293" ht="15.75" customHeight="1" s="40">
      <c r="C293" s="36">
        <f>_xlfn.IFS(E293&lt;E$24,0,E293&lt;E$26,C$24,E293&lt;E$28,C$26,E293&lt;E$30,C$28,E293&lt;E$32,C$30,E293&lt;E$34,C$32,E293&gt;=E$34,C$34)</f>
        <v/>
      </c>
      <c r="D293" s="37">
        <f>_xlfn.IFS(E293&lt;E$24,0,E293&lt;E$25,D$24,E293&lt;E$26,D$25,E293&lt;E$27,D$26,E293&lt;E$28,D$27,E293&lt;E$29,D$28,E293&lt;E$30,D$29,E293&lt;E$31,D$30,E293&lt;E$32,D$31,E293&lt;E$33,D$32,E293&lt;E$34,D$33,E293&lt;E$35,D$34,E293&gt;=E$35,D$35)</f>
        <v/>
      </c>
      <c r="E293" s="38" t="n">
        <v>243</v>
      </c>
      <c r="F293" s="31">
        <f>E293/52</f>
        <v/>
      </c>
      <c r="G293" s="39">
        <f>D293/1000000*52</f>
        <v/>
      </c>
      <c r="H293" s="33">
        <f>G293/$P$4+($C$22/$P$4)</f>
        <v/>
      </c>
      <c r="I293" s="36">
        <f>_xlfn.IFS(K293&lt;K$24,0,K293&lt;K$26,I$24,K293&lt;K$28,I$26,K293&lt;K$30,I$28,K293&lt;K$32,I$30,K293&lt;K$34,I$32,K293&lt;K$36,I$34,K293&lt;K$38,I$36,K293&lt;K$40,I$38,K293&lt;K$42,I$40,K293&lt;K$44,I$42,K293&lt;K$46,I$44,K293&gt;=K$46,I$46)</f>
        <v/>
      </c>
      <c r="J293" s="37">
        <f>_xlfn.IFS(K293&lt;K$24,0,K293&lt;K$25,J$24,K293&lt;K$26,J$25,K293&lt;K$27,J$26,K293&lt;K$28,J$27,K293&lt;K$29,J$28,K293&lt;K$30,J$29,K293&lt;K$31,J$30,K293&lt;K$32,J$31,K293&lt;K$33,J$32,K293&lt;K$34,J$33,K293&lt;K$35,J$34,K293&lt;K$36,J$35,K293&lt;K$37,J$36,K293&lt;K$38,J$37,K293&lt;K$39,J$38,K293&lt;K$40,J$39,K293&lt;K$41,J$40,K293&lt;K$42,J$41,K293&lt;K$43,J$42,K293&lt;K$44,J$43,K293&lt;K$45,J$44,K293&lt;K$46,J$45,K293&lt;K$47,J$46,K293&gt;=K$47,J$47)</f>
        <v/>
      </c>
      <c r="K293" s="38" t="n">
        <v>243</v>
      </c>
      <c r="L293" s="31">
        <f>K293/52</f>
        <v/>
      </c>
      <c r="M293" s="39">
        <f>J293/1000000*52</f>
        <v/>
      </c>
      <c r="N293" s="33">
        <f>M293/$P$4+($I$22/$P$4)</f>
        <v/>
      </c>
      <c r="U293">
        <f>F292</f>
        <v/>
      </c>
      <c r="V293">
        <f>H292</f>
        <v/>
      </c>
      <c r="W293">
        <f>N292</f>
        <v/>
      </c>
    </row>
    <row r="294" ht="15.75" customHeight="1" s="40">
      <c r="C294" s="36">
        <f>_xlfn.IFS(E294&lt;E$24,0,E294&lt;E$26,C$24,E294&lt;E$28,C$26,E294&lt;E$30,C$28,E294&lt;E$32,C$30,E294&lt;E$34,C$32,E294&gt;=E$34,C$34)</f>
        <v/>
      </c>
      <c r="D294" s="37">
        <f>_xlfn.IFS(E294&lt;E$24,0,E294&lt;E$25,D$24,E294&lt;E$26,D$25,E294&lt;E$27,D$26,E294&lt;E$28,D$27,E294&lt;E$29,D$28,E294&lt;E$30,D$29,E294&lt;E$31,D$30,E294&lt;E$32,D$31,E294&lt;E$33,D$32,E294&lt;E$34,D$33,E294&lt;E$35,D$34,E294&gt;=E$35,D$35)</f>
        <v/>
      </c>
      <c r="E294" s="38" t="n">
        <v>244</v>
      </c>
      <c r="F294" s="31">
        <f>E294/52</f>
        <v/>
      </c>
      <c r="G294" s="39">
        <f>D294/1000000*52</f>
        <v/>
      </c>
      <c r="H294" s="33">
        <f>G294/$P$4+($C$22/$P$4)</f>
        <v/>
      </c>
      <c r="I294" s="36">
        <f>_xlfn.IFS(K294&lt;K$24,0,K294&lt;K$26,I$24,K294&lt;K$28,I$26,K294&lt;K$30,I$28,K294&lt;K$32,I$30,K294&lt;K$34,I$32,K294&lt;K$36,I$34,K294&lt;K$38,I$36,K294&lt;K$40,I$38,K294&lt;K$42,I$40,K294&lt;K$44,I$42,K294&lt;K$46,I$44,K294&gt;=K$46,I$46)</f>
        <v/>
      </c>
      <c r="J294" s="37">
        <f>_xlfn.IFS(K294&lt;K$24,0,K294&lt;K$25,J$24,K294&lt;K$26,J$25,K294&lt;K$27,J$26,K294&lt;K$28,J$27,K294&lt;K$29,J$28,K294&lt;K$30,J$29,K294&lt;K$31,J$30,K294&lt;K$32,J$31,K294&lt;K$33,J$32,K294&lt;K$34,J$33,K294&lt;K$35,J$34,K294&lt;K$36,J$35,K294&lt;K$37,J$36,K294&lt;K$38,J$37,K294&lt;K$39,J$38,K294&lt;K$40,J$39,K294&lt;K$41,J$40,K294&lt;K$42,J$41,K294&lt;K$43,J$42,K294&lt;K$44,J$43,K294&lt;K$45,J$44,K294&lt;K$46,J$45,K294&lt;K$47,J$46,K294&gt;=K$47,J$47)</f>
        <v/>
      </c>
      <c r="K294" s="38" t="n">
        <v>244</v>
      </c>
      <c r="L294" s="31">
        <f>K294/52</f>
        <v/>
      </c>
      <c r="M294" s="39">
        <f>J294/1000000*52</f>
        <v/>
      </c>
      <c r="N294" s="33">
        <f>M294/$P$4+($I$22/$P$4)</f>
        <v/>
      </c>
      <c r="U294">
        <f>F293</f>
        <v/>
      </c>
      <c r="V294">
        <f>H293</f>
        <v/>
      </c>
      <c r="W294">
        <f>N293</f>
        <v/>
      </c>
    </row>
    <row r="295" ht="15.75" customHeight="1" s="40">
      <c r="C295" s="36">
        <f>_xlfn.IFS(E295&lt;E$24,0,E295&lt;E$26,C$24,E295&lt;E$28,C$26,E295&lt;E$30,C$28,E295&lt;E$32,C$30,E295&lt;E$34,C$32,E295&gt;=E$34,C$34)</f>
        <v/>
      </c>
      <c r="D295" s="37">
        <f>_xlfn.IFS(E295&lt;E$24,0,E295&lt;E$25,D$24,E295&lt;E$26,D$25,E295&lt;E$27,D$26,E295&lt;E$28,D$27,E295&lt;E$29,D$28,E295&lt;E$30,D$29,E295&lt;E$31,D$30,E295&lt;E$32,D$31,E295&lt;E$33,D$32,E295&lt;E$34,D$33,E295&lt;E$35,D$34,E295&gt;=E$35,D$35)</f>
        <v/>
      </c>
      <c r="E295" s="38" t="n">
        <v>245</v>
      </c>
      <c r="F295" s="31">
        <f>E295/52</f>
        <v/>
      </c>
      <c r="G295" s="39">
        <f>D295/1000000*52</f>
        <v/>
      </c>
      <c r="H295" s="33">
        <f>G295/$P$4+($C$22/$P$4)</f>
        <v/>
      </c>
      <c r="I295" s="36">
        <f>_xlfn.IFS(K295&lt;K$24,0,K295&lt;K$26,I$24,K295&lt;K$28,I$26,K295&lt;K$30,I$28,K295&lt;K$32,I$30,K295&lt;K$34,I$32,K295&lt;K$36,I$34,K295&lt;K$38,I$36,K295&lt;K$40,I$38,K295&lt;K$42,I$40,K295&lt;K$44,I$42,K295&lt;K$46,I$44,K295&gt;=K$46,I$46)</f>
        <v/>
      </c>
      <c r="J295" s="37">
        <f>_xlfn.IFS(K295&lt;K$24,0,K295&lt;K$25,J$24,K295&lt;K$26,J$25,K295&lt;K$27,J$26,K295&lt;K$28,J$27,K295&lt;K$29,J$28,K295&lt;K$30,J$29,K295&lt;K$31,J$30,K295&lt;K$32,J$31,K295&lt;K$33,J$32,K295&lt;K$34,J$33,K295&lt;K$35,J$34,K295&lt;K$36,J$35,K295&lt;K$37,J$36,K295&lt;K$38,J$37,K295&lt;K$39,J$38,K295&lt;K$40,J$39,K295&lt;K$41,J$40,K295&lt;K$42,J$41,K295&lt;K$43,J$42,K295&lt;K$44,J$43,K295&lt;K$45,J$44,K295&lt;K$46,J$45,K295&lt;K$47,J$46,K295&gt;=K$47,J$47)</f>
        <v/>
      </c>
      <c r="K295" s="38" t="n">
        <v>245</v>
      </c>
      <c r="L295" s="31">
        <f>K295/52</f>
        <v/>
      </c>
      <c r="M295" s="39">
        <f>J295/1000000*52</f>
        <v/>
      </c>
      <c r="N295" s="33">
        <f>M295/$P$4+($I$22/$P$4)</f>
        <v/>
      </c>
      <c r="U295">
        <f>F294</f>
        <v/>
      </c>
      <c r="V295">
        <f>H294</f>
        <v/>
      </c>
      <c r="W295">
        <f>N294</f>
        <v/>
      </c>
    </row>
    <row r="296" ht="15.75" customHeight="1" s="40">
      <c r="C296" s="36">
        <f>_xlfn.IFS(E296&lt;E$24,0,E296&lt;E$26,C$24,E296&lt;E$28,C$26,E296&lt;E$30,C$28,E296&lt;E$32,C$30,E296&lt;E$34,C$32,E296&gt;=E$34,C$34)</f>
        <v/>
      </c>
      <c r="D296" s="37">
        <f>_xlfn.IFS(E296&lt;E$24,0,E296&lt;E$25,D$24,E296&lt;E$26,D$25,E296&lt;E$27,D$26,E296&lt;E$28,D$27,E296&lt;E$29,D$28,E296&lt;E$30,D$29,E296&lt;E$31,D$30,E296&lt;E$32,D$31,E296&lt;E$33,D$32,E296&lt;E$34,D$33,E296&lt;E$35,D$34,E296&gt;=E$35,D$35)</f>
        <v/>
      </c>
      <c r="E296" s="38" t="n">
        <v>246</v>
      </c>
      <c r="F296" s="31">
        <f>E296/52</f>
        <v/>
      </c>
      <c r="G296" s="39">
        <f>D296/1000000*52</f>
        <v/>
      </c>
      <c r="H296" s="33">
        <f>G296/$P$4+($C$22/$P$4)</f>
        <v/>
      </c>
      <c r="I296" s="36">
        <f>_xlfn.IFS(K296&lt;K$24,0,K296&lt;K$26,I$24,K296&lt;K$28,I$26,K296&lt;K$30,I$28,K296&lt;K$32,I$30,K296&lt;K$34,I$32,K296&lt;K$36,I$34,K296&lt;K$38,I$36,K296&lt;K$40,I$38,K296&lt;K$42,I$40,K296&lt;K$44,I$42,K296&lt;K$46,I$44,K296&gt;=K$46,I$46)</f>
        <v/>
      </c>
      <c r="J296" s="37">
        <f>_xlfn.IFS(K296&lt;K$24,0,K296&lt;K$25,J$24,K296&lt;K$26,J$25,K296&lt;K$27,J$26,K296&lt;K$28,J$27,K296&lt;K$29,J$28,K296&lt;K$30,J$29,K296&lt;K$31,J$30,K296&lt;K$32,J$31,K296&lt;K$33,J$32,K296&lt;K$34,J$33,K296&lt;K$35,J$34,K296&lt;K$36,J$35,K296&lt;K$37,J$36,K296&lt;K$38,J$37,K296&lt;K$39,J$38,K296&lt;K$40,J$39,K296&lt;K$41,J$40,K296&lt;K$42,J$41,K296&lt;K$43,J$42,K296&lt;K$44,J$43,K296&lt;K$45,J$44,K296&lt;K$46,J$45,K296&lt;K$47,J$46,K296&gt;=K$47,J$47)</f>
        <v/>
      </c>
      <c r="K296" s="38" t="n">
        <v>246</v>
      </c>
      <c r="L296" s="31">
        <f>K296/52</f>
        <v/>
      </c>
      <c r="M296" s="39">
        <f>J296/1000000*52</f>
        <v/>
      </c>
      <c r="N296" s="33">
        <f>M296/$P$4+($I$22/$P$4)</f>
        <v/>
      </c>
      <c r="U296">
        <f>F295</f>
        <v/>
      </c>
      <c r="V296">
        <f>H295</f>
        <v/>
      </c>
      <c r="W296">
        <f>N295</f>
        <v/>
      </c>
    </row>
    <row r="297" ht="15.75" customHeight="1" s="40">
      <c r="C297" s="36">
        <f>_xlfn.IFS(E297&lt;E$24,0,E297&lt;E$26,C$24,E297&lt;E$28,C$26,E297&lt;E$30,C$28,E297&lt;E$32,C$30,E297&lt;E$34,C$32,E297&gt;=E$34,C$34)</f>
        <v/>
      </c>
      <c r="D297" s="37">
        <f>_xlfn.IFS(E297&lt;E$24,0,E297&lt;E$25,D$24,E297&lt;E$26,D$25,E297&lt;E$27,D$26,E297&lt;E$28,D$27,E297&lt;E$29,D$28,E297&lt;E$30,D$29,E297&lt;E$31,D$30,E297&lt;E$32,D$31,E297&lt;E$33,D$32,E297&lt;E$34,D$33,E297&lt;E$35,D$34,E297&gt;=E$35,D$35)</f>
        <v/>
      </c>
      <c r="E297" s="38" t="n">
        <v>247</v>
      </c>
      <c r="F297" s="31">
        <f>E297/52</f>
        <v/>
      </c>
      <c r="G297" s="39">
        <f>D297/1000000*52</f>
        <v/>
      </c>
      <c r="H297" s="33">
        <f>G297/$P$4+($C$22/$P$4)</f>
        <v/>
      </c>
      <c r="I297" s="36">
        <f>_xlfn.IFS(K297&lt;K$24,0,K297&lt;K$26,I$24,K297&lt;K$28,I$26,K297&lt;K$30,I$28,K297&lt;K$32,I$30,K297&lt;K$34,I$32,K297&lt;K$36,I$34,K297&lt;K$38,I$36,K297&lt;K$40,I$38,K297&lt;K$42,I$40,K297&lt;K$44,I$42,K297&lt;K$46,I$44,K297&gt;=K$46,I$46)</f>
        <v/>
      </c>
      <c r="J297" s="37">
        <f>_xlfn.IFS(K297&lt;K$24,0,K297&lt;K$25,J$24,K297&lt;K$26,J$25,K297&lt;K$27,J$26,K297&lt;K$28,J$27,K297&lt;K$29,J$28,K297&lt;K$30,J$29,K297&lt;K$31,J$30,K297&lt;K$32,J$31,K297&lt;K$33,J$32,K297&lt;K$34,J$33,K297&lt;K$35,J$34,K297&lt;K$36,J$35,K297&lt;K$37,J$36,K297&lt;K$38,J$37,K297&lt;K$39,J$38,K297&lt;K$40,J$39,K297&lt;K$41,J$40,K297&lt;K$42,J$41,K297&lt;K$43,J$42,K297&lt;K$44,J$43,K297&lt;K$45,J$44,K297&lt;K$46,J$45,K297&lt;K$47,J$46,K297&gt;=K$47,J$47)</f>
        <v/>
      </c>
      <c r="K297" s="38" t="n">
        <v>247</v>
      </c>
      <c r="L297" s="31">
        <f>K297/52</f>
        <v/>
      </c>
      <c r="M297" s="39">
        <f>J297/1000000*52</f>
        <v/>
      </c>
      <c r="N297" s="33">
        <f>M297/$P$4+($I$22/$P$4)</f>
        <v/>
      </c>
      <c r="U297">
        <f>F296</f>
        <v/>
      </c>
      <c r="V297">
        <f>H296</f>
        <v/>
      </c>
      <c r="W297">
        <f>N296</f>
        <v/>
      </c>
    </row>
    <row r="298" ht="15.75" customHeight="1" s="40">
      <c r="C298" s="36">
        <f>_xlfn.IFS(E298&lt;E$24,0,E298&lt;E$26,C$24,E298&lt;E$28,C$26,E298&lt;E$30,C$28,E298&lt;E$32,C$30,E298&lt;E$34,C$32,E298&gt;=E$34,C$34)</f>
        <v/>
      </c>
      <c r="D298" s="37">
        <f>_xlfn.IFS(E298&lt;E$24,0,E298&lt;E$25,D$24,E298&lt;E$26,D$25,E298&lt;E$27,D$26,E298&lt;E$28,D$27,E298&lt;E$29,D$28,E298&lt;E$30,D$29,E298&lt;E$31,D$30,E298&lt;E$32,D$31,E298&lt;E$33,D$32,E298&lt;E$34,D$33,E298&lt;E$35,D$34,E298&gt;=E$35,D$35)</f>
        <v/>
      </c>
      <c r="E298" s="38" t="n">
        <v>248</v>
      </c>
      <c r="F298" s="31">
        <f>E298/52</f>
        <v/>
      </c>
      <c r="G298" s="39">
        <f>D298/1000000*52</f>
        <v/>
      </c>
      <c r="H298" s="33">
        <f>G298/$P$4+($C$22/$P$4)</f>
        <v/>
      </c>
      <c r="I298" s="36">
        <f>_xlfn.IFS(K298&lt;K$24,0,K298&lt;K$26,I$24,K298&lt;K$28,I$26,K298&lt;K$30,I$28,K298&lt;K$32,I$30,K298&lt;K$34,I$32,K298&lt;K$36,I$34,K298&lt;K$38,I$36,K298&lt;K$40,I$38,K298&lt;K$42,I$40,K298&lt;K$44,I$42,K298&lt;K$46,I$44,K298&gt;=K$46,I$46)</f>
        <v/>
      </c>
      <c r="J298" s="37">
        <f>_xlfn.IFS(K298&lt;K$24,0,K298&lt;K$25,J$24,K298&lt;K$26,J$25,K298&lt;K$27,J$26,K298&lt;K$28,J$27,K298&lt;K$29,J$28,K298&lt;K$30,J$29,K298&lt;K$31,J$30,K298&lt;K$32,J$31,K298&lt;K$33,J$32,K298&lt;K$34,J$33,K298&lt;K$35,J$34,K298&lt;K$36,J$35,K298&lt;K$37,J$36,K298&lt;K$38,J$37,K298&lt;K$39,J$38,K298&lt;K$40,J$39,K298&lt;K$41,J$40,K298&lt;K$42,J$41,K298&lt;K$43,J$42,K298&lt;K$44,J$43,K298&lt;K$45,J$44,K298&lt;K$46,J$45,K298&lt;K$47,J$46,K298&gt;=K$47,J$47)</f>
        <v/>
      </c>
      <c r="K298" s="38" t="n">
        <v>248</v>
      </c>
      <c r="L298" s="31">
        <f>K298/52</f>
        <v/>
      </c>
      <c r="M298" s="39">
        <f>J298/1000000*52</f>
        <v/>
      </c>
      <c r="N298" s="33">
        <f>M298/$P$4+($I$22/$P$4)</f>
        <v/>
      </c>
      <c r="U298">
        <f>F297</f>
        <v/>
      </c>
      <c r="V298">
        <f>H297</f>
        <v/>
      </c>
      <c r="W298">
        <f>N297</f>
        <v/>
      </c>
    </row>
    <row r="299" ht="15.75" customHeight="1" s="40">
      <c r="C299" s="36">
        <f>_xlfn.IFS(E299&lt;E$24,0,E299&lt;E$26,C$24,E299&lt;E$28,C$26,E299&lt;E$30,C$28,E299&lt;E$32,C$30,E299&lt;E$34,C$32,E299&gt;=E$34,C$34)</f>
        <v/>
      </c>
      <c r="D299" s="37">
        <f>_xlfn.IFS(E299&lt;E$24,0,E299&lt;E$25,D$24,E299&lt;E$26,D$25,E299&lt;E$27,D$26,E299&lt;E$28,D$27,E299&lt;E$29,D$28,E299&lt;E$30,D$29,E299&lt;E$31,D$30,E299&lt;E$32,D$31,E299&lt;E$33,D$32,E299&lt;E$34,D$33,E299&lt;E$35,D$34,E299&gt;=E$35,D$35)</f>
        <v/>
      </c>
      <c r="E299" s="38" t="n">
        <v>249</v>
      </c>
      <c r="F299" s="31">
        <f>E299/52</f>
        <v/>
      </c>
      <c r="G299" s="39">
        <f>D299/1000000*52</f>
        <v/>
      </c>
      <c r="H299" s="33">
        <f>G299/$P$4+($C$22/$P$4)</f>
        <v/>
      </c>
      <c r="I299" s="36">
        <f>_xlfn.IFS(K299&lt;K$24,0,K299&lt;K$26,I$24,K299&lt;K$28,I$26,K299&lt;K$30,I$28,K299&lt;K$32,I$30,K299&lt;K$34,I$32,K299&lt;K$36,I$34,K299&lt;K$38,I$36,K299&lt;K$40,I$38,K299&lt;K$42,I$40,K299&lt;K$44,I$42,K299&lt;K$46,I$44,K299&gt;=K$46,I$46)</f>
        <v/>
      </c>
      <c r="J299" s="37">
        <f>_xlfn.IFS(K299&lt;K$24,0,K299&lt;K$25,J$24,K299&lt;K$26,J$25,K299&lt;K$27,J$26,K299&lt;K$28,J$27,K299&lt;K$29,J$28,K299&lt;K$30,J$29,K299&lt;K$31,J$30,K299&lt;K$32,J$31,K299&lt;K$33,J$32,K299&lt;K$34,J$33,K299&lt;K$35,J$34,K299&lt;K$36,J$35,K299&lt;K$37,J$36,K299&lt;K$38,J$37,K299&lt;K$39,J$38,K299&lt;K$40,J$39,K299&lt;K$41,J$40,K299&lt;K$42,J$41,K299&lt;K$43,J$42,K299&lt;K$44,J$43,K299&lt;K$45,J$44,K299&lt;K$46,J$45,K299&lt;K$47,J$46,K299&gt;=K$47,J$47)</f>
        <v/>
      </c>
      <c r="K299" s="38" t="n">
        <v>249</v>
      </c>
      <c r="L299" s="31">
        <f>K299/52</f>
        <v/>
      </c>
      <c r="M299" s="39">
        <f>J299/1000000*52</f>
        <v/>
      </c>
      <c r="N299" s="33">
        <f>M299/$P$4+($I$22/$P$4)</f>
        <v/>
      </c>
      <c r="U299">
        <f>F298</f>
        <v/>
      </c>
      <c r="V299">
        <f>H298</f>
        <v/>
      </c>
      <c r="W299">
        <f>N298</f>
        <v/>
      </c>
    </row>
    <row r="300" ht="15.75" customHeight="1" s="40">
      <c r="C300" s="36">
        <f>_xlfn.IFS(E300&lt;E$24,0,E300&lt;E$26,C$24,E300&lt;E$28,C$26,E300&lt;E$30,C$28,E300&lt;E$32,C$30,E300&lt;E$34,C$32,E300&gt;=E$34,C$34)</f>
        <v/>
      </c>
      <c r="D300" s="37">
        <f>_xlfn.IFS(E300&lt;E$24,0,E300&lt;E$25,D$24,E300&lt;E$26,D$25,E300&lt;E$27,D$26,E300&lt;E$28,D$27,E300&lt;E$29,D$28,E300&lt;E$30,D$29,E300&lt;E$31,D$30,E300&lt;E$32,D$31,E300&lt;E$33,D$32,E300&lt;E$34,D$33,E300&lt;E$35,D$34,E300&gt;=E$35,D$35)</f>
        <v/>
      </c>
      <c r="E300" s="38" t="n">
        <v>250</v>
      </c>
      <c r="F300" s="31">
        <f>E300/52</f>
        <v/>
      </c>
      <c r="G300" s="39">
        <f>D300/1000000*52</f>
        <v/>
      </c>
      <c r="H300" s="33">
        <f>G300/$P$4+($C$22/$P$4)</f>
        <v/>
      </c>
      <c r="I300" s="36">
        <f>_xlfn.IFS(K300&lt;K$24,0,K300&lt;K$26,I$24,K300&lt;K$28,I$26,K300&lt;K$30,I$28,K300&lt;K$32,I$30,K300&lt;K$34,I$32,K300&lt;K$36,I$34,K300&lt;K$38,I$36,K300&lt;K$40,I$38,K300&lt;K$42,I$40,K300&lt;K$44,I$42,K300&lt;K$46,I$44,K300&gt;=K$46,I$46)</f>
        <v/>
      </c>
      <c r="J300" s="37">
        <f>_xlfn.IFS(K300&lt;K$24,0,K300&lt;K$25,J$24,K300&lt;K$26,J$25,K300&lt;K$27,J$26,K300&lt;K$28,J$27,K300&lt;K$29,J$28,K300&lt;K$30,J$29,K300&lt;K$31,J$30,K300&lt;K$32,J$31,K300&lt;K$33,J$32,K300&lt;K$34,J$33,K300&lt;K$35,J$34,K300&lt;K$36,J$35,K300&lt;K$37,J$36,K300&lt;K$38,J$37,K300&lt;K$39,J$38,K300&lt;K$40,J$39,K300&lt;K$41,J$40,K300&lt;K$42,J$41,K300&lt;K$43,J$42,K300&lt;K$44,J$43,K300&lt;K$45,J$44,K300&lt;K$46,J$45,K300&lt;K$47,J$46,K300&gt;=K$47,J$47)</f>
        <v/>
      </c>
      <c r="K300" s="38" t="n">
        <v>250</v>
      </c>
      <c r="L300" s="31">
        <f>K300/52</f>
        <v/>
      </c>
      <c r="M300" s="39">
        <f>J300/1000000*52</f>
        <v/>
      </c>
      <c r="N300" s="33">
        <f>M300/$P$4+($I$22/$P$4)</f>
        <v/>
      </c>
      <c r="U300">
        <f>F299</f>
        <v/>
      </c>
      <c r="V300">
        <f>H299</f>
        <v/>
      </c>
      <c r="W300">
        <f>N299</f>
        <v/>
      </c>
    </row>
    <row r="301" ht="15.75" customHeight="1" s="40">
      <c r="C301" s="36">
        <f>_xlfn.IFS(E301&lt;E$24,0,E301&lt;E$26,C$24,E301&lt;E$28,C$26,E301&lt;E$30,C$28,E301&lt;E$32,C$30,E301&lt;E$34,C$32,E301&gt;=E$34,C$34)</f>
        <v/>
      </c>
      <c r="D301" s="37">
        <f>_xlfn.IFS(E301&lt;E$24,0,E301&lt;E$25,D$24,E301&lt;E$26,D$25,E301&lt;E$27,D$26,E301&lt;E$28,D$27,E301&lt;E$29,D$28,E301&lt;E$30,D$29,E301&lt;E$31,D$30,E301&lt;E$32,D$31,E301&lt;E$33,D$32,E301&lt;E$34,D$33,E301&lt;E$35,D$34,E301&gt;=E$35,D$35)</f>
        <v/>
      </c>
      <c r="E301" s="38" t="n">
        <v>251</v>
      </c>
      <c r="F301" s="31">
        <f>E301/52</f>
        <v/>
      </c>
      <c r="G301" s="39">
        <f>D301/1000000*52</f>
        <v/>
      </c>
      <c r="H301" s="33">
        <f>G301/$P$4+($C$22/$P$4)</f>
        <v/>
      </c>
      <c r="I301" s="36">
        <f>_xlfn.IFS(K301&lt;K$24,0,K301&lt;K$26,I$24,K301&lt;K$28,I$26,K301&lt;K$30,I$28,K301&lt;K$32,I$30,K301&lt;K$34,I$32,K301&lt;K$36,I$34,K301&lt;K$38,I$36,K301&lt;K$40,I$38,K301&lt;K$42,I$40,K301&lt;K$44,I$42,K301&lt;K$46,I$44,K301&gt;=K$46,I$46)</f>
        <v/>
      </c>
      <c r="J301" s="37">
        <f>_xlfn.IFS(K301&lt;K$24,0,K301&lt;K$25,J$24,K301&lt;K$26,J$25,K301&lt;K$27,J$26,K301&lt;K$28,J$27,K301&lt;K$29,J$28,K301&lt;K$30,J$29,K301&lt;K$31,J$30,K301&lt;K$32,J$31,K301&lt;K$33,J$32,K301&lt;K$34,J$33,K301&lt;K$35,J$34,K301&lt;K$36,J$35,K301&lt;K$37,J$36,K301&lt;K$38,J$37,K301&lt;K$39,J$38,K301&lt;K$40,J$39,K301&lt;K$41,J$40,K301&lt;K$42,J$41,K301&lt;K$43,J$42,K301&lt;K$44,J$43,K301&lt;K$45,J$44,K301&lt;K$46,J$45,K301&lt;K$47,J$46,K301&gt;=K$47,J$47)</f>
        <v/>
      </c>
      <c r="K301" s="38" t="n">
        <v>251</v>
      </c>
      <c r="L301" s="31">
        <f>K301/52</f>
        <v/>
      </c>
      <c r="M301" s="39">
        <f>J301/1000000*52</f>
        <v/>
      </c>
      <c r="N301" s="33">
        <f>M301/$P$4+($I$22/$P$4)</f>
        <v/>
      </c>
      <c r="U301">
        <f>F300</f>
        <v/>
      </c>
      <c r="V301">
        <f>H300</f>
        <v/>
      </c>
      <c r="W301">
        <f>N300</f>
        <v/>
      </c>
    </row>
    <row r="302" ht="15.75" customHeight="1" s="40">
      <c r="C302" s="36">
        <f>_xlfn.IFS(E302&lt;E$24,0,E302&lt;E$26,C$24,E302&lt;E$28,C$26,E302&lt;E$30,C$28,E302&lt;E$32,C$30,E302&lt;E$34,C$32,E302&gt;=E$34,C$34)</f>
        <v/>
      </c>
      <c r="D302" s="37">
        <f>_xlfn.IFS(E302&lt;E$24,0,E302&lt;E$25,D$24,E302&lt;E$26,D$25,E302&lt;E$27,D$26,E302&lt;E$28,D$27,E302&lt;E$29,D$28,E302&lt;E$30,D$29,E302&lt;E$31,D$30,E302&lt;E$32,D$31,E302&lt;E$33,D$32,E302&lt;E$34,D$33,E302&lt;E$35,D$34,E302&gt;=E$35,D$35)</f>
        <v/>
      </c>
      <c r="E302" s="38" t="n">
        <v>252</v>
      </c>
      <c r="F302" s="31">
        <f>E302/52</f>
        <v/>
      </c>
      <c r="G302" s="39">
        <f>D302/1000000*52</f>
        <v/>
      </c>
      <c r="H302" s="33">
        <f>G302/$P$4+($C$22/$P$4)</f>
        <v/>
      </c>
      <c r="I302" s="36">
        <f>_xlfn.IFS(K302&lt;K$24,0,K302&lt;K$26,I$24,K302&lt;K$28,I$26,K302&lt;K$30,I$28,K302&lt;K$32,I$30,K302&lt;K$34,I$32,K302&lt;K$36,I$34,K302&lt;K$38,I$36,K302&lt;K$40,I$38,K302&lt;K$42,I$40,K302&lt;K$44,I$42,K302&lt;K$46,I$44,K302&gt;=K$46,I$46)</f>
        <v/>
      </c>
      <c r="J302" s="37">
        <f>_xlfn.IFS(K302&lt;K$24,0,K302&lt;K$25,J$24,K302&lt;K$26,J$25,K302&lt;K$27,J$26,K302&lt;K$28,J$27,K302&lt;K$29,J$28,K302&lt;K$30,J$29,K302&lt;K$31,J$30,K302&lt;K$32,J$31,K302&lt;K$33,J$32,K302&lt;K$34,J$33,K302&lt;K$35,J$34,K302&lt;K$36,J$35,K302&lt;K$37,J$36,K302&lt;K$38,J$37,K302&lt;K$39,J$38,K302&lt;K$40,J$39,K302&lt;K$41,J$40,K302&lt;K$42,J$41,K302&lt;K$43,J$42,K302&lt;K$44,J$43,K302&lt;K$45,J$44,K302&lt;K$46,J$45,K302&lt;K$47,J$46,K302&gt;=K$47,J$47)</f>
        <v/>
      </c>
      <c r="K302" s="38" t="n">
        <v>252</v>
      </c>
      <c r="L302" s="31">
        <f>K302/52</f>
        <v/>
      </c>
      <c r="M302" s="39">
        <f>J302/1000000*52</f>
        <v/>
      </c>
      <c r="N302" s="33">
        <f>M302/$P$4+($I$22/$P$4)</f>
        <v/>
      </c>
      <c r="U302">
        <f>F301</f>
        <v/>
      </c>
      <c r="V302">
        <f>H301</f>
        <v/>
      </c>
      <c r="W302">
        <f>N301</f>
        <v/>
      </c>
    </row>
    <row r="303" ht="15.75" customHeight="1" s="40">
      <c r="C303" s="36">
        <f>_xlfn.IFS(E303&lt;E$24,0,E303&lt;E$26,C$24,E303&lt;E$28,C$26,E303&lt;E$30,C$28,E303&lt;E$32,C$30,E303&lt;E$34,C$32,E303&gt;=E$34,C$34)</f>
        <v/>
      </c>
      <c r="D303" s="37">
        <f>_xlfn.IFS(E303&lt;E$24,0,E303&lt;E$25,D$24,E303&lt;E$26,D$25,E303&lt;E$27,D$26,E303&lt;E$28,D$27,E303&lt;E$29,D$28,E303&lt;E$30,D$29,E303&lt;E$31,D$30,E303&lt;E$32,D$31,E303&lt;E$33,D$32,E303&lt;E$34,D$33,E303&lt;E$35,D$34,E303&gt;=E$35,D$35)</f>
        <v/>
      </c>
      <c r="E303" s="38" t="n">
        <v>253</v>
      </c>
      <c r="F303" s="31">
        <f>E303/52</f>
        <v/>
      </c>
      <c r="G303" s="39">
        <f>D303/1000000*52</f>
        <v/>
      </c>
      <c r="H303" s="33">
        <f>G303/$P$4+($C$22/$P$4)</f>
        <v/>
      </c>
      <c r="I303" s="36">
        <f>_xlfn.IFS(K303&lt;K$24,0,K303&lt;K$26,I$24,K303&lt;K$28,I$26,K303&lt;K$30,I$28,K303&lt;K$32,I$30,K303&lt;K$34,I$32,K303&lt;K$36,I$34,K303&lt;K$38,I$36,K303&lt;K$40,I$38,K303&lt;K$42,I$40,K303&lt;K$44,I$42,K303&lt;K$46,I$44,K303&gt;=K$46,I$46)</f>
        <v/>
      </c>
      <c r="J303" s="37">
        <f>_xlfn.IFS(K303&lt;K$24,0,K303&lt;K$25,J$24,K303&lt;K$26,J$25,K303&lt;K$27,J$26,K303&lt;K$28,J$27,K303&lt;K$29,J$28,K303&lt;K$30,J$29,K303&lt;K$31,J$30,K303&lt;K$32,J$31,K303&lt;K$33,J$32,K303&lt;K$34,J$33,K303&lt;K$35,J$34,K303&lt;K$36,J$35,K303&lt;K$37,J$36,K303&lt;K$38,J$37,K303&lt;K$39,J$38,K303&lt;K$40,J$39,K303&lt;K$41,J$40,K303&lt;K$42,J$41,K303&lt;K$43,J$42,K303&lt;K$44,J$43,K303&lt;K$45,J$44,K303&lt;K$46,J$45,K303&lt;K$47,J$46,K303&gt;=K$47,J$47)</f>
        <v/>
      </c>
      <c r="K303" s="38" t="n">
        <v>253</v>
      </c>
      <c r="L303" s="31">
        <f>K303/52</f>
        <v/>
      </c>
      <c r="M303" s="39">
        <f>J303/1000000*52</f>
        <v/>
      </c>
      <c r="N303" s="33">
        <f>M303/$P$4+($I$22/$P$4)</f>
        <v/>
      </c>
      <c r="U303">
        <f>F302</f>
        <v/>
      </c>
      <c r="V303">
        <f>H302</f>
        <v/>
      </c>
      <c r="W303">
        <f>N302</f>
        <v/>
      </c>
    </row>
    <row r="304" ht="15.75" customHeight="1" s="40">
      <c r="C304" s="36">
        <f>_xlfn.IFS(E304&lt;E$24,0,E304&lt;E$26,C$24,E304&lt;E$28,C$26,E304&lt;E$30,C$28,E304&lt;E$32,C$30,E304&lt;E$34,C$32,E304&gt;=E$34,C$34)</f>
        <v/>
      </c>
      <c r="D304" s="37">
        <f>_xlfn.IFS(E304&lt;E$24,0,E304&lt;E$25,D$24,E304&lt;E$26,D$25,E304&lt;E$27,D$26,E304&lt;E$28,D$27,E304&lt;E$29,D$28,E304&lt;E$30,D$29,E304&lt;E$31,D$30,E304&lt;E$32,D$31,E304&lt;E$33,D$32,E304&lt;E$34,D$33,E304&lt;E$35,D$34,E304&gt;=E$35,D$35)</f>
        <v/>
      </c>
      <c r="E304" s="38" t="n">
        <v>254</v>
      </c>
      <c r="F304" s="31">
        <f>E304/52</f>
        <v/>
      </c>
      <c r="G304" s="39">
        <f>D304/1000000*52</f>
        <v/>
      </c>
      <c r="H304" s="33">
        <f>G304/$P$4+($C$22/$P$4)</f>
        <v/>
      </c>
      <c r="I304" s="36">
        <f>_xlfn.IFS(K304&lt;K$24,0,K304&lt;K$26,I$24,K304&lt;K$28,I$26,K304&lt;K$30,I$28,K304&lt;K$32,I$30,K304&lt;K$34,I$32,K304&lt;K$36,I$34,K304&lt;K$38,I$36,K304&lt;K$40,I$38,K304&lt;K$42,I$40,K304&lt;K$44,I$42,K304&lt;K$46,I$44,K304&gt;=K$46,I$46)</f>
        <v/>
      </c>
      <c r="J304" s="37">
        <f>_xlfn.IFS(K304&lt;K$24,0,K304&lt;K$25,J$24,K304&lt;K$26,J$25,K304&lt;K$27,J$26,K304&lt;K$28,J$27,K304&lt;K$29,J$28,K304&lt;K$30,J$29,K304&lt;K$31,J$30,K304&lt;K$32,J$31,K304&lt;K$33,J$32,K304&lt;K$34,J$33,K304&lt;K$35,J$34,K304&lt;K$36,J$35,K304&lt;K$37,J$36,K304&lt;K$38,J$37,K304&lt;K$39,J$38,K304&lt;K$40,J$39,K304&lt;K$41,J$40,K304&lt;K$42,J$41,K304&lt;K$43,J$42,K304&lt;K$44,J$43,K304&lt;K$45,J$44,K304&lt;K$46,J$45,K304&lt;K$47,J$46,K304&gt;=K$47,J$47)</f>
        <v/>
      </c>
      <c r="K304" s="38" t="n">
        <v>254</v>
      </c>
      <c r="L304" s="31">
        <f>K304/52</f>
        <v/>
      </c>
      <c r="M304" s="39">
        <f>J304/1000000*52</f>
        <v/>
      </c>
      <c r="N304" s="33">
        <f>M304/$P$4+($I$22/$P$4)</f>
        <v/>
      </c>
      <c r="U304">
        <f>F303</f>
        <v/>
      </c>
      <c r="V304">
        <f>H303</f>
        <v/>
      </c>
      <c r="W304">
        <f>N303</f>
        <v/>
      </c>
    </row>
    <row r="305" ht="15.75" customHeight="1" s="40">
      <c r="C305" s="36">
        <f>_xlfn.IFS(E305&lt;E$24,0,E305&lt;E$26,C$24,E305&lt;E$28,C$26,E305&lt;E$30,C$28,E305&lt;E$32,C$30,E305&lt;E$34,C$32,E305&gt;=E$34,C$34)</f>
        <v/>
      </c>
      <c r="D305" s="37">
        <f>_xlfn.IFS(E305&lt;E$24,0,E305&lt;E$25,D$24,E305&lt;E$26,D$25,E305&lt;E$27,D$26,E305&lt;E$28,D$27,E305&lt;E$29,D$28,E305&lt;E$30,D$29,E305&lt;E$31,D$30,E305&lt;E$32,D$31,E305&lt;E$33,D$32,E305&lt;E$34,D$33,E305&lt;E$35,D$34,E305&gt;=E$35,D$35)</f>
        <v/>
      </c>
      <c r="E305" s="38" t="n">
        <v>255</v>
      </c>
      <c r="F305" s="31">
        <f>E305/52</f>
        <v/>
      </c>
      <c r="G305" s="39">
        <f>D305/1000000*52</f>
        <v/>
      </c>
      <c r="H305" s="33">
        <f>G305/$P$4+($C$22/$P$4)</f>
        <v/>
      </c>
      <c r="I305" s="36">
        <f>_xlfn.IFS(K305&lt;K$24,0,K305&lt;K$26,I$24,K305&lt;K$28,I$26,K305&lt;K$30,I$28,K305&lt;K$32,I$30,K305&lt;K$34,I$32,K305&lt;K$36,I$34,K305&lt;K$38,I$36,K305&lt;K$40,I$38,K305&lt;K$42,I$40,K305&lt;K$44,I$42,K305&lt;K$46,I$44,K305&gt;=K$46,I$46)</f>
        <v/>
      </c>
      <c r="J305" s="37">
        <f>_xlfn.IFS(K305&lt;K$24,0,K305&lt;K$25,J$24,K305&lt;K$26,J$25,K305&lt;K$27,J$26,K305&lt;K$28,J$27,K305&lt;K$29,J$28,K305&lt;K$30,J$29,K305&lt;K$31,J$30,K305&lt;K$32,J$31,K305&lt;K$33,J$32,K305&lt;K$34,J$33,K305&lt;K$35,J$34,K305&lt;K$36,J$35,K305&lt;K$37,J$36,K305&lt;K$38,J$37,K305&lt;K$39,J$38,K305&lt;K$40,J$39,K305&lt;K$41,J$40,K305&lt;K$42,J$41,K305&lt;K$43,J$42,K305&lt;K$44,J$43,K305&lt;K$45,J$44,K305&lt;K$46,J$45,K305&lt;K$47,J$46,K305&gt;=K$47,J$47)</f>
        <v/>
      </c>
      <c r="K305" s="38" t="n">
        <v>255</v>
      </c>
      <c r="L305" s="31">
        <f>K305/52</f>
        <v/>
      </c>
      <c r="M305" s="39">
        <f>J305/1000000*52</f>
        <v/>
      </c>
      <c r="N305" s="33">
        <f>M305/$P$4+($I$22/$P$4)</f>
        <v/>
      </c>
      <c r="U305">
        <f>F304</f>
        <v/>
      </c>
      <c r="V305">
        <f>H304</f>
        <v/>
      </c>
      <c r="W305">
        <f>N304</f>
        <v/>
      </c>
    </row>
    <row r="306" ht="15.75" customHeight="1" s="40">
      <c r="C306" s="36">
        <f>_xlfn.IFS(E306&lt;E$24,0,E306&lt;E$26,C$24,E306&lt;E$28,C$26,E306&lt;E$30,C$28,E306&lt;E$32,C$30,E306&lt;E$34,C$32,E306&gt;=E$34,C$34)</f>
        <v/>
      </c>
      <c r="D306" s="37">
        <f>_xlfn.IFS(E306&lt;E$24,0,E306&lt;E$25,D$24,E306&lt;E$26,D$25,E306&lt;E$27,D$26,E306&lt;E$28,D$27,E306&lt;E$29,D$28,E306&lt;E$30,D$29,E306&lt;E$31,D$30,E306&lt;E$32,D$31,E306&lt;E$33,D$32,E306&lt;E$34,D$33,E306&lt;E$35,D$34,E306&gt;=E$35,D$35)</f>
        <v/>
      </c>
      <c r="E306" s="38" t="n">
        <v>256</v>
      </c>
      <c r="F306" s="31">
        <f>E306/52</f>
        <v/>
      </c>
      <c r="G306" s="39">
        <f>D306/1000000*52</f>
        <v/>
      </c>
      <c r="H306" s="33">
        <f>G306/$P$4+($C$22/$P$4)</f>
        <v/>
      </c>
      <c r="I306" s="36">
        <f>_xlfn.IFS(K306&lt;K$24,0,K306&lt;K$26,I$24,K306&lt;K$28,I$26,K306&lt;K$30,I$28,K306&lt;K$32,I$30,K306&lt;K$34,I$32,K306&lt;K$36,I$34,K306&lt;K$38,I$36,K306&lt;K$40,I$38,K306&lt;K$42,I$40,K306&lt;K$44,I$42,K306&lt;K$46,I$44,K306&gt;=K$46,I$46)</f>
        <v/>
      </c>
      <c r="J306" s="37">
        <f>_xlfn.IFS(K306&lt;K$24,0,K306&lt;K$25,J$24,K306&lt;K$26,J$25,K306&lt;K$27,J$26,K306&lt;K$28,J$27,K306&lt;K$29,J$28,K306&lt;K$30,J$29,K306&lt;K$31,J$30,K306&lt;K$32,J$31,K306&lt;K$33,J$32,K306&lt;K$34,J$33,K306&lt;K$35,J$34,K306&lt;K$36,J$35,K306&lt;K$37,J$36,K306&lt;K$38,J$37,K306&lt;K$39,J$38,K306&lt;K$40,J$39,K306&lt;K$41,J$40,K306&lt;K$42,J$41,K306&lt;K$43,J$42,K306&lt;K$44,J$43,K306&lt;K$45,J$44,K306&lt;K$46,J$45,K306&lt;K$47,J$46,K306&gt;=K$47,J$47)</f>
        <v/>
      </c>
      <c r="K306" s="38" t="n">
        <v>256</v>
      </c>
      <c r="L306" s="31">
        <f>K306/52</f>
        <v/>
      </c>
      <c r="M306" s="39">
        <f>J306/1000000*52</f>
        <v/>
      </c>
      <c r="N306" s="33">
        <f>M306/$P$4+($I$22/$P$4)</f>
        <v/>
      </c>
      <c r="U306">
        <f>F305</f>
        <v/>
      </c>
      <c r="V306">
        <f>H305</f>
        <v/>
      </c>
      <c r="W306">
        <f>N305</f>
        <v/>
      </c>
    </row>
    <row r="307" ht="15.75" customHeight="1" s="40">
      <c r="C307" s="36">
        <f>_xlfn.IFS(E307&lt;E$24,0,E307&lt;E$26,C$24,E307&lt;E$28,C$26,E307&lt;E$30,C$28,E307&lt;E$32,C$30,E307&lt;E$34,C$32,E307&gt;=E$34,C$34)</f>
        <v/>
      </c>
      <c r="D307" s="37">
        <f>_xlfn.IFS(E307&lt;E$24,0,E307&lt;E$25,D$24,E307&lt;E$26,D$25,E307&lt;E$27,D$26,E307&lt;E$28,D$27,E307&lt;E$29,D$28,E307&lt;E$30,D$29,E307&lt;E$31,D$30,E307&lt;E$32,D$31,E307&lt;E$33,D$32,E307&lt;E$34,D$33,E307&lt;E$35,D$34,E307&gt;=E$35,D$35)</f>
        <v/>
      </c>
      <c r="E307" s="38" t="n">
        <v>257</v>
      </c>
      <c r="F307" s="31">
        <f>E307/52</f>
        <v/>
      </c>
      <c r="G307" s="39">
        <f>D307/1000000*52</f>
        <v/>
      </c>
      <c r="H307" s="33">
        <f>G307/$P$4+($C$22/$P$4)</f>
        <v/>
      </c>
      <c r="I307" s="36">
        <f>_xlfn.IFS(K307&lt;K$24,0,K307&lt;K$26,I$24,K307&lt;K$28,I$26,K307&lt;K$30,I$28,K307&lt;K$32,I$30,K307&lt;K$34,I$32,K307&lt;K$36,I$34,K307&lt;K$38,I$36,K307&lt;K$40,I$38,K307&lt;K$42,I$40,K307&lt;K$44,I$42,K307&lt;K$46,I$44,K307&gt;=K$46,I$46)</f>
        <v/>
      </c>
      <c r="J307" s="37">
        <f>_xlfn.IFS(K307&lt;K$24,0,K307&lt;K$25,J$24,K307&lt;K$26,J$25,K307&lt;K$27,J$26,K307&lt;K$28,J$27,K307&lt;K$29,J$28,K307&lt;K$30,J$29,K307&lt;K$31,J$30,K307&lt;K$32,J$31,K307&lt;K$33,J$32,K307&lt;K$34,J$33,K307&lt;K$35,J$34,K307&lt;K$36,J$35,K307&lt;K$37,J$36,K307&lt;K$38,J$37,K307&lt;K$39,J$38,K307&lt;K$40,J$39,K307&lt;K$41,J$40,K307&lt;K$42,J$41,K307&lt;K$43,J$42,K307&lt;K$44,J$43,K307&lt;K$45,J$44,K307&lt;K$46,J$45,K307&lt;K$47,J$46,K307&gt;=K$47,J$47)</f>
        <v/>
      </c>
      <c r="K307" s="38" t="n">
        <v>257</v>
      </c>
      <c r="L307" s="31">
        <f>K307/52</f>
        <v/>
      </c>
      <c r="M307" s="39">
        <f>J307/1000000*52</f>
        <v/>
      </c>
      <c r="N307" s="33">
        <f>M307/$P$4+($I$22/$P$4)</f>
        <v/>
      </c>
      <c r="U307">
        <f>F306</f>
        <v/>
      </c>
      <c r="V307">
        <f>H306</f>
        <v/>
      </c>
      <c r="W307">
        <f>N306</f>
        <v/>
      </c>
    </row>
    <row r="308" ht="15.75" customHeight="1" s="40">
      <c r="C308" s="36">
        <f>_xlfn.IFS(E308&lt;E$24,0,E308&lt;E$26,C$24,E308&lt;E$28,C$26,E308&lt;E$30,C$28,E308&lt;E$32,C$30,E308&lt;E$34,C$32,E308&gt;=E$34,C$34)</f>
        <v/>
      </c>
      <c r="D308" s="37">
        <f>_xlfn.IFS(E308&lt;E$24,0,E308&lt;E$25,D$24,E308&lt;E$26,D$25,E308&lt;E$27,D$26,E308&lt;E$28,D$27,E308&lt;E$29,D$28,E308&lt;E$30,D$29,E308&lt;E$31,D$30,E308&lt;E$32,D$31,E308&lt;E$33,D$32,E308&lt;E$34,D$33,E308&lt;E$35,D$34,E308&gt;=E$35,D$35)</f>
        <v/>
      </c>
      <c r="E308" s="38" t="n">
        <v>258</v>
      </c>
      <c r="F308" s="31">
        <f>E308/52</f>
        <v/>
      </c>
      <c r="G308" s="39">
        <f>D308/1000000*52</f>
        <v/>
      </c>
      <c r="H308" s="33">
        <f>G308/$P$4+($C$22/$P$4)</f>
        <v/>
      </c>
      <c r="I308" s="36">
        <f>_xlfn.IFS(K308&lt;K$24,0,K308&lt;K$26,I$24,K308&lt;K$28,I$26,K308&lt;K$30,I$28,K308&lt;K$32,I$30,K308&lt;K$34,I$32,K308&lt;K$36,I$34,K308&lt;K$38,I$36,K308&lt;K$40,I$38,K308&lt;K$42,I$40,K308&lt;K$44,I$42,K308&lt;K$46,I$44,K308&gt;=K$46,I$46)</f>
        <v/>
      </c>
      <c r="J308" s="37">
        <f>_xlfn.IFS(K308&lt;K$24,0,K308&lt;K$25,J$24,K308&lt;K$26,J$25,K308&lt;K$27,J$26,K308&lt;K$28,J$27,K308&lt;K$29,J$28,K308&lt;K$30,J$29,K308&lt;K$31,J$30,K308&lt;K$32,J$31,K308&lt;K$33,J$32,K308&lt;K$34,J$33,K308&lt;K$35,J$34,K308&lt;K$36,J$35,K308&lt;K$37,J$36,K308&lt;K$38,J$37,K308&lt;K$39,J$38,K308&lt;K$40,J$39,K308&lt;K$41,J$40,K308&lt;K$42,J$41,K308&lt;K$43,J$42,K308&lt;K$44,J$43,K308&lt;K$45,J$44,K308&lt;K$46,J$45,K308&lt;K$47,J$46,K308&gt;=K$47,J$47)</f>
        <v/>
      </c>
      <c r="K308" s="38" t="n">
        <v>258</v>
      </c>
      <c r="L308" s="31">
        <f>K308/52</f>
        <v/>
      </c>
      <c r="M308" s="39">
        <f>J308/1000000*52</f>
        <v/>
      </c>
      <c r="N308" s="33">
        <f>M308/$P$4+($I$22/$P$4)</f>
        <v/>
      </c>
      <c r="U308">
        <f>F307</f>
        <v/>
      </c>
      <c r="V308">
        <f>H307</f>
        <v/>
      </c>
      <c r="W308">
        <f>N307</f>
        <v/>
      </c>
    </row>
    <row r="309" ht="15.75" customHeight="1" s="40">
      <c r="C309" s="36">
        <f>_xlfn.IFS(E309&lt;E$24,0,E309&lt;E$26,C$24,E309&lt;E$28,C$26,E309&lt;E$30,C$28,E309&lt;E$32,C$30,E309&lt;E$34,C$32,E309&gt;=E$34,C$34)</f>
        <v/>
      </c>
      <c r="D309" s="37">
        <f>_xlfn.IFS(E309&lt;E$24,0,E309&lt;E$25,D$24,E309&lt;E$26,D$25,E309&lt;E$27,D$26,E309&lt;E$28,D$27,E309&lt;E$29,D$28,E309&lt;E$30,D$29,E309&lt;E$31,D$30,E309&lt;E$32,D$31,E309&lt;E$33,D$32,E309&lt;E$34,D$33,E309&lt;E$35,D$34,E309&gt;=E$35,D$35)</f>
        <v/>
      </c>
      <c r="E309" s="38" t="n">
        <v>259</v>
      </c>
      <c r="F309" s="31">
        <f>E309/52</f>
        <v/>
      </c>
      <c r="G309" s="39">
        <f>D309/1000000*52</f>
        <v/>
      </c>
      <c r="H309" s="33">
        <f>G309/$P$4+($C$22/$P$4)</f>
        <v/>
      </c>
      <c r="I309" s="36">
        <f>_xlfn.IFS(K309&lt;K$24,0,K309&lt;K$26,I$24,K309&lt;K$28,I$26,K309&lt;K$30,I$28,K309&lt;K$32,I$30,K309&lt;K$34,I$32,K309&lt;K$36,I$34,K309&lt;K$38,I$36,K309&lt;K$40,I$38,K309&lt;K$42,I$40,K309&lt;K$44,I$42,K309&lt;K$46,I$44,K309&gt;=K$46,I$46)</f>
        <v/>
      </c>
      <c r="J309" s="37">
        <f>_xlfn.IFS(K309&lt;K$24,0,K309&lt;K$25,J$24,K309&lt;K$26,J$25,K309&lt;K$27,J$26,K309&lt;K$28,J$27,K309&lt;K$29,J$28,K309&lt;K$30,J$29,K309&lt;K$31,J$30,K309&lt;K$32,J$31,K309&lt;K$33,J$32,K309&lt;K$34,J$33,K309&lt;K$35,J$34,K309&lt;K$36,J$35,K309&lt;K$37,J$36,K309&lt;K$38,J$37,K309&lt;K$39,J$38,K309&lt;K$40,J$39,K309&lt;K$41,J$40,K309&lt;K$42,J$41,K309&lt;K$43,J$42,K309&lt;K$44,J$43,K309&lt;K$45,J$44,K309&lt;K$46,J$45,K309&lt;K$47,J$46,K309&gt;=K$47,J$47)</f>
        <v/>
      </c>
      <c r="K309" s="38" t="n">
        <v>259</v>
      </c>
      <c r="L309" s="31">
        <f>K309/52</f>
        <v/>
      </c>
      <c r="M309" s="39">
        <f>J309/1000000*52</f>
        <v/>
      </c>
      <c r="N309" s="33">
        <f>M309/$P$4+($I$22/$P$4)</f>
        <v/>
      </c>
      <c r="U309">
        <f>F308</f>
        <v/>
      </c>
      <c r="V309">
        <f>H308</f>
        <v/>
      </c>
      <c r="W309">
        <f>N308</f>
        <v/>
      </c>
    </row>
    <row r="310" ht="15.75" customHeight="1" s="40">
      <c r="C310" s="36">
        <f>_xlfn.IFS(E310&lt;E$24,0,E310&lt;E$26,C$24,E310&lt;E$28,C$26,E310&lt;E$30,C$28,E310&lt;E$32,C$30,E310&lt;E$34,C$32,E310&gt;=E$34,C$34)</f>
        <v/>
      </c>
      <c r="D310" s="37">
        <f>_xlfn.IFS(E310&lt;E$24,0,E310&lt;E$25,D$24,E310&lt;E$26,D$25,E310&lt;E$27,D$26,E310&lt;E$28,D$27,E310&lt;E$29,D$28,E310&lt;E$30,D$29,E310&lt;E$31,D$30,E310&lt;E$32,D$31,E310&lt;E$33,D$32,E310&lt;E$34,D$33,E310&lt;E$35,D$34,E310&gt;=E$35,D$35)</f>
        <v/>
      </c>
      <c r="E310" s="38" t="n">
        <v>260</v>
      </c>
      <c r="F310" s="31">
        <f>E310/52</f>
        <v/>
      </c>
      <c r="G310" s="39">
        <f>D310/1000000*52</f>
        <v/>
      </c>
      <c r="H310" s="33">
        <f>G310/$P$4+($C$22/$P$4)</f>
        <v/>
      </c>
      <c r="I310" s="36">
        <f>_xlfn.IFS(K310&lt;K$24,0,K310&lt;K$26,I$24,K310&lt;K$28,I$26,K310&lt;K$30,I$28,K310&lt;K$32,I$30,K310&lt;K$34,I$32,K310&lt;K$36,I$34,K310&lt;K$38,I$36,K310&lt;K$40,I$38,K310&lt;K$42,I$40,K310&lt;K$44,I$42,K310&lt;K$46,I$44,K310&gt;=K$46,I$46)</f>
        <v/>
      </c>
      <c r="J310" s="37">
        <f>_xlfn.IFS(K310&lt;K$24,0,K310&lt;K$25,J$24,K310&lt;K$26,J$25,K310&lt;K$27,J$26,K310&lt;K$28,J$27,K310&lt;K$29,J$28,K310&lt;K$30,J$29,K310&lt;K$31,J$30,K310&lt;K$32,J$31,K310&lt;K$33,J$32,K310&lt;K$34,J$33,K310&lt;K$35,J$34,K310&lt;K$36,J$35,K310&lt;K$37,J$36,K310&lt;K$38,J$37,K310&lt;K$39,J$38,K310&lt;K$40,J$39,K310&lt;K$41,J$40,K310&lt;K$42,J$41,K310&lt;K$43,J$42,K310&lt;K$44,J$43,K310&lt;K$45,J$44,K310&lt;K$46,J$45,K310&lt;K$47,J$46,K310&gt;=K$47,J$47)</f>
        <v/>
      </c>
      <c r="K310" s="38" t="n">
        <v>260</v>
      </c>
      <c r="L310" s="31">
        <f>K310/52</f>
        <v/>
      </c>
      <c r="M310" s="39">
        <f>J310/1000000*52</f>
        <v/>
      </c>
      <c r="N310" s="33">
        <f>M310/$P$4+($I$22/$P$4)</f>
        <v/>
      </c>
      <c r="U310">
        <f>F309</f>
        <v/>
      </c>
      <c r="V310">
        <f>H309</f>
        <v/>
      </c>
      <c r="W310">
        <f>N309</f>
        <v/>
      </c>
    </row>
    <row r="311" ht="15.75" customHeight="1" s="40">
      <c r="C311" s="36">
        <f>_xlfn.IFS(E311&lt;E$24,0,E311&lt;E$26,C$24,E311&lt;E$28,C$26,E311&lt;E$30,C$28,E311&lt;E$32,C$30,E311&lt;E$34,C$32,E311&gt;=E$34,C$34)</f>
        <v/>
      </c>
      <c r="D311" s="37">
        <f>_xlfn.IFS(E311&lt;E$24,0,E311&lt;E$25,D$24,E311&lt;E$26,D$25,E311&lt;E$27,D$26,E311&lt;E$28,D$27,E311&lt;E$29,D$28,E311&lt;E$30,D$29,E311&lt;E$31,D$30,E311&lt;E$32,D$31,E311&lt;E$33,D$32,E311&lt;E$34,D$33,E311&lt;E$35,D$34,E311&gt;=E$35,D$35)</f>
        <v/>
      </c>
      <c r="E311" s="38" t="n">
        <v>261</v>
      </c>
      <c r="F311" s="31">
        <f>E311/52</f>
        <v/>
      </c>
      <c r="G311" s="39">
        <f>D311/1000000*52</f>
        <v/>
      </c>
      <c r="H311" s="33">
        <f>G311/$P$4+($C$22/$P$4)</f>
        <v/>
      </c>
      <c r="I311" s="36">
        <f>_xlfn.IFS(K311&lt;K$24,0,K311&lt;K$26,I$24,K311&lt;K$28,I$26,K311&lt;K$30,I$28,K311&lt;K$32,I$30,K311&lt;K$34,I$32,K311&lt;K$36,I$34,K311&lt;K$38,I$36,K311&lt;K$40,I$38,K311&lt;K$42,I$40,K311&lt;K$44,I$42,K311&lt;K$46,I$44,K311&gt;=K$46,I$46)</f>
        <v/>
      </c>
      <c r="J311" s="37">
        <f>_xlfn.IFS(K311&lt;K$24,0,K311&lt;K$25,J$24,K311&lt;K$26,J$25,K311&lt;K$27,J$26,K311&lt;K$28,J$27,K311&lt;K$29,J$28,K311&lt;K$30,J$29,K311&lt;K$31,J$30,K311&lt;K$32,J$31,K311&lt;K$33,J$32,K311&lt;K$34,J$33,K311&lt;K$35,J$34,K311&lt;K$36,J$35,K311&lt;K$37,J$36,K311&lt;K$38,J$37,K311&lt;K$39,J$38,K311&lt;K$40,J$39,K311&lt;K$41,J$40,K311&lt;K$42,J$41,K311&lt;K$43,J$42,K311&lt;K$44,J$43,K311&lt;K$45,J$44,K311&lt;K$46,J$45,K311&lt;K$47,J$46,K311&gt;=K$47,J$47)</f>
        <v/>
      </c>
      <c r="K311" s="38" t="n">
        <v>261</v>
      </c>
      <c r="L311" s="31">
        <f>K311/52</f>
        <v/>
      </c>
      <c r="M311" s="39">
        <f>J311/1000000*52</f>
        <v/>
      </c>
      <c r="N311" s="33">
        <f>M311/$P$4+($I$22/$P$4)</f>
        <v/>
      </c>
      <c r="U311">
        <f>F310</f>
        <v/>
      </c>
      <c r="V311">
        <f>H310</f>
        <v/>
      </c>
      <c r="W311">
        <f>N310</f>
        <v/>
      </c>
    </row>
    <row r="312" ht="15.75" customHeight="1" s="40">
      <c r="C312" s="36">
        <f>_xlfn.IFS(E312&lt;E$24,0,E312&lt;E$26,C$24,E312&lt;E$28,C$26,E312&lt;E$30,C$28,E312&lt;E$32,C$30,E312&lt;E$34,C$32,E312&gt;=E$34,C$34)</f>
        <v/>
      </c>
      <c r="D312" s="37">
        <f>_xlfn.IFS(E312&lt;E$24,0,E312&lt;E$25,D$24,E312&lt;E$26,D$25,E312&lt;E$27,D$26,E312&lt;E$28,D$27,E312&lt;E$29,D$28,E312&lt;E$30,D$29,E312&lt;E$31,D$30,E312&lt;E$32,D$31,E312&lt;E$33,D$32,E312&lt;E$34,D$33,E312&lt;E$35,D$34,E312&gt;=E$35,D$35)</f>
        <v/>
      </c>
      <c r="E312" s="38" t="n">
        <v>262</v>
      </c>
      <c r="F312" s="31">
        <f>E312/52</f>
        <v/>
      </c>
      <c r="G312" s="39">
        <f>D312/1000000*52</f>
        <v/>
      </c>
      <c r="H312" s="33">
        <f>G312/$P$4+($C$22/$P$4)</f>
        <v/>
      </c>
      <c r="I312" s="36">
        <f>_xlfn.IFS(K312&lt;K$24,0,K312&lt;K$26,I$24,K312&lt;K$28,I$26,K312&lt;K$30,I$28,K312&lt;K$32,I$30,K312&lt;K$34,I$32,K312&lt;K$36,I$34,K312&lt;K$38,I$36,K312&lt;K$40,I$38,K312&lt;K$42,I$40,K312&lt;K$44,I$42,K312&lt;K$46,I$44,K312&gt;=K$46,I$46)</f>
        <v/>
      </c>
      <c r="J312" s="37">
        <f>_xlfn.IFS(K312&lt;K$24,0,K312&lt;K$25,J$24,K312&lt;K$26,J$25,K312&lt;K$27,J$26,K312&lt;K$28,J$27,K312&lt;K$29,J$28,K312&lt;K$30,J$29,K312&lt;K$31,J$30,K312&lt;K$32,J$31,K312&lt;K$33,J$32,K312&lt;K$34,J$33,K312&lt;K$35,J$34,K312&lt;K$36,J$35,K312&lt;K$37,J$36,K312&lt;K$38,J$37,K312&lt;K$39,J$38,K312&lt;K$40,J$39,K312&lt;K$41,J$40,K312&lt;K$42,J$41,K312&lt;K$43,J$42,K312&lt;K$44,J$43,K312&lt;K$45,J$44,K312&lt;K$46,J$45,K312&lt;K$47,J$46,K312&gt;=K$47,J$47)</f>
        <v/>
      </c>
      <c r="K312" s="38" t="n">
        <v>262</v>
      </c>
      <c r="L312" s="31">
        <f>K312/52</f>
        <v/>
      </c>
      <c r="M312" s="39">
        <f>J312/1000000*52</f>
        <v/>
      </c>
      <c r="N312" s="33">
        <f>M312/$P$4+($I$22/$P$4)</f>
        <v/>
      </c>
      <c r="U312">
        <f>F311</f>
        <v/>
      </c>
      <c r="V312">
        <f>H311</f>
        <v/>
      </c>
      <c r="W312">
        <f>N311</f>
        <v/>
      </c>
    </row>
    <row r="313" ht="15.75" customHeight="1" s="40">
      <c r="C313" s="36">
        <f>_xlfn.IFS(E313&lt;E$24,0,E313&lt;E$26,C$24,E313&lt;E$28,C$26,E313&lt;E$30,C$28,E313&lt;E$32,C$30,E313&lt;E$34,C$32,E313&gt;=E$34,C$34)</f>
        <v/>
      </c>
      <c r="D313" s="37">
        <f>_xlfn.IFS(E313&lt;E$24,0,E313&lt;E$25,D$24,E313&lt;E$26,D$25,E313&lt;E$27,D$26,E313&lt;E$28,D$27,E313&lt;E$29,D$28,E313&lt;E$30,D$29,E313&lt;E$31,D$30,E313&lt;E$32,D$31,E313&lt;E$33,D$32,E313&lt;E$34,D$33,E313&lt;E$35,D$34,E313&gt;=E$35,D$35)</f>
        <v/>
      </c>
      <c r="E313" s="38" t="n">
        <v>263</v>
      </c>
      <c r="F313" s="31">
        <f>E313/52</f>
        <v/>
      </c>
      <c r="G313" s="39">
        <f>D313/1000000*52</f>
        <v/>
      </c>
      <c r="H313" s="33">
        <f>G313/$P$4+($C$22/$P$4)</f>
        <v/>
      </c>
      <c r="I313" s="36">
        <f>_xlfn.IFS(K313&lt;K$24,0,K313&lt;K$26,I$24,K313&lt;K$28,I$26,K313&lt;K$30,I$28,K313&lt;K$32,I$30,K313&lt;K$34,I$32,K313&lt;K$36,I$34,K313&lt;K$38,I$36,K313&lt;K$40,I$38,K313&lt;K$42,I$40,K313&lt;K$44,I$42,K313&lt;K$46,I$44,K313&gt;=K$46,I$46)</f>
        <v/>
      </c>
      <c r="J313" s="37">
        <f>_xlfn.IFS(K313&lt;K$24,0,K313&lt;K$25,J$24,K313&lt;K$26,J$25,K313&lt;K$27,J$26,K313&lt;K$28,J$27,K313&lt;K$29,J$28,K313&lt;K$30,J$29,K313&lt;K$31,J$30,K313&lt;K$32,J$31,K313&lt;K$33,J$32,K313&lt;K$34,J$33,K313&lt;K$35,J$34,K313&lt;K$36,J$35,K313&lt;K$37,J$36,K313&lt;K$38,J$37,K313&lt;K$39,J$38,K313&lt;K$40,J$39,K313&lt;K$41,J$40,K313&lt;K$42,J$41,K313&lt;K$43,J$42,K313&lt;K$44,J$43,K313&lt;K$45,J$44,K313&lt;K$46,J$45,K313&lt;K$47,J$46,K313&gt;=K$47,J$47)</f>
        <v/>
      </c>
      <c r="K313" s="38" t="n">
        <v>263</v>
      </c>
      <c r="L313" s="31">
        <f>K313/52</f>
        <v/>
      </c>
      <c r="M313" s="39">
        <f>J313/1000000*52</f>
        <v/>
      </c>
      <c r="N313" s="33">
        <f>M313/$P$4+($I$22/$P$4)</f>
        <v/>
      </c>
      <c r="U313">
        <f>F312</f>
        <v/>
      </c>
      <c r="V313">
        <f>H312</f>
        <v/>
      </c>
      <c r="W313">
        <f>N312</f>
        <v/>
      </c>
    </row>
    <row r="314" ht="15.75" customHeight="1" s="40">
      <c r="C314" s="36">
        <f>_xlfn.IFS(E314&lt;E$24,0,E314&lt;E$26,C$24,E314&lt;E$28,C$26,E314&lt;E$30,C$28,E314&lt;E$32,C$30,E314&lt;E$34,C$32,E314&gt;=E$34,C$34)</f>
        <v/>
      </c>
      <c r="D314" s="37">
        <f>_xlfn.IFS(E314&lt;E$24,0,E314&lt;E$25,D$24,E314&lt;E$26,D$25,E314&lt;E$27,D$26,E314&lt;E$28,D$27,E314&lt;E$29,D$28,E314&lt;E$30,D$29,E314&lt;E$31,D$30,E314&lt;E$32,D$31,E314&lt;E$33,D$32,E314&lt;E$34,D$33,E314&lt;E$35,D$34,E314&gt;=E$35,D$35)</f>
        <v/>
      </c>
      <c r="E314" s="38" t="n">
        <v>264</v>
      </c>
      <c r="F314" s="31">
        <f>E314/52</f>
        <v/>
      </c>
      <c r="G314" s="39">
        <f>D314/1000000*52</f>
        <v/>
      </c>
      <c r="H314" s="33">
        <f>G314/$P$4+($C$22/$P$4)</f>
        <v/>
      </c>
      <c r="I314" s="36">
        <f>_xlfn.IFS(K314&lt;K$24,0,K314&lt;K$26,I$24,K314&lt;K$28,I$26,K314&lt;K$30,I$28,K314&lt;K$32,I$30,K314&lt;K$34,I$32,K314&lt;K$36,I$34,K314&lt;K$38,I$36,K314&lt;K$40,I$38,K314&lt;K$42,I$40,K314&lt;K$44,I$42,K314&lt;K$46,I$44,K314&gt;=K$46,I$46)</f>
        <v/>
      </c>
      <c r="J314" s="37">
        <f>_xlfn.IFS(K314&lt;K$24,0,K314&lt;K$25,J$24,K314&lt;K$26,J$25,K314&lt;K$27,J$26,K314&lt;K$28,J$27,K314&lt;K$29,J$28,K314&lt;K$30,J$29,K314&lt;K$31,J$30,K314&lt;K$32,J$31,K314&lt;K$33,J$32,K314&lt;K$34,J$33,K314&lt;K$35,J$34,K314&lt;K$36,J$35,K314&lt;K$37,J$36,K314&lt;K$38,J$37,K314&lt;K$39,J$38,K314&lt;K$40,J$39,K314&lt;K$41,J$40,K314&lt;K$42,J$41,K314&lt;K$43,J$42,K314&lt;K$44,J$43,K314&lt;K$45,J$44,K314&lt;K$46,J$45,K314&lt;K$47,J$46,K314&gt;=K$47,J$47)</f>
        <v/>
      </c>
      <c r="K314" s="38" t="n">
        <v>264</v>
      </c>
      <c r="L314" s="31">
        <f>K314/52</f>
        <v/>
      </c>
      <c r="M314" s="39">
        <f>J314/1000000*52</f>
        <v/>
      </c>
      <c r="N314" s="33">
        <f>M314/$P$4+($I$22/$P$4)</f>
        <v/>
      </c>
      <c r="U314">
        <f>F313</f>
        <v/>
      </c>
      <c r="V314">
        <f>H313</f>
        <v/>
      </c>
      <c r="W314">
        <f>N313</f>
        <v/>
      </c>
    </row>
    <row r="315" ht="15.75" customHeight="1" s="40">
      <c r="C315" s="36">
        <f>_xlfn.IFS(E315&lt;E$24,0,E315&lt;E$26,C$24,E315&lt;E$28,C$26,E315&lt;E$30,C$28,E315&lt;E$32,C$30,E315&lt;E$34,C$32,E315&gt;=E$34,C$34)</f>
        <v/>
      </c>
      <c r="D315" s="37">
        <f>_xlfn.IFS(E315&lt;E$24,0,E315&lt;E$25,D$24,E315&lt;E$26,D$25,E315&lt;E$27,D$26,E315&lt;E$28,D$27,E315&lt;E$29,D$28,E315&lt;E$30,D$29,E315&lt;E$31,D$30,E315&lt;E$32,D$31,E315&lt;E$33,D$32,E315&lt;E$34,D$33,E315&lt;E$35,D$34,E315&gt;=E$35,D$35)</f>
        <v/>
      </c>
      <c r="E315" s="38" t="n">
        <v>265</v>
      </c>
      <c r="F315" s="31">
        <f>E315/52</f>
        <v/>
      </c>
      <c r="G315" s="39">
        <f>D315/1000000*52</f>
        <v/>
      </c>
      <c r="H315" s="33">
        <f>G315/$P$4+($C$22/$P$4)</f>
        <v/>
      </c>
      <c r="I315" s="36">
        <f>_xlfn.IFS(K315&lt;K$24,0,K315&lt;K$26,I$24,K315&lt;K$28,I$26,K315&lt;K$30,I$28,K315&lt;K$32,I$30,K315&lt;K$34,I$32,K315&lt;K$36,I$34,K315&lt;K$38,I$36,K315&lt;K$40,I$38,K315&lt;K$42,I$40,K315&lt;K$44,I$42,K315&lt;K$46,I$44,K315&gt;=K$46,I$46)</f>
        <v/>
      </c>
      <c r="J315" s="37">
        <f>_xlfn.IFS(K315&lt;K$24,0,K315&lt;K$25,J$24,K315&lt;K$26,J$25,K315&lt;K$27,J$26,K315&lt;K$28,J$27,K315&lt;K$29,J$28,K315&lt;K$30,J$29,K315&lt;K$31,J$30,K315&lt;K$32,J$31,K315&lt;K$33,J$32,K315&lt;K$34,J$33,K315&lt;K$35,J$34,K315&lt;K$36,J$35,K315&lt;K$37,J$36,K315&lt;K$38,J$37,K315&lt;K$39,J$38,K315&lt;K$40,J$39,K315&lt;K$41,J$40,K315&lt;K$42,J$41,K315&lt;K$43,J$42,K315&lt;K$44,J$43,K315&lt;K$45,J$44,K315&lt;K$46,J$45,K315&lt;K$47,J$46,K315&gt;=K$47,J$47)</f>
        <v/>
      </c>
      <c r="K315" s="38" t="n">
        <v>265</v>
      </c>
      <c r="L315" s="31">
        <f>K315/52</f>
        <v/>
      </c>
      <c r="M315" s="39">
        <f>J315/1000000*52</f>
        <v/>
      </c>
      <c r="N315" s="33">
        <f>M315/$P$4+($I$22/$P$4)</f>
        <v/>
      </c>
      <c r="U315">
        <f>F314</f>
        <v/>
      </c>
      <c r="V315">
        <f>H314</f>
        <v/>
      </c>
      <c r="W315">
        <f>N314</f>
        <v/>
      </c>
    </row>
    <row r="316" ht="15.75" customHeight="1" s="40">
      <c r="C316" s="36">
        <f>_xlfn.IFS(E316&lt;E$24,0,E316&lt;E$26,C$24,E316&lt;E$28,C$26,E316&lt;E$30,C$28,E316&lt;E$32,C$30,E316&lt;E$34,C$32,E316&gt;=E$34,C$34)</f>
        <v/>
      </c>
      <c r="D316" s="37">
        <f>_xlfn.IFS(E316&lt;E$24,0,E316&lt;E$25,D$24,E316&lt;E$26,D$25,E316&lt;E$27,D$26,E316&lt;E$28,D$27,E316&lt;E$29,D$28,E316&lt;E$30,D$29,E316&lt;E$31,D$30,E316&lt;E$32,D$31,E316&lt;E$33,D$32,E316&lt;E$34,D$33,E316&lt;E$35,D$34,E316&gt;=E$35,D$35)</f>
        <v/>
      </c>
      <c r="E316" s="38" t="n">
        <v>266</v>
      </c>
      <c r="F316" s="31">
        <f>E316/52</f>
        <v/>
      </c>
      <c r="G316" s="39">
        <f>D316/1000000*52</f>
        <v/>
      </c>
      <c r="H316" s="33">
        <f>G316/$P$4+($C$22/$P$4)</f>
        <v/>
      </c>
      <c r="I316" s="36">
        <f>_xlfn.IFS(K316&lt;K$24,0,K316&lt;K$26,I$24,K316&lt;K$28,I$26,K316&lt;K$30,I$28,K316&lt;K$32,I$30,K316&lt;K$34,I$32,K316&lt;K$36,I$34,K316&lt;K$38,I$36,K316&lt;K$40,I$38,K316&lt;K$42,I$40,K316&lt;K$44,I$42,K316&lt;K$46,I$44,K316&gt;=K$46,I$46)</f>
        <v/>
      </c>
      <c r="J316" s="37">
        <f>_xlfn.IFS(K316&lt;K$24,0,K316&lt;K$25,J$24,K316&lt;K$26,J$25,K316&lt;K$27,J$26,K316&lt;K$28,J$27,K316&lt;K$29,J$28,K316&lt;K$30,J$29,K316&lt;K$31,J$30,K316&lt;K$32,J$31,K316&lt;K$33,J$32,K316&lt;K$34,J$33,K316&lt;K$35,J$34,K316&lt;K$36,J$35,K316&lt;K$37,J$36,K316&lt;K$38,J$37,K316&lt;K$39,J$38,K316&lt;K$40,J$39,K316&lt;K$41,J$40,K316&lt;K$42,J$41,K316&lt;K$43,J$42,K316&lt;K$44,J$43,K316&lt;K$45,J$44,K316&lt;K$46,J$45,K316&lt;K$47,J$46,K316&gt;=K$47,J$47)</f>
        <v/>
      </c>
      <c r="K316" s="38" t="n">
        <v>266</v>
      </c>
      <c r="L316" s="31">
        <f>K316/52</f>
        <v/>
      </c>
      <c r="M316" s="39">
        <f>J316/1000000*52</f>
        <v/>
      </c>
      <c r="N316" s="33">
        <f>M316/$P$4+($I$22/$P$4)</f>
        <v/>
      </c>
      <c r="U316">
        <f>F315</f>
        <v/>
      </c>
      <c r="V316">
        <f>H315</f>
        <v/>
      </c>
      <c r="W316">
        <f>N315</f>
        <v/>
      </c>
    </row>
    <row r="317" ht="15.75" customHeight="1" s="40">
      <c r="C317" s="36">
        <f>_xlfn.IFS(E317&lt;E$24,0,E317&lt;E$26,C$24,E317&lt;E$28,C$26,E317&lt;E$30,C$28,E317&lt;E$32,C$30,E317&lt;E$34,C$32,E317&gt;=E$34,C$34)</f>
        <v/>
      </c>
      <c r="D317" s="37">
        <f>_xlfn.IFS(E317&lt;E$24,0,E317&lt;E$25,D$24,E317&lt;E$26,D$25,E317&lt;E$27,D$26,E317&lt;E$28,D$27,E317&lt;E$29,D$28,E317&lt;E$30,D$29,E317&lt;E$31,D$30,E317&lt;E$32,D$31,E317&lt;E$33,D$32,E317&lt;E$34,D$33,E317&lt;E$35,D$34,E317&gt;=E$35,D$35)</f>
        <v/>
      </c>
      <c r="E317" s="38" t="n">
        <v>267</v>
      </c>
      <c r="F317" s="31">
        <f>E317/52</f>
        <v/>
      </c>
      <c r="G317" s="39">
        <f>D317/1000000*52</f>
        <v/>
      </c>
      <c r="H317" s="33">
        <f>G317/$P$4+($C$22/$P$4)</f>
        <v/>
      </c>
      <c r="I317" s="36">
        <f>_xlfn.IFS(K317&lt;K$24,0,K317&lt;K$26,I$24,K317&lt;K$28,I$26,K317&lt;K$30,I$28,K317&lt;K$32,I$30,K317&lt;K$34,I$32,K317&lt;K$36,I$34,K317&lt;K$38,I$36,K317&lt;K$40,I$38,K317&lt;K$42,I$40,K317&lt;K$44,I$42,K317&lt;K$46,I$44,K317&gt;=K$46,I$46)</f>
        <v/>
      </c>
      <c r="J317" s="37">
        <f>_xlfn.IFS(K317&lt;K$24,0,K317&lt;K$25,J$24,K317&lt;K$26,J$25,K317&lt;K$27,J$26,K317&lt;K$28,J$27,K317&lt;K$29,J$28,K317&lt;K$30,J$29,K317&lt;K$31,J$30,K317&lt;K$32,J$31,K317&lt;K$33,J$32,K317&lt;K$34,J$33,K317&lt;K$35,J$34,K317&lt;K$36,J$35,K317&lt;K$37,J$36,K317&lt;K$38,J$37,K317&lt;K$39,J$38,K317&lt;K$40,J$39,K317&lt;K$41,J$40,K317&lt;K$42,J$41,K317&lt;K$43,J$42,K317&lt;K$44,J$43,K317&lt;K$45,J$44,K317&lt;K$46,J$45,K317&lt;K$47,J$46,K317&gt;=K$47,J$47)</f>
        <v/>
      </c>
      <c r="K317" s="38" t="n">
        <v>267</v>
      </c>
      <c r="L317" s="31">
        <f>K317/52</f>
        <v/>
      </c>
      <c r="M317" s="39">
        <f>J317/1000000*52</f>
        <v/>
      </c>
      <c r="N317" s="33">
        <f>M317/$P$4+($I$22/$P$4)</f>
        <v/>
      </c>
      <c r="U317">
        <f>F316</f>
        <v/>
      </c>
      <c r="V317">
        <f>H316</f>
        <v/>
      </c>
      <c r="W317">
        <f>N316</f>
        <v/>
      </c>
    </row>
    <row r="318" ht="15.75" customHeight="1" s="40">
      <c r="C318" s="36">
        <f>_xlfn.IFS(E318&lt;E$24,0,E318&lt;E$26,C$24,E318&lt;E$28,C$26,E318&lt;E$30,C$28,E318&lt;E$32,C$30,E318&lt;E$34,C$32,E318&gt;=E$34,C$34)</f>
        <v/>
      </c>
      <c r="D318" s="37">
        <f>_xlfn.IFS(E318&lt;E$24,0,E318&lt;E$25,D$24,E318&lt;E$26,D$25,E318&lt;E$27,D$26,E318&lt;E$28,D$27,E318&lt;E$29,D$28,E318&lt;E$30,D$29,E318&lt;E$31,D$30,E318&lt;E$32,D$31,E318&lt;E$33,D$32,E318&lt;E$34,D$33,E318&lt;E$35,D$34,E318&gt;=E$35,D$35)</f>
        <v/>
      </c>
      <c r="E318" s="38" t="n">
        <v>268</v>
      </c>
      <c r="F318" s="31">
        <f>E318/52</f>
        <v/>
      </c>
      <c r="G318" s="39">
        <f>D318/1000000*52</f>
        <v/>
      </c>
      <c r="H318" s="33">
        <f>G318/$P$4+($C$22/$P$4)</f>
        <v/>
      </c>
      <c r="I318" s="36">
        <f>_xlfn.IFS(K318&lt;K$24,0,K318&lt;K$26,I$24,K318&lt;K$28,I$26,K318&lt;K$30,I$28,K318&lt;K$32,I$30,K318&lt;K$34,I$32,K318&lt;K$36,I$34,K318&lt;K$38,I$36,K318&lt;K$40,I$38,K318&lt;K$42,I$40,K318&lt;K$44,I$42,K318&lt;K$46,I$44,K318&gt;=K$46,I$46)</f>
        <v/>
      </c>
      <c r="J318" s="37">
        <f>_xlfn.IFS(K318&lt;K$24,0,K318&lt;K$25,J$24,K318&lt;K$26,J$25,K318&lt;K$27,J$26,K318&lt;K$28,J$27,K318&lt;K$29,J$28,K318&lt;K$30,J$29,K318&lt;K$31,J$30,K318&lt;K$32,J$31,K318&lt;K$33,J$32,K318&lt;K$34,J$33,K318&lt;K$35,J$34,K318&lt;K$36,J$35,K318&lt;K$37,J$36,K318&lt;K$38,J$37,K318&lt;K$39,J$38,K318&lt;K$40,J$39,K318&lt;K$41,J$40,K318&lt;K$42,J$41,K318&lt;K$43,J$42,K318&lt;K$44,J$43,K318&lt;K$45,J$44,K318&lt;K$46,J$45,K318&lt;K$47,J$46,K318&gt;=K$47,J$47)</f>
        <v/>
      </c>
      <c r="K318" s="38" t="n">
        <v>268</v>
      </c>
      <c r="L318" s="31">
        <f>K318/52</f>
        <v/>
      </c>
      <c r="M318" s="39">
        <f>J318/1000000*52</f>
        <v/>
      </c>
      <c r="N318" s="33">
        <f>M318/$P$4+($I$22/$P$4)</f>
        <v/>
      </c>
      <c r="U318">
        <f>F317</f>
        <v/>
      </c>
      <c r="V318">
        <f>H317</f>
        <v/>
      </c>
      <c r="W318">
        <f>N317</f>
        <v/>
      </c>
    </row>
    <row r="319" ht="15.75" customHeight="1" s="40">
      <c r="C319" s="36">
        <f>_xlfn.IFS(E319&lt;E$24,0,E319&lt;E$26,C$24,E319&lt;E$28,C$26,E319&lt;E$30,C$28,E319&lt;E$32,C$30,E319&lt;E$34,C$32,E319&gt;=E$34,C$34)</f>
        <v/>
      </c>
      <c r="D319" s="37">
        <f>_xlfn.IFS(E319&lt;E$24,0,E319&lt;E$25,D$24,E319&lt;E$26,D$25,E319&lt;E$27,D$26,E319&lt;E$28,D$27,E319&lt;E$29,D$28,E319&lt;E$30,D$29,E319&lt;E$31,D$30,E319&lt;E$32,D$31,E319&lt;E$33,D$32,E319&lt;E$34,D$33,E319&lt;E$35,D$34,E319&gt;=E$35,D$35)</f>
        <v/>
      </c>
      <c r="E319" s="38" t="n">
        <v>269</v>
      </c>
      <c r="F319" s="31">
        <f>E319/52</f>
        <v/>
      </c>
      <c r="G319" s="39">
        <f>D319/1000000*52</f>
        <v/>
      </c>
      <c r="H319" s="33">
        <f>G319/$P$4+($C$22/$P$4)</f>
        <v/>
      </c>
      <c r="I319" s="36">
        <f>_xlfn.IFS(K319&lt;K$24,0,K319&lt;K$26,I$24,K319&lt;K$28,I$26,K319&lt;K$30,I$28,K319&lt;K$32,I$30,K319&lt;K$34,I$32,K319&lt;K$36,I$34,K319&lt;K$38,I$36,K319&lt;K$40,I$38,K319&lt;K$42,I$40,K319&lt;K$44,I$42,K319&lt;K$46,I$44,K319&gt;=K$46,I$46)</f>
        <v/>
      </c>
      <c r="J319" s="37">
        <f>_xlfn.IFS(K319&lt;K$24,0,K319&lt;K$25,J$24,K319&lt;K$26,J$25,K319&lt;K$27,J$26,K319&lt;K$28,J$27,K319&lt;K$29,J$28,K319&lt;K$30,J$29,K319&lt;K$31,J$30,K319&lt;K$32,J$31,K319&lt;K$33,J$32,K319&lt;K$34,J$33,K319&lt;K$35,J$34,K319&lt;K$36,J$35,K319&lt;K$37,J$36,K319&lt;K$38,J$37,K319&lt;K$39,J$38,K319&lt;K$40,J$39,K319&lt;K$41,J$40,K319&lt;K$42,J$41,K319&lt;K$43,J$42,K319&lt;K$44,J$43,K319&lt;K$45,J$44,K319&lt;K$46,J$45,K319&lt;K$47,J$46,K319&gt;=K$47,J$47)</f>
        <v/>
      </c>
      <c r="K319" s="38" t="n">
        <v>269</v>
      </c>
      <c r="L319" s="31">
        <f>K319/52</f>
        <v/>
      </c>
      <c r="M319" s="39">
        <f>J319/1000000*52</f>
        <v/>
      </c>
      <c r="N319" s="33">
        <f>M319/$P$4+($I$22/$P$4)</f>
        <v/>
      </c>
      <c r="U319">
        <f>F318</f>
        <v/>
      </c>
      <c r="V319">
        <f>H318</f>
        <v/>
      </c>
      <c r="W319">
        <f>N318</f>
        <v/>
      </c>
    </row>
    <row r="320" ht="15.75" customHeight="1" s="40">
      <c r="C320" s="36">
        <f>_xlfn.IFS(E320&lt;E$24,0,E320&lt;E$26,C$24,E320&lt;E$28,C$26,E320&lt;E$30,C$28,E320&lt;E$32,C$30,E320&lt;E$34,C$32,E320&gt;=E$34,C$34)</f>
        <v/>
      </c>
      <c r="D320" s="37">
        <f>_xlfn.IFS(E320&lt;E$24,0,E320&lt;E$25,D$24,E320&lt;E$26,D$25,E320&lt;E$27,D$26,E320&lt;E$28,D$27,E320&lt;E$29,D$28,E320&lt;E$30,D$29,E320&lt;E$31,D$30,E320&lt;E$32,D$31,E320&lt;E$33,D$32,E320&lt;E$34,D$33,E320&lt;E$35,D$34,E320&gt;=E$35,D$35)</f>
        <v/>
      </c>
      <c r="E320" s="38" t="n">
        <v>270</v>
      </c>
      <c r="F320" s="31">
        <f>E320/52</f>
        <v/>
      </c>
      <c r="G320" s="39">
        <f>D320/1000000*52</f>
        <v/>
      </c>
      <c r="H320" s="33">
        <f>G320/$P$4+($C$22/$P$4)</f>
        <v/>
      </c>
      <c r="I320" s="36">
        <f>_xlfn.IFS(K320&lt;K$24,0,K320&lt;K$26,I$24,K320&lt;K$28,I$26,K320&lt;K$30,I$28,K320&lt;K$32,I$30,K320&lt;K$34,I$32,K320&lt;K$36,I$34,K320&lt;K$38,I$36,K320&lt;K$40,I$38,K320&lt;K$42,I$40,K320&lt;K$44,I$42,K320&lt;K$46,I$44,K320&gt;=K$46,I$46)</f>
        <v/>
      </c>
      <c r="J320" s="37">
        <f>_xlfn.IFS(K320&lt;K$24,0,K320&lt;K$25,J$24,K320&lt;K$26,J$25,K320&lt;K$27,J$26,K320&lt;K$28,J$27,K320&lt;K$29,J$28,K320&lt;K$30,J$29,K320&lt;K$31,J$30,K320&lt;K$32,J$31,K320&lt;K$33,J$32,K320&lt;K$34,J$33,K320&lt;K$35,J$34,K320&lt;K$36,J$35,K320&lt;K$37,J$36,K320&lt;K$38,J$37,K320&lt;K$39,J$38,K320&lt;K$40,J$39,K320&lt;K$41,J$40,K320&lt;K$42,J$41,K320&lt;K$43,J$42,K320&lt;K$44,J$43,K320&lt;K$45,J$44,K320&lt;K$46,J$45,K320&lt;K$47,J$46,K320&gt;=K$47,J$47)</f>
        <v/>
      </c>
      <c r="K320" s="38" t="n">
        <v>270</v>
      </c>
      <c r="L320" s="31">
        <f>K320/52</f>
        <v/>
      </c>
      <c r="M320" s="39">
        <f>J320/1000000*52</f>
        <v/>
      </c>
      <c r="N320" s="33">
        <f>M320/$P$4+($I$22/$P$4)</f>
        <v/>
      </c>
      <c r="U320">
        <f>F319</f>
        <v/>
      </c>
      <c r="V320">
        <f>H319</f>
        <v/>
      </c>
      <c r="W320">
        <f>N319</f>
        <v/>
      </c>
    </row>
    <row r="321" ht="15.75" customHeight="1" s="40">
      <c r="C321" s="36">
        <f>_xlfn.IFS(E321&lt;E$24,0,E321&lt;E$26,C$24,E321&lt;E$28,C$26,E321&lt;E$30,C$28,E321&lt;E$32,C$30,E321&lt;E$34,C$32,E321&gt;=E$34,C$34)</f>
        <v/>
      </c>
      <c r="D321" s="37">
        <f>_xlfn.IFS(E321&lt;E$24,0,E321&lt;E$25,D$24,E321&lt;E$26,D$25,E321&lt;E$27,D$26,E321&lt;E$28,D$27,E321&lt;E$29,D$28,E321&lt;E$30,D$29,E321&lt;E$31,D$30,E321&lt;E$32,D$31,E321&lt;E$33,D$32,E321&lt;E$34,D$33,E321&lt;E$35,D$34,E321&gt;=E$35,D$35)</f>
        <v/>
      </c>
      <c r="E321" s="38" t="n">
        <v>271</v>
      </c>
      <c r="F321" s="31">
        <f>E321/52</f>
        <v/>
      </c>
      <c r="G321" s="39">
        <f>D321/1000000*52</f>
        <v/>
      </c>
      <c r="H321" s="33">
        <f>G321/$P$4+($C$22/$P$4)</f>
        <v/>
      </c>
      <c r="I321" s="36">
        <f>_xlfn.IFS(K321&lt;K$24,0,K321&lt;K$26,I$24,K321&lt;K$28,I$26,K321&lt;K$30,I$28,K321&lt;K$32,I$30,K321&lt;K$34,I$32,K321&lt;K$36,I$34,K321&lt;K$38,I$36,K321&lt;K$40,I$38,K321&lt;K$42,I$40,K321&lt;K$44,I$42,K321&lt;K$46,I$44,K321&gt;=K$46,I$46)</f>
        <v/>
      </c>
      <c r="J321" s="37">
        <f>_xlfn.IFS(K321&lt;K$24,0,K321&lt;K$25,J$24,K321&lt;K$26,J$25,K321&lt;K$27,J$26,K321&lt;K$28,J$27,K321&lt;K$29,J$28,K321&lt;K$30,J$29,K321&lt;K$31,J$30,K321&lt;K$32,J$31,K321&lt;K$33,J$32,K321&lt;K$34,J$33,K321&lt;K$35,J$34,K321&lt;K$36,J$35,K321&lt;K$37,J$36,K321&lt;K$38,J$37,K321&lt;K$39,J$38,K321&lt;K$40,J$39,K321&lt;K$41,J$40,K321&lt;K$42,J$41,K321&lt;K$43,J$42,K321&lt;K$44,J$43,K321&lt;K$45,J$44,K321&lt;K$46,J$45,K321&lt;K$47,J$46,K321&gt;=K$47,J$47)</f>
        <v/>
      </c>
      <c r="K321" s="38" t="n">
        <v>271</v>
      </c>
      <c r="L321" s="31">
        <f>K321/52</f>
        <v/>
      </c>
      <c r="M321" s="39">
        <f>J321/1000000*52</f>
        <v/>
      </c>
      <c r="N321" s="33">
        <f>M321/$P$4+($I$22/$P$4)</f>
        <v/>
      </c>
      <c r="U321">
        <f>F320</f>
        <v/>
      </c>
      <c r="V321">
        <f>H320</f>
        <v/>
      </c>
      <c r="W321">
        <f>N320</f>
        <v/>
      </c>
    </row>
    <row r="322" ht="15.75" customHeight="1" s="40">
      <c r="C322" s="36">
        <f>_xlfn.IFS(E322&lt;E$24,0,E322&lt;E$26,C$24,E322&lt;E$28,C$26,E322&lt;E$30,C$28,E322&lt;E$32,C$30,E322&lt;E$34,C$32,E322&gt;=E$34,C$34)</f>
        <v/>
      </c>
      <c r="D322" s="37">
        <f>_xlfn.IFS(E322&lt;E$24,0,E322&lt;E$25,D$24,E322&lt;E$26,D$25,E322&lt;E$27,D$26,E322&lt;E$28,D$27,E322&lt;E$29,D$28,E322&lt;E$30,D$29,E322&lt;E$31,D$30,E322&lt;E$32,D$31,E322&lt;E$33,D$32,E322&lt;E$34,D$33,E322&lt;E$35,D$34,E322&gt;=E$35,D$35)</f>
        <v/>
      </c>
      <c r="E322" s="38" t="n">
        <v>272</v>
      </c>
      <c r="F322" s="31">
        <f>E322/52</f>
        <v/>
      </c>
      <c r="G322" s="39">
        <f>D322/1000000*52</f>
        <v/>
      </c>
      <c r="H322" s="33">
        <f>G322/$P$4+($C$22/$P$4)</f>
        <v/>
      </c>
      <c r="I322" s="36">
        <f>_xlfn.IFS(K322&lt;K$24,0,K322&lt;K$26,I$24,K322&lt;K$28,I$26,K322&lt;K$30,I$28,K322&lt;K$32,I$30,K322&lt;K$34,I$32,K322&lt;K$36,I$34,K322&lt;K$38,I$36,K322&lt;K$40,I$38,K322&lt;K$42,I$40,K322&lt;K$44,I$42,K322&lt;K$46,I$44,K322&gt;=K$46,I$46)</f>
        <v/>
      </c>
      <c r="J322" s="37">
        <f>_xlfn.IFS(K322&lt;K$24,0,K322&lt;K$25,J$24,K322&lt;K$26,J$25,K322&lt;K$27,J$26,K322&lt;K$28,J$27,K322&lt;K$29,J$28,K322&lt;K$30,J$29,K322&lt;K$31,J$30,K322&lt;K$32,J$31,K322&lt;K$33,J$32,K322&lt;K$34,J$33,K322&lt;K$35,J$34,K322&lt;K$36,J$35,K322&lt;K$37,J$36,K322&lt;K$38,J$37,K322&lt;K$39,J$38,K322&lt;K$40,J$39,K322&lt;K$41,J$40,K322&lt;K$42,J$41,K322&lt;K$43,J$42,K322&lt;K$44,J$43,K322&lt;K$45,J$44,K322&lt;K$46,J$45,K322&lt;K$47,J$46,K322&gt;=K$47,J$47)</f>
        <v/>
      </c>
      <c r="K322" s="38" t="n">
        <v>272</v>
      </c>
      <c r="L322" s="31">
        <f>K322/52</f>
        <v/>
      </c>
      <c r="M322" s="39">
        <f>J322/1000000*52</f>
        <v/>
      </c>
      <c r="N322" s="33">
        <f>M322/$P$4+($I$22/$P$4)</f>
        <v/>
      </c>
      <c r="U322">
        <f>F321</f>
        <v/>
      </c>
      <c r="V322">
        <f>H321</f>
        <v/>
      </c>
      <c r="W322">
        <f>N321</f>
        <v/>
      </c>
    </row>
    <row r="323" ht="15.75" customHeight="1" s="40">
      <c r="C323" s="36">
        <f>_xlfn.IFS(E323&lt;E$24,0,E323&lt;E$26,C$24,E323&lt;E$28,C$26,E323&lt;E$30,C$28,E323&lt;E$32,C$30,E323&lt;E$34,C$32,E323&gt;=E$34,C$34)</f>
        <v/>
      </c>
      <c r="D323" s="37">
        <f>_xlfn.IFS(E323&lt;E$24,0,E323&lt;E$25,D$24,E323&lt;E$26,D$25,E323&lt;E$27,D$26,E323&lt;E$28,D$27,E323&lt;E$29,D$28,E323&lt;E$30,D$29,E323&lt;E$31,D$30,E323&lt;E$32,D$31,E323&lt;E$33,D$32,E323&lt;E$34,D$33,E323&lt;E$35,D$34,E323&gt;=E$35,D$35)</f>
        <v/>
      </c>
      <c r="E323" s="38" t="n">
        <v>273</v>
      </c>
      <c r="F323" s="31">
        <f>E323/52</f>
        <v/>
      </c>
      <c r="G323" s="39">
        <f>D323/1000000*52</f>
        <v/>
      </c>
      <c r="H323" s="33">
        <f>G323/$P$4+($C$22/$P$4)</f>
        <v/>
      </c>
      <c r="I323" s="36">
        <f>_xlfn.IFS(K323&lt;K$24,0,K323&lt;K$26,I$24,K323&lt;K$28,I$26,K323&lt;K$30,I$28,K323&lt;K$32,I$30,K323&lt;K$34,I$32,K323&lt;K$36,I$34,K323&lt;K$38,I$36,K323&lt;K$40,I$38,K323&lt;K$42,I$40,K323&lt;K$44,I$42,K323&lt;K$46,I$44,K323&gt;=K$46,I$46)</f>
        <v/>
      </c>
      <c r="J323" s="37">
        <f>_xlfn.IFS(K323&lt;K$24,0,K323&lt;K$25,J$24,K323&lt;K$26,J$25,K323&lt;K$27,J$26,K323&lt;K$28,J$27,K323&lt;K$29,J$28,K323&lt;K$30,J$29,K323&lt;K$31,J$30,K323&lt;K$32,J$31,K323&lt;K$33,J$32,K323&lt;K$34,J$33,K323&lt;K$35,J$34,K323&lt;K$36,J$35,K323&lt;K$37,J$36,K323&lt;K$38,J$37,K323&lt;K$39,J$38,K323&lt;K$40,J$39,K323&lt;K$41,J$40,K323&lt;K$42,J$41,K323&lt;K$43,J$42,K323&lt;K$44,J$43,K323&lt;K$45,J$44,K323&lt;K$46,J$45,K323&lt;K$47,J$46,K323&gt;=K$47,J$47)</f>
        <v/>
      </c>
      <c r="K323" s="38" t="n">
        <v>273</v>
      </c>
      <c r="L323" s="31">
        <f>K323/52</f>
        <v/>
      </c>
      <c r="M323" s="39">
        <f>J323/1000000*52</f>
        <v/>
      </c>
      <c r="N323" s="33">
        <f>M323/$P$4+($I$22/$P$4)</f>
        <v/>
      </c>
      <c r="U323">
        <f>F322</f>
        <v/>
      </c>
      <c r="V323">
        <f>H322</f>
        <v/>
      </c>
      <c r="W323">
        <f>N322</f>
        <v/>
      </c>
    </row>
    <row r="324" ht="15.75" customHeight="1" s="40">
      <c r="C324" s="36">
        <f>_xlfn.IFS(E324&lt;E$24,0,E324&lt;E$26,C$24,E324&lt;E$28,C$26,E324&lt;E$30,C$28,E324&lt;E$32,C$30,E324&lt;E$34,C$32,E324&gt;=E$34,C$34)</f>
        <v/>
      </c>
      <c r="D324" s="37">
        <f>_xlfn.IFS(E324&lt;E$24,0,E324&lt;E$25,D$24,E324&lt;E$26,D$25,E324&lt;E$27,D$26,E324&lt;E$28,D$27,E324&lt;E$29,D$28,E324&lt;E$30,D$29,E324&lt;E$31,D$30,E324&lt;E$32,D$31,E324&lt;E$33,D$32,E324&lt;E$34,D$33,E324&lt;E$35,D$34,E324&gt;=E$35,D$35)</f>
        <v/>
      </c>
      <c r="E324" s="38" t="n">
        <v>274</v>
      </c>
      <c r="F324" s="31">
        <f>E324/52</f>
        <v/>
      </c>
      <c r="G324" s="39">
        <f>D324/1000000*52</f>
        <v/>
      </c>
      <c r="H324" s="33">
        <f>G324/$P$4+($C$22/$P$4)</f>
        <v/>
      </c>
      <c r="I324" s="36">
        <f>_xlfn.IFS(K324&lt;K$24,0,K324&lt;K$26,I$24,K324&lt;K$28,I$26,K324&lt;K$30,I$28,K324&lt;K$32,I$30,K324&lt;K$34,I$32,K324&lt;K$36,I$34,K324&lt;K$38,I$36,K324&lt;K$40,I$38,K324&lt;K$42,I$40,K324&lt;K$44,I$42,K324&lt;K$46,I$44,K324&gt;=K$46,I$46)</f>
        <v/>
      </c>
      <c r="J324" s="37">
        <f>_xlfn.IFS(K324&lt;K$24,0,K324&lt;K$25,J$24,K324&lt;K$26,J$25,K324&lt;K$27,J$26,K324&lt;K$28,J$27,K324&lt;K$29,J$28,K324&lt;K$30,J$29,K324&lt;K$31,J$30,K324&lt;K$32,J$31,K324&lt;K$33,J$32,K324&lt;K$34,J$33,K324&lt;K$35,J$34,K324&lt;K$36,J$35,K324&lt;K$37,J$36,K324&lt;K$38,J$37,K324&lt;K$39,J$38,K324&lt;K$40,J$39,K324&lt;K$41,J$40,K324&lt;K$42,J$41,K324&lt;K$43,J$42,K324&lt;K$44,J$43,K324&lt;K$45,J$44,K324&lt;K$46,J$45,K324&lt;K$47,J$46,K324&gt;=K$47,J$47)</f>
        <v/>
      </c>
      <c r="K324" s="38" t="n">
        <v>274</v>
      </c>
      <c r="L324" s="31">
        <f>K324/52</f>
        <v/>
      </c>
      <c r="M324" s="39">
        <f>J324/1000000*52</f>
        <v/>
      </c>
      <c r="N324" s="33">
        <f>M324/$P$4+($I$22/$P$4)</f>
        <v/>
      </c>
      <c r="U324">
        <f>F323</f>
        <v/>
      </c>
      <c r="V324">
        <f>H323</f>
        <v/>
      </c>
      <c r="W324">
        <f>N323</f>
        <v/>
      </c>
    </row>
    <row r="325" ht="15.75" customHeight="1" s="40">
      <c r="C325" s="36">
        <f>_xlfn.IFS(E325&lt;E$24,0,E325&lt;E$26,C$24,E325&lt;E$28,C$26,E325&lt;E$30,C$28,E325&lt;E$32,C$30,E325&lt;E$34,C$32,E325&gt;=E$34,C$34)</f>
        <v/>
      </c>
      <c r="D325" s="37">
        <f>_xlfn.IFS(E325&lt;E$24,0,E325&lt;E$25,D$24,E325&lt;E$26,D$25,E325&lt;E$27,D$26,E325&lt;E$28,D$27,E325&lt;E$29,D$28,E325&lt;E$30,D$29,E325&lt;E$31,D$30,E325&lt;E$32,D$31,E325&lt;E$33,D$32,E325&lt;E$34,D$33,E325&lt;E$35,D$34,E325&gt;=E$35,D$35)</f>
        <v/>
      </c>
      <c r="E325" s="38" t="n">
        <v>275</v>
      </c>
      <c r="F325" s="31">
        <f>E325/52</f>
        <v/>
      </c>
      <c r="G325" s="39">
        <f>D325/1000000*52</f>
        <v/>
      </c>
      <c r="H325" s="33">
        <f>G325/$P$4+($C$22/$P$4)</f>
        <v/>
      </c>
      <c r="I325" s="36">
        <f>_xlfn.IFS(K325&lt;K$24,0,K325&lt;K$26,I$24,K325&lt;K$28,I$26,K325&lt;K$30,I$28,K325&lt;K$32,I$30,K325&lt;K$34,I$32,K325&lt;K$36,I$34,K325&lt;K$38,I$36,K325&lt;K$40,I$38,K325&lt;K$42,I$40,K325&lt;K$44,I$42,K325&lt;K$46,I$44,K325&gt;=K$46,I$46)</f>
        <v/>
      </c>
      <c r="J325" s="37">
        <f>_xlfn.IFS(K325&lt;K$24,0,K325&lt;K$25,J$24,K325&lt;K$26,J$25,K325&lt;K$27,J$26,K325&lt;K$28,J$27,K325&lt;K$29,J$28,K325&lt;K$30,J$29,K325&lt;K$31,J$30,K325&lt;K$32,J$31,K325&lt;K$33,J$32,K325&lt;K$34,J$33,K325&lt;K$35,J$34,K325&lt;K$36,J$35,K325&lt;K$37,J$36,K325&lt;K$38,J$37,K325&lt;K$39,J$38,K325&lt;K$40,J$39,K325&lt;K$41,J$40,K325&lt;K$42,J$41,K325&lt;K$43,J$42,K325&lt;K$44,J$43,K325&lt;K$45,J$44,K325&lt;K$46,J$45,K325&lt;K$47,J$46,K325&gt;=K$47,J$47)</f>
        <v/>
      </c>
      <c r="K325" s="38" t="n">
        <v>275</v>
      </c>
      <c r="L325" s="31">
        <f>K325/52</f>
        <v/>
      </c>
      <c r="M325" s="39">
        <f>J325/1000000*52</f>
        <v/>
      </c>
      <c r="N325" s="33">
        <f>M325/$P$4+($I$22/$P$4)</f>
        <v/>
      </c>
      <c r="U325">
        <f>F324</f>
        <v/>
      </c>
      <c r="V325">
        <f>H324</f>
        <v/>
      </c>
      <c r="W325">
        <f>N324</f>
        <v/>
      </c>
    </row>
    <row r="326" ht="15.75" customHeight="1" s="40">
      <c r="C326" s="36">
        <f>_xlfn.IFS(E326&lt;E$24,0,E326&lt;E$26,C$24,E326&lt;E$28,C$26,E326&lt;E$30,C$28,E326&lt;E$32,C$30,E326&lt;E$34,C$32,E326&gt;=E$34,C$34)</f>
        <v/>
      </c>
      <c r="D326" s="37">
        <f>_xlfn.IFS(E326&lt;E$24,0,E326&lt;E$25,D$24,E326&lt;E$26,D$25,E326&lt;E$27,D$26,E326&lt;E$28,D$27,E326&lt;E$29,D$28,E326&lt;E$30,D$29,E326&lt;E$31,D$30,E326&lt;E$32,D$31,E326&lt;E$33,D$32,E326&lt;E$34,D$33,E326&lt;E$35,D$34,E326&gt;=E$35,D$35)</f>
        <v/>
      </c>
      <c r="E326" s="38" t="n">
        <v>276</v>
      </c>
      <c r="F326" s="31">
        <f>E326/52</f>
        <v/>
      </c>
      <c r="G326" s="39">
        <f>D326/1000000*52</f>
        <v/>
      </c>
      <c r="H326" s="33">
        <f>G326/$P$4+($C$22/$P$4)</f>
        <v/>
      </c>
      <c r="I326" s="36">
        <f>_xlfn.IFS(K326&lt;K$24,0,K326&lt;K$26,I$24,K326&lt;K$28,I$26,K326&lt;K$30,I$28,K326&lt;K$32,I$30,K326&lt;K$34,I$32,K326&lt;K$36,I$34,K326&lt;K$38,I$36,K326&lt;K$40,I$38,K326&lt;K$42,I$40,K326&lt;K$44,I$42,K326&lt;K$46,I$44,K326&gt;=K$46,I$46)</f>
        <v/>
      </c>
      <c r="J326" s="37">
        <f>_xlfn.IFS(K326&lt;K$24,0,K326&lt;K$25,J$24,K326&lt;K$26,J$25,K326&lt;K$27,J$26,K326&lt;K$28,J$27,K326&lt;K$29,J$28,K326&lt;K$30,J$29,K326&lt;K$31,J$30,K326&lt;K$32,J$31,K326&lt;K$33,J$32,K326&lt;K$34,J$33,K326&lt;K$35,J$34,K326&lt;K$36,J$35,K326&lt;K$37,J$36,K326&lt;K$38,J$37,K326&lt;K$39,J$38,K326&lt;K$40,J$39,K326&lt;K$41,J$40,K326&lt;K$42,J$41,K326&lt;K$43,J$42,K326&lt;K$44,J$43,K326&lt;K$45,J$44,K326&lt;K$46,J$45,K326&lt;K$47,J$46,K326&gt;=K$47,J$47)</f>
        <v/>
      </c>
      <c r="K326" s="38" t="n">
        <v>276</v>
      </c>
      <c r="L326" s="31">
        <f>K326/52</f>
        <v/>
      </c>
      <c r="M326" s="39">
        <f>J326/1000000*52</f>
        <v/>
      </c>
      <c r="N326" s="33">
        <f>M326/$P$4+($I$22/$P$4)</f>
        <v/>
      </c>
      <c r="U326">
        <f>F325</f>
        <v/>
      </c>
      <c r="V326">
        <f>H325</f>
        <v/>
      </c>
      <c r="W326">
        <f>N325</f>
        <v/>
      </c>
    </row>
    <row r="327" ht="15.75" customHeight="1" s="40">
      <c r="C327" s="36">
        <f>_xlfn.IFS(E327&lt;E$24,0,E327&lt;E$26,C$24,E327&lt;E$28,C$26,E327&lt;E$30,C$28,E327&lt;E$32,C$30,E327&lt;E$34,C$32,E327&gt;=E$34,C$34)</f>
        <v/>
      </c>
      <c r="D327" s="37">
        <f>_xlfn.IFS(E327&lt;E$24,0,E327&lt;E$25,D$24,E327&lt;E$26,D$25,E327&lt;E$27,D$26,E327&lt;E$28,D$27,E327&lt;E$29,D$28,E327&lt;E$30,D$29,E327&lt;E$31,D$30,E327&lt;E$32,D$31,E327&lt;E$33,D$32,E327&lt;E$34,D$33,E327&lt;E$35,D$34,E327&gt;=E$35,D$35)</f>
        <v/>
      </c>
      <c r="E327" s="38" t="n">
        <v>277</v>
      </c>
      <c r="F327" s="31">
        <f>E327/52</f>
        <v/>
      </c>
      <c r="G327" s="39">
        <f>D327/1000000*52</f>
        <v/>
      </c>
      <c r="H327" s="33">
        <f>G327/$P$4+($C$22/$P$4)</f>
        <v/>
      </c>
      <c r="I327" s="36">
        <f>_xlfn.IFS(K327&lt;K$24,0,K327&lt;K$26,I$24,K327&lt;K$28,I$26,K327&lt;K$30,I$28,K327&lt;K$32,I$30,K327&lt;K$34,I$32,K327&lt;K$36,I$34,K327&lt;K$38,I$36,K327&lt;K$40,I$38,K327&lt;K$42,I$40,K327&lt;K$44,I$42,K327&lt;K$46,I$44,K327&gt;=K$46,I$46)</f>
        <v/>
      </c>
      <c r="J327" s="37">
        <f>_xlfn.IFS(K327&lt;K$24,0,K327&lt;K$25,J$24,K327&lt;K$26,J$25,K327&lt;K$27,J$26,K327&lt;K$28,J$27,K327&lt;K$29,J$28,K327&lt;K$30,J$29,K327&lt;K$31,J$30,K327&lt;K$32,J$31,K327&lt;K$33,J$32,K327&lt;K$34,J$33,K327&lt;K$35,J$34,K327&lt;K$36,J$35,K327&lt;K$37,J$36,K327&lt;K$38,J$37,K327&lt;K$39,J$38,K327&lt;K$40,J$39,K327&lt;K$41,J$40,K327&lt;K$42,J$41,K327&lt;K$43,J$42,K327&lt;K$44,J$43,K327&lt;K$45,J$44,K327&lt;K$46,J$45,K327&lt;K$47,J$46,K327&gt;=K$47,J$47)</f>
        <v/>
      </c>
      <c r="K327" s="38" t="n">
        <v>277</v>
      </c>
      <c r="L327" s="31">
        <f>K327/52</f>
        <v/>
      </c>
      <c r="M327" s="39">
        <f>J327/1000000*52</f>
        <v/>
      </c>
      <c r="N327" s="33">
        <f>M327/$P$4+($I$22/$P$4)</f>
        <v/>
      </c>
      <c r="U327">
        <f>F326</f>
        <v/>
      </c>
      <c r="V327">
        <f>H326</f>
        <v/>
      </c>
      <c r="W327">
        <f>N326</f>
        <v/>
      </c>
    </row>
    <row r="328" ht="15.75" customHeight="1" s="40">
      <c r="C328" s="36">
        <f>_xlfn.IFS(E328&lt;E$24,0,E328&lt;E$26,C$24,E328&lt;E$28,C$26,E328&lt;E$30,C$28,E328&lt;E$32,C$30,E328&lt;E$34,C$32,E328&gt;=E$34,C$34)</f>
        <v/>
      </c>
      <c r="D328" s="37">
        <f>_xlfn.IFS(E328&lt;E$24,0,E328&lt;E$25,D$24,E328&lt;E$26,D$25,E328&lt;E$27,D$26,E328&lt;E$28,D$27,E328&lt;E$29,D$28,E328&lt;E$30,D$29,E328&lt;E$31,D$30,E328&lt;E$32,D$31,E328&lt;E$33,D$32,E328&lt;E$34,D$33,E328&lt;E$35,D$34,E328&gt;=E$35,D$35)</f>
        <v/>
      </c>
      <c r="E328" s="38" t="n">
        <v>278</v>
      </c>
      <c r="F328" s="31">
        <f>E328/52</f>
        <v/>
      </c>
      <c r="G328" s="39">
        <f>D328/1000000*52</f>
        <v/>
      </c>
      <c r="H328" s="33">
        <f>G328/$P$4+($C$22/$P$4)</f>
        <v/>
      </c>
      <c r="I328" s="36">
        <f>_xlfn.IFS(K328&lt;K$24,0,K328&lt;K$26,I$24,K328&lt;K$28,I$26,K328&lt;K$30,I$28,K328&lt;K$32,I$30,K328&lt;K$34,I$32,K328&lt;K$36,I$34,K328&lt;K$38,I$36,K328&lt;K$40,I$38,K328&lt;K$42,I$40,K328&lt;K$44,I$42,K328&lt;K$46,I$44,K328&gt;=K$46,I$46)</f>
        <v/>
      </c>
      <c r="J328" s="37">
        <f>_xlfn.IFS(K328&lt;K$24,0,K328&lt;K$25,J$24,K328&lt;K$26,J$25,K328&lt;K$27,J$26,K328&lt;K$28,J$27,K328&lt;K$29,J$28,K328&lt;K$30,J$29,K328&lt;K$31,J$30,K328&lt;K$32,J$31,K328&lt;K$33,J$32,K328&lt;K$34,J$33,K328&lt;K$35,J$34,K328&lt;K$36,J$35,K328&lt;K$37,J$36,K328&lt;K$38,J$37,K328&lt;K$39,J$38,K328&lt;K$40,J$39,K328&lt;K$41,J$40,K328&lt;K$42,J$41,K328&lt;K$43,J$42,K328&lt;K$44,J$43,K328&lt;K$45,J$44,K328&lt;K$46,J$45,K328&lt;K$47,J$46,K328&gt;=K$47,J$47)</f>
        <v/>
      </c>
      <c r="K328" s="38" t="n">
        <v>278</v>
      </c>
      <c r="L328" s="31">
        <f>K328/52</f>
        <v/>
      </c>
      <c r="M328" s="39">
        <f>J328/1000000*52</f>
        <v/>
      </c>
      <c r="N328" s="33">
        <f>M328/$P$4+($I$22/$P$4)</f>
        <v/>
      </c>
      <c r="U328">
        <f>F327</f>
        <v/>
      </c>
      <c r="V328">
        <f>H327</f>
        <v/>
      </c>
      <c r="W328">
        <f>N327</f>
        <v/>
      </c>
    </row>
    <row r="329" ht="15.75" customHeight="1" s="40">
      <c r="C329" s="36">
        <f>_xlfn.IFS(E329&lt;E$24,0,E329&lt;E$26,C$24,E329&lt;E$28,C$26,E329&lt;E$30,C$28,E329&lt;E$32,C$30,E329&lt;E$34,C$32,E329&gt;=E$34,C$34)</f>
        <v/>
      </c>
      <c r="D329" s="37">
        <f>_xlfn.IFS(E329&lt;E$24,0,E329&lt;E$25,D$24,E329&lt;E$26,D$25,E329&lt;E$27,D$26,E329&lt;E$28,D$27,E329&lt;E$29,D$28,E329&lt;E$30,D$29,E329&lt;E$31,D$30,E329&lt;E$32,D$31,E329&lt;E$33,D$32,E329&lt;E$34,D$33,E329&lt;E$35,D$34,E329&gt;=E$35,D$35)</f>
        <v/>
      </c>
      <c r="E329" s="38" t="n">
        <v>279</v>
      </c>
      <c r="F329" s="31">
        <f>E329/52</f>
        <v/>
      </c>
      <c r="G329" s="39">
        <f>D329/1000000*52</f>
        <v/>
      </c>
      <c r="H329" s="33">
        <f>G329/$P$4+($C$22/$P$4)</f>
        <v/>
      </c>
      <c r="I329" s="36">
        <f>_xlfn.IFS(K329&lt;K$24,0,K329&lt;K$26,I$24,K329&lt;K$28,I$26,K329&lt;K$30,I$28,K329&lt;K$32,I$30,K329&lt;K$34,I$32,K329&lt;K$36,I$34,K329&lt;K$38,I$36,K329&lt;K$40,I$38,K329&lt;K$42,I$40,K329&lt;K$44,I$42,K329&lt;K$46,I$44,K329&gt;=K$46,I$46)</f>
        <v/>
      </c>
      <c r="J329" s="37">
        <f>_xlfn.IFS(K329&lt;K$24,0,K329&lt;K$25,J$24,K329&lt;K$26,J$25,K329&lt;K$27,J$26,K329&lt;K$28,J$27,K329&lt;K$29,J$28,K329&lt;K$30,J$29,K329&lt;K$31,J$30,K329&lt;K$32,J$31,K329&lt;K$33,J$32,K329&lt;K$34,J$33,K329&lt;K$35,J$34,K329&lt;K$36,J$35,K329&lt;K$37,J$36,K329&lt;K$38,J$37,K329&lt;K$39,J$38,K329&lt;K$40,J$39,K329&lt;K$41,J$40,K329&lt;K$42,J$41,K329&lt;K$43,J$42,K329&lt;K$44,J$43,K329&lt;K$45,J$44,K329&lt;K$46,J$45,K329&lt;K$47,J$46,K329&gt;=K$47,J$47)</f>
        <v/>
      </c>
      <c r="K329" s="38" t="n">
        <v>279</v>
      </c>
      <c r="L329" s="31">
        <f>K329/52</f>
        <v/>
      </c>
      <c r="M329" s="39">
        <f>J329/1000000*52</f>
        <v/>
      </c>
      <c r="N329" s="33">
        <f>M329/$P$4+($I$22/$P$4)</f>
        <v/>
      </c>
      <c r="U329">
        <f>F328</f>
        <v/>
      </c>
      <c r="V329">
        <f>H328</f>
        <v/>
      </c>
      <c r="W329">
        <f>N328</f>
        <v/>
      </c>
    </row>
    <row r="330" ht="15.75" customHeight="1" s="40">
      <c r="C330" s="36">
        <f>_xlfn.IFS(E330&lt;E$24,0,E330&lt;E$26,C$24,E330&lt;E$28,C$26,E330&lt;E$30,C$28,E330&lt;E$32,C$30,E330&lt;E$34,C$32,E330&gt;=E$34,C$34)</f>
        <v/>
      </c>
      <c r="D330" s="37">
        <f>_xlfn.IFS(E330&lt;E$24,0,E330&lt;E$25,D$24,E330&lt;E$26,D$25,E330&lt;E$27,D$26,E330&lt;E$28,D$27,E330&lt;E$29,D$28,E330&lt;E$30,D$29,E330&lt;E$31,D$30,E330&lt;E$32,D$31,E330&lt;E$33,D$32,E330&lt;E$34,D$33,E330&lt;E$35,D$34,E330&gt;=E$35,D$35)</f>
        <v/>
      </c>
      <c r="E330" s="38" t="n">
        <v>280</v>
      </c>
      <c r="F330" s="31">
        <f>E330/52</f>
        <v/>
      </c>
      <c r="G330" s="39">
        <f>D330/1000000*52</f>
        <v/>
      </c>
      <c r="H330" s="33">
        <f>G330/$P$4+($C$22/$P$4)</f>
        <v/>
      </c>
      <c r="I330" s="36">
        <f>_xlfn.IFS(K330&lt;K$24,0,K330&lt;K$26,I$24,K330&lt;K$28,I$26,K330&lt;K$30,I$28,K330&lt;K$32,I$30,K330&lt;K$34,I$32,K330&lt;K$36,I$34,K330&lt;K$38,I$36,K330&lt;K$40,I$38,K330&lt;K$42,I$40,K330&lt;K$44,I$42,K330&lt;K$46,I$44,K330&gt;=K$46,I$46)</f>
        <v/>
      </c>
      <c r="J330" s="37">
        <f>_xlfn.IFS(K330&lt;K$24,0,K330&lt;K$25,J$24,K330&lt;K$26,J$25,K330&lt;K$27,J$26,K330&lt;K$28,J$27,K330&lt;K$29,J$28,K330&lt;K$30,J$29,K330&lt;K$31,J$30,K330&lt;K$32,J$31,K330&lt;K$33,J$32,K330&lt;K$34,J$33,K330&lt;K$35,J$34,K330&lt;K$36,J$35,K330&lt;K$37,J$36,K330&lt;K$38,J$37,K330&lt;K$39,J$38,K330&lt;K$40,J$39,K330&lt;K$41,J$40,K330&lt;K$42,J$41,K330&lt;K$43,J$42,K330&lt;K$44,J$43,K330&lt;K$45,J$44,K330&lt;K$46,J$45,K330&lt;K$47,J$46,K330&gt;=K$47,J$47)</f>
        <v/>
      </c>
      <c r="K330" s="38" t="n">
        <v>280</v>
      </c>
      <c r="L330" s="31">
        <f>K330/52</f>
        <v/>
      </c>
      <c r="M330" s="39">
        <f>J330/1000000*52</f>
        <v/>
      </c>
      <c r="N330" s="33">
        <f>M330/$P$4+($I$22/$P$4)</f>
        <v/>
      </c>
      <c r="U330">
        <f>F329</f>
        <v/>
      </c>
      <c r="V330">
        <f>H329</f>
        <v/>
      </c>
      <c r="W330">
        <f>N329</f>
        <v/>
      </c>
    </row>
    <row r="331" ht="15.75" customHeight="1" s="40">
      <c r="C331" s="36">
        <f>_xlfn.IFS(E331&lt;E$24,0,E331&lt;E$26,C$24,E331&lt;E$28,C$26,E331&lt;E$30,C$28,E331&lt;E$32,C$30,E331&lt;E$34,C$32,E331&gt;=E$34,C$34)</f>
        <v/>
      </c>
      <c r="D331" s="37">
        <f>_xlfn.IFS(E331&lt;E$24,0,E331&lt;E$25,D$24,E331&lt;E$26,D$25,E331&lt;E$27,D$26,E331&lt;E$28,D$27,E331&lt;E$29,D$28,E331&lt;E$30,D$29,E331&lt;E$31,D$30,E331&lt;E$32,D$31,E331&lt;E$33,D$32,E331&lt;E$34,D$33,E331&lt;E$35,D$34,E331&gt;=E$35,D$35)</f>
        <v/>
      </c>
      <c r="E331" s="38" t="n">
        <v>281</v>
      </c>
      <c r="F331" s="31">
        <f>E331/52</f>
        <v/>
      </c>
      <c r="G331" s="39">
        <f>D331/1000000*52</f>
        <v/>
      </c>
      <c r="H331" s="33">
        <f>G331/$P$4+($C$22/$P$4)</f>
        <v/>
      </c>
      <c r="I331" s="36">
        <f>_xlfn.IFS(K331&lt;K$24,0,K331&lt;K$26,I$24,K331&lt;K$28,I$26,K331&lt;K$30,I$28,K331&lt;K$32,I$30,K331&lt;K$34,I$32,K331&lt;K$36,I$34,K331&lt;K$38,I$36,K331&lt;K$40,I$38,K331&lt;K$42,I$40,K331&lt;K$44,I$42,K331&lt;K$46,I$44,K331&gt;=K$46,I$46)</f>
        <v/>
      </c>
      <c r="J331" s="37">
        <f>_xlfn.IFS(K331&lt;K$24,0,K331&lt;K$25,J$24,K331&lt;K$26,J$25,K331&lt;K$27,J$26,K331&lt;K$28,J$27,K331&lt;K$29,J$28,K331&lt;K$30,J$29,K331&lt;K$31,J$30,K331&lt;K$32,J$31,K331&lt;K$33,J$32,K331&lt;K$34,J$33,K331&lt;K$35,J$34,K331&lt;K$36,J$35,K331&lt;K$37,J$36,K331&lt;K$38,J$37,K331&lt;K$39,J$38,K331&lt;K$40,J$39,K331&lt;K$41,J$40,K331&lt;K$42,J$41,K331&lt;K$43,J$42,K331&lt;K$44,J$43,K331&lt;K$45,J$44,K331&lt;K$46,J$45,K331&lt;K$47,J$46,K331&gt;=K$47,J$47)</f>
        <v/>
      </c>
      <c r="K331" s="38" t="n">
        <v>281</v>
      </c>
      <c r="L331" s="31">
        <f>K331/52</f>
        <v/>
      </c>
      <c r="M331" s="39">
        <f>J331/1000000*52</f>
        <v/>
      </c>
      <c r="N331" s="33">
        <f>M331/$P$4+($I$22/$P$4)</f>
        <v/>
      </c>
      <c r="U331">
        <f>F330</f>
        <v/>
      </c>
      <c r="V331">
        <f>H330</f>
        <v/>
      </c>
      <c r="W331">
        <f>N330</f>
        <v/>
      </c>
    </row>
    <row r="332" ht="15.75" customHeight="1" s="40">
      <c r="C332" s="36">
        <f>_xlfn.IFS(E332&lt;E$24,0,E332&lt;E$26,C$24,E332&lt;E$28,C$26,E332&lt;E$30,C$28,E332&lt;E$32,C$30,E332&lt;E$34,C$32,E332&gt;=E$34,C$34)</f>
        <v/>
      </c>
      <c r="D332" s="37">
        <f>_xlfn.IFS(E332&lt;E$24,0,E332&lt;E$25,D$24,E332&lt;E$26,D$25,E332&lt;E$27,D$26,E332&lt;E$28,D$27,E332&lt;E$29,D$28,E332&lt;E$30,D$29,E332&lt;E$31,D$30,E332&lt;E$32,D$31,E332&lt;E$33,D$32,E332&lt;E$34,D$33,E332&lt;E$35,D$34,E332&gt;=E$35,D$35)</f>
        <v/>
      </c>
      <c r="E332" s="38" t="n">
        <v>282</v>
      </c>
      <c r="F332" s="31">
        <f>E332/52</f>
        <v/>
      </c>
      <c r="G332" s="39">
        <f>D332/1000000*52</f>
        <v/>
      </c>
      <c r="H332" s="33">
        <f>G332/$P$4+($C$22/$P$4)</f>
        <v/>
      </c>
      <c r="I332" s="36">
        <f>_xlfn.IFS(K332&lt;K$24,0,K332&lt;K$26,I$24,K332&lt;K$28,I$26,K332&lt;K$30,I$28,K332&lt;K$32,I$30,K332&lt;K$34,I$32,K332&lt;K$36,I$34,K332&lt;K$38,I$36,K332&lt;K$40,I$38,K332&lt;K$42,I$40,K332&lt;K$44,I$42,K332&lt;K$46,I$44,K332&gt;=K$46,I$46)</f>
        <v/>
      </c>
      <c r="J332" s="37">
        <f>_xlfn.IFS(K332&lt;K$24,0,K332&lt;K$25,J$24,K332&lt;K$26,J$25,K332&lt;K$27,J$26,K332&lt;K$28,J$27,K332&lt;K$29,J$28,K332&lt;K$30,J$29,K332&lt;K$31,J$30,K332&lt;K$32,J$31,K332&lt;K$33,J$32,K332&lt;K$34,J$33,K332&lt;K$35,J$34,K332&lt;K$36,J$35,K332&lt;K$37,J$36,K332&lt;K$38,J$37,K332&lt;K$39,J$38,K332&lt;K$40,J$39,K332&lt;K$41,J$40,K332&lt;K$42,J$41,K332&lt;K$43,J$42,K332&lt;K$44,J$43,K332&lt;K$45,J$44,K332&lt;K$46,J$45,K332&lt;K$47,J$46,K332&gt;=K$47,J$47)</f>
        <v/>
      </c>
      <c r="K332" s="38" t="n">
        <v>282</v>
      </c>
      <c r="L332" s="31">
        <f>K332/52</f>
        <v/>
      </c>
      <c r="M332" s="39">
        <f>J332/1000000*52</f>
        <v/>
      </c>
      <c r="N332" s="33">
        <f>M332/$P$4+($I$22/$P$4)</f>
        <v/>
      </c>
      <c r="U332">
        <f>F331</f>
        <v/>
      </c>
      <c r="V332">
        <f>H331</f>
        <v/>
      </c>
      <c r="W332">
        <f>N331</f>
        <v/>
      </c>
    </row>
    <row r="333" ht="15.75" customHeight="1" s="40">
      <c r="C333" s="36">
        <f>_xlfn.IFS(E333&lt;E$24,0,E333&lt;E$26,C$24,E333&lt;E$28,C$26,E333&lt;E$30,C$28,E333&lt;E$32,C$30,E333&lt;E$34,C$32,E333&gt;=E$34,C$34)</f>
        <v/>
      </c>
      <c r="D333" s="37">
        <f>_xlfn.IFS(E333&lt;E$24,0,E333&lt;E$25,D$24,E333&lt;E$26,D$25,E333&lt;E$27,D$26,E333&lt;E$28,D$27,E333&lt;E$29,D$28,E333&lt;E$30,D$29,E333&lt;E$31,D$30,E333&lt;E$32,D$31,E333&lt;E$33,D$32,E333&lt;E$34,D$33,E333&lt;E$35,D$34,E333&gt;=E$35,D$35)</f>
        <v/>
      </c>
      <c r="E333" s="38" t="n">
        <v>283</v>
      </c>
      <c r="F333" s="31">
        <f>E333/52</f>
        <v/>
      </c>
      <c r="G333" s="39">
        <f>D333/1000000*52</f>
        <v/>
      </c>
      <c r="H333" s="33">
        <f>G333/$P$4+($C$22/$P$4)</f>
        <v/>
      </c>
      <c r="I333" s="36">
        <f>_xlfn.IFS(K333&lt;K$24,0,K333&lt;K$26,I$24,K333&lt;K$28,I$26,K333&lt;K$30,I$28,K333&lt;K$32,I$30,K333&lt;K$34,I$32,K333&lt;K$36,I$34,K333&lt;K$38,I$36,K333&lt;K$40,I$38,K333&lt;K$42,I$40,K333&lt;K$44,I$42,K333&lt;K$46,I$44,K333&gt;=K$46,I$46)</f>
        <v/>
      </c>
      <c r="J333" s="37">
        <f>_xlfn.IFS(K333&lt;K$24,0,K333&lt;K$25,J$24,K333&lt;K$26,J$25,K333&lt;K$27,J$26,K333&lt;K$28,J$27,K333&lt;K$29,J$28,K333&lt;K$30,J$29,K333&lt;K$31,J$30,K333&lt;K$32,J$31,K333&lt;K$33,J$32,K333&lt;K$34,J$33,K333&lt;K$35,J$34,K333&lt;K$36,J$35,K333&lt;K$37,J$36,K333&lt;K$38,J$37,K333&lt;K$39,J$38,K333&lt;K$40,J$39,K333&lt;K$41,J$40,K333&lt;K$42,J$41,K333&lt;K$43,J$42,K333&lt;K$44,J$43,K333&lt;K$45,J$44,K333&lt;K$46,J$45,K333&lt;K$47,J$46,K333&gt;=K$47,J$47)</f>
        <v/>
      </c>
      <c r="K333" s="38" t="n">
        <v>283</v>
      </c>
      <c r="L333" s="31">
        <f>K333/52</f>
        <v/>
      </c>
      <c r="M333" s="39">
        <f>J333/1000000*52</f>
        <v/>
      </c>
      <c r="N333" s="33">
        <f>M333/$P$4+($I$22/$P$4)</f>
        <v/>
      </c>
      <c r="U333">
        <f>F332</f>
        <v/>
      </c>
      <c r="V333">
        <f>H332</f>
        <v/>
      </c>
      <c r="W333">
        <f>N332</f>
        <v/>
      </c>
    </row>
    <row r="334" ht="15.75" customHeight="1" s="40">
      <c r="C334" s="36">
        <f>_xlfn.IFS(E334&lt;E$24,0,E334&lt;E$26,C$24,E334&lt;E$28,C$26,E334&lt;E$30,C$28,E334&lt;E$32,C$30,E334&lt;E$34,C$32,E334&gt;=E$34,C$34)</f>
        <v/>
      </c>
      <c r="D334" s="37">
        <f>_xlfn.IFS(E334&lt;E$24,0,E334&lt;E$25,D$24,E334&lt;E$26,D$25,E334&lt;E$27,D$26,E334&lt;E$28,D$27,E334&lt;E$29,D$28,E334&lt;E$30,D$29,E334&lt;E$31,D$30,E334&lt;E$32,D$31,E334&lt;E$33,D$32,E334&lt;E$34,D$33,E334&lt;E$35,D$34,E334&gt;=E$35,D$35)</f>
        <v/>
      </c>
      <c r="E334" s="38" t="n">
        <v>284</v>
      </c>
      <c r="F334" s="31">
        <f>E334/52</f>
        <v/>
      </c>
      <c r="G334" s="39">
        <f>D334/1000000*52</f>
        <v/>
      </c>
      <c r="H334" s="33">
        <f>G334/$P$4+($C$22/$P$4)</f>
        <v/>
      </c>
      <c r="I334" s="36">
        <f>_xlfn.IFS(K334&lt;K$24,0,K334&lt;K$26,I$24,K334&lt;K$28,I$26,K334&lt;K$30,I$28,K334&lt;K$32,I$30,K334&lt;K$34,I$32,K334&lt;K$36,I$34,K334&lt;K$38,I$36,K334&lt;K$40,I$38,K334&lt;K$42,I$40,K334&lt;K$44,I$42,K334&lt;K$46,I$44,K334&gt;=K$46,I$46)</f>
        <v/>
      </c>
      <c r="J334" s="37">
        <f>_xlfn.IFS(K334&lt;K$24,0,K334&lt;K$25,J$24,K334&lt;K$26,J$25,K334&lt;K$27,J$26,K334&lt;K$28,J$27,K334&lt;K$29,J$28,K334&lt;K$30,J$29,K334&lt;K$31,J$30,K334&lt;K$32,J$31,K334&lt;K$33,J$32,K334&lt;K$34,J$33,K334&lt;K$35,J$34,K334&lt;K$36,J$35,K334&lt;K$37,J$36,K334&lt;K$38,J$37,K334&lt;K$39,J$38,K334&lt;K$40,J$39,K334&lt;K$41,J$40,K334&lt;K$42,J$41,K334&lt;K$43,J$42,K334&lt;K$44,J$43,K334&lt;K$45,J$44,K334&lt;K$46,J$45,K334&lt;K$47,J$46,K334&gt;=K$47,J$47)</f>
        <v/>
      </c>
      <c r="K334" s="38" t="n">
        <v>284</v>
      </c>
      <c r="L334" s="31">
        <f>K334/52</f>
        <v/>
      </c>
      <c r="M334" s="39">
        <f>J334/1000000*52</f>
        <v/>
      </c>
      <c r="N334" s="33">
        <f>M334/$P$4+($I$22/$P$4)</f>
        <v/>
      </c>
      <c r="U334">
        <f>F333</f>
        <v/>
      </c>
      <c r="V334">
        <f>H333</f>
        <v/>
      </c>
      <c r="W334">
        <f>N333</f>
        <v/>
      </c>
    </row>
    <row r="335" ht="15.75" customHeight="1" s="40">
      <c r="C335" s="36">
        <f>_xlfn.IFS(E335&lt;E$24,0,E335&lt;E$26,C$24,E335&lt;E$28,C$26,E335&lt;E$30,C$28,E335&lt;E$32,C$30,E335&lt;E$34,C$32,E335&gt;=E$34,C$34)</f>
        <v/>
      </c>
      <c r="D335" s="37">
        <f>_xlfn.IFS(E335&lt;E$24,0,E335&lt;E$25,D$24,E335&lt;E$26,D$25,E335&lt;E$27,D$26,E335&lt;E$28,D$27,E335&lt;E$29,D$28,E335&lt;E$30,D$29,E335&lt;E$31,D$30,E335&lt;E$32,D$31,E335&lt;E$33,D$32,E335&lt;E$34,D$33,E335&lt;E$35,D$34,E335&gt;=E$35,D$35)</f>
        <v/>
      </c>
      <c r="E335" s="38" t="n">
        <v>285</v>
      </c>
      <c r="F335" s="31">
        <f>E335/52</f>
        <v/>
      </c>
      <c r="G335" s="39">
        <f>D335/1000000*52</f>
        <v/>
      </c>
      <c r="H335" s="33">
        <f>G335/$P$4+($C$22/$P$4)</f>
        <v/>
      </c>
      <c r="I335" s="36">
        <f>_xlfn.IFS(K335&lt;K$24,0,K335&lt;K$26,I$24,K335&lt;K$28,I$26,K335&lt;K$30,I$28,K335&lt;K$32,I$30,K335&lt;K$34,I$32,K335&lt;K$36,I$34,K335&lt;K$38,I$36,K335&lt;K$40,I$38,K335&lt;K$42,I$40,K335&lt;K$44,I$42,K335&lt;K$46,I$44,K335&gt;=K$46,I$46)</f>
        <v/>
      </c>
      <c r="J335" s="37">
        <f>_xlfn.IFS(K335&lt;K$24,0,K335&lt;K$25,J$24,K335&lt;K$26,J$25,K335&lt;K$27,J$26,K335&lt;K$28,J$27,K335&lt;K$29,J$28,K335&lt;K$30,J$29,K335&lt;K$31,J$30,K335&lt;K$32,J$31,K335&lt;K$33,J$32,K335&lt;K$34,J$33,K335&lt;K$35,J$34,K335&lt;K$36,J$35,K335&lt;K$37,J$36,K335&lt;K$38,J$37,K335&lt;K$39,J$38,K335&lt;K$40,J$39,K335&lt;K$41,J$40,K335&lt;K$42,J$41,K335&lt;K$43,J$42,K335&lt;K$44,J$43,K335&lt;K$45,J$44,K335&lt;K$46,J$45,K335&lt;K$47,J$46,K335&gt;=K$47,J$47)</f>
        <v/>
      </c>
      <c r="K335" s="38" t="n">
        <v>285</v>
      </c>
      <c r="L335" s="31">
        <f>K335/52</f>
        <v/>
      </c>
      <c r="M335" s="39">
        <f>J335/1000000*52</f>
        <v/>
      </c>
      <c r="N335" s="33">
        <f>M335/$P$4+($I$22/$P$4)</f>
        <v/>
      </c>
      <c r="U335">
        <f>F334</f>
        <v/>
      </c>
      <c r="V335">
        <f>H334</f>
        <v/>
      </c>
      <c r="W335">
        <f>N334</f>
        <v/>
      </c>
    </row>
    <row r="336" ht="15.75" customHeight="1" s="40">
      <c r="C336" s="36">
        <f>_xlfn.IFS(E336&lt;E$24,0,E336&lt;E$26,C$24,E336&lt;E$28,C$26,E336&lt;E$30,C$28,E336&lt;E$32,C$30,E336&lt;E$34,C$32,E336&gt;=E$34,C$34)</f>
        <v/>
      </c>
      <c r="D336" s="37">
        <f>_xlfn.IFS(E336&lt;E$24,0,E336&lt;E$25,D$24,E336&lt;E$26,D$25,E336&lt;E$27,D$26,E336&lt;E$28,D$27,E336&lt;E$29,D$28,E336&lt;E$30,D$29,E336&lt;E$31,D$30,E336&lt;E$32,D$31,E336&lt;E$33,D$32,E336&lt;E$34,D$33,E336&lt;E$35,D$34,E336&gt;=E$35,D$35)</f>
        <v/>
      </c>
      <c r="E336" s="38" t="n">
        <v>286</v>
      </c>
      <c r="F336" s="31">
        <f>E336/52</f>
        <v/>
      </c>
      <c r="G336" s="39">
        <f>D336/1000000*52</f>
        <v/>
      </c>
      <c r="H336" s="33">
        <f>G336/$P$4+($C$22/$P$4)</f>
        <v/>
      </c>
      <c r="I336" s="36">
        <f>_xlfn.IFS(K336&lt;K$24,0,K336&lt;K$26,I$24,K336&lt;K$28,I$26,K336&lt;K$30,I$28,K336&lt;K$32,I$30,K336&lt;K$34,I$32,K336&lt;K$36,I$34,K336&lt;K$38,I$36,K336&lt;K$40,I$38,K336&lt;K$42,I$40,K336&lt;K$44,I$42,K336&lt;K$46,I$44,K336&gt;=K$46,I$46)</f>
        <v/>
      </c>
      <c r="J336" s="37">
        <f>_xlfn.IFS(K336&lt;K$24,0,K336&lt;K$25,J$24,K336&lt;K$26,J$25,K336&lt;K$27,J$26,K336&lt;K$28,J$27,K336&lt;K$29,J$28,K336&lt;K$30,J$29,K336&lt;K$31,J$30,K336&lt;K$32,J$31,K336&lt;K$33,J$32,K336&lt;K$34,J$33,K336&lt;K$35,J$34,K336&lt;K$36,J$35,K336&lt;K$37,J$36,K336&lt;K$38,J$37,K336&lt;K$39,J$38,K336&lt;K$40,J$39,K336&lt;K$41,J$40,K336&lt;K$42,J$41,K336&lt;K$43,J$42,K336&lt;K$44,J$43,K336&lt;K$45,J$44,K336&lt;K$46,J$45,K336&lt;K$47,J$46,K336&gt;=K$47,J$47)</f>
        <v/>
      </c>
      <c r="K336" s="38" t="n">
        <v>286</v>
      </c>
      <c r="L336" s="31">
        <f>K336/52</f>
        <v/>
      </c>
      <c r="M336" s="39">
        <f>J336/1000000*52</f>
        <v/>
      </c>
      <c r="N336" s="33">
        <f>M336/$P$4+($I$22/$P$4)</f>
        <v/>
      </c>
      <c r="U336">
        <f>F335</f>
        <v/>
      </c>
      <c r="V336">
        <f>H335</f>
        <v/>
      </c>
      <c r="W336">
        <f>N335</f>
        <v/>
      </c>
    </row>
    <row r="337" ht="15.75" customHeight="1" s="40">
      <c r="C337" s="36">
        <f>_xlfn.IFS(E337&lt;E$24,0,E337&lt;E$26,C$24,E337&lt;E$28,C$26,E337&lt;E$30,C$28,E337&lt;E$32,C$30,E337&lt;E$34,C$32,E337&gt;=E$34,C$34)</f>
        <v/>
      </c>
      <c r="D337" s="37">
        <f>_xlfn.IFS(E337&lt;E$24,0,E337&lt;E$25,D$24,E337&lt;E$26,D$25,E337&lt;E$27,D$26,E337&lt;E$28,D$27,E337&lt;E$29,D$28,E337&lt;E$30,D$29,E337&lt;E$31,D$30,E337&lt;E$32,D$31,E337&lt;E$33,D$32,E337&lt;E$34,D$33,E337&lt;E$35,D$34,E337&gt;=E$35,D$35)</f>
        <v/>
      </c>
      <c r="E337" s="38" t="n">
        <v>287</v>
      </c>
      <c r="F337" s="31">
        <f>E337/52</f>
        <v/>
      </c>
      <c r="G337" s="39">
        <f>D337/1000000*52</f>
        <v/>
      </c>
      <c r="H337" s="33">
        <f>G337/$P$4+($C$22/$P$4)</f>
        <v/>
      </c>
      <c r="I337" s="36">
        <f>_xlfn.IFS(K337&lt;K$24,0,K337&lt;K$26,I$24,K337&lt;K$28,I$26,K337&lt;K$30,I$28,K337&lt;K$32,I$30,K337&lt;K$34,I$32,K337&lt;K$36,I$34,K337&lt;K$38,I$36,K337&lt;K$40,I$38,K337&lt;K$42,I$40,K337&lt;K$44,I$42,K337&lt;K$46,I$44,K337&gt;=K$46,I$46)</f>
        <v/>
      </c>
      <c r="J337" s="37">
        <f>_xlfn.IFS(K337&lt;K$24,0,K337&lt;K$25,J$24,K337&lt;K$26,J$25,K337&lt;K$27,J$26,K337&lt;K$28,J$27,K337&lt;K$29,J$28,K337&lt;K$30,J$29,K337&lt;K$31,J$30,K337&lt;K$32,J$31,K337&lt;K$33,J$32,K337&lt;K$34,J$33,K337&lt;K$35,J$34,K337&lt;K$36,J$35,K337&lt;K$37,J$36,K337&lt;K$38,J$37,K337&lt;K$39,J$38,K337&lt;K$40,J$39,K337&lt;K$41,J$40,K337&lt;K$42,J$41,K337&lt;K$43,J$42,K337&lt;K$44,J$43,K337&lt;K$45,J$44,K337&lt;K$46,J$45,K337&lt;K$47,J$46,K337&gt;=K$47,J$47)</f>
        <v/>
      </c>
      <c r="K337" s="38" t="n">
        <v>287</v>
      </c>
      <c r="L337" s="31">
        <f>K337/52</f>
        <v/>
      </c>
      <c r="M337" s="39">
        <f>J337/1000000*52</f>
        <v/>
      </c>
      <c r="N337" s="33">
        <f>M337/$P$4+($I$22/$P$4)</f>
        <v/>
      </c>
      <c r="U337">
        <f>F336</f>
        <v/>
      </c>
      <c r="V337">
        <f>H336</f>
        <v/>
      </c>
      <c r="W337">
        <f>N336</f>
        <v/>
      </c>
    </row>
    <row r="338" ht="15.75" customHeight="1" s="40">
      <c r="C338" s="36">
        <f>_xlfn.IFS(E338&lt;E$24,0,E338&lt;E$26,C$24,E338&lt;E$28,C$26,E338&lt;E$30,C$28,E338&lt;E$32,C$30,E338&lt;E$34,C$32,E338&gt;=E$34,C$34)</f>
        <v/>
      </c>
      <c r="D338" s="37">
        <f>_xlfn.IFS(E338&lt;E$24,0,E338&lt;E$25,D$24,E338&lt;E$26,D$25,E338&lt;E$27,D$26,E338&lt;E$28,D$27,E338&lt;E$29,D$28,E338&lt;E$30,D$29,E338&lt;E$31,D$30,E338&lt;E$32,D$31,E338&lt;E$33,D$32,E338&lt;E$34,D$33,E338&lt;E$35,D$34,E338&gt;=E$35,D$35)</f>
        <v/>
      </c>
      <c r="E338" s="38" t="n">
        <v>288</v>
      </c>
      <c r="F338" s="31">
        <f>E338/52</f>
        <v/>
      </c>
      <c r="G338" s="39">
        <f>D338/1000000*52</f>
        <v/>
      </c>
      <c r="H338" s="33">
        <f>G338/$P$4+($C$22/$P$4)</f>
        <v/>
      </c>
      <c r="I338" s="36">
        <f>_xlfn.IFS(K338&lt;K$24,0,K338&lt;K$26,I$24,K338&lt;K$28,I$26,K338&lt;K$30,I$28,K338&lt;K$32,I$30,K338&lt;K$34,I$32,K338&lt;K$36,I$34,K338&lt;K$38,I$36,K338&lt;K$40,I$38,K338&lt;K$42,I$40,K338&lt;K$44,I$42,K338&lt;K$46,I$44,K338&gt;=K$46,I$46)</f>
        <v/>
      </c>
      <c r="J338" s="37">
        <f>_xlfn.IFS(K338&lt;K$24,0,K338&lt;K$25,J$24,K338&lt;K$26,J$25,K338&lt;K$27,J$26,K338&lt;K$28,J$27,K338&lt;K$29,J$28,K338&lt;K$30,J$29,K338&lt;K$31,J$30,K338&lt;K$32,J$31,K338&lt;K$33,J$32,K338&lt;K$34,J$33,K338&lt;K$35,J$34,K338&lt;K$36,J$35,K338&lt;K$37,J$36,K338&lt;K$38,J$37,K338&lt;K$39,J$38,K338&lt;K$40,J$39,K338&lt;K$41,J$40,K338&lt;K$42,J$41,K338&lt;K$43,J$42,K338&lt;K$44,J$43,K338&lt;K$45,J$44,K338&lt;K$46,J$45,K338&lt;K$47,J$46,K338&gt;=K$47,J$47)</f>
        <v/>
      </c>
      <c r="K338" s="38" t="n">
        <v>288</v>
      </c>
      <c r="L338" s="31">
        <f>K338/52</f>
        <v/>
      </c>
      <c r="M338" s="39">
        <f>J338/1000000*52</f>
        <v/>
      </c>
      <c r="N338" s="33">
        <f>M338/$P$4+($I$22/$P$4)</f>
        <v/>
      </c>
      <c r="U338">
        <f>F337</f>
        <v/>
      </c>
      <c r="V338">
        <f>H337</f>
        <v/>
      </c>
      <c r="W338">
        <f>N337</f>
        <v/>
      </c>
    </row>
    <row r="339" ht="15.75" customHeight="1" s="40">
      <c r="C339" s="36">
        <f>_xlfn.IFS(E339&lt;E$24,0,E339&lt;E$26,C$24,E339&lt;E$28,C$26,E339&lt;E$30,C$28,E339&lt;E$32,C$30,E339&lt;E$34,C$32,E339&gt;=E$34,C$34)</f>
        <v/>
      </c>
      <c r="D339" s="37">
        <f>_xlfn.IFS(E339&lt;E$24,0,E339&lt;E$25,D$24,E339&lt;E$26,D$25,E339&lt;E$27,D$26,E339&lt;E$28,D$27,E339&lt;E$29,D$28,E339&lt;E$30,D$29,E339&lt;E$31,D$30,E339&lt;E$32,D$31,E339&lt;E$33,D$32,E339&lt;E$34,D$33,E339&lt;E$35,D$34,E339&gt;=E$35,D$35)</f>
        <v/>
      </c>
      <c r="E339" s="38" t="n">
        <v>289</v>
      </c>
      <c r="F339" s="31">
        <f>E339/52</f>
        <v/>
      </c>
      <c r="G339" s="39">
        <f>D339/1000000*52</f>
        <v/>
      </c>
      <c r="H339" s="33">
        <f>G339/$P$4+($C$22/$P$4)</f>
        <v/>
      </c>
      <c r="I339" s="36">
        <f>_xlfn.IFS(K339&lt;K$24,0,K339&lt;K$26,I$24,K339&lt;K$28,I$26,K339&lt;K$30,I$28,K339&lt;K$32,I$30,K339&lt;K$34,I$32,K339&lt;K$36,I$34,K339&lt;K$38,I$36,K339&lt;K$40,I$38,K339&lt;K$42,I$40,K339&lt;K$44,I$42,K339&lt;K$46,I$44,K339&gt;=K$46,I$46)</f>
        <v/>
      </c>
      <c r="J339" s="37">
        <f>_xlfn.IFS(K339&lt;K$24,0,K339&lt;K$25,J$24,K339&lt;K$26,J$25,K339&lt;K$27,J$26,K339&lt;K$28,J$27,K339&lt;K$29,J$28,K339&lt;K$30,J$29,K339&lt;K$31,J$30,K339&lt;K$32,J$31,K339&lt;K$33,J$32,K339&lt;K$34,J$33,K339&lt;K$35,J$34,K339&lt;K$36,J$35,K339&lt;K$37,J$36,K339&lt;K$38,J$37,K339&lt;K$39,J$38,K339&lt;K$40,J$39,K339&lt;K$41,J$40,K339&lt;K$42,J$41,K339&lt;K$43,J$42,K339&lt;K$44,J$43,K339&lt;K$45,J$44,K339&lt;K$46,J$45,K339&lt;K$47,J$46,K339&gt;=K$47,J$47)</f>
        <v/>
      </c>
      <c r="K339" s="38" t="n">
        <v>289</v>
      </c>
      <c r="L339" s="31">
        <f>K339/52</f>
        <v/>
      </c>
      <c r="M339" s="39">
        <f>J339/1000000*52</f>
        <v/>
      </c>
      <c r="N339" s="33">
        <f>M339/$P$4+($I$22/$P$4)</f>
        <v/>
      </c>
      <c r="U339">
        <f>F338</f>
        <v/>
      </c>
      <c r="V339">
        <f>H338</f>
        <v/>
      </c>
      <c r="W339">
        <f>N338</f>
        <v/>
      </c>
    </row>
    <row r="340" ht="15.75" customHeight="1" s="40">
      <c r="C340" s="36">
        <f>_xlfn.IFS(E340&lt;E$24,0,E340&lt;E$26,C$24,E340&lt;E$28,C$26,E340&lt;E$30,C$28,E340&lt;E$32,C$30,E340&lt;E$34,C$32,E340&gt;=E$34,C$34)</f>
        <v/>
      </c>
      <c r="D340" s="37">
        <f>_xlfn.IFS(E340&lt;E$24,0,E340&lt;E$25,D$24,E340&lt;E$26,D$25,E340&lt;E$27,D$26,E340&lt;E$28,D$27,E340&lt;E$29,D$28,E340&lt;E$30,D$29,E340&lt;E$31,D$30,E340&lt;E$32,D$31,E340&lt;E$33,D$32,E340&lt;E$34,D$33,E340&lt;E$35,D$34,E340&gt;=E$35,D$35)</f>
        <v/>
      </c>
      <c r="E340" s="38" t="n">
        <v>290</v>
      </c>
      <c r="F340" s="31">
        <f>E340/52</f>
        <v/>
      </c>
      <c r="G340" s="39">
        <f>D340/1000000*52</f>
        <v/>
      </c>
      <c r="H340" s="33">
        <f>G340/$P$4+($C$22/$P$4)</f>
        <v/>
      </c>
      <c r="I340" s="36">
        <f>_xlfn.IFS(K340&lt;K$24,0,K340&lt;K$26,I$24,K340&lt;K$28,I$26,K340&lt;K$30,I$28,K340&lt;K$32,I$30,K340&lt;K$34,I$32,K340&lt;K$36,I$34,K340&lt;K$38,I$36,K340&lt;K$40,I$38,K340&lt;K$42,I$40,K340&lt;K$44,I$42,K340&lt;K$46,I$44,K340&gt;=K$46,I$46)</f>
        <v/>
      </c>
      <c r="J340" s="37">
        <f>_xlfn.IFS(K340&lt;K$24,0,K340&lt;K$25,J$24,K340&lt;K$26,J$25,K340&lt;K$27,J$26,K340&lt;K$28,J$27,K340&lt;K$29,J$28,K340&lt;K$30,J$29,K340&lt;K$31,J$30,K340&lt;K$32,J$31,K340&lt;K$33,J$32,K340&lt;K$34,J$33,K340&lt;K$35,J$34,K340&lt;K$36,J$35,K340&lt;K$37,J$36,K340&lt;K$38,J$37,K340&lt;K$39,J$38,K340&lt;K$40,J$39,K340&lt;K$41,J$40,K340&lt;K$42,J$41,K340&lt;K$43,J$42,K340&lt;K$44,J$43,K340&lt;K$45,J$44,K340&lt;K$46,J$45,K340&lt;K$47,J$46,K340&gt;=K$47,J$47)</f>
        <v/>
      </c>
      <c r="K340" s="38" t="n">
        <v>290</v>
      </c>
      <c r="L340" s="31">
        <f>K340/52</f>
        <v/>
      </c>
      <c r="M340" s="39">
        <f>J340/1000000*52</f>
        <v/>
      </c>
      <c r="N340" s="33">
        <f>M340/$P$4+($I$22/$P$4)</f>
        <v/>
      </c>
      <c r="U340">
        <f>F339</f>
        <v/>
      </c>
      <c r="V340">
        <f>H339</f>
        <v/>
      </c>
      <c r="W340">
        <f>N339</f>
        <v/>
      </c>
    </row>
    <row r="341" ht="15.75" customHeight="1" s="40">
      <c r="C341" s="36">
        <f>_xlfn.IFS(E341&lt;E$24,0,E341&lt;E$26,C$24,E341&lt;E$28,C$26,E341&lt;E$30,C$28,E341&lt;E$32,C$30,E341&lt;E$34,C$32,E341&gt;=E$34,C$34)</f>
        <v/>
      </c>
      <c r="D341" s="37">
        <f>_xlfn.IFS(E341&lt;E$24,0,E341&lt;E$25,D$24,E341&lt;E$26,D$25,E341&lt;E$27,D$26,E341&lt;E$28,D$27,E341&lt;E$29,D$28,E341&lt;E$30,D$29,E341&lt;E$31,D$30,E341&lt;E$32,D$31,E341&lt;E$33,D$32,E341&lt;E$34,D$33,E341&lt;E$35,D$34,E341&gt;=E$35,D$35)</f>
        <v/>
      </c>
      <c r="E341" s="38" t="n">
        <v>291</v>
      </c>
      <c r="F341" s="31">
        <f>E341/52</f>
        <v/>
      </c>
      <c r="G341" s="39">
        <f>D341/1000000*52</f>
        <v/>
      </c>
      <c r="H341" s="33">
        <f>G341/$P$4+($C$22/$P$4)</f>
        <v/>
      </c>
      <c r="I341" s="36">
        <f>_xlfn.IFS(K341&lt;K$24,0,K341&lt;K$26,I$24,K341&lt;K$28,I$26,K341&lt;K$30,I$28,K341&lt;K$32,I$30,K341&lt;K$34,I$32,K341&lt;K$36,I$34,K341&lt;K$38,I$36,K341&lt;K$40,I$38,K341&lt;K$42,I$40,K341&lt;K$44,I$42,K341&lt;K$46,I$44,K341&gt;=K$46,I$46)</f>
        <v/>
      </c>
      <c r="J341" s="37">
        <f>_xlfn.IFS(K341&lt;K$24,0,K341&lt;K$25,J$24,K341&lt;K$26,J$25,K341&lt;K$27,J$26,K341&lt;K$28,J$27,K341&lt;K$29,J$28,K341&lt;K$30,J$29,K341&lt;K$31,J$30,K341&lt;K$32,J$31,K341&lt;K$33,J$32,K341&lt;K$34,J$33,K341&lt;K$35,J$34,K341&lt;K$36,J$35,K341&lt;K$37,J$36,K341&lt;K$38,J$37,K341&lt;K$39,J$38,K341&lt;K$40,J$39,K341&lt;K$41,J$40,K341&lt;K$42,J$41,K341&lt;K$43,J$42,K341&lt;K$44,J$43,K341&lt;K$45,J$44,K341&lt;K$46,J$45,K341&lt;K$47,J$46,K341&gt;=K$47,J$47)</f>
        <v/>
      </c>
      <c r="K341" s="38" t="n">
        <v>291</v>
      </c>
      <c r="L341" s="31">
        <f>K341/52</f>
        <v/>
      </c>
      <c r="M341" s="39">
        <f>J341/1000000*52</f>
        <v/>
      </c>
      <c r="N341" s="33">
        <f>M341/$P$4+($I$22/$P$4)</f>
        <v/>
      </c>
      <c r="U341">
        <f>F340</f>
        <v/>
      </c>
      <c r="V341">
        <f>H340</f>
        <v/>
      </c>
      <c r="W341">
        <f>N340</f>
        <v/>
      </c>
    </row>
    <row r="342" ht="15.75" customHeight="1" s="40">
      <c r="C342" s="36">
        <f>_xlfn.IFS(E342&lt;E$24,0,E342&lt;E$26,C$24,E342&lt;E$28,C$26,E342&lt;E$30,C$28,E342&lt;E$32,C$30,E342&lt;E$34,C$32,E342&gt;=E$34,C$34)</f>
        <v/>
      </c>
      <c r="D342" s="37">
        <f>_xlfn.IFS(E342&lt;E$24,0,E342&lt;E$25,D$24,E342&lt;E$26,D$25,E342&lt;E$27,D$26,E342&lt;E$28,D$27,E342&lt;E$29,D$28,E342&lt;E$30,D$29,E342&lt;E$31,D$30,E342&lt;E$32,D$31,E342&lt;E$33,D$32,E342&lt;E$34,D$33,E342&lt;E$35,D$34,E342&gt;=E$35,D$35)</f>
        <v/>
      </c>
      <c r="E342" s="38" t="n">
        <v>292</v>
      </c>
      <c r="F342" s="31">
        <f>E342/52</f>
        <v/>
      </c>
      <c r="G342" s="39">
        <f>D342/1000000*52</f>
        <v/>
      </c>
      <c r="H342" s="33">
        <f>G342/$P$4+($C$22/$P$4)</f>
        <v/>
      </c>
      <c r="I342" s="36">
        <f>_xlfn.IFS(K342&lt;K$24,0,K342&lt;K$26,I$24,K342&lt;K$28,I$26,K342&lt;K$30,I$28,K342&lt;K$32,I$30,K342&lt;K$34,I$32,K342&lt;K$36,I$34,K342&lt;K$38,I$36,K342&lt;K$40,I$38,K342&lt;K$42,I$40,K342&lt;K$44,I$42,K342&lt;K$46,I$44,K342&gt;=K$46,I$46)</f>
        <v/>
      </c>
      <c r="J342" s="37">
        <f>_xlfn.IFS(K342&lt;K$24,0,K342&lt;K$25,J$24,K342&lt;K$26,J$25,K342&lt;K$27,J$26,K342&lt;K$28,J$27,K342&lt;K$29,J$28,K342&lt;K$30,J$29,K342&lt;K$31,J$30,K342&lt;K$32,J$31,K342&lt;K$33,J$32,K342&lt;K$34,J$33,K342&lt;K$35,J$34,K342&lt;K$36,J$35,K342&lt;K$37,J$36,K342&lt;K$38,J$37,K342&lt;K$39,J$38,K342&lt;K$40,J$39,K342&lt;K$41,J$40,K342&lt;K$42,J$41,K342&lt;K$43,J$42,K342&lt;K$44,J$43,K342&lt;K$45,J$44,K342&lt;K$46,J$45,K342&lt;K$47,J$46,K342&gt;=K$47,J$47)</f>
        <v/>
      </c>
      <c r="K342" s="38" t="n">
        <v>292</v>
      </c>
      <c r="L342" s="31">
        <f>K342/52</f>
        <v/>
      </c>
      <c r="M342" s="39">
        <f>J342/1000000*52</f>
        <v/>
      </c>
      <c r="N342" s="33">
        <f>M342/$P$4+($I$22/$P$4)</f>
        <v/>
      </c>
      <c r="U342">
        <f>F341</f>
        <v/>
      </c>
      <c r="V342">
        <f>H341</f>
        <v/>
      </c>
      <c r="W342">
        <f>N341</f>
        <v/>
      </c>
    </row>
    <row r="343" ht="15.75" customHeight="1" s="40">
      <c r="C343" s="36">
        <f>_xlfn.IFS(E343&lt;E$24,0,E343&lt;E$26,C$24,E343&lt;E$28,C$26,E343&lt;E$30,C$28,E343&lt;E$32,C$30,E343&lt;E$34,C$32,E343&gt;=E$34,C$34)</f>
        <v/>
      </c>
      <c r="D343" s="37">
        <f>_xlfn.IFS(E343&lt;E$24,0,E343&lt;E$25,D$24,E343&lt;E$26,D$25,E343&lt;E$27,D$26,E343&lt;E$28,D$27,E343&lt;E$29,D$28,E343&lt;E$30,D$29,E343&lt;E$31,D$30,E343&lt;E$32,D$31,E343&lt;E$33,D$32,E343&lt;E$34,D$33,E343&lt;E$35,D$34,E343&gt;=E$35,D$35)</f>
        <v/>
      </c>
      <c r="E343" s="38" t="n">
        <v>293</v>
      </c>
      <c r="F343" s="31">
        <f>E343/52</f>
        <v/>
      </c>
      <c r="G343" s="39">
        <f>D343/1000000*52</f>
        <v/>
      </c>
      <c r="H343" s="33">
        <f>G343/$P$4+($C$22/$P$4)</f>
        <v/>
      </c>
      <c r="I343" s="36">
        <f>_xlfn.IFS(K343&lt;K$24,0,K343&lt;K$26,I$24,K343&lt;K$28,I$26,K343&lt;K$30,I$28,K343&lt;K$32,I$30,K343&lt;K$34,I$32,K343&lt;K$36,I$34,K343&lt;K$38,I$36,K343&lt;K$40,I$38,K343&lt;K$42,I$40,K343&lt;K$44,I$42,K343&lt;K$46,I$44,K343&gt;=K$46,I$46)</f>
        <v/>
      </c>
      <c r="J343" s="37">
        <f>_xlfn.IFS(K343&lt;K$24,0,K343&lt;K$25,J$24,K343&lt;K$26,J$25,K343&lt;K$27,J$26,K343&lt;K$28,J$27,K343&lt;K$29,J$28,K343&lt;K$30,J$29,K343&lt;K$31,J$30,K343&lt;K$32,J$31,K343&lt;K$33,J$32,K343&lt;K$34,J$33,K343&lt;K$35,J$34,K343&lt;K$36,J$35,K343&lt;K$37,J$36,K343&lt;K$38,J$37,K343&lt;K$39,J$38,K343&lt;K$40,J$39,K343&lt;K$41,J$40,K343&lt;K$42,J$41,K343&lt;K$43,J$42,K343&lt;K$44,J$43,K343&lt;K$45,J$44,K343&lt;K$46,J$45,K343&lt;K$47,J$46,K343&gt;=K$47,J$47)</f>
        <v/>
      </c>
      <c r="K343" s="38" t="n">
        <v>293</v>
      </c>
      <c r="L343" s="31">
        <f>K343/52</f>
        <v/>
      </c>
      <c r="M343" s="39">
        <f>J343/1000000*52</f>
        <v/>
      </c>
      <c r="N343" s="33">
        <f>M343/$P$4+($I$22/$P$4)</f>
        <v/>
      </c>
      <c r="U343">
        <f>F342</f>
        <v/>
      </c>
      <c r="V343">
        <f>H342</f>
        <v/>
      </c>
      <c r="W343">
        <f>N342</f>
        <v/>
      </c>
    </row>
    <row r="344" ht="15.75" customHeight="1" s="40">
      <c r="C344" s="36">
        <f>_xlfn.IFS(E344&lt;E$24,0,E344&lt;E$26,C$24,E344&lt;E$28,C$26,E344&lt;E$30,C$28,E344&lt;E$32,C$30,E344&lt;E$34,C$32,E344&gt;=E$34,C$34)</f>
        <v/>
      </c>
      <c r="D344" s="37">
        <f>_xlfn.IFS(E344&lt;E$24,0,E344&lt;E$25,D$24,E344&lt;E$26,D$25,E344&lt;E$27,D$26,E344&lt;E$28,D$27,E344&lt;E$29,D$28,E344&lt;E$30,D$29,E344&lt;E$31,D$30,E344&lt;E$32,D$31,E344&lt;E$33,D$32,E344&lt;E$34,D$33,E344&lt;E$35,D$34,E344&gt;=E$35,D$35)</f>
        <v/>
      </c>
      <c r="E344" s="38" t="n">
        <v>294</v>
      </c>
      <c r="F344" s="31">
        <f>E344/52</f>
        <v/>
      </c>
      <c r="G344" s="39">
        <f>D344/1000000*52</f>
        <v/>
      </c>
      <c r="H344" s="33">
        <f>G344/$P$4+($C$22/$P$4)</f>
        <v/>
      </c>
      <c r="I344" s="36">
        <f>_xlfn.IFS(K344&lt;K$24,0,K344&lt;K$26,I$24,K344&lt;K$28,I$26,K344&lt;K$30,I$28,K344&lt;K$32,I$30,K344&lt;K$34,I$32,K344&lt;K$36,I$34,K344&lt;K$38,I$36,K344&lt;K$40,I$38,K344&lt;K$42,I$40,K344&lt;K$44,I$42,K344&lt;K$46,I$44,K344&gt;=K$46,I$46)</f>
        <v/>
      </c>
      <c r="J344" s="37">
        <f>_xlfn.IFS(K344&lt;K$24,0,K344&lt;K$25,J$24,K344&lt;K$26,J$25,K344&lt;K$27,J$26,K344&lt;K$28,J$27,K344&lt;K$29,J$28,K344&lt;K$30,J$29,K344&lt;K$31,J$30,K344&lt;K$32,J$31,K344&lt;K$33,J$32,K344&lt;K$34,J$33,K344&lt;K$35,J$34,K344&lt;K$36,J$35,K344&lt;K$37,J$36,K344&lt;K$38,J$37,K344&lt;K$39,J$38,K344&lt;K$40,J$39,K344&lt;K$41,J$40,K344&lt;K$42,J$41,K344&lt;K$43,J$42,K344&lt;K$44,J$43,K344&lt;K$45,J$44,K344&lt;K$46,J$45,K344&lt;K$47,J$46,K344&gt;=K$47,J$47)</f>
        <v/>
      </c>
      <c r="K344" s="38" t="n">
        <v>294</v>
      </c>
      <c r="L344" s="31">
        <f>K344/52</f>
        <v/>
      </c>
      <c r="M344" s="39">
        <f>J344/1000000*52</f>
        <v/>
      </c>
      <c r="N344" s="33">
        <f>M344/$P$4+($I$22/$P$4)</f>
        <v/>
      </c>
      <c r="U344">
        <f>F343</f>
        <v/>
      </c>
      <c r="V344">
        <f>H343</f>
        <v/>
      </c>
      <c r="W344">
        <f>N343</f>
        <v/>
      </c>
    </row>
    <row r="345" ht="15.75" customHeight="1" s="40">
      <c r="C345" s="36">
        <f>_xlfn.IFS(E345&lt;E$24,0,E345&lt;E$26,C$24,E345&lt;E$28,C$26,E345&lt;E$30,C$28,E345&lt;E$32,C$30,E345&lt;E$34,C$32,E345&gt;=E$34,C$34)</f>
        <v/>
      </c>
      <c r="D345" s="37">
        <f>_xlfn.IFS(E345&lt;E$24,0,E345&lt;E$25,D$24,E345&lt;E$26,D$25,E345&lt;E$27,D$26,E345&lt;E$28,D$27,E345&lt;E$29,D$28,E345&lt;E$30,D$29,E345&lt;E$31,D$30,E345&lt;E$32,D$31,E345&lt;E$33,D$32,E345&lt;E$34,D$33,E345&lt;E$35,D$34,E345&gt;=E$35,D$35)</f>
        <v/>
      </c>
      <c r="E345" s="38" t="n">
        <v>295</v>
      </c>
      <c r="F345" s="31">
        <f>E345/52</f>
        <v/>
      </c>
      <c r="G345" s="39">
        <f>D345/1000000*52</f>
        <v/>
      </c>
      <c r="H345" s="33">
        <f>G345/$P$4+($C$22/$P$4)</f>
        <v/>
      </c>
      <c r="I345" s="36">
        <f>_xlfn.IFS(K345&lt;K$24,0,K345&lt;K$26,I$24,K345&lt;K$28,I$26,K345&lt;K$30,I$28,K345&lt;K$32,I$30,K345&lt;K$34,I$32,K345&lt;K$36,I$34,K345&lt;K$38,I$36,K345&lt;K$40,I$38,K345&lt;K$42,I$40,K345&lt;K$44,I$42,K345&lt;K$46,I$44,K345&gt;=K$46,I$46)</f>
        <v/>
      </c>
      <c r="J345" s="37">
        <f>_xlfn.IFS(K345&lt;K$24,0,K345&lt;K$25,J$24,K345&lt;K$26,J$25,K345&lt;K$27,J$26,K345&lt;K$28,J$27,K345&lt;K$29,J$28,K345&lt;K$30,J$29,K345&lt;K$31,J$30,K345&lt;K$32,J$31,K345&lt;K$33,J$32,K345&lt;K$34,J$33,K345&lt;K$35,J$34,K345&lt;K$36,J$35,K345&lt;K$37,J$36,K345&lt;K$38,J$37,K345&lt;K$39,J$38,K345&lt;K$40,J$39,K345&lt;K$41,J$40,K345&lt;K$42,J$41,K345&lt;K$43,J$42,K345&lt;K$44,J$43,K345&lt;K$45,J$44,K345&lt;K$46,J$45,K345&lt;K$47,J$46,K345&gt;=K$47,J$47)</f>
        <v/>
      </c>
      <c r="K345" s="38" t="n">
        <v>295</v>
      </c>
      <c r="L345" s="31">
        <f>K345/52</f>
        <v/>
      </c>
      <c r="M345" s="39">
        <f>J345/1000000*52</f>
        <v/>
      </c>
      <c r="N345" s="33">
        <f>M345/$P$4+($I$22/$P$4)</f>
        <v/>
      </c>
      <c r="U345">
        <f>F344</f>
        <v/>
      </c>
      <c r="V345">
        <f>H344</f>
        <v/>
      </c>
      <c r="W345">
        <f>N344</f>
        <v/>
      </c>
    </row>
    <row r="346" ht="15.75" customHeight="1" s="40">
      <c r="C346" s="36">
        <f>_xlfn.IFS(E346&lt;E$24,0,E346&lt;E$26,C$24,E346&lt;E$28,C$26,E346&lt;E$30,C$28,E346&lt;E$32,C$30,E346&lt;E$34,C$32,E346&gt;=E$34,C$34)</f>
        <v/>
      </c>
      <c r="D346" s="37">
        <f>_xlfn.IFS(E346&lt;E$24,0,E346&lt;E$25,D$24,E346&lt;E$26,D$25,E346&lt;E$27,D$26,E346&lt;E$28,D$27,E346&lt;E$29,D$28,E346&lt;E$30,D$29,E346&lt;E$31,D$30,E346&lt;E$32,D$31,E346&lt;E$33,D$32,E346&lt;E$34,D$33,E346&lt;E$35,D$34,E346&gt;=E$35,D$35)</f>
        <v/>
      </c>
      <c r="E346" s="38" t="n">
        <v>296</v>
      </c>
      <c r="F346" s="31">
        <f>E346/52</f>
        <v/>
      </c>
      <c r="G346" s="39">
        <f>D346/1000000*52</f>
        <v/>
      </c>
      <c r="H346" s="33">
        <f>G346/$P$4+($C$22/$P$4)</f>
        <v/>
      </c>
      <c r="I346" s="36">
        <f>_xlfn.IFS(K346&lt;K$24,0,K346&lt;K$26,I$24,K346&lt;K$28,I$26,K346&lt;K$30,I$28,K346&lt;K$32,I$30,K346&lt;K$34,I$32,K346&lt;K$36,I$34,K346&lt;K$38,I$36,K346&lt;K$40,I$38,K346&lt;K$42,I$40,K346&lt;K$44,I$42,K346&lt;K$46,I$44,K346&gt;=K$46,I$46)</f>
        <v/>
      </c>
      <c r="J346" s="37">
        <f>_xlfn.IFS(K346&lt;K$24,0,K346&lt;K$25,J$24,K346&lt;K$26,J$25,K346&lt;K$27,J$26,K346&lt;K$28,J$27,K346&lt;K$29,J$28,K346&lt;K$30,J$29,K346&lt;K$31,J$30,K346&lt;K$32,J$31,K346&lt;K$33,J$32,K346&lt;K$34,J$33,K346&lt;K$35,J$34,K346&lt;K$36,J$35,K346&lt;K$37,J$36,K346&lt;K$38,J$37,K346&lt;K$39,J$38,K346&lt;K$40,J$39,K346&lt;K$41,J$40,K346&lt;K$42,J$41,K346&lt;K$43,J$42,K346&lt;K$44,J$43,K346&lt;K$45,J$44,K346&lt;K$46,J$45,K346&lt;K$47,J$46,K346&gt;=K$47,J$47)</f>
        <v/>
      </c>
      <c r="K346" s="38" t="n">
        <v>296</v>
      </c>
      <c r="L346" s="31">
        <f>K346/52</f>
        <v/>
      </c>
      <c r="M346" s="39">
        <f>J346/1000000*52</f>
        <v/>
      </c>
      <c r="N346" s="33">
        <f>M346/$P$4+($I$22/$P$4)</f>
        <v/>
      </c>
      <c r="U346">
        <f>F345</f>
        <v/>
      </c>
      <c r="V346">
        <f>H345</f>
        <v/>
      </c>
      <c r="W346">
        <f>N345</f>
        <v/>
      </c>
    </row>
    <row r="347" ht="15.75" customHeight="1" s="40">
      <c r="C347" s="36">
        <f>_xlfn.IFS(E347&lt;E$24,0,E347&lt;E$26,C$24,E347&lt;E$28,C$26,E347&lt;E$30,C$28,E347&lt;E$32,C$30,E347&lt;E$34,C$32,E347&gt;=E$34,C$34)</f>
        <v/>
      </c>
      <c r="D347" s="37">
        <f>_xlfn.IFS(E347&lt;E$24,0,E347&lt;E$25,D$24,E347&lt;E$26,D$25,E347&lt;E$27,D$26,E347&lt;E$28,D$27,E347&lt;E$29,D$28,E347&lt;E$30,D$29,E347&lt;E$31,D$30,E347&lt;E$32,D$31,E347&lt;E$33,D$32,E347&lt;E$34,D$33,E347&lt;E$35,D$34,E347&gt;=E$35,D$35)</f>
        <v/>
      </c>
      <c r="E347" s="38" t="n">
        <v>297</v>
      </c>
      <c r="F347" s="31">
        <f>E347/52</f>
        <v/>
      </c>
      <c r="G347" s="39">
        <f>D347/1000000*52</f>
        <v/>
      </c>
      <c r="H347" s="33">
        <f>G347/$P$4+($C$22/$P$4)</f>
        <v/>
      </c>
      <c r="I347" s="36">
        <f>_xlfn.IFS(K347&lt;K$24,0,K347&lt;K$26,I$24,K347&lt;K$28,I$26,K347&lt;K$30,I$28,K347&lt;K$32,I$30,K347&lt;K$34,I$32,K347&lt;K$36,I$34,K347&lt;K$38,I$36,K347&lt;K$40,I$38,K347&lt;K$42,I$40,K347&lt;K$44,I$42,K347&lt;K$46,I$44,K347&gt;=K$46,I$46)</f>
        <v/>
      </c>
      <c r="J347" s="37">
        <f>_xlfn.IFS(K347&lt;K$24,0,K347&lt;K$25,J$24,K347&lt;K$26,J$25,K347&lt;K$27,J$26,K347&lt;K$28,J$27,K347&lt;K$29,J$28,K347&lt;K$30,J$29,K347&lt;K$31,J$30,K347&lt;K$32,J$31,K347&lt;K$33,J$32,K347&lt;K$34,J$33,K347&lt;K$35,J$34,K347&lt;K$36,J$35,K347&lt;K$37,J$36,K347&lt;K$38,J$37,K347&lt;K$39,J$38,K347&lt;K$40,J$39,K347&lt;K$41,J$40,K347&lt;K$42,J$41,K347&lt;K$43,J$42,K347&lt;K$44,J$43,K347&lt;K$45,J$44,K347&lt;K$46,J$45,K347&lt;K$47,J$46,K347&gt;=K$47,J$47)</f>
        <v/>
      </c>
      <c r="K347" s="38" t="n">
        <v>297</v>
      </c>
      <c r="L347" s="31">
        <f>K347/52</f>
        <v/>
      </c>
      <c r="M347" s="39">
        <f>J347/1000000*52</f>
        <v/>
      </c>
      <c r="N347" s="33">
        <f>M347/$P$4+($I$22/$P$4)</f>
        <v/>
      </c>
      <c r="U347">
        <f>F346</f>
        <v/>
      </c>
      <c r="V347">
        <f>H346</f>
        <v/>
      </c>
      <c r="W347">
        <f>N346</f>
        <v/>
      </c>
    </row>
    <row r="348" ht="15.75" customHeight="1" s="40">
      <c r="C348" s="36">
        <f>_xlfn.IFS(E348&lt;E$24,0,E348&lt;E$26,C$24,E348&lt;E$28,C$26,E348&lt;E$30,C$28,E348&lt;E$32,C$30,E348&lt;E$34,C$32,E348&gt;=E$34,C$34)</f>
        <v/>
      </c>
      <c r="D348" s="37">
        <f>_xlfn.IFS(E348&lt;E$24,0,E348&lt;E$25,D$24,E348&lt;E$26,D$25,E348&lt;E$27,D$26,E348&lt;E$28,D$27,E348&lt;E$29,D$28,E348&lt;E$30,D$29,E348&lt;E$31,D$30,E348&lt;E$32,D$31,E348&lt;E$33,D$32,E348&lt;E$34,D$33,E348&lt;E$35,D$34,E348&gt;=E$35,D$35)</f>
        <v/>
      </c>
      <c r="E348" s="38" t="n">
        <v>298</v>
      </c>
      <c r="F348" s="31">
        <f>E348/52</f>
        <v/>
      </c>
      <c r="G348" s="39">
        <f>D348/1000000*52</f>
        <v/>
      </c>
      <c r="H348" s="33">
        <f>G348/$P$4+($C$22/$P$4)</f>
        <v/>
      </c>
      <c r="I348" s="36">
        <f>_xlfn.IFS(K348&lt;K$24,0,K348&lt;K$26,I$24,K348&lt;K$28,I$26,K348&lt;K$30,I$28,K348&lt;K$32,I$30,K348&lt;K$34,I$32,K348&lt;K$36,I$34,K348&lt;K$38,I$36,K348&lt;K$40,I$38,K348&lt;K$42,I$40,K348&lt;K$44,I$42,K348&lt;K$46,I$44,K348&gt;=K$46,I$46)</f>
        <v/>
      </c>
      <c r="J348" s="37">
        <f>_xlfn.IFS(K348&lt;K$24,0,K348&lt;K$25,J$24,K348&lt;K$26,J$25,K348&lt;K$27,J$26,K348&lt;K$28,J$27,K348&lt;K$29,J$28,K348&lt;K$30,J$29,K348&lt;K$31,J$30,K348&lt;K$32,J$31,K348&lt;K$33,J$32,K348&lt;K$34,J$33,K348&lt;K$35,J$34,K348&lt;K$36,J$35,K348&lt;K$37,J$36,K348&lt;K$38,J$37,K348&lt;K$39,J$38,K348&lt;K$40,J$39,K348&lt;K$41,J$40,K348&lt;K$42,J$41,K348&lt;K$43,J$42,K348&lt;K$44,J$43,K348&lt;K$45,J$44,K348&lt;K$46,J$45,K348&lt;K$47,J$46,K348&gt;=K$47,J$47)</f>
        <v/>
      </c>
      <c r="K348" s="38" t="n">
        <v>298</v>
      </c>
      <c r="L348" s="31">
        <f>K348/52</f>
        <v/>
      </c>
      <c r="M348" s="39">
        <f>J348/1000000*52</f>
        <v/>
      </c>
      <c r="N348" s="33">
        <f>M348/$P$4+($I$22/$P$4)</f>
        <v/>
      </c>
      <c r="U348">
        <f>F347</f>
        <v/>
      </c>
      <c r="V348">
        <f>H347</f>
        <v/>
      </c>
      <c r="W348">
        <f>N347</f>
        <v/>
      </c>
    </row>
    <row r="349" ht="15.75" customHeight="1" s="40">
      <c r="C349" s="36">
        <f>_xlfn.IFS(E349&lt;E$24,0,E349&lt;E$26,C$24,E349&lt;E$28,C$26,E349&lt;E$30,C$28,E349&lt;E$32,C$30,E349&lt;E$34,C$32,E349&gt;=E$34,C$34)</f>
        <v/>
      </c>
      <c r="D349" s="37">
        <f>_xlfn.IFS(E349&lt;E$24,0,E349&lt;E$25,D$24,E349&lt;E$26,D$25,E349&lt;E$27,D$26,E349&lt;E$28,D$27,E349&lt;E$29,D$28,E349&lt;E$30,D$29,E349&lt;E$31,D$30,E349&lt;E$32,D$31,E349&lt;E$33,D$32,E349&lt;E$34,D$33,E349&lt;E$35,D$34,E349&gt;=E$35,D$35)</f>
        <v/>
      </c>
      <c r="E349" s="38" t="n">
        <v>299</v>
      </c>
      <c r="F349" s="31">
        <f>E349/52</f>
        <v/>
      </c>
      <c r="G349" s="39">
        <f>D349/1000000*52</f>
        <v/>
      </c>
      <c r="H349" s="33">
        <f>G349/$P$4+($C$22/$P$4)</f>
        <v/>
      </c>
      <c r="I349" s="36">
        <f>_xlfn.IFS(K349&lt;K$24,0,K349&lt;K$26,I$24,K349&lt;K$28,I$26,K349&lt;K$30,I$28,K349&lt;K$32,I$30,K349&lt;K$34,I$32,K349&lt;K$36,I$34,K349&lt;K$38,I$36,K349&lt;K$40,I$38,K349&lt;K$42,I$40,K349&lt;K$44,I$42,K349&lt;K$46,I$44,K349&gt;=K$46,I$46)</f>
        <v/>
      </c>
      <c r="J349" s="37">
        <f>_xlfn.IFS(K349&lt;K$24,0,K349&lt;K$25,J$24,K349&lt;K$26,J$25,K349&lt;K$27,J$26,K349&lt;K$28,J$27,K349&lt;K$29,J$28,K349&lt;K$30,J$29,K349&lt;K$31,J$30,K349&lt;K$32,J$31,K349&lt;K$33,J$32,K349&lt;K$34,J$33,K349&lt;K$35,J$34,K349&lt;K$36,J$35,K349&lt;K$37,J$36,K349&lt;K$38,J$37,K349&lt;K$39,J$38,K349&lt;K$40,J$39,K349&lt;K$41,J$40,K349&lt;K$42,J$41,K349&lt;K$43,J$42,K349&lt;K$44,J$43,K349&lt;K$45,J$44,K349&lt;K$46,J$45,K349&lt;K$47,J$46,K349&gt;=K$47,J$47)</f>
        <v/>
      </c>
      <c r="K349" s="38" t="n">
        <v>299</v>
      </c>
      <c r="L349" s="31">
        <f>K349/52</f>
        <v/>
      </c>
      <c r="M349" s="39">
        <f>J349/1000000*52</f>
        <v/>
      </c>
      <c r="N349" s="33">
        <f>M349/$P$4+($I$22/$P$4)</f>
        <v/>
      </c>
      <c r="U349">
        <f>F348</f>
        <v/>
      </c>
      <c r="V349">
        <f>H348</f>
        <v/>
      </c>
      <c r="W349">
        <f>N348</f>
        <v/>
      </c>
    </row>
    <row r="350" ht="15.75" customHeight="1" s="40">
      <c r="C350" s="36">
        <f>_xlfn.IFS(E350&lt;E$24,0,E350&lt;E$26,C$24,E350&lt;E$28,C$26,E350&lt;E$30,C$28,E350&lt;E$32,C$30,E350&lt;E$34,C$32,E350&gt;=E$34,C$34)</f>
        <v/>
      </c>
      <c r="D350" s="37">
        <f>_xlfn.IFS(E350&lt;E$24,0,E350&lt;E$25,D$24,E350&lt;E$26,D$25,E350&lt;E$27,D$26,E350&lt;E$28,D$27,E350&lt;E$29,D$28,E350&lt;E$30,D$29,E350&lt;E$31,D$30,E350&lt;E$32,D$31,E350&lt;E$33,D$32,E350&lt;E$34,D$33,E350&lt;E$35,D$34,E350&gt;=E$35,D$35)</f>
        <v/>
      </c>
      <c r="E350" s="38" t="n">
        <v>300</v>
      </c>
      <c r="F350" s="31">
        <f>E350/52</f>
        <v/>
      </c>
      <c r="G350" s="39">
        <f>D350/1000000*52</f>
        <v/>
      </c>
      <c r="H350" s="33">
        <f>G350/$P$4+($C$22/$P$4)</f>
        <v/>
      </c>
      <c r="I350" s="36">
        <f>_xlfn.IFS(K350&lt;K$24,0,K350&lt;K$26,I$24,K350&lt;K$28,I$26,K350&lt;K$30,I$28,K350&lt;K$32,I$30,K350&lt;K$34,I$32,K350&lt;K$36,I$34,K350&lt;K$38,I$36,K350&lt;K$40,I$38,K350&lt;K$42,I$40,K350&lt;K$44,I$42,K350&lt;K$46,I$44,K350&gt;=K$46,I$46)</f>
        <v/>
      </c>
      <c r="J350" s="37">
        <f>_xlfn.IFS(K350&lt;K$24,0,K350&lt;K$25,J$24,K350&lt;K$26,J$25,K350&lt;K$27,J$26,K350&lt;K$28,J$27,K350&lt;K$29,J$28,K350&lt;K$30,J$29,K350&lt;K$31,J$30,K350&lt;K$32,J$31,K350&lt;K$33,J$32,K350&lt;K$34,J$33,K350&lt;K$35,J$34,K350&lt;K$36,J$35,K350&lt;K$37,J$36,K350&lt;K$38,J$37,K350&lt;K$39,J$38,K350&lt;K$40,J$39,K350&lt;K$41,J$40,K350&lt;K$42,J$41,K350&lt;K$43,J$42,K350&lt;K$44,J$43,K350&lt;K$45,J$44,K350&lt;K$46,J$45,K350&lt;K$47,J$46,K350&gt;=K$47,J$47)</f>
        <v/>
      </c>
      <c r="K350" s="38" t="n">
        <v>300</v>
      </c>
      <c r="L350" s="31">
        <f>K350/52</f>
        <v/>
      </c>
      <c r="M350" s="39">
        <f>J350/1000000*52</f>
        <v/>
      </c>
      <c r="N350" s="33">
        <f>M350/$P$4+($I$22/$P$4)</f>
        <v/>
      </c>
      <c r="U350">
        <f>F349</f>
        <v/>
      </c>
      <c r="V350">
        <f>H349</f>
        <v/>
      </c>
      <c r="W350">
        <f>N349</f>
        <v/>
      </c>
    </row>
    <row r="351" ht="15.75" customHeight="1" s="40">
      <c r="C351" s="36">
        <f>_xlfn.IFS(E351&lt;E$24,0,E351&lt;E$26,C$24,E351&lt;E$28,C$26,E351&lt;E$30,C$28,E351&lt;E$32,C$30,E351&lt;E$34,C$32,E351&gt;=E$34,C$34)</f>
        <v/>
      </c>
      <c r="D351" s="37">
        <f>_xlfn.IFS(E351&lt;E$24,0,E351&lt;E$25,D$24,E351&lt;E$26,D$25,E351&lt;E$27,D$26,E351&lt;E$28,D$27,E351&lt;E$29,D$28,E351&lt;E$30,D$29,E351&lt;E$31,D$30,E351&lt;E$32,D$31,E351&lt;E$33,D$32,E351&lt;E$34,D$33,E351&lt;E$35,D$34,E351&gt;=E$35,D$35)</f>
        <v/>
      </c>
      <c r="E351" s="38" t="n">
        <v>301</v>
      </c>
      <c r="F351" s="31">
        <f>E351/52</f>
        <v/>
      </c>
      <c r="G351" s="39">
        <f>D351/1000000*52</f>
        <v/>
      </c>
      <c r="H351" s="33">
        <f>G351/$P$4+($C$22/$P$4)</f>
        <v/>
      </c>
      <c r="I351" s="36">
        <f>_xlfn.IFS(K351&lt;K$24,0,K351&lt;K$26,I$24,K351&lt;K$28,I$26,K351&lt;K$30,I$28,K351&lt;K$32,I$30,K351&lt;K$34,I$32,K351&lt;K$36,I$34,K351&lt;K$38,I$36,K351&lt;K$40,I$38,K351&lt;K$42,I$40,K351&lt;K$44,I$42,K351&lt;K$46,I$44,K351&gt;=K$46,I$46)</f>
        <v/>
      </c>
      <c r="J351" s="37">
        <f>_xlfn.IFS(K351&lt;K$24,0,K351&lt;K$25,J$24,K351&lt;K$26,J$25,K351&lt;K$27,J$26,K351&lt;K$28,J$27,K351&lt;K$29,J$28,K351&lt;K$30,J$29,K351&lt;K$31,J$30,K351&lt;K$32,J$31,K351&lt;K$33,J$32,K351&lt;K$34,J$33,K351&lt;K$35,J$34,K351&lt;K$36,J$35,K351&lt;K$37,J$36,K351&lt;K$38,J$37,K351&lt;K$39,J$38,K351&lt;K$40,J$39,K351&lt;K$41,J$40,K351&lt;K$42,J$41,K351&lt;K$43,J$42,K351&lt;K$44,J$43,K351&lt;K$45,J$44,K351&lt;K$46,J$45,K351&lt;K$47,J$46,K351&gt;=K$47,J$47)</f>
        <v/>
      </c>
      <c r="K351" s="38" t="n">
        <v>301</v>
      </c>
      <c r="L351" s="31">
        <f>K351/52</f>
        <v/>
      </c>
      <c r="M351" s="39">
        <f>J351/1000000*52</f>
        <v/>
      </c>
      <c r="N351" s="33">
        <f>M351/$P$4+($I$22/$P$4)</f>
        <v/>
      </c>
      <c r="U351">
        <f>F350</f>
        <v/>
      </c>
      <c r="V351">
        <f>H350</f>
        <v/>
      </c>
      <c r="W351">
        <f>N350</f>
        <v/>
      </c>
    </row>
    <row r="352" ht="15.75" customHeight="1" s="40">
      <c r="C352" s="36">
        <f>_xlfn.IFS(E352&lt;E$24,0,E352&lt;E$26,C$24,E352&lt;E$28,C$26,E352&lt;E$30,C$28,E352&lt;E$32,C$30,E352&lt;E$34,C$32,E352&gt;=E$34,C$34)</f>
        <v/>
      </c>
      <c r="D352" s="37">
        <f>_xlfn.IFS(E352&lt;E$24,0,E352&lt;E$25,D$24,E352&lt;E$26,D$25,E352&lt;E$27,D$26,E352&lt;E$28,D$27,E352&lt;E$29,D$28,E352&lt;E$30,D$29,E352&lt;E$31,D$30,E352&lt;E$32,D$31,E352&lt;E$33,D$32,E352&lt;E$34,D$33,E352&lt;E$35,D$34,E352&gt;=E$35,D$35)</f>
        <v/>
      </c>
      <c r="E352" s="38" t="n">
        <v>302</v>
      </c>
      <c r="F352" s="31">
        <f>E352/52</f>
        <v/>
      </c>
      <c r="G352" s="39">
        <f>D352/1000000*52</f>
        <v/>
      </c>
      <c r="H352" s="33">
        <f>G352/$P$4+($C$22/$P$4)</f>
        <v/>
      </c>
      <c r="I352" s="36">
        <f>_xlfn.IFS(K352&lt;K$24,0,K352&lt;K$26,I$24,K352&lt;K$28,I$26,K352&lt;K$30,I$28,K352&lt;K$32,I$30,K352&lt;K$34,I$32,K352&lt;K$36,I$34,K352&lt;K$38,I$36,K352&lt;K$40,I$38,K352&lt;K$42,I$40,K352&lt;K$44,I$42,K352&lt;K$46,I$44,K352&gt;=K$46,I$46)</f>
        <v/>
      </c>
      <c r="J352" s="37">
        <f>_xlfn.IFS(K352&lt;K$24,0,K352&lt;K$25,J$24,K352&lt;K$26,J$25,K352&lt;K$27,J$26,K352&lt;K$28,J$27,K352&lt;K$29,J$28,K352&lt;K$30,J$29,K352&lt;K$31,J$30,K352&lt;K$32,J$31,K352&lt;K$33,J$32,K352&lt;K$34,J$33,K352&lt;K$35,J$34,K352&lt;K$36,J$35,K352&lt;K$37,J$36,K352&lt;K$38,J$37,K352&lt;K$39,J$38,K352&lt;K$40,J$39,K352&lt;K$41,J$40,K352&lt;K$42,J$41,K352&lt;K$43,J$42,K352&lt;K$44,J$43,K352&lt;K$45,J$44,K352&lt;K$46,J$45,K352&lt;K$47,J$46,K352&gt;=K$47,J$47)</f>
        <v/>
      </c>
      <c r="K352" s="38" t="n">
        <v>302</v>
      </c>
      <c r="L352" s="31">
        <f>K352/52</f>
        <v/>
      </c>
      <c r="M352" s="39">
        <f>J352/1000000*52</f>
        <v/>
      </c>
      <c r="N352" s="33">
        <f>M352/$P$4+($I$22/$P$4)</f>
        <v/>
      </c>
      <c r="U352">
        <f>F351</f>
        <v/>
      </c>
      <c r="V352">
        <f>H351</f>
        <v/>
      </c>
      <c r="W352">
        <f>N351</f>
        <v/>
      </c>
    </row>
    <row r="353" ht="15.75" customHeight="1" s="40">
      <c r="C353" s="36">
        <f>_xlfn.IFS(E353&lt;E$24,0,E353&lt;E$26,C$24,E353&lt;E$28,C$26,E353&lt;E$30,C$28,E353&lt;E$32,C$30,E353&lt;E$34,C$32,E353&gt;=E$34,C$34)</f>
        <v/>
      </c>
      <c r="D353" s="37">
        <f>_xlfn.IFS(E353&lt;E$24,0,E353&lt;E$25,D$24,E353&lt;E$26,D$25,E353&lt;E$27,D$26,E353&lt;E$28,D$27,E353&lt;E$29,D$28,E353&lt;E$30,D$29,E353&lt;E$31,D$30,E353&lt;E$32,D$31,E353&lt;E$33,D$32,E353&lt;E$34,D$33,E353&lt;E$35,D$34,E353&gt;=E$35,D$35)</f>
        <v/>
      </c>
      <c r="E353" s="38" t="n">
        <v>303</v>
      </c>
      <c r="F353" s="31">
        <f>E353/52</f>
        <v/>
      </c>
      <c r="G353" s="39">
        <f>D353/1000000*52</f>
        <v/>
      </c>
      <c r="H353" s="33">
        <f>G353/$P$4+($C$22/$P$4)</f>
        <v/>
      </c>
      <c r="I353" s="36">
        <f>_xlfn.IFS(K353&lt;K$24,0,K353&lt;K$26,I$24,K353&lt;K$28,I$26,K353&lt;K$30,I$28,K353&lt;K$32,I$30,K353&lt;K$34,I$32,K353&lt;K$36,I$34,K353&lt;K$38,I$36,K353&lt;K$40,I$38,K353&lt;K$42,I$40,K353&lt;K$44,I$42,K353&lt;K$46,I$44,K353&gt;=K$46,I$46)</f>
        <v/>
      </c>
      <c r="J353" s="37">
        <f>_xlfn.IFS(K353&lt;K$24,0,K353&lt;K$25,J$24,K353&lt;K$26,J$25,K353&lt;K$27,J$26,K353&lt;K$28,J$27,K353&lt;K$29,J$28,K353&lt;K$30,J$29,K353&lt;K$31,J$30,K353&lt;K$32,J$31,K353&lt;K$33,J$32,K353&lt;K$34,J$33,K353&lt;K$35,J$34,K353&lt;K$36,J$35,K353&lt;K$37,J$36,K353&lt;K$38,J$37,K353&lt;K$39,J$38,K353&lt;K$40,J$39,K353&lt;K$41,J$40,K353&lt;K$42,J$41,K353&lt;K$43,J$42,K353&lt;K$44,J$43,K353&lt;K$45,J$44,K353&lt;K$46,J$45,K353&lt;K$47,J$46,K353&gt;=K$47,J$47)</f>
        <v/>
      </c>
      <c r="K353" s="38" t="n">
        <v>303</v>
      </c>
      <c r="L353" s="31">
        <f>K353/52</f>
        <v/>
      </c>
      <c r="M353" s="39">
        <f>J353/1000000*52</f>
        <v/>
      </c>
      <c r="N353" s="33">
        <f>M353/$P$4+($I$22/$P$4)</f>
        <v/>
      </c>
      <c r="U353">
        <f>F352</f>
        <v/>
      </c>
      <c r="V353">
        <f>H352</f>
        <v/>
      </c>
      <c r="W353">
        <f>N352</f>
        <v/>
      </c>
    </row>
    <row r="354" ht="15.75" customHeight="1" s="40">
      <c r="C354" s="36">
        <f>_xlfn.IFS(E354&lt;E$24,0,E354&lt;E$26,C$24,E354&lt;E$28,C$26,E354&lt;E$30,C$28,E354&lt;E$32,C$30,E354&lt;E$34,C$32,E354&gt;=E$34,C$34)</f>
        <v/>
      </c>
      <c r="D354" s="37">
        <f>_xlfn.IFS(E354&lt;E$24,0,E354&lt;E$25,D$24,E354&lt;E$26,D$25,E354&lt;E$27,D$26,E354&lt;E$28,D$27,E354&lt;E$29,D$28,E354&lt;E$30,D$29,E354&lt;E$31,D$30,E354&lt;E$32,D$31,E354&lt;E$33,D$32,E354&lt;E$34,D$33,E354&lt;E$35,D$34,E354&gt;=E$35,D$35)</f>
        <v/>
      </c>
      <c r="E354" s="38" t="n">
        <v>304</v>
      </c>
      <c r="F354" s="31">
        <f>E354/52</f>
        <v/>
      </c>
      <c r="G354" s="39">
        <f>D354/1000000*52</f>
        <v/>
      </c>
      <c r="H354" s="33">
        <f>G354/$P$4+($C$22/$P$4)</f>
        <v/>
      </c>
      <c r="I354" s="36">
        <f>_xlfn.IFS(K354&lt;K$24,0,K354&lt;K$26,I$24,K354&lt;K$28,I$26,K354&lt;K$30,I$28,K354&lt;K$32,I$30,K354&lt;K$34,I$32,K354&lt;K$36,I$34,K354&lt;K$38,I$36,K354&lt;K$40,I$38,K354&lt;K$42,I$40,K354&lt;K$44,I$42,K354&lt;K$46,I$44,K354&gt;=K$46,I$46)</f>
        <v/>
      </c>
      <c r="J354" s="37">
        <f>_xlfn.IFS(K354&lt;K$24,0,K354&lt;K$25,J$24,K354&lt;K$26,J$25,K354&lt;K$27,J$26,K354&lt;K$28,J$27,K354&lt;K$29,J$28,K354&lt;K$30,J$29,K354&lt;K$31,J$30,K354&lt;K$32,J$31,K354&lt;K$33,J$32,K354&lt;K$34,J$33,K354&lt;K$35,J$34,K354&lt;K$36,J$35,K354&lt;K$37,J$36,K354&lt;K$38,J$37,K354&lt;K$39,J$38,K354&lt;K$40,J$39,K354&lt;K$41,J$40,K354&lt;K$42,J$41,K354&lt;K$43,J$42,K354&lt;K$44,J$43,K354&lt;K$45,J$44,K354&lt;K$46,J$45,K354&lt;K$47,J$46,K354&gt;=K$47,J$47)</f>
        <v/>
      </c>
      <c r="K354" s="38" t="n">
        <v>304</v>
      </c>
      <c r="L354" s="31">
        <f>K354/52</f>
        <v/>
      </c>
      <c r="M354" s="39">
        <f>J354/1000000*52</f>
        <v/>
      </c>
      <c r="N354" s="33">
        <f>M354/$P$4+($I$22/$P$4)</f>
        <v/>
      </c>
      <c r="U354">
        <f>F353</f>
        <v/>
      </c>
      <c r="V354">
        <f>H353</f>
        <v/>
      </c>
      <c r="W354">
        <f>N353</f>
        <v/>
      </c>
    </row>
    <row r="355" ht="15.75" customHeight="1" s="40">
      <c r="C355" s="36">
        <f>_xlfn.IFS(E355&lt;E$24,0,E355&lt;E$26,C$24,E355&lt;E$28,C$26,E355&lt;E$30,C$28,E355&lt;E$32,C$30,E355&lt;E$34,C$32,E355&gt;=E$34,C$34)</f>
        <v/>
      </c>
      <c r="D355" s="37">
        <f>_xlfn.IFS(E355&lt;E$24,0,E355&lt;E$25,D$24,E355&lt;E$26,D$25,E355&lt;E$27,D$26,E355&lt;E$28,D$27,E355&lt;E$29,D$28,E355&lt;E$30,D$29,E355&lt;E$31,D$30,E355&lt;E$32,D$31,E355&lt;E$33,D$32,E355&lt;E$34,D$33,E355&lt;E$35,D$34,E355&gt;=E$35,D$35)</f>
        <v/>
      </c>
      <c r="E355" s="38" t="n">
        <v>305</v>
      </c>
      <c r="F355" s="31">
        <f>E355/52</f>
        <v/>
      </c>
      <c r="G355" s="39">
        <f>D355/1000000*52</f>
        <v/>
      </c>
      <c r="H355" s="33">
        <f>G355/$P$4+($C$22/$P$4)</f>
        <v/>
      </c>
      <c r="I355" s="36">
        <f>_xlfn.IFS(K355&lt;K$24,0,K355&lt;K$26,I$24,K355&lt;K$28,I$26,K355&lt;K$30,I$28,K355&lt;K$32,I$30,K355&lt;K$34,I$32,K355&lt;K$36,I$34,K355&lt;K$38,I$36,K355&lt;K$40,I$38,K355&lt;K$42,I$40,K355&lt;K$44,I$42,K355&lt;K$46,I$44,K355&gt;=K$46,I$46)</f>
        <v/>
      </c>
      <c r="J355" s="37">
        <f>_xlfn.IFS(K355&lt;K$24,0,K355&lt;K$25,J$24,K355&lt;K$26,J$25,K355&lt;K$27,J$26,K355&lt;K$28,J$27,K355&lt;K$29,J$28,K355&lt;K$30,J$29,K355&lt;K$31,J$30,K355&lt;K$32,J$31,K355&lt;K$33,J$32,K355&lt;K$34,J$33,K355&lt;K$35,J$34,K355&lt;K$36,J$35,K355&lt;K$37,J$36,K355&lt;K$38,J$37,K355&lt;K$39,J$38,K355&lt;K$40,J$39,K355&lt;K$41,J$40,K355&lt;K$42,J$41,K355&lt;K$43,J$42,K355&lt;K$44,J$43,K355&lt;K$45,J$44,K355&lt;K$46,J$45,K355&lt;K$47,J$46,K355&gt;=K$47,J$47)</f>
        <v/>
      </c>
      <c r="K355" s="38" t="n">
        <v>305</v>
      </c>
      <c r="L355" s="31">
        <f>K355/52</f>
        <v/>
      </c>
      <c r="M355" s="39">
        <f>J355/1000000*52</f>
        <v/>
      </c>
      <c r="N355" s="33">
        <f>M355/$P$4+($I$22/$P$4)</f>
        <v/>
      </c>
      <c r="U355">
        <f>F354</f>
        <v/>
      </c>
      <c r="V355">
        <f>H354</f>
        <v/>
      </c>
      <c r="W355">
        <f>N354</f>
        <v/>
      </c>
    </row>
    <row r="356" ht="15.75" customHeight="1" s="40">
      <c r="C356" s="36">
        <f>_xlfn.IFS(E356&lt;E$24,0,E356&lt;E$26,C$24,E356&lt;E$28,C$26,E356&lt;E$30,C$28,E356&lt;E$32,C$30,E356&lt;E$34,C$32,E356&gt;=E$34,C$34)</f>
        <v/>
      </c>
      <c r="D356" s="37">
        <f>_xlfn.IFS(E356&lt;E$24,0,E356&lt;E$25,D$24,E356&lt;E$26,D$25,E356&lt;E$27,D$26,E356&lt;E$28,D$27,E356&lt;E$29,D$28,E356&lt;E$30,D$29,E356&lt;E$31,D$30,E356&lt;E$32,D$31,E356&lt;E$33,D$32,E356&lt;E$34,D$33,E356&lt;E$35,D$34,E356&gt;=E$35,D$35)</f>
        <v/>
      </c>
      <c r="E356" s="38" t="n">
        <v>306</v>
      </c>
      <c r="F356" s="31">
        <f>E356/52</f>
        <v/>
      </c>
      <c r="G356" s="39">
        <f>D356/1000000*52</f>
        <v/>
      </c>
      <c r="H356" s="33">
        <f>G356/$P$4+($C$22/$P$4)</f>
        <v/>
      </c>
      <c r="I356" s="36">
        <f>_xlfn.IFS(K356&lt;K$24,0,K356&lt;K$26,I$24,K356&lt;K$28,I$26,K356&lt;K$30,I$28,K356&lt;K$32,I$30,K356&lt;K$34,I$32,K356&lt;K$36,I$34,K356&lt;K$38,I$36,K356&lt;K$40,I$38,K356&lt;K$42,I$40,K356&lt;K$44,I$42,K356&lt;K$46,I$44,K356&gt;=K$46,I$46)</f>
        <v/>
      </c>
      <c r="J356" s="37">
        <f>_xlfn.IFS(K356&lt;K$24,0,K356&lt;K$25,J$24,K356&lt;K$26,J$25,K356&lt;K$27,J$26,K356&lt;K$28,J$27,K356&lt;K$29,J$28,K356&lt;K$30,J$29,K356&lt;K$31,J$30,K356&lt;K$32,J$31,K356&lt;K$33,J$32,K356&lt;K$34,J$33,K356&lt;K$35,J$34,K356&lt;K$36,J$35,K356&lt;K$37,J$36,K356&lt;K$38,J$37,K356&lt;K$39,J$38,K356&lt;K$40,J$39,K356&lt;K$41,J$40,K356&lt;K$42,J$41,K356&lt;K$43,J$42,K356&lt;K$44,J$43,K356&lt;K$45,J$44,K356&lt;K$46,J$45,K356&lt;K$47,J$46,K356&gt;=K$47,J$47)</f>
        <v/>
      </c>
      <c r="K356" s="38" t="n">
        <v>306</v>
      </c>
      <c r="L356" s="31">
        <f>K356/52</f>
        <v/>
      </c>
      <c r="M356" s="39">
        <f>J356/1000000*52</f>
        <v/>
      </c>
      <c r="N356" s="33">
        <f>M356/$P$4+($I$22/$P$4)</f>
        <v/>
      </c>
      <c r="U356">
        <f>F355</f>
        <v/>
      </c>
      <c r="V356">
        <f>H355</f>
        <v/>
      </c>
      <c r="W356">
        <f>N355</f>
        <v/>
      </c>
    </row>
    <row r="357" ht="15.75" customHeight="1" s="40">
      <c r="C357" s="36">
        <f>_xlfn.IFS(E357&lt;E$24,0,E357&lt;E$26,C$24,E357&lt;E$28,C$26,E357&lt;E$30,C$28,E357&lt;E$32,C$30,E357&lt;E$34,C$32,E357&gt;=E$34,C$34)</f>
        <v/>
      </c>
      <c r="D357" s="37">
        <f>_xlfn.IFS(E357&lt;E$24,0,E357&lt;E$25,D$24,E357&lt;E$26,D$25,E357&lt;E$27,D$26,E357&lt;E$28,D$27,E357&lt;E$29,D$28,E357&lt;E$30,D$29,E357&lt;E$31,D$30,E357&lt;E$32,D$31,E357&lt;E$33,D$32,E357&lt;E$34,D$33,E357&lt;E$35,D$34,E357&gt;=E$35,D$35)</f>
        <v/>
      </c>
      <c r="E357" s="38" t="n">
        <v>307</v>
      </c>
      <c r="F357" s="31">
        <f>E357/52</f>
        <v/>
      </c>
      <c r="G357" s="39">
        <f>D357/1000000*52</f>
        <v/>
      </c>
      <c r="H357" s="33">
        <f>G357/$P$4+($C$22/$P$4)</f>
        <v/>
      </c>
      <c r="I357" s="36">
        <f>_xlfn.IFS(K357&lt;K$24,0,K357&lt;K$26,I$24,K357&lt;K$28,I$26,K357&lt;K$30,I$28,K357&lt;K$32,I$30,K357&lt;K$34,I$32,K357&lt;K$36,I$34,K357&lt;K$38,I$36,K357&lt;K$40,I$38,K357&lt;K$42,I$40,K357&lt;K$44,I$42,K357&lt;K$46,I$44,K357&gt;=K$46,I$46)</f>
        <v/>
      </c>
      <c r="J357" s="37">
        <f>_xlfn.IFS(K357&lt;K$24,0,K357&lt;K$25,J$24,K357&lt;K$26,J$25,K357&lt;K$27,J$26,K357&lt;K$28,J$27,K357&lt;K$29,J$28,K357&lt;K$30,J$29,K357&lt;K$31,J$30,K357&lt;K$32,J$31,K357&lt;K$33,J$32,K357&lt;K$34,J$33,K357&lt;K$35,J$34,K357&lt;K$36,J$35,K357&lt;K$37,J$36,K357&lt;K$38,J$37,K357&lt;K$39,J$38,K357&lt;K$40,J$39,K357&lt;K$41,J$40,K357&lt;K$42,J$41,K357&lt;K$43,J$42,K357&lt;K$44,J$43,K357&lt;K$45,J$44,K357&lt;K$46,J$45,K357&lt;K$47,J$46,K357&gt;=K$47,J$47)</f>
        <v/>
      </c>
      <c r="K357" s="38" t="n">
        <v>307</v>
      </c>
      <c r="L357" s="31">
        <f>K357/52</f>
        <v/>
      </c>
      <c r="M357" s="39">
        <f>J357/1000000*52</f>
        <v/>
      </c>
      <c r="N357" s="33">
        <f>M357/$P$4+($I$22/$P$4)</f>
        <v/>
      </c>
      <c r="U357">
        <f>F356</f>
        <v/>
      </c>
      <c r="V357">
        <f>H356</f>
        <v/>
      </c>
      <c r="W357">
        <f>N356</f>
        <v/>
      </c>
    </row>
    <row r="358" ht="15.75" customHeight="1" s="40">
      <c r="C358" s="36">
        <f>_xlfn.IFS(E358&lt;E$24,0,E358&lt;E$26,C$24,E358&lt;E$28,C$26,E358&lt;E$30,C$28,E358&lt;E$32,C$30,E358&lt;E$34,C$32,E358&gt;=E$34,C$34)</f>
        <v/>
      </c>
      <c r="D358" s="37">
        <f>_xlfn.IFS(E358&lt;E$24,0,E358&lt;E$25,D$24,E358&lt;E$26,D$25,E358&lt;E$27,D$26,E358&lt;E$28,D$27,E358&lt;E$29,D$28,E358&lt;E$30,D$29,E358&lt;E$31,D$30,E358&lt;E$32,D$31,E358&lt;E$33,D$32,E358&lt;E$34,D$33,E358&lt;E$35,D$34,E358&gt;=E$35,D$35)</f>
        <v/>
      </c>
      <c r="E358" s="38" t="n">
        <v>308</v>
      </c>
      <c r="F358" s="31">
        <f>E358/52</f>
        <v/>
      </c>
      <c r="G358" s="39">
        <f>D358/1000000*52</f>
        <v/>
      </c>
      <c r="H358" s="33">
        <f>G358/$P$4+($C$22/$P$4)</f>
        <v/>
      </c>
      <c r="I358" s="36">
        <f>_xlfn.IFS(K358&lt;K$24,0,K358&lt;K$26,I$24,K358&lt;K$28,I$26,K358&lt;K$30,I$28,K358&lt;K$32,I$30,K358&lt;K$34,I$32,K358&lt;K$36,I$34,K358&lt;K$38,I$36,K358&lt;K$40,I$38,K358&lt;K$42,I$40,K358&lt;K$44,I$42,K358&lt;K$46,I$44,K358&gt;=K$46,I$46)</f>
        <v/>
      </c>
      <c r="J358" s="37">
        <f>_xlfn.IFS(K358&lt;K$24,0,K358&lt;K$25,J$24,K358&lt;K$26,J$25,K358&lt;K$27,J$26,K358&lt;K$28,J$27,K358&lt;K$29,J$28,K358&lt;K$30,J$29,K358&lt;K$31,J$30,K358&lt;K$32,J$31,K358&lt;K$33,J$32,K358&lt;K$34,J$33,K358&lt;K$35,J$34,K358&lt;K$36,J$35,K358&lt;K$37,J$36,K358&lt;K$38,J$37,K358&lt;K$39,J$38,K358&lt;K$40,J$39,K358&lt;K$41,J$40,K358&lt;K$42,J$41,K358&lt;K$43,J$42,K358&lt;K$44,J$43,K358&lt;K$45,J$44,K358&lt;K$46,J$45,K358&lt;K$47,J$46,K358&gt;=K$47,J$47)</f>
        <v/>
      </c>
      <c r="K358" s="38" t="n">
        <v>308</v>
      </c>
      <c r="L358" s="31">
        <f>K358/52</f>
        <v/>
      </c>
      <c r="M358" s="39">
        <f>J358/1000000*52</f>
        <v/>
      </c>
      <c r="N358" s="33">
        <f>M358/$P$4+($I$22/$P$4)</f>
        <v/>
      </c>
      <c r="U358">
        <f>F357</f>
        <v/>
      </c>
      <c r="V358">
        <f>H357</f>
        <v/>
      </c>
      <c r="W358">
        <f>N357</f>
        <v/>
      </c>
    </row>
    <row r="359" ht="15.75" customHeight="1" s="40">
      <c r="C359" s="36">
        <f>_xlfn.IFS(E359&lt;E$24,0,E359&lt;E$26,C$24,E359&lt;E$28,C$26,E359&lt;E$30,C$28,E359&lt;E$32,C$30,E359&lt;E$34,C$32,E359&gt;=E$34,C$34)</f>
        <v/>
      </c>
      <c r="D359" s="37">
        <f>_xlfn.IFS(E359&lt;E$24,0,E359&lt;E$25,D$24,E359&lt;E$26,D$25,E359&lt;E$27,D$26,E359&lt;E$28,D$27,E359&lt;E$29,D$28,E359&lt;E$30,D$29,E359&lt;E$31,D$30,E359&lt;E$32,D$31,E359&lt;E$33,D$32,E359&lt;E$34,D$33,E359&lt;E$35,D$34,E359&gt;=E$35,D$35)</f>
        <v/>
      </c>
      <c r="E359" s="38" t="n">
        <v>309</v>
      </c>
      <c r="F359" s="31">
        <f>E359/52</f>
        <v/>
      </c>
      <c r="G359" s="39">
        <f>D359/1000000*52</f>
        <v/>
      </c>
      <c r="H359" s="33">
        <f>G359/$P$4+($C$22/$P$4)</f>
        <v/>
      </c>
      <c r="I359" s="36">
        <f>_xlfn.IFS(K359&lt;K$24,0,K359&lt;K$26,I$24,K359&lt;K$28,I$26,K359&lt;K$30,I$28,K359&lt;K$32,I$30,K359&lt;K$34,I$32,K359&lt;K$36,I$34,K359&lt;K$38,I$36,K359&lt;K$40,I$38,K359&lt;K$42,I$40,K359&lt;K$44,I$42,K359&lt;K$46,I$44,K359&gt;=K$46,I$46)</f>
        <v/>
      </c>
      <c r="J359" s="37">
        <f>_xlfn.IFS(K359&lt;K$24,0,K359&lt;K$25,J$24,K359&lt;K$26,J$25,K359&lt;K$27,J$26,K359&lt;K$28,J$27,K359&lt;K$29,J$28,K359&lt;K$30,J$29,K359&lt;K$31,J$30,K359&lt;K$32,J$31,K359&lt;K$33,J$32,K359&lt;K$34,J$33,K359&lt;K$35,J$34,K359&lt;K$36,J$35,K359&lt;K$37,J$36,K359&lt;K$38,J$37,K359&lt;K$39,J$38,K359&lt;K$40,J$39,K359&lt;K$41,J$40,K359&lt;K$42,J$41,K359&lt;K$43,J$42,K359&lt;K$44,J$43,K359&lt;K$45,J$44,K359&lt;K$46,J$45,K359&lt;K$47,J$46,K359&gt;=K$47,J$47)</f>
        <v/>
      </c>
      <c r="K359" s="38" t="n">
        <v>309</v>
      </c>
      <c r="L359" s="31">
        <f>K359/52</f>
        <v/>
      </c>
      <c r="M359" s="39">
        <f>J359/1000000*52</f>
        <v/>
      </c>
      <c r="N359" s="33">
        <f>M359/$P$4+($I$22/$P$4)</f>
        <v/>
      </c>
      <c r="U359">
        <f>F358</f>
        <v/>
      </c>
      <c r="V359">
        <f>H358</f>
        <v/>
      </c>
      <c r="W359">
        <f>N358</f>
        <v/>
      </c>
    </row>
    <row r="360" ht="15.75" customHeight="1" s="40">
      <c r="C360" s="36">
        <f>_xlfn.IFS(E360&lt;E$24,0,E360&lt;E$26,C$24,E360&lt;E$28,C$26,E360&lt;E$30,C$28,E360&lt;E$32,C$30,E360&lt;E$34,C$32,E360&gt;=E$34,C$34)</f>
        <v/>
      </c>
      <c r="D360" s="37">
        <f>_xlfn.IFS(E360&lt;E$24,0,E360&lt;E$25,D$24,E360&lt;E$26,D$25,E360&lt;E$27,D$26,E360&lt;E$28,D$27,E360&lt;E$29,D$28,E360&lt;E$30,D$29,E360&lt;E$31,D$30,E360&lt;E$32,D$31,E360&lt;E$33,D$32,E360&lt;E$34,D$33,E360&lt;E$35,D$34,E360&gt;=E$35,D$35)</f>
        <v/>
      </c>
      <c r="E360" s="38" t="n">
        <v>310</v>
      </c>
      <c r="F360" s="31">
        <f>E360/52</f>
        <v/>
      </c>
      <c r="G360" s="39">
        <f>D360/1000000*52</f>
        <v/>
      </c>
      <c r="H360" s="33">
        <f>G360/$P$4+($C$22/$P$4)</f>
        <v/>
      </c>
      <c r="I360" s="36">
        <f>_xlfn.IFS(K360&lt;K$24,0,K360&lt;K$26,I$24,K360&lt;K$28,I$26,K360&lt;K$30,I$28,K360&lt;K$32,I$30,K360&lt;K$34,I$32,K360&lt;K$36,I$34,K360&lt;K$38,I$36,K360&lt;K$40,I$38,K360&lt;K$42,I$40,K360&lt;K$44,I$42,K360&lt;K$46,I$44,K360&gt;=K$46,I$46)</f>
        <v/>
      </c>
      <c r="J360" s="37">
        <f>_xlfn.IFS(K360&lt;K$24,0,K360&lt;K$25,J$24,K360&lt;K$26,J$25,K360&lt;K$27,J$26,K360&lt;K$28,J$27,K360&lt;K$29,J$28,K360&lt;K$30,J$29,K360&lt;K$31,J$30,K360&lt;K$32,J$31,K360&lt;K$33,J$32,K360&lt;K$34,J$33,K360&lt;K$35,J$34,K360&lt;K$36,J$35,K360&lt;K$37,J$36,K360&lt;K$38,J$37,K360&lt;K$39,J$38,K360&lt;K$40,J$39,K360&lt;K$41,J$40,K360&lt;K$42,J$41,K360&lt;K$43,J$42,K360&lt;K$44,J$43,K360&lt;K$45,J$44,K360&lt;K$46,J$45,K360&lt;K$47,J$46,K360&gt;=K$47,J$47)</f>
        <v/>
      </c>
      <c r="K360" s="38" t="n">
        <v>310</v>
      </c>
      <c r="L360" s="31">
        <f>K360/52</f>
        <v/>
      </c>
      <c r="M360" s="39">
        <f>J360/1000000*52</f>
        <v/>
      </c>
      <c r="N360" s="33">
        <f>M360/$P$4+($I$22/$P$4)</f>
        <v/>
      </c>
      <c r="U360">
        <f>F359</f>
        <v/>
      </c>
      <c r="V360">
        <f>H359</f>
        <v/>
      </c>
      <c r="W360">
        <f>N359</f>
        <v/>
      </c>
    </row>
    <row r="361" ht="15.75" customHeight="1" s="40">
      <c r="C361" s="36">
        <f>_xlfn.IFS(E361&lt;E$24,0,E361&lt;E$26,C$24,E361&lt;E$28,C$26,E361&lt;E$30,C$28,E361&lt;E$32,C$30,E361&lt;E$34,C$32,E361&gt;=E$34,C$34)</f>
        <v/>
      </c>
      <c r="D361" s="37">
        <f>_xlfn.IFS(E361&lt;E$24,0,E361&lt;E$25,D$24,E361&lt;E$26,D$25,E361&lt;E$27,D$26,E361&lt;E$28,D$27,E361&lt;E$29,D$28,E361&lt;E$30,D$29,E361&lt;E$31,D$30,E361&lt;E$32,D$31,E361&lt;E$33,D$32,E361&lt;E$34,D$33,E361&lt;E$35,D$34,E361&gt;=E$35,D$35)</f>
        <v/>
      </c>
      <c r="E361" s="38" t="n">
        <v>311</v>
      </c>
      <c r="F361" s="31">
        <f>E361/52</f>
        <v/>
      </c>
      <c r="G361" s="39">
        <f>D361/1000000*52</f>
        <v/>
      </c>
      <c r="H361" s="33">
        <f>G361/$P$4+($C$22/$P$4)</f>
        <v/>
      </c>
      <c r="I361" s="36">
        <f>_xlfn.IFS(K361&lt;K$24,0,K361&lt;K$26,I$24,K361&lt;K$28,I$26,K361&lt;K$30,I$28,K361&lt;K$32,I$30,K361&lt;K$34,I$32,K361&lt;K$36,I$34,K361&lt;K$38,I$36,K361&lt;K$40,I$38,K361&lt;K$42,I$40,K361&lt;K$44,I$42,K361&lt;K$46,I$44,K361&gt;=K$46,I$46)</f>
        <v/>
      </c>
      <c r="J361" s="37">
        <f>_xlfn.IFS(K361&lt;K$24,0,K361&lt;K$25,J$24,K361&lt;K$26,J$25,K361&lt;K$27,J$26,K361&lt;K$28,J$27,K361&lt;K$29,J$28,K361&lt;K$30,J$29,K361&lt;K$31,J$30,K361&lt;K$32,J$31,K361&lt;K$33,J$32,K361&lt;K$34,J$33,K361&lt;K$35,J$34,K361&lt;K$36,J$35,K361&lt;K$37,J$36,K361&lt;K$38,J$37,K361&lt;K$39,J$38,K361&lt;K$40,J$39,K361&lt;K$41,J$40,K361&lt;K$42,J$41,K361&lt;K$43,J$42,K361&lt;K$44,J$43,K361&lt;K$45,J$44,K361&lt;K$46,J$45,K361&lt;K$47,J$46,K361&gt;=K$47,J$47)</f>
        <v/>
      </c>
      <c r="K361" s="38" t="n">
        <v>311</v>
      </c>
      <c r="L361" s="31">
        <f>K361/52</f>
        <v/>
      </c>
      <c r="M361" s="39">
        <f>J361/1000000*52</f>
        <v/>
      </c>
      <c r="N361" s="33">
        <f>M361/$P$4+($I$22/$P$4)</f>
        <v/>
      </c>
      <c r="U361">
        <f>F360</f>
        <v/>
      </c>
      <c r="V361">
        <f>H360</f>
        <v/>
      </c>
      <c r="W361">
        <f>N360</f>
        <v/>
      </c>
    </row>
    <row r="362" ht="15.75" customHeight="1" s="40">
      <c r="C362" s="36">
        <f>_xlfn.IFS(E362&lt;E$24,0,E362&lt;E$26,C$24,E362&lt;E$28,C$26,E362&lt;E$30,C$28,E362&lt;E$32,C$30,E362&lt;E$34,C$32,E362&gt;=E$34,C$34)</f>
        <v/>
      </c>
      <c r="D362" s="37">
        <f>_xlfn.IFS(E362&lt;E$24,0,E362&lt;E$25,D$24,E362&lt;E$26,D$25,E362&lt;E$27,D$26,E362&lt;E$28,D$27,E362&lt;E$29,D$28,E362&lt;E$30,D$29,E362&lt;E$31,D$30,E362&lt;E$32,D$31,E362&lt;E$33,D$32,E362&lt;E$34,D$33,E362&lt;E$35,D$34,E362&gt;=E$35,D$35)</f>
        <v/>
      </c>
      <c r="E362" s="38" t="n">
        <v>312</v>
      </c>
      <c r="F362" s="31">
        <f>E362/52</f>
        <v/>
      </c>
      <c r="G362" s="39">
        <f>D362/1000000*52</f>
        <v/>
      </c>
      <c r="H362" s="33">
        <f>G362/$P$4+($C$22/$P$4)</f>
        <v/>
      </c>
      <c r="I362" s="36">
        <f>_xlfn.IFS(K362&lt;K$24,0,K362&lt;K$26,I$24,K362&lt;K$28,I$26,K362&lt;K$30,I$28,K362&lt;K$32,I$30,K362&lt;K$34,I$32,K362&lt;K$36,I$34,K362&lt;K$38,I$36,K362&lt;K$40,I$38,K362&lt;K$42,I$40,K362&lt;K$44,I$42,K362&lt;K$46,I$44,K362&gt;=K$46,I$46)</f>
        <v/>
      </c>
      <c r="J362" s="37">
        <f>_xlfn.IFS(K362&lt;K$24,0,K362&lt;K$25,J$24,K362&lt;K$26,J$25,K362&lt;K$27,J$26,K362&lt;K$28,J$27,K362&lt;K$29,J$28,K362&lt;K$30,J$29,K362&lt;K$31,J$30,K362&lt;K$32,J$31,K362&lt;K$33,J$32,K362&lt;K$34,J$33,K362&lt;K$35,J$34,K362&lt;K$36,J$35,K362&lt;K$37,J$36,K362&lt;K$38,J$37,K362&lt;K$39,J$38,K362&lt;K$40,J$39,K362&lt;K$41,J$40,K362&lt;K$42,J$41,K362&lt;K$43,J$42,K362&lt;K$44,J$43,K362&lt;K$45,J$44,K362&lt;K$46,J$45,K362&lt;K$47,J$46,K362&gt;=K$47,J$47)</f>
        <v/>
      </c>
      <c r="K362" s="38" t="n">
        <v>312</v>
      </c>
      <c r="L362" s="31">
        <f>K362/52</f>
        <v/>
      </c>
      <c r="M362" s="39">
        <f>J362/1000000*52</f>
        <v/>
      </c>
      <c r="N362" s="33">
        <f>M362/$P$4+($I$22/$P$4)</f>
        <v/>
      </c>
      <c r="U362">
        <f>F361</f>
        <v/>
      </c>
      <c r="V362">
        <f>H361</f>
        <v/>
      </c>
      <c r="W362">
        <f>N361</f>
        <v/>
      </c>
    </row>
    <row r="363" ht="15.75" customHeight="1" s="40">
      <c r="C363" s="36">
        <f>_xlfn.IFS(E363&lt;E$24,0,E363&lt;E$26,C$24,E363&lt;E$28,C$26,E363&lt;E$30,C$28,E363&lt;E$32,C$30,E363&lt;E$34,C$32,E363&gt;=E$34,C$34)</f>
        <v/>
      </c>
      <c r="D363" s="37">
        <f>_xlfn.IFS(E363&lt;E$24,0,E363&lt;E$25,D$24,E363&lt;E$26,D$25,E363&lt;E$27,D$26,E363&lt;E$28,D$27,E363&lt;E$29,D$28,E363&lt;E$30,D$29,E363&lt;E$31,D$30,E363&lt;E$32,D$31,E363&lt;E$33,D$32,E363&lt;E$34,D$33,E363&lt;E$35,D$34,E363&gt;=E$35,D$35)</f>
        <v/>
      </c>
      <c r="E363" s="38" t="n">
        <v>313</v>
      </c>
      <c r="F363" s="31">
        <f>E363/52</f>
        <v/>
      </c>
      <c r="G363" s="39">
        <f>D363/1000000*52</f>
        <v/>
      </c>
      <c r="H363" s="33">
        <f>G363/$P$4+($C$22/$P$4)</f>
        <v/>
      </c>
      <c r="I363" s="36">
        <f>_xlfn.IFS(K363&lt;K$24,0,K363&lt;K$26,I$24,K363&lt;K$28,I$26,K363&lt;K$30,I$28,K363&lt;K$32,I$30,K363&lt;K$34,I$32,K363&lt;K$36,I$34,K363&lt;K$38,I$36,K363&lt;K$40,I$38,K363&lt;K$42,I$40,K363&lt;K$44,I$42,K363&lt;K$46,I$44,K363&gt;=K$46,I$46)</f>
        <v/>
      </c>
      <c r="J363" s="37">
        <f>_xlfn.IFS(K363&lt;K$24,0,K363&lt;K$25,J$24,K363&lt;K$26,J$25,K363&lt;K$27,J$26,K363&lt;K$28,J$27,K363&lt;K$29,J$28,K363&lt;K$30,J$29,K363&lt;K$31,J$30,K363&lt;K$32,J$31,K363&lt;K$33,J$32,K363&lt;K$34,J$33,K363&lt;K$35,J$34,K363&lt;K$36,J$35,K363&lt;K$37,J$36,K363&lt;K$38,J$37,K363&lt;K$39,J$38,K363&lt;K$40,J$39,K363&lt;K$41,J$40,K363&lt;K$42,J$41,K363&lt;K$43,J$42,K363&lt;K$44,J$43,K363&lt;K$45,J$44,K363&lt;K$46,J$45,K363&lt;K$47,J$46,K363&gt;=K$47,J$47)</f>
        <v/>
      </c>
      <c r="K363" s="38" t="n">
        <v>313</v>
      </c>
      <c r="L363" s="31">
        <f>K363/52</f>
        <v/>
      </c>
      <c r="M363" s="39">
        <f>J363/1000000*52</f>
        <v/>
      </c>
      <c r="N363" s="33">
        <f>M363/$P$4+($I$22/$P$4)</f>
        <v/>
      </c>
      <c r="U363">
        <f>F362</f>
        <v/>
      </c>
      <c r="V363">
        <f>H362</f>
        <v/>
      </c>
      <c r="W363">
        <f>N362</f>
        <v/>
      </c>
    </row>
    <row r="364" ht="15.75" customHeight="1" s="40">
      <c r="C364" s="36">
        <f>_xlfn.IFS(E364&lt;E$24,0,E364&lt;E$26,C$24,E364&lt;E$28,C$26,E364&lt;E$30,C$28,E364&lt;E$32,C$30,E364&lt;E$34,C$32,E364&gt;=E$34,C$34)</f>
        <v/>
      </c>
      <c r="D364" s="37">
        <f>_xlfn.IFS(E364&lt;E$24,0,E364&lt;E$25,D$24,E364&lt;E$26,D$25,E364&lt;E$27,D$26,E364&lt;E$28,D$27,E364&lt;E$29,D$28,E364&lt;E$30,D$29,E364&lt;E$31,D$30,E364&lt;E$32,D$31,E364&lt;E$33,D$32,E364&lt;E$34,D$33,E364&lt;E$35,D$34,E364&gt;=E$35,D$35)</f>
        <v/>
      </c>
      <c r="E364" s="38" t="n">
        <v>314</v>
      </c>
      <c r="F364" s="31">
        <f>E364/52</f>
        <v/>
      </c>
      <c r="G364" s="39">
        <f>D364/1000000*52</f>
        <v/>
      </c>
      <c r="H364" s="33">
        <f>G364/$P$4+($C$22/$P$4)</f>
        <v/>
      </c>
      <c r="I364" s="36">
        <f>_xlfn.IFS(K364&lt;K$24,0,K364&lt;K$26,I$24,K364&lt;K$28,I$26,K364&lt;K$30,I$28,K364&lt;K$32,I$30,K364&lt;K$34,I$32,K364&lt;K$36,I$34,K364&lt;K$38,I$36,K364&lt;K$40,I$38,K364&lt;K$42,I$40,K364&lt;K$44,I$42,K364&lt;K$46,I$44,K364&gt;=K$46,I$46)</f>
        <v/>
      </c>
      <c r="J364" s="37">
        <f>_xlfn.IFS(K364&lt;K$24,0,K364&lt;K$25,J$24,K364&lt;K$26,J$25,K364&lt;K$27,J$26,K364&lt;K$28,J$27,K364&lt;K$29,J$28,K364&lt;K$30,J$29,K364&lt;K$31,J$30,K364&lt;K$32,J$31,K364&lt;K$33,J$32,K364&lt;K$34,J$33,K364&lt;K$35,J$34,K364&lt;K$36,J$35,K364&lt;K$37,J$36,K364&lt;K$38,J$37,K364&lt;K$39,J$38,K364&lt;K$40,J$39,K364&lt;K$41,J$40,K364&lt;K$42,J$41,K364&lt;K$43,J$42,K364&lt;K$44,J$43,K364&lt;K$45,J$44,K364&lt;K$46,J$45,K364&lt;K$47,J$46,K364&gt;=K$47,J$47)</f>
        <v/>
      </c>
      <c r="K364" s="38" t="n">
        <v>314</v>
      </c>
      <c r="L364" s="31">
        <f>K364/52</f>
        <v/>
      </c>
      <c r="M364" s="39">
        <f>J364/1000000*52</f>
        <v/>
      </c>
      <c r="N364" s="33">
        <f>M364/$P$4+($I$22/$P$4)</f>
        <v/>
      </c>
      <c r="U364">
        <f>F363</f>
        <v/>
      </c>
      <c r="V364">
        <f>H363</f>
        <v/>
      </c>
      <c r="W364">
        <f>N363</f>
        <v/>
      </c>
    </row>
    <row r="365" ht="15.75" customHeight="1" s="40">
      <c r="C365" s="36">
        <f>_xlfn.IFS(E365&lt;E$24,0,E365&lt;E$26,C$24,E365&lt;E$28,C$26,E365&lt;E$30,C$28,E365&lt;E$32,C$30,E365&lt;E$34,C$32,E365&gt;=E$34,C$34)</f>
        <v/>
      </c>
      <c r="D365" s="37">
        <f>_xlfn.IFS(E365&lt;E$24,0,E365&lt;E$25,D$24,E365&lt;E$26,D$25,E365&lt;E$27,D$26,E365&lt;E$28,D$27,E365&lt;E$29,D$28,E365&lt;E$30,D$29,E365&lt;E$31,D$30,E365&lt;E$32,D$31,E365&lt;E$33,D$32,E365&lt;E$34,D$33,E365&lt;E$35,D$34,E365&gt;=E$35,D$35)</f>
        <v/>
      </c>
      <c r="E365" s="38" t="n">
        <v>315</v>
      </c>
      <c r="F365" s="31">
        <f>E365/52</f>
        <v/>
      </c>
      <c r="G365" s="39">
        <f>D365/1000000*52</f>
        <v/>
      </c>
      <c r="H365" s="33">
        <f>G365/$P$4+($C$22/$P$4)</f>
        <v/>
      </c>
      <c r="I365" s="36">
        <f>_xlfn.IFS(K365&lt;K$24,0,K365&lt;K$26,I$24,K365&lt;K$28,I$26,K365&lt;K$30,I$28,K365&lt;K$32,I$30,K365&lt;K$34,I$32,K365&lt;K$36,I$34,K365&lt;K$38,I$36,K365&lt;K$40,I$38,K365&lt;K$42,I$40,K365&lt;K$44,I$42,K365&lt;K$46,I$44,K365&gt;=K$46,I$46)</f>
        <v/>
      </c>
      <c r="J365" s="37">
        <f>_xlfn.IFS(K365&lt;K$24,0,K365&lt;K$25,J$24,K365&lt;K$26,J$25,K365&lt;K$27,J$26,K365&lt;K$28,J$27,K365&lt;K$29,J$28,K365&lt;K$30,J$29,K365&lt;K$31,J$30,K365&lt;K$32,J$31,K365&lt;K$33,J$32,K365&lt;K$34,J$33,K365&lt;K$35,J$34,K365&lt;K$36,J$35,K365&lt;K$37,J$36,K365&lt;K$38,J$37,K365&lt;K$39,J$38,K365&lt;K$40,J$39,K365&lt;K$41,J$40,K365&lt;K$42,J$41,K365&lt;K$43,J$42,K365&lt;K$44,J$43,K365&lt;K$45,J$44,K365&lt;K$46,J$45,K365&lt;K$47,J$46,K365&gt;=K$47,J$47)</f>
        <v/>
      </c>
      <c r="K365" s="38" t="n">
        <v>315</v>
      </c>
      <c r="L365" s="31">
        <f>K365/52</f>
        <v/>
      </c>
      <c r="M365" s="39">
        <f>J365/1000000*52</f>
        <v/>
      </c>
      <c r="N365" s="33">
        <f>M365/$P$4+($I$22/$P$4)</f>
        <v/>
      </c>
      <c r="U365">
        <f>F364</f>
        <v/>
      </c>
      <c r="V365">
        <f>H364</f>
        <v/>
      </c>
      <c r="W365">
        <f>N364</f>
        <v/>
      </c>
    </row>
    <row r="366" ht="15.75" customHeight="1" s="40">
      <c r="C366" s="36">
        <f>_xlfn.IFS(E366&lt;E$24,0,E366&lt;E$26,C$24,E366&lt;E$28,C$26,E366&lt;E$30,C$28,E366&lt;E$32,C$30,E366&lt;E$34,C$32,E366&gt;=E$34,C$34)</f>
        <v/>
      </c>
      <c r="D366" s="37">
        <f>_xlfn.IFS(E366&lt;E$24,0,E366&lt;E$25,D$24,E366&lt;E$26,D$25,E366&lt;E$27,D$26,E366&lt;E$28,D$27,E366&lt;E$29,D$28,E366&lt;E$30,D$29,E366&lt;E$31,D$30,E366&lt;E$32,D$31,E366&lt;E$33,D$32,E366&lt;E$34,D$33,E366&lt;E$35,D$34,E366&gt;=E$35,D$35)</f>
        <v/>
      </c>
      <c r="E366" s="38" t="n">
        <v>316</v>
      </c>
      <c r="F366" s="31">
        <f>E366/52</f>
        <v/>
      </c>
      <c r="G366" s="39">
        <f>D366/1000000*52</f>
        <v/>
      </c>
      <c r="H366" s="33">
        <f>G366/$P$4+($C$22/$P$4)</f>
        <v/>
      </c>
      <c r="I366" s="36">
        <f>_xlfn.IFS(K366&lt;K$24,0,K366&lt;K$26,I$24,K366&lt;K$28,I$26,K366&lt;K$30,I$28,K366&lt;K$32,I$30,K366&lt;K$34,I$32,K366&lt;K$36,I$34,K366&lt;K$38,I$36,K366&lt;K$40,I$38,K366&lt;K$42,I$40,K366&lt;K$44,I$42,K366&lt;K$46,I$44,K366&gt;=K$46,I$46)</f>
        <v/>
      </c>
      <c r="J366" s="37">
        <f>_xlfn.IFS(K366&lt;K$24,0,K366&lt;K$25,J$24,K366&lt;K$26,J$25,K366&lt;K$27,J$26,K366&lt;K$28,J$27,K366&lt;K$29,J$28,K366&lt;K$30,J$29,K366&lt;K$31,J$30,K366&lt;K$32,J$31,K366&lt;K$33,J$32,K366&lt;K$34,J$33,K366&lt;K$35,J$34,K366&lt;K$36,J$35,K366&lt;K$37,J$36,K366&lt;K$38,J$37,K366&lt;K$39,J$38,K366&lt;K$40,J$39,K366&lt;K$41,J$40,K366&lt;K$42,J$41,K366&lt;K$43,J$42,K366&lt;K$44,J$43,K366&lt;K$45,J$44,K366&lt;K$46,J$45,K366&lt;K$47,J$46,K366&gt;=K$47,J$47)</f>
        <v/>
      </c>
      <c r="K366" s="38" t="n">
        <v>316</v>
      </c>
      <c r="L366" s="31">
        <f>K366/52</f>
        <v/>
      </c>
      <c r="M366" s="39">
        <f>J366/1000000*52</f>
        <v/>
      </c>
      <c r="N366" s="33">
        <f>M366/$P$4+($I$22/$P$4)</f>
        <v/>
      </c>
      <c r="U366">
        <f>F365</f>
        <v/>
      </c>
      <c r="V366">
        <f>H365</f>
        <v/>
      </c>
      <c r="W366">
        <f>N365</f>
        <v/>
      </c>
    </row>
    <row r="367" ht="15.75" customHeight="1" s="40">
      <c r="C367" s="36">
        <f>_xlfn.IFS(E367&lt;E$24,0,E367&lt;E$26,C$24,E367&lt;E$28,C$26,E367&lt;E$30,C$28,E367&lt;E$32,C$30,E367&lt;E$34,C$32,E367&gt;=E$34,C$34)</f>
        <v/>
      </c>
      <c r="D367" s="37">
        <f>_xlfn.IFS(E367&lt;E$24,0,E367&lt;E$25,D$24,E367&lt;E$26,D$25,E367&lt;E$27,D$26,E367&lt;E$28,D$27,E367&lt;E$29,D$28,E367&lt;E$30,D$29,E367&lt;E$31,D$30,E367&lt;E$32,D$31,E367&lt;E$33,D$32,E367&lt;E$34,D$33,E367&lt;E$35,D$34,E367&gt;=E$35,D$35)</f>
        <v/>
      </c>
      <c r="E367" s="38" t="n">
        <v>317</v>
      </c>
      <c r="F367" s="31">
        <f>E367/52</f>
        <v/>
      </c>
      <c r="G367" s="39">
        <f>D367/1000000*52</f>
        <v/>
      </c>
      <c r="H367" s="33">
        <f>G367/$P$4+($C$22/$P$4)</f>
        <v/>
      </c>
      <c r="I367" s="36">
        <f>_xlfn.IFS(K367&lt;K$24,0,K367&lt;K$26,I$24,K367&lt;K$28,I$26,K367&lt;K$30,I$28,K367&lt;K$32,I$30,K367&lt;K$34,I$32,K367&lt;K$36,I$34,K367&lt;K$38,I$36,K367&lt;K$40,I$38,K367&lt;K$42,I$40,K367&lt;K$44,I$42,K367&lt;K$46,I$44,K367&gt;=K$46,I$46)</f>
        <v/>
      </c>
      <c r="J367" s="37">
        <f>_xlfn.IFS(K367&lt;K$24,0,K367&lt;K$25,J$24,K367&lt;K$26,J$25,K367&lt;K$27,J$26,K367&lt;K$28,J$27,K367&lt;K$29,J$28,K367&lt;K$30,J$29,K367&lt;K$31,J$30,K367&lt;K$32,J$31,K367&lt;K$33,J$32,K367&lt;K$34,J$33,K367&lt;K$35,J$34,K367&lt;K$36,J$35,K367&lt;K$37,J$36,K367&lt;K$38,J$37,K367&lt;K$39,J$38,K367&lt;K$40,J$39,K367&lt;K$41,J$40,K367&lt;K$42,J$41,K367&lt;K$43,J$42,K367&lt;K$44,J$43,K367&lt;K$45,J$44,K367&lt;K$46,J$45,K367&lt;K$47,J$46,K367&gt;=K$47,J$47)</f>
        <v/>
      </c>
      <c r="K367" s="38" t="n">
        <v>317</v>
      </c>
      <c r="L367" s="31">
        <f>K367/52</f>
        <v/>
      </c>
      <c r="M367" s="39">
        <f>J367/1000000*52</f>
        <v/>
      </c>
      <c r="N367" s="33">
        <f>M367/$P$4+($I$22/$P$4)</f>
        <v/>
      </c>
      <c r="U367">
        <f>F366</f>
        <v/>
      </c>
      <c r="V367">
        <f>H366</f>
        <v/>
      </c>
      <c r="W367">
        <f>N366</f>
        <v/>
      </c>
    </row>
    <row r="368" ht="15.75" customHeight="1" s="40">
      <c r="C368" s="36">
        <f>_xlfn.IFS(E368&lt;E$24,0,E368&lt;E$26,C$24,E368&lt;E$28,C$26,E368&lt;E$30,C$28,E368&lt;E$32,C$30,E368&lt;E$34,C$32,E368&gt;=E$34,C$34)</f>
        <v/>
      </c>
      <c r="D368" s="37">
        <f>_xlfn.IFS(E368&lt;E$24,0,E368&lt;E$25,D$24,E368&lt;E$26,D$25,E368&lt;E$27,D$26,E368&lt;E$28,D$27,E368&lt;E$29,D$28,E368&lt;E$30,D$29,E368&lt;E$31,D$30,E368&lt;E$32,D$31,E368&lt;E$33,D$32,E368&lt;E$34,D$33,E368&lt;E$35,D$34,E368&gt;=E$35,D$35)</f>
        <v/>
      </c>
      <c r="E368" s="38" t="n">
        <v>318</v>
      </c>
      <c r="F368" s="31">
        <f>E368/52</f>
        <v/>
      </c>
      <c r="G368" s="39">
        <f>D368/1000000*52</f>
        <v/>
      </c>
      <c r="H368" s="33">
        <f>G368/$P$4+($C$22/$P$4)</f>
        <v/>
      </c>
      <c r="I368" s="36">
        <f>_xlfn.IFS(K368&lt;K$24,0,K368&lt;K$26,I$24,K368&lt;K$28,I$26,K368&lt;K$30,I$28,K368&lt;K$32,I$30,K368&lt;K$34,I$32,K368&lt;K$36,I$34,K368&lt;K$38,I$36,K368&lt;K$40,I$38,K368&lt;K$42,I$40,K368&lt;K$44,I$42,K368&lt;K$46,I$44,K368&gt;=K$46,I$46)</f>
        <v/>
      </c>
      <c r="J368" s="37">
        <f>_xlfn.IFS(K368&lt;K$24,0,K368&lt;K$25,J$24,K368&lt;K$26,J$25,K368&lt;K$27,J$26,K368&lt;K$28,J$27,K368&lt;K$29,J$28,K368&lt;K$30,J$29,K368&lt;K$31,J$30,K368&lt;K$32,J$31,K368&lt;K$33,J$32,K368&lt;K$34,J$33,K368&lt;K$35,J$34,K368&lt;K$36,J$35,K368&lt;K$37,J$36,K368&lt;K$38,J$37,K368&lt;K$39,J$38,K368&lt;K$40,J$39,K368&lt;K$41,J$40,K368&lt;K$42,J$41,K368&lt;K$43,J$42,K368&lt;K$44,J$43,K368&lt;K$45,J$44,K368&lt;K$46,J$45,K368&lt;K$47,J$46,K368&gt;=K$47,J$47)</f>
        <v/>
      </c>
      <c r="K368" s="38" t="n">
        <v>318</v>
      </c>
      <c r="L368" s="31">
        <f>K368/52</f>
        <v/>
      </c>
      <c r="M368" s="39">
        <f>J368/1000000*52</f>
        <v/>
      </c>
      <c r="N368" s="33">
        <f>M368/$P$4+($I$22/$P$4)</f>
        <v/>
      </c>
      <c r="U368">
        <f>F367</f>
        <v/>
      </c>
      <c r="V368">
        <f>H367</f>
        <v/>
      </c>
      <c r="W368">
        <f>N367</f>
        <v/>
      </c>
    </row>
    <row r="369" ht="15.75" customHeight="1" s="40">
      <c r="C369" s="36">
        <f>_xlfn.IFS(E369&lt;E$24,0,E369&lt;E$26,C$24,E369&lt;E$28,C$26,E369&lt;E$30,C$28,E369&lt;E$32,C$30,E369&lt;E$34,C$32,E369&gt;=E$34,C$34)</f>
        <v/>
      </c>
      <c r="D369" s="37">
        <f>_xlfn.IFS(E369&lt;E$24,0,E369&lt;E$25,D$24,E369&lt;E$26,D$25,E369&lt;E$27,D$26,E369&lt;E$28,D$27,E369&lt;E$29,D$28,E369&lt;E$30,D$29,E369&lt;E$31,D$30,E369&lt;E$32,D$31,E369&lt;E$33,D$32,E369&lt;E$34,D$33,E369&lt;E$35,D$34,E369&gt;=E$35,D$35)</f>
        <v/>
      </c>
      <c r="E369" s="38" t="n">
        <v>319</v>
      </c>
      <c r="F369" s="31">
        <f>E369/52</f>
        <v/>
      </c>
      <c r="G369" s="39">
        <f>D369/1000000*52</f>
        <v/>
      </c>
      <c r="H369" s="33">
        <f>G369/$P$4+($C$22/$P$4)</f>
        <v/>
      </c>
      <c r="I369" s="36">
        <f>_xlfn.IFS(K369&lt;K$24,0,K369&lt;K$26,I$24,K369&lt;K$28,I$26,K369&lt;K$30,I$28,K369&lt;K$32,I$30,K369&lt;K$34,I$32,K369&lt;K$36,I$34,K369&lt;K$38,I$36,K369&lt;K$40,I$38,K369&lt;K$42,I$40,K369&lt;K$44,I$42,K369&lt;K$46,I$44,K369&gt;=K$46,I$46)</f>
        <v/>
      </c>
      <c r="J369" s="37">
        <f>_xlfn.IFS(K369&lt;K$24,0,K369&lt;K$25,J$24,K369&lt;K$26,J$25,K369&lt;K$27,J$26,K369&lt;K$28,J$27,K369&lt;K$29,J$28,K369&lt;K$30,J$29,K369&lt;K$31,J$30,K369&lt;K$32,J$31,K369&lt;K$33,J$32,K369&lt;K$34,J$33,K369&lt;K$35,J$34,K369&lt;K$36,J$35,K369&lt;K$37,J$36,K369&lt;K$38,J$37,K369&lt;K$39,J$38,K369&lt;K$40,J$39,K369&lt;K$41,J$40,K369&lt;K$42,J$41,K369&lt;K$43,J$42,K369&lt;K$44,J$43,K369&lt;K$45,J$44,K369&lt;K$46,J$45,K369&lt;K$47,J$46,K369&gt;=K$47,J$47)</f>
        <v/>
      </c>
      <c r="K369" s="38" t="n">
        <v>319</v>
      </c>
      <c r="L369" s="31">
        <f>K369/52</f>
        <v/>
      </c>
      <c r="M369" s="39">
        <f>J369/1000000*52</f>
        <v/>
      </c>
      <c r="N369" s="33">
        <f>M369/$P$4+($I$22/$P$4)</f>
        <v/>
      </c>
      <c r="U369">
        <f>F368</f>
        <v/>
      </c>
      <c r="V369">
        <f>H368</f>
        <v/>
      </c>
      <c r="W369">
        <f>N368</f>
        <v/>
      </c>
    </row>
    <row r="370" ht="15.75" customHeight="1" s="40">
      <c r="C370" s="36">
        <f>_xlfn.IFS(E370&lt;E$24,0,E370&lt;E$26,C$24,E370&lt;E$28,C$26,E370&lt;E$30,C$28,E370&lt;E$32,C$30,E370&lt;E$34,C$32,E370&gt;=E$34,C$34)</f>
        <v/>
      </c>
      <c r="D370" s="37">
        <f>_xlfn.IFS(E370&lt;E$24,0,E370&lt;E$25,D$24,E370&lt;E$26,D$25,E370&lt;E$27,D$26,E370&lt;E$28,D$27,E370&lt;E$29,D$28,E370&lt;E$30,D$29,E370&lt;E$31,D$30,E370&lt;E$32,D$31,E370&lt;E$33,D$32,E370&lt;E$34,D$33,E370&lt;E$35,D$34,E370&gt;=E$35,D$35)</f>
        <v/>
      </c>
      <c r="E370" s="38" t="n">
        <v>320</v>
      </c>
      <c r="F370" s="31">
        <f>E370/52</f>
        <v/>
      </c>
      <c r="G370" s="39">
        <f>D370/1000000*52</f>
        <v/>
      </c>
      <c r="H370" s="33">
        <f>G370/$P$4+($C$22/$P$4)</f>
        <v/>
      </c>
      <c r="I370" s="36">
        <f>_xlfn.IFS(K370&lt;K$24,0,K370&lt;K$26,I$24,K370&lt;K$28,I$26,K370&lt;K$30,I$28,K370&lt;K$32,I$30,K370&lt;K$34,I$32,K370&lt;K$36,I$34,K370&lt;K$38,I$36,K370&lt;K$40,I$38,K370&lt;K$42,I$40,K370&lt;K$44,I$42,K370&lt;K$46,I$44,K370&gt;=K$46,I$46)</f>
        <v/>
      </c>
      <c r="J370" s="37">
        <f>_xlfn.IFS(K370&lt;K$24,0,K370&lt;K$25,J$24,K370&lt;K$26,J$25,K370&lt;K$27,J$26,K370&lt;K$28,J$27,K370&lt;K$29,J$28,K370&lt;K$30,J$29,K370&lt;K$31,J$30,K370&lt;K$32,J$31,K370&lt;K$33,J$32,K370&lt;K$34,J$33,K370&lt;K$35,J$34,K370&lt;K$36,J$35,K370&lt;K$37,J$36,K370&lt;K$38,J$37,K370&lt;K$39,J$38,K370&lt;K$40,J$39,K370&lt;K$41,J$40,K370&lt;K$42,J$41,K370&lt;K$43,J$42,K370&lt;K$44,J$43,K370&lt;K$45,J$44,K370&lt;K$46,J$45,K370&lt;K$47,J$46,K370&gt;=K$47,J$47)</f>
        <v/>
      </c>
      <c r="K370" s="38" t="n">
        <v>320</v>
      </c>
      <c r="L370" s="31">
        <f>K370/52</f>
        <v/>
      </c>
      <c r="M370" s="39">
        <f>J370/1000000*52</f>
        <v/>
      </c>
      <c r="N370" s="33">
        <f>M370/$P$4+($I$22/$P$4)</f>
        <v/>
      </c>
      <c r="U370">
        <f>F369</f>
        <v/>
      </c>
      <c r="V370">
        <f>H369</f>
        <v/>
      </c>
      <c r="W370">
        <f>N369</f>
        <v/>
      </c>
    </row>
    <row r="371" ht="15.75" customHeight="1" s="40">
      <c r="C371" s="36">
        <f>_xlfn.IFS(E371&lt;E$24,0,E371&lt;E$26,C$24,E371&lt;E$28,C$26,E371&lt;E$30,C$28,E371&lt;E$32,C$30,E371&lt;E$34,C$32,E371&gt;=E$34,C$34)</f>
        <v/>
      </c>
      <c r="D371" s="37">
        <f>_xlfn.IFS(E371&lt;E$24,0,E371&lt;E$25,D$24,E371&lt;E$26,D$25,E371&lt;E$27,D$26,E371&lt;E$28,D$27,E371&lt;E$29,D$28,E371&lt;E$30,D$29,E371&lt;E$31,D$30,E371&lt;E$32,D$31,E371&lt;E$33,D$32,E371&lt;E$34,D$33,E371&lt;E$35,D$34,E371&gt;=E$35,D$35)</f>
        <v/>
      </c>
      <c r="E371" s="38" t="n">
        <v>321</v>
      </c>
      <c r="F371" s="31">
        <f>E371/52</f>
        <v/>
      </c>
      <c r="G371" s="39">
        <f>D371/1000000*52</f>
        <v/>
      </c>
      <c r="H371" s="33">
        <f>G371/$P$4+($C$22/$P$4)</f>
        <v/>
      </c>
      <c r="I371" s="36">
        <f>_xlfn.IFS(K371&lt;K$24,0,K371&lt;K$26,I$24,K371&lt;K$28,I$26,K371&lt;K$30,I$28,K371&lt;K$32,I$30,K371&lt;K$34,I$32,K371&lt;K$36,I$34,K371&lt;K$38,I$36,K371&lt;K$40,I$38,K371&lt;K$42,I$40,K371&lt;K$44,I$42,K371&lt;K$46,I$44,K371&gt;=K$46,I$46)</f>
        <v/>
      </c>
      <c r="J371" s="37">
        <f>_xlfn.IFS(K371&lt;K$24,0,K371&lt;K$25,J$24,K371&lt;K$26,J$25,K371&lt;K$27,J$26,K371&lt;K$28,J$27,K371&lt;K$29,J$28,K371&lt;K$30,J$29,K371&lt;K$31,J$30,K371&lt;K$32,J$31,K371&lt;K$33,J$32,K371&lt;K$34,J$33,K371&lt;K$35,J$34,K371&lt;K$36,J$35,K371&lt;K$37,J$36,K371&lt;K$38,J$37,K371&lt;K$39,J$38,K371&lt;K$40,J$39,K371&lt;K$41,J$40,K371&lt;K$42,J$41,K371&lt;K$43,J$42,K371&lt;K$44,J$43,K371&lt;K$45,J$44,K371&lt;K$46,J$45,K371&lt;K$47,J$46,K371&gt;=K$47,J$47)</f>
        <v/>
      </c>
      <c r="K371" s="38" t="n">
        <v>321</v>
      </c>
      <c r="L371" s="31">
        <f>K371/52</f>
        <v/>
      </c>
      <c r="M371" s="39">
        <f>J371/1000000*52</f>
        <v/>
      </c>
      <c r="N371" s="33">
        <f>M371/$P$4+($I$22/$P$4)</f>
        <v/>
      </c>
      <c r="U371">
        <f>F370</f>
        <v/>
      </c>
      <c r="V371">
        <f>H370</f>
        <v/>
      </c>
      <c r="W371">
        <f>N370</f>
        <v/>
      </c>
    </row>
    <row r="372" ht="15.75" customHeight="1" s="40">
      <c r="C372" s="36">
        <f>_xlfn.IFS(E372&lt;E$24,0,E372&lt;E$26,C$24,E372&lt;E$28,C$26,E372&lt;E$30,C$28,E372&lt;E$32,C$30,E372&lt;E$34,C$32,E372&gt;=E$34,C$34)</f>
        <v/>
      </c>
      <c r="D372" s="37">
        <f>_xlfn.IFS(E372&lt;E$24,0,E372&lt;E$25,D$24,E372&lt;E$26,D$25,E372&lt;E$27,D$26,E372&lt;E$28,D$27,E372&lt;E$29,D$28,E372&lt;E$30,D$29,E372&lt;E$31,D$30,E372&lt;E$32,D$31,E372&lt;E$33,D$32,E372&lt;E$34,D$33,E372&lt;E$35,D$34,E372&gt;=E$35,D$35)</f>
        <v/>
      </c>
      <c r="E372" s="38" t="n">
        <v>322</v>
      </c>
      <c r="F372" s="31">
        <f>E372/52</f>
        <v/>
      </c>
      <c r="G372" s="39">
        <f>D372/1000000*52</f>
        <v/>
      </c>
      <c r="H372" s="33">
        <f>G372/$P$4+($C$22/$P$4)</f>
        <v/>
      </c>
      <c r="I372" s="36">
        <f>_xlfn.IFS(K372&lt;K$24,0,K372&lt;K$26,I$24,K372&lt;K$28,I$26,K372&lt;K$30,I$28,K372&lt;K$32,I$30,K372&lt;K$34,I$32,K372&lt;K$36,I$34,K372&lt;K$38,I$36,K372&lt;K$40,I$38,K372&lt;K$42,I$40,K372&lt;K$44,I$42,K372&lt;K$46,I$44,K372&gt;=K$46,I$46)</f>
        <v/>
      </c>
      <c r="J372" s="37">
        <f>_xlfn.IFS(K372&lt;K$24,0,K372&lt;K$25,J$24,K372&lt;K$26,J$25,K372&lt;K$27,J$26,K372&lt;K$28,J$27,K372&lt;K$29,J$28,K372&lt;K$30,J$29,K372&lt;K$31,J$30,K372&lt;K$32,J$31,K372&lt;K$33,J$32,K372&lt;K$34,J$33,K372&lt;K$35,J$34,K372&lt;K$36,J$35,K372&lt;K$37,J$36,K372&lt;K$38,J$37,K372&lt;K$39,J$38,K372&lt;K$40,J$39,K372&lt;K$41,J$40,K372&lt;K$42,J$41,K372&lt;K$43,J$42,K372&lt;K$44,J$43,K372&lt;K$45,J$44,K372&lt;K$46,J$45,K372&lt;K$47,J$46,K372&gt;=K$47,J$47)</f>
        <v/>
      </c>
      <c r="K372" s="38" t="n">
        <v>322</v>
      </c>
      <c r="L372" s="31">
        <f>K372/52</f>
        <v/>
      </c>
      <c r="M372" s="39">
        <f>J372/1000000*52</f>
        <v/>
      </c>
      <c r="N372" s="33">
        <f>M372/$P$4+($I$22/$P$4)</f>
        <v/>
      </c>
      <c r="U372">
        <f>F371</f>
        <v/>
      </c>
      <c r="V372">
        <f>H371</f>
        <v/>
      </c>
      <c r="W372">
        <f>N371</f>
        <v/>
      </c>
    </row>
    <row r="373" ht="15.75" customHeight="1" s="40">
      <c r="C373" s="36">
        <f>_xlfn.IFS(E373&lt;E$24,0,E373&lt;E$26,C$24,E373&lt;E$28,C$26,E373&lt;E$30,C$28,E373&lt;E$32,C$30,E373&lt;E$34,C$32,E373&gt;=E$34,C$34)</f>
        <v/>
      </c>
      <c r="D373" s="37">
        <f>_xlfn.IFS(E373&lt;E$24,0,E373&lt;E$25,D$24,E373&lt;E$26,D$25,E373&lt;E$27,D$26,E373&lt;E$28,D$27,E373&lt;E$29,D$28,E373&lt;E$30,D$29,E373&lt;E$31,D$30,E373&lt;E$32,D$31,E373&lt;E$33,D$32,E373&lt;E$34,D$33,E373&lt;E$35,D$34,E373&gt;=E$35,D$35)</f>
        <v/>
      </c>
      <c r="E373" s="38" t="n">
        <v>323</v>
      </c>
      <c r="F373" s="31">
        <f>E373/52</f>
        <v/>
      </c>
      <c r="G373" s="39">
        <f>D373/1000000*52</f>
        <v/>
      </c>
      <c r="H373" s="33">
        <f>G373/$P$4+($C$22/$P$4)</f>
        <v/>
      </c>
      <c r="I373" s="36">
        <f>_xlfn.IFS(K373&lt;K$24,0,K373&lt;K$26,I$24,K373&lt;K$28,I$26,K373&lt;K$30,I$28,K373&lt;K$32,I$30,K373&lt;K$34,I$32,K373&lt;K$36,I$34,K373&lt;K$38,I$36,K373&lt;K$40,I$38,K373&lt;K$42,I$40,K373&lt;K$44,I$42,K373&lt;K$46,I$44,K373&gt;=K$46,I$46)</f>
        <v/>
      </c>
      <c r="J373" s="37">
        <f>_xlfn.IFS(K373&lt;K$24,0,K373&lt;K$25,J$24,K373&lt;K$26,J$25,K373&lt;K$27,J$26,K373&lt;K$28,J$27,K373&lt;K$29,J$28,K373&lt;K$30,J$29,K373&lt;K$31,J$30,K373&lt;K$32,J$31,K373&lt;K$33,J$32,K373&lt;K$34,J$33,K373&lt;K$35,J$34,K373&lt;K$36,J$35,K373&lt;K$37,J$36,K373&lt;K$38,J$37,K373&lt;K$39,J$38,K373&lt;K$40,J$39,K373&lt;K$41,J$40,K373&lt;K$42,J$41,K373&lt;K$43,J$42,K373&lt;K$44,J$43,K373&lt;K$45,J$44,K373&lt;K$46,J$45,K373&lt;K$47,J$46,K373&gt;=K$47,J$47)</f>
        <v/>
      </c>
      <c r="K373" s="38" t="n">
        <v>323</v>
      </c>
      <c r="L373" s="31">
        <f>K373/52</f>
        <v/>
      </c>
      <c r="M373" s="39">
        <f>J373/1000000*52</f>
        <v/>
      </c>
      <c r="N373" s="33">
        <f>M373/$P$4+($I$22/$P$4)</f>
        <v/>
      </c>
      <c r="U373">
        <f>F372</f>
        <v/>
      </c>
      <c r="V373">
        <f>H372</f>
        <v/>
      </c>
      <c r="W373">
        <f>N372</f>
        <v/>
      </c>
    </row>
    <row r="374" ht="15.75" customHeight="1" s="40">
      <c r="C374" s="36">
        <f>_xlfn.IFS(E374&lt;E$24,0,E374&lt;E$26,C$24,E374&lt;E$28,C$26,E374&lt;E$30,C$28,E374&lt;E$32,C$30,E374&lt;E$34,C$32,E374&gt;=E$34,C$34)</f>
        <v/>
      </c>
      <c r="D374" s="37">
        <f>_xlfn.IFS(E374&lt;E$24,0,E374&lt;E$25,D$24,E374&lt;E$26,D$25,E374&lt;E$27,D$26,E374&lt;E$28,D$27,E374&lt;E$29,D$28,E374&lt;E$30,D$29,E374&lt;E$31,D$30,E374&lt;E$32,D$31,E374&lt;E$33,D$32,E374&lt;E$34,D$33,E374&lt;E$35,D$34,E374&gt;=E$35,D$35)</f>
        <v/>
      </c>
      <c r="E374" s="38" t="n">
        <v>324</v>
      </c>
      <c r="F374" s="31">
        <f>E374/52</f>
        <v/>
      </c>
      <c r="G374" s="39">
        <f>D374/1000000*52</f>
        <v/>
      </c>
      <c r="H374" s="33">
        <f>G374/$P$4+($C$22/$P$4)</f>
        <v/>
      </c>
      <c r="I374" s="36">
        <f>_xlfn.IFS(K374&lt;K$24,0,K374&lt;K$26,I$24,K374&lt;K$28,I$26,K374&lt;K$30,I$28,K374&lt;K$32,I$30,K374&lt;K$34,I$32,K374&lt;K$36,I$34,K374&lt;K$38,I$36,K374&lt;K$40,I$38,K374&lt;K$42,I$40,K374&lt;K$44,I$42,K374&lt;K$46,I$44,K374&gt;=K$46,I$46)</f>
        <v/>
      </c>
      <c r="J374" s="37">
        <f>_xlfn.IFS(K374&lt;K$24,0,K374&lt;K$25,J$24,K374&lt;K$26,J$25,K374&lt;K$27,J$26,K374&lt;K$28,J$27,K374&lt;K$29,J$28,K374&lt;K$30,J$29,K374&lt;K$31,J$30,K374&lt;K$32,J$31,K374&lt;K$33,J$32,K374&lt;K$34,J$33,K374&lt;K$35,J$34,K374&lt;K$36,J$35,K374&lt;K$37,J$36,K374&lt;K$38,J$37,K374&lt;K$39,J$38,K374&lt;K$40,J$39,K374&lt;K$41,J$40,K374&lt;K$42,J$41,K374&lt;K$43,J$42,K374&lt;K$44,J$43,K374&lt;K$45,J$44,K374&lt;K$46,J$45,K374&lt;K$47,J$46,K374&gt;=K$47,J$47)</f>
        <v/>
      </c>
      <c r="K374" s="38" t="n">
        <v>324</v>
      </c>
      <c r="L374" s="31">
        <f>K374/52</f>
        <v/>
      </c>
      <c r="M374" s="39">
        <f>J374/1000000*52</f>
        <v/>
      </c>
      <c r="N374" s="33">
        <f>M374/$P$4+($I$22/$P$4)</f>
        <v/>
      </c>
      <c r="U374">
        <f>F373</f>
        <v/>
      </c>
      <c r="V374">
        <f>H373</f>
        <v/>
      </c>
      <c r="W374">
        <f>N373</f>
        <v/>
      </c>
    </row>
    <row r="375" ht="15.75" customHeight="1" s="40">
      <c r="C375" s="36">
        <f>_xlfn.IFS(E375&lt;E$24,0,E375&lt;E$26,C$24,E375&lt;E$28,C$26,E375&lt;E$30,C$28,E375&lt;E$32,C$30,E375&lt;E$34,C$32,E375&gt;=E$34,C$34)</f>
        <v/>
      </c>
      <c r="D375" s="37">
        <f>_xlfn.IFS(E375&lt;E$24,0,E375&lt;E$25,D$24,E375&lt;E$26,D$25,E375&lt;E$27,D$26,E375&lt;E$28,D$27,E375&lt;E$29,D$28,E375&lt;E$30,D$29,E375&lt;E$31,D$30,E375&lt;E$32,D$31,E375&lt;E$33,D$32,E375&lt;E$34,D$33,E375&lt;E$35,D$34,E375&gt;=E$35,D$35)</f>
        <v/>
      </c>
      <c r="E375" s="38" t="n">
        <v>325</v>
      </c>
      <c r="F375" s="31">
        <f>E375/52</f>
        <v/>
      </c>
      <c r="G375" s="39">
        <f>D375/1000000*52</f>
        <v/>
      </c>
      <c r="H375" s="33">
        <f>G375/$P$4+($C$22/$P$4)</f>
        <v/>
      </c>
      <c r="I375" s="36">
        <f>_xlfn.IFS(K375&lt;K$24,0,K375&lt;K$26,I$24,K375&lt;K$28,I$26,K375&lt;K$30,I$28,K375&lt;K$32,I$30,K375&lt;K$34,I$32,K375&lt;K$36,I$34,K375&lt;K$38,I$36,K375&lt;K$40,I$38,K375&lt;K$42,I$40,K375&lt;K$44,I$42,K375&lt;K$46,I$44,K375&gt;=K$46,I$46)</f>
        <v/>
      </c>
      <c r="J375" s="37">
        <f>_xlfn.IFS(K375&lt;K$24,0,K375&lt;K$25,J$24,K375&lt;K$26,J$25,K375&lt;K$27,J$26,K375&lt;K$28,J$27,K375&lt;K$29,J$28,K375&lt;K$30,J$29,K375&lt;K$31,J$30,K375&lt;K$32,J$31,K375&lt;K$33,J$32,K375&lt;K$34,J$33,K375&lt;K$35,J$34,K375&lt;K$36,J$35,K375&lt;K$37,J$36,K375&lt;K$38,J$37,K375&lt;K$39,J$38,K375&lt;K$40,J$39,K375&lt;K$41,J$40,K375&lt;K$42,J$41,K375&lt;K$43,J$42,K375&lt;K$44,J$43,K375&lt;K$45,J$44,K375&lt;K$46,J$45,K375&lt;K$47,J$46,K375&gt;=K$47,J$47)</f>
        <v/>
      </c>
      <c r="K375" s="38" t="n">
        <v>325</v>
      </c>
      <c r="L375" s="31">
        <f>K375/52</f>
        <v/>
      </c>
      <c r="M375" s="39">
        <f>J375/1000000*52</f>
        <v/>
      </c>
      <c r="N375" s="33">
        <f>M375/$P$4+($I$22/$P$4)</f>
        <v/>
      </c>
      <c r="U375">
        <f>F374</f>
        <v/>
      </c>
      <c r="V375">
        <f>H374</f>
        <v/>
      </c>
      <c r="W375">
        <f>N374</f>
        <v/>
      </c>
    </row>
    <row r="376" ht="15.75" customHeight="1" s="40">
      <c r="C376" s="36">
        <f>_xlfn.IFS(E376&lt;E$24,0,E376&lt;E$26,C$24,E376&lt;E$28,C$26,E376&lt;E$30,C$28,E376&lt;E$32,C$30,E376&lt;E$34,C$32,E376&gt;=E$34,C$34)</f>
        <v/>
      </c>
      <c r="D376" s="37">
        <f>_xlfn.IFS(E376&lt;E$24,0,E376&lt;E$25,D$24,E376&lt;E$26,D$25,E376&lt;E$27,D$26,E376&lt;E$28,D$27,E376&lt;E$29,D$28,E376&lt;E$30,D$29,E376&lt;E$31,D$30,E376&lt;E$32,D$31,E376&lt;E$33,D$32,E376&lt;E$34,D$33,E376&lt;E$35,D$34,E376&gt;=E$35,D$35)</f>
        <v/>
      </c>
      <c r="E376" s="38" t="n">
        <v>326</v>
      </c>
      <c r="F376" s="31">
        <f>E376/52</f>
        <v/>
      </c>
      <c r="G376" s="39">
        <f>D376/1000000*52</f>
        <v/>
      </c>
      <c r="H376" s="33">
        <f>G376/$P$4+($C$22/$P$4)</f>
        <v/>
      </c>
      <c r="I376" s="36">
        <f>_xlfn.IFS(K376&lt;K$24,0,K376&lt;K$26,I$24,K376&lt;K$28,I$26,K376&lt;K$30,I$28,K376&lt;K$32,I$30,K376&lt;K$34,I$32,K376&lt;K$36,I$34,K376&lt;K$38,I$36,K376&lt;K$40,I$38,K376&lt;K$42,I$40,K376&lt;K$44,I$42,K376&lt;K$46,I$44,K376&gt;=K$46,I$46)</f>
        <v/>
      </c>
      <c r="J376" s="37">
        <f>_xlfn.IFS(K376&lt;K$24,0,K376&lt;K$25,J$24,K376&lt;K$26,J$25,K376&lt;K$27,J$26,K376&lt;K$28,J$27,K376&lt;K$29,J$28,K376&lt;K$30,J$29,K376&lt;K$31,J$30,K376&lt;K$32,J$31,K376&lt;K$33,J$32,K376&lt;K$34,J$33,K376&lt;K$35,J$34,K376&lt;K$36,J$35,K376&lt;K$37,J$36,K376&lt;K$38,J$37,K376&lt;K$39,J$38,K376&lt;K$40,J$39,K376&lt;K$41,J$40,K376&lt;K$42,J$41,K376&lt;K$43,J$42,K376&lt;K$44,J$43,K376&lt;K$45,J$44,K376&lt;K$46,J$45,K376&lt;K$47,J$46,K376&gt;=K$47,J$47)</f>
        <v/>
      </c>
      <c r="K376" s="38" t="n">
        <v>326</v>
      </c>
      <c r="L376" s="31">
        <f>K376/52</f>
        <v/>
      </c>
      <c r="M376" s="39">
        <f>J376/1000000*52</f>
        <v/>
      </c>
      <c r="N376" s="33">
        <f>M376/$P$4+($I$22/$P$4)</f>
        <v/>
      </c>
      <c r="U376">
        <f>F375</f>
        <v/>
      </c>
      <c r="V376">
        <f>H375</f>
        <v/>
      </c>
      <c r="W376">
        <f>N375</f>
        <v/>
      </c>
    </row>
    <row r="377" ht="15.75" customHeight="1" s="40">
      <c r="C377" s="36">
        <f>_xlfn.IFS(E377&lt;E$24,0,E377&lt;E$26,C$24,E377&lt;E$28,C$26,E377&lt;E$30,C$28,E377&lt;E$32,C$30,E377&lt;E$34,C$32,E377&gt;=E$34,C$34)</f>
        <v/>
      </c>
      <c r="D377" s="37">
        <f>_xlfn.IFS(E377&lt;E$24,0,E377&lt;E$25,D$24,E377&lt;E$26,D$25,E377&lt;E$27,D$26,E377&lt;E$28,D$27,E377&lt;E$29,D$28,E377&lt;E$30,D$29,E377&lt;E$31,D$30,E377&lt;E$32,D$31,E377&lt;E$33,D$32,E377&lt;E$34,D$33,E377&lt;E$35,D$34,E377&gt;=E$35,D$35)</f>
        <v/>
      </c>
      <c r="E377" s="38" t="n">
        <v>327</v>
      </c>
      <c r="F377" s="31">
        <f>E377/52</f>
        <v/>
      </c>
      <c r="G377" s="39">
        <f>D377/1000000*52</f>
        <v/>
      </c>
      <c r="H377" s="33">
        <f>G377/$P$4+($C$22/$P$4)</f>
        <v/>
      </c>
      <c r="I377" s="36">
        <f>_xlfn.IFS(K377&lt;K$24,0,K377&lt;K$26,I$24,K377&lt;K$28,I$26,K377&lt;K$30,I$28,K377&lt;K$32,I$30,K377&lt;K$34,I$32,K377&lt;K$36,I$34,K377&lt;K$38,I$36,K377&lt;K$40,I$38,K377&lt;K$42,I$40,K377&lt;K$44,I$42,K377&lt;K$46,I$44,K377&gt;=K$46,I$46)</f>
        <v/>
      </c>
      <c r="J377" s="37">
        <f>_xlfn.IFS(K377&lt;K$24,0,K377&lt;K$25,J$24,K377&lt;K$26,J$25,K377&lt;K$27,J$26,K377&lt;K$28,J$27,K377&lt;K$29,J$28,K377&lt;K$30,J$29,K377&lt;K$31,J$30,K377&lt;K$32,J$31,K377&lt;K$33,J$32,K377&lt;K$34,J$33,K377&lt;K$35,J$34,K377&lt;K$36,J$35,K377&lt;K$37,J$36,K377&lt;K$38,J$37,K377&lt;K$39,J$38,K377&lt;K$40,J$39,K377&lt;K$41,J$40,K377&lt;K$42,J$41,K377&lt;K$43,J$42,K377&lt;K$44,J$43,K377&lt;K$45,J$44,K377&lt;K$46,J$45,K377&lt;K$47,J$46,K377&gt;=K$47,J$47)</f>
        <v/>
      </c>
      <c r="K377" s="38" t="n">
        <v>327</v>
      </c>
      <c r="L377" s="31">
        <f>K377/52</f>
        <v/>
      </c>
      <c r="M377" s="39">
        <f>J377/1000000*52</f>
        <v/>
      </c>
      <c r="N377" s="33">
        <f>M377/$P$4+($I$22/$P$4)</f>
        <v/>
      </c>
      <c r="U377">
        <f>F376</f>
        <v/>
      </c>
      <c r="V377">
        <f>H376</f>
        <v/>
      </c>
      <c r="W377">
        <f>N376</f>
        <v/>
      </c>
    </row>
    <row r="378" ht="15.75" customHeight="1" s="40">
      <c r="C378" s="36">
        <f>_xlfn.IFS(E378&lt;E$24,0,E378&lt;E$26,C$24,E378&lt;E$28,C$26,E378&lt;E$30,C$28,E378&lt;E$32,C$30,E378&lt;E$34,C$32,E378&gt;=E$34,C$34)</f>
        <v/>
      </c>
      <c r="D378" s="37">
        <f>_xlfn.IFS(E378&lt;E$24,0,E378&lt;E$25,D$24,E378&lt;E$26,D$25,E378&lt;E$27,D$26,E378&lt;E$28,D$27,E378&lt;E$29,D$28,E378&lt;E$30,D$29,E378&lt;E$31,D$30,E378&lt;E$32,D$31,E378&lt;E$33,D$32,E378&lt;E$34,D$33,E378&lt;E$35,D$34,E378&gt;=E$35,D$35)</f>
        <v/>
      </c>
      <c r="E378" s="38" t="n">
        <v>328</v>
      </c>
      <c r="F378" s="31">
        <f>E378/52</f>
        <v/>
      </c>
      <c r="G378" s="39">
        <f>D378/1000000*52</f>
        <v/>
      </c>
      <c r="H378" s="33">
        <f>G378/$P$4+($C$22/$P$4)</f>
        <v/>
      </c>
      <c r="I378" s="36">
        <f>_xlfn.IFS(K378&lt;K$24,0,K378&lt;K$26,I$24,K378&lt;K$28,I$26,K378&lt;K$30,I$28,K378&lt;K$32,I$30,K378&lt;K$34,I$32,K378&lt;K$36,I$34,K378&lt;K$38,I$36,K378&lt;K$40,I$38,K378&lt;K$42,I$40,K378&lt;K$44,I$42,K378&lt;K$46,I$44,K378&gt;=K$46,I$46)</f>
        <v/>
      </c>
      <c r="J378" s="37">
        <f>_xlfn.IFS(K378&lt;K$24,0,K378&lt;K$25,J$24,K378&lt;K$26,J$25,K378&lt;K$27,J$26,K378&lt;K$28,J$27,K378&lt;K$29,J$28,K378&lt;K$30,J$29,K378&lt;K$31,J$30,K378&lt;K$32,J$31,K378&lt;K$33,J$32,K378&lt;K$34,J$33,K378&lt;K$35,J$34,K378&lt;K$36,J$35,K378&lt;K$37,J$36,K378&lt;K$38,J$37,K378&lt;K$39,J$38,K378&lt;K$40,J$39,K378&lt;K$41,J$40,K378&lt;K$42,J$41,K378&lt;K$43,J$42,K378&lt;K$44,J$43,K378&lt;K$45,J$44,K378&lt;K$46,J$45,K378&lt;K$47,J$46,K378&gt;=K$47,J$47)</f>
        <v/>
      </c>
      <c r="K378" s="38" t="n">
        <v>328</v>
      </c>
      <c r="L378" s="31">
        <f>K378/52</f>
        <v/>
      </c>
      <c r="M378" s="39">
        <f>J378/1000000*52</f>
        <v/>
      </c>
      <c r="N378" s="33">
        <f>M378/$P$4+($I$22/$P$4)</f>
        <v/>
      </c>
      <c r="U378">
        <f>F377</f>
        <v/>
      </c>
      <c r="V378">
        <f>H377</f>
        <v/>
      </c>
      <c r="W378">
        <f>N377</f>
        <v/>
      </c>
    </row>
    <row r="379" ht="15.75" customHeight="1" s="40">
      <c r="C379" s="36">
        <f>_xlfn.IFS(E379&lt;E$24,0,E379&lt;E$26,C$24,E379&lt;E$28,C$26,E379&lt;E$30,C$28,E379&lt;E$32,C$30,E379&lt;E$34,C$32,E379&gt;=E$34,C$34)</f>
        <v/>
      </c>
      <c r="D379" s="37">
        <f>_xlfn.IFS(E379&lt;E$24,0,E379&lt;E$25,D$24,E379&lt;E$26,D$25,E379&lt;E$27,D$26,E379&lt;E$28,D$27,E379&lt;E$29,D$28,E379&lt;E$30,D$29,E379&lt;E$31,D$30,E379&lt;E$32,D$31,E379&lt;E$33,D$32,E379&lt;E$34,D$33,E379&lt;E$35,D$34,E379&gt;=E$35,D$35)</f>
        <v/>
      </c>
      <c r="E379" s="38" t="n">
        <v>329</v>
      </c>
      <c r="F379" s="31">
        <f>E379/52</f>
        <v/>
      </c>
      <c r="G379" s="39">
        <f>D379/1000000*52</f>
        <v/>
      </c>
      <c r="H379" s="33">
        <f>G379/$P$4+($C$22/$P$4)</f>
        <v/>
      </c>
      <c r="I379" s="36">
        <f>_xlfn.IFS(K379&lt;K$24,0,K379&lt;K$26,I$24,K379&lt;K$28,I$26,K379&lt;K$30,I$28,K379&lt;K$32,I$30,K379&lt;K$34,I$32,K379&lt;K$36,I$34,K379&lt;K$38,I$36,K379&lt;K$40,I$38,K379&lt;K$42,I$40,K379&lt;K$44,I$42,K379&lt;K$46,I$44,K379&gt;=K$46,I$46)</f>
        <v/>
      </c>
      <c r="J379" s="37">
        <f>_xlfn.IFS(K379&lt;K$24,0,K379&lt;K$25,J$24,K379&lt;K$26,J$25,K379&lt;K$27,J$26,K379&lt;K$28,J$27,K379&lt;K$29,J$28,K379&lt;K$30,J$29,K379&lt;K$31,J$30,K379&lt;K$32,J$31,K379&lt;K$33,J$32,K379&lt;K$34,J$33,K379&lt;K$35,J$34,K379&lt;K$36,J$35,K379&lt;K$37,J$36,K379&lt;K$38,J$37,K379&lt;K$39,J$38,K379&lt;K$40,J$39,K379&lt;K$41,J$40,K379&lt;K$42,J$41,K379&lt;K$43,J$42,K379&lt;K$44,J$43,K379&lt;K$45,J$44,K379&lt;K$46,J$45,K379&lt;K$47,J$46,K379&gt;=K$47,J$47)</f>
        <v/>
      </c>
      <c r="K379" s="38" t="n">
        <v>329</v>
      </c>
      <c r="L379" s="31">
        <f>K379/52</f>
        <v/>
      </c>
      <c r="M379" s="39">
        <f>J379/1000000*52</f>
        <v/>
      </c>
      <c r="N379" s="33">
        <f>M379/$P$4+($I$22/$P$4)</f>
        <v/>
      </c>
      <c r="U379">
        <f>F378</f>
        <v/>
      </c>
      <c r="V379">
        <f>H378</f>
        <v/>
      </c>
      <c r="W379">
        <f>N378</f>
        <v/>
      </c>
    </row>
    <row r="380" ht="15.75" customHeight="1" s="40">
      <c r="C380" s="36">
        <f>_xlfn.IFS(E380&lt;E$24,0,E380&lt;E$26,C$24,E380&lt;E$28,C$26,E380&lt;E$30,C$28,E380&lt;E$32,C$30,E380&lt;E$34,C$32,E380&gt;=E$34,C$34)</f>
        <v/>
      </c>
      <c r="D380" s="37">
        <f>_xlfn.IFS(E380&lt;E$24,0,E380&lt;E$25,D$24,E380&lt;E$26,D$25,E380&lt;E$27,D$26,E380&lt;E$28,D$27,E380&lt;E$29,D$28,E380&lt;E$30,D$29,E380&lt;E$31,D$30,E380&lt;E$32,D$31,E380&lt;E$33,D$32,E380&lt;E$34,D$33,E380&lt;E$35,D$34,E380&gt;=E$35,D$35)</f>
        <v/>
      </c>
      <c r="E380" s="38" t="n">
        <v>330</v>
      </c>
      <c r="F380" s="31">
        <f>E380/52</f>
        <v/>
      </c>
      <c r="G380" s="39">
        <f>D380/1000000*52</f>
        <v/>
      </c>
      <c r="H380" s="33">
        <f>G380/$P$4+($C$22/$P$4)</f>
        <v/>
      </c>
      <c r="I380" s="36">
        <f>_xlfn.IFS(K380&lt;K$24,0,K380&lt;K$26,I$24,K380&lt;K$28,I$26,K380&lt;K$30,I$28,K380&lt;K$32,I$30,K380&lt;K$34,I$32,K380&lt;K$36,I$34,K380&lt;K$38,I$36,K380&lt;K$40,I$38,K380&lt;K$42,I$40,K380&lt;K$44,I$42,K380&lt;K$46,I$44,K380&gt;=K$46,I$46)</f>
        <v/>
      </c>
      <c r="J380" s="37">
        <f>_xlfn.IFS(K380&lt;K$24,0,K380&lt;K$25,J$24,K380&lt;K$26,J$25,K380&lt;K$27,J$26,K380&lt;K$28,J$27,K380&lt;K$29,J$28,K380&lt;K$30,J$29,K380&lt;K$31,J$30,K380&lt;K$32,J$31,K380&lt;K$33,J$32,K380&lt;K$34,J$33,K380&lt;K$35,J$34,K380&lt;K$36,J$35,K380&lt;K$37,J$36,K380&lt;K$38,J$37,K380&lt;K$39,J$38,K380&lt;K$40,J$39,K380&lt;K$41,J$40,K380&lt;K$42,J$41,K380&lt;K$43,J$42,K380&lt;K$44,J$43,K380&lt;K$45,J$44,K380&lt;K$46,J$45,K380&lt;K$47,J$46,K380&gt;=K$47,J$47)</f>
        <v/>
      </c>
      <c r="K380" s="38" t="n">
        <v>330</v>
      </c>
      <c r="L380" s="31">
        <f>K380/52</f>
        <v/>
      </c>
      <c r="M380" s="39">
        <f>J380/1000000*52</f>
        <v/>
      </c>
      <c r="N380" s="33">
        <f>M380/$P$4+($I$22/$P$4)</f>
        <v/>
      </c>
      <c r="U380">
        <f>F379</f>
        <v/>
      </c>
      <c r="V380">
        <f>H379</f>
        <v/>
      </c>
      <c r="W380">
        <f>N379</f>
        <v/>
      </c>
    </row>
    <row r="381" ht="15.75" customHeight="1" s="40">
      <c r="C381" s="36">
        <f>_xlfn.IFS(E381&lt;E$24,0,E381&lt;E$26,C$24,E381&lt;E$28,C$26,E381&lt;E$30,C$28,E381&lt;E$32,C$30,E381&lt;E$34,C$32,E381&gt;=E$34,C$34)</f>
        <v/>
      </c>
      <c r="D381" s="37">
        <f>_xlfn.IFS(E381&lt;E$24,0,E381&lt;E$25,D$24,E381&lt;E$26,D$25,E381&lt;E$27,D$26,E381&lt;E$28,D$27,E381&lt;E$29,D$28,E381&lt;E$30,D$29,E381&lt;E$31,D$30,E381&lt;E$32,D$31,E381&lt;E$33,D$32,E381&lt;E$34,D$33,E381&lt;E$35,D$34,E381&gt;=E$35,D$35)</f>
        <v/>
      </c>
      <c r="E381" s="38" t="n">
        <v>331</v>
      </c>
      <c r="F381" s="31">
        <f>E381/52</f>
        <v/>
      </c>
      <c r="G381" s="39">
        <f>D381/1000000*52</f>
        <v/>
      </c>
      <c r="H381" s="33">
        <f>G381/$P$4+($C$22/$P$4)</f>
        <v/>
      </c>
      <c r="I381" s="36">
        <f>_xlfn.IFS(K381&lt;K$24,0,K381&lt;K$26,I$24,K381&lt;K$28,I$26,K381&lt;K$30,I$28,K381&lt;K$32,I$30,K381&lt;K$34,I$32,K381&lt;K$36,I$34,K381&lt;K$38,I$36,K381&lt;K$40,I$38,K381&lt;K$42,I$40,K381&lt;K$44,I$42,K381&lt;K$46,I$44,K381&gt;=K$46,I$46)</f>
        <v/>
      </c>
      <c r="J381" s="37">
        <f>_xlfn.IFS(K381&lt;K$24,0,K381&lt;K$25,J$24,K381&lt;K$26,J$25,K381&lt;K$27,J$26,K381&lt;K$28,J$27,K381&lt;K$29,J$28,K381&lt;K$30,J$29,K381&lt;K$31,J$30,K381&lt;K$32,J$31,K381&lt;K$33,J$32,K381&lt;K$34,J$33,K381&lt;K$35,J$34,K381&lt;K$36,J$35,K381&lt;K$37,J$36,K381&lt;K$38,J$37,K381&lt;K$39,J$38,K381&lt;K$40,J$39,K381&lt;K$41,J$40,K381&lt;K$42,J$41,K381&lt;K$43,J$42,K381&lt;K$44,J$43,K381&lt;K$45,J$44,K381&lt;K$46,J$45,K381&lt;K$47,J$46,K381&gt;=K$47,J$47)</f>
        <v/>
      </c>
      <c r="K381" s="38" t="n">
        <v>331</v>
      </c>
      <c r="L381" s="31">
        <f>K381/52</f>
        <v/>
      </c>
      <c r="M381" s="39">
        <f>J381/1000000*52</f>
        <v/>
      </c>
      <c r="N381" s="33">
        <f>M381/$P$4+($I$22/$P$4)</f>
        <v/>
      </c>
      <c r="U381">
        <f>F380</f>
        <v/>
      </c>
      <c r="V381">
        <f>H380</f>
        <v/>
      </c>
      <c r="W381">
        <f>N380</f>
        <v/>
      </c>
    </row>
    <row r="382" ht="15.75" customHeight="1" s="40">
      <c r="C382" s="36">
        <f>_xlfn.IFS(E382&lt;E$24,0,E382&lt;E$26,C$24,E382&lt;E$28,C$26,E382&lt;E$30,C$28,E382&lt;E$32,C$30,E382&lt;E$34,C$32,E382&gt;=E$34,C$34)</f>
        <v/>
      </c>
      <c r="D382" s="37">
        <f>_xlfn.IFS(E382&lt;E$24,0,E382&lt;E$25,D$24,E382&lt;E$26,D$25,E382&lt;E$27,D$26,E382&lt;E$28,D$27,E382&lt;E$29,D$28,E382&lt;E$30,D$29,E382&lt;E$31,D$30,E382&lt;E$32,D$31,E382&lt;E$33,D$32,E382&lt;E$34,D$33,E382&lt;E$35,D$34,E382&gt;=E$35,D$35)</f>
        <v/>
      </c>
      <c r="E382" s="38" t="n">
        <v>332</v>
      </c>
      <c r="F382" s="31">
        <f>E382/52</f>
        <v/>
      </c>
      <c r="G382" s="39">
        <f>D382/1000000*52</f>
        <v/>
      </c>
      <c r="H382" s="33">
        <f>G382/$P$4+($C$22/$P$4)</f>
        <v/>
      </c>
      <c r="I382" s="36">
        <f>_xlfn.IFS(K382&lt;K$24,0,K382&lt;K$26,I$24,K382&lt;K$28,I$26,K382&lt;K$30,I$28,K382&lt;K$32,I$30,K382&lt;K$34,I$32,K382&lt;K$36,I$34,K382&lt;K$38,I$36,K382&lt;K$40,I$38,K382&lt;K$42,I$40,K382&lt;K$44,I$42,K382&lt;K$46,I$44,K382&gt;=K$46,I$46)</f>
        <v/>
      </c>
      <c r="J382" s="37">
        <f>_xlfn.IFS(K382&lt;K$24,0,K382&lt;K$25,J$24,K382&lt;K$26,J$25,K382&lt;K$27,J$26,K382&lt;K$28,J$27,K382&lt;K$29,J$28,K382&lt;K$30,J$29,K382&lt;K$31,J$30,K382&lt;K$32,J$31,K382&lt;K$33,J$32,K382&lt;K$34,J$33,K382&lt;K$35,J$34,K382&lt;K$36,J$35,K382&lt;K$37,J$36,K382&lt;K$38,J$37,K382&lt;K$39,J$38,K382&lt;K$40,J$39,K382&lt;K$41,J$40,K382&lt;K$42,J$41,K382&lt;K$43,J$42,K382&lt;K$44,J$43,K382&lt;K$45,J$44,K382&lt;K$46,J$45,K382&lt;K$47,J$46,K382&gt;=K$47,J$47)</f>
        <v/>
      </c>
      <c r="K382" s="38" t="n">
        <v>332</v>
      </c>
      <c r="L382" s="31">
        <f>K382/52</f>
        <v/>
      </c>
      <c r="M382" s="39">
        <f>J382/1000000*52</f>
        <v/>
      </c>
      <c r="N382" s="33">
        <f>M382/$P$4+($I$22/$P$4)</f>
        <v/>
      </c>
      <c r="U382">
        <f>F381</f>
        <v/>
      </c>
      <c r="V382">
        <f>H381</f>
        <v/>
      </c>
      <c r="W382">
        <f>N381</f>
        <v/>
      </c>
    </row>
    <row r="383" ht="15.75" customHeight="1" s="40">
      <c r="C383" s="36">
        <f>_xlfn.IFS(E383&lt;E$24,0,E383&lt;E$26,C$24,E383&lt;E$28,C$26,E383&lt;E$30,C$28,E383&lt;E$32,C$30,E383&lt;E$34,C$32,E383&gt;=E$34,C$34)</f>
        <v/>
      </c>
      <c r="D383" s="37">
        <f>_xlfn.IFS(E383&lt;E$24,0,E383&lt;E$25,D$24,E383&lt;E$26,D$25,E383&lt;E$27,D$26,E383&lt;E$28,D$27,E383&lt;E$29,D$28,E383&lt;E$30,D$29,E383&lt;E$31,D$30,E383&lt;E$32,D$31,E383&lt;E$33,D$32,E383&lt;E$34,D$33,E383&lt;E$35,D$34,E383&gt;=E$35,D$35)</f>
        <v/>
      </c>
      <c r="E383" s="38" t="n">
        <v>333</v>
      </c>
      <c r="F383" s="31">
        <f>E383/52</f>
        <v/>
      </c>
      <c r="G383" s="39">
        <f>D383/1000000*52</f>
        <v/>
      </c>
      <c r="H383" s="33">
        <f>G383/$P$4+($C$22/$P$4)</f>
        <v/>
      </c>
      <c r="I383" s="36">
        <f>_xlfn.IFS(K383&lt;K$24,0,K383&lt;K$26,I$24,K383&lt;K$28,I$26,K383&lt;K$30,I$28,K383&lt;K$32,I$30,K383&lt;K$34,I$32,K383&lt;K$36,I$34,K383&lt;K$38,I$36,K383&lt;K$40,I$38,K383&lt;K$42,I$40,K383&lt;K$44,I$42,K383&lt;K$46,I$44,K383&gt;=K$46,I$46)</f>
        <v/>
      </c>
      <c r="J383" s="37">
        <f>_xlfn.IFS(K383&lt;K$24,0,K383&lt;K$25,J$24,K383&lt;K$26,J$25,K383&lt;K$27,J$26,K383&lt;K$28,J$27,K383&lt;K$29,J$28,K383&lt;K$30,J$29,K383&lt;K$31,J$30,K383&lt;K$32,J$31,K383&lt;K$33,J$32,K383&lt;K$34,J$33,K383&lt;K$35,J$34,K383&lt;K$36,J$35,K383&lt;K$37,J$36,K383&lt;K$38,J$37,K383&lt;K$39,J$38,K383&lt;K$40,J$39,K383&lt;K$41,J$40,K383&lt;K$42,J$41,K383&lt;K$43,J$42,K383&lt;K$44,J$43,K383&lt;K$45,J$44,K383&lt;K$46,J$45,K383&lt;K$47,J$46,K383&gt;=K$47,J$47)</f>
        <v/>
      </c>
      <c r="K383" s="38" t="n">
        <v>333</v>
      </c>
      <c r="L383" s="31">
        <f>K383/52</f>
        <v/>
      </c>
      <c r="M383" s="39">
        <f>J383/1000000*52</f>
        <v/>
      </c>
      <c r="N383" s="33">
        <f>M383/$P$4+($I$22/$P$4)</f>
        <v/>
      </c>
      <c r="U383">
        <f>F382</f>
        <v/>
      </c>
      <c r="V383">
        <f>H382</f>
        <v/>
      </c>
      <c r="W383">
        <f>N382</f>
        <v/>
      </c>
    </row>
    <row r="384" ht="15.75" customHeight="1" s="40">
      <c r="C384" s="36">
        <f>_xlfn.IFS(E384&lt;E$24,0,E384&lt;E$26,C$24,E384&lt;E$28,C$26,E384&lt;E$30,C$28,E384&lt;E$32,C$30,E384&lt;E$34,C$32,E384&gt;=E$34,C$34)</f>
        <v/>
      </c>
      <c r="D384" s="37">
        <f>_xlfn.IFS(E384&lt;E$24,0,E384&lt;E$25,D$24,E384&lt;E$26,D$25,E384&lt;E$27,D$26,E384&lt;E$28,D$27,E384&lt;E$29,D$28,E384&lt;E$30,D$29,E384&lt;E$31,D$30,E384&lt;E$32,D$31,E384&lt;E$33,D$32,E384&lt;E$34,D$33,E384&lt;E$35,D$34,E384&gt;=E$35,D$35)</f>
        <v/>
      </c>
      <c r="E384" s="38" t="n">
        <v>334</v>
      </c>
      <c r="F384" s="31">
        <f>E384/52</f>
        <v/>
      </c>
      <c r="G384" s="39">
        <f>D384/1000000*52</f>
        <v/>
      </c>
      <c r="H384" s="33">
        <f>G384/$P$4+($C$22/$P$4)</f>
        <v/>
      </c>
      <c r="I384" s="36">
        <f>_xlfn.IFS(K384&lt;K$24,0,K384&lt;K$26,I$24,K384&lt;K$28,I$26,K384&lt;K$30,I$28,K384&lt;K$32,I$30,K384&lt;K$34,I$32,K384&lt;K$36,I$34,K384&lt;K$38,I$36,K384&lt;K$40,I$38,K384&lt;K$42,I$40,K384&lt;K$44,I$42,K384&lt;K$46,I$44,K384&gt;=K$46,I$46)</f>
        <v/>
      </c>
      <c r="J384" s="37">
        <f>_xlfn.IFS(K384&lt;K$24,0,K384&lt;K$25,J$24,K384&lt;K$26,J$25,K384&lt;K$27,J$26,K384&lt;K$28,J$27,K384&lt;K$29,J$28,K384&lt;K$30,J$29,K384&lt;K$31,J$30,K384&lt;K$32,J$31,K384&lt;K$33,J$32,K384&lt;K$34,J$33,K384&lt;K$35,J$34,K384&lt;K$36,J$35,K384&lt;K$37,J$36,K384&lt;K$38,J$37,K384&lt;K$39,J$38,K384&lt;K$40,J$39,K384&lt;K$41,J$40,K384&lt;K$42,J$41,K384&lt;K$43,J$42,K384&lt;K$44,J$43,K384&lt;K$45,J$44,K384&lt;K$46,J$45,K384&lt;K$47,J$46,K384&gt;=K$47,J$47)</f>
        <v/>
      </c>
      <c r="K384" s="38" t="n">
        <v>334</v>
      </c>
      <c r="L384" s="31">
        <f>K384/52</f>
        <v/>
      </c>
      <c r="M384" s="39">
        <f>J384/1000000*52</f>
        <v/>
      </c>
      <c r="N384" s="33">
        <f>M384/$P$4+($I$22/$P$4)</f>
        <v/>
      </c>
      <c r="U384">
        <f>F383</f>
        <v/>
      </c>
      <c r="V384">
        <f>H383</f>
        <v/>
      </c>
      <c r="W384">
        <f>N383</f>
        <v/>
      </c>
    </row>
    <row r="385" ht="15.75" customHeight="1" s="40">
      <c r="C385" s="36">
        <f>_xlfn.IFS(E385&lt;E$24,0,E385&lt;E$26,C$24,E385&lt;E$28,C$26,E385&lt;E$30,C$28,E385&lt;E$32,C$30,E385&lt;E$34,C$32,E385&gt;=E$34,C$34)</f>
        <v/>
      </c>
      <c r="D385" s="37">
        <f>_xlfn.IFS(E385&lt;E$24,0,E385&lt;E$25,D$24,E385&lt;E$26,D$25,E385&lt;E$27,D$26,E385&lt;E$28,D$27,E385&lt;E$29,D$28,E385&lt;E$30,D$29,E385&lt;E$31,D$30,E385&lt;E$32,D$31,E385&lt;E$33,D$32,E385&lt;E$34,D$33,E385&lt;E$35,D$34,E385&gt;=E$35,D$35)</f>
        <v/>
      </c>
      <c r="E385" s="38" t="n">
        <v>335</v>
      </c>
      <c r="F385" s="31">
        <f>E385/52</f>
        <v/>
      </c>
      <c r="G385" s="39">
        <f>D385/1000000*52</f>
        <v/>
      </c>
      <c r="H385" s="33">
        <f>G385/$P$4+($C$22/$P$4)</f>
        <v/>
      </c>
      <c r="I385" s="36">
        <f>_xlfn.IFS(K385&lt;K$24,0,K385&lt;K$26,I$24,K385&lt;K$28,I$26,K385&lt;K$30,I$28,K385&lt;K$32,I$30,K385&lt;K$34,I$32,K385&lt;K$36,I$34,K385&lt;K$38,I$36,K385&lt;K$40,I$38,K385&lt;K$42,I$40,K385&lt;K$44,I$42,K385&lt;K$46,I$44,K385&gt;=K$46,I$46)</f>
        <v/>
      </c>
      <c r="J385" s="37">
        <f>_xlfn.IFS(K385&lt;K$24,0,K385&lt;K$25,J$24,K385&lt;K$26,J$25,K385&lt;K$27,J$26,K385&lt;K$28,J$27,K385&lt;K$29,J$28,K385&lt;K$30,J$29,K385&lt;K$31,J$30,K385&lt;K$32,J$31,K385&lt;K$33,J$32,K385&lt;K$34,J$33,K385&lt;K$35,J$34,K385&lt;K$36,J$35,K385&lt;K$37,J$36,K385&lt;K$38,J$37,K385&lt;K$39,J$38,K385&lt;K$40,J$39,K385&lt;K$41,J$40,K385&lt;K$42,J$41,K385&lt;K$43,J$42,K385&lt;K$44,J$43,K385&lt;K$45,J$44,K385&lt;K$46,J$45,K385&lt;K$47,J$46,K385&gt;=K$47,J$47)</f>
        <v/>
      </c>
      <c r="K385" s="38" t="n">
        <v>335</v>
      </c>
      <c r="L385" s="31">
        <f>K385/52</f>
        <v/>
      </c>
      <c r="M385" s="39">
        <f>J385/1000000*52</f>
        <v/>
      </c>
      <c r="N385" s="33">
        <f>M385/$P$4+($I$22/$P$4)</f>
        <v/>
      </c>
      <c r="U385">
        <f>F384</f>
        <v/>
      </c>
      <c r="V385">
        <f>H384</f>
        <v/>
      </c>
      <c r="W385">
        <f>N384</f>
        <v/>
      </c>
    </row>
    <row r="386" ht="15.75" customHeight="1" s="40">
      <c r="C386" s="36">
        <f>_xlfn.IFS(E386&lt;E$24,0,E386&lt;E$26,C$24,E386&lt;E$28,C$26,E386&lt;E$30,C$28,E386&lt;E$32,C$30,E386&lt;E$34,C$32,E386&gt;=E$34,C$34)</f>
        <v/>
      </c>
      <c r="D386" s="37">
        <f>_xlfn.IFS(E386&lt;E$24,0,E386&lt;E$25,D$24,E386&lt;E$26,D$25,E386&lt;E$27,D$26,E386&lt;E$28,D$27,E386&lt;E$29,D$28,E386&lt;E$30,D$29,E386&lt;E$31,D$30,E386&lt;E$32,D$31,E386&lt;E$33,D$32,E386&lt;E$34,D$33,E386&lt;E$35,D$34,E386&gt;=E$35,D$35)</f>
        <v/>
      </c>
      <c r="E386" s="38" t="n">
        <v>336</v>
      </c>
      <c r="F386" s="31">
        <f>E386/52</f>
        <v/>
      </c>
      <c r="G386" s="39">
        <f>D386/1000000*52</f>
        <v/>
      </c>
      <c r="H386" s="33">
        <f>G386/$P$4+($C$22/$P$4)</f>
        <v/>
      </c>
      <c r="I386" s="36">
        <f>_xlfn.IFS(K386&lt;K$24,0,K386&lt;K$26,I$24,K386&lt;K$28,I$26,K386&lt;K$30,I$28,K386&lt;K$32,I$30,K386&lt;K$34,I$32,K386&lt;K$36,I$34,K386&lt;K$38,I$36,K386&lt;K$40,I$38,K386&lt;K$42,I$40,K386&lt;K$44,I$42,K386&lt;K$46,I$44,K386&gt;=K$46,I$46)</f>
        <v/>
      </c>
      <c r="J386" s="37">
        <f>_xlfn.IFS(K386&lt;K$24,0,K386&lt;K$25,J$24,K386&lt;K$26,J$25,K386&lt;K$27,J$26,K386&lt;K$28,J$27,K386&lt;K$29,J$28,K386&lt;K$30,J$29,K386&lt;K$31,J$30,K386&lt;K$32,J$31,K386&lt;K$33,J$32,K386&lt;K$34,J$33,K386&lt;K$35,J$34,K386&lt;K$36,J$35,K386&lt;K$37,J$36,K386&lt;K$38,J$37,K386&lt;K$39,J$38,K386&lt;K$40,J$39,K386&lt;K$41,J$40,K386&lt;K$42,J$41,K386&lt;K$43,J$42,K386&lt;K$44,J$43,K386&lt;K$45,J$44,K386&lt;K$46,J$45,K386&lt;K$47,J$46,K386&gt;=K$47,J$47)</f>
        <v/>
      </c>
      <c r="K386" s="38" t="n">
        <v>336</v>
      </c>
      <c r="L386" s="31">
        <f>K386/52</f>
        <v/>
      </c>
      <c r="M386" s="39">
        <f>J386/1000000*52</f>
        <v/>
      </c>
      <c r="N386" s="33">
        <f>M386/$P$4+($I$22/$P$4)</f>
        <v/>
      </c>
      <c r="U386">
        <f>F385</f>
        <v/>
      </c>
      <c r="V386">
        <f>H385</f>
        <v/>
      </c>
      <c r="W386">
        <f>N385</f>
        <v/>
      </c>
    </row>
    <row r="387" ht="15.75" customHeight="1" s="40">
      <c r="C387" s="36">
        <f>_xlfn.IFS(E387&lt;E$24,0,E387&lt;E$26,C$24,E387&lt;E$28,C$26,E387&lt;E$30,C$28,E387&lt;E$32,C$30,E387&lt;E$34,C$32,E387&gt;=E$34,C$34)</f>
        <v/>
      </c>
      <c r="D387" s="37">
        <f>_xlfn.IFS(E387&lt;E$24,0,E387&lt;E$25,D$24,E387&lt;E$26,D$25,E387&lt;E$27,D$26,E387&lt;E$28,D$27,E387&lt;E$29,D$28,E387&lt;E$30,D$29,E387&lt;E$31,D$30,E387&lt;E$32,D$31,E387&lt;E$33,D$32,E387&lt;E$34,D$33,E387&lt;E$35,D$34,E387&gt;=E$35,D$35)</f>
        <v/>
      </c>
      <c r="E387" s="38" t="n">
        <v>337</v>
      </c>
      <c r="F387" s="31">
        <f>E387/52</f>
        <v/>
      </c>
      <c r="G387" s="39">
        <f>D387/1000000*52</f>
        <v/>
      </c>
      <c r="H387" s="33">
        <f>G387/$P$4+($C$22/$P$4)</f>
        <v/>
      </c>
      <c r="I387" s="36">
        <f>_xlfn.IFS(K387&lt;K$24,0,K387&lt;K$26,I$24,K387&lt;K$28,I$26,K387&lt;K$30,I$28,K387&lt;K$32,I$30,K387&lt;K$34,I$32,K387&lt;K$36,I$34,K387&lt;K$38,I$36,K387&lt;K$40,I$38,K387&lt;K$42,I$40,K387&lt;K$44,I$42,K387&lt;K$46,I$44,K387&gt;=K$46,I$46)</f>
        <v/>
      </c>
      <c r="J387" s="37">
        <f>_xlfn.IFS(K387&lt;K$24,0,K387&lt;K$25,J$24,K387&lt;K$26,J$25,K387&lt;K$27,J$26,K387&lt;K$28,J$27,K387&lt;K$29,J$28,K387&lt;K$30,J$29,K387&lt;K$31,J$30,K387&lt;K$32,J$31,K387&lt;K$33,J$32,K387&lt;K$34,J$33,K387&lt;K$35,J$34,K387&lt;K$36,J$35,K387&lt;K$37,J$36,K387&lt;K$38,J$37,K387&lt;K$39,J$38,K387&lt;K$40,J$39,K387&lt;K$41,J$40,K387&lt;K$42,J$41,K387&lt;K$43,J$42,K387&lt;K$44,J$43,K387&lt;K$45,J$44,K387&lt;K$46,J$45,K387&lt;K$47,J$46,K387&gt;=K$47,J$47)</f>
        <v/>
      </c>
      <c r="K387" s="38" t="n">
        <v>337</v>
      </c>
      <c r="L387" s="31">
        <f>K387/52</f>
        <v/>
      </c>
      <c r="M387" s="39">
        <f>J387/1000000*52</f>
        <v/>
      </c>
      <c r="N387" s="33">
        <f>M387/$P$4+($I$22/$P$4)</f>
        <v/>
      </c>
      <c r="U387">
        <f>F386</f>
        <v/>
      </c>
      <c r="V387">
        <f>H386</f>
        <v/>
      </c>
      <c r="W387">
        <f>N386</f>
        <v/>
      </c>
    </row>
    <row r="388" ht="15.75" customHeight="1" s="40">
      <c r="C388" s="36">
        <f>_xlfn.IFS(E388&lt;E$24,0,E388&lt;E$26,C$24,E388&lt;E$28,C$26,E388&lt;E$30,C$28,E388&lt;E$32,C$30,E388&lt;E$34,C$32,E388&gt;=E$34,C$34)</f>
        <v/>
      </c>
      <c r="D388" s="37">
        <f>_xlfn.IFS(E388&lt;E$24,0,E388&lt;E$25,D$24,E388&lt;E$26,D$25,E388&lt;E$27,D$26,E388&lt;E$28,D$27,E388&lt;E$29,D$28,E388&lt;E$30,D$29,E388&lt;E$31,D$30,E388&lt;E$32,D$31,E388&lt;E$33,D$32,E388&lt;E$34,D$33,E388&lt;E$35,D$34,E388&gt;=E$35,D$35)</f>
        <v/>
      </c>
      <c r="E388" s="38" t="n">
        <v>338</v>
      </c>
      <c r="F388" s="31">
        <f>E388/52</f>
        <v/>
      </c>
      <c r="G388" s="39">
        <f>D388/1000000*52</f>
        <v/>
      </c>
      <c r="H388" s="33">
        <f>G388/$P$4+($C$22/$P$4)</f>
        <v/>
      </c>
      <c r="I388" s="36">
        <f>_xlfn.IFS(K388&lt;K$24,0,K388&lt;K$26,I$24,K388&lt;K$28,I$26,K388&lt;K$30,I$28,K388&lt;K$32,I$30,K388&lt;K$34,I$32,K388&lt;K$36,I$34,K388&lt;K$38,I$36,K388&lt;K$40,I$38,K388&lt;K$42,I$40,K388&lt;K$44,I$42,K388&lt;K$46,I$44,K388&gt;=K$46,I$46)</f>
        <v/>
      </c>
      <c r="J388" s="37">
        <f>_xlfn.IFS(K388&lt;K$24,0,K388&lt;K$25,J$24,K388&lt;K$26,J$25,K388&lt;K$27,J$26,K388&lt;K$28,J$27,K388&lt;K$29,J$28,K388&lt;K$30,J$29,K388&lt;K$31,J$30,K388&lt;K$32,J$31,K388&lt;K$33,J$32,K388&lt;K$34,J$33,K388&lt;K$35,J$34,K388&lt;K$36,J$35,K388&lt;K$37,J$36,K388&lt;K$38,J$37,K388&lt;K$39,J$38,K388&lt;K$40,J$39,K388&lt;K$41,J$40,K388&lt;K$42,J$41,K388&lt;K$43,J$42,K388&lt;K$44,J$43,K388&lt;K$45,J$44,K388&lt;K$46,J$45,K388&lt;K$47,J$46,K388&gt;=K$47,J$47)</f>
        <v/>
      </c>
      <c r="K388" s="38" t="n">
        <v>338</v>
      </c>
      <c r="L388" s="31">
        <f>K388/52</f>
        <v/>
      </c>
      <c r="M388" s="39">
        <f>J388/1000000*52</f>
        <v/>
      </c>
      <c r="N388" s="33">
        <f>M388/$P$4+($I$22/$P$4)</f>
        <v/>
      </c>
      <c r="U388">
        <f>F387</f>
        <v/>
      </c>
      <c r="V388">
        <f>H387</f>
        <v/>
      </c>
      <c r="W388">
        <f>N387</f>
        <v/>
      </c>
    </row>
    <row r="389" ht="15.75" customHeight="1" s="40">
      <c r="C389" s="36">
        <f>_xlfn.IFS(E389&lt;E$24,0,E389&lt;E$26,C$24,E389&lt;E$28,C$26,E389&lt;E$30,C$28,E389&lt;E$32,C$30,E389&lt;E$34,C$32,E389&gt;=E$34,C$34)</f>
        <v/>
      </c>
      <c r="D389" s="37">
        <f>_xlfn.IFS(E389&lt;E$24,0,E389&lt;E$25,D$24,E389&lt;E$26,D$25,E389&lt;E$27,D$26,E389&lt;E$28,D$27,E389&lt;E$29,D$28,E389&lt;E$30,D$29,E389&lt;E$31,D$30,E389&lt;E$32,D$31,E389&lt;E$33,D$32,E389&lt;E$34,D$33,E389&lt;E$35,D$34,E389&gt;=E$35,D$35)</f>
        <v/>
      </c>
      <c r="E389" s="38" t="n">
        <v>339</v>
      </c>
      <c r="F389" s="31">
        <f>E389/52</f>
        <v/>
      </c>
      <c r="G389" s="39">
        <f>D389/1000000*52</f>
        <v/>
      </c>
      <c r="H389" s="33">
        <f>G389/$P$4+($C$22/$P$4)</f>
        <v/>
      </c>
      <c r="I389" s="36">
        <f>_xlfn.IFS(K389&lt;K$24,0,K389&lt;K$26,I$24,K389&lt;K$28,I$26,K389&lt;K$30,I$28,K389&lt;K$32,I$30,K389&lt;K$34,I$32,K389&lt;K$36,I$34,K389&lt;K$38,I$36,K389&lt;K$40,I$38,K389&lt;K$42,I$40,K389&lt;K$44,I$42,K389&lt;K$46,I$44,K389&gt;=K$46,I$46)</f>
        <v/>
      </c>
      <c r="J389" s="37">
        <f>_xlfn.IFS(K389&lt;K$24,0,K389&lt;K$25,J$24,K389&lt;K$26,J$25,K389&lt;K$27,J$26,K389&lt;K$28,J$27,K389&lt;K$29,J$28,K389&lt;K$30,J$29,K389&lt;K$31,J$30,K389&lt;K$32,J$31,K389&lt;K$33,J$32,K389&lt;K$34,J$33,K389&lt;K$35,J$34,K389&lt;K$36,J$35,K389&lt;K$37,J$36,K389&lt;K$38,J$37,K389&lt;K$39,J$38,K389&lt;K$40,J$39,K389&lt;K$41,J$40,K389&lt;K$42,J$41,K389&lt;K$43,J$42,K389&lt;K$44,J$43,K389&lt;K$45,J$44,K389&lt;K$46,J$45,K389&lt;K$47,J$46,K389&gt;=K$47,J$47)</f>
        <v/>
      </c>
      <c r="K389" s="38" t="n">
        <v>339</v>
      </c>
      <c r="L389" s="31">
        <f>K389/52</f>
        <v/>
      </c>
      <c r="M389" s="39">
        <f>J389/1000000*52</f>
        <v/>
      </c>
      <c r="N389" s="33">
        <f>M389/$P$4+($I$22/$P$4)</f>
        <v/>
      </c>
      <c r="U389">
        <f>F388</f>
        <v/>
      </c>
      <c r="V389">
        <f>H388</f>
        <v/>
      </c>
      <c r="W389">
        <f>N388</f>
        <v/>
      </c>
    </row>
    <row r="390" ht="15.75" customHeight="1" s="40">
      <c r="C390" s="36">
        <f>_xlfn.IFS(E390&lt;E$24,0,E390&lt;E$26,C$24,E390&lt;E$28,C$26,E390&lt;E$30,C$28,E390&lt;E$32,C$30,E390&lt;E$34,C$32,E390&gt;=E$34,C$34)</f>
        <v/>
      </c>
      <c r="D390" s="37">
        <f>_xlfn.IFS(E390&lt;E$24,0,E390&lt;E$25,D$24,E390&lt;E$26,D$25,E390&lt;E$27,D$26,E390&lt;E$28,D$27,E390&lt;E$29,D$28,E390&lt;E$30,D$29,E390&lt;E$31,D$30,E390&lt;E$32,D$31,E390&lt;E$33,D$32,E390&lt;E$34,D$33,E390&lt;E$35,D$34,E390&gt;=E$35,D$35)</f>
        <v/>
      </c>
      <c r="E390" s="38" t="n">
        <v>340</v>
      </c>
      <c r="F390" s="31">
        <f>E390/52</f>
        <v/>
      </c>
      <c r="G390" s="39">
        <f>D390/1000000*52</f>
        <v/>
      </c>
      <c r="H390" s="33">
        <f>G390/$P$4+($C$22/$P$4)</f>
        <v/>
      </c>
      <c r="I390" s="36">
        <f>_xlfn.IFS(K390&lt;K$24,0,K390&lt;K$26,I$24,K390&lt;K$28,I$26,K390&lt;K$30,I$28,K390&lt;K$32,I$30,K390&lt;K$34,I$32,K390&lt;K$36,I$34,K390&lt;K$38,I$36,K390&lt;K$40,I$38,K390&lt;K$42,I$40,K390&lt;K$44,I$42,K390&lt;K$46,I$44,K390&gt;=K$46,I$46)</f>
        <v/>
      </c>
      <c r="J390" s="37">
        <f>_xlfn.IFS(K390&lt;K$24,0,K390&lt;K$25,J$24,K390&lt;K$26,J$25,K390&lt;K$27,J$26,K390&lt;K$28,J$27,K390&lt;K$29,J$28,K390&lt;K$30,J$29,K390&lt;K$31,J$30,K390&lt;K$32,J$31,K390&lt;K$33,J$32,K390&lt;K$34,J$33,K390&lt;K$35,J$34,K390&lt;K$36,J$35,K390&lt;K$37,J$36,K390&lt;K$38,J$37,K390&lt;K$39,J$38,K390&lt;K$40,J$39,K390&lt;K$41,J$40,K390&lt;K$42,J$41,K390&lt;K$43,J$42,K390&lt;K$44,J$43,K390&lt;K$45,J$44,K390&lt;K$46,J$45,K390&lt;K$47,J$46,K390&gt;=K$47,J$47)</f>
        <v/>
      </c>
      <c r="K390" s="38" t="n">
        <v>340</v>
      </c>
      <c r="L390" s="31">
        <f>K390/52</f>
        <v/>
      </c>
      <c r="M390" s="39">
        <f>J390/1000000*52</f>
        <v/>
      </c>
      <c r="N390" s="33">
        <f>M390/$P$4+($I$22/$P$4)</f>
        <v/>
      </c>
      <c r="U390">
        <f>F389</f>
        <v/>
      </c>
      <c r="V390">
        <f>H389</f>
        <v/>
      </c>
      <c r="W390">
        <f>N389</f>
        <v/>
      </c>
    </row>
    <row r="391" ht="15.75" customHeight="1" s="40">
      <c r="C391" s="36">
        <f>_xlfn.IFS(E391&lt;E$24,0,E391&lt;E$26,C$24,E391&lt;E$28,C$26,E391&lt;E$30,C$28,E391&lt;E$32,C$30,E391&lt;E$34,C$32,E391&gt;=E$34,C$34)</f>
        <v/>
      </c>
      <c r="D391" s="37">
        <f>_xlfn.IFS(E391&lt;E$24,0,E391&lt;E$25,D$24,E391&lt;E$26,D$25,E391&lt;E$27,D$26,E391&lt;E$28,D$27,E391&lt;E$29,D$28,E391&lt;E$30,D$29,E391&lt;E$31,D$30,E391&lt;E$32,D$31,E391&lt;E$33,D$32,E391&lt;E$34,D$33,E391&lt;E$35,D$34,E391&gt;=E$35,D$35)</f>
        <v/>
      </c>
      <c r="E391" s="38" t="n">
        <v>341</v>
      </c>
      <c r="F391" s="31">
        <f>E391/52</f>
        <v/>
      </c>
      <c r="G391" s="39">
        <f>D391/1000000*52</f>
        <v/>
      </c>
      <c r="H391" s="33">
        <f>G391/$P$4+($C$22/$P$4)</f>
        <v/>
      </c>
      <c r="I391" s="36">
        <f>_xlfn.IFS(K391&lt;K$24,0,K391&lt;K$26,I$24,K391&lt;K$28,I$26,K391&lt;K$30,I$28,K391&lt;K$32,I$30,K391&lt;K$34,I$32,K391&lt;K$36,I$34,K391&lt;K$38,I$36,K391&lt;K$40,I$38,K391&lt;K$42,I$40,K391&lt;K$44,I$42,K391&lt;K$46,I$44,K391&gt;=K$46,I$46)</f>
        <v/>
      </c>
      <c r="J391" s="37">
        <f>_xlfn.IFS(K391&lt;K$24,0,K391&lt;K$25,J$24,K391&lt;K$26,J$25,K391&lt;K$27,J$26,K391&lt;K$28,J$27,K391&lt;K$29,J$28,K391&lt;K$30,J$29,K391&lt;K$31,J$30,K391&lt;K$32,J$31,K391&lt;K$33,J$32,K391&lt;K$34,J$33,K391&lt;K$35,J$34,K391&lt;K$36,J$35,K391&lt;K$37,J$36,K391&lt;K$38,J$37,K391&lt;K$39,J$38,K391&lt;K$40,J$39,K391&lt;K$41,J$40,K391&lt;K$42,J$41,K391&lt;K$43,J$42,K391&lt;K$44,J$43,K391&lt;K$45,J$44,K391&lt;K$46,J$45,K391&lt;K$47,J$46,K391&gt;=K$47,J$47)</f>
        <v/>
      </c>
      <c r="K391" s="38" t="n">
        <v>341</v>
      </c>
      <c r="L391" s="31">
        <f>K391/52</f>
        <v/>
      </c>
      <c r="M391" s="39">
        <f>J391/1000000*52</f>
        <v/>
      </c>
      <c r="N391" s="33">
        <f>M391/$P$4+($I$22/$P$4)</f>
        <v/>
      </c>
      <c r="U391">
        <f>F390</f>
        <v/>
      </c>
      <c r="V391">
        <f>H390</f>
        <v/>
      </c>
      <c r="W391">
        <f>N390</f>
        <v/>
      </c>
    </row>
    <row r="392" ht="15.75" customHeight="1" s="40">
      <c r="C392" s="36">
        <f>_xlfn.IFS(E392&lt;E$24,0,E392&lt;E$26,C$24,E392&lt;E$28,C$26,E392&lt;E$30,C$28,E392&lt;E$32,C$30,E392&lt;E$34,C$32,E392&gt;=E$34,C$34)</f>
        <v/>
      </c>
      <c r="D392" s="37">
        <f>_xlfn.IFS(E392&lt;E$24,0,E392&lt;E$25,D$24,E392&lt;E$26,D$25,E392&lt;E$27,D$26,E392&lt;E$28,D$27,E392&lt;E$29,D$28,E392&lt;E$30,D$29,E392&lt;E$31,D$30,E392&lt;E$32,D$31,E392&lt;E$33,D$32,E392&lt;E$34,D$33,E392&lt;E$35,D$34,E392&gt;=E$35,D$35)</f>
        <v/>
      </c>
      <c r="E392" s="38" t="n">
        <v>342</v>
      </c>
      <c r="F392" s="31">
        <f>E392/52</f>
        <v/>
      </c>
      <c r="G392" s="39">
        <f>D392/1000000*52</f>
        <v/>
      </c>
      <c r="H392" s="33">
        <f>G392/$P$4+($C$22/$P$4)</f>
        <v/>
      </c>
      <c r="I392" s="36">
        <f>_xlfn.IFS(K392&lt;K$24,0,K392&lt;K$26,I$24,K392&lt;K$28,I$26,K392&lt;K$30,I$28,K392&lt;K$32,I$30,K392&lt;K$34,I$32,K392&lt;K$36,I$34,K392&lt;K$38,I$36,K392&lt;K$40,I$38,K392&lt;K$42,I$40,K392&lt;K$44,I$42,K392&lt;K$46,I$44,K392&gt;=K$46,I$46)</f>
        <v/>
      </c>
      <c r="J392" s="37">
        <f>_xlfn.IFS(K392&lt;K$24,0,K392&lt;K$25,J$24,K392&lt;K$26,J$25,K392&lt;K$27,J$26,K392&lt;K$28,J$27,K392&lt;K$29,J$28,K392&lt;K$30,J$29,K392&lt;K$31,J$30,K392&lt;K$32,J$31,K392&lt;K$33,J$32,K392&lt;K$34,J$33,K392&lt;K$35,J$34,K392&lt;K$36,J$35,K392&lt;K$37,J$36,K392&lt;K$38,J$37,K392&lt;K$39,J$38,K392&lt;K$40,J$39,K392&lt;K$41,J$40,K392&lt;K$42,J$41,K392&lt;K$43,J$42,K392&lt;K$44,J$43,K392&lt;K$45,J$44,K392&lt;K$46,J$45,K392&lt;K$47,J$46,K392&gt;=K$47,J$47)</f>
        <v/>
      </c>
      <c r="K392" s="38" t="n">
        <v>342</v>
      </c>
      <c r="L392" s="31">
        <f>K392/52</f>
        <v/>
      </c>
      <c r="M392" s="39">
        <f>J392/1000000*52</f>
        <v/>
      </c>
      <c r="N392" s="33">
        <f>M392/$P$4+($I$22/$P$4)</f>
        <v/>
      </c>
      <c r="U392">
        <f>F391</f>
        <v/>
      </c>
      <c r="V392">
        <f>H391</f>
        <v/>
      </c>
      <c r="W392">
        <f>N391</f>
        <v/>
      </c>
    </row>
    <row r="393" ht="15.75" customHeight="1" s="40">
      <c r="C393" s="36">
        <f>_xlfn.IFS(E393&lt;E$24,0,E393&lt;E$26,C$24,E393&lt;E$28,C$26,E393&lt;E$30,C$28,E393&lt;E$32,C$30,E393&lt;E$34,C$32,E393&gt;=E$34,C$34)</f>
        <v/>
      </c>
      <c r="D393" s="37">
        <f>_xlfn.IFS(E393&lt;E$24,0,E393&lt;E$25,D$24,E393&lt;E$26,D$25,E393&lt;E$27,D$26,E393&lt;E$28,D$27,E393&lt;E$29,D$28,E393&lt;E$30,D$29,E393&lt;E$31,D$30,E393&lt;E$32,D$31,E393&lt;E$33,D$32,E393&lt;E$34,D$33,E393&lt;E$35,D$34,E393&gt;=E$35,D$35)</f>
        <v/>
      </c>
      <c r="E393" s="38" t="n">
        <v>343</v>
      </c>
      <c r="F393" s="31">
        <f>E393/52</f>
        <v/>
      </c>
      <c r="G393" s="39">
        <f>D393/1000000*52</f>
        <v/>
      </c>
      <c r="H393" s="33">
        <f>G393/$P$4+($C$22/$P$4)</f>
        <v/>
      </c>
      <c r="I393" s="36">
        <f>_xlfn.IFS(K393&lt;K$24,0,K393&lt;K$26,I$24,K393&lt;K$28,I$26,K393&lt;K$30,I$28,K393&lt;K$32,I$30,K393&lt;K$34,I$32,K393&lt;K$36,I$34,K393&lt;K$38,I$36,K393&lt;K$40,I$38,K393&lt;K$42,I$40,K393&lt;K$44,I$42,K393&lt;K$46,I$44,K393&gt;=K$46,I$46)</f>
        <v/>
      </c>
      <c r="J393" s="37">
        <f>_xlfn.IFS(K393&lt;K$24,0,K393&lt;K$25,J$24,K393&lt;K$26,J$25,K393&lt;K$27,J$26,K393&lt;K$28,J$27,K393&lt;K$29,J$28,K393&lt;K$30,J$29,K393&lt;K$31,J$30,K393&lt;K$32,J$31,K393&lt;K$33,J$32,K393&lt;K$34,J$33,K393&lt;K$35,J$34,K393&lt;K$36,J$35,K393&lt;K$37,J$36,K393&lt;K$38,J$37,K393&lt;K$39,J$38,K393&lt;K$40,J$39,K393&lt;K$41,J$40,K393&lt;K$42,J$41,K393&lt;K$43,J$42,K393&lt;K$44,J$43,K393&lt;K$45,J$44,K393&lt;K$46,J$45,K393&lt;K$47,J$46,K393&gt;=K$47,J$47)</f>
        <v/>
      </c>
      <c r="K393" s="38" t="n">
        <v>343</v>
      </c>
      <c r="L393" s="31">
        <f>K393/52</f>
        <v/>
      </c>
      <c r="M393" s="39">
        <f>J393/1000000*52</f>
        <v/>
      </c>
      <c r="N393" s="33">
        <f>M393/$P$4+($I$22/$P$4)</f>
        <v/>
      </c>
      <c r="U393">
        <f>F392</f>
        <v/>
      </c>
      <c r="V393">
        <f>H392</f>
        <v/>
      </c>
      <c r="W393">
        <f>N392</f>
        <v/>
      </c>
    </row>
    <row r="394" ht="15.75" customHeight="1" s="40">
      <c r="C394" s="36">
        <f>_xlfn.IFS(E394&lt;E$24,0,E394&lt;E$26,C$24,E394&lt;E$28,C$26,E394&lt;E$30,C$28,E394&lt;E$32,C$30,E394&lt;E$34,C$32,E394&gt;=E$34,C$34)</f>
        <v/>
      </c>
      <c r="D394" s="37">
        <f>_xlfn.IFS(E394&lt;E$24,0,E394&lt;E$25,D$24,E394&lt;E$26,D$25,E394&lt;E$27,D$26,E394&lt;E$28,D$27,E394&lt;E$29,D$28,E394&lt;E$30,D$29,E394&lt;E$31,D$30,E394&lt;E$32,D$31,E394&lt;E$33,D$32,E394&lt;E$34,D$33,E394&lt;E$35,D$34,E394&gt;=E$35,D$35)</f>
        <v/>
      </c>
      <c r="E394" s="38" t="n">
        <v>344</v>
      </c>
      <c r="F394" s="31">
        <f>E394/52</f>
        <v/>
      </c>
      <c r="G394" s="39">
        <f>D394/1000000*52</f>
        <v/>
      </c>
      <c r="H394" s="33">
        <f>G394/$P$4+($C$22/$P$4)</f>
        <v/>
      </c>
      <c r="I394" s="36">
        <f>_xlfn.IFS(K394&lt;K$24,0,K394&lt;K$26,I$24,K394&lt;K$28,I$26,K394&lt;K$30,I$28,K394&lt;K$32,I$30,K394&lt;K$34,I$32,K394&lt;K$36,I$34,K394&lt;K$38,I$36,K394&lt;K$40,I$38,K394&lt;K$42,I$40,K394&lt;K$44,I$42,K394&lt;K$46,I$44,K394&gt;=K$46,I$46)</f>
        <v/>
      </c>
      <c r="J394" s="37">
        <f>_xlfn.IFS(K394&lt;K$24,0,K394&lt;K$25,J$24,K394&lt;K$26,J$25,K394&lt;K$27,J$26,K394&lt;K$28,J$27,K394&lt;K$29,J$28,K394&lt;K$30,J$29,K394&lt;K$31,J$30,K394&lt;K$32,J$31,K394&lt;K$33,J$32,K394&lt;K$34,J$33,K394&lt;K$35,J$34,K394&lt;K$36,J$35,K394&lt;K$37,J$36,K394&lt;K$38,J$37,K394&lt;K$39,J$38,K394&lt;K$40,J$39,K394&lt;K$41,J$40,K394&lt;K$42,J$41,K394&lt;K$43,J$42,K394&lt;K$44,J$43,K394&lt;K$45,J$44,K394&lt;K$46,J$45,K394&lt;K$47,J$46,K394&gt;=K$47,J$47)</f>
        <v/>
      </c>
      <c r="K394" s="38" t="n">
        <v>344</v>
      </c>
      <c r="L394" s="31">
        <f>K394/52</f>
        <v/>
      </c>
      <c r="M394" s="39">
        <f>J394/1000000*52</f>
        <v/>
      </c>
      <c r="N394" s="33">
        <f>M394/$P$4+($I$22/$P$4)</f>
        <v/>
      </c>
      <c r="U394">
        <f>F393</f>
        <v/>
      </c>
      <c r="V394">
        <f>H393</f>
        <v/>
      </c>
      <c r="W394">
        <f>N393</f>
        <v/>
      </c>
    </row>
    <row r="395" ht="15.75" customHeight="1" s="40">
      <c r="C395" s="36">
        <f>_xlfn.IFS(E395&lt;E$24,0,E395&lt;E$26,C$24,E395&lt;E$28,C$26,E395&lt;E$30,C$28,E395&lt;E$32,C$30,E395&lt;E$34,C$32,E395&gt;=E$34,C$34)</f>
        <v/>
      </c>
      <c r="D395" s="37">
        <f>_xlfn.IFS(E395&lt;E$24,0,E395&lt;E$25,D$24,E395&lt;E$26,D$25,E395&lt;E$27,D$26,E395&lt;E$28,D$27,E395&lt;E$29,D$28,E395&lt;E$30,D$29,E395&lt;E$31,D$30,E395&lt;E$32,D$31,E395&lt;E$33,D$32,E395&lt;E$34,D$33,E395&lt;E$35,D$34,E395&gt;=E$35,D$35)</f>
        <v/>
      </c>
      <c r="E395" s="38" t="n">
        <v>345</v>
      </c>
      <c r="F395" s="31">
        <f>E395/52</f>
        <v/>
      </c>
      <c r="G395" s="39">
        <f>D395/1000000*52</f>
        <v/>
      </c>
      <c r="H395" s="33">
        <f>G395/$P$4+($C$22/$P$4)</f>
        <v/>
      </c>
      <c r="I395" s="36">
        <f>_xlfn.IFS(K395&lt;K$24,0,K395&lt;K$26,I$24,K395&lt;K$28,I$26,K395&lt;K$30,I$28,K395&lt;K$32,I$30,K395&lt;K$34,I$32,K395&lt;K$36,I$34,K395&lt;K$38,I$36,K395&lt;K$40,I$38,K395&lt;K$42,I$40,K395&lt;K$44,I$42,K395&lt;K$46,I$44,K395&gt;=K$46,I$46)</f>
        <v/>
      </c>
      <c r="J395" s="37">
        <f>_xlfn.IFS(K395&lt;K$24,0,K395&lt;K$25,J$24,K395&lt;K$26,J$25,K395&lt;K$27,J$26,K395&lt;K$28,J$27,K395&lt;K$29,J$28,K395&lt;K$30,J$29,K395&lt;K$31,J$30,K395&lt;K$32,J$31,K395&lt;K$33,J$32,K395&lt;K$34,J$33,K395&lt;K$35,J$34,K395&lt;K$36,J$35,K395&lt;K$37,J$36,K395&lt;K$38,J$37,K395&lt;K$39,J$38,K395&lt;K$40,J$39,K395&lt;K$41,J$40,K395&lt;K$42,J$41,K395&lt;K$43,J$42,K395&lt;K$44,J$43,K395&lt;K$45,J$44,K395&lt;K$46,J$45,K395&lt;K$47,J$46,K395&gt;=K$47,J$47)</f>
        <v/>
      </c>
      <c r="K395" s="38" t="n">
        <v>345</v>
      </c>
      <c r="L395" s="31">
        <f>K395/52</f>
        <v/>
      </c>
      <c r="M395" s="39">
        <f>J395/1000000*52</f>
        <v/>
      </c>
      <c r="N395" s="33">
        <f>M395/$P$4+($I$22/$P$4)</f>
        <v/>
      </c>
      <c r="U395">
        <f>F394</f>
        <v/>
      </c>
      <c r="V395">
        <f>H394</f>
        <v/>
      </c>
      <c r="W395">
        <f>N394</f>
        <v/>
      </c>
    </row>
    <row r="396" ht="15.75" customHeight="1" s="40">
      <c r="C396" s="36">
        <f>_xlfn.IFS(E396&lt;E$24,0,E396&lt;E$26,C$24,E396&lt;E$28,C$26,E396&lt;E$30,C$28,E396&lt;E$32,C$30,E396&lt;E$34,C$32,E396&gt;=E$34,C$34)</f>
        <v/>
      </c>
      <c r="D396" s="37">
        <f>_xlfn.IFS(E396&lt;E$24,0,E396&lt;E$25,D$24,E396&lt;E$26,D$25,E396&lt;E$27,D$26,E396&lt;E$28,D$27,E396&lt;E$29,D$28,E396&lt;E$30,D$29,E396&lt;E$31,D$30,E396&lt;E$32,D$31,E396&lt;E$33,D$32,E396&lt;E$34,D$33,E396&lt;E$35,D$34,E396&gt;=E$35,D$35)</f>
        <v/>
      </c>
      <c r="E396" s="38" t="n">
        <v>346</v>
      </c>
      <c r="F396" s="31">
        <f>E396/52</f>
        <v/>
      </c>
      <c r="G396" s="39">
        <f>D396/1000000*52</f>
        <v/>
      </c>
      <c r="H396" s="33">
        <f>G396/$P$4+($C$22/$P$4)</f>
        <v/>
      </c>
      <c r="I396" s="36">
        <f>_xlfn.IFS(K396&lt;K$24,0,K396&lt;K$26,I$24,K396&lt;K$28,I$26,K396&lt;K$30,I$28,K396&lt;K$32,I$30,K396&lt;K$34,I$32,K396&lt;K$36,I$34,K396&lt;K$38,I$36,K396&lt;K$40,I$38,K396&lt;K$42,I$40,K396&lt;K$44,I$42,K396&lt;K$46,I$44,K396&gt;=K$46,I$46)</f>
        <v/>
      </c>
      <c r="J396" s="37">
        <f>_xlfn.IFS(K396&lt;K$24,0,K396&lt;K$25,J$24,K396&lt;K$26,J$25,K396&lt;K$27,J$26,K396&lt;K$28,J$27,K396&lt;K$29,J$28,K396&lt;K$30,J$29,K396&lt;K$31,J$30,K396&lt;K$32,J$31,K396&lt;K$33,J$32,K396&lt;K$34,J$33,K396&lt;K$35,J$34,K396&lt;K$36,J$35,K396&lt;K$37,J$36,K396&lt;K$38,J$37,K396&lt;K$39,J$38,K396&lt;K$40,J$39,K396&lt;K$41,J$40,K396&lt;K$42,J$41,K396&lt;K$43,J$42,K396&lt;K$44,J$43,K396&lt;K$45,J$44,K396&lt;K$46,J$45,K396&lt;K$47,J$46,K396&gt;=K$47,J$47)</f>
        <v/>
      </c>
      <c r="K396" s="38" t="n">
        <v>346</v>
      </c>
      <c r="L396" s="31">
        <f>K396/52</f>
        <v/>
      </c>
      <c r="M396" s="39">
        <f>J396/1000000*52</f>
        <v/>
      </c>
      <c r="N396" s="33">
        <f>M396/$P$4+($I$22/$P$4)</f>
        <v/>
      </c>
      <c r="U396">
        <f>F395</f>
        <v/>
      </c>
      <c r="V396">
        <f>H395</f>
        <v/>
      </c>
      <c r="W396">
        <f>N395</f>
        <v/>
      </c>
    </row>
    <row r="397" ht="15.75" customHeight="1" s="40">
      <c r="C397" s="36">
        <f>_xlfn.IFS(E397&lt;E$24,0,E397&lt;E$26,C$24,E397&lt;E$28,C$26,E397&lt;E$30,C$28,E397&lt;E$32,C$30,E397&lt;E$34,C$32,E397&gt;=E$34,C$34)</f>
        <v/>
      </c>
      <c r="D397" s="37">
        <f>_xlfn.IFS(E397&lt;E$24,0,E397&lt;E$25,D$24,E397&lt;E$26,D$25,E397&lt;E$27,D$26,E397&lt;E$28,D$27,E397&lt;E$29,D$28,E397&lt;E$30,D$29,E397&lt;E$31,D$30,E397&lt;E$32,D$31,E397&lt;E$33,D$32,E397&lt;E$34,D$33,E397&lt;E$35,D$34,E397&gt;=E$35,D$35)</f>
        <v/>
      </c>
      <c r="E397" s="38" t="n">
        <v>347</v>
      </c>
      <c r="F397" s="31">
        <f>E397/52</f>
        <v/>
      </c>
      <c r="G397" s="39">
        <f>D397/1000000*52</f>
        <v/>
      </c>
      <c r="H397" s="33">
        <f>G397/$P$4+($C$22/$P$4)</f>
        <v/>
      </c>
      <c r="I397" s="36">
        <f>_xlfn.IFS(K397&lt;K$24,0,K397&lt;K$26,I$24,K397&lt;K$28,I$26,K397&lt;K$30,I$28,K397&lt;K$32,I$30,K397&lt;K$34,I$32,K397&lt;K$36,I$34,K397&lt;K$38,I$36,K397&lt;K$40,I$38,K397&lt;K$42,I$40,K397&lt;K$44,I$42,K397&lt;K$46,I$44,K397&gt;=K$46,I$46)</f>
        <v/>
      </c>
      <c r="J397" s="37">
        <f>_xlfn.IFS(K397&lt;K$24,0,K397&lt;K$25,J$24,K397&lt;K$26,J$25,K397&lt;K$27,J$26,K397&lt;K$28,J$27,K397&lt;K$29,J$28,K397&lt;K$30,J$29,K397&lt;K$31,J$30,K397&lt;K$32,J$31,K397&lt;K$33,J$32,K397&lt;K$34,J$33,K397&lt;K$35,J$34,K397&lt;K$36,J$35,K397&lt;K$37,J$36,K397&lt;K$38,J$37,K397&lt;K$39,J$38,K397&lt;K$40,J$39,K397&lt;K$41,J$40,K397&lt;K$42,J$41,K397&lt;K$43,J$42,K397&lt;K$44,J$43,K397&lt;K$45,J$44,K397&lt;K$46,J$45,K397&lt;K$47,J$46,K397&gt;=K$47,J$47)</f>
        <v/>
      </c>
      <c r="K397" s="38" t="n">
        <v>347</v>
      </c>
      <c r="L397" s="31">
        <f>K397/52</f>
        <v/>
      </c>
      <c r="M397" s="39">
        <f>J397/1000000*52</f>
        <v/>
      </c>
      <c r="N397" s="33">
        <f>M397/$P$4+($I$22/$P$4)</f>
        <v/>
      </c>
      <c r="U397">
        <f>F396</f>
        <v/>
      </c>
      <c r="V397">
        <f>H396</f>
        <v/>
      </c>
      <c r="W397">
        <f>N396</f>
        <v/>
      </c>
    </row>
    <row r="398" ht="15.75" customHeight="1" s="40">
      <c r="C398" s="36">
        <f>_xlfn.IFS(E398&lt;E$24,0,E398&lt;E$26,C$24,E398&lt;E$28,C$26,E398&lt;E$30,C$28,E398&lt;E$32,C$30,E398&lt;E$34,C$32,E398&gt;=E$34,C$34)</f>
        <v/>
      </c>
      <c r="D398" s="37">
        <f>_xlfn.IFS(E398&lt;E$24,0,E398&lt;E$25,D$24,E398&lt;E$26,D$25,E398&lt;E$27,D$26,E398&lt;E$28,D$27,E398&lt;E$29,D$28,E398&lt;E$30,D$29,E398&lt;E$31,D$30,E398&lt;E$32,D$31,E398&lt;E$33,D$32,E398&lt;E$34,D$33,E398&lt;E$35,D$34,E398&gt;=E$35,D$35)</f>
        <v/>
      </c>
      <c r="E398" s="38" t="n">
        <v>348</v>
      </c>
      <c r="F398" s="31">
        <f>E398/52</f>
        <v/>
      </c>
      <c r="G398" s="39">
        <f>D398/1000000*52</f>
        <v/>
      </c>
      <c r="H398" s="33">
        <f>G398/$P$4+($C$22/$P$4)</f>
        <v/>
      </c>
      <c r="I398" s="36">
        <f>_xlfn.IFS(K398&lt;K$24,0,K398&lt;K$26,I$24,K398&lt;K$28,I$26,K398&lt;K$30,I$28,K398&lt;K$32,I$30,K398&lt;K$34,I$32,K398&lt;K$36,I$34,K398&lt;K$38,I$36,K398&lt;K$40,I$38,K398&lt;K$42,I$40,K398&lt;K$44,I$42,K398&lt;K$46,I$44,K398&gt;=K$46,I$46)</f>
        <v/>
      </c>
      <c r="J398" s="37">
        <f>_xlfn.IFS(K398&lt;K$24,0,K398&lt;K$25,J$24,K398&lt;K$26,J$25,K398&lt;K$27,J$26,K398&lt;K$28,J$27,K398&lt;K$29,J$28,K398&lt;K$30,J$29,K398&lt;K$31,J$30,K398&lt;K$32,J$31,K398&lt;K$33,J$32,K398&lt;K$34,J$33,K398&lt;K$35,J$34,K398&lt;K$36,J$35,K398&lt;K$37,J$36,K398&lt;K$38,J$37,K398&lt;K$39,J$38,K398&lt;K$40,J$39,K398&lt;K$41,J$40,K398&lt;K$42,J$41,K398&lt;K$43,J$42,K398&lt;K$44,J$43,K398&lt;K$45,J$44,K398&lt;K$46,J$45,K398&lt;K$47,J$46,K398&gt;=K$47,J$47)</f>
        <v/>
      </c>
      <c r="K398" s="38" t="n">
        <v>348</v>
      </c>
      <c r="L398" s="31">
        <f>K398/52</f>
        <v/>
      </c>
      <c r="M398" s="39">
        <f>J398/1000000*52</f>
        <v/>
      </c>
      <c r="N398" s="33">
        <f>M398/$P$4+($I$22/$P$4)</f>
        <v/>
      </c>
      <c r="U398">
        <f>F397</f>
        <v/>
      </c>
      <c r="V398">
        <f>H397</f>
        <v/>
      </c>
      <c r="W398">
        <f>N397</f>
        <v/>
      </c>
    </row>
    <row r="399" ht="15.75" customHeight="1" s="40">
      <c r="C399" s="36">
        <f>_xlfn.IFS(E399&lt;E$24,0,E399&lt;E$26,C$24,E399&lt;E$28,C$26,E399&lt;E$30,C$28,E399&lt;E$32,C$30,E399&lt;E$34,C$32,E399&gt;=E$34,C$34)</f>
        <v/>
      </c>
      <c r="D399" s="37">
        <f>_xlfn.IFS(E399&lt;E$24,0,E399&lt;E$25,D$24,E399&lt;E$26,D$25,E399&lt;E$27,D$26,E399&lt;E$28,D$27,E399&lt;E$29,D$28,E399&lt;E$30,D$29,E399&lt;E$31,D$30,E399&lt;E$32,D$31,E399&lt;E$33,D$32,E399&lt;E$34,D$33,E399&lt;E$35,D$34,E399&gt;=E$35,D$35)</f>
        <v/>
      </c>
      <c r="E399" s="38" t="n">
        <v>349</v>
      </c>
      <c r="F399" s="31">
        <f>E399/52</f>
        <v/>
      </c>
      <c r="G399" s="39">
        <f>D399/1000000*52</f>
        <v/>
      </c>
      <c r="H399" s="33">
        <f>G399/$P$4+($C$22/$P$4)</f>
        <v/>
      </c>
      <c r="I399" s="36">
        <f>_xlfn.IFS(K399&lt;K$24,0,K399&lt;K$26,I$24,K399&lt;K$28,I$26,K399&lt;K$30,I$28,K399&lt;K$32,I$30,K399&lt;K$34,I$32,K399&lt;K$36,I$34,K399&lt;K$38,I$36,K399&lt;K$40,I$38,K399&lt;K$42,I$40,K399&lt;K$44,I$42,K399&lt;K$46,I$44,K399&gt;=K$46,I$46)</f>
        <v/>
      </c>
      <c r="J399" s="37">
        <f>_xlfn.IFS(K399&lt;K$24,0,K399&lt;K$25,J$24,K399&lt;K$26,J$25,K399&lt;K$27,J$26,K399&lt;K$28,J$27,K399&lt;K$29,J$28,K399&lt;K$30,J$29,K399&lt;K$31,J$30,K399&lt;K$32,J$31,K399&lt;K$33,J$32,K399&lt;K$34,J$33,K399&lt;K$35,J$34,K399&lt;K$36,J$35,K399&lt;K$37,J$36,K399&lt;K$38,J$37,K399&lt;K$39,J$38,K399&lt;K$40,J$39,K399&lt;K$41,J$40,K399&lt;K$42,J$41,K399&lt;K$43,J$42,K399&lt;K$44,J$43,K399&lt;K$45,J$44,K399&lt;K$46,J$45,K399&lt;K$47,J$46,K399&gt;=K$47,J$47)</f>
        <v/>
      </c>
      <c r="K399" s="38" t="n">
        <v>349</v>
      </c>
      <c r="L399" s="31">
        <f>K399/52</f>
        <v/>
      </c>
      <c r="M399" s="39">
        <f>J399/1000000*52</f>
        <v/>
      </c>
      <c r="N399" s="33">
        <f>M399/$P$4+($I$22/$P$4)</f>
        <v/>
      </c>
      <c r="U399">
        <f>F398</f>
        <v/>
      </c>
      <c r="V399">
        <f>H398</f>
        <v/>
      </c>
      <c r="W399">
        <f>N398</f>
        <v/>
      </c>
    </row>
    <row r="400" ht="15.75" customHeight="1" s="40">
      <c r="C400" s="36">
        <f>_xlfn.IFS(E400&lt;E$24,0,E400&lt;E$26,C$24,E400&lt;E$28,C$26,E400&lt;E$30,C$28,E400&lt;E$32,C$30,E400&lt;E$34,C$32,E400&gt;=E$34,C$34)</f>
        <v/>
      </c>
      <c r="D400" s="37">
        <f>_xlfn.IFS(E400&lt;E$24,0,E400&lt;E$25,D$24,E400&lt;E$26,D$25,E400&lt;E$27,D$26,E400&lt;E$28,D$27,E400&lt;E$29,D$28,E400&lt;E$30,D$29,E400&lt;E$31,D$30,E400&lt;E$32,D$31,E400&lt;E$33,D$32,E400&lt;E$34,D$33,E400&lt;E$35,D$34,E400&gt;=E$35,D$35)</f>
        <v/>
      </c>
      <c r="E400" s="38" t="n">
        <v>350</v>
      </c>
      <c r="F400" s="31">
        <f>E400/52</f>
        <v/>
      </c>
      <c r="G400" s="39">
        <f>D400/1000000*52</f>
        <v/>
      </c>
      <c r="H400" s="33">
        <f>G400/$P$4+($C$22/$P$4)</f>
        <v/>
      </c>
      <c r="I400" s="36">
        <f>_xlfn.IFS(K400&lt;K$24,0,K400&lt;K$26,I$24,K400&lt;K$28,I$26,K400&lt;K$30,I$28,K400&lt;K$32,I$30,K400&lt;K$34,I$32,K400&lt;K$36,I$34,K400&lt;K$38,I$36,K400&lt;K$40,I$38,K400&lt;K$42,I$40,K400&lt;K$44,I$42,K400&lt;K$46,I$44,K400&gt;=K$46,I$46)</f>
        <v/>
      </c>
      <c r="J400" s="37">
        <f>_xlfn.IFS(K400&lt;K$24,0,K400&lt;K$25,J$24,K400&lt;K$26,J$25,K400&lt;K$27,J$26,K400&lt;K$28,J$27,K400&lt;K$29,J$28,K400&lt;K$30,J$29,K400&lt;K$31,J$30,K400&lt;K$32,J$31,K400&lt;K$33,J$32,K400&lt;K$34,J$33,K400&lt;K$35,J$34,K400&lt;K$36,J$35,K400&lt;K$37,J$36,K400&lt;K$38,J$37,K400&lt;K$39,J$38,K400&lt;K$40,J$39,K400&lt;K$41,J$40,K400&lt;K$42,J$41,K400&lt;K$43,J$42,K400&lt;K$44,J$43,K400&lt;K$45,J$44,K400&lt;K$46,J$45,K400&lt;K$47,J$46,K400&gt;=K$47,J$47)</f>
        <v/>
      </c>
      <c r="K400" s="38" t="n">
        <v>350</v>
      </c>
      <c r="L400" s="31">
        <f>K400/52</f>
        <v/>
      </c>
      <c r="M400" s="39">
        <f>J400/1000000*52</f>
        <v/>
      </c>
      <c r="N400" s="33">
        <f>M400/$P$4+($I$22/$P$4)</f>
        <v/>
      </c>
      <c r="U400">
        <f>F399</f>
        <v/>
      </c>
      <c r="V400">
        <f>H399</f>
        <v/>
      </c>
      <c r="W400">
        <f>N399</f>
        <v/>
      </c>
    </row>
    <row r="401" ht="15.75" customHeight="1" s="40">
      <c r="C401" s="36">
        <f>_xlfn.IFS(E401&lt;E$24,0,E401&lt;E$26,C$24,E401&lt;E$28,C$26,E401&lt;E$30,C$28,E401&lt;E$32,C$30,E401&lt;E$34,C$32,E401&gt;=E$34,C$34)</f>
        <v/>
      </c>
      <c r="D401" s="37">
        <f>_xlfn.IFS(E401&lt;E$24,0,E401&lt;E$25,D$24,E401&lt;E$26,D$25,E401&lt;E$27,D$26,E401&lt;E$28,D$27,E401&lt;E$29,D$28,E401&lt;E$30,D$29,E401&lt;E$31,D$30,E401&lt;E$32,D$31,E401&lt;E$33,D$32,E401&lt;E$34,D$33,E401&lt;E$35,D$34,E401&gt;=E$35,D$35)</f>
        <v/>
      </c>
      <c r="E401" s="38" t="n">
        <v>351</v>
      </c>
      <c r="F401" s="31">
        <f>E401/52</f>
        <v/>
      </c>
      <c r="G401" s="39">
        <f>D401/1000000*52</f>
        <v/>
      </c>
      <c r="H401" s="33">
        <f>G401/$P$4+($C$22/$P$4)</f>
        <v/>
      </c>
      <c r="I401" s="36">
        <f>_xlfn.IFS(K401&lt;K$24,0,K401&lt;K$26,I$24,K401&lt;K$28,I$26,K401&lt;K$30,I$28,K401&lt;K$32,I$30,K401&lt;K$34,I$32,K401&lt;K$36,I$34,K401&lt;K$38,I$36,K401&lt;K$40,I$38,K401&lt;K$42,I$40,K401&lt;K$44,I$42,K401&lt;K$46,I$44,K401&gt;=K$46,I$46)</f>
        <v/>
      </c>
      <c r="J401" s="37">
        <f>_xlfn.IFS(K401&lt;K$24,0,K401&lt;K$25,J$24,K401&lt;K$26,J$25,K401&lt;K$27,J$26,K401&lt;K$28,J$27,K401&lt;K$29,J$28,K401&lt;K$30,J$29,K401&lt;K$31,J$30,K401&lt;K$32,J$31,K401&lt;K$33,J$32,K401&lt;K$34,J$33,K401&lt;K$35,J$34,K401&lt;K$36,J$35,K401&lt;K$37,J$36,K401&lt;K$38,J$37,K401&lt;K$39,J$38,K401&lt;K$40,J$39,K401&lt;K$41,J$40,K401&lt;K$42,J$41,K401&lt;K$43,J$42,K401&lt;K$44,J$43,K401&lt;K$45,J$44,K401&lt;K$46,J$45,K401&lt;K$47,J$46,K401&gt;=K$47,J$47)</f>
        <v/>
      </c>
      <c r="K401" s="38" t="n">
        <v>351</v>
      </c>
      <c r="L401" s="31">
        <f>K401/52</f>
        <v/>
      </c>
      <c r="M401" s="39">
        <f>J401/1000000*52</f>
        <v/>
      </c>
      <c r="N401" s="33">
        <f>M401/$P$4+($I$22/$P$4)</f>
        <v/>
      </c>
      <c r="U401">
        <f>F400</f>
        <v/>
      </c>
      <c r="V401">
        <f>H400</f>
        <v/>
      </c>
      <c r="W401">
        <f>N400</f>
        <v/>
      </c>
    </row>
    <row r="402" ht="15.75" customHeight="1" s="40">
      <c r="C402" s="36">
        <f>_xlfn.IFS(E402&lt;E$24,0,E402&lt;E$26,C$24,E402&lt;E$28,C$26,E402&lt;E$30,C$28,E402&lt;E$32,C$30,E402&lt;E$34,C$32,E402&gt;=E$34,C$34)</f>
        <v/>
      </c>
      <c r="D402" s="37">
        <f>_xlfn.IFS(E402&lt;E$24,0,E402&lt;E$25,D$24,E402&lt;E$26,D$25,E402&lt;E$27,D$26,E402&lt;E$28,D$27,E402&lt;E$29,D$28,E402&lt;E$30,D$29,E402&lt;E$31,D$30,E402&lt;E$32,D$31,E402&lt;E$33,D$32,E402&lt;E$34,D$33,E402&lt;E$35,D$34,E402&gt;=E$35,D$35)</f>
        <v/>
      </c>
      <c r="E402" s="38" t="n">
        <v>352</v>
      </c>
      <c r="F402" s="31">
        <f>E402/52</f>
        <v/>
      </c>
      <c r="G402" s="39">
        <f>D402/1000000*52</f>
        <v/>
      </c>
      <c r="H402" s="33">
        <f>G402/$P$4+($C$22/$P$4)</f>
        <v/>
      </c>
      <c r="I402" s="36">
        <f>_xlfn.IFS(K402&lt;K$24,0,K402&lt;K$26,I$24,K402&lt;K$28,I$26,K402&lt;K$30,I$28,K402&lt;K$32,I$30,K402&lt;K$34,I$32,K402&lt;K$36,I$34,K402&lt;K$38,I$36,K402&lt;K$40,I$38,K402&lt;K$42,I$40,K402&lt;K$44,I$42,K402&lt;K$46,I$44,K402&gt;=K$46,I$46)</f>
        <v/>
      </c>
      <c r="J402" s="37">
        <f>_xlfn.IFS(K402&lt;K$24,0,K402&lt;K$25,J$24,K402&lt;K$26,J$25,K402&lt;K$27,J$26,K402&lt;K$28,J$27,K402&lt;K$29,J$28,K402&lt;K$30,J$29,K402&lt;K$31,J$30,K402&lt;K$32,J$31,K402&lt;K$33,J$32,K402&lt;K$34,J$33,K402&lt;K$35,J$34,K402&lt;K$36,J$35,K402&lt;K$37,J$36,K402&lt;K$38,J$37,K402&lt;K$39,J$38,K402&lt;K$40,J$39,K402&lt;K$41,J$40,K402&lt;K$42,J$41,K402&lt;K$43,J$42,K402&lt;K$44,J$43,K402&lt;K$45,J$44,K402&lt;K$46,J$45,K402&lt;K$47,J$46,K402&gt;=K$47,J$47)</f>
        <v/>
      </c>
      <c r="K402" s="38" t="n">
        <v>352</v>
      </c>
      <c r="L402" s="31">
        <f>K402/52</f>
        <v/>
      </c>
      <c r="M402" s="39">
        <f>J402/1000000*52</f>
        <v/>
      </c>
      <c r="N402" s="33">
        <f>M402/$P$4+($I$22/$P$4)</f>
        <v/>
      </c>
      <c r="U402">
        <f>F401</f>
        <v/>
      </c>
      <c r="V402">
        <f>H401</f>
        <v/>
      </c>
      <c r="W402">
        <f>N401</f>
        <v/>
      </c>
    </row>
    <row r="403" ht="15.75" customHeight="1" s="40">
      <c r="C403" s="36">
        <f>_xlfn.IFS(E403&lt;E$24,0,E403&lt;E$26,C$24,E403&lt;E$28,C$26,E403&lt;E$30,C$28,E403&lt;E$32,C$30,E403&lt;E$34,C$32,E403&gt;=E$34,C$34)</f>
        <v/>
      </c>
      <c r="D403" s="37">
        <f>_xlfn.IFS(E403&lt;E$24,0,E403&lt;E$25,D$24,E403&lt;E$26,D$25,E403&lt;E$27,D$26,E403&lt;E$28,D$27,E403&lt;E$29,D$28,E403&lt;E$30,D$29,E403&lt;E$31,D$30,E403&lt;E$32,D$31,E403&lt;E$33,D$32,E403&lt;E$34,D$33,E403&lt;E$35,D$34,E403&gt;=E$35,D$35)</f>
        <v/>
      </c>
      <c r="E403" s="38" t="n">
        <v>353</v>
      </c>
      <c r="F403" s="31">
        <f>E403/52</f>
        <v/>
      </c>
      <c r="G403" s="39">
        <f>D403/1000000*52</f>
        <v/>
      </c>
      <c r="H403" s="33">
        <f>G403/$P$4+($C$22/$P$4)</f>
        <v/>
      </c>
      <c r="I403" s="36">
        <f>_xlfn.IFS(K403&lt;K$24,0,K403&lt;K$26,I$24,K403&lt;K$28,I$26,K403&lt;K$30,I$28,K403&lt;K$32,I$30,K403&lt;K$34,I$32,K403&lt;K$36,I$34,K403&lt;K$38,I$36,K403&lt;K$40,I$38,K403&lt;K$42,I$40,K403&lt;K$44,I$42,K403&lt;K$46,I$44,K403&gt;=K$46,I$46)</f>
        <v/>
      </c>
      <c r="J403" s="37">
        <f>_xlfn.IFS(K403&lt;K$24,0,K403&lt;K$25,J$24,K403&lt;K$26,J$25,K403&lt;K$27,J$26,K403&lt;K$28,J$27,K403&lt;K$29,J$28,K403&lt;K$30,J$29,K403&lt;K$31,J$30,K403&lt;K$32,J$31,K403&lt;K$33,J$32,K403&lt;K$34,J$33,K403&lt;K$35,J$34,K403&lt;K$36,J$35,K403&lt;K$37,J$36,K403&lt;K$38,J$37,K403&lt;K$39,J$38,K403&lt;K$40,J$39,K403&lt;K$41,J$40,K403&lt;K$42,J$41,K403&lt;K$43,J$42,K403&lt;K$44,J$43,K403&lt;K$45,J$44,K403&lt;K$46,J$45,K403&lt;K$47,J$46,K403&gt;=K$47,J$47)</f>
        <v/>
      </c>
      <c r="K403" s="38" t="n">
        <v>353</v>
      </c>
      <c r="L403" s="31">
        <f>K403/52</f>
        <v/>
      </c>
      <c r="M403" s="39">
        <f>J403/1000000*52</f>
        <v/>
      </c>
      <c r="N403" s="33">
        <f>M403/$P$4+($I$22/$P$4)</f>
        <v/>
      </c>
      <c r="U403">
        <f>F402</f>
        <v/>
      </c>
      <c r="V403">
        <f>H402</f>
        <v/>
      </c>
      <c r="W403">
        <f>N402</f>
        <v/>
      </c>
    </row>
    <row r="404" ht="15.75" customHeight="1" s="40">
      <c r="C404" s="36">
        <f>_xlfn.IFS(E404&lt;E$24,0,E404&lt;E$26,C$24,E404&lt;E$28,C$26,E404&lt;E$30,C$28,E404&lt;E$32,C$30,E404&lt;E$34,C$32,E404&gt;=E$34,C$34)</f>
        <v/>
      </c>
      <c r="D404" s="37">
        <f>_xlfn.IFS(E404&lt;E$24,0,E404&lt;E$25,D$24,E404&lt;E$26,D$25,E404&lt;E$27,D$26,E404&lt;E$28,D$27,E404&lt;E$29,D$28,E404&lt;E$30,D$29,E404&lt;E$31,D$30,E404&lt;E$32,D$31,E404&lt;E$33,D$32,E404&lt;E$34,D$33,E404&lt;E$35,D$34,E404&gt;=E$35,D$35)</f>
        <v/>
      </c>
      <c r="E404" s="38" t="n">
        <v>354</v>
      </c>
      <c r="F404" s="31">
        <f>E404/52</f>
        <v/>
      </c>
      <c r="G404" s="39">
        <f>D404/1000000*52</f>
        <v/>
      </c>
      <c r="H404" s="33">
        <f>G404/$P$4+($C$22/$P$4)</f>
        <v/>
      </c>
      <c r="I404" s="36">
        <f>_xlfn.IFS(K404&lt;K$24,0,K404&lt;K$26,I$24,K404&lt;K$28,I$26,K404&lt;K$30,I$28,K404&lt;K$32,I$30,K404&lt;K$34,I$32,K404&lt;K$36,I$34,K404&lt;K$38,I$36,K404&lt;K$40,I$38,K404&lt;K$42,I$40,K404&lt;K$44,I$42,K404&lt;K$46,I$44,K404&gt;=K$46,I$46)</f>
        <v/>
      </c>
      <c r="J404" s="37">
        <f>_xlfn.IFS(K404&lt;K$24,0,K404&lt;K$25,J$24,K404&lt;K$26,J$25,K404&lt;K$27,J$26,K404&lt;K$28,J$27,K404&lt;K$29,J$28,K404&lt;K$30,J$29,K404&lt;K$31,J$30,K404&lt;K$32,J$31,K404&lt;K$33,J$32,K404&lt;K$34,J$33,K404&lt;K$35,J$34,K404&lt;K$36,J$35,K404&lt;K$37,J$36,K404&lt;K$38,J$37,K404&lt;K$39,J$38,K404&lt;K$40,J$39,K404&lt;K$41,J$40,K404&lt;K$42,J$41,K404&lt;K$43,J$42,K404&lt;K$44,J$43,K404&lt;K$45,J$44,K404&lt;K$46,J$45,K404&lt;K$47,J$46,K404&gt;=K$47,J$47)</f>
        <v/>
      </c>
      <c r="K404" s="38" t="n">
        <v>354</v>
      </c>
      <c r="L404" s="31">
        <f>K404/52</f>
        <v/>
      </c>
      <c r="M404" s="39">
        <f>J404/1000000*52</f>
        <v/>
      </c>
      <c r="N404" s="33">
        <f>M404/$P$4+($I$22/$P$4)</f>
        <v/>
      </c>
      <c r="U404">
        <f>F403</f>
        <v/>
      </c>
      <c r="V404">
        <f>H403</f>
        <v/>
      </c>
      <c r="W404">
        <f>N403</f>
        <v/>
      </c>
    </row>
    <row r="405" ht="15.75" customHeight="1" s="40">
      <c r="C405" s="36">
        <f>_xlfn.IFS(E405&lt;E$24,0,E405&lt;E$26,C$24,E405&lt;E$28,C$26,E405&lt;E$30,C$28,E405&lt;E$32,C$30,E405&lt;E$34,C$32,E405&gt;=E$34,C$34)</f>
        <v/>
      </c>
      <c r="D405" s="37">
        <f>_xlfn.IFS(E405&lt;E$24,0,E405&lt;E$25,D$24,E405&lt;E$26,D$25,E405&lt;E$27,D$26,E405&lt;E$28,D$27,E405&lt;E$29,D$28,E405&lt;E$30,D$29,E405&lt;E$31,D$30,E405&lt;E$32,D$31,E405&lt;E$33,D$32,E405&lt;E$34,D$33,E405&lt;E$35,D$34,E405&gt;=E$35,D$35)</f>
        <v/>
      </c>
      <c r="E405" s="38" t="n">
        <v>355</v>
      </c>
      <c r="F405" s="31">
        <f>E405/52</f>
        <v/>
      </c>
      <c r="G405" s="39">
        <f>D405/1000000*52</f>
        <v/>
      </c>
      <c r="H405" s="33">
        <f>G405/$P$4+($C$22/$P$4)</f>
        <v/>
      </c>
      <c r="I405" s="36">
        <f>_xlfn.IFS(K405&lt;K$24,0,K405&lt;K$26,I$24,K405&lt;K$28,I$26,K405&lt;K$30,I$28,K405&lt;K$32,I$30,K405&lt;K$34,I$32,K405&lt;K$36,I$34,K405&lt;K$38,I$36,K405&lt;K$40,I$38,K405&lt;K$42,I$40,K405&lt;K$44,I$42,K405&lt;K$46,I$44,K405&gt;=K$46,I$46)</f>
        <v/>
      </c>
      <c r="J405" s="37">
        <f>_xlfn.IFS(K405&lt;K$24,0,K405&lt;K$25,J$24,K405&lt;K$26,J$25,K405&lt;K$27,J$26,K405&lt;K$28,J$27,K405&lt;K$29,J$28,K405&lt;K$30,J$29,K405&lt;K$31,J$30,K405&lt;K$32,J$31,K405&lt;K$33,J$32,K405&lt;K$34,J$33,K405&lt;K$35,J$34,K405&lt;K$36,J$35,K405&lt;K$37,J$36,K405&lt;K$38,J$37,K405&lt;K$39,J$38,K405&lt;K$40,J$39,K405&lt;K$41,J$40,K405&lt;K$42,J$41,K405&lt;K$43,J$42,K405&lt;K$44,J$43,K405&lt;K$45,J$44,K405&lt;K$46,J$45,K405&lt;K$47,J$46,K405&gt;=K$47,J$47)</f>
        <v/>
      </c>
      <c r="K405" s="38" t="n">
        <v>355</v>
      </c>
      <c r="L405" s="31">
        <f>K405/52</f>
        <v/>
      </c>
      <c r="M405" s="39">
        <f>J405/1000000*52</f>
        <v/>
      </c>
      <c r="N405" s="33">
        <f>M405/$P$4+($I$22/$P$4)</f>
        <v/>
      </c>
      <c r="U405">
        <f>F404</f>
        <v/>
      </c>
      <c r="V405">
        <f>H404</f>
        <v/>
      </c>
      <c r="W405">
        <f>N404</f>
        <v/>
      </c>
    </row>
    <row r="406" ht="15.75" customHeight="1" s="40">
      <c r="C406" s="36">
        <f>_xlfn.IFS(E406&lt;E$24,0,E406&lt;E$26,C$24,E406&lt;E$28,C$26,E406&lt;E$30,C$28,E406&lt;E$32,C$30,E406&lt;E$34,C$32,E406&gt;=E$34,C$34)</f>
        <v/>
      </c>
      <c r="D406" s="37">
        <f>_xlfn.IFS(E406&lt;E$24,0,E406&lt;E$25,D$24,E406&lt;E$26,D$25,E406&lt;E$27,D$26,E406&lt;E$28,D$27,E406&lt;E$29,D$28,E406&lt;E$30,D$29,E406&lt;E$31,D$30,E406&lt;E$32,D$31,E406&lt;E$33,D$32,E406&lt;E$34,D$33,E406&lt;E$35,D$34,E406&gt;=E$35,D$35)</f>
        <v/>
      </c>
      <c r="E406" s="38" t="n">
        <v>356</v>
      </c>
      <c r="F406" s="31">
        <f>E406/52</f>
        <v/>
      </c>
      <c r="G406" s="39">
        <f>D406/1000000*52</f>
        <v/>
      </c>
      <c r="H406" s="33">
        <f>G406/$P$4+($C$22/$P$4)</f>
        <v/>
      </c>
      <c r="I406" s="36">
        <f>_xlfn.IFS(K406&lt;K$24,0,K406&lt;K$26,I$24,K406&lt;K$28,I$26,K406&lt;K$30,I$28,K406&lt;K$32,I$30,K406&lt;K$34,I$32,K406&lt;K$36,I$34,K406&lt;K$38,I$36,K406&lt;K$40,I$38,K406&lt;K$42,I$40,K406&lt;K$44,I$42,K406&lt;K$46,I$44,K406&gt;=K$46,I$46)</f>
        <v/>
      </c>
      <c r="J406" s="37">
        <f>_xlfn.IFS(K406&lt;K$24,0,K406&lt;K$25,J$24,K406&lt;K$26,J$25,K406&lt;K$27,J$26,K406&lt;K$28,J$27,K406&lt;K$29,J$28,K406&lt;K$30,J$29,K406&lt;K$31,J$30,K406&lt;K$32,J$31,K406&lt;K$33,J$32,K406&lt;K$34,J$33,K406&lt;K$35,J$34,K406&lt;K$36,J$35,K406&lt;K$37,J$36,K406&lt;K$38,J$37,K406&lt;K$39,J$38,K406&lt;K$40,J$39,K406&lt;K$41,J$40,K406&lt;K$42,J$41,K406&lt;K$43,J$42,K406&lt;K$44,J$43,K406&lt;K$45,J$44,K406&lt;K$46,J$45,K406&lt;K$47,J$46,K406&gt;=K$47,J$47)</f>
        <v/>
      </c>
      <c r="K406" s="38" t="n">
        <v>356</v>
      </c>
      <c r="L406" s="31">
        <f>K406/52</f>
        <v/>
      </c>
      <c r="M406" s="39">
        <f>J406/1000000*52</f>
        <v/>
      </c>
      <c r="N406" s="33">
        <f>M406/$P$4+($I$22/$P$4)</f>
        <v/>
      </c>
      <c r="U406">
        <f>F405</f>
        <v/>
      </c>
      <c r="V406">
        <f>H405</f>
        <v/>
      </c>
      <c r="W406">
        <f>N405</f>
        <v/>
      </c>
    </row>
    <row r="407" ht="15.75" customHeight="1" s="40">
      <c r="C407" s="36">
        <f>_xlfn.IFS(E407&lt;E$24,0,E407&lt;E$26,C$24,E407&lt;E$28,C$26,E407&lt;E$30,C$28,E407&lt;E$32,C$30,E407&lt;E$34,C$32,E407&gt;=E$34,C$34)</f>
        <v/>
      </c>
      <c r="D407" s="37">
        <f>_xlfn.IFS(E407&lt;E$24,0,E407&lt;E$25,D$24,E407&lt;E$26,D$25,E407&lt;E$27,D$26,E407&lt;E$28,D$27,E407&lt;E$29,D$28,E407&lt;E$30,D$29,E407&lt;E$31,D$30,E407&lt;E$32,D$31,E407&lt;E$33,D$32,E407&lt;E$34,D$33,E407&lt;E$35,D$34,E407&gt;=E$35,D$35)</f>
        <v/>
      </c>
      <c r="E407" s="38" t="n">
        <v>357</v>
      </c>
      <c r="F407" s="31">
        <f>E407/52</f>
        <v/>
      </c>
      <c r="G407" s="39">
        <f>D407/1000000*52</f>
        <v/>
      </c>
      <c r="H407" s="33">
        <f>G407/$P$4+($C$22/$P$4)</f>
        <v/>
      </c>
      <c r="I407" s="36">
        <f>_xlfn.IFS(K407&lt;K$24,0,K407&lt;K$26,I$24,K407&lt;K$28,I$26,K407&lt;K$30,I$28,K407&lt;K$32,I$30,K407&lt;K$34,I$32,K407&lt;K$36,I$34,K407&lt;K$38,I$36,K407&lt;K$40,I$38,K407&lt;K$42,I$40,K407&lt;K$44,I$42,K407&lt;K$46,I$44,K407&gt;=K$46,I$46)</f>
        <v/>
      </c>
      <c r="J407" s="37">
        <f>_xlfn.IFS(K407&lt;K$24,0,K407&lt;K$25,J$24,K407&lt;K$26,J$25,K407&lt;K$27,J$26,K407&lt;K$28,J$27,K407&lt;K$29,J$28,K407&lt;K$30,J$29,K407&lt;K$31,J$30,K407&lt;K$32,J$31,K407&lt;K$33,J$32,K407&lt;K$34,J$33,K407&lt;K$35,J$34,K407&lt;K$36,J$35,K407&lt;K$37,J$36,K407&lt;K$38,J$37,K407&lt;K$39,J$38,K407&lt;K$40,J$39,K407&lt;K$41,J$40,K407&lt;K$42,J$41,K407&lt;K$43,J$42,K407&lt;K$44,J$43,K407&lt;K$45,J$44,K407&lt;K$46,J$45,K407&lt;K$47,J$46,K407&gt;=K$47,J$47)</f>
        <v/>
      </c>
      <c r="K407" s="38" t="n">
        <v>357</v>
      </c>
      <c r="L407" s="31">
        <f>K407/52</f>
        <v/>
      </c>
      <c r="M407" s="39">
        <f>J407/1000000*52</f>
        <v/>
      </c>
      <c r="N407" s="33">
        <f>M407/$P$4+($I$22/$P$4)</f>
        <v/>
      </c>
      <c r="U407">
        <f>F406</f>
        <v/>
      </c>
      <c r="V407">
        <f>H406</f>
        <v/>
      </c>
      <c r="W407">
        <f>N406</f>
        <v/>
      </c>
    </row>
    <row r="408" ht="15.75" customHeight="1" s="40">
      <c r="C408" s="36">
        <f>_xlfn.IFS(E408&lt;E$24,0,E408&lt;E$26,C$24,E408&lt;E$28,C$26,E408&lt;E$30,C$28,E408&lt;E$32,C$30,E408&lt;E$34,C$32,E408&gt;=E$34,C$34)</f>
        <v/>
      </c>
      <c r="D408" s="37">
        <f>_xlfn.IFS(E408&lt;E$24,0,E408&lt;E$25,D$24,E408&lt;E$26,D$25,E408&lt;E$27,D$26,E408&lt;E$28,D$27,E408&lt;E$29,D$28,E408&lt;E$30,D$29,E408&lt;E$31,D$30,E408&lt;E$32,D$31,E408&lt;E$33,D$32,E408&lt;E$34,D$33,E408&lt;E$35,D$34,E408&gt;=E$35,D$35)</f>
        <v/>
      </c>
      <c r="E408" s="38" t="n">
        <v>358</v>
      </c>
      <c r="F408" s="31">
        <f>E408/52</f>
        <v/>
      </c>
      <c r="G408" s="39">
        <f>D408/1000000*52</f>
        <v/>
      </c>
      <c r="H408" s="33">
        <f>G408/$P$4+($C$22/$P$4)</f>
        <v/>
      </c>
      <c r="I408" s="36">
        <f>_xlfn.IFS(K408&lt;K$24,0,K408&lt;K$26,I$24,K408&lt;K$28,I$26,K408&lt;K$30,I$28,K408&lt;K$32,I$30,K408&lt;K$34,I$32,K408&lt;K$36,I$34,K408&lt;K$38,I$36,K408&lt;K$40,I$38,K408&lt;K$42,I$40,K408&lt;K$44,I$42,K408&lt;K$46,I$44,K408&gt;=K$46,I$46)</f>
        <v/>
      </c>
      <c r="J408" s="37">
        <f>_xlfn.IFS(K408&lt;K$24,0,K408&lt;K$25,J$24,K408&lt;K$26,J$25,K408&lt;K$27,J$26,K408&lt;K$28,J$27,K408&lt;K$29,J$28,K408&lt;K$30,J$29,K408&lt;K$31,J$30,K408&lt;K$32,J$31,K408&lt;K$33,J$32,K408&lt;K$34,J$33,K408&lt;K$35,J$34,K408&lt;K$36,J$35,K408&lt;K$37,J$36,K408&lt;K$38,J$37,K408&lt;K$39,J$38,K408&lt;K$40,J$39,K408&lt;K$41,J$40,K408&lt;K$42,J$41,K408&lt;K$43,J$42,K408&lt;K$44,J$43,K408&lt;K$45,J$44,K408&lt;K$46,J$45,K408&lt;K$47,J$46,K408&gt;=K$47,J$47)</f>
        <v/>
      </c>
      <c r="K408" s="38" t="n">
        <v>358</v>
      </c>
      <c r="L408" s="31">
        <f>K408/52</f>
        <v/>
      </c>
      <c r="M408" s="39">
        <f>J408/1000000*52</f>
        <v/>
      </c>
      <c r="N408" s="33">
        <f>M408/$P$4+($I$22/$P$4)</f>
        <v/>
      </c>
      <c r="U408">
        <f>F407</f>
        <v/>
      </c>
      <c r="V408">
        <f>H407</f>
        <v/>
      </c>
      <c r="W408">
        <f>N407</f>
        <v/>
      </c>
    </row>
    <row r="409" ht="15.75" customHeight="1" s="40">
      <c r="C409" s="36">
        <f>_xlfn.IFS(E409&lt;E$24,0,E409&lt;E$26,C$24,E409&lt;E$28,C$26,E409&lt;E$30,C$28,E409&lt;E$32,C$30,E409&lt;E$34,C$32,E409&gt;=E$34,C$34)</f>
        <v/>
      </c>
      <c r="D409" s="37">
        <f>_xlfn.IFS(E409&lt;E$24,0,E409&lt;E$25,D$24,E409&lt;E$26,D$25,E409&lt;E$27,D$26,E409&lt;E$28,D$27,E409&lt;E$29,D$28,E409&lt;E$30,D$29,E409&lt;E$31,D$30,E409&lt;E$32,D$31,E409&lt;E$33,D$32,E409&lt;E$34,D$33,E409&lt;E$35,D$34,E409&gt;=E$35,D$35)</f>
        <v/>
      </c>
      <c r="E409" s="38" t="n">
        <v>359</v>
      </c>
      <c r="F409" s="31">
        <f>E409/52</f>
        <v/>
      </c>
      <c r="G409" s="39">
        <f>D409/1000000*52</f>
        <v/>
      </c>
      <c r="H409" s="33">
        <f>G409/$P$4+($C$22/$P$4)</f>
        <v/>
      </c>
      <c r="I409" s="36">
        <f>_xlfn.IFS(K409&lt;K$24,0,K409&lt;K$26,I$24,K409&lt;K$28,I$26,K409&lt;K$30,I$28,K409&lt;K$32,I$30,K409&lt;K$34,I$32,K409&lt;K$36,I$34,K409&lt;K$38,I$36,K409&lt;K$40,I$38,K409&lt;K$42,I$40,K409&lt;K$44,I$42,K409&lt;K$46,I$44,K409&gt;=K$46,I$46)</f>
        <v/>
      </c>
      <c r="J409" s="37">
        <f>_xlfn.IFS(K409&lt;K$24,0,K409&lt;K$25,J$24,K409&lt;K$26,J$25,K409&lt;K$27,J$26,K409&lt;K$28,J$27,K409&lt;K$29,J$28,K409&lt;K$30,J$29,K409&lt;K$31,J$30,K409&lt;K$32,J$31,K409&lt;K$33,J$32,K409&lt;K$34,J$33,K409&lt;K$35,J$34,K409&lt;K$36,J$35,K409&lt;K$37,J$36,K409&lt;K$38,J$37,K409&lt;K$39,J$38,K409&lt;K$40,J$39,K409&lt;K$41,J$40,K409&lt;K$42,J$41,K409&lt;K$43,J$42,K409&lt;K$44,J$43,K409&lt;K$45,J$44,K409&lt;K$46,J$45,K409&lt;K$47,J$46,K409&gt;=K$47,J$47)</f>
        <v/>
      </c>
      <c r="K409" s="38" t="n">
        <v>359</v>
      </c>
      <c r="L409" s="31">
        <f>K409/52</f>
        <v/>
      </c>
      <c r="M409" s="39">
        <f>J409/1000000*52</f>
        <v/>
      </c>
      <c r="N409" s="33">
        <f>M409/$P$4+($I$22/$P$4)</f>
        <v/>
      </c>
      <c r="U409">
        <f>F408</f>
        <v/>
      </c>
      <c r="V409">
        <f>H408</f>
        <v/>
      </c>
      <c r="W409">
        <f>N408</f>
        <v/>
      </c>
    </row>
    <row r="410" ht="15.75" customHeight="1" s="40">
      <c r="C410" s="36">
        <f>_xlfn.IFS(E410&lt;E$24,0,E410&lt;E$26,C$24,E410&lt;E$28,C$26,E410&lt;E$30,C$28,E410&lt;E$32,C$30,E410&lt;E$34,C$32,E410&gt;=E$34,C$34)</f>
        <v/>
      </c>
      <c r="D410" s="37">
        <f>_xlfn.IFS(E410&lt;E$24,0,E410&lt;E$25,D$24,E410&lt;E$26,D$25,E410&lt;E$27,D$26,E410&lt;E$28,D$27,E410&lt;E$29,D$28,E410&lt;E$30,D$29,E410&lt;E$31,D$30,E410&lt;E$32,D$31,E410&lt;E$33,D$32,E410&lt;E$34,D$33,E410&lt;E$35,D$34,E410&gt;=E$35,D$35)</f>
        <v/>
      </c>
      <c r="E410" s="38" t="n">
        <v>360</v>
      </c>
      <c r="F410" s="31">
        <f>E410/52</f>
        <v/>
      </c>
      <c r="G410" s="39">
        <f>D410/1000000*52</f>
        <v/>
      </c>
      <c r="H410" s="33">
        <f>G410/$P$4+($C$22/$P$4)</f>
        <v/>
      </c>
      <c r="I410" s="36">
        <f>_xlfn.IFS(K410&lt;K$24,0,K410&lt;K$26,I$24,K410&lt;K$28,I$26,K410&lt;K$30,I$28,K410&lt;K$32,I$30,K410&lt;K$34,I$32,K410&lt;K$36,I$34,K410&lt;K$38,I$36,K410&lt;K$40,I$38,K410&lt;K$42,I$40,K410&lt;K$44,I$42,K410&lt;K$46,I$44,K410&gt;=K$46,I$46)</f>
        <v/>
      </c>
      <c r="J410" s="37">
        <f>_xlfn.IFS(K410&lt;K$24,0,K410&lt;K$25,J$24,K410&lt;K$26,J$25,K410&lt;K$27,J$26,K410&lt;K$28,J$27,K410&lt;K$29,J$28,K410&lt;K$30,J$29,K410&lt;K$31,J$30,K410&lt;K$32,J$31,K410&lt;K$33,J$32,K410&lt;K$34,J$33,K410&lt;K$35,J$34,K410&lt;K$36,J$35,K410&lt;K$37,J$36,K410&lt;K$38,J$37,K410&lt;K$39,J$38,K410&lt;K$40,J$39,K410&lt;K$41,J$40,K410&lt;K$42,J$41,K410&lt;K$43,J$42,K410&lt;K$44,J$43,K410&lt;K$45,J$44,K410&lt;K$46,J$45,K410&lt;K$47,J$46,K410&gt;=K$47,J$47)</f>
        <v/>
      </c>
      <c r="K410" s="38" t="n">
        <v>360</v>
      </c>
      <c r="L410" s="31">
        <f>K410/52</f>
        <v/>
      </c>
      <c r="M410" s="39">
        <f>J410/1000000*52</f>
        <v/>
      </c>
      <c r="N410" s="33">
        <f>M410/$P$4+($I$22/$P$4)</f>
        <v/>
      </c>
      <c r="U410">
        <f>F409</f>
        <v/>
      </c>
      <c r="V410">
        <f>H409</f>
        <v/>
      </c>
      <c r="W410">
        <f>N409</f>
        <v/>
      </c>
    </row>
    <row r="411" ht="15.75" customHeight="1" s="40">
      <c r="C411" s="36">
        <f>_xlfn.IFS(E411&lt;E$24,0,E411&lt;E$26,C$24,E411&lt;E$28,C$26,E411&lt;E$30,C$28,E411&lt;E$32,C$30,E411&lt;E$34,C$32,E411&gt;=E$34,C$34)</f>
        <v/>
      </c>
      <c r="D411" s="37">
        <f>_xlfn.IFS(E411&lt;E$24,0,E411&lt;E$25,D$24,E411&lt;E$26,D$25,E411&lt;E$27,D$26,E411&lt;E$28,D$27,E411&lt;E$29,D$28,E411&lt;E$30,D$29,E411&lt;E$31,D$30,E411&lt;E$32,D$31,E411&lt;E$33,D$32,E411&lt;E$34,D$33,E411&lt;E$35,D$34,E411&gt;=E$35,D$35)</f>
        <v/>
      </c>
      <c r="E411" s="38" t="n">
        <v>361</v>
      </c>
      <c r="F411" s="31">
        <f>E411/52</f>
        <v/>
      </c>
      <c r="G411" s="39">
        <f>D411/1000000*52</f>
        <v/>
      </c>
      <c r="H411" s="33">
        <f>G411/$P$4+($C$22/$P$4)</f>
        <v/>
      </c>
      <c r="I411" s="36">
        <f>_xlfn.IFS(K411&lt;K$24,0,K411&lt;K$26,I$24,K411&lt;K$28,I$26,K411&lt;K$30,I$28,K411&lt;K$32,I$30,K411&lt;K$34,I$32,K411&lt;K$36,I$34,K411&lt;K$38,I$36,K411&lt;K$40,I$38,K411&lt;K$42,I$40,K411&lt;K$44,I$42,K411&lt;K$46,I$44,K411&gt;=K$46,I$46)</f>
        <v/>
      </c>
      <c r="J411" s="37">
        <f>_xlfn.IFS(K411&lt;K$24,0,K411&lt;K$25,J$24,K411&lt;K$26,J$25,K411&lt;K$27,J$26,K411&lt;K$28,J$27,K411&lt;K$29,J$28,K411&lt;K$30,J$29,K411&lt;K$31,J$30,K411&lt;K$32,J$31,K411&lt;K$33,J$32,K411&lt;K$34,J$33,K411&lt;K$35,J$34,K411&lt;K$36,J$35,K411&lt;K$37,J$36,K411&lt;K$38,J$37,K411&lt;K$39,J$38,K411&lt;K$40,J$39,K411&lt;K$41,J$40,K411&lt;K$42,J$41,K411&lt;K$43,J$42,K411&lt;K$44,J$43,K411&lt;K$45,J$44,K411&lt;K$46,J$45,K411&lt;K$47,J$46,K411&gt;=K$47,J$47)</f>
        <v/>
      </c>
      <c r="K411" s="38" t="n">
        <v>361</v>
      </c>
      <c r="L411" s="31">
        <f>K411/52</f>
        <v/>
      </c>
      <c r="M411" s="39">
        <f>J411/1000000*52</f>
        <v/>
      </c>
      <c r="N411" s="33">
        <f>M411/$P$4+($I$22/$P$4)</f>
        <v/>
      </c>
      <c r="U411">
        <f>F410</f>
        <v/>
      </c>
      <c r="V411">
        <f>H410</f>
        <v/>
      </c>
      <c r="W411">
        <f>N410</f>
        <v/>
      </c>
    </row>
    <row r="412" ht="15.75" customHeight="1" s="40">
      <c r="C412" s="36">
        <f>_xlfn.IFS(E412&lt;E$24,0,E412&lt;E$26,C$24,E412&lt;E$28,C$26,E412&lt;E$30,C$28,E412&lt;E$32,C$30,E412&lt;E$34,C$32,E412&gt;=E$34,C$34)</f>
        <v/>
      </c>
      <c r="D412" s="37">
        <f>_xlfn.IFS(E412&lt;E$24,0,E412&lt;E$25,D$24,E412&lt;E$26,D$25,E412&lt;E$27,D$26,E412&lt;E$28,D$27,E412&lt;E$29,D$28,E412&lt;E$30,D$29,E412&lt;E$31,D$30,E412&lt;E$32,D$31,E412&lt;E$33,D$32,E412&lt;E$34,D$33,E412&lt;E$35,D$34,E412&gt;=E$35,D$35)</f>
        <v/>
      </c>
      <c r="E412" s="38" t="n">
        <v>362</v>
      </c>
      <c r="F412" s="31">
        <f>E412/52</f>
        <v/>
      </c>
      <c r="G412" s="39">
        <f>D412/1000000*52</f>
        <v/>
      </c>
      <c r="H412" s="33">
        <f>G412/$P$4+($C$22/$P$4)</f>
        <v/>
      </c>
      <c r="I412" s="36">
        <f>_xlfn.IFS(K412&lt;K$24,0,K412&lt;K$26,I$24,K412&lt;K$28,I$26,K412&lt;K$30,I$28,K412&lt;K$32,I$30,K412&lt;K$34,I$32,K412&lt;K$36,I$34,K412&lt;K$38,I$36,K412&lt;K$40,I$38,K412&lt;K$42,I$40,K412&lt;K$44,I$42,K412&lt;K$46,I$44,K412&gt;=K$46,I$46)</f>
        <v/>
      </c>
      <c r="J412" s="37">
        <f>_xlfn.IFS(K412&lt;K$24,0,K412&lt;K$25,J$24,K412&lt;K$26,J$25,K412&lt;K$27,J$26,K412&lt;K$28,J$27,K412&lt;K$29,J$28,K412&lt;K$30,J$29,K412&lt;K$31,J$30,K412&lt;K$32,J$31,K412&lt;K$33,J$32,K412&lt;K$34,J$33,K412&lt;K$35,J$34,K412&lt;K$36,J$35,K412&lt;K$37,J$36,K412&lt;K$38,J$37,K412&lt;K$39,J$38,K412&lt;K$40,J$39,K412&lt;K$41,J$40,K412&lt;K$42,J$41,K412&lt;K$43,J$42,K412&lt;K$44,J$43,K412&lt;K$45,J$44,K412&lt;K$46,J$45,K412&lt;K$47,J$46,K412&gt;=K$47,J$47)</f>
        <v/>
      </c>
      <c r="K412" s="38" t="n">
        <v>362</v>
      </c>
      <c r="L412" s="31">
        <f>K412/52</f>
        <v/>
      </c>
      <c r="M412" s="39">
        <f>J412/1000000*52</f>
        <v/>
      </c>
      <c r="N412" s="33">
        <f>M412/$P$4+($I$22/$P$4)</f>
        <v/>
      </c>
      <c r="U412">
        <f>F411</f>
        <v/>
      </c>
      <c r="V412">
        <f>H411</f>
        <v/>
      </c>
      <c r="W412">
        <f>N411</f>
        <v/>
      </c>
    </row>
    <row r="413" ht="15.75" customHeight="1" s="40">
      <c r="C413" s="36">
        <f>_xlfn.IFS(E413&lt;E$24,0,E413&lt;E$26,C$24,E413&lt;E$28,C$26,E413&lt;E$30,C$28,E413&lt;E$32,C$30,E413&lt;E$34,C$32,E413&gt;=E$34,C$34)</f>
        <v/>
      </c>
      <c r="D413" s="37">
        <f>_xlfn.IFS(E413&lt;E$24,0,E413&lt;E$25,D$24,E413&lt;E$26,D$25,E413&lt;E$27,D$26,E413&lt;E$28,D$27,E413&lt;E$29,D$28,E413&lt;E$30,D$29,E413&lt;E$31,D$30,E413&lt;E$32,D$31,E413&lt;E$33,D$32,E413&lt;E$34,D$33,E413&lt;E$35,D$34,E413&gt;=E$35,D$35)</f>
        <v/>
      </c>
      <c r="E413" s="38" t="n">
        <v>363</v>
      </c>
      <c r="F413" s="31">
        <f>E413/52</f>
        <v/>
      </c>
      <c r="G413" s="39">
        <f>D413/1000000*52</f>
        <v/>
      </c>
      <c r="H413" s="33">
        <f>G413/$P$4+($C$22/$P$4)</f>
        <v/>
      </c>
      <c r="I413" s="36">
        <f>_xlfn.IFS(K413&lt;K$24,0,K413&lt;K$26,I$24,K413&lt;K$28,I$26,K413&lt;K$30,I$28,K413&lt;K$32,I$30,K413&lt;K$34,I$32,K413&lt;K$36,I$34,K413&lt;K$38,I$36,K413&lt;K$40,I$38,K413&lt;K$42,I$40,K413&lt;K$44,I$42,K413&lt;K$46,I$44,K413&gt;=K$46,I$46)</f>
        <v/>
      </c>
      <c r="J413" s="37">
        <f>_xlfn.IFS(K413&lt;K$24,0,K413&lt;K$25,J$24,K413&lt;K$26,J$25,K413&lt;K$27,J$26,K413&lt;K$28,J$27,K413&lt;K$29,J$28,K413&lt;K$30,J$29,K413&lt;K$31,J$30,K413&lt;K$32,J$31,K413&lt;K$33,J$32,K413&lt;K$34,J$33,K413&lt;K$35,J$34,K413&lt;K$36,J$35,K413&lt;K$37,J$36,K413&lt;K$38,J$37,K413&lt;K$39,J$38,K413&lt;K$40,J$39,K413&lt;K$41,J$40,K413&lt;K$42,J$41,K413&lt;K$43,J$42,K413&lt;K$44,J$43,K413&lt;K$45,J$44,K413&lt;K$46,J$45,K413&lt;K$47,J$46,K413&gt;=K$47,J$47)</f>
        <v/>
      </c>
      <c r="K413" s="38" t="n">
        <v>363</v>
      </c>
      <c r="L413" s="31">
        <f>K413/52</f>
        <v/>
      </c>
      <c r="M413" s="39">
        <f>J413/1000000*52</f>
        <v/>
      </c>
      <c r="N413" s="33">
        <f>M413/$P$4+($I$22/$P$4)</f>
        <v/>
      </c>
      <c r="U413">
        <f>F412</f>
        <v/>
      </c>
      <c r="V413">
        <f>H412</f>
        <v/>
      </c>
      <c r="W413">
        <f>N412</f>
        <v/>
      </c>
    </row>
    <row r="414" ht="15.75" customHeight="1" s="40">
      <c r="C414" s="36">
        <f>_xlfn.IFS(E414&lt;E$24,0,E414&lt;E$26,C$24,E414&lt;E$28,C$26,E414&lt;E$30,C$28,E414&lt;E$32,C$30,E414&lt;E$34,C$32,E414&gt;=E$34,C$34)</f>
        <v/>
      </c>
      <c r="D414" s="37">
        <f>_xlfn.IFS(E414&lt;E$24,0,E414&lt;E$25,D$24,E414&lt;E$26,D$25,E414&lt;E$27,D$26,E414&lt;E$28,D$27,E414&lt;E$29,D$28,E414&lt;E$30,D$29,E414&lt;E$31,D$30,E414&lt;E$32,D$31,E414&lt;E$33,D$32,E414&lt;E$34,D$33,E414&lt;E$35,D$34,E414&gt;=E$35,D$35)</f>
        <v/>
      </c>
      <c r="E414" s="38" t="n">
        <v>364</v>
      </c>
      <c r="F414" s="31">
        <f>E414/52</f>
        <v/>
      </c>
      <c r="G414" s="39">
        <f>D414/1000000*52</f>
        <v/>
      </c>
      <c r="H414" s="33">
        <f>G414/$P$4+($C$22/$P$4)</f>
        <v/>
      </c>
      <c r="I414" s="36">
        <f>_xlfn.IFS(K414&lt;K$24,0,K414&lt;K$26,I$24,K414&lt;K$28,I$26,K414&lt;K$30,I$28,K414&lt;K$32,I$30,K414&lt;K$34,I$32,K414&lt;K$36,I$34,K414&lt;K$38,I$36,K414&lt;K$40,I$38,K414&lt;K$42,I$40,K414&lt;K$44,I$42,K414&lt;K$46,I$44,K414&gt;=K$46,I$46)</f>
        <v/>
      </c>
      <c r="J414" s="37">
        <f>_xlfn.IFS(K414&lt;K$24,0,K414&lt;K$25,J$24,K414&lt;K$26,J$25,K414&lt;K$27,J$26,K414&lt;K$28,J$27,K414&lt;K$29,J$28,K414&lt;K$30,J$29,K414&lt;K$31,J$30,K414&lt;K$32,J$31,K414&lt;K$33,J$32,K414&lt;K$34,J$33,K414&lt;K$35,J$34,K414&lt;K$36,J$35,K414&lt;K$37,J$36,K414&lt;K$38,J$37,K414&lt;K$39,J$38,K414&lt;K$40,J$39,K414&lt;K$41,J$40,K414&lt;K$42,J$41,K414&lt;K$43,J$42,K414&lt;K$44,J$43,K414&lt;K$45,J$44,K414&lt;K$46,J$45,K414&lt;K$47,J$46,K414&gt;=K$47,J$47)</f>
        <v/>
      </c>
      <c r="K414" s="38" t="n">
        <v>364</v>
      </c>
      <c r="L414" s="31">
        <f>K414/52</f>
        <v/>
      </c>
      <c r="M414" s="39">
        <f>J414/1000000*52</f>
        <v/>
      </c>
      <c r="N414" s="33">
        <f>M414/$P$4+($I$22/$P$4)</f>
        <v/>
      </c>
      <c r="U414">
        <f>F413</f>
        <v/>
      </c>
      <c r="V414">
        <f>H413</f>
        <v/>
      </c>
      <c r="W414">
        <f>N413</f>
        <v/>
      </c>
    </row>
    <row r="415" ht="15.75" customHeight="1" s="40">
      <c r="C415" s="36">
        <f>_xlfn.IFS(E415&lt;E$24,0,E415&lt;E$26,C$24,E415&lt;E$28,C$26,E415&lt;E$30,C$28,E415&lt;E$32,C$30,E415&lt;E$34,C$32,E415&gt;=E$34,C$34)</f>
        <v/>
      </c>
      <c r="D415" s="37">
        <f>_xlfn.IFS(E415&lt;E$24,0,E415&lt;E$25,D$24,E415&lt;E$26,D$25,E415&lt;E$27,D$26,E415&lt;E$28,D$27,E415&lt;E$29,D$28,E415&lt;E$30,D$29,E415&lt;E$31,D$30,E415&lt;E$32,D$31,E415&lt;E$33,D$32,E415&lt;E$34,D$33,E415&lt;E$35,D$34,E415&gt;=E$35,D$35)</f>
        <v/>
      </c>
      <c r="E415" s="38" t="n">
        <v>365</v>
      </c>
      <c r="F415" s="31">
        <f>E415/52</f>
        <v/>
      </c>
      <c r="G415" s="39">
        <f>D415/1000000*52</f>
        <v/>
      </c>
      <c r="H415" s="33">
        <f>G415/$P$4+($C$22/$P$4)</f>
        <v/>
      </c>
      <c r="I415" s="36">
        <f>_xlfn.IFS(K415&lt;K$24,0,K415&lt;K$26,I$24,K415&lt;K$28,I$26,K415&lt;K$30,I$28,K415&lt;K$32,I$30,K415&lt;K$34,I$32,K415&lt;K$36,I$34,K415&lt;K$38,I$36,K415&lt;K$40,I$38,K415&lt;K$42,I$40,K415&lt;K$44,I$42,K415&lt;K$46,I$44,K415&gt;=K$46,I$46)</f>
        <v/>
      </c>
      <c r="J415" s="37">
        <f>_xlfn.IFS(K415&lt;K$24,0,K415&lt;K$25,J$24,K415&lt;K$26,J$25,K415&lt;K$27,J$26,K415&lt;K$28,J$27,K415&lt;K$29,J$28,K415&lt;K$30,J$29,K415&lt;K$31,J$30,K415&lt;K$32,J$31,K415&lt;K$33,J$32,K415&lt;K$34,J$33,K415&lt;K$35,J$34,K415&lt;K$36,J$35,K415&lt;K$37,J$36,K415&lt;K$38,J$37,K415&lt;K$39,J$38,K415&lt;K$40,J$39,K415&lt;K$41,J$40,K415&lt;K$42,J$41,K415&lt;K$43,J$42,K415&lt;K$44,J$43,K415&lt;K$45,J$44,K415&lt;K$46,J$45,K415&lt;K$47,J$46,K415&gt;=K$47,J$47)</f>
        <v/>
      </c>
      <c r="K415" s="38" t="n">
        <v>365</v>
      </c>
      <c r="L415" s="31">
        <f>K415/52</f>
        <v/>
      </c>
      <c r="M415" s="39">
        <f>J415/1000000*52</f>
        <v/>
      </c>
      <c r="N415" s="33">
        <f>M415/$P$4+($I$22/$P$4)</f>
        <v/>
      </c>
      <c r="U415">
        <f>F414</f>
        <v/>
      </c>
      <c r="V415">
        <f>H414</f>
        <v/>
      </c>
      <c r="W415">
        <f>N414</f>
        <v/>
      </c>
    </row>
    <row r="416" ht="15.75" customHeight="1" s="40">
      <c r="C416" s="36">
        <f>_xlfn.IFS(E416&lt;E$24,0,E416&lt;E$26,C$24,E416&lt;E$28,C$26,E416&lt;E$30,C$28,E416&lt;E$32,C$30,E416&lt;E$34,C$32,E416&gt;=E$34,C$34)</f>
        <v/>
      </c>
      <c r="D416" s="37">
        <f>_xlfn.IFS(E416&lt;E$24,0,E416&lt;E$25,D$24,E416&lt;E$26,D$25,E416&lt;E$27,D$26,E416&lt;E$28,D$27,E416&lt;E$29,D$28,E416&lt;E$30,D$29,E416&lt;E$31,D$30,E416&lt;E$32,D$31,E416&lt;E$33,D$32,E416&lt;E$34,D$33,E416&lt;E$35,D$34,E416&gt;=E$35,D$35)</f>
        <v/>
      </c>
      <c r="E416" s="38" t="n">
        <v>366</v>
      </c>
      <c r="F416" s="31">
        <f>E416/52</f>
        <v/>
      </c>
      <c r="G416" s="39">
        <f>D416/1000000*52</f>
        <v/>
      </c>
      <c r="H416" s="33">
        <f>G416/$P$4+($C$22/$P$4)</f>
        <v/>
      </c>
      <c r="I416" s="36">
        <f>_xlfn.IFS(K416&lt;K$24,0,K416&lt;K$26,I$24,K416&lt;K$28,I$26,K416&lt;K$30,I$28,K416&lt;K$32,I$30,K416&lt;K$34,I$32,K416&lt;K$36,I$34,K416&lt;K$38,I$36,K416&lt;K$40,I$38,K416&lt;K$42,I$40,K416&lt;K$44,I$42,K416&lt;K$46,I$44,K416&gt;=K$46,I$46)</f>
        <v/>
      </c>
      <c r="J416" s="37">
        <f>_xlfn.IFS(K416&lt;K$24,0,K416&lt;K$25,J$24,K416&lt;K$26,J$25,K416&lt;K$27,J$26,K416&lt;K$28,J$27,K416&lt;K$29,J$28,K416&lt;K$30,J$29,K416&lt;K$31,J$30,K416&lt;K$32,J$31,K416&lt;K$33,J$32,K416&lt;K$34,J$33,K416&lt;K$35,J$34,K416&lt;K$36,J$35,K416&lt;K$37,J$36,K416&lt;K$38,J$37,K416&lt;K$39,J$38,K416&lt;K$40,J$39,K416&lt;K$41,J$40,K416&lt;K$42,J$41,K416&lt;K$43,J$42,K416&lt;K$44,J$43,K416&lt;K$45,J$44,K416&lt;K$46,J$45,K416&lt;K$47,J$46,K416&gt;=K$47,J$47)</f>
        <v/>
      </c>
      <c r="K416" s="38" t="n">
        <v>366</v>
      </c>
      <c r="L416" s="31">
        <f>K416/52</f>
        <v/>
      </c>
      <c r="M416" s="39">
        <f>J416/1000000*52</f>
        <v/>
      </c>
      <c r="N416" s="33">
        <f>M416/$P$4+($I$22/$P$4)</f>
        <v/>
      </c>
      <c r="U416">
        <f>F415</f>
        <v/>
      </c>
      <c r="V416">
        <f>H415</f>
        <v/>
      </c>
      <c r="W416">
        <f>N415</f>
        <v/>
      </c>
    </row>
    <row r="417" ht="15.75" customHeight="1" s="40">
      <c r="C417" s="36">
        <f>_xlfn.IFS(E417&lt;E$24,0,E417&lt;E$26,C$24,E417&lt;E$28,C$26,E417&lt;E$30,C$28,E417&lt;E$32,C$30,E417&lt;E$34,C$32,E417&gt;=E$34,C$34)</f>
        <v/>
      </c>
      <c r="D417" s="37">
        <f>_xlfn.IFS(E417&lt;E$24,0,E417&lt;E$25,D$24,E417&lt;E$26,D$25,E417&lt;E$27,D$26,E417&lt;E$28,D$27,E417&lt;E$29,D$28,E417&lt;E$30,D$29,E417&lt;E$31,D$30,E417&lt;E$32,D$31,E417&lt;E$33,D$32,E417&lt;E$34,D$33,E417&lt;E$35,D$34,E417&gt;=E$35,D$35)</f>
        <v/>
      </c>
      <c r="E417" s="38" t="n">
        <v>367</v>
      </c>
      <c r="F417" s="31">
        <f>E417/52</f>
        <v/>
      </c>
      <c r="G417" s="39">
        <f>D417/1000000*52</f>
        <v/>
      </c>
      <c r="H417" s="33">
        <f>G417/$P$4+($C$22/$P$4)</f>
        <v/>
      </c>
      <c r="I417" s="36">
        <f>_xlfn.IFS(K417&lt;K$24,0,K417&lt;K$26,I$24,K417&lt;K$28,I$26,K417&lt;K$30,I$28,K417&lt;K$32,I$30,K417&lt;K$34,I$32,K417&lt;K$36,I$34,K417&lt;K$38,I$36,K417&lt;K$40,I$38,K417&lt;K$42,I$40,K417&lt;K$44,I$42,K417&lt;K$46,I$44,K417&gt;=K$46,I$46)</f>
        <v/>
      </c>
      <c r="J417" s="37">
        <f>_xlfn.IFS(K417&lt;K$24,0,K417&lt;K$25,J$24,K417&lt;K$26,J$25,K417&lt;K$27,J$26,K417&lt;K$28,J$27,K417&lt;K$29,J$28,K417&lt;K$30,J$29,K417&lt;K$31,J$30,K417&lt;K$32,J$31,K417&lt;K$33,J$32,K417&lt;K$34,J$33,K417&lt;K$35,J$34,K417&lt;K$36,J$35,K417&lt;K$37,J$36,K417&lt;K$38,J$37,K417&lt;K$39,J$38,K417&lt;K$40,J$39,K417&lt;K$41,J$40,K417&lt;K$42,J$41,K417&lt;K$43,J$42,K417&lt;K$44,J$43,K417&lt;K$45,J$44,K417&lt;K$46,J$45,K417&lt;K$47,J$46,K417&gt;=K$47,J$47)</f>
        <v/>
      </c>
      <c r="K417" s="38" t="n">
        <v>367</v>
      </c>
      <c r="L417" s="31">
        <f>K417/52</f>
        <v/>
      </c>
      <c r="M417" s="39">
        <f>J417/1000000*52</f>
        <v/>
      </c>
      <c r="N417" s="33">
        <f>M417/$P$4+($I$22/$P$4)</f>
        <v/>
      </c>
      <c r="U417">
        <f>F416</f>
        <v/>
      </c>
      <c r="V417">
        <f>H416</f>
        <v/>
      </c>
      <c r="W417">
        <f>N416</f>
        <v/>
      </c>
    </row>
    <row r="418" ht="15.75" customHeight="1" s="40">
      <c r="C418" s="36">
        <f>_xlfn.IFS(E418&lt;E$24,0,E418&lt;E$26,C$24,E418&lt;E$28,C$26,E418&lt;E$30,C$28,E418&lt;E$32,C$30,E418&lt;E$34,C$32,E418&gt;=E$34,C$34)</f>
        <v/>
      </c>
      <c r="D418" s="37">
        <f>_xlfn.IFS(E418&lt;E$24,0,E418&lt;E$25,D$24,E418&lt;E$26,D$25,E418&lt;E$27,D$26,E418&lt;E$28,D$27,E418&lt;E$29,D$28,E418&lt;E$30,D$29,E418&lt;E$31,D$30,E418&lt;E$32,D$31,E418&lt;E$33,D$32,E418&lt;E$34,D$33,E418&lt;E$35,D$34,E418&gt;=E$35,D$35)</f>
        <v/>
      </c>
      <c r="E418" s="38" t="n">
        <v>368</v>
      </c>
      <c r="F418" s="31">
        <f>E418/52</f>
        <v/>
      </c>
      <c r="G418" s="39">
        <f>D418/1000000*52</f>
        <v/>
      </c>
      <c r="H418" s="33">
        <f>G418/$P$4+($C$22/$P$4)</f>
        <v/>
      </c>
      <c r="I418" s="36">
        <f>_xlfn.IFS(K418&lt;K$24,0,K418&lt;K$26,I$24,K418&lt;K$28,I$26,K418&lt;K$30,I$28,K418&lt;K$32,I$30,K418&lt;K$34,I$32,K418&lt;K$36,I$34,K418&lt;K$38,I$36,K418&lt;K$40,I$38,K418&lt;K$42,I$40,K418&lt;K$44,I$42,K418&lt;K$46,I$44,K418&gt;=K$46,I$46)</f>
        <v/>
      </c>
      <c r="J418" s="37">
        <f>_xlfn.IFS(K418&lt;K$24,0,K418&lt;K$25,J$24,K418&lt;K$26,J$25,K418&lt;K$27,J$26,K418&lt;K$28,J$27,K418&lt;K$29,J$28,K418&lt;K$30,J$29,K418&lt;K$31,J$30,K418&lt;K$32,J$31,K418&lt;K$33,J$32,K418&lt;K$34,J$33,K418&lt;K$35,J$34,K418&lt;K$36,J$35,K418&lt;K$37,J$36,K418&lt;K$38,J$37,K418&lt;K$39,J$38,K418&lt;K$40,J$39,K418&lt;K$41,J$40,K418&lt;K$42,J$41,K418&lt;K$43,J$42,K418&lt;K$44,J$43,K418&lt;K$45,J$44,K418&lt;K$46,J$45,K418&lt;K$47,J$46,K418&gt;=K$47,J$47)</f>
        <v/>
      </c>
      <c r="K418" s="38" t="n">
        <v>368</v>
      </c>
      <c r="L418" s="31">
        <f>K418/52</f>
        <v/>
      </c>
      <c r="M418" s="39">
        <f>J418/1000000*52</f>
        <v/>
      </c>
      <c r="N418" s="33">
        <f>M418/$P$4+($I$22/$P$4)</f>
        <v/>
      </c>
      <c r="U418">
        <f>F417</f>
        <v/>
      </c>
      <c r="V418">
        <f>H417</f>
        <v/>
      </c>
      <c r="W418">
        <f>N417</f>
        <v/>
      </c>
    </row>
    <row r="419" ht="15.75" customHeight="1" s="40">
      <c r="C419" s="36">
        <f>_xlfn.IFS(E419&lt;E$24,0,E419&lt;E$26,C$24,E419&lt;E$28,C$26,E419&lt;E$30,C$28,E419&lt;E$32,C$30,E419&lt;E$34,C$32,E419&gt;=E$34,C$34)</f>
        <v/>
      </c>
      <c r="D419" s="37">
        <f>_xlfn.IFS(E419&lt;E$24,0,E419&lt;E$25,D$24,E419&lt;E$26,D$25,E419&lt;E$27,D$26,E419&lt;E$28,D$27,E419&lt;E$29,D$28,E419&lt;E$30,D$29,E419&lt;E$31,D$30,E419&lt;E$32,D$31,E419&lt;E$33,D$32,E419&lt;E$34,D$33,E419&lt;E$35,D$34,E419&gt;=E$35,D$35)</f>
        <v/>
      </c>
      <c r="E419" s="38" t="n">
        <v>369</v>
      </c>
      <c r="F419" s="31">
        <f>E419/52</f>
        <v/>
      </c>
      <c r="G419" s="39">
        <f>D419/1000000*52</f>
        <v/>
      </c>
      <c r="H419" s="33">
        <f>G419/$P$4+($C$22/$P$4)</f>
        <v/>
      </c>
      <c r="I419" s="36">
        <f>_xlfn.IFS(K419&lt;K$24,0,K419&lt;K$26,I$24,K419&lt;K$28,I$26,K419&lt;K$30,I$28,K419&lt;K$32,I$30,K419&lt;K$34,I$32,K419&lt;K$36,I$34,K419&lt;K$38,I$36,K419&lt;K$40,I$38,K419&lt;K$42,I$40,K419&lt;K$44,I$42,K419&lt;K$46,I$44,K419&gt;=K$46,I$46)</f>
        <v/>
      </c>
      <c r="J419" s="37">
        <f>_xlfn.IFS(K419&lt;K$24,0,K419&lt;K$25,J$24,K419&lt;K$26,J$25,K419&lt;K$27,J$26,K419&lt;K$28,J$27,K419&lt;K$29,J$28,K419&lt;K$30,J$29,K419&lt;K$31,J$30,K419&lt;K$32,J$31,K419&lt;K$33,J$32,K419&lt;K$34,J$33,K419&lt;K$35,J$34,K419&lt;K$36,J$35,K419&lt;K$37,J$36,K419&lt;K$38,J$37,K419&lt;K$39,J$38,K419&lt;K$40,J$39,K419&lt;K$41,J$40,K419&lt;K$42,J$41,K419&lt;K$43,J$42,K419&lt;K$44,J$43,K419&lt;K$45,J$44,K419&lt;K$46,J$45,K419&lt;K$47,J$46,K419&gt;=K$47,J$47)</f>
        <v/>
      </c>
      <c r="K419" s="38" t="n">
        <v>369</v>
      </c>
      <c r="L419" s="31">
        <f>K419/52</f>
        <v/>
      </c>
      <c r="M419" s="39">
        <f>J419/1000000*52</f>
        <v/>
      </c>
      <c r="N419" s="33">
        <f>M419/$P$4+($I$22/$P$4)</f>
        <v/>
      </c>
      <c r="U419">
        <f>F418</f>
        <v/>
      </c>
      <c r="V419">
        <f>H418</f>
        <v/>
      </c>
      <c r="W419">
        <f>N418</f>
        <v/>
      </c>
    </row>
    <row r="420" ht="15.75" customHeight="1" s="40">
      <c r="C420" s="36">
        <f>_xlfn.IFS(E420&lt;E$24,0,E420&lt;E$26,C$24,E420&lt;E$28,C$26,E420&lt;E$30,C$28,E420&lt;E$32,C$30,E420&lt;E$34,C$32,E420&gt;=E$34,C$34)</f>
        <v/>
      </c>
      <c r="D420" s="37">
        <f>_xlfn.IFS(E420&lt;E$24,0,E420&lt;E$25,D$24,E420&lt;E$26,D$25,E420&lt;E$27,D$26,E420&lt;E$28,D$27,E420&lt;E$29,D$28,E420&lt;E$30,D$29,E420&lt;E$31,D$30,E420&lt;E$32,D$31,E420&lt;E$33,D$32,E420&lt;E$34,D$33,E420&lt;E$35,D$34,E420&gt;=E$35,D$35)</f>
        <v/>
      </c>
      <c r="E420" s="38" t="n">
        <v>370</v>
      </c>
      <c r="F420" s="31">
        <f>E420/52</f>
        <v/>
      </c>
      <c r="G420" s="39">
        <f>D420/1000000*52</f>
        <v/>
      </c>
      <c r="H420" s="33">
        <f>G420/$P$4+($C$22/$P$4)</f>
        <v/>
      </c>
      <c r="I420" s="36">
        <f>_xlfn.IFS(K420&lt;K$24,0,K420&lt;K$26,I$24,K420&lt;K$28,I$26,K420&lt;K$30,I$28,K420&lt;K$32,I$30,K420&lt;K$34,I$32,K420&lt;K$36,I$34,K420&lt;K$38,I$36,K420&lt;K$40,I$38,K420&lt;K$42,I$40,K420&lt;K$44,I$42,K420&lt;K$46,I$44,K420&gt;=K$46,I$46)</f>
        <v/>
      </c>
      <c r="J420" s="37">
        <f>_xlfn.IFS(K420&lt;K$24,0,K420&lt;K$25,J$24,K420&lt;K$26,J$25,K420&lt;K$27,J$26,K420&lt;K$28,J$27,K420&lt;K$29,J$28,K420&lt;K$30,J$29,K420&lt;K$31,J$30,K420&lt;K$32,J$31,K420&lt;K$33,J$32,K420&lt;K$34,J$33,K420&lt;K$35,J$34,K420&lt;K$36,J$35,K420&lt;K$37,J$36,K420&lt;K$38,J$37,K420&lt;K$39,J$38,K420&lt;K$40,J$39,K420&lt;K$41,J$40,K420&lt;K$42,J$41,K420&lt;K$43,J$42,K420&lt;K$44,J$43,K420&lt;K$45,J$44,K420&lt;K$46,J$45,K420&lt;K$47,J$46,K420&gt;=K$47,J$47)</f>
        <v/>
      </c>
      <c r="K420" s="38" t="n">
        <v>370</v>
      </c>
      <c r="L420" s="31">
        <f>K420/52</f>
        <v/>
      </c>
      <c r="M420" s="39">
        <f>J420/1000000*52</f>
        <v/>
      </c>
      <c r="N420" s="33">
        <f>M420/$P$4+($I$22/$P$4)</f>
        <v/>
      </c>
      <c r="U420">
        <f>F419</f>
        <v/>
      </c>
      <c r="V420">
        <f>H419</f>
        <v/>
      </c>
      <c r="W420">
        <f>N419</f>
        <v/>
      </c>
    </row>
    <row r="421" ht="15.75" customHeight="1" s="40">
      <c r="C421" s="36">
        <f>_xlfn.IFS(E421&lt;E$24,0,E421&lt;E$26,C$24,E421&lt;E$28,C$26,E421&lt;E$30,C$28,E421&lt;E$32,C$30,E421&lt;E$34,C$32,E421&gt;=E$34,C$34)</f>
        <v/>
      </c>
      <c r="D421" s="37">
        <f>_xlfn.IFS(E421&lt;E$24,0,E421&lt;E$25,D$24,E421&lt;E$26,D$25,E421&lt;E$27,D$26,E421&lt;E$28,D$27,E421&lt;E$29,D$28,E421&lt;E$30,D$29,E421&lt;E$31,D$30,E421&lt;E$32,D$31,E421&lt;E$33,D$32,E421&lt;E$34,D$33,E421&lt;E$35,D$34,E421&gt;=E$35,D$35)</f>
        <v/>
      </c>
      <c r="E421" s="38" t="n">
        <v>371</v>
      </c>
      <c r="F421" s="31">
        <f>E421/52</f>
        <v/>
      </c>
      <c r="G421" s="39">
        <f>D421/1000000*52</f>
        <v/>
      </c>
      <c r="H421" s="33">
        <f>G421/$P$4+($C$22/$P$4)</f>
        <v/>
      </c>
      <c r="I421" s="36">
        <f>_xlfn.IFS(K421&lt;K$24,0,K421&lt;K$26,I$24,K421&lt;K$28,I$26,K421&lt;K$30,I$28,K421&lt;K$32,I$30,K421&lt;K$34,I$32,K421&lt;K$36,I$34,K421&lt;K$38,I$36,K421&lt;K$40,I$38,K421&lt;K$42,I$40,K421&lt;K$44,I$42,K421&lt;K$46,I$44,K421&gt;=K$46,I$46)</f>
        <v/>
      </c>
      <c r="J421" s="37">
        <f>_xlfn.IFS(K421&lt;K$24,0,K421&lt;K$25,J$24,K421&lt;K$26,J$25,K421&lt;K$27,J$26,K421&lt;K$28,J$27,K421&lt;K$29,J$28,K421&lt;K$30,J$29,K421&lt;K$31,J$30,K421&lt;K$32,J$31,K421&lt;K$33,J$32,K421&lt;K$34,J$33,K421&lt;K$35,J$34,K421&lt;K$36,J$35,K421&lt;K$37,J$36,K421&lt;K$38,J$37,K421&lt;K$39,J$38,K421&lt;K$40,J$39,K421&lt;K$41,J$40,K421&lt;K$42,J$41,K421&lt;K$43,J$42,K421&lt;K$44,J$43,K421&lt;K$45,J$44,K421&lt;K$46,J$45,K421&lt;K$47,J$46,K421&gt;=K$47,J$47)</f>
        <v/>
      </c>
      <c r="K421" s="38" t="n">
        <v>371</v>
      </c>
      <c r="L421" s="31">
        <f>K421/52</f>
        <v/>
      </c>
      <c r="M421" s="39">
        <f>J421/1000000*52</f>
        <v/>
      </c>
      <c r="N421" s="33">
        <f>M421/$P$4+($I$22/$P$4)</f>
        <v/>
      </c>
      <c r="U421">
        <f>F420</f>
        <v/>
      </c>
      <c r="V421">
        <f>H420</f>
        <v/>
      </c>
      <c r="W421">
        <f>N420</f>
        <v/>
      </c>
    </row>
    <row r="422" ht="15.75" customHeight="1" s="40">
      <c r="C422" s="36">
        <f>_xlfn.IFS(E422&lt;E$24,0,E422&lt;E$26,C$24,E422&lt;E$28,C$26,E422&lt;E$30,C$28,E422&lt;E$32,C$30,E422&lt;E$34,C$32,E422&gt;=E$34,C$34)</f>
        <v/>
      </c>
      <c r="D422" s="37">
        <f>_xlfn.IFS(E422&lt;E$24,0,E422&lt;E$25,D$24,E422&lt;E$26,D$25,E422&lt;E$27,D$26,E422&lt;E$28,D$27,E422&lt;E$29,D$28,E422&lt;E$30,D$29,E422&lt;E$31,D$30,E422&lt;E$32,D$31,E422&lt;E$33,D$32,E422&lt;E$34,D$33,E422&lt;E$35,D$34,E422&gt;=E$35,D$35)</f>
        <v/>
      </c>
      <c r="E422" s="38" t="n">
        <v>372</v>
      </c>
      <c r="F422" s="31">
        <f>E422/52</f>
        <v/>
      </c>
      <c r="G422" s="39">
        <f>D422/1000000*52</f>
        <v/>
      </c>
      <c r="H422" s="33">
        <f>G422/$P$4+($C$22/$P$4)</f>
        <v/>
      </c>
      <c r="I422" s="36">
        <f>_xlfn.IFS(K422&lt;K$24,0,K422&lt;K$26,I$24,K422&lt;K$28,I$26,K422&lt;K$30,I$28,K422&lt;K$32,I$30,K422&lt;K$34,I$32,K422&lt;K$36,I$34,K422&lt;K$38,I$36,K422&lt;K$40,I$38,K422&lt;K$42,I$40,K422&lt;K$44,I$42,K422&lt;K$46,I$44,K422&gt;=K$46,I$46)</f>
        <v/>
      </c>
      <c r="J422" s="37">
        <f>_xlfn.IFS(K422&lt;K$24,0,K422&lt;K$25,J$24,K422&lt;K$26,J$25,K422&lt;K$27,J$26,K422&lt;K$28,J$27,K422&lt;K$29,J$28,K422&lt;K$30,J$29,K422&lt;K$31,J$30,K422&lt;K$32,J$31,K422&lt;K$33,J$32,K422&lt;K$34,J$33,K422&lt;K$35,J$34,K422&lt;K$36,J$35,K422&lt;K$37,J$36,K422&lt;K$38,J$37,K422&lt;K$39,J$38,K422&lt;K$40,J$39,K422&lt;K$41,J$40,K422&lt;K$42,J$41,K422&lt;K$43,J$42,K422&lt;K$44,J$43,K422&lt;K$45,J$44,K422&lt;K$46,J$45,K422&lt;K$47,J$46,K422&gt;=K$47,J$47)</f>
        <v/>
      </c>
      <c r="K422" s="38" t="n">
        <v>372</v>
      </c>
      <c r="L422" s="31">
        <f>K422/52</f>
        <v/>
      </c>
      <c r="M422" s="39">
        <f>J422/1000000*52</f>
        <v/>
      </c>
      <c r="N422" s="33">
        <f>M422/$P$4+($I$22/$P$4)</f>
        <v/>
      </c>
      <c r="U422">
        <f>F421</f>
        <v/>
      </c>
      <c r="V422">
        <f>H421</f>
        <v/>
      </c>
      <c r="W422">
        <f>N421</f>
        <v/>
      </c>
    </row>
    <row r="423" ht="15.75" customHeight="1" s="40">
      <c r="C423" s="36">
        <f>_xlfn.IFS(E423&lt;E$24,0,E423&lt;E$26,C$24,E423&lt;E$28,C$26,E423&lt;E$30,C$28,E423&lt;E$32,C$30,E423&lt;E$34,C$32,E423&gt;=E$34,C$34)</f>
        <v/>
      </c>
      <c r="D423" s="37">
        <f>_xlfn.IFS(E423&lt;E$24,0,E423&lt;E$25,D$24,E423&lt;E$26,D$25,E423&lt;E$27,D$26,E423&lt;E$28,D$27,E423&lt;E$29,D$28,E423&lt;E$30,D$29,E423&lt;E$31,D$30,E423&lt;E$32,D$31,E423&lt;E$33,D$32,E423&lt;E$34,D$33,E423&lt;E$35,D$34,E423&gt;=E$35,D$35)</f>
        <v/>
      </c>
      <c r="E423" s="38" t="n">
        <v>373</v>
      </c>
      <c r="F423" s="31">
        <f>E423/52</f>
        <v/>
      </c>
      <c r="G423" s="39">
        <f>D423/1000000*52</f>
        <v/>
      </c>
      <c r="H423" s="33">
        <f>G423/$P$4+($C$22/$P$4)</f>
        <v/>
      </c>
      <c r="I423" s="36">
        <f>_xlfn.IFS(K423&lt;K$24,0,K423&lt;K$26,I$24,K423&lt;K$28,I$26,K423&lt;K$30,I$28,K423&lt;K$32,I$30,K423&lt;K$34,I$32,K423&lt;K$36,I$34,K423&lt;K$38,I$36,K423&lt;K$40,I$38,K423&lt;K$42,I$40,K423&lt;K$44,I$42,K423&lt;K$46,I$44,K423&gt;=K$46,I$46)</f>
        <v/>
      </c>
      <c r="J423" s="37">
        <f>_xlfn.IFS(K423&lt;K$24,0,K423&lt;K$25,J$24,K423&lt;K$26,J$25,K423&lt;K$27,J$26,K423&lt;K$28,J$27,K423&lt;K$29,J$28,K423&lt;K$30,J$29,K423&lt;K$31,J$30,K423&lt;K$32,J$31,K423&lt;K$33,J$32,K423&lt;K$34,J$33,K423&lt;K$35,J$34,K423&lt;K$36,J$35,K423&lt;K$37,J$36,K423&lt;K$38,J$37,K423&lt;K$39,J$38,K423&lt;K$40,J$39,K423&lt;K$41,J$40,K423&lt;K$42,J$41,K423&lt;K$43,J$42,K423&lt;K$44,J$43,K423&lt;K$45,J$44,K423&lt;K$46,J$45,K423&lt;K$47,J$46,K423&gt;=K$47,J$47)</f>
        <v/>
      </c>
      <c r="K423" s="38" t="n">
        <v>373</v>
      </c>
      <c r="L423" s="31">
        <f>K423/52</f>
        <v/>
      </c>
      <c r="M423" s="39">
        <f>J423/1000000*52</f>
        <v/>
      </c>
      <c r="N423" s="33">
        <f>M423/$P$4+($I$22/$P$4)</f>
        <v/>
      </c>
      <c r="U423">
        <f>F422</f>
        <v/>
      </c>
      <c r="V423">
        <f>H422</f>
        <v/>
      </c>
      <c r="W423">
        <f>N422</f>
        <v/>
      </c>
    </row>
    <row r="424" ht="15.75" customHeight="1" s="40">
      <c r="C424" s="36">
        <f>_xlfn.IFS(E424&lt;E$24,0,E424&lt;E$26,C$24,E424&lt;E$28,C$26,E424&lt;E$30,C$28,E424&lt;E$32,C$30,E424&lt;E$34,C$32,E424&gt;=E$34,C$34)</f>
        <v/>
      </c>
      <c r="D424" s="37">
        <f>_xlfn.IFS(E424&lt;E$24,0,E424&lt;E$25,D$24,E424&lt;E$26,D$25,E424&lt;E$27,D$26,E424&lt;E$28,D$27,E424&lt;E$29,D$28,E424&lt;E$30,D$29,E424&lt;E$31,D$30,E424&lt;E$32,D$31,E424&lt;E$33,D$32,E424&lt;E$34,D$33,E424&lt;E$35,D$34,E424&gt;=E$35,D$35)</f>
        <v/>
      </c>
      <c r="E424" s="38" t="n">
        <v>374</v>
      </c>
      <c r="F424" s="31">
        <f>E424/52</f>
        <v/>
      </c>
      <c r="G424" s="39">
        <f>D424/1000000*52</f>
        <v/>
      </c>
      <c r="H424" s="33">
        <f>G424/$P$4+($C$22/$P$4)</f>
        <v/>
      </c>
      <c r="I424" s="36">
        <f>_xlfn.IFS(K424&lt;K$24,0,K424&lt;K$26,I$24,K424&lt;K$28,I$26,K424&lt;K$30,I$28,K424&lt;K$32,I$30,K424&lt;K$34,I$32,K424&lt;K$36,I$34,K424&lt;K$38,I$36,K424&lt;K$40,I$38,K424&lt;K$42,I$40,K424&lt;K$44,I$42,K424&lt;K$46,I$44,K424&gt;=K$46,I$46)</f>
        <v/>
      </c>
      <c r="J424" s="37">
        <f>_xlfn.IFS(K424&lt;K$24,0,K424&lt;K$25,J$24,K424&lt;K$26,J$25,K424&lt;K$27,J$26,K424&lt;K$28,J$27,K424&lt;K$29,J$28,K424&lt;K$30,J$29,K424&lt;K$31,J$30,K424&lt;K$32,J$31,K424&lt;K$33,J$32,K424&lt;K$34,J$33,K424&lt;K$35,J$34,K424&lt;K$36,J$35,K424&lt;K$37,J$36,K424&lt;K$38,J$37,K424&lt;K$39,J$38,K424&lt;K$40,J$39,K424&lt;K$41,J$40,K424&lt;K$42,J$41,K424&lt;K$43,J$42,K424&lt;K$44,J$43,K424&lt;K$45,J$44,K424&lt;K$46,J$45,K424&lt;K$47,J$46,K424&gt;=K$47,J$47)</f>
        <v/>
      </c>
      <c r="K424" s="38" t="n">
        <v>374</v>
      </c>
      <c r="L424" s="31">
        <f>K424/52</f>
        <v/>
      </c>
      <c r="M424" s="39">
        <f>J424/1000000*52</f>
        <v/>
      </c>
      <c r="N424" s="33">
        <f>M424/$P$4+($I$22/$P$4)</f>
        <v/>
      </c>
      <c r="U424">
        <f>F423</f>
        <v/>
      </c>
      <c r="V424">
        <f>H423</f>
        <v/>
      </c>
      <c r="W424">
        <f>N423</f>
        <v/>
      </c>
    </row>
    <row r="425" ht="15.75" customHeight="1" s="40">
      <c r="C425" s="36">
        <f>_xlfn.IFS(E425&lt;E$24,0,E425&lt;E$26,C$24,E425&lt;E$28,C$26,E425&lt;E$30,C$28,E425&lt;E$32,C$30,E425&lt;E$34,C$32,E425&gt;=E$34,C$34)</f>
        <v/>
      </c>
      <c r="D425" s="37">
        <f>_xlfn.IFS(E425&lt;E$24,0,E425&lt;E$25,D$24,E425&lt;E$26,D$25,E425&lt;E$27,D$26,E425&lt;E$28,D$27,E425&lt;E$29,D$28,E425&lt;E$30,D$29,E425&lt;E$31,D$30,E425&lt;E$32,D$31,E425&lt;E$33,D$32,E425&lt;E$34,D$33,E425&lt;E$35,D$34,E425&gt;=E$35,D$35)</f>
        <v/>
      </c>
      <c r="E425" s="38" t="n">
        <v>375</v>
      </c>
      <c r="F425" s="31">
        <f>E425/52</f>
        <v/>
      </c>
      <c r="G425" s="39">
        <f>D425/1000000*52</f>
        <v/>
      </c>
      <c r="H425" s="33">
        <f>G425/$P$4+($C$22/$P$4)</f>
        <v/>
      </c>
      <c r="I425" s="36">
        <f>_xlfn.IFS(K425&lt;K$24,0,K425&lt;K$26,I$24,K425&lt;K$28,I$26,K425&lt;K$30,I$28,K425&lt;K$32,I$30,K425&lt;K$34,I$32,K425&lt;K$36,I$34,K425&lt;K$38,I$36,K425&lt;K$40,I$38,K425&lt;K$42,I$40,K425&lt;K$44,I$42,K425&lt;K$46,I$44,K425&gt;=K$46,I$46)</f>
        <v/>
      </c>
      <c r="J425" s="37">
        <f>_xlfn.IFS(K425&lt;K$24,0,K425&lt;K$25,J$24,K425&lt;K$26,J$25,K425&lt;K$27,J$26,K425&lt;K$28,J$27,K425&lt;K$29,J$28,K425&lt;K$30,J$29,K425&lt;K$31,J$30,K425&lt;K$32,J$31,K425&lt;K$33,J$32,K425&lt;K$34,J$33,K425&lt;K$35,J$34,K425&lt;K$36,J$35,K425&lt;K$37,J$36,K425&lt;K$38,J$37,K425&lt;K$39,J$38,K425&lt;K$40,J$39,K425&lt;K$41,J$40,K425&lt;K$42,J$41,K425&lt;K$43,J$42,K425&lt;K$44,J$43,K425&lt;K$45,J$44,K425&lt;K$46,J$45,K425&lt;K$47,J$46,K425&gt;=K$47,J$47)</f>
        <v/>
      </c>
      <c r="K425" s="38" t="n">
        <v>375</v>
      </c>
      <c r="L425" s="31">
        <f>K425/52</f>
        <v/>
      </c>
      <c r="M425" s="39">
        <f>J425/1000000*52</f>
        <v/>
      </c>
      <c r="N425" s="33">
        <f>M425/$P$4+($I$22/$P$4)</f>
        <v/>
      </c>
      <c r="U425">
        <f>F424</f>
        <v/>
      </c>
      <c r="V425">
        <f>H424</f>
        <v/>
      </c>
      <c r="W425">
        <f>N424</f>
        <v/>
      </c>
    </row>
    <row r="426" ht="15.75" customHeight="1" s="40">
      <c r="C426" s="36">
        <f>_xlfn.IFS(E426&lt;E$24,0,E426&lt;E$26,C$24,E426&lt;E$28,C$26,E426&lt;E$30,C$28,E426&lt;E$32,C$30,E426&lt;E$34,C$32,E426&gt;=E$34,C$34)</f>
        <v/>
      </c>
      <c r="D426" s="37">
        <f>_xlfn.IFS(E426&lt;E$24,0,E426&lt;E$25,D$24,E426&lt;E$26,D$25,E426&lt;E$27,D$26,E426&lt;E$28,D$27,E426&lt;E$29,D$28,E426&lt;E$30,D$29,E426&lt;E$31,D$30,E426&lt;E$32,D$31,E426&lt;E$33,D$32,E426&lt;E$34,D$33,E426&lt;E$35,D$34,E426&gt;=E$35,D$35)</f>
        <v/>
      </c>
      <c r="E426" s="38" t="n">
        <v>376</v>
      </c>
      <c r="F426" s="31">
        <f>E426/52</f>
        <v/>
      </c>
      <c r="G426" s="39">
        <f>D426/1000000*52</f>
        <v/>
      </c>
      <c r="H426" s="33">
        <f>G426/$P$4+($C$22/$P$4)</f>
        <v/>
      </c>
      <c r="I426" s="36">
        <f>_xlfn.IFS(K426&lt;K$24,0,K426&lt;K$26,I$24,K426&lt;K$28,I$26,K426&lt;K$30,I$28,K426&lt;K$32,I$30,K426&lt;K$34,I$32,K426&lt;K$36,I$34,K426&lt;K$38,I$36,K426&lt;K$40,I$38,K426&lt;K$42,I$40,K426&lt;K$44,I$42,K426&lt;K$46,I$44,K426&gt;=K$46,I$46)</f>
        <v/>
      </c>
      <c r="J426" s="37">
        <f>_xlfn.IFS(K426&lt;K$24,0,K426&lt;K$25,J$24,K426&lt;K$26,J$25,K426&lt;K$27,J$26,K426&lt;K$28,J$27,K426&lt;K$29,J$28,K426&lt;K$30,J$29,K426&lt;K$31,J$30,K426&lt;K$32,J$31,K426&lt;K$33,J$32,K426&lt;K$34,J$33,K426&lt;K$35,J$34,K426&lt;K$36,J$35,K426&lt;K$37,J$36,K426&lt;K$38,J$37,K426&lt;K$39,J$38,K426&lt;K$40,J$39,K426&lt;K$41,J$40,K426&lt;K$42,J$41,K426&lt;K$43,J$42,K426&lt;K$44,J$43,K426&lt;K$45,J$44,K426&lt;K$46,J$45,K426&lt;K$47,J$46,K426&gt;=K$47,J$47)</f>
        <v/>
      </c>
      <c r="K426" s="38" t="n">
        <v>376</v>
      </c>
      <c r="L426" s="31">
        <f>K426/52</f>
        <v/>
      </c>
      <c r="M426" s="39">
        <f>J426/1000000*52</f>
        <v/>
      </c>
      <c r="N426" s="33">
        <f>M426/$P$4+($I$22/$P$4)</f>
        <v/>
      </c>
      <c r="U426">
        <f>F425</f>
        <v/>
      </c>
      <c r="V426">
        <f>H425</f>
        <v/>
      </c>
      <c r="W426">
        <f>N425</f>
        <v/>
      </c>
    </row>
    <row r="427" ht="15.75" customHeight="1" s="40">
      <c r="C427" s="36">
        <f>_xlfn.IFS(E427&lt;E$24,0,E427&lt;E$26,C$24,E427&lt;E$28,C$26,E427&lt;E$30,C$28,E427&lt;E$32,C$30,E427&lt;E$34,C$32,E427&gt;=E$34,C$34)</f>
        <v/>
      </c>
      <c r="D427" s="37">
        <f>_xlfn.IFS(E427&lt;E$24,0,E427&lt;E$25,D$24,E427&lt;E$26,D$25,E427&lt;E$27,D$26,E427&lt;E$28,D$27,E427&lt;E$29,D$28,E427&lt;E$30,D$29,E427&lt;E$31,D$30,E427&lt;E$32,D$31,E427&lt;E$33,D$32,E427&lt;E$34,D$33,E427&lt;E$35,D$34,E427&gt;=E$35,D$35)</f>
        <v/>
      </c>
      <c r="E427" s="38" t="n">
        <v>377</v>
      </c>
      <c r="F427" s="31">
        <f>E427/52</f>
        <v/>
      </c>
      <c r="G427" s="39">
        <f>D427/1000000*52</f>
        <v/>
      </c>
      <c r="H427" s="33">
        <f>G427/$P$4+($C$22/$P$4)</f>
        <v/>
      </c>
      <c r="I427" s="36">
        <f>_xlfn.IFS(K427&lt;K$24,0,K427&lt;K$26,I$24,K427&lt;K$28,I$26,K427&lt;K$30,I$28,K427&lt;K$32,I$30,K427&lt;K$34,I$32,K427&lt;K$36,I$34,K427&lt;K$38,I$36,K427&lt;K$40,I$38,K427&lt;K$42,I$40,K427&lt;K$44,I$42,K427&lt;K$46,I$44,K427&gt;=K$46,I$46)</f>
        <v/>
      </c>
      <c r="J427" s="37">
        <f>_xlfn.IFS(K427&lt;K$24,0,K427&lt;K$25,J$24,K427&lt;K$26,J$25,K427&lt;K$27,J$26,K427&lt;K$28,J$27,K427&lt;K$29,J$28,K427&lt;K$30,J$29,K427&lt;K$31,J$30,K427&lt;K$32,J$31,K427&lt;K$33,J$32,K427&lt;K$34,J$33,K427&lt;K$35,J$34,K427&lt;K$36,J$35,K427&lt;K$37,J$36,K427&lt;K$38,J$37,K427&lt;K$39,J$38,K427&lt;K$40,J$39,K427&lt;K$41,J$40,K427&lt;K$42,J$41,K427&lt;K$43,J$42,K427&lt;K$44,J$43,K427&lt;K$45,J$44,K427&lt;K$46,J$45,K427&lt;K$47,J$46,K427&gt;=K$47,J$47)</f>
        <v/>
      </c>
      <c r="K427" s="38" t="n">
        <v>377</v>
      </c>
      <c r="L427" s="31">
        <f>K427/52</f>
        <v/>
      </c>
      <c r="M427" s="39">
        <f>J427/1000000*52</f>
        <v/>
      </c>
      <c r="N427" s="33">
        <f>M427/$P$4+($I$22/$P$4)</f>
        <v/>
      </c>
      <c r="U427">
        <f>F426</f>
        <v/>
      </c>
      <c r="V427">
        <f>H426</f>
        <v/>
      </c>
      <c r="W427">
        <f>N426</f>
        <v/>
      </c>
    </row>
    <row r="428" ht="15.75" customHeight="1" s="40">
      <c r="C428" s="36">
        <f>_xlfn.IFS(E428&lt;E$24,0,E428&lt;E$26,C$24,E428&lt;E$28,C$26,E428&lt;E$30,C$28,E428&lt;E$32,C$30,E428&lt;E$34,C$32,E428&gt;=E$34,C$34)</f>
        <v/>
      </c>
      <c r="D428" s="37">
        <f>_xlfn.IFS(E428&lt;E$24,0,E428&lt;E$25,D$24,E428&lt;E$26,D$25,E428&lt;E$27,D$26,E428&lt;E$28,D$27,E428&lt;E$29,D$28,E428&lt;E$30,D$29,E428&lt;E$31,D$30,E428&lt;E$32,D$31,E428&lt;E$33,D$32,E428&lt;E$34,D$33,E428&lt;E$35,D$34,E428&gt;=E$35,D$35)</f>
        <v/>
      </c>
      <c r="E428" s="38" t="n">
        <v>378</v>
      </c>
      <c r="F428" s="31">
        <f>E428/52</f>
        <v/>
      </c>
      <c r="G428" s="39">
        <f>D428/1000000*52</f>
        <v/>
      </c>
      <c r="H428" s="33">
        <f>G428/$P$4+($C$22/$P$4)</f>
        <v/>
      </c>
      <c r="I428" s="36">
        <f>_xlfn.IFS(K428&lt;K$24,0,K428&lt;K$26,I$24,K428&lt;K$28,I$26,K428&lt;K$30,I$28,K428&lt;K$32,I$30,K428&lt;K$34,I$32,K428&lt;K$36,I$34,K428&lt;K$38,I$36,K428&lt;K$40,I$38,K428&lt;K$42,I$40,K428&lt;K$44,I$42,K428&lt;K$46,I$44,K428&gt;=K$46,I$46)</f>
        <v/>
      </c>
      <c r="J428" s="37">
        <f>_xlfn.IFS(K428&lt;K$24,0,K428&lt;K$25,J$24,K428&lt;K$26,J$25,K428&lt;K$27,J$26,K428&lt;K$28,J$27,K428&lt;K$29,J$28,K428&lt;K$30,J$29,K428&lt;K$31,J$30,K428&lt;K$32,J$31,K428&lt;K$33,J$32,K428&lt;K$34,J$33,K428&lt;K$35,J$34,K428&lt;K$36,J$35,K428&lt;K$37,J$36,K428&lt;K$38,J$37,K428&lt;K$39,J$38,K428&lt;K$40,J$39,K428&lt;K$41,J$40,K428&lt;K$42,J$41,K428&lt;K$43,J$42,K428&lt;K$44,J$43,K428&lt;K$45,J$44,K428&lt;K$46,J$45,K428&lt;K$47,J$46,K428&gt;=K$47,J$47)</f>
        <v/>
      </c>
      <c r="K428" s="38" t="n">
        <v>378</v>
      </c>
      <c r="L428" s="31">
        <f>K428/52</f>
        <v/>
      </c>
      <c r="M428" s="39">
        <f>J428/1000000*52</f>
        <v/>
      </c>
      <c r="N428" s="33">
        <f>M428/$P$4+($I$22/$P$4)</f>
        <v/>
      </c>
      <c r="U428">
        <f>F427</f>
        <v/>
      </c>
      <c r="V428">
        <f>H427</f>
        <v/>
      </c>
      <c r="W428">
        <f>N427</f>
        <v/>
      </c>
    </row>
    <row r="429" ht="15.75" customHeight="1" s="40">
      <c r="C429" s="36">
        <f>_xlfn.IFS(E429&lt;E$24,0,E429&lt;E$26,C$24,E429&lt;E$28,C$26,E429&lt;E$30,C$28,E429&lt;E$32,C$30,E429&lt;E$34,C$32,E429&gt;=E$34,C$34)</f>
        <v/>
      </c>
      <c r="D429" s="37">
        <f>_xlfn.IFS(E429&lt;E$24,0,E429&lt;E$25,D$24,E429&lt;E$26,D$25,E429&lt;E$27,D$26,E429&lt;E$28,D$27,E429&lt;E$29,D$28,E429&lt;E$30,D$29,E429&lt;E$31,D$30,E429&lt;E$32,D$31,E429&lt;E$33,D$32,E429&lt;E$34,D$33,E429&lt;E$35,D$34,E429&gt;=E$35,D$35)</f>
        <v/>
      </c>
      <c r="E429" s="38" t="n">
        <v>379</v>
      </c>
      <c r="F429" s="31">
        <f>E429/52</f>
        <v/>
      </c>
      <c r="G429" s="39">
        <f>D429/1000000*52</f>
        <v/>
      </c>
      <c r="H429" s="33">
        <f>G429/$P$4+($C$22/$P$4)</f>
        <v/>
      </c>
      <c r="I429" s="36">
        <f>_xlfn.IFS(K429&lt;K$24,0,K429&lt;K$26,I$24,K429&lt;K$28,I$26,K429&lt;K$30,I$28,K429&lt;K$32,I$30,K429&lt;K$34,I$32,K429&lt;K$36,I$34,K429&lt;K$38,I$36,K429&lt;K$40,I$38,K429&lt;K$42,I$40,K429&lt;K$44,I$42,K429&lt;K$46,I$44,K429&gt;=K$46,I$46)</f>
        <v/>
      </c>
      <c r="J429" s="37">
        <f>_xlfn.IFS(K429&lt;K$24,0,K429&lt;K$25,J$24,K429&lt;K$26,J$25,K429&lt;K$27,J$26,K429&lt;K$28,J$27,K429&lt;K$29,J$28,K429&lt;K$30,J$29,K429&lt;K$31,J$30,K429&lt;K$32,J$31,K429&lt;K$33,J$32,K429&lt;K$34,J$33,K429&lt;K$35,J$34,K429&lt;K$36,J$35,K429&lt;K$37,J$36,K429&lt;K$38,J$37,K429&lt;K$39,J$38,K429&lt;K$40,J$39,K429&lt;K$41,J$40,K429&lt;K$42,J$41,K429&lt;K$43,J$42,K429&lt;K$44,J$43,K429&lt;K$45,J$44,K429&lt;K$46,J$45,K429&lt;K$47,J$46,K429&gt;=K$47,J$47)</f>
        <v/>
      </c>
      <c r="K429" s="38" t="n">
        <v>379</v>
      </c>
      <c r="L429" s="31">
        <f>K429/52</f>
        <v/>
      </c>
      <c r="M429" s="39">
        <f>J429/1000000*52</f>
        <v/>
      </c>
      <c r="N429" s="33">
        <f>M429/$P$4+($I$22/$P$4)</f>
        <v/>
      </c>
      <c r="U429">
        <f>F428</f>
        <v/>
      </c>
      <c r="V429">
        <f>H428</f>
        <v/>
      </c>
      <c r="W429">
        <f>N428</f>
        <v/>
      </c>
    </row>
    <row r="430" ht="15.75" customHeight="1" s="40">
      <c r="C430" s="36">
        <f>_xlfn.IFS(E430&lt;E$24,0,E430&lt;E$26,C$24,E430&lt;E$28,C$26,E430&lt;E$30,C$28,E430&lt;E$32,C$30,E430&lt;E$34,C$32,E430&gt;=E$34,C$34)</f>
        <v/>
      </c>
      <c r="D430" s="37">
        <f>_xlfn.IFS(E430&lt;E$24,0,E430&lt;E$25,D$24,E430&lt;E$26,D$25,E430&lt;E$27,D$26,E430&lt;E$28,D$27,E430&lt;E$29,D$28,E430&lt;E$30,D$29,E430&lt;E$31,D$30,E430&lt;E$32,D$31,E430&lt;E$33,D$32,E430&lt;E$34,D$33,E430&lt;E$35,D$34,E430&gt;=E$35,D$35)</f>
        <v/>
      </c>
      <c r="E430" s="38" t="n">
        <v>380</v>
      </c>
      <c r="F430" s="31">
        <f>E430/52</f>
        <v/>
      </c>
      <c r="G430" s="39">
        <f>D430/1000000*52</f>
        <v/>
      </c>
      <c r="H430" s="33">
        <f>G430/$P$4+($C$22/$P$4)</f>
        <v/>
      </c>
      <c r="I430" s="36">
        <f>_xlfn.IFS(K430&lt;K$24,0,K430&lt;K$26,I$24,K430&lt;K$28,I$26,K430&lt;K$30,I$28,K430&lt;K$32,I$30,K430&lt;K$34,I$32,K430&lt;K$36,I$34,K430&lt;K$38,I$36,K430&lt;K$40,I$38,K430&lt;K$42,I$40,K430&lt;K$44,I$42,K430&lt;K$46,I$44,K430&gt;=K$46,I$46)</f>
        <v/>
      </c>
      <c r="J430" s="37">
        <f>_xlfn.IFS(K430&lt;K$24,0,K430&lt;K$25,J$24,K430&lt;K$26,J$25,K430&lt;K$27,J$26,K430&lt;K$28,J$27,K430&lt;K$29,J$28,K430&lt;K$30,J$29,K430&lt;K$31,J$30,K430&lt;K$32,J$31,K430&lt;K$33,J$32,K430&lt;K$34,J$33,K430&lt;K$35,J$34,K430&lt;K$36,J$35,K430&lt;K$37,J$36,K430&lt;K$38,J$37,K430&lt;K$39,J$38,K430&lt;K$40,J$39,K430&lt;K$41,J$40,K430&lt;K$42,J$41,K430&lt;K$43,J$42,K430&lt;K$44,J$43,K430&lt;K$45,J$44,K430&lt;K$46,J$45,K430&lt;K$47,J$46,K430&gt;=K$47,J$47)</f>
        <v/>
      </c>
      <c r="K430" s="38" t="n">
        <v>380</v>
      </c>
      <c r="L430" s="31">
        <f>K430/52</f>
        <v/>
      </c>
      <c r="M430" s="39">
        <f>J430/1000000*52</f>
        <v/>
      </c>
      <c r="N430" s="33">
        <f>M430/$P$4+($I$22/$P$4)</f>
        <v/>
      </c>
      <c r="U430">
        <f>F429</f>
        <v/>
      </c>
      <c r="V430">
        <f>H429</f>
        <v/>
      </c>
      <c r="W430">
        <f>N429</f>
        <v/>
      </c>
    </row>
    <row r="431" ht="15.75" customHeight="1" s="40">
      <c r="C431" s="36">
        <f>_xlfn.IFS(E431&lt;E$24,0,E431&lt;E$26,C$24,E431&lt;E$28,C$26,E431&lt;E$30,C$28,E431&lt;E$32,C$30,E431&lt;E$34,C$32,E431&gt;=E$34,C$34)</f>
        <v/>
      </c>
      <c r="D431" s="37">
        <f>_xlfn.IFS(E431&lt;E$24,0,E431&lt;E$25,D$24,E431&lt;E$26,D$25,E431&lt;E$27,D$26,E431&lt;E$28,D$27,E431&lt;E$29,D$28,E431&lt;E$30,D$29,E431&lt;E$31,D$30,E431&lt;E$32,D$31,E431&lt;E$33,D$32,E431&lt;E$34,D$33,E431&lt;E$35,D$34,E431&gt;=E$35,D$35)</f>
        <v/>
      </c>
      <c r="E431" s="38" t="n">
        <v>381</v>
      </c>
      <c r="F431" s="31">
        <f>E431/52</f>
        <v/>
      </c>
      <c r="G431" s="39">
        <f>D431/1000000*52</f>
        <v/>
      </c>
      <c r="H431" s="33">
        <f>G431/$P$4+($C$22/$P$4)</f>
        <v/>
      </c>
      <c r="I431" s="36">
        <f>_xlfn.IFS(K431&lt;K$24,0,K431&lt;K$26,I$24,K431&lt;K$28,I$26,K431&lt;K$30,I$28,K431&lt;K$32,I$30,K431&lt;K$34,I$32,K431&lt;K$36,I$34,K431&lt;K$38,I$36,K431&lt;K$40,I$38,K431&lt;K$42,I$40,K431&lt;K$44,I$42,K431&lt;K$46,I$44,K431&gt;=K$46,I$46)</f>
        <v/>
      </c>
      <c r="J431" s="37">
        <f>_xlfn.IFS(K431&lt;K$24,0,K431&lt;K$25,J$24,K431&lt;K$26,J$25,K431&lt;K$27,J$26,K431&lt;K$28,J$27,K431&lt;K$29,J$28,K431&lt;K$30,J$29,K431&lt;K$31,J$30,K431&lt;K$32,J$31,K431&lt;K$33,J$32,K431&lt;K$34,J$33,K431&lt;K$35,J$34,K431&lt;K$36,J$35,K431&lt;K$37,J$36,K431&lt;K$38,J$37,K431&lt;K$39,J$38,K431&lt;K$40,J$39,K431&lt;K$41,J$40,K431&lt;K$42,J$41,K431&lt;K$43,J$42,K431&lt;K$44,J$43,K431&lt;K$45,J$44,K431&lt;K$46,J$45,K431&lt;K$47,J$46,K431&gt;=K$47,J$47)</f>
        <v/>
      </c>
      <c r="K431" s="38" t="n">
        <v>381</v>
      </c>
      <c r="L431" s="31">
        <f>K431/52</f>
        <v/>
      </c>
      <c r="M431" s="39">
        <f>J431/1000000*52</f>
        <v/>
      </c>
      <c r="N431" s="33">
        <f>M431/$P$4+($I$22/$P$4)</f>
        <v/>
      </c>
      <c r="U431">
        <f>F430</f>
        <v/>
      </c>
      <c r="V431">
        <f>H430</f>
        <v/>
      </c>
      <c r="W431">
        <f>N430</f>
        <v/>
      </c>
    </row>
    <row r="432" ht="15.75" customHeight="1" s="40">
      <c r="C432" s="36">
        <f>_xlfn.IFS(E432&lt;E$24,0,E432&lt;E$26,C$24,E432&lt;E$28,C$26,E432&lt;E$30,C$28,E432&lt;E$32,C$30,E432&lt;E$34,C$32,E432&gt;=E$34,C$34)</f>
        <v/>
      </c>
      <c r="D432" s="37">
        <f>_xlfn.IFS(E432&lt;E$24,0,E432&lt;E$25,D$24,E432&lt;E$26,D$25,E432&lt;E$27,D$26,E432&lt;E$28,D$27,E432&lt;E$29,D$28,E432&lt;E$30,D$29,E432&lt;E$31,D$30,E432&lt;E$32,D$31,E432&lt;E$33,D$32,E432&lt;E$34,D$33,E432&lt;E$35,D$34,E432&gt;=E$35,D$35)</f>
        <v/>
      </c>
      <c r="E432" s="38" t="n">
        <v>382</v>
      </c>
      <c r="F432" s="31">
        <f>E432/52</f>
        <v/>
      </c>
      <c r="G432" s="39">
        <f>D432/1000000*52</f>
        <v/>
      </c>
      <c r="H432" s="33">
        <f>G432/$P$4+($C$22/$P$4)</f>
        <v/>
      </c>
      <c r="I432" s="36">
        <f>_xlfn.IFS(K432&lt;K$24,0,K432&lt;K$26,I$24,K432&lt;K$28,I$26,K432&lt;K$30,I$28,K432&lt;K$32,I$30,K432&lt;K$34,I$32,K432&lt;K$36,I$34,K432&lt;K$38,I$36,K432&lt;K$40,I$38,K432&lt;K$42,I$40,K432&lt;K$44,I$42,K432&lt;K$46,I$44,K432&gt;=K$46,I$46)</f>
        <v/>
      </c>
      <c r="J432" s="37">
        <f>_xlfn.IFS(K432&lt;K$24,0,K432&lt;K$25,J$24,K432&lt;K$26,J$25,K432&lt;K$27,J$26,K432&lt;K$28,J$27,K432&lt;K$29,J$28,K432&lt;K$30,J$29,K432&lt;K$31,J$30,K432&lt;K$32,J$31,K432&lt;K$33,J$32,K432&lt;K$34,J$33,K432&lt;K$35,J$34,K432&lt;K$36,J$35,K432&lt;K$37,J$36,K432&lt;K$38,J$37,K432&lt;K$39,J$38,K432&lt;K$40,J$39,K432&lt;K$41,J$40,K432&lt;K$42,J$41,K432&lt;K$43,J$42,K432&lt;K$44,J$43,K432&lt;K$45,J$44,K432&lt;K$46,J$45,K432&lt;K$47,J$46,K432&gt;=K$47,J$47)</f>
        <v/>
      </c>
      <c r="K432" s="38" t="n">
        <v>382</v>
      </c>
      <c r="L432" s="31">
        <f>K432/52</f>
        <v/>
      </c>
      <c r="M432" s="39">
        <f>J432/1000000*52</f>
        <v/>
      </c>
      <c r="N432" s="33">
        <f>M432/$P$4+($I$22/$P$4)</f>
        <v/>
      </c>
      <c r="U432">
        <f>F431</f>
        <v/>
      </c>
      <c r="V432">
        <f>H431</f>
        <v/>
      </c>
      <c r="W432">
        <f>N431</f>
        <v/>
      </c>
    </row>
    <row r="433" ht="15.75" customHeight="1" s="40">
      <c r="C433" s="36">
        <f>_xlfn.IFS(E433&lt;E$24,0,E433&lt;E$26,C$24,E433&lt;E$28,C$26,E433&lt;E$30,C$28,E433&lt;E$32,C$30,E433&lt;E$34,C$32,E433&gt;=E$34,C$34)</f>
        <v/>
      </c>
      <c r="D433" s="37">
        <f>_xlfn.IFS(E433&lt;E$24,0,E433&lt;E$25,D$24,E433&lt;E$26,D$25,E433&lt;E$27,D$26,E433&lt;E$28,D$27,E433&lt;E$29,D$28,E433&lt;E$30,D$29,E433&lt;E$31,D$30,E433&lt;E$32,D$31,E433&lt;E$33,D$32,E433&lt;E$34,D$33,E433&lt;E$35,D$34,E433&gt;=E$35,D$35)</f>
        <v/>
      </c>
      <c r="E433" s="38" t="n">
        <v>383</v>
      </c>
      <c r="F433" s="31">
        <f>E433/52</f>
        <v/>
      </c>
      <c r="G433" s="39">
        <f>D433/1000000*52</f>
        <v/>
      </c>
      <c r="H433" s="33">
        <f>G433/$P$4+($C$22/$P$4)</f>
        <v/>
      </c>
      <c r="I433" s="36">
        <f>_xlfn.IFS(K433&lt;K$24,0,K433&lt;K$26,I$24,K433&lt;K$28,I$26,K433&lt;K$30,I$28,K433&lt;K$32,I$30,K433&lt;K$34,I$32,K433&lt;K$36,I$34,K433&lt;K$38,I$36,K433&lt;K$40,I$38,K433&lt;K$42,I$40,K433&lt;K$44,I$42,K433&lt;K$46,I$44,K433&gt;=K$46,I$46)</f>
        <v/>
      </c>
      <c r="J433" s="37">
        <f>_xlfn.IFS(K433&lt;K$24,0,K433&lt;K$25,J$24,K433&lt;K$26,J$25,K433&lt;K$27,J$26,K433&lt;K$28,J$27,K433&lt;K$29,J$28,K433&lt;K$30,J$29,K433&lt;K$31,J$30,K433&lt;K$32,J$31,K433&lt;K$33,J$32,K433&lt;K$34,J$33,K433&lt;K$35,J$34,K433&lt;K$36,J$35,K433&lt;K$37,J$36,K433&lt;K$38,J$37,K433&lt;K$39,J$38,K433&lt;K$40,J$39,K433&lt;K$41,J$40,K433&lt;K$42,J$41,K433&lt;K$43,J$42,K433&lt;K$44,J$43,K433&lt;K$45,J$44,K433&lt;K$46,J$45,K433&lt;K$47,J$46,K433&gt;=K$47,J$47)</f>
        <v/>
      </c>
      <c r="K433" s="38" t="n">
        <v>383</v>
      </c>
      <c r="L433" s="31">
        <f>K433/52</f>
        <v/>
      </c>
      <c r="M433" s="39">
        <f>J433/1000000*52</f>
        <v/>
      </c>
      <c r="N433" s="33">
        <f>M433/$P$4+($I$22/$P$4)</f>
        <v/>
      </c>
      <c r="U433">
        <f>F432</f>
        <v/>
      </c>
      <c r="V433">
        <f>H432</f>
        <v/>
      </c>
      <c r="W433">
        <f>N432</f>
        <v/>
      </c>
    </row>
    <row r="434" ht="15.75" customHeight="1" s="40">
      <c r="C434" s="36">
        <f>_xlfn.IFS(E434&lt;E$24,0,E434&lt;E$26,C$24,E434&lt;E$28,C$26,E434&lt;E$30,C$28,E434&lt;E$32,C$30,E434&lt;E$34,C$32,E434&gt;=E$34,C$34)</f>
        <v/>
      </c>
      <c r="D434" s="37">
        <f>_xlfn.IFS(E434&lt;E$24,0,E434&lt;E$25,D$24,E434&lt;E$26,D$25,E434&lt;E$27,D$26,E434&lt;E$28,D$27,E434&lt;E$29,D$28,E434&lt;E$30,D$29,E434&lt;E$31,D$30,E434&lt;E$32,D$31,E434&lt;E$33,D$32,E434&lt;E$34,D$33,E434&lt;E$35,D$34,E434&gt;=E$35,D$35)</f>
        <v/>
      </c>
      <c r="E434" s="38" t="n">
        <v>384</v>
      </c>
      <c r="F434" s="31">
        <f>E434/52</f>
        <v/>
      </c>
      <c r="G434" s="39">
        <f>D434/1000000*52</f>
        <v/>
      </c>
      <c r="H434" s="33">
        <f>G434/$P$4+($C$22/$P$4)</f>
        <v/>
      </c>
      <c r="I434" s="36">
        <f>_xlfn.IFS(K434&lt;K$24,0,K434&lt;K$26,I$24,K434&lt;K$28,I$26,K434&lt;K$30,I$28,K434&lt;K$32,I$30,K434&lt;K$34,I$32,K434&lt;K$36,I$34,K434&lt;K$38,I$36,K434&lt;K$40,I$38,K434&lt;K$42,I$40,K434&lt;K$44,I$42,K434&lt;K$46,I$44,K434&gt;=K$46,I$46)</f>
        <v/>
      </c>
      <c r="J434" s="37">
        <f>_xlfn.IFS(K434&lt;K$24,0,K434&lt;K$25,J$24,K434&lt;K$26,J$25,K434&lt;K$27,J$26,K434&lt;K$28,J$27,K434&lt;K$29,J$28,K434&lt;K$30,J$29,K434&lt;K$31,J$30,K434&lt;K$32,J$31,K434&lt;K$33,J$32,K434&lt;K$34,J$33,K434&lt;K$35,J$34,K434&lt;K$36,J$35,K434&lt;K$37,J$36,K434&lt;K$38,J$37,K434&lt;K$39,J$38,K434&lt;K$40,J$39,K434&lt;K$41,J$40,K434&lt;K$42,J$41,K434&lt;K$43,J$42,K434&lt;K$44,J$43,K434&lt;K$45,J$44,K434&lt;K$46,J$45,K434&lt;K$47,J$46,K434&gt;=K$47,J$47)</f>
        <v/>
      </c>
      <c r="K434" s="38" t="n">
        <v>384</v>
      </c>
      <c r="L434" s="31">
        <f>K434/52</f>
        <v/>
      </c>
      <c r="M434" s="39">
        <f>J434/1000000*52</f>
        <v/>
      </c>
      <c r="N434" s="33">
        <f>M434/$P$4+($I$22/$P$4)</f>
        <v/>
      </c>
      <c r="U434">
        <f>F433</f>
        <v/>
      </c>
      <c r="V434">
        <f>H433</f>
        <v/>
      </c>
      <c r="W434">
        <f>N433</f>
        <v/>
      </c>
    </row>
    <row r="435" ht="15.75" customHeight="1" s="40">
      <c r="C435" s="36">
        <f>_xlfn.IFS(E435&lt;E$24,0,E435&lt;E$26,C$24,E435&lt;E$28,C$26,E435&lt;E$30,C$28,E435&lt;E$32,C$30,E435&lt;E$34,C$32,E435&gt;=E$34,C$34)</f>
        <v/>
      </c>
      <c r="D435" s="37">
        <f>_xlfn.IFS(E435&lt;E$24,0,E435&lt;E$25,D$24,E435&lt;E$26,D$25,E435&lt;E$27,D$26,E435&lt;E$28,D$27,E435&lt;E$29,D$28,E435&lt;E$30,D$29,E435&lt;E$31,D$30,E435&lt;E$32,D$31,E435&lt;E$33,D$32,E435&lt;E$34,D$33,E435&lt;E$35,D$34,E435&gt;=E$35,D$35)</f>
        <v/>
      </c>
      <c r="E435" s="38" t="n">
        <v>385</v>
      </c>
      <c r="F435" s="31">
        <f>E435/52</f>
        <v/>
      </c>
      <c r="G435" s="39">
        <f>D435/1000000*52</f>
        <v/>
      </c>
      <c r="H435" s="33">
        <f>G435/$P$4+($C$22/$P$4)</f>
        <v/>
      </c>
      <c r="I435" s="36">
        <f>_xlfn.IFS(K435&lt;K$24,0,K435&lt;K$26,I$24,K435&lt;K$28,I$26,K435&lt;K$30,I$28,K435&lt;K$32,I$30,K435&lt;K$34,I$32,K435&lt;K$36,I$34,K435&lt;K$38,I$36,K435&lt;K$40,I$38,K435&lt;K$42,I$40,K435&lt;K$44,I$42,K435&lt;K$46,I$44,K435&gt;=K$46,I$46)</f>
        <v/>
      </c>
      <c r="J435" s="37">
        <f>_xlfn.IFS(K435&lt;K$24,0,K435&lt;K$25,J$24,K435&lt;K$26,J$25,K435&lt;K$27,J$26,K435&lt;K$28,J$27,K435&lt;K$29,J$28,K435&lt;K$30,J$29,K435&lt;K$31,J$30,K435&lt;K$32,J$31,K435&lt;K$33,J$32,K435&lt;K$34,J$33,K435&lt;K$35,J$34,K435&lt;K$36,J$35,K435&lt;K$37,J$36,K435&lt;K$38,J$37,K435&lt;K$39,J$38,K435&lt;K$40,J$39,K435&lt;K$41,J$40,K435&lt;K$42,J$41,K435&lt;K$43,J$42,K435&lt;K$44,J$43,K435&lt;K$45,J$44,K435&lt;K$46,J$45,K435&lt;K$47,J$46,K435&gt;=K$47,J$47)</f>
        <v/>
      </c>
      <c r="K435" s="38" t="n">
        <v>385</v>
      </c>
      <c r="L435" s="31">
        <f>K435/52</f>
        <v/>
      </c>
      <c r="M435" s="39">
        <f>J435/1000000*52</f>
        <v/>
      </c>
      <c r="N435" s="33">
        <f>M435/$P$4+($I$22/$P$4)</f>
        <v/>
      </c>
      <c r="U435">
        <f>F434</f>
        <v/>
      </c>
      <c r="V435">
        <f>H434</f>
        <v/>
      </c>
      <c r="W435">
        <f>N434</f>
        <v/>
      </c>
    </row>
    <row r="436" ht="15.75" customHeight="1" s="40">
      <c r="C436" s="36">
        <f>_xlfn.IFS(E436&lt;E$24,0,E436&lt;E$26,C$24,E436&lt;E$28,C$26,E436&lt;E$30,C$28,E436&lt;E$32,C$30,E436&lt;E$34,C$32,E436&gt;=E$34,C$34)</f>
        <v/>
      </c>
      <c r="D436" s="37">
        <f>_xlfn.IFS(E436&lt;E$24,0,E436&lt;E$25,D$24,E436&lt;E$26,D$25,E436&lt;E$27,D$26,E436&lt;E$28,D$27,E436&lt;E$29,D$28,E436&lt;E$30,D$29,E436&lt;E$31,D$30,E436&lt;E$32,D$31,E436&lt;E$33,D$32,E436&lt;E$34,D$33,E436&lt;E$35,D$34,E436&gt;=E$35,D$35)</f>
        <v/>
      </c>
      <c r="E436" s="38" t="n">
        <v>386</v>
      </c>
      <c r="F436" s="31">
        <f>E436/52</f>
        <v/>
      </c>
      <c r="G436" s="39">
        <f>D436/1000000*52</f>
        <v/>
      </c>
      <c r="H436" s="33">
        <f>G436/$P$4+($C$22/$P$4)</f>
        <v/>
      </c>
      <c r="I436" s="36">
        <f>_xlfn.IFS(K436&lt;K$24,0,K436&lt;K$26,I$24,K436&lt;K$28,I$26,K436&lt;K$30,I$28,K436&lt;K$32,I$30,K436&lt;K$34,I$32,K436&lt;K$36,I$34,K436&lt;K$38,I$36,K436&lt;K$40,I$38,K436&lt;K$42,I$40,K436&lt;K$44,I$42,K436&lt;K$46,I$44,K436&gt;=K$46,I$46)</f>
        <v/>
      </c>
      <c r="J436" s="37">
        <f>_xlfn.IFS(K436&lt;K$24,0,K436&lt;K$25,J$24,K436&lt;K$26,J$25,K436&lt;K$27,J$26,K436&lt;K$28,J$27,K436&lt;K$29,J$28,K436&lt;K$30,J$29,K436&lt;K$31,J$30,K436&lt;K$32,J$31,K436&lt;K$33,J$32,K436&lt;K$34,J$33,K436&lt;K$35,J$34,K436&lt;K$36,J$35,K436&lt;K$37,J$36,K436&lt;K$38,J$37,K436&lt;K$39,J$38,K436&lt;K$40,J$39,K436&lt;K$41,J$40,K436&lt;K$42,J$41,K436&lt;K$43,J$42,K436&lt;K$44,J$43,K436&lt;K$45,J$44,K436&lt;K$46,J$45,K436&lt;K$47,J$46,K436&gt;=K$47,J$47)</f>
        <v/>
      </c>
      <c r="K436" s="38" t="n">
        <v>386</v>
      </c>
      <c r="L436" s="31">
        <f>K436/52</f>
        <v/>
      </c>
      <c r="M436" s="39">
        <f>J436/1000000*52</f>
        <v/>
      </c>
      <c r="N436" s="33">
        <f>M436/$P$4+($I$22/$P$4)</f>
        <v/>
      </c>
      <c r="U436">
        <f>F435</f>
        <v/>
      </c>
      <c r="V436">
        <f>H435</f>
        <v/>
      </c>
      <c r="W436">
        <f>N435</f>
        <v/>
      </c>
    </row>
    <row r="437" ht="15.75" customHeight="1" s="40">
      <c r="C437" s="36">
        <f>_xlfn.IFS(E437&lt;E$24,0,E437&lt;E$26,C$24,E437&lt;E$28,C$26,E437&lt;E$30,C$28,E437&lt;E$32,C$30,E437&lt;E$34,C$32,E437&gt;=E$34,C$34)</f>
        <v/>
      </c>
      <c r="D437" s="37">
        <f>_xlfn.IFS(E437&lt;E$24,0,E437&lt;E$25,D$24,E437&lt;E$26,D$25,E437&lt;E$27,D$26,E437&lt;E$28,D$27,E437&lt;E$29,D$28,E437&lt;E$30,D$29,E437&lt;E$31,D$30,E437&lt;E$32,D$31,E437&lt;E$33,D$32,E437&lt;E$34,D$33,E437&lt;E$35,D$34,E437&gt;=E$35,D$35)</f>
        <v/>
      </c>
      <c r="E437" s="38" t="n">
        <v>387</v>
      </c>
      <c r="F437" s="31">
        <f>E437/52</f>
        <v/>
      </c>
      <c r="G437" s="39">
        <f>D437/1000000*52</f>
        <v/>
      </c>
      <c r="H437" s="33">
        <f>G437/$P$4+($C$22/$P$4)</f>
        <v/>
      </c>
      <c r="I437" s="36">
        <f>_xlfn.IFS(K437&lt;K$24,0,K437&lt;K$26,I$24,K437&lt;K$28,I$26,K437&lt;K$30,I$28,K437&lt;K$32,I$30,K437&lt;K$34,I$32,K437&lt;K$36,I$34,K437&lt;K$38,I$36,K437&lt;K$40,I$38,K437&lt;K$42,I$40,K437&lt;K$44,I$42,K437&lt;K$46,I$44,K437&gt;=K$46,I$46)</f>
        <v/>
      </c>
      <c r="J437" s="37">
        <f>_xlfn.IFS(K437&lt;K$24,0,K437&lt;K$25,J$24,K437&lt;K$26,J$25,K437&lt;K$27,J$26,K437&lt;K$28,J$27,K437&lt;K$29,J$28,K437&lt;K$30,J$29,K437&lt;K$31,J$30,K437&lt;K$32,J$31,K437&lt;K$33,J$32,K437&lt;K$34,J$33,K437&lt;K$35,J$34,K437&lt;K$36,J$35,K437&lt;K$37,J$36,K437&lt;K$38,J$37,K437&lt;K$39,J$38,K437&lt;K$40,J$39,K437&lt;K$41,J$40,K437&lt;K$42,J$41,K437&lt;K$43,J$42,K437&lt;K$44,J$43,K437&lt;K$45,J$44,K437&lt;K$46,J$45,K437&lt;K$47,J$46,K437&gt;=K$47,J$47)</f>
        <v/>
      </c>
      <c r="K437" s="38" t="n">
        <v>387</v>
      </c>
      <c r="L437" s="31">
        <f>K437/52</f>
        <v/>
      </c>
      <c r="M437" s="39">
        <f>J437/1000000*52</f>
        <v/>
      </c>
      <c r="N437" s="33">
        <f>M437/$P$4+($I$22/$P$4)</f>
        <v/>
      </c>
      <c r="U437">
        <f>F436</f>
        <v/>
      </c>
      <c r="V437">
        <f>H436</f>
        <v/>
      </c>
      <c r="W437">
        <f>N436</f>
        <v/>
      </c>
    </row>
    <row r="438" ht="15.75" customHeight="1" s="40">
      <c r="C438" s="36">
        <f>_xlfn.IFS(E438&lt;E$24,0,E438&lt;E$26,C$24,E438&lt;E$28,C$26,E438&lt;E$30,C$28,E438&lt;E$32,C$30,E438&lt;E$34,C$32,E438&gt;=E$34,C$34)</f>
        <v/>
      </c>
      <c r="D438" s="37">
        <f>_xlfn.IFS(E438&lt;E$24,0,E438&lt;E$25,D$24,E438&lt;E$26,D$25,E438&lt;E$27,D$26,E438&lt;E$28,D$27,E438&lt;E$29,D$28,E438&lt;E$30,D$29,E438&lt;E$31,D$30,E438&lt;E$32,D$31,E438&lt;E$33,D$32,E438&lt;E$34,D$33,E438&lt;E$35,D$34,E438&gt;=E$35,D$35)</f>
        <v/>
      </c>
      <c r="E438" s="38" t="n">
        <v>388</v>
      </c>
      <c r="F438" s="31">
        <f>E438/52</f>
        <v/>
      </c>
      <c r="G438" s="39">
        <f>D438/1000000*52</f>
        <v/>
      </c>
      <c r="H438" s="33">
        <f>G438/$P$4+($C$22/$P$4)</f>
        <v/>
      </c>
      <c r="I438" s="36">
        <f>_xlfn.IFS(K438&lt;K$24,0,K438&lt;K$26,I$24,K438&lt;K$28,I$26,K438&lt;K$30,I$28,K438&lt;K$32,I$30,K438&lt;K$34,I$32,K438&lt;K$36,I$34,K438&lt;K$38,I$36,K438&lt;K$40,I$38,K438&lt;K$42,I$40,K438&lt;K$44,I$42,K438&lt;K$46,I$44,K438&gt;=K$46,I$46)</f>
        <v/>
      </c>
      <c r="J438" s="37">
        <f>_xlfn.IFS(K438&lt;K$24,0,K438&lt;K$25,J$24,K438&lt;K$26,J$25,K438&lt;K$27,J$26,K438&lt;K$28,J$27,K438&lt;K$29,J$28,K438&lt;K$30,J$29,K438&lt;K$31,J$30,K438&lt;K$32,J$31,K438&lt;K$33,J$32,K438&lt;K$34,J$33,K438&lt;K$35,J$34,K438&lt;K$36,J$35,K438&lt;K$37,J$36,K438&lt;K$38,J$37,K438&lt;K$39,J$38,K438&lt;K$40,J$39,K438&lt;K$41,J$40,K438&lt;K$42,J$41,K438&lt;K$43,J$42,K438&lt;K$44,J$43,K438&lt;K$45,J$44,K438&lt;K$46,J$45,K438&lt;K$47,J$46,K438&gt;=K$47,J$47)</f>
        <v/>
      </c>
      <c r="K438" s="38" t="n">
        <v>388</v>
      </c>
      <c r="L438" s="31">
        <f>K438/52</f>
        <v/>
      </c>
      <c r="M438" s="39">
        <f>J438/1000000*52</f>
        <v/>
      </c>
      <c r="N438" s="33">
        <f>M438/$P$4+($I$22/$P$4)</f>
        <v/>
      </c>
      <c r="U438">
        <f>F437</f>
        <v/>
      </c>
      <c r="V438">
        <f>H437</f>
        <v/>
      </c>
      <c r="W438">
        <f>N437</f>
        <v/>
      </c>
    </row>
    <row r="439" ht="15.75" customHeight="1" s="40">
      <c r="C439" s="36">
        <f>_xlfn.IFS(E439&lt;E$24,0,E439&lt;E$26,C$24,E439&lt;E$28,C$26,E439&lt;E$30,C$28,E439&lt;E$32,C$30,E439&lt;E$34,C$32,E439&gt;=E$34,C$34)</f>
        <v/>
      </c>
      <c r="D439" s="37">
        <f>_xlfn.IFS(E439&lt;E$24,0,E439&lt;E$25,D$24,E439&lt;E$26,D$25,E439&lt;E$27,D$26,E439&lt;E$28,D$27,E439&lt;E$29,D$28,E439&lt;E$30,D$29,E439&lt;E$31,D$30,E439&lt;E$32,D$31,E439&lt;E$33,D$32,E439&lt;E$34,D$33,E439&lt;E$35,D$34,E439&gt;=E$35,D$35)</f>
        <v/>
      </c>
      <c r="E439" s="38" t="n">
        <v>389</v>
      </c>
      <c r="F439" s="31">
        <f>E439/52</f>
        <v/>
      </c>
      <c r="G439" s="39">
        <f>D439/1000000*52</f>
        <v/>
      </c>
      <c r="H439" s="33">
        <f>G439/$P$4+($C$22/$P$4)</f>
        <v/>
      </c>
      <c r="I439" s="36">
        <f>_xlfn.IFS(K439&lt;K$24,0,K439&lt;K$26,I$24,K439&lt;K$28,I$26,K439&lt;K$30,I$28,K439&lt;K$32,I$30,K439&lt;K$34,I$32,K439&lt;K$36,I$34,K439&lt;K$38,I$36,K439&lt;K$40,I$38,K439&lt;K$42,I$40,K439&lt;K$44,I$42,K439&lt;K$46,I$44,K439&gt;=K$46,I$46)</f>
        <v/>
      </c>
      <c r="J439" s="37">
        <f>_xlfn.IFS(K439&lt;K$24,0,K439&lt;K$25,J$24,K439&lt;K$26,J$25,K439&lt;K$27,J$26,K439&lt;K$28,J$27,K439&lt;K$29,J$28,K439&lt;K$30,J$29,K439&lt;K$31,J$30,K439&lt;K$32,J$31,K439&lt;K$33,J$32,K439&lt;K$34,J$33,K439&lt;K$35,J$34,K439&lt;K$36,J$35,K439&lt;K$37,J$36,K439&lt;K$38,J$37,K439&lt;K$39,J$38,K439&lt;K$40,J$39,K439&lt;K$41,J$40,K439&lt;K$42,J$41,K439&lt;K$43,J$42,K439&lt;K$44,J$43,K439&lt;K$45,J$44,K439&lt;K$46,J$45,K439&lt;K$47,J$46,K439&gt;=K$47,J$47)</f>
        <v/>
      </c>
      <c r="K439" s="38" t="n">
        <v>389</v>
      </c>
      <c r="L439" s="31">
        <f>K439/52</f>
        <v/>
      </c>
      <c r="M439" s="39">
        <f>J439/1000000*52</f>
        <v/>
      </c>
      <c r="N439" s="33">
        <f>M439/$P$4+($I$22/$P$4)</f>
        <v/>
      </c>
      <c r="U439">
        <f>F438</f>
        <v/>
      </c>
      <c r="V439">
        <f>H438</f>
        <v/>
      </c>
      <c r="W439">
        <f>N438</f>
        <v/>
      </c>
    </row>
    <row r="440" ht="15.75" customHeight="1" s="40">
      <c r="C440" s="36">
        <f>_xlfn.IFS(E440&lt;E$24,0,E440&lt;E$26,C$24,E440&lt;E$28,C$26,E440&lt;E$30,C$28,E440&lt;E$32,C$30,E440&lt;E$34,C$32,E440&gt;=E$34,C$34)</f>
        <v/>
      </c>
      <c r="D440" s="37">
        <f>_xlfn.IFS(E440&lt;E$24,0,E440&lt;E$25,D$24,E440&lt;E$26,D$25,E440&lt;E$27,D$26,E440&lt;E$28,D$27,E440&lt;E$29,D$28,E440&lt;E$30,D$29,E440&lt;E$31,D$30,E440&lt;E$32,D$31,E440&lt;E$33,D$32,E440&lt;E$34,D$33,E440&lt;E$35,D$34,E440&gt;=E$35,D$35)</f>
        <v/>
      </c>
      <c r="E440" s="38" t="n">
        <v>390</v>
      </c>
      <c r="F440" s="31">
        <f>E440/52</f>
        <v/>
      </c>
      <c r="G440" s="39">
        <f>D440/1000000*52</f>
        <v/>
      </c>
      <c r="H440" s="33">
        <f>G440/$P$4+($C$22/$P$4)</f>
        <v/>
      </c>
      <c r="I440" s="36">
        <f>_xlfn.IFS(K440&lt;K$24,0,K440&lt;K$26,I$24,K440&lt;K$28,I$26,K440&lt;K$30,I$28,K440&lt;K$32,I$30,K440&lt;K$34,I$32,K440&lt;K$36,I$34,K440&lt;K$38,I$36,K440&lt;K$40,I$38,K440&lt;K$42,I$40,K440&lt;K$44,I$42,K440&lt;K$46,I$44,K440&gt;=K$46,I$46)</f>
        <v/>
      </c>
      <c r="J440" s="37">
        <f>_xlfn.IFS(K440&lt;K$24,0,K440&lt;K$25,J$24,K440&lt;K$26,J$25,K440&lt;K$27,J$26,K440&lt;K$28,J$27,K440&lt;K$29,J$28,K440&lt;K$30,J$29,K440&lt;K$31,J$30,K440&lt;K$32,J$31,K440&lt;K$33,J$32,K440&lt;K$34,J$33,K440&lt;K$35,J$34,K440&lt;K$36,J$35,K440&lt;K$37,J$36,K440&lt;K$38,J$37,K440&lt;K$39,J$38,K440&lt;K$40,J$39,K440&lt;K$41,J$40,K440&lt;K$42,J$41,K440&lt;K$43,J$42,K440&lt;K$44,J$43,K440&lt;K$45,J$44,K440&lt;K$46,J$45,K440&lt;K$47,J$46,K440&gt;=K$47,J$47)</f>
        <v/>
      </c>
      <c r="K440" s="38" t="n">
        <v>390</v>
      </c>
      <c r="L440" s="31">
        <f>K440/52</f>
        <v/>
      </c>
      <c r="M440" s="39">
        <f>J440/1000000*52</f>
        <v/>
      </c>
      <c r="N440" s="33">
        <f>M440/$P$4+($I$22/$P$4)</f>
        <v/>
      </c>
      <c r="U440">
        <f>F439</f>
        <v/>
      </c>
      <c r="V440">
        <f>H439</f>
        <v/>
      </c>
      <c r="W440">
        <f>N439</f>
        <v/>
      </c>
    </row>
    <row r="441" ht="15.75" customHeight="1" s="40">
      <c r="C441" s="36">
        <f>_xlfn.IFS(E441&lt;E$24,0,E441&lt;E$26,C$24,E441&lt;E$28,C$26,E441&lt;E$30,C$28,E441&lt;E$32,C$30,E441&lt;E$34,C$32,E441&gt;=E$34,C$34)</f>
        <v/>
      </c>
      <c r="D441" s="37">
        <f>_xlfn.IFS(E441&lt;E$24,0,E441&lt;E$25,D$24,E441&lt;E$26,D$25,E441&lt;E$27,D$26,E441&lt;E$28,D$27,E441&lt;E$29,D$28,E441&lt;E$30,D$29,E441&lt;E$31,D$30,E441&lt;E$32,D$31,E441&lt;E$33,D$32,E441&lt;E$34,D$33,E441&lt;E$35,D$34,E441&gt;=E$35,D$35)</f>
        <v/>
      </c>
      <c r="E441" s="38" t="n">
        <v>391</v>
      </c>
      <c r="F441" s="31">
        <f>E441/52</f>
        <v/>
      </c>
      <c r="G441" s="39">
        <f>D441/1000000*52</f>
        <v/>
      </c>
      <c r="H441" s="33">
        <f>G441/$P$4+($C$22/$P$4)</f>
        <v/>
      </c>
      <c r="I441" s="36">
        <f>_xlfn.IFS(K441&lt;K$24,0,K441&lt;K$26,I$24,K441&lt;K$28,I$26,K441&lt;K$30,I$28,K441&lt;K$32,I$30,K441&lt;K$34,I$32,K441&lt;K$36,I$34,K441&lt;K$38,I$36,K441&lt;K$40,I$38,K441&lt;K$42,I$40,K441&lt;K$44,I$42,K441&lt;K$46,I$44,K441&gt;=K$46,I$46)</f>
        <v/>
      </c>
      <c r="J441" s="37">
        <f>_xlfn.IFS(K441&lt;K$24,0,K441&lt;K$25,J$24,K441&lt;K$26,J$25,K441&lt;K$27,J$26,K441&lt;K$28,J$27,K441&lt;K$29,J$28,K441&lt;K$30,J$29,K441&lt;K$31,J$30,K441&lt;K$32,J$31,K441&lt;K$33,J$32,K441&lt;K$34,J$33,K441&lt;K$35,J$34,K441&lt;K$36,J$35,K441&lt;K$37,J$36,K441&lt;K$38,J$37,K441&lt;K$39,J$38,K441&lt;K$40,J$39,K441&lt;K$41,J$40,K441&lt;K$42,J$41,K441&lt;K$43,J$42,K441&lt;K$44,J$43,K441&lt;K$45,J$44,K441&lt;K$46,J$45,K441&lt;K$47,J$46,K441&gt;=K$47,J$47)</f>
        <v/>
      </c>
      <c r="K441" s="38" t="n">
        <v>391</v>
      </c>
      <c r="L441" s="31">
        <f>K441/52</f>
        <v/>
      </c>
      <c r="M441" s="39">
        <f>J441/1000000*52</f>
        <v/>
      </c>
      <c r="N441" s="33">
        <f>M441/$P$4+($I$22/$P$4)</f>
        <v/>
      </c>
      <c r="U441">
        <f>F440</f>
        <v/>
      </c>
      <c r="V441">
        <f>H440</f>
        <v/>
      </c>
      <c r="W441">
        <f>N440</f>
        <v/>
      </c>
    </row>
    <row r="442" ht="15.75" customHeight="1" s="40">
      <c r="C442" s="36">
        <f>_xlfn.IFS(E442&lt;E$24,0,E442&lt;E$26,C$24,E442&lt;E$28,C$26,E442&lt;E$30,C$28,E442&lt;E$32,C$30,E442&lt;E$34,C$32,E442&gt;=E$34,C$34)</f>
        <v/>
      </c>
      <c r="D442" s="37">
        <f>_xlfn.IFS(E442&lt;E$24,0,E442&lt;E$25,D$24,E442&lt;E$26,D$25,E442&lt;E$27,D$26,E442&lt;E$28,D$27,E442&lt;E$29,D$28,E442&lt;E$30,D$29,E442&lt;E$31,D$30,E442&lt;E$32,D$31,E442&lt;E$33,D$32,E442&lt;E$34,D$33,E442&lt;E$35,D$34,E442&gt;=E$35,D$35)</f>
        <v/>
      </c>
      <c r="E442" s="38" t="n">
        <v>392</v>
      </c>
      <c r="F442" s="31">
        <f>E442/52</f>
        <v/>
      </c>
      <c r="G442" s="39">
        <f>D442/1000000*52</f>
        <v/>
      </c>
      <c r="H442" s="33">
        <f>G442/$P$4+($C$22/$P$4)</f>
        <v/>
      </c>
      <c r="I442" s="36">
        <f>_xlfn.IFS(K442&lt;K$24,0,K442&lt;K$26,I$24,K442&lt;K$28,I$26,K442&lt;K$30,I$28,K442&lt;K$32,I$30,K442&lt;K$34,I$32,K442&lt;K$36,I$34,K442&lt;K$38,I$36,K442&lt;K$40,I$38,K442&lt;K$42,I$40,K442&lt;K$44,I$42,K442&lt;K$46,I$44,K442&gt;=K$46,I$46)</f>
        <v/>
      </c>
      <c r="J442" s="37">
        <f>_xlfn.IFS(K442&lt;K$24,0,K442&lt;K$25,J$24,K442&lt;K$26,J$25,K442&lt;K$27,J$26,K442&lt;K$28,J$27,K442&lt;K$29,J$28,K442&lt;K$30,J$29,K442&lt;K$31,J$30,K442&lt;K$32,J$31,K442&lt;K$33,J$32,K442&lt;K$34,J$33,K442&lt;K$35,J$34,K442&lt;K$36,J$35,K442&lt;K$37,J$36,K442&lt;K$38,J$37,K442&lt;K$39,J$38,K442&lt;K$40,J$39,K442&lt;K$41,J$40,K442&lt;K$42,J$41,K442&lt;K$43,J$42,K442&lt;K$44,J$43,K442&lt;K$45,J$44,K442&lt;K$46,J$45,K442&lt;K$47,J$46,K442&gt;=K$47,J$47)</f>
        <v/>
      </c>
      <c r="K442" s="38" t="n">
        <v>392</v>
      </c>
      <c r="L442" s="31">
        <f>K442/52</f>
        <v/>
      </c>
      <c r="M442" s="39">
        <f>J442/1000000*52</f>
        <v/>
      </c>
      <c r="N442" s="33">
        <f>M442/$P$4+($I$22/$P$4)</f>
        <v/>
      </c>
      <c r="U442">
        <f>F441</f>
        <v/>
      </c>
      <c r="V442">
        <f>H441</f>
        <v/>
      </c>
      <c r="W442">
        <f>N441</f>
        <v/>
      </c>
    </row>
    <row r="443" ht="15.75" customHeight="1" s="40">
      <c r="C443" s="36">
        <f>_xlfn.IFS(E443&lt;E$24,0,E443&lt;E$26,C$24,E443&lt;E$28,C$26,E443&lt;E$30,C$28,E443&lt;E$32,C$30,E443&lt;E$34,C$32,E443&gt;=E$34,C$34)</f>
        <v/>
      </c>
      <c r="D443" s="37">
        <f>_xlfn.IFS(E443&lt;E$24,0,E443&lt;E$25,D$24,E443&lt;E$26,D$25,E443&lt;E$27,D$26,E443&lt;E$28,D$27,E443&lt;E$29,D$28,E443&lt;E$30,D$29,E443&lt;E$31,D$30,E443&lt;E$32,D$31,E443&lt;E$33,D$32,E443&lt;E$34,D$33,E443&lt;E$35,D$34,E443&gt;=E$35,D$35)</f>
        <v/>
      </c>
      <c r="E443" s="38" t="n">
        <v>393</v>
      </c>
      <c r="F443" s="31">
        <f>E443/52</f>
        <v/>
      </c>
      <c r="G443" s="39">
        <f>D443/1000000*52</f>
        <v/>
      </c>
      <c r="H443" s="33">
        <f>G443/$P$4+($C$22/$P$4)</f>
        <v/>
      </c>
      <c r="I443" s="36">
        <f>_xlfn.IFS(K443&lt;K$24,0,K443&lt;K$26,I$24,K443&lt;K$28,I$26,K443&lt;K$30,I$28,K443&lt;K$32,I$30,K443&lt;K$34,I$32,K443&lt;K$36,I$34,K443&lt;K$38,I$36,K443&lt;K$40,I$38,K443&lt;K$42,I$40,K443&lt;K$44,I$42,K443&lt;K$46,I$44,K443&gt;=K$46,I$46)</f>
        <v/>
      </c>
      <c r="J443" s="37">
        <f>_xlfn.IFS(K443&lt;K$24,0,K443&lt;K$25,J$24,K443&lt;K$26,J$25,K443&lt;K$27,J$26,K443&lt;K$28,J$27,K443&lt;K$29,J$28,K443&lt;K$30,J$29,K443&lt;K$31,J$30,K443&lt;K$32,J$31,K443&lt;K$33,J$32,K443&lt;K$34,J$33,K443&lt;K$35,J$34,K443&lt;K$36,J$35,K443&lt;K$37,J$36,K443&lt;K$38,J$37,K443&lt;K$39,J$38,K443&lt;K$40,J$39,K443&lt;K$41,J$40,K443&lt;K$42,J$41,K443&lt;K$43,J$42,K443&lt;K$44,J$43,K443&lt;K$45,J$44,K443&lt;K$46,J$45,K443&lt;K$47,J$46,K443&gt;=K$47,J$47)</f>
        <v/>
      </c>
      <c r="K443" s="38" t="n">
        <v>393</v>
      </c>
      <c r="L443" s="31">
        <f>K443/52</f>
        <v/>
      </c>
      <c r="M443" s="39">
        <f>J443/1000000*52</f>
        <v/>
      </c>
      <c r="N443" s="33">
        <f>M443/$P$4+($I$22/$P$4)</f>
        <v/>
      </c>
      <c r="U443">
        <f>F442</f>
        <v/>
      </c>
      <c r="V443">
        <f>H442</f>
        <v/>
      </c>
      <c r="W443">
        <f>N442</f>
        <v/>
      </c>
    </row>
    <row r="444" ht="15.75" customHeight="1" s="40">
      <c r="C444" s="36">
        <f>_xlfn.IFS(E444&lt;E$24,0,E444&lt;E$26,C$24,E444&lt;E$28,C$26,E444&lt;E$30,C$28,E444&lt;E$32,C$30,E444&lt;E$34,C$32,E444&gt;=E$34,C$34)</f>
        <v/>
      </c>
      <c r="D444" s="37">
        <f>_xlfn.IFS(E444&lt;E$24,0,E444&lt;E$25,D$24,E444&lt;E$26,D$25,E444&lt;E$27,D$26,E444&lt;E$28,D$27,E444&lt;E$29,D$28,E444&lt;E$30,D$29,E444&lt;E$31,D$30,E444&lt;E$32,D$31,E444&lt;E$33,D$32,E444&lt;E$34,D$33,E444&lt;E$35,D$34,E444&gt;=E$35,D$35)</f>
        <v/>
      </c>
      <c r="E444" s="38" t="n">
        <v>394</v>
      </c>
      <c r="F444" s="31">
        <f>E444/52</f>
        <v/>
      </c>
      <c r="G444" s="39">
        <f>D444/1000000*52</f>
        <v/>
      </c>
      <c r="H444" s="33">
        <f>G444/$P$4+($C$22/$P$4)</f>
        <v/>
      </c>
      <c r="I444" s="36">
        <f>_xlfn.IFS(K444&lt;K$24,0,K444&lt;K$26,I$24,K444&lt;K$28,I$26,K444&lt;K$30,I$28,K444&lt;K$32,I$30,K444&lt;K$34,I$32,K444&lt;K$36,I$34,K444&lt;K$38,I$36,K444&lt;K$40,I$38,K444&lt;K$42,I$40,K444&lt;K$44,I$42,K444&lt;K$46,I$44,K444&gt;=K$46,I$46)</f>
        <v/>
      </c>
      <c r="J444" s="37">
        <f>_xlfn.IFS(K444&lt;K$24,0,K444&lt;K$25,J$24,K444&lt;K$26,J$25,K444&lt;K$27,J$26,K444&lt;K$28,J$27,K444&lt;K$29,J$28,K444&lt;K$30,J$29,K444&lt;K$31,J$30,K444&lt;K$32,J$31,K444&lt;K$33,J$32,K444&lt;K$34,J$33,K444&lt;K$35,J$34,K444&lt;K$36,J$35,K444&lt;K$37,J$36,K444&lt;K$38,J$37,K444&lt;K$39,J$38,K444&lt;K$40,J$39,K444&lt;K$41,J$40,K444&lt;K$42,J$41,K444&lt;K$43,J$42,K444&lt;K$44,J$43,K444&lt;K$45,J$44,K444&lt;K$46,J$45,K444&lt;K$47,J$46,K444&gt;=K$47,J$47)</f>
        <v/>
      </c>
      <c r="K444" s="38" t="n">
        <v>394</v>
      </c>
      <c r="L444" s="31">
        <f>K444/52</f>
        <v/>
      </c>
      <c r="M444" s="39">
        <f>J444/1000000*52</f>
        <v/>
      </c>
      <c r="N444" s="33">
        <f>M444/$P$4+($I$22/$P$4)</f>
        <v/>
      </c>
      <c r="U444">
        <f>F443</f>
        <v/>
      </c>
      <c r="V444">
        <f>H443</f>
        <v/>
      </c>
      <c r="W444">
        <f>N443</f>
        <v/>
      </c>
    </row>
    <row r="445" ht="15.75" customHeight="1" s="40">
      <c r="C445" s="36">
        <f>_xlfn.IFS(E445&lt;E$24,0,E445&lt;E$26,C$24,E445&lt;E$28,C$26,E445&lt;E$30,C$28,E445&lt;E$32,C$30,E445&lt;E$34,C$32,E445&gt;=E$34,C$34)</f>
        <v/>
      </c>
      <c r="D445" s="37">
        <f>_xlfn.IFS(E445&lt;E$24,0,E445&lt;E$25,D$24,E445&lt;E$26,D$25,E445&lt;E$27,D$26,E445&lt;E$28,D$27,E445&lt;E$29,D$28,E445&lt;E$30,D$29,E445&lt;E$31,D$30,E445&lt;E$32,D$31,E445&lt;E$33,D$32,E445&lt;E$34,D$33,E445&lt;E$35,D$34,E445&gt;=E$35,D$35)</f>
        <v/>
      </c>
      <c r="E445" s="38" t="n">
        <v>395</v>
      </c>
      <c r="F445" s="31">
        <f>E445/52</f>
        <v/>
      </c>
      <c r="G445" s="39">
        <f>D445/1000000*52</f>
        <v/>
      </c>
      <c r="H445" s="33">
        <f>G445/$P$4+($C$22/$P$4)</f>
        <v/>
      </c>
      <c r="I445" s="36">
        <f>_xlfn.IFS(K445&lt;K$24,0,K445&lt;K$26,I$24,K445&lt;K$28,I$26,K445&lt;K$30,I$28,K445&lt;K$32,I$30,K445&lt;K$34,I$32,K445&lt;K$36,I$34,K445&lt;K$38,I$36,K445&lt;K$40,I$38,K445&lt;K$42,I$40,K445&lt;K$44,I$42,K445&lt;K$46,I$44,K445&gt;=K$46,I$46)</f>
        <v/>
      </c>
      <c r="J445" s="37">
        <f>_xlfn.IFS(K445&lt;K$24,0,K445&lt;K$25,J$24,K445&lt;K$26,J$25,K445&lt;K$27,J$26,K445&lt;K$28,J$27,K445&lt;K$29,J$28,K445&lt;K$30,J$29,K445&lt;K$31,J$30,K445&lt;K$32,J$31,K445&lt;K$33,J$32,K445&lt;K$34,J$33,K445&lt;K$35,J$34,K445&lt;K$36,J$35,K445&lt;K$37,J$36,K445&lt;K$38,J$37,K445&lt;K$39,J$38,K445&lt;K$40,J$39,K445&lt;K$41,J$40,K445&lt;K$42,J$41,K445&lt;K$43,J$42,K445&lt;K$44,J$43,K445&lt;K$45,J$44,K445&lt;K$46,J$45,K445&lt;K$47,J$46,K445&gt;=K$47,J$47)</f>
        <v/>
      </c>
      <c r="K445" s="38" t="n">
        <v>395</v>
      </c>
      <c r="L445" s="31">
        <f>K445/52</f>
        <v/>
      </c>
      <c r="M445" s="39">
        <f>J445/1000000*52</f>
        <v/>
      </c>
      <c r="N445" s="33">
        <f>M445/$P$4+($I$22/$P$4)</f>
        <v/>
      </c>
      <c r="U445">
        <f>F444</f>
        <v/>
      </c>
      <c r="V445">
        <f>H444</f>
        <v/>
      </c>
      <c r="W445">
        <f>N444</f>
        <v/>
      </c>
    </row>
    <row r="446" ht="15.75" customHeight="1" s="40">
      <c r="C446" s="36">
        <f>_xlfn.IFS(E446&lt;E$24,0,E446&lt;E$26,C$24,E446&lt;E$28,C$26,E446&lt;E$30,C$28,E446&lt;E$32,C$30,E446&lt;E$34,C$32,E446&gt;=E$34,C$34)</f>
        <v/>
      </c>
      <c r="D446" s="37">
        <f>_xlfn.IFS(E446&lt;E$24,0,E446&lt;E$25,D$24,E446&lt;E$26,D$25,E446&lt;E$27,D$26,E446&lt;E$28,D$27,E446&lt;E$29,D$28,E446&lt;E$30,D$29,E446&lt;E$31,D$30,E446&lt;E$32,D$31,E446&lt;E$33,D$32,E446&lt;E$34,D$33,E446&lt;E$35,D$34,E446&gt;=E$35,D$35)</f>
        <v/>
      </c>
      <c r="E446" s="38" t="n">
        <v>396</v>
      </c>
      <c r="F446" s="31">
        <f>E446/52</f>
        <v/>
      </c>
      <c r="G446" s="39">
        <f>D446/1000000*52</f>
        <v/>
      </c>
      <c r="H446" s="33">
        <f>G446/$P$4+($C$22/$P$4)</f>
        <v/>
      </c>
      <c r="I446" s="36">
        <f>_xlfn.IFS(K446&lt;K$24,0,K446&lt;K$26,I$24,K446&lt;K$28,I$26,K446&lt;K$30,I$28,K446&lt;K$32,I$30,K446&lt;K$34,I$32,K446&lt;K$36,I$34,K446&lt;K$38,I$36,K446&lt;K$40,I$38,K446&lt;K$42,I$40,K446&lt;K$44,I$42,K446&lt;K$46,I$44,K446&gt;=K$46,I$46)</f>
        <v/>
      </c>
      <c r="J446" s="37">
        <f>_xlfn.IFS(K446&lt;K$24,0,K446&lt;K$25,J$24,K446&lt;K$26,J$25,K446&lt;K$27,J$26,K446&lt;K$28,J$27,K446&lt;K$29,J$28,K446&lt;K$30,J$29,K446&lt;K$31,J$30,K446&lt;K$32,J$31,K446&lt;K$33,J$32,K446&lt;K$34,J$33,K446&lt;K$35,J$34,K446&lt;K$36,J$35,K446&lt;K$37,J$36,K446&lt;K$38,J$37,K446&lt;K$39,J$38,K446&lt;K$40,J$39,K446&lt;K$41,J$40,K446&lt;K$42,J$41,K446&lt;K$43,J$42,K446&lt;K$44,J$43,K446&lt;K$45,J$44,K446&lt;K$46,J$45,K446&lt;K$47,J$46,K446&gt;=K$47,J$47)</f>
        <v/>
      </c>
      <c r="K446" s="38" t="n">
        <v>396</v>
      </c>
      <c r="L446" s="31">
        <f>K446/52</f>
        <v/>
      </c>
      <c r="M446" s="39">
        <f>J446/1000000*52</f>
        <v/>
      </c>
      <c r="N446" s="33">
        <f>M446/$P$4+($I$22/$P$4)</f>
        <v/>
      </c>
      <c r="U446">
        <f>F445</f>
        <v/>
      </c>
      <c r="V446">
        <f>H445</f>
        <v/>
      </c>
      <c r="W446">
        <f>N445</f>
        <v/>
      </c>
    </row>
    <row r="447" ht="15.75" customHeight="1" s="40">
      <c r="C447" s="36">
        <f>_xlfn.IFS(E447&lt;E$24,0,E447&lt;E$26,C$24,E447&lt;E$28,C$26,E447&lt;E$30,C$28,E447&lt;E$32,C$30,E447&lt;E$34,C$32,E447&gt;=E$34,C$34)</f>
        <v/>
      </c>
      <c r="D447" s="37">
        <f>_xlfn.IFS(E447&lt;E$24,0,E447&lt;E$25,D$24,E447&lt;E$26,D$25,E447&lt;E$27,D$26,E447&lt;E$28,D$27,E447&lt;E$29,D$28,E447&lt;E$30,D$29,E447&lt;E$31,D$30,E447&lt;E$32,D$31,E447&lt;E$33,D$32,E447&lt;E$34,D$33,E447&lt;E$35,D$34,E447&gt;=E$35,D$35)</f>
        <v/>
      </c>
      <c r="E447" s="38" t="n">
        <v>397</v>
      </c>
      <c r="F447" s="31">
        <f>E447/52</f>
        <v/>
      </c>
      <c r="G447" s="39">
        <f>D447/1000000*52</f>
        <v/>
      </c>
      <c r="H447" s="33">
        <f>G447/$P$4+($C$22/$P$4)</f>
        <v/>
      </c>
      <c r="I447" s="36">
        <f>_xlfn.IFS(K447&lt;K$24,0,K447&lt;K$26,I$24,K447&lt;K$28,I$26,K447&lt;K$30,I$28,K447&lt;K$32,I$30,K447&lt;K$34,I$32,K447&lt;K$36,I$34,K447&lt;K$38,I$36,K447&lt;K$40,I$38,K447&lt;K$42,I$40,K447&lt;K$44,I$42,K447&lt;K$46,I$44,K447&gt;=K$46,I$46)</f>
        <v/>
      </c>
      <c r="J447" s="37">
        <f>_xlfn.IFS(K447&lt;K$24,0,K447&lt;K$25,J$24,K447&lt;K$26,J$25,K447&lt;K$27,J$26,K447&lt;K$28,J$27,K447&lt;K$29,J$28,K447&lt;K$30,J$29,K447&lt;K$31,J$30,K447&lt;K$32,J$31,K447&lt;K$33,J$32,K447&lt;K$34,J$33,K447&lt;K$35,J$34,K447&lt;K$36,J$35,K447&lt;K$37,J$36,K447&lt;K$38,J$37,K447&lt;K$39,J$38,K447&lt;K$40,J$39,K447&lt;K$41,J$40,K447&lt;K$42,J$41,K447&lt;K$43,J$42,K447&lt;K$44,J$43,K447&lt;K$45,J$44,K447&lt;K$46,J$45,K447&lt;K$47,J$46,K447&gt;=K$47,J$47)</f>
        <v/>
      </c>
      <c r="K447" s="38" t="n">
        <v>397</v>
      </c>
      <c r="L447" s="31">
        <f>K447/52</f>
        <v/>
      </c>
      <c r="M447" s="39">
        <f>J447/1000000*52</f>
        <v/>
      </c>
      <c r="N447" s="33">
        <f>M447/$P$4+($I$22/$P$4)</f>
        <v/>
      </c>
      <c r="U447">
        <f>F446</f>
        <v/>
      </c>
      <c r="V447">
        <f>H446</f>
        <v/>
      </c>
      <c r="W447">
        <f>N446</f>
        <v/>
      </c>
    </row>
    <row r="448" ht="15.75" customHeight="1" s="40">
      <c r="C448" s="36">
        <f>_xlfn.IFS(E448&lt;E$24,0,E448&lt;E$26,C$24,E448&lt;E$28,C$26,E448&lt;E$30,C$28,E448&lt;E$32,C$30,E448&lt;E$34,C$32,E448&gt;=E$34,C$34)</f>
        <v/>
      </c>
      <c r="D448" s="37">
        <f>_xlfn.IFS(E448&lt;E$24,0,E448&lt;E$25,D$24,E448&lt;E$26,D$25,E448&lt;E$27,D$26,E448&lt;E$28,D$27,E448&lt;E$29,D$28,E448&lt;E$30,D$29,E448&lt;E$31,D$30,E448&lt;E$32,D$31,E448&lt;E$33,D$32,E448&lt;E$34,D$33,E448&lt;E$35,D$34,E448&gt;=E$35,D$35)</f>
        <v/>
      </c>
      <c r="E448" s="38" t="n">
        <v>398</v>
      </c>
      <c r="F448" s="31">
        <f>E448/52</f>
        <v/>
      </c>
      <c r="G448" s="39">
        <f>D448/1000000*52</f>
        <v/>
      </c>
      <c r="H448" s="33">
        <f>G448/$P$4+($C$22/$P$4)</f>
        <v/>
      </c>
      <c r="I448" s="36">
        <f>_xlfn.IFS(K448&lt;K$24,0,K448&lt;K$26,I$24,K448&lt;K$28,I$26,K448&lt;K$30,I$28,K448&lt;K$32,I$30,K448&lt;K$34,I$32,K448&lt;K$36,I$34,K448&lt;K$38,I$36,K448&lt;K$40,I$38,K448&lt;K$42,I$40,K448&lt;K$44,I$42,K448&lt;K$46,I$44,K448&gt;=K$46,I$46)</f>
        <v/>
      </c>
      <c r="J448" s="37">
        <f>_xlfn.IFS(K448&lt;K$24,0,K448&lt;K$25,J$24,K448&lt;K$26,J$25,K448&lt;K$27,J$26,K448&lt;K$28,J$27,K448&lt;K$29,J$28,K448&lt;K$30,J$29,K448&lt;K$31,J$30,K448&lt;K$32,J$31,K448&lt;K$33,J$32,K448&lt;K$34,J$33,K448&lt;K$35,J$34,K448&lt;K$36,J$35,K448&lt;K$37,J$36,K448&lt;K$38,J$37,K448&lt;K$39,J$38,K448&lt;K$40,J$39,K448&lt;K$41,J$40,K448&lt;K$42,J$41,K448&lt;K$43,J$42,K448&lt;K$44,J$43,K448&lt;K$45,J$44,K448&lt;K$46,J$45,K448&lt;K$47,J$46,K448&gt;=K$47,J$47)</f>
        <v/>
      </c>
      <c r="K448" s="38" t="n">
        <v>398</v>
      </c>
      <c r="L448" s="31">
        <f>K448/52</f>
        <v/>
      </c>
      <c r="M448" s="39">
        <f>J448/1000000*52</f>
        <v/>
      </c>
      <c r="N448" s="33">
        <f>M448/$P$4+($I$22/$P$4)</f>
        <v/>
      </c>
      <c r="U448">
        <f>F447</f>
        <v/>
      </c>
      <c r="V448">
        <f>H447</f>
        <v/>
      </c>
      <c r="W448">
        <f>N447</f>
        <v/>
      </c>
    </row>
    <row r="449" ht="15.75" customHeight="1" s="40">
      <c r="C449" s="36">
        <f>_xlfn.IFS(E449&lt;E$24,0,E449&lt;E$26,C$24,E449&lt;E$28,C$26,E449&lt;E$30,C$28,E449&lt;E$32,C$30,E449&lt;E$34,C$32,E449&gt;=E$34,C$34)</f>
        <v/>
      </c>
      <c r="D449" s="37">
        <f>_xlfn.IFS(E449&lt;E$24,0,E449&lt;E$25,D$24,E449&lt;E$26,D$25,E449&lt;E$27,D$26,E449&lt;E$28,D$27,E449&lt;E$29,D$28,E449&lt;E$30,D$29,E449&lt;E$31,D$30,E449&lt;E$32,D$31,E449&lt;E$33,D$32,E449&lt;E$34,D$33,E449&lt;E$35,D$34,E449&gt;=E$35,D$35)</f>
        <v/>
      </c>
      <c r="E449" s="38" t="n">
        <v>399</v>
      </c>
      <c r="F449" s="31">
        <f>E449/52</f>
        <v/>
      </c>
      <c r="G449" s="39">
        <f>D449/1000000*52</f>
        <v/>
      </c>
      <c r="H449" s="33">
        <f>G449/$P$4+($C$22/$P$4)</f>
        <v/>
      </c>
      <c r="I449" s="36">
        <f>_xlfn.IFS(K449&lt;K$24,0,K449&lt;K$26,I$24,K449&lt;K$28,I$26,K449&lt;K$30,I$28,K449&lt;K$32,I$30,K449&lt;K$34,I$32,K449&lt;K$36,I$34,K449&lt;K$38,I$36,K449&lt;K$40,I$38,K449&lt;K$42,I$40,K449&lt;K$44,I$42,K449&lt;K$46,I$44,K449&gt;=K$46,I$46)</f>
        <v/>
      </c>
      <c r="J449" s="37">
        <f>_xlfn.IFS(K449&lt;K$24,0,K449&lt;K$25,J$24,K449&lt;K$26,J$25,K449&lt;K$27,J$26,K449&lt;K$28,J$27,K449&lt;K$29,J$28,K449&lt;K$30,J$29,K449&lt;K$31,J$30,K449&lt;K$32,J$31,K449&lt;K$33,J$32,K449&lt;K$34,J$33,K449&lt;K$35,J$34,K449&lt;K$36,J$35,K449&lt;K$37,J$36,K449&lt;K$38,J$37,K449&lt;K$39,J$38,K449&lt;K$40,J$39,K449&lt;K$41,J$40,K449&lt;K$42,J$41,K449&lt;K$43,J$42,K449&lt;K$44,J$43,K449&lt;K$45,J$44,K449&lt;K$46,J$45,K449&lt;K$47,J$46,K449&gt;=K$47,J$47)</f>
        <v/>
      </c>
      <c r="K449" s="38" t="n">
        <v>399</v>
      </c>
      <c r="L449" s="31">
        <f>K449/52</f>
        <v/>
      </c>
      <c r="M449" s="39">
        <f>J449/1000000*52</f>
        <v/>
      </c>
      <c r="N449" s="33">
        <f>M449/$P$4+($I$22/$P$4)</f>
        <v/>
      </c>
      <c r="U449">
        <f>F448</f>
        <v/>
      </c>
      <c r="V449">
        <f>H448</f>
        <v/>
      </c>
      <c r="W449">
        <f>N448</f>
        <v/>
      </c>
    </row>
    <row r="450" ht="15.75" customHeight="1" s="40">
      <c r="C450" s="36">
        <f>_xlfn.IFS(E450&lt;E$24,0,E450&lt;E$26,C$24,E450&lt;E$28,C$26,E450&lt;E$30,C$28,E450&lt;E$32,C$30,E450&lt;E$34,C$32,E450&gt;=E$34,C$34)</f>
        <v/>
      </c>
      <c r="D450" s="37">
        <f>_xlfn.IFS(E450&lt;E$24,0,E450&lt;E$25,D$24,E450&lt;E$26,D$25,E450&lt;E$27,D$26,E450&lt;E$28,D$27,E450&lt;E$29,D$28,E450&lt;E$30,D$29,E450&lt;E$31,D$30,E450&lt;E$32,D$31,E450&lt;E$33,D$32,E450&lt;E$34,D$33,E450&lt;E$35,D$34,E450&gt;=E$35,D$35)</f>
        <v/>
      </c>
      <c r="E450" s="38" t="n">
        <v>400</v>
      </c>
      <c r="F450" s="31">
        <f>E450/52</f>
        <v/>
      </c>
      <c r="G450" s="39">
        <f>D450/1000000*52</f>
        <v/>
      </c>
      <c r="H450" s="33">
        <f>G450/$P$4+($C$22/$P$4)</f>
        <v/>
      </c>
      <c r="I450" s="36">
        <f>_xlfn.IFS(K450&lt;K$24,0,K450&lt;K$26,I$24,K450&lt;K$28,I$26,K450&lt;K$30,I$28,K450&lt;K$32,I$30,K450&lt;K$34,I$32,K450&lt;K$36,I$34,K450&lt;K$38,I$36,K450&lt;K$40,I$38,K450&lt;K$42,I$40,K450&lt;K$44,I$42,K450&lt;K$46,I$44,K450&gt;=K$46,I$46)</f>
        <v/>
      </c>
      <c r="J450" s="37">
        <f>_xlfn.IFS(K450&lt;K$24,0,K450&lt;K$25,J$24,K450&lt;K$26,J$25,K450&lt;K$27,J$26,K450&lt;K$28,J$27,K450&lt;K$29,J$28,K450&lt;K$30,J$29,K450&lt;K$31,J$30,K450&lt;K$32,J$31,K450&lt;K$33,J$32,K450&lt;K$34,J$33,K450&lt;K$35,J$34,K450&lt;K$36,J$35,K450&lt;K$37,J$36,K450&lt;K$38,J$37,K450&lt;K$39,J$38,K450&lt;K$40,J$39,K450&lt;K$41,J$40,K450&lt;K$42,J$41,K450&lt;K$43,J$42,K450&lt;K$44,J$43,K450&lt;K$45,J$44,K450&lt;K$46,J$45,K450&lt;K$47,J$46,K450&gt;=K$47,J$47)</f>
        <v/>
      </c>
      <c r="K450" s="38" t="n">
        <v>400</v>
      </c>
      <c r="L450" s="31">
        <f>K450/52</f>
        <v/>
      </c>
      <c r="M450" s="39">
        <f>J450/1000000*52</f>
        <v/>
      </c>
      <c r="N450" s="33">
        <f>M450/$P$4+($I$22/$P$4)</f>
        <v/>
      </c>
      <c r="U450">
        <f>F449</f>
        <v/>
      </c>
      <c r="V450">
        <f>H449</f>
        <v/>
      </c>
      <c r="W450">
        <f>N449</f>
        <v/>
      </c>
    </row>
    <row r="451" ht="15.75" customHeight="1" s="40">
      <c r="C451" s="36">
        <f>_xlfn.IFS(E451&lt;E$24,0,E451&lt;E$26,C$24,E451&lt;E$28,C$26,E451&lt;E$30,C$28,E451&lt;E$32,C$30,E451&lt;E$34,C$32,E451&gt;=E$34,C$34)</f>
        <v/>
      </c>
      <c r="D451" s="37">
        <f>_xlfn.IFS(E451&lt;E$24,0,E451&lt;E$25,D$24,E451&lt;E$26,D$25,E451&lt;E$27,D$26,E451&lt;E$28,D$27,E451&lt;E$29,D$28,E451&lt;E$30,D$29,E451&lt;E$31,D$30,E451&lt;E$32,D$31,E451&lt;E$33,D$32,E451&lt;E$34,D$33,E451&lt;E$35,D$34,E451&gt;=E$35,D$35)</f>
        <v/>
      </c>
      <c r="E451" s="38" t="n">
        <v>401</v>
      </c>
      <c r="F451" s="31">
        <f>E451/52</f>
        <v/>
      </c>
      <c r="G451" s="39">
        <f>D451/1000000*52</f>
        <v/>
      </c>
      <c r="H451" s="33">
        <f>G451/$P$4+($C$22/$P$4)</f>
        <v/>
      </c>
      <c r="I451" s="36">
        <f>_xlfn.IFS(K451&lt;K$24,0,K451&lt;K$26,I$24,K451&lt;K$28,I$26,K451&lt;K$30,I$28,K451&lt;K$32,I$30,K451&lt;K$34,I$32,K451&lt;K$36,I$34,K451&lt;K$38,I$36,K451&lt;K$40,I$38,K451&lt;K$42,I$40,K451&lt;K$44,I$42,K451&lt;K$46,I$44,K451&gt;=K$46,I$46)</f>
        <v/>
      </c>
      <c r="J451" s="37">
        <f>_xlfn.IFS(K451&lt;K$24,0,K451&lt;K$25,J$24,K451&lt;K$26,J$25,K451&lt;K$27,J$26,K451&lt;K$28,J$27,K451&lt;K$29,J$28,K451&lt;K$30,J$29,K451&lt;K$31,J$30,K451&lt;K$32,J$31,K451&lt;K$33,J$32,K451&lt;K$34,J$33,K451&lt;K$35,J$34,K451&lt;K$36,J$35,K451&lt;K$37,J$36,K451&lt;K$38,J$37,K451&lt;K$39,J$38,K451&lt;K$40,J$39,K451&lt;K$41,J$40,K451&lt;K$42,J$41,K451&lt;K$43,J$42,K451&lt;K$44,J$43,K451&lt;K$45,J$44,K451&lt;K$46,J$45,K451&lt;K$47,J$46,K451&gt;=K$47,J$47)</f>
        <v/>
      </c>
      <c r="K451" s="38" t="n">
        <v>401</v>
      </c>
      <c r="L451" s="31">
        <f>K451/52</f>
        <v/>
      </c>
      <c r="M451" s="39">
        <f>J451/1000000*52</f>
        <v/>
      </c>
      <c r="N451" s="33">
        <f>M451/$P$4+($I$22/$P$4)</f>
        <v/>
      </c>
      <c r="U451">
        <f>F450</f>
        <v/>
      </c>
      <c r="V451">
        <f>H450</f>
        <v/>
      </c>
      <c r="W451">
        <f>N450</f>
        <v/>
      </c>
    </row>
    <row r="452" ht="15.75" customHeight="1" s="40">
      <c r="C452" s="36">
        <f>_xlfn.IFS(E452&lt;E$24,0,E452&lt;E$26,C$24,E452&lt;E$28,C$26,E452&lt;E$30,C$28,E452&lt;E$32,C$30,E452&lt;E$34,C$32,E452&gt;=E$34,C$34)</f>
        <v/>
      </c>
      <c r="D452" s="37">
        <f>_xlfn.IFS(E452&lt;E$24,0,E452&lt;E$25,D$24,E452&lt;E$26,D$25,E452&lt;E$27,D$26,E452&lt;E$28,D$27,E452&lt;E$29,D$28,E452&lt;E$30,D$29,E452&lt;E$31,D$30,E452&lt;E$32,D$31,E452&lt;E$33,D$32,E452&lt;E$34,D$33,E452&lt;E$35,D$34,E452&gt;=E$35,D$35)</f>
        <v/>
      </c>
      <c r="E452" s="38" t="n">
        <v>402</v>
      </c>
      <c r="F452" s="31">
        <f>E452/52</f>
        <v/>
      </c>
      <c r="G452" s="39">
        <f>D452/1000000*52</f>
        <v/>
      </c>
      <c r="H452" s="33">
        <f>G452/$P$4+($C$22/$P$4)</f>
        <v/>
      </c>
      <c r="I452" s="36">
        <f>_xlfn.IFS(K452&lt;K$24,0,K452&lt;K$26,I$24,K452&lt;K$28,I$26,K452&lt;K$30,I$28,K452&lt;K$32,I$30,K452&lt;K$34,I$32,K452&lt;K$36,I$34,K452&lt;K$38,I$36,K452&lt;K$40,I$38,K452&lt;K$42,I$40,K452&lt;K$44,I$42,K452&lt;K$46,I$44,K452&gt;=K$46,I$46)</f>
        <v/>
      </c>
      <c r="J452" s="37">
        <f>_xlfn.IFS(K452&lt;K$24,0,K452&lt;K$25,J$24,K452&lt;K$26,J$25,K452&lt;K$27,J$26,K452&lt;K$28,J$27,K452&lt;K$29,J$28,K452&lt;K$30,J$29,K452&lt;K$31,J$30,K452&lt;K$32,J$31,K452&lt;K$33,J$32,K452&lt;K$34,J$33,K452&lt;K$35,J$34,K452&lt;K$36,J$35,K452&lt;K$37,J$36,K452&lt;K$38,J$37,K452&lt;K$39,J$38,K452&lt;K$40,J$39,K452&lt;K$41,J$40,K452&lt;K$42,J$41,K452&lt;K$43,J$42,K452&lt;K$44,J$43,K452&lt;K$45,J$44,K452&lt;K$46,J$45,K452&lt;K$47,J$46,K452&gt;=K$47,J$47)</f>
        <v/>
      </c>
      <c r="K452" s="38" t="n">
        <v>402</v>
      </c>
      <c r="L452" s="31">
        <f>K452/52</f>
        <v/>
      </c>
      <c r="M452" s="39">
        <f>J452/1000000*52</f>
        <v/>
      </c>
      <c r="N452" s="33">
        <f>M452/$P$4+($I$22/$P$4)</f>
        <v/>
      </c>
      <c r="U452">
        <f>F451</f>
        <v/>
      </c>
      <c r="V452">
        <f>H451</f>
        <v/>
      </c>
      <c r="W452">
        <f>N451</f>
        <v/>
      </c>
    </row>
    <row r="453" ht="15.75" customHeight="1" s="40">
      <c r="C453" s="36">
        <f>_xlfn.IFS(E453&lt;E$24,0,E453&lt;E$26,C$24,E453&lt;E$28,C$26,E453&lt;E$30,C$28,E453&lt;E$32,C$30,E453&lt;E$34,C$32,E453&gt;=E$34,C$34)</f>
        <v/>
      </c>
      <c r="D453" s="37">
        <f>_xlfn.IFS(E453&lt;E$24,0,E453&lt;E$25,D$24,E453&lt;E$26,D$25,E453&lt;E$27,D$26,E453&lt;E$28,D$27,E453&lt;E$29,D$28,E453&lt;E$30,D$29,E453&lt;E$31,D$30,E453&lt;E$32,D$31,E453&lt;E$33,D$32,E453&lt;E$34,D$33,E453&lt;E$35,D$34,E453&gt;=E$35,D$35)</f>
        <v/>
      </c>
      <c r="E453" s="38" t="n">
        <v>403</v>
      </c>
      <c r="F453" s="31">
        <f>E453/52</f>
        <v/>
      </c>
      <c r="G453" s="39">
        <f>D453/1000000*52</f>
        <v/>
      </c>
      <c r="H453" s="33">
        <f>G453/$P$4+($C$22/$P$4)</f>
        <v/>
      </c>
      <c r="I453" s="36">
        <f>_xlfn.IFS(K453&lt;K$24,0,K453&lt;K$26,I$24,K453&lt;K$28,I$26,K453&lt;K$30,I$28,K453&lt;K$32,I$30,K453&lt;K$34,I$32,K453&lt;K$36,I$34,K453&lt;K$38,I$36,K453&lt;K$40,I$38,K453&lt;K$42,I$40,K453&lt;K$44,I$42,K453&lt;K$46,I$44,K453&gt;=K$46,I$46)</f>
        <v/>
      </c>
      <c r="J453" s="37">
        <f>_xlfn.IFS(K453&lt;K$24,0,K453&lt;K$25,J$24,K453&lt;K$26,J$25,K453&lt;K$27,J$26,K453&lt;K$28,J$27,K453&lt;K$29,J$28,K453&lt;K$30,J$29,K453&lt;K$31,J$30,K453&lt;K$32,J$31,K453&lt;K$33,J$32,K453&lt;K$34,J$33,K453&lt;K$35,J$34,K453&lt;K$36,J$35,K453&lt;K$37,J$36,K453&lt;K$38,J$37,K453&lt;K$39,J$38,K453&lt;K$40,J$39,K453&lt;K$41,J$40,K453&lt;K$42,J$41,K453&lt;K$43,J$42,K453&lt;K$44,J$43,K453&lt;K$45,J$44,K453&lt;K$46,J$45,K453&lt;K$47,J$46,K453&gt;=K$47,J$47)</f>
        <v/>
      </c>
      <c r="K453" s="38" t="n">
        <v>403</v>
      </c>
      <c r="L453" s="31">
        <f>K453/52</f>
        <v/>
      </c>
      <c r="M453" s="39">
        <f>J453/1000000*52</f>
        <v/>
      </c>
      <c r="N453" s="33">
        <f>M453/$P$4+($I$22/$P$4)</f>
        <v/>
      </c>
      <c r="U453">
        <f>F452</f>
        <v/>
      </c>
      <c r="V453">
        <f>H452</f>
        <v/>
      </c>
      <c r="W453">
        <f>N452</f>
        <v/>
      </c>
    </row>
    <row r="454" ht="15.75" customHeight="1" s="40">
      <c r="C454" s="36">
        <f>_xlfn.IFS(E454&lt;E$24,0,E454&lt;E$26,C$24,E454&lt;E$28,C$26,E454&lt;E$30,C$28,E454&lt;E$32,C$30,E454&lt;E$34,C$32,E454&gt;=E$34,C$34)</f>
        <v/>
      </c>
      <c r="D454" s="37">
        <f>_xlfn.IFS(E454&lt;E$24,0,E454&lt;E$25,D$24,E454&lt;E$26,D$25,E454&lt;E$27,D$26,E454&lt;E$28,D$27,E454&lt;E$29,D$28,E454&lt;E$30,D$29,E454&lt;E$31,D$30,E454&lt;E$32,D$31,E454&lt;E$33,D$32,E454&lt;E$34,D$33,E454&lt;E$35,D$34,E454&gt;=E$35,D$35)</f>
        <v/>
      </c>
      <c r="E454" s="38" t="n">
        <v>404</v>
      </c>
      <c r="F454" s="31">
        <f>E454/52</f>
        <v/>
      </c>
      <c r="G454" s="39">
        <f>D454/1000000*52</f>
        <v/>
      </c>
      <c r="H454" s="33">
        <f>G454/$P$4+($C$22/$P$4)</f>
        <v/>
      </c>
      <c r="I454" s="36">
        <f>_xlfn.IFS(K454&lt;K$24,0,K454&lt;K$26,I$24,K454&lt;K$28,I$26,K454&lt;K$30,I$28,K454&lt;K$32,I$30,K454&lt;K$34,I$32,K454&lt;K$36,I$34,K454&lt;K$38,I$36,K454&lt;K$40,I$38,K454&lt;K$42,I$40,K454&lt;K$44,I$42,K454&lt;K$46,I$44,K454&gt;=K$46,I$46)</f>
        <v/>
      </c>
      <c r="J454" s="37">
        <f>_xlfn.IFS(K454&lt;K$24,0,K454&lt;K$25,J$24,K454&lt;K$26,J$25,K454&lt;K$27,J$26,K454&lt;K$28,J$27,K454&lt;K$29,J$28,K454&lt;K$30,J$29,K454&lt;K$31,J$30,K454&lt;K$32,J$31,K454&lt;K$33,J$32,K454&lt;K$34,J$33,K454&lt;K$35,J$34,K454&lt;K$36,J$35,K454&lt;K$37,J$36,K454&lt;K$38,J$37,K454&lt;K$39,J$38,K454&lt;K$40,J$39,K454&lt;K$41,J$40,K454&lt;K$42,J$41,K454&lt;K$43,J$42,K454&lt;K$44,J$43,K454&lt;K$45,J$44,K454&lt;K$46,J$45,K454&lt;K$47,J$46,K454&gt;=K$47,J$47)</f>
        <v/>
      </c>
      <c r="K454" s="38" t="n">
        <v>404</v>
      </c>
      <c r="L454" s="31">
        <f>K454/52</f>
        <v/>
      </c>
      <c r="M454" s="39">
        <f>J454/1000000*52</f>
        <v/>
      </c>
      <c r="N454" s="33">
        <f>M454/$P$4+($I$22/$P$4)</f>
        <v/>
      </c>
      <c r="U454">
        <f>F453</f>
        <v/>
      </c>
      <c r="V454">
        <f>H453</f>
        <v/>
      </c>
      <c r="W454">
        <f>N453</f>
        <v/>
      </c>
    </row>
    <row r="455" ht="15.75" customHeight="1" s="40">
      <c r="C455" s="36">
        <f>_xlfn.IFS(E455&lt;E$24,0,E455&lt;E$26,C$24,E455&lt;E$28,C$26,E455&lt;E$30,C$28,E455&lt;E$32,C$30,E455&lt;E$34,C$32,E455&gt;=E$34,C$34)</f>
        <v/>
      </c>
      <c r="D455" s="37">
        <f>_xlfn.IFS(E455&lt;E$24,0,E455&lt;E$25,D$24,E455&lt;E$26,D$25,E455&lt;E$27,D$26,E455&lt;E$28,D$27,E455&lt;E$29,D$28,E455&lt;E$30,D$29,E455&lt;E$31,D$30,E455&lt;E$32,D$31,E455&lt;E$33,D$32,E455&lt;E$34,D$33,E455&lt;E$35,D$34,E455&gt;=E$35,D$35)</f>
        <v/>
      </c>
      <c r="E455" s="38" t="n">
        <v>405</v>
      </c>
      <c r="F455" s="31">
        <f>E455/52</f>
        <v/>
      </c>
      <c r="G455" s="39">
        <f>D455/1000000*52</f>
        <v/>
      </c>
      <c r="H455" s="33">
        <f>G455/$P$4+($C$22/$P$4)</f>
        <v/>
      </c>
      <c r="I455" s="36">
        <f>_xlfn.IFS(K455&lt;K$24,0,K455&lt;K$26,I$24,K455&lt;K$28,I$26,K455&lt;K$30,I$28,K455&lt;K$32,I$30,K455&lt;K$34,I$32,K455&lt;K$36,I$34,K455&lt;K$38,I$36,K455&lt;K$40,I$38,K455&lt;K$42,I$40,K455&lt;K$44,I$42,K455&lt;K$46,I$44,K455&gt;=K$46,I$46)</f>
        <v/>
      </c>
      <c r="J455" s="37">
        <f>_xlfn.IFS(K455&lt;K$24,0,K455&lt;K$25,J$24,K455&lt;K$26,J$25,K455&lt;K$27,J$26,K455&lt;K$28,J$27,K455&lt;K$29,J$28,K455&lt;K$30,J$29,K455&lt;K$31,J$30,K455&lt;K$32,J$31,K455&lt;K$33,J$32,K455&lt;K$34,J$33,K455&lt;K$35,J$34,K455&lt;K$36,J$35,K455&lt;K$37,J$36,K455&lt;K$38,J$37,K455&lt;K$39,J$38,K455&lt;K$40,J$39,K455&lt;K$41,J$40,K455&lt;K$42,J$41,K455&lt;K$43,J$42,K455&lt;K$44,J$43,K455&lt;K$45,J$44,K455&lt;K$46,J$45,K455&lt;K$47,J$46,K455&gt;=K$47,J$47)</f>
        <v/>
      </c>
      <c r="K455" s="38" t="n">
        <v>405</v>
      </c>
      <c r="L455" s="31">
        <f>K455/52</f>
        <v/>
      </c>
      <c r="M455" s="39">
        <f>J455/1000000*52</f>
        <v/>
      </c>
      <c r="N455" s="33">
        <f>M455/$P$4+($I$22/$P$4)</f>
        <v/>
      </c>
      <c r="U455">
        <f>F454</f>
        <v/>
      </c>
      <c r="V455">
        <f>H454</f>
        <v/>
      </c>
      <c r="W455">
        <f>N454</f>
        <v/>
      </c>
    </row>
    <row r="456" ht="15.75" customHeight="1" s="40">
      <c r="C456" s="36">
        <f>_xlfn.IFS(E456&lt;E$24,0,E456&lt;E$26,C$24,E456&lt;E$28,C$26,E456&lt;E$30,C$28,E456&lt;E$32,C$30,E456&lt;E$34,C$32,E456&gt;=E$34,C$34)</f>
        <v/>
      </c>
      <c r="D456" s="37">
        <f>_xlfn.IFS(E456&lt;E$24,0,E456&lt;E$25,D$24,E456&lt;E$26,D$25,E456&lt;E$27,D$26,E456&lt;E$28,D$27,E456&lt;E$29,D$28,E456&lt;E$30,D$29,E456&lt;E$31,D$30,E456&lt;E$32,D$31,E456&lt;E$33,D$32,E456&lt;E$34,D$33,E456&lt;E$35,D$34,E456&gt;=E$35,D$35)</f>
        <v/>
      </c>
      <c r="E456" s="38" t="n">
        <v>406</v>
      </c>
      <c r="F456" s="31">
        <f>E456/52</f>
        <v/>
      </c>
      <c r="G456" s="39">
        <f>D456/1000000*52</f>
        <v/>
      </c>
      <c r="H456" s="33">
        <f>G456/$P$4+($C$22/$P$4)</f>
        <v/>
      </c>
      <c r="I456" s="36">
        <f>_xlfn.IFS(K456&lt;K$24,0,K456&lt;K$26,I$24,K456&lt;K$28,I$26,K456&lt;K$30,I$28,K456&lt;K$32,I$30,K456&lt;K$34,I$32,K456&lt;K$36,I$34,K456&lt;K$38,I$36,K456&lt;K$40,I$38,K456&lt;K$42,I$40,K456&lt;K$44,I$42,K456&lt;K$46,I$44,K456&gt;=K$46,I$46)</f>
        <v/>
      </c>
      <c r="J456" s="37">
        <f>_xlfn.IFS(K456&lt;K$24,0,K456&lt;K$25,J$24,K456&lt;K$26,J$25,K456&lt;K$27,J$26,K456&lt;K$28,J$27,K456&lt;K$29,J$28,K456&lt;K$30,J$29,K456&lt;K$31,J$30,K456&lt;K$32,J$31,K456&lt;K$33,J$32,K456&lt;K$34,J$33,K456&lt;K$35,J$34,K456&lt;K$36,J$35,K456&lt;K$37,J$36,K456&lt;K$38,J$37,K456&lt;K$39,J$38,K456&lt;K$40,J$39,K456&lt;K$41,J$40,K456&lt;K$42,J$41,K456&lt;K$43,J$42,K456&lt;K$44,J$43,K456&lt;K$45,J$44,K456&lt;K$46,J$45,K456&lt;K$47,J$46,K456&gt;=K$47,J$47)</f>
        <v/>
      </c>
      <c r="K456" s="38" t="n">
        <v>406</v>
      </c>
      <c r="L456" s="31">
        <f>K456/52</f>
        <v/>
      </c>
      <c r="M456" s="39">
        <f>J456/1000000*52</f>
        <v/>
      </c>
      <c r="N456" s="33">
        <f>M456/$P$4+($I$22/$P$4)</f>
        <v/>
      </c>
      <c r="U456">
        <f>F455</f>
        <v/>
      </c>
      <c r="V456">
        <f>H455</f>
        <v/>
      </c>
      <c r="W456">
        <f>N455</f>
        <v/>
      </c>
    </row>
    <row r="457" ht="15.75" customHeight="1" s="40">
      <c r="C457" s="36">
        <f>_xlfn.IFS(E457&lt;E$24,0,E457&lt;E$26,C$24,E457&lt;E$28,C$26,E457&lt;E$30,C$28,E457&lt;E$32,C$30,E457&lt;E$34,C$32,E457&gt;=E$34,C$34)</f>
        <v/>
      </c>
      <c r="D457" s="37">
        <f>_xlfn.IFS(E457&lt;E$24,0,E457&lt;E$25,D$24,E457&lt;E$26,D$25,E457&lt;E$27,D$26,E457&lt;E$28,D$27,E457&lt;E$29,D$28,E457&lt;E$30,D$29,E457&lt;E$31,D$30,E457&lt;E$32,D$31,E457&lt;E$33,D$32,E457&lt;E$34,D$33,E457&lt;E$35,D$34,E457&gt;=E$35,D$35)</f>
        <v/>
      </c>
      <c r="E457" s="38" t="n">
        <v>407</v>
      </c>
      <c r="F457" s="31">
        <f>E457/52</f>
        <v/>
      </c>
      <c r="G457" s="39">
        <f>D457/1000000*52</f>
        <v/>
      </c>
      <c r="H457" s="33">
        <f>G457/$P$4+($C$22/$P$4)</f>
        <v/>
      </c>
      <c r="I457" s="36">
        <f>_xlfn.IFS(K457&lt;K$24,0,K457&lt;K$26,I$24,K457&lt;K$28,I$26,K457&lt;K$30,I$28,K457&lt;K$32,I$30,K457&lt;K$34,I$32,K457&lt;K$36,I$34,K457&lt;K$38,I$36,K457&lt;K$40,I$38,K457&lt;K$42,I$40,K457&lt;K$44,I$42,K457&lt;K$46,I$44,K457&gt;=K$46,I$46)</f>
        <v/>
      </c>
      <c r="J457" s="37">
        <f>_xlfn.IFS(K457&lt;K$24,0,K457&lt;K$25,J$24,K457&lt;K$26,J$25,K457&lt;K$27,J$26,K457&lt;K$28,J$27,K457&lt;K$29,J$28,K457&lt;K$30,J$29,K457&lt;K$31,J$30,K457&lt;K$32,J$31,K457&lt;K$33,J$32,K457&lt;K$34,J$33,K457&lt;K$35,J$34,K457&lt;K$36,J$35,K457&lt;K$37,J$36,K457&lt;K$38,J$37,K457&lt;K$39,J$38,K457&lt;K$40,J$39,K457&lt;K$41,J$40,K457&lt;K$42,J$41,K457&lt;K$43,J$42,K457&lt;K$44,J$43,K457&lt;K$45,J$44,K457&lt;K$46,J$45,K457&lt;K$47,J$46,K457&gt;=K$47,J$47)</f>
        <v/>
      </c>
      <c r="K457" s="38" t="n">
        <v>407</v>
      </c>
      <c r="L457" s="31">
        <f>K457/52</f>
        <v/>
      </c>
      <c r="M457" s="39">
        <f>J457/1000000*52</f>
        <v/>
      </c>
      <c r="N457" s="33">
        <f>M457/$P$4+($I$22/$P$4)</f>
        <v/>
      </c>
      <c r="U457">
        <f>F456</f>
        <v/>
      </c>
      <c r="V457">
        <f>H456</f>
        <v/>
      </c>
      <c r="W457">
        <f>N456</f>
        <v/>
      </c>
    </row>
    <row r="458" ht="15.75" customHeight="1" s="40">
      <c r="C458" s="36">
        <f>_xlfn.IFS(E458&lt;E$24,0,E458&lt;E$26,C$24,E458&lt;E$28,C$26,E458&lt;E$30,C$28,E458&lt;E$32,C$30,E458&lt;E$34,C$32,E458&gt;=E$34,C$34)</f>
        <v/>
      </c>
      <c r="D458" s="37">
        <f>_xlfn.IFS(E458&lt;E$24,0,E458&lt;E$25,D$24,E458&lt;E$26,D$25,E458&lt;E$27,D$26,E458&lt;E$28,D$27,E458&lt;E$29,D$28,E458&lt;E$30,D$29,E458&lt;E$31,D$30,E458&lt;E$32,D$31,E458&lt;E$33,D$32,E458&lt;E$34,D$33,E458&lt;E$35,D$34,E458&gt;=E$35,D$35)</f>
        <v/>
      </c>
      <c r="E458" s="38" t="n">
        <v>408</v>
      </c>
      <c r="F458" s="31">
        <f>E458/52</f>
        <v/>
      </c>
      <c r="G458" s="39">
        <f>D458/1000000*52</f>
        <v/>
      </c>
      <c r="H458" s="33">
        <f>G458/$P$4+($C$22/$P$4)</f>
        <v/>
      </c>
      <c r="I458" s="36">
        <f>_xlfn.IFS(K458&lt;K$24,0,K458&lt;K$26,I$24,K458&lt;K$28,I$26,K458&lt;K$30,I$28,K458&lt;K$32,I$30,K458&lt;K$34,I$32,K458&lt;K$36,I$34,K458&lt;K$38,I$36,K458&lt;K$40,I$38,K458&lt;K$42,I$40,K458&lt;K$44,I$42,K458&lt;K$46,I$44,K458&gt;=K$46,I$46)</f>
        <v/>
      </c>
      <c r="J458" s="37">
        <f>_xlfn.IFS(K458&lt;K$24,0,K458&lt;K$25,J$24,K458&lt;K$26,J$25,K458&lt;K$27,J$26,K458&lt;K$28,J$27,K458&lt;K$29,J$28,K458&lt;K$30,J$29,K458&lt;K$31,J$30,K458&lt;K$32,J$31,K458&lt;K$33,J$32,K458&lt;K$34,J$33,K458&lt;K$35,J$34,K458&lt;K$36,J$35,K458&lt;K$37,J$36,K458&lt;K$38,J$37,K458&lt;K$39,J$38,K458&lt;K$40,J$39,K458&lt;K$41,J$40,K458&lt;K$42,J$41,K458&lt;K$43,J$42,K458&lt;K$44,J$43,K458&lt;K$45,J$44,K458&lt;K$46,J$45,K458&lt;K$47,J$46,K458&gt;=K$47,J$47)</f>
        <v/>
      </c>
      <c r="K458" s="38" t="n">
        <v>408</v>
      </c>
      <c r="L458" s="31">
        <f>K458/52</f>
        <v/>
      </c>
      <c r="M458" s="39">
        <f>J458/1000000*52</f>
        <v/>
      </c>
      <c r="N458" s="33">
        <f>M458/$P$4+($I$22/$P$4)</f>
        <v/>
      </c>
      <c r="U458">
        <f>F457</f>
        <v/>
      </c>
      <c r="V458">
        <f>H457</f>
        <v/>
      </c>
      <c r="W458">
        <f>N457</f>
        <v/>
      </c>
    </row>
    <row r="459" ht="15.75" customHeight="1" s="40">
      <c r="C459" s="36">
        <f>_xlfn.IFS(E459&lt;E$24,0,E459&lt;E$26,C$24,E459&lt;E$28,C$26,E459&lt;E$30,C$28,E459&lt;E$32,C$30,E459&lt;E$34,C$32,E459&gt;=E$34,C$34)</f>
        <v/>
      </c>
      <c r="D459" s="37">
        <f>_xlfn.IFS(E459&lt;E$24,0,E459&lt;E$25,D$24,E459&lt;E$26,D$25,E459&lt;E$27,D$26,E459&lt;E$28,D$27,E459&lt;E$29,D$28,E459&lt;E$30,D$29,E459&lt;E$31,D$30,E459&lt;E$32,D$31,E459&lt;E$33,D$32,E459&lt;E$34,D$33,E459&lt;E$35,D$34,E459&gt;=E$35,D$35)</f>
        <v/>
      </c>
      <c r="E459" s="38" t="n">
        <v>409</v>
      </c>
      <c r="F459" s="31">
        <f>E459/52</f>
        <v/>
      </c>
      <c r="G459" s="39">
        <f>D459/1000000*52</f>
        <v/>
      </c>
      <c r="H459" s="33">
        <f>G459/$P$4+($C$22/$P$4)</f>
        <v/>
      </c>
      <c r="I459" s="36">
        <f>_xlfn.IFS(K459&lt;K$24,0,K459&lt;K$26,I$24,K459&lt;K$28,I$26,K459&lt;K$30,I$28,K459&lt;K$32,I$30,K459&lt;K$34,I$32,K459&lt;K$36,I$34,K459&lt;K$38,I$36,K459&lt;K$40,I$38,K459&lt;K$42,I$40,K459&lt;K$44,I$42,K459&lt;K$46,I$44,K459&gt;=K$46,I$46)</f>
        <v/>
      </c>
      <c r="J459" s="37">
        <f>_xlfn.IFS(K459&lt;K$24,0,K459&lt;K$25,J$24,K459&lt;K$26,J$25,K459&lt;K$27,J$26,K459&lt;K$28,J$27,K459&lt;K$29,J$28,K459&lt;K$30,J$29,K459&lt;K$31,J$30,K459&lt;K$32,J$31,K459&lt;K$33,J$32,K459&lt;K$34,J$33,K459&lt;K$35,J$34,K459&lt;K$36,J$35,K459&lt;K$37,J$36,K459&lt;K$38,J$37,K459&lt;K$39,J$38,K459&lt;K$40,J$39,K459&lt;K$41,J$40,K459&lt;K$42,J$41,K459&lt;K$43,J$42,K459&lt;K$44,J$43,K459&lt;K$45,J$44,K459&lt;K$46,J$45,K459&lt;K$47,J$46,K459&gt;=K$47,J$47)</f>
        <v/>
      </c>
      <c r="K459" s="38" t="n">
        <v>409</v>
      </c>
      <c r="L459" s="31">
        <f>K459/52</f>
        <v/>
      </c>
      <c r="M459" s="39">
        <f>J459/1000000*52</f>
        <v/>
      </c>
      <c r="N459" s="33">
        <f>M459/$P$4+($I$22/$P$4)</f>
        <v/>
      </c>
      <c r="U459">
        <f>F458</f>
        <v/>
      </c>
      <c r="V459">
        <f>H458</f>
        <v/>
      </c>
      <c r="W459">
        <f>N458</f>
        <v/>
      </c>
    </row>
    <row r="460" ht="15.75" customHeight="1" s="40">
      <c r="C460" s="36">
        <f>_xlfn.IFS(E460&lt;E$24,0,E460&lt;E$26,C$24,E460&lt;E$28,C$26,E460&lt;E$30,C$28,E460&lt;E$32,C$30,E460&lt;E$34,C$32,E460&gt;=E$34,C$34)</f>
        <v/>
      </c>
      <c r="D460" s="37">
        <f>_xlfn.IFS(E460&lt;E$24,0,E460&lt;E$25,D$24,E460&lt;E$26,D$25,E460&lt;E$27,D$26,E460&lt;E$28,D$27,E460&lt;E$29,D$28,E460&lt;E$30,D$29,E460&lt;E$31,D$30,E460&lt;E$32,D$31,E460&lt;E$33,D$32,E460&lt;E$34,D$33,E460&lt;E$35,D$34,E460&gt;=E$35,D$35)</f>
        <v/>
      </c>
      <c r="E460" s="38" t="n">
        <v>410</v>
      </c>
      <c r="F460" s="31">
        <f>E460/52</f>
        <v/>
      </c>
      <c r="G460" s="39">
        <f>D460/1000000*52</f>
        <v/>
      </c>
      <c r="H460" s="33">
        <f>G460/$P$4+($C$22/$P$4)</f>
        <v/>
      </c>
      <c r="I460" s="36">
        <f>_xlfn.IFS(K460&lt;K$24,0,K460&lt;K$26,I$24,K460&lt;K$28,I$26,K460&lt;K$30,I$28,K460&lt;K$32,I$30,K460&lt;K$34,I$32,K460&lt;K$36,I$34,K460&lt;K$38,I$36,K460&lt;K$40,I$38,K460&lt;K$42,I$40,K460&lt;K$44,I$42,K460&lt;K$46,I$44,K460&gt;=K$46,I$46)</f>
        <v/>
      </c>
      <c r="J460" s="37">
        <f>_xlfn.IFS(K460&lt;K$24,0,K460&lt;K$25,J$24,K460&lt;K$26,J$25,K460&lt;K$27,J$26,K460&lt;K$28,J$27,K460&lt;K$29,J$28,K460&lt;K$30,J$29,K460&lt;K$31,J$30,K460&lt;K$32,J$31,K460&lt;K$33,J$32,K460&lt;K$34,J$33,K460&lt;K$35,J$34,K460&lt;K$36,J$35,K460&lt;K$37,J$36,K460&lt;K$38,J$37,K460&lt;K$39,J$38,K460&lt;K$40,J$39,K460&lt;K$41,J$40,K460&lt;K$42,J$41,K460&lt;K$43,J$42,K460&lt;K$44,J$43,K460&lt;K$45,J$44,K460&lt;K$46,J$45,K460&lt;K$47,J$46,K460&gt;=K$47,J$47)</f>
        <v/>
      </c>
      <c r="K460" s="38" t="n">
        <v>410</v>
      </c>
      <c r="L460" s="31">
        <f>K460/52</f>
        <v/>
      </c>
      <c r="M460" s="39">
        <f>J460/1000000*52</f>
        <v/>
      </c>
      <c r="N460" s="33">
        <f>M460/$P$4+($I$22/$P$4)</f>
        <v/>
      </c>
      <c r="U460">
        <f>F459</f>
        <v/>
      </c>
      <c r="V460">
        <f>H459</f>
        <v/>
      </c>
      <c r="W460">
        <f>N459</f>
        <v/>
      </c>
    </row>
    <row r="461" ht="15.75" customHeight="1" s="40">
      <c r="C461" s="36">
        <f>_xlfn.IFS(E461&lt;E$24,0,E461&lt;E$26,C$24,E461&lt;E$28,C$26,E461&lt;E$30,C$28,E461&lt;E$32,C$30,E461&lt;E$34,C$32,E461&gt;=E$34,C$34)</f>
        <v/>
      </c>
      <c r="D461" s="37">
        <f>_xlfn.IFS(E461&lt;E$24,0,E461&lt;E$25,D$24,E461&lt;E$26,D$25,E461&lt;E$27,D$26,E461&lt;E$28,D$27,E461&lt;E$29,D$28,E461&lt;E$30,D$29,E461&lt;E$31,D$30,E461&lt;E$32,D$31,E461&lt;E$33,D$32,E461&lt;E$34,D$33,E461&lt;E$35,D$34,E461&gt;=E$35,D$35)</f>
        <v/>
      </c>
      <c r="E461" s="38" t="n">
        <v>411</v>
      </c>
      <c r="F461" s="31">
        <f>E461/52</f>
        <v/>
      </c>
      <c r="G461" s="39">
        <f>D461/1000000*52</f>
        <v/>
      </c>
      <c r="H461" s="33">
        <f>G461/$P$4+($C$22/$P$4)</f>
        <v/>
      </c>
      <c r="I461" s="36">
        <f>_xlfn.IFS(K461&lt;K$24,0,K461&lt;K$26,I$24,K461&lt;K$28,I$26,K461&lt;K$30,I$28,K461&lt;K$32,I$30,K461&lt;K$34,I$32,K461&lt;K$36,I$34,K461&lt;K$38,I$36,K461&lt;K$40,I$38,K461&lt;K$42,I$40,K461&lt;K$44,I$42,K461&lt;K$46,I$44,K461&gt;=K$46,I$46)</f>
        <v/>
      </c>
      <c r="J461" s="37">
        <f>_xlfn.IFS(K461&lt;K$24,0,K461&lt;K$25,J$24,K461&lt;K$26,J$25,K461&lt;K$27,J$26,K461&lt;K$28,J$27,K461&lt;K$29,J$28,K461&lt;K$30,J$29,K461&lt;K$31,J$30,K461&lt;K$32,J$31,K461&lt;K$33,J$32,K461&lt;K$34,J$33,K461&lt;K$35,J$34,K461&lt;K$36,J$35,K461&lt;K$37,J$36,K461&lt;K$38,J$37,K461&lt;K$39,J$38,K461&lt;K$40,J$39,K461&lt;K$41,J$40,K461&lt;K$42,J$41,K461&lt;K$43,J$42,K461&lt;K$44,J$43,K461&lt;K$45,J$44,K461&lt;K$46,J$45,K461&lt;K$47,J$46,K461&gt;=K$47,J$47)</f>
        <v/>
      </c>
      <c r="K461" s="38" t="n">
        <v>411</v>
      </c>
      <c r="L461" s="31">
        <f>K461/52</f>
        <v/>
      </c>
      <c r="M461" s="39">
        <f>J461/1000000*52</f>
        <v/>
      </c>
      <c r="N461" s="33">
        <f>M461/$P$4+($I$22/$P$4)</f>
        <v/>
      </c>
      <c r="U461">
        <f>F460</f>
        <v/>
      </c>
      <c r="V461">
        <f>H460</f>
        <v/>
      </c>
      <c r="W461">
        <f>N460</f>
        <v/>
      </c>
    </row>
    <row r="462" ht="15.75" customHeight="1" s="40">
      <c r="C462" s="36">
        <f>_xlfn.IFS(E462&lt;E$24,0,E462&lt;E$26,C$24,E462&lt;E$28,C$26,E462&lt;E$30,C$28,E462&lt;E$32,C$30,E462&lt;E$34,C$32,E462&gt;=E$34,C$34)</f>
        <v/>
      </c>
      <c r="D462" s="37">
        <f>_xlfn.IFS(E462&lt;E$24,0,E462&lt;E$25,D$24,E462&lt;E$26,D$25,E462&lt;E$27,D$26,E462&lt;E$28,D$27,E462&lt;E$29,D$28,E462&lt;E$30,D$29,E462&lt;E$31,D$30,E462&lt;E$32,D$31,E462&lt;E$33,D$32,E462&lt;E$34,D$33,E462&lt;E$35,D$34,E462&gt;=E$35,D$35)</f>
        <v/>
      </c>
      <c r="E462" s="38" t="n">
        <v>412</v>
      </c>
      <c r="F462" s="31">
        <f>E462/52</f>
        <v/>
      </c>
      <c r="G462" s="39">
        <f>D462/1000000*52</f>
        <v/>
      </c>
      <c r="H462" s="33">
        <f>G462/$P$4+($C$22/$P$4)</f>
        <v/>
      </c>
      <c r="I462" s="36">
        <f>_xlfn.IFS(K462&lt;K$24,0,K462&lt;K$26,I$24,K462&lt;K$28,I$26,K462&lt;K$30,I$28,K462&lt;K$32,I$30,K462&lt;K$34,I$32,K462&lt;K$36,I$34,K462&lt;K$38,I$36,K462&lt;K$40,I$38,K462&lt;K$42,I$40,K462&lt;K$44,I$42,K462&lt;K$46,I$44,K462&gt;=K$46,I$46)</f>
        <v/>
      </c>
      <c r="J462" s="37">
        <f>_xlfn.IFS(K462&lt;K$24,0,K462&lt;K$25,J$24,K462&lt;K$26,J$25,K462&lt;K$27,J$26,K462&lt;K$28,J$27,K462&lt;K$29,J$28,K462&lt;K$30,J$29,K462&lt;K$31,J$30,K462&lt;K$32,J$31,K462&lt;K$33,J$32,K462&lt;K$34,J$33,K462&lt;K$35,J$34,K462&lt;K$36,J$35,K462&lt;K$37,J$36,K462&lt;K$38,J$37,K462&lt;K$39,J$38,K462&lt;K$40,J$39,K462&lt;K$41,J$40,K462&lt;K$42,J$41,K462&lt;K$43,J$42,K462&lt;K$44,J$43,K462&lt;K$45,J$44,K462&lt;K$46,J$45,K462&lt;K$47,J$46,K462&gt;=K$47,J$47)</f>
        <v/>
      </c>
      <c r="K462" s="38" t="n">
        <v>412</v>
      </c>
      <c r="L462" s="31">
        <f>K462/52</f>
        <v/>
      </c>
      <c r="M462" s="39">
        <f>J462/1000000*52</f>
        <v/>
      </c>
      <c r="N462" s="33">
        <f>M462/$P$4+($I$22/$P$4)</f>
        <v/>
      </c>
      <c r="U462">
        <f>F461</f>
        <v/>
      </c>
      <c r="V462">
        <f>H461</f>
        <v/>
      </c>
      <c r="W462">
        <f>N461</f>
        <v/>
      </c>
    </row>
    <row r="463" ht="15.75" customHeight="1" s="40">
      <c r="C463" s="36">
        <f>_xlfn.IFS(E463&lt;E$24,0,E463&lt;E$26,C$24,E463&lt;E$28,C$26,E463&lt;E$30,C$28,E463&lt;E$32,C$30,E463&lt;E$34,C$32,E463&gt;=E$34,C$34)</f>
        <v/>
      </c>
      <c r="D463" s="37">
        <f>_xlfn.IFS(E463&lt;E$24,0,E463&lt;E$25,D$24,E463&lt;E$26,D$25,E463&lt;E$27,D$26,E463&lt;E$28,D$27,E463&lt;E$29,D$28,E463&lt;E$30,D$29,E463&lt;E$31,D$30,E463&lt;E$32,D$31,E463&lt;E$33,D$32,E463&lt;E$34,D$33,E463&lt;E$35,D$34,E463&gt;=E$35,D$35)</f>
        <v/>
      </c>
      <c r="E463" s="38" t="n">
        <v>413</v>
      </c>
      <c r="F463" s="31">
        <f>E463/52</f>
        <v/>
      </c>
      <c r="G463" s="39">
        <f>D463/1000000*52</f>
        <v/>
      </c>
      <c r="H463" s="33">
        <f>G463/$P$4+($C$22/$P$4)</f>
        <v/>
      </c>
      <c r="I463" s="36">
        <f>_xlfn.IFS(K463&lt;K$24,0,K463&lt;K$26,I$24,K463&lt;K$28,I$26,K463&lt;K$30,I$28,K463&lt;K$32,I$30,K463&lt;K$34,I$32,K463&lt;K$36,I$34,K463&lt;K$38,I$36,K463&lt;K$40,I$38,K463&lt;K$42,I$40,K463&lt;K$44,I$42,K463&lt;K$46,I$44,K463&gt;=K$46,I$46)</f>
        <v/>
      </c>
      <c r="J463" s="37">
        <f>_xlfn.IFS(K463&lt;K$24,0,K463&lt;K$25,J$24,K463&lt;K$26,J$25,K463&lt;K$27,J$26,K463&lt;K$28,J$27,K463&lt;K$29,J$28,K463&lt;K$30,J$29,K463&lt;K$31,J$30,K463&lt;K$32,J$31,K463&lt;K$33,J$32,K463&lt;K$34,J$33,K463&lt;K$35,J$34,K463&lt;K$36,J$35,K463&lt;K$37,J$36,K463&lt;K$38,J$37,K463&lt;K$39,J$38,K463&lt;K$40,J$39,K463&lt;K$41,J$40,K463&lt;K$42,J$41,K463&lt;K$43,J$42,K463&lt;K$44,J$43,K463&lt;K$45,J$44,K463&lt;K$46,J$45,K463&lt;K$47,J$46,K463&gt;=K$47,J$47)</f>
        <v/>
      </c>
      <c r="K463" s="38" t="n">
        <v>413</v>
      </c>
      <c r="L463" s="31">
        <f>K463/52</f>
        <v/>
      </c>
      <c r="M463" s="39">
        <f>J463/1000000*52</f>
        <v/>
      </c>
      <c r="N463" s="33">
        <f>M463/$P$4+($I$22/$P$4)</f>
        <v/>
      </c>
      <c r="U463">
        <f>F462</f>
        <v/>
      </c>
      <c r="V463">
        <f>H462</f>
        <v/>
      </c>
      <c r="W463">
        <f>N462</f>
        <v/>
      </c>
    </row>
    <row r="464" ht="15.75" customHeight="1" s="40">
      <c r="C464" s="36">
        <f>_xlfn.IFS(E464&lt;E$24,0,E464&lt;E$26,C$24,E464&lt;E$28,C$26,E464&lt;E$30,C$28,E464&lt;E$32,C$30,E464&lt;E$34,C$32,E464&gt;=E$34,C$34)</f>
        <v/>
      </c>
      <c r="D464" s="37">
        <f>_xlfn.IFS(E464&lt;E$24,0,E464&lt;E$25,D$24,E464&lt;E$26,D$25,E464&lt;E$27,D$26,E464&lt;E$28,D$27,E464&lt;E$29,D$28,E464&lt;E$30,D$29,E464&lt;E$31,D$30,E464&lt;E$32,D$31,E464&lt;E$33,D$32,E464&lt;E$34,D$33,E464&lt;E$35,D$34,E464&gt;=E$35,D$35)</f>
        <v/>
      </c>
      <c r="E464" s="38" t="n">
        <v>414</v>
      </c>
      <c r="F464" s="31">
        <f>E464/52</f>
        <v/>
      </c>
      <c r="G464" s="39">
        <f>D464/1000000*52</f>
        <v/>
      </c>
      <c r="H464" s="33">
        <f>G464/$P$4+($C$22/$P$4)</f>
        <v/>
      </c>
      <c r="I464" s="36">
        <f>_xlfn.IFS(K464&lt;K$24,0,K464&lt;K$26,I$24,K464&lt;K$28,I$26,K464&lt;K$30,I$28,K464&lt;K$32,I$30,K464&lt;K$34,I$32,K464&lt;K$36,I$34,K464&lt;K$38,I$36,K464&lt;K$40,I$38,K464&lt;K$42,I$40,K464&lt;K$44,I$42,K464&lt;K$46,I$44,K464&gt;=K$46,I$46)</f>
        <v/>
      </c>
      <c r="J464" s="37">
        <f>_xlfn.IFS(K464&lt;K$24,0,K464&lt;K$25,J$24,K464&lt;K$26,J$25,K464&lt;K$27,J$26,K464&lt;K$28,J$27,K464&lt;K$29,J$28,K464&lt;K$30,J$29,K464&lt;K$31,J$30,K464&lt;K$32,J$31,K464&lt;K$33,J$32,K464&lt;K$34,J$33,K464&lt;K$35,J$34,K464&lt;K$36,J$35,K464&lt;K$37,J$36,K464&lt;K$38,J$37,K464&lt;K$39,J$38,K464&lt;K$40,J$39,K464&lt;K$41,J$40,K464&lt;K$42,J$41,K464&lt;K$43,J$42,K464&lt;K$44,J$43,K464&lt;K$45,J$44,K464&lt;K$46,J$45,K464&lt;K$47,J$46,K464&gt;=K$47,J$47)</f>
        <v/>
      </c>
      <c r="K464" s="38" t="n">
        <v>414</v>
      </c>
      <c r="L464" s="31">
        <f>K464/52</f>
        <v/>
      </c>
      <c r="M464" s="39">
        <f>J464/1000000*52</f>
        <v/>
      </c>
      <c r="N464" s="33">
        <f>M464/$P$4+($I$22/$P$4)</f>
        <v/>
      </c>
      <c r="U464">
        <f>F463</f>
        <v/>
      </c>
      <c r="V464">
        <f>H463</f>
        <v/>
      </c>
      <c r="W464">
        <f>N463</f>
        <v/>
      </c>
    </row>
    <row r="465" ht="15.75" customHeight="1" s="40">
      <c r="C465" s="36">
        <f>_xlfn.IFS(E465&lt;E$24,0,E465&lt;E$26,C$24,E465&lt;E$28,C$26,E465&lt;E$30,C$28,E465&lt;E$32,C$30,E465&lt;E$34,C$32,E465&gt;=E$34,C$34)</f>
        <v/>
      </c>
      <c r="D465" s="37">
        <f>_xlfn.IFS(E465&lt;E$24,0,E465&lt;E$25,D$24,E465&lt;E$26,D$25,E465&lt;E$27,D$26,E465&lt;E$28,D$27,E465&lt;E$29,D$28,E465&lt;E$30,D$29,E465&lt;E$31,D$30,E465&lt;E$32,D$31,E465&lt;E$33,D$32,E465&lt;E$34,D$33,E465&lt;E$35,D$34,E465&gt;=E$35,D$35)</f>
        <v/>
      </c>
      <c r="E465" s="38" t="n">
        <v>415</v>
      </c>
      <c r="F465" s="31">
        <f>E465/52</f>
        <v/>
      </c>
      <c r="G465" s="39">
        <f>D465/1000000*52</f>
        <v/>
      </c>
      <c r="H465" s="33">
        <f>G465/$P$4+($C$22/$P$4)</f>
        <v/>
      </c>
      <c r="I465" s="36">
        <f>_xlfn.IFS(K465&lt;K$24,0,K465&lt;K$26,I$24,K465&lt;K$28,I$26,K465&lt;K$30,I$28,K465&lt;K$32,I$30,K465&lt;K$34,I$32,K465&lt;K$36,I$34,K465&lt;K$38,I$36,K465&lt;K$40,I$38,K465&lt;K$42,I$40,K465&lt;K$44,I$42,K465&lt;K$46,I$44,K465&gt;=K$46,I$46)</f>
        <v/>
      </c>
      <c r="J465" s="37">
        <f>_xlfn.IFS(K465&lt;K$24,0,K465&lt;K$25,J$24,K465&lt;K$26,J$25,K465&lt;K$27,J$26,K465&lt;K$28,J$27,K465&lt;K$29,J$28,K465&lt;K$30,J$29,K465&lt;K$31,J$30,K465&lt;K$32,J$31,K465&lt;K$33,J$32,K465&lt;K$34,J$33,K465&lt;K$35,J$34,K465&lt;K$36,J$35,K465&lt;K$37,J$36,K465&lt;K$38,J$37,K465&lt;K$39,J$38,K465&lt;K$40,J$39,K465&lt;K$41,J$40,K465&lt;K$42,J$41,K465&lt;K$43,J$42,K465&lt;K$44,J$43,K465&lt;K$45,J$44,K465&lt;K$46,J$45,K465&lt;K$47,J$46,K465&gt;=K$47,J$47)</f>
        <v/>
      </c>
      <c r="K465" s="38" t="n">
        <v>415</v>
      </c>
      <c r="L465" s="31">
        <f>K465/52</f>
        <v/>
      </c>
      <c r="M465" s="39">
        <f>J465/1000000*52</f>
        <v/>
      </c>
      <c r="N465" s="33">
        <f>M465/$P$4+($I$22/$P$4)</f>
        <v/>
      </c>
      <c r="U465">
        <f>F464</f>
        <v/>
      </c>
      <c r="V465">
        <f>H464</f>
        <v/>
      </c>
      <c r="W465">
        <f>N464</f>
        <v/>
      </c>
    </row>
    <row r="466" ht="15.75" customHeight="1" s="40">
      <c r="C466" s="36">
        <f>_xlfn.IFS(E466&lt;E$24,0,E466&lt;E$26,C$24,E466&lt;E$28,C$26,E466&lt;E$30,C$28,E466&lt;E$32,C$30,E466&lt;E$34,C$32,E466&gt;=E$34,C$34)</f>
        <v/>
      </c>
      <c r="D466" s="37">
        <f>_xlfn.IFS(E466&lt;E$24,0,E466&lt;E$25,D$24,E466&lt;E$26,D$25,E466&lt;E$27,D$26,E466&lt;E$28,D$27,E466&lt;E$29,D$28,E466&lt;E$30,D$29,E466&lt;E$31,D$30,E466&lt;E$32,D$31,E466&lt;E$33,D$32,E466&lt;E$34,D$33,E466&lt;E$35,D$34,E466&gt;=E$35,D$35)</f>
        <v/>
      </c>
      <c r="E466" s="38" t="n">
        <v>416</v>
      </c>
      <c r="F466" s="31">
        <f>E466/52</f>
        <v/>
      </c>
      <c r="G466" s="39">
        <f>D466/1000000*52</f>
        <v/>
      </c>
      <c r="H466" s="33">
        <f>G466/$P$4+($C$22/$P$4)</f>
        <v/>
      </c>
      <c r="I466" s="36">
        <f>_xlfn.IFS(K466&lt;K$24,0,K466&lt;K$26,I$24,K466&lt;K$28,I$26,K466&lt;K$30,I$28,K466&lt;K$32,I$30,K466&lt;K$34,I$32,K466&lt;K$36,I$34,K466&lt;K$38,I$36,K466&lt;K$40,I$38,K466&lt;K$42,I$40,K466&lt;K$44,I$42,K466&lt;K$46,I$44,K466&gt;=K$46,I$46)</f>
        <v/>
      </c>
      <c r="J466" s="37">
        <f>_xlfn.IFS(K466&lt;K$24,0,K466&lt;K$25,J$24,K466&lt;K$26,J$25,K466&lt;K$27,J$26,K466&lt;K$28,J$27,K466&lt;K$29,J$28,K466&lt;K$30,J$29,K466&lt;K$31,J$30,K466&lt;K$32,J$31,K466&lt;K$33,J$32,K466&lt;K$34,J$33,K466&lt;K$35,J$34,K466&lt;K$36,J$35,K466&lt;K$37,J$36,K466&lt;K$38,J$37,K466&lt;K$39,J$38,K466&lt;K$40,J$39,K466&lt;K$41,J$40,K466&lt;K$42,J$41,K466&lt;K$43,J$42,K466&lt;K$44,J$43,K466&lt;K$45,J$44,K466&lt;K$46,J$45,K466&lt;K$47,J$46,K466&gt;=K$47,J$47)</f>
        <v/>
      </c>
      <c r="K466" s="38" t="n">
        <v>416</v>
      </c>
      <c r="L466" s="31">
        <f>K466/52</f>
        <v/>
      </c>
      <c r="M466" s="39">
        <f>J466/1000000*52</f>
        <v/>
      </c>
      <c r="N466" s="33">
        <f>M466/$P$4+($I$22/$P$4)</f>
        <v/>
      </c>
      <c r="U466">
        <f>F465</f>
        <v/>
      </c>
      <c r="V466">
        <f>H465</f>
        <v/>
      </c>
      <c r="W466">
        <f>N465</f>
        <v/>
      </c>
    </row>
    <row r="467" ht="15.75" customHeight="1" s="40">
      <c r="C467" s="36">
        <f>_xlfn.IFS(E467&lt;E$24,0,E467&lt;E$26,C$24,E467&lt;E$28,C$26,E467&lt;E$30,C$28,E467&lt;E$32,C$30,E467&lt;E$34,C$32,E467&gt;=E$34,C$34)</f>
        <v/>
      </c>
      <c r="D467" s="37">
        <f>_xlfn.IFS(E467&lt;E$24,0,E467&lt;E$25,D$24,E467&lt;E$26,D$25,E467&lt;E$27,D$26,E467&lt;E$28,D$27,E467&lt;E$29,D$28,E467&lt;E$30,D$29,E467&lt;E$31,D$30,E467&lt;E$32,D$31,E467&lt;E$33,D$32,E467&lt;E$34,D$33,E467&lt;E$35,D$34,E467&gt;=E$35,D$35)</f>
        <v/>
      </c>
      <c r="E467" s="38" t="n">
        <v>417</v>
      </c>
      <c r="F467" s="31">
        <f>E467/52</f>
        <v/>
      </c>
      <c r="G467" s="39">
        <f>D467/1000000*52</f>
        <v/>
      </c>
      <c r="H467" s="33">
        <f>G467/$P$4+($C$22/$P$4)</f>
        <v/>
      </c>
      <c r="I467" s="36">
        <f>_xlfn.IFS(K467&lt;K$24,0,K467&lt;K$26,I$24,K467&lt;K$28,I$26,K467&lt;K$30,I$28,K467&lt;K$32,I$30,K467&lt;K$34,I$32,K467&lt;K$36,I$34,K467&lt;K$38,I$36,K467&lt;K$40,I$38,K467&lt;K$42,I$40,K467&lt;K$44,I$42,K467&lt;K$46,I$44,K467&gt;=K$46,I$46)</f>
        <v/>
      </c>
      <c r="J467" s="37">
        <f>_xlfn.IFS(K467&lt;K$24,0,K467&lt;K$25,J$24,K467&lt;K$26,J$25,K467&lt;K$27,J$26,K467&lt;K$28,J$27,K467&lt;K$29,J$28,K467&lt;K$30,J$29,K467&lt;K$31,J$30,K467&lt;K$32,J$31,K467&lt;K$33,J$32,K467&lt;K$34,J$33,K467&lt;K$35,J$34,K467&lt;K$36,J$35,K467&lt;K$37,J$36,K467&lt;K$38,J$37,K467&lt;K$39,J$38,K467&lt;K$40,J$39,K467&lt;K$41,J$40,K467&lt;K$42,J$41,K467&lt;K$43,J$42,K467&lt;K$44,J$43,K467&lt;K$45,J$44,K467&lt;K$46,J$45,K467&lt;K$47,J$46,K467&gt;=K$47,J$47)</f>
        <v/>
      </c>
      <c r="K467" s="38" t="n">
        <v>417</v>
      </c>
      <c r="L467" s="31">
        <f>K467/52</f>
        <v/>
      </c>
      <c r="M467" s="39">
        <f>J467/1000000*52</f>
        <v/>
      </c>
      <c r="N467" s="33">
        <f>M467/$P$4+($I$22/$P$4)</f>
        <v/>
      </c>
      <c r="U467">
        <f>F466</f>
        <v/>
      </c>
      <c r="V467">
        <f>H466</f>
        <v/>
      </c>
      <c r="W467">
        <f>N466</f>
        <v/>
      </c>
    </row>
    <row r="468" ht="15.75" customHeight="1" s="40">
      <c r="C468" s="36">
        <f>_xlfn.IFS(E468&lt;E$24,0,E468&lt;E$26,C$24,E468&lt;E$28,C$26,E468&lt;E$30,C$28,E468&lt;E$32,C$30,E468&lt;E$34,C$32,E468&gt;=E$34,C$34)</f>
        <v/>
      </c>
      <c r="D468" s="37">
        <f>_xlfn.IFS(E468&lt;E$24,0,E468&lt;E$25,D$24,E468&lt;E$26,D$25,E468&lt;E$27,D$26,E468&lt;E$28,D$27,E468&lt;E$29,D$28,E468&lt;E$30,D$29,E468&lt;E$31,D$30,E468&lt;E$32,D$31,E468&lt;E$33,D$32,E468&lt;E$34,D$33,E468&lt;E$35,D$34,E468&gt;=E$35,D$35)</f>
        <v/>
      </c>
      <c r="E468" s="38" t="n">
        <v>418</v>
      </c>
      <c r="F468" s="31">
        <f>E468/52</f>
        <v/>
      </c>
      <c r="G468" s="39">
        <f>D468/1000000*52</f>
        <v/>
      </c>
      <c r="H468" s="33">
        <f>G468/$P$4+($C$22/$P$4)</f>
        <v/>
      </c>
      <c r="I468" s="36">
        <f>_xlfn.IFS(K468&lt;K$24,0,K468&lt;K$26,I$24,K468&lt;K$28,I$26,K468&lt;K$30,I$28,K468&lt;K$32,I$30,K468&lt;K$34,I$32,K468&lt;K$36,I$34,K468&lt;K$38,I$36,K468&lt;K$40,I$38,K468&lt;K$42,I$40,K468&lt;K$44,I$42,K468&lt;K$46,I$44,K468&gt;=K$46,I$46)</f>
        <v/>
      </c>
      <c r="J468" s="37">
        <f>_xlfn.IFS(K468&lt;K$24,0,K468&lt;K$25,J$24,K468&lt;K$26,J$25,K468&lt;K$27,J$26,K468&lt;K$28,J$27,K468&lt;K$29,J$28,K468&lt;K$30,J$29,K468&lt;K$31,J$30,K468&lt;K$32,J$31,K468&lt;K$33,J$32,K468&lt;K$34,J$33,K468&lt;K$35,J$34,K468&lt;K$36,J$35,K468&lt;K$37,J$36,K468&lt;K$38,J$37,K468&lt;K$39,J$38,K468&lt;K$40,J$39,K468&lt;K$41,J$40,K468&lt;K$42,J$41,K468&lt;K$43,J$42,K468&lt;K$44,J$43,K468&lt;K$45,J$44,K468&lt;K$46,J$45,K468&lt;K$47,J$46,K468&gt;=K$47,J$47)</f>
        <v/>
      </c>
      <c r="K468" s="38" t="n">
        <v>418</v>
      </c>
      <c r="L468" s="31">
        <f>K468/52</f>
        <v/>
      </c>
      <c r="M468" s="39">
        <f>J468/1000000*52</f>
        <v/>
      </c>
      <c r="N468" s="33">
        <f>M468/$P$4+($I$22/$P$4)</f>
        <v/>
      </c>
      <c r="U468">
        <f>F467</f>
        <v/>
      </c>
      <c r="V468">
        <f>H467</f>
        <v/>
      </c>
      <c r="W468">
        <f>N467</f>
        <v/>
      </c>
    </row>
    <row r="469" ht="15.75" customHeight="1" s="40">
      <c r="C469" s="36">
        <f>_xlfn.IFS(E469&lt;E$24,0,E469&lt;E$26,C$24,E469&lt;E$28,C$26,E469&lt;E$30,C$28,E469&lt;E$32,C$30,E469&lt;E$34,C$32,E469&gt;=E$34,C$34)</f>
        <v/>
      </c>
      <c r="D469" s="37">
        <f>_xlfn.IFS(E469&lt;E$24,0,E469&lt;E$25,D$24,E469&lt;E$26,D$25,E469&lt;E$27,D$26,E469&lt;E$28,D$27,E469&lt;E$29,D$28,E469&lt;E$30,D$29,E469&lt;E$31,D$30,E469&lt;E$32,D$31,E469&lt;E$33,D$32,E469&lt;E$34,D$33,E469&lt;E$35,D$34,E469&gt;=E$35,D$35)</f>
        <v/>
      </c>
      <c r="E469" s="38" t="n">
        <v>419</v>
      </c>
      <c r="F469" s="31">
        <f>E469/52</f>
        <v/>
      </c>
      <c r="G469" s="39">
        <f>D469/1000000*52</f>
        <v/>
      </c>
      <c r="H469" s="33">
        <f>G469/$P$4+($C$22/$P$4)</f>
        <v/>
      </c>
      <c r="I469" s="36">
        <f>_xlfn.IFS(K469&lt;K$24,0,K469&lt;K$26,I$24,K469&lt;K$28,I$26,K469&lt;K$30,I$28,K469&lt;K$32,I$30,K469&lt;K$34,I$32,K469&lt;K$36,I$34,K469&lt;K$38,I$36,K469&lt;K$40,I$38,K469&lt;K$42,I$40,K469&lt;K$44,I$42,K469&lt;K$46,I$44,K469&gt;=K$46,I$46)</f>
        <v/>
      </c>
      <c r="J469" s="37">
        <f>_xlfn.IFS(K469&lt;K$24,0,K469&lt;K$25,J$24,K469&lt;K$26,J$25,K469&lt;K$27,J$26,K469&lt;K$28,J$27,K469&lt;K$29,J$28,K469&lt;K$30,J$29,K469&lt;K$31,J$30,K469&lt;K$32,J$31,K469&lt;K$33,J$32,K469&lt;K$34,J$33,K469&lt;K$35,J$34,K469&lt;K$36,J$35,K469&lt;K$37,J$36,K469&lt;K$38,J$37,K469&lt;K$39,J$38,K469&lt;K$40,J$39,K469&lt;K$41,J$40,K469&lt;K$42,J$41,K469&lt;K$43,J$42,K469&lt;K$44,J$43,K469&lt;K$45,J$44,K469&lt;K$46,J$45,K469&lt;K$47,J$46,K469&gt;=K$47,J$47)</f>
        <v/>
      </c>
      <c r="K469" s="38" t="n">
        <v>419</v>
      </c>
      <c r="L469" s="31">
        <f>K469/52</f>
        <v/>
      </c>
      <c r="M469" s="39">
        <f>J469/1000000*52</f>
        <v/>
      </c>
      <c r="N469" s="33">
        <f>M469/$P$4+($I$22/$P$4)</f>
        <v/>
      </c>
      <c r="U469">
        <f>F468</f>
        <v/>
      </c>
      <c r="V469">
        <f>H468</f>
        <v/>
      </c>
      <c r="W469">
        <f>N468</f>
        <v/>
      </c>
    </row>
    <row r="470" ht="15.75" customHeight="1" s="40">
      <c r="C470" s="36">
        <f>_xlfn.IFS(E470&lt;E$24,0,E470&lt;E$26,C$24,E470&lt;E$28,C$26,E470&lt;E$30,C$28,E470&lt;E$32,C$30,E470&lt;E$34,C$32,E470&gt;=E$34,C$34)</f>
        <v/>
      </c>
      <c r="D470" s="37">
        <f>_xlfn.IFS(E470&lt;E$24,0,E470&lt;E$25,D$24,E470&lt;E$26,D$25,E470&lt;E$27,D$26,E470&lt;E$28,D$27,E470&lt;E$29,D$28,E470&lt;E$30,D$29,E470&lt;E$31,D$30,E470&lt;E$32,D$31,E470&lt;E$33,D$32,E470&lt;E$34,D$33,E470&lt;E$35,D$34,E470&gt;=E$35,D$35)</f>
        <v/>
      </c>
      <c r="E470" s="38" t="n">
        <v>420</v>
      </c>
      <c r="F470" s="31">
        <f>E470/52</f>
        <v/>
      </c>
      <c r="G470" s="39">
        <f>D470/1000000*52</f>
        <v/>
      </c>
      <c r="H470" s="33">
        <f>G470/$P$4+($C$22/$P$4)</f>
        <v/>
      </c>
      <c r="I470" s="36">
        <f>_xlfn.IFS(K470&lt;K$24,0,K470&lt;K$26,I$24,K470&lt;K$28,I$26,K470&lt;K$30,I$28,K470&lt;K$32,I$30,K470&lt;K$34,I$32,K470&lt;K$36,I$34,K470&lt;K$38,I$36,K470&lt;K$40,I$38,K470&lt;K$42,I$40,K470&lt;K$44,I$42,K470&lt;K$46,I$44,K470&gt;=K$46,I$46)</f>
        <v/>
      </c>
      <c r="J470" s="37">
        <f>_xlfn.IFS(K470&lt;K$24,0,K470&lt;K$25,J$24,K470&lt;K$26,J$25,K470&lt;K$27,J$26,K470&lt;K$28,J$27,K470&lt;K$29,J$28,K470&lt;K$30,J$29,K470&lt;K$31,J$30,K470&lt;K$32,J$31,K470&lt;K$33,J$32,K470&lt;K$34,J$33,K470&lt;K$35,J$34,K470&lt;K$36,J$35,K470&lt;K$37,J$36,K470&lt;K$38,J$37,K470&lt;K$39,J$38,K470&lt;K$40,J$39,K470&lt;K$41,J$40,K470&lt;K$42,J$41,K470&lt;K$43,J$42,K470&lt;K$44,J$43,K470&lt;K$45,J$44,K470&lt;K$46,J$45,K470&lt;K$47,J$46,K470&gt;=K$47,J$47)</f>
        <v/>
      </c>
      <c r="K470" s="38" t="n">
        <v>420</v>
      </c>
      <c r="L470" s="31">
        <f>K470/52</f>
        <v/>
      </c>
      <c r="M470" s="39">
        <f>J470/1000000*52</f>
        <v/>
      </c>
      <c r="N470" s="33">
        <f>M470/$P$4+($I$22/$P$4)</f>
        <v/>
      </c>
      <c r="U470">
        <f>F469</f>
        <v/>
      </c>
      <c r="V470">
        <f>H469</f>
        <v/>
      </c>
      <c r="W470">
        <f>N469</f>
        <v/>
      </c>
    </row>
    <row r="471" ht="15.75" customHeight="1" s="40">
      <c r="C471" s="36">
        <f>_xlfn.IFS(E471&lt;E$24,0,E471&lt;E$26,C$24,E471&lt;E$28,C$26,E471&lt;E$30,C$28,E471&lt;E$32,C$30,E471&lt;E$34,C$32,E471&gt;=E$34,C$34)</f>
        <v/>
      </c>
      <c r="D471" s="37">
        <f>_xlfn.IFS(E471&lt;E$24,0,E471&lt;E$25,D$24,E471&lt;E$26,D$25,E471&lt;E$27,D$26,E471&lt;E$28,D$27,E471&lt;E$29,D$28,E471&lt;E$30,D$29,E471&lt;E$31,D$30,E471&lt;E$32,D$31,E471&lt;E$33,D$32,E471&lt;E$34,D$33,E471&lt;E$35,D$34,E471&gt;=E$35,D$35)</f>
        <v/>
      </c>
      <c r="E471" s="38" t="n">
        <v>421</v>
      </c>
      <c r="F471" s="31">
        <f>E471/52</f>
        <v/>
      </c>
      <c r="G471" s="39">
        <f>D471/1000000*52</f>
        <v/>
      </c>
      <c r="H471" s="33">
        <f>G471/$P$4+($C$22/$P$4)</f>
        <v/>
      </c>
      <c r="I471" s="36">
        <f>_xlfn.IFS(K471&lt;K$24,0,K471&lt;K$26,I$24,K471&lt;K$28,I$26,K471&lt;K$30,I$28,K471&lt;K$32,I$30,K471&lt;K$34,I$32,K471&lt;K$36,I$34,K471&lt;K$38,I$36,K471&lt;K$40,I$38,K471&lt;K$42,I$40,K471&lt;K$44,I$42,K471&lt;K$46,I$44,K471&gt;=K$46,I$46)</f>
        <v/>
      </c>
      <c r="J471" s="37">
        <f>_xlfn.IFS(K471&lt;K$24,0,K471&lt;K$25,J$24,K471&lt;K$26,J$25,K471&lt;K$27,J$26,K471&lt;K$28,J$27,K471&lt;K$29,J$28,K471&lt;K$30,J$29,K471&lt;K$31,J$30,K471&lt;K$32,J$31,K471&lt;K$33,J$32,K471&lt;K$34,J$33,K471&lt;K$35,J$34,K471&lt;K$36,J$35,K471&lt;K$37,J$36,K471&lt;K$38,J$37,K471&lt;K$39,J$38,K471&lt;K$40,J$39,K471&lt;K$41,J$40,K471&lt;K$42,J$41,K471&lt;K$43,J$42,K471&lt;K$44,J$43,K471&lt;K$45,J$44,K471&lt;K$46,J$45,K471&lt;K$47,J$46,K471&gt;=K$47,J$47)</f>
        <v/>
      </c>
      <c r="K471" s="38" t="n">
        <v>421</v>
      </c>
      <c r="L471" s="31">
        <f>K471/52</f>
        <v/>
      </c>
      <c r="M471" s="39">
        <f>J471/1000000*52</f>
        <v/>
      </c>
      <c r="N471" s="33">
        <f>M471/$P$4+($I$22/$P$4)</f>
        <v/>
      </c>
      <c r="U471">
        <f>F470</f>
        <v/>
      </c>
      <c r="V471">
        <f>H470</f>
        <v/>
      </c>
      <c r="W471">
        <f>N470</f>
        <v/>
      </c>
    </row>
    <row r="472" ht="15.75" customHeight="1" s="40">
      <c r="C472" s="36">
        <f>_xlfn.IFS(E472&lt;E$24,0,E472&lt;E$26,C$24,E472&lt;E$28,C$26,E472&lt;E$30,C$28,E472&lt;E$32,C$30,E472&lt;E$34,C$32,E472&gt;=E$34,C$34)</f>
        <v/>
      </c>
      <c r="D472" s="37">
        <f>_xlfn.IFS(E472&lt;E$24,0,E472&lt;E$25,D$24,E472&lt;E$26,D$25,E472&lt;E$27,D$26,E472&lt;E$28,D$27,E472&lt;E$29,D$28,E472&lt;E$30,D$29,E472&lt;E$31,D$30,E472&lt;E$32,D$31,E472&lt;E$33,D$32,E472&lt;E$34,D$33,E472&lt;E$35,D$34,E472&gt;=E$35,D$35)</f>
        <v/>
      </c>
      <c r="E472" s="38" t="n">
        <v>422</v>
      </c>
      <c r="F472" s="31">
        <f>E472/52</f>
        <v/>
      </c>
      <c r="G472" s="39">
        <f>D472/1000000*52</f>
        <v/>
      </c>
      <c r="H472" s="33">
        <f>G472/$P$4+($C$22/$P$4)</f>
        <v/>
      </c>
      <c r="I472" s="36">
        <f>_xlfn.IFS(K472&lt;K$24,0,K472&lt;K$26,I$24,K472&lt;K$28,I$26,K472&lt;K$30,I$28,K472&lt;K$32,I$30,K472&lt;K$34,I$32,K472&lt;K$36,I$34,K472&lt;K$38,I$36,K472&lt;K$40,I$38,K472&lt;K$42,I$40,K472&lt;K$44,I$42,K472&lt;K$46,I$44,K472&gt;=K$46,I$46)</f>
        <v/>
      </c>
      <c r="J472" s="37">
        <f>_xlfn.IFS(K472&lt;K$24,0,K472&lt;K$25,J$24,K472&lt;K$26,J$25,K472&lt;K$27,J$26,K472&lt;K$28,J$27,K472&lt;K$29,J$28,K472&lt;K$30,J$29,K472&lt;K$31,J$30,K472&lt;K$32,J$31,K472&lt;K$33,J$32,K472&lt;K$34,J$33,K472&lt;K$35,J$34,K472&lt;K$36,J$35,K472&lt;K$37,J$36,K472&lt;K$38,J$37,K472&lt;K$39,J$38,K472&lt;K$40,J$39,K472&lt;K$41,J$40,K472&lt;K$42,J$41,K472&lt;K$43,J$42,K472&lt;K$44,J$43,K472&lt;K$45,J$44,K472&lt;K$46,J$45,K472&lt;K$47,J$46,K472&gt;=K$47,J$47)</f>
        <v/>
      </c>
      <c r="K472" s="38" t="n">
        <v>422</v>
      </c>
      <c r="L472" s="31">
        <f>K472/52</f>
        <v/>
      </c>
      <c r="M472" s="39">
        <f>J472/1000000*52</f>
        <v/>
      </c>
      <c r="N472" s="33">
        <f>M472/$P$4+($I$22/$P$4)</f>
        <v/>
      </c>
      <c r="U472">
        <f>F471</f>
        <v/>
      </c>
      <c r="V472">
        <f>H471</f>
        <v/>
      </c>
      <c r="W472">
        <f>N471</f>
        <v/>
      </c>
    </row>
    <row r="473" ht="15.75" customHeight="1" s="40">
      <c r="C473" s="36">
        <f>_xlfn.IFS(E473&lt;E$24,0,E473&lt;E$26,C$24,E473&lt;E$28,C$26,E473&lt;E$30,C$28,E473&lt;E$32,C$30,E473&lt;E$34,C$32,E473&gt;=E$34,C$34)</f>
        <v/>
      </c>
      <c r="D473" s="37">
        <f>_xlfn.IFS(E473&lt;E$24,0,E473&lt;E$25,D$24,E473&lt;E$26,D$25,E473&lt;E$27,D$26,E473&lt;E$28,D$27,E473&lt;E$29,D$28,E473&lt;E$30,D$29,E473&lt;E$31,D$30,E473&lt;E$32,D$31,E473&lt;E$33,D$32,E473&lt;E$34,D$33,E473&lt;E$35,D$34,E473&gt;=E$35,D$35)</f>
        <v/>
      </c>
      <c r="E473" s="38" t="n">
        <v>423</v>
      </c>
      <c r="F473" s="31">
        <f>E473/52</f>
        <v/>
      </c>
      <c r="G473" s="39">
        <f>D473/1000000*52</f>
        <v/>
      </c>
      <c r="H473" s="33">
        <f>G473/$P$4+($C$22/$P$4)</f>
        <v/>
      </c>
      <c r="I473" s="36">
        <f>_xlfn.IFS(K473&lt;K$24,0,K473&lt;K$26,I$24,K473&lt;K$28,I$26,K473&lt;K$30,I$28,K473&lt;K$32,I$30,K473&lt;K$34,I$32,K473&lt;K$36,I$34,K473&lt;K$38,I$36,K473&lt;K$40,I$38,K473&lt;K$42,I$40,K473&lt;K$44,I$42,K473&lt;K$46,I$44,K473&gt;=K$46,I$46)</f>
        <v/>
      </c>
      <c r="J473" s="37">
        <f>_xlfn.IFS(K473&lt;K$24,0,K473&lt;K$25,J$24,K473&lt;K$26,J$25,K473&lt;K$27,J$26,K473&lt;K$28,J$27,K473&lt;K$29,J$28,K473&lt;K$30,J$29,K473&lt;K$31,J$30,K473&lt;K$32,J$31,K473&lt;K$33,J$32,K473&lt;K$34,J$33,K473&lt;K$35,J$34,K473&lt;K$36,J$35,K473&lt;K$37,J$36,K473&lt;K$38,J$37,K473&lt;K$39,J$38,K473&lt;K$40,J$39,K473&lt;K$41,J$40,K473&lt;K$42,J$41,K473&lt;K$43,J$42,K473&lt;K$44,J$43,K473&lt;K$45,J$44,K473&lt;K$46,J$45,K473&lt;K$47,J$46,K473&gt;=K$47,J$47)</f>
        <v/>
      </c>
      <c r="K473" s="38" t="n">
        <v>423</v>
      </c>
      <c r="L473" s="31">
        <f>K473/52</f>
        <v/>
      </c>
      <c r="M473" s="39">
        <f>J473/1000000*52</f>
        <v/>
      </c>
      <c r="N473" s="33">
        <f>M473/$P$4+($I$22/$P$4)</f>
        <v/>
      </c>
      <c r="U473">
        <f>F472</f>
        <v/>
      </c>
      <c r="V473">
        <f>H472</f>
        <v/>
      </c>
      <c r="W473">
        <f>N472</f>
        <v/>
      </c>
    </row>
    <row r="474" ht="15.75" customHeight="1" s="40">
      <c r="C474" s="36">
        <f>_xlfn.IFS(E474&lt;E$24,0,E474&lt;E$26,C$24,E474&lt;E$28,C$26,E474&lt;E$30,C$28,E474&lt;E$32,C$30,E474&lt;E$34,C$32,E474&gt;=E$34,C$34)</f>
        <v/>
      </c>
      <c r="D474" s="37">
        <f>_xlfn.IFS(E474&lt;E$24,0,E474&lt;E$25,D$24,E474&lt;E$26,D$25,E474&lt;E$27,D$26,E474&lt;E$28,D$27,E474&lt;E$29,D$28,E474&lt;E$30,D$29,E474&lt;E$31,D$30,E474&lt;E$32,D$31,E474&lt;E$33,D$32,E474&lt;E$34,D$33,E474&lt;E$35,D$34,E474&gt;=E$35,D$35)</f>
        <v/>
      </c>
      <c r="E474" s="38" t="n">
        <v>424</v>
      </c>
      <c r="F474" s="31">
        <f>E474/52</f>
        <v/>
      </c>
      <c r="G474" s="39">
        <f>D474/1000000*52</f>
        <v/>
      </c>
      <c r="H474" s="33">
        <f>G474/$P$4+($C$22/$P$4)</f>
        <v/>
      </c>
      <c r="I474" s="36">
        <f>_xlfn.IFS(K474&lt;K$24,0,K474&lt;K$26,I$24,K474&lt;K$28,I$26,K474&lt;K$30,I$28,K474&lt;K$32,I$30,K474&lt;K$34,I$32,K474&lt;K$36,I$34,K474&lt;K$38,I$36,K474&lt;K$40,I$38,K474&lt;K$42,I$40,K474&lt;K$44,I$42,K474&lt;K$46,I$44,K474&gt;=K$46,I$46)</f>
        <v/>
      </c>
      <c r="J474" s="37">
        <f>_xlfn.IFS(K474&lt;K$24,0,K474&lt;K$25,J$24,K474&lt;K$26,J$25,K474&lt;K$27,J$26,K474&lt;K$28,J$27,K474&lt;K$29,J$28,K474&lt;K$30,J$29,K474&lt;K$31,J$30,K474&lt;K$32,J$31,K474&lt;K$33,J$32,K474&lt;K$34,J$33,K474&lt;K$35,J$34,K474&lt;K$36,J$35,K474&lt;K$37,J$36,K474&lt;K$38,J$37,K474&lt;K$39,J$38,K474&lt;K$40,J$39,K474&lt;K$41,J$40,K474&lt;K$42,J$41,K474&lt;K$43,J$42,K474&lt;K$44,J$43,K474&lt;K$45,J$44,K474&lt;K$46,J$45,K474&lt;K$47,J$46,K474&gt;=K$47,J$47)</f>
        <v/>
      </c>
      <c r="K474" s="38" t="n">
        <v>424</v>
      </c>
      <c r="L474" s="31">
        <f>K474/52</f>
        <v/>
      </c>
      <c r="M474" s="39">
        <f>J474/1000000*52</f>
        <v/>
      </c>
      <c r="N474" s="33">
        <f>M474/$P$4+($I$22/$P$4)</f>
        <v/>
      </c>
      <c r="U474">
        <f>F473</f>
        <v/>
      </c>
      <c r="V474">
        <f>H473</f>
        <v/>
      </c>
      <c r="W474">
        <f>N473</f>
        <v/>
      </c>
    </row>
    <row r="475" ht="15.75" customHeight="1" s="40">
      <c r="C475" s="36">
        <f>_xlfn.IFS(E475&lt;E$24,0,E475&lt;E$26,C$24,E475&lt;E$28,C$26,E475&lt;E$30,C$28,E475&lt;E$32,C$30,E475&lt;E$34,C$32,E475&gt;=E$34,C$34)</f>
        <v/>
      </c>
      <c r="D475" s="37">
        <f>_xlfn.IFS(E475&lt;E$24,0,E475&lt;E$25,D$24,E475&lt;E$26,D$25,E475&lt;E$27,D$26,E475&lt;E$28,D$27,E475&lt;E$29,D$28,E475&lt;E$30,D$29,E475&lt;E$31,D$30,E475&lt;E$32,D$31,E475&lt;E$33,D$32,E475&lt;E$34,D$33,E475&lt;E$35,D$34,E475&gt;=E$35,D$35)</f>
        <v/>
      </c>
      <c r="E475" s="38" t="n">
        <v>425</v>
      </c>
      <c r="F475" s="31">
        <f>E475/52</f>
        <v/>
      </c>
      <c r="G475" s="39">
        <f>D475/1000000*52</f>
        <v/>
      </c>
      <c r="H475" s="33">
        <f>G475/$P$4+($C$22/$P$4)</f>
        <v/>
      </c>
      <c r="I475" s="36">
        <f>_xlfn.IFS(K475&lt;K$24,0,K475&lt;K$26,I$24,K475&lt;K$28,I$26,K475&lt;K$30,I$28,K475&lt;K$32,I$30,K475&lt;K$34,I$32,K475&lt;K$36,I$34,K475&lt;K$38,I$36,K475&lt;K$40,I$38,K475&lt;K$42,I$40,K475&lt;K$44,I$42,K475&lt;K$46,I$44,K475&gt;=K$46,I$46)</f>
        <v/>
      </c>
      <c r="J475" s="37">
        <f>_xlfn.IFS(K475&lt;K$24,0,K475&lt;K$25,J$24,K475&lt;K$26,J$25,K475&lt;K$27,J$26,K475&lt;K$28,J$27,K475&lt;K$29,J$28,K475&lt;K$30,J$29,K475&lt;K$31,J$30,K475&lt;K$32,J$31,K475&lt;K$33,J$32,K475&lt;K$34,J$33,K475&lt;K$35,J$34,K475&lt;K$36,J$35,K475&lt;K$37,J$36,K475&lt;K$38,J$37,K475&lt;K$39,J$38,K475&lt;K$40,J$39,K475&lt;K$41,J$40,K475&lt;K$42,J$41,K475&lt;K$43,J$42,K475&lt;K$44,J$43,K475&lt;K$45,J$44,K475&lt;K$46,J$45,K475&lt;K$47,J$46,K475&gt;=K$47,J$47)</f>
        <v/>
      </c>
      <c r="K475" s="38" t="n">
        <v>425</v>
      </c>
      <c r="L475" s="31">
        <f>K475/52</f>
        <v/>
      </c>
      <c r="M475" s="39">
        <f>J475/1000000*52</f>
        <v/>
      </c>
      <c r="N475" s="33">
        <f>M475/$P$4+($I$22/$P$4)</f>
        <v/>
      </c>
      <c r="U475">
        <f>F474</f>
        <v/>
      </c>
      <c r="V475">
        <f>H474</f>
        <v/>
      </c>
      <c r="W475">
        <f>N474</f>
        <v/>
      </c>
    </row>
    <row r="476" ht="15.75" customHeight="1" s="40">
      <c r="C476" s="36">
        <f>_xlfn.IFS(E476&lt;E$24,0,E476&lt;E$26,C$24,E476&lt;E$28,C$26,E476&lt;E$30,C$28,E476&lt;E$32,C$30,E476&lt;E$34,C$32,E476&gt;=E$34,C$34)</f>
        <v/>
      </c>
      <c r="D476" s="37">
        <f>_xlfn.IFS(E476&lt;E$24,0,E476&lt;E$25,D$24,E476&lt;E$26,D$25,E476&lt;E$27,D$26,E476&lt;E$28,D$27,E476&lt;E$29,D$28,E476&lt;E$30,D$29,E476&lt;E$31,D$30,E476&lt;E$32,D$31,E476&lt;E$33,D$32,E476&lt;E$34,D$33,E476&lt;E$35,D$34,E476&gt;=E$35,D$35)</f>
        <v/>
      </c>
      <c r="E476" s="38" t="n">
        <v>426</v>
      </c>
      <c r="F476" s="31">
        <f>E476/52</f>
        <v/>
      </c>
      <c r="G476" s="39">
        <f>D476/1000000*52</f>
        <v/>
      </c>
      <c r="H476" s="33">
        <f>G476/$P$4+($C$22/$P$4)</f>
        <v/>
      </c>
      <c r="I476" s="36">
        <f>_xlfn.IFS(K476&lt;K$24,0,K476&lt;K$26,I$24,K476&lt;K$28,I$26,K476&lt;K$30,I$28,K476&lt;K$32,I$30,K476&lt;K$34,I$32,K476&lt;K$36,I$34,K476&lt;K$38,I$36,K476&lt;K$40,I$38,K476&lt;K$42,I$40,K476&lt;K$44,I$42,K476&lt;K$46,I$44,K476&gt;=K$46,I$46)</f>
        <v/>
      </c>
      <c r="J476" s="37">
        <f>_xlfn.IFS(K476&lt;K$24,0,K476&lt;K$25,J$24,K476&lt;K$26,J$25,K476&lt;K$27,J$26,K476&lt;K$28,J$27,K476&lt;K$29,J$28,K476&lt;K$30,J$29,K476&lt;K$31,J$30,K476&lt;K$32,J$31,K476&lt;K$33,J$32,K476&lt;K$34,J$33,K476&lt;K$35,J$34,K476&lt;K$36,J$35,K476&lt;K$37,J$36,K476&lt;K$38,J$37,K476&lt;K$39,J$38,K476&lt;K$40,J$39,K476&lt;K$41,J$40,K476&lt;K$42,J$41,K476&lt;K$43,J$42,K476&lt;K$44,J$43,K476&lt;K$45,J$44,K476&lt;K$46,J$45,K476&lt;K$47,J$46,K476&gt;=K$47,J$47)</f>
        <v/>
      </c>
      <c r="K476" s="38" t="n">
        <v>426</v>
      </c>
      <c r="L476" s="31">
        <f>K476/52</f>
        <v/>
      </c>
      <c r="M476" s="39">
        <f>J476/1000000*52</f>
        <v/>
      </c>
      <c r="N476" s="33">
        <f>M476/$P$4+($I$22/$P$4)</f>
        <v/>
      </c>
      <c r="U476">
        <f>F475</f>
        <v/>
      </c>
      <c r="V476">
        <f>H475</f>
        <v/>
      </c>
      <c r="W476">
        <f>N475</f>
        <v/>
      </c>
    </row>
    <row r="477" ht="15.75" customHeight="1" s="40">
      <c r="C477" s="36">
        <f>_xlfn.IFS(E477&lt;E$24,0,E477&lt;E$26,C$24,E477&lt;E$28,C$26,E477&lt;E$30,C$28,E477&lt;E$32,C$30,E477&lt;E$34,C$32,E477&gt;=E$34,C$34)</f>
        <v/>
      </c>
      <c r="D477" s="37">
        <f>_xlfn.IFS(E477&lt;E$24,0,E477&lt;E$25,D$24,E477&lt;E$26,D$25,E477&lt;E$27,D$26,E477&lt;E$28,D$27,E477&lt;E$29,D$28,E477&lt;E$30,D$29,E477&lt;E$31,D$30,E477&lt;E$32,D$31,E477&lt;E$33,D$32,E477&lt;E$34,D$33,E477&lt;E$35,D$34,E477&gt;=E$35,D$35)</f>
        <v/>
      </c>
      <c r="E477" s="38" t="n">
        <v>427</v>
      </c>
      <c r="F477" s="31">
        <f>E477/52</f>
        <v/>
      </c>
      <c r="G477" s="39">
        <f>D477/1000000*52</f>
        <v/>
      </c>
      <c r="H477" s="33">
        <f>G477/$P$4+($C$22/$P$4)</f>
        <v/>
      </c>
      <c r="I477" s="36">
        <f>_xlfn.IFS(K477&lt;K$24,0,K477&lt;K$26,I$24,K477&lt;K$28,I$26,K477&lt;K$30,I$28,K477&lt;K$32,I$30,K477&lt;K$34,I$32,K477&lt;K$36,I$34,K477&lt;K$38,I$36,K477&lt;K$40,I$38,K477&lt;K$42,I$40,K477&lt;K$44,I$42,K477&lt;K$46,I$44,K477&gt;=K$46,I$46)</f>
        <v/>
      </c>
      <c r="J477" s="37">
        <f>_xlfn.IFS(K477&lt;K$24,0,K477&lt;K$25,J$24,K477&lt;K$26,J$25,K477&lt;K$27,J$26,K477&lt;K$28,J$27,K477&lt;K$29,J$28,K477&lt;K$30,J$29,K477&lt;K$31,J$30,K477&lt;K$32,J$31,K477&lt;K$33,J$32,K477&lt;K$34,J$33,K477&lt;K$35,J$34,K477&lt;K$36,J$35,K477&lt;K$37,J$36,K477&lt;K$38,J$37,K477&lt;K$39,J$38,K477&lt;K$40,J$39,K477&lt;K$41,J$40,K477&lt;K$42,J$41,K477&lt;K$43,J$42,K477&lt;K$44,J$43,K477&lt;K$45,J$44,K477&lt;K$46,J$45,K477&lt;K$47,J$46,K477&gt;=K$47,J$47)</f>
        <v/>
      </c>
      <c r="K477" s="38" t="n">
        <v>427</v>
      </c>
      <c r="L477" s="31">
        <f>K477/52</f>
        <v/>
      </c>
      <c r="M477" s="39">
        <f>J477/1000000*52</f>
        <v/>
      </c>
      <c r="N477" s="33">
        <f>M477/$P$4+($I$22/$P$4)</f>
        <v/>
      </c>
      <c r="U477">
        <f>F476</f>
        <v/>
      </c>
      <c r="V477">
        <f>H476</f>
        <v/>
      </c>
      <c r="W477">
        <f>N476</f>
        <v/>
      </c>
    </row>
    <row r="478" ht="15.75" customHeight="1" s="40">
      <c r="C478" s="36">
        <f>_xlfn.IFS(E478&lt;E$24,0,E478&lt;E$26,C$24,E478&lt;E$28,C$26,E478&lt;E$30,C$28,E478&lt;E$32,C$30,E478&lt;E$34,C$32,E478&gt;=E$34,C$34)</f>
        <v/>
      </c>
      <c r="D478" s="37">
        <f>_xlfn.IFS(E478&lt;E$24,0,E478&lt;E$25,D$24,E478&lt;E$26,D$25,E478&lt;E$27,D$26,E478&lt;E$28,D$27,E478&lt;E$29,D$28,E478&lt;E$30,D$29,E478&lt;E$31,D$30,E478&lt;E$32,D$31,E478&lt;E$33,D$32,E478&lt;E$34,D$33,E478&lt;E$35,D$34,E478&gt;=E$35,D$35)</f>
        <v/>
      </c>
      <c r="E478" s="38" t="n">
        <v>428</v>
      </c>
      <c r="F478" s="31">
        <f>E478/52</f>
        <v/>
      </c>
      <c r="G478" s="39">
        <f>D478/1000000*52</f>
        <v/>
      </c>
      <c r="H478" s="33">
        <f>G478/$P$4+($C$22/$P$4)</f>
        <v/>
      </c>
      <c r="I478" s="36">
        <f>_xlfn.IFS(K478&lt;K$24,0,K478&lt;K$26,I$24,K478&lt;K$28,I$26,K478&lt;K$30,I$28,K478&lt;K$32,I$30,K478&lt;K$34,I$32,K478&lt;K$36,I$34,K478&lt;K$38,I$36,K478&lt;K$40,I$38,K478&lt;K$42,I$40,K478&lt;K$44,I$42,K478&lt;K$46,I$44,K478&gt;=K$46,I$46)</f>
        <v/>
      </c>
      <c r="J478" s="37">
        <f>_xlfn.IFS(K478&lt;K$24,0,K478&lt;K$25,J$24,K478&lt;K$26,J$25,K478&lt;K$27,J$26,K478&lt;K$28,J$27,K478&lt;K$29,J$28,K478&lt;K$30,J$29,K478&lt;K$31,J$30,K478&lt;K$32,J$31,K478&lt;K$33,J$32,K478&lt;K$34,J$33,K478&lt;K$35,J$34,K478&lt;K$36,J$35,K478&lt;K$37,J$36,K478&lt;K$38,J$37,K478&lt;K$39,J$38,K478&lt;K$40,J$39,K478&lt;K$41,J$40,K478&lt;K$42,J$41,K478&lt;K$43,J$42,K478&lt;K$44,J$43,K478&lt;K$45,J$44,K478&lt;K$46,J$45,K478&lt;K$47,J$46,K478&gt;=K$47,J$47)</f>
        <v/>
      </c>
      <c r="K478" s="38" t="n">
        <v>428</v>
      </c>
      <c r="L478" s="31">
        <f>K478/52</f>
        <v/>
      </c>
      <c r="M478" s="39">
        <f>J478/1000000*52</f>
        <v/>
      </c>
      <c r="N478" s="33">
        <f>M478/$P$4+($I$22/$P$4)</f>
        <v/>
      </c>
      <c r="U478">
        <f>F477</f>
        <v/>
      </c>
      <c r="V478">
        <f>H477</f>
        <v/>
      </c>
      <c r="W478">
        <f>N477</f>
        <v/>
      </c>
    </row>
    <row r="479" ht="15.75" customHeight="1" s="40">
      <c r="C479" s="36">
        <f>_xlfn.IFS(E479&lt;E$24,0,E479&lt;E$26,C$24,E479&lt;E$28,C$26,E479&lt;E$30,C$28,E479&lt;E$32,C$30,E479&lt;E$34,C$32,E479&gt;=E$34,C$34)</f>
        <v/>
      </c>
      <c r="D479" s="37">
        <f>_xlfn.IFS(E479&lt;E$24,0,E479&lt;E$25,D$24,E479&lt;E$26,D$25,E479&lt;E$27,D$26,E479&lt;E$28,D$27,E479&lt;E$29,D$28,E479&lt;E$30,D$29,E479&lt;E$31,D$30,E479&lt;E$32,D$31,E479&lt;E$33,D$32,E479&lt;E$34,D$33,E479&lt;E$35,D$34,E479&gt;=E$35,D$35)</f>
        <v/>
      </c>
      <c r="E479" s="38" t="n">
        <v>429</v>
      </c>
      <c r="F479" s="31">
        <f>E479/52</f>
        <v/>
      </c>
      <c r="G479" s="39">
        <f>D479/1000000*52</f>
        <v/>
      </c>
      <c r="H479" s="33">
        <f>G479/$P$4+($C$22/$P$4)</f>
        <v/>
      </c>
      <c r="I479" s="36">
        <f>_xlfn.IFS(K479&lt;K$24,0,K479&lt;K$26,I$24,K479&lt;K$28,I$26,K479&lt;K$30,I$28,K479&lt;K$32,I$30,K479&lt;K$34,I$32,K479&lt;K$36,I$34,K479&lt;K$38,I$36,K479&lt;K$40,I$38,K479&lt;K$42,I$40,K479&lt;K$44,I$42,K479&lt;K$46,I$44,K479&gt;=K$46,I$46)</f>
        <v/>
      </c>
      <c r="J479" s="37">
        <f>_xlfn.IFS(K479&lt;K$24,0,K479&lt;K$25,J$24,K479&lt;K$26,J$25,K479&lt;K$27,J$26,K479&lt;K$28,J$27,K479&lt;K$29,J$28,K479&lt;K$30,J$29,K479&lt;K$31,J$30,K479&lt;K$32,J$31,K479&lt;K$33,J$32,K479&lt;K$34,J$33,K479&lt;K$35,J$34,K479&lt;K$36,J$35,K479&lt;K$37,J$36,K479&lt;K$38,J$37,K479&lt;K$39,J$38,K479&lt;K$40,J$39,K479&lt;K$41,J$40,K479&lt;K$42,J$41,K479&lt;K$43,J$42,K479&lt;K$44,J$43,K479&lt;K$45,J$44,K479&lt;K$46,J$45,K479&lt;K$47,J$46,K479&gt;=K$47,J$47)</f>
        <v/>
      </c>
      <c r="K479" s="38" t="n">
        <v>429</v>
      </c>
      <c r="L479" s="31">
        <f>K479/52</f>
        <v/>
      </c>
      <c r="M479" s="39">
        <f>J479/1000000*52</f>
        <v/>
      </c>
      <c r="N479" s="33">
        <f>M479/$P$4+($I$22/$P$4)</f>
        <v/>
      </c>
      <c r="U479">
        <f>F478</f>
        <v/>
      </c>
      <c r="V479">
        <f>H478</f>
        <v/>
      </c>
      <c r="W479">
        <f>N478</f>
        <v/>
      </c>
    </row>
    <row r="480" ht="15.75" customHeight="1" s="40">
      <c r="C480" s="36">
        <f>_xlfn.IFS(E480&lt;E$24,0,E480&lt;E$26,C$24,E480&lt;E$28,C$26,E480&lt;E$30,C$28,E480&lt;E$32,C$30,E480&lt;E$34,C$32,E480&gt;=E$34,C$34)</f>
        <v/>
      </c>
      <c r="D480" s="37">
        <f>_xlfn.IFS(E480&lt;E$24,0,E480&lt;E$25,D$24,E480&lt;E$26,D$25,E480&lt;E$27,D$26,E480&lt;E$28,D$27,E480&lt;E$29,D$28,E480&lt;E$30,D$29,E480&lt;E$31,D$30,E480&lt;E$32,D$31,E480&lt;E$33,D$32,E480&lt;E$34,D$33,E480&lt;E$35,D$34,E480&gt;=E$35,D$35)</f>
        <v/>
      </c>
      <c r="E480" s="38" t="n">
        <v>430</v>
      </c>
      <c r="F480" s="31">
        <f>E480/52</f>
        <v/>
      </c>
      <c r="G480" s="39">
        <f>D480/1000000*52</f>
        <v/>
      </c>
      <c r="H480" s="33">
        <f>G480/$P$4+($C$22/$P$4)</f>
        <v/>
      </c>
      <c r="I480" s="36">
        <f>_xlfn.IFS(K480&lt;K$24,0,K480&lt;K$26,I$24,K480&lt;K$28,I$26,K480&lt;K$30,I$28,K480&lt;K$32,I$30,K480&lt;K$34,I$32,K480&lt;K$36,I$34,K480&lt;K$38,I$36,K480&lt;K$40,I$38,K480&lt;K$42,I$40,K480&lt;K$44,I$42,K480&lt;K$46,I$44,K480&gt;=K$46,I$46)</f>
        <v/>
      </c>
      <c r="J480" s="37">
        <f>_xlfn.IFS(K480&lt;K$24,0,K480&lt;K$25,J$24,K480&lt;K$26,J$25,K480&lt;K$27,J$26,K480&lt;K$28,J$27,K480&lt;K$29,J$28,K480&lt;K$30,J$29,K480&lt;K$31,J$30,K480&lt;K$32,J$31,K480&lt;K$33,J$32,K480&lt;K$34,J$33,K480&lt;K$35,J$34,K480&lt;K$36,J$35,K480&lt;K$37,J$36,K480&lt;K$38,J$37,K480&lt;K$39,J$38,K480&lt;K$40,J$39,K480&lt;K$41,J$40,K480&lt;K$42,J$41,K480&lt;K$43,J$42,K480&lt;K$44,J$43,K480&lt;K$45,J$44,K480&lt;K$46,J$45,K480&lt;K$47,J$46,K480&gt;=K$47,J$47)</f>
        <v/>
      </c>
      <c r="K480" s="38" t="n">
        <v>430</v>
      </c>
      <c r="L480" s="31">
        <f>K480/52</f>
        <v/>
      </c>
      <c r="M480" s="39">
        <f>J480/1000000*52</f>
        <v/>
      </c>
      <c r="N480" s="33">
        <f>M480/$P$4+($I$22/$P$4)</f>
        <v/>
      </c>
      <c r="U480">
        <f>F479</f>
        <v/>
      </c>
      <c r="V480">
        <f>H479</f>
        <v/>
      </c>
      <c r="W480">
        <f>N479</f>
        <v/>
      </c>
    </row>
    <row r="481" ht="15.75" customHeight="1" s="40">
      <c r="C481" s="36">
        <f>_xlfn.IFS(E481&lt;E$24,0,E481&lt;E$26,C$24,E481&lt;E$28,C$26,E481&lt;E$30,C$28,E481&lt;E$32,C$30,E481&lt;E$34,C$32,E481&gt;=E$34,C$34)</f>
        <v/>
      </c>
      <c r="D481" s="37">
        <f>_xlfn.IFS(E481&lt;E$24,0,E481&lt;E$25,D$24,E481&lt;E$26,D$25,E481&lt;E$27,D$26,E481&lt;E$28,D$27,E481&lt;E$29,D$28,E481&lt;E$30,D$29,E481&lt;E$31,D$30,E481&lt;E$32,D$31,E481&lt;E$33,D$32,E481&lt;E$34,D$33,E481&lt;E$35,D$34,E481&gt;=E$35,D$35)</f>
        <v/>
      </c>
      <c r="E481" s="38" t="n">
        <v>431</v>
      </c>
      <c r="F481" s="31">
        <f>E481/52</f>
        <v/>
      </c>
      <c r="G481" s="39">
        <f>D481/1000000*52</f>
        <v/>
      </c>
      <c r="H481" s="33">
        <f>G481/$P$4+($C$22/$P$4)</f>
        <v/>
      </c>
      <c r="I481" s="36">
        <f>_xlfn.IFS(K481&lt;K$24,0,K481&lt;K$26,I$24,K481&lt;K$28,I$26,K481&lt;K$30,I$28,K481&lt;K$32,I$30,K481&lt;K$34,I$32,K481&lt;K$36,I$34,K481&lt;K$38,I$36,K481&lt;K$40,I$38,K481&lt;K$42,I$40,K481&lt;K$44,I$42,K481&lt;K$46,I$44,K481&gt;=K$46,I$46)</f>
        <v/>
      </c>
      <c r="J481" s="37">
        <f>_xlfn.IFS(K481&lt;K$24,0,K481&lt;K$25,J$24,K481&lt;K$26,J$25,K481&lt;K$27,J$26,K481&lt;K$28,J$27,K481&lt;K$29,J$28,K481&lt;K$30,J$29,K481&lt;K$31,J$30,K481&lt;K$32,J$31,K481&lt;K$33,J$32,K481&lt;K$34,J$33,K481&lt;K$35,J$34,K481&lt;K$36,J$35,K481&lt;K$37,J$36,K481&lt;K$38,J$37,K481&lt;K$39,J$38,K481&lt;K$40,J$39,K481&lt;K$41,J$40,K481&lt;K$42,J$41,K481&lt;K$43,J$42,K481&lt;K$44,J$43,K481&lt;K$45,J$44,K481&lt;K$46,J$45,K481&lt;K$47,J$46,K481&gt;=K$47,J$47)</f>
        <v/>
      </c>
      <c r="K481" s="38" t="n">
        <v>431</v>
      </c>
      <c r="L481" s="31">
        <f>K481/52</f>
        <v/>
      </c>
      <c r="M481" s="39">
        <f>J481/1000000*52</f>
        <v/>
      </c>
      <c r="N481" s="33">
        <f>M481/$P$4+($I$22/$P$4)</f>
        <v/>
      </c>
      <c r="U481">
        <f>F480</f>
        <v/>
      </c>
      <c r="V481">
        <f>H480</f>
        <v/>
      </c>
      <c r="W481">
        <f>N480</f>
        <v/>
      </c>
    </row>
    <row r="482" ht="15.75" customHeight="1" s="40">
      <c r="C482" s="36">
        <f>_xlfn.IFS(E482&lt;E$24,0,E482&lt;E$26,C$24,E482&lt;E$28,C$26,E482&lt;E$30,C$28,E482&lt;E$32,C$30,E482&lt;E$34,C$32,E482&gt;=E$34,C$34)</f>
        <v/>
      </c>
      <c r="D482" s="37">
        <f>_xlfn.IFS(E482&lt;E$24,0,E482&lt;E$25,D$24,E482&lt;E$26,D$25,E482&lt;E$27,D$26,E482&lt;E$28,D$27,E482&lt;E$29,D$28,E482&lt;E$30,D$29,E482&lt;E$31,D$30,E482&lt;E$32,D$31,E482&lt;E$33,D$32,E482&lt;E$34,D$33,E482&lt;E$35,D$34,E482&gt;=E$35,D$35)</f>
        <v/>
      </c>
      <c r="E482" s="38" t="n">
        <v>432</v>
      </c>
      <c r="F482" s="31">
        <f>E482/52</f>
        <v/>
      </c>
      <c r="G482" s="39">
        <f>D482/1000000*52</f>
        <v/>
      </c>
      <c r="H482" s="33">
        <f>G482/$P$4+($C$22/$P$4)</f>
        <v/>
      </c>
      <c r="I482" s="36">
        <f>_xlfn.IFS(K482&lt;K$24,0,K482&lt;K$26,I$24,K482&lt;K$28,I$26,K482&lt;K$30,I$28,K482&lt;K$32,I$30,K482&lt;K$34,I$32,K482&lt;K$36,I$34,K482&lt;K$38,I$36,K482&lt;K$40,I$38,K482&lt;K$42,I$40,K482&lt;K$44,I$42,K482&lt;K$46,I$44,K482&gt;=K$46,I$46)</f>
        <v/>
      </c>
      <c r="J482" s="37">
        <f>_xlfn.IFS(K482&lt;K$24,0,K482&lt;K$25,J$24,K482&lt;K$26,J$25,K482&lt;K$27,J$26,K482&lt;K$28,J$27,K482&lt;K$29,J$28,K482&lt;K$30,J$29,K482&lt;K$31,J$30,K482&lt;K$32,J$31,K482&lt;K$33,J$32,K482&lt;K$34,J$33,K482&lt;K$35,J$34,K482&lt;K$36,J$35,K482&lt;K$37,J$36,K482&lt;K$38,J$37,K482&lt;K$39,J$38,K482&lt;K$40,J$39,K482&lt;K$41,J$40,K482&lt;K$42,J$41,K482&lt;K$43,J$42,K482&lt;K$44,J$43,K482&lt;K$45,J$44,K482&lt;K$46,J$45,K482&lt;K$47,J$46,K482&gt;=K$47,J$47)</f>
        <v/>
      </c>
      <c r="K482" s="38" t="n">
        <v>432</v>
      </c>
      <c r="L482" s="31">
        <f>K482/52</f>
        <v/>
      </c>
      <c r="M482" s="39">
        <f>J482/1000000*52</f>
        <v/>
      </c>
      <c r="N482" s="33">
        <f>M482/$P$4+($I$22/$P$4)</f>
        <v/>
      </c>
      <c r="U482">
        <f>F481</f>
        <v/>
      </c>
      <c r="V482">
        <f>H481</f>
        <v/>
      </c>
      <c r="W482">
        <f>N481</f>
        <v/>
      </c>
    </row>
    <row r="483" ht="15.75" customHeight="1" s="40">
      <c r="C483" s="36">
        <f>_xlfn.IFS(E483&lt;E$24,0,E483&lt;E$26,C$24,E483&lt;E$28,C$26,E483&lt;E$30,C$28,E483&lt;E$32,C$30,E483&lt;E$34,C$32,E483&gt;=E$34,C$34)</f>
        <v/>
      </c>
      <c r="D483" s="37">
        <f>_xlfn.IFS(E483&lt;E$24,0,E483&lt;E$25,D$24,E483&lt;E$26,D$25,E483&lt;E$27,D$26,E483&lt;E$28,D$27,E483&lt;E$29,D$28,E483&lt;E$30,D$29,E483&lt;E$31,D$30,E483&lt;E$32,D$31,E483&lt;E$33,D$32,E483&lt;E$34,D$33,E483&lt;E$35,D$34,E483&gt;=E$35,D$35)</f>
        <v/>
      </c>
      <c r="E483" s="38" t="n">
        <v>433</v>
      </c>
      <c r="F483" s="31">
        <f>E483/52</f>
        <v/>
      </c>
      <c r="G483" s="39">
        <f>D483/1000000*52</f>
        <v/>
      </c>
      <c r="H483" s="33">
        <f>G483/$P$4+($C$22/$P$4)</f>
        <v/>
      </c>
      <c r="I483" s="36">
        <f>_xlfn.IFS(K483&lt;K$24,0,K483&lt;K$26,I$24,K483&lt;K$28,I$26,K483&lt;K$30,I$28,K483&lt;K$32,I$30,K483&lt;K$34,I$32,K483&lt;K$36,I$34,K483&lt;K$38,I$36,K483&lt;K$40,I$38,K483&lt;K$42,I$40,K483&lt;K$44,I$42,K483&lt;K$46,I$44,K483&gt;=K$46,I$46)</f>
        <v/>
      </c>
      <c r="J483" s="37">
        <f>_xlfn.IFS(K483&lt;K$24,0,K483&lt;K$25,J$24,K483&lt;K$26,J$25,K483&lt;K$27,J$26,K483&lt;K$28,J$27,K483&lt;K$29,J$28,K483&lt;K$30,J$29,K483&lt;K$31,J$30,K483&lt;K$32,J$31,K483&lt;K$33,J$32,K483&lt;K$34,J$33,K483&lt;K$35,J$34,K483&lt;K$36,J$35,K483&lt;K$37,J$36,K483&lt;K$38,J$37,K483&lt;K$39,J$38,K483&lt;K$40,J$39,K483&lt;K$41,J$40,K483&lt;K$42,J$41,K483&lt;K$43,J$42,K483&lt;K$44,J$43,K483&lt;K$45,J$44,K483&lt;K$46,J$45,K483&lt;K$47,J$46,K483&gt;=K$47,J$47)</f>
        <v/>
      </c>
      <c r="K483" s="38" t="n">
        <v>433</v>
      </c>
      <c r="L483" s="31">
        <f>K483/52</f>
        <v/>
      </c>
      <c r="M483" s="39">
        <f>J483/1000000*52</f>
        <v/>
      </c>
      <c r="N483" s="33">
        <f>M483/$P$4+($I$22/$P$4)</f>
        <v/>
      </c>
      <c r="U483">
        <f>F482</f>
        <v/>
      </c>
      <c r="V483">
        <f>H482</f>
        <v/>
      </c>
      <c r="W483">
        <f>N482</f>
        <v/>
      </c>
    </row>
    <row r="484" ht="15.75" customHeight="1" s="40">
      <c r="C484" s="36">
        <f>_xlfn.IFS(E484&lt;E$24,0,E484&lt;E$26,C$24,E484&lt;E$28,C$26,E484&lt;E$30,C$28,E484&lt;E$32,C$30,E484&lt;E$34,C$32,E484&gt;=E$34,C$34)</f>
        <v/>
      </c>
      <c r="D484" s="37">
        <f>_xlfn.IFS(E484&lt;E$24,0,E484&lt;E$25,D$24,E484&lt;E$26,D$25,E484&lt;E$27,D$26,E484&lt;E$28,D$27,E484&lt;E$29,D$28,E484&lt;E$30,D$29,E484&lt;E$31,D$30,E484&lt;E$32,D$31,E484&lt;E$33,D$32,E484&lt;E$34,D$33,E484&lt;E$35,D$34,E484&gt;=E$35,D$35)</f>
        <v/>
      </c>
      <c r="E484" s="38" t="n">
        <v>434</v>
      </c>
      <c r="F484" s="31">
        <f>E484/52</f>
        <v/>
      </c>
      <c r="G484" s="39">
        <f>D484/1000000*52</f>
        <v/>
      </c>
      <c r="H484" s="33">
        <f>G484/$P$4+($C$22/$P$4)</f>
        <v/>
      </c>
      <c r="I484" s="36">
        <f>_xlfn.IFS(K484&lt;K$24,0,K484&lt;K$26,I$24,K484&lt;K$28,I$26,K484&lt;K$30,I$28,K484&lt;K$32,I$30,K484&lt;K$34,I$32,K484&lt;K$36,I$34,K484&lt;K$38,I$36,K484&lt;K$40,I$38,K484&lt;K$42,I$40,K484&lt;K$44,I$42,K484&lt;K$46,I$44,K484&gt;=K$46,I$46)</f>
        <v/>
      </c>
      <c r="J484" s="37">
        <f>_xlfn.IFS(K484&lt;K$24,0,K484&lt;K$25,J$24,K484&lt;K$26,J$25,K484&lt;K$27,J$26,K484&lt;K$28,J$27,K484&lt;K$29,J$28,K484&lt;K$30,J$29,K484&lt;K$31,J$30,K484&lt;K$32,J$31,K484&lt;K$33,J$32,K484&lt;K$34,J$33,K484&lt;K$35,J$34,K484&lt;K$36,J$35,K484&lt;K$37,J$36,K484&lt;K$38,J$37,K484&lt;K$39,J$38,K484&lt;K$40,J$39,K484&lt;K$41,J$40,K484&lt;K$42,J$41,K484&lt;K$43,J$42,K484&lt;K$44,J$43,K484&lt;K$45,J$44,K484&lt;K$46,J$45,K484&lt;K$47,J$46,K484&gt;=K$47,J$47)</f>
        <v/>
      </c>
      <c r="K484" s="38" t="n">
        <v>434</v>
      </c>
      <c r="L484" s="31">
        <f>K484/52</f>
        <v/>
      </c>
      <c r="M484" s="39">
        <f>J484/1000000*52</f>
        <v/>
      </c>
      <c r="N484" s="33">
        <f>M484/$P$4+($I$22/$P$4)</f>
        <v/>
      </c>
      <c r="U484">
        <f>F483</f>
        <v/>
      </c>
      <c r="V484">
        <f>H483</f>
        <v/>
      </c>
      <c r="W484">
        <f>N483</f>
        <v/>
      </c>
    </row>
    <row r="485" ht="15.75" customHeight="1" s="40">
      <c r="C485" s="36">
        <f>_xlfn.IFS(E485&lt;E$24,0,E485&lt;E$26,C$24,E485&lt;E$28,C$26,E485&lt;E$30,C$28,E485&lt;E$32,C$30,E485&lt;E$34,C$32,E485&gt;=E$34,C$34)</f>
        <v/>
      </c>
      <c r="D485" s="37">
        <f>_xlfn.IFS(E485&lt;E$24,0,E485&lt;E$25,D$24,E485&lt;E$26,D$25,E485&lt;E$27,D$26,E485&lt;E$28,D$27,E485&lt;E$29,D$28,E485&lt;E$30,D$29,E485&lt;E$31,D$30,E485&lt;E$32,D$31,E485&lt;E$33,D$32,E485&lt;E$34,D$33,E485&lt;E$35,D$34,E485&gt;=E$35,D$35)</f>
        <v/>
      </c>
      <c r="E485" s="38" t="n">
        <v>435</v>
      </c>
      <c r="F485" s="31">
        <f>E485/52</f>
        <v/>
      </c>
      <c r="G485" s="39">
        <f>D485/1000000*52</f>
        <v/>
      </c>
      <c r="H485" s="33">
        <f>G485/$P$4+($C$22/$P$4)</f>
        <v/>
      </c>
      <c r="I485" s="36">
        <f>_xlfn.IFS(K485&lt;K$24,0,K485&lt;K$26,I$24,K485&lt;K$28,I$26,K485&lt;K$30,I$28,K485&lt;K$32,I$30,K485&lt;K$34,I$32,K485&lt;K$36,I$34,K485&lt;K$38,I$36,K485&lt;K$40,I$38,K485&lt;K$42,I$40,K485&lt;K$44,I$42,K485&lt;K$46,I$44,K485&gt;=K$46,I$46)</f>
        <v/>
      </c>
      <c r="J485" s="37">
        <f>_xlfn.IFS(K485&lt;K$24,0,K485&lt;K$25,J$24,K485&lt;K$26,J$25,K485&lt;K$27,J$26,K485&lt;K$28,J$27,K485&lt;K$29,J$28,K485&lt;K$30,J$29,K485&lt;K$31,J$30,K485&lt;K$32,J$31,K485&lt;K$33,J$32,K485&lt;K$34,J$33,K485&lt;K$35,J$34,K485&lt;K$36,J$35,K485&lt;K$37,J$36,K485&lt;K$38,J$37,K485&lt;K$39,J$38,K485&lt;K$40,J$39,K485&lt;K$41,J$40,K485&lt;K$42,J$41,K485&lt;K$43,J$42,K485&lt;K$44,J$43,K485&lt;K$45,J$44,K485&lt;K$46,J$45,K485&lt;K$47,J$46,K485&gt;=K$47,J$47)</f>
        <v/>
      </c>
      <c r="K485" s="38" t="n">
        <v>435</v>
      </c>
      <c r="L485" s="31">
        <f>K485/52</f>
        <v/>
      </c>
      <c r="M485" s="39">
        <f>J485/1000000*52</f>
        <v/>
      </c>
      <c r="N485" s="33">
        <f>M485/$P$4+($I$22/$P$4)</f>
        <v/>
      </c>
      <c r="U485">
        <f>F484</f>
        <v/>
      </c>
      <c r="V485">
        <f>H484</f>
        <v/>
      </c>
      <c r="W485">
        <f>N484</f>
        <v/>
      </c>
    </row>
    <row r="486" ht="15.75" customHeight="1" s="40">
      <c r="C486" s="36">
        <f>_xlfn.IFS(E486&lt;E$24,0,E486&lt;E$26,C$24,E486&lt;E$28,C$26,E486&lt;E$30,C$28,E486&lt;E$32,C$30,E486&lt;E$34,C$32,E486&gt;=E$34,C$34)</f>
        <v/>
      </c>
      <c r="D486" s="37">
        <f>_xlfn.IFS(E486&lt;E$24,0,E486&lt;E$25,D$24,E486&lt;E$26,D$25,E486&lt;E$27,D$26,E486&lt;E$28,D$27,E486&lt;E$29,D$28,E486&lt;E$30,D$29,E486&lt;E$31,D$30,E486&lt;E$32,D$31,E486&lt;E$33,D$32,E486&lt;E$34,D$33,E486&lt;E$35,D$34,E486&gt;=E$35,D$35)</f>
        <v/>
      </c>
      <c r="E486" s="38" t="n">
        <v>436</v>
      </c>
      <c r="F486" s="31">
        <f>E486/52</f>
        <v/>
      </c>
      <c r="G486" s="39">
        <f>D486/1000000*52</f>
        <v/>
      </c>
      <c r="H486" s="33">
        <f>G486/$P$4+($C$22/$P$4)</f>
        <v/>
      </c>
      <c r="I486" s="36">
        <f>_xlfn.IFS(K486&lt;K$24,0,K486&lt;K$26,I$24,K486&lt;K$28,I$26,K486&lt;K$30,I$28,K486&lt;K$32,I$30,K486&lt;K$34,I$32,K486&lt;K$36,I$34,K486&lt;K$38,I$36,K486&lt;K$40,I$38,K486&lt;K$42,I$40,K486&lt;K$44,I$42,K486&lt;K$46,I$44,K486&gt;=K$46,I$46)</f>
        <v/>
      </c>
      <c r="J486" s="37">
        <f>_xlfn.IFS(K486&lt;K$24,0,K486&lt;K$25,J$24,K486&lt;K$26,J$25,K486&lt;K$27,J$26,K486&lt;K$28,J$27,K486&lt;K$29,J$28,K486&lt;K$30,J$29,K486&lt;K$31,J$30,K486&lt;K$32,J$31,K486&lt;K$33,J$32,K486&lt;K$34,J$33,K486&lt;K$35,J$34,K486&lt;K$36,J$35,K486&lt;K$37,J$36,K486&lt;K$38,J$37,K486&lt;K$39,J$38,K486&lt;K$40,J$39,K486&lt;K$41,J$40,K486&lt;K$42,J$41,K486&lt;K$43,J$42,K486&lt;K$44,J$43,K486&lt;K$45,J$44,K486&lt;K$46,J$45,K486&lt;K$47,J$46,K486&gt;=K$47,J$47)</f>
        <v/>
      </c>
      <c r="K486" s="38" t="n">
        <v>436</v>
      </c>
      <c r="L486" s="31">
        <f>K486/52</f>
        <v/>
      </c>
      <c r="M486" s="39">
        <f>J486/1000000*52</f>
        <v/>
      </c>
      <c r="N486" s="33">
        <f>M486/$P$4+($I$22/$P$4)</f>
        <v/>
      </c>
      <c r="U486">
        <f>F485</f>
        <v/>
      </c>
      <c r="V486">
        <f>H485</f>
        <v/>
      </c>
      <c r="W486">
        <f>N485</f>
        <v/>
      </c>
    </row>
    <row r="487" ht="15.75" customHeight="1" s="40">
      <c r="C487" s="36">
        <f>_xlfn.IFS(E487&lt;E$24,0,E487&lt;E$26,C$24,E487&lt;E$28,C$26,E487&lt;E$30,C$28,E487&lt;E$32,C$30,E487&lt;E$34,C$32,E487&gt;=E$34,C$34)</f>
        <v/>
      </c>
      <c r="D487" s="37">
        <f>_xlfn.IFS(E487&lt;E$24,0,E487&lt;E$25,D$24,E487&lt;E$26,D$25,E487&lt;E$27,D$26,E487&lt;E$28,D$27,E487&lt;E$29,D$28,E487&lt;E$30,D$29,E487&lt;E$31,D$30,E487&lt;E$32,D$31,E487&lt;E$33,D$32,E487&lt;E$34,D$33,E487&lt;E$35,D$34,E487&gt;=E$35,D$35)</f>
        <v/>
      </c>
      <c r="E487" s="38" t="n">
        <v>437</v>
      </c>
      <c r="F487" s="31">
        <f>E487/52</f>
        <v/>
      </c>
      <c r="G487" s="39">
        <f>D487/1000000*52</f>
        <v/>
      </c>
      <c r="H487" s="33">
        <f>G487/$P$4+($C$22/$P$4)</f>
        <v/>
      </c>
      <c r="I487" s="36">
        <f>_xlfn.IFS(K487&lt;K$24,0,K487&lt;K$26,I$24,K487&lt;K$28,I$26,K487&lt;K$30,I$28,K487&lt;K$32,I$30,K487&lt;K$34,I$32,K487&lt;K$36,I$34,K487&lt;K$38,I$36,K487&lt;K$40,I$38,K487&lt;K$42,I$40,K487&lt;K$44,I$42,K487&lt;K$46,I$44,K487&gt;=K$46,I$46)</f>
        <v/>
      </c>
      <c r="J487" s="37">
        <f>_xlfn.IFS(K487&lt;K$24,0,K487&lt;K$25,J$24,K487&lt;K$26,J$25,K487&lt;K$27,J$26,K487&lt;K$28,J$27,K487&lt;K$29,J$28,K487&lt;K$30,J$29,K487&lt;K$31,J$30,K487&lt;K$32,J$31,K487&lt;K$33,J$32,K487&lt;K$34,J$33,K487&lt;K$35,J$34,K487&lt;K$36,J$35,K487&lt;K$37,J$36,K487&lt;K$38,J$37,K487&lt;K$39,J$38,K487&lt;K$40,J$39,K487&lt;K$41,J$40,K487&lt;K$42,J$41,K487&lt;K$43,J$42,K487&lt;K$44,J$43,K487&lt;K$45,J$44,K487&lt;K$46,J$45,K487&lt;K$47,J$46,K487&gt;=K$47,J$47)</f>
        <v/>
      </c>
      <c r="K487" s="38" t="n">
        <v>437</v>
      </c>
      <c r="L487" s="31">
        <f>K487/52</f>
        <v/>
      </c>
      <c r="M487" s="39">
        <f>J487/1000000*52</f>
        <v/>
      </c>
      <c r="N487" s="33">
        <f>M487/$P$4+($I$22/$P$4)</f>
        <v/>
      </c>
      <c r="U487">
        <f>F486</f>
        <v/>
      </c>
      <c r="V487">
        <f>H486</f>
        <v/>
      </c>
      <c r="W487">
        <f>N486</f>
        <v/>
      </c>
    </row>
    <row r="488" ht="15.75" customHeight="1" s="40">
      <c r="C488" s="36">
        <f>_xlfn.IFS(E488&lt;E$24,0,E488&lt;E$26,C$24,E488&lt;E$28,C$26,E488&lt;E$30,C$28,E488&lt;E$32,C$30,E488&lt;E$34,C$32,E488&gt;=E$34,C$34)</f>
        <v/>
      </c>
      <c r="D488" s="37">
        <f>_xlfn.IFS(E488&lt;E$24,0,E488&lt;E$25,D$24,E488&lt;E$26,D$25,E488&lt;E$27,D$26,E488&lt;E$28,D$27,E488&lt;E$29,D$28,E488&lt;E$30,D$29,E488&lt;E$31,D$30,E488&lt;E$32,D$31,E488&lt;E$33,D$32,E488&lt;E$34,D$33,E488&lt;E$35,D$34,E488&gt;=E$35,D$35)</f>
        <v/>
      </c>
      <c r="E488" s="38" t="n">
        <v>438</v>
      </c>
      <c r="F488" s="31">
        <f>E488/52</f>
        <v/>
      </c>
      <c r="G488" s="39">
        <f>D488/1000000*52</f>
        <v/>
      </c>
      <c r="H488" s="33">
        <f>G488/$P$4+($C$22/$P$4)</f>
        <v/>
      </c>
      <c r="I488" s="36">
        <f>_xlfn.IFS(K488&lt;K$24,0,K488&lt;K$26,I$24,K488&lt;K$28,I$26,K488&lt;K$30,I$28,K488&lt;K$32,I$30,K488&lt;K$34,I$32,K488&lt;K$36,I$34,K488&lt;K$38,I$36,K488&lt;K$40,I$38,K488&lt;K$42,I$40,K488&lt;K$44,I$42,K488&lt;K$46,I$44,K488&gt;=K$46,I$46)</f>
        <v/>
      </c>
      <c r="J488" s="37">
        <f>_xlfn.IFS(K488&lt;K$24,0,K488&lt;K$25,J$24,K488&lt;K$26,J$25,K488&lt;K$27,J$26,K488&lt;K$28,J$27,K488&lt;K$29,J$28,K488&lt;K$30,J$29,K488&lt;K$31,J$30,K488&lt;K$32,J$31,K488&lt;K$33,J$32,K488&lt;K$34,J$33,K488&lt;K$35,J$34,K488&lt;K$36,J$35,K488&lt;K$37,J$36,K488&lt;K$38,J$37,K488&lt;K$39,J$38,K488&lt;K$40,J$39,K488&lt;K$41,J$40,K488&lt;K$42,J$41,K488&lt;K$43,J$42,K488&lt;K$44,J$43,K488&lt;K$45,J$44,K488&lt;K$46,J$45,K488&lt;K$47,J$46,K488&gt;=K$47,J$47)</f>
        <v/>
      </c>
      <c r="K488" s="38" t="n">
        <v>438</v>
      </c>
      <c r="L488" s="31">
        <f>K488/52</f>
        <v/>
      </c>
      <c r="M488" s="39">
        <f>J488/1000000*52</f>
        <v/>
      </c>
      <c r="N488" s="33">
        <f>M488/$P$4+($I$22/$P$4)</f>
        <v/>
      </c>
      <c r="U488">
        <f>F487</f>
        <v/>
      </c>
      <c r="V488">
        <f>H487</f>
        <v/>
      </c>
      <c r="W488">
        <f>N487</f>
        <v/>
      </c>
    </row>
    <row r="489" ht="15.75" customHeight="1" s="40">
      <c r="C489" s="36">
        <f>_xlfn.IFS(E489&lt;E$24,0,E489&lt;E$26,C$24,E489&lt;E$28,C$26,E489&lt;E$30,C$28,E489&lt;E$32,C$30,E489&lt;E$34,C$32,E489&gt;=E$34,C$34)</f>
        <v/>
      </c>
      <c r="D489" s="37">
        <f>_xlfn.IFS(E489&lt;E$24,0,E489&lt;E$25,D$24,E489&lt;E$26,D$25,E489&lt;E$27,D$26,E489&lt;E$28,D$27,E489&lt;E$29,D$28,E489&lt;E$30,D$29,E489&lt;E$31,D$30,E489&lt;E$32,D$31,E489&lt;E$33,D$32,E489&lt;E$34,D$33,E489&lt;E$35,D$34,E489&gt;=E$35,D$35)</f>
        <v/>
      </c>
      <c r="E489" s="38" t="n">
        <v>439</v>
      </c>
      <c r="F489" s="31">
        <f>E489/52</f>
        <v/>
      </c>
      <c r="G489" s="39">
        <f>D489/1000000*52</f>
        <v/>
      </c>
      <c r="H489" s="33">
        <f>G489/$P$4+($C$22/$P$4)</f>
        <v/>
      </c>
      <c r="I489" s="36">
        <f>_xlfn.IFS(K489&lt;K$24,0,K489&lt;K$26,I$24,K489&lt;K$28,I$26,K489&lt;K$30,I$28,K489&lt;K$32,I$30,K489&lt;K$34,I$32,K489&lt;K$36,I$34,K489&lt;K$38,I$36,K489&lt;K$40,I$38,K489&lt;K$42,I$40,K489&lt;K$44,I$42,K489&lt;K$46,I$44,K489&gt;=K$46,I$46)</f>
        <v/>
      </c>
      <c r="J489" s="37">
        <f>_xlfn.IFS(K489&lt;K$24,0,K489&lt;K$25,J$24,K489&lt;K$26,J$25,K489&lt;K$27,J$26,K489&lt;K$28,J$27,K489&lt;K$29,J$28,K489&lt;K$30,J$29,K489&lt;K$31,J$30,K489&lt;K$32,J$31,K489&lt;K$33,J$32,K489&lt;K$34,J$33,K489&lt;K$35,J$34,K489&lt;K$36,J$35,K489&lt;K$37,J$36,K489&lt;K$38,J$37,K489&lt;K$39,J$38,K489&lt;K$40,J$39,K489&lt;K$41,J$40,K489&lt;K$42,J$41,K489&lt;K$43,J$42,K489&lt;K$44,J$43,K489&lt;K$45,J$44,K489&lt;K$46,J$45,K489&lt;K$47,J$46,K489&gt;=K$47,J$47)</f>
        <v/>
      </c>
      <c r="K489" s="38" t="n">
        <v>439</v>
      </c>
      <c r="L489" s="31">
        <f>K489/52</f>
        <v/>
      </c>
      <c r="M489" s="39">
        <f>J489/1000000*52</f>
        <v/>
      </c>
      <c r="N489" s="33">
        <f>M489/$P$4+($I$22/$P$4)</f>
        <v/>
      </c>
      <c r="U489">
        <f>F488</f>
        <v/>
      </c>
      <c r="V489">
        <f>H488</f>
        <v/>
      </c>
      <c r="W489">
        <f>N488</f>
        <v/>
      </c>
    </row>
    <row r="490" ht="15.75" customHeight="1" s="40">
      <c r="C490" s="36">
        <f>_xlfn.IFS(E490&lt;E$24,0,E490&lt;E$26,C$24,E490&lt;E$28,C$26,E490&lt;E$30,C$28,E490&lt;E$32,C$30,E490&lt;E$34,C$32,E490&gt;=E$34,C$34)</f>
        <v/>
      </c>
      <c r="D490" s="37">
        <f>_xlfn.IFS(E490&lt;E$24,0,E490&lt;E$25,D$24,E490&lt;E$26,D$25,E490&lt;E$27,D$26,E490&lt;E$28,D$27,E490&lt;E$29,D$28,E490&lt;E$30,D$29,E490&lt;E$31,D$30,E490&lt;E$32,D$31,E490&lt;E$33,D$32,E490&lt;E$34,D$33,E490&lt;E$35,D$34,E490&gt;=E$35,D$35)</f>
        <v/>
      </c>
      <c r="E490" s="38" t="n">
        <v>440</v>
      </c>
      <c r="F490" s="31">
        <f>E490/52</f>
        <v/>
      </c>
      <c r="G490" s="39">
        <f>D490/1000000*52</f>
        <v/>
      </c>
      <c r="H490" s="33">
        <f>G490/$P$4+($C$22/$P$4)</f>
        <v/>
      </c>
      <c r="I490" s="36">
        <f>_xlfn.IFS(K490&lt;K$24,0,K490&lt;K$26,I$24,K490&lt;K$28,I$26,K490&lt;K$30,I$28,K490&lt;K$32,I$30,K490&lt;K$34,I$32,K490&lt;K$36,I$34,K490&lt;K$38,I$36,K490&lt;K$40,I$38,K490&lt;K$42,I$40,K490&lt;K$44,I$42,K490&lt;K$46,I$44,K490&gt;=K$46,I$46)</f>
        <v/>
      </c>
      <c r="J490" s="37">
        <f>_xlfn.IFS(K490&lt;K$24,0,K490&lt;K$25,J$24,K490&lt;K$26,J$25,K490&lt;K$27,J$26,K490&lt;K$28,J$27,K490&lt;K$29,J$28,K490&lt;K$30,J$29,K490&lt;K$31,J$30,K490&lt;K$32,J$31,K490&lt;K$33,J$32,K490&lt;K$34,J$33,K490&lt;K$35,J$34,K490&lt;K$36,J$35,K490&lt;K$37,J$36,K490&lt;K$38,J$37,K490&lt;K$39,J$38,K490&lt;K$40,J$39,K490&lt;K$41,J$40,K490&lt;K$42,J$41,K490&lt;K$43,J$42,K490&lt;K$44,J$43,K490&lt;K$45,J$44,K490&lt;K$46,J$45,K490&lt;K$47,J$46,K490&gt;=K$47,J$47)</f>
        <v/>
      </c>
      <c r="K490" s="38" t="n">
        <v>440</v>
      </c>
      <c r="L490" s="31">
        <f>K490/52</f>
        <v/>
      </c>
      <c r="M490" s="39">
        <f>J490/1000000*52</f>
        <v/>
      </c>
      <c r="N490" s="33">
        <f>M490/$P$4+($I$22/$P$4)</f>
        <v/>
      </c>
      <c r="U490">
        <f>F489</f>
        <v/>
      </c>
      <c r="V490">
        <f>H489</f>
        <v/>
      </c>
      <c r="W490">
        <f>N489</f>
        <v/>
      </c>
    </row>
    <row r="491" ht="15.75" customHeight="1" s="40">
      <c r="C491" s="36">
        <f>_xlfn.IFS(E491&lt;E$24,0,E491&lt;E$26,C$24,E491&lt;E$28,C$26,E491&lt;E$30,C$28,E491&lt;E$32,C$30,E491&lt;E$34,C$32,E491&gt;=E$34,C$34)</f>
        <v/>
      </c>
      <c r="D491" s="37">
        <f>_xlfn.IFS(E491&lt;E$24,0,E491&lt;E$25,D$24,E491&lt;E$26,D$25,E491&lt;E$27,D$26,E491&lt;E$28,D$27,E491&lt;E$29,D$28,E491&lt;E$30,D$29,E491&lt;E$31,D$30,E491&lt;E$32,D$31,E491&lt;E$33,D$32,E491&lt;E$34,D$33,E491&lt;E$35,D$34,E491&gt;=E$35,D$35)</f>
        <v/>
      </c>
      <c r="E491" s="38" t="n">
        <v>441</v>
      </c>
      <c r="F491" s="31">
        <f>E491/52</f>
        <v/>
      </c>
      <c r="G491" s="39">
        <f>D491/1000000*52</f>
        <v/>
      </c>
      <c r="H491" s="33">
        <f>G491/$P$4+($C$22/$P$4)</f>
        <v/>
      </c>
      <c r="I491" s="36">
        <f>_xlfn.IFS(K491&lt;K$24,0,K491&lt;K$26,I$24,K491&lt;K$28,I$26,K491&lt;K$30,I$28,K491&lt;K$32,I$30,K491&lt;K$34,I$32,K491&lt;K$36,I$34,K491&lt;K$38,I$36,K491&lt;K$40,I$38,K491&lt;K$42,I$40,K491&lt;K$44,I$42,K491&lt;K$46,I$44,K491&gt;=K$46,I$46)</f>
        <v/>
      </c>
      <c r="J491" s="37">
        <f>_xlfn.IFS(K491&lt;K$24,0,K491&lt;K$25,J$24,K491&lt;K$26,J$25,K491&lt;K$27,J$26,K491&lt;K$28,J$27,K491&lt;K$29,J$28,K491&lt;K$30,J$29,K491&lt;K$31,J$30,K491&lt;K$32,J$31,K491&lt;K$33,J$32,K491&lt;K$34,J$33,K491&lt;K$35,J$34,K491&lt;K$36,J$35,K491&lt;K$37,J$36,K491&lt;K$38,J$37,K491&lt;K$39,J$38,K491&lt;K$40,J$39,K491&lt;K$41,J$40,K491&lt;K$42,J$41,K491&lt;K$43,J$42,K491&lt;K$44,J$43,K491&lt;K$45,J$44,K491&lt;K$46,J$45,K491&lt;K$47,J$46,K491&gt;=K$47,J$47)</f>
        <v/>
      </c>
      <c r="K491" s="38" t="n">
        <v>441</v>
      </c>
      <c r="L491" s="31">
        <f>K491/52</f>
        <v/>
      </c>
      <c r="M491" s="39">
        <f>J491/1000000*52</f>
        <v/>
      </c>
      <c r="N491" s="33">
        <f>M491/$P$4+($I$22/$P$4)</f>
        <v/>
      </c>
      <c r="U491">
        <f>F490</f>
        <v/>
      </c>
      <c r="V491">
        <f>H490</f>
        <v/>
      </c>
      <c r="W491">
        <f>N490</f>
        <v/>
      </c>
    </row>
    <row r="492" ht="15.75" customHeight="1" s="40">
      <c r="C492" s="36">
        <f>_xlfn.IFS(E492&lt;E$24,0,E492&lt;E$26,C$24,E492&lt;E$28,C$26,E492&lt;E$30,C$28,E492&lt;E$32,C$30,E492&lt;E$34,C$32,E492&gt;=E$34,C$34)</f>
        <v/>
      </c>
      <c r="D492" s="37">
        <f>_xlfn.IFS(E492&lt;E$24,0,E492&lt;E$25,D$24,E492&lt;E$26,D$25,E492&lt;E$27,D$26,E492&lt;E$28,D$27,E492&lt;E$29,D$28,E492&lt;E$30,D$29,E492&lt;E$31,D$30,E492&lt;E$32,D$31,E492&lt;E$33,D$32,E492&lt;E$34,D$33,E492&lt;E$35,D$34,E492&gt;=E$35,D$35)</f>
        <v/>
      </c>
      <c r="E492" s="38" t="n">
        <v>442</v>
      </c>
      <c r="F492" s="31">
        <f>E492/52</f>
        <v/>
      </c>
      <c r="G492" s="39">
        <f>D492/1000000*52</f>
        <v/>
      </c>
      <c r="H492" s="33">
        <f>G492/$P$4+($C$22/$P$4)</f>
        <v/>
      </c>
      <c r="I492" s="36">
        <f>_xlfn.IFS(K492&lt;K$24,0,K492&lt;K$26,I$24,K492&lt;K$28,I$26,K492&lt;K$30,I$28,K492&lt;K$32,I$30,K492&lt;K$34,I$32,K492&lt;K$36,I$34,K492&lt;K$38,I$36,K492&lt;K$40,I$38,K492&lt;K$42,I$40,K492&lt;K$44,I$42,K492&lt;K$46,I$44,K492&gt;=K$46,I$46)</f>
        <v/>
      </c>
      <c r="J492" s="37">
        <f>_xlfn.IFS(K492&lt;K$24,0,K492&lt;K$25,J$24,K492&lt;K$26,J$25,K492&lt;K$27,J$26,K492&lt;K$28,J$27,K492&lt;K$29,J$28,K492&lt;K$30,J$29,K492&lt;K$31,J$30,K492&lt;K$32,J$31,K492&lt;K$33,J$32,K492&lt;K$34,J$33,K492&lt;K$35,J$34,K492&lt;K$36,J$35,K492&lt;K$37,J$36,K492&lt;K$38,J$37,K492&lt;K$39,J$38,K492&lt;K$40,J$39,K492&lt;K$41,J$40,K492&lt;K$42,J$41,K492&lt;K$43,J$42,K492&lt;K$44,J$43,K492&lt;K$45,J$44,K492&lt;K$46,J$45,K492&lt;K$47,J$46,K492&gt;=K$47,J$47)</f>
        <v/>
      </c>
      <c r="K492" s="38" t="n">
        <v>442</v>
      </c>
      <c r="L492" s="31">
        <f>K492/52</f>
        <v/>
      </c>
      <c r="M492" s="39">
        <f>J492/1000000*52</f>
        <v/>
      </c>
      <c r="N492" s="33">
        <f>M492/$P$4+($I$22/$P$4)</f>
        <v/>
      </c>
      <c r="U492">
        <f>F491</f>
        <v/>
      </c>
      <c r="V492">
        <f>H491</f>
        <v/>
      </c>
      <c r="W492">
        <f>N491</f>
        <v/>
      </c>
    </row>
    <row r="493" ht="15.75" customHeight="1" s="40">
      <c r="C493" s="36">
        <f>_xlfn.IFS(E493&lt;E$24,0,E493&lt;E$26,C$24,E493&lt;E$28,C$26,E493&lt;E$30,C$28,E493&lt;E$32,C$30,E493&lt;E$34,C$32,E493&gt;=E$34,C$34)</f>
        <v/>
      </c>
      <c r="D493" s="37">
        <f>_xlfn.IFS(E493&lt;E$24,0,E493&lt;E$25,D$24,E493&lt;E$26,D$25,E493&lt;E$27,D$26,E493&lt;E$28,D$27,E493&lt;E$29,D$28,E493&lt;E$30,D$29,E493&lt;E$31,D$30,E493&lt;E$32,D$31,E493&lt;E$33,D$32,E493&lt;E$34,D$33,E493&lt;E$35,D$34,E493&gt;=E$35,D$35)</f>
        <v/>
      </c>
      <c r="E493" s="38" t="n">
        <v>443</v>
      </c>
      <c r="F493" s="31">
        <f>E493/52</f>
        <v/>
      </c>
      <c r="G493" s="39">
        <f>D493/1000000*52</f>
        <v/>
      </c>
      <c r="H493" s="33">
        <f>G493/$P$4+($C$22/$P$4)</f>
        <v/>
      </c>
      <c r="I493" s="36">
        <f>_xlfn.IFS(K493&lt;K$24,0,K493&lt;K$26,I$24,K493&lt;K$28,I$26,K493&lt;K$30,I$28,K493&lt;K$32,I$30,K493&lt;K$34,I$32,K493&lt;K$36,I$34,K493&lt;K$38,I$36,K493&lt;K$40,I$38,K493&lt;K$42,I$40,K493&lt;K$44,I$42,K493&lt;K$46,I$44,K493&gt;=K$46,I$46)</f>
        <v/>
      </c>
      <c r="J493" s="37">
        <f>_xlfn.IFS(K493&lt;K$24,0,K493&lt;K$25,J$24,K493&lt;K$26,J$25,K493&lt;K$27,J$26,K493&lt;K$28,J$27,K493&lt;K$29,J$28,K493&lt;K$30,J$29,K493&lt;K$31,J$30,K493&lt;K$32,J$31,K493&lt;K$33,J$32,K493&lt;K$34,J$33,K493&lt;K$35,J$34,K493&lt;K$36,J$35,K493&lt;K$37,J$36,K493&lt;K$38,J$37,K493&lt;K$39,J$38,K493&lt;K$40,J$39,K493&lt;K$41,J$40,K493&lt;K$42,J$41,K493&lt;K$43,J$42,K493&lt;K$44,J$43,K493&lt;K$45,J$44,K493&lt;K$46,J$45,K493&lt;K$47,J$46,K493&gt;=K$47,J$47)</f>
        <v/>
      </c>
      <c r="K493" s="38" t="n">
        <v>443</v>
      </c>
      <c r="L493" s="31">
        <f>K493/52</f>
        <v/>
      </c>
      <c r="M493" s="39">
        <f>J493/1000000*52</f>
        <v/>
      </c>
      <c r="N493" s="33">
        <f>M493/$P$4+($I$22/$P$4)</f>
        <v/>
      </c>
      <c r="U493">
        <f>F492</f>
        <v/>
      </c>
      <c r="V493">
        <f>H492</f>
        <v/>
      </c>
      <c r="W493">
        <f>N492</f>
        <v/>
      </c>
    </row>
    <row r="494" ht="15.75" customHeight="1" s="40">
      <c r="C494" s="36">
        <f>_xlfn.IFS(E494&lt;E$24,0,E494&lt;E$26,C$24,E494&lt;E$28,C$26,E494&lt;E$30,C$28,E494&lt;E$32,C$30,E494&lt;E$34,C$32,E494&gt;=E$34,C$34)</f>
        <v/>
      </c>
      <c r="D494" s="37">
        <f>_xlfn.IFS(E494&lt;E$24,0,E494&lt;E$25,D$24,E494&lt;E$26,D$25,E494&lt;E$27,D$26,E494&lt;E$28,D$27,E494&lt;E$29,D$28,E494&lt;E$30,D$29,E494&lt;E$31,D$30,E494&lt;E$32,D$31,E494&lt;E$33,D$32,E494&lt;E$34,D$33,E494&lt;E$35,D$34,E494&gt;=E$35,D$35)</f>
        <v/>
      </c>
      <c r="E494" s="38" t="n">
        <v>444</v>
      </c>
      <c r="F494" s="31">
        <f>E494/52</f>
        <v/>
      </c>
      <c r="G494" s="39">
        <f>D494/1000000*52</f>
        <v/>
      </c>
      <c r="H494" s="33">
        <f>G494/$P$4+($C$22/$P$4)</f>
        <v/>
      </c>
      <c r="I494" s="36">
        <f>_xlfn.IFS(K494&lt;K$24,0,K494&lt;K$26,I$24,K494&lt;K$28,I$26,K494&lt;K$30,I$28,K494&lt;K$32,I$30,K494&lt;K$34,I$32,K494&lt;K$36,I$34,K494&lt;K$38,I$36,K494&lt;K$40,I$38,K494&lt;K$42,I$40,K494&lt;K$44,I$42,K494&lt;K$46,I$44,K494&gt;=K$46,I$46)</f>
        <v/>
      </c>
      <c r="J494" s="37">
        <f>_xlfn.IFS(K494&lt;K$24,0,K494&lt;K$25,J$24,K494&lt;K$26,J$25,K494&lt;K$27,J$26,K494&lt;K$28,J$27,K494&lt;K$29,J$28,K494&lt;K$30,J$29,K494&lt;K$31,J$30,K494&lt;K$32,J$31,K494&lt;K$33,J$32,K494&lt;K$34,J$33,K494&lt;K$35,J$34,K494&lt;K$36,J$35,K494&lt;K$37,J$36,K494&lt;K$38,J$37,K494&lt;K$39,J$38,K494&lt;K$40,J$39,K494&lt;K$41,J$40,K494&lt;K$42,J$41,K494&lt;K$43,J$42,K494&lt;K$44,J$43,K494&lt;K$45,J$44,K494&lt;K$46,J$45,K494&lt;K$47,J$46,K494&gt;=K$47,J$47)</f>
        <v/>
      </c>
      <c r="K494" s="38" t="n">
        <v>444</v>
      </c>
      <c r="L494" s="31">
        <f>K494/52</f>
        <v/>
      </c>
      <c r="M494" s="39">
        <f>J494/1000000*52</f>
        <v/>
      </c>
      <c r="N494" s="33">
        <f>M494/$P$4+($I$22/$P$4)</f>
        <v/>
      </c>
      <c r="U494">
        <f>F493</f>
        <v/>
      </c>
      <c r="V494">
        <f>H493</f>
        <v/>
      </c>
      <c r="W494">
        <f>N493</f>
        <v/>
      </c>
    </row>
    <row r="495" ht="15.75" customHeight="1" s="40">
      <c r="C495" s="36">
        <f>_xlfn.IFS(E495&lt;E$24,0,E495&lt;E$26,C$24,E495&lt;E$28,C$26,E495&lt;E$30,C$28,E495&lt;E$32,C$30,E495&lt;E$34,C$32,E495&gt;=E$34,C$34)</f>
        <v/>
      </c>
      <c r="D495" s="37">
        <f>_xlfn.IFS(E495&lt;E$24,0,E495&lt;E$25,D$24,E495&lt;E$26,D$25,E495&lt;E$27,D$26,E495&lt;E$28,D$27,E495&lt;E$29,D$28,E495&lt;E$30,D$29,E495&lt;E$31,D$30,E495&lt;E$32,D$31,E495&lt;E$33,D$32,E495&lt;E$34,D$33,E495&lt;E$35,D$34,E495&gt;=E$35,D$35)</f>
        <v/>
      </c>
      <c r="E495" s="38" t="n">
        <v>445</v>
      </c>
      <c r="F495" s="31">
        <f>E495/52</f>
        <v/>
      </c>
      <c r="G495" s="39">
        <f>D495/1000000*52</f>
        <v/>
      </c>
      <c r="H495" s="33">
        <f>G495/$P$4+($C$22/$P$4)</f>
        <v/>
      </c>
      <c r="I495" s="36">
        <f>_xlfn.IFS(K495&lt;K$24,0,K495&lt;K$26,I$24,K495&lt;K$28,I$26,K495&lt;K$30,I$28,K495&lt;K$32,I$30,K495&lt;K$34,I$32,K495&lt;K$36,I$34,K495&lt;K$38,I$36,K495&lt;K$40,I$38,K495&lt;K$42,I$40,K495&lt;K$44,I$42,K495&lt;K$46,I$44,K495&gt;=K$46,I$46)</f>
        <v/>
      </c>
      <c r="J495" s="37">
        <f>_xlfn.IFS(K495&lt;K$24,0,K495&lt;K$25,J$24,K495&lt;K$26,J$25,K495&lt;K$27,J$26,K495&lt;K$28,J$27,K495&lt;K$29,J$28,K495&lt;K$30,J$29,K495&lt;K$31,J$30,K495&lt;K$32,J$31,K495&lt;K$33,J$32,K495&lt;K$34,J$33,K495&lt;K$35,J$34,K495&lt;K$36,J$35,K495&lt;K$37,J$36,K495&lt;K$38,J$37,K495&lt;K$39,J$38,K495&lt;K$40,J$39,K495&lt;K$41,J$40,K495&lt;K$42,J$41,K495&lt;K$43,J$42,K495&lt;K$44,J$43,K495&lt;K$45,J$44,K495&lt;K$46,J$45,K495&lt;K$47,J$46,K495&gt;=K$47,J$47)</f>
        <v/>
      </c>
      <c r="K495" s="38" t="n">
        <v>445</v>
      </c>
      <c r="L495" s="31">
        <f>K495/52</f>
        <v/>
      </c>
      <c r="M495" s="39">
        <f>J495/1000000*52</f>
        <v/>
      </c>
      <c r="N495" s="33">
        <f>M495/$P$4+($I$22/$P$4)</f>
        <v/>
      </c>
      <c r="U495">
        <f>F494</f>
        <v/>
      </c>
      <c r="V495">
        <f>H494</f>
        <v/>
      </c>
      <c r="W495">
        <f>N494</f>
        <v/>
      </c>
    </row>
    <row r="496" ht="15.75" customHeight="1" s="40">
      <c r="C496" s="36">
        <f>_xlfn.IFS(E496&lt;E$24,0,E496&lt;E$26,C$24,E496&lt;E$28,C$26,E496&lt;E$30,C$28,E496&lt;E$32,C$30,E496&lt;E$34,C$32,E496&gt;=E$34,C$34)</f>
        <v/>
      </c>
      <c r="D496" s="37">
        <f>_xlfn.IFS(E496&lt;E$24,0,E496&lt;E$25,D$24,E496&lt;E$26,D$25,E496&lt;E$27,D$26,E496&lt;E$28,D$27,E496&lt;E$29,D$28,E496&lt;E$30,D$29,E496&lt;E$31,D$30,E496&lt;E$32,D$31,E496&lt;E$33,D$32,E496&lt;E$34,D$33,E496&lt;E$35,D$34,E496&gt;=E$35,D$35)</f>
        <v/>
      </c>
      <c r="E496" s="38" t="n">
        <v>446</v>
      </c>
      <c r="F496" s="31">
        <f>E496/52</f>
        <v/>
      </c>
      <c r="G496" s="39">
        <f>D496/1000000*52</f>
        <v/>
      </c>
      <c r="H496" s="33">
        <f>G496/$P$4+($C$22/$P$4)</f>
        <v/>
      </c>
      <c r="I496" s="36">
        <f>_xlfn.IFS(K496&lt;K$24,0,K496&lt;K$26,I$24,K496&lt;K$28,I$26,K496&lt;K$30,I$28,K496&lt;K$32,I$30,K496&lt;K$34,I$32,K496&lt;K$36,I$34,K496&lt;K$38,I$36,K496&lt;K$40,I$38,K496&lt;K$42,I$40,K496&lt;K$44,I$42,K496&lt;K$46,I$44,K496&gt;=K$46,I$46)</f>
        <v/>
      </c>
      <c r="J496" s="37">
        <f>_xlfn.IFS(K496&lt;K$24,0,K496&lt;K$25,J$24,K496&lt;K$26,J$25,K496&lt;K$27,J$26,K496&lt;K$28,J$27,K496&lt;K$29,J$28,K496&lt;K$30,J$29,K496&lt;K$31,J$30,K496&lt;K$32,J$31,K496&lt;K$33,J$32,K496&lt;K$34,J$33,K496&lt;K$35,J$34,K496&lt;K$36,J$35,K496&lt;K$37,J$36,K496&lt;K$38,J$37,K496&lt;K$39,J$38,K496&lt;K$40,J$39,K496&lt;K$41,J$40,K496&lt;K$42,J$41,K496&lt;K$43,J$42,K496&lt;K$44,J$43,K496&lt;K$45,J$44,K496&lt;K$46,J$45,K496&lt;K$47,J$46,K496&gt;=K$47,J$47)</f>
        <v/>
      </c>
      <c r="K496" s="38" t="n">
        <v>446</v>
      </c>
      <c r="L496" s="31">
        <f>K496/52</f>
        <v/>
      </c>
      <c r="M496" s="39">
        <f>J496/1000000*52</f>
        <v/>
      </c>
      <c r="N496" s="33">
        <f>M496/$P$4+($I$22/$P$4)</f>
        <v/>
      </c>
      <c r="U496">
        <f>F495</f>
        <v/>
      </c>
      <c r="V496">
        <f>H495</f>
        <v/>
      </c>
      <c r="W496">
        <f>N495</f>
        <v/>
      </c>
    </row>
    <row r="497" ht="15.75" customHeight="1" s="40">
      <c r="C497" s="36">
        <f>_xlfn.IFS(E497&lt;E$24,0,E497&lt;E$26,C$24,E497&lt;E$28,C$26,E497&lt;E$30,C$28,E497&lt;E$32,C$30,E497&lt;E$34,C$32,E497&gt;=E$34,C$34)</f>
        <v/>
      </c>
      <c r="D497" s="37">
        <f>_xlfn.IFS(E497&lt;E$24,0,E497&lt;E$25,D$24,E497&lt;E$26,D$25,E497&lt;E$27,D$26,E497&lt;E$28,D$27,E497&lt;E$29,D$28,E497&lt;E$30,D$29,E497&lt;E$31,D$30,E497&lt;E$32,D$31,E497&lt;E$33,D$32,E497&lt;E$34,D$33,E497&lt;E$35,D$34,E497&gt;=E$35,D$35)</f>
        <v/>
      </c>
      <c r="E497" s="38" t="n">
        <v>447</v>
      </c>
      <c r="F497" s="31">
        <f>E497/52</f>
        <v/>
      </c>
      <c r="G497" s="39">
        <f>D497/1000000*52</f>
        <v/>
      </c>
      <c r="H497" s="33">
        <f>G497/$P$4+($C$22/$P$4)</f>
        <v/>
      </c>
      <c r="I497" s="36">
        <f>_xlfn.IFS(K497&lt;K$24,0,K497&lt;K$26,I$24,K497&lt;K$28,I$26,K497&lt;K$30,I$28,K497&lt;K$32,I$30,K497&lt;K$34,I$32,K497&lt;K$36,I$34,K497&lt;K$38,I$36,K497&lt;K$40,I$38,K497&lt;K$42,I$40,K497&lt;K$44,I$42,K497&lt;K$46,I$44,K497&gt;=K$46,I$46)</f>
        <v/>
      </c>
      <c r="J497" s="37">
        <f>_xlfn.IFS(K497&lt;K$24,0,K497&lt;K$25,J$24,K497&lt;K$26,J$25,K497&lt;K$27,J$26,K497&lt;K$28,J$27,K497&lt;K$29,J$28,K497&lt;K$30,J$29,K497&lt;K$31,J$30,K497&lt;K$32,J$31,K497&lt;K$33,J$32,K497&lt;K$34,J$33,K497&lt;K$35,J$34,K497&lt;K$36,J$35,K497&lt;K$37,J$36,K497&lt;K$38,J$37,K497&lt;K$39,J$38,K497&lt;K$40,J$39,K497&lt;K$41,J$40,K497&lt;K$42,J$41,K497&lt;K$43,J$42,K497&lt;K$44,J$43,K497&lt;K$45,J$44,K497&lt;K$46,J$45,K497&lt;K$47,J$46,K497&gt;=K$47,J$47)</f>
        <v/>
      </c>
      <c r="K497" s="38" t="n">
        <v>447</v>
      </c>
      <c r="L497" s="31">
        <f>K497/52</f>
        <v/>
      </c>
      <c r="M497" s="39">
        <f>J497/1000000*52</f>
        <v/>
      </c>
      <c r="N497" s="33">
        <f>M497/$P$4+($I$22/$P$4)</f>
        <v/>
      </c>
      <c r="U497">
        <f>F496</f>
        <v/>
      </c>
      <c r="V497">
        <f>H496</f>
        <v/>
      </c>
      <c r="W497">
        <f>N496</f>
        <v/>
      </c>
    </row>
    <row r="498" ht="15.75" customHeight="1" s="40">
      <c r="C498" s="36">
        <f>_xlfn.IFS(E498&lt;E$24,0,E498&lt;E$26,C$24,E498&lt;E$28,C$26,E498&lt;E$30,C$28,E498&lt;E$32,C$30,E498&lt;E$34,C$32,E498&gt;=E$34,C$34)</f>
        <v/>
      </c>
      <c r="D498" s="37">
        <f>_xlfn.IFS(E498&lt;E$24,0,E498&lt;E$25,D$24,E498&lt;E$26,D$25,E498&lt;E$27,D$26,E498&lt;E$28,D$27,E498&lt;E$29,D$28,E498&lt;E$30,D$29,E498&lt;E$31,D$30,E498&lt;E$32,D$31,E498&lt;E$33,D$32,E498&lt;E$34,D$33,E498&lt;E$35,D$34,E498&gt;=E$35,D$35)</f>
        <v/>
      </c>
      <c r="E498" s="38" t="n">
        <v>448</v>
      </c>
      <c r="F498" s="31">
        <f>E498/52</f>
        <v/>
      </c>
      <c r="G498" s="39">
        <f>D498/1000000*52</f>
        <v/>
      </c>
      <c r="H498" s="33">
        <f>G498/$P$4+($C$22/$P$4)</f>
        <v/>
      </c>
      <c r="I498" s="36">
        <f>_xlfn.IFS(K498&lt;K$24,0,K498&lt;K$26,I$24,K498&lt;K$28,I$26,K498&lt;K$30,I$28,K498&lt;K$32,I$30,K498&lt;K$34,I$32,K498&lt;K$36,I$34,K498&lt;K$38,I$36,K498&lt;K$40,I$38,K498&lt;K$42,I$40,K498&lt;K$44,I$42,K498&lt;K$46,I$44,K498&gt;=K$46,I$46)</f>
        <v/>
      </c>
      <c r="J498" s="37">
        <f>_xlfn.IFS(K498&lt;K$24,0,K498&lt;K$25,J$24,K498&lt;K$26,J$25,K498&lt;K$27,J$26,K498&lt;K$28,J$27,K498&lt;K$29,J$28,K498&lt;K$30,J$29,K498&lt;K$31,J$30,K498&lt;K$32,J$31,K498&lt;K$33,J$32,K498&lt;K$34,J$33,K498&lt;K$35,J$34,K498&lt;K$36,J$35,K498&lt;K$37,J$36,K498&lt;K$38,J$37,K498&lt;K$39,J$38,K498&lt;K$40,J$39,K498&lt;K$41,J$40,K498&lt;K$42,J$41,K498&lt;K$43,J$42,K498&lt;K$44,J$43,K498&lt;K$45,J$44,K498&lt;K$46,J$45,K498&lt;K$47,J$46,K498&gt;=K$47,J$47)</f>
        <v/>
      </c>
      <c r="K498" s="38" t="n">
        <v>448</v>
      </c>
      <c r="L498" s="31">
        <f>K498/52</f>
        <v/>
      </c>
      <c r="M498" s="39">
        <f>J498/1000000*52</f>
        <v/>
      </c>
      <c r="N498" s="33">
        <f>M498/$P$4+($I$22/$P$4)</f>
        <v/>
      </c>
      <c r="U498">
        <f>F497</f>
        <v/>
      </c>
      <c r="V498">
        <f>H497</f>
        <v/>
      </c>
      <c r="W498">
        <f>N497</f>
        <v/>
      </c>
    </row>
    <row r="499" ht="15.75" customHeight="1" s="40">
      <c r="C499" s="36">
        <f>_xlfn.IFS(E499&lt;E$24,0,E499&lt;E$26,C$24,E499&lt;E$28,C$26,E499&lt;E$30,C$28,E499&lt;E$32,C$30,E499&lt;E$34,C$32,E499&gt;=E$34,C$34)</f>
        <v/>
      </c>
      <c r="D499" s="37">
        <f>_xlfn.IFS(E499&lt;E$24,0,E499&lt;E$25,D$24,E499&lt;E$26,D$25,E499&lt;E$27,D$26,E499&lt;E$28,D$27,E499&lt;E$29,D$28,E499&lt;E$30,D$29,E499&lt;E$31,D$30,E499&lt;E$32,D$31,E499&lt;E$33,D$32,E499&lt;E$34,D$33,E499&lt;E$35,D$34,E499&gt;=E$35,D$35)</f>
        <v/>
      </c>
      <c r="E499" s="38" t="n">
        <v>449</v>
      </c>
      <c r="F499" s="31">
        <f>E499/52</f>
        <v/>
      </c>
      <c r="G499" s="39">
        <f>D499/1000000*52</f>
        <v/>
      </c>
      <c r="H499" s="33">
        <f>G499/$P$4+($C$22/$P$4)</f>
        <v/>
      </c>
      <c r="I499" s="36">
        <f>_xlfn.IFS(K499&lt;K$24,0,K499&lt;K$26,I$24,K499&lt;K$28,I$26,K499&lt;K$30,I$28,K499&lt;K$32,I$30,K499&lt;K$34,I$32,K499&lt;K$36,I$34,K499&lt;K$38,I$36,K499&lt;K$40,I$38,K499&lt;K$42,I$40,K499&lt;K$44,I$42,K499&lt;K$46,I$44,K499&gt;=K$46,I$46)</f>
        <v/>
      </c>
      <c r="J499" s="37">
        <f>_xlfn.IFS(K499&lt;K$24,0,K499&lt;K$25,J$24,K499&lt;K$26,J$25,K499&lt;K$27,J$26,K499&lt;K$28,J$27,K499&lt;K$29,J$28,K499&lt;K$30,J$29,K499&lt;K$31,J$30,K499&lt;K$32,J$31,K499&lt;K$33,J$32,K499&lt;K$34,J$33,K499&lt;K$35,J$34,K499&lt;K$36,J$35,K499&lt;K$37,J$36,K499&lt;K$38,J$37,K499&lt;K$39,J$38,K499&lt;K$40,J$39,K499&lt;K$41,J$40,K499&lt;K$42,J$41,K499&lt;K$43,J$42,K499&lt;K$44,J$43,K499&lt;K$45,J$44,K499&lt;K$46,J$45,K499&lt;K$47,J$46,K499&gt;=K$47,J$47)</f>
        <v/>
      </c>
      <c r="K499" s="38" t="n">
        <v>449</v>
      </c>
      <c r="L499" s="31">
        <f>K499/52</f>
        <v/>
      </c>
      <c r="M499" s="39">
        <f>J499/1000000*52</f>
        <v/>
      </c>
      <c r="N499" s="33">
        <f>M499/$P$4+($I$22/$P$4)</f>
        <v/>
      </c>
      <c r="U499">
        <f>F498</f>
        <v/>
      </c>
      <c r="V499">
        <f>H498</f>
        <v/>
      </c>
      <c r="W499">
        <f>N498</f>
        <v/>
      </c>
    </row>
    <row r="500" ht="15.75" customHeight="1" s="40">
      <c r="C500" s="36">
        <f>_xlfn.IFS(E500&lt;E$24,0,E500&lt;E$26,C$24,E500&lt;E$28,C$26,E500&lt;E$30,C$28,E500&lt;E$32,C$30,E500&lt;E$34,C$32,E500&gt;=E$34,C$34)</f>
        <v/>
      </c>
      <c r="D500" s="37">
        <f>_xlfn.IFS(E500&lt;E$24,0,E500&lt;E$25,D$24,E500&lt;E$26,D$25,E500&lt;E$27,D$26,E500&lt;E$28,D$27,E500&lt;E$29,D$28,E500&lt;E$30,D$29,E500&lt;E$31,D$30,E500&lt;E$32,D$31,E500&lt;E$33,D$32,E500&lt;E$34,D$33,E500&lt;E$35,D$34,E500&gt;=E$35,D$35)</f>
        <v/>
      </c>
      <c r="E500" s="38" t="n">
        <v>450</v>
      </c>
      <c r="F500" s="31">
        <f>E500/52</f>
        <v/>
      </c>
      <c r="G500" s="39">
        <f>D500/1000000*52</f>
        <v/>
      </c>
      <c r="H500" s="33">
        <f>G500/$P$4+($C$22/$P$4)</f>
        <v/>
      </c>
      <c r="I500" s="36">
        <f>_xlfn.IFS(K500&lt;K$24,0,K500&lt;K$26,I$24,K500&lt;K$28,I$26,K500&lt;K$30,I$28,K500&lt;K$32,I$30,K500&lt;K$34,I$32,K500&lt;K$36,I$34,K500&lt;K$38,I$36,K500&lt;K$40,I$38,K500&lt;K$42,I$40,K500&lt;K$44,I$42,K500&lt;K$46,I$44,K500&gt;=K$46,I$46)</f>
        <v/>
      </c>
      <c r="J500" s="37">
        <f>_xlfn.IFS(K500&lt;K$24,0,K500&lt;K$25,J$24,K500&lt;K$26,J$25,K500&lt;K$27,J$26,K500&lt;K$28,J$27,K500&lt;K$29,J$28,K500&lt;K$30,J$29,K500&lt;K$31,J$30,K500&lt;K$32,J$31,K500&lt;K$33,J$32,K500&lt;K$34,J$33,K500&lt;K$35,J$34,K500&lt;K$36,J$35,K500&lt;K$37,J$36,K500&lt;K$38,J$37,K500&lt;K$39,J$38,K500&lt;K$40,J$39,K500&lt;K$41,J$40,K500&lt;K$42,J$41,K500&lt;K$43,J$42,K500&lt;K$44,J$43,K500&lt;K$45,J$44,K500&lt;K$46,J$45,K500&lt;K$47,J$46,K500&gt;=K$47,J$47)</f>
        <v/>
      </c>
      <c r="K500" s="38" t="n">
        <v>450</v>
      </c>
      <c r="L500" s="31">
        <f>K500/52</f>
        <v/>
      </c>
      <c r="M500" s="39">
        <f>J500/1000000*52</f>
        <v/>
      </c>
      <c r="N500" s="33">
        <f>M500/$P$4+($I$22/$P$4)</f>
        <v/>
      </c>
      <c r="U500">
        <f>F499</f>
        <v/>
      </c>
      <c r="V500">
        <f>H499</f>
        <v/>
      </c>
      <c r="W500">
        <f>N499</f>
        <v/>
      </c>
    </row>
    <row r="501" ht="15.75" customHeight="1" s="40">
      <c r="C501" s="36">
        <f>_xlfn.IFS(E501&lt;E$24,0,E501&lt;E$26,C$24,E501&lt;E$28,C$26,E501&lt;E$30,C$28,E501&lt;E$32,C$30,E501&lt;E$34,C$32,E501&gt;=E$34,C$34)</f>
        <v/>
      </c>
      <c r="D501" s="37">
        <f>_xlfn.IFS(E501&lt;E$24,0,E501&lt;E$25,D$24,E501&lt;E$26,D$25,E501&lt;E$27,D$26,E501&lt;E$28,D$27,E501&lt;E$29,D$28,E501&lt;E$30,D$29,E501&lt;E$31,D$30,E501&lt;E$32,D$31,E501&lt;E$33,D$32,E501&lt;E$34,D$33,E501&lt;E$35,D$34,E501&gt;=E$35,D$35)</f>
        <v/>
      </c>
      <c r="E501" s="38" t="n">
        <v>451</v>
      </c>
      <c r="F501" s="31">
        <f>E501/52</f>
        <v/>
      </c>
      <c r="G501" s="39">
        <f>D501/1000000*52</f>
        <v/>
      </c>
      <c r="H501" s="33">
        <f>G501/$P$4+($C$22/$P$4)</f>
        <v/>
      </c>
      <c r="I501" s="36">
        <f>_xlfn.IFS(K501&lt;K$24,0,K501&lt;K$26,I$24,K501&lt;K$28,I$26,K501&lt;K$30,I$28,K501&lt;K$32,I$30,K501&lt;K$34,I$32,K501&lt;K$36,I$34,K501&lt;K$38,I$36,K501&lt;K$40,I$38,K501&lt;K$42,I$40,K501&lt;K$44,I$42,K501&lt;K$46,I$44,K501&gt;=K$46,I$46)</f>
        <v/>
      </c>
      <c r="J501" s="37">
        <f>_xlfn.IFS(K501&lt;K$24,0,K501&lt;K$25,J$24,K501&lt;K$26,J$25,K501&lt;K$27,J$26,K501&lt;K$28,J$27,K501&lt;K$29,J$28,K501&lt;K$30,J$29,K501&lt;K$31,J$30,K501&lt;K$32,J$31,K501&lt;K$33,J$32,K501&lt;K$34,J$33,K501&lt;K$35,J$34,K501&lt;K$36,J$35,K501&lt;K$37,J$36,K501&lt;K$38,J$37,K501&lt;K$39,J$38,K501&lt;K$40,J$39,K501&lt;K$41,J$40,K501&lt;K$42,J$41,K501&lt;K$43,J$42,K501&lt;K$44,J$43,K501&lt;K$45,J$44,K501&lt;K$46,J$45,K501&lt;K$47,J$46,K501&gt;=K$47,J$47)</f>
        <v/>
      </c>
      <c r="K501" s="38" t="n">
        <v>451</v>
      </c>
      <c r="L501" s="31">
        <f>K501/52</f>
        <v/>
      </c>
      <c r="M501" s="39">
        <f>J501/1000000*52</f>
        <v/>
      </c>
      <c r="N501" s="33">
        <f>M501/$P$4+($I$22/$P$4)</f>
        <v/>
      </c>
      <c r="U501">
        <f>F500</f>
        <v/>
      </c>
      <c r="V501">
        <f>H500</f>
        <v/>
      </c>
      <c r="W501">
        <f>N500</f>
        <v/>
      </c>
    </row>
    <row r="502" ht="15.75" customHeight="1" s="40">
      <c r="C502" s="36">
        <f>_xlfn.IFS(E502&lt;E$24,0,E502&lt;E$26,C$24,E502&lt;E$28,C$26,E502&lt;E$30,C$28,E502&lt;E$32,C$30,E502&lt;E$34,C$32,E502&gt;=E$34,C$34)</f>
        <v/>
      </c>
      <c r="D502" s="37">
        <f>_xlfn.IFS(E502&lt;E$24,0,E502&lt;E$25,D$24,E502&lt;E$26,D$25,E502&lt;E$27,D$26,E502&lt;E$28,D$27,E502&lt;E$29,D$28,E502&lt;E$30,D$29,E502&lt;E$31,D$30,E502&lt;E$32,D$31,E502&lt;E$33,D$32,E502&lt;E$34,D$33,E502&lt;E$35,D$34,E502&gt;=E$35,D$35)</f>
        <v/>
      </c>
      <c r="E502" s="38" t="n">
        <v>452</v>
      </c>
      <c r="F502" s="31">
        <f>E502/52</f>
        <v/>
      </c>
      <c r="G502" s="39">
        <f>D502/1000000*52</f>
        <v/>
      </c>
      <c r="H502" s="33">
        <f>G502/$P$4+($C$22/$P$4)</f>
        <v/>
      </c>
      <c r="I502" s="36">
        <f>_xlfn.IFS(K502&lt;K$24,0,K502&lt;K$26,I$24,K502&lt;K$28,I$26,K502&lt;K$30,I$28,K502&lt;K$32,I$30,K502&lt;K$34,I$32,K502&lt;K$36,I$34,K502&lt;K$38,I$36,K502&lt;K$40,I$38,K502&lt;K$42,I$40,K502&lt;K$44,I$42,K502&lt;K$46,I$44,K502&gt;=K$46,I$46)</f>
        <v/>
      </c>
      <c r="J502" s="37">
        <f>_xlfn.IFS(K502&lt;K$24,0,K502&lt;K$25,J$24,K502&lt;K$26,J$25,K502&lt;K$27,J$26,K502&lt;K$28,J$27,K502&lt;K$29,J$28,K502&lt;K$30,J$29,K502&lt;K$31,J$30,K502&lt;K$32,J$31,K502&lt;K$33,J$32,K502&lt;K$34,J$33,K502&lt;K$35,J$34,K502&lt;K$36,J$35,K502&lt;K$37,J$36,K502&lt;K$38,J$37,K502&lt;K$39,J$38,K502&lt;K$40,J$39,K502&lt;K$41,J$40,K502&lt;K$42,J$41,K502&lt;K$43,J$42,K502&lt;K$44,J$43,K502&lt;K$45,J$44,K502&lt;K$46,J$45,K502&lt;K$47,J$46,K502&gt;=K$47,J$47)</f>
        <v/>
      </c>
      <c r="K502" s="38" t="n">
        <v>452</v>
      </c>
      <c r="L502" s="31">
        <f>K502/52</f>
        <v/>
      </c>
      <c r="M502" s="39">
        <f>J502/1000000*52</f>
        <v/>
      </c>
      <c r="N502" s="33">
        <f>M502/$P$4+($I$22/$P$4)</f>
        <v/>
      </c>
      <c r="U502">
        <f>F501</f>
        <v/>
      </c>
      <c r="V502">
        <f>H501</f>
        <v/>
      </c>
      <c r="W502">
        <f>N501</f>
        <v/>
      </c>
    </row>
    <row r="503" ht="15.75" customHeight="1" s="40">
      <c r="C503" s="36">
        <f>_xlfn.IFS(E503&lt;E$24,0,E503&lt;E$26,C$24,E503&lt;E$28,C$26,E503&lt;E$30,C$28,E503&lt;E$32,C$30,E503&lt;E$34,C$32,E503&gt;=E$34,C$34)</f>
        <v/>
      </c>
      <c r="D503" s="37">
        <f>_xlfn.IFS(E503&lt;E$24,0,E503&lt;E$25,D$24,E503&lt;E$26,D$25,E503&lt;E$27,D$26,E503&lt;E$28,D$27,E503&lt;E$29,D$28,E503&lt;E$30,D$29,E503&lt;E$31,D$30,E503&lt;E$32,D$31,E503&lt;E$33,D$32,E503&lt;E$34,D$33,E503&lt;E$35,D$34,E503&gt;=E$35,D$35)</f>
        <v/>
      </c>
      <c r="E503" s="38" t="n">
        <v>453</v>
      </c>
      <c r="F503" s="31">
        <f>E503/52</f>
        <v/>
      </c>
      <c r="G503" s="39">
        <f>D503/1000000*52</f>
        <v/>
      </c>
      <c r="H503" s="33">
        <f>G503/$P$4+($C$22/$P$4)</f>
        <v/>
      </c>
      <c r="I503" s="36">
        <f>_xlfn.IFS(K503&lt;K$24,0,K503&lt;K$26,I$24,K503&lt;K$28,I$26,K503&lt;K$30,I$28,K503&lt;K$32,I$30,K503&lt;K$34,I$32,K503&lt;K$36,I$34,K503&lt;K$38,I$36,K503&lt;K$40,I$38,K503&lt;K$42,I$40,K503&lt;K$44,I$42,K503&lt;K$46,I$44,K503&gt;=K$46,I$46)</f>
        <v/>
      </c>
      <c r="J503" s="37">
        <f>_xlfn.IFS(K503&lt;K$24,0,K503&lt;K$25,J$24,K503&lt;K$26,J$25,K503&lt;K$27,J$26,K503&lt;K$28,J$27,K503&lt;K$29,J$28,K503&lt;K$30,J$29,K503&lt;K$31,J$30,K503&lt;K$32,J$31,K503&lt;K$33,J$32,K503&lt;K$34,J$33,K503&lt;K$35,J$34,K503&lt;K$36,J$35,K503&lt;K$37,J$36,K503&lt;K$38,J$37,K503&lt;K$39,J$38,K503&lt;K$40,J$39,K503&lt;K$41,J$40,K503&lt;K$42,J$41,K503&lt;K$43,J$42,K503&lt;K$44,J$43,K503&lt;K$45,J$44,K503&lt;K$46,J$45,K503&lt;K$47,J$46,K503&gt;=K$47,J$47)</f>
        <v/>
      </c>
      <c r="K503" s="38" t="n">
        <v>453</v>
      </c>
      <c r="L503" s="31">
        <f>K503/52</f>
        <v/>
      </c>
      <c r="M503" s="39">
        <f>J503/1000000*52</f>
        <v/>
      </c>
      <c r="N503" s="33">
        <f>M503/$P$4+($I$22/$P$4)</f>
        <v/>
      </c>
      <c r="U503">
        <f>F502</f>
        <v/>
      </c>
      <c r="V503">
        <f>H502</f>
        <v/>
      </c>
      <c r="W503">
        <f>N502</f>
        <v/>
      </c>
    </row>
    <row r="504" ht="15.75" customHeight="1" s="40">
      <c r="C504" s="36">
        <f>_xlfn.IFS(E504&lt;E$24,0,E504&lt;E$26,C$24,E504&lt;E$28,C$26,E504&lt;E$30,C$28,E504&lt;E$32,C$30,E504&lt;E$34,C$32,E504&gt;=E$34,C$34)</f>
        <v/>
      </c>
      <c r="D504" s="37">
        <f>_xlfn.IFS(E504&lt;E$24,0,E504&lt;E$25,D$24,E504&lt;E$26,D$25,E504&lt;E$27,D$26,E504&lt;E$28,D$27,E504&lt;E$29,D$28,E504&lt;E$30,D$29,E504&lt;E$31,D$30,E504&lt;E$32,D$31,E504&lt;E$33,D$32,E504&lt;E$34,D$33,E504&lt;E$35,D$34,E504&gt;=E$35,D$35)</f>
        <v/>
      </c>
      <c r="E504" s="38" t="n">
        <v>454</v>
      </c>
      <c r="F504" s="31">
        <f>E504/52</f>
        <v/>
      </c>
      <c r="G504" s="39">
        <f>D504/1000000*52</f>
        <v/>
      </c>
      <c r="H504" s="33">
        <f>G504/$P$4+($C$22/$P$4)</f>
        <v/>
      </c>
      <c r="I504" s="36">
        <f>_xlfn.IFS(K504&lt;K$24,0,K504&lt;K$26,I$24,K504&lt;K$28,I$26,K504&lt;K$30,I$28,K504&lt;K$32,I$30,K504&lt;K$34,I$32,K504&lt;K$36,I$34,K504&lt;K$38,I$36,K504&lt;K$40,I$38,K504&lt;K$42,I$40,K504&lt;K$44,I$42,K504&lt;K$46,I$44,K504&gt;=K$46,I$46)</f>
        <v/>
      </c>
      <c r="J504" s="37">
        <f>_xlfn.IFS(K504&lt;K$24,0,K504&lt;K$25,J$24,K504&lt;K$26,J$25,K504&lt;K$27,J$26,K504&lt;K$28,J$27,K504&lt;K$29,J$28,K504&lt;K$30,J$29,K504&lt;K$31,J$30,K504&lt;K$32,J$31,K504&lt;K$33,J$32,K504&lt;K$34,J$33,K504&lt;K$35,J$34,K504&lt;K$36,J$35,K504&lt;K$37,J$36,K504&lt;K$38,J$37,K504&lt;K$39,J$38,K504&lt;K$40,J$39,K504&lt;K$41,J$40,K504&lt;K$42,J$41,K504&lt;K$43,J$42,K504&lt;K$44,J$43,K504&lt;K$45,J$44,K504&lt;K$46,J$45,K504&lt;K$47,J$46,K504&gt;=K$47,J$47)</f>
        <v/>
      </c>
      <c r="K504" s="38" t="n">
        <v>454</v>
      </c>
      <c r="L504" s="31">
        <f>K504/52</f>
        <v/>
      </c>
      <c r="M504" s="39">
        <f>J504/1000000*52</f>
        <v/>
      </c>
      <c r="N504" s="33">
        <f>M504/$P$4+($I$22/$P$4)</f>
        <v/>
      </c>
      <c r="U504">
        <f>F503</f>
        <v/>
      </c>
      <c r="V504">
        <f>H503</f>
        <v/>
      </c>
      <c r="W504">
        <f>N503</f>
        <v/>
      </c>
    </row>
    <row r="505" ht="15.75" customHeight="1" s="40">
      <c r="C505" s="36">
        <f>_xlfn.IFS(E505&lt;E$24,0,E505&lt;E$26,C$24,E505&lt;E$28,C$26,E505&lt;E$30,C$28,E505&lt;E$32,C$30,E505&lt;E$34,C$32,E505&gt;=E$34,C$34)</f>
        <v/>
      </c>
      <c r="D505" s="37">
        <f>_xlfn.IFS(E505&lt;E$24,0,E505&lt;E$25,D$24,E505&lt;E$26,D$25,E505&lt;E$27,D$26,E505&lt;E$28,D$27,E505&lt;E$29,D$28,E505&lt;E$30,D$29,E505&lt;E$31,D$30,E505&lt;E$32,D$31,E505&lt;E$33,D$32,E505&lt;E$34,D$33,E505&lt;E$35,D$34,E505&gt;=E$35,D$35)</f>
        <v/>
      </c>
      <c r="E505" s="38" t="n">
        <v>455</v>
      </c>
      <c r="F505" s="31">
        <f>E505/52</f>
        <v/>
      </c>
      <c r="G505" s="39">
        <f>D505/1000000*52</f>
        <v/>
      </c>
      <c r="H505" s="33">
        <f>G505/$P$4+($C$22/$P$4)</f>
        <v/>
      </c>
      <c r="I505" s="36">
        <f>_xlfn.IFS(K505&lt;K$24,0,K505&lt;K$26,I$24,K505&lt;K$28,I$26,K505&lt;K$30,I$28,K505&lt;K$32,I$30,K505&lt;K$34,I$32,K505&lt;K$36,I$34,K505&lt;K$38,I$36,K505&lt;K$40,I$38,K505&lt;K$42,I$40,K505&lt;K$44,I$42,K505&lt;K$46,I$44,K505&gt;=K$46,I$46)</f>
        <v/>
      </c>
      <c r="J505" s="37">
        <f>_xlfn.IFS(K505&lt;K$24,0,K505&lt;K$25,J$24,K505&lt;K$26,J$25,K505&lt;K$27,J$26,K505&lt;K$28,J$27,K505&lt;K$29,J$28,K505&lt;K$30,J$29,K505&lt;K$31,J$30,K505&lt;K$32,J$31,K505&lt;K$33,J$32,K505&lt;K$34,J$33,K505&lt;K$35,J$34,K505&lt;K$36,J$35,K505&lt;K$37,J$36,K505&lt;K$38,J$37,K505&lt;K$39,J$38,K505&lt;K$40,J$39,K505&lt;K$41,J$40,K505&lt;K$42,J$41,K505&lt;K$43,J$42,K505&lt;K$44,J$43,K505&lt;K$45,J$44,K505&lt;K$46,J$45,K505&lt;K$47,J$46,K505&gt;=K$47,J$47)</f>
        <v/>
      </c>
      <c r="K505" s="38" t="n">
        <v>455</v>
      </c>
      <c r="L505" s="31">
        <f>K505/52</f>
        <v/>
      </c>
      <c r="M505" s="39">
        <f>J505/1000000*52</f>
        <v/>
      </c>
      <c r="N505" s="33">
        <f>M505/$P$4+($I$22/$P$4)</f>
        <v/>
      </c>
      <c r="U505">
        <f>F504</f>
        <v/>
      </c>
      <c r="V505">
        <f>H504</f>
        <v/>
      </c>
      <c r="W505">
        <f>N504</f>
        <v/>
      </c>
    </row>
    <row r="506" ht="15.75" customHeight="1" s="40">
      <c r="C506" s="36">
        <f>_xlfn.IFS(E506&lt;E$24,0,E506&lt;E$26,C$24,E506&lt;E$28,C$26,E506&lt;E$30,C$28,E506&lt;E$32,C$30,E506&lt;E$34,C$32,E506&gt;=E$34,C$34)</f>
        <v/>
      </c>
      <c r="D506" s="37">
        <f>_xlfn.IFS(E506&lt;E$24,0,E506&lt;E$25,D$24,E506&lt;E$26,D$25,E506&lt;E$27,D$26,E506&lt;E$28,D$27,E506&lt;E$29,D$28,E506&lt;E$30,D$29,E506&lt;E$31,D$30,E506&lt;E$32,D$31,E506&lt;E$33,D$32,E506&lt;E$34,D$33,E506&lt;E$35,D$34,E506&gt;=E$35,D$35)</f>
        <v/>
      </c>
      <c r="E506" s="38" t="n">
        <v>456</v>
      </c>
      <c r="F506" s="31">
        <f>E506/52</f>
        <v/>
      </c>
      <c r="G506" s="39">
        <f>D506/1000000*52</f>
        <v/>
      </c>
      <c r="H506" s="33">
        <f>G506/$P$4+($C$22/$P$4)</f>
        <v/>
      </c>
      <c r="I506" s="36">
        <f>_xlfn.IFS(K506&lt;K$24,0,K506&lt;K$26,I$24,K506&lt;K$28,I$26,K506&lt;K$30,I$28,K506&lt;K$32,I$30,K506&lt;K$34,I$32,K506&lt;K$36,I$34,K506&lt;K$38,I$36,K506&lt;K$40,I$38,K506&lt;K$42,I$40,K506&lt;K$44,I$42,K506&lt;K$46,I$44,K506&gt;=K$46,I$46)</f>
        <v/>
      </c>
      <c r="J506" s="37">
        <f>_xlfn.IFS(K506&lt;K$24,0,K506&lt;K$25,J$24,K506&lt;K$26,J$25,K506&lt;K$27,J$26,K506&lt;K$28,J$27,K506&lt;K$29,J$28,K506&lt;K$30,J$29,K506&lt;K$31,J$30,K506&lt;K$32,J$31,K506&lt;K$33,J$32,K506&lt;K$34,J$33,K506&lt;K$35,J$34,K506&lt;K$36,J$35,K506&lt;K$37,J$36,K506&lt;K$38,J$37,K506&lt;K$39,J$38,K506&lt;K$40,J$39,K506&lt;K$41,J$40,K506&lt;K$42,J$41,K506&lt;K$43,J$42,K506&lt;K$44,J$43,K506&lt;K$45,J$44,K506&lt;K$46,J$45,K506&lt;K$47,J$46,K506&gt;=K$47,J$47)</f>
        <v/>
      </c>
      <c r="K506" s="38" t="n">
        <v>456</v>
      </c>
      <c r="L506" s="31">
        <f>K506/52</f>
        <v/>
      </c>
      <c r="M506" s="39">
        <f>J506/1000000*52</f>
        <v/>
      </c>
      <c r="N506" s="33">
        <f>M506/$P$4+($I$22/$P$4)</f>
        <v/>
      </c>
      <c r="U506">
        <f>F505</f>
        <v/>
      </c>
      <c r="V506">
        <f>H505</f>
        <v/>
      </c>
      <c r="W506">
        <f>N505</f>
        <v/>
      </c>
    </row>
    <row r="507" ht="15.75" customHeight="1" s="40">
      <c r="C507" s="36">
        <f>_xlfn.IFS(E507&lt;E$24,0,E507&lt;E$26,C$24,E507&lt;E$28,C$26,E507&lt;E$30,C$28,E507&lt;E$32,C$30,E507&lt;E$34,C$32,E507&gt;=E$34,C$34)</f>
        <v/>
      </c>
      <c r="D507" s="37">
        <f>_xlfn.IFS(E507&lt;E$24,0,E507&lt;E$25,D$24,E507&lt;E$26,D$25,E507&lt;E$27,D$26,E507&lt;E$28,D$27,E507&lt;E$29,D$28,E507&lt;E$30,D$29,E507&lt;E$31,D$30,E507&lt;E$32,D$31,E507&lt;E$33,D$32,E507&lt;E$34,D$33,E507&lt;E$35,D$34,E507&gt;=E$35,D$35)</f>
        <v/>
      </c>
      <c r="E507" s="38" t="n">
        <v>457</v>
      </c>
      <c r="F507" s="31">
        <f>E507/52</f>
        <v/>
      </c>
      <c r="G507" s="39">
        <f>D507/1000000*52</f>
        <v/>
      </c>
      <c r="H507" s="33">
        <f>G507/$P$4+($C$22/$P$4)</f>
        <v/>
      </c>
      <c r="I507" s="36">
        <f>_xlfn.IFS(K507&lt;K$24,0,K507&lt;K$26,I$24,K507&lt;K$28,I$26,K507&lt;K$30,I$28,K507&lt;K$32,I$30,K507&lt;K$34,I$32,K507&lt;K$36,I$34,K507&lt;K$38,I$36,K507&lt;K$40,I$38,K507&lt;K$42,I$40,K507&lt;K$44,I$42,K507&lt;K$46,I$44,K507&gt;=K$46,I$46)</f>
        <v/>
      </c>
      <c r="J507" s="37">
        <f>_xlfn.IFS(K507&lt;K$24,0,K507&lt;K$25,J$24,K507&lt;K$26,J$25,K507&lt;K$27,J$26,K507&lt;K$28,J$27,K507&lt;K$29,J$28,K507&lt;K$30,J$29,K507&lt;K$31,J$30,K507&lt;K$32,J$31,K507&lt;K$33,J$32,K507&lt;K$34,J$33,K507&lt;K$35,J$34,K507&lt;K$36,J$35,K507&lt;K$37,J$36,K507&lt;K$38,J$37,K507&lt;K$39,J$38,K507&lt;K$40,J$39,K507&lt;K$41,J$40,K507&lt;K$42,J$41,K507&lt;K$43,J$42,K507&lt;K$44,J$43,K507&lt;K$45,J$44,K507&lt;K$46,J$45,K507&lt;K$47,J$46,K507&gt;=K$47,J$47)</f>
        <v/>
      </c>
      <c r="K507" s="38" t="n">
        <v>457</v>
      </c>
      <c r="L507" s="31">
        <f>K507/52</f>
        <v/>
      </c>
      <c r="M507" s="39">
        <f>J507/1000000*52</f>
        <v/>
      </c>
      <c r="N507" s="33">
        <f>M507/$P$4+($I$22/$P$4)</f>
        <v/>
      </c>
      <c r="U507">
        <f>F506</f>
        <v/>
      </c>
      <c r="V507">
        <f>H506</f>
        <v/>
      </c>
      <c r="W507">
        <f>N506</f>
        <v/>
      </c>
    </row>
    <row r="508" ht="15.75" customHeight="1" s="40">
      <c r="C508" s="36">
        <f>_xlfn.IFS(E508&lt;E$24,0,E508&lt;E$26,C$24,E508&lt;E$28,C$26,E508&lt;E$30,C$28,E508&lt;E$32,C$30,E508&lt;E$34,C$32,E508&gt;=E$34,C$34)</f>
        <v/>
      </c>
      <c r="D508" s="37">
        <f>_xlfn.IFS(E508&lt;E$24,0,E508&lt;E$25,D$24,E508&lt;E$26,D$25,E508&lt;E$27,D$26,E508&lt;E$28,D$27,E508&lt;E$29,D$28,E508&lt;E$30,D$29,E508&lt;E$31,D$30,E508&lt;E$32,D$31,E508&lt;E$33,D$32,E508&lt;E$34,D$33,E508&lt;E$35,D$34,E508&gt;=E$35,D$35)</f>
        <v/>
      </c>
      <c r="E508" s="38" t="n">
        <v>458</v>
      </c>
      <c r="F508" s="31">
        <f>E508/52</f>
        <v/>
      </c>
      <c r="G508" s="39">
        <f>D508/1000000*52</f>
        <v/>
      </c>
      <c r="H508" s="33">
        <f>G508/$P$4+($C$22/$P$4)</f>
        <v/>
      </c>
      <c r="I508" s="36">
        <f>_xlfn.IFS(K508&lt;K$24,0,K508&lt;K$26,I$24,K508&lt;K$28,I$26,K508&lt;K$30,I$28,K508&lt;K$32,I$30,K508&lt;K$34,I$32,K508&lt;K$36,I$34,K508&lt;K$38,I$36,K508&lt;K$40,I$38,K508&lt;K$42,I$40,K508&lt;K$44,I$42,K508&lt;K$46,I$44,K508&gt;=K$46,I$46)</f>
        <v/>
      </c>
      <c r="J508" s="37">
        <f>_xlfn.IFS(K508&lt;K$24,0,K508&lt;K$25,J$24,K508&lt;K$26,J$25,K508&lt;K$27,J$26,K508&lt;K$28,J$27,K508&lt;K$29,J$28,K508&lt;K$30,J$29,K508&lt;K$31,J$30,K508&lt;K$32,J$31,K508&lt;K$33,J$32,K508&lt;K$34,J$33,K508&lt;K$35,J$34,K508&lt;K$36,J$35,K508&lt;K$37,J$36,K508&lt;K$38,J$37,K508&lt;K$39,J$38,K508&lt;K$40,J$39,K508&lt;K$41,J$40,K508&lt;K$42,J$41,K508&lt;K$43,J$42,K508&lt;K$44,J$43,K508&lt;K$45,J$44,K508&lt;K$46,J$45,K508&lt;K$47,J$46,K508&gt;=K$47,J$47)</f>
        <v/>
      </c>
      <c r="K508" s="38" t="n">
        <v>458</v>
      </c>
      <c r="L508" s="31">
        <f>K508/52</f>
        <v/>
      </c>
      <c r="M508" s="39">
        <f>J508/1000000*52</f>
        <v/>
      </c>
      <c r="N508" s="33">
        <f>M508/$P$4+($I$22/$P$4)</f>
        <v/>
      </c>
      <c r="U508">
        <f>F507</f>
        <v/>
      </c>
      <c r="V508">
        <f>H507</f>
        <v/>
      </c>
      <c r="W508">
        <f>N507</f>
        <v/>
      </c>
    </row>
    <row r="509" ht="15.75" customHeight="1" s="40">
      <c r="C509" s="36">
        <f>_xlfn.IFS(E509&lt;E$24,0,E509&lt;E$26,C$24,E509&lt;E$28,C$26,E509&lt;E$30,C$28,E509&lt;E$32,C$30,E509&lt;E$34,C$32,E509&gt;=E$34,C$34)</f>
        <v/>
      </c>
      <c r="D509" s="37">
        <f>_xlfn.IFS(E509&lt;E$24,0,E509&lt;E$25,D$24,E509&lt;E$26,D$25,E509&lt;E$27,D$26,E509&lt;E$28,D$27,E509&lt;E$29,D$28,E509&lt;E$30,D$29,E509&lt;E$31,D$30,E509&lt;E$32,D$31,E509&lt;E$33,D$32,E509&lt;E$34,D$33,E509&lt;E$35,D$34,E509&gt;=E$35,D$35)</f>
        <v/>
      </c>
      <c r="E509" s="38" t="n">
        <v>459</v>
      </c>
      <c r="F509" s="31">
        <f>E509/52</f>
        <v/>
      </c>
      <c r="G509" s="39">
        <f>D509/1000000*52</f>
        <v/>
      </c>
      <c r="H509" s="33">
        <f>G509/$P$4+($C$22/$P$4)</f>
        <v/>
      </c>
      <c r="I509" s="36">
        <f>_xlfn.IFS(K509&lt;K$24,0,K509&lt;K$26,I$24,K509&lt;K$28,I$26,K509&lt;K$30,I$28,K509&lt;K$32,I$30,K509&lt;K$34,I$32,K509&lt;K$36,I$34,K509&lt;K$38,I$36,K509&lt;K$40,I$38,K509&lt;K$42,I$40,K509&lt;K$44,I$42,K509&lt;K$46,I$44,K509&gt;=K$46,I$46)</f>
        <v/>
      </c>
      <c r="J509" s="37">
        <f>_xlfn.IFS(K509&lt;K$24,0,K509&lt;K$25,J$24,K509&lt;K$26,J$25,K509&lt;K$27,J$26,K509&lt;K$28,J$27,K509&lt;K$29,J$28,K509&lt;K$30,J$29,K509&lt;K$31,J$30,K509&lt;K$32,J$31,K509&lt;K$33,J$32,K509&lt;K$34,J$33,K509&lt;K$35,J$34,K509&lt;K$36,J$35,K509&lt;K$37,J$36,K509&lt;K$38,J$37,K509&lt;K$39,J$38,K509&lt;K$40,J$39,K509&lt;K$41,J$40,K509&lt;K$42,J$41,K509&lt;K$43,J$42,K509&lt;K$44,J$43,K509&lt;K$45,J$44,K509&lt;K$46,J$45,K509&lt;K$47,J$46,K509&gt;=K$47,J$47)</f>
        <v/>
      </c>
      <c r="K509" s="38" t="n">
        <v>459</v>
      </c>
      <c r="L509" s="31">
        <f>K509/52</f>
        <v/>
      </c>
      <c r="M509" s="39">
        <f>J509/1000000*52</f>
        <v/>
      </c>
      <c r="N509" s="33">
        <f>M509/$P$4+($I$22/$P$4)</f>
        <v/>
      </c>
      <c r="U509">
        <f>F508</f>
        <v/>
      </c>
      <c r="V509">
        <f>H508</f>
        <v/>
      </c>
      <c r="W509">
        <f>N508</f>
        <v/>
      </c>
    </row>
    <row r="510" ht="15.75" customHeight="1" s="40">
      <c r="C510" s="36">
        <f>_xlfn.IFS(E510&lt;E$24,0,E510&lt;E$26,C$24,E510&lt;E$28,C$26,E510&lt;E$30,C$28,E510&lt;E$32,C$30,E510&lt;E$34,C$32,E510&gt;=E$34,C$34)</f>
        <v/>
      </c>
      <c r="D510" s="37">
        <f>_xlfn.IFS(E510&lt;E$24,0,E510&lt;E$25,D$24,E510&lt;E$26,D$25,E510&lt;E$27,D$26,E510&lt;E$28,D$27,E510&lt;E$29,D$28,E510&lt;E$30,D$29,E510&lt;E$31,D$30,E510&lt;E$32,D$31,E510&lt;E$33,D$32,E510&lt;E$34,D$33,E510&lt;E$35,D$34,E510&gt;=E$35,D$35)</f>
        <v/>
      </c>
      <c r="E510" s="38" t="n">
        <v>460</v>
      </c>
      <c r="F510" s="31">
        <f>E510/52</f>
        <v/>
      </c>
      <c r="G510" s="39">
        <f>D510/1000000*52</f>
        <v/>
      </c>
      <c r="H510" s="33">
        <f>G510/$P$4+($C$22/$P$4)</f>
        <v/>
      </c>
      <c r="I510" s="36">
        <f>_xlfn.IFS(K510&lt;K$24,0,K510&lt;K$26,I$24,K510&lt;K$28,I$26,K510&lt;K$30,I$28,K510&lt;K$32,I$30,K510&lt;K$34,I$32,K510&lt;K$36,I$34,K510&lt;K$38,I$36,K510&lt;K$40,I$38,K510&lt;K$42,I$40,K510&lt;K$44,I$42,K510&lt;K$46,I$44,K510&gt;=K$46,I$46)</f>
        <v/>
      </c>
      <c r="J510" s="37">
        <f>_xlfn.IFS(K510&lt;K$24,0,K510&lt;K$25,J$24,K510&lt;K$26,J$25,K510&lt;K$27,J$26,K510&lt;K$28,J$27,K510&lt;K$29,J$28,K510&lt;K$30,J$29,K510&lt;K$31,J$30,K510&lt;K$32,J$31,K510&lt;K$33,J$32,K510&lt;K$34,J$33,K510&lt;K$35,J$34,K510&lt;K$36,J$35,K510&lt;K$37,J$36,K510&lt;K$38,J$37,K510&lt;K$39,J$38,K510&lt;K$40,J$39,K510&lt;K$41,J$40,K510&lt;K$42,J$41,K510&lt;K$43,J$42,K510&lt;K$44,J$43,K510&lt;K$45,J$44,K510&lt;K$46,J$45,K510&lt;K$47,J$46,K510&gt;=K$47,J$47)</f>
        <v/>
      </c>
      <c r="K510" s="38" t="n">
        <v>460</v>
      </c>
      <c r="L510" s="31">
        <f>K510/52</f>
        <v/>
      </c>
      <c r="M510" s="39">
        <f>J510/1000000*52</f>
        <v/>
      </c>
      <c r="N510" s="33">
        <f>M510/$P$4+($I$22/$P$4)</f>
        <v/>
      </c>
      <c r="U510">
        <f>F509</f>
        <v/>
      </c>
      <c r="V510">
        <f>H509</f>
        <v/>
      </c>
      <c r="W510">
        <f>N509</f>
        <v/>
      </c>
    </row>
    <row r="511" ht="15.75" customHeight="1" s="40">
      <c r="C511" s="36">
        <f>_xlfn.IFS(E511&lt;E$24,0,E511&lt;E$26,C$24,E511&lt;E$28,C$26,E511&lt;E$30,C$28,E511&lt;E$32,C$30,E511&lt;E$34,C$32,E511&gt;=E$34,C$34)</f>
        <v/>
      </c>
      <c r="D511" s="37">
        <f>_xlfn.IFS(E511&lt;E$24,0,E511&lt;E$25,D$24,E511&lt;E$26,D$25,E511&lt;E$27,D$26,E511&lt;E$28,D$27,E511&lt;E$29,D$28,E511&lt;E$30,D$29,E511&lt;E$31,D$30,E511&lt;E$32,D$31,E511&lt;E$33,D$32,E511&lt;E$34,D$33,E511&lt;E$35,D$34,E511&gt;=E$35,D$35)</f>
        <v/>
      </c>
      <c r="E511" s="38" t="n">
        <v>461</v>
      </c>
      <c r="F511" s="31">
        <f>E511/52</f>
        <v/>
      </c>
      <c r="G511" s="39">
        <f>D511/1000000*52</f>
        <v/>
      </c>
      <c r="H511" s="33">
        <f>G511/$P$4+($C$22/$P$4)</f>
        <v/>
      </c>
      <c r="I511" s="36">
        <f>_xlfn.IFS(K511&lt;K$24,0,K511&lt;K$26,I$24,K511&lt;K$28,I$26,K511&lt;K$30,I$28,K511&lt;K$32,I$30,K511&lt;K$34,I$32,K511&lt;K$36,I$34,K511&lt;K$38,I$36,K511&lt;K$40,I$38,K511&lt;K$42,I$40,K511&lt;K$44,I$42,K511&lt;K$46,I$44,K511&gt;=K$46,I$46)</f>
        <v/>
      </c>
      <c r="J511" s="37">
        <f>_xlfn.IFS(K511&lt;K$24,0,K511&lt;K$25,J$24,K511&lt;K$26,J$25,K511&lt;K$27,J$26,K511&lt;K$28,J$27,K511&lt;K$29,J$28,K511&lt;K$30,J$29,K511&lt;K$31,J$30,K511&lt;K$32,J$31,K511&lt;K$33,J$32,K511&lt;K$34,J$33,K511&lt;K$35,J$34,K511&lt;K$36,J$35,K511&lt;K$37,J$36,K511&lt;K$38,J$37,K511&lt;K$39,J$38,K511&lt;K$40,J$39,K511&lt;K$41,J$40,K511&lt;K$42,J$41,K511&lt;K$43,J$42,K511&lt;K$44,J$43,K511&lt;K$45,J$44,K511&lt;K$46,J$45,K511&lt;K$47,J$46,K511&gt;=K$47,J$47)</f>
        <v/>
      </c>
      <c r="K511" s="38" t="n">
        <v>461</v>
      </c>
      <c r="L511" s="31">
        <f>K511/52</f>
        <v/>
      </c>
      <c r="M511" s="39">
        <f>J511/1000000*52</f>
        <v/>
      </c>
      <c r="N511" s="33">
        <f>M511/$P$4+($I$22/$P$4)</f>
        <v/>
      </c>
      <c r="U511">
        <f>F510</f>
        <v/>
      </c>
      <c r="V511">
        <f>H510</f>
        <v/>
      </c>
      <c r="W511">
        <f>N510</f>
        <v/>
      </c>
    </row>
    <row r="512" ht="15.75" customHeight="1" s="40">
      <c r="C512" s="36">
        <f>_xlfn.IFS(E512&lt;E$24,0,E512&lt;E$26,C$24,E512&lt;E$28,C$26,E512&lt;E$30,C$28,E512&lt;E$32,C$30,E512&lt;E$34,C$32,E512&gt;=E$34,C$34)</f>
        <v/>
      </c>
      <c r="D512" s="37">
        <f>_xlfn.IFS(E512&lt;E$24,0,E512&lt;E$25,D$24,E512&lt;E$26,D$25,E512&lt;E$27,D$26,E512&lt;E$28,D$27,E512&lt;E$29,D$28,E512&lt;E$30,D$29,E512&lt;E$31,D$30,E512&lt;E$32,D$31,E512&lt;E$33,D$32,E512&lt;E$34,D$33,E512&lt;E$35,D$34,E512&gt;=E$35,D$35)</f>
        <v/>
      </c>
      <c r="E512" s="38" t="n">
        <v>462</v>
      </c>
      <c r="F512" s="31">
        <f>E512/52</f>
        <v/>
      </c>
      <c r="G512" s="39">
        <f>D512/1000000*52</f>
        <v/>
      </c>
      <c r="H512" s="33">
        <f>G512/$P$4+($C$22/$P$4)</f>
        <v/>
      </c>
      <c r="I512" s="36">
        <f>_xlfn.IFS(K512&lt;K$24,0,K512&lt;K$26,I$24,K512&lt;K$28,I$26,K512&lt;K$30,I$28,K512&lt;K$32,I$30,K512&lt;K$34,I$32,K512&lt;K$36,I$34,K512&lt;K$38,I$36,K512&lt;K$40,I$38,K512&lt;K$42,I$40,K512&lt;K$44,I$42,K512&lt;K$46,I$44,K512&gt;=K$46,I$46)</f>
        <v/>
      </c>
      <c r="J512" s="37">
        <f>_xlfn.IFS(K512&lt;K$24,0,K512&lt;K$25,J$24,K512&lt;K$26,J$25,K512&lt;K$27,J$26,K512&lt;K$28,J$27,K512&lt;K$29,J$28,K512&lt;K$30,J$29,K512&lt;K$31,J$30,K512&lt;K$32,J$31,K512&lt;K$33,J$32,K512&lt;K$34,J$33,K512&lt;K$35,J$34,K512&lt;K$36,J$35,K512&lt;K$37,J$36,K512&lt;K$38,J$37,K512&lt;K$39,J$38,K512&lt;K$40,J$39,K512&lt;K$41,J$40,K512&lt;K$42,J$41,K512&lt;K$43,J$42,K512&lt;K$44,J$43,K512&lt;K$45,J$44,K512&lt;K$46,J$45,K512&lt;K$47,J$46,K512&gt;=K$47,J$47)</f>
        <v/>
      </c>
      <c r="K512" s="38" t="n">
        <v>462</v>
      </c>
      <c r="L512" s="31">
        <f>K512/52</f>
        <v/>
      </c>
      <c r="M512" s="39">
        <f>J512/1000000*52</f>
        <v/>
      </c>
      <c r="N512" s="33">
        <f>M512/$P$4+($I$22/$P$4)</f>
        <v/>
      </c>
      <c r="U512">
        <f>F511</f>
        <v/>
      </c>
      <c r="V512">
        <f>H511</f>
        <v/>
      </c>
      <c r="W512">
        <f>N511</f>
        <v/>
      </c>
    </row>
    <row r="513" ht="15.75" customHeight="1" s="40">
      <c r="C513" s="36">
        <f>_xlfn.IFS(E513&lt;E$24,0,E513&lt;E$26,C$24,E513&lt;E$28,C$26,E513&lt;E$30,C$28,E513&lt;E$32,C$30,E513&lt;E$34,C$32,E513&gt;=E$34,C$34)</f>
        <v/>
      </c>
      <c r="D513" s="37">
        <f>_xlfn.IFS(E513&lt;E$24,0,E513&lt;E$25,D$24,E513&lt;E$26,D$25,E513&lt;E$27,D$26,E513&lt;E$28,D$27,E513&lt;E$29,D$28,E513&lt;E$30,D$29,E513&lt;E$31,D$30,E513&lt;E$32,D$31,E513&lt;E$33,D$32,E513&lt;E$34,D$33,E513&lt;E$35,D$34,E513&gt;=E$35,D$35)</f>
        <v/>
      </c>
      <c r="E513" s="38" t="n">
        <v>463</v>
      </c>
      <c r="F513" s="31">
        <f>E513/52</f>
        <v/>
      </c>
      <c r="G513" s="39">
        <f>D513/1000000*52</f>
        <v/>
      </c>
      <c r="H513" s="33">
        <f>G513/$P$4+($C$22/$P$4)</f>
        <v/>
      </c>
      <c r="I513" s="36">
        <f>_xlfn.IFS(K513&lt;K$24,0,K513&lt;K$26,I$24,K513&lt;K$28,I$26,K513&lt;K$30,I$28,K513&lt;K$32,I$30,K513&lt;K$34,I$32,K513&lt;K$36,I$34,K513&lt;K$38,I$36,K513&lt;K$40,I$38,K513&lt;K$42,I$40,K513&lt;K$44,I$42,K513&lt;K$46,I$44,K513&gt;=K$46,I$46)</f>
        <v/>
      </c>
      <c r="J513" s="37">
        <f>_xlfn.IFS(K513&lt;K$24,0,K513&lt;K$25,J$24,K513&lt;K$26,J$25,K513&lt;K$27,J$26,K513&lt;K$28,J$27,K513&lt;K$29,J$28,K513&lt;K$30,J$29,K513&lt;K$31,J$30,K513&lt;K$32,J$31,K513&lt;K$33,J$32,K513&lt;K$34,J$33,K513&lt;K$35,J$34,K513&lt;K$36,J$35,K513&lt;K$37,J$36,K513&lt;K$38,J$37,K513&lt;K$39,J$38,K513&lt;K$40,J$39,K513&lt;K$41,J$40,K513&lt;K$42,J$41,K513&lt;K$43,J$42,K513&lt;K$44,J$43,K513&lt;K$45,J$44,K513&lt;K$46,J$45,K513&lt;K$47,J$46,K513&gt;=K$47,J$47)</f>
        <v/>
      </c>
      <c r="K513" s="38" t="n">
        <v>463</v>
      </c>
      <c r="L513" s="31">
        <f>K513/52</f>
        <v/>
      </c>
      <c r="M513" s="39">
        <f>J513/1000000*52</f>
        <v/>
      </c>
      <c r="N513" s="33">
        <f>M513/$P$4+($I$22/$P$4)</f>
        <v/>
      </c>
      <c r="U513">
        <f>F512</f>
        <v/>
      </c>
      <c r="V513">
        <f>H512</f>
        <v/>
      </c>
      <c r="W513">
        <f>N512</f>
        <v/>
      </c>
    </row>
    <row r="514" ht="15.75" customHeight="1" s="40">
      <c r="C514" s="36">
        <f>_xlfn.IFS(E514&lt;E$24,0,E514&lt;E$26,C$24,E514&lt;E$28,C$26,E514&lt;E$30,C$28,E514&lt;E$32,C$30,E514&lt;E$34,C$32,E514&gt;=E$34,C$34)</f>
        <v/>
      </c>
      <c r="D514" s="37">
        <f>_xlfn.IFS(E514&lt;E$24,0,E514&lt;E$25,D$24,E514&lt;E$26,D$25,E514&lt;E$27,D$26,E514&lt;E$28,D$27,E514&lt;E$29,D$28,E514&lt;E$30,D$29,E514&lt;E$31,D$30,E514&lt;E$32,D$31,E514&lt;E$33,D$32,E514&lt;E$34,D$33,E514&lt;E$35,D$34,E514&gt;=E$35,D$35)</f>
        <v/>
      </c>
      <c r="E514" s="38" t="n">
        <v>464</v>
      </c>
      <c r="F514" s="31">
        <f>E514/52</f>
        <v/>
      </c>
      <c r="G514" s="39">
        <f>D514/1000000*52</f>
        <v/>
      </c>
      <c r="H514" s="33">
        <f>G514/$P$4+($C$22/$P$4)</f>
        <v/>
      </c>
      <c r="I514" s="36">
        <f>_xlfn.IFS(K514&lt;K$24,0,K514&lt;K$26,I$24,K514&lt;K$28,I$26,K514&lt;K$30,I$28,K514&lt;K$32,I$30,K514&lt;K$34,I$32,K514&lt;K$36,I$34,K514&lt;K$38,I$36,K514&lt;K$40,I$38,K514&lt;K$42,I$40,K514&lt;K$44,I$42,K514&lt;K$46,I$44,K514&gt;=K$46,I$46)</f>
        <v/>
      </c>
      <c r="J514" s="37">
        <f>_xlfn.IFS(K514&lt;K$24,0,K514&lt;K$25,J$24,K514&lt;K$26,J$25,K514&lt;K$27,J$26,K514&lt;K$28,J$27,K514&lt;K$29,J$28,K514&lt;K$30,J$29,K514&lt;K$31,J$30,K514&lt;K$32,J$31,K514&lt;K$33,J$32,K514&lt;K$34,J$33,K514&lt;K$35,J$34,K514&lt;K$36,J$35,K514&lt;K$37,J$36,K514&lt;K$38,J$37,K514&lt;K$39,J$38,K514&lt;K$40,J$39,K514&lt;K$41,J$40,K514&lt;K$42,J$41,K514&lt;K$43,J$42,K514&lt;K$44,J$43,K514&lt;K$45,J$44,K514&lt;K$46,J$45,K514&lt;K$47,J$46,K514&gt;=K$47,J$47)</f>
        <v/>
      </c>
      <c r="K514" s="38" t="n">
        <v>464</v>
      </c>
      <c r="L514" s="31">
        <f>K514/52</f>
        <v/>
      </c>
      <c r="M514" s="39">
        <f>J514/1000000*52</f>
        <v/>
      </c>
      <c r="N514" s="33">
        <f>M514/$P$4+($I$22/$P$4)</f>
        <v/>
      </c>
      <c r="U514">
        <f>F513</f>
        <v/>
      </c>
      <c r="V514">
        <f>H513</f>
        <v/>
      </c>
      <c r="W514">
        <f>N513</f>
        <v/>
      </c>
    </row>
    <row r="515" ht="15.75" customHeight="1" s="40">
      <c r="C515" s="36">
        <f>_xlfn.IFS(E515&lt;E$24,0,E515&lt;E$26,C$24,E515&lt;E$28,C$26,E515&lt;E$30,C$28,E515&lt;E$32,C$30,E515&lt;E$34,C$32,E515&gt;=E$34,C$34)</f>
        <v/>
      </c>
      <c r="D515" s="37">
        <f>_xlfn.IFS(E515&lt;E$24,0,E515&lt;E$25,D$24,E515&lt;E$26,D$25,E515&lt;E$27,D$26,E515&lt;E$28,D$27,E515&lt;E$29,D$28,E515&lt;E$30,D$29,E515&lt;E$31,D$30,E515&lt;E$32,D$31,E515&lt;E$33,D$32,E515&lt;E$34,D$33,E515&lt;E$35,D$34,E515&gt;=E$35,D$35)</f>
        <v/>
      </c>
      <c r="E515" s="38" t="n">
        <v>465</v>
      </c>
      <c r="F515" s="31">
        <f>E515/52</f>
        <v/>
      </c>
      <c r="G515" s="39">
        <f>D515/1000000*52</f>
        <v/>
      </c>
      <c r="H515" s="33">
        <f>G515/$P$4+($C$22/$P$4)</f>
        <v/>
      </c>
      <c r="I515" s="36">
        <f>_xlfn.IFS(K515&lt;K$24,0,K515&lt;K$26,I$24,K515&lt;K$28,I$26,K515&lt;K$30,I$28,K515&lt;K$32,I$30,K515&lt;K$34,I$32,K515&lt;K$36,I$34,K515&lt;K$38,I$36,K515&lt;K$40,I$38,K515&lt;K$42,I$40,K515&lt;K$44,I$42,K515&lt;K$46,I$44,K515&gt;=K$46,I$46)</f>
        <v/>
      </c>
      <c r="J515" s="37">
        <f>_xlfn.IFS(K515&lt;K$24,0,K515&lt;K$25,J$24,K515&lt;K$26,J$25,K515&lt;K$27,J$26,K515&lt;K$28,J$27,K515&lt;K$29,J$28,K515&lt;K$30,J$29,K515&lt;K$31,J$30,K515&lt;K$32,J$31,K515&lt;K$33,J$32,K515&lt;K$34,J$33,K515&lt;K$35,J$34,K515&lt;K$36,J$35,K515&lt;K$37,J$36,K515&lt;K$38,J$37,K515&lt;K$39,J$38,K515&lt;K$40,J$39,K515&lt;K$41,J$40,K515&lt;K$42,J$41,K515&lt;K$43,J$42,K515&lt;K$44,J$43,K515&lt;K$45,J$44,K515&lt;K$46,J$45,K515&lt;K$47,J$46,K515&gt;=K$47,J$47)</f>
        <v/>
      </c>
      <c r="K515" s="38" t="n">
        <v>465</v>
      </c>
      <c r="L515" s="31">
        <f>K515/52</f>
        <v/>
      </c>
      <c r="M515" s="39">
        <f>J515/1000000*52</f>
        <v/>
      </c>
      <c r="N515" s="33">
        <f>M515/$P$4+($I$22/$P$4)</f>
        <v/>
      </c>
      <c r="U515">
        <f>F514</f>
        <v/>
      </c>
      <c r="V515">
        <f>H514</f>
        <v/>
      </c>
      <c r="W515">
        <f>N514</f>
        <v/>
      </c>
    </row>
    <row r="516" ht="15.75" customHeight="1" s="40">
      <c r="C516" s="36">
        <f>_xlfn.IFS(E516&lt;E$24,0,E516&lt;E$26,C$24,E516&lt;E$28,C$26,E516&lt;E$30,C$28,E516&lt;E$32,C$30,E516&lt;E$34,C$32,E516&gt;=E$34,C$34)</f>
        <v/>
      </c>
      <c r="D516" s="37">
        <f>_xlfn.IFS(E516&lt;E$24,0,E516&lt;E$25,D$24,E516&lt;E$26,D$25,E516&lt;E$27,D$26,E516&lt;E$28,D$27,E516&lt;E$29,D$28,E516&lt;E$30,D$29,E516&lt;E$31,D$30,E516&lt;E$32,D$31,E516&lt;E$33,D$32,E516&lt;E$34,D$33,E516&lt;E$35,D$34,E516&gt;=E$35,D$35)</f>
        <v/>
      </c>
      <c r="E516" s="38" t="n">
        <v>466</v>
      </c>
      <c r="F516" s="31">
        <f>E516/52</f>
        <v/>
      </c>
      <c r="G516" s="39">
        <f>D516/1000000*52</f>
        <v/>
      </c>
      <c r="H516" s="33">
        <f>G516/$P$4+($C$22/$P$4)</f>
        <v/>
      </c>
      <c r="I516" s="36">
        <f>_xlfn.IFS(K516&lt;K$24,0,K516&lt;K$26,I$24,K516&lt;K$28,I$26,K516&lt;K$30,I$28,K516&lt;K$32,I$30,K516&lt;K$34,I$32,K516&lt;K$36,I$34,K516&lt;K$38,I$36,K516&lt;K$40,I$38,K516&lt;K$42,I$40,K516&lt;K$44,I$42,K516&lt;K$46,I$44,K516&gt;=K$46,I$46)</f>
        <v/>
      </c>
      <c r="J516" s="37">
        <f>_xlfn.IFS(K516&lt;K$24,0,K516&lt;K$25,J$24,K516&lt;K$26,J$25,K516&lt;K$27,J$26,K516&lt;K$28,J$27,K516&lt;K$29,J$28,K516&lt;K$30,J$29,K516&lt;K$31,J$30,K516&lt;K$32,J$31,K516&lt;K$33,J$32,K516&lt;K$34,J$33,K516&lt;K$35,J$34,K516&lt;K$36,J$35,K516&lt;K$37,J$36,K516&lt;K$38,J$37,K516&lt;K$39,J$38,K516&lt;K$40,J$39,K516&lt;K$41,J$40,K516&lt;K$42,J$41,K516&lt;K$43,J$42,K516&lt;K$44,J$43,K516&lt;K$45,J$44,K516&lt;K$46,J$45,K516&lt;K$47,J$46,K516&gt;=K$47,J$47)</f>
        <v/>
      </c>
      <c r="K516" s="38" t="n">
        <v>466</v>
      </c>
      <c r="L516" s="31">
        <f>K516/52</f>
        <v/>
      </c>
      <c r="M516" s="39">
        <f>J516/1000000*52</f>
        <v/>
      </c>
      <c r="N516" s="33">
        <f>M516/$P$4+($I$22/$P$4)</f>
        <v/>
      </c>
      <c r="U516">
        <f>F515</f>
        <v/>
      </c>
      <c r="V516">
        <f>H515</f>
        <v/>
      </c>
      <c r="W516">
        <f>N515</f>
        <v/>
      </c>
    </row>
    <row r="517" ht="15.75" customHeight="1" s="40">
      <c r="C517" s="36">
        <f>_xlfn.IFS(E517&lt;E$24,0,E517&lt;E$26,C$24,E517&lt;E$28,C$26,E517&lt;E$30,C$28,E517&lt;E$32,C$30,E517&lt;E$34,C$32,E517&gt;=E$34,C$34)</f>
        <v/>
      </c>
      <c r="D517" s="37">
        <f>_xlfn.IFS(E517&lt;E$24,0,E517&lt;E$25,D$24,E517&lt;E$26,D$25,E517&lt;E$27,D$26,E517&lt;E$28,D$27,E517&lt;E$29,D$28,E517&lt;E$30,D$29,E517&lt;E$31,D$30,E517&lt;E$32,D$31,E517&lt;E$33,D$32,E517&lt;E$34,D$33,E517&lt;E$35,D$34,E517&gt;=E$35,D$35)</f>
        <v/>
      </c>
      <c r="E517" s="38" t="n">
        <v>467</v>
      </c>
      <c r="F517" s="31">
        <f>E517/52</f>
        <v/>
      </c>
      <c r="G517" s="39">
        <f>D517/1000000*52</f>
        <v/>
      </c>
      <c r="H517" s="33">
        <f>G517/$P$4+($C$22/$P$4)</f>
        <v/>
      </c>
      <c r="I517" s="36">
        <f>_xlfn.IFS(K517&lt;K$24,0,K517&lt;K$26,I$24,K517&lt;K$28,I$26,K517&lt;K$30,I$28,K517&lt;K$32,I$30,K517&lt;K$34,I$32,K517&lt;K$36,I$34,K517&lt;K$38,I$36,K517&lt;K$40,I$38,K517&lt;K$42,I$40,K517&lt;K$44,I$42,K517&lt;K$46,I$44,K517&gt;=K$46,I$46)</f>
        <v/>
      </c>
      <c r="J517" s="37">
        <f>_xlfn.IFS(K517&lt;K$24,0,K517&lt;K$25,J$24,K517&lt;K$26,J$25,K517&lt;K$27,J$26,K517&lt;K$28,J$27,K517&lt;K$29,J$28,K517&lt;K$30,J$29,K517&lt;K$31,J$30,K517&lt;K$32,J$31,K517&lt;K$33,J$32,K517&lt;K$34,J$33,K517&lt;K$35,J$34,K517&lt;K$36,J$35,K517&lt;K$37,J$36,K517&lt;K$38,J$37,K517&lt;K$39,J$38,K517&lt;K$40,J$39,K517&lt;K$41,J$40,K517&lt;K$42,J$41,K517&lt;K$43,J$42,K517&lt;K$44,J$43,K517&lt;K$45,J$44,K517&lt;K$46,J$45,K517&lt;K$47,J$46,K517&gt;=K$47,J$47)</f>
        <v/>
      </c>
      <c r="K517" s="38" t="n">
        <v>467</v>
      </c>
      <c r="L517" s="31">
        <f>K517/52</f>
        <v/>
      </c>
      <c r="M517" s="39">
        <f>J517/1000000*52</f>
        <v/>
      </c>
      <c r="N517" s="33">
        <f>M517/$P$4+($I$22/$P$4)</f>
        <v/>
      </c>
      <c r="U517">
        <f>F516</f>
        <v/>
      </c>
      <c r="V517">
        <f>H516</f>
        <v/>
      </c>
      <c r="W517">
        <f>N516</f>
        <v/>
      </c>
    </row>
    <row r="518" ht="15.75" customHeight="1" s="40">
      <c r="C518" s="36">
        <f>_xlfn.IFS(E518&lt;E$24,0,E518&lt;E$26,C$24,E518&lt;E$28,C$26,E518&lt;E$30,C$28,E518&lt;E$32,C$30,E518&lt;E$34,C$32,E518&gt;=E$34,C$34)</f>
        <v/>
      </c>
      <c r="D518" s="37">
        <f>_xlfn.IFS(E518&lt;E$24,0,E518&lt;E$25,D$24,E518&lt;E$26,D$25,E518&lt;E$27,D$26,E518&lt;E$28,D$27,E518&lt;E$29,D$28,E518&lt;E$30,D$29,E518&lt;E$31,D$30,E518&lt;E$32,D$31,E518&lt;E$33,D$32,E518&lt;E$34,D$33,E518&lt;E$35,D$34,E518&gt;=E$35,D$35)</f>
        <v/>
      </c>
      <c r="E518" s="38" t="n">
        <v>468</v>
      </c>
      <c r="F518" s="31">
        <f>E518/52</f>
        <v/>
      </c>
      <c r="G518" s="39">
        <f>D518/1000000*52</f>
        <v/>
      </c>
      <c r="H518" s="33">
        <f>G518/$P$4+($C$22/$P$4)</f>
        <v/>
      </c>
      <c r="I518" s="36">
        <f>_xlfn.IFS(K518&lt;K$24,0,K518&lt;K$26,I$24,K518&lt;K$28,I$26,K518&lt;K$30,I$28,K518&lt;K$32,I$30,K518&lt;K$34,I$32,K518&lt;K$36,I$34,K518&lt;K$38,I$36,K518&lt;K$40,I$38,K518&lt;K$42,I$40,K518&lt;K$44,I$42,K518&lt;K$46,I$44,K518&gt;=K$46,I$46)</f>
        <v/>
      </c>
      <c r="J518" s="37">
        <f>_xlfn.IFS(K518&lt;K$24,0,K518&lt;K$25,J$24,K518&lt;K$26,J$25,K518&lt;K$27,J$26,K518&lt;K$28,J$27,K518&lt;K$29,J$28,K518&lt;K$30,J$29,K518&lt;K$31,J$30,K518&lt;K$32,J$31,K518&lt;K$33,J$32,K518&lt;K$34,J$33,K518&lt;K$35,J$34,K518&lt;K$36,J$35,K518&lt;K$37,J$36,K518&lt;K$38,J$37,K518&lt;K$39,J$38,K518&lt;K$40,J$39,K518&lt;K$41,J$40,K518&lt;K$42,J$41,K518&lt;K$43,J$42,K518&lt;K$44,J$43,K518&lt;K$45,J$44,K518&lt;K$46,J$45,K518&lt;K$47,J$46,K518&gt;=K$47,J$47)</f>
        <v/>
      </c>
      <c r="K518" s="38" t="n">
        <v>468</v>
      </c>
      <c r="L518" s="31">
        <f>K518/52</f>
        <v/>
      </c>
      <c r="M518" s="39">
        <f>J518/1000000*52</f>
        <v/>
      </c>
      <c r="N518" s="33">
        <f>M518/$P$4+($I$22/$P$4)</f>
        <v/>
      </c>
      <c r="U518">
        <f>F517</f>
        <v/>
      </c>
      <c r="V518">
        <f>H517</f>
        <v/>
      </c>
      <c r="W518">
        <f>N517</f>
        <v/>
      </c>
    </row>
    <row r="519" ht="15.75" customHeight="1" s="40">
      <c r="C519" s="36">
        <f>_xlfn.IFS(E519&lt;E$24,0,E519&lt;E$26,C$24,E519&lt;E$28,C$26,E519&lt;E$30,C$28,E519&lt;E$32,C$30,E519&lt;E$34,C$32,E519&gt;=E$34,C$34)</f>
        <v/>
      </c>
      <c r="D519" s="37">
        <f>_xlfn.IFS(E519&lt;E$24,0,E519&lt;E$25,D$24,E519&lt;E$26,D$25,E519&lt;E$27,D$26,E519&lt;E$28,D$27,E519&lt;E$29,D$28,E519&lt;E$30,D$29,E519&lt;E$31,D$30,E519&lt;E$32,D$31,E519&lt;E$33,D$32,E519&lt;E$34,D$33,E519&lt;E$35,D$34,E519&gt;=E$35,D$35)</f>
        <v/>
      </c>
      <c r="E519" s="38" t="n">
        <v>469</v>
      </c>
      <c r="F519" s="31">
        <f>E519/52</f>
        <v/>
      </c>
      <c r="G519" s="39">
        <f>D519/1000000*52</f>
        <v/>
      </c>
      <c r="H519" s="33">
        <f>G519/$P$4+($C$22/$P$4)</f>
        <v/>
      </c>
      <c r="I519" s="36">
        <f>_xlfn.IFS(K519&lt;K$24,0,K519&lt;K$26,I$24,K519&lt;K$28,I$26,K519&lt;K$30,I$28,K519&lt;K$32,I$30,K519&lt;K$34,I$32,K519&lt;K$36,I$34,K519&lt;K$38,I$36,K519&lt;K$40,I$38,K519&lt;K$42,I$40,K519&lt;K$44,I$42,K519&lt;K$46,I$44,K519&gt;=K$46,I$46)</f>
        <v/>
      </c>
      <c r="J519" s="37">
        <f>_xlfn.IFS(K519&lt;K$24,0,K519&lt;K$25,J$24,K519&lt;K$26,J$25,K519&lt;K$27,J$26,K519&lt;K$28,J$27,K519&lt;K$29,J$28,K519&lt;K$30,J$29,K519&lt;K$31,J$30,K519&lt;K$32,J$31,K519&lt;K$33,J$32,K519&lt;K$34,J$33,K519&lt;K$35,J$34,K519&lt;K$36,J$35,K519&lt;K$37,J$36,K519&lt;K$38,J$37,K519&lt;K$39,J$38,K519&lt;K$40,J$39,K519&lt;K$41,J$40,K519&lt;K$42,J$41,K519&lt;K$43,J$42,K519&lt;K$44,J$43,K519&lt;K$45,J$44,K519&lt;K$46,J$45,K519&lt;K$47,J$46,K519&gt;=K$47,J$47)</f>
        <v/>
      </c>
      <c r="K519" s="38" t="n">
        <v>469</v>
      </c>
      <c r="L519" s="31">
        <f>K519/52</f>
        <v/>
      </c>
      <c r="M519" s="39">
        <f>J519/1000000*52</f>
        <v/>
      </c>
      <c r="N519" s="33">
        <f>M519/$P$4+($I$22/$P$4)</f>
        <v/>
      </c>
      <c r="U519">
        <f>F518</f>
        <v/>
      </c>
      <c r="V519">
        <f>H518</f>
        <v/>
      </c>
      <c r="W519">
        <f>N518</f>
        <v/>
      </c>
    </row>
    <row r="520" ht="15.75" customHeight="1" s="40">
      <c r="C520" s="36">
        <f>_xlfn.IFS(E520&lt;E$24,0,E520&lt;E$26,C$24,E520&lt;E$28,C$26,E520&lt;E$30,C$28,E520&lt;E$32,C$30,E520&lt;E$34,C$32,E520&gt;=E$34,C$34)</f>
        <v/>
      </c>
      <c r="D520" s="37">
        <f>_xlfn.IFS(E520&lt;E$24,0,E520&lt;E$25,D$24,E520&lt;E$26,D$25,E520&lt;E$27,D$26,E520&lt;E$28,D$27,E520&lt;E$29,D$28,E520&lt;E$30,D$29,E520&lt;E$31,D$30,E520&lt;E$32,D$31,E520&lt;E$33,D$32,E520&lt;E$34,D$33,E520&lt;E$35,D$34,E520&gt;=E$35,D$35)</f>
        <v/>
      </c>
      <c r="E520" s="38" t="n">
        <v>470</v>
      </c>
      <c r="F520" s="31">
        <f>E520/52</f>
        <v/>
      </c>
      <c r="G520" s="39">
        <f>D520/1000000*52</f>
        <v/>
      </c>
      <c r="H520" s="33">
        <f>G520/$P$4+($C$22/$P$4)</f>
        <v/>
      </c>
      <c r="I520" s="36">
        <f>_xlfn.IFS(K520&lt;K$24,0,K520&lt;K$26,I$24,K520&lt;K$28,I$26,K520&lt;K$30,I$28,K520&lt;K$32,I$30,K520&lt;K$34,I$32,K520&lt;K$36,I$34,K520&lt;K$38,I$36,K520&lt;K$40,I$38,K520&lt;K$42,I$40,K520&lt;K$44,I$42,K520&lt;K$46,I$44,K520&gt;=K$46,I$46)</f>
        <v/>
      </c>
      <c r="J520" s="37">
        <f>_xlfn.IFS(K520&lt;K$24,0,K520&lt;K$25,J$24,K520&lt;K$26,J$25,K520&lt;K$27,J$26,K520&lt;K$28,J$27,K520&lt;K$29,J$28,K520&lt;K$30,J$29,K520&lt;K$31,J$30,K520&lt;K$32,J$31,K520&lt;K$33,J$32,K520&lt;K$34,J$33,K520&lt;K$35,J$34,K520&lt;K$36,J$35,K520&lt;K$37,J$36,K520&lt;K$38,J$37,K520&lt;K$39,J$38,K520&lt;K$40,J$39,K520&lt;K$41,J$40,K520&lt;K$42,J$41,K520&lt;K$43,J$42,K520&lt;K$44,J$43,K520&lt;K$45,J$44,K520&lt;K$46,J$45,K520&lt;K$47,J$46,K520&gt;=K$47,J$47)</f>
        <v/>
      </c>
      <c r="K520" s="38" t="n">
        <v>470</v>
      </c>
      <c r="L520" s="31">
        <f>K520/52</f>
        <v/>
      </c>
      <c r="M520" s="39">
        <f>J520/1000000*52</f>
        <v/>
      </c>
      <c r="N520" s="33">
        <f>M520/$P$4+($I$22/$P$4)</f>
        <v/>
      </c>
      <c r="U520">
        <f>F519</f>
        <v/>
      </c>
      <c r="V520">
        <f>H519</f>
        <v/>
      </c>
      <c r="W520">
        <f>N519</f>
        <v/>
      </c>
    </row>
    <row r="521" ht="15.75" customHeight="1" s="40">
      <c r="C521" s="36">
        <f>_xlfn.IFS(E521&lt;E$24,0,E521&lt;E$26,C$24,E521&lt;E$28,C$26,E521&lt;E$30,C$28,E521&lt;E$32,C$30,E521&lt;E$34,C$32,E521&gt;=E$34,C$34)</f>
        <v/>
      </c>
      <c r="D521" s="37">
        <f>_xlfn.IFS(E521&lt;E$24,0,E521&lt;E$25,D$24,E521&lt;E$26,D$25,E521&lt;E$27,D$26,E521&lt;E$28,D$27,E521&lt;E$29,D$28,E521&lt;E$30,D$29,E521&lt;E$31,D$30,E521&lt;E$32,D$31,E521&lt;E$33,D$32,E521&lt;E$34,D$33,E521&lt;E$35,D$34,E521&gt;=E$35,D$35)</f>
        <v/>
      </c>
      <c r="E521" s="38" t="n">
        <v>471</v>
      </c>
      <c r="F521" s="31">
        <f>E521/52</f>
        <v/>
      </c>
      <c r="G521" s="39">
        <f>D521/1000000*52</f>
        <v/>
      </c>
      <c r="H521" s="33">
        <f>G521/$P$4+($C$22/$P$4)</f>
        <v/>
      </c>
      <c r="I521" s="36">
        <f>_xlfn.IFS(K521&lt;K$24,0,K521&lt;K$26,I$24,K521&lt;K$28,I$26,K521&lt;K$30,I$28,K521&lt;K$32,I$30,K521&lt;K$34,I$32,K521&lt;K$36,I$34,K521&lt;K$38,I$36,K521&lt;K$40,I$38,K521&lt;K$42,I$40,K521&lt;K$44,I$42,K521&lt;K$46,I$44,K521&gt;=K$46,I$46)</f>
        <v/>
      </c>
      <c r="J521" s="37">
        <f>_xlfn.IFS(K521&lt;K$24,0,K521&lt;K$25,J$24,K521&lt;K$26,J$25,K521&lt;K$27,J$26,K521&lt;K$28,J$27,K521&lt;K$29,J$28,K521&lt;K$30,J$29,K521&lt;K$31,J$30,K521&lt;K$32,J$31,K521&lt;K$33,J$32,K521&lt;K$34,J$33,K521&lt;K$35,J$34,K521&lt;K$36,J$35,K521&lt;K$37,J$36,K521&lt;K$38,J$37,K521&lt;K$39,J$38,K521&lt;K$40,J$39,K521&lt;K$41,J$40,K521&lt;K$42,J$41,K521&lt;K$43,J$42,K521&lt;K$44,J$43,K521&lt;K$45,J$44,K521&lt;K$46,J$45,K521&lt;K$47,J$46,K521&gt;=K$47,J$47)</f>
        <v/>
      </c>
      <c r="K521" s="38" t="n">
        <v>471</v>
      </c>
      <c r="L521" s="31">
        <f>K521/52</f>
        <v/>
      </c>
      <c r="M521" s="39">
        <f>J521/1000000*52</f>
        <v/>
      </c>
      <c r="N521" s="33">
        <f>M521/$P$4+($I$22/$P$4)</f>
        <v/>
      </c>
      <c r="U521">
        <f>F520</f>
        <v/>
      </c>
      <c r="V521">
        <f>H520</f>
        <v/>
      </c>
      <c r="W521">
        <f>N520</f>
        <v/>
      </c>
    </row>
    <row r="522" ht="15.75" customHeight="1" s="40">
      <c r="C522" s="36">
        <f>_xlfn.IFS(E522&lt;E$24,0,E522&lt;E$26,C$24,E522&lt;E$28,C$26,E522&lt;E$30,C$28,E522&lt;E$32,C$30,E522&lt;E$34,C$32,E522&gt;=E$34,C$34)</f>
        <v/>
      </c>
      <c r="D522" s="37">
        <f>_xlfn.IFS(E522&lt;E$24,0,E522&lt;E$25,D$24,E522&lt;E$26,D$25,E522&lt;E$27,D$26,E522&lt;E$28,D$27,E522&lt;E$29,D$28,E522&lt;E$30,D$29,E522&lt;E$31,D$30,E522&lt;E$32,D$31,E522&lt;E$33,D$32,E522&lt;E$34,D$33,E522&lt;E$35,D$34,E522&gt;=E$35,D$35)</f>
        <v/>
      </c>
      <c r="E522" s="38" t="n">
        <v>472</v>
      </c>
      <c r="F522" s="31">
        <f>E522/52</f>
        <v/>
      </c>
      <c r="G522" s="39">
        <f>D522/1000000*52</f>
        <v/>
      </c>
      <c r="H522" s="33">
        <f>G522/$P$4+($C$22/$P$4)</f>
        <v/>
      </c>
      <c r="I522" s="36">
        <f>_xlfn.IFS(K522&lt;K$24,0,K522&lt;K$26,I$24,K522&lt;K$28,I$26,K522&lt;K$30,I$28,K522&lt;K$32,I$30,K522&lt;K$34,I$32,K522&lt;K$36,I$34,K522&lt;K$38,I$36,K522&lt;K$40,I$38,K522&lt;K$42,I$40,K522&lt;K$44,I$42,K522&lt;K$46,I$44,K522&gt;=K$46,I$46)</f>
        <v/>
      </c>
      <c r="J522" s="37">
        <f>_xlfn.IFS(K522&lt;K$24,0,K522&lt;K$25,J$24,K522&lt;K$26,J$25,K522&lt;K$27,J$26,K522&lt;K$28,J$27,K522&lt;K$29,J$28,K522&lt;K$30,J$29,K522&lt;K$31,J$30,K522&lt;K$32,J$31,K522&lt;K$33,J$32,K522&lt;K$34,J$33,K522&lt;K$35,J$34,K522&lt;K$36,J$35,K522&lt;K$37,J$36,K522&lt;K$38,J$37,K522&lt;K$39,J$38,K522&lt;K$40,J$39,K522&lt;K$41,J$40,K522&lt;K$42,J$41,K522&lt;K$43,J$42,K522&lt;K$44,J$43,K522&lt;K$45,J$44,K522&lt;K$46,J$45,K522&lt;K$47,J$46,K522&gt;=K$47,J$47)</f>
        <v/>
      </c>
      <c r="K522" s="38" t="n">
        <v>472</v>
      </c>
      <c r="L522" s="31">
        <f>K522/52</f>
        <v/>
      </c>
      <c r="M522" s="39">
        <f>J522/1000000*52</f>
        <v/>
      </c>
      <c r="N522" s="33">
        <f>M522/$P$4+($I$22/$P$4)</f>
        <v/>
      </c>
      <c r="U522">
        <f>F521</f>
        <v/>
      </c>
      <c r="V522">
        <f>H521</f>
        <v/>
      </c>
      <c r="W522">
        <f>N521</f>
        <v/>
      </c>
    </row>
    <row r="523" ht="15.75" customHeight="1" s="40">
      <c r="C523" s="36">
        <f>_xlfn.IFS(E523&lt;E$24,0,E523&lt;E$26,C$24,E523&lt;E$28,C$26,E523&lt;E$30,C$28,E523&lt;E$32,C$30,E523&lt;E$34,C$32,E523&gt;=E$34,C$34)</f>
        <v/>
      </c>
      <c r="D523" s="37">
        <f>_xlfn.IFS(E523&lt;E$24,0,E523&lt;E$25,D$24,E523&lt;E$26,D$25,E523&lt;E$27,D$26,E523&lt;E$28,D$27,E523&lt;E$29,D$28,E523&lt;E$30,D$29,E523&lt;E$31,D$30,E523&lt;E$32,D$31,E523&lt;E$33,D$32,E523&lt;E$34,D$33,E523&lt;E$35,D$34,E523&gt;=E$35,D$35)</f>
        <v/>
      </c>
      <c r="E523" s="38" t="n">
        <v>473</v>
      </c>
      <c r="F523" s="31">
        <f>E523/52</f>
        <v/>
      </c>
      <c r="G523" s="39">
        <f>D523/1000000*52</f>
        <v/>
      </c>
      <c r="H523" s="33">
        <f>G523/$P$4+($C$22/$P$4)</f>
        <v/>
      </c>
      <c r="I523" s="36">
        <f>_xlfn.IFS(K523&lt;K$24,0,K523&lt;K$26,I$24,K523&lt;K$28,I$26,K523&lt;K$30,I$28,K523&lt;K$32,I$30,K523&lt;K$34,I$32,K523&lt;K$36,I$34,K523&lt;K$38,I$36,K523&lt;K$40,I$38,K523&lt;K$42,I$40,K523&lt;K$44,I$42,K523&lt;K$46,I$44,K523&gt;=K$46,I$46)</f>
        <v/>
      </c>
      <c r="J523" s="37">
        <f>_xlfn.IFS(K523&lt;K$24,0,K523&lt;K$25,J$24,K523&lt;K$26,J$25,K523&lt;K$27,J$26,K523&lt;K$28,J$27,K523&lt;K$29,J$28,K523&lt;K$30,J$29,K523&lt;K$31,J$30,K523&lt;K$32,J$31,K523&lt;K$33,J$32,K523&lt;K$34,J$33,K523&lt;K$35,J$34,K523&lt;K$36,J$35,K523&lt;K$37,J$36,K523&lt;K$38,J$37,K523&lt;K$39,J$38,K523&lt;K$40,J$39,K523&lt;K$41,J$40,K523&lt;K$42,J$41,K523&lt;K$43,J$42,K523&lt;K$44,J$43,K523&lt;K$45,J$44,K523&lt;K$46,J$45,K523&lt;K$47,J$46,K523&gt;=K$47,J$47)</f>
        <v/>
      </c>
      <c r="K523" s="38" t="n">
        <v>473</v>
      </c>
      <c r="L523" s="31">
        <f>K523/52</f>
        <v/>
      </c>
      <c r="M523" s="39">
        <f>J523/1000000*52</f>
        <v/>
      </c>
      <c r="N523" s="33">
        <f>M523/$P$4+($I$22/$P$4)</f>
        <v/>
      </c>
      <c r="U523">
        <f>F522</f>
        <v/>
      </c>
      <c r="V523">
        <f>H522</f>
        <v/>
      </c>
      <c r="W523">
        <f>N522</f>
        <v/>
      </c>
    </row>
    <row r="524" ht="15.75" customHeight="1" s="40">
      <c r="C524" s="36">
        <f>_xlfn.IFS(E524&lt;E$24,0,E524&lt;E$26,C$24,E524&lt;E$28,C$26,E524&lt;E$30,C$28,E524&lt;E$32,C$30,E524&lt;E$34,C$32,E524&gt;=E$34,C$34)</f>
        <v/>
      </c>
      <c r="D524" s="37">
        <f>_xlfn.IFS(E524&lt;E$24,0,E524&lt;E$25,D$24,E524&lt;E$26,D$25,E524&lt;E$27,D$26,E524&lt;E$28,D$27,E524&lt;E$29,D$28,E524&lt;E$30,D$29,E524&lt;E$31,D$30,E524&lt;E$32,D$31,E524&lt;E$33,D$32,E524&lt;E$34,D$33,E524&lt;E$35,D$34,E524&gt;=E$35,D$35)</f>
        <v/>
      </c>
      <c r="E524" s="38" t="n">
        <v>474</v>
      </c>
      <c r="F524" s="31">
        <f>E524/52</f>
        <v/>
      </c>
      <c r="G524" s="39">
        <f>D524/1000000*52</f>
        <v/>
      </c>
      <c r="H524" s="33">
        <f>G524/$P$4+($C$22/$P$4)</f>
        <v/>
      </c>
      <c r="I524" s="36">
        <f>_xlfn.IFS(K524&lt;K$24,0,K524&lt;K$26,I$24,K524&lt;K$28,I$26,K524&lt;K$30,I$28,K524&lt;K$32,I$30,K524&lt;K$34,I$32,K524&lt;K$36,I$34,K524&lt;K$38,I$36,K524&lt;K$40,I$38,K524&lt;K$42,I$40,K524&lt;K$44,I$42,K524&lt;K$46,I$44,K524&gt;=K$46,I$46)</f>
        <v/>
      </c>
      <c r="J524" s="37">
        <f>_xlfn.IFS(K524&lt;K$24,0,K524&lt;K$25,J$24,K524&lt;K$26,J$25,K524&lt;K$27,J$26,K524&lt;K$28,J$27,K524&lt;K$29,J$28,K524&lt;K$30,J$29,K524&lt;K$31,J$30,K524&lt;K$32,J$31,K524&lt;K$33,J$32,K524&lt;K$34,J$33,K524&lt;K$35,J$34,K524&lt;K$36,J$35,K524&lt;K$37,J$36,K524&lt;K$38,J$37,K524&lt;K$39,J$38,K524&lt;K$40,J$39,K524&lt;K$41,J$40,K524&lt;K$42,J$41,K524&lt;K$43,J$42,K524&lt;K$44,J$43,K524&lt;K$45,J$44,K524&lt;K$46,J$45,K524&lt;K$47,J$46,K524&gt;=K$47,J$47)</f>
        <v/>
      </c>
      <c r="K524" s="38" t="n">
        <v>474</v>
      </c>
      <c r="L524" s="31">
        <f>K524/52</f>
        <v/>
      </c>
      <c r="M524" s="39">
        <f>J524/1000000*52</f>
        <v/>
      </c>
      <c r="N524" s="33">
        <f>M524/$P$4+($I$22/$P$4)</f>
        <v/>
      </c>
      <c r="U524">
        <f>F523</f>
        <v/>
      </c>
      <c r="V524">
        <f>H523</f>
        <v/>
      </c>
      <c r="W524">
        <f>N523</f>
        <v/>
      </c>
    </row>
    <row r="525" ht="15.75" customHeight="1" s="40">
      <c r="C525" s="36">
        <f>_xlfn.IFS(E525&lt;E$24,0,E525&lt;E$26,C$24,E525&lt;E$28,C$26,E525&lt;E$30,C$28,E525&lt;E$32,C$30,E525&lt;E$34,C$32,E525&gt;=E$34,C$34)</f>
        <v/>
      </c>
      <c r="D525" s="37">
        <f>_xlfn.IFS(E525&lt;E$24,0,E525&lt;E$25,D$24,E525&lt;E$26,D$25,E525&lt;E$27,D$26,E525&lt;E$28,D$27,E525&lt;E$29,D$28,E525&lt;E$30,D$29,E525&lt;E$31,D$30,E525&lt;E$32,D$31,E525&lt;E$33,D$32,E525&lt;E$34,D$33,E525&lt;E$35,D$34,E525&gt;=E$35,D$35)</f>
        <v/>
      </c>
      <c r="E525" s="38" t="n">
        <v>475</v>
      </c>
      <c r="F525" s="31">
        <f>E525/52</f>
        <v/>
      </c>
      <c r="G525" s="39">
        <f>D525/1000000*52</f>
        <v/>
      </c>
      <c r="H525" s="33">
        <f>G525/$P$4+($C$22/$P$4)</f>
        <v/>
      </c>
      <c r="I525" s="36">
        <f>_xlfn.IFS(K525&lt;K$24,0,K525&lt;K$26,I$24,K525&lt;K$28,I$26,K525&lt;K$30,I$28,K525&lt;K$32,I$30,K525&lt;K$34,I$32,K525&lt;K$36,I$34,K525&lt;K$38,I$36,K525&lt;K$40,I$38,K525&lt;K$42,I$40,K525&lt;K$44,I$42,K525&lt;K$46,I$44,K525&gt;=K$46,I$46)</f>
        <v/>
      </c>
      <c r="J525" s="37">
        <f>_xlfn.IFS(K525&lt;K$24,0,K525&lt;K$25,J$24,K525&lt;K$26,J$25,K525&lt;K$27,J$26,K525&lt;K$28,J$27,K525&lt;K$29,J$28,K525&lt;K$30,J$29,K525&lt;K$31,J$30,K525&lt;K$32,J$31,K525&lt;K$33,J$32,K525&lt;K$34,J$33,K525&lt;K$35,J$34,K525&lt;K$36,J$35,K525&lt;K$37,J$36,K525&lt;K$38,J$37,K525&lt;K$39,J$38,K525&lt;K$40,J$39,K525&lt;K$41,J$40,K525&lt;K$42,J$41,K525&lt;K$43,J$42,K525&lt;K$44,J$43,K525&lt;K$45,J$44,K525&lt;K$46,J$45,K525&lt;K$47,J$46,K525&gt;=K$47,J$47)</f>
        <v/>
      </c>
      <c r="K525" s="38" t="n">
        <v>475</v>
      </c>
      <c r="L525" s="31">
        <f>K525/52</f>
        <v/>
      </c>
      <c r="M525" s="39">
        <f>J525/1000000*52</f>
        <v/>
      </c>
      <c r="N525" s="33">
        <f>M525/$P$4+($I$22/$P$4)</f>
        <v/>
      </c>
      <c r="U525">
        <f>F524</f>
        <v/>
      </c>
      <c r="V525">
        <f>H524</f>
        <v/>
      </c>
      <c r="W525">
        <f>N524</f>
        <v/>
      </c>
    </row>
    <row r="526" ht="15.75" customHeight="1" s="40">
      <c r="C526" s="36">
        <f>_xlfn.IFS(E526&lt;E$24,0,E526&lt;E$26,C$24,E526&lt;E$28,C$26,E526&lt;E$30,C$28,E526&lt;E$32,C$30,E526&lt;E$34,C$32,E526&gt;=E$34,C$34)</f>
        <v/>
      </c>
      <c r="D526" s="37">
        <f>_xlfn.IFS(E526&lt;E$24,0,E526&lt;E$25,D$24,E526&lt;E$26,D$25,E526&lt;E$27,D$26,E526&lt;E$28,D$27,E526&lt;E$29,D$28,E526&lt;E$30,D$29,E526&lt;E$31,D$30,E526&lt;E$32,D$31,E526&lt;E$33,D$32,E526&lt;E$34,D$33,E526&lt;E$35,D$34,E526&gt;=E$35,D$35)</f>
        <v/>
      </c>
      <c r="E526" s="38" t="n">
        <v>476</v>
      </c>
      <c r="F526" s="31">
        <f>E526/52</f>
        <v/>
      </c>
      <c r="G526" s="39">
        <f>D526/1000000*52</f>
        <v/>
      </c>
      <c r="H526" s="33">
        <f>G526/$P$4+($C$22/$P$4)</f>
        <v/>
      </c>
      <c r="I526" s="36">
        <f>_xlfn.IFS(K526&lt;K$24,0,K526&lt;K$26,I$24,K526&lt;K$28,I$26,K526&lt;K$30,I$28,K526&lt;K$32,I$30,K526&lt;K$34,I$32,K526&lt;K$36,I$34,K526&lt;K$38,I$36,K526&lt;K$40,I$38,K526&lt;K$42,I$40,K526&lt;K$44,I$42,K526&lt;K$46,I$44,K526&gt;=K$46,I$46)</f>
        <v/>
      </c>
      <c r="J526" s="37">
        <f>_xlfn.IFS(K526&lt;K$24,0,K526&lt;K$25,J$24,K526&lt;K$26,J$25,K526&lt;K$27,J$26,K526&lt;K$28,J$27,K526&lt;K$29,J$28,K526&lt;K$30,J$29,K526&lt;K$31,J$30,K526&lt;K$32,J$31,K526&lt;K$33,J$32,K526&lt;K$34,J$33,K526&lt;K$35,J$34,K526&lt;K$36,J$35,K526&lt;K$37,J$36,K526&lt;K$38,J$37,K526&lt;K$39,J$38,K526&lt;K$40,J$39,K526&lt;K$41,J$40,K526&lt;K$42,J$41,K526&lt;K$43,J$42,K526&lt;K$44,J$43,K526&lt;K$45,J$44,K526&lt;K$46,J$45,K526&lt;K$47,J$46,K526&gt;=K$47,J$47)</f>
        <v/>
      </c>
      <c r="K526" s="38" t="n">
        <v>476</v>
      </c>
      <c r="L526" s="31">
        <f>K526/52</f>
        <v/>
      </c>
      <c r="M526" s="39">
        <f>J526/1000000*52</f>
        <v/>
      </c>
      <c r="N526" s="33">
        <f>M526/$P$4+($I$22/$P$4)</f>
        <v/>
      </c>
      <c r="U526">
        <f>F525</f>
        <v/>
      </c>
      <c r="V526">
        <f>H525</f>
        <v/>
      </c>
      <c r="W526">
        <f>N525</f>
        <v/>
      </c>
    </row>
    <row r="527" ht="15.75" customHeight="1" s="40">
      <c r="C527" s="36">
        <f>_xlfn.IFS(E527&lt;E$24,0,E527&lt;E$26,C$24,E527&lt;E$28,C$26,E527&lt;E$30,C$28,E527&lt;E$32,C$30,E527&lt;E$34,C$32,E527&gt;=E$34,C$34)</f>
        <v/>
      </c>
      <c r="D527" s="37">
        <f>_xlfn.IFS(E527&lt;E$24,0,E527&lt;E$25,D$24,E527&lt;E$26,D$25,E527&lt;E$27,D$26,E527&lt;E$28,D$27,E527&lt;E$29,D$28,E527&lt;E$30,D$29,E527&lt;E$31,D$30,E527&lt;E$32,D$31,E527&lt;E$33,D$32,E527&lt;E$34,D$33,E527&lt;E$35,D$34,E527&gt;=E$35,D$35)</f>
        <v/>
      </c>
      <c r="E527" s="38" t="n">
        <v>477</v>
      </c>
      <c r="F527" s="31">
        <f>E527/52</f>
        <v/>
      </c>
      <c r="G527" s="39">
        <f>D527/1000000*52</f>
        <v/>
      </c>
      <c r="H527" s="33">
        <f>G527/$P$4+($C$22/$P$4)</f>
        <v/>
      </c>
      <c r="I527" s="36">
        <f>_xlfn.IFS(K527&lt;K$24,0,K527&lt;K$26,I$24,K527&lt;K$28,I$26,K527&lt;K$30,I$28,K527&lt;K$32,I$30,K527&lt;K$34,I$32,K527&lt;K$36,I$34,K527&lt;K$38,I$36,K527&lt;K$40,I$38,K527&lt;K$42,I$40,K527&lt;K$44,I$42,K527&lt;K$46,I$44,K527&gt;=K$46,I$46)</f>
        <v/>
      </c>
      <c r="J527" s="37">
        <f>_xlfn.IFS(K527&lt;K$24,0,K527&lt;K$25,J$24,K527&lt;K$26,J$25,K527&lt;K$27,J$26,K527&lt;K$28,J$27,K527&lt;K$29,J$28,K527&lt;K$30,J$29,K527&lt;K$31,J$30,K527&lt;K$32,J$31,K527&lt;K$33,J$32,K527&lt;K$34,J$33,K527&lt;K$35,J$34,K527&lt;K$36,J$35,K527&lt;K$37,J$36,K527&lt;K$38,J$37,K527&lt;K$39,J$38,K527&lt;K$40,J$39,K527&lt;K$41,J$40,K527&lt;K$42,J$41,K527&lt;K$43,J$42,K527&lt;K$44,J$43,K527&lt;K$45,J$44,K527&lt;K$46,J$45,K527&lt;K$47,J$46,K527&gt;=K$47,J$47)</f>
        <v/>
      </c>
      <c r="K527" s="38" t="n">
        <v>477</v>
      </c>
      <c r="L527" s="31">
        <f>K527/52</f>
        <v/>
      </c>
      <c r="M527" s="39">
        <f>J527/1000000*52</f>
        <v/>
      </c>
      <c r="N527" s="33">
        <f>M527/$P$4+($I$22/$P$4)</f>
        <v/>
      </c>
      <c r="U527">
        <f>F526</f>
        <v/>
      </c>
      <c r="V527">
        <f>H526</f>
        <v/>
      </c>
      <c r="W527">
        <f>N526</f>
        <v/>
      </c>
    </row>
    <row r="528" ht="15.75" customHeight="1" s="40">
      <c r="C528" s="36">
        <f>_xlfn.IFS(E528&lt;E$24,0,E528&lt;E$26,C$24,E528&lt;E$28,C$26,E528&lt;E$30,C$28,E528&lt;E$32,C$30,E528&lt;E$34,C$32,E528&gt;=E$34,C$34)</f>
        <v/>
      </c>
      <c r="D528" s="37">
        <f>_xlfn.IFS(E528&lt;E$24,0,E528&lt;E$25,D$24,E528&lt;E$26,D$25,E528&lt;E$27,D$26,E528&lt;E$28,D$27,E528&lt;E$29,D$28,E528&lt;E$30,D$29,E528&lt;E$31,D$30,E528&lt;E$32,D$31,E528&lt;E$33,D$32,E528&lt;E$34,D$33,E528&lt;E$35,D$34,E528&gt;=E$35,D$35)</f>
        <v/>
      </c>
      <c r="E528" s="38" t="n">
        <v>478</v>
      </c>
      <c r="F528" s="31">
        <f>E528/52</f>
        <v/>
      </c>
      <c r="G528" s="39">
        <f>D528/1000000*52</f>
        <v/>
      </c>
      <c r="H528" s="33">
        <f>G528/$P$4+($C$22/$P$4)</f>
        <v/>
      </c>
      <c r="I528" s="36">
        <f>_xlfn.IFS(K528&lt;K$24,0,K528&lt;K$26,I$24,K528&lt;K$28,I$26,K528&lt;K$30,I$28,K528&lt;K$32,I$30,K528&lt;K$34,I$32,K528&lt;K$36,I$34,K528&lt;K$38,I$36,K528&lt;K$40,I$38,K528&lt;K$42,I$40,K528&lt;K$44,I$42,K528&lt;K$46,I$44,K528&gt;=K$46,I$46)</f>
        <v/>
      </c>
      <c r="J528" s="37">
        <f>_xlfn.IFS(K528&lt;K$24,0,K528&lt;K$25,J$24,K528&lt;K$26,J$25,K528&lt;K$27,J$26,K528&lt;K$28,J$27,K528&lt;K$29,J$28,K528&lt;K$30,J$29,K528&lt;K$31,J$30,K528&lt;K$32,J$31,K528&lt;K$33,J$32,K528&lt;K$34,J$33,K528&lt;K$35,J$34,K528&lt;K$36,J$35,K528&lt;K$37,J$36,K528&lt;K$38,J$37,K528&lt;K$39,J$38,K528&lt;K$40,J$39,K528&lt;K$41,J$40,K528&lt;K$42,J$41,K528&lt;K$43,J$42,K528&lt;K$44,J$43,K528&lt;K$45,J$44,K528&lt;K$46,J$45,K528&lt;K$47,J$46,K528&gt;=K$47,J$47)</f>
        <v/>
      </c>
      <c r="K528" s="38" t="n">
        <v>478</v>
      </c>
      <c r="L528" s="31">
        <f>K528/52</f>
        <v/>
      </c>
      <c r="M528" s="39">
        <f>J528/1000000*52</f>
        <v/>
      </c>
      <c r="N528" s="33">
        <f>M528/$P$4+($I$22/$P$4)</f>
        <v/>
      </c>
      <c r="U528">
        <f>F527</f>
        <v/>
      </c>
      <c r="V528">
        <f>H527</f>
        <v/>
      </c>
      <c r="W528">
        <f>N527</f>
        <v/>
      </c>
    </row>
    <row r="529" ht="15.75" customHeight="1" s="40">
      <c r="C529" s="36">
        <f>_xlfn.IFS(E529&lt;E$24,0,E529&lt;E$26,C$24,E529&lt;E$28,C$26,E529&lt;E$30,C$28,E529&lt;E$32,C$30,E529&lt;E$34,C$32,E529&gt;=E$34,C$34)</f>
        <v/>
      </c>
      <c r="D529" s="37">
        <f>_xlfn.IFS(E529&lt;E$24,0,E529&lt;E$25,D$24,E529&lt;E$26,D$25,E529&lt;E$27,D$26,E529&lt;E$28,D$27,E529&lt;E$29,D$28,E529&lt;E$30,D$29,E529&lt;E$31,D$30,E529&lt;E$32,D$31,E529&lt;E$33,D$32,E529&lt;E$34,D$33,E529&lt;E$35,D$34,E529&gt;=E$35,D$35)</f>
        <v/>
      </c>
      <c r="E529" s="38" t="n">
        <v>479</v>
      </c>
      <c r="F529" s="31">
        <f>E529/52</f>
        <v/>
      </c>
      <c r="G529" s="39">
        <f>D529/1000000*52</f>
        <v/>
      </c>
      <c r="H529" s="33">
        <f>G529/$P$4+($C$22/$P$4)</f>
        <v/>
      </c>
      <c r="I529" s="36">
        <f>_xlfn.IFS(K529&lt;K$24,0,K529&lt;K$26,I$24,K529&lt;K$28,I$26,K529&lt;K$30,I$28,K529&lt;K$32,I$30,K529&lt;K$34,I$32,K529&lt;K$36,I$34,K529&lt;K$38,I$36,K529&lt;K$40,I$38,K529&lt;K$42,I$40,K529&lt;K$44,I$42,K529&lt;K$46,I$44,K529&gt;=K$46,I$46)</f>
        <v/>
      </c>
      <c r="J529" s="37">
        <f>_xlfn.IFS(K529&lt;K$24,0,K529&lt;K$25,J$24,K529&lt;K$26,J$25,K529&lt;K$27,J$26,K529&lt;K$28,J$27,K529&lt;K$29,J$28,K529&lt;K$30,J$29,K529&lt;K$31,J$30,K529&lt;K$32,J$31,K529&lt;K$33,J$32,K529&lt;K$34,J$33,K529&lt;K$35,J$34,K529&lt;K$36,J$35,K529&lt;K$37,J$36,K529&lt;K$38,J$37,K529&lt;K$39,J$38,K529&lt;K$40,J$39,K529&lt;K$41,J$40,K529&lt;K$42,J$41,K529&lt;K$43,J$42,K529&lt;K$44,J$43,K529&lt;K$45,J$44,K529&lt;K$46,J$45,K529&lt;K$47,J$46,K529&gt;=K$47,J$47)</f>
        <v/>
      </c>
      <c r="K529" s="38" t="n">
        <v>479</v>
      </c>
      <c r="L529" s="31">
        <f>K529/52</f>
        <v/>
      </c>
      <c r="M529" s="39">
        <f>J529/1000000*52</f>
        <v/>
      </c>
      <c r="N529" s="33">
        <f>M529/$P$4+($I$22/$P$4)</f>
        <v/>
      </c>
      <c r="U529">
        <f>F528</f>
        <v/>
      </c>
      <c r="V529">
        <f>H528</f>
        <v/>
      </c>
      <c r="W529">
        <f>N528</f>
        <v/>
      </c>
    </row>
    <row r="530" ht="15.75" customHeight="1" s="40">
      <c r="C530" s="36">
        <f>_xlfn.IFS(E530&lt;E$24,0,E530&lt;E$26,C$24,E530&lt;E$28,C$26,E530&lt;E$30,C$28,E530&lt;E$32,C$30,E530&lt;E$34,C$32,E530&gt;=E$34,C$34)</f>
        <v/>
      </c>
      <c r="D530" s="37">
        <f>_xlfn.IFS(E530&lt;E$24,0,E530&lt;E$25,D$24,E530&lt;E$26,D$25,E530&lt;E$27,D$26,E530&lt;E$28,D$27,E530&lt;E$29,D$28,E530&lt;E$30,D$29,E530&lt;E$31,D$30,E530&lt;E$32,D$31,E530&lt;E$33,D$32,E530&lt;E$34,D$33,E530&lt;E$35,D$34,E530&gt;=E$35,D$35)</f>
        <v/>
      </c>
      <c r="E530" s="38" t="n">
        <v>480</v>
      </c>
      <c r="F530" s="31">
        <f>E530/52</f>
        <v/>
      </c>
      <c r="G530" s="39">
        <f>D530/1000000*52</f>
        <v/>
      </c>
      <c r="H530" s="33">
        <f>G530/$P$4+($C$22/$P$4)</f>
        <v/>
      </c>
      <c r="I530" s="36">
        <f>_xlfn.IFS(K530&lt;K$24,0,K530&lt;K$26,I$24,K530&lt;K$28,I$26,K530&lt;K$30,I$28,K530&lt;K$32,I$30,K530&lt;K$34,I$32,K530&lt;K$36,I$34,K530&lt;K$38,I$36,K530&lt;K$40,I$38,K530&lt;K$42,I$40,K530&lt;K$44,I$42,K530&lt;K$46,I$44,K530&gt;=K$46,I$46)</f>
        <v/>
      </c>
      <c r="J530" s="37">
        <f>_xlfn.IFS(K530&lt;K$24,0,K530&lt;K$25,J$24,K530&lt;K$26,J$25,K530&lt;K$27,J$26,K530&lt;K$28,J$27,K530&lt;K$29,J$28,K530&lt;K$30,J$29,K530&lt;K$31,J$30,K530&lt;K$32,J$31,K530&lt;K$33,J$32,K530&lt;K$34,J$33,K530&lt;K$35,J$34,K530&lt;K$36,J$35,K530&lt;K$37,J$36,K530&lt;K$38,J$37,K530&lt;K$39,J$38,K530&lt;K$40,J$39,K530&lt;K$41,J$40,K530&lt;K$42,J$41,K530&lt;K$43,J$42,K530&lt;K$44,J$43,K530&lt;K$45,J$44,K530&lt;K$46,J$45,K530&lt;K$47,J$46,K530&gt;=K$47,J$47)</f>
        <v/>
      </c>
      <c r="K530" s="38" t="n">
        <v>480</v>
      </c>
      <c r="L530" s="31">
        <f>K530/52</f>
        <v/>
      </c>
      <c r="M530" s="39">
        <f>J530/1000000*52</f>
        <v/>
      </c>
      <c r="N530" s="33">
        <f>M530/$P$4+($I$22/$P$4)</f>
        <v/>
      </c>
      <c r="U530">
        <f>F529</f>
        <v/>
      </c>
      <c r="V530">
        <f>H529</f>
        <v/>
      </c>
      <c r="W530">
        <f>N529</f>
        <v/>
      </c>
    </row>
    <row r="531" ht="15.75" customHeight="1" s="40">
      <c r="C531" s="36">
        <f>_xlfn.IFS(E531&lt;E$24,0,E531&lt;E$26,C$24,E531&lt;E$28,C$26,E531&lt;E$30,C$28,E531&lt;E$32,C$30,E531&lt;E$34,C$32,E531&gt;=E$34,C$34)</f>
        <v/>
      </c>
      <c r="D531" s="37">
        <f>_xlfn.IFS(E531&lt;E$24,0,E531&lt;E$25,D$24,E531&lt;E$26,D$25,E531&lt;E$27,D$26,E531&lt;E$28,D$27,E531&lt;E$29,D$28,E531&lt;E$30,D$29,E531&lt;E$31,D$30,E531&lt;E$32,D$31,E531&lt;E$33,D$32,E531&lt;E$34,D$33,E531&lt;E$35,D$34,E531&gt;=E$35,D$35)</f>
        <v/>
      </c>
      <c r="E531" s="38" t="n">
        <v>481</v>
      </c>
      <c r="F531" s="31">
        <f>E531/52</f>
        <v/>
      </c>
      <c r="G531" s="39">
        <f>D531/1000000*52</f>
        <v/>
      </c>
      <c r="H531" s="33">
        <f>G531/$P$4+($C$22/$P$4)</f>
        <v/>
      </c>
      <c r="I531" s="36">
        <f>_xlfn.IFS(K531&lt;K$24,0,K531&lt;K$26,I$24,K531&lt;K$28,I$26,K531&lt;K$30,I$28,K531&lt;K$32,I$30,K531&lt;K$34,I$32,K531&lt;K$36,I$34,K531&lt;K$38,I$36,K531&lt;K$40,I$38,K531&lt;K$42,I$40,K531&lt;K$44,I$42,K531&lt;K$46,I$44,K531&gt;=K$46,I$46)</f>
        <v/>
      </c>
      <c r="J531" s="37">
        <f>_xlfn.IFS(K531&lt;K$24,0,K531&lt;K$25,J$24,K531&lt;K$26,J$25,K531&lt;K$27,J$26,K531&lt;K$28,J$27,K531&lt;K$29,J$28,K531&lt;K$30,J$29,K531&lt;K$31,J$30,K531&lt;K$32,J$31,K531&lt;K$33,J$32,K531&lt;K$34,J$33,K531&lt;K$35,J$34,K531&lt;K$36,J$35,K531&lt;K$37,J$36,K531&lt;K$38,J$37,K531&lt;K$39,J$38,K531&lt;K$40,J$39,K531&lt;K$41,J$40,K531&lt;K$42,J$41,K531&lt;K$43,J$42,K531&lt;K$44,J$43,K531&lt;K$45,J$44,K531&lt;K$46,J$45,K531&lt;K$47,J$46,K531&gt;=K$47,J$47)</f>
        <v/>
      </c>
      <c r="K531" s="38" t="n">
        <v>481</v>
      </c>
      <c r="L531" s="31">
        <f>K531/52</f>
        <v/>
      </c>
      <c r="M531" s="39">
        <f>J531/1000000*52</f>
        <v/>
      </c>
      <c r="N531" s="33">
        <f>M531/$P$4+($I$22/$P$4)</f>
        <v/>
      </c>
      <c r="U531">
        <f>F530</f>
        <v/>
      </c>
      <c r="V531">
        <f>H530</f>
        <v/>
      </c>
      <c r="W531">
        <f>N530</f>
        <v/>
      </c>
    </row>
    <row r="532" ht="15.75" customHeight="1" s="40">
      <c r="C532" s="36">
        <f>_xlfn.IFS(E532&lt;E$24,0,E532&lt;E$26,C$24,E532&lt;E$28,C$26,E532&lt;E$30,C$28,E532&lt;E$32,C$30,E532&lt;E$34,C$32,E532&gt;=E$34,C$34)</f>
        <v/>
      </c>
      <c r="D532" s="37">
        <f>_xlfn.IFS(E532&lt;E$24,0,E532&lt;E$25,D$24,E532&lt;E$26,D$25,E532&lt;E$27,D$26,E532&lt;E$28,D$27,E532&lt;E$29,D$28,E532&lt;E$30,D$29,E532&lt;E$31,D$30,E532&lt;E$32,D$31,E532&lt;E$33,D$32,E532&lt;E$34,D$33,E532&lt;E$35,D$34,E532&gt;=E$35,D$35)</f>
        <v/>
      </c>
      <c r="E532" s="38" t="n">
        <v>482</v>
      </c>
      <c r="F532" s="31">
        <f>E532/52</f>
        <v/>
      </c>
      <c r="G532" s="39">
        <f>D532/1000000*52</f>
        <v/>
      </c>
      <c r="H532" s="33">
        <f>G532/$P$4+($C$22/$P$4)</f>
        <v/>
      </c>
      <c r="I532" s="36">
        <f>_xlfn.IFS(K532&lt;K$24,0,K532&lt;K$26,I$24,K532&lt;K$28,I$26,K532&lt;K$30,I$28,K532&lt;K$32,I$30,K532&lt;K$34,I$32,K532&lt;K$36,I$34,K532&lt;K$38,I$36,K532&lt;K$40,I$38,K532&lt;K$42,I$40,K532&lt;K$44,I$42,K532&lt;K$46,I$44,K532&gt;=K$46,I$46)</f>
        <v/>
      </c>
      <c r="J532" s="37">
        <f>_xlfn.IFS(K532&lt;K$24,0,K532&lt;K$25,J$24,K532&lt;K$26,J$25,K532&lt;K$27,J$26,K532&lt;K$28,J$27,K532&lt;K$29,J$28,K532&lt;K$30,J$29,K532&lt;K$31,J$30,K532&lt;K$32,J$31,K532&lt;K$33,J$32,K532&lt;K$34,J$33,K532&lt;K$35,J$34,K532&lt;K$36,J$35,K532&lt;K$37,J$36,K532&lt;K$38,J$37,K532&lt;K$39,J$38,K532&lt;K$40,J$39,K532&lt;K$41,J$40,K532&lt;K$42,J$41,K532&lt;K$43,J$42,K532&lt;K$44,J$43,K532&lt;K$45,J$44,K532&lt;K$46,J$45,K532&lt;K$47,J$46,K532&gt;=K$47,J$47)</f>
        <v/>
      </c>
      <c r="K532" s="38" t="n">
        <v>482</v>
      </c>
      <c r="L532" s="31">
        <f>K532/52</f>
        <v/>
      </c>
      <c r="M532" s="39">
        <f>J532/1000000*52</f>
        <v/>
      </c>
      <c r="N532" s="33">
        <f>M532/$P$4+($I$22/$P$4)</f>
        <v/>
      </c>
      <c r="U532">
        <f>F531</f>
        <v/>
      </c>
      <c r="V532">
        <f>H531</f>
        <v/>
      </c>
      <c r="W532">
        <f>N531</f>
        <v/>
      </c>
    </row>
    <row r="533" ht="15.75" customHeight="1" s="40">
      <c r="C533" s="36">
        <f>_xlfn.IFS(E533&lt;E$24,0,E533&lt;E$26,C$24,E533&lt;E$28,C$26,E533&lt;E$30,C$28,E533&lt;E$32,C$30,E533&lt;E$34,C$32,E533&gt;=E$34,C$34)</f>
        <v/>
      </c>
      <c r="D533" s="37">
        <f>_xlfn.IFS(E533&lt;E$24,0,E533&lt;E$25,D$24,E533&lt;E$26,D$25,E533&lt;E$27,D$26,E533&lt;E$28,D$27,E533&lt;E$29,D$28,E533&lt;E$30,D$29,E533&lt;E$31,D$30,E533&lt;E$32,D$31,E533&lt;E$33,D$32,E533&lt;E$34,D$33,E533&lt;E$35,D$34,E533&gt;=E$35,D$35)</f>
        <v/>
      </c>
      <c r="E533" s="38" t="n">
        <v>483</v>
      </c>
      <c r="F533" s="31">
        <f>E533/52</f>
        <v/>
      </c>
      <c r="G533" s="39">
        <f>D533/1000000*52</f>
        <v/>
      </c>
      <c r="H533" s="33">
        <f>G533/$P$4+($C$22/$P$4)</f>
        <v/>
      </c>
      <c r="I533" s="36">
        <f>_xlfn.IFS(K533&lt;K$24,0,K533&lt;K$26,I$24,K533&lt;K$28,I$26,K533&lt;K$30,I$28,K533&lt;K$32,I$30,K533&lt;K$34,I$32,K533&lt;K$36,I$34,K533&lt;K$38,I$36,K533&lt;K$40,I$38,K533&lt;K$42,I$40,K533&lt;K$44,I$42,K533&lt;K$46,I$44,K533&gt;=K$46,I$46)</f>
        <v/>
      </c>
      <c r="J533" s="37">
        <f>_xlfn.IFS(K533&lt;K$24,0,K533&lt;K$25,J$24,K533&lt;K$26,J$25,K533&lt;K$27,J$26,K533&lt;K$28,J$27,K533&lt;K$29,J$28,K533&lt;K$30,J$29,K533&lt;K$31,J$30,K533&lt;K$32,J$31,K533&lt;K$33,J$32,K533&lt;K$34,J$33,K533&lt;K$35,J$34,K533&lt;K$36,J$35,K533&lt;K$37,J$36,K533&lt;K$38,J$37,K533&lt;K$39,J$38,K533&lt;K$40,J$39,K533&lt;K$41,J$40,K533&lt;K$42,J$41,K533&lt;K$43,J$42,K533&lt;K$44,J$43,K533&lt;K$45,J$44,K533&lt;K$46,J$45,K533&lt;K$47,J$46,K533&gt;=K$47,J$47)</f>
        <v/>
      </c>
      <c r="K533" s="38" t="n">
        <v>483</v>
      </c>
      <c r="L533" s="31">
        <f>K533/52</f>
        <v/>
      </c>
      <c r="M533" s="39">
        <f>J533/1000000*52</f>
        <v/>
      </c>
      <c r="N533" s="33">
        <f>M533/$P$4+($I$22/$P$4)</f>
        <v/>
      </c>
      <c r="U533">
        <f>F532</f>
        <v/>
      </c>
      <c r="V533">
        <f>H532</f>
        <v/>
      </c>
      <c r="W533">
        <f>N532</f>
        <v/>
      </c>
    </row>
    <row r="534" ht="15.75" customHeight="1" s="40">
      <c r="C534" s="36">
        <f>_xlfn.IFS(E534&lt;E$24,0,E534&lt;E$26,C$24,E534&lt;E$28,C$26,E534&lt;E$30,C$28,E534&lt;E$32,C$30,E534&lt;E$34,C$32,E534&gt;=E$34,C$34)</f>
        <v/>
      </c>
      <c r="D534" s="37">
        <f>_xlfn.IFS(E534&lt;E$24,0,E534&lt;E$25,D$24,E534&lt;E$26,D$25,E534&lt;E$27,D$26,E534&lt;E$28,D$27,E534&lt;E$29,D$28,E534&lt;E$30,D$29,E534&lt;E$31,D$30,E534&lt;E$32,D$31,E534&lt;E$33,D$32,E534&lt;E$34,D$33,E534&lt;E$35,D$34,E534&gt;=E$35,D$35)</f>
        <v/>
      </c>
      <c r="E534" s="38" t="n">
        <v>484</v>
      </c>
      <c r="F534" s="31">
        <f>E534/52</f>
        <v/>
      </c>
      <c r="G534" s="39">
        <f>D534/1000000*52</f>
        <v/>
      </c>
      <c r="H534" s="33">
        <f>G534/$P$4+($C$22/$P$4)</f>
        <v/>
      </c>
      <c r="I534" s="36">
        <f>_xlfn.IFS(K534&lt;K$24,0,K534&lt;K$26,I$24,K534&lt;K$28,I$26,K534&lt;K$30,I$28,K534&lt;K$32,I$30,K534&lt;K$34,I$32,K534&lt;K$36,I$34,K534&lt;K$38,I$36,K534&lt;K$40,I$38,K534&lt;K$42,I$40,K534&lt;K$44,I$42,K534&lt;K$46,I$44,K534&gt;=K$46,I$46)</f>
        <v/>
      </c>
      <c r="J534" s="37">
        <f>_xlfn.IFS(K534&lt;K$24,0,K534&lt;K$25,J$24,K534&lt;K$26,J$25,K534&lt;K$27,J$26,K534&lt;K$28,J$27,K534&lt;K$29,J$28,K534&lt;K$30,J$29,K534&lt;K$31,J$30,K534&lt;K$32,J$31,K534&lt;K$33,J$32,K534&lt;K$34,J$33,K534&lt;K$35,J$34,K534&lt;K$36,J$35,K534&lt;K$37,J$36,K534&lt;K$38,J$37,K534&lt;K$39,J$38,K534&lt;K$40,J$39,K534&lt;K$41,J$40,K534&lt;K$42,J$41,K534&lt;K$43,J$42,K534&lt;K$44,J$43,K534&lt;K$45,J$44,K534&lt;K$46,J$45,K534&lt;K$47,J$46,K534&gt;=K$47,J$47)</f>
        <v/>
      </c>
      <c r="K534" s="38" t="n">
        <v>484</v>
      </c>
      <c r="L534" s="31">
        <f>K534/52</f>
        <v/>
      </c>
      <c r="M534" s="39">
        <f>J534/1000000*52</f>
        <v/>
      </c>
      <c r="N534" s="33">
        <f>M534/$P$4+($I$22/$P$4)</f>
        <v/>
      </c>
      <c r="U534">
        <f>F533</f>
        <v/>
      </c>
      <c r="V534">
        <f>H533</f>
        <v/>
      </c>
      <c r="W534">
        <f>N533</f>
        <v/>
      </c>
    </row>
    <row r="535" ht="15.75" customHeight="1" s="40">
      <c r="C535" s="36">
        <f>_xlfn.IFS(E535&lt;E$24,0,E535&lt;E$26,C$24,E535&lt;E$28,C$26,E535&lt;E$30,C$28,E535&lt;E$32,C$30,E535&lt;E$34,C$32,E535&gt;=E$34,C$34)</f>
        <v/>
      </c>
      <c r="D535" s="37">
        <f>_xlfn.IFS(E535&lt;E$24,0,E535&lt;E$25,D$24,E535&lt;E$26,D$25,E535&lt;E$27,D$26,E535&lt;E$28,D$27,E535&lt;E$29,D$28,E535&lt;E$30,D$29,E535&lt;E$31,D$30,E535&lt;E$32,D$31,E535&lt;E$33,D$32,E535&lt;E$34,D$33,E535&lt;E$35,D$34,E535&gt;=E$35,D$35)</f>
        <v/>
      </c>
      <c r="E535" s="38" t="n">
        <v>485</v>
      </c>
      <c r="F535" s="31">
        <f>E535/52</f>
        <v/>
      </c>
      <c r="G535" s="39">
        <f>D535/1000000*52</f>
        <v/>
      </c>
      <c r="H535" s="33">
        <f>G535/$P$4+($C$22/$P$4)</f>
        <v/>
      </c>
      <c r="I535" s="36">
        <f>_xlfn.IFS(K535&lt;K$24,0,K535&lt;K$26,I$24,K535&lt;K$28,I$26,K535&lt;K$30,I$28,K535&lt;K$32,I$30,K535&lt;K$34,I$32,K535&lt;K$36,I$34,K535&lt;K$38,I$36,K535&lt;K$40,I$38,K535&lt;K$42,I$40,K535&lt;K$44,I$42,K535&lt;K$46,I$44,K535&gt;=K$46,I$46)</f>
        <v/>
      </c>
      <c r="J535" s="37">
        <f>_xlfn.IFS(K535&lt;K$24,0,K535&lt;K$25,J$24,K535&lt;K$26,J$25,K535&lt;K$27,J$26,K535&lt;K$28,J$27,K535&lt;K$29,J$28,K535&lt;K$30,J$29,K535&lt;K$31,J$30,K535&lt;K$32,J$31,K535&lt;K$33,J$32,K535&lt;K$34,J$33,K535&lt;K$35,J$34,K535&lt;K$36,J$35,K535&lt;K$37,J$36,K535&lt;K$38,J$37,K535&lt;K$39,J$38,K535&lt;K$40,J$39,K535&lt;K$41,J$40,K535&lt;K$42,J$41,K535&lt;K$43,J$42,K535&lt;K$44,J$43,K535&lt;K$45,J$44,K535&lt;K$46,J$45,K535&lt;K$47,J$46,K535&gt;=K$47,J$47)</f>
        <v/>
      </c>
      <c r="K535" s="38" t="n">
        <v>485</v>
      </c>
      <c r="L535" s="31">
        <f>K535/52</f>
        <v/>
      </c>
      <c r="M535" s="39">
        <f>J535/1000000*52</f>
        <v/>
      </c>
      <c r="N535" s="33">
        <f>M535/$P$4+($I$22/$P$4)</f>
        <v/>
      </c>
      <c r="U535">
        <f>F534</f>
        <v/>
      </c>
      <c r="V535">
        <f>H534</f>
        <v/>
      </c>
      <c r="W535">
        <f>N534</f>
        <v/>
      </c>
    </row>
    <row r="536" ht="15.75" customHeight="1" s="40">
      <c r="C536" s="36">
        <f>_xlfn.IFS(E536&lt;E$24,0,E536&lt;E$26,C$24,E536&lt;E$28,C$26,E536&lt;E$30,C$28,E536&lt;E$32,C$30,E536&lt;E$34,C$32,E536&gt;=E$34,C$34)</f>
        <v/>
      </c>
      <c r="D536" s="37">
        <f>_xlfn.IFS(E536&lt;E$24,0,E536&lt;E$25,D$24,E536&lt;E$26,D$25,E536&lt;E$27,D$26,E536&lt;E$28,D$27,E536&lt;E$29,D$28,E536&lt;E$30,D$29,E536&lt;E$31,D$30,E536&lt;E$32,D$31,E536&lt;E$33,D$32,E536&lt;E$34,D$33,E536&lt;E$35,D$34,E536&gt;=E$35,D$35)</f>
        <v/>
      </c>
      <c r="E536" s="38" t="n">
        <v>486</v>
      </c>
      <c r="F536" s="31">
        <f>E536/52</f>
        <v/>
      </c>
      <c r="G536" s="39">
        <f>D536/1000000*52</f>
        <v/>
      </c>
      <c r="H536" s="33">
        <f>G536/$P$4+($C$22/$P$4)</f>
        <v/>
      </c>
      <c r="I536" s="36">
        <f>_xlfn.IFS(K536&lt;K$24,0,K536&lt;K$26,I$24,K536&lt;K$28,I$26,K536&lt;K$30,I$28,K536&lt;K$32,I$30,K536&lt;K$34,I$32,K536&lt;K$36,I$34,K536&lt;K$38,I$36,K536&lt;K$40,I$38,K536&lt;K$42,I$40,K536&lt;K$44,I$42,K536&lt;K$46,I$44,K536&gt;=K$46,I$46)</f>
        <v/>
      </c>
      <c r="J536" s="37">
        <f>_xlfn.IFS(K536&lt;K$24,0,K536&lt;K$25,J$24,K536&lt;K$26,J$25,K536&lt;K$27,J$26,K536&lt;K$28,J$27,K536&lt;K$29,J$28,K536&lt;K$30,J$29,K536&lt;K$31,J$30,K536&lt;K$32,J$31,K536&lt;K$33,J$32,K536&lt;K$34,J$33,K536&lt;K$35,J$34,K536&lt;K$36,J$35,K536&lt;K$37,J$36,K536&lt;K$38,J$37,K536&lt;K$39,J$38,K536&lt;K$40,J$39,K536&lt;K$41,J$40,K536&lt;K$42,J$41,K536&lt;K$43,J$42,K536&lt;K$44,J$43,K536&lt;K$45,J$44,K536&lt;K$46,J$45,K536&lt;K$47,J$46,K536&gt;=K$47,J$47)</f>
        <v/>
      </c>
      <c r="K536" s="38" t="n">
        <v>486</v>
      </c>
      <c r="L536" s="31">
        <f>K536/52</f>
        <v/>
      </c>
      <c r="M536" s="39">
        <f>J536/1000000*52</f>
        <v/>
      </c>
      <c r="N536" s="33">
        <f>M536/$P$4+($I$22/$P$4)</f>
        <v/>
      </c>
      <c r="U536">
        <f>F535</f>
        <v/>
      </c>
      <c r="V536">
        <f>H535</f>
        <v/>
      </c>
      <c r="W536">
        <f>N535</f>
        <v/>
      </c>
    </row>
    <row r="537" ht="15.75" customHeight="1" s="40">
      <c r="C537" s="36">
        <f>_xlfn.IFS(E537&lt;E$24,0,E537&lt;E$26,C$24,E537&lt;E$28,C$26,E537&lt;E$30,C$28,E537&lt;E$32,C$30,E537&lt;E$34,C$32,E537&gt;=E$34,C$34)</f>
        <v/>
      </c>
      <c r="D537" s="37">
        <f>_xlfn.IFS(E537&lt;E$24,0,E537&lt;E$25,D$24,E537&lt;E$26,D$25,E537&lt;E$27,D$26,E537&lt;E$28,D$27,E537&lt;E$29,D$28,E537&lt;E$30,D$29,E537&lt;E$31,D$30,E537&lt;E$32,D$31,E537&lt;E$33,D$32,E537&lt;E$34,D$33,E537&lt;E$35,D$34,E537&gt;=E$35,D$35)</f>
        <v/>
      </c>
      <c r="E537" s="38" t="n">
        <v>487</v>
      </c>
      <c r="F537" s="31">
        <f>E537/52</f>
        <v/>
      </c>
      <c r="G537" s="39">
        <f>D537/1000000*52</f>
        <v/>
      </c>
      <c r="H537" s="33">
        <f>G537/$P$4+($C$22/$P$4)</f>
        <v/>
      </c>
      <c r="I537" s="36">
        <f>_xlfn.IFS(K537&lt;K$24,0,K537&lt;K$26,I$24,K537&lt;K$28,I$26,K537&lt;K$30,I$28,K537&lt;K$32,I$30,K537&lt;K$34,I$32,K537&lt;K$36,I$34,K537&lt;K$38,I$36,K537&lt;K$40,I$38,K537&lt;K$42,I$40,K537&lt;K$44,I$42,K537&lt;K$46,I$44,K537&gt;=K$46,I$46)</f>
        <v/>
      </c>
      <c r="J537" s="37">
        <f>_xlfn.IFS(K537&lt;K$24,0,K537&lt;K$25,J$24,K537&lt;K$26,J$25,K537&lt;K$27,J$26,K537&lt;K$28,J$27,K537&lt;K$29,J$28,K537&lt;K$30,J$29,K537&lt;K$31,J$30,K537&lt;K$32,J$31,K537&lt;K$33,J$32,K537&lt;K$34,J$33,K537&lt;K$35,J$34,K537&lt;K$36,J$35,K537&lt;K$37,J$36,K537&lt;K$38,J$37,K537&lt;K$39,J$38,K537&lt;K$40,J$39,K537&lt;K$41,J$40,K537&lt;K$42,J$41,K537&lt;K$43,J$42,K537&lt;K$44,J$43,K537&lt;K$45,J$44,K537&lt;K$46,J$45,K537&lt;K$47,J$46,K537&gt;=K$47,J$47)</f>
        <v/>
      </c>
      <c r="K537" s="38" t="n">
        <v>487</v>
      </c>
      <c r="L537" s="31">
        <f>K537/52</f>
        <v/>
      </c>
      <c r="M537" s="39">
        <f>J537/1000000*52</f>
        <v/>
      </c>
      <c r="N537" s="33">
        <f>M537/$P$4+($I$22/$P$4)</f>
        <v/>
      </c>
      <c r="U537">
        <f>F536</f>
        <v/>
      </c>
      <c r="V537">
        <f>H536</f>
        <v/>
      </c>
      <c r="W537">
        <f>N536</f>
        <v/>
      </c>
    </row>
    <row r="538" ht="15.75" customHeight="1" s="40">
      <c r="C538" s="36">
        <f>_xlfn.IFS(E538&lt;E$24,0,E538&lt;E$26,C$24,E538&lt;E$28,C$26,E538&lt;E$30,C$28,E538&lt;E$32,C$30,E538&lt;E$34,C$32,E538&gt;=E$34,C$34)</f>
        <v/>
      </c>
      <c r="D538" s="37">
        <f>_xlfn.IFS(E538&lt;E$24,0,E538&lt;E$25,D$24,E538&lt;E$26,D$25,E538&lt;E$27,D$26,E538&lt;E$28,D$27,E538&lt;E$29,D$28,E538&lt;E$30,D$29,E538&lt;E$31,D$30,E538&lt;E$32,D$31,E538&lt;E$33,D$32,E538&lt;E$34,D$33,E538&lt;E$35,D$34,E538&gt;=E$35,D$35)</f>
        <v/>
      </c>
      <c r="E538" s="38" t="n">
        <v>488</v>
      </c>
      <c r="F538" s="31">
        <f>E538/52</f>
        <v/>
      </c>
      <c r="G538" s="39">
        <f>D538/1000000*52</f>
        <v/>
      </c>
      <c r="H538" s="33">
        <f>G538/$P$4+($C$22/$P$4)</f>
        <v/>
      </c>
      <c r="I538" s="36">
        <f>_xlfn.IFS(K538&lt;K$24,0,K538&lt;K$26,I$24,K538&lt;K$28,I$26,K538&lt;K$30,I$28,K538&lt;K$32,I$30,K538&lt;K$34,I$32,K538&lt;K$36,I$34,K538&lt;K$38,I$36,K538&lt;K$40,I$38,K538&lt;K$42,I$40,K538&lt;K$44,I$42,K538&lt;K$46,I$44,K538&gt;=K$46,I$46)</f>
        <v/>
      </c>
      <c r="J538" s="37">
        <f>_xlfn.IFS(K538&lt;K$24,0,K538&lt;K$25,J$24,K538&lt;K$26,J$25,K538&lt;K$27,J$26,K538&lt;K$28,J$27,K538&lt;K$29,J$28,K538&lt;K$30,J$29,K538&lt;K$31,J$30,K538&lt;K$32,J$31,K538&lt;K$33,J$32,K538&lt;K$34,J$33,K538&lt;K$35,J$34,K538&lt;K$36,J$35,K538&lt;K$37,J$36,K538&lt;K$38,J$37,K538&lt;K$39,J$38,K538&lt;K$40,J$39,K538&lt;K$41,J$40,K538&lt;K$42,J$41,K538&lt;K$43,J$42,K538&lt;K$44,J$43,K538&lt;K$45,J$44,K538&lt;K$46,J$45,K538&lt;K$47,J$46,K538&gt;=K$47,J$47)</f>
        <v/>
      </c>
      <c r="K538" s="38" t="n">
        <v>488</v>
      </c>
      <c r="L538" s="31">
        <f>K538/52</f>
        <v/>
      </c>
      <c r="M538" s="39">
        <f>J538/1000000*52</f>
        <v/>
      </c>
      <c r="N538" s="33">
        <f>M538/$P$4+($I$22/$P$4)</f>
        <v/>
      </c>
      <c r="U538">
        <f>F537</f>
        <v/>
      </c>
      <c r="V538">
        <f>H537</f>
        <v/>
      </c>
      <c r="W538">
        <f>N537</f>
        <v/>
      </c>
    </row>
    <row r="539" ht="15.75" customHeight="1" s="40">
      <c r="C539" s="36">
        <f>_xlfn.IFS(E539&lt;E$24,0,E539&lt;E$26,C$24,E539&lt;E$28,C$26,E539&lt;E$30,C$28,E539&lt;E$32,C$30,E539&lt;E$34,C$32,E539&gt;=E$34,C$34)</f>
        <v/>
      </c>
      <c r="D539" s="37">
        <f>_xlfn.IFS(E539&lt;E$24,0,E539&lt;E$25,D$24,E539&lt;E$26,D$25,E539&lt;E$27,D$26,E539&lt;E$28,D$27,E539&lt;E$29,D$28,E539&lt;E$30,D$29,E539&lt;E$31,D$30,E539&lt;E$32,D$31,E539&lt;E$33,D$32,E539&lt;E$34,D$33,E539&lt;E$35,D$34,E539&gt;=E$35,D$35)</f>
        <v/>
      </c>
      <c r="E539" s="38" t="n">
        <v>489</v>
      </c>
      <c r="F539" s="31">
        <f>E539/52</f>
        <v/>
      </c>
      <c r="G539" s="39">
        <f>D539/1000000*52</f>
        <v/>
      </c>
      <c r="H539" s="33">
        <f>G539/$P$4+($C$22/$P$4)</f>
        <v/>
      </c>
      <c r="I539" s="36">
        <f>_xlfn.IFS(K539&lt;K$24,0,K539&lt;K$26,I$24,K539&lt;K$28,I$26,K539&lt;K$30,I$28,K539&lt;K$32,I$30,K539&lt;K$34,I$32,K539&lt;K$36,I$34,K539&lt;K$38,I$36,K539&lt;K$40,I$38,K539&lt;K$42,I$40,K539&lt;K$44,I$42,K539&lt;K$46,I$44,K539&gt;=K$46,I$46)</f>
        <v/>
      </c>
      <c r="J539" s="37">
        <f>_xlfn.IFS(K539&lt;K$24,0,K539&lt;K$25,J$24,K539&lt;K$26,J$25,K539&lt;K$27,J$26,K539&lt;K$28,J$27,K539&lt;K$29,J$28,K539&lt;K$30,J$29,K539&lt;K$31,J$30,K539&lt;K$32,J$31,K539&lt;K$33,J$32,K539&lt;K$34,J$33,K539&lt;K$35,J$34,K539&lt;K$36,J$35,K539&lt;K$37,J$36,K539&lt;K$38,J$37,K539&lt;K$39,J$38,K539&lt;K$40,J$39,K539&lt;K$41,J$40,K539&lt;K$42,J$41,K539&lt;K$43,J$42,K539&lt;K$44,J$43,K539&lt;K$45,J$44,K539&lt;K$46,J$45,K539&lt;K$47,J$46,K539&gt;=K$47,J$47)</f>
        <v/>
      </c>
      <c r="K539" s="38" t="n">
        <v>489</v>
      </c>
      <c r="L539" s="31">
        <f>K539/52</f>
        <v/>
      </c>
      <c r="M539" s="39">
        <f>J539/1000000*52</f>
        <v/>
      </c>
      <c r="N539" s="33">
        <f>M539/$P$4+($I$22/$P$4)</f>
        <v/>
      </c>
      <c r="U539">
        <f>F538</f>
        <v/>
      </c>
      <c r="V539">
        <f>H538</f>
        <v/>
      </c>
      <c r="W539">
        <f>N538</f>
        <v/>
      </c>
    </row>
    <row r="540" ht="15.75" customHeight="1" s="40">
      <c r="C540" s="36">
        <f>_xlfn.IFS(E540&lt;E$24,0,E540&lt;E$26,C$24,E540&lt;E$28,C$26,E540&lt;E$30,C$28,E540&lt;E$32,C$30,E540&lt;E$34,C$32,E540&gt;=E$34,C$34)</f>
        <v/>
      </c>
      <c r="D540" s="37">
        <f>_xlfn.IFS(E540&lt;E$24,0,E540&lt;E$25,D$24,E540&lt;E$26,D$25,E540&lt;E$27,D$26,E540&lt;E$28,D$27,E540&lt;E$29,D$28,E540&lt;E$30,D$29,E540&lt;E$31,D$30,E540&lt;E$32,D$31,E540&lt;E$33,D$32,E540&lt;E$34,D$33,E540&lt;E$35,D$34,E540&gt;=E$35,D$35)</f>
        <v/>
      </c>
      <c r="E540" s="38" t="n">
        <v>490</v>
      </c>
      <c r="F540" s="31">
        <f>E540/52</f>
        <v/>
      </c>
      <c r="G540" s="39">
        <f>D540/1000000*52</f>
        <v/>
      </c>
      <c r="H540" s="33">
        <f>G540/$P$4+($C$22/$P$4)</f>
        <v/>
      </c>
      <c r="I540" s="36">
        <f>_xlfn.IFS(K540&lt;K$24,0,K540&lt;K$26,I$24,K540&lt;K$28,I$26,K540&lt;K$30,I$28,K540&lt;K$32,I$30,K540&lt;K$34,I$32,K540&lt;K$36,I$34,K540&lt;K$38,I$36,K540&lt;K$40,I$38,K540&lt;K$42,I$40,K540&lt;K$44,I$42,K540&lt;K$46,I$44,K540&gt;=K$46,I$46)</f>
        <v/>
      </c>
      <c r="J540" s="37">
        <f>_xlfn.IFS(K540&lt;K$24,0,K540&lt;K$25,J$24,K540&lt;K$26,J$25,K540&lt;K$27,J$26,K540&lt;K$28,J$27,K540&lt;K$29,J$28,K540&lt;K$30,J$29,K540&lt;K$31,J$30,K540&lt;K$32,J$31,K540&lt;K$33,J$32,K540&lt;K$34,J$33,K540&lt;K$35,J$34,K540&lt;K$36,J$35,K540&lt;K$37,J$36,K540&lt;K$38,J$37,K540&lt;K$39,J$38,K540&lt;K$40,J$39,K540&lt;K$41,J$40,K540&lt;K$42,J$41,K540&lt;K$43,J$42,K540&lt;K$44,J$43,K540&lt;K$45,J$44,K540&lt;K$46,J$45,K540&lt;K$47,J$46,K540&gt;=K$47,J$47)</f>
        <v/>
      </c>
      <c r="K540" s="38" t="n">
        <v>490</v>
      </c>
      <c r="L540" s="31">
        <f>K540/52</f>
        <v/>
      </c>
      <c r="M540" s="39">
        <f>J540/1000000*52</f>
        <v/>
      </c>
      <c r="N540" s="33">
        <f>M540/$P$4+($I$22/$P$4)</f>
        <v/>
      </c>
      <c r="U540">
        <f>F539</f>
        <v/>
      </c>
      <c r="V540">
        <f>H539</f>
        <v/>
      </c>
      <c r="W540">
        <f>N539</f>
        <v/>
      </c>
    </row>
    <row r="541" ht="15.75" customHeight="1" s="40">
      <c r="H541" s="33" t="n"/>
      <c r="U541">
        <f>F540</f>
        <v/>
      </c>
      <c r="V541">
        <f>H540</f>
        <v/>
      </c>
      <c r="W541">
        <f>N540</f>
        <v/>
      </c>
    </row>
    <row r="542" ht="15.75" customHeight="1" s="40">
      <c r="H542" s="33" t="n"/>
    </row>
    <row r="543" ht="15.75" customHeight="1" s="40">
      <c r="H543" s="33" t="n"/>
    </row>
    <row r="544" ht="15.75" customHeight="1" s="40">
      <c r="H544" s="33" t="n"/>
    </row>
    <row r="545" ht="15.75" customHeight="1" s="40">
      <c r="H545" s="33" t="n"/>
    </row>
    <row r="546" ht="15.75" customHeight="1" s="40">
      <c r="H546" s="33" t="n"/>
    </row>
    <row r="547" ht="15.75" customHeight="1" s="40">
      <c r="H547" s="33" t="n"/>
    </row>
    <row r="548" ht="15.75" customHeight="1" s="40">
      <c r="H548" s="33" t="n"/>
    </row>
    <row r="549" ht="15.75" customHeight="1" s="40">
      <c r="H549" s="33" t="n"/>
    </row>
    <row r="550" ht="15.75" customHeight="1" s="40">
      <c r="H550" s="33" t="n"/>
    </row>
    <row r="551" ht="15.75" customHeight="1" s="40">
      <c r="H551" s="33" t="n"/>
    </row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mergeCells count="59">
    <mergeCell ref="I7:N7"/>
    <mergeCell ref="C10:H10"/>
    <mergeCell ref="C16:H16"/>
    <mergeCell ref="A15:B15"/>
    <mergeCell ref="C22:H22"/>
    <mergeCell ref="I22:N22"/>
    <mergeCell ref="C9:H9"/>
    <mergeCell ref="A11:B11"/>
    <mergeCell ref="I18:N18"/>
    <mergeCell ref="I3:N3"/>
    <mergeCell ref="C12:H12"/>
    <mergeCell ref="I12:N12"/>
    <mergeCell ref="C21:H21"/>
    <mergeCell ref="I21:N21"/>
    <mergeCell ref="C11:H11"/>
    <mergeCell ref="A16:B16"/>
    <mergeCell ref="C2:H2"/>
    <mergeCell ref="A7:B7"/>
    <mergeCell ref="I5:N5"/>
    <mergeCell ref="C1:G1"/>
    <mergeCell ref="I14:N14"/>
    <mergeCell ref="I17:N17"/>
    <mergeCell ref="C8:H8"/>
    <mergeCell ref="I8:N8"/>
    <mergeCell ref="C17:H17"/>
    <mergeCell ref="A18:B18"/>
    <mergeCell ref="I4:N4"/>
    <mergeCell ref="A3:B3"/>
    <mergeCell ref="I20:N20"/>
    <mergeCell ref="C7:H7"/>
    <mergeCell ref="A21:B21"/>
    <mergeCell ref="C19:H19"/>
    <mergeCell ref="I19:N19"/>
    <mergeCell ref="A2:B2"/>
    <mergeCell ref="I10:N10"/>
    <mergeCell ref="C13:H13"/>
    <mergeCell ref="I13:N13"/>
    <mergeCell ref="I9:N9"/>
    <mergeCell ref="A14:B14"/>
    <mergeCell ref="C18:H18"/>
    <mergeCell ref="A17:B17"/>
    <mergeCell ref="C3:H3"/>
    <mergeCell ref="I1:M1"/>
    <mergeCell ref="A8:B8"/>
    <mergeCell ref="C15:H15"/>
    <mergeCell ref="A4:B4"/>
    <mergeCell ref="I15:N15"/>
    <mergeCell ref="A20:B20"/>
    <mergeCell ref="I11:N11"/>
    <mergeCell ref="C14:H14"/>
    <mergeCell ref="I2:N2"/>
    <mergeCell ref="A19:B19"/>
    <mergeCell ref="C5:H5"/>
    <mergeCell ref="A10:B10"/>
    <mergeCell ref="A13:B13"/>
    <mergeCell ref="C4:H4"/>
    <mergeCell ref="C20:H20"/>
    <mergeCell ref="A9:B9"/>
    <mergeCell ref="I16:N16"/>
  </mergeCells>
  <hyperlinks>
    <hyperlink xmlns:r="http://schemas.openxmlformats.org/officeDocument/2006/relationships" ref="Q2" r:id="rId1"/>
    <hyperlink xmlns:r="http://schemas.openxmlformats.org/officeDocument/2006/relationships" ref="Q3" r:id="rId2"/>
  </hyperlinks>
  <pageMargins left="0.75" right="0.75" top="1" bottom="1" header="0.5" footer="0.5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2026-08-20T11:54:48Z</dcterms:created>
  <dcterms:modified xmlns:dcterms="http://purl.org/dc/terms/" xmlns:xsi="http://www.w3.org/2001/XMLSchema-instance" xsi:type="dcterms:W3CDTF">2026-10-14T10:50:50Z</dcterms:modified>
  <cp:lastModifiedBy>Pinkeshkumar Attarwala</cp:lastModifiedBy>
</cp:coreProperties>
</file>